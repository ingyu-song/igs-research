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1.xml" ContentType="application/vnd.openxmlformats-officedocument.themeOverrid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2.xml" ContentType="application/vnd.openxmlformats-officedocument.themeOverrid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Ex2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8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9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0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1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2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3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4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5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6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4.xml" ContentType="application/vnd.openxmlformats-officedocument.drawing+xml"/>
  <Override PartName="/xl/charts/chart27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28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ndysong1616/Desktop/Year 3 Sem 1/2. PEC/5. Case/Submission/"/>
    </mc:Choice>
  </mc:AlternateContent>
  <xr:revisionPtr revIDLastSave="0" documentId="13_ncr:1_{F47F0A6A-9CCF-7545-8843-5E49C21E917A}" xr6:coauthVersionLast="47" xr6:coauthVersionMax="47" xr10:uidLastSave="{00000000-0000-0000-0000-000000000000}"/>
  <bookViews>
    <workbookView xWindow="0" yWindow="680" windowWidth="29400" windowHeight="16880" firstSheet="6" activeTab="8" xr2:uid="{91FD5F99-6EDD-4E8E-91D5-7BBB932E725C}"/>
  </bookViews>
  <sheets>
    <sheet name="Cover Page" sheetId="1" r:id="rId1"/>
    <sheet name="Valuation&gt;" sheetId="4" r:id="rId2"/>
    <sheet name="3FS" sheetId="2" r:id="rId3"/>
    <sheet name="Debt" sheetId="19" r:id="rId4"/>
    <sheet name="WACC" sheetId="22" r:id="rId5"/>
    <sheet name="LBO" sheetId="20" r:id="rId6"/>
    <sheet name="LBO Val" sheetId="26" r:id="rId7"/>
    <sheet name="Projections&gt;" sheetId="5" r:id="rId8"/>
    <sheet name="Revenue Build" sheetId="3" r:id="rId9"/>
    <sheet name="IS &amp; BS Projections" sheetId="7" r:id="rId10"/>
    <sheet name="PPE" sheetId="8" r:id="rId11"/>
    <sheet name="Intangibles" sheetId="9" r:id="rId12"/>
    <sheet name="D&amp;E Schedule" sheetId="10" r:id="rId13"/>
    <sheet name="Reference&gt;" sheetId="11" r:id="rId14"/>
    <sheet name="Damodaran" sheetId="21" r:id="rId15"/>
    <sheet name="Macro Data" sheetId="6" r:id="rId16"/>
    <sheet name="Reference (Capital Structure)" sheetId="13" r:id="rId17"/>
    <sheet name="Charts for Deck" sheetId="12" r:id="rId18"/>
    <sheet name="Deck Data &amp; Charts" sheetId="25" r:id="rId19"/>
    <sheet name="Staking AUM" sheetId="18" r:id="rId20"/>
    <sheet name="Trading Comps_Raw" sheetId="14" r:id="rId21"/>
    <sheet name="Comps Export" sheetId="16" r:id="rId22"/>
    <sheet name="Precedent Transactions Export" sheetId="17" r:id="rId23"/>
  </sheets>
  <externalReferences>
    <externalReference r:id="rId24"/>
    <externalReference r:id="rId25"/>
    <externalReference r:id="rId26"/>
  </externalReferences>
  <definedNames>
    <definedName name="_xlchart.v1.0" hidden="1">'Charts for Deck'!$AE$100:$AE$105</definedName>
    <definedName name="_xlchart.v1.1" hidden="1">'Charts for Deck'!$AF$100:$AF$105</definedName>
    <definedName name="_xlchart.v1.2" hidden="1">'Charts for Deck'!$X$20:$X$24</definedName>
    <definedName name="_xlchart.v1.3" hidden="1">'Charts for Deck'!$Y$20:$Y$24</definedName>
    <definedName name="CIQWBGuid" hidden="1">"3b494ecf-cfb3-425e-9b4b-2f2cc62bfa5c"</definedName>
    <definedName name="CIQWBInfo" hidden="1">"{ ""CIQVersion"":""9.51.3510.3078"" }"</definedName>
    <definedName name="Company_Name" localSheetId="18">'[1]lbo(yx)'!#REF!</definedName>
    <definedName name="Company_Name" localSheetId="6">'LBO Val'!#REF!</definedName>
    <definedName name="Company_Name">#REF!</definedName>
    <definedName name="Hist_Year" localSheetId="6">'LBO Val'!$E$20</definedName>
    <definedName name="Hist_Year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"08/19/2025 15:06:22"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LTM_EBITDA" localSheetId="18">'[1]lbo(yx)'!$E$12</definedName>
    <definedName name="LTM_EBITDA" localSheetId="6">'LBO Val'!$E$12</definedName>
    <definedName name="LTM_EBITDA">#REF!</definedName>
    <definedName name="Mezz_Equity_Pct" localSheetId="18">'[1]lbo(yx)'!#REF!</definedName>
    <definedName name="Mezz_Equity_Pct" localSheetId="6">'LBO Val'!#REF!</definedName>
    <definedName name="Mezz_Equity_Pct">#REF!</definedName>
    <definedName name="Mezz_Investment" localSheetId="18">'[1]lbo(yx)'!#REF!</definedName>
    <definedName name="Mezz_Investment" localSheetId="6">'LBO Val'!#REF!</definedName>
    <definedName name="Mezz_Investment">#REF!</definedName>
    <definedName name="Mgmt_Option_Pool" localSheetId="18">'[1]lbo(yx)'!#REF!</definedName>
    <definedName name="Mgmt_Option_Pool" localSheetId="6">'LBO Val'!#REF!</definedName>
    <definedName name="Mgmt_Option_Pool">#REF!</definedName>
    <definedName name="Min_Cash" localSheetId="18">'[1]lbo(yx)'!$E$31</definedName>
    <definedName name="Min_Cash" localSheetId="6">'LBO Val'!$E$29</definedName>
    <definedName name="Min_Cash">#REF!</definedName>
    <definedName name="_xlnm.Print_Area" localSheetId="2">'3FS'!$A$1:$BC$208</definedName>
    <definedName name="_xlnm.Print_Area" localSheetId="0">'Cover Page'!$C$1:$Q$14</definedName>
    <definedName name="_xlnm.Print_Area" localSheetId="6">'LBO Val'!$A$1:$O$124</definedName>
    <definedName name="Purchase_Multiple" localSheetId="6">'LBO Val'!$K$17</definedName>
    <definedName name="Purchase_Multiple">#REF!</definedName>
    <definedName name="Sponsor_Equity" localSheetId="18">'[1]lbo(yx)'!$D$46</definedName>
    <definedName name="Sponsor_Equity" localSheetId="6">'LBO Val'!$D$44</definedName>
    <definedName name="Sponsor_Equity">#REF!</definedName>
    <definedName name="Units" localSheetId="6">'LBO Val'!#REF!</definedName>
    <definedName name="Units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3" l="1"/>
  <c r="J15" i="3"/>
  <c r="E7" i="26"/>
  <c r="E8" i="26"/>
  <c r="K8" i="26"/>
  <c r="K9" i="26"/>
  <c r="K41" i="26" s="1"/>
  <c r="L41" i="26" s="1"/>
  <c r="K10" i="26"/>
  <c r="E11" i="26"/>
  <c r="E13" i="26" s="1"/>
  <c r="K7" i="26" s="1"/>
  <c r="K15" i="26" s="1"/>
  <c r="K11" i="26"/>
  <c r="J150" i="26" s="1"/>
  <c r="E12" i="26"/>
  <c r="K12" i="26"/>
  <c r="K13" i="26"/>
  <c r="K14" i="26"/>
  <c r="J153" i="26" s="1"/>
  <c r="E16" i="26"/>
  <c r="K17" i="26"/>
  <c r="E19" i="26"/>
  <c r="E20" i="26"/>
  <c r="E30" i="26"/>
  <c r="N74" i="26" s="1"/>
  <c r="E33" i="26"/>
  <c r="E34" i="26"/>
  <c r="G86" i="26" s="1"/>
  <c r="D39" i="26"/>
  <c r="D40" i="26"/>
  <c r="D41" i="26"/>
  <c r="D42" i="26"/>
  <c r="I114" i="26" s="1"/>
  <c r="J112" i="26" s="1"/>
  <c r="D43" i="26"/>
  <c r="E43" i="26" s="1"/>
  <c r="E47" i="26"/>
  <c r="C53" i="26"/>
  <c r="C54" i="26"/>
  <c r="C66" i="26" s="1"/>
  <c r="C55" i="26"/>
  <c r="D58" i="26"/>
  <c r="F58" i="26"/>
  <c r="G58" i="26"/>
  <c r="H58" i="26"/>
  <c r="I58" i="26"/>
  <c r="J58" i="26" s="1"/>
  <c r="K58" i="26" s="1"/>
  <c r="L58" i="26" s="1"/>
  <c r="M58" i="26" s="1"/>
  <c r="N58" i="26" s="1"/>
  <c r="C64" i="26"/>
  <c r="J64" i="26"/>
  <c r="K64" i="26"/>
  <c r="L64" i="26"/>
  <c r="L82" i="26" s="1"/>
  <c r="M64" i="26"/>
  <c r="M82" i="26" s="1"/>
  <c r="N64" i="26"/>
  <c r="N82" i="26" s="1"/>
  <c r="C65" i="26"/>
  <c r="J66" i="26"/>
  <c r="K66" i="26"/>
  <c r="L66" i="26"/>
  <c r="M66" i="26"/>
  <c r="N66" i="26"/>
  <c r="C67" i="26"/>
  <c r="J67" i="26"/>
  <c r="K67" i="26"/>
  <c r="L67" i="26"/>
  <c r="M67" i="26"/>
  <c r="N67" i="26"/>
  <c r="N116" i="26" s="1"/>
  <c r="M74" i="26"/>
  <c r="J82" i="26"/>
  <c r="K82" i="26"/>
  <c r="O82" i="26"/>
  <c r="J90" i="26"/>
  <c r="K90" i="26"/>
  <c r="L90" i="26"/>
  <c r="M90" i="26"/>
  <c r="N90" i="26"/>
  <c r="O90" i="26"/>
  <c r="O91" i="26" s="1"/>
  <c r="J94" i="26"/>
  <c r="I97" i="26"/>
  <c r="J99" i="26"/>
  <c r="K99" i="26"/>
  <c r="L99" i="26"/>
  <c r="M99" i="26"/>
  <c r="N99" i="26"/>
  <c r="J108" i="26"/>
  <c r="K108" i="26"/>
  <c r="L108" i="26"/>
  <c r="M108" i="26"/>
  <c r="N108" i="26"/>
  <c r="J116" i="26"/>
  <c r="K116" i="26"/>
  <c r="L116" i="26"/>
  <c r="M116" i="26"/>
  <c r="D126" i="26"/>
  <c r="F126" i="26"/>
  <c r="G126" i="26"/>
  <c r="H126" i="26"/>
  <c r="I126" i="26"/>
  <c r="J126" i="26"/>
  <c r="K126" i="26" s="1"/>
  <c r="L126" i="26" s="1"/>
  <c r="M126" i="26" s="1"/>
  <c r="N126" i="26" s="1"/>
  <c r="E128" i="26"/>
  <c r="E132" i="26" s="1"/>
  <c r="F128" i="26"/>
  <c r="G128" i="26"/>
  <c r="G132" i="26" s="1"/>
  <c r="G133" i="26" s="1"/>
  <c r="H128" i="26"/>
  <c r="H132" i="26" s="1"/>
  <c r="H133" i="26" s="1"/>
  <c r="I128" i="26"/>
  <c r="J128" i="26"/>
  <c r="K128" i="26"/>
  <c r="K132" i="26" s="1"/>
  <c r="L128" i="26"/>
  <c r="M128" i="26"/>
  <c r="M132" i="26" s="1"/>
  <c r="N128" i="26"/>
  <c r="E129" i="26"/>
  <c r="F129" i="26"/>
  <c r="F133" i="26" s="1"/>
  <c r="G129" i="26"/>
  <c r="H129" i="26"/>
  <c r="I129" i="26"/>
  <c r="I133" i="26" s="1"/>
  <c r="J129" i="26"/>
  <c r="K129" i="26"/>
  <c r="L129" i="26"/>
  <c r="L133" i="26" s="1"/>
  <c r="M129" i="26"/>
  <c r="M133" i="26" s="1"/>
  <c r="N129" i="26"/>
  <c r="N133" i="26" s="1"/>
  <c r="F130" i="26"/>
  <c r="G130" i="26"/>
  <c r="H130" i="26"/>
  <c r="I130" i="26"/>
  <c r="J130" i="26"/>
  <c r="J133" i="26" s="1"/>
  <c r="K130" i="26"/>
  <c r="L130" i="26"/>
  <c r="M130" i="26"/>
  <c r="N130" i="26"/>
  <c r="E131" i="26"/>
  <c r="F131" i="26"/>
  <c r="G131" i="26"/>
  <c r="H131" i="26"/>
  <c r="I131" i="26"/>
  <c r="J131" i="26"/>
  <c r="K131" i="26"/>
  <c r="L131" i="26"/>
  <c r="M131" i="26"/>
  <c r="N131" i="26"/>
  <c r="F132" i="26"/>
  <c r="I132" i="26"/>
  <c r="J132" i="26"/>
  <c r="L132" i="26"/>
  <c r="N132" i="26"/>
  <c r="D140" i="26"/>
  <c r="F140" i="26"/>
  <c r="G140" i="26" s="1"/>
  <c r="H140" i="26" s="1"/>
  <c r="I140" i="26" s="1"/>
  <c r="J140" i="26" s="1"/>
  <c r="K140" i="26" s="1"/>
  <c r="L140" i="26" s="1"/>
  <c r="M140" i="26" s="1"/>
  <c r="N140" i="26" s="1"/>
  <c r="K142" i="26"/>
  <c r="L142" i="26"/>
  <c r="M142" i="26"/>
  <c r="N142" i="26" s="1"/>
  <c r="J144" i="26"/>
  <c r="K144" i="26"/>
  <c r="L144" i="26"/>
  <c r="L146" i="26" s="1"/>
  <c r="M144" i="26"/>
  <c r="M146" i="26" s="1"/>
  <c r="N144" i="26"/>
  <c r="J146" i="26"/>
  <c r="K146" i="26"/>
  <c r="N146" i="26"/>
  <c r="J147" i="26"/>
  <c r="K147" i="26"/>
  <c r="L147" i="26"/>
  <c r="M147" i="26"/>
  <c r="N147" i="26"/>
  <c r="J148" i="26"/>
  <c r="K148" i="26"/>
  <c r="L148" i="26"/>
  <c r="M148" i="26"/>
  <c r="N148" i="26"/>
  <c r="J149" i="26"/>
  <c r="K149" i="26"/>
  <c r="L149" i="26"/>
  <c r="M149" i="26"/>
  <c r="N149" i="26"/>
  <c r="J151" i="26"/>
  <c r="K151" i="26" s="1"/>
  <c r="L151" i="26" s="1"/>
  <c r="M151" i="26" s="1"/>
  <c r="N151" i="26" s="1"/>
  <c r="J152" i="26"/>
  <c r="K152" i="26"/>
  <c r="L152" i="26"/>
  <c r="M152" i="26"/>
  <c r="N152" i="26"/>
  <c r="K153" i="26"/>
  <c r="L153" i="26"/>
  <c r="M153" i="26"/>
  <c r="N153" i="26"/>
  <c r="E164" i="26"/>
  <c r="F165" i="26"/>
  <c r="G165" i="26" s="1"/>
  <c r="H165" i="26" s="1"/>
  <c r="I165" i="26" s="1"/>
  <c r="J165" i="26" s="1"/>
  <c r="K165" i="26" s="1"/>
  <c r="L165" i="26" s="1"/>
  <c r="M165" i="26" s="1"/>
  <c r="D167" i="26"/>
  <c r="D168" i="26" s="1"/>
  <c r="D169" i="26" s="1"/>
  <c r="D170" i="26" s="1"/>
  <c r="D171" i="26" s="1"/>
  <c r="D172" i="26" s="1"/>
  <c r="D173" i="26" s="1"/>
  <c r="D174" i="26" s="1"/>
  <c r="AX44" i="12"/>
  <c r="AS44" i="12"/>
  <c r="AX43" i="12"/>
  <c r="AS43" i="12"/>
  <c r="AT40" i="12"/>
  <c r="AU40" i="12"/>
  <c r="AV40" i="12"/>
  <c r="AW40" i="12"/>
  <c r="AX40" i="12"/>
  <c r="AS40" i="12"/>
  <c r="AT39" i="12"/>
  <c r="AU39" i="12"/>
  <c r="AV39" i="12"/>
  <c r="AW39" i="12"/>
  <c r="AX39" i="12"/>
  <c r="AS39" i="12"/>
  <c r="C90" i="25"/>
  <c r="B7" i="25"/>
  <c r="C7" i="25"/>
  <c r="D7" i="25"/>
  <c r="E7" i="25"/>
  <c r="F7" i="25"/>
  <c r="B197" i="25" s="1"/>
  <c r="G7" i="25"/>
  <c r="H7" i="25"/>
  <c r="I7" i="25"/>
  <c r="I10" i="25" s="1"/>
  <c r="J7" i="25"/>
  <c r="B8" i="25"/>
  <c r="C8" i="25"/>
  <c r="D8" i="25"/>
  <c r="E8" i="25"/>
  <c r="F8" i="25"/>
  <c r="G8" i="25"/>
  <c r="H8" i="25"/>
  <c r="H10" i="25" s="1"/>
  <c r="I8" i="25"/>
  <c r="J8" i="25"/>
  <c r="B9" i="25"/>
  <c r="C9" i="25"/>
  <c r="D9" i="25"/>
  <c r="E9" i="25"/>
  <c r="F9" i="25"/>
  <c r="G9" i="25"/>
  <c r="G10" i="25" s="1"/>
  <c r="H9" i="25"/>
  <c r="I9" i="25"/>
  <c r="J9" i="25"/>
  <c r="B10" i="25"/>
  <c r="C10" i="25"/>
  <c r="C11" i="25" s="1"/>
  <c r="J10" i="25"/>
  <c r="B34" i="25"/>
  <c r="C34" i="25"/>
  <c r="D34" i="25"/>
  <c r="E34" i="25"/>
  <c r="F34" i="25"/>
  <c r="G34" i="25"/>
  <c r="H34" i="25"/>
  <c r="I34" i="25"/>
  <c r="J34" i="25"/>
  <c r="B35" i="25"/>
  <c r="C35" i="25"/>
  <c r="D35" i="25"/>
  <c r="E35" i="25"/>
  <c r="F35" i="25"/>
  <c r="G35" i="25"/>
  <c r="H35" i="25"/>
  <c r="I35" i="25"/>
  <c r="J35" i="25"/>
  <c r="C86" i="25"/>
  <c r="D86" i="25"/>
  <c r="E86" i="25"/>
  <c r="F86" i="25"/>
  <c r="G86" i="25"/>
  <c r="C87" i="25"/>
  <c r="D87" i="25"/>
  <c r="E87" i="25"/>
  <c r="F87" i="25"/>
  <c r="G87" i="25"/>
  <c r="C88" i="25"/>
  <c r="D88" i="25"/>
  <c r="E88" i="25"/>
  <c r="F88" i="25"/>
  <c r="G88" i="25"/>
  <c r="C89" i="25"/>
  <c r="D89" i="25"/>
  <c r="E89" i="25"/>
  <c r="F89" i="25"/>
  <c r="G89" i="25"/>
  <c r="B112" i="25"/>
  <c r="C112" i="25"/>
  <c r="D112" i="25"/>
  <c r="E112" i="25"/>
  <c r="F112" i="25"/>
  <c r="B113" i="25"/>
  <c r="C113" i="25"/>
  <c r="D113" i="25"/>
  <c r="E113" i="25"/>
  <c r="F113" i="25"/>
  <c r="B114" i="25"/>
  <c r="C114" i="25"/>
  <c r="D114" i="25"/>
  <c r="E114" i="25"/>
  <c r="F114" i="25"/>
  <c r="B115" i="25"/>
  <c r="C115" i="25"/>
  <c r="D115" i="25"/>
  <c r="E115" i="25"/>
  <c r="F115" i="25"/>
  <c r="B116" i="25"/>
  <c r="B117" i="25" s="1"/>
  <c r="C116" i="25"/>
  <c r="C117" i="25" s="1"/>
  <c r="D116" i="25"/>
  <c r="E116" i="25"/>
  <c r="E117" i="25" s="1"/>
  <c r="F116" i="25"/>
  <c r="F117" i="25" s="1"/>
  <c r="D117" i="25"/>
  <c r="B162" i="25"/>
  <c r="C162" i="25"/>
  <c r="B163" i="25"/>
  <c r="C163" i="25"/>
  <c r="B164" i="25"/>
  <c r="C164" i="25"/>
  <c r="B165" i="25"/>
  <c r="C165" i="25"/>
  <c r="B166" i="25"/>
  <c r="C166" i="25"/>
  <c r="B167" i="25"/>
  <c r="C167" i="25"/>
  <c r="B168" i="25"/>
  <c r="B169" i="25"/>
  <c r="B174" i="25"/>
  <c r="C174" i="25"/>
  <c r="D174" i="25"/>
  <c r="E174" i="25"/>
  <c r="E175" i="25" s="1"/>
  <c r="F174" i="25"/>
  <c r="G174" i="25"/>
  <c r="F175" i="25"/>
  <c r="B176" i="25"/>
  <c r="B177" i="25" s="1"/>
  <c r="C176" i="25"/>
  <c r="C177" i="25" s="1"/>
  <c r="D176" i="25"/>
  <c r="D177" i="25" s="1"/>
  <c r="E176" i="25"/>
  <c r="E177" i="25" s="1"/>
  <c r="F176" i="25"/>
  <c r="G176" i="25"/>
  <c r="G177" i="25" s="1"/>
  <c r="B178" i="25"/>
  <c r="C178" i="25"/>
  <c r="D178" i="25"/>
  <c r="E178" i="25"/>
  <c r="F178" i="25"/>
  <c r="G178" i="25"/>
  <c r="B179" i="25"/>
  <c r="C179" i="25"/>
  <c r="D179" i="25"/>
  <c r="D180" i="25" s="1"/>
  <c r="E179" i="25"/>
  <c r="F179" i="25"/>
  <c r="G179" i="25"/>
  <c r="C181" i="25"/>
  <c r="D181" i="25"/>
  <c r="D182" i="25" s="1"/>
  <c r="E181" i="25"/>
  <c r="F181" i="25"/>
  <c r="F182" i="25" s="1"/>
  <c r="G181" i="25"/>
  <c r="B187" i="25"/>
  <c r="C187" i="25"/>
  <c r="B188" i="25"/>
  <c r="C188" i="25"/>
  <c r="B189" i="25"/>
  <c r="C189" i="25"/>
  <c r="B190" i="25"/>
  <c r="C190" i="25"/>
  <c r="B192" i="25"/>
  <c r="C192" i="25"/>
  <c r="C197" i="25"/>
  <c r="B198" i="25"/>
  <c r="C198" i="25"/>
  <c r="C199" i="25"/>
  <c r="J95" i="26" l="1"/>
  <c r="L74" i="26"/>
  <c r="J74" i="26"/>
  <c r="J155" i="26"/>
  <c r="K150" i="26"/>
  <c r="N136" i="26"/>
  <c r="N72" i="26"/>
  <c r="M136" i="26"/>
  <c r="M72" i="26"/>
  <c r="L72" i="26"/>
  <c r="L136" i="26"/>
  <c r="J72" i="26"/>
  <c r="J136" i="26"/>
  <c r="K133" i="26"/>
  <c r="E18" i="26"/>
  <c r="E17" i="26" s="1"/>
  <c r="K39" i="26"/>
  <c r="K43" i="26"/>
  <c r="L43" i="26" s="1"/>
  <c r="J113" i="26"/>
  <c r="J114" i="26"/>
  <c r="K112" i="26" s="1"/>
  <c r="J73" i="26"/>
  <c r="I138" i="26"/>
  <c r="J135" i="26" s="1"/>
  <c r="K74" i="26"/>
  <c r="K42" i="26"/>
  <c r="L42" i="26" s="1"/>
  <c r="K40" i="26"/>
  <c r="L40" i="26" s="1"/>
  <c r="I106" i="26"/>
  <c r="I80" i="26"/>
  <c r="J78" i="26" s="1"/>
  <c r="E182" i="25"/>
  <c r="G175" i="25"/>
  <c r="G90" i="25"/>
  <c r="D90" i="25"/>
  <c r="F180" i="25"/>
  <c r="C175" i="25"/>
  <c r="B191" i="25"/>
  <c r="G180" i="25"/>
  <c r="G182" i="25"/>
  <c r="E180" i="25"/>
  <c r="B180" i="25"/>
  <c r="E90" i="25"/>
  <c r="D10" i="25"/>
  <c r="D11" i="25" s="1"/>
  <c r="E10" i="25"/>
  <c r="E11" i="25" s="1"/>
  <c r="F177" i="25"/>
  <c r="C182" i="25"/>
  <c r="F90" i="25"/>
  <c r="C191" i="25"/>
  <c r="H11" i="25"/>
  <c r="I11" i="25"/>
  <c r="J11" i="25"/>
  <c r="C180" i="25"/>
  <c r="B199" i="25"/>
  <c r="F10" i="25"/>
  <c r="D175" i="25"/>
  <c r="J117" i="26" l="1"/>
  <c r="J104" i="26"/>
  <c r="J103" i="26"/>
  <c r="L39" i="26"/>
  <c r="L44" i="26" s="1"/>
  <c r="K44" i="26"/>
  <c r="D44" i="26" s="1"/>
  <c r="K113" i="26"/>
  <c r="K114" i="26" s="1"/>
  <c r="K72" i="26"/>
  <c r="K136" i="26"/>
  <c r="J71" i="26"/>
  <c r="J75" i="26" s="1"/>
  <c r="K155" i="26"/>
  <c r="L150" i="26"/>
  <c r="J83" i="26"/>
  <c r="I88" i="26"/>
  <c r="J86" i="26" s="1"/>
  <c r="T156" i="26"/>
  <c r="J159" i="26"/>
  <c r="T158" i="26" s="1"/>
  <c r="J158" i="26"/>
  <c r="T157" i="26" s="1"/>
  <c r="F11" i="25"/>
  <c r="G11" i="25"/>
  <c r="L112" i="26" l="1"/>
  <c r="K117" i="26"/>
  <c r="M150" i="26"/>
  <c r="L155" i="26"/>
  <c r="K159" i="26"/>
  <c r="U158" i="26" s="1"/>
  <c r="U156" i="26"/>
  <c r="K158" i="26"/>
  <c r="U157" i="26" s="1"/>
  <c r="E44" i="26"/>
  <c r="E45" i="26" s="1"/>
  <c r="D45" i="26"/>
  <c r="J79" i="26"/>
  <c r="J87" i="26" l="1"/>
  <c r="J88" i="26" s="1"/>
  <c r="J80" i="26"/>
  <c r="K78" i="26" s="1"/>
  <c r="N150" i="26"/>
  <c r="N155" i="26" s="1"/>
  <c r="M155" i="26"/>
  <c r="J96" i="26"/>
  <c r="J97" i="26" s="1"/>
  <c r="F40" i="26"/>
  <c r="F42" i="26"/>
  <c r="F43" i="26"/>
  <c r="F39" i="26"/>
  <c r="F41" i="26"/>
  <c r="F44" i="26"/>
  <c r="L159" i="26"/>
  <c r="V158" i="26" s="1"/>
  <c r="V156" i="26"/>
  <c r="L158" i="26"/>
  <c r="V157" i="26" s="1"/>
  <c r="L113" i="26"/>
  <c r="L114" i="26" s="1"/>
  <c r="M112" i="26" s="1"/>
  <c r="L13" i="17"/>
  <c r="K13" i="17"/>
  <c r="L12" i="17"/>
  <c r="K12" i="17"/>
  <c r="J13" i="17"/>
  <c r="J12" i="17"/>
  <c r="F60" i="25"/>
  <c r="AT36" i="12"/>
  <c r="AU36" i="12"/>
  <c r="AV36" i="12"/>
  <c r="AW36" i="12"/>
  <c r="AX36" i="12"/>
  <c r="AS36" i="12"/>
  <c r="M158" i="26" l="1"/>
  <c r="W157" i="26" s="1"/>
  <c r="M159" i="26"/>
  <c r="W156" i="26"/>
  <c r="J91" i="26"/>
  <c r="K86" i="26"/>
  <c r="K94" i="26"/>
  <c r="J100" i="26"/>
  <c r="J105" i="26"/>
  <c r="J106" i="26" s="1"/>
  <c r="K83" i="26"/>
  <c r="M113" i="26"/>
  <c r="M114" i="26" s="1"/>
  <c r="N160" i="26"/>
  <c r="N158" i="26"/>
  <c r="X157" i="26" s="1"/>
  <c r="X156" i="26"/>
  <c r="N159" i="26"/>
  <c r="N161" i="26"/>
  <c r="L117" i="26"/>
  <c r="F45" i="26"/>
  <c r="F59" i="25"/>
  <c r="B62" i="25"/>
  <c r="AT35" i="12"/>
  <c r="AU35" i="12"/>
  <c r="AV35" i="12"/>
  <c r="AW35" i="12"/>
  <c r="AX35" i="12"/>
  <c r="AS35" i="12"/>
  <c r="N112" i="26" l="1"/>
  <c r="M117" i="26"/>
  <c r="G172" i="26"/>
  <c r="X158" i="26"/>
  <c r="K95" i="26"/>
  <c r="K73" i="26" s="1"/>
  <c r="K103" i="26"/>
  <c r="J109" i="26"/>
  <c r="J120" i="26"/>
  <c r="J137" i="26" s="1"/>
  <c r="J138" i="26" s="1"/>
  <c r="J121" i="26"/>
  <c r="J122" i="26" s="1"/>
  <c r="D165" i="26"/>
  <c r="W158" i="26"/>
  <c r="K135" i="26" l="1"/>
  <c r="J123" i="26"/>
  <c r="K104" i="26"/>
  <c r="N113" i="26"/>
  <c r="N114" i="26" s="1"/>
  <c r="N117" i="26" s="1"/>
  <c r="H213" i="6"/>
  <c r="AH104" i="12"/>
  <c r="AG104" i="12"/>
  <c r="AG105" i="12"/>
  <c r="AH103" i="12"/>
  <c r="AG103" i="12"/>
  <c r="AF103" i="12" s="1"/>
  <c r="AH102" i="12"/>
  <c r="AF102" i="12" s="1"/>
  <c r="AG102" i="12"/>
  <c r="AH101" i="12"/>
  <c r="AF101" i="12" s="1"/>
  <c r="AG101" i="12"/>
  <c r="AF100" i="12"/>
  <c r="AC88" i="12"/>
  <c r="AD88" i="12" s="1"/>
  <c r="AE88" i="12" s="1"/>
  <c r="AF88" i="12" s="1"/>
  <c r="AG88" i="12" s="1"/>
  <c r="AH88" i="12" s="1"/>
  <c r="AI88" i="12" s="1"/>
  <c r="AJ88" i="12" s="1"/>
  <c r="AK88" i="12" s="1"/>
  <c r="BO53" i="12"/>
  <c r="BP53" i="12"/>
  <c r="BQ53" i="12"/>
  <c r="BR53" i="12"/>
  <c r="BS53" i="12"/>
  <c r="BN53" i="12"/>
  <c r="BC70" i="12"/>
  <c r="AX70" i="12"/>
  <c r="BC73" i="12"/>
  <c r="BC74" i="12"/>
  <c r="BC76" i="12"/>
  <c r="AY72" i="12"/>
  <c r="AZ72" i="12"/>
  <c r="BA72" i="12"/>
  <c r="BC72" i="12"/>
  <c r="AY73" i="12"/>
  <c r="AZ73" i="12"/>
  <c r="BA73" i="12"/>
  <c r="AY74" i="12"/>
  <c r="AZ74" i="12"/>
  <c r="BA74" i="12"/>
  <c r="AZ75" i="12"/>
  <c r="BA75" i="12"/>
  <c r="AY76" i="12"/>
  <c r="AZ76" i="12"/>
  <c r="BA76" i="12"/>
  <c r="AX72" i="12"/>
  <c r="AX73" i="12"/>
  <c r="AX74" i="12"/>
  <c r="AX76" i="12"/>
  <c r="AE53" i="12"/>
  <c r="E336" i="12"/>
  <c r="F336" i="12" s="1"/>
  <c r="G336" i="12" s="1"/>
  <c r="H336" i="12" s="1"/>
  <c r="K71" i="26" l="1"/>
  <c r="K75" i="26" s="1"/>
  <c r="AF104" i="12"/>
  <c r="AF105" i="12" s="1"/>
  <c r="O54" i="22"/>
  <c r="O53" i="22"/>
  <c r="M54" i="22"/>
  <c r="M53" i="22"/>
  <c r="O46" i="22"/>
  <c r="O45" i="22"/>
  <c r="L33" i="22"/>
  <c r="G33" i="22"/>
  <c r="F33" i="22"/>
  <c r="N24" i="22"/>
  <c r="N25" i="22"/>
  <c r="N26" i="22"/>
  <c r="N27" i="22"/>
  <c r="N28" i="22"/>
  <c r="N29" i="22"/>
  <c r="N38" i="22" s="1"/>
  <c r="N23" i="22"/>
  <c r="C33" i="22"/>
  <c r="B33" i="22"/>
  <c r="H33" i="22"/>
  <c r="N37" i="22"/>
  <c r="L24" i="22"/>
  <c r="L25" i="22"/>
  <c r="L26" i="22"/>
  <c r="L27" i="22"/>
  <c r="L28" i="22"/>
  <c r="L29" i="22"/>
  <c r="L23" i="22"/>
  <c r="G24" i="22"/>
  <c r="G25" i="22"/>
  <c r="G26" i="22"/>
  <c r="G27" i="22"/>
  <c r="G28" i="22"/>
  <c r="M28" i="22" s="1"/>
  <c r="O28" i="22" s="1"/>
  <c r="G29" i="22"/>
  <c r="G23" i="22"/>
  <c r="C24" i="22"/>
  <c r="C25" i="22"/>
  <c r="C26" i="22"/>
  <c r="C27" i="22"/>
  <c r="C28" i="22"/>
  <c r="C29" i="22"/>
  <c r="C23" i="22"/>
  <c r="B24" i="22"/>
  <c r="B25" i="22"/>
  <c r="B26" i="22"/>
  <c r="B27" i="22"/>
  <c r="B28" i="22"/>
  <c r="B29" i="22"/>
  <c r="B23" i="22"/>
  <c r="M47" i="22"/>
  <c r="N46" i="22" s="1"/>
  <c r="N34" i="22"/>
  <c r="M27" i="22"/>
  <c r="G6" i="22"/>
  <c r="H6" i="22" s="1"/>
  <c r="I6" i="22" s="1"/>
  <c r="J6" i="22" s="1"/>
  <c r="K6" i="22" s="1"/>
  <c r="L6" i="22" s="1"/>
  <c r="M6" i="22" s="1"/>
  <c r="N6" i="22" s="1"/>
  <c r="O6" i="22" s="1"/>
  <c r="G1" i="22"/>
  <c r="H1" i="22" s="1"/>
  <c r="I1" i="22" s="1"/>
  <c r="J1" i="22" s="1"/>
  <c r="K1" i="22" s="1"/>
  <c r="L1" i="22" s="1"/>
  <c r="M1" i="22" s="1"/>
  <c r="N1" i="22" s="1"/>
  <c r="O1" i="22" s="1"/>
  <c r="G18" i="20"/>
  <c r="H18" i="20" s="1"/>
  <c r="I18" i="20" s="1"/>
  <c r="J18" i="20" s="1"/>
  <c r="K18" i="20" s="1"/>
  <c r="L18" i="20" s="1"/>
  <c r="M18" i="20" s="1"/>
  <c r="N18" i="20" s="1"/>
  <c r="O18" i="20" s="1"/>
  <c r="G14" i="20"/>
  <c r="H14" i="20"/>
  <c r="I14" i="20"/>
  <c r="J14" i="20"/>
  <c r="F14" i="20"/>
  <c r="F2" i="21"/>
  <c r="G2" i="21" s="1"/>
  <c r="H2" i="21" s="1"/>
  <c r="I2" i="21" s="1"/>
  <c r="J2" i="21" s="1"/>
  <c r="E2" i="21"/>
  <c r="G8" i="20"/>
  <c r="H8" i="20" s="1"/>
  <c r="I8" i="20" s="1"/>
  <c r="J8" i="20" s="1"/>
  <c r="K8" i="20" s="1"/>
  <c r="L8" i="20" s="1"/>
  <c r="M8" i="20" s="1"/>
  <c r="N8" i="20" s="1"/>
  <c r="O8" i="20" s="1"/>
  <c r="G26" i="20"/>
  <c r="H26" i="20" s="1"/>
  <c r="I26" i="20" s="1"/>
  <c r="J26" i="20" s="1"/>
  <c r="K26" i="20" s="1"/>
  <c r="L26" i="20" s="1"/>
  <c r="M26" i="20" s="1"/>
  <c r="N26" i="20" s="1"/>
  <c r="O26" i="20" s="1"/>
  <c r="L28" i="20"/>
  <c r="M28" i="20" s="1"/>
  <c r="N28" i="20" s="1"/>
  <c r="O28" i="20" s="1"/>
  <c r="G6" i="20"/>
  <c r="H6" i="20" s="1"/>
  <c r="I6" i="20" s="1"/>
  <c r="J6" i="20" s="1"/>
  <c r="K6" i="20" s="1"/>
  <c r="L6" i="20" s="1"/>
  <c r="M6" i="20" s="1"/>
  <c r="N6" i="20" s="1"/>
  <c r="O6" i="20" s="1"/>
  <c r="G1" i="20"/>
  <c r="H1" i="20" s="1"/>
  <c r="I1" i="20" s="1"/>
  <c r="J1" i="20" s="1"/>
  <c r="K1" i="20" s="1"/>
  <c r="L1" i="20" s="1"/>
  <c r="M1" i="20" s="1"/>
  <c r="N1" i="20" s="1"/>
  <c r="O1" i="20" s="1"/>
  <c r="G14" i="19"/>
  <c r="H14" i="19" s="1"/>
  <c r="I14" i="19" s="1"/>
  <c r="J14" i="19" s="1"/>
  <c r="K14" i="19" s="1"/>
  <c r="L14" i="19" s="1"/>
  <c r="M14" i="19" s="1"/>
  <c r="N14" i="19" s="1"/>
  <c r="O14" i="19" s="1"/>
  <c r="G8" i="19"/>
  <c r="H8" i="19" s="1"/>
  <c r="I8" i="19" s="1"/>
  <c r="J8" i="19" s="1"/>
  <c r="K8" i="19" s="1"/>
  <c r="L8" i="19" s="1"/>
  <c r="M8" i="19" s="1"/>
  <c r="N8" i="19" s="1"/>
  <c r="O8" i="19" s="1"/>
  <c r="G6" i="19"/>
  <c r="H6" i="19" s="1"/>
  <c r="I6" i="19" s="1"/>
  <c r="J6" i="19" s="1"/>
  <c r="K6" i="19" s="1"/>
  <c r="L6" i="19" s="1"/>
  <c r="M6" i="19" s="1"/>
  <c r="N6" i="19" s="1"/>
  <c r="O6" i="19" s="1"/>
  <c r="G1" i="19"/>
  <c r="H1" i="19" s="1"/>
  <c r="I1" i="19" s="1"/>
  <c r="J1" i="19" s="1"/>
  <c r="K1" i="19" s="1"/>
  <c r="L1" i="19" s="1"/>
  <c r="M1" i="19" s="1"/>
  <c r="N1" i="19" s="1"/>
  <c r="O1" i="19" s="1"/>
  <c r="K79" i="26" l="1"/>
  <c r="N54" i="22"/>
  <c r="M55" i="22"/>
  <c r="N45" i="22"/>
  <c r="N53" i="22" s="1"/>
  <c r="N55" i="22" s="1"/>
  <c r="M26" i="22"/>
  <c r="O26" i="22" s="1"/>
  <c r="M24" i="22"/>
  <c r="O24" i="22" s="1"/>
  <c r="O55" i="22"/>
  <c r="D14" i="22" s="1"/>
  <c r="O47" i="22"/>
  <c r="D13" i="22" s="1"/>
  <c r="M25" i="22"/>
  <c r="O25" i="22" s="1"/>
  <c r="M23" i="22"/>
  <c r="O23" i="22" s="1"/>
  <c r="M29" i="22"/>
  <c r="O29" i="22" s="1"/>
  <c r="O27" i="22"/>
  <c r="F31" i="22"/>
  <c r="F30" i="22"/>
  <c r="K87" i="26" l="1"/>
  <c r="K88" i="26" s="1"/>
  <c r="K80" i="26"/>
  <c r="L78" i="26" s="1"/>
  <c r="K96" i="26"/>
  <c r="N47" i="22"/>
  <c r="M30" i="22"/>
  <c r="M31" i="22"/>
  <c r="M38" i="22" s="1"/>
  <c r="O30" i="22"/>
  <c r="O31" i="22"/>
  <c r="L38" i="22" s="1"/>
  <c r="K97" i="26" l="1"/>
  <c r="K105" i="26"/>
  <c r="K106" i="26" s="1"/>
  <c r="K120" i="26"/>
  <c r="K137" i="26" s="1"/>
  <c r="K138" i="26" s="1"/>
  <c r="L83" i="26"/>
  <c r="K91" i="26"/>
  <c r="L86" i="26"/>
  <c r="O38" i="22"/>
  <c r="AL84" i="12"/>
  <c r="AC78" i="12"/>
  <c r="AD78" i="12"/>
  <c r="AE78" i="12" s="1"/>
  <c r="AF78" i="12" s="1"/>
  <c r="AG78" i="12" s="1"/>
  <c r="AH78" i="12" s="1"/>
  <c r="AI78" i="12" s="1"/>
  <c r="AJ78" i="12" s="1"/>
  <c r="AK78" i="12" s="1"/>
  <c r="AL78" i="12" s="1"/>
  <c r="AC74" i="12"/>
  <c r="AD74" i="12" s="1"/>
  <c r="AE74" i="12" s="1"/>
  <c r="AF74" i="12" s="1"/>
  <c r="AG74" i="12" s="1"/>
  <c r="E364" i="12"/>
  <c r="D47" i="18"/>
  <c r="C47" i="18"/>
  <c r="J33" i="18"/>
  <c r="K33" i="18"/>
  <c r="J34" i="18"/>
  <c r="K34" i="18"/>
  <c r="J35" i="18"/>
  <c r="K35" i="18"/>
  <c r="K32" i="18"/>
  <c r="J32" i="18"/>
  <c r="K36" i="18"/>
  <c r="K37" i="18"/>
  <c r="J36" i="18"/>
  <c r="J37" i="18"/>
  <c r="D39" i="18"/>
  <c r="D40" i="18"/>
  <c r="C40" i="18"/>
  <c r="C39" i="18"/>
  <c r="D41" i="18"/>
  <c r="C41" i="18"/>
  <c r="L18" i="18"/>
  <c r="M18" i="18"/>
  <c r="N18" i="18"/>
  <c r="O18" i="18"/>
  <c r="K18" i="18"/>
  <c r="I19" i="18"/>
  <c r="J19" i="18"/>
  <c r="H19" i="18"/>
  <c r="L135" i="26" l="1"/>
  <c r="K123" i="26"/>
  <c r="L103" i="26"/>
  <c r="K109" i="26"/>
  <c r="L94" i="26"/>
  <c r="K100" i="26"/>
  <c r="K121" i="26" s="1"/>
  <c r="K122" i="26" s="1"/>
  <c r="AA49" i="12" a="1"/>
  <c r="AA49" i="12" s="1"/>
  <c r="E332" i="12"/>
  <c r="F332" i="12"/>
  <c r="G332" i="12" s="1"/>
  <c r="H332" i="12" s="1"/>
  <c r="I332" i="12" s="1"/>
  <c r="E328" i="12"/>
  <c r="F328" i="12"/>
  <c r="G328" i="12"/>
  <c r="H328" i="12" s="1"/>
  <c r="I328" i="12" s="1"/>
  <c r="E324" i="12"/>
  <c r="F324" i="12" s="1"/>
  <c r="G324" i="12" s="1"/>
  <c r="H324" i="12" s="1"/>
  <c r="E299" i="12"/>
  <c r="F299" i="12" s="1"/>
  <c r="G299" i="12" s="1"/>
  <c r="H299" i="12" s="1"/>
  <c r="I299" i="12" s="1"/>
  <c r="E295" i="12"/>
  <c r="F295" i="12" s="1"/>
  <c r="G295" i="12" s="1"/>
  <c r="H295" i="12" s="1"/>
  <c r="I295" i="12" s="1"/>
  <c r="F292" i="12"/>
  <c r="G292" i="12" s="1"/>
  <c r="H292" i="12" s="1"/>
  <c r="I292" i="12" s="1"/>
  <c r="J292" i="12" s="1"/>
  <c r="K292" i="12" s="1"/>
  <c r="L292" i="12" s="1"/>
  <c r="M292" i="12" s="1"/>
  <c r="R75" i="3"/>
  <c r="S75" i="3"/>
  <c r="T75" i="3"/>
  <c r="U75" i="3"/>
  <c r="AK77" i="3" s="1"/>
  <c r="V75" i="3"/>
  <c r="W75" i="3"/>
  <c r="X75" i="3"/>
  <c r="AN77" i="3" s="1"/>
  <c r="Y75" i="3"/>
  <c r="Z75" i="3"/>
  <c r="AL77" i="3" s="1"/>
  <c r="AL75" i="3" s="1"/>
  <c r="AL74" i="3" s="1"/>
  <c r="AA75" i="3"/>
  <c r="AM77" i="3" s="1"/>
  <c r="AM75" i="3" s="1"/>
  <c r="AM74" i="3" s="1"/>
  <c r="AB75" i="3"/>
  <c r="AC75" i="3"/>
  <c r="AD75" i="3"/>
  <c r="AE75" i="3"/>
  <c r="AF75" i="3"/>
  <c r="AG75" i="3"/>
  <c r="AH75" i="3"/>
  <c r="AI75" i="3"/>
  <c r="AJ75" i="3"/>
  <c r="T98" i="12"/>
  <c r="T14" i="12"/>
  <c r="U14" i="12"/>
  <c r="V14" i="12"/>
  <c r="T15" i="12"/>
  <c r="U15" i="12"/>
  <c r="V15" i="12"/>
  <c r="S15" i="12"/>
  <c r="S14" i="12"/>
  <c r="H22" i="16"/>
  <c r="I22" i="16"/>
  <c r="J22" i="16"/>
  <c r="K22" i="16"/>
  <c r="L22" i="16"/>
  <c r="M22" i="16"/>
  <c r="N22" i="16"/>
  <c r="O22" i="16"/>
  <c r="H23" i="16"/>
  <c r="I23" i="16"/>
  <c r="J23" i="16"/>
  <c r="K23" i="16"/>
  <c r="L23" i="16"/>
  <c r="M23" i="16"/>
  <c r="N23" i="16"/>
  <c r="O23" i="16"/>
  <c r="G23" i="16"/>
  <c r="G22" i="16"/>
  <c r="T21" i="14"/>
  <c r="T20" i="14"/>
  <c r="O13" i="16"/>
  <c r="N13" i="16"/>
  <c r="M13" i="16"/>
  <c r="L13" i="16"/>
  <c r="K13" i="16"/>
  <c r="J13" i="16"/>
  <c r="I13" i="16"/>
  <c r="H13" i="16"/>
  <c r="G13" i="16"/>
  <c r="I10" i="16"/>
  <c r="I9" i="16"/>
  <c r="I8" i="16"/>
  <c r="I7" i="16"/>
  <c r="I6" i="16"/>
  <c r="I5" i="16"/>
  <c r="I4" i="16"/>
  <c r="H8" i="16"/>
  <c r="H6" i="16"/>
  <c r="H5" i="16"/>
  <c r="H4" i="16"/>
  <c r="L95" i="26" l="1"/>
  <c r="L73" i="26" s="1"/>
  <c r="L71" i="26"/>
  <c r="L104" i="26"/>
  <c r="AK76" i="3"/>
  <c r="AK75" i="3"/>
  <c r="AK74" i="3" s="1"/>
  <c r="AR77" i="3"/>
  <c r="AN78" i="3"/>
  <c r="AN76" i="3"/>
  <c r="AN75" i="3"/>
  <c r="AN74" i="3" s="1"/>
  <c r="AL78" i="3"/>
  <c r="AP77" i="3"/>
  <c r="AL76" i="3"/>
  <c r="AM78" i="3"/>
  <c r="AQ77" i="3"/>
  <c r="AM76" i="3"/>
  <c r="AK78" i="3"/>
  <c r="AO77" i="3"/>
  <c r="Y23" i="12"/>
  <c r="Y22" i="12"/>
  <c r="L75" i="26" l="1"/>
  <c r="L79" i="26" s="1"/>
  <c r="AQ76" i="3"/>
  <c r="AU77" i="3"/>
  <c r="AQ78" i="3"/>
  <c r="AQ75" i="3"/>
  <c r="AQ74" i="3" s="1"/>
  <c r="AR76" i="3"/>
  <c r="AV77" i="3"/>
  <c r="AR78" i="3"/>
  <c r="AR75" i="3"/>
  <c r="AR74" i="3" s="1"/>
  <c r="AP76" i="3"/>
  <c r="AT77" i="3"/>
  <c r="AP78" i="3"/>
  <c r="AP75" i="3"/>
  <c r="AP74" i="3" s="1"/>
  <c r="AO76" i="3"/>
  <c r="AO75" i="3"/>
  <c r="AO74" i="3" s="1"/>
  <c r="AS77" i="3"/>
  <c r="AO78" i="3"/>
  <c r="W52" i="12"/>
  <c r="U52" i="12"/>
  <c r="X82" i="12"/>
  <c r="Y21" i="12" s="1"/>
  <c r="X81" i="12"/>
  <c r="R73" i="12"/>
  <c r="R54" i="12"/>
  <c r="V52" i="12"/>
  <c r="D73" i="13"/>
  <c r="B70" i="13"/>
  <c r="P68" i="13"/>
  <c r="N68" i="13"/>
  <c r="L68" i="13"/>
  <c r="J68" i="13"/>
  <c r="H68" i="13"/>
  <c r="B50" i="13"/>
  <c r="B31" i="13"/>
  <c r="U26" i="13"/>
  <c r="L87" i="26" l="1"/>
  <c r="L88" i="26" s="1"/>
  <c r="L80" i="26"/>
  <c r="M78" i="26" s="1"/>
  <c r="L96" i="26"/>
  <c r="L97" i="26" s="1"/>
  <c r="AT75" i="3"/>
  <c r="AT74" i="3" s="1"/>
  <c r="AT76" i="3"/>
  <c r="AX77" i="3"/>
  <c r="AT78" i="3"/>
  <c r="AS76" i="3"/>
  <c r="AW77" i="3"/>
  <c r="AS78" i="3"/>
  <c r="AS75" i="3"/>
  <c r="AS74" i="3" s="1"/>
  <c r="AV76" i="3"/>
  <c r="AZ77" i="3"/>
  <c r="AV78" i="3"/>
  <c r="AV75" i="3"/>
  <c r="AV74" i="3" s="1"/>
  <c r="X91" i="12"/>
  <c r="Y20" i="12"/>
  <c r="Y24" i="12" s="1"/>
  <c r="AU75" i="3"/>
  <c r="AU74" i="3" s="1"/>
  <c r="AU76" i="3"/>
  <c r="AY77" i="3"/>
  <c r="AU78" i="3"/>
  <c r="E20" i="12"/>
  <c r="F20" i="12" s="1"/>
  <c r="G20" i="12" s="1"/>
  <c r="H20" i="12" s="1"/>
  <c r="I20" i="12" s="1"/>
  <c r="E19" i="12"/>
  <c r="F19" i="12" s="1"/>
  <c r="G19" i="12" s="1"/>
  <c r="H19" i="12" s="1"/>
  <c r="I19" i="12" s="1"/>
  <c r="F13" i="12"/>
  <c r="G13" i="12" s="1"/>
  <c r="H13" i="12" s="1"/>
  <c r="F8" i="12"/>
  <c r="G8" i="12" s="1"/>
  <c r="H8" i="12" s="1"/>
  <c r="E4" i="12"/>
  <c r="F4" i="12" s="1"/>
  <c r="G4" i="12" s="1"/>
  <c r="AJ227" i="7"/>
  <c r="J227" i="7" s="1"/>
  <c r="AI227" i="7"/>
  <c r="AH227" i="7"/>
  <c r="AG227" i="7"/>
  <c r="AF227" i="7"/>
  <c r="AE227" i="7"/>
  <c r="AD227" i="7"/>
  <c r="AC227" i="7"/>
  <c r="AB227" i="7"/>
  <c r="H227" i="7" s="1"/>
  <c r="AA227" i="7"/>
  <c r="Z227" i="7"/>
  <c r="Y227" i="7"/>
  <c r="X227" i="7"/>
  <c r="W227" i="7"/>
  <c r="V227" i="7"/>
  <c r="U227" i="7"/>
  <c r="T227" i="7"/>
  <c r="S227" i="7"/>
  <c r="R227" i="7"/>
  <c r="Q227" i="7"/>
  <c r="AJ83" i="2"/>
  <c r="AK83" i="2" s="1"/>
  <c r="AL83" i="2" s="1"/>
  <c r="AM83" i="2" s="1"/>
  <c r="AN83" i="2" s="1"/>
  <c r="AO83" i="2" s="1"/>
  <c r="AP83" i="2" s="1"/>
  <c r="AQ83" i="2" s="1"/>
  <c r="AR83" i="2" s="1"/>
  <c r="AS83" i="2" s="1"/>
  <c r="AT83" i="2" s="1"/>
  <c r="AU83" i="2" s="1"/>
  <c r="AV83" i="2" s="1"/>
  <c r="AW83" i="2" s="1"/>
  <c r="AX83" i="2" s="1"/>
  <c r="AY83" i="2" s="1"/>
  <c r="AZ83" i="2" s="1"/>
  <c r="BA83" i="2" s="1"/>
  <c r="BB83" i="2" s="1"/>
  <c r="BC83" i="2" s="1"/>
  <c r="AB124" i="10"/>
  <c r="AC121" i="10" s="1"/>
  <c r="AC124" i="10" s="1"/>
  <c r="AB118" i="10"/>
  <c r="AC114" i="10" s="1"/>
  <c r="H95" i="10"/>
  <c r="H99" i="10" s="1"/>
  <c r="H103" i="10" s="1"/>
  <c r="H107" i="10" s="1"/>
  <c r="H94" i="10"/>
  <c r="H98" i="10" s="1"/>
  <c r="H102" i="10" s="1"/>
  <c r="H106" i="10" s="1"/>
  <c r="H93" i="10"/>
  <c r="H97" i="10" s="1"/>
  <c r="H101" i="10" s="1"/>
  <c r="H105" i="10" s="1"/>
  <c r="H92" i="10"/>
  <c r="H96" i="10" s="1"/>
  <c r="H100" i="10" s="1"/>
  <c r="H104" i="10" s="1"/>
  <c r="B88" i="10" a="1"/>
  <c r="G91" i="10" s="1"/>
  <c r="H59" i="10"/>
  <c r="H63" i="10" s="1"/>
  <c r="H67" i="10" s="1"/>
  <c r="H71" i="10" s="1"/>
  <c r="H60" i="10"/>
  <c r="H64" i="10" s="1"/>
  <c r="H68" i="10" s="1"/>
  <c r="H72" i="10" s="1"/>
  <c r="H61" i="10"/>
  <c r="H65" i="10" s="1"/>
  <c r="H69" i="10" s="1"/>
  <c r="H73" i="10" s="1"/>
  <c r="H58" i="10"/>
  <c r="H62" i="10" s="1"/>
  <c r="H66" i="10" s="1"/>
  <c r="H70" i="10" s="1"/>
  <c r="B54" i="10" a="1"/>
  <c r="G60" i="10" s="1"/>
  <c r="AC20" i="10"/>
  <c r="B200" i="2"/>
  <c r="B199" i="2"/>
  <c r="B191" i="2"/>
  <c r="B190" i="2"/>
  <c r="B189" i="2"/>
  <c r="L91" i="26" l="1"/>
  <c r="M86" i="26"/>
  <c r="M94" i="26"/>
  <c r="L100" i="26"/>
  <c r="L105" i="26"/>
  <c r="M83" i="26"/>
  <c r="G95" i="10"/>
  <c r="AW75" i="3"/>
  <c r="AW74" i="3" s="1"/>
  <c r="BA77" i="3"/>
  <c r="AW76" i="3"/>
  <c r="AW78" i="3"/>
  <c r="AY76" i="3"/>
  <c r="BC77" i="3"/>
  <c r="AY78" i="3"/>
  <c r="AY75" i="3"/>
  <c r="AY74" i="3" s="1"/>
  <c r="AZ76" i="3"/>
  <c r="BD77" i="3"/>
  <c r="AZ78" i="3"/>
  <c r="AZ75" i="3"/>
  <c r="AZ74" i="3" s="1"/>
  <c r="AX76" i="3"/>
  <c r="BB77" i="3"/>
  <c r="AX78" i="3"/>
  <c r="AX75" i="3"/>
  <c r="AX74" i="3" s="1"/>
  <c r="AD121" i="10"/>
  <c r="AD124" i="10" s="1"/>
  <c r="AJ128" i="2"/>
  <c r="F227" i="7"/>
  <c r="I227" i="7"/>
  <c r="G227" i="7"/>
  <c r="G98" i="10"/>
  <c r="G100" i="10"/>
  <c r="G64" i="10"/>
  <c r="G101" i="10"/>
  <c r="G62" i="10"/>
  <c r="G89" i="10"/>
  <c r="G102" i="10"/>
  <c r="G61" i="10"/>
  <c r="G90" i="10"/>
  <c r="G106" i="10"/>
  <c r="G63" i="10"/>
  <c r="G92" i="10"/>
  <c r="G107" i="10"/>
  <c r="B54" i="10"/>
  <c r="G54" i="10" s="1"/>
  <c r="G55" i="10"/>
  <c r="G67" i="10"/>
  <c r="G56" i="10"/>
  <c r="G68" i="10"/>
  <c r="G57" i="10"/>
  <c r="G69" i="10"/>
  <c r="G58" i="10"/>
  <c r="G70" i="10"/>
  <c r="G59" i="10"/>
  <c r="G73" i="10"/>
  <c r="G72" i="10"/>
  <c r="G71" i="10"/>
  <c r="G66" i="10"/>
  <c r="G65" i="10"/>
  <c r="G94" i="10"/>
  <c r="G96" i="10"/>
  <c r="G93" i="10"/>
  <c r="G99" i="10"/>
  <c r="G105" i="10"/>
  <c r="B88" i="10"/>
  <c r="G88" i="10" s="1"/>
  <c r="G97" i="10"/>
  <c r="G103" i="10"/>
  <c r="G104" i="10"/>
  <c r="L106" i="26" l="1"/>
  <c r="L120" i="26"/>
  <c r="L137" i="26" s="1"/>
  <c r="L138" i="26" s="1"/>
  <c r="M95" i="26"/>
  <c r="M73" i="26" s="1"/>
  <c r="BD78" i="3"/>
  <c r="BD76" i="3"/>
  <c r="BD75" i="3"/>
  <c r="BD74" i="3" s="1"/>
  <c r="BA75" i="3"/>
  <c r="BA74" i="3" s="1"/>
  <c r="BA76" i="3"/>
  <c r="BA78" i="3"/>
  <c r="BB75" i="3"/>
  <c r="BB74" i="3" s="1"/>
  <c r="BB76" i="3"/>
  <c r="BB78" i="3"/>
  <c r="BC75" i="3"/>
  <c r="BC74" i="3" s="1"/>
  <c r="BC76" i="3"/>
  <c r="BC78" i="3"/>
  <c r="AE121" i="10"/>
  <c r="AE124" i="10" s="1"/>
  <c r="AK128" i="2"/>
  <c r="M103" i="26" l="1"/>
  <c r="L109" i="26"/>
  <c r="L121" i="26" s="1"/>
  <c r="L122" i="26" s="1"/>
  <c r="M135" i="26"/>
  <c r="L123" i="26"/>
  <c r="AF121" i="10"/>
  <c r="AF124" i="10" s="1"/>
  <c r="AL128" i="2"/>
  <c r="M71" i="26" l="1"/>
  <c r="M75" i="26" s="1"/>
  <c r="M104" i="26"/>
  <c r="AG121" i="10"/>
  <c r="AG124" i="10" s="1"/>
  <c r="AM128" i="2"/>
  <c r="M79" i="26" l="1"/>
  <c r="AH121" i="10"/>
  <c r="AH124" i="10" s="1"/>
  <c r="AN128" i="2"/>
  <c r="M87" i="26" l="1"/>
  <c r="M88" i="26" s="1"/>
  <c r="M80" i="26"/>
  <c r="N78" i="26" s="1"/>
  <c r="M96" i="26"/>
  <c r="M97" i="26" s="1"/>
  <c r="M105" i="26"/>
  <c r="M106" i="26" s="1"/>
  <c r="AI121" i="10"/>
  <c r="AI124" i="10" s="1"/>
  <c r="AO128" i="2"/>
  <c r="B182" i="2"/>
  <c r="B180" i="2"/>
  <c r="B181" i="2"/>
  <c r="B179" i="2"/>
  <c r="B178" i="2"/>
  <c r="B172" i="2"/>
  <c r="B173" i="2"/>
  <c r="B174" i="2"/>
  <c r="B175" i="2"/>
  <c r="B176" i="2"/>
  <c r="B177" i="2"/>
  <c r="B171" i="2"/>
  <c r="B170" i="2"/>
  <c r="B169" i="2"/>
  <c r="B168" i="2"/>
  <c r="B167" i="2"/>
  <c r="B159" i="2"/>
  <c r="B160" i="2"/>
  <c r="B161" i="2"/>
  <c r="B162" i="2"/>
  <c r="B163" i="2"/>
  <c r="B164" i="2"/>
  <c r="B165" i="2"/>
  <c r="B166" i="2"/>
  <c r="B154" i="2"/>
  <c r="B155" i="2"/>
  <c r="B156" i="2"/>
  <c r="B157" i="2"/>
  <c r="B158" i="2"/>
  <c r="B153" i="2"/>
  <c r="B152" i="2"/>
  <c r="B149" i="2"/>
  <c r="B150" i="2"/>
  <c r="B148" i="2"/>
  <c r="B146" i="2"/>
  <c r="B147" i="2"/>
  <c r="B145" i="2"/>
  <c r="AJ222" i="7"/>
  <c r="J222" i="7" s="1"/>
  <c r="AI222" i="7"/>
  <c r="AH222" i="7"/>
  <c r="AG222" i="7"/>
  <c r="AF222" i="7"/>
  <c r="AE222" i="7"/>
  <c r="AD222" i="7"/>
  <c r="AC222" i="7"/>
  <c r="AB222" i="7"/>
  <c r="H222" i="7" s="1"/>
  <c r="AA222" i="7"/>
  <c r="Z222" i="7"/>
  <c r="Y222" i="7"/>
  <c r="X222" i="7"/>
  <c r="G222" i="7" s="1"/>
  <c r="W222" i="7"/>
  <c r="V222" i="7"/>
  <c r="U222" i="7"/>
  <c r="T222" i="7"/>
  <c r="S222" i="7"/>
  <c r="R222" i="7"/>
  <c r="Q222" i="7"/>
  <c r="AJ219" i="7"/>
  <c r="AI219" i="7"/>
  <c r="AH219" i="7"/>
  <c r="AG219" i="7"/>
  <c r="AF219" i="7"/>
  <c r="AE219" i="7"/>
  <c r="AD219" i="7"/>
  <c r="AC219" i="7"/>
  <c r="AB219" i="7"/>
  <c r="H219" i="7" s="1"/>
  <c r="AA219" i="7"/>
  <c r="Z219" i="7"/>
  <c r="Y219" i="7"/>
  <c r="X219" i="7"/>
  <c r="W219" i="7"/>
  <c r="V219" i="7"/>
  <c r="U219" i="7"/>
  <c r="T219" i="7"/>
  <c r="S219" i="7"/>
  <c r="R219" i="7"/>
  <c r="Q219" i="7"/>
  <c r="AJ216" i="7"/>
  <c r="AI216" i="7"/>
  <c r="AH216" i="7"/>
  <c r="AG216" i="7"/>
  <c r="AF216" i="7"/>
  <c r="AE216" i="7"/>
  <c r="AD216" i="7"/>
  <c r="AC216" i="7"/>
  <c r="AB216" i="7"/>
  <c r="H216" i="7" s="1"/>
  <c r="AA216" i="7"/>
  <c r="Z216" i="7"/>
  <c r="Y216" i="7"/>
  <c r="X216" i="7"/>
  <c r="G216" i="7" s="1"/>
  <c r="W216" i="7"/>
  <c r="V216" i="7"/>
  <c r="U216" i="7"/>
  <c r="T216" i="7"/>
  <c r="F216" i="7" s="1"/>
  <c r="S216" i="7"/>
  <c r="R216" i="7"/>
  <c r="Q216" i="7"/>
  <c r="AI208" i="2"/>
  <c r="AJ207" i="2" s="1"/>
  <c r="Q206" i="2"/>
  <c r="R206" i="2"/>
  <c r="S206" i="2"/>
  <c r="T206" i="2"/>
  <c r="U206" i="2"/>
  <c r="V206" i="2"/>
  <c r="W206" i="2"/>
  <c r="X206" i="2"/>
  <c r="Y206" i="2"/>
  <c r="Z206" i="2"/>
  <c r="AA206" i="2"/>
  <c r="AB206" i="2"/>
  <c r="AC206" i="2"/>
  <c r="AD206" i="2"/>
  <c r="AE206" i="2"/>
  <c r="AF206" i="2"/>
  <c r="AG206" i="2"/>
  <c r="AH206" i="2"/>
  <c r="AI206" i="2"/>
  <c r="P206" i="2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I11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I10" i="10"/>
  <c r="J6" i="10"/>
  <c r="K6" i="10" s="1"/>
  <c r="J1" i="10"/>
  <c r="K1" i="10" s="1"/>
  <c r="L1" i="10" s="1"/>
  <c r="M1" i="10" s="1"/>
  <c r="N1" i="10" s="1"/>
  <c r="O1" i="10" s="1"/>
  <c r="P1" i="10" s="1"/>
  <c r="Q1" i="10" s="1"/>
  <c r="R1" i="10" s="1"/>
  <c r="S1" i="10" s="1"/>
  <c r="T1" i="10" s="1"/>
  <c r="U1" i="10" s="1"/>
  <c r="V1" i="10" s="1"/>
  <c r="W1" i="10" s="1"/>
  <c r="X1" i="10" s="1"/>
  <c r="Y1" i="10" s="1"/>
  <c r="Z1" i="10" s="1"/>
  <c r="AA1" i="10" s="1"/>
  <c r="AB1" i="10" s="1"/>
  <c r="AC1" i="10" s="1"/>
  <c r="K101" i="9"/>
  <c r="K83" i="9"/>
  <c r="D89" i="9" s="1"/>
  <c r="K65" i="9"/>
  <c r="E110" i="9"/>
  <c r="L110" i="9" s="1"/>
  <c r="E111" i="9"/>
  <c r="K111" i="9" s="1"/>
  <c r="D99" i="9"/>
  <c r="B97" i="9"/>
  <c r="B108" i="9" a="1"/>
  <c r="B108" i="9" s="1"/>
  <c r="E108" i="9" s="1"/>
  <c r="D107" i="9"/>
  <c r="B107" i="9"/>
  <c r="E107" i="9" s="1"/>
  <c r="K93" i="9"/>
  <c r="E90" i="9"/>
  <c r="E93" i="9"/>
  <c r="M93" i="9" s="1"/>
  <c r="B89" i="9"/>
  <c r="E89" i="9" s="1"/>
  <c r="D81" i="9"/>
  <c r="B79" i="9"/>
  <c r="B90" i="9" a="1"/>
  <c r="B90" i="9" s="1"/>
  <c r="B72" i="9" a="1"/>
  <c r="B72" i="9" s="1"/>
  <c r="E72" i="9" s="1"/>
  <c r="B71" i="9"/>
  <c r="E71" i="9" s="1"/>
  <c r="K57" i="9"/>
  <c r="D63" i="9"/>
  <c r="E73" i="9" s="1"/>
  <c r="K73" i="9" s="1"/>
  <c r="B61" i="9"/>
  <c r="L30" i="9"/>
  <c r="M30" i="9" s="1"/>
  <c r="N30" i="9" s="1"/>
  <c r="O30" i="9" s="1"/>
  <c r="L33" i="9"/>
  <c r="M33" i="9" s="1"/>
  <c r="N33" i="9" s="1"/>
  <c r="O33" i="9" s="1"/>
  <c r="K30" i="9"/>
  <c r="K32" i="9"/>
  <c r="L32" i="9" s="1"/>
  <c r="M32" i="9" s="1"/>
  <c r="N32" i="9" s="1"/>
  <c r="O32" i="9" s="1"/>
  <c r="K33" i="9"/>
  <c r="H38" i="9"/>
  <c r="I38" i="9"/>
  <c r="J38" i="9"/>
  <c r="H39" i="9"/>
  <c r="I39" i="9"/>
  <c r="J39" i="9"/>
  <c r="H40" i="9"/>
  <c r="I40" i="9"/>
  <c r="J40" i="9"/>
  <c r="H41" i="9"/>
  <c r="I41" i="9"/>
  <c r="J41" i="9"/>
  <c r="H42" i="9"/>
  <c r="I42" i="9"/>
  <c r="J42" i="9"/>
  <c r="H43" i="9"/>
  <c r="I43" i="9"/>
  <c r="J43" i="9"/>
  <c r="H44" i="9"/>
  <c r="I44" i="9"/>
  <c r="J44" i="9"/>
  <c r="G39" i="9"/>
  <c r="G40" i="9"/>
  <c r="G41" i="9"/>
  <c r="G42" i="9"/>
  <c r="G43" i="9"/>
  <c r="G44" i="9"/>
  <c r="G38" i="9"/>
  <c r="G35" i="9"/>
  <c r="H35" i="9"/>
  <c r="I35" i="9"/>
  <c r="J35" i="9"/>
  <c r="F35" i="9"/>
  <c r="F22" i="9"/>
  <c r="G8" i="9"/>
  <c r="H8" i="9" s="1"/>
  <c r="I8" i="9" s="1"/>
  <c r="J8" i="9" s="1"/>
  <c r="K8" i="9" s="1"/>
  <c r="L8" i="9" s="1"/>
  <c r="M8" i="9" s="1"/>
  <c r="N8" i="9" s="1"/>
  <c r="O8" i="9" s="1"/>
  <c r="G1" i="9"/>
  <c r="H1" i="9" s="1"/>
  <c r="I1" i="9" s="1"/>
  <c r="J1" i="9" s="1"/>
  <c r="K1" i="9" s="1"/>
  <c r="L1" i="9" s="1"/>
  <c r="M1" i="9" s="1"/>
  <c r="N1" i="9" s="1"/>
  <c r="O1" i="9" s="1"/>
  <c r="G6" i="9"/>
  <c r="H6" i="9" s="1"/>
  <c r="I6" i="9" s="1"/>
  <c r="J6" i="9" s="1"/>
  <c r="K6" i="9" s="1"/>
  <c r="L6" i="9" s="1"/>
  <c r="M6" i="9" s="1"/>
  <c r="N6" i="9" s="1"/>
  <c r="O6" i="9" s="1"/>
  <c r="K42" i="8"/>
  <c r="D48" i="8"/>
  <c r="B49" i="8" a="1"/>
  <c r="B49" i="8" s="1"/>
  <c r="B48" i="8"/>
  <c r="B38" i="8"/>
  <c r="K34" i="8"/>
  <c r="H29" i="8"/>
  <c r="I29" i="8"/>
  <c r="J29" i="8"/>
  <c r="G29" i="8"/>
  <c r="G20" i="8"/>
  <c r="H20" i="8"/>
  <c r="I20" i="8"/>
  <c r="J20" i="8"/>
  <c r="F20" i="8"/>
  <c r="F15" i="8"/>
  <c r="D40" i="8" s="1"/>
  <c r="G8" i="8"/>
  <c r="H8" i="8" s="1"/>
  <c r="I8" i="8" s="1"/>
  <c r="J8" i="8" s="1"/>
  <c r="K8" i="8" s="1"/>
  <c r="L8" i="8" s="1"/>
  <c r="M8" i="8" s="1"/>
  <c r="N8" i="8" s="1"/>
  <c r="O8" i="8" s="1"/>
  <c r="N103" i="26" l="1"/>
  <c r="M109" i="26"/>
  <c r="N94" i="26"/>
  <c r="M100" i="26"/>
  <c r="M91" i="26"/>
  <c r="N86" i="26"/>
  <c r="N83" i="26"/>
  <c r="M120" i="26"/>
  <c r="M137" i="26" s="1"/>
  <c r="M138" i="26" s="1"/>
  <c r="L89" i="9"/>
  <c r="L107" i="9"/>
  <c r="M107" i="9"/>
  <c r="H51" i="9"/>
  <c r="E74" i="9"/>
  <c r="L74" i="9" s="1"/>
  <c r="L93" i="9"/>
  <c r="E112" i="9"/>
  <c r="K110" i="9"/>
  <c r="N107" i="9"/>
  <c r="E94" i="9"/>
  <c r="K94" i="9" s="1"/>
  <c r="O107" i="9"/>
  <c r="E109" i="9"/>
  <c r="K109" i="9" s="1"/>
  <c r="J49" i="9"/>
  <c r="E92" i="9"/>
  <c r="K107" i="9"/>
  <c r="M111" i="9"/>
  <c r="E76" i="9"/>
  <c r="M76" i="9" s="1"/>
  <c r="E91" i="9"/>
  <c r="K91" i="9" s="1"/>
  <c r="L111" i="9"/>
  <c r="E75" i="9"/>
  <c r="AJ121" i="10"/>
  <c r="AJ124" i="10" s="1"/>
  <c r="AP128" i="2"/>
  <c r="AD1" i="10"/>
  <c r="AC90" i="10"/>
  <c r="AC93" i="10"/>
  <c r="AC96" i="10"/>
  <c r="AC99" i="10"/>
  <c r="AC102" i="10"/>
  <c r="AC105" i="10"/>
  <c r="AC89" i="10"/>
  <c r="AC92" i="10"/>
  <c r="AC95" i="10"/>
  <c r="AC98" i="10"/>
  <c r="AC101" i="10"/>
  <c r="AC104" i="10"/>
  <c r="AC107" i="10"/>
  <c r="AC85" i="10"/>
  <c r="AC81" i="10"/>
  <c r="AC82" i="10"/>
  <c r="AC49" i="10"/>
  <c r="AC94" i="10"/>
  <c r="AC103" i="10"/>
  <c r="AC84" i="10"/>
  <c r="AC80" i="10"/>
  <c r="AC106" i="10"/>
  <c r="AC46" i="10"/>
  <c r="AC97" i="10"/>
  <c r="AC100" i="10"/>
  <c r="AC88" i="10"/>
  <c r="AC91" i="10"/>
  <c r="AC50" i="10"/>
  <c r="AC61" i="10"/>
  <c r="AC48" i="10"/>
  <c r="AC47" i="10"/>
  <c r="AC51" i="10"/>
  <c r="AC83" i="10"/>
  <c r="AC62" i="10"/>
  <c r="AC64" i="10"/>
  <c r="AC60" i="10"/>
  <c r="AC63" i="10"/>
  <c r="AC65" i="10"/>
  <c r="AC66" i="10"/>
  <c r="AC72" i="10"/>
  <c r="AC71" i="10"/>
  <c r="AC68" i="10"/>
  <c r="AC56" i="10"/>
  <c r="AC70" i="10"/>
  <c r="AC54" i="10"/>
  <c r="AC59" i="10"/>
  <c r="AC58" i="10"/>
  <c r="AC69" i="10"/>
  <c r="AC55" i="10"/>
  <c r="AC73" i="10"/>
  <c r="AC67" i="10"/>
  <c r="AC57" i="10"/>
  <c r="U12" i="10" a="1"/>
  <c r="U12" i="10" s="1"/>
  <c r="Z12" i="10" a="1"/>
  <c r="Z12" i="10" s="1"/>
  <c r="N12" i="10" a="1"/>
  <c r="N12" i="10" s="1"/>
  <c r="R12" i="10" a="1"/>
  <c r="R12" i="10" s="1"/>
  <c r="I12" i="10" a="1"/>
  <c r="I12" i="10" s="1"/>
  <c r="Y12" i="10" a="1"/>
  <c r="Y12" i="10" s="1"/>
  <c r="X12" i="10" a="1"/>
  <c r="X12" i="10" s="1"/>
  <c r="L12" i="10" a="1"/>
  <c r="L12" i="10" s="1"/>
  <c r="S12" i="10" a="1"/>
  <c r="S12" i="10" s="1"/>
  <c r="M12" i="10" a="1"/>
  <c r="M12" i="10" s="1"/>
  <c r="Q12" i="10" a="1"/>
  <c r="Q12" i="10" s="1"/>
  <c r="V12" i="10" a="1"/>
  <c r="V12" i="10" s="1"/>
  <c r="J12" i="10" a="1"/>
  <c r="J12" i="10" s="1"/>
  <c r="AB12" i="10" a="1"/>
  <c r="AB12" i="10" s="1"/>
  <c r="AC36" i="10" s="1"/>
  <c r="P12" i="10" a="1"/>
  <c r="P12" i="10" s="1"/>
  <c r="AA12" i="10" a="1"/>
  <c r="AA12" i="10" s="1"/>
  <c r="O12" i="10" a="1"/>
  <c r="O12" i="10" s="1"/>
  <c r="W12" i="10" a="1"/>
  <c r="W12" i="10" s="1"/>
  <c r="T12" i="10" a="1"/>
  <c r="T12" i="10" s="1"/>
  <c r="K12" i="10" a="1"/>
  <c r="K12" i="10" s="1"/>
  <c r="F222" i="7"/>
  <c r="I222" i="7"/>
  <c r="F219" i="7"/>
  <c r="I219" i="7"/>
  <c r="J219" i="7"/>
  <c r="G219" i="7"/>
  <c r="I216" i="7"/>
  <c r="J216" i="7"/>
  <c r="L6" i="10"/>
  <c r="K4" i="10"/>
  <c r="J4" i="10"/>
  <c r="K89" i="9"/>
  <c r="O89" i="9"/>
  <c r="N89" i="9"/>
  <c r="M89" i="9"/>
  <c r="D71" i="9"/>
  <c r="H49" i="9"/>
  <c r="I51" i="9"/>
  <c r="J48" i="9"/>
  <c r="I49" i="9"/>
  <c r="G50" i="9"/>
  <c r="G51" i="9"/>
  <c r="H48" i="9"/>
  <c r="J51" i="9"/>
  <c r="G48" i="9"/>
  <c r="G49" i="9"/>
  <c r="J50" i="9"/>
  <c r="I50" i="9"/>
  <c r="H50" i="9"/>
  <c r="I48" i="9"/>
  <c r="J45" i="9"/>
  <c r="J22" i="9" s="1"/>
  <c r="G45" i="9"/>
  <c r="I45" i="9"/>
  <c r="H45" i="9"/>
  <c r="E50" i="8"/>
  <c r="E49" i="8"/>
  <c r="E51" i="8"/>
  <c r="E52" i="8"/>
  <c r="E53" i="8"/>
  <c r="E48" i="8"/>
  <c r="M121" i="26" l="1"/>
  <c r="M122" i="26" s="1"/>
  <c r="N95" i="26"/>
  <c r="N73" i="26" s="1"/>
  <c r="N135" i="26"/>
  <c r="M123" i="26"/>
  <c r="N104" i="26"/>
  <c r="K75" i="9"/>
  <c r="L75" i="9"/>
  <c r="M75" i="9"/>
  <c r="K74" i="9"/>
  <c r="N76" i="9"/>
  <c r="K76" i="9"/>
  <c r="L76" i="9"/>
  <c r="L94" i="9"/>
  <c r="N94" i="9"/>
  <c r="AC75" i="10"/>
  <c r="M94" i="9"/>
  <c r="L92" i="9"/>
  <c r="K92" i="9"/>
  <c r="K112" i="9"/>
  <c r="L112" i="9"/>
  <c r="M112" i="9"/>
  <c r="N112" i="9"/>
  <c r="AK121" i="10"/>
  <c r="AK124" i="10" s="1"/>
  <c r="AQ128" i="2"/>
  <c r="AC10" i="10"/>
  <c r="AJ103" i="2" s="1"/>
  <c r="AC38" i="10"/>
  <c r="AC109" i="10"/>
  <c r="AJ36" i="2" s="1"/>
  <c r="AE1" i="10"/>
  <c r="AD84" i="10"/>
  <c r="AD82" i="10"/>
  <c r="AD93" i="10"/>
  <c r="AD102" i="10"/>
  <c r="AD85" i="10"/>
  <c r="AD46" i="10"/>
  <c r="AD49" i="10"/>
  <c r="AD94" i="10"/>
  <c r="AD95" i="10"/>
  <c r="AD103" i="10"/>
  <c r="AD104" i="10"/>
  <c r="AD96" i="10"/>
  <c r="AD105" i="10"/>
  <c r="AD101" i="10"/>
  <c r="AD80" i="10"/>
  <c r="AD50" i="10"/>
  <c r="AD51" i="10"/>
  <c r="AD88" i="10"/>
  <c r="AD100" i="10"/>
  <c r="AD99" i="10"/>
  <c r="AD89" i="10"/>
  <c r="AD91" i="10"/>
  <c r="AD92" i="10"/>
  <c r="AD106" i="10"/>
  <c r="AD97" i="10"/>
  <c r="AD83" i="10"/>
  <c r="AD98" i="10"/>
  <c r="AD107" i="10"/>
  <c r="AD90" i="10"/>
  <c r="AD63" i="10"/>
  <c r="AD81" i="10"/>
  <c r="AD47" i="10"/>
  <c r="AD48" i="10"/>
  <c r="AD62" i="10"/>
  <c r="AD60" i="10"/>
  <c r="AD61" i="10"/>
  <c r="AD64" i="10"/>
  <c r="AD71" i="10"/>
  <c r="AD69" i="10"/>
  <c r="AD55" i="10"/>
  <c r="AD54" i="10"/>
  <c r="AD73" i="10"/>
  <c r="AD56" i="10"/>
  <c r="AD65" i="10"/>
  <c r="AD68" i="10"/>
  <c r="AD70" i="10"/>
  <c r="AD66" i="10"/>
  <c r="AD72" i="10"/>
  <c r="AD67" i="10"/>
  <c r="AD59" i="10"/>
  <c r="AD58" i="10"/>
  <c r="AD57" i="10"/>
  <c r="L4" i="10"/>
  <c r="M6" i="10"/>
  <c r="N71" i="9"/>
  <c r="M71" i="9"/>
  <c r="O71" i="9"/>
  <c r="K71" i="9"/>
  <c r="L71" i="9"/>
  <c r="J52" i="9"/>
  <c r="I22" i="9"/>
  <c r="G22" i="9"/>
  <c r="H22" i="9"/>
  <c r="N48" i="8"/>
  <c r="O48" i="8"/>
  <c r="M48" i="8"/>
  <c r="K48" i="8"/>
  <c r="K53" i="8"/>
  <c r="L53" i="8"/>
  <c r="M53" i="8"/>
  <c r="N53" i="8"/>
  <c r="K52" i="8"/>
  <c r="L52" i="8"/>
  <c r="M52" i="8"/>
  <c r="L51" i="8"/>
  <c r="K51" i="8"/>
  <c r="K50" i="8"/>
  <c r="L48" i="8"/>
  <c r="N71" i="26" l="1"/>
  <c r="N75" i="26" s="1"/>
  <c r="AC22" i="10"/>
  <c r="AJ196" i="2"/>
  <c r="AL121" i="10"/>
  <c r="AL124" i="10" s="1"/>
  <c r="AR128" i="2"/>
  <c r="AD75" i="10"/>
  <c r="AF1" i="10"/>
  <c r="AE91" i="10"/>
  <c r="AE94" i="10"/>
  <c r="AE97" i="10"/>
  <c r="AE100" i="10"/>
  <c r="AE103" i="10"/>
  <c r="AE106" i="10"/>
  <c r="AE81" i="10"/>
  <c r="AE84" i="10"/>
  <c r="AE92" i="10"/>
  <c r="AE101" i="10"/>
  <c r="AE93" i="10"/>
  <c r="AE102" i="10"/>
  <c r="AE85" i="10"/>
  <c r="AE46" i="10"/>
  <c r="AE49" i="10"/>
  <c r="AE95" i="10"/>
  <c r="AE104" i="10"/>
  <c r="AE98" i="10"/>
  <c r="AE105" i="10"/>
  <c r="AE96" i="10"/>
  <c r="AE80" i="10"/>
  <c r="AE50" i="10"/>
  <c r="AE51" i="10"/>
  <c r="AE89" i="10"/>
  <c r="AE88" i="10"/>
  <c r="AE83" i="10"/>
  <c r="AE82" i="10"/>
  <c r="AE107" i="10"/>
  <c r="AE48" i="10"/>
  <c r="AE99" i="10"/>
  <c r="AE90" i="10"/>
  <c r="AE47" i="10"/>
  <c r="AE63" i="10"/>
  <c r="AE61" i="10"/>
  <c r="AE64" i="10"/>
  <c r="AE60" i="10"/>
  <c r="AE62" i="10"/>
  <c r="AE70" i="10"/>
  <c r="AE73" i="10"/>
  <c r="AE59" i="10"/>
  <c r="AE58" i="10"/>
  <c r="AE71" i="10"/>
  <c r="AE54" i="10"/>
  <c r="AE66" i="10"/>
  <c r="AE57" i="10"/>
  <c r="AE56" i="10"/>
  <c r="AE65" i="10"/>
  <c r="AE69" i="10"/>
  <c r="AE72" i="10"/>
  <c r="AE67" i="10"/>
  <c r="AE55" i="10"/>
  <c r="AE68" i="10"/>
  <c r="AD109" i="10"/>
  <c r="AK36" i="2" s="1"/>
  <c r="N6" i="10"/>
  <c r="M4" i="10"/>
  <c r="K49" i="9"/>
  <c r="K50" i="9"/>
  <c r="K51" i="9"/>
  <c r="H52" i="9"/>
  <c r="G52" i="9"/>
  <c r="K48" i="9"/>
  <c r="I52" i="9"/>
  <c r="N79" i="26" l="1"/>
  <c r="AM121" i="10"/>
  <c r="AM124" i="10" s="1"/>
  <c r="AS128" i="2"/>
  <c r="AE109" i="10"/>
  <c r="AL36" i="2" s="1"/>
  <c r="AE75" i="10"/>
  <c r="AG1" i="10"/>
  <c r="AF83" i="10"/>
  <c r="AF91" i="10"/>
  <c r="AF94" i="10"/>
  <c r="AF97" i="10"/>
  <c r="AF100" i="10"/>
  <c r="AF103" i="10"/>
  <c r="AF106" i="10"/>
  <c r="AF81" i="10"/>
  <c r="AF88" i="10"/>
  <c r="AF80" i="10"/>
  <c r="AF82" i="10"/>
  <c r="AF84" i="10"/>
  <c r="AF47" i="10"/>
  <c r="AF50" i="10"/>
  <c r="AF92" i="10"/>
  <c r="AF101" i="10"/>
  <c r="AF93" i="10"/>
  <c r="AF102" i="10"/>
  <c r="AF85" i="10"/>
  <c r="AF46" i="10"/>
  <c r="AF95" i="10"/>
  <c r="AF107" i="10"/>
  <c r="AF98" i="10"/>
  <c r="AF51" i="10"/>
  <c r="AF89" i="10"/>
  <c r="AF105" i="10"/>
  <c r="AF48" i="10"/>
  <c r="AF99" i="10"/>
  <c r="AF104" i="10"/>
  <c r="AF96" i="10"/>
  <c r="AF49" i="10"/>
  <c r="AF90" i="10"/>
  <c r="AF60" i="10"/>
  <c r="AF62" i="10"/>
  <c r="AF63" i="10"/>
  <c r="AF64" i="10"/>
  <c r="AF61" i="10"/>
  <c r="AF70" i="10"/>
  <c r="AF55" i="10"/>
  <c r="AF59" i="10"/>
  <c r="AF67" i="10"/>
  <c r="AF71" i="10"/>
  <c r="AF57" i="10"/>
  <c r="AF68" i="10"/>
  <c r="AF69" i="10"/>
  <c r="AF65" i="10"/>
  <c r="AF56" i="10"/>
  <c r="AF72" i="10"/>
  <c r="AF58" i="10"/>
  <c r="AF54" i="10"/>
  <c r="AF73" i="10"/>
  <c r="AF66" i="10"/>
  <c r="AD38" i="10"/>
  <c r="AD10" i="10"/>
  <c r="AK103" i="2" s="1"/>
  <c r="N4" i="10"/>
  <c r="O6" i="10"/>
  <c r="L51" i="9"/>
  <c r="L49" i="9"/>
  <c r="L50" i="9"/>
  <c r="K52" i="9"/>
  <c r="L48" i="9"/>
  <c r="N87" i="26" l="1"/>
  <c r="N88" i="26" s="1"/>
  <c r="N91" i="26" s="1"/>
  <c r="N80" i="26"/>
  <c r="N96" i="26"/>
  <c r="AD22" i="10"/>
  <c r="AK196" i="2"/>
  <c r="AN121" i="10"/>
  <c r="AN124" i="10" s="1"/>
  <c r="AT128" i="2"/>
  <c r="AF75" i="10"/>
  <c r="AH1" i="10"/>
  <c r="AG83" i="10"/>
  <c r="AG91" i="10"/>
  <c r="AG94" i="10"/>
  <c r="AG97" i="10"/>
  <c r="AG100" i="10"/>
  <c r="AG103" i="10"/>
  <c r="AG106" i="10"/>
  <c r="AG81" i="10"/>
  <c r="AG90" i="10"/>
  <c r="AG93" i="10"/>
  <c r="AG96" i="10"/>
  <c r="AG99" i="10"/>
  <c r="AG102" i="10"/>
  <c r="AG105" i="10"/>
  <c r="AG82" i="10"/>
  <c r="AG84" i="10"/>
  <c r="AG47" i="10"/>
  <c r="AG50" i="10"/>
  <c r="AG92" i="10"/>
  <c r="AG101" i="10"/>
  <c r="AG85" i="10"/>
  <c r="AG95" i="10"/>
  <c r="AG107" i="10"/>
  <c r="AG88" i="10"/>
  <c r="AG98" i="10"/>
  <c r="AG80" i="10"/>
  <c r="AG46" i="10"/>
  <c r="AG51" i="10"/>
  <c r="AG89" i="10"/>
  <c r="AG49" i="10"/>
  <c r="AG48" i="10"/>
  <c r="AG63" i="10"/>
  <c r="AG104" i="10"/>
  <c r="AG62" i="10"/>
  <c r="AG64" i="10"/>
  <c r="AG61" i="10"/>
  <c r="AG60" i="10"/>
  <c r="AG72" i="10"/>
  <c r="AG58" i="10"/>
  <c r="AG73" i="10"/>
  <c r="AG69" i="10"/>
  <c r="AG55" i="10"/>
  <c r="AG70" i="10"/>
  <c r="AG71" i="10"/>
  <c r="AG59" i="10"/>
  <c r="AG68" i="10"/>
  <c r="AG65" i="10"/>
  <c r="AG66" i="10"/>
  <c r="AG57" i="10"/>
  <c r="AG67" i="10"/>
  <c r="AG54" i="10"/>
  <c r="AG56" i="10"/>
  <c r="AE10" i="10"/>
  <c r="AL103" i="2" s="1"/>
  <c r="AE38" i="10"/>
  <c r="AF109" i="10"/>
  <c r="AM36" i="2" s="1"/>
  <c r="O4" i="10"/>
  <c r="P6" i="10"/>
  <c r="M50" i="9"/>
  <c r="M51" i="9"/>
  <c r="M49" i="9"/>
  <c r="L52" i="9"/>
  <c r="M48" i="9"/>
  <c r="N97" i="26" l="1"/>
  <c r="N100" i="26" s="1"/>
  <c r="N105" i="26"/>
  <c r="N106" i="26" s="1"/>
  <c r="N109" i="26" s="1"/>
  <c r="AE22" i="10"/>
  <c r="AL196" i="2"/>
  <c r="AO121" i="10"/>
  <c r="AO124" i="10" s="1"/>
  <c r="AU128" i="2"/>
  <c r="AG75" i="10"/>
  <c r="AG109" i="10"/>
  <c r="AN36" i="2" s="1"/>
  <c r="AI1" i="10"/>
  <c r="AH85" i="10"/>
  <c r="AH83" i="10"/>
  <c r="AH91" i="10"/>
  <c r="AH100" i="10"/>
  <c r="AH80" i="10"/>
  <c r="AH81" i="10"/>
  <c r="AH82" i="10"/>
  <c r="AH84" i="10"/>
  <c r="AH47" i="10"/>
  <c r="AH50" i="10"/>
  <c r="AH92" i="10"/>
  <c r="AH93" i="10"/>
  <c r="AH101" i="10"/>
  <c r="AH102" i="10"/>
  <c r="AH94" i="10"/>
  <c r="AH103" i="10"/>
  <c r="AH90" i="10"/>
  <c r="AH104" i="10"/>
  <c r="AH88" i="10"/>
  <c r="AH48" i="10"/>
  <c r="AH49" i="10"/>
  <c r="AH46" i="10"/>
  <c r="AH105" i="10"/>
  <c r="AH97" i="10"/>
  <c r="AH95" i="10"/>
  <c r="AH107" i="10"/>
  <c r="AH98" i="10"/>
  <c r="AH106" i="10"/>
  <c r="AH51" i="10"/>
  <c r="AH89" i="10"/>
  <c r="AH96" i="10"/>
  <c r="AH62" i="10"/>
  <c r="AH99" i="10"/>
  <c r="AH63" i="10"/>
  <c r="AH64" i="10"/>
  <c r="AH60" i="10"/>
  <c r="AH61" i="10"/>
  <c r="AH72" i="10"/>
  <c r="AH58" i="10"/>
  <c r="AH70" i="10"/>
  <c r="AH66" i="10"/>
  <c r="AH57" i="10"/>
  <c r="AH67" i="10"/>
  <c r="AH68" i="10"/>
  <c r="AH73" i="10"/>
  <c r="AH55" i="10"/>
  <c r="AH65" i="10"/>
  <c r="AH59" i="10"/>
  <c r="AH71" i="10"/>
  <c r="AH56" i="10"/>
  <c r="AH54" i="10"/>
  <c r="AH69" i="10"/>
  <c r="AF10" i="10"/>
  <c r="AM103" i="2" s="1"/>
  <c r="AF38" i="10"/>
  <c r="Q6" i="10"/>
  <c r="P4" i="10"/>
  <c r="N49" i="9"/>
  <c r="N51" i="9"/>
  <c r="N50" i="9"/>
  <c r="N48" i="9"/>
  <c r="M52" i="9"/>
  <c r="N121" i="26" l="1"/>
  <c r="N122" i="26" s="1"/>
  <c r="N120" i="26"/>
  <c r="N137" i="26" s="1"/>
  <c r="N138" i="26" s="1"/>
  <c r="N123" i="26" s="1"/>
  <c r="AF22" i="10"/>
  <c r="AM196" i="2"/>
  <c r="AP121" i="10"/>
  <c r="AP124" i="10" s="1"/>
  <c r="AV128" i="2"/>
  <c r="AH109" i="10"/>
  <c r="AO36" i="2" s="1"/>
  <c r="AJ1" i="10"/>
  <c r="AI89" i="10"/>
  <c r="AI92" i="10"/>
  <c r="AI95" i="10"/>
  <c r="AI98" i="10"/>
  <c r="AI101" i="10"/>
  <c r="AI104" i="10"/>
  <c r="AI107" i="10"/>
  <c r="AI85" i="10"/>
  <c r="AI84" i="10"/>
  <c r="AI90" i="10"/>
  <c r="AI99" i="10"/>
  <c r="AI83" i="10"/>
  <c r="AI91" i="10"/>
  <c r="AI100" i="10"/>
  <c r="AI80" i="10"/>
  <c r="AI81" i="10"/>
  <c r="AI82" i="10"/>
  <c r="AI47" i="10"/>
  <c r="AI50" i="10"/>
  <c r="AI93" i="10"/>
  <c r="AI102" i="10"/>
  <c r="AI94" i="10"/>
  <c r="AI51" i="10"/>
  <c r="AI48" i="10"/>
  <c r="AI49" i="10"/>
  <c r="AI103" i="10"/>
  <c r="AI106" i="10"/>
  <c r="AI46" i="10"/>
  <c r="AI97" i="10"/>
  <c r="AI105" i="10"/>
  <c r="AI63" i="10"/>
  <c r="AI88" i="10"/>
  <c r="AI96" i="10"/>
  <c r="AI61" i="10"/>
  <c r="AI64" i="10"/>
  <c r="AI62" i="10"/>
  <c r="AI60" i="10"/>
  <c r="AI58" i="10"/>
  <c r="AI56" i="10"/>
  <c r="AI71" i="10"/>
  <c r="AI66" i="10"/>
  <c r="AI57" i="10"/>
  <c r="AI59" i="10"/>
  <c r="AI68" i="10"/>
  <c r="AI73" i="10"/>
  <c r="AI72" i="10"/>
  <c r="AI70" i="10"/>
  <c r="AI55" i="10"/>
  <c r="AI67" i="10"/>
  <c r="AI54" i="10"/>
  <c r="AI65" i="10"/>
  <c r="AI69" i="10"/>
  <c r="AH75" i="10"/>
  <c r="AG10" i="10"/>
  <c r="AN103" i="2" s="1"/>
  <c r="AG38" i="10"/>
  <c r="R6" i="10"/>
  <c r="Q4" i="10"/>
  <c r="O49" i="9"/>
  <c r="O50" i="9"/>
  <c r="O51" i="9"/>
  <c r="O48" i="9"/>
  <c r="N52" i="9"/>
  <c r="AG22" i="10" l="1"/>
  <c r="AN196" i="2"/>
  <c r="AQ121" i="10"/>
  <c r="AQ124" i="10" s="1"/>
  <c r="AW128" i="2"/>
  <c r="AI75" i="10"/>
  <c r="AH10" i="10"/>
  <c r="AO103" i="2" s="1"/>
  <c r="AH38" i="10"/>
  <c r="AK1" i="10"/>
  <c r="AJ82" i="10"/>
  <c r="AJ89" i="10"/>
  <c r="AJ92" i="10"/>
  <c r="AJ95" i="10"/>
  <c r="AJ98" i="10"/>
  <c r="AJ101" i="10"/>
  <c r="AJ104" i="10"/>
  <c r="AJ107" i="10"/>
  <c r="AJ88" i="10"/>
  <c r="AJ85" i="10"/>
  <c r="AJ48" i="10"/>
  <c r="AJ51" i="10"/>
  <c r="AJ90" i="10"/>
  <c r="AJ99" i="10"/>
  <c r="AJ83" i="10"/>
  <c r="AJ91" i="10"/>
  <c r="AJ100" i="10"/>
  <c r="AJ80" i="10"/>
  <c r="AJ81" i="10"/>
  <c r="AJ84" i="10"/>
  <c r="AJ97" i="10"/>
  <c r="AJ49" i="10"/>
  <c r="AJ50" i="10"/>
  <c r="AJ103" i="10"/>
  <c r="AJ106" i="10"/>
  <c r="AJ46" i="10"/>
  <c r="AJ94" i="10"/>
  <c r="AJ102" i="10"/>
  <c r="AJ47" i="10"/>
  <c r="AJ105" i="10"/>
  <c r="AJ96" i="10"/>
  <c r="AJ93" i="10"/>
  <c r="AJ61" i="10"/>
  <c r="AJ63" i="10"/>
  <c r="AJ60" i="10"/>
  <c r="AJ62" i="10"/>
  <c r="AJ64" i="10"/>
  <c r="AJ71" i="10"/>
  <c r="AJ66" i="10"/>
  <c r="AJ67" i="10"/>
  <c r="AJ68" i="10"/>
  <c r="AJ65" i="10"/>
  <c r="AJ58" i="10"/>
  <c r="AJ70" i="10"/>
  <c r="AJ54" i="10"/>
  <c r="AJ55" i="10"/>
  <c r="AJ57" i="10"/>
  <c r="AJ56" i="10"/>
  <c r="AJ69" i="10"/>
  <c r="AJ59" i="10"/>
  <c r="AJ72" i="10"/>
  <c r="AJ73" i="10"/>
  <c r="AI109" i="10"/>
  <c r="AP36" i="2" s="1"/>
  <c r="S6" i="10"/>
  <c r="R4" i="10"/>
  <c r="O52" i="9"/>
  <c r="AH22" i="10" l="1"/>
  <c r="AO196" i="2"/>
  <c r="AR121" i="10"/>
  <c r="AR124" i="10" s="1"/>
  <c r="AX128" i="2"/>
  <c r="AJ75" i="10"/>
  <c r="AL1" i="10"/>
  <c r="AK88" i="10"/>
  <c r="AK82" i="10"/>
  <c r="AK89" i="10"/>
  <c r="AK92" i="10"/>
  <c r="AK95" i="10"/>
  <c r="AK98" i="10"/>
  <c r="AK101" i="10"/>
  <c r="AK104" i="10"/>
  <c r="AK107" i="10"/>
  <c r="AK91" i="10"/>
  <c r="AK94" i="10"/>
  <c r="AK97" i="10"/>
  <c r="AK100" i="10"/>
  <c r="AK103" i="10"/>
  <c r="AK106" i="10"/>
  <c r="AK81" i="10"/>
  <c r="AK48" i="10"/>
  <c r="AK51" i="10"/>
  <c r="AK90" i="10"/>
  <c r="AK99" i="10"/>
  <c r="AK83" i="10"/>
  <c r="AK80" i="10"/>
  <c r="AK96" i="10"/>
  <c r="AK49" i="10"/>
  <c r="AK46" i="10"/>
  <c r="AK84" i="10"/>
  <c r="AK50" i="10"/>
  <c r="AK93" i="10"/>
  <c r="AK105" i="10"/>
  <c r="AK47" i="10"/>
  <c r="AK102" i="10"/>
  <c r="AK85" i="10"/>
  <c r="AK61" i="10"/>
  <c r="AK63" i="10"/>
  <c r="AK60" i="10"/>
  <c r="AK62" i="10"/>
  <c r="AK64" i="10"/>
  <c r="AK56" i="10"/>
  <c r="AK72" i="10"/>
  <c r="AK70" i="10"/>
  <c r="AK73" i="10"/>
  <c r="AK68" i="10"/>
  <c r="AK57" i="10"/>
  <c r="AK67" i="10"/>
  <c r="AK54" i="10"/>
  <c r="AK65" i="10"/>
  <c r="AK66" i="10"/>
  <c r="AK71" i="10"/>
  <c r="AK69" i="10"/>
  <c r="AK58" i="10"/>
  <c r="AK59" i="10"/>
  <c r="AK55" i="10"/>
  <c r="AI10" i="10"/>
  <c r="AP103" i="2" s="1"/>
  <c r="AI38" i="10"/>
  <c r="AJ109" i="10"/>
  <c r="AQ36" i="2" s="1"/>
  <c r="T6" i="10"/>
  <c r="S4" i="10"/>
  <c r="AI22" i="10" l="1"/>
  <c r="AP196" i="2"/>
  <c r="AK109" i="10"/>
  <c r="AR36" i="2" s="1"/>
  <c r="AS121" i="10"/>
  <c r="AS124" i="10" s="1"/>
  <c r="AY128" i="2"/>
  <c r="AK75" i="10"/>
  <c r="AM1" i="10"/>
  <c r="AL88" i="10"/>
  <c r="AL80" i="10"/>
  <c r="AL82" i="10"/>
  <c r="AL83" i="10"/>
  <c r="AL89" i="10"/>
  <c r="AL98" i="10"/>
  <c r="AL107" i="10"/>
  <c r="AL48" i="10"/>
  <c r="AL51" i="10"/>
  <c r="AL90" i="10"/>
  <c r="AL91" i="10"/>
  <c r="AL99" i="10"/>
  <c r="AL100" i="10"/>
  <c r="AL81" i="10"/>
  <c r="AL92" i="10"/>
  <c r="AL101" i="10"/>
  <c r="AL93" i="10"/>
  <c r="AL85" i="10"/>
  <c r="AL47" i="10"/>
  <c r="AL50" i="10"/>
  <c r="AL96" i="10"/>
  <c r="AL104" i="10"/>
  <c r="AL103" i="10"/>
  <c r="AL94" i="10"/>
  <c r="AL95" i="10"/>
  <c r="AL84" i="10"/>
  <c r="AL49" i="10"/>
  <c r="AL106" i="10"/>
  <c r="AL105" i="10"/>
  <c r="AL97" i="10"/>
  <c r="AL46" i="10"/>
  <c r="AL102" i="10"/>
  <c r="AL60" i="10"/>
  <c r="AL64" i="10"/>
  <c r="AL61" i="10"/>
  <c r="AL63" i="10"/>
  <c r="AL62" i="10"/>
  <c r="AL67" i="10"/>
  <c r="AL65" i="10"/>
  <c r="AL59" i="10"/>
  <c r="AL58" i="10"/>
  <c r="AL73" i="10"/>
  <c r="AL69" i="10"/>
  <c r="AL55" i="10"/>
  <c r="AL56" i="10"/>
  <c r="AL57" i="10"/>
  <c r="AL54" i="10"/>
  <c r="AL71" i="10"/>
  <c r="AL72" i="10"/>
  <c r="AL66" i="10"/>
  <c r="AL70" i="10"/>
  <c r="AL68" i="10"/>
  <c r="AJ10" i="10"/>
  <c r="AQ103" i="2" s="1"/>
  <c r="AJ38" i="10"/>
  <c r="U6" i="10"/>
  <c r="T4" i="10"/>
  <c r="AJ22" i="10" l="1"/>
  <c r="AQ196" i="2"/>
  <c r="AT121" i="10"/>
  <c r="AT124" i="10" s="1"/>
  <c r="AZ128" i="2"/>
  <c r="AL75" i="10"/>
  <c r="AN1" i="10"/>
  <c r="AM90" i="10"/>
  <c r="AM93" i="10"/>
  <c r="AM96" i="10"/>
  <c r="AM99" i="10"/>
  <c r="AM102" i="10"/>
  <c r="AM105" i="10"/>
  <c r="AM80" i="10"/>
  <c r="AM97" i="10"/>
  <c r="AM106" i="10"/>
  <c r="AM89" i="10"/>
  <c r="AM98" i="10"/>
  <c r="AM107" i="10"/>
  <c r="AM100" i="10"/>
  <c r="AM88" i="10"/>
  <c r="AM83" i="10"/>
  <c r="AM48" i="10"/>
  <c r="AM51" i="10"/>
  <c r="AM91" i="10"/>
  <c r="AM101" i="10"/>
  <c r="AM85" i="10"/>
  <c r="AM47" i="10"/>
  <c r="AM84" i="10"/>
  <c r="AM82" i="10"/>
  <c r="AM104" i="10"/>
  <c r="AM92" i="10"/>
  <c r="AM95" i="10"/>
  <c r="AM49" i="10"/>
  <c r="AM50" i="10"/>
  <c r="AM103" i="10"/>
  <c r="AM81" i="10"/>
  <c r="AM46" i="10"/>
  <c r="AM94" i="10"/>
  <c r="AM64" i="10"/>
  <c r="AM61" i="10"/>
  <c r="AM60" i="10"/>
  <c r="AM62" i="10"/>
  <c r="AM63" i="10"/>
  <c r="AM72" i="10"/>
  <c r="AM54" i="10"/>
  <c r="AM67" i="10"/>
  <c r="AM57" i="10"/>
  <c r="AM73" i="10"/>
  <c r="AM59" i="10"/>
  <c r="AM70" i="10"/>
  <c r="AM66" i="10"/>
  <c r="AM68" i="10"/>
  <c r="AM56" i="10"/>
  <c r="AM65" i="10"/>
  <c r="AM71" i="10"/>
  <c r="AM55" i="10"/>
  <c r="AM58" i="10"/>
  <c r="AM69" i="10"/>
  <c r="AL109" i="10"/>
  <c r="AS36" i="2" s="1"/>
  <c r="AK10" i="10"/>
  <c r="AR103" i="2" s="1"/>
  <c r="AK38" i="10"/>
  <c r="V6" i="10"/>
  <c r="U4" i="10"/>
  <c r="AK22" i="10" l="1"/>
  <c r="AR196" i="2"/>
  <c r="AU121" i="10"/>
  <c r="AU124" i="10" s="1"/>
  <c r="BA128" i="2"/>
  <c r="AM109" i="10"/>
  <c r="AT36" i="2" s="1"/>
  <c r="AO1" i="10"/>
  <c r="AN90" i="10"/>
  <c r="AN93" i="10"/>
  <c r="AN96" i="10"/>
  <c r="AN99" i="10"/>
  <c r="AN102" i="10"/>
  <c r="AN105" i="10"/>
  <c r="AN80" i="10"/>
  <c r="AN85" i="10"/>
  <c r="AN49" i="10"/>
  <c r="AN97" i="10"/>
  <c r="AN106" i="10"/>
  <c r="AN89" i="10"/>
  <c r="AN98" i="10"/>
  <c r="AN107" i="10"/>
  <c r="AN88" i="10"/>
  <c r="AN81" i="10"/>
  <c r="AN51" i="10"/>
  <c r="AN50" i="10"/>
  <c r="AN103" i="10"/>
  <c r="AN83" i="10"/>
  <c r="AN101" i="10"/>
  <c r="AN47" i="10"/>
  <c r="AN48" i="10"/>
  <c r="AN104" i="10"/>
  <c r="AN92" i="10"/>
  <c r="AN95" i="10"/>
  <c r="AN100" i="10"/>
  <c r="AN84" i="10"/>
  <c r="AN82" i="10"/>
  <c r="AN46" i="10"/>
  <c r="AN94" i="10"/>
  <c r="AN91" i="10"/>
  <c r="AN64" i="10"/>
  <c r="AN60" i="10"/>
  <c r="AN61" i="10"/>
  <c r="AN62" i="10"/>
  <c r="AN63" i="10"/>
  <c r="AN56" i="10"/>
  <c r="AN59" i="10"/>
  <c r="AN65" i="10"/>
  <c r="AN71" i="10"/>
  <c r="AN55" i="10"/>
  <c r="AN66" i="10"/>
  <c r="AN68" i="10"/>
  <c r="AN54" i="10"/>
  <c r="AN67" i="10"/>
  <c r="AN57" i="10"/>
  <c r="AN72" i="10"/>
  <c r="AN58" i="10"/>
  <c r="AN69" i="10"/>
  <c r="AN70" i="10"/>
  <c r="AN73" i="10"/>
  <c r="AM75" i="10"/>
  <c r="AL10" i="10"/>
  <c r="AS103" i="2" s="1"/>
  <c r="AL38" i="10"/>
  <c r="W6" i="10"/>
  <c r="V4" i="10"/>
  <c r="AL22" i="10" l="1"/>
  <c r="AS196" i="2"/>
  <c r="AV121" i="10"/>
  <c r="AV124" i="10" s="1"/>
  <c r="BC128" i="2" s="1"/>
  <c r="BB128" i="2"/>
  <c r="AN109" i="10"/>
  <c r="AU36" i="2" s="1"/>
  <c r="AN75" i="10"/>
  <c r="AP1" i="10"/>
  <c r="AO84" i="10"/>
  <c r="AO90" i="10"/>
  <c r="AO93" i="10"/>
  <c r="AO96" i="10"/>
  <c r="AO99" i="10"/>
  <c r="AO102" i="10"/>
  <c r="AO105" i="10"/>
  <c r="AO89" i="10"/>
  <c r="AO92" i="10"/>
  <c r="AO95" i="10"/>
  <c r="AO98" i="10"/>
  <c r="AO101" i="10"/>
  <c r="AO104" i="10"/>
  <c r="AO107" i="10"/>
  <c r="AO46" i="10"/>
  <c r="AO88" i="10"/>
  <c r="AO49" i="10"/>
  <c r="AO97" i="10"/>
  <c r="AO106" i="10"/>
  <c r="AO81" i="10"/>
  <c r="AO100" i="10"/>
  <c r="AO85" i="10"/>
  <c r="AO80" i="10"/>
  <c r="AO47" i="10"/>
  <c r="AO48" i="10"/>
  <c r="AO63" i="10"/>
  <c r="AO103" i="10"/>
  <c r="AO50" i="10"/>
  <c r="AO82" i="10"/>
  <c r="AO94" i="10"/>
  <c r="AO83" i="10"/>
  <c r="AO51" i="10"/>
  <c r="AO91" i="10"/>
  <c r="AO62" i="10"/>
  <c r="AO60" i="10"/>
  <c r="AO61" i="10"/>
  <c r="AO64" i="10"/>
  <c r="AO73" i="10"/>
  <c r="AO65" i="10"/>
  <c r="AO57" i="10"/>
  <c r="AO66" i="10"/>
  <c r="AO56" i="10"/>
  <c r="AO59" i="10"/>
  <c r="AO67" i="10"/>
  <c r="AO58" i="10"/>
  <c r="AO71" i="10"/>
  <c r="AO72" i="10"/>
  <c r="AO70" i="10"/>
  <c r="AO69" i="10"/>
  <c r="AO55" i="10"/>
  <c r="AO54" i="10"/>
  <c r="AO68" i="10"/>
  <c r="AM38" i="10"/>
  <c r="AM10" i="10"/>
  <c r="AT103" i="2" s="1"/>
  <c r="X6" i="10"/>
  <c r="W4" i="10"/>
  <c r="AM22" i="10" l="1"/>
  <c r="AT196" i="2"/>
  <c r="AQ1" i="10"/>
  <c r="AP84" i="10"/>
  <c r="AP82" i="10"/>
  <c r="AP96" i="10"/>
  <c r="AP105" i="10"/>
  <c r="AP88" i="10"/>
  <c r="AP46" i="10"/>
  <c r="AP49" i="10"/>
  <c r="AP89" i="10"/>
  <c r="AP97" i="10"/>
  <c r="AP98" i="10"/>
  <c r="AP106" i="10"/>
  <c r="AP107" i="10"/>
  <c r="AP90" i="10"/>
  <c r="AP99" i="10"/>
  <c r="AP93" i="10"/>
  <c r="AP48" i="10"/>
  <c r="AP81" i="10"/>
  <c r="AP101" i="10"/>
  <c r="AP85" i="10"/>
  <c r="AP104" i="10"/>
  <c r="AP80" i="10"/>
  <c r="AP47" i="10"/>
  <c r="AP92" i="10"/>
  <c r="AP95" i="10"/>
  <c r="AP102" i="10"/>
  <c r="AP91" i="10"/>
  <c r="AP103" i="10"/>
  <c r="AP50" i="10"/>
  <c r="AP100" i="10"/>
  <c r="AP51" i="10"/>
  <c r="AP94" i="10"/>
  <c r="AP83" i="10"/>
  <c r="AP62" i="10"/>
  <c r="AP60" i="10"/>
  <c r="AP61" i="10"/>
  <c r="AP63" i="10"/>
  <c r="AP64" i="10"/>
  <c r="AP54" i="10"/>
  <c r="AP70" i="10"/>
  <c r="AP58" i="10"/>
  <c r="AP59" i="10"/>
  <c r="AP72" i="10"/>
  <c r="AP69" i="10"/>
  <c r="AP73" i="10"/>
  <c r="AP56" i="10"/>
  <c r="AP65" i="10"/>
  <c r="AP67" i="10"/>
  <c r="AP55" i="10"/>
  <c r="AP71" i="10"/>
  <c r="AP66" i="10"/>
  <c r="AP68" i="10"/>
  <c r="AP57" i="10"/>
  <c r="AO109" i="10"/>
  <c r="AV36" i="2" s="1"/>
  <c r="AN38" i="10"/>
  <c r="AN10" i="10"/>
  <c r="AU103" i="2" s="1"/>
  <c r="AO75" i="10"/>
  <c r="X4" i="10"/>
  <c r="Y6" i="10"/>
  <c r="AN22" i="10" l="1"/>
  <c r="AU196" i="2"/>
  <c r="AP109" i="10"/>
  <c r="AW36" i="2" s="1"/>
  <c r="AO38" i="10"/>
  <c r="AO10" i="10"/>
  <c r="AV103" i="2" s="1"/>
  <c r="AP75" i="10"/>
  <c r="AR1" i="10"/>
  <c r="AQ91" i="10"/>
  <c r="AQ94" i="10"/>
  <c r="AQ97" i="10"/>
  <c r="AQ100" i="10"/>
  <c r="AQ103" i="10"/>
  <c r="AQ106" i="10"/>
  <c r="AQ81" i="10"/>
  <c r="AQ84" i="10"/>
  <c r="AQ95" i="10"/>
  <c r="AQ104" i="10"/>
  <c r="AQ98" i="10"/>
  <c r="AQ96" i="10"/>
  <c r="AQ105" i="10"/>
  <c r="AQ46" i="10"/>
  <c r="AQ49" i="10"/>
  <c r="AQ89" i="10"/>
  <c r="AQ102" i="10"/>
  <c r="AQ80" i="10"/>
  <c r="AQ47" i="10"/>
  <c r="AQ90" i="10"/>
  <c r="AQ93" i="10"/>
  <c r="AQ107" i="10"/>
  <c r="AQ101" i="10"/>
  <c r="AQ85" i="10"/>
  <c r="AQ48" i="10"/>
  <c r="AQ92" i="10"/>
  <c r="AQ88" i="10"/>
  <c r="AQ82" i="10"/>
  <c r="AQ50" i="10"/>
  <c r="AQ99" i="10"/>
  <c r="AQ83" i="10"/>
  <c r="AQ51" i="10"/>
  <c r="AQ64" i="10"/>
  <c r="AQ63" i="10"/>
  <c r="AQ61" i="10"/>
  <c r="AQ60" i="10"/>
  <c r="AQ62" i="10"/>
  <c r="AQ68" i="10"/>
  <c r="AQ65" i="10"/>
  <c r="AQ67" i="10"/>
  <c r="AQ72" i="10"/>
  <c r="AQ70" i="10"/>
  <c r="AQ69" i="10"/>
  <c r="AQ71" i="10"/>
  <c r="AQ66" i="10"/>
  <c r="AQ55" i="10"/>
  <c r="AQ56" i="10"/>
  <c r="AQ57" i="10"/>
  <c r="AQ73" i="10"/>
  <c r="AQ54" i="10"/>
  <c r="AQ59" i="10"/>
  <c r="AQ58" i="10"/>
  <c r="Z6" i="10"/>
  <c r="Y4" i="10"/>
  <c r="AO22" i="10" l="1"/>
  <c r="AV196" i="2"/>
  <c r="AQ109" i="10"/>
  <c r="AX36" i="2" s="1"/>
  <c r="AQ75" i="10"/>
  <c r="AS1" i="10"/>
  <c r="AR83" i="10"/>
  <c r="AR91" i="10"/>
  <c r="AR94" i="10"/>
  <c r="AR97" i="10"/>
  <c r="AR100" i="10"/>
  <c r="AR103" i="10"/>
  <c r="AR106" i="10"/>
  <c r="AR81" i="10"/>
  <c r="AR88" i="10"/>
  <c r="AR80" i="10"/>
  <c r="AR47" i="10"/>
  <c r="AR50" i="10"/>
  <c r="AR95" i="10"/>
  <c r="AR104" i="10"/>
  <c r="AR96" i="10"/>
  <c r="AR105" i="10"/>
  <c r="AR46" i="10"/>
  <c r="AR99" i="10"/>
  <c r="AR49" i="10"/>
  <c r="AR92" i="10"/>
  <c r="AR84" i="10"/>
  <c r="AR102" i="10"/>
  <c r="AR48" i="10"/>
  <c r="AR90" i="10"/>
  <c r="AR93" i="10"/>
  <c r="AR98" i="10"/>
  <c r="AR107" i="10"/>
  <c r="AR101" i="10"/>
  <c r="AR85" i="10"/>
  <c r="AR89" i="10"/>
  <c r="AR64" i="10"/>
  <c r="AR82" i="10"/>
  <c r="AR51" i="10"/>
  <c r="AR63" i="10"/>
  <c r="AR62" i="10"/>
  <c r="AR61" i="10"/>
  <c r="AR60" i="10"/>
  <c r="AR54" i="10"/>
  <c r="AR71" i="10"/>
  <c r="AR68" i="10"/>
  <c r="AR72" i="10"/>
  <c r="AR59" i="10"/>
  <c r="AR70" i="10"/>
  <c r="AR65" i="10"/>
  <c r="AR55" i="10"/>
  <c r="AR58" i="10"/>
  <c r="AR57" i="10"/>
  <c r="AR56" i="10"/>
  <c r="AR66" i="10"/>
  <c r="AR67" i="10"/>
  <c r="AR69" i="10"/>
  <c r="AR73" i="10"/>
  <c r="AP38" i="10"/>
  <c r="AP10" i="10"/>
  <c r="AW103" i="2" s="1"/>
  <c r="Z4" i="10"/>
  <c r="AA6" i="10"/>
  <c r="AP22" i="10" l="1"/>
  <c r="AW196" i="2"/>
  <c r="AR109" i="10"/>
  <c r="AY36" i="2" s="1"/>
  <c r="AT1" i="10"/>
  <c r="AS83" i="10"/>
  <c r="AS91" i="10"/>
  <c r="AS94" i="10"/>
  <c r="AS97" i="10"/>
  <c r="AS100" i="10"/>
  <c r="AS103" i="10"/>
  <c r="AS106" i="10"/>
  <c r="AS81" i="10"/>
  <c r="AS90" i="10"/>
  <c r="AS93" i="10"/>
  <c r="AS96" i="10"/>
  <c r="AS99" i="10"/>
  <c r="AS102" i="10"/>
  <c r="AS105" i="10"/>
  <c r="AS47" i="10"/>
  <c r="AS50" i="10"/>
  <c r="AS95" i="10"/>
  <c r="AS104" i="10"/>
  <c r="AS82" i="10"/>
  <c r="AS89" i="10"/>
  <c r="AS107" i="10"/>
  <c r="AS98" i="10"/>
  <c r="AS101" i="10"/>
  <c r="AS80" i="10"/>
  <c r="AS85" i="10"/>
  <c r="AS49" i="10"/>
  <c r="AS88" i="10"/>
  <c r="AS46" i="10"/>
  <c r="AS48" i="10"/>
  <c r="AS84" i="10"/>
  <c r="AS51" i="10"/>
  <c r="AS92" i="10"/>
  <c r="AS63" i="10"/>
  <c r="AS61" i="10"/>
  <c r="AS64" i="10"/>
  <c r="AS60" i="10"/>
  <c r="AS62" i="10"/>
  <c r="AS66" i="10"/>
  <c r="AS72" i="10"/>
  <c r="AS59" i="10"/>
  <c r="AS65" i="10"/>
  <c r="AS58" i="10"/>
  <c r="AS70" i="10"/>
  <c r="AS67" i="10"/>
  <c r="AS56" i="10"/>
  <c r="AS69" i="10"/>
  <c r="AS68" i="10"/>
  <c r="AS73" i="10"/>
  <c r="AS55" i="10"/>
  <c r="AS54" i="10"/>
  <c r="AS57" i="10"/>
  <c r="AS71" i="10"/>
  <c r="AR75" i="10"/>
  <c r="AQ38" i="10"/>
  <c r="AQ10" i="10"/>
  <c r="AX103" i="2" s="1"/>
  <c r="AA4" i="10"/>
  <c r="AB6" i="10"/>
  <c r="AQ22" i="10" l="1"/>
  <c r="AX196" i="2"/>
  <c r="AR38" i="10"/>
  <c r="AR10" i="10"/>
  <c r="AY103" i="2" s="1"/>
  <c r="AS75" i="10"/>
  <c r="AS109" i="10"/>
  <c r="AZ36" i="2" s="1"/>
  <c r="AU1" i="10"/>
  <c r="AT85" i="10"/>
  <c r="AT83" i="10"/>
  <c r="AT94" i="10"/>
  <c r="AT103" i="10"/>
  <c r="AT47" i="10"/>
  <c r="AT50" i="10"/>
  <c r="AT95" i="10"/>
  <c r="AT96" i="10"/>
  <c r="AT104" i="10"/>
  <c r="AT105" i="10"/>
  <c r="AT97" i="10"/>
  <c r="AT51" i="10"/>
  <c r="AT101" i="10"/>
  <c r="AT80" i="10"/>
  <c r="AT99" i="10"/>
  <c r="AT82" i="10"/>
  <c r="AT81" i="10"/>
  <c r="AT106" i="10"/>
  <c r="AT102" i="10"/>
  <c r="AT90" i="10"/>
  <c r="AT93" i="10"/>
  <c r="AT98" i="10"/>
  <c r="AT107" i="10"/>
  <c r="AT89" i="10"/>
  <c r="AT88" i="10"/>
  <c r="AT91" i="10"/>
  <c r="AT49" i="10"/>
  <c r="AT92" i="10"/>
  <c r="AT46" i="10"/>
  <c r="AT84" i="10"/>
  <c r="AT48" i="10"/>
  <c r="AT100" i="10"/>
  <c r="AT63" i="10"/>
  <c r="AT61" i="10"/>
  <c r="AT62" i="10"/>
  <c r="AT64" i="10"/>
  <c r="AT60" i="10"/>
  <c r="AT56" i="10"/>
  <c r="AT57" i="10"/>
  <c r="AT54" i="10"/>
  <c r="AT55" i="10"/>
  <c r="AT71" i="10"/>
  <c r="AT72" i="10"/>
  <c r="AT59" i="10"/>
  <c r="AT70" i="10"/>
  <c r="AT69" i="10"/>
  <c r="AT58" i="10"/>
  <c r="AT67" i="10"/>
  <c r="AT68" i="10"/>
  <c r="AT65" i="10"/>
  <c r="AT66" i="10"/>
  <c r="AT73" i="10"/>
  <c r="AC6" i="10"/>
  <c r="AB4" i="10"/>
  <c r="AR22" i="10" l="1"/>
  <c r="AY196" i="2"/>
  <c r="AV1" i="10"/>
  <c r="AU89" i="10"/>
  <c r="AU92" i="10"/>
  <c r="AU95" i="10"/>
  <c r="AU98" i="10"/>
  <c r="AU101" i="10"/>
  <c r="AU104" i="10"/>
  <c r="AU107" i="10"/>
  <c r="AU85" i="10"/>
  <c r="AU84" i="10"/>
  <c r="AU93" i="10"/>
  <c r="AU102" i="10"/>
  <c r="AU94" i="10"/>
  <c r="AU103" i="10"/>
  <c r="AU47" i="10"/>
  <c r="AU50" i="10"/>
  <c r="AU96" i="10"/>
  <c r="AU105" i="10"/>
  <c r="AU91" i="10"/>
  <c r="AU46" i="10"/>
  <c r="AU88" i="10"/>
  <c r="AU51" i="10"/>
  <c r="AU99" i="10"/>
  <c r="AU82" i="10"/>
  <c r="AU90" i="10"/>
  <c r="AU81" i="10"/>
  <c r="AU80" i="10"/>
  <c r="AU49" i="10"/>
  <c r="AU48" i="10"/>
  <c r="AU100" i="10"/>
  <c r="AU106" i="10"/>
  <c r="AU97" i="10"/>
  <c r="AU63" i="10"/>
  <c r="AU64" i="10"/>
  <c r="AU62" i="10"/>
  <c r="AU61" i="10"/>
  <c r="AU60" i="10"/>
  <c r="AU55" i="10"/>
  <c r="AU54" i="10"/>
  <c r="AU67" i="10"/>
  <c r="AU58" i="10"/>
  <c r="AU56" i="10"/>
  <c r="AU71" i="10"/>
  <c r="AU73" i="10"/>
  <c r="AU70" i="10"/>
  <c r="AU72" i="10"/>
  <c r="AU59" i="10"/>
  <c r="AU57" i="10"/>
  <c r="AU68" i="10"/>
  <c r="AU65" i="10"/>
  <c r="AU66" i="10"/>
  <c r="AU69" i="10"/>
  <c r="AS38" i="10"/>
  <c r="AS10" i="10"/>
  <c r="AZ103" i="2" s="1"/>
  <c r="AT75" i="10"/>
  <c r="AT109" i="10"/>
  <c r="BA36" i="2" s="1"/>
  <c r="AD6" i="10"/>
  <c r="AC4" i="10"/>
  <c r="AS22" i="10" l="1"/>
  <c r="AZ196" i="2"/>
  <c r="AU75" i="10"/>
  <c r="AT10" i="10"/>
  <c r="BA103" i="2" s="1"/>
  <c r="AT38" i="10"/>
  <c r="AU109" i="10"/>
  <c r="BB36" i="2" s="1"/>
  <c r="AV82" i="10"/>
  <c r="AV89" i="10"/>
  <c r="AV92" i="10"/>
  <c r="AV95" i="10"/>
  <c r="AV98" i="10"/>
  <c r="AV101" i="10"/>
  <c r="AV104" i="10"/>
  <c r="AV107" i="10"/>
  <c r="AV88" i="10"/>
  <c r="AV85" i="10"/>
  <c r="AV48" i="10"/>
  <c r="AV51" i="10"/>
  <c r="AV93" i="10"/>
  <c r="AV102" i="10"/>
  <c r="AV94" i="10"/>
  <c r="AV103" i="10"/>
  <c r="AV105" i="10"/>
  <c r="AV47" i="10"/>
  <c r="AV91" i="10"/>
  <c r="AV46" i="10"/>
  <c r="AV90" i="10"/>
  <c r="AV96" i="10"/>
  <c r="AV99" i="10"/>
  <c r="AV81" i="10"/>
  <c r="AV97" i="10"/>
  <c r="AV61" i="10"/>
  <c r="AV84" i="10"/>
  <c r="AV80" i="10"/>
  <c r="AV49" i="10"/>
  <c r="AV50" i="10"/>
  <c r="AV100" i="10"/>
  <c r="AV106" i="10"/>
  <c r="AV60" i="10"/>
  <c r="AV63" i="10"/>
  <c r="AV64" i="10"/>
  <c r="AV62" i="10"/>
  <c r="AV69" i="10"/>
  <c r="AV57" i="10"/>
  <c r="AV71" i="10"/>
  <c r="AV65" i="10"/>
  <c r="AV54" i="10"/>
  <c r="AV67" i="10"/>
  <c r="AV55" i="10"/>
  <c r="AV66" i="10"/>
  <c r="AV70" i="10"/>
  <c r="AV58" i="10"/>
  <c r="AV72" i="10"/>
  <c r="AV59" i="10"/>
  <c r="AV73" i="10"/>
  <c r="AV56" i="10"/>
  <c r="AV68" i="10"/>
  <c r="AE6" i="10"/>
  <c r="AD4" i="10"/>
  <c r="AT22" i="10" l="1"/>
  <c r="BA196" i="2"/>
  <c r="AV109" i="10"/>
  <c r="BC36" i="2" s="1"/>
  <c r="AV75" i="10"/>
  <c r="AU10" i="10"/>
  <c r="BB103" i="2" s="1"/>
  <c r="AU38" i="10"/>
  <c r="AF6" i="10"/>
  <c r="AE4" i="10"/>
  <c r="AU22" i="10" l="1"/>
  <c r="BB196" i="2"/>
  <c r="AV10" i="10"/>
  <c r="BC103" i="2" s="1"/>
  <c r="AV38" i="10"/>
  <c r="AG6" i="10"/>
  <c r="AF4" i="10"/>
  <c r="AV22" i="10" l="1"/>
  <c r="BC196" i="2"/>
  <c r="AH6" i="10"/>
  <c r="AG4" i="10"/>
  <c r="AI6" i="10" l="1"/>
  <c r="AH4" i="10"/>
  <c r="AJ6" i="10" l="1"/>
  <c r="AI4" i="10"/>
  <c r="AJ4" i="10" l="1"/>
  <c r="AK6" i="10"/>
  <c r="AL6" i="10" l="1"/>
  <c r="AK4" i="10"/>
  <c r="AL4" i="10" l="1"/>
  <c r="AM6" i="10"/>
  <c r="AM4" i="10" l="1"/>
  <c r="AN6" i="10"/>
  <c r="AO6" i="10" l="1"/>
  <c r="AN4" i="10"/>
  <c r="AP6" i="10" l="1"/>
  <c r="AO4" i="10"/>
  <c r="AQ6" i="10" l="1"/>
  <c r="AP4" i="10"/>
  <c r="AR6" i="10" l="1"/>
  <c r="AQ4" i="10"/>
  <c r="AS6" i="10" l="1"/>
  <c r="AR4" i="10"/>
  <c r="AT6" i="10" l="1"/>
  <c r="AS4" i="10"/>
  <c r="AU6" i="10" l="1"/>
  <c r="AT4" i="10"/>
  <c r="AV6" i="10" l="1"/>
  <c r="AV4" i="10" s="1"/>
  <c r="AU4" i="10"/>
  <c r="G6" i="8" l="1"/>
  <c r="H6" i="8" s="1"/>
  <c r="I6" i="8" s="1"/>
  <c r="J6" i="8" s="1"/>
  <c r="K6" i="8" s="1"/>
  <c r="L6" i="8" s="1"/>
  <c r="M6" i="8" s="1"/>
  <c r="N6" i="8" s="1"/>
  <c r="O6" i="8" s="1"/>
  <c r="G1" i="8"/>
  <c r="H1" i="8" s="1"/>
  <c r="I1" i="8" s="1"/>
  <c r="J1" i="8" s="1"/>
  <c r="K1" i="8" s="1"/>
  <c r="L1" i="8" s="1"/>
  <c r="M1" i="8" s="1"/>
  <c r="N1" i="8" s="1"/>
  <c r="O1" i="8" s="1"/>
  <c r="AJ211" i="7"/>
  <c r="AI211" i="7"/>
  <c r="AH211" i="7"/>
  <c r="AG211" i="7"/>
  <c r="AF211" i="7"/>
  <c r="AE211" i="7"/>
  <c r="AD211" i="7"/>
  <c r="AC211" i="7"/>
  <c r="AB211" i="7"/>
  <c r="H211" i="7" s="1"/>
  <c r="AA211" i="7"/>
  <c r="Z211" i="7"/>
  <c r="Y211" i="7"/>
  <c r="X211" i="7"/>
  <c r="G211" i="7" s="1"/>
  <c r="W211" i="7"/>
  <c r="V211" i="7"/>
  <c r="U211" i="7"/>
  <c r="T211" i="7"/>
  <c r="S211" i="7"/>
  <c r="R211" i="7"/>
  <c r="Q211" i="7"/>
  <c r="Q197" i="7"/>
  <c r="R197" i="7"/>
  <c r="S197" i="7"/>
  <c r="T197" i="7"/>
  <c r="F197" i="7" s="1"/>
  <c r="U197" i="7"/>
  <c r="V197" i="7"/>
  <c r="W197" i="7"/>
  <c r="X197" i="7"/>
  <c r="G197" i="7" s="1"/>
  <c r="Y197" i="7"/>
  <c r="Z197" i="7"/>
  <c r="AA197" i="7"/>
  <c r="AB197" i="7"/>
  <c r="H197" i="7" s="1"/>
  <c r="AC197" i="7"/>
  <c r="AD197" i="7"/>
  <c r="AE197" i="7"/>
  <c r="AF197" i="7"/>
  <c r="I197" i="7" s="1"/>
  <c r="AG197" i="7"/>
  <c r="AH197" i="7"/>
  <c r="AI197" i="7"/>
  <c r="AJ197" i="7"/>
  <c r="J197" i="7" s="1"/>
  <c r="Q198" i="7"/>
  <c r="R198" i="7"/>
  <c r="S198" i="7"/>
  <c r="T198" i="7"/>
  <c r="F198" i="7" s="1"/>
  <c r="U198" i="7"/>
  <c r="V198" i="7"/>
  <c r="W198" i="7"/>
  <c r="X198" i="7"/>
  <c r="G198" i="7" s="1"/>
  <c r="Y198" i="7"/>
  <c r="Z198" i="7"/>
  <c r="AA198" i="7"/>
  <c r="AB198" i="7"/>
  <c r="H198" i="7" s="1"/>
  <c r="AC198" i="7"/>
  <c r="AD198" i="7"/>
  <c r="AE198" i="7"/>
  <c r="AF198" i="7"/>
  <c r="I198" i="7" s="1"/>
  <c r="AG198" i="7"/>
  <c r="AH198" i="7"/>
  <c r="AI198" i="7"/>
  <c r="AJ198" i="7"/>
  <c r="J198" i="7" s="1"/>
  <c r="Q199" i="7"/>
  <c r="R199" i="7"/>
  <c r="S199" i="7"/>
  <c r="T199" i="7"/>
  <c r="F199" i="7" s="1"/>
  <c r="U199" i="7"/>
  <c r="V199" i="7"/>
  <c r="W199" i="7"/>
  <c r="X199" i="7"/>
  <c r="G199" i="7" s="1"/>
  <c r="Y199" i="7"/>
  <c r="Z199" i="7"/>
  <c r="AA199" i="7"/>
  <c r="AB199" i="7"/>
  <c r="H199" i="7" s="1"/>
  <c r="AC199" i="7"/>
  <c r="AD199" i="7"/>
  <c r="AE199" i="7"/>
  <c r="AF199" i="7"/>
  <c r="I199" i="7" s="1"/>
  <c r="AG199" i="7"/>
  <c r="AH199" i="7"/>
  <c r="AI199" i="7"/>
  <c r="AJ199" i="7"/>
  <c r="J199" i="7" s="1"/>
  <c r="AJ196" i="7"/>
  <c r="AI196" i="7"/>
  <c r="AH196" i="7"/>
  <c r="AG196" i="7"/>
  <c r="AF196" i="7"/>
  <c r="I196" i="7" s="1"/>
  <c r="AE196" i="7"/>
  <c r="AD196" i="7"/>
  <c r="AC196" i="7"/>
  <c r="AB196" i="7"/>
  <c r="H196" i="7" s="1"/>
  <c r="AA196" i="7"/>
  <c r="Z196" i="7"/>
  <c r="Y196" i="7"/>
  <c r="X196" i="7"/>
  <c r="W196" i="7"/>
  <c r="V196" i="7"/>
  <c r="U196" i="7"/>
  <c r="T196" i="7"/>
  <c r="F196" i="7" s="1"/>
  <c r="S196" i="7"/>
  <c r="R196" i="7"/>
  <c r="Q196" i="7"/>
  <c r="G196" i="7" l="1"/>
  <c r="J196" i="7"/>
  <c r="F211" i="7"/>
  <c r="I211" i="7"/>
  <c r="J211" i="7"/>
  <c r="AJ191" i="7" l="1"/>
  <c r="J191" i="7" s="1"/>
  <c r="AI191" i="7"/>
  <c r="AH191" i="7"/>
  <c r="AG191" i="7"/>
  <c r="AF191" i="7"/>
  <c r="I191" i="7" s="1"/>
  <c r="AE191" i="7"/>
  <c r="AD191" i="7"/>
  <c r="AC191" i="7"/>
  <c r="AB191" i="7"/>
  <c r="AA191" i="7"/>
  <c r="Z191" i="7"/>
  <c r="Y191" i="7"/>
  <c r="X191" i="7"/>
  <c r="W191" i="7"/>
  <c r="V191" i="7"/>
  <c r="U191" i="7"/>
  <c r="T191" i="7"/>
  <c r="F191" i="7" s="1"/>
  <c r="S191" i="7"/>
  <c r="R191" i="7"/>
  <c r="Q191" i="7"/>
  <c r="AJ188" i="7"/>
  <c r="J188" i="7" s="1"/>
  <c r="AI188" i="7"/>
  <c r="AH188" i="7"/>
  <c r="AG188" i="7"/>
  <c r="AF188" i="7"/>
  <c r="I188" i="7" s="1"/>
  <c r="AE188" i="7"/>
  <c r="AD188" i="7"/>
  <c r="AC188" i="7"/>
  <c r="AB188" i="7"/>
  <c r="H188" i="7" s="1"/>
  <c r="AA188" i="7"/>
  <c r="Z188" i="7"/>
  <c r="Y188" i="7"/>
  <c r="X188" i="7"/>
  <c r="W188" i="7"/>
  <c r="V188" i="7"/>
  <c r="U188" i="7"/>
  <c r="T188" i="7"/>
  <c r="F188" i="7" s="1"/>
  <c r="S188" i="7"/>
  <c r="R188" i="7"/>
  <c r="Q188" i="7"/>
  <c r="AJ185" i="7"/>
  <c r="J185" i="7" s="1"/>
  <c r="AI185" i="7"/>
  <c r="AH185" i="7"/>
  <c r="AG185" i="7"/>
  <c r="AF185" i="7"/>
  <c r="I185" i="7" s="1"/>
  <c r="AE185" i="7"/>
  <c r="AD185" i="7"/>
  <c r="AC185" i="7"/>
  <c r="AB185" i="7"/>
  <c r="H185" i="7" s="1"/>
  <c r="AA185" i="7"/>
  <c r="Z185" i="7"/>
  <c r="Y185" i="7"/>
  <c r="X185" i="7"/>
  <c r="W185" i="7"/>
  <c r="V185" i="7"/>
  <c r="U185" i="7"/>
  <c r="T185" i="7"/>
  <c r="F185" i="7" s="1"/>
  <c r="S185" i="7"/>
  <c r="R185" i="7"/>
  <c r="Q185" i="7"/>
  <c r="AJ182" i="7"/>
  <c r="J182" i="7" s="1"/>
  <c r="AI182" i="7"/>
  <c r="AH182" i="7"/>
  <c r="AG182" i="7"/>
  <c r="AF182" i="7"/>
  <c r="I182" i="7" s="1"/>
  <c r="AE182" i="7"/>
  <c r="AD182" i="7"/>
  <c r="AC182" i="7"/>
  <c r="AB182" i="7"/>
  <c r="AA182" i="7"/>
  <c r="Z182" i="7"/>
  <c r="Y182" i="7"/>
  <c r="X182" i="7"/>
  <c r="W182" i="7"/>
  <c r="V182" i="7"/>
  <c r="U182" i="7"/>
  <c r="T182" i="7"/>
  <c r="F182" i="7" s="1"/>
  <c r="S182" i="7"/>
  <c r="R182" i="7"/>
  <c r="Q182" i="7"/>
  <c r="AJ179" i="7"/>
  <c r="J179" i="7" s="1"/>
  <c r="AI179" i="7"/>
  <c r="AH179" i="7"/>
  <c r="AG179" i="7"/>
  <c r="AF179" i="7"/>
  <c r="I179" i="7" s="1"/>
  <c r="AE179" i="7"/>
  <c r="AD179" i="7"/>
  <c r="AC179" i="7"/>
  <c r="AB179" i="7"/>
  <c r="H179" i="7" s="1"/>
  <c r="AA179" i="7"/>
  <c r="Z179" i="7"/>
  <c r="Y179" i="7"/>
  <c r="X179" i="7"/>
  <c r="W179" i="7"/>
  <c r="V179" i="7"/>
  <c r="U179" i="7"/>
  <c r="T179" i="7"/>
  <c r="S179" i="7"/>
  <c r="R179" i="7"/>
  <c r="Q179" i="7"/>
  <c r="AJ176" i="7"/>
  <c r="AI176" i="7"/>
  <c r="AH176" i="7"/>
  <c r="AG176" i="7"/>
  <c r="AF176" i="7"/>
  <c r="I176" i="7" s="1"/>
  <c r="AE176" i="7"/>
  <c r="AD176" i="7"/>
  <c r="AC176" i="7"/>
  <c r="AB176" i="7"/>
  <c r="H176" i="7" s="1"/>
  <c r="AA176" i="7"/>
  <c r="Z176" i="7"/>
  <c r="Y176" i="7"/>
  <c r="X176" i="7"/>
  <c r="W176" i="7"/>
  <c r="V176" i="7"/>
  <c r="U176" i="7"/>
  <c r="T176" i="7"/>
  <c r="F176" i="7" s="1"/>
  <c r="S176" i="7"/>
  <c r="R176" i="7"/>
  <c r="Q176" i="7"/>
  <c r="AJ173" i="7"/>
  <c r="AI173" i="7"/>
  <c r="AH173" i="7"/>
  <c r="AG173" i="7"/>
  <c r="AF173" i="7"/>
  <c r="AE173" i="7"/>
  <c r="AD173" i="7"/>
  <c r="AC173" i="7"/>
  <c r="AB173" i="7"/>
  <c r="H173" i="7" s="1"/>
  <c r="AA173" i="7"/>
  <c r="Z173" i="7"/>
  <c r="Y173" i="7"/>
  <c r="X173" i="7"/>
  <c r="G173" i="7" s="1"/>
  <c r="W173" i="7"/>
  <c r="V173" i="7"/>
  <c r="U173" i="7"/>
  <c r="T173" i="7"/>
  <c r="S173" i="7"/>
  <c r="R173" i="7"/>
  <c r="Q173" i="7"/>
  <c r="AJ170" i="7"/>
  <c r="AI170" i="7"/>
  <c r="AH170" i="7"/>
  <c r="AG170" i="7"/>
  <c r="AF170" i="7"/>
  <c r="AE170" i="7"/>
  <c r="AD170" i="7"/>
  <c r="AC170" i="7"/>
  <c r="AB170" i="7"/>
  <c r="H170" i="7" s="1"/>
  <c r="AA170" i="7"/>
  <c r="Z170" i="7"/>
  <c r="Y170" i="7"/>
  <c r="X170" i="7"/>
  <c r="G170" i="7" s="1"/>
  <c r="W170" i="7"/>
  <c r="V170" i="7"/>
  <c r="U170" i="7"/>
  <c r="T170" i="7"/>
  <c r="S170" i="7"/>
  <c r="R170" i="7"/>
  <c r="Q170" i="7"/>
  <c r="AJ167" i="7"/>
  <c r="AI167" i="7"/>
  <c r="AH167" i="7"/>
  <c r="AG167" i="7"/>
  <c r="AF167" i="7"/>
  <c r="AE167" i="7"/>
  <c r="AD167" i="7"/>
  <c r="AC167" i="7"/>
  <c r="AB167" i="7"/>
  <c r="H167" i="7" s="1"/>
  <c r="AA167" i="7"/>
  <c r="Z167" i="7"/>
  <c r="Y167" i="7"/>
  <c r="X167" i="7"/>
  <c r="G167" i="7" s="1"/>
  <c r="W167" i="7"/>
  <c r="V167" i="7"/>
  <c r="U167" i="7"/>
  <c r="T167" i="7"/>
  <c r="S167" i="7"/>
  <c r="R167" i="7"/>
  <c r="Q167" i="7"/>
  <c r="AJ164" i="7"/>
  <c r="J164" i="7" s="1"/>
  <c r="AI164" i="7"/>
  <c r="AH164" i="7"/>
  <c r="AG164" i="7"/>
  <c r="AF164" i="7"/>
  <c r="I164" i="7" s="1"/>
  <c r="AE164" i="7"/>
  <c r="AD164" i="7"/>
  <c r="AC164" i="7"/>
  <c r="AB164" i="7"/>
  <c r="H164" i="7" s="1"/>
  <c r="AA164" i="7"/>
  <c r="Z164" i="7"/>
  <c r="Y164" i="7"/>
  <c r="X164" i="7"/>
  <c r="W164" i="7"/>
  <c r="V164" i="7"/>
  <c r="U164" i="7"/>
  <c r="T164" i="7"/>
  <c r="F164" i="7" s="1"/>
  <c r="S164" i="7"/>
  <c r="R164" i="7"/>
  <c r="Q164" i="7"/>
  <c r="AJ161" i="7"/>
  <c r="J161" i="7" s="1"/>
  <c r="AI161" i="7"/>
  <c r="AH161" i="7"/>
  <c r="AG161" i="7"/>
  <c r="AF161" i="7"/>
  <c r="I161" i="7" s="1"/>
  <c r="AE161" i="7"/>
  <c r="AD161" i="7"/>
  <c r="AC161" i="7"/>
  <c r="AB161" i="7"/>
  <c r="AA161" i="7"/>
  <c r="Z161" i="7"/>
  <c r="Y161" i="7"/>
  <c r="X161" i="7"/>
  <c r="G161" i="7" s="1"/>
  <c r="W161" i="7"/>
  <c r="V161" i="7"/>
  <c r="U161" i="7"/>
  <c r="T161" i="7"/>
  <c r="F161" i="7" s="1"/>
  <c r="S161" i="7"/>
  <c r="R161" i="7"/>
  <c r="Q161" i="7"/>
  <c r="AJ158" i="7"/>
  <c r="AI158" i="7"/>
  <c r="AH158" i="7"/>
  <c r="AG158" i="7"/>
  <c r="AF158" i="7"/>
  <c r="I158" i="7" s="1"/>
  <c r="AE158" i="7"/>
  <c r="AD158" i="7"/>
  <c r="AC158" i="7"/>
  <c r="AB158" i="7"/>
  <c r="H158" i="7" s="1"/>
  <c r="AA158" i="7"/>
  <c r="Z158" i="7"/>
  <c r="Y158" i="7"/>
  <c r="X158" i="7"/>
  <c r="W158" i="7"/>
  <c r="V158" i="7"/>
  <c r="U158" i="7"/>
  <c r="T158" i="7"/>
  <c r="F158" i="7" s="1"/>
  <c r="S158" i="7"/>
  <c r="R158" i="7"/>
  <c r="Q158" i="7"/>
  <c r="AJ155" i="7"/>
  <c r="J155" i="7" s="1"/>
  <c r="AI155" i="7"/>
  <c r="AH155" i="7"/>
  <c r="AG155" i="7"/>
  <c r="AF155" i="7"/>
  <c r="I155" i="7" s="1"/>
  <c r="AE155" i="7"/>
  <c r="AD155" i="7"/>
  <c r="AC155" i="7"/>
  <c r="AB155" i="7"/>
  <c r="H155" i="7" s="1"/>
  <c r="AA155" i="7"/>
  <c r="Z155" i="7"/>
  <c r="Y155" i="7"/>
  <c r="X155" i="7"/>
  <c r="W155" i="7"/>
  <c r="V155" i="7"/>
  <c r="U155" i="7"/>
  <c r="T155" i="7"/>
  <c r="F155" i="7" s="1"/>
  <c r="S155" i="7"/>
  <c r="R155" i="7"/>
  <c r="Q155" i="7"/>
  <c r="AJ152" i="7"/>
  <c r="AI152" i="7"/>
  <c r="AH152" i="7"/>
  <c r="AG152" i="7"/>
  <c r="AF152" i="7"/>
  <c r="I152" i="7" s="1"/>
  <c r="AE152" i="7"/>
  <c r="AD152" i="7"/>
  <c r="AC152" i="7"/>
  <c r="AB152" i="7"/>
  <c r="H152" i="7" s="1"/>
  <c r="AA152" i="7"/>
  <c r="Z152" i="7"/>
  <c r="Y152" i="7"/>
  <c r="X152" i="7"/>
  <c r="G152" i="7" s="1"/>
  <c r="W152" i="7"/>
  <c r="V152" i="7"/>
  <c r="U152" i="7"/>
  <c r="T152" i="7"/>
  <c r="S152" i="7"/>
  <c r="R152" i="7"/>
  <c r="Q152" i="7"/>
  <c r="AJ149" i="7"/>
  <c r="AI149" i="7"/>
  <c r="AH149" i="7"/>
  <c r="AG149" i="7"/>
  <c r="AF149" i="7"/>
  <c r="AE149" i="7"/>
  <c r="AD149" i="7"/>
  <c r="AC149" i="7"/>
  <c r="AB149" i="7"/>
  <c r="H149" i="7" s="1"/>
  <c r="AA149" i="7"/>
  <c r="Z149" i="7"/>
  <c r="Y149" i="7"/>
  <c r="X149" i="7"/>
  <c r="G149" i="7" s="1"/>
  <c r="W149" i="7"/>
  <c r="V149" i="7"/>
  <c r="U149" i="7"/>
  <c r="T149" i="7"/>
  <c r="S149" i="7"/>
  <c r="R149" i="7"/>
  <c r="Q149" i="7"/>
  <c r="AJ144" i="7"/>
  <c r="AI144" i="7"/>
  <c r="AH144" i="7"/>
  <c r="AG144" i="7"/>
  <c r="AF144" i="7"/>
  <c r="AE144" i="7"/>
  <c r="AD144" i="7"/>
  <c r="AC144" i="7"/>
  <c r="AB144" i="7"/>
  <c r="H144" i="7" s="1"/>
  <c r="AA144" i="7"/>
  <c r="Z144" i="7"/>
  <c r="Y144" i="7"/>
  <c r="X144" i="7"/>
  <c r="W144" i="7"/>
  <c r="V144" i="7"/>
  <c r="U144" i="7"/>
  <c r="T144" i="7"/>
  <c r="S144" i="7"/>
  <c r="R144" i="7"/>
  <c r="Q144" i="7"/>
  <c r="AJ141" i="7"/>
  <c r="AI141" i="7"/>
  <c r="AH141" i="7"/>
  <c r="AG141" i="7"/>
  <c r="AF141" i="7"/>
  <c r="AE141" i="7"/>
  <c r="AD141" i="7"/>
  <c r="AC141" i="7"/>
  <c r="AB141" i="7"/>
  <c r="H141" i="7" s="1"/>
  <c r="AA141" i="7"/>
  <c r="Z141" i="7"/>
  <c r="Y141" i="7"/>
  <c r="X141" i="7"/>
  <c r="W141" i="7"/>
  <c r="V141" i="7"/>
  <c r="U141" i="7"/>
  <c r="T141" i="7"/>
  <c r="S141" i="7"/>
  <c r="R141" i="7"/>
  <c r="Q141" i="7"/>
  <c r="AJ138" i="7"/>
  <c r="AI138" i="7"/>
  <c r="AH138" i="7"/>
  <c r="AG138" i="7"/>
  <c r="AF138" i="7"/>
  <c r="AE138" i="7"/>
  <c r="AD138" i="7"/>
  <c r="AC138" i="7"/>
  <c r="AB138" i="7"/>
  <c r="H138" i="7" s="1"/>
  <c r="AA138" i="7"/>
  <c r="Z138" i="7"/>
  <c r="Y138" i="7"/>
  <c r="X138" i="7"/>
  <c r="G138" i="7" s="1"/>
  <c r="W138" i="7"/>
  <c r="V138" i="7"/>
  <c r="U138" i="7"/>
  <c r="T138" i="7"/>
  <c r="S138" i="7"/>
  <c r="R138" i="7"/>
  <c r="Q138" i="7"/>
  <c r="AJ135" i="7"/>
  <c r="AI135" i="7"/>
  <c r="AH135" i="7"/>
  <c r="AG135" i="7"/>
  <c r="AF135" i="7"/>
  <c r="I135" i="7" s="1"/>
  <c r="AE135" i="7"/>
  <c r="AD135" i="7"/>
  <c r="AC135" i="7"/>
  <c r="AB135" i="7"/>
  <c r="H135" i="7" s="1"/>
  <c r="AA135" i="7"/>
  <c r="Z135" i="7"/>
  <c r="Y135" i="7"/>
  <c r="X135" i="7"/>
  <c r="G135" i="7" s="1"/>
  <c r="W135" i="7"/>
  <c r="V135" i="7"/>
  <c r="U135" i="7"/>
  <c r="T135" i="7"/>
  <c r="S135" i="7"/>
  <c r="R135" i="7"/>
  <c r="Q135" i="7"/>
  <c r="AJ132" i="7"/>
  <c r="AI132" i="7"/>
  <c r="AH132" i="7"/>
  <c r="AG132" i="7"/>
  <c r="AF132" i="7"/>
  <c r="I132" i="7" s="1"/>
  <c r="AE132" i="7"/>
  <c r="AD132" i="7"/>
  <c r="AC132" i="7"/>
  <c r="AB132" i="7"/>
  <c r="AA132" i="7"/>
  <c r="Z132" i="7"/>
  <c r="Y132" i="7"/>
  <c r="X132" i="7"/>
  <c r="G132" i="7" s="1"/>
  <c r="W132" i="7"/>
  <c r="V132" i="7"/>
  <c r="U132" i="7"/>
  <c r="T132" i="7"/>
  <c r="S132" i="7"/>
  <c r="R132" i="7"/>
  <c r="Q132" i="7"/>
  <c r="AJ129" i="7"/>
  <c r="AI129" i="7"/>
  <c r="AH129" i="7"/>
  <c r="AG129" i="7"/>
  <c r="AF129" i="7"/>
  <c r="AE129" i="7"/>
  <c r="AD129" i="7"/>
  <c r="AC129" i="7"/>
  <c r="AB129" i="7"/>
  <c r="H129" i="7" s="1"/>
  <c r="AA129" i="7"/>
  <c r="Z129" i="7"/>
  <c r="Y129" i="7"/>
  <c r="X129" i="7"/>
  <c r="G129" i="7" s="1"/>
  <c r="W129" i="7"/>
  <c r="V129" i="7"/>
  <c r="U129" i="7"/>
  <c r="T129" i="7"/>
  <c r="S129" i="7"/>
  <c r="R129" i="7"/>
  <c r="Q129" i="7"/>
  <c r="AJ124" i="7"/>
  <c r="AI124" i="7"/>
  <c r="AH124" i="7"/>
  <c r="AG124" i="7"/>
  <c r="AF124" i="7"/>
  <c r="AE124" i="7"/>
  <c r="AD124" i="7"/>
  <c r="AC124" i="7"/>
  <c r="AB124" i="7"/>
  <c r="AA124" i="7"/>
  <c r="Z124" i="7"/>
  <c r="Y124" i="7"/>
  <c r="X124" i="7"/>
  <c r="G124" i="7" s="1"/>
  <c r="W124" i="7"/>
  <c r="V124" i="7"/>
  <c r="U124" i="7"/>
  <c r="T124" i="7"/>
  <c r="S124" i="7"/>
  <c r="R124" i="7"/>
  <c r="Q124" i="7"/>
  <c r="AJ121" i="7"/>
  <c r="AI121" i="7"/>
  <c r="AH121" i="7"/>
  <c r="AG121" i="7"/>
  <c r="AF121" i="7"/>
  <c r="I121" i="7" s="1"/>
  <c r="AE121" i="7"/>
  <c r="AD121" i="7"/>
  <c r="AC121" i="7"/>
  <c r="AB121" i="7"/>
  <c r="AA121" i="7"/>
  <c r="Z121" i="7"/>
  <c r="Y121" i="7"/>
  <c r="X121" i="7"/>
  <c r="G121" i="7" s="1"/>
  <c r="W121" i="7"/>
  <c r="V121" i="7"/>
  <c r="U121" i="7"/>
  <c r="T121" i="7"/>
  <c r="S121" i="7"/>
  <c r="R121" i="7"/>
  <c r="Q121" i="7"/>
  <c r="AJ118" i="7"/>
  <c r="AI118" i="7"/>
  <c r="AH118" i="7"/>
  <c r="AG118" i="7"/>
  <c r="AF118" i="7"/>
  <c r="I118" i="7" s="1"/>
  <c r="AE118" i="7"/>
  <c r="AD118" i="7"/>
  <c r="AC118" i="7"/>
  <c r="AB118" i="7"/>
  <c r="H118" i="7" s="1"/>
  <c r="AA118" i="7"/>
  <c r="Z118" i="7"/>
  <c r="Y118" i="7"/>
  <c r="X118" i="7"/>
  <c r="G118" i="7" s="1"/>
  <c r="W118" i="7"/>
  <c r="V118" i="7"/>
  <c r="U118" i="7"/>
  <c r="T118" i="7"/>
  <c r="S118" i="7"/>
  <c r="R118" i="7"/>
  <c r="Q118" i="7"/>
  <c r="AJ115" i="7"/>
  <c r="AI115" i="7"/>
  <c r="AH115" i="7"/>
  <c r="AG115" i="7"/>
  <c r="AF115" i="7"/>
  <c r="AE115" i="7"/>
  <c r="AD115" i="7"/>
  <c r="AC115" i="7"/>
  <c r="AB115" i="7"/>
  <c r="H115" i="7" s="1"/>
  <c r="AA115" i="7"/>
  <c r="Z115" i="7"/>
  <c r="Y115" i="7"/>
  <c r="X115" i="7"/>
  <c r="G115" i="7" s="1"/>
  <c r="W115" i="7"/>
  <c r="V115" i="7"/>
  <c r="U115" i="7"/>
  <c r="T115" i="7"/>
  <c r="S115" i="7"/>
  <c r="R115" i="7"/>
  <c r="Q115" i="7"/>
  <c r="E73" i="2"/>
  <c r="F73" i="2"/>
  <c r="G73" i="2"/>
  <c r="H73" i="2"/>
  <c r="I73" i="2"/>
  <c r="E74" i="2"/>
  <c r="F74" i="2"/>
  <c r="G74" i="2"/>
  <c r="H74" i="2"/>
  <c r="I74" i="2"/>
  <c r="AJ112" i="7"/>
  <c r="J112" i="7" s="1"/>
  <c r="AI112" i="7"/>
  <c r="AH112" i="7"/>
  <c r="AG112" i="7"/>
  <c r="AF112" i="7"/>
  <c r="AE112" i="7"/>
  <c r="AD112" i="7"/>
  <c r="AC112" i="7"/>
  <c r="AB112" i="7"/>
  <c r="H112" i="7" s="1"/>
  <c r="AA112" i="7"/>
  <c r="Z112" i="7"/>
  <c r="Y112" i="7"/>
  <c r="X112" i="7"/>
  <c r="G112" i="7" s="1"/>
  <c r="W112" i="7"/>
  <c r="V112" i="7"/>
  <c r="U112" i="7"/>
  <c r="T112" i="7"/>
  <c r="S112" i="7"/>
  <c r="R112" i="7"/>
  <c r="Q112" i="7"/>
  <c r="AJ109" i="7"/>
  <c r="J109" i="7" s="1"/>
  <c r="AI109" i="7"/>
  <c r="AH109" i="7"/>
  <c r="AG109" i="7"/>
  <c r="AF109" i="7"/>
  <c r="AE109" i="7"/>
  <c r="AD109" i="7"/>
  <c r="AC109" i="7"/>
  <c r="AB109" i="7"/>
  <c r="H109" i="7" s="1"/>
  <c r="AA109" i="7"/>
  <c r="Z109" i="7"/>
  <c r="Y109" i="7"/>
  <c r="X109" i="7"/>
  <c r="W109" i="7"/>
  <c r="V109" i="7"/>
  <c r="U109" i="7"/>
  <c r="T109" i="7"/>
  <c r="S109" i="7"/>
  <c r="R109" i="7"/>
  <c r="Q109" i="7"/>
  <c r="AJ106" i="7"/>
  <c r="J106" i="7" s="1"/>
  <c r="AI106" i="7"/>
  <c r="AH106" i="7"/>
  <c r="AG106" i="7"/>
  <c r="AF106" i="7"/>
  <c r="AE106" i="7"/>
  <c r="AD106" i="7"/>
  <c r="AC106" i="7"/>
  <c r="AB106" i="7"/>
  <c r="H106" i="7" s="1"/>
  <c r="AA106" i="7"/>
  <c r="Z106" i="7"/>
  <c r="Y106" i="7"/>
  <c r="X106" i="7"/>
  <c r="G106" i="7" s="1"/>
  <c r="W106" i="7"/>
  <c r="V106" i="7"/>
  <c r="U106" i="7"/>
  <c r="T106" i="7"/>
  <c r="S106" i="7"/>
  <c r="R106" i="7"/>
  <c r="Q106" i="7"/>
  <c r="AJ103" i="7"/>
  <c r="AI103" i="7"/>
  <c r="AH103" i="7"/>
  <c r="AG103" i="7"/>
  <c r="AF103" i="7"/>
  <c r="I103" i="7" s="1"/>
  <c r="AE103" i="7"/>
  <c r="AD103" i="7"/>
  <c r="AC103" i="7"/>
  <c r="AB103" i="7"/>
  <c r="H103" i="7" s="1"/>
  <c r="AA103" i="7"/>
  <c r="Z103" i="7"/>
  <c r="Y103" i="7"/>
  <c r="X103" i="7"/>
  <c r="G103" i="7" s="1"/>
  <c r="W103" i="7"/>
  <c r="V103" i="7"/>
  <c r="U103" i="7"/>
  <c r="T103" i="7"/>
  <c r="S103" i="7"/>
  <c r="R103" i="7"/>
  <c r="Q103" i="7"/>
  <c r="AJ100" i="7"/>
  <c r="AI100" i="7"/>
  <c r="AH100" i="7"/>
  <c r="AG100" i="7"/>
  <c r="AF100" i="7"/>
  <c r="I100" i="7" s="1"/>
  <c r="AE100" i="7"/>
  <c r="AD100" i="7"/>
  <c r="AC100" i="7"/>
  <c r="AB100" i="7"/>
  <c r="H100" i="7" s="1"/>
  <c r="AA100" i="7"/>
  <c r="Z100" i="7"/>
  <c r="Y100" i="7"/>
  <c r="X100" i="7"/>
  <c r="G100" i="7" s="1"/>
  <c r="W100" i="7"/>
  <c r="V100" i="7"/>
  <c r="U100" i="7"/>
  <c r="T100" i="7"/>
  <c r="S100" i="7"/>
  <c r="R100" i="7"/>
  <c r="Q100" i="7"/>
  <c r="AJ97" i="7"/>
  <c r="AI97" i="7"/>
  <c r="AH97" i="7"/>
  <c r="AG97" i="7"/>
  <c r="AF97" i="7"/>
  <c r="I97" i="7" s="1"/>
  <c r="AE97" i="7"/>
  <c r="AD97" i="7"/>
  <c r="AC97" i="7"/>
  <c r="AB97" i="7"/>
  <c r="H97" i="7" s="1"/>
  <c r="AA97" i="7"/>
  <c r="Z97" i="7"/>
  <c r="Y97" i="7"/>
  <c r="X97" i="7"/>
  <c r="G97" i="7" s="1"/>
  <c r="W97" i="7"/>
  <c r="V97" i="7"/>
  <c r="U97" i="7"/>
  <c r="T97" i="7"/>
  <c r="S97" i="7"/>
  <c r="R97" i="7"/>
  <c r="Q97" i="7"/>
  <c r="AJ94" i="7"/>
  <c r="AI94" i="7"/>
  <c r="AH94" i="7"/>
  <c r="AG94" i="7"/>
  <c r="AF94" i="7"/>
  <c r="I94" i="7" s="1"/>
  <c r="AE94" i="7"/>
  <c r="AD94" i="7"/>
  <c r="AC94" i="7"/>
  <c r="AB94" i="7"/>
  <c r="H94" i="7" s="1"/>
  <c r="AA94" i="7"/>
  <c r="Z94" i="7"/>
  <c r="Y94" i="7"/>
  <c r="X94" i="7"/>
  <c r="G94" i="7" s="1"/>
  <c r="W94" i="7"/>
  <c r="V94" i="7"/>
  <c r="U94" i="7"/>
  <c r="T94" i="7"/>
  <c r="S94" i="7"/>
  <c r="R94" i="7"/>
  <c r="Q94" i="7"/>
  <c r="AJ91" i="7"/>
  <c r="J91" i="7" s="1"/>
  <c r="AI91" i="7"/>
  <c r="AH91" i="7"/>
  <c r="AG91" i="7"/>
  <c r="AF91" i="7"/>
  <c r="AE91" i="7"/>
  <c r="AD91" i="7"/>
  <c r="AC91" i="7"/>
  <c r="AB91" i="7"/>
  <c r="AA91" i="7"/>
  <c r="Z91" i="7"/>
  <c r="Y91" i="7"/>
  <c r="X91" i="7"/>
  <c r="G91" i="7" s="1"/>
  <c r="W91" i="7"/>
  <c r="V91" i="7"/>
  <c r="U91" i="7"/>
  <c r="T91" i="7"/>
  <c r="S91" i="7"/>
  <c r="R91" i="7"/>
  <c r="Q91" i="7"/>
  <c r="AJ88" i="7"/>
  <c r="AI88" i="7"/>
  <c r="AH88" i="7"/>
  <c r="AG88" i="7"/>
  <c r="AF88" i="7"/>
  <c r="I88" i="7" s="1"/>
  <c r="AE88" i="7"/>
  <c r="AD88" i="7"/>
  <c r="AC88" i="7"/>
  <c r="AB88" i="7"/>
  <c r="H88" i="7" s="1"/>
  <c r="AA88" i="7"/>
  <c r="Z88" i="7"/>
  <c r="Y88" i="7"/>
  <c r="X88" i="7"/>
  <c r="G88" i="7" s="1"/>
  <c r="W88" i="7"/>
  <c r="V88" i="7"/>
  <c r="U88" i="7"/>
  <c r="T88" i="7"/>
  <c r="S88" i="7"/>
  <c r="R88" i="7"/>
  <c r="Q88" i="7"/>
  <c r="AJ85" i="7"/>
  <c r="AI85" i="7"/>
  <c r="AH85" i="7"/>
  <c r="AG85" i="7"/>
  <c r="AF85" i="7"/>
  <c r="I85" i="7" s="1"/>
  <c r="AE85" i="7"/>
  <c r="AD85" i="7"/>
  <c r="AC85" i="7"/>
  <c r="AB85" i="7"/>
  <c r="AA85" i="7"/>
  <c r="Z85" i="7"/>
  <c r="Y85" i="7"/>
  <c r="X85" i="7"/>
  <c r="G85" i="7" s="1"/>
  <c r="W85" i="7"/>
  <c r="V85" i="7"/>
  <c r="U85" i="7"/>
  <c r="T85" i="7"/>
  <c r="S85" i="7"/>
  <c r="R85" i="7"/>
  <c r="Q85" i="7"/>
  <c r="AJ82" i="7"/>
  <c r="J82" i="7" s="1"/>
  <c r="AI82" i="7"/>
  <c r="AH82" i="7"/>
  <c r="AG82" i="7"/>
  <c r="AF82" i="7"/>
  <c r="I82" i="7" s="1"/>
  <c r="AE82" i="7"/>
  <c r="AD82" i="7"/>
  <c r="AC82" i="7"/>
  <c r="AB82" i="7"/>
  <c r="H82" i="7" s="1"/>
  <c r="AA82" i="7"/>
  <c r="Z82" i="7"/>
  <c r="Y82" i="7"/>
  <c r="X82" i="7"/>
  <c r="W82" i="7"/>
  <c r="V82" i="7"/>
  <c r="U82" i="7"/>
  <c r="T82" i="7"/>
  <c r="S82" i="7"/>
  <c r="R82" i="7"/>
  <c r="Q82" i="7"/>
  <c r="AJ79" i="7"/>
  <c r="AI79" i="7"/>
  <c r="AH79" i="7"/>
  <c r="AG79" i="7"/>
  <c r="AF79" i="7"/>
  <c r="AE79" i="7"/>
  <c r="AD79" i="7"/>
  <c r="AC79" i="7"/>
  <c r="AB79" i="7"/>
  <c r="AA79" i="7"/>
  <c r="Z79" i="7"/>
  <c r="Y79" i="7"/>
  <c r="X79" i="7"/>
  <c r="W79" i="7"/>
  <c r="V79" i="7"/>
  <c r="U79" i="7"/>
  <c r="T79" i="7"/>
  <c r="F79" i="7" s="1"/>
  <c r="S79" i="7"/>
  <c r="R79" i="7"/>
  <c r="Q79" i="7"/>
  <c r="G75" i="7"/>
  <c r="H75" i="7" s="1"/>
  <c r="I75" i="7" s="1"/>
  <c r="J75" i="7" s="1"/>
  <c r="K75" i="7" s="1"/>
  <c r="L75" i="7" s="1"/>
  <c r="M75" i="7" s="1"/>
  <c r="N75" i="7" s="1"/>
  <c r="O75" i="7" s="1"/>
  <c r="AJ72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AJ66" i="7"/>
  <c r="AI66" i="7"/>
  <c r="AH66" i="7"/>
  <c r="AG66" i="7"/>
  <c r="AF66" i="7"/>
  <c r="AE66" i="7"/>
  <c r="AD66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AJ63" i="7"/>
  <c r="AI63" i="7"/>
  <c r="AH63" i="7"/>
  <c r="AG63" i="7"/>
  <c r="AF63" i="7"/>
  <c r="AE63" i="7"/>
  <c r="AD63" i="7"/>
  <c r="AC63" i="7"/>
  <c r="AB63" i="7"/>
  <c r="AA63" i="7"/>
  <c r="Z63" i="7"/>
  <c r="Y63" i="7"/>
  <c r="X63" i="7"/>
  <c r="W63" i="7"/>
  <c r="V63" i="7"/>
  <c r="U63" i="7"/>
  <c r="T63" i="7"/>
  <c r="S63" i="7"/>
  <c r="R63" i="7"/>
  <c r="Q63" i="7"/>
  <c r="AJ60" i="7"/>
  <c r="AI60" i="7"/>
  <c r="AH60" i="7"/>
  <c r="AG60" i="7"/>
  <c r="AF60" i="7"/>
  <c r="AE60" i="7"/>
  <c r="AD60" i="7"/>
  <c r="AC60" i="7"/>
  <c r="AB60" i="7"/>
  <c r="AA60" i="7"/>
  <c r="Z60" i="7"/>
  <c r="Y60" i="7"/>
  <c r="X60" i="7"/>
  <c r="W60" i="7"/>
  <c r="V60" i="7"/>
  <c r="U60" i="7"/>
  <c r="T60" i="7"/>
  <c r="S60" i="7"/>
  <c r="R60" i="7"/>
  <c r="Q60" i="7"/>
  <c r="AJ127" i="2"/>
  <c r="AJ126" i="2"/>
  <c r="AJ54" i="7"/>
  <c r="AI54" i="7"/>
  <c r="AH54" i="7"/>
  <c r="AG54" i="7"/>
  <c r="AF54" i="7"/>
  <c r="AE54" i="7"/>
  <c r="AD54" i="7"/>
  <c r="AC54" i="7"/>
  <c r="AB54" i="7"/>
  <c r="AA54" i="7"/>
  <c r="Z54" i="7"/>
  <c r="Y54" i="7"/>
  <c r="X54" i="7"/>
  <c r="W54" i="7"/>
  <c r="V54" i="7"/>
  <c r="U54" i="7"/>
  <c r="T54" i="7"/>
  <c r="S54" i="7"/>
  <c r="R54" i="7"/>
  <c r="Q54" i="7"/>
  <c r="AJ48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AJ42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AJ36" i="7"/>
  <c r="AI36" i="7"/>
  <c r="AH36" i="7"/>
  <c r="AG36" i="7"/>
  <c r="AF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AI12" i="7"/>
  <c r="AJ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Q12" i="7"/>
  <c r="Q206" i="7" s="1"/>
  <c r="G8" i="7"/>
  <c r="H8" i="7" s="1"/>
  <c r="I8" i="7" s="1"/>
  <c r="J8" i="7" s="1"/>
  <c r="K8" i="7" s="1"/>
  <c r="L8" i="7" s="1"/>
  <c r="M8" i="7" s="1"/>
  <c r="N8" i="7" s="1"/>
  <c r="O8" i="7" s="1"/>
  <c r="R6" i="7"/>
  <c r="R4" i="7" s="1"/>
  <c r="G6" i="7"/>
  <c r="H6" i="7" s="1"/>
  <c r="I6" i="7" s="1"/>
  <c r="J6" i="7" s="1"/>
  <c r="K6" i="7" s="1"/>
  <c r="L6" i="7" s="1"/>
  <c r="M6" i="7" s="1"/>
  <c r="N6" i="7" s="1"/>
  <c r="O6" i="7" s="1"/>
  <c r="R1" i="7"/>
  <c r="S1" i="7" s="1"/>
  <c r="T1" i="7" s="1"/>
  <c r="U1" i="7" s="1"/>
  <c r="V1" i="7" s="1"/>
  <c r="W1" i="7" s="1"/>
  <c r="X1" i="7" s="1"/>
  <c r="Y1" i="7" s="1"/>
  <c r="Z1" i="7" s="1"/>
  <c r="AA1" i="7" s="1"/>
  <c r="AB1" i="7" s="1"/>
  <c r="AC1" i="7" s="1"/>
  <c r="AD1" i="7" s="1"/>
  <c r="AE1" i="7" s="1"/>
  <c r="AF1" i="7" s="1"/>
  <c r="AG1" i="7" s="1"/>
  <c r="AH1" i="7" s="1"/>
  <c r="AI1" i="7" s="1"/>
  <c r="AJ1" i="7" s="1"/>
  <c r="AK1" i="7" s="1"/>
  <c r="AL1" i="7" s="1"/>
  <c r="AM1" i="7" s="1"/>
  <c r="AN1" i="7" s="1"/>
  <c r="AO1" i="7" s="1"/>
  <c r="AP1" i="7" s="1"/>
  <c r="AQ1" i="7" s="1"/>
  <c r="AR1" i="7" s="1"/>
  <c r="AS1" i="7" s="1"/>
  <c r="AT1" i="7" s="1"/>
  <c r="AU1" i="7" s="1"/>
  <c r="AV1" i="7" s="1"/>
  <c r="AW1" i="7" s="1"/>
  <c r="AX1" i="7" s="1"/>
  <c r="AY1" i="7" s="1"/>
  <c r="AZ1" i="7" s="1"/>
  <c r="BA1" i="7" s="1"/>
  <c r="BB1" i="7" s="1"/>
  <c r="BC1" i="7" s="1"/>
  <c r="BD1" i="7" s="1"/>
  <c r="G1" i="7"/>
  <c r="H1" i="7" s="1"/>
  <c r="I1" i="7" s="1"/>
  <c r="J1" i="7" s="1"/>
  <c r="K1" i="7" s="1"/>
  <c r="L1" i="7" s="1"/>
  <c r="M1" i="7" s="1"/>
  <c r="N1" i="7" s="1"/>
  <c r="O1" i="7" s="1"/>
  <c r="R145" i="3"/>
  <c r="S145" i="3"/>
  <c r="T145" i="3"/>
  <c r="U145" i="3"/>
  <c r="U146" i="3" s="1"/>
  <c r="V145" i="3"/>
  <c r="W145" i="3"/>
  <c r="W146" i="3" s="1"/>
  <c r="X145" i="3"/>
  <c r="Y145" i="3"/>
  <c r="Y146" i="3" s="1"/>
  <c r="Z145" i="3"/>
  <c r="AA145" i="3"/>
  <c r="AB145" i="3"/>
  <c r="AC145" i="3"/>
  <c r="AD145" i="3"/>
  <c r="AE145" i="3"/>
  <c r="AE146" i="3" s="1"/>
  <c r="AF145" i="3"/>
  <c r="AG145" i="3"/>
  <c r="AG146" i="3" s="1"/>
  <c r="AK148" i="3" s="1"/>
  <c r="AH145" i="3"/>
  <c r="AI145" i="3"/>
  <c r="AJ145" i="3"/>
  <c r="Q145" i="3"/>
  <c r="R146" i="3" s="1"/>
  <c r="G143" i="3"/>
  <c r="H143" i="3" s="1"/>
  <c r="I143" i="3" s="1"/>
  <c r="J143" i="3" s="1"/>
  <c r="K143" i="3" s="1"/>
  <c r="L143" i="3" s="1"/>
  <c r="M143" i="3" s="1"/>
  <c r="N143" i="3" s="1"/>
  <c r="O143" i="3" s="1"/>
  <c r="I115" i="3"/>
  <c r="H115" i="3"/>
  <c r="G115" i="3"/>
  <c r="F115" i="3"/>
  <c r="K43" i="3"/>
  <c r="K45" i="3" s="1"/>
  <c r="L43" i="3"/>
  <c r="L45" i="3" s="1"/>
  <c r="M43" i="3"/>
  <c r="M45" i="3" s="1"/>
  <c r="N43" i="3"/>
  <c r="AW43" i="3" s="1"/>
  <c r="O43" i="3"/>
  <c r="BA43" i="3" s="1"/>
  <c r="J43" i="3"/>
  <c r="AJ43" i="3" s="1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E324" i="6"/>
  <c r="F324" i="6" s="1"/>
  <c r="G324" i="6" s="1"/>
  <c r="H324" i="6" s="1"/>
  <c r="I324" i="6" s="1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G110" i="3"/>
  <c r="H110" i="3" s="1"/>
  <c r="I110" i="3" s="1"/>
  <c r="J110" i="3" s="1"/>
  <c r="K110" i="3" s="1"/>
  <c r="L110" i="3" s="1"/>
  <c r="M110" i="3" s="1"/>
  <c r="N110" i="3" s="1"/>
  <c r="O110" i="3" s="1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AG104" i="3"/>
  <c r="AH104" i="3"/>
  <c r="AI104" i="3"/>
  <c r="AJ104" i="3"/>
  <c r="Q104" i="3"/>
  <c r="G102" i="3"/>
  <c r="H102" i="3" s="1"/>
  <c r="I102" i="3" s="1"/>
  <c r="J102" i="3" s="1"/>
  <c r="K102" i="3" s="1"/>
  <c r="L102" i="3" s="1"/>
  <c r="M102" i="3" s="1"/>
  <c r="N102" i="3" s="1"/>
  <c r="O102" i="3" s="1"/>
  <c r="R90" i="3"/>
  <c r="R99" i="3" s="1"/>
  <c r="S90" i="3"/>
  <c r="S99" i="3" s="1"/>
  <c r="T90" i="3"/>
  <c r="T99" i="3" s="1"/>
  <c r="U90" i="3"/>
  <c r="U99" i="3" s="1"/>
  <c r="V90" i="3"/>
  <c r="V99" i="3" s="1"/>
  <c r="W90" i="3"/>
  <c r="W99" i="3" s="1"/>
  <c r="X90" i="3"/>
  <c r="X99" i="3" s="1"/>
  <c r="X100" i="3" s="1"/>
  <c r="Y90" i="3"/>
  <c r="Y99" i="3" s="1"/>
  <c r="Z90" i="3"/>
  <c r="Z99" i="3" s="1"/>
  <c r="AA90" i="3"/>
  <c r="AA99" i="3" s="1"/>
  <c r="AB90" i="3"/>
  <c r="AB99" i="3" s="1"/>
  <c r="AC90" i="3"/>
  <c r="AC99" i="3" s="1"/>
  <c r="AD90" i="3"/>
  <c r="AD99" i="3" s="1"/>
  <c r="AE90" i="3"/>
  <c r="AE99" i="3" s="1"/>
  <c r="AF90" i="3"/>
  <c r="AF99" i="3" s="1"/>
  <c r="AG90" i="3"/>
  <c r="AG99" i="3" s="1"/>
  <c r="AH90" i="3"/>
  <c r="AH99" i="3" s="1"/>
  <c r="AI90" i="3"/>
  <c r="AI99" i="3" s="1"/>
  <c r="AJ90" i="3"/>
  <c r="AJ99" i="3" s="1"/>
  <c r="Q90" i="3"/>
  <c r="Q99" i="3" s="1"/>
  <c r="U94" i="3"/>
  <c r="AI94" i="3"/>
  <c r="AF94" i="3"/>
  <c r="AE94" i="3"/>
  <c r="AD94" i="3"/>
  <c r="AC94" i="3"/>
  <c r="AB94" i="3"/>
  <c r="AA94" i="3"/>
  <c r="Y94" i="3"/>
  <c r="X94" i="3"/>
  <c r="W94" i="3"/>
  <c r="V94" i="3"/>
  <c r="T94" i="3"/>
  <c r="S94" i="3"/>
  <c r="R94" i="3"/>
  <c r="G83" i="3"/>
  <c r="H83" i="3" s="1"/>
  <c r="I83" i="3" s="1"/>
  <c r="J83" i="3" s="1"/>
  <c r="K83" i="3" s="1"/>
  <c r="L83" i="3" s="1"/>
  <c r="M83" i="3" s="1"/>
  <c r="N83" i="3" s="1"/>
  <c r="O83" i="3" s="1"/>
  <c r="T38" i="3"/>
  <c r="U38" i="3"/>
  <c r="AF38" i="3"/>
  <c r="AH38" i="3"/>
  <c r="AR38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O38" i="3"/>
  <c r="N38" i="3"/>
  <c r="M38" i="3"/>
  <c r="M40" i="3" s="1"/>
  <c r="L38" i="3"/>
  <c r="L40" i="3" s="1"/>
  <c r="K38" i="3"/>
  <c r="J38" i="3"/>
  <c r="I38" i="3"/>
  <c r="H38" i="3"/>
  <c r="G38" i="3"/>
  <c r="F38" i="3"/>
  <c r="I320" i="6"/>
  <c r="J320" i="6"/>
  <c r="K320" i="6"/>
  <c r="L320" i="6"/>
  <c r="Q38" i="3" s="1"/>
  <c r="M320" i="6"/>
  <c r="R38" i="3" s="1"/>
  <c r="N320" i="6"/>
  <c r="S38" i="3" s="1"/>
  <c r="O320" i="6"/>
  <c r="P320" i="6"/>
  <c r="Q320" i="6"/>
  <c r="V38" i="3" s="1"/>
  <c r="R320" i="6"/>
  <c r="W38" i="3" s="1"/>
  <c r="S320" i="6"/>
  <c r="X38" i="3" s="1"/>
  <c r="T320" i="6"/>
  <c r="Y38" i="3" s="1"/>
  <c r="U320" i="6"/>
  <c r="Z38" i="3" s="1"/>
  <c r="V320" i="6"/>
  <c r="AA38" i="3" s="1"/>
  <c r="W320" i="6"/>
  <c r="AB38" i="3" s="1"/>
  <c r="X320" i="6"/>
  <c r="AC38" i="3" s="1"/>
  <c r="Y320" i="6"/>
  <c r="AD38" i="3" s="1"/>
  <c r="Z320" i="6"/>
  <c r="AE38" i="3" s="1"/>
  <c r="AA320" i="6"/>
  <c r="AB320" i="6"/>
  <c r="AG38" i="3" s="1"/>
  <c r="AC320" i="6"/>
  <c r="AD320" i="6"/>
  <c r="AI38" i="3" s="1"/>
  <c r="AE320" i="6"/>
  <c r="AJ38" i="3" s="1"/>
  <c r="AF320" i="6"/>
  <c r="AK38" i="3" s="1"/>
  <c r="AG320" i="6"/>
  <c r="AL38" i="3" s="1"/>
  <c r="AH320" i="6"/>
  <c r="AM38" i="3" s="1"/>
  <c r="AI320" i="6"/>
  <c r="AN38" i="3" s="1"/>
  <c r="AJ320" i="6"/>
  <c r="AO38" i="3" s="1"/>
  <c r="AK320" i="6"/>
  <c r="AP38" i="3" s="1"/>
  <c r="AL320" i="6"/>
  <c r="AQ38" i="3" s="1"/>
  <c r="AM320" i="6"/>
  <c r="H320" i="6"/>
  <c r="AQ319" i="6"/>
  <c r="AU319" i="6" s="1"/>
  <c r="AY319" i="6" s="1"/>
  <c r="AP319" i="6"/>
  <c r="AT319" i="6" s="1"/>
  <c r="AX319" i="6" s="1"/>
  <c r="AO319" i="6"/>
  <c r="AS319" i="6" s="1"/>
  <c r="AW319" i="6" s="1"/>
  <c r="AN319" i="6"/>
  <c r="AR319" i="6" s="1"/>
  <c r="AV319" i="6" s="1"/>
  <c r="AQ318" i="6"/>
  <c r="AU318" i="6" s="1"/>
  <c r="AY318" i="6" s="1"/>
  <c r="AP318" i="6"/>
  <c r="AT318" i="6" s="1"/>
  <c r="AX318" i="6" s="1"/>
  <c r="AO318" i="6"/>
  <c r="AS318" i="6" s="1"/>
  <c r="AW318" i="6" s="1"/>
  <c r="AN318" i="6"/>
  <c r="AR318" i="6" s="1"/>
  <c r="AV318" i="6" s="1"/>
  <c r="AQ317" i="6"/>
  <c r="AU317" i="6" s="1"/>
  <c r="AY317" i="6" s="1"/>
  <c r="AP317" i="6"/>
  <c r="AT317" i="6" s="1"/>
  <c r="AX317" i="6" s="1"/>
  <c r="AO317" i="6"/>
  <c r="AS317" i="6" s="1"/>
  <c r="AW317" i="6" s="1"/>
  <c r="AN317" i="6"/>
  <c r="AR317" i="6" s="1"/>
  <c r="AV317" i="6" s="1"/>
  <c r="AQ316" i="6"/>
  <c r="AU316" i="6" s="1"/>
  <c r="AY316" i="6" s="1"/>
  <c r="AP316" i="6"/>
  <c r="AT316" i="6" s="1"/>
  <c r="AX316" i="6" s="1"/>
  <c r="AO316" i="6"/>
  <c r="AS316" i="6" s="1"/>
  <c r="AW316" i="6" s="1"/>
  <c r="AN316" i="6"/>
  <c r="AR316" i="6" s="1"/>
  <c r="AV316" i="6" s="1"/>
  <c r="AQ315" i="6"/>
  <c r="AU315" i="6" s="1"/>
  <c r="AY315" i="6" s="1"/>
  <c r="AP315" i="6"/>
  <c r="AT315" i="6" s="1"/>
  <c r="AX315" i="6" s="1"/>
  <c r="AO315" i="6"/>
  <c r="AS315" i="6" s="1"/>
  <c r="AW315" i="6" s="1"/>
  <c r="AN315" i="6"/>
  <c r="AR315" i="6" s="1"/>
  <c r="AV315" i="6" s="1"/>
  <c r="AQ314" i="6"/>
  <c r="AU314" i="6" s="1"/>
  <c r="AY314" i="6" s="1"/>
  <c r="AP314" i="6"/>
  <c r="AT314" i="6" s="1"/>
  <c r="AX314" i="6" s="1"/>
  <c r="AO314" i="6"/>
  <c r="AS314" i="6" s="1"/>
  <c r="AW314" i="6" s="1"/>
  <c r="AN314" i="6"/>
  <c r="AR314" i="6" s="1"/>
  <c r="AV314" i="6" s="1"/>
  <c r="AQ313" i="6"/>
  <c r="AU313" i="6" s="1"/>
  <c r="AY313" i="6" s="1"/>
  <c r="AP313" i="6"/>
  <c r="AT313" i="6" s="1"/>
  <c r="AX313" i="6" s="1"/>
  <c r="AO313" i="6"/>
  <c r="AS313" i="6" s="1"/>
  <c r="AW313" i="6" s="1"/>
  <c r="AN313" i="6"/>
  <c r="AR313" i="6" s="1"/>
  <c r="AV313" i="6" s="1"/>
  <c r="AQ312" i="6"/>
  <c r="AU312" i="6" s="1"/>
  <c r="AY312" i="6" s="1"/>
  <c r="AP312" i="6"/>
  <c r="AT312" i="6" s="1"/>
  <c r="AX312" i="6" s="1"/>
  <c r="AO312" i="6"/>
  <c r="AS312" i="6" s="1"/>
  <c r="AW312" i="6" s="1"/>
  <c r="AN312" i="6"/>
  <c r="AR312" i="6" s="1"/>
  <c r="AV312" i="6" s="1"/>
  <c r="AS311" i="6"/>
  <c r="AW311" i="6" s="1"/>
  <c r="AR311" i="6"/>
  <c r="AV311" i="6" s="1"/>
  <c r="AQ311" i="6"/>
  <c r="AU311" i="6" s="1"/>
  <c r="AY311" i="6" s="1"/>
  <c r="AP311" i="6"/>
  <c r="AT311" i="6" s="1"/>
  <c r="AX311" i="6" s="1"/>
  <c r="AO311" i="6"/>
  <c r="AN311" i="6"/>
  <c r="AQ310" i="6"/>
  <c r="AU310" i="6" s="1"/>
  <c r="AY310" i="6" s="1"/>
  <c r="AP310" i="6"/>
  <c r="AT310" i="6" s="1"/>
  <c r="AX310" i="6" s="1"/>
  <c r="AO310" i="6"/>
  <c r="AS310" i="6" s="1"/>
  <c r="AW310" i="6" s="1"/>
  <c r="AN310" i="6"/>
  <c r="AR310" i="6" s="1"/>
  <c r="AV310" i="6" s="1"/>
  <c r="AR309" i="6"/>
  <c r="AV309" i="6" s="1"/>
  <c r="AQ309" i="6"/>
  <c r="AU309" i="6" s="1"/>
  <c r="AY309" i="6" s="1"/>
  <c r="AP309" i="6"/>
  <c r="AT309" i="6" s="1"/>
  <c r="AX309" i="6" s="1"/>
  <c r="AO309" i="6"/>
  <c r="AS309" i="6" s="1"/>
  <c r="AW309" i="6" s="1"/>
  <c r="AN309" i="6"/>
  <c r="AQ308" i="6"/>
  <c r="AU308" i="6" s="1"/>
  <c r="AY308" i="6" s="1"/>
  <c r="AP308" i="6"/>
  <c r="AT308" i="6" s="1"/>
  <c r="AX308" i="6" s="1"/>
  <c r="AO308" i="6"/>
  <c r="AS308" i="6" s="1"/>
  <c r="AW308" i="6" s="1"/>
  <c r="AN308" i="6"/>
  <c r="AR308" i="6" s="1"/>
  <c r="AV308" i="6" s="1"/>
  <c r="AQ307" i="6"/>
  <c r="AU307" i="6" s="1"/>
  <c r="AY307" i="6" s="1"/>
  <c r="AP307" i="6"/>
  <c r="AT307" i="6" s="1"/>
  <c r="AX307" i="6" s="1"/>
  <c r="AO307" i="6"/>
  <c r="AS307" i="6" s="1"/>
  <c r="AW307" i="6" s="1"/>
  <c r="AN307" i="6"/>
  <c r="AR307" i="6" s="1"/>
  <c r="AV307" i="6" s="1"/>
  <c r="AQ306" i="6"/>
  <c r="AU306" i="6" s="1"/>
  <c r="AY306" i="6" s="1"/>
  <c r="AP306" i="6"/>
  <c r="AT306" i="6" s="1"/>
  <c r="AX306" i="6" s="1"/>
  <c r="AO306" i="6"/>
  <c r="AS306" i="6" s="1"/>
  <c r="AW306" i="6" s="1"/>
  <c r="AN306" i="6"/>
  <c r="AR306" i="6" s="1"/>
  <c r="AV306" i="6" s="1"/>
  <c r="AQ305" i="6"/>
  <c r="AU305" i="6" s="1"/>
  <c r="AY305" i="6" s="1"/>
  <c r="AP305" i="6"/>
  <c r="AT305" i="6" s="1"/>
  <c r="AX305" i="6" s="1"/>
  <c r="AO305" i="6"/>
  <c r="AS305" i="6" s="1"/>
  <c r="AW305" i="6" s="1"/>
  <c r="AN305" i="6"/>
  <c r="AR305" i="6" s="1"/>
  <c r="AV305" i="6" s="1"/>
  <c r="AQ304" i="6"/>
  <c r="AU304" i="6" s="1"/>
  <c r="AY304" i="6" s="1"/>
  <c r="AP304" i="6"/>
  <c r="AT304" i="6" s="1"/>
  <c r="AX304" i="6" s="1"/>
  <c r="AO304" i="6"/>
  <c r="AS304" i="6" s="1"/>
  <c r="AW304" i="6" s="1"/>
  <c r="AN304" i="6"/>
  <c r="AR304" i="6" s="1"/>
  <c r="AV304" i="6" s="1"/>
  <c r="AQ303" i="6"/>
  <c r="AU303" i="6" s="1"/>
  <c r="AY303" i="6" s="1"/>
  <c r="AP303" i="6"/>
  <c r="AT303" i="6" s="1"/>
  <c r="AX303" i="6" s="1"/>
  <c r="AO303" i="6"/>
  <c r="AS303" i="6" s="1"/>
  <c r="AW303" i="6" s="1"/>
  <c r="AN303" i="6"/>
  <c r="AR303" i="6" s="1"/>
  <c r="AV303" i="6" s="1"/>
  <c r="AQ302" i="6"/>
  <c r="AU302" i="6" s="1"/>
  <c r="AY302" i="6" s="1"/>
  <c r="AP302" i="6"/>
  <c r="AT302" i="6" s="1"/>
  <c r="AX302" i="6" s="1"/>
  <c r="AO302" i="6"/>
  <c r="AS302" i="6" s="1"/>
  <c r="AW302" i="6" s="1"/>
  <c r="AN302" i="6"/>
  <c r="AR302" i="6" s="1"/>
  <c r="AV302" i="6" s="1"/>
  <c r="AQ301" i="6"/>
  <c r="AU301" i="6" s="1"/>
  <c r="AY301" i="6" s="1"/>
  <c r="AP301" i="6"/>
  <c r="AT301" i="6" s="1"/>
  <c r="AX301" i="6" s="1"/>
  <c r="AO301" i="6"/>
  <c r="AS301" i="6" s="1"/>
  <c r="AW301" i="6" s="1"/>
  <c r="AN301" i="6"/>
  <c r="AR301" i="6" s="1"/>
  <c r="AV301" i="6" s="1"/>
  <c r="AQ300" i="6"/>
  <c r="AU300" i="6" s="1"/>
  <c r="AY300" i="6" s="1"/>
  <c r="AP300" i="6"/>
  <c r="AT300" i="6" s="1"/>
  <c r="AX300" i="6" s="1"/>
  <c r="AO300" i="6"/>
  <c r="AS300" i="6" s="1"/>
  <c r="AW300" i="6" s="1"/>
  <c r="AN300" i="6"/>
  <c r="AR300" i="6" s="1"/>
  <c r="AV300" i="6" s="1"/>
  <c r="AS299" i="6"/>
  <c r="AW299" i="6" s="1"/>
  <c r="AQ299" i="6"/>
  <c r="AU299" i="6" s="1"/>
  <c r="AY299" i="6" s="1"/>
  <c r="AP299" i="6"/>
  <c r="AT299" i="6" s="1"/>
  <c r="AX299" i="6" s="1"/>
  <c r="AO299" i="6"/>
  <c r="AN299" i="6"/>
  <c r="AR299" i="6" s="1"/>
  <c r="AV299" i="6" s="1"/>
  <c r="AQ298" i="6"/>
  <c r="AU298" i="6" s="1"/>
  <c r="AY298" i="6" s="1"/>
  <c r="AP298" i="6"/>
  <c r="AT298" i="6" s="1"/>
  <c r="AX298" i="6" s="1"/>
  <c r="AO298" i="6"/>
  <c r="AS298" i="6" s="1"/>
  <c r="AW298" i="6" s="1"/>
  <c r="AN298" i="6"/>
  <c r="AR298" i="6" s="1"/>
  <c r="AV298" i="6" s="1"/>
  <c r="AT297" i="6"/>
  <c r="AX297" i="6" s="1"/>
  <c r="AR297" i="6"/>
  <c r="AV297" i="6" s="1"/>
  <c r="AQ297" i="6"/>
  <c r="AU297" i="6" s="1"/>
  <c r="AY297" i="6" s="1"/>
  <c r="AP297" i="6"/>
  <c r="AO297" i="6"/>
  <c r="AS297" i="6" s="1"/>
  <c r="AW297" i="6" s="1"/>
  <c r="AN297" i="6"/>
  <c r="AQ296" i="6"/>
  <c r="AU296" i="6" s="1"/>
  <c r="AY296" i="6" s="1"/>
  <c r="AP296" i="6"/>
  <c r="AT296" i="6" s="1"/>
  <c r="AX296" i="6" s="1"/>
  <c r="AO296" i="6"/>
  <c r="AS296" i="6" s="1"/>
  <c r="AW296" i="6" s="1"/>
  <c r="AN296" i="6"/>
  <c r="AR296" i="6" s="1"/>
  <c r="AV296" i="6" s="1"/>
  <c r="AS295" i="6"/>
  <c r="AW295" i="6" s="1"/>
  <c r="AQ295" i="6"/>
  <c r="AU295" i="6" s="1"/>
  <c r="AY295" i="6" s="1"/>
  <c r="AP295" i="6"/>
  <c r="AT295" i="6" s="1"/>
  <c r="AX295" i="6" s="1"/>
  <c r="AO295" i="6"/>
  <c r="AN295" i="6"/>
  <c r="AR295" i="6" s="1"/>
  <c r="AV295" i="6" s="1"/>
  <c r="AQ294" i="6"/>
  <c r="AU294" i="6" s="1"/>
  <c r="AY294" i="6" s="1"/>
  <c r="AP294" i="6"/>
  <c r="AT294" i="6" s="1"/>
  <c r="AX294" i="6" s="1"/>
  <c r="AO294" i="6"/>
  <c r="AS294" i="6" s="1"/>
  <c r="AW294" i="6" s="1"/>
  <c r="AN294" i="6"/>
  <c r="AR294" i="6" s="1"/>
  <c r="AV294" i="6" s="1"/>
  <c r="AS293" i="6"/>
  <c r="AW293" i="6" s="1"/>
  <c r="AQ293" i="6"/>
  <c r="AU293" i="6" s="1"/>
  <c r="AY293" i="6" s="1"/>
  <c r="AP293" i="6"/>
  <c r="AT293" i="6" s="1"/>
  <c r="AX293" i="6" s="1"/>
  <c r="AO293" i="6"/>
  <c r="AN293" i="6"/>
  <c r="AR293" i="6" s="1"/>
  <c r="AV293" i="6" s="1"/>
  <c r="AQ292" i="6"/>
  <c r="AU292" i="6" s="1"/>
  <c r="AY292" i="6" s="1"/>
  <c r="AP292" i="6"/>
  <c r="AT292" i="6" s="1"/>
  <c r="AX292" i="6" s="1"/>
  <c r="AO292" i="6"/>
  <c r="AS292" i="6" s="1"/>
  <c r="AW292" i="6" s="1"/>
  <c r="AN292" i="6"/>
  <c r="AR292" i="6" s="1"/>
  <c r="AV292" i="6" s="1"/>
  <c r="AQ291" i="6"/>
  <c r="AU291" i="6" s="1"/>
  <c r="AY291" i="6" s="1"/>
  <c r="AP291" i="6"/>
  <c r="AT291" i="6" s="1"/>
  <c r="AX291" i="6" s="1"/>
  <c r="AO291" i="6"/>
  <c r="AS291" i="6" s="1"/>
  <c r="AW291" i="6" s="1"/>
  <c r="AN291" i="6"/>
  <c r="AR291" i="6" s="1"/>
  <c r="AV291" i="6" s="1"/>
  <c r="AQ290" i="6"/>
  <c r="AU290" i="6" s="1"/>
  <c r="AY290" i="6" s="1"/>
  <c r="AP290" i="6"/>
  <c r="AT290" i="6" s="1"/>
  <c r="AX290" i="6" s="1"/>
  <c r="AO290" i="6"/>
  <c r="AS290" i="6" s="1"/>
  <c r="AW290" i="6" s="1"/>
  <c r="AN290" i="6"/>
  <c r="AR290" i="6" s="1"/>
  <c r="AV290" i="6" s="1"/>
  <c r="AQ289" i="6"/>
  <c r="AU289" i="6" s="1"/>
  <c r="AY289" i="6" s="1"/>
  <c r="AP289" i="6"/>
  <c r="AT289" i="6" s="1"/>
  <c r="AX289" i="6" s="1"/>
  <c r="AO289" i="6"/>
  <c r="AS289" i="6" s="1"/>
  <c r="AW289" i="6" s="1"/>
  <c r="AN289" i="6"/>
  <c r="AR289" i="6" s="1"/>
  <c r="AV289" i="6" s="1"/>
  <c r="AQ288" i="6"/>
  <c r="AU288" i="6" s="1"/>
  <c r="AY288" i="6" s="1"/>
  <c r="AP288" i="6"/>
  <c r="AT288" i="6" s="1"/>
  <c r="AX288" i="6" s="1"/>
  <c r="AO288" i="6"/>
  <c r="AS288" i="6" s="1"/>
  <c r="AW288" i="6" s="1"/>
  <c r="AN288" i="6"/>
  <c r="AR288" i="6" s="1"/>
  <c r="AV288" i="6" s="1"/>
  <c r="AQ287" i="6"/>
  <c r="AU287" i="6" s="1"/>
  <c r="AY287" i="6" s="1"/>
  <c r="AP287" i="6"/>
  <c r="AT287" i="6" s="1"/>
  <c r="AX287" i="6" s="1"/>
  <c r="AO287" i="6"/>
  <c r="AS287" i="6" s="1"/>
  <c r="AW287" i="6" s="1"/>
  <c r="AN287" i="6"/>
  <c r="AR287" i="6" s="1"/>
  <c r="AV287" i="6" s="1"/>
  <c r="AQ286" i="6"/>
  <c r="AU286" i="6" s="1"/>
  <c r="AY286" i="6" s="1"/>
  <c r="AP286" i="6"/>
  <c r="AT286" i="6" s="1"/>
  <c r="AX286" i="6" s="1"/>
  <c r="AO286" i="6"/>
  <c r="AS286" i="6" s="1"/>
  <c r="AW286" i="6" s="1"/>
  <c r="AN286" i="6"/>
  <c r="AR286" i="6" s="1"/>
  <c r="AV286" i="6" s="1"/>
  <c r="AQ285" i="6"/>
  <c r="AU285" i="6" s="1"/>
  <c r="AY285" i="6" s="1"/>
  <c r="AP285" i="6"/>
  <c r="AT285" i="6" s="1"/>
  <c r="AX285" i="6" s="1"/>
  <c r="AO285" i="6"/>
  <c r="AS285" i="6" s="1"/>
  <c r="AW285" i="6" s="1"/>
  <c r="AN285" i="6"/>
  <c r="AR285" i="6" s="1"/>
  <c r="AV285" i="6" s="1"/>
  <c r="AQ284" i="6"/>
  <c r="AU284" i="6" s="1"/>
  <c r="AY284" i="6" s="1"/>
  <c r="AP284" i="6"/>
  <c r="AT284" i="6" s="1"/>
  <c r="AX284" i="6" s="1"/>
  <c r="AO284" i="6"/>
  <c r="AS284" i="6" s="1"/>
  <c r="AW284" i="6" s="1"/>
  <c r="AN284" i="6"/>
  <c r="AR284" i="6" s="1"/>
  <c r="AV284" i="6" s="1"/>
  <c r="AS283" i="6"/>
  <c r="AW283" i="6" s="1"/>
  <c r="AQ283" i="6"/>
  <c r="AU283" i="6" s="1"/>
  <c r="AY283" i="6" s="1"/>
  <c r="AP283" i="6"/>
  <c r="AT283" i="6" s="1"/>
  <c r="AX283" i="6" s="1"/>
  <c r="AO283" i="6"/>
  <c r="AN283" i="6"/>
  <c r="AR283" i="6" s="1"/>
  <c r="AV283" i="6" s="1"/>
  <c r="AQ282" i="6"/>
  <c r="AU282" i="6" s="1"/>
  <c r="AY282" i="6" s="1"/>
  <c r="AP282" i="6"/>
  <c r="AT282" i="6" s="1"/>
  <c r="AX282" i="6" s="1"/>
  <c r="AO282" i="6"/>
  <c r="AS282" i="6" s="1"/>
  <c r="AW282" i="6" s="1"/>
  <c r="AN282" i="6"/>
  <c r="AR282" i="6" s="1"/>
  <c r="AV282" i="6" s="1"/>
  <c r="AT281" i="6"/>
  <c r="AX281" i="6" s="1"/>
  <c r="AR281" i="6"/>
  <c r="AV281" i="6" s="1"/>
  <c r="AQ281" i="6"/>
  <c r="AU281" i="6" s="1"/>
  <c r="AY281" i="6" s="1"/>
  <c r="AP281" i="6"/>
  <c r="AO281" i="6"/>
  <c r="AS281" i="6" s="1"/>
  <c r="AW281" i="6" s="1"/>
  <c r="AN281" i="6"/>
  <c r="AQ280" i="6"/>
  <c r="AU280" i="6" s="1"/>
  <c r="AY280" i="6" s="1"/>
  <c r="AP280" i="6"/>
  <c r="AT280" i="6" s="1"/>
  <c r="AX280" i="6" s="1"/>
  <c r="AO280" i="6"/>
  <c r="AS280" i="6" s="1"/>
  <c r="AW280" i="6" s="1"/>
  <c r="AN280" i="6"/>
  <c r="AR280" i="6" s="1"/>
  <c r="AV280" i="6" s="1"/>
  <c r="AS279" i="6"/>
  <c r="AW279" i="6" s="1"/>
  <c r="AQ279" i="6"/>
  <c r="AU279" i="6" s="1"/>
  <c r="AY279" i="6" s="1"/>
  <c r="AP279" i="6"/>
  <c r="AT279" i="6" s="1"/>
  <c r="AX279" i="6" s="1"/>
  <c r="AO279" i="6"/>
  <c r="AN279" i="6"/>
  <c r="AR279" i="6" s="1"/>
  <c r="AV279" i="6" s="1"/>
  <c r="AQ278" i="6"/>
  <c r="AU278" i="6" s="1"/>
  <c r="AY278" i="6" s="1"/>
  <c r="AP278" i="6"/>
  <c r="AT278" i="6" s="1"/>
  <c r="AX278" i="6" s="1"/>
  <c r="AO278" i="6"/>
  <c r="AS278" i="6" s="1"/>
  <c r="AW278" i="6" s="1"/>
  <c r="AN278" i="6"/>
  <c r="AR278" i="6" s="1"/>
  <c r="AV278" i="6" s="1"/>
  <c r="AS277" i="6"/>
  <c r="AW277" i="6" s="1"/>
  <c r="AQ277" i="6"/>
  <c r="AU277" i="6" s="1"/>
  <c r="AY277" i="6" s="1"/>
  <c r="AP277" i="6"/>
  <c r="AT277" i="6" s="1"/>
  <c r="AX277" i="6" s="1"/>
  <c r="AO277" i="6"/>
  <c r="AN277" i="6"/>
  <c r="AR277" i="6" s="1"/>
  <c r="AV277" i="6" s="1"/>
  <c r="AQ276" i="6"/>
  <c r="AU276" i="6" s="1"/>
  <c r="AY276" i="6" s="1"/>
  <c r="AP276" i="6"/>
  <c r="AT276" i="6" s="1"/>
  <c r="AX276" i="6" s="1"/>
  <c r="AO276" i="6"/>
  <c r="AS276" i="6" s="1"/>
  <c r="AW276" i="6" s="1"/>
  <c r="AN276" i="6"/>
  <c r="AR276" i="6" s="1"/>
  <c r="AV276" i="6" s="1"/>
  <c r="AQ275" i="6"/>
  <c r="AU275" i="6" s="1"/>
  <c r="AY275" i="6" s="1"/>
  <c r="AP275" i="6"/>
  <c r="AT275" i="6" s="1"/>
  <c r="AX275" i="6" s="1"/>
  <c r="AO275" i="6"/>
  <c r="AS275" i="6" s="1"/>
  <c r="AW275" i="6" s="1"/>
  <c r="AN275" i="6"/>
  <c r="AR275" i="6" s="1"/>
  <c r="AV275" i="6" s="1"/>
  <c r="AQ274" i="6"/>
  <c r="AU274" i="6" s="1"/>
  <c r="AY274" i="6" s="1"/>
  <c r="AP274" i="6"/>
  <c r="AT274" i="6" s="1"/>
  <c r="AX274" i="6" s="1"/>
  <c r="AO274" i="6"/>
  <c r="AS274" i="6" s="1"/>
  <c r="AW274" i="6" s="1"/>
  <c r="AN274" i="6"/>
  <c r="AR274" i="6" s="1"/>
  <c r="AV274" i="6" s="1"/>
  <c r="AQ273" i="6"/>
  <c r="AU273" i="6" s="1"/>
  <c r="AY273" i="6" s="1"/>
  <c r="AP273" i="6"/>
  <c r="AT273" i="6" s="1"/>
  <c r="AX273" i="6" s="1"/>
  <c r="AO273" i="6"/>
  <c r="AS273" i="6" s="1"/>
  <c r="AW273" i="6" s="1"/>
  <c r="AN273" i="6"/>
  <c r="AR273" i="6" s="1"/>
  <c r="AV273" i="6" s="1"/>
  <c r="AQ272" i="6"/>
  <c r="AU272" i="6" s="1"/>
  <c r="AY272" i="6" s="1"/>
  <c r="AP272" i="6"/>
  <c r="AT272" i="6" s="1"/>
  <c r="AX272" i="6" s="1"/>
  <c r="AO272" i="6"/>
  <c r="AS272" i="6" s="1"/>
  <c r="AW272" i="6" s="1"/>
  <c r="AN272" i="6"/>
  <c r="AR272" i="6" s="1"/>
  <c r="AV272" i="6" s="1"/>
  <c r="AQ271" i="6"/>
  <c r="AU271" i="6" s="1"/>
  <c r="AY271" i="6" s="1"/>
  <c r="AP271" i="6"/>
  <c r="AT271" i="6" s="1"/>
  <c r="AX271" i="6" s="1"/>
  <c r="AO271" i="6"/>
  <c r="AS271" i="6" s="1"/>
  <c r="AW271" i="6" s="1"/>
  <c r="AN271" i="6"/>
  <c r="AR271" i="6" s="1"/>
  <c r="AV271" i="6" s="1"/>
  <c r="AQ270" i="6"/>
  <c r="AU270" i="6" s="1"/>
  <c r="AY270" i="6" s="1"/>
  <c r="AP270" i="6"/>
  <c r="AT270" i="6" s="1"/>
  <c r="AX270" i="6" s="1"/>
  <c r="AO270" i="6"/>
  <c r="AS270" i="6" s="1"/>
  <c r="AW270" i="6" s="1"/>
  <c r="AN270" i="6"/>
  <c r="AR270" i="6" s="1"/>
  <c r="AV270" i="6" s="1"/>
  <c r="AS269" i="6"/>
  <c r="AW269" i="6" s="1"/>
  <c r="AQ269" i="6"/>
  <c r="AU269" i="6" s="1"/>
  <c r="AY269" i="6" s="1"/>
  <c r="AP269" i="6"/>
  <c r="AT269" i="6" s="1"/>
  <c r="AX269" i="6" s="1"/>
  <c r="AO269" i="6"/>
  <c r="AN269" i="6"/>
  <c r="AR269" i="6" s="1"/>
  <c r="AV269" i="6" s="1"/>
  <c r="AQ268" i="6"/>
  <c r="AU268" i="6" s="1"/>
  <c r="AY268" i="6" s="1"/>
  <c r="AP268" i="6"/>
  <c r="AT268" i="6" s="1"/>
  <c r="AX268" i="6" s="1"/>
  <c r="AO268" i="6"/>
  <c r="AS268" i="6" s="1"/>
  <c r="AW268" i="6" s="1"/>
  <c r="AN268" i="6"/>
  <c r="AR268" i="6" s="1"/>
  <c r="AV268" i="6" s="1"/>
  <c r="AQ267" i="6"/>
  <c r="AU267" i="6" s="1"/>
  <c r="AY267" i="6" s="1"/>
  <c r="AP267" i="6"/>
  <c r="AT267" i="6" s="1"/>
  <c r="AX267" i="6" s="1"/>
  <c r="AO267" i="6"/>
  <c r="AS267" i="6" s="1"/>
  <c r="AW267" i="6" s="1"/>
  <c r="AN267" i="6"/>
  <c r="AR267" i="6" s="1"/>
  <c r="AV267" i="6" s="1"/>
  <c r="AQ266" i="6"/>
  <c r="AU266" i="6" s="1"/>
  <c r="AY266" i="6" s="1"/>
  <c r="AP266" i="6"/>
  <c r="AT266" i="6" s="1"/>
  <c r="AX266" i="6" s="1"/>
  <c r="AO266" i="6"/>
  <c r="AS266" i="6" s="1"/>
  <c r="AW266" i="6" s="1"/>
  <c r="AN266" i="6"/>
  <c r="AR266" i="6" s="1"/>
  <c r="AV266" i="6" s="1"/>
  <c r="AR265" i="6"/>
  <c r="AV265" i="6" s="1"/>
  <c r="AQ265" i="6"/>
  <c r="AU265" i="6" s="1"/>
  <c r="AY265" i="6" s="1"/>
  <c r="AP265" i="6"/>
  <c r="AT265" i="6" s="1"/>
  <c r="AX265" i="6" s="1"/>
  <c r="AO265" i="6"/>
  <c r="AS265" i="6" s="1"/>
  <c r="AW265" i="6" s="1"/>
  <c r="AN265" i="6"/>
  <c r="AQ264" i="6"/>
  <c r="AU264" i="6" s="1"/>
  <c r="AY264" i="6" s="1"/>
  <c r="AP264" i="6"/>
  <c r="AT264" i="6" s="1"/>
  <c r="AX264" i="6" s="1"/>
  <c r="AO264" i="6"/>
  <c r="AS264" i="6" s="1"/>
  <c r="AW264" i="6" s="1"/>
  <c r="AN264" i="6"/>
  <c r="AR264" i="6" s="1"/>
  <c r="AV264" i="6" s="1"/>
  <c r="AQ263" i="6"/>
  <c r="AU263" i="6" s="1"/>
  <c r="AY263" i="6" s="1"/>
  <c r="AP263" i="6"/>
  <c r="AT263" i="6" s="1"/>
  <c r="AX263" i="6" s="1"/>
  <c r="AO263" i="6"/>
  <c r="AS263" i="6" s="1"/>
  <c r="AW263" i="6" s="1"/>
  <c r="AN263" i="6"/>
  <c r="AR263" i="6" s="1"/>
  <c r="AV263" i="6" s="1"/>
  <c r="AV262" i="6"/>
  <c r="AQ262" i="6"/>
  <c r="AU262" i="6" s="1"/>
  <c r="AY262" i="6" s="1"/>
  <c r="AP262" i="6"/>
  <c r="AT262" i="6" s="1"/>
  <c r="AX262" i="6" s="1"/>
  <c r="AO262" i="6"/>
  <c r="AS262" i="6" s="1"/>
  <c r="AW262" i="6" s="1"/>
  <c r="AN262" i="6"/>
  <c r="AR262" i="6" s="1"/>
  <c r="AQ261" i="6"/>
  <c r="AU261" i="6" s="1"/>
  <c r="AY261" i="6" s="1"/>
  <c r="AP261" i="6"/>
  <c r="AT261" i="6" s="1"/>
  <c r="AX261" i="6" s="1"/>
  <c r="AO261" i="6"/>
  <c r="AS261" i="6" s="1"/>
  <c r="AW261" i="6" s="1"/>
  <c r="AN261" i="6"/>
  <c r="AR261" i="6" s="1"/>
  <c r="AV261" i="6" s="1"/>
  <c r="AQ260" i="6"/>
  <c r="AU260" i="6" s="1"/>
  <c r="AY260" i="6" s="1"/>
  <c r="AP260" i="6"/>
  <c r="AT260" i="6" s="1"/>
  <c r="AX260" i="6" s="1"/>
  <c r="AO260" i="6"/>
  <c r="AS260" i="6" s="1"/>
  <c r="AW260" i="6" s="1"/>
  <c r="AN260" i="6"/>
  <c r="AR260" i="6" s="1"/>
  <c r="AV260" i="6" s="1"/>
  <c r="AQ259" i="6"/>
  <c r="AU259" i="6" s="1"/>
  <c r="AY259" i="6" s="1"/>
  <c r="AP259" i="6"/>
  <c r="AT259" i="6" s="1"/>
  <c r="AX259" i="6" s="1"/>
  <c r="AO259" i="6"/>
  <c r="AS259" i="6" s="1"/>
  <c r="AW259" i="6" s="1"/>
  <c r="AN259" i="6"/>
  <c r="AR259" i="6" s="1"/>
  <c r="AV259" i="6" s="1"/>
  <c r="AQ258" i="6"/>
  <c r="AU258" i="6" s="1"/>
  <c r="AY258" i="6" s="1"/>
  <c r="AP258" i="6"/>
  <c r="AT258" i="6" s="1"/>
  <c r="AX258" i="6" s="1"/>
  <c r="AO258" i="6"/>
  <c r="AS258" i="6" s="1"/>
  <c r="AW258" i="6" s="1"/>
  <c r="AN258" i="6"/>
  <c r="AR258" i="6" s="1"/>
  <c r="AV258" i="6" s="1"/>
  <c r="AQ257" i="6"/>
  <c r="AU257" i="6" s="1"/>
  <c r="AY257" i="6" s="1"/>
  <c r="AP257" i="6"/>
  <c r="AT257" i="6" s="1"/>
  <c r="AX257" i="6" s="1"/>
  <c r="AO257" i="6"/>
  <c r="AS257" i="6" s="1"/>
  <c r="AW257" i="6" s="1"/>
  <c r="AN257" i="6"/>
  <c r="AR257" i="6" s="1"/>
  <c r="AV257" i="6" s="1"/>
  <c r="AQ256" i="6"/>
  <c r="AU256" i="6" s="1"/>
  <c r="AY256" i="6" s="1"/>
  <c r="AP256" i="6"/>
  <c r="AT256" i="6" s="1"/>
  <c r="AX256" i="6" s="1"/>
  <c r="AO256" i="6"/>
  <c r="AS256" i="6" s="1"/>
  <c r="AW256" i="6" s="1"/>
  <c r="AN256" i="6"/>
  <c r="AR256" i="6" s="1"/>
  <c r="AV256" i="6" s="1"/>
  <c r="AQ255" i="6"/>
  <c r="AU255" i="6" s="1"/>
  <c r="AY255" i="6" s="1"/>
  <c r="AP255" i="6"/>
  <c r="AT255" i="6" s="1"/>
  <c r="AX255" i="6" s="1"/>
  <c r="AO255" i="6"/>
  <c r="AS255" i="6" s="1"/>
  <c r="AW255" i="6" s="1"/>
  <c r="AN255" i="6"/>
  <c r="AR255" i="6" s="1"/>
  <c r="AV255" i="6" s="1"/>
  <c r="AQ254" i="6"/>
  <c r="AU254" i="6" s="1"/>
  <c r="AY254" i="6" s="1"/>
  <c r="AP254" i="6"/>
  <c r="AT254" i="6" s="1"/>
  <c r="AX254" i="6" s="1"/>
  <c r="AO254" i="6"/>
  <c r="AS254" i="6" s="1"/>
  <c r="AW254" i="6" s="1"/>
  <c r="AN254" i="6"/>
  <c r="AR254" i="6" s="1"/>
  <c r="AV254" i="6" s="1"/>
  <c r="AQ253" i="6"/>
  <c r="AU253" i="6" s="1"/>
  <c r="AY253" i="6" s="1"/>
  <c r="AP253" i="6"/>
  <c r="AT253" i="6" s="1"/>
  <c r="AX253" i="6" s="1"/>
  <c r="AO253" i="6"/>
  <c r="AS253" i="6" s="1"/>
  <c r="AW253" i="6" s="1"/>
  <c r="AN253" i="6"/>
  <c r="AR253" i="6" s="1"/>
  <c r="AV253" i="6" s="1"/>
  <c r="AU252" i="6"/>
  <c r="AY252" i="6" s="1"/>
  <c r="AT252" i="6"/>
  <c r="AX252" i="6" s="1"/>
  <c r="AQ252" i="6"/>
  <c r="AP252" i="6"/>
  <c r="AO252" i="6"/>
  <c r="AS252" i="6" s="1"/>
  <c r="AW252" i="6" s="1"/>
  <c r="AN252" i="6"/>
  <c r="AR252" i="6" s="1"/>
  <c r="AV252" i="6" s="1"/>
  <c r="AQ251" i="6"/>
  <c r="AU251" i="6" s="1"/>
  <c r="AY251" i="6" s="1"/>
  <c r="AP251" i="6"/>
  <c r="AT251" i="6" s="1"/>
  <c r="AX251" i="6" s="1"/>
  <c r="AO251" i="6"/>
  <c r="AS251" i="6" s="1"/>
  <c r="AW251" i="6" s="1"/>
  <c r="AN251" i="6"/>
  <c r="AR251" i="6" s="1"/>
  <c r="AV251" i="6" s="1"/>
  <c r="AR250" i="6"/>
  <c r="AV250" i="6" s="1"/>
  <c r="AQ250" i="6"/>
  <c r="AU250" i="6" s="1"/>
  <c r="AY250" i="6" s="1"/>
  <c r="AP250" i="6"/>
  <c r="AT250" i="6" s="1"/>
  <c r="AX250" i="6" s="1"/>
  <c r="AO250" i="6"/>
  <c r="AS250" i="6" s="1"/>
  <c r="AW250" i="6" s="1"/>
  <c r="AN250" i="6"/>
  <c r="AQ249" i="6"/>
  <c r="AU249" i="6" s="1"/>
  <c r="AY249" i="6" s="1"/>
  <c r="AP249" i="6"/>
  <c r="AT249" i="6" s="1"/>
  <c r="AX249" i="6" s="1"/>
  <c r="AO249" i="6"/>
  <c r="AS249" i="6" s="1"/>
  <c r="AW249" i="6" s="1"/>
  <c r="AN249" i="6"/>
  <c r="AR249" i="6" s="1"/>
  <c r="AV249" i="6" s="1"/>
  <c r="AQ248" i="6"/>
  <c r="AU248" i="6" s="1"/>
  <c r="AY248" i="6" s="1"/>
  <c r="AP248" i="6"/>
  <c r="AT248" i="6" s="1"/>
  <c r="AX248" i="6" s="1"/>
  <c r="AO248" i="6"/>
  <c r="AS248" i="6" s="1"/>
  <c r="AW248" i="6" s="1"/>
  <c r="AN248" i="6"/>
  <c r="AR248" i="6" s="1"/>
  <c r="AV248" i="6" s="1"/>
  <c r="AQ247" i="6"/>
  <c r="AU247" i="6" s="1"/>
  <c r="AY247" i="6" s="1"/>
  <c r="AP247" i="6"/>
  <c r="AT247" i="6" s="1"/>
  <c r="AX247" i="6" s="1"/>
  <c r="AO247" i="6"/>
  <c r="AS247" i="6" s="1"/>
  <c r="AW247" i="6" s="1"/>
  <c r="AN247" i="6"/>
  <c r="AR247" i="6" s="1"/>
  <c r="AV247" i="6" s="1"/>
  <c r="AQ246" i="6"/>
  <c r="AU246" i="6" s="1"/>
  <c r="AY246" i="6" s="1"/>
  <c r="AP246" i="6"/>
  <c r="AT246" i="6" s="1"/>
  <c r="AX246" i="6" s="1"/>
  <c r="AO246" i="6"/>
  <c r="AS246" i="6" s="1"/>
  <c r="AW246" i="6" s="1"/>
  <c r="AN246" i="6"/>
  <c r="AR246" i="6" s="1"/>
  <c r="AV246" i="6" s="1"/>
  <c r="AQ245" i="6"/>
  <c r="AU245" i="6" s="1"/>
  <c r="AY245" i="6" s="1"/>
  <c r="AP245" i="6"/>
  <c r="AT245" i="6" s="1"/>
  <c r="AX245" i="6" s="1"/>
  <c r="AO245" i="6"/>
  <c r="AS245" i="6" s="1"/>
  <c r="AW245" i="6" s="1"/>
  <c r="AN245" i="6"/>
  <c r="AR245" i="6" s="1"/>
  <c r="AV245" i="6" s="1"/>
  <c r="AS244" i="6"/>
  <c r="AW244" i="6" s="1"/>
  <c r="AQ244" i="6"/>
  <c r="AU244" i="6" s="1"/>
  <c r="AY244" i="6" s="1"/>
  <c r="AP244" i="6"/>
  <c r="AT244" i="6" s="1"/>
  <c r="AX244" i="6" s="1"/>
  <c r="AO244" i="6"/>
  <c r="AN244" i="6"/>
  <c r="AR244" i="6" s="1"/>
  <c r="AV244" i="6" s="1"/>
  <c r="AQ243" i="6"/>
  <c r="AU243" i="6" s="1"/>
  <c r="AY243" i="6" s="1"/>
  <c r="AP243" i="6"/>
  <c r="AT243" i="6" s="1"/>
  <c r="AX243" i="6" s="1"/>
  <c r="AO243" i="6"/>
  <c r="AS243" i="6" s="1"/>
  <c r="AW243" i="6" s="1"/>
  <c r="AN243" i="6"/>
  <c r="AR243" i="6" s="1"/>
  <c r="AV243" i="6" s="1"/>
  <c r="AQ242" i="6"/>
  <c r="AU242" i="6" s="1"/>
  <c r="AY242" i="6" s="1"/>
  <c r="AP242" i="6"/>
  <c r="AT242" i="6" s="1"/>
  <c r="AX242" i="6" s="1"/>
  <c r="AO242" i="6"/>
  <c r="AS242" i="6" s="1"/>
  <c r="AW242" i="6" s="1"/>
  <c r="AN242" i="6"/>
  <c r="AR242" i="6" s="1"/>
  <c r="AV242" i="6" s="1"/>
  <c r="AQ241" i="6"/>
  <c r="AU241" i="6" s="1"/>
  <c r="AY241" i="6" s="1"/>
  <c r="AP241" i="6"/>
  <c r="AT241" i="6" s="1"/>
  <c r="AX241" i="6" s="1"/>
  <c r="AO241" i="6"/>
  <c r="AS241" i="6" s="1"/>
  <c r="AW241" i="6" s="1"/>
  <c r="AN241" i="6"/>
  <c r="AR241" i="6" s="1"/>
  <c r="AV241" i="6" s="1"/>
  <c r="AQ240" i="6"/>
  <c r="AU240" i="6" s="1"/>
  <c r="AY240" i="6" s="1"/>
  <c r="AP240" i="6"/>
  <c r="AT240" i="6" s="1"/>
  <c r="AX240" i="6" s="1"/>
  <c r="AO240" i="6"/>
  <c r="AS240" i="6" s="1"/>
  <c r="AW240" i="6" s="1"/>
  <c r="AN240" i="6"/>
  <c r="AR240" i="6" s="1"/>
  <c r="AV240" i="6" s="1"/>
  <c r="AQ239" i="6"/>
  <c r="AU239" i="6" s="1"/>
  <c r="AY239" i="6" s="1"/>
  <c r="AP239" i="6"/>
  <c r="AT239" i="6" s="1"/>
  <c r="AX239" i="6" s="1"/>
  <c r="AO239" i="6"/>
  <c r="AS239" i="6" s="1"/>
  <c r="AW239" i="6" s="1"/>
  <c r="AN239" i="6"/>
  <c r="AR239" i="6" s="1"/>
  <c r="AV239" i="6" s="1"/>
  <c r="AQ238" i="6"/>
  <c r="AU238" i="6" s="1"/>
  <c r="AY238" i="6" s="1"/>
  <c r="AP238" i="6"/>
  <c r="AT238" i="6" s="1"/>
  <c r="AX238" i="6" s="1"/>
  <c r="AO238" i="6"/>
  <c r="AS238" i="6" s="1"/>
  <c r="AW238" i="6" s="1"/>
  <c r="AN238" i="6"/>
  <c r="AR238" i="6" s="1"/>
  <c r="AV238" i="6" s="1"/>
  <c r="AQ237" i="6"/>
  <c r="AU237" i="6" s="1"/>
  <c r="AY237" i="6" s="1"/>
  <c r="AP237" i="6"/>
  <c r="AT237" i="6" s="1"/>
  <c r="AX237" i="6" s="1"/>
  <c r="AO237" i="6"/>
  <c r="AS237" i="6" s="1"/>
  <c r="AW237" i="6" s="1"/>
  <c r="AN237" i="6"/>
  <c r="AR237" i="6" s="1"/>
  <c r="AV237" i="6" s="1"/>
  <c r="AQ236" i="6"/>
  <c r="AU236" i="6" s="1"/>
  <c r="AY236" i="6" s="1"/>
  <c r="AP236" i="6"/>
  <c r="AT236" i="6" s="1"/>
  <c r="AX236" i="6" s="1"/>
  <c r="AO236" i="6"/>
  <c r="AS236" i="6" s="1"/>
  <c r="AW236" i="6" s="1"/>
  <c r="AN236" i="6"/>
  <c r="AR236" i="6" s="1"/>
  <c r="AV236" i="6" s="1"/>
  <c r="AQ235" i="6"/>
  <c r="AU235" i="6" s="1"/>
  <c r="AY235" i="6" s="1"/>
  <c r="AP235" i="6"/>
  <c r="AT235" i="6" s="1"/>
  <c r="AX235" i="6" s="1"/>
  <c r="AO235" i="6"/>
  <c r="AS235" i="6" s="1"/>
  <c r="AW235" i="6" s="1"/>
  <c r="AN235" i="6"/>
  <c r="AR235" i="6" s="1"/>
  <c r="AV235" i="6" s="1"/>
  <c r="AQ234" i="6"/>
  <c r="AU234" i="6" s="1"/>
  <c r="AY234" i="6" s="1"/>
  <c r="AP234" i="6"/>
  <c r="AT234" i="6" s="1"/>
  <c r="AX234" i="6" s="1"/>
  <c r="AO234" i="6"/>
  <c r="AS234" i="6" s="1"/>
  <c r="AW234" i="6" s="1"/>
  <c r="AN234" i="6"/>
  <c r="AR234" i="6" s="1"/>
  <c r="AV234" i="6" s="1"/>
  <c r="AQ233" i="6"/>
  <c r="AU233" i="6" s="1"/>
  <c r="AY233" i="6" s="1"/>
  <c r="AP233" i="6"/>
  <c r="AT233" i="6" s="1"/>
  <c r="AX233" i="6" s="1"/>
  <c r="AO233" i="6"/>
  <c r="AS233" i="6" s="1"/>
  <c r="AW233" i="6" s="1"/>
  <c r="AN233" i="6"/>
  <c r="AR233" i="6" s="1"/>
  <c r="AV233" i="6" s="1"/>
  <c r="AQ232" i="6"/>
  <c r="AU232" i="6" s="1"/>
  <c r="AY232" i="6" s="1"/>
  <c r="AP232" i="6"/>
  <c r="AT232" i="6" s="1"/>
  <c r="AX232" i="6" s="1"/>
  <c r="AO232" i="6"/>
  <c r="AS232" i="6" s="1"/>
  <c r="AW232" i="6" s="1"/>
  <c r="AN232" i="6"/>
  <c r="AR232" i="6" s="1"/>
  <c r="AV232" i="6" s="1"/>
  <c r="AQ231" i="6"/>
  <c r="AU231" i="6" s="1"/>
  <c r="AY231" i="6" s="1"/>
  <c r="AP231" i="6"/>
  <c r="AT231" i="6" s="1"/>
  <c r="AX231" i="6" s="1"/>
  <c r="AO231" i="6"/>
  <c r="AS231" i="6" s="1"/>
  <c r="AW231" i="6" s="1"/>
  <c r="AN231" i="6"/>
  <c r="AR231" i="6" s="1"/>
  <c r="AV231" i="6" s="1"/>
  <c r="AQ230" i="6"/>
  <c r="AU230" i="6" s="1"/>
  <c r="AY230" i="6" s="1"/>
  <c r="AP230" i="6"/>
  <c r="AT230" i="6" s="1"/>
  <c r="AX230" i="6" s="1"/>
  <c r="AO230" i="6"/>
  <c r="AS230" i="6" s="1"/>
  <c r="AW230" i="6" s="1"/>
  <c r="AN230" i="6"/>
  <c r="AR230" i="6" s="1"/>
  <c r="AV230" i="6" s="1"/>
  <c r="AQ229" i="6"/>
  <c r="AU229" i="6" s="1"/>
  <c r="AY229" i="6" s="1"/>
  <c r="AP229" i="6"/>
  <c r="AT229" i="6" s="1"/>
  <c r="AX229" i="6" s="1"/>
  <c r="AO229" i="6"/>
  <c r="AS229" i="6" s="1"/>
  <c r="AW229" i="6" s="1"/>
  <c r="AN229" i="6"/>
  <c r="AR229" i="6" s="1"/>
  <c r="AV229" i="6" s="1"/>
  <c r="AQ228" i="6"/>
  <c r="AU228" i="6" s="1"/>
  <c r="AY228" i="6" s="1"/>
  <c r="AP228" i="6"/>
  <c r="AT228" i="6" s="1"/>
  <c r="AX228" i="6" s="1"/>
  <c r="AO228" i="6"/>
  <c r="AS228" i="6" s="1"/>
  <c r="AW228" i="6" s="1"/>
  <c r="AN228" i="6"/>
  <c r="AR228" i="6" s="1"/>
  <c r="AV228" i="6" s="1"/>
  <c r="AQ227" i="6"/>
  <c r="AU227" i="6" s="1"/>
  <c r="AY227" i="6" s="1"/>
  <c r="AP227" i="6"/>
  <c r="AT227" i="6" s="1"/>
  <c r="AX227" i="6" s="1"/>
  <c r="AO227" i="6"/>
  <c r="AS227" i="6" s="1"/>
  <c r="AW227" i="6" s="1"/>
  <c r="AN227" i="6"/>
  <c r="AR227" i="6" s="1"/>
  <c r="AV227" i="6" s="1"/>
  <c r="AQ226" i="6"/>
  <c r="AU226" i="6" s="1"/>
  <c r="AY226" i="6" s="1"/>
  <c r="AP226" i="6"/>
  <c r="AT226" i="6" s="1"/>
  <c r="AX226" i="6" s="1"/>
  <c r="AO226" i="6"/>
  <c r="AS226" i="6" s="1"/>
  <c r="AW226" i="6" s="1"/>
  <c r="AN226" i="6"/>
  <c r="AR226" i="6" s="1"/>
  <c r="AV226" i="6" s="1"/>
  <c r="AQ225" i="6"/>
  <c r="AU225" i="6" s="1"/>
  <c r="AY225" i="6" s="1"/>
  <c r="AP225" i="6"/>
  <c r="AT225" i="6" s="1"/>
  <c r="AX225" i="6" s="1"/>
  <c r="AO225" i="6"/>
  <c r="AS225" i="6" s="1"/>
  <c r="AW225" i="6" s="1"/>
  <c r="AN225" i="6"/>
  <c r="AR225" i="6" s="1"/>
  <c r="AV225" i="6" s="1"/>
  <c r="AQ224" i="6"/>
  <c r="AU224" i="6" s="1"/>
  <c r="AY224" i="6" s="1"/>
  <c r="AP224" i="6"/>
  <c r="AT224" i="6" s="1"/>
  <c r="AX224" i="6" s="1"/>
  <c r="AO224" i="6"/>
  <c r="AS224" i="6" s="1"/>
  <c r="AW224" i="6" s="1"/>
  <c r="AN224" i="6"/>
  <c r="AR224" i="6" s="1"/>
  <c r="AV224" i="6" s="1"/>
  <c r="AQ223" i="6"/>
  <c r="AU223" i="6" s="1"/>
  <c r="AY223" i="6" s="1"/>
  <c r="AP223" i="6"/>
  <c r="AT223" i="6" s="1"/>
  <c r="AX223" i="6" s="1"/>
  <c r="AO223" i="6"/>
  <c r="AS223" i="6" s="1"/>
  <c r="AW223" i="6" s="1"/>
  <c r="AN223" i="6"/>
  <c r="AR223" i="6" s="1"/>
  <c r="AV223" i="6" s="1"/>
  <c r="AQ222" i="6"/>
  <c r="AU222" i="6" s="1"/>
  <c r="AY222" i="6" s="1"/>
  <c r="AP222" i="6"/>
  <c r="AT222" i="6" s="1"/>
  <c r="AX222" i="6" s="1"/>
  <c r="AO222" i="6"/>
  <c r="AS222" i="6" s="1"/>
  <c r="AW222" i="6" s="1"/>
  <c r="AN222" i="6"/>
  <c r="AR222" i="6" s="1"/>
  <c r="AV222" i="6" s="1"/>
  <c r="AQ221" i="6"/>
  <c r="AU221" i="6" s="1"/>
  <c r="AY221" i="6" s="1"/>
  <c r="AP221" i="6"/>
  <c r="AT221" i="6" s="1"/>
  <c r="AX221" i="6" s="1"/>
  <c r="AO221" i="6"/>
  <c r="AS221" i="6" s="1"/>
  <c r="AW221" i="6" s="1"/>
  <c r="AN221" i="6"/>
  <c r="AR221" i="6" s="1"/>
  <c r="AV221" i="6" s="1"/>
  <c r="AQ220" i="6"/>
  <c r="AU220" i="6" s="1"/>
  <c r="AY220" i="6" s="1"/>
  <c r="AP220" i="6"/>
  <c r="AT220" i="6" s="1"/>
  <c r="AX220" i="6" s="1"/>
  <c r="AO220" i="6"/>
  <c r="AS220" i="6" s="1"/>
  <c r="AW220" i="6" s="1"/>
  <c r="AN220" i="6"/>
  <c r="AR220" i="6" s="1"/>
  <c r="AV220" i="6" s="1"/>
  <c r="AX219" i="6"/>
  <c r="AQ219" i="6"/>
  <c r="AU219" i="6" s="1"/>
  <c r="AY219" i="6" s="1"/>
  <c r="AP219" i="6"/>
  <c r="AT219" i="6" s="1"/>
  <c r="AO219" i="6"/>
  <c r="AS219" i="6" s="1"/>
  <c r="AW219" i="6" s="1"/>
  <c r="AN219" i="6"/>
  <c r="AR219" i="6" s="1"/>
  <c r="AV219" i="6" s="1"/>
  <c r="AQ218" i="6"/>
  <c r="AU218" i="6" s="1"/>
  <c r="AY218" i="6" s="1"/>
  <c r="AP218" i="6"/>
  <c r="AT218" i="6" s="1"/>
  <c r="AX218" i="6" s="1"/>
  <c r="AO218" i="6"/>
  <c r="AS218" i="6" s="1"/>
  <c r="AW218" i="6" s="1"/>
  <c r="AN218" i="6"/>
  <c r="AR218" i="6" s="1"/>
  <c r="AV218" i="6" s="1"/>
  <c r="Z100" i="3" l="1"/>
  <c r="AE105" i="3"/>
  <c r="AV320" i="6"/>
  <c r="BA38" i="3" s="1"/>
  <c r="AA146" i="3"/>
  <c r="S146" i="3"/>
  <c r="Z146" i="3"/>
  <c r="AF146" i="3"/>
  <c r="X146" i="3"/>
  <c r="AG105" i="3"/>
  <c r="AK107" i="3" s="1"/>
  <c r="AO107" i="3" s="1"/>
  <c r="AS107" i="3" s="1"/>
  <c r="AW107" i="3" s="1"/>
  <c r="BA107" i="3" s="1"/>
  <c r="AH43" i="3"/>
  <c r="V146" i="3"/>
  <c r="AB146" i="3"/>
  <c r="T146" i="3"/>
  <c r="AJ146" i="3"/>
  <c r="AN148" i="3" s="1"/>
  <c r="AK126" i="2"/>
  <c r="AL126" i="2" s="1"/>
  <c r="AM126" i="2" s="1"/>
  <c r="AN126" i="2" s="1"/>
  <c r="AO126" i="2" s="1"/>
  <c r="AP126" i="2" s="1"/>
  <c r="AQ126" i="2" s="1"/>
  <c r="AR126" i="2" s="1"/>
  <c r="AS126" i="2" s="1"/>
  <c r="AT126" i="2" s="1"/>
  <c r="AU126" i="2" s="1"/>
  <c r="AV126" i="2" s="1"/>
  <c r="AW126" i="2" s="1"/>
  <c r="AX126" i="2" s="1"/>
  <c r="AY126" i="2" s="1"/>
  <c r="AZ126" i="2" s="1"/>
  <c r="BA126" i="2" s="1"/>
  <c r="BB126" i="2" s="1"/>
  <c r="BC126" i="2" s="1"/>
  <c r="AK127" i="2"/>
  <c r="AL127" i="2" s="1"/>
  <c r="AM127" i="2" s="1"/>
  <c r="AN127" i="2" s="1"/>
  <c r="AO127" i="2" s="1"/>
  <c r="AP127" i="2" s="1"/>
  <c r="AQ127" i="2" s="1"/>
  <c r="AR127" i="2" s="1"/>
  <c r="AS127" i="2" s="1"/>
  <c r="AT127" i="2" s="1"/>
  <c r="AU127" i="2" s="1"/>
  <c r="AV127" i="2" s="1"/>
  <c r="AW127" i="2" s="1"/>
  <c r="AX127" i="2" s="1"/>
  <c r="AY127" i="2" s="1"/>
  <c r="AZ127" i="2" s="1"/>
  <c r="BA127" i="2" s="1"/>
  <c r="BB127" i="2" s="1"/>
  <c r="BC127" i="2" s="1"/>
  <c r="R206" i="7"/>
  <c r="I124" i="7"/>
  <c r="I138" i="7"/>
  <c r="G155" i="7"/>
  <c r="I115" i="7"/>
  <c r="J144" i="7"/>
  <c r="H18" i="7"/>
  <c r="G191" i="7"/>
  <c r="H191" i="7"/>
  <c r="G188" i="7"/>
  <c r="G185" i="7"/>
  <c r="G182" i="7"/>
  <c r="H182" i="7"/>
  <c r="G179" i="7"/>
  <c r="F179" i="7"/>
  <c r="G176" i="7"/>
  <c r="J176" i="7"/>
  <c r="F173" i="7"/>
  <c r="I173" i="7"/>
  <c r="J173" i="7"/>
  <c r="F170" i="7"/>
  <c r="I170" i="7"/>
  <c r="J170" i="7"/>
  <c r="I167" i="7"/>
  <c r="J167" i="7"/>
  <c r="F167" i="7"/>
  <c r="G164" i="7"/>
  <c r="H161" i="7"/>
  <c r="G158" i="7"/>
  <c r="J158" i="7"/>
  <c r="F152" i="7"/>
  <c r="J152" i="7"/>
  <c r="I149" i="7"/>
  <c r="J149" i="7"/>
  <c r="F149" i="7"/>
  <c r="F144" i="7"/>
  <c r="G144" i="7"/>
  <c r="I144" i="7"/>
  <c r="G141" i="7"/>
  <c r="J141" i="7"/>
  <c r="F141" i="7"/>
  <c r="I141" i="7"/>
  <c r="J138" i="7"/>
  <c r="F138" i="7"/>
  <c r="F135" i="7"/>
  <c r="J135" i="7"/>
  <c r="F132" i="7"/>
  <c r="H132" i="7"/>
  <c r="J132" i="7"/>
  <c r="I129" i="7"/>
  <c r="J129" i="7"/>
  <c r="F129" i="7"/>
  <c r="F124" i="7"/>
  <c r="H124" i="7"/>
  <c r="J124" i="7"/>
  <c r="F121" i="7"/>
  <c r="H121" i="7"/>
  <c r="J121" i="7"/>
  <c r="F118" i="7"/>
  <c r="J118" i="7"/>
  <c r="J115" i="7"/>
  <c r="F115" i="7"/>
  <c r="F60" i="7"/>
  <c r="I60" i="7"/>
  <c r="I69" i="7"/>
  <c r="F30" i="7"/>
  <c r="I30" i="7"/>
  <c r="I48" i="7"/>
  <c r="I12" i="7"/>
  <c r="F63" i="7"/>
  <c r="H24" i="7"/>
  <c r="G72" i="7"/>
  <c r="H69" i="7"/>
  <c r="I24" i="7"/>
  <c r="F112" i="7"/>
  <c r="H36" i="7"/>
  <c r="G60" i="7"/>
  <c r="I109" i="7"/>
  <c r="I112" i="7"/>
  <c r="G79" i="7"/>
  <c r="I106" i="7"/>
  <c r="F18" i="7"/>
  <c r="H79" i="7"/>
  <c r="H60" i="7"/>
  <c r="I79" i="7"/>
  <c r="G42" i="7"/>
  <c r="I63" i="7"/>
  <c r="H63" i="7"/>
  <c r="G69" i="7"/>
  <c r="J79" i="7"/>
  <c r="H85" i="7"/>
  <c r="G109" i="7"/>
  <c r="F109" i="7"/>
  <c r="F106" i="7"/>
  <c r="F103" i="7"/>
  <c r="J103" i="7"/>
  <c r="J100" i="7"/>
  <c r="F100" i="7"/>
  <c r="F97" i="7"/>
  <c r="J97" i="7"/>
  <c r="F94" i="7"/>
  <c r="J94" i="7"/>
  <c r="H91" i="7"/>
  <c r="I91" i="7"/>
  <c r="F91" i="7"/>
  <c r="J88" i="7"/>
  <c r="F88" i="7"/>
  <c r="J85" i="7"/>
  <c r="F85" i="7"/>
  <c r="G82" i="7"/>
  <c r="F82" i="7"/>
  <c r="H72" i="7"/>
  <c r="I72" i="7"/>
  <c r="F72" i="7"/>
  <c r="J72" i="7"/>
  <c r="J69" i="7"/>
  <c r="F69" i="7"/>
  <c r="J66" i="7"/>
  <c r="F66" i="7"/>
  <c r="I66" i="7"/>
  <c r="G66" i="7"/>
  <c r="H66" i="7"/>
  <c r="G63" i="7"/>
  <c r="J63" i="7"/>
  <c r="J60" i="7"/>
  <c r="H54" i="7"/>
  <c r="G54" i="7"/>
  <c r="I54" i="7"/>
  <c r="F54" i="7"/>
  <c r="J54" i="7"/>
  <c r="H48" i="7"/>
  <c r="J48" i="7"/>
  <c r="G48" i="7"/>
  <c r="F48" i="7"/>
  <c r="J42" i="7"/>
  <c r="F42" i="7"/>
  <c r="H42" i="7"/>
  <c r="I42" i="7"/>
  <c r="G36" i="7"/>
  <c r="I36" i="7"/>
  <c r="J36" i="7"/>
  <c r="F36" i="7"/>
  <c r="G30" i="7"/>
  <c r="H30" i="7"/>
  <c r="J30" i="7"/>
  <c r="G24" i="7"/>
  <c r="J24" i="7"/>
  <c r="F24" i="7"/>
  <c r="G18" i="7"/>
  <c r="J18" i="7"/>
  <c r="I18" i="7"/>
  <c r="G12" i="7"/>
  <c r="F12" i="7"/>
  <c r="H12" i="7"/>
  <c r="S6" i="7"/>
  <c r="AD146" i="3"/>
  <c r="AN149" i="3"/>
  <c r="AN146" i="3"/>
  <c r="AR148" i="3"/>
  <c r="AN147" i="3"/>
  <c r="AO148" i="3"/>
  <c r="AK147" i="3"/>
  <c r="AK149" i="3"/>
  <c r="AK146" i="3"/>
  <c r="AK145" i="3" s="1"/>
  <c r="AH146" i="3"/>
  <c r="AL148" i="3" s="1"/>
  <c r="AI146" i="3"/>
  <c r="AM148" i="3" s="1"/>
  <c r="AC146" i="3"/>
  <c r="AP43" i="3"/>
  <c r="AP45" i="3" s="1"/>
  <c r="AS43" i="3"/>
  <c r="O45" i="3"/>
  <c r="AQ43" i="3"/>
  <c r="AU43" i="3"/>
  <c r="AU45" i="3" s="1"/>
  <c r="AJ45" i="3"/>
  <c r="AJ118" i="3" s="1"/>
  <c r="AJ119" i="3"/>
  <c r="BA45" i="3"/>
  <c r="AH105" i="3"/>
  <c r="AL107" i="3" s="1"/>
  <c r="AP107" i="3" s="1"/>
  <c r="AT107" i="3" s="1"/>
  <c r="AX107" i="3" s="1"/>
  <c r="BB107" i="3" s="1"/>
  <c r="AV43" i="3"/>
  <c r="AV45" i="3" s="1"/>
  <c r="AG43" i="3"/>
  <c r="AF105" i="3"/>
  <c r="AT43" i="3"/>
  <c r="AT45" i="3" s="1"/>
  <c r="AX43" i="3"/>
  <c r="AX45" i="3" s="1"/>
  <c r="AM96" i="3"/>
  <c r="AQ96" i="3" s="1"/>
  <c r="AU96" i="3" s="1"/>
  <c r="AY96" i="3" s="1"/>
  <c r="BC96" i="3" s="1"/>
  <c r="BB43" i="3"/>
  <c r="BB45" i="3" s="1"/>
  <c r="BC43" i="3"/>
  <c r="AZ43" i="3"/>
  <c r="AZ45" i="3" s="1"/>
  <c r="BD43" i="3"/>
  <c r="N45" i="3"/>
  <c r="BC45" i="3"/>
  <c r="BD45" i="3"/>
  <c r="AQ45" i="3"/>
  <c r="AW45" i="3"/>
  <c r="AS45" i="3"/>
  <c r="AI43" i="3"/>
  <c r="AI45" i="3" s="1"/>
  <c r="AK43" i="3"/>
  <c r="AK45" i="3" s="1"/>
  <c r="AK118" i="3" s="1"/>
  <c r="AK119" i="3" s="1"/>
  <c r="AL43" i="3"/>
  <c r="AL45" i="3" s="1"/>
  <c r="AL118" i="3" s="1"/>
  <c r="AP118" i="3" s="1"/>
  <c r="AT118" i="3" s="1"/>
  <c r="AX118" i="3" s="1"/>
  <c r="BB118" i="3" s="1"/>
  <c r="AM43" i="3"/>
  <c r="AM45" i="3" s="1"/>
  <c r="AM118" i="3" s="1"/>
  <c r="AY43" i="3"/>
  <c r="AY45" i="3" s="1"/>
  <c r="AN43" i="3"/>
  <c r="AN45" i="3" s="1"/>
  <c r="AO43" i="3"/>
  <c r="AO45" i="3" s="1"/>
  <c r="AR43" i="3"/>
  <c r="AR45" i="3" s="1"/>
  <c r="AJ105" i="3"/>
  <c r="AN107" i="3" s="1"/>
  <c r="AR107" i="3" s="1"/>
  <c r="AV107" i="3" s="1"/>
  <c r="AZ107" i="3" s="1"/>
  <c r="BD107" i="3" s="1"/>
  <c r="AF100" i="3"/>
  <c r="AX320" i="6"/>
  <c r="BC38" i="3" s="1"/>
  <c r="BC40" i="3" s="1"/>
  <c r="AW320" i="6"/>
  <c r="BB38" i="3" s="1"/>
  <c r="BB40" i="3" s="1"/>
  <c r="AY320" i="6"/>
  <c r="BD38" i="3" s="1"/>
  <c r="BD40" i="3" s="1"/>
  <c r="AR320" i="6"/>
  <c r="AW38" i="3" s="1"/>
  <c r="AW40" i="3" s="1"/>
  <c r="AU320" i="6"/>
  <c r="AZ38" i="3" s="1"/>
  <c r="AZ40" i="3" s="1"/>
  <c r="AQ320" i="6"/>
  <c r="AV38" i="3" s="1"/>
  <c r="AV40" i="3" s="1"/>
  <c r="AP320" i="6"/>
  <c r="AU38" i="3" s="1"/>
  <c r="AU40" i="3" s="1"/>
  <c r="AO320" i="6"/>
  <c r="AT38" i="3" s="1"/>
  <c r="AT40" i="3" s="1"/>
  <c r="AN320" i="6"/>
  <c r="AS38" i="3" s="1"/>
  <c r="AS40" i="3" s="1"/>
  <c r="AT320" i="6"/>
  <c r="AY38" i="3" s="1"/>
  <c r="AY40" i="3" s="1"/>
  <c r="AS320" i="6"/>
  <c r="AX38" i="3" s="1"/>
  <c r="AX40" i="3" s="1"/>
  <c r="AG100" i="3"/>
  <c r="V100" i="3"/>
  <c r="AE100" i="3"/>
  <c r="AD105" i="3"/>
  <c r="AB100" i="3"/>
  <c r="AI105" i="3"/>
  <c r="AM107" i="3" s="1"/>
  <c r="AQ107" i="3" s="1"/>
  <c r="AU107" i="3" s="1"/>
  <c r="AY107" i="3" s="1"/>
  <c r="BC107" i="3" s="1"/>
  <c r="Y100" i="3"/>
  <c r="AJ116" i="3"/>
  <c r="AJ117" i="3"/>
  <c r="AC105" i="3"/>
  <c r="AK106" i="3"/>
  <c r="AK108" i="3"/>
  <c r="AK105" i="3"/>
  <c r="AK104" i="3" s="1"/>
  <c r="AK13" i="3" s="1"/>
  <c r="AI100" i="3"/>
  <c r="AH100" i="3"/>
  <c r="AD100" i="3"/>
  <c r="AC100" i="3"/>
  <c r="T100" i="3"/>
  <c r="S100" i="3"/>
  <c r="R100" i="3"/>
  <c r="AJ100" i="3"/>
  <c r="W100" i="3"/>
  <c r="AA100" i="3"/>
  <c r="U100" i="3"/>
  <c r="AH94" i="3"/>
  <c r="AJ94" i="3"/>
  <c r="AN96" i="3" s="1"/>
  <c r="AR96" i="3" s="1"/>
  <c r="AV96" i="3" s="1"/>
  <c r="AZ96" i="3" s="1"/>
  <c r="BD96" i="3" s="1"/>
  <c r="AG94" i="3"/>
  <c r="Z94" i="3"/>
  <c r="N40" i="3"/>
  <c r="O40" i="3"/>
  <c r="AN40" i="3"/>
  <c r="AK40" i="3"/>
  <c r="AL40" i="3"/>
  <c r="AO40" i="3"/>
  <c r="AP40" i="3"/>
  <c r="AQ40" i="3"/>
  <c r="K40" i="3"/>
  <c r="AR40" i="3"/>
  <c r="AI40" i="3"/>
  <c r="AJ40" i="3"/>
  <c r="AM40" i="3"/>
  <c r="BA40" i="3"/>
  <c r="AK26" i="3" l="1"/>
  <c r="AJ14" i="2" s="1"/>
  <c r="T6" i="7"/>
  <c r="S4" i="7"/>
  <c r="AO149" i="3"/>
  <c r="AO146" i="3"/>
  <c r="AS148" i="3"/>
  <c r="AO147" i="3"/>
  <c r="AM149" i="3"/>
  <c r="AM146" i="3"/>
  <c r="AQ148" i="3"/>
  <c r="AM147" i="3"/>
  <c r="AL149" i="3"/>
  <c r="AL146" i="3"/>
  <c r="AL145" i="3" s="1"/>
  <c r="AP148" i="3"/>
  <c r="AL147" i="3"/>
  <c r="AR149" i="3"/>
  <c r="AR146" i="3"/>
  <c r="AV148" i="3"/>
  <c r="AR147" i="3"/>
  <c r="AN118" i="3"/>
  <c r="AN117" i="3" s="1"/>
  <c r="AM94" i="3"/>
  <c r="AM93" i="3" s="1"/>
  <c r="AM97" i="3"/>
  <c r="AN108" i="3"/>
  <c r="AN106" i="3"/>
  <c r="AN105" i="3"/>
  <c r="AN104" i="3" s="1"/>
  <c r="AN13" i="3" s="1"/>
  <c r="AL105" i="3"/>
  <c r="AL104" i="3" s="1"/>
  <c r="AL13" i="3" s="1"/>
  <c r="AL108" i="3"/>
  <c r="AL106" i="3"/>
  <c r="AM95" i="3"/>
  <c r="AK116" i="3"/>
  <c r="AK117" i="3"/>
  <c r="AO118" i="3"/>
  <c r="AS118" i="3" s="1"/>
  <c r="AW118" i="3" s="1"/>
  <c r="BA118" i="3" s="1"/>
  <c r="AK100" i="3"/>
  <c r="AK99" i="3" s="1"/>
  <c r="AO99" i="3" s="1"/>
  <c r="AS99" i="3" s="1"/>
  <c r="AW99" i="3" s="1"/>
  <c r="BA99" i="3" s="1"/>
  <c r="AM106" i="3"/>
  <c r="AM105" i="3"/>
  <c r="AM104" i="3" s="1"/>
  <c r="AM13" i="3" s="1"/>
  <c r="AL117" i="3"/>
  <c r="AM108" i="3"/>
  <c r="AL100" i="3"/>
  <c r="AL99" i="3" s="1"/>
  <c r="AP99" i="3" s="1"/>
  <c r="AT99" i="3" s="1"/>
  <c r="AX99" i="3" s="1"/>
  <c r="BB99" i="3" s="1"/>
  <c r="AL119" i="3"/>
  <c r="AL116" i="3"/>
  <c r="AJ115" i="3"/>
  <c r="AP119" i="3"/>
  <c r="AP116" i="3"/>
  <c r="AP117" i="3"/>
  <c r="AM117" i="3"/>
  <c r="AM119" i="3"/>
  <c r="AQ118" i="3"/>
  <c r="AU118" i="3" s="1"/>
  <c r="AY118" i="3" s="1"/>
  <c r="BC118" i="3" s="1"/>
  <c r="AM116" i="3"/>
  <c r="AP108" i="3"/>
  <c r="AP105" i="3"/>
  <c r="AP106" i="3"/>
  <c r="AQ108" i="3"/>
  <c r="AQ105" i="3"/>
  <c r="AQ106" i="3"/>
  <c r="AR108" i="3"/>
  <c r="AR105" i="3"/>
  <c r="AR104" i="3" s="1"/>
  <c r="AR13" i="3" s="1"/>
  <c r="AR106" i="3"/>
  <c r="AO108" i="3"/>
  <c r="AO105" i="3"/>
  <c r="AO104" i="3" s="1"/>
  <c r="AO13" i="3" s="1"/>
  <c r="AO106" i="3"/>
  <c r="AN100" i="3"/>
  <c r="AN99" i="3" s="1"/>
  <c r="AM100" i="3"/>
  <c r="AM99" i="3" s="1"/>
  <c r="AL96" i="3"/>
  <c r="AL97" i="3" s="1"/>
  <c r="AK96" i="3"/>
  <c r="AQ94" i="3"/>
  <c r="AN97" i="3"/>
  <c r="AN95" i="3"/>
  <c r="AN94" i="3"/>
  <c r="AL94" i="3"/>
  <c r="AN116" i="3" l="1"/>
  <c r="AM145" i="3"/>
  <c r="AL26" i="3"/>
  <c r="AK14" i="2" s="1"/>
  <c r="AP104" i="3"/>
  <c r="AP13" i="3" s="1"/>
  <c r="S206" i="7"/>
  <c r="T4" i="7"/>
  <c r="U6" i="7"/>
  <c r="AZ148" i="3"/>
  <c r="AV147" i="3"/>
  <c r="AV149" i="3"/>
  <c r="AV146" i="3"/>
  <c r="AQ149" i="3"/>
  <c r="AQ146" i="3"/>
  <c r="AU148" i="3"/>
  <c r="AQ147" i="3"/>
  <c r="AW148" i="3"/>
  <c r="AS147" i="3"/>
  <c r="AS146" i="3"/>
  <c r="AS149" i="3"/>
  <c r="AP149" i="3"/>
  <c r="AP146" i="3"/>
  <c r="AT148" i="3"/>
  <c r="AP147" i="3"/>
  <c r="AN119" i="3"/>
  <c r="AR118" i="3"/>
  <c r="AO119" i="3"/>
  <c r="AQ93" i="3"/>
  <c r="AQ104" i="3"/>
  <c r="AQ13" i="3" s="1"/>
  <c r="AO116" i="3"/>
  <c r="AO117" i="3"/>
  <c r="AK115" i="3"/>
  <c r="J115" i="3"/>
  <c r="AK97" i="3"/>
  <c r="AO96" i="3"/>
  <c r="AS96" i="3" s="1"/>
  <c r="AW96" i="3" s="1"/>
  <c r="BA96" i="3" s="1"/>
  <c r="AL95" i="3"/>
  <c r="AP96" i="3"/>
  <c r="AT96" i="3" s="1"/>
  <c r="AX96" i="3" s="1"/>
  <c r="BB96" i="3" s="1"/>
  <c r="AR116" i="3"/>
  <c r="AT116" i="3"/>
  <c r="AT117" i="3"/>
  <c r="AT119" i="3"/>
  <c r="AQ119" i="3"/>
  <c r="AQ116" i="3"/>
  <c r="AQ117" i="3"/>
  <c r="AS116" i="3"/>
  <c r="AS117" i="3"/>
  <c r="AS119" i="3"/>
  <c r="AS108" i="3"/>
  <c r="AS106" i="3"/>
  <c r="AS105" i="3"/>
  <c r="AS104" i="3" s="1"/>
  <c r="AS13" i="3" s="1"/>
  <c r="AU106" i="3"/>
  <c r="AU108" i="3"/>
  <c r="AU105" i="3"/>
  <c r="AU104" i="3" s="1"/>
  <c r="AU13" i="3" s="1"/>
  <c r="AV106" i="3"/>
  <c r="AV108" i="3"/>
  <c r="AV105" i="3"/>
  <c r="AV104" i="3" s="1"/>
  <c r="AV13" i="3" s="1"/>
  <c r="AT106" i="3"/>
  <c r="AT105" i="3"/>
  <c r="AT108" i="3"/>
  <c r="AM90" i="3"/>
  <c r="AQ99" i="3"/>
  <c r="AU99" i="3" s="1"/>
  <c r="AY99" i="3" s="1"/>
  <c r="BC99" i="3" s="1"/>
  <c r="AQ95" i="3"/>
  <c r="AQ97" i="3"/>
  <c r="AK95" i="3"/>
  <c r="AK94" i="3"/>
  <c r="AN93" i="3"/>
  <c r="AU95" i="3"/>
  <c r="AL93" i="3"/>
  <c r="AL90" i="3" s="1"/>
  <c r="AL12" i="3" s="1"/>
  <c r="AT104" i="3" l="1"/>
  <c r="AT13" i="3" s="1"/>
  <c r="AN145" i="3"/>
  <c r="AM26" i="3"/>
  <c r="AL14" i="2" s="1"/>
  <c r="T206" i="7"/>
  <c r="U4" i="7"/>
  <c r="V6" i="7"/>
  <c r="AW147" i="3"/>
  <c r="BA148" i="3"/>
  <c r="AW149" i="3"/>
  <c r="AW146" i="3"/>
  <c r="AX148" i="3"/>
  <c r="AT147" i="3"/>
  <c r="AT149" i="3"/>
  <c r="AT146" i="3"/>
  <c r="AY148" i="3"/>
  <c r="AU147" i="3"/>
  <c r="AU149" i="3"/>
  <c r="AU146" i="3"/>
  <c r="AZ149" i="3"/>
  <c r="AZ146" i="3"/>
  <c r="BD148" i="3"/>
  <c r="AZ147" i="3"/>
  <c r="AR117" i="3"/>
  <c r="AV118" i="3"/>
  <c r="AZ118" i="3" s="1"/>
  <c r="BD118" i="3" s="1"/>
  <c r="AR119" i="3"/>
  <c r="AL115" i="3"/>
  <c r="AU116" i="3"/>
  <c r="AU117" i="3"/>
  <c r="AU119" i="3"/>
  <c r="AX116" i="3"/>
  <c r="AX117" i="3"/>
  <c r="AX119" i="3"/>
  <c r="AW116" i="3"/>
  <c r="AW117" i="3"/>
  <c r="AW119" i="3"/>
  <c r="AX106" i="3"/>
  <c r="AX108" i="3"/>
  <c r="AX105" i="3"/>
  <c r="AX104" i="3" s="1"/>
  <c r="AX13" i="3" s="1"/>
  <c r="AW108" i="3"/>
  <c r="AW105" i="3"/>
  <c r="AW104" i="3" s="1"/>
  <c r="AW13" i="3" s="1"/>
  <c r="AW106" i="3"/>
  <c r="AY108" i="3"/>
  <c r="AY105" i="3"/>
  <c r="AY104" i="3" s="1"/>
  <c r="AY13" i="3" s="1"/>
  <c r="AY106" i="3"/>
  <c r="AZ106" i="3"/>
  <c r="AZ108" i="3"/>
  <c r="AZ105" i="3"/>
  <c r="AZ104" i="3" s="1"/>
  <c r="AZ13" i="3" s="1"/>
  <c r="AM91" i="3"/>
  <c r="AM12" i="3"/>
  <c r="AR99" i="3"/>
  <c r="AV99" i="3" s="1"/>
  <c r="AZ99" i="3" s="1"/>
  <c r="BD99" i="3" s="1"/>
  <c r="AN90" i="3"/>
  <c r="AQ90" i="3"/>
  <c r="AQ12" i="3" s="1"/>
  <c r="AU94" i="3"/>
  <c r="AU93" i="3" s="1"/>
  <c r="AU97" i="3"/>
  <c r="AK93" i="3"/>
  <c r="AK90" i="3" s="1"/>
  <c r="AK12" i="3" s="1"/>
  <c r="AP95" i="3"/>
  <c r="AP94" i="3"/>
  <c r="AP97" i="3"/>
  <c r="AR97" i="3"/>
  <c r="AR94" i="3"/>
  <c r="AR95" i="3"/>
  <c r="AV119" i="3" l="1"/>
  <c r="AV116" i="3"/>
  <c r="AO145" i="3"/>
  <c r="AN26" i="3"/>
  <c r="AM14" i="2" s="1"/>
  <c r="U206" i="7"/>
  <c r="F206" i="7"/>
  <c r="W6" i="7"/>
  <c r="V4" i="7"/>
  <c r="AX149" i="3"/>
  <c r="AX146" i="3"/>
  <c r="BB148" i="3"/>
  <c r="AX147" i="3"/>
  <c r="BD149" i="3"/>
  <c r="BD146" i="3"/>
  <c r="BD147" i="3"/>
  <c r="BA149" i="3"/>
  <c r="BA146" i="3"/>
  <c r="BA147" i="3"/>
  <c r="AY149" i="3"/>
  <c r="AY146" i="3"/>
  <c r="BC148" i="3"/>
  <c r="AY147" i="3"/>
  <c r="AV117" i="3"/>
  <c r="AM115" i="3"/>
  <c r="BB119" i="3"/>
  <c r="BB116" i="3"/>
  <c r="BB117" i="3"/>
  <c r="BA119" i="3"/>
  <c r="BA116" i="3"/>
  <c r="BA117" i="3"/>
  <c r="AY117" i="3"/>
  <c r="AY119" i="3"/>
  <c r="AY116" i="3"/>
  <c r="AZ117" i="3"/>
  <c r="AZ119" i="3"/>
  <c r="AZ116" i="3"/>
  <c r="BA108" i="3"/>
  <c r="BA105" i="3"/>
  <c r="BA104" i="3" s="1"/>
  <c r="BA13" i="3" s="1"/>
  <c r="BA106" i="3"/>
  <c r="BB108" i="3"/>
  <c r="BB105" i="3"/>
  <c r="BB104" i="3" s="1"/>
  <c r="BB13" i="3" s="1"/>
  <c r="BB106" i="3"/>
  <c r="BD108" i="3"/>
  <c r="BD105" i="3"/>
  <c r="BD104" i="3" s="1"/>
  <c r="BD13" i="3" s="1"/>
  <c r="BD106" i="3"/>
  <c r="BC106" i="3"/>
  <c r="BC108" i="3"/>
  <c r="BC105" i="3"/>
  <c r="BC104" i="3" s="1"/>
  <c r="BC13" i="3" s="1"/>
  <c r="AN91" i="3"/>
  <c r="AN12" i="3"/>
  <c r="AY97" i="3"/>
  <c r="AO94" i="3"/>
  <c r="AO95" i="3"/>
  <c r="AO97" i="3"/>
  <c r="AR93" i="3"/>
  <c r="AR90" i="3" s="1"/>
  <c r="AR12" i="3" s="1"/>
  <c r="AP93" i="3"/>
  <c r="AP90" i="3" s="1"/>
  <c r="AP12" i="3" s="1"/>
  <c r="AP145" i="3" l="1"/>
  <c r="AO26" i="3"/>
  <c r="AN14" i="2" s="1"/>
  <c r="V206" i="7"/>
  <c r="X6" i="7"/>
  <c r="W4" i="7"/>
  <c r="BB149" i="3"/>
  <c r="BB146" i="3"/>
  <c r="BB147" i="3"/>
  <c r="BC149" i="3"/>
  <c r="BC146" i="3"/>
  <c r="BC147" i="3"/>
  <c r="AN115" i="3"/>
  <c r="BC119" i="3"/>
  <c r="BC116" i="3"/>
  <c r="BC117" i="3"/>
  <c r="BD119" i="3"/>
  <c r="BD116" i="3"/>
  <c r="BD117" i="3"/>
  <c r="AR91" i="3"/>
  <c r="AY95" i="3"/>
  <c r="AY94" i="3"/>
  <c r="BC95" i="3" s="1"/>
  <c r="AO93" i="3"/>
  <c r="AO90" i="3" s="1"/>
  <c r="AO12" i="3" s="1"/>
  <c r="AL91" i="3"/>
  <c r="AQ91" i="3"/>
  <c r="AV95" i="3"/>
  <c r="AV97" i="3"/>
  <c r="AV94" i="3"/>
  <c r="AT95" i="3"/>
  <c r="AT97" i="3"/>
  <c r="AT94" i="3"/>
  <c r="AQ145" i="3" l="1"/>
  <c r="AP26" i="3"/>
  <c r="AO14" i="2" s="1"/>
  <c r="W206" i="7"/>
  <c r="Y6" i="7"/>
  <c r="X4" i="7"/>
  <c r="AO115" i="3"/>
  <c r="K115" i="3"/>
  <c r="BC94" i="3"/>
  <c r="AY93" i="3"/>
  <c r="BC97" i="3"/>
  <c r="AS94" i="3"/>
  <c r="AS93" i="3" s="1"/>
  <c r="AS95" i="3"/>
  <c r="AS97" i="3"/>
  <c r="AV93" i="3"/>
  <c r="AT93" i="3"/>
  <c r="AT90" i="3" s="1"/>
  <c r="AT12" i="3" s="1"/>
  <c r="AR145" i="3" l="1"/>
  <c r="AQ26" i="3"/>
  <c r="AP14" i="2" s="1"/>
  <c r="X206" i="7"/>
  <c r="Z6" i="7"/>
  <c r="Y4" i="7"/>
  <c r="AP115" i="3"/>
  <c r="AS90" i="3"/>
  <c r="AS12" i="3" s="1"/>
  <c r="AU90" i="3"/>
  <c r="BC93" i="3"/>
  <c r="AO91" i="3"/>
  <c r="AP91" i="3"/>
  <c r="AX97" i="3"/>
  <c r="AX95" i="3"/>
  <c r="AX94" i="3"/>
  <c r="AZ95" i="3"/>
  <c r="AZ97" i="3"/>
  <c r="AZ94" i="3"/>
  <c r="AT91" i="3" l="1"/>
  <c r="AS145" i="3"/>
  <c r="AR26" i="3"/>
  <c r="AQ14" i="2" s="1"/>
  <c r="Y206" i="7"/>
  <c r="G206" i="7"/>
  <c r="Z4" i="7"/>
  <c r="AA6" i="7"/>
  <c r="AQ115" i="3"/>
  <c r="AS91" i="3"/>
  <c r="AU91" i="3"/>
  <c r="AU12" i="3"/>
  <c r="AV90" i="3"/>
  <c r="AW97" i="3"/>
  <c r="AW94" i="3"/>
  <c r="AW95" i="3"/>
  <c r="AZ93" i="3"/>
  <c r="AX93" i="3"/>
  <c r="AT145" i="3" l="1"/>
  <c r="AS26" i="3"/>
  <c r="AR14" i="2" s="1"/>
  <c r="Z206" i="7"/>
  <c r="AB6" i="7"/>
  <c r="AA4" i="7"/>
  <c r="AR115" i="3"/>
  <c r="AV91" i="3"/>
  <c r="AV12" i="3"/>
  <c r="AW93" i="3"/>
  <c r="AW90" i="3" s="1"/>
  <c r="AW12" i="3" s="1"/>
  <c r="BB94" i="3"/>
  <c r="BB93" i="3" s="1"/>
  <c r="BB95" i="3"/>
  <c r="BB97" i="3"/>
  <c r="BD97" i="3"/>
  <c r="BD94" i="3"/>
  <c r="BD93" i="3" s="1"/>
  <c r="BD95" i="3"/>
  <c r="AU145" i="3" l="1"/>
  <c r="AT26" i="3"/>
  <c r="AS14" i="2" s="1"/>
  <c r="AA206" i="7"/>
  <c r="AC6" i="7"/>
  <c r="AB4" i="7"/>
  <c r="AS115" i="3"/>
  <c r="L115" i="3"/>
  <c r="AW91" i="3"/>
  <c r="AX90" i="3"/>
  <c r="BA95" i="3"/>
  <c r="BA94" i="3"/>
  <c r="BA93" i="3" s="1"/>
  <c r="BA97" i="3"/>
  <c r="AV145" i="3" l="1"/>
  <c r="AU26" i="3"/>
  <c r="AT14" i="2" s="1"/>
  <c r="AB206" i="7"/>
  <c r="AC4" i="7"/>
  <c r="AD6" i="7"/>
  <c r="AT115" i="3"/>
  <c r="AX91" i="3"/>
  <c r="AX12" i="3"/>
  <c r="AY90" i="3"/>
  <c r="AW145" i="3" l="1"/>
  <c r="AV26" i="3"/>
  <c r="AU14" i="2" s="1"/>
  <c r="AC206" i="7"/>
  <c r="H206" i="7"/>
  <c r="AD4" i="7"/>
  <c r="AE6" i="7"/>
  <c r="AU115" i="3"/>
  <c r="AY91" i="3"/>
  <c r="AY12" i="3"/>
  <c r="AZ90" i="3"/>
  <c r="AX145" i="3" l="1"/>
  <c r="AW26" i="3"/>
  <c r="AV14" i="2" s="1"/>
  <c r="AD206" i="7"/>
  <c r="AF6" i="7"/>
  <c r="AE4" i="7"/>
  <c r="AV115" i="3"/>
  <c r="AZ91" i="3"/>
  <c r="AZ12" i="3"/>
  <c r="BA90" i="3"/>
  <c r="AY145" i="3" l="1"/>
  <c r="AX26" i="3"/>
  <c r="AW14" i="2" s="1"/>
  <c r="AE206" i="7"/>
  <c r="AF4" i="7"/>
  <c r="AG6" i="7"/>
  <c r="M115" i="3"/>
  <c r="AW115" i="3"/>
  <c r="BA91" i="3"/>
  <c r="BA12" i="3"/>
  <c r="BB90" i="3"/>
  <c r="AZ145" i="3" l="1"/>
  <c r="AY26" i="3"/>
  <c r="AX14" i="2" s="1"/>
  <c r="AF206" i="7"/>
  <c r="AG4" i="7"/>
  <c r="AH6" i="7"/>
  <c r="AX115" i="3"/>
  <c r="BB91" i="3"/>
  <c r="BB12" i="3"/>
  <c r="BD90" i="3"/>
  <c r="BD12" i="3" s="1"/>
  <c r="BC90" i="3"/>
  <c r="BA145" i="3" l="1"/>
  <c r="AZ26" i="3"/>
  <c r="AY14" i="2" s="1"/>
  <c r="AG206" i="7"/>
  <c r="AK206" i="7" s="1"/>
  <c r="I206" i="7"/>
  <c r="AI6" i="7"/>
  <c r="AH4" i="7"/>
  <c r="AY115" i="3"/>
  <c r="BC91" i="3"/>
  <c r="BC12" i="3"/>
  <c r="BD91" i="3"/>
  <c r="BB145" i="3" l="1"/>
  <c r="BA26" i="3"/>
  <c r="AZ14" i="2" s="1"/>
  <c r="AH206" i="7"/>
  <c r="AL206" i="7" s="1"/>
  <c r="AO206" i="7"/>
  <c r="AJ6" i="7"/>
  <c r="AI4" i="7"/>
  <c r="AZ115" i="3"/>
  <c r="BC145" i="3" l="1"/>
  <c r="BB26" i="3"/>
  <c r="BA14" i="2" s="1"/>
  <c r="AP206" i="7"/>
  <c r="AS206" i="7"/>
  <c r="AI206" i="7"/>
  <c r="AM206" i="7" s="1"/>
  <c r="AQ206" i="7" s="1"/>
  <c r="AU206" i="7" s="1"/>
  <c r="AY206" i="7" s="1"/>
  <c r="BC206" i="7" s="1"/>
  <c r="AJ4" i="7"/>
  <c r="AK6" i="7"/>
  <c r="BA115" i="3"/>
  <c r="N115" i="3"/>
  <c r="BD145" i="3" l="1"/>
  <c r="BD26" i="3" s="1"/>
  <c r="BC14" i="2" s="1"/>
  <c r="BC26" i="3"/>
  <c r="BB14" i="2" s="1"/>
  <c r="AW206" i="7"/>
  <c r="AJ206" i="7"/>
  <c r="AT206" i="7"/>
  <c r="AK4" i="7"/>
  <c r="AL6" i="7"/>
  <c r="BB115" i="3"/>
  <c r="AX206" i="7" l="1"/>
  <c r="J206" i="7"/>
  <c r="AN206" i="7"/>
  <c r="BA206" i="7"/>
  <c r="AM6" i="7"/>
  <c r="AL4" i="7"/>
  <c r="BC115" i="3"/>
  <c r="AR206" i="7" l="1"/>
  <c r="K206" i="7"/>
  <c r="BB206" i="7"/>
  <c r="AN6" i="7"/>
  <c r="AM4" i="7"/>
  <c r="BD115" i="3"/>
  <c r="AV206" i="7" l="1"/>
  <c r="L206" i="7"/>
  <c r="AO6" i="7"/>
  <c r="AN4" i="7"/>
  <c r="O115" i="3"/>
  <c r="AZ206" i="7" l="1"/>
  <c r="M206" i="7"/>
  <c r="AO4" i="7"/>
  <c r="AP6" i="7"/>
  <c r="BD206" i="7" l="1"/>
  <c r="O206" i="7" s="1"/>
  <c r="N206" i="7"/>
  <c r="AQ6" i="7"/>
  <c r="AP4" i="7"/>
  <c r="AQ4" i="7" l="1"/>
  <c r="AR6" i="7"/>
  <c r="AR4" i="7" l="1"/>
  <c r="AS6" i="7"/>
  <c r="AS4" i="7" l="1"/>
  <c r="AT6" i="7"/>
  <c r="AU6" i="7" l="1"/>
  <c r="AT4" i="7"/>
  <c r="AV6" i="7" l="1"/>
  <c r="AU4" i="7"/>
  <c r="AW6" i="7" l="1"/>
  <c r="AV4" i="7"/>
  <c r="AX6" i="7" l="1"/>
  <c r="AW4" i="7"/>
  <c r="AY6" i="7" l="1"/>
  <c r="AX4" i="7"/>
  <c r="AZ6" i="7" l="1"/>
  <c r="AY4" i="7"/>
  <c r="BA6" i="7" l="1"/>
  <c r="AZ4" i="7"/>
  <c r="BA4" i="7" l="1"/>
  <c r="BB6" i="7"/>
  <c r="BB4" i="7" l="1"/>
  <c r="BC6" i="7"/>
  <c r="BD6" i="7" l="1"/>
  <c r="BD4" i="7" s="1"/>
  <c r="BC4" i="7"/>
  <c r="BD34" i="3" l="1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I213" i="6"/>
  <c r="G33" i="3" s="1"/>
  <c r="V33" i="3" s="1"/>
  <c r="J213" i="6"/>
  <c r="H33" i="3" s="1"/>
  <c r="AA33" i="3" s="1"/>
  <c r="K213" i="6"/>
  <c r="I33" i="3" s="1"/>
  <c r="AD33" i="3" s="1"/>
  <c r="L213" i="6"/>
  <c r="J33" i="3" s="1"/>
  <c r="AH33" i="3" s="1"/>
  <c r="M213" i="6"/>
  <c r="K33" i="3" s="1"/>
  <c r="N213" i="6"/>
  <c r="L33" i="3" s="1"/>
  <c r="L35" i="3" s="1"/>
  <c r="O213" i="6"/>
  <c r="M33" i="3" s="1"/>
  <c r="M35" i="3" s="1"/>
  <c r="P213" i="6"/>
  <c r="N33" i="3" s="1"/>
  <c r="AZ33" i="3" s="1"/>
  <c r="Q213" i="6"/>
  <c r="O33" i="3" s="1"/>
  <c r="O35" i="3" s="1"/>
  <c r="F33" i="3"/>
  <c r="S33" i="3" s="1"/>
  <c r="G30" i="3"/>
  <c r="H30" i="3" s="1"/>
  <c r="I30" i="3" s="1"/>
  <c r="J30" i="3" s="1"/>
  <c r="K30" i="3" s="1"/>
  <c r="L30" i="3" s="1"/>
  <c r="M30" i="3" s="1"/>
  <c r="N30" i="3" s="1"/>
  <c r="O30" i="3" s="1"/>
  <c r="AA54" i="3"/>
  <c r="Z54" i="3"/>
  <c r="Y54" i="3"/>
  <c r="X54" i="3"/>
  <c r="AH54" i="3"/>
  <c r="AG54" i="3"/>
  <c r="AF54" i="3"/>
  <c r="AE54" i="3"/>
  <c r="AD54" i="3"/>
  <c r="AB54" i="3"/>
  <c r="W54" i="3"/>
  <c r="V54" i="3"/>
  <c r="U54" i="3"/>
  <c r="T54" i="3"/>
  <c r="S54" i="3"/>
  <c r="R54" i="3"/>
  <c r="G47" i="3"/>
  <c r="H47" i="3" s="1"/>
  <c r="I47" i="3" s="1"/>
  <c r="K47" i="3" s="1"/>
  <c r="L47" i="3" s="1"/>
  <c r="M47" i="3" s="1"/>
  <c r="N47" i="3" s="1"/>
  <c r="O47" i="3" s="1"/>
  <c r="R65" i="3"/>
  <c r="S65" i="3"/>
  <c r="S80" i="3" s="1"/>
  <c r="T65" i="3"/>
  <c r="U65" i="3"/>
  <c r="V65" i="3"/>
  <c r="W65" i="3"/>
  <c r="X65" i="3"/>
  <c r="Y65" i="3"/>
  <c r="Z65" i="3"/>
  <c r="AA65" i="3"/>
  <c r="AB65" i="3"/>
  <c r="AC65" i="3"/>
  <c r="AD65" i="3"/>
  <c r="AD80" i="3" s="1"/>
  <c r="AE65" i="3"/>
  <c r="AE80" i="3" s="1"/>
  <c r="AE81" i="3" s="1"/>
  <c r="AF65" i="3"/>
  <c r="AG65" i="3"/>
  <c r="AH65" i="3"/>
  <c r="AI65" i="3"/>
  <c r="AI80" i="3" s="1"/>
  <c r="AJ65" i="3"/>
  <c r="AJ80" i="3" s="1"/>
  <c r="Q65" i="3"/>
  <c r="V68" i="3" l="1"/>
  <c r="V80" i="3"/>
  <c r="Q68" i="3"/>
  <c r="Q80" i="3"/>
  <c r="AC68" i="3"/>
  <c r="AC69" i="3" s="1"/>
  <c r="AC80" i="3"/>
  <c r="U68" i="3"/>
  <c r="U80" i="3"/>
  <c r="AJ81" i="3"/>
  <c r="AB68" i="3"/>
  <c r="AB80" i="3"/>
  <c r="AB81" i="3" s="1"/>
  <c r="T68" i="3"/>
  <c r="T80" i="3"/>
  <c r="T81" i="3" s="1"/>
  <c r="AD81" i="3"/>
  <c r="AA68" i="3"/>
  <c r="AA80" i="3"/>
  <c r="AH68" i="3"/>
  <c r="AH80" i="3"/>
  <c r="AI81" i="3" s="1"/>
  <c r="Z68" i="3"/>
  <c r="Z69" i="3" s="1"/>
  <c r="Z80" i="3"/>
  <c r="Z81" i="3" s="1"/>
  <c r="AG68" i="3"/>
  <c r="AG80" i="3"/>
  <c r="Y68" i="3"/>
  <c r="Y69" i="3" s="1"/>
  <c r="Y80" i="3"/>
  <c r="W68" i="3"/>
  <c r="W80" i="3"/>
  <c r="W81" i="3" s="1"/>
  <c r="R68" i="3"/>
  <c r="R69" i="3" s="1"/>
  <c r="R80" i="3"/>
  <c r="R81" i="3" s="1"/>
  <c r="AF68" i="3"/>
  <c r="AF80" i="3"/>
  <c r="AF81" i="3" s="1"/>
  <c r="X68" i="3"/>
  <c r="X80" i="3"/>
  <c r="AE66" i="3"/>
  <c r="AE68" i="3"/>
  <c r="AD66" i="3"/>
  <c r="AD68" i="3"/>
  <c r="S66" i="3"/>
  <c r="S68" i="3"/>
  <c r="AH66" i="3"/>
  <c r="V66" i="3"/>
  <c r="AN33" i="3"/>
  <c r="AN35" i="3" s="1"/>
  <c r="AL33" i="3"/>
  <c r="AL35" i="3" s="1"/>
  <c r="AL56" i="3" s="1"/>
  <c r="AM33" i="3"/>
  <c r="AM35" i="3" s="1"/>
  <c r="BD33" i="3"/>
  <c r="BD35" i="3" s="1"/>
  <c r="BC33" i="3"/>
  <c r="BC35" i="3" s="1"/>
  <c r="BA33" i="3"/>
  <c r="BA35" i="3" s="1"/>
  <c r="BB33" i="3"/>
  <c r="BB35" i="3" s="1"/>
  <c r="Y33" i="3"/>
  <c r="AS33" i="3"/>
  <c r="AS35" i="3" s="1"/>
  <c r="K35" i="3"/>
  <c r="AY33" i="3"/>
  <c r="AY35" i="3" s="1"/>
  <c r="AX33" i="3"/>
  <c r="AX35" i="3" s="1"/>
  <c r="AO33" i="3"/>
  <c r="AO35" i="3" s="1"/>
  <c r="AR33" i="3"/>
  <c r="AR35" i="3" s="1"/>
  <c r="AQ33" i="3"/>
  <c r="AQ35" i="3" s="1"/>
  <c r="AZ35" i="3"/>
  <c r="AP33" i="3"/>
  <c r="AP35" i="3" s="1"/>
  <c r="AV33" i="3"/>
  <c r="AV35" i="3" s="1"/>
  <c r="AU33" i="3"/>
  <c r="AU35" i="3" s="1"/>
  <c r="N35" i="3"/>
  <c r="AT33" i="3"/>
  <c r="AT35" i="3" s="1"/>
  <c r="AK33" i="3"/>
  <c r="AK35" i="3" s="1"/>
  <c r="AW33" i="3"/>
  <c r="AW35" i="3" s="1"/>
  <c r="AB33" i="3"/>
  <c r="Z33" i="3"/>
  <c r="Q33" i="3"/>
  <c r="AC33" i="3"/>
  <c r="T33" i="3"/>
  <c r="AF33" i="3"/>
  <c r="AE33" i="3"/>
  <c r="AJ66" i="3"/>
  <c r="X66" i="3"/>
  <c r="R33" i="3"/>
  <c r="U33" i="3"/>
  <c r="AG33" i="3"/>
  <c r="X33" i="3"/>
  <c r="AJ33" i="3"/>
  <c r="AJ35" i="3" s="1"/>
  <c r="AJ56" i="3" s="1"/>
  <c r="AG66" i="3"/>
  <c r="U66" i="3"/>
  <c r="W33" i="3"/>
  <c r="AI33" i="3"/>
  <c r="AI35" i="3" s="1"/>
  <c r="AI56" i="3" s="1"/>
  <c r="Z66" i="3"/>
  <c r="AC66" i="3"/>
  <c r="AF66" i="3"/>
  <c r="AA66" i="3"/>
  <c r="T66" i="3"/>
  <c r="R66" i="3"/>
  <c r="Y66" i="3"/>
  <c r="AI66" i="3"/>
  <c r="W66" i="3"/>
  <c r="AC54" i="3"/>
  <c r="AB66" i="3"/>
  <c r="U81" i="3" l="1"/>
  <c r="AD69" i="3"/>
  <c r="U69" i="3"/>
  <c r="V69" i="3"/>
  <c r="X69" i="3"/>
  <c r="AH69" i="3"/>
  <c r="AL71" i="3" s="1"/>
  <c r="AB69" i="3"/>
  <c r="AG69" i="3"/>
  <c r="AK71" i="3" s="1"/>
  <c r="AK72" i="3" s="1"/>
  <c r="X81" i="3"/>
  <c r="W69" i="3"/>
  <c r="S81" i="3"/>
  <c r="AC81" i="3"/>
  <c r="AH81" i="3"/>
  <c r="Y81" i="3"/>
  <c r="AA69" i="3"/>
  <c r="V81" i="3"/>
  <c r="AA81" i="3"/>
  <c r="AG81" i="3"/>
  <c r="AN81" i="3"/>
  <c r="AN80" i="3" s="1"/>
  <c r="AR80" i="3" s="1"/>
  <c r="AV80" i="3" s="1"/>
  <c r="AZ80" i="3" s="1"/>
  <c r="BD80" i="3" s="1"/>
  <c r="AE69" i="3"/>
  <c r="AF69" i="3"/>
  <c r="T69" i="3"/>
  <c r="S69" i="3"/>
  <c r="AK56" i="3"/>
  <c r="AO56" i="3" s="1"/>
  <c r="AL55" i="3"/>
  <c r="AL54" i="3"/>
  <c r="AL57" i="3"/>
  <c r="AP56" i="3"/>
  <c r="AI57" i="3"/>
  <c r="AM56" i="3"/>
  <c r="AI55" i="3"/>
  <c r="AI54" i="3"/>
  <c r="AI53" i="3" s="1"/>
  <c r="AI68" i="3" s="1"/>
  <c r="AI69" i="3" s="1"/>
  <c r="AJ54" i="3"/>
  <c r="AJ57" i="3"/>
  <c r="AN56" i="3"/>
  <c r="AJ55" i="3"/>
  <c r="AL81" i="3" l="1"/>
  <c r="AL80" i="3" s="1"/>
  <c r="AP80" i="3" s="1"/>
  <c r="AT80" i="3" s="1"/>
  <c r="AX80" i="3" s="1"/>
  <c r="BB80" i="3" s="1"/>
  <c r="AM81" i="3"/>
  <c r="AM80" i="3" s="1"/>
  <c r="AQ80" i="3" s="1"/>
  <c r="AU80" i="3" s="1"/>
  <c r="AY80" i="3" s="1"/>
  <c r="BC80" i="3" s="1"/>
  <c r="AK69" i="3"/>
  <c r="AK68" i="3" s="1"/>
  <c r="AK70" i="3"/>
  <c r="AK81" i="3"/>
  <c r="AK80" i="3" s="1"/>
  <c r="AO80" i="3" s="1"/>
  <c r="AS80" i="3" s="1"/>
  <c r="AW80" i="3" s="1"/>
  <c r="BA80" i="3" s="1"/>
  <c r="AO71" i="3"/>
  <c r="AS71" i="3" s="1"/>
  <c r="AM71" i="3"/>
  <c r="AQ71" i="3" s="1"/>
  <c r="AO72" i="3"/>
  <c r="AK57" i="3"/>
  <c r="AK55" i="3"/>
  <c r="AK54" i="3"/>
  <c r="AL69" i="3"/>
  <c r="AL68" i="3" s="1"/>
  <c r="AL70" i="3"/>
  <c r="AL72" i="3"/>
  <c r="AP71" i="3"/>
  <c r="AJ53" i="3"/>
  <c r="AM55" i="3"/>
  <c r="AM54" i="3"/>
  <c r="AQ56" i="3"/>
  <c r="AM57" i="3"/>
  <c r="AO57" i="3"/>
  <c r="AO55" i="3"/>
  <c r="AS56" i="3"/>
  <c r="AO54" i="3"/>
  <c r="AP57" i="3"/>
  <c r="AP55" i="3"/>
  <c r="AP54" i="3"/>
  <c r="AT56" i="3"/>
  <c r="AN55" i="3"/>
  <c r="AR56" i="3"/>
  <c r="AN57" i="3"/>
  <c r="AN54" i="3"/>
  <c r="AO70" i="3" l="1"/>
  <c r="AO69" i="3"/>
  <c r="AO68" i="3" s="1"/>
  <c r="AM72" i="3"/>
  <c r="AM69" i="3"/>
  <c r="AM68" i="3" s="1"/>
  <c r="AM70" i="3"/>
  <c r="AU71" i="3"/>
  <c r="AQ69" i="3"/>
  <c r="AQ72" i="3"/>
  <c r="AQ70" i="3"/>
  <c r="AK53" i="3"/>
  <c r="AL53" i="3" s="1"/>
  <c r="AM53" i="3" s="1"/>
  <c r="AN53" i="3" s="1"/>
  <c r="AO53" i="3" s="1"/>
  <c r="AP53" i="3" s="1"/>
  <c r="AJ68" i="3"/>
  <c r="AW71" i="3"/>
  <c r="AS69" i="3"/>
  <c r="AS68" i="3" s="1"/>
  <c r="AS72" i="3"/>
  <c r="AS70" i="3"/>
  <c r="AT71" i="3"/>
  <c r="AP70" i="3"/>
  <c r="AP69" i="3"/>
  <c r="AP68" i="3" s="1"/>
  <c r="AP72" i="3"/>
  <c r="AS55" i="3"/>
  <c r="AW56" i="3"/>
  <c r="AS57" i="3"/>
  <c r="AS54" i="3"/>
  <c r="AQ57" i="3"/>
  <c r="AQ54" i="3"/>
  <c r="AU56" i="3"/>
  <c r="AQ55" i="3"/>
  <c r="AV56" i="3"/>
  <c r="AR57" i="3"/>
  <c r="AR55" i="3"/>
  <c r="AR54" i="3"/>
  <c r="AT55" i="3"/>
  <c r="AX56" i="3"/>
  <c r="AT57" i="3"/>
  <c r="AT54" i="3"/>
  <c r="AQ68" i="3" l="1"/>
  <c r="AX71" i="3"/>
  <c r="AT69" i="3"/>
  <c r="AT68" i="3" s="1"/>
  <c r="AT72" i="3"/>
  <c r="AT70" i="3"/>
  <c r="BA71" i="3"/>
  <c r="AW70" i="3"/>
  <c r="AW69" i="3"/>
  <c r="AW68" i="3" s="1"/>
  <c r="AW72" i="3"/>
  <c r="AJ69" i="3"/>
  <c r="AN71" i="3" s="1"/>
  <c r="AY71" i="3"/>
  <c r="AU69" i="3"/>
  <c r="AU68" i="3" s="1"/>
  <c r="AU72" i="3"/>
  <c r="AU70" i="3"/>
  <c r="AQ53" i="3"/>
  <c r="AR53" i="3" s="1"/>
  <c r="AS53" i="3" s="1"/>
  <c r="AT53" i="3" s="1"/>
  <c r="AV55" i="3"/>
  <c r="AV54" i="3"/>
  <c r="AZ56" i="3"/>
  <c r="AV57" i="3"/>
  <c r="AU54" i="3"/>
  <c r="AY56" i="3"/>
  <c r="AU57" i="3"/>
  <c r="AU55" i="3"/>
  <c r="AX55" i="3"/>
  <c r="AX54" i="3"/>
  <c r="AX57" i="3"/>
  <c r="BB56" i="3"/>
  <c r="AW54" i="3"/>
  <c r="AW57" i="3"/>
  <c r="AW55" i="3"/>
  <c r="BA56" i="3"/>
  <c r="AK65" i="3" l="1"/>
  <c r="BC71" i="3"/>
  <c r="AY69" i="3"/>
  <c r="AY68" i="3" s="1"/>
  <c r="AY70" i="3"/>
  <c r="AY72" i="3"/>
  <c r="AR71" i="3"/>
  <c r="AN69" i="3"/>
  <c r="AN68" i="3" s="1"/>
  <c r="AN70" i="3"/>
  <c r="AN72" i="3"/>
  <c r="BA70" i="3"/>
  <c r="BA72" i="3"/>
  <c r="BA69" i="3"/>
  <c r="BA68" i="3" s="1"/>
  <c r="BB71" i="3"/>
  <c r="AX70" i="3"/>
  <c r="AX72" i="3"/>
  <c r="AX69" i="3"/>
  <c r="AX68" i="3" s="1"/>
  <c r="AU53" i="3"/>
  <c r="AV53" i="3" s="1"/>
  <c r="AW53" i="3" s="1"/>
  <c r="AX53" i="3" s="1"/>
  <c r="BC56" i="3"/>
  <c r="AY54" i="3"/>
  <c r="AY55" i="3"/>
  <c r="AY57" i="3"/>
  <c r="BA57" i="3"/>
  <c r="BA55" i="3"/>
  <c r="BA54" i="3"/>
  <c r="BD56" i="3"/>
  <c r="AZ55" i="3"/>
  <c r="AZ57" i="3"/>
  <c r="AZ54" i="3"/>
  <c r="BB57" i="3"/>
  <c r="BB55" i="3"/>
  <c r="BB54" i="3"/>
  <c r="AY53" i="3" l="1"/>
  <c r="AZ53" i="3" s="1"/>
  <c r="BA53" i="3" s="1"/>
  <c r="BB53" i="3" s="1"/>
  <c r="AK66" i="3"/>
  <c r="AK11" i="3"/>
  <c r="AL65" i="3"/>
  <c r="AV71" i="3"/>
  <c r="AR72" i="3"/>
  <c r="AR70" i="3"/>
  <c r="AR69" i="3"/>
  <c r="AR68" i="3" s="1"/>
  <c r="BB70" i="3"/>
  <c r="BB69" i="3"/>
  <c r="BB68" i="3" s="1"/>
  <c r="BB72" i="3"/>
  <c r="BC72" i="3"/>
  <c r="BC69" i="3"/>
  <c r="BC68" i="3" s="1"/>
  <c r="BC70" i="3"/>
  <c r="BD54" i="3"/>
  <c r="BD57" i="3"/>
  <c r="BD55" i="3"/>
  <c r="BC57" i="3"/>
  <c r="BC55" i="3"/>
  <c r="BC54" i="3"/>
  <c r="AL66" i="3" l="1"/>
  <c r="AL11" i="3"/>
  <c r="AM65" i="3"/>
  <c r="AZ71" i="3"/>
  <c r="AV69" i="3"/>
  <c r="AV68" i="3" s="1"/>
  <c r="AV72" i="3"/>
  <c r="AV70" i="3"/>
  <c r="BC53" i="3"/>
  <c r="BD53" i="3" s="1"/>
  <c r="AM66" i="3" l="1"/>
  <c r="AM11" i="3"/>
  <c r="AN65" i="3"/>
  <c r="BD71" i="3"/>
  <c r="AZ70" i="3"/>
  <c r="AZ72" i="3"/>
  <c r="AZ69" i="3"/>
  <c r="AZ68" i="3" s="1"/>
  <c r="AN66" i="3" l="1"/>
  <c r="AN11" i="3"/>
  <c r="AO65" i="3"/>
  <c r="BD72" i="3"/>
  <c r="BD70" i="3"/>
  <c r="BD69" i="3"/>
  <c r="BD68" i="3" s="1"/>
  <c r="AO66" i="3" l="1"/>
  <c r="AO11" i="3"/>
  <c r="AP65" i="3"/>
  <c r="AP66" i="3" l="1"/>
  <c r="AP11" i="3"/>
  <c r="AQ65" i="3"/>
  <c r="AQ66" i="3" l="1"/>
  <c r="AQ11" i="3"/>
  <c r="AR65" i="3"/>
  <c r="AR66" i="3" l="1"/>
  <c r="AR11" i="3"/>
  <c r="AS65" i="3"/>
  <c r="AS66" i="3" l="1"/>
  <c r="AS11" i="3"/>
  <c r="AT65" i="3"/>
  <c r="AT66" i="3" l="1"/>
  <c r="AT11" i="3"/>
  <c r="AU65" i="3"/>
  <c r="AU66" i="3" l="1"/>
  <c r="AU11" i="3"/>
  <c r="AV65" i="3"/>
  <c r="G59" i="3"/>
  <c r="H59" i="3" s="1"/>
  <c r="I59" i="3" s="1"/>
  <c r="J59" i="3" s="1"/>
  <c r="K59" i="3" s="1"/>
  <c r="L59" i="3" s="1"/>
  <c r="M59" i="3" s="1"/>
  <c r="N59" i="3" s="1"/>
  <c r="O59" i="3" s="1"/>
  <c r="AJ22" i="3" a="1"/>
  <c r="AJ22" i="3" s="1"/>
  <c r="AI22" i="3" a="1"/>
  <c r="AI22" i="3" s="1"/>
  <c r="AH22" i="3" a="1"/>
  <c r="AH22" i="3" s="1"/>
  <c r="AG22" i="3" a="1"/>
  <c r="AG22" i="3" s="1"/>
  <c r="AF22" i="3" a="1"/>
  <c r="AF22" i="3" s="1"/>
  <c r="AE22" i="3" a="1"/>
  <c r="AE22" i="3" s="1"/>
  <c r="AD22" i="3" a="1"/>
  <c r="AD22" i="3" s="1"/>
  <c r="AC22" i="3" a="1"/>
  <c r="AC22" i="3" s="1"/>
  <c r="AB22" i="3" a="1"/>
  <c r="AB22" i="3" s="1"/>
  <c r="AA22" i="3" a="1"/>
  <c r="AA22" i="3" s="1"/>
  <c r="Z22" i="3" a="1"/>
  <c r="Z22" i="3" s="1"/>
  <c r="Y22" i="3" a="1"/>
  <c r="Y22" i="3" s="1"/>
  <c r="X22" i="3" a="1"/>
  <c r="X22" i="3" s="1"/>
  <c r="W22" i="3" a="1"/>
  <c r="W22" i="3" s="1"/>
  <c r="V22" i="3" a="1"/>
  <c r="V22" i="3" s="1"/>
  <c r="U22" i="3" a="1"/>
  <c r="U22" i="3" s="1"/>
  <c r="T22" i="3" a="1"/>
  <c r="T22" i="3" s="1"/>
  <c r="S22" i="3" a="1"/>
  <c r="S22" i="3" s="1"/>
  <c r="R22" i="3" a="1"/>
  <c r="R22" i="3" s="1"/>
  <c r="Q22" i="3" a="1"/>
  <c r="Q22" i="3" s="1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Q14" i="3"/>
  <c r="R6" i="3"/>
  <c r="S6" i="3" s="1"/>
  <c r="R1" i="3"/>
  <c r="G8" i="3"/>
  <c r="H8" i="3" s="1"/>
  <c r="I8" i="3" s="1"/>
  <c r="J8" i="3" s="1"/>
  <c r="K8" i="3" s="1"/>
  <c r="L8" i="3" s="1"/>
  <c r="M8" i="3" s="1"/>
  <c r="N8" i="3" s="1"/>
  <c r="O8" i="3" s="1"/>
  <c r="G6" i="3"/>
  <c r="H6" i="3" s="1"/>
  <c r="I6" i="3" s="1"/>
  <c r="J6" i="3" s="1"/>
  <c r="K6" i="3" s="1"/>
  <c r="L6" i="3" s="1"/>
  <c r="M6" i="3" s="1"/>
  <c r="N6" i="3" s="1"/>
  <c r="O6" i="3" s="1"/>
  <c r="G1" i="3"/>
  <c r="AB49" i="12" l="1" a="1"/>
  <c r="AH123" i="3"/>
  <c r="AH131" i="3" s="1"/>
  <c r="AH138" i="3" s="1"/>
  <c r="AL138" i="3" s="1"/>
  <c r="AP138" i="3" s="1"/>
  <c r="AT138" i="3" s="1"/>
  <c r="AX138" i="3" s="1"/>
  <c r="BB138" i="3" s="1"/>
  <c r="AH125" i="3"/>
  <c r="AH124" i="3"/>
  <c r="AH132" i="3" s="1"/>
  <c r="AH139" i="3" s="1"/>
  <c r="AL139" i="3" s="1"/>
  <c r="AP139" i="3" s="1"/>
  <c r="AT139" i="3" s="1"/>
  <c r="AX139" i="3" s="1"/>
  <c r="BB139" i="3" s="1"/>
  <c r="AH126" i="3"/>
  <c r="AH122" i="3"/>
  <c r="W126" i="3"/>
  <c r="W123" i="3"/>
  <c r="W131" i="3" s="1"/>
  <c r="W138" i="3" s="1"/>
  <c r="W122" i="3"/>
  <c r="W125" i="3"/>
  <c r="W124" i="3"/>
  <c r="AJ126" i="3"/>
  <c r="AJ123" i="3"/>
  <c r="AJ131" i="3" s="1"/>
  <c r="AJ138" i="3" s="1"/>
  <c r="AN138" i="3" s="1"/>
  <c r="AR138" i="3" s="1"/>
  <c r="AV138" i="3" s="1"/>
  <c r="AZ138" i="3" s="1"/>
  <c r="BD138" i="3" s="1"/>
  <c r="AJ125" i="3"/>
  <c r="AJ133" i="3" s="1"/>
  <c r="AJ140" i="3" s="1"/>
  <c r="AN140" i="3" s="1"/>
  <c r="AR140" i="3" s="1"/>
  <c r="AV140" i="3" s="1"/>
  <c r="AZ140" i="3" s="1"/>
  <c r="BD140" i="3" s="1"/>
  <c r="AJ124" i="3"/>
  <c r="AJ122" i="3"/>
  <c r="Y124" i="3"/>
  <c r="Y132" i="3" s="1"/>
  <c r="Y139" i="3" s="1"/>
  <c r="Y126" i="3"/>
  <c r="Y123" i="3"/>
  <c r="Y125" i="3"/>
  <c r="Y122" i="3"/>
  <c r="Z124" i="3"/>
  <c r="Z126" i="3"/>
  <c r="Z123" i="3"/>
  <c r="Z122" i="3"/>
  <c r="Z125" i="3"/>
  <c r="AA122" i="3"/>
  <c r="AA124" i="3"/>
  <c r="AA126" i="3"/>
  <c r="AA123" i="3"/>
  <c r="AA131" i="3" s="1"/>
  <c r="AA138" i="3" s="1"/>
  <c r="AA125" i="3"/>
  <c r="AG123" i="3"/>
  <c r="AG131" i="3" s="1"/>
  <c r="AG138" i="3" s="1"/>
  <c r="AK138" i="3" s="1"/>
  <c r="AO138" i="3" s="1"/>
  <c r="AS138" i="3" s="1"/>
  <c r="AW138" i="3" s="1"/>
  <c r="BA138" i="3" s="1"/>
  <c r="AG125" i="3"/>
  <c r="AG122" i="3"/>
  <c r="AG124" i="3"/>
  <c r="AG126" i="3"/>
  <c r="AC91" i="3"/>
  <c r="AC122" i="3"/>
  <c r="AC124" i="3"/>
  <c r="AC126" i="3"/>
  <c r="AC123" i="3"/>
  <c r="AC125" i="3"/>
  <c r="AC133" i="3" s="1"/>
  <c r="AC140" i="3" s="1"/>
  <c r="Y91" i="3"/>
  <c r="X126" i="3"/>
  <c r="X123" i="3"/>
  <c r="X125" i="3"/>
  <c r="X122" i="3"/>
  <c r="X124" i="3"/>
  <c r="AB126" i="3"/>
  <c r="AB122" i="3"/>
  <c r="AB124" i="3"/>
  <c r="AB123" i="3"/>
  <c r="AB125" i="3"/>
  <c r="AB133" i="3" s="1"/>
  <c r="AB140" i="3" s="1"/>
  <c r="Q126" i="3"/>
  <c r="Q125" i="3"/>
  <c r="Q124" i="3"/>
  <c r="Q122" i="3"/>
  <c r="Q123" i="3"/>
  <c r="U123" i="3"/>
  <c r="U125" i="3"/>
  <c r="U133" i="3" s="1"/>
  <c r="U140" i="3" s="1"/>
  <c r="U122" i="3"/>
  <c r="U126" i="3"/>
  <c r="U124" i="3"/>
  <c r="V123" i="3"/>
  <c r="V125" i="3"/>
  <c r="V126" i="3"/>
  <c r="V134" i="3" s="1"/>
  <c r="V141" i="3" s="1"/>
  <c r="V122" i="3"/>
  <c r="V124" i="3"/>
  <c r="AI126" i="3"/>
  <c r="AI123" i="3"/>
  <c r="AI125" i="3"/>
  <c r="AI133" i="3" s="1"/>
  <c r="AI140" i="3" s="1"/>
  <c r="AM140" i="3" s="1"/>
  <c r="AQ140" i="3" s="1"/>
  <c r="AU140" i="3" s="1"/>
  <c r="AY140" i="3" s="1"/>
  <c r="BC140" i="3" s="1"/>
  <c r="AI124" i="3"/>
  <c r="AI132" i="3" s="1"/>
  <c r="AI139" i="3" s="1"/>
  <c r="AM139" i="3" s="1"/>
  <c r="AQ139" i="3" s="1"/>
  <c r="AU139" i="3" s="1"/>
  <c r="AY139" i="3" s="1"/>
  <c r="BC139" i="3" s="1"/>
  <c r="AI122" i="3"/>
  <c r="AE125" i="3"/>
  <c r="AE122" i="3"/>
  <c r="AE124" i="3"/>
  <c r="AE132" i="3" s="1"/>
  <c r="AE139" i="3" s="1"/>
  <c r="AE126" i="3"/>
  <c r="AE123" i="3"/>
  <c r="R125" i="3"/>
  <c r="R122" i="3"/>
  <c r="R124" i="3"/>
  <c r="R126" i="3"/>
  <c r="R123" i="3"/>
  <c r="AD125" i="3"/>
  <c r="AD133" i="3" s="1"/>
  <c r="AD140" i="3" s="1"/>
  <c r="AD122" i="3"/>
  <c r="AD124" i="3"/>
  <c r="AD132" i="3" s="1"/>
  <c r="AD139" i="3" s="1"/>
  <c r="AD126" i="3"/>
  <c r="AD123" i="3"/>
  <c r="S125" i="3"/>
  <c r="S122" i="3"/>
  <c r="S124" i="3"/>
  <c r="S123" i="3"/>
  <c r="S126" i="3"/>
  <c r="T123" i="3"/>
  <c r="T122" i="3"/>
  <c r="T125" i="3"/>
  <c r="T126" i="3"/>
  <c r="T124" i="3"/>
  <c r="AF123" i="3"/>
  <c r="AF125" i="3"/>
  <c r="AF122" i="3"/>
  <c r="AF126" i="3"/>
  <c r="AF124" i="3"/>
  <c r="AF132" i="3" s="1"/>
  <c r="AF139" i="3" s="1"/>
  <c r="Z24" i="3"/>
  <c r="Z28" i="3" s="1"/>
  <c r="AV66" i="3"/>
  <c r="AV11" i="3"/>
  <c r="AV14" i="3" s="1"/>
  <c r="AB91" i="3"/>
  <c r="AE24" i="3"/>
  <c r="AE28" i="3" s="1"/>
  <c r="AE91" i="3"/>
  <c r="AG91" i="3"/>
  <c r="X91" i="3"/>
  <c r="W91" i="3"/>
  <c r="AJ91" i="3"/>
  <c r="AK91" i="3"/>
  <c r="AA91" i="3"/>
  <c r="T91" i="3"/>
  <c r="U91" i="3"/>
  <c r="V24" i="3"/>
  <c r="V28" i="3" s="1"/>
  <c r="V91" i="3"/>
  <c r="AH24" i="3"/>
  <c r="AH28" i="3" s="1"/>
  <c r="AH91" i="3"/>
  <c r="AI91" i="3"/>
  <c r="Z91" i="3"/>
  <c r="S24" i="3"/>
  <c r="S28" i="3" s="1"/>
  <c r="S91" i="3"/>
  <c r="AF91" i="3"/>
  <c r="R91" i="3"/>
  <c r="AD91" i="3"/>
  <c r="AW65" i="3"/>
  <c r="R24" i="3"/>
  <c r="R28" i="3" s="1"/>
  <c r="AD24" i="3"/>
  <c r="AD28" i="3" s="1"/>
  <c r="X24" i="3"/>
  <c r="X28" i="3" s="1"/>
  <c r="AJ24" i="3"/>
  <c r="Y24" i="3"/>
  <c r="Y28" i="3" s="1"/>
  <c r="AC24" i="3"/>
  <c r="AC28" i="3" s="1"/>
  <c r="T24" i="3"/>
  <c r="T28" i="3" s="1"/>
  <c r="AF24" i="3"/>
  <c r="AF28" i="3" s="1"/>
  <c r="U24" i="3"/>
  <c r="U28" i="3" s="1"/>
  <c r="AG24" i="3"/>
  <c r="AG28" i="3" s="1"/>
  <c r="H1" i="3"/>
  <c r="S1" i="3"/>
  <c r="T1" i="3" s="1"/>
  <c r="U1" i="3" s="1"/>
  <c r="V1" i="3" s="1"/>
  <c r="W1" i="3" s="1"/>
  <c r="X1" i="3" s="1"/>
  <c r="Y1" i="3" s="1"/>
  <c r="Z1" i="3" s="1"/>
  <c r="AA1" i="3" s="1"/>
  <c r="AB1" i="3" s="1"/>
  <c r="AC1" i="3" s="1"/>
  <c r="AD1" i="3" s="1"/>
  <c r="AE1" i="3" s="1"/>
  <c r="AF1" i="3" s="1"/>
  <c r="AG1" i="3" s="1"/>
  <c r="AH1" i="3" s="1"/>
  <c r="AI1" i="3" s="1"/>
  <c r="AJ1" i="3" s="1"/>
  <c r="AK1" i="3" s="1"/>
  <c r="AL1" i="3" s="1"/>
  <c r="AM1" i="3" s="1"/>
  <c r="AN1" i="3" s="1"/>
  <c r="AO1" i="3" s="1"/>
  <c r="AP1" i="3" s="1"/>
  <c r="AQ1" i="3" s="1"/>
  <c r="AR1" i="3" s="1"/>
  <c r="AS1" i="3" s="1"/>
  <c r="AT1" i="3" s="1"/>
  <c r="AU1" i="3" s="1"/>
  <c r="AV1" i="3" s="1"/>
  <c r="AW1" i="3" s="1"/>
  <c r="AX1" i="3" s="1"/>
  <c r="AY1" i="3" s="1"/>
  <c r="AZ1" i="3" s="1"/>
  <c r="BA1" i="3" s="1"/>
  <c r="BB1" i="3" s="1"/>
  <c r="BC1" i="3" s="1"/>
  <c r="BD1" i="3" s="1"/>
  <c r="W24" i="3"/>
  <c r="W28" i="3" s="1"/>
  <c r="AI24" i="3"/>
  <c r="AA24" i="3"/>
  <c r="AA28" i="3" s="1"/>
  <c r="AB24" i="3"/>
  <c r="AB28" i="3" s="1"/>
  <c r="Q24" i="3"/>
  <c r="Q28" i="3" s="1"/>
  <c r="R4" i="3"/>
  <c r="T6" i="3"/>
  <c r="S4" i="3"/>
  <c r="F17" i="3" l="1"/>
  <c r="F53" i="3"/>
  <c r="AB49" i="12"/>
  <c r="AD53" i="12"/>
  <c r="H74" i="3"/>
  <c r="H145" i="3"/>
  <c r="F145" i="3"/>
  <c r="F74" i="3"/>
  <c r="AJ28" i="3"/>
  <c r="AK13" i="2"/>
  <c r="AI28" i="3"/>
  <c r="AJ13" i="2"/>
  <c r="G145" i="3"/>
  <c r="G146" i="3" s="1"/>
  <c r="G74" i="3"/>
  <c r="AC130" i="3"/>
  <c r="AC137" i="3" s="1"/>
  <c r="AC127" i="3"/>
  <c r="AB134" i="3"/>
  <c r="AB141" i="3" s="1"/>
  <c r="X132" i="3"/>
  <c r="X139" i="3" s="1"/>
  <c r="AJ134" i="3"/>
  <c r="AJ141" i="3" s="1"/>
  <c r="AN141" i="3" s="1"/>
  <c r="AR141" i="3" s="1"/>
  <c r="AV141" i="3" s="1"/>
  <c r="AZ141" i="3" s="1"/>
  <c r="BD141" i="3" s="1"/>
  <c r="R131" i="3"/>
  <c r="R138" i="3" s="1"/>
  <c r="W132" i="3"/>
  <c r="W139" i="3" s="1"/>
  <c r="AI131" i="3"/>
  <c r="AI138" i="3" s="1"/>
  <c r="AM138" i="3" s="1"/>
  <c r="AQ138" i="3" s="1"/>
  <c r="AU138" i="3" s="1"/>
  <c r="AY138" i="3" s="1"/>
  <c r="BC138" i="3" s="1"/>
  <c r="AG130" i="3"/>
  <c r="AG137" i="3" s="1"/>
  <c r="AK137" i="3" s="1"/>
  <c r="AO137" i="3" s="1"/>
  <c r="AS137" i="3" s="1"/>
  <c r="AW137" i="3" s="1"/>
  <c r="BA137" i="3" s="1"/>
  <c r="AG127" i="3"/>
  <c r="R132" i="3"/>
  <c r="R139" i="3" s="1"/>
  <c r="AI134" i="3"/>
  <c r="AI141" i="3" s="1"/>
  <c r="AM141" i="3" s="1"/>
  <c r="AQ141" i="3" s="1"/>
  <c r="AU141" i="3" s="1"/>
  <c r="AY141" i="3" s="1"/>
  <c r="BC141" i="3" s="1"/>
  <c r="Q127" i="3"/>
  <c r="AK122" i="3"/>
  <c r="AK130" i="3" s="1"/>
  <c r="Q130" i="3"/>
  <c r="Q137" i="3" s="1"/>
  <c r="X131" i="3"/>
  <c r="X138" i="3" s="1"/>
  <c r="AG133" i="3"/>
  <c r="AG140" i="3" s="1"/>
  <c r="AK140" i="3" s="1"/>
  <c r="AO140" i="3" s="1"/>
  <c r="AS140" i="3" s="1"/>
  <c r="AW140" i="3" s="1"/>
  <c r="BA140" i="3" s="1"/>
  <c r="Y127" i="3"/>
  <c r="Y130" i="3"/>
  <c r="Y137" i="3" s="1"/>
  <c r="W127" i="3"/>
  <c r="W130" i="3"/>
  <c r="W137" i="3" s="1"/>
  <c r="S131" i="3"/>
  <c r="S138" i="3" s="1"/>
  <c r="AL122" i="3"/>
  <c r="R130" i="3"/>
  <c r="R137" i="3" s="1"/>
  <c r="R127" i="3"/>
  <c r="V132" i="3"/>
  <c r="V139" i="3" s="1"/>
  <c r="AK124" i="3"/>
  <c r="Q132" i="3"/>
  <c r="Q139" i="3" s="1"/>
  <c r="X134" i="3"/>
  <c r="X141" i="3" s="1"/>
  <c r="Y133" i="3"/>
  <c r="Y140" i="3" s="1"/>
  <c r="T132" i="3"/>
  <c r="T139" i="3" s="1"/>
  <c r="U134" i="3"/>
  <c r="U141" i="3" s="1"/>
  <c r="AD130" i="3"/>
  <c r="AD137" i="3" s="1"/>
  <c r="AD127" i="3"/>
  <c r="Z131" i="3"/>
  <c r="Z138" i="3" s="1"/>
  <c r="AG132" i="3"/>
  <c r="AG139" i="3" s="1"/>
  <c r="AK139" i="3" s="1"/>
  <c r="AO139" i="3" s="1"/>
  <c r="AS139" i="3" s="1"/>
  <c r="AW139" i="3" s="1"/>
  <c r="BA139" i="3" s="1"/>
  <c r="R134" i="3"/>
  <c r="R141" i="3" s="1"/>
  <c r="AK123" i="3"/>
  <c r="AK131" i="3" s="1"/>
  <c r="AK18" i="3" s="1"/>
  <c r="Q131" i="3"/>
  <c r="Q138" i="3" s="1"/>
  <c r="W133" i="3"/>
  <c r="W140" i="3" s="1"/>
  <c r="S134" i="3"/>
  <c r="S141" i="3" s="1"/>
  <c r="S132" i="3"/>
  <c r="S139" i="3" s="1"/>
  <c r="R133" i="3"/>
  <c r="R140" i="3" s="1"/>
  <c r="V127" i="3"/>
  <c r="V130" i="3"/>
  <c r="V137" i="3" s="1"/>
  <c r="AK125" i="3"/>
  <c r="AK133" i="3" s="1"/>
  <c r="AK20" i="3" s="1"/>
  <c r="Q133" i="3"/>
  <c r="Q140" i="3" s="1"/>
  <c r="AA133" i="3"/>
  <c r="AA140" i="3" s="1"/>
  <c r="Y131" i="3"/>
  <c r="Y138" i="3" s="1"/>
  <c r="W134" i="3"/>
  <c r="W141" i="3" s="1"/>
  <c r="AF134" i="3"/>
  <c r="AF141" i="3" s="1"/>
  <c r="S130" i="3"/>
  <c r="S137" i="3" s="1"/>
  <c r="S127" i="3"/>
  <c r="AE131" i="3"/>
  <c r="AE138" i="3" s="1"/>
  <c r="Q134" i="3"/>
  <c r="Q141" i="3" s="1"/>
  <c r="AK126" i="3"/>
  <c r="AK134" i="3" s="1"/>
  <c r="Y134" i="3"/>
  <c r="Y141" i="3" s="1"/>
  <c r="AH127" i="3"/>
  <c r="AH130" i="3"/>
  <c r="AH137" i="3" s="1"/>
  <c r="AL137" i="3" s="1"/>
  <c r="AP137" i="3" s="1"/>
  <c r="AT137" i="3" s="1"/>
  <c r="AX137" i="3" s="1"/>
  <c r="BB137" i="3" s="1"/>
  <c r="AE133" i="3"/>
  <c r="AE140" i="3" s="1"/>
  <c r="AB130" i="3"/>
  <c r="AB137" i="3" s="1"/>
  <c r="AB127" i="3"/>
  <c r="Z133" i="3"/>
  <c r="Z140" i="3" s="1"/>
  <c r="T134" i="3"/>
  <c r="T141" i="3" s="1"/>
  <c r="U130" i="3"/>
  <c r="U137" i="3" s="1"/>
  <c r="U127" i="3"/>
  <c r="Z127" i="3"/>
  <c r="Z130" i="3"/>
  <c r="Z137" i="3" s="1"/>
  <c r="T133" i="3"/>
  <c r="T140" i="3" s="1"/>
  <c r="AG134" i="3"/>
  <c r="AG141" i="3" s="1"/>
  <c r="AK141" i="3" s="1"/>
  <c r="AO141" i="3" s="1"/>
  <c r="AS141" i="3" s="1"/>
  <c r="AW141" i="3" s="1"/>
  <c r="BA141" i="3" s="1"/>
  <c r="T130" i="3"/>
  <c r="T137" i="3" s="1"/>
  <c r="T127" i="3"/>
  <c r="U131" i="3"/>
  <c r="U138" i="3" s="1"/>
  <c r="Z134" i="3"/>
  <c r="Z141" i="3" s="1"/>
  <c r="Z132" i="3"/>
  <c r="Z139" i="3" s="1"/>
  <c r="S133" i="3"/>
  <c r="S140" i="3" s="1"/>
  <c r="AC131" i="3"/>
  <c r="AC138" i="3" s="1"/>
  <c r="AA134" i="3"/>
  <c r="AA141" i="3" s="1"/>
  <c r="AH134" i="3"/>
  <c r="AH141" i="3" s="1"/>
  <c r="AL141" i="3" s="1"/>
  <c r="AP141" i="3" s="1"/>
  <c r="AT141" i="3" s="1"/>
  <c r="AX141" i="3" s="1"/>
  <c r="BB141" i="3" s="1"/>
  <c r="AF133" i="3"/>
  <c r="AF140" i="3" s="1"/>
  <c r="AD131" i="3"/>
  <c r="AD138" i="3" s="1"/>
  <c r="V131" i="3"/>
  <c r="V138" i="3" s="1"/>
  <c r="AB131" i="3"/>
  <c r="AB138" i="3" s="1"/>
  <c r="AC134" i="3"/>
  <c r="AC141" i="3" s="1"/>
  <c r="AA132" i="3"/>
  <c r="AA139" i="3" s="1"/>
  <c r="AJ127" i="3"/>
  <c r="AJ130" i="3"/>
  <c r="AJ137" i="3" s="1"/>
  <c r="AN137" i="3" s="1"/>
  <c r="AR137" i="3" s="1"/>
  <c r="AV137" i="3" s="1"/>
  <c r="AZ137" i="3" s="1"/>
  <c r="BD137" i="3" s="1"/>
  <c r="AI127" i="3"/>
  <c r="AI130" i="3"/>
  <c r="AI137" i="3" s="1"/>
  <c r="AM137" i="3" s="1"/>
  <c r="AQ137" i="3" s="1"/>
  <c r="AU137" i="3" s="1"/>
  <c r="AY137" i="3" s="1"/>
  <c r="BC137" i="3" s="1"/>
  <c r="X127" i="3"/>
  <c r="X130" i="3"/>
  <c r="X137" i="3" s="1"/>
  <c r="T131" i="3"/>
  <c r="T138" i="3" s="1"/>
  <c r="X133" i="3"/>
  <c r="X140" i="3" s="1"/>
  <c r="AF130" i="3"/>
  <c r="AF137" i="3" s="1"/>
  <c r="AF127" i="3"/>
  <c r="AE134" i="3"/>
  <c r="AE141" i="3" s="1"/>
  <c r="V133" i="3"/>
  <c r="V140" i="3" s="1"/>
  <c r="AF131" i="3"/>
  <c r="AF138" i="3" s="1"/>
  <c r="AD134" i="3"/>
  <c r="AD141" i="3" s="1"/>
  <c r="AE130" i="3"/>
  <c r="AE137" i="3" s="1"/>
  <c r="AE127" i="3"/>
  <c r="U132" i="3"/>
  <c r="U139" i="3" s="1"/>
  <c r="AB132" i="3"/>
  <c r="AB139" i="3" s="1"/>
  <c r="AC132" i="3"/>
  <c r="AC139" i="3" s="1"/>
  <c r="AA127" i="3"/>
  <c r="AA130" i="3"/>
  <c r="AA137" i="3" s="1"/>
  <c r="AJ132" i="3"/>
  <c r="AJ139" i="3" s="1"/>
  <c r="AN139" i="3" s="1"/>
  <c r="AR139" i="3" s="1"/>
  <c r="AV139" i="3" s="1"/>
  <c r="AZ139" i="3" s="1"/>
  <c r="BD139" i="3" s="1"/>
  <c r="AH133" i="3"/>
  <c r="AH140" i="3" s="1"/>
  <c r="AL140" i="3" s="1"/>
  <c r="AP140" i="3" s="1"/>
  <c r="AT140" i="3" s="1"/>
  <c r="AX140" i="3" s="1"/>
  <c r="BB140" i="3" s="1"/>
  <c r="H104" i="3"/>
  <c r="G90" i="3"/>
  <c r="G93" i="3"/>
  <c r="AW66" i="3"/>
  <c r="AW11" i="3"/>
  <c r="AW14" i="3" s="1"/>
  <c r="F104" i="3"/>
  <c r="F93" i="3"/>
  <c r="G104" i="3"/>
  <c r="F90" i="3"/>
  <c r="F99" i="3" s="1"/>
  <c r="H90" i="3"/>
  <c r="H93" i="3"/>
  <c r="AX65" i="3"/>
  <c r="H68" i="3"/>
  <c r="F68" i="3"/>
  <c r="G68" i="3"/>
  <c r="H53" i="3"/>
  <c r="G53" i="3"/>
  <c r="G20" i="3"/>
  <c r="AD30" i="12" s="1"/>
  <c r="G65" i="3"/>
  <c r="G80" i="3" s="1"/>
  <c r="H18" i="3"/>
  <c r="AE28" i="12" s="1"/>
  <c r="G12" i="3"/>
  <c r="AD22" i="12" s="1"/>
  <c r="I1" i="3"/>
  <c r="H65" i="3"/>
  <c r="H20" i="3"/>
  <c r="AE30" i="12" s="1"/>
  <c r="AC27" i="12"/>
  <c r="F26" i="3"/>
  <c r="F19" i="3"/>
  <c r="AC29" i="12" s="1"/>
  <c r="F13" i="3"/>
  <c r="AC23" i="12" s="1"/>
  <c r="H17" i="3"/>
  <c r="AE27" i="12" s="1"/>
  <c r="H11" i="3"/>
  <c r="AE21" i="12" s="1"/>
  <c r="H26" i="3"/>
  <c r="H13" i="3"/>
  <c r="AE23" i="12" s="1"/>
  <c r="H19" i="3"/>
  <c r="AE29" i="12" s="1"/>
  <c r="F12" i="3"/>
  <c r="AC22" i="12" s="1"/>
  <c r="G17" i="3"/>
  <c r="AD27" i="12" s="1"/>
  <c r="F11" i="3"/>
  <c r="AC21" i="12" s="1"/>
  <c r="G13" i="3"/>
  <c r="AD23" i="12" s="1"/>
  <c r="F21" i="3"/>
  <c r="AC31" i="12" s="1"/>
  <c r="G19" i="3"/>
  <c r="AD29" i="12" s="1"/>
  <c r="H12" i="3"/>
  <c r="AE22" i="12" s="1"/>
  <c r="G11" i="3"/>
  <c r="AD21" i="12" s="1"/>
  <c r="G21" i="3"/>
  <c r="AD31" i="12" s="1"/>
  <c r="H21" i="3"/>
  <c r="AE31" i="12" s="1"/>
  <c r="G18" i="3"/>
  <c r="AD28" i="12" s="1"/>
  <c r="F20" i="3"/>
  <c r="AC30" i="12" s="1"/>
  <c r="F18" i="3"/>
  <c r="AC28" i="12" s="1"/>
  <c r="F65" i="3"/>
  <c r="G26" i="3"/>
  <c r="T4" i="3"/>
  <c r="U6" i="3"/>
  <c r="H99" i="3" l="1"/>
  <c r="F80" i="3"/>
  <c r="D293" i="12" s="1"/>
  <c r="H80" i="3"/>
  <c r="H81" i="3" s="1"/>
  <c r="G75" i="3"/>
  <c r="AD36" i="12"/>
  <c r="E11" i="12"/>
  <c r="AE36" i="12"/>
  <c r="F11" i="12"/>
  <c r="AL123" i="3"/>
  <c r="AL131" i="3" s="1"/>
  <c r="AL18" i="3" s="1"/>
  <c r="I74" i="3"/>
  <c r="I75" i="3" s="1"/>
  <c r="I145" i="3"/>
  <c r="I146" i="3" s="1"/>
  <c r="E293" i="12"/>
  <c r="G81" i="3"/>
  <c r="AC36" i="12"/>
  <c r="D11" i="12"/>
  <c r="H146" i="3"/>
  <c r="G99" i="3"/>
  <c r="G100" i="3" s="1"/>
  <c r="H75" i="3"/>
  <c r="AK17" i="3"/>
  <c r="AK21" i="3"/>
  <c r="H91" i="3"/>
  <c r="AK127" i="3"/>
  <c r="AK132" i="3"/>
  <c r="AK19" i="3" s="1"/>
  <c r="AL124" i="3"/>
  <c r="AL125" i="3"/>
  <c r="AM125" i="3" s="1"/>
  <c r="AM133" i="3" s="1"/>
  <c r="AM20" i="3" s="1"/>
  <c r="AL126" i="3"/>
  <c r="G91" i="3"/>
  <c r="AM122" i="3"/>
  <c r="AN122" i="3" s="1"/>
  <c r="AL130" i="3"/>
  <c r="AL17" i="3" s="1"/>
  <c r="G94" i="3"/>
  <c r="H94" i="3"/>
  <c r="G116" i="3"/>
  <c r="I116" i="3"/>
  <c r="I104" i="3"/>
  <c r="I105" i="3" s="1"/>
  <c r="H100" i="3"/>
  <c r="H105" i="3"/>
  <c r="G105" i="3"/>
  <c r="H116" i="3"/>
  <c r="AX66" i="3"/>
  <c r="AX11" i="3"/>
  <c r="AX14" i="3" s="1"/>
  <c r="I93" i="3"/>
  <c r="I94" i="3" s="1"/>
  <c r="I90" i="3"/>
  <c r="H69" i="3"/>
  <c r="AY65" i="3"/>
  <c r="I53" i="3"/>
  <c r="I54" i="3" s="1"/>
  <c r="I68" i="3"/>
  <c r="I69" i="3" s="1"/>
  <c r="G69" i="3"/>
  <c r="G54" i="3"/>
  <c r="G14" i="3"/>
  <c r="E9" i="12" s="1"/>
  <c r="F14" i="3"/>
  <c r="D9" i="12" s="1"/>
  <c r="H22" i="3" a="1"/>
  <c r="H22" i="3" s="1"/>
  <c r="G22" i="3" a="1"/>
  <c r="G22" i="3" s="1"/>
  <c r="H66" i="3"/>
  <c r="H54" i="3"/>
  <c r="F22" i="3" a="1"/>
  <c r="F22" i="3" s="1"/>
  <c r="J1" i="3"/>
  <c r="I65" i="3"/>
  <c r="I21" i="3"/>
  <c r="AF31" i="12" s="1"/>
  <c r="I20" i="3"/>
  <c r="AF30" i="12" s="1"/>
  <c r="I11" i="3"/>
  <c r="AF21" i="12" s="1"/>
  <c r="I19" i="3"/>
  <c r="AF29" i="12" s="1"/>
  <c r="I18" i="3"/>
  <c r="AF28" i="12" s="1"/>
  <c r="I17" i="3"/>
  <c r="AF27" i="12" s="1"/>
  <c r="I13" i="3"/>
  <c r="AF23" i="12" s="1"/>
  <c r="I12" i="3"/>
  <c r="AF22" i="12" s="1"/>
  <c r="I26" i="3"/>
  <c r="G66" i="3"/>
  <c r="H14" i="3"/>
  <c r="F9" i="12" s="1"/>
  <c r="U4" i="3"/>
  <c r="V6" i="3"/>
  <c r="F293" i="12" l="1"/>
  <c r="AM123" i="3"/>
  <c r="AM131" i="3" s="1"/>
  <c r="AM18" i="3" s="1"/>
  <c r="G123" i="3"/>
  <c r="G131" i="3" s="1"/>
  <c r="G138" i="3" s="1"/>
  <c r="AD32" i="12"/>
  <c r="E10" i="12"/>
  <c r="H125" i="3"/>
  <c r="H133" i="3" s="1"/>
  <c r="H140" i="3" s="1"/>
  <c r="AE32" i="12"/>
  <c r="F10" i="12"/>
  <c r="AL127" i="3"/>
  <c r="I91" i="3"/>
  <c r="I99" i="3"/>
  <c r="I100" i="3" s="1"/>
  <c r="AF36" i="12"/>
  <c r="G11" i="12"/>
  <c r="I66" i="3"/>
  <c r="I80" i="3"/>
  <c r="AM124" i="3"/>
  <c r="AM132" i="3" s="1"/>
  <c r="AM19" i="3" s="1"/>
  <c r="J74" i="3"/>
  <c r="J75" i="3" s="1"/>
  <c r="J145" i="3"/>
  <c r="J146" i="3" s="1"/>
  <c r="F123" i="3"/>
  <c r="F131" i="3" s="1"/>
  <c r="F138" i="3" s="1"/>
  <c r="AC32" i="12"/>
  <c r="D10" i="12"/>
  <c r="H122" i="3"/>
  <c r="H130" i="3" s="1"/>
  <c r="H137" i="3" s="1"/>
  <c r="AK22" i="3" a="1"/>
  <c r="AK22" i="3" s="1"/>
  <c r="AK24" i="3" s="1"/>
  <c r="F122" i="3"/>
  <c r="F130" i="3" s="1"/>
  <c r="F137" i="3" s="1"/>
  <c r="F125" i="3"/>
  <c r="F133" i="3" s="1"/>
  <c r="F140" i="3" s="1"/>
  <c r="G125" i="3"/>
  <c r="G133" i="3" s="1"/>
  <c r="G140" i="3" s="1"/>
  <c r="H124" i="3"/>
  <c r="H132" i="3" s="1"/>
  <c r="H139" i="3" s="1"/>
  <c r="F126" i="3"/>
  <c r="F134" i="3" s="1"/>
  <c r="F141" i="3" s="1"/>
  <c r="AN130" i="3"/>
  <c r="AN17" i="3" s="1"/>
  <c r="G126" i="3"/>
  <c r="G134" i="3" s="1"/>
  <c r="G141" i="3" s="1"/>
  <c r="AM130" i="3"/>
  <c r="AM17" i="3" s="1"/>
  <c r="AL133" i="3"/>
  <c r="AL20" i="3" s="1"/>
  <c r="AN125" i="3"/>
  <c r="AO125" i="3" s="1"/>
  <c r="AO133" i="3" s="1"/>
  <c r="AO20" i="3" s="1"/>
  <c r="AN123" i="3"/>
  <c r="AN131" i="3" s="1"/>
  <c r="AN18" i="3" s="1"/>
  <c r="G124" i="3"/>
  <c r="G132" i="3" s="1"/>
  <c r="G139" i="3" s="1"/>
  <c r="AO122" i="3"/>
  <c r="AP122" i="3" s="1"/>
  <c r="AL134" i="3"/>
  <c r="AL21" i="3" s="1"/>
  <c r="AM126" i="3"/>
  <c r="AM134" i="3" s="1"/>
  <c r="AM21" i="3" s="1"/>
  <c r="H123" i="3"/>
  <c r="H131" i="3" s="1"/>
  <c r="H138" i="3" s="1"/>
  <c r="G122" i="3"/>
  <c r="AN124" i="3"/>
  <c r="AL132" i="3"/>
  <c r="AL19" i="3" s="1"/>
  <c r="F124" i="3"/>
  <c r="F132" i="3" s="1"/>
  <c r="F139" i="3" s="1"/>
  <c r="H126" i="3"/>
  <c r="H134" i="3" s="1"/>
  <c r="H141" i="3" s="1"/>
  <c r="J104" i="3"/>
  <c r="J105" i="3" s="1"/>
  <c r="J116" i="3"/>
  <c r="AY66" i="3"/>
  <c r="AY11" i="3"/>
  <c r="AY14" i="3" s="1"/>
  <c r="G24" i="3"/>
  <c r="J93" i="3"/>
  <c r="J94" i="3" s="1"/>
  <c r="J90" i="3"/>
  <c r="AZ65" i="3"/>
  <c r="J53" i="3"/>
  <c r="J68" i="3"/>
  <c r="H24" i="3"/>
  <c r="F24" i="3"/>
  <c r="I14" i="3"/>
  <c r="G9" i="12" s="1"/>
  <c r="K1" i="3"/>
  <c r="J65" i="3"/>
  <c r="D300" i="12" s="1"/>
  <c r="J26" i="3"/>
  <c r="J12" i="3"/>
  <c r="AG22" i="12" s="1"/>
  <c r="J13" i="3"/>
  <c r="AG23" i="12" s="1"/>
  <c r="J11" i="3"/>
  <c r="AG21" i="12" s="1"/>
  <c r="J17" i="3"/>
  <c r="AG27" i="12" s="1"/>
  <c r="J20" i="3"/>
  <c r="AG30" i="12" s="1"/>
  <c r="J18" i="3"/>
  <c r="AG28" i="12" s="1"/>
  <c r="J21" i="3"/>
  <c r="AG31" i="12" s="1"/>
  <c r="J19" i="3"/>
  <c r="AG29" i="12" s="1"/>
  <c r="I22" i="3" a="1"/>
  <c r="I22" i="3" s="1"/>
  <c r="V4" i="3"/>
  <c r="W6" i="3"/>
  <c r="J54" i="3" l="1"/>
  <c r="AF84" i="12"/>
  <c r="AG24" i="12"/>
  <c r="J69" i="3"/>
  <c r="D301" i="12"/>
  <c r="F28" i="3"/>
  <c r="AC34" i="12"/>
  <c r="H28" i="3"/>
  <c r="AE34" i="12"/>
  <c r="AO123" i="3"/>
  <c r="AO131" i="3" s="1"/>
  <c r="AO18" i="3" s="1"/>
  <c r="I81" i="3"/>
  <c r="G293" i="12"/>
  <c r="I123" i="3"/>
  <c r="I131" i="3" s="1"/>
  <c r="I138" i="3" s="1"/>
  <c r="AF32" i="12"/>
  <c r="G10" i="12"/>
  <c r="AG36" i="12"/>
  <c r="H11" i="12"/>
  <c r="J66" i="3"/>
  <c r="J80" i="3"/>
  <c r="J91" i="3"/>
  <c r="J99" i="3"/>
  <c r="J100" i="3" s="1"/>
  <c r="K74" i="3"/>
  <c r="K75" i="3" s="1"/>
  <c r="K145" i="3"/>
  <c r="K146" i="3" s="1"/>
  <c r="G28" i="3"/>
  <c r="AD34" i="12"/>
  <c r="AL22" i="3" a="1"/>
  <c r="AL22" i="3" s="1"/>
  <c r="AL24" i="3" s="1"/>
  <c r="AK28" i="3"/>
  <c r="AL13" i="2"/>
  <c r="AM22" i="3" a="1"/>
  <c r="AM22" i="3" s="1"/>
  <c r="AM24" i="3" s="1"/>
  <c r="I122" i="3"/>
  <c r="I126" i="3"/>
  <c r="I134" i="3" s="1"/>
  <c r="I141" i="3" s="1"/>
  <c r="I125" i="3"/>
  <c r="I133" i="3" s="1"/>
  <c r="I140" i="3" s="1"/>
  <c r="AN132" i="3"/>
  <c r="AN19" i="3" s="1"/>
  <c r="K19" i="3" s="1"/>
  <c r="AP123" i="3"/>
  <c r="H127" i="3"/>
  <c r="F127" i="3"/>
  <c r="AP125" i="3"/>
  <c r="I124" i="3"/>
  <c r="I132" i="3" s="1"/>
  <c r="I139" i="3" s="1"/>
  <c r="AO130" i="3"/>
  <c r="AO17" i="3" s="1"/>
  <c r="AP130" i="3"/>
  <c r="AP17" i="3" s="1"/>
  <c r="AM127" i="3"/>
  <c r="AN126" i="3"/>
  <c r="AO124" i="3"/>
  <c r="AO132" i="3" s="1"/>
  <c r="AO19" i="3" s="1"/>
  <c r="G127" i="3"/>
  <c r="G130" i="3"/>
  <c r="G137" i="3" s="1"/>
  <c r="AN133" i="3"/>
  <c r="AN20" i="3" s="1"/>
  <c r="K20" i="3" s="1"/>
  <c r="I130" i="3"/>
  <c r="I137" i="3" s="1"/>
  <c r="AQ122" i="3"/>
  <c r="K104" i="3"/>
  <c r="K105" i="3" s="1"/>
  <c r="K116" i="3"/>
  <c r="AZ66" i="3"/>
  <c r="AZ11" i="3"/>
  <c r="AZ14" i="3" s="1"/>
  <c r="K93" i="3"/>
  <c r="K94" i="3" s="1"/>
  <c r="K90" i="3"/>
  <c r="BA65" i="3"/>
  <c r="K53" i="3"/>
  <c r="K68" i="3"/>
  <c r="I24" i="3"/>
  <c r="J14" i="3"/>
  <c r="H9" i="12" s="1"/>
  <c r="L1" i="3"/>
  <c r="K65" i="3"/>
  <c r="E300" i="12" s="1"/>
  <c r="K11" i="3"/>
  <c r="K18" i="3"/>
  <c r="K13" i="3"/>
  <c r="K17" i="3"/>
  <c r="K12" i="3"/>
  <c r="K26" i="3"/>
  <c r="J22" i="3" a="1"/>
  <c r="J22" i="3" s="1"/>
  <c r="W4" i="3"/>
  <c r="X6" i="3"/>
  <c r="K54" i="3" l="1"/>
  <c r="AG84" i="12"/>
  <c r="AD38" i="12"/>
  <c r="E337" i="12"/>
  <c r="E338" i="12" s="1"/>
  <c r="AE38" i="12"/>
  <c r="F337" i="12"/>
  <c r="F338" i="12" s="1"/>
  <c r="AC38" i="12"/>
  <c r="D337" i="12"/>
  <c r="D338" i="12" s="1"/>
  <c r="K69" i="3"/>
  <c r="E301" i="12"/>
  <c r="I28" i="3"/>
  <c r="AF34" i="12"/>
  <c r="J81" i="3"/>
  <c r="H293" i="12"/>
  <c r="K91" i="3"/>
  <c r="K99" i="3"/>
  <c r="K100" i="3" s="1"/>
  <c r="K66" i="3"/>
  <c r="K80" i="3"/>
  <c r="J125" i="3"/>
  <c r="J133" i="3" s="1"/>
  <c r="J140" i="3" s="1"/>
  <c r="AG32" i="12"/>
  <c r="H10" i="12"/>
  <c r="L74" i="3"/>
  <c r="L75" i="3" s="1"/>
  <c r="L145" i="3"/>
  <c r="L146" i="3" s="1"/>
  <c r="AL28" i="3"/>
  <c r="AM13" i="2"/>
  <c r="AM28" i="3"/>
  <c r="AN13" i="2"/>
  <c r="I127" i="3"/>
  <c r="AQ130" i="3"/>
  <c r="AQ17" i="3" s="1"/>
  <c r="AN127" i="3"/>
  <c r="J126" i="3"/>
  <c r="J134" i="3" s="1"/>
  <c r="J141" i="3" s="1"/>
  <c r="AP133" i="3"/>
  <c r="AP20" i="3" s="1"/>
  <c r="AQ125" i="3"/>
  <c r="AR125" i="3"/>
  <c r="AR133" i="3" s="1"/>
  <c r="AR20" i="3" s="1"/>
  <c r="AP124" i="3"/>
  <c r="AN134" i="3"/>
  <c r="AN21" i="3" s="1"/>
  <c r="K21" i="3" s="1"/>
  <c r="K22" i="3" s="1" a="1"/>
  <c r="J123" i="3"/>
  <c r="J131" i="3" s="1"/>
  <c r="J138" i="3" s="1"/>
  <c r="J124" i="3"/>
  <c r="J132" i="3" s="1"/>
  <c r="J139" i="3" s="1"/>
  <c r="J122" i="3"/>
  <c r="AR122" i="3"/>
  <c r="AS122" i="3" s="1"/>
  <c r="AO126" i="3"/>
  <c r="AO127" i="3" s="1"/>
  <c r="AP131" i="3"/>
  <c r="AP18" i="3" s="1"/>
  <c r="AQ123" i="3"/>
  <c r="BA66" i="3"/>
  <c r="BA11" i="3"/>
  <c r="BA14" i="3" s="1"/>
  <c r="L104" i="3"/>
  <c r="L105" i="3" s="1"/>
  <c r="L116" i="3"/>
  <c r="J24" i="3"/>
  <c r="L93" i="3"/>
  <c r="L94" i="3" s="1"/>
  <c r="L90" i="3"/>
  <c r="BB65" i="3"/>
  <c r="L53" i="3"/>
  <c r="L68" i="3"/>
  <c r="K14" i="3"/>
  <c r="M1" i="3"/>
  <c r="L65" i="3"/>
  <c r="F300" i="12" s="1"/>
  <c r="L26" i="3"/>
  <c r="L13" i="3"/>
  <c r="L11" i="3"/>
  <c r="L12" i="3"/>
  <c r="Y6" i="3"/>
  <c r="X4" i="3"/>
  <c r="L54" i="3" l="1"/>
  <c r="AH84" i="12"/>
  <c r="AF38" i="12"/>
  <c r="G337" i="12"/>
  <c r="G338" i="12" s="1"/>
  <c r="L69" i="3"/>
  <c r="F301" i="12"/>
  <c r="I293" i="12"/>
  <c r="K81" i="3"/>
  <c r="L66" i="3"/>
  <c r="L80" i="3"/>
  <c r="J28" i="3"/>
  <c r="AG34" i="12"/>
  <c r="M74" i="3"/>
  <c r="M75" i="3" s="1"/>
  <c r="M145" i="3"/>
  <c r="M146" i="3" s="1"/>
  <c r="L91" i="3"/>
  <c r="L99" i="3"/>
  <c r="L100" i="3" s="1"/>
  <c r="AN22" i="3" a="1"/>
  <c r="K22" i="3"/>
  <c r="K122" i="3" s="1"/>
  <c r="AN22" i="3"/>
  <c r="AN24" i="3" s="1"/>
  <c r="K124" i="3"/>
  <c r="K132" i="3" s="1"/>
  <c r="K139" i="3" s="1"/>
  <c r="K130" i="3"/>
  <c r="K137" i="3" s="1"/>
  <c r="AQ124" i="3"/>
  <c r="AR130" i="3"/>
  <c r="AR17" i="3" s="1"/>
  <c r="J127" i="3"/>
  <c r="J130" i="3"/>
  <c r="J137" i="3" s="1"/>
  <c r="K125" i="3"/>
  <c r="K133" i="3" s="1"/>
  <c r="K140" i="3" s="1"/>
  <c r="AP126" i="3"/>
  <c r="AP127" i="3" s="1"/>
  <c r="AO134" i="3"/>
  <c r="AO21" i="3" s="1"/>
  <c r="AO22" i="3" s="1" a="1"/>
  <c r="AQ133" i="3"/>
  <c r="AQ20" i="3" s="1"/>
  <c r="L20" i="3" s="1"/>
  <c r="AS125" i="3"/>
  <c r="AT122" i="3"/>
  <c r="AU122" i="3" s="1"/>
  <c r="AP132" i="3"/>
  <c r="AP19" i="3" s="1"/>
  <c r="AQ131" i="3"/>
  <c r="AQ18" i="3" s="1"/>
  <c r="AS130" i="3"/>
  <c r="AS17" i="3" s="1"/>
  <c r="AR123" i="3"/>
  <c r="AS123" i="3" s="1"/>
  <c r="AS131" i="3" s="1"/>
  <c r="AS18" i="3" s="1"/>
  <c r="M104" i="3"/>
  <c r="M105" i="3" s="1"/>
  <c r="M116" i="3"/>
  <c r="BB66" i="3"/>
  <c r="BB11" i="3"/>
  <c r="BB14" i="3" s="1"/>
  <c r="M93" i="3"/>
  <c r="M94" i="3" s="1"/>
  <c r="M90" i="3"/>
  <c r="BC65" i="3"/>
  <c r="BD65" i="3"/>
  <c r="BD11" i="3" s="1"/>
  <c r="BD14" i="3" s="1"/>
  <c r="M53" i="3"/>
  <c r="M68" i="3"/>
  <c r="K24" i="3"/>
  <c r="K28" i="3" s="1"/>
  <c r="L14" i="3"/>
  <c r="N1" i="3"/>
  <c r="M65" i="3"/>
  <c r="G300" i="12" s="1"/>
  <c r="M13" i="3"/>
  <c r="M12" i="3"/>
  <c r="M26" i="3"/>
  <c r="M11" i="3"/>
  <c r="Z6" i="3"/>
  <c r="Y4" i="3"/>
  <c r="M54" i="3" l="1"/>
  <c r="AI84" i="12"/>
  <c r="AG38" i="12"/>
  <c r="H337" i="12"/>
  <c r="H338" i="12" s="1"/>
  <c r="M69" i="3"/>
  <c r="G301" i="12"/>
  <c r="M91" i="3"/>
  <c r="M99" i="3"/>
  <c r="M100" i="3" s="1"/>
  <c r="M66" i="3"/>
  <c r="M80" i="3"/>
  <c r="J293" i="12"/>
  <c r="L81" i="3"/>
  <c r="N74" i="3"/>
  <c r="N75" i="3" s="1"/>
  <c r="N145" i="3"/>
  <c r="N146" i="3" s="1"/>
  <c r="K126" i="3"/>
  <c r="K134" i="3" s="1"/>
  <c r="K141" i="3" s="1"/>
  <c r="AN28" i="3"/>
  <c r="AO13" i="2"/>
  <c r="K123" i="3"/>
  <c r="K131" i="3" s="1"/>
  <c r="K138" i="3" s="1"/>
  <c r="L17" i="3"/>
  <c r="AO22" i="3"/>
  <c r="AO24" i="3" s="1"/>
  <c r="AU130" i="3"/>
  <c r="AU17" i="3" s="1"/>
  <c r="AV122" i="3"/>
  <c r="AS133" i="3"/>
  <c r="AS20" i="3" s="1"/>
  <c r="AP134" i="3"/>
  <c r="AP21" i="3" s="1"/>
  <c r="AQ126" i="3"/>
  <c r="AT130" i="3"/>
  <c r="AT17" i="3" s="1"/>
  <c r="AQ132" i="3"/>
  <c r="AQ19" i="3" s="1"/>
  <c r="AR124" i="3"/>
  <c r="AR131" i="3"/>
  <c r="AR18" i="3" s="1"/>
  <c r="L18" i="3" s="1"/>
  <c r="AT123" i="3"/>
  <c r="AT125" i="3"/>
  <c r="BC66" i="3"/>
  <c r="BC11" i="3"/>
  <c r="BC14" i="3" s="1"/>
  <c r="N104" i="3"/>
  <c r="N105" i="3" s="1"/>
  <c r="N116" i="3"/>
  <c r="N93" i="3"/>
  <c r="N94" i="3" s="1"/>
  <c r="N90" i="3"/>
  <c r="BD66" i="3"/>
  <c r="M14" i="3"/>
  <c r="N53" i="3"/>
  <c r="N68" i="3"/>
  <c r="O1" i="3"/>
  <c r="N65" i="3"/>
  <c r="H300" i="12" s="1"/>
  <c r="N26" i="3"/>
  <c r="N12" i="3"/>
  <c r="N11" i="3"/>
  <c r="N13" i="3"/>
  <c r="AA6" i="3"/>
  <c r="Z4" i="3"/>
  <c r="N54" i="3" l="1"/>
  <c r="AJ84" i="12"/>
  <c r="N69" i="3"/>
  <c r="H301" i="12"/>
  <c r="K293" i="12"/>
  <c r="M81" i="3"/>
  <c r="N66" i="3"/>
  <c r="N80" i="3"/>
  <c r="N91" i="3"/>
  <c r="N99" i="3"/>
  <c r="N100" i="3" s="1"/>
  <c r="O74" i="3"/>
  <c r="O75" i="3" s="1"/>
  <c r="O145" i="3"/>
  <c r="O146" i="3" s="1"/>
  <c r="AO28" i="3"/>
  <c r="AP13" i="2"/>
  <c r="K127" i="3"/>
  <c r="AP22" i="3" a="1"/>
  <c r="AP22" i="3" s="1"/>
  <c r="AP24" i="3" s="1"/>
  <c r="AT133" i="3"/>
  <c r="AT20" i="3" s="1"/>
  <c r="AQ134" i="3"/>
  <c r="AQ21" i="3" s="1"/>
  <c r="AR126" i="3"/>
  <c r="AU125" i="3"/>
  <c r="AS124" i="3"/>
  <c r="AR132" i="3"/>
  <c r="AR19" i="3" s="1"/>
  <c r="AQ127" i="3"/>
  <c r="AV130" i="3"/>
  <c r="AV17" i="3" s="1"/>
  <c r="AW122" i="3"/>
  <c r="AU123" i="3"/>
  <c r="AT131" i="3"/>
  <c r="AT18" i="3" s="1"/>
  <c r="O104" i="3"/>
  <c r="O105" i="3" s="1"/>
  <c r="O116" i="3"/>
  <c r="O93" i="3"/>
  <c r="O94" i="3" s="1"/>
  <c r="O90" i="3"/>
  <c r="O53" i="3"/>
  <c r="O68" i="3"/>
  <c r="N14" i="3"/>
  <c r="O65" i="3"/>
  <c r="I300" i="12" s="1"/>
  <c r="O13" i="3"/>
  <c r="O26" i="3"/>
  <c r="O12" i="3"/>
  <c r="O11" i="3"/>
  <c r="AB6" i="3"/>
  <c r="AA4" i="3"/>
  <c r="O54" i="3" l="1"/>
  <c r="AK84" i="12"/>
  <c r="O69" i="3"/>
  <c r="I301" i="12"/>
  <c r="O91" i="3"/>
  <c r="O99" i="3"/>
  <c r="O100" i="3" s="1"/>
  <c r="L293" i="12"/>
  <c r="N81" i="3"/>
  <c r="O66" i="3"/>
  <c r="O80" i="3"/>
  <c r="AP28" i="3"/>
  <c r="AQ13" i="2"/>
  <c r="AQ22" i="3" a="1"/>
  <c r="AQ22" i="3" s="1"/>
  <c r="AQ24" i="3" s="1"/>
  <c r="M17" i="3"/>
  <c r="L19" i="3"/>
  <c r="AV125" i="3"/>
  <c r="AV133" i="3" s="1"/>
  <c r="AV20" i="3" s="1"/>
  <c r="AU133" i="3"/>
  <c r="AU20" i="3" s="1"/>
  <c r="M20" i="3" s="1"/>
  <c r="AR134" i="3"/>
  <c r="AR21" i="3" s="1"/>
  <c r="L21" i="3" s="1"/>
  <c r="AS126" i="3"/>
  <c r="AS127" i="3" s="1"/>
  <c r="AR127" i="3"/>
  <c r="AU131" i="3"/>
  <c r="AU18" i="3" s="1"/>
  <c r="AV123" i="3"/>
  <c r="AS132" i="3"/>
  <c r="AS19" i="3" s="1"/>
  <c r="AT124" i="3"/>
  <c r="AW130" i="3"/>
  <c r="AW17" i="3" s="1"/>
  <c r="AX122" i="3"/>
  <c r="O14" i="3"/>
  <c r="AC6" i="3"/>
  <c r="AB4" i="3"/>
  <c r="M293" i="12" l="1"/>
  <c r="O81" i="3"/>
  <c r="AQ28" i="3"/>
  <c r="AR13" i="2"/>
  <c r="L22" i="3" a="1"/>
  <c r="AR22" i="3" a="1"/>
  <c r="AR22" i="3"/>
  <c r="AR24" i="3" s="1"/>
  <c r="L22" i="3"/>
  <c r="L122" i="3" s="1"/>
  <c r="AV131" i="3"/>
  <c r="AV18" i="3" s="1"/>
  <c r="AW123" i="3"/>
  <c r="AW125" i="3"/>
  <c r="AW133" i="3" s="1"/>
  <c r="AW20" i="3" s="1"/>
  <c r="AX130" i="3"/>
  <c r="AX17" i="3" s="1"/>
  <c r="AY122" i="3"/>
  <c r="AT132" i="3"/>
  <c r="AT19" i="3" s="1"/>
  <c r="AU124" i="3"/>
  <c r="AS134" i="3"/>
  <c r="AS21" i="3" s="1"/>
  <c r="AS22" i="3" s="1" a="1"/>
  <c r="AT126" i="3"/>
  <c r="AT127" i="3" s="1"/>
  <c r="AD6" i="3"/>
  <c r="AC4" i="3"/>
  <c r="L125" i="3" l="1"/>
  <c r="L133" i="3" s="1"/>
  <c r="L140" i="3" s="1"/>
  <c r="L123" i="3"/>
  <c r="L131" i="3" s="1"/>
  <c r="L138" i="3" s="1"/>
  <c r="L24" i="3"/>
  <c r="L28" i="3" s="1"/>
  <c r="L124" i="3"/>
  <c r="L132" i="3" s="1"/>
  <c r="L139" i="3" s="1"/>
  <c r="AR28" i="3"/>
  <c r="AS13" i="2"/>
  <c r="L126" i="3"/>
  <c r="L134" i="3" s="1"/>
  <c r="L141" i="3" s="1"/>
  <c r="L130" i="3"/>
  <c r="L137" i="3" s="1"/>
  <c r="M18" i="3"/>
  <c r="AS22" i="3"/>
  <c r="AS24" i="3" s="1"/>
  <c r="AU132" i="3"/>
  <c r="AU19" i="3" s="1"/>
  <c r="AV124" i="3"/>
  <c r="AY130" i="3"/>
  <c r="AY17" i="3" s="1"/>
  <c r="AZ122" i="3"/>
  <c r="AX125" i="3"/>
  <c r="AT134" i="3"/>
  <c r="AT21" i="3" s="1"/>
  <c r="AU126" i="3"/>
  <c r="AW131" i="3"/>
  <c r="AW18" i="3" s="1"/>
  <c r="AX123" i="3"/>
  <c r="AE6" i="3"/>
  <c r="AD4" i="3"/>
  <c r="L127" i="3" l="1"/>
  <c r="AS28" i="3"/>
  <c r="AT13" i="2"/>
  <c r="AT22" i="3" a="1"/>
  <c r="AT22" i="3" s="1"/>
  <c r="AT24" i="3" s="1"/>
  <c r="AX131" i="3"/>
  <c r="AX18" i="3" s="1"/>
  <c r="AY123" i="3"/>
  <c r="AU134" i="3"/>
  <c r="AU21" i="3" s="1"/>
  <c r="AU22" i="3" s="1" a="1"/>
  <c r="AV126" i="3"/>
  <c r="AX133" i="3"/>
  <c r="AX20" i="3" s="1"/>
  <c r="AY125" i="3"/>
  <c r="AZ130" i="3"/>
  <c r="AZ17" i="3" s="1"/>
  <c r="BA122" i="3"/>
  <c r="AV132" i="3"/>
  <c r="AV19" i="3" s="1"/>
  <c r="AW124" i="3"/>
  <c r="AU127" i="3"/>
  <c r="AF6" i="3"/>
  <c r="AE4" i="3"/>
  <c r="AT28" i="3" l="1"/>
  <c r="AU13" i="2"/>
  <c r="N17" i="3"/>
  <c r="AU22" i="3"/>
  <c r="AU24" i="3" s="1"/>
  <c r="M19" i="3"/>
  <c r="M22" i="3" s="1" a="1"/>
  <c r="AX124" i="3"/>
  <c r="AW132" i="3"/>
  <c r="AW19" i="3" s="1"/>
  <c r="BA130" i="3"/>
  <c r="BA17" i="3" s="1"/>
  <c r="BB122" i="3"/>
  <c r="AY133" i="3"/>
  <c r="AY20" i="3" s="1"/>
  <c r="AZ125" i="3"/>
  <c r="AV134" i="3"/>
  <c r="AV21" i="3" s="1"/>
  <c r="M21" i="3" s="1"/>
  <c r="AW126" i="3"/>
  <c r="AY131" i="3"/>
  <c r="AY18" i="3" s="1"/>
  <c r="AZ123" i="3"/>
  <c r="AV127" i="3"/>
  <c r="AF4" i="3"/>
  <c r="AG6" i="3"/>
  <c r="AV22" i="3" l="1" a="1"/>
  <c r="AU28" i="3"/>
  <c r="AV13" i="2"/>
  <c r="AV22" i="3"/>
  <c r="AV24" i="3" s="1"/>
  <c r="M22" i="3"/>
  <c r="BA123" i="3"/>
  <c r="AZ131" i="3"/>
  <c r="AZ18" i="3" s="1"/>
  <c r="AW134" i="3"/>
  <c r="AW21" i="3" s="1"/>
  <c r="AW22" i="3" s="1" a="1"/>
  <c r="AX126" i="3"/>
  <c r="AZ133" i="3"/>
  <c r="AZ20" i="3" s="1"/>
  <c r="BA125" i="3"/>
  <c r="BB130" i="3"/>
  <c r="BB17" i="3" s="1"/>
  <c r="BC122" i="3"/>
  <c r="AW127" i="3"/>
  <c r="AY124" i="3"/>
  <c r="AX132" i="3"/>
  <c r="AX19" i="3" s="1"/>
  <c r="AG4" i="3"/>
  <c r="AH6" i="3"/>
  <c r="AV28" i="3" l="1"/>
  <c r="AW13" i="2"/>
  <c r="N18" i="3"/>
  <c r="AW22" i="3"/>
  <c r="AW24" i="3" s="1"/>
  <c r="M24" i="3"/>
  <c r="M28" i="3" s="1"/>
  <c r="M125" i="3"/>
  <c r="M133" i="3" s="1"/>
  <c r="M140" i="3" s="1"/>
  <c r="M122" i="3"/>
  <c r="M123" i="3"/>
  <c r="M131" i="3" s="1"/>
  <c r="M138" i="3" s="1"/>
  <c r="M124" i="3"/>
  <c r="M132" i="3" s="1"/>
  <c r="M139" i="3" s="1"/>
  <c r="M126" i="3"/>
  <c r="M134" i="3" s="1"/>
  <c r="M141" i="3" s="1"/>
  <c r="AZ124" i="3"/>
  <c r="AY132" i="3"/>
  <c r="AY19" i="3" s="1"/>
  <c r="BC130" i="3"/>
  <c r="BC17" i="3" s="1"/>
  <c r="BD122" i="3"/>
  <c r="BD130" i="3" s="1"/>
  <c r="BD17" i="3" s="1"/>
  <c r="BA133" i="3"/>
  <c r="BA20" i="3" s="1"/>
  <c r="BB125" i="3"/>
  <c r="AX134" i="3"/>
  <c r="AX21" i="3" s="1"/>
  <c r="AY126" i="3"/>
  <c r="AX127" i="3"/>
  <c r="BB123" i="3"/>
  <c r="BA131" i="3"/>
  <c r="BA18" i="3" s="1"/>
  <c r="AH4" i="3"/>
  <c r="AI6" i="3"/>
  <c r="AW28" i="3" l="1"/>
  <c r="AX13" i="2"/>
  <c r="AX22" i="3" a="1"/>
  <c r="AX22" i="3" s="1"/>
  <c r="AX24" i="3" s="1"/>
  <c r="AY22" i="3" a="1"/>
  <c r="M130" i="3"/>
  <c r="M137" i="3" s="1"/>
  <c r="M127" i="3"/>
  <c r="O17" i="3"/>
  <c r="BB131" i="3"/>
  <c r="BB18" i="3" s="1"/>
  <c r="BC123" i="3"/>
  <c r="AY134" i="3"/>
  <c r="AY21" i="3" s="1"/>
  <c r="AZ126" i="3"/>
  <c r="AZ127" i="3" s="1"/>
  <c r="BC125" i="3"/>
  <c r="BB133" i="3"/>
  <c r="BB20" i="3" s="1"/>
  <c r="AY127" i="3"/>
  <c r="AZ132" i="3"/>
  <c r="AZ19" i="3" s="1"/>
  <c r="N19" i="3" s="1"/>
  <c r="BA124" i="3"/>
  <c r="AI4" i="3"/>
  <c r="AJ6" i="3"/>
  <c r="AX28" i="3" l="1"/>
  <c r="AY13" i="2"/>
  <c r="AY22" i="3"/>
  <c r="AY24" i="3" s="1"/>
  <c r="BB124" i="3"/>
  <c r="BA132" i="3"/>
  <c r="BA19" i="3" s="1"/>
  <c r="BD125" i="3"/>
  <c r="BD133" i="3" s="1"/>
  <c r="BD20" i="3" s="1"/>
  <c r="N20" i="3" s="1"/>
  <c r="BC133" i="3"/>
  <c r="BC20" i="3" s="1"/>
  <c r="O20" i="3" s="1"/>
  <c r="AZ134" i="3"/>
  <c r="AZ21" i="3" s="1"/>
  <c r="N21" i="3" s="1"/>
  <c r="N22" i="3" s="1" a="1"/>
  <c r="BA126" i="3"/>
  <c r="BD123" i="3"/>
  <c r="BD131" i="3" s="1"/>
  <c r="BD18" i="3" s="1"/>
  <c r="BC131" i="3"/>
  <c r="BC18" i="3" s="1"/>
  <c r="AK6" i="3"/>
  <c r="AJ4" i="3"/>
  <c r="AY28" i="3" l="1"/>
  <c r="AZ13" i="2"/>
  <c r="AZ22" i="3" a="1"/>
  <c r="AZ22" i="3" s="1"/>
  <c r="AZ24" i="3" s="1"/>
  <c r="O18" i="3"/>
  <c r="N22" i="3"/>
  <c r="BA134" i="3"/>
  <c r="BA21" i="3" s="1"/>
  <c r="BA22" i="3" s="1" a="1"/>
  <c r="BB126" i="3"/>
  <c r="BB127" i="3" s="1"/>
  <c r="BA127" i="3"/>
  <c r="BC124" i="3"/>
  <c r="BB132" i="3"/>
  <c r="BB19" i="3" s="1"/>
  <c r="AL6" i="3"/>
  <c r="AK4" i="3"/>
  <c r="AZ28" i="3" l="1"/>
  <c r="BA13" i="2"/>
  <c r="N123" i="3"/>
  <c r="N131" i="3" s="1"/>
  <c r="N138" i="3" s="1"/>
  <c r="N24" i="3"/>
  <c r="N28" i="3" s="1"/>
  <c r="N122" i="3"/>
  <c r="N124" i="3"/>
  <c r="N132" i="3" s="1"/>
  <c r="N139" i="3" s="1"/>
  <c r="BA22" i="3"/>
  <c r="BA24" i="3" s="1"/>
  <c r="N125" i="3"/>
  <c r="N133" i="3" s="1"/>
  <c r="N140" i="3" s="1"/>
  <c r="N126" i="3"/>
  <c r="N134" i="3" s="1"/>
  <c r="N141" i="3" s="1"/>
  <c r="BC132" i="3"/>
  <c r="BC19" i="3" s="1"/>
  <c r="BD124" i="3"/>
  <c r="BD132" i="3" s="1"/>
  <c r="BD19" i="3" s="1"/>
  <c r="BB134" i="3"/>
  <c r="BB21" i="3" s="1"/>
  <c r="BC126" i="3"/>
  <c r="AM6" i="3"/>
  <c r="AL4" i="3"/>
  <c r="BA28" i="3" l="1"/>
  <c r="BB13" i="2"/>
  <c r="BB22" i="3" a="1"/>
  <c r="BB22" i="3" s="1"/>
  <c r="BB24" i="3" s="1"/>
  <c r="O19" i="3"/>
  <c r="N127" i="3"/>
  <c r="N130" i="3"/>
  <c r="N137" i="3" s="1"/>
  <c r="BC134" i="3"/>
  <c r="BC21" i="3" s="1"/>
  <c r="BD126" i="3"/>
  <c r="BC127" i="3"/>
  <c r="AN6" i="3"/>
  <c r="AM4" i="3"/>
  <c r="BB28" i="3" l="1"/>
  <c r="BC13" i="2"/>
  <c r="BC22" i="3" a="1"/>
  <c r="BC22" i="3" s="1"/>
  <c r="BC24" i="3" s="1"/>
  <c r="BC28" i="3" s="1"/>
  <c r="BD127" i="3"/>
  <c r="BD134" i="3"/>
  <c r="BD21" i="3" s="1"/>
  <c r="AO6" i="3"/>
  <c r="AN4" i="3"/>
  <c r="BD22" i="3" l="1" a="1"/>
  <c r="BD22" i="3" s="1"/>
  <c r="BD24" i="3" s="1"/>
  <c r="BD28" i="3" s="1"/>
  <c r="O21" i="3"/>
  <c r="O22" i="3" s="1" a="1"/>
  <c r="AO4" i="3"/>
  <c r="AP6" i="3"/>
  <c r="O22" i="3" l="1"/>
  <c r="AQ6" i="3"/>
  <c r="AP4" i="3"/>
  <c r="O123" i="3" l="1"/>
  <c r="O131" i="3" s="1"/>
  <c r="O138" i="3" s="1"/>
  <c r="O24" i="3"/>
  <c r="O28" i="3" s="1"/>
  <c r="O122" i="3"/>
  <c r="O125" i="3"/>
  <c r="O133" i="3" s="1"/>
  <c r="O140" i="3" s="1"/>
  <c r="O124" i="3"/>
  <c r="O132" i="3" s="1"/>
  <c r="O139" i="3" s="1"/>
  <c r="O126" i="3"/>
  <c r="O134" i="3" s="1"/>
  <c r="O141" i="3" s="1"/>
  <c r="AR6" i="3"/>
  <c r="AQ4" i="3"/>
  <c r="O130" i="3" l="1"/>
  <c r="O137" i="3" s="1"/>
  <c r="O127" i="3"/>
  <c r="AR4" i="3"/>
  <c r="AS6" i="3"/>
  <c r="AS4" i="3" l="1"/>
  <c r="AT6" i="3"/>
  <c r="AT4" i="3" l="1"/>
  <c r="AU6" i="3"/>
  <c r="AU4" i="3" l="1"/>
  <c r="AV6" i="3"/>
  <c r="AW6" i="3" l="1"/>
  <c r="AV4" i="3"/>
  <c r="AX6" i="3" l="1"/>
  <c r="AW4" i="3"/>
  <c r="AY6" i="3" l="1"/>
  <c r="AX4" i="3"/>
  <c r="AY4" i="3" l="1"/>
  <c r="AZ6" i="3"/>
  <c r="BA6" i="3" l="1"/>
  <c r="AZ4" i="3"/>
  <c r="BB6" i="3" l="1"/>
  <c r="BA4" i="3"/>
  <c r="BC6" i="3" l="1"/>
  <c r="BB4" i="3"/>
  <c r="BD6" i="3" l="1"/>
  <c r="BD4" i="3" s="1"/>
  <c r="BC4" i="3"/>
  <c r="AG187" i="2" l="1"/>
  <c r="AH187" i="2"/>
  <c r="AI187" i="2"/>
  <c r="AF187" i="2"/>
  <c r="AC187" i="2"/>
  <c r="AD187" i="2"/>
  <c r="AE187" i="2"/>
  <c r="AB187" i="2"/>
  <c r="Y187" i="2"/>
  <c r="Z187" i="2"/>
  <c r="AA187" i="2"/>
  <c r="X187" i="2"/>
  <c r="U187" i="2"/>
  <c r="V187" i="2"/>
  <c r="W187" i="2"/>
  <c r="T187" i="2"/>
  <c r="Q187" i="2"/>
  <c r="R187" i="2"/>
  <c r="S187" i="2"/>
  <c r="P187" i="2"/>
  <c r="F136" i="2"/>
  <c r="G136" i="2" s="1"/>
  <c r="H136" i="2" s="1"/>
  <c r="I136" i="2" s="1"/>
  <c r="J136" i="2" s="1"/>
  <c r="K136" i="2" s="1"/>
  <c r="L136" i="2" s="1"/>
  <c r="M136" i="2" s="1"/>
  <c r="N136" i="2" s="1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I130" i="2"/>
  <c r="H130" i="2"/>
  <c r="G130" i="2"/>
  <c r="F130" i="2"/>
  <c r="E130" i="2"/>
  <c r="I129" i="2"/>
  <c r="H129" i="2"/>
  <c r="G129" i="2"/>
  <c r="F129" i="2"/>
  <c r="E129" i="2"/>
  <c r="N128" i="2"/>
  <c r="M128" i="2"/>
  <c r="L128" i="2"/>
  <c r="K128" i="2"/>
  <c r="J128" i="2"/>
  <c r="I128" i="2"/>
  <c r="H128" i="2"/>
  <c r="G128" i="2"/>
  <c r="F128" i="2"/>
  <c r="E128" i="2"/>
  <c r="N127" i="2"/>
  <c r="M127" i="2"/>
  <c r="L127" i="2"/>
  <c r="K127" i="2"/>
  <c r="J127" i="2"/>
  <c r="I127" i="2"/>
  <c r="H127" i="2"/>
  <c r="G127" i="2"/>
  <c r="F127" i="2"/>
  <c r="E127" i="2"/>
  <c r="N126" i="2"/>
  <c r="M126" i="2"/>
  <c r="L126" i="2"/>
  <c r="K126" i="2"/>
  <c r="J126" i="2"/>
  <c r="I126" i="2"/>
  <c r="H126" i="2"/>
  <c r="G126" i="2"/>
  <c r="F126" i="2"/>
  <c r="E126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E116" i="2"/>
  <c r="F116" i="2"/>
  <c r="G116" i="2"/>
  <c r="H116" i="2"/>
  <c r="I116" i="2"/>
  <c r="E117" i="2"/>
  <c r="F117" i="2"/>
  <c r="G117" i="2"/>
  <c r="H117" i="2"/>
  <c r="I117" i="2"/>
  <c r="E118" i="2"/>
  <c r="F118" i="2"/>
  <c r="G118" i="2"/>
  <c r="H118" i="2"/>
  <c r="I118" i="2"/>
  <c r="E119" i="2"/>
  <c r="F119" i="2"/>
  <c r="G119" i="2"/>
  <c r="H119" i="2"/>
  <c r="I119" i="2"/>
  <c r="I115" i="2"/>
  <c r="H115" i="2"/>
  <c r="G115" i="2"/>
  <c r="F115" i="2"/>
  <c r="E115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I111" i="2"/>
  <c r="H111" i="2"/>
  <c r="G111" i="2"/>
  <c r="F111" i="2"/>
  <c r="E111" i="2"/>
  <c r="I110" i="2"/>
  <c r="H110" i="2"/>
  <c r="G110" i="2"/>
  <c r="F110" i="2"/>
  <c r="E110" i="2"/>
  <c r="I109" i="2"/>
  <c r="H109" i="2"/>
  <c r="G109" i="2"/>
  <c r="F109" i="2"/>
  <c r="E109" i="2"/>
  <c r="I108" i="2"/>
  <c r="H108" i="2"/>
  <c r="G108" i="2"/>
  <c r="F108" i="2"/>
  <c r="E108" i="2"/>
  <c r="I107" i="2"/>
  <c r="H107" i="2"/>
  <c r="G107" i="2"/>
  <c r="F107" i="2"/>
  <c r="E107" i="2"/>
  <c r="I106" i="2"/>
  <c r="H106" i="2"/>
  <c r="G106" i="2"/>
  <c r="F106" i="2"/>
  <c r="E106" i="2"/>
  <c r="I105" i="2"/>
  <c r="H105" i="2"/>
  <c r="G105" i="2"/>
  <c r="F105" i="2"/>
  <c r="E105" i="2"/>
  <c r="I104" i="2"/>
  <c r="H104" i="2"/>
  <c r="G104" i="2"/>
  <c r="F104" i="2"/>
  <c r="E104" i="2"/>
  <c r="N103" i="2"/>
  <c r="M103" i="2"/>
  <c r="L103" i="2"/>
  <c r="K103" i="2"/>
  <c r="J103" i="2"/>
  <c r="I103" i="2"/>
  <c r="H103" i="2"/>
  <c r="G103" i="2"/>
  <c r="F103" i="2"/>
  <c r="E103" i="2"/>
  <c r="I102" i="2"/>
  <c r="H102" i="2"/>
  <c r="G102" i="2"/>
  <c r="F102" i="2"/>
  <c r="E102" i="2"/>
  <c r="I101" i="2"/>
  <c r="H101" i="2"/>
  <c r="G101" i="2"/>
  <c r="F101" i="2"/>
  <c r="E101" i="2"/>
  <c r="I100" i="2"/>
  <c r="H100" i="2"/>
  <c r="G100" i="2"/>
  <c r="F100" i="2"/>
  <c r="E100" i="2"/>
  <c r="I99" i="2"/>
  <c r="H99" i="2"/>
  <c r="G99" i="2"/>
  <c r="F99" i="2"/>
  <c r="E99" i="2"/>
  <c r="I98" i="2"/>
  <c r="H98" i="2"/>
  <c r="G98" i="2"/>
  <c r="F98" i="2"/>
  <c r="E98" i="2"/>
  <c r="I90" i="2"/>
  <c r="H90" i="2"/>
  <c r="G90" i="2"/>
  <c r="F90" i="2"/>
  <c r="E90" i="2"/>
  <c r="I89" i="2"/>
  <c r="H89" i="2"/>
  <c r="G89" i="2"/>
  <c r="F89" i="2"/>
  <c r="E89" i="2"/>
  <c r="I88" i="2"/>
  <c r="H88" i="2"/>
  <c r="G88" i="2"/>
  <c r="F88" i="2"/>
  <c r="E88" i="2"/>
  <c r="I87" i="2"/>
  <c r="J10" i="9" s="1"/>
  <c r="H87" i="2"/>
  <c r="I10" i="9" s="1"/>
  <c r="G87" i="2"/>
  <c r="H10" i="9" s="1"/>
  <c r="F87" i="2"/>
  <c r="G10" i="9" s="1"/>
  <c r="E87" i="2"/>
  <c r="F10" i="9" s="1"/>
  <c r="I86" i="2"/>
  <c r="H86" i="2"/>
  <c r="G86" i="2"/>
  <c r="F86" i="2"/>
  <c r="E86" i="2"/>
  <c r="I85" i="2"/>
  <c r="H85" i="2"/>
  <c r="G85" i="2"/>
  <c r="F85" i="2"/>
  <c r="E85" i="2"/>
  <c r="I84" i="2"/>
  <c r="H84" i="2"/>
  <c r="G84" i="2"/>
  <c r="F84" i="2"/>
  <c r="E84" i="2"/>
  <c r="N83" i="2"/>
  <c r="M83" i="2"/>
  <c r="L83" i="2"/>
  <c r="K83" i="2"/>
  <c r="J83" i="2"/>
  <c r="I83" i="2"/>
  <c r="H83" i="2"/>
  <c r="G83" i="2"/>
  <c r="F83" i="2"/>
  <c r="E83" i="2"/>
  <c r="I82" i="2"/>
  <c r="H82" i="2"/>
  <c r="G82" i="2"/>
  <c r="F82" i="2"/>
  <c r="E82" i="2"/>
  <c r="I81" i="2"/>
  <c r="H81" i="2"/>
  <c r="G81" i="2"/>
  <c r="F81" i="2"/>
  <c r="E81" i="2"/>
  <c r="I77" i="2"/>
  <c r="H77" i="2"/>
  <c r="G77" i="2"/>
  <c r="F77" i="2"/>
  <c r="E77" i="2"/>
  <c r="I76" i="2"/>
  <c r="H76" i="2"/>
  <c r="G76" i="2"/>
  <c r="F76" i="2"/>
  <c r="E76" i="2"/>
  <c r="I75" i="2"/>
  <c r="H75" i="2"/>
  <c r="G75" i="2"/>
  <c r="F75" i="2"/>
  <c r="E75" i="2"/>
  <c r="I72" i="2"/>
  <c r="H72" i="2"/>
  <c r="G72" i="2"/>
  <c r="F72" i="2"/>
  <c r="E72" i="2"/>
  <c r="I71" i="2"/>
  <c r="H71" i="2"/>
  <c r="G71" i="2"/>
  <c r="F71" i="2"/>
  <c r="E71" i="2"/>
  <c r="I70" i="2"/>
  <c r="H70" i="2"/>
  <c r="G70" i="2"/>
  <c r="F70" i="2"/>
  <c r="E70" i="2"/>
  <c r="I69" i="2"/>
  <c r="H69" i="2"/>
  <c r="G69" i="2"/>
  <c r="F69" i="2"/>
  <c r="E69" i="2"/>
  <c r="I68" i="2"/>
  <c r="H68" i="2"/>
  <c r="G68" i="2"/>
  <c r="F68" i="2"/>
  <c r="E68" i="2"/>
  <c r="I67" i="2"/>
  <c r="H67" i="2"/>
  <c r="G67" i="2"/>
  <c r="F67" i="2"/>
  <c r="E67" i="2"/>
  <c r="I66" i="2"/>
  <c r="H66" i="2"/>
  <c r="G66" i="2"/>
  <c r="F66" i="2"/>
  <c r="E66" i="2"/>
  <c r="I65" i="2"/>
  <c r="H65" i="2"/>
  <c r="G65" i="2"/>
  <c r="F65" i="2"/>
  <c r="E65" i="2"/>
  <c r="I64" i="2"/>
  <c r="H64" i="2"/>
  <c r="G64" i="2"/>
  <c r="F64" i="2"/>
  <c r="E64" i="2"/>
  <c r="I63" i="2"/>
  <c r="H63" i="2"/>
  <c r="G63" i="2"/>
  <c r="F63" i="2"/>
  <c r="E63" i="2"/>
  <c r="I62" i="2"/>
  <c r="H62" i="2"/>
  <c r="G62" i="2"/>
  <c r="F62" i="2"/>
  <c r="E62" i="2"/>
  <c r="I61" i="2"/>
  <c r="H61" i="2"/>
  <c r="G61" i="2"/>
  <c r="F61" i="2"/>
  <c r="E61" i="2"/>
  <c r="I60" i="2"/>
  <c r="H60" i="2"/>
  <c r="G60" i="2"/>
  <c r="F60" i="2"/>
  <c r="E60" i="2"/>
  <c r="I59" i="2"/>
  <c r="I208" i="2" s="1"/>
  <c r="J207" i="2" s="1"/>
  <c r="K10" i="19" s="1"/>
  <c r="H59" i="2"/>
  <c r="G59" i="2"/>
  <c r="F59" i="2"/>
  <c r="E59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Q78" i="2"/>
  <c r="R78" i="2"/>
  <c r="S78" i="2"/>
  <c r="T78" i="2"/>
  <c r="U78" i="2"/>
  <c r="V78" i="2"/>
  <c r="W78" i="2"/>
  <c r="X78" i="2"/>
  <c r="Y78" i="2"/>
  <c r="Z78" i="2"/>
  <c r="AA78" i="2"/>
  <c r="AB78" i="2"/>
  <c r="AB93" i="2" s="1"/>
  <c r="AC78" i="2"/>
  <c r="AD78" i="2"/>
  <c r="AE78" i="2"/>
  <c r="AF78" i="2"/>
  <c r="AG78" i="2"/>
  <c r="AH78" i="2"/>
  <c r="AH93" i="2" s="1"/>
  <c r="AI78" i="2"/>
  <c r="P78" i="2"/>
  <c r="F54" i="2"/>
  <c r="G54" i="2" s="1"/>
  <c r="H54" i="2" s="1"/>
  <c r="I54" i="2" s="1"/>
  <c r="J54" i="2" s="1"/>
  <c r="K54" i="2" s="1"/>
  <c r="L54" i="2" s="1"/>
  <c r="M54" i="2" s="1"/>
  <c r="N54" i="2" s="1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P32" i="2"/>
  <c r="AJ15" i="2"/>
  <c r="AJ17" i="2" s="1"/>
  <c r="W15" i="2"/>
  <c r="W17" i="2" s="1"/>
  <c r="V15" i="2"/>
  <c r="V18" i="2" s="1"/>
  <c r="U15" i="2"/>
  <c r="U17" i="2" s="1"/>
  <c r="T15" i="2"/>
  <c r="S15" i="2"/>
  <c r="R15" i="2"/>
  <c r="R22" i="2" s="1"/>
  <c r="R23" i="2" s="1"/>
  <c r="Q15" i="2"/>
  <c r="P8" i="2"/>
  <c r="Q6" i="2"/>
  <c r="Q4" i="2" s="1"/>
  <c r="Q1" i="2"/>
  <c r="F8" i="2"/>
  <c r="G8" i="2" s="1"/>
  <c r="H8" i="2" s="1"/>
  <c r="I8" i="2" s="1"/>
  <c r="J8" i="2" s="1"/>
  <c r="K8" i="2" s="1"/>
  <c r="L8" i="2" s="1"/>
  <c r="M8" i="2" s="1"/>
  <c r="N8" i="2" s="1"/>
  <c r="F6" i="2"/>
  <c r="G6" i="2" s="1"/>
  <c r="H6" i="2" s="1"/>
  <c r="I6" i="2" s="1"/>
  <c r="J6" i="2" s="1"/>
  <c r="K6" i="2" s="1"/>
  <c r="L6" i="2" s="1"/>
  <c r="M6" i="2" s="1"/>
  <c r="N6" i="2" s="1"/>
  <c r="F1" i="2"/>
  <c r="C3" i="1"/>
  <c r="E10" i="1"/>
  <c r="A1" i="2" l="1"/>
  <c r="A1" i="22"/>
  <c r="A1" i="19"/>
  <c r="A1" i="20"/>
  <c r="AC93" i="2"/>
  <c r="U122" i="2"/>
  <c r="AH122" i="2"/>
  <c r="AH133" i="2" s="1"/>
  <c r="AH134" i="2" s="1"/>
  <c r="I131" i="2"/>
  <c r="Z122" i="2"/>
  <c r="Z133" i="2" s="1"/>
  <c r="A1" i="9"/>
  <c r="A1" i="10"/>
  <c r="A1" i="8"/>
  <c r="A1" i="7"/>
  <c r="A1" i="3"/>
  <c r="Q93" i="2"/>
  <c r="V93" i="2"/>
  <c r="AF122" i="2"/>
  <c r="AF133" i="2" s="1"/>
  <c r="V122" i="2"/>
  <c r="V133" i="2" s="1"/>
  <c r="AG122" i="2"/>
  <c r="AG133" i="2" s="1"/>
  <c r="P122" i="2"/>
  <c r="AB122" i="2"/>
  <c r="F10" i="8"/>
  <c r="W122" i="2"/>
  <c r="W133" i="2" s="1"/>
  <c r="AI122" i="2"/>
  <c r="AI133" i="2" s="1"/>
  <c r="Y122" i="2"/>
  <c r="Y133" i="2" s="1"/>
  <c r="AD93" i="2"/>
  <c r="R93" i="2"/>
  <c r="H120" i="2"/>
  <c r="F120" i="2"/>
  <c r="X122" i="2"/>
  <c r="X133" i="2" s="1"/>
  <c r="AC122" i="2"/>
  <c r="AC133" i="2" s="1"/>
  <c r="AC134" i="2" s="1"/>
  <c r="Q8" i="2"/>
  <c r="V22" i="2"/>
  <c r="V23" i="2" s="1"/>
  <c r="Z93" i="2"/>
  <c r="Z134" i="2" s="1"/>
  <c r="U22" i="2"/>
  <c r="U23" i="2" s="1"/>
  <c r="Y93" i="2"/>
  <c r="U133" i="2"/>
  <c r="F131" i="2"/>
  <c r="H78" i="2"/>
  <c r="AA93" i="2"/>
  <c r="P93" i="2"/>
  <c r="X93" i="2"/>
  <c r="T122" i="2"/>
  <c r="T133" i="2" s="1"/>
  <c r="AA122" i="2"/>
  <c r="AA133" i="2" s="1"/>
  <c r="AI93" i="2"/>
  <c r="W93" i="2"/>
  <c r="W134" i="2" s="1"/>
  <c r="Q122" i="2"/>
  <c r="Q133" i="2" s="1"/>
  <c r="E120" i="2"/>
  <c r="M18" i="10"/>
  <c r="U10" i="7"/>
  <c r="U228" i="7" s="1"/>
  <c r="T17" i="2"/>
  <c r="G1" i="2"/>
  <c r="T22" i="2"/>
  <c r="T23" i="2" s="1"/>
  <c r="H10" i="8"/>
  <c r="H112" i="2"/>
  <c r="I120" i="2"/>
  <c r="I112" i="2"/>
  <c r="G120" i="2"/>
  <c r="E112" i="2"/>
  <c r="R122" i="2"/>
  <c r="R133" i="2" s="1"/>
  <c r="AD122" i="2"/>
  <c r="AD133" i="2" s="1"/>
  <c r="E131" i="2"/>
  <c r="J18" i="10"/>
  <c r="R10" i="7"/>
  <c r="R228" i="7" s="1"/>
  <c r="Q17" i="2"/>
  <c r="Q22" i="2"/>
  <c r="Q23" i="2" s="1"/>
  <c r="K18" i="10"/>
  <c r="S10" i="7"/>
  <c r="S228" i="7" s="1"/>
  <c r="R17" i="2"/>
  <c r="G10" i="8"/>
  <c r="T18" i="2"/>
  <c r="S122" i="2"/>
  <c r="S133" i="2" s="1"/>
  <c r="AE122" i="2"/>
  <c r="AE133" i="2" s="1"/>
  <c r="R40" i="2"/>
  <c r="G131" i="2"/>
  <c r="L18" i="10"/>
  <c r="T10" i="7"/>
  <c r="T228" i="7" s="1"/>
  <c r="S17" i="2"/>
  <c r="F112" i="2"/>
  <c r="G112" i="2"/>
  <c r="S22" i="2"/>
  <c r="S23" i="2" s="1"/>
  <c r="S18" i="2"/>
  <c r="R18" i="2"/>
  <c r="Q18" i="2"/>
  <c r="F78" i="2"/>
  <c r="H131" i="2"/>
  <c r="P133" i="2"/>
  <c r="AB133" i="2"/>
  <c r="AB134" i="2" s="1"/>
  <c r="AG93" i="2"/>
  <c r="I10" i="8"/>
  <c r="O18" i="10"/>
  <c r="W10" i="7"/>
  <c r="W228" i="7" s="1"/>
  <c r="V17" i="2"/>
  <c r="AE93" i="2"/>
  <c r="S93" i="2"/>
  <c r="T93" i="2"/>
  <c r="P18" i="10"/>
  <c r="X10" i="7"/>
  <c r="X228" i="7" s="1"/>
  <c r="I91" i="2"/>
  <c r="AC18" i="10"/>
  <c r="AC25" i="10" s="1"/>
  <c r="AK10" i="7"/>
  <c r="H91" i="2"/>
  <c r="F91" i="2"/>
  <c r="N18" i="10"/>
  <c r="V10" i="7"/>
  <c r="V228" i="7" s="1"/>
  <c r="AF93" i="2"/>
  <c r="W18" i="2"/>
  <c r="G91" i="2"/>
  <c r="U93" i="2"/>
  <c r="J10" i="8"/>
  <c r="U18" i="2"/>
  <c r="W22" i="2"/>
  <c r="W23" i="2" s="1"/>
  <c r="G78" i="2"/>
  <c r="E91" i="2"/>
  <c r="AJ18" i="2"/>
  <c r="I78" i="2"/>
  <c r="E78" i="2"/>
  <c r="R6" i="2"/>
  <c r="R1" i="2"/>
  <c r="P15" i="2"/>
  <c r="Y15" i="2"/>
  <c r="X15" i="2"/>
  <c r="E122" i="2" l="1"/>
  <c r="P134" i="2"/>
  <c r="V134" i="2"/>
  <c r="AF134" i="2"/>
  <c r="Q134" i="2"/>
  <c r="AI134" i="2"/>
  <c r="AD134" i="2"/>
  <c r="R134" i="2"/>
  <c r="H122" i="2"/>
  <c r="H133" i="2" s="1"/>
  <c r="H93" i="2"/>
  <c r="F122" i="2"/>
  <c r="F133" i="2" s="1"/>
  <c r="AA134" i="2"/>
  <c r="Q40" i="2"/>
  <c r="Q41" i="2" s="1"/>
  <c r="Q43" i="2" s="1"/>
  <c r="X134" i="2"/>
  <c r="AG134" i="2"/>
  <c r="E93" i="2"/>
  <c r="Y134" i="2"/>
  <c r="U134" i="2"/>
  <c r="E133" i="2"/>
  <c r="I122" i="2"/>
  <c r="I133" i="2" s="1"/>
  <c r="T134" i="2"/>
  <c r="U40" i="2"/>
  <c r="U51" i="2" s="1"/>
  <c r="N115" i="10" s="1"/>
  <c r="S40" i="2"/>
  <c r="S51" i="2" s="1"/>
  <c r="L115" i="10" s="1"/>
  <c r="G93" i="2"/>
  <c r="F93" i="2"/>
  <c r="V40" i="2"/>
  <c r="T217" i="7"/>
  <c r="T64" i="7"/>
  <c r="T49" i="7"/>
  <c r="T95" i="7"/>
  <c r="T125" i="7"/>
  <c r="T159" i="7"/>
  <c r="T180" i="7"/>
  <c r="T212" i="7"/>
  <c r="T162" i="7"/>
  <c r="T70" i="7"/>
  <c r="T43" i="7"/>
  <c r="T73" i="7"/>
  <c r="T31" i="7"/>
  <c r="T171" i="7"/>
  <c r="T174" i="7"/>
  <c r="T25" i="7"/>
  <c r="T19" i="7"/>
  <c r="T223" i="7"/>
  <c r="T220" i="7"/>
  <c r="T13" i="7"/>
  <c r="T37" i="7"/>
  <c r="T80" i="7"/>
  <c r="T165" i="7"/>
  <c r="T110" i="7"/>
  <c r="T153" i="7"/>
  <c r="T192" i="7"/>
  <c r="T83" i="7"/>
  <c r="T183" i="7"/>
  <c r="T67" i="7"/>
  <c r="T116" i="7"/>
  <c r="T186" i="7"/>
  <c r="T107" i="7"/>
  <c r="T89" i="7"/>
  <c r="T101" i="7"/>
  <c r="T98" i="7"/>
  <c r="T55" i="7"/>
  <c r="T86" i="7"/>
  <c r="T156" i="7"/>
  <c r="T189" i="7"/>
  <c r="T130" i="7"/>
  <c r="T133" i="7"/>
  <c r="T104" i="7"/>
  <c r="T177" i="7"/>
  <c r="T139" i="7"/>
  <c r="T168" i="7"/>
  <c r="T113" i="7"/>
  <c r="T142" i="7"/>
  <c r="T61" i="7"/>
  <c r="T150" i="7"/>
  <c r="T92" i="7"/>
  <c r="T145" i="7"/>
  <c r="T136" i="7"/>
  <c r="T122" i="7"/>
  <c r="T119" i="7"/>
  <c r="T203" i="7"/>
  <c r="T204" i="7"/>
  <c r="T205" i="7"/>
  <c r="X183" i="7"/>
  <c r="X223" i="7"/>
  <c r="X165" i="7"/>
  <c r="X171" i="7"/>
  <c r="X192" i="7"/>
  <c r="X153" i="7"/>
  <c r="X119" i="7"/>
  <c r="X19" i="7"/>
  <c r="X107" i="7"/>
  <c r="X139" i="7"/>
  <c r="X130" i="7"/>
  <c r="X67" i="7"/>
  <c r="X83" i="7"/>
  <c r="X217" i="7"/>
  <c r="X220" i="7"/>
  <c r="X64" i="7"/>
  <c r="X61" i="7"/>
  <c r="X177" i="7"/>
  <c r="X156" i="7"/>
  <c r="X162" i="7"/>
  <c r="X43" i="7"/>
  <c r="X189" i="7"/>
  <c r="X122" i="7"/>
  <c r="X80" i="7"/>
  <c r="X133" i="7"/>
  <c r="X13" i="7"/>
  <c r="X110" i="7"/>
  <c r="X104" i="7"/>
  <c r="X92" i="7"/>
  <c r="X73" i="7"/>
  <c r="X86" i="7"/>
  <c r="X145" i="7"/>
  <c r="X180" i="7"/>
  <c r="X174" i="7"/>
  <c r="X25" i="7"/>
  <c r="X37" i="7"/>
  <c r="X101" i="7"/>
  <c r="X212" i="7"/>
  <c r="X116" i="7"/>
  <c r="X89" i="7"/>
  <c r="X55" i="7"/>
  <c r="X113" i="7"/>
  <c r="X98" i="7"/>
  <c r="X142" i="7"/>
  <c r="X70" i="7"/>
  <c r="X49" i="7"/>
  <c r="X159" i="7"/>
  <c r="X125" i="7"/>
  <c r="X31" i="7"/>
  <c r="X186" i="7"/>
  <c r="X150" i="7"/>
  <c r="X136" i="7"/>
  <c r="X168" i="7"/>
  <c r="X95" i="7"/>
  <c r="X203" i="7"/>
  <c r="G203" i="7" s="1"/>
  <c r="X205" i="7"/>
  <c r="G205" i="7" s="1"/>
  <c r="X204" i="7"/>
  <c r="G204" i="7" s="1"/>
  <c r="G122" i="2"/>
  <c r="G133" i="2" s="1"/>
  <c r="R217" i="7"/>
  <c r="R119" i="7"/>
  <c r="R89" i="7"/>
  <c r="R13" i="7"/>
  <c r="R104" i="7"/>
  <c r="R49" i="7"/>
  <c r="R180" i="7"/>
  <c r="R192" i="7"/>
  <c r="R43" i="7"/>
  <c r="R142" i="7"/>
  <c r="R204" i="7"/>
  <c r="R101" i="7"/>
  <c r="R37" i="7"/>
  <c r="R220" i="7"/>
  <c r="R136" i="7"/>
  <c r="R212" i="7"/>
  <c r="R125" i="7"/>
  <c r="R133" i="7"/>
  <c r="R162" i="7"/>
  <c r="R177" i="7"/>
  <c r="R31" i="7"/>
  <c r="R95" i="7"/>
  <c r="R92" i="7"/>
  <c r="R223" i="7"/>
  <c r="R168" i="7"/>
  <c r="R186" i="7"/>
  <c r="R70" i="7"/>
  <c r="R139" i="7"/>
  <c r="R122" i="7"/>
  <c r="R113" i="7"/>
  <c r="R165" i="7"/>
  <c r="R150" i="7"/>
  <c r="R25" i="7"/>
  <c r="R205" i="7"/>
  <c r="R55" i="7"/>
  <c r="R86" i="7"/>
  <c r="R203" i="7"/>
  <c r="R159" i="7"/>
  <c r="R98" i="7"/>
  <c r="R107" i="7"/>
  <c r="R64" i="7"/>
  <c r="R83" i="7"/>
  <c r="R80" i="7"/>
  <c r="R171" i="7"/>
  <c r="R183" i="7"/>
  <c r="R153" i="7"/>
  <c r="R174" i="7"/>
  <c r="R130" i="7"/>
  <c r="R67" i="7"/>
  <c r="R61" i="7"/>
  <c r="R116" i="7"/>
  <c r="R189" i="7"/>
  <c r="R73" i="7"/>
  <c r="R19" i="7"/>
  <c r="R156" i="7"/>
  <c r="R145" i="7"/>
  <c r="R110" i="7"/>
  <c r="R41" i="2"/>
  <c r="R43" i="2" s="1"/>
  <c r="R51" i="2"/>
  <c r="K115" i="10" s="1"/>
  <c r="R18" i="10"/>
  <c r="Z10" i="7"/>
  <c r="Z228" i="7" s="1"/>
  <c r="Y22" i="2"/>
  <c r="Y18" i="2"/>
  <c r="Y17" i="2"/>
  <c r="I18" i="10"/>
  <c r="Q10" i="7"/>
  <c r="Q228" i="7" s="1"/>
  <c r="P22" i="2"/>
  <c r="P18" i="2"/>
  <c r="P17" i="2"/>
  <c r="W40" i="2"/>
  <c r="H1" i="2"/>
  <c r="V67" i="7"/>
  <c r="V171" i="7"/>
  <c r="V145" i="7"/>
  <c r="V212" i="7"/>
  <c r="V223" i="7"/>
  <c r="V159" i="7"/>
  <c r="V220" i="7"/>
  <c r="V180" i="7"/>
  <c r="V183" i="7"/>
  <c r="V92" i="7"/>
  <c r="V113" i="7"/>
  <c r="V104" i="7"/>
  <c r="V64" i="7"/>
  <c r="V217" i="7"/>
  <c r="V186" i="7"/>
  <c r="V83" i="7"/>
  <c r="V19" i="7"/>
  <c r="V130" i="7"/>
  <c r="V122" i="7"/>
  <c r="V153" i="7"/>
  <c r="V133" i="7"/>
  <c r="V136" i="7"/>
  <c r="V61" i="7"/>
  <c r="V168" i="7"/>
  <c r="V177" i="7"/>
  <c r="V162" i="7"/>
  <c r="V116" i="7"/>
  <c r="V73" i="7"/>
  <c r="V150" i="7"/>
  <c r="V192" i="7"/>
  <c r="V49" i="7"/>
  <c r="V98" i="7"/>
  <c r="V119" i="7"/>
  <c r="V189" i="7"/>
  <c r="V110" i="7"/>
  <c r="V95" i="7"/>
  <c r="V142" i="7"/>
  <c r="V156" i="7"/>
  <c r="V165" i="7"/>
  <c r="V86" i="7"/>
  <c r="V55" i="7"/>
  <c r="V101" i="7"/>
  <c r="V31" i="7"/>
  <c r="V43" i="7"/>
  <c r="V125" i="7"/>
  <c r="V89" i="7"/>
  <c r="V70" i="7"/>
  <c r="V107" i="7"/>
  <c r="V174" i="7"/>
  <c r="V37" i="7"/>
  <c r="V13" i="7"/>
  <c r="V139" i="7"/>
  <c r="V25" i="7"/>
  <c r="V80" i="7"/>
  <c r="V203" i="7"/>
  <c r="V204" i="7"/>
  <c r="V205" i="7"/>
  <c r="S145" i="7"/>
  <c r="S122" i="7"/>
  <c r="S136" i="7"/>
  <c r="S119" i="7"/>
  <c r="S49" i="7"/>
  <c r="S156" i="7"/>
  <c r="S220" i="7"/>
  <c r="S183" i="7"/>
  <c r="S73" i="7"/>
  <c r="S13" i="7"/>
  <c r="S125" i="7"/>
  <c r="S107" i="7"/>
  <c r="S55" i="7"/>
  <c r="S83" i="7"/>
  <c r="S130" i="7"/>
  <c r="S139" i="7"/>
  <c r="S153" i="7"/>
  <c r="S189" i="7"/>
  <c r="S43" i="7"/>
  <c r="S92" i="7"/>
  <c r="S212" i="7"/>
  <c r="S133" i="7"/>
  <c r="S177" i="7"/>
  <c r="S174" i="7"/>
  <c r="S86" i="7"/>
  <c r="S31" i="7"/>
  <c r="S95" i="7"/>
  <c r="S89" i="7"/>
  <c r="S67" i="7"/>
  <c r="S168" i="7"/>
  <c r="S61" i="7"/>
  <c r="S171" i="7"/>
  <c r="S180" i="7"/>
  <c r="S116" i="7"/>
  <c r="S25" i="7"/>
  <c r="S19" i="7"/>
  <c r="S150" i="7"/>
  <c r="S110" i="7"/>
  <c r="S142" i="7"/>
  <c r="S80" i="7"/>
  <c r="S113" i="7"/>
  <c r="S165" i="7"/>
  <c r="S159" i="7"/>
  <c r="S37" i="7"/>
  <c r="S223" i="7"/>
  <c r="S101" i="7"/>
  <c r="S104" i="7"/>
  <c r="S186" i="7"/>
  <c r="S98" i="7"/>
  <c r="S64" i="7"/>
  <c r="S217" i="7"/>
  <c r="S192" i="7"/>
  <c r="S70" i="7"/>
  <c r="S162" i="7"/>
  <c r="S203" i="7"/>
  <c r="S205" i="7"/>
  <c r="S204" i="7"/>
  <c r="W177" i="7"/>
  <c r="W168" i="7"/>
  <c r="W136" i="7"/>
  <c r="W43" i="7"/>
  <c r="W80" i="7"/>
  <c r="W89" i="7"/>
  <c r="W156" i="7"/>
  <c r="W119" i="7"/>
  <c r="W145" i="7"/>
  <c r="W122" i="7"/>
  <c r="W86" i="7"/>
  <c r="W83" i="7"/>
  <c r="W142" i="7"/>
  <c r="W92" i="7"/>
  <c r="W19" i="7"/>
  <c r="W67" i="7"/>
  <c r="W116" i="7"/>
  <c r="W150" i="7"/>
  <c r="W125" i="7"/>
  <c r="W223" i="7"/>
  <c r="W183" i="7"/>
  <c r="W95" i="7"/>
  <c r="W110" i="7"/>
  <c r="W107" i="7"/>
  <c r="W13" i="7"/>
  <c r="W217" i="7"/>
  <c r="W153" i="7"/>
  <c r="W37" i="7"/>
  <c r="W220" i="7"/>
  <c r="W165" i="7"/>
  <c r="W192" i="7"/>
  <c r="W139" i="7"/>
  <c r="W61" i="7"/>
  <c r="W101" i="7"/>
  <c r="W212" i="7"/>
  <c r="W159" i="7"/>
  <c r="W49" i="7"/>
  <c r="W162" i="7"/>
  <c r="W31" i="7"/>
  <c r="W186" i="7"/>
  <c r="W25" i="7"/>
  <c r="W130" i="7"/>
  <c r="W189" i="7"/>
  <c r="W55" i="7"/>
  <c r="W98" i="7"/>
  <c r="W171" i="7"/>
  <c r="W133" i="7"/>
  <c r="W180" i="7"/>
  <c r="W64" i="7"/>
  <c r="W174" i="7"/>
  <c r="W104" i="7"/>
  <c r="W113" i="7"/>
  <c r="W70" i="7"/>
  <c r="W73" i="7"/>
  <c r="W205" i="7"/>
  <c r="W203" i="7"/>
  <c r="W204" i="7"/>
  <c r="I93" i="2"/>
  <c r="U217" i="7"/>
  <c r="U177" i="7"/>
  <c r="U159" i="7"/>
  <c r="U180" i="7"/>
  <c r="U98" i="7"/>
  <c r="U25" i="7"/>
  <c r="U130" i="7"/>
  <c r="U153" i="7"/>
  <c r="U192" i="7"/>
  <c r="U212" i="7"/>
  <c r="U168" i="7"/>
  <c r="U186" i="7"/>
  <c r="U37" i="7"/>
  <c r="U43" i="7"/>
  <c r="U145" i="7"/>
  <c r="U133" i="7"/>
  <c r="U67" i="7"/>
  <c r="U101" i="7"/>
  <c r="U174" i="7"/>
  <c r="U70" i="7"/>
  <c r="U61" i="7"/>
  <c r="U142" i="7"/>
  <c r="U125" i="7"/>
  <c r="U119" i="7"/>
  <c r="U150" i="7"/>
  <c r="U80" i="7"/>
  <c r="U110" i="7"/>
  <c r="U64" i="7"/>
  <c r="U136" i="7"/>
  <c r="U156" i="7"/>
  <c r="U92" i="7"/>
  <c r="U104" i="7"/>
  <c r="U86" i="7"/>
  <c r="U83" i="7"/>
  <c r="U49" i="7"/>
  <c r="U73" i="7"/>
  <c r="U165" i="7"/>
  <c r="U31" i="7"/>
  <c r="U13" i="7"/>
  <c r="G10" i="7"/>
  <c r="G228" i="7" s="1"/>
  <c r="U162" i="7"/>
  <c r="U89" i="7"/>
  <c r="U223" i="7"/>
  <c r="U116" i="7"/>
  <c r="U220" i="7"/>
  <c r="U171" i="7"/>
  <c r="U139" i="7"/>
  <c r="U95" i="7"/>
  <c r="U19" i="7"/>
  <c r="U122" i="7"/>
  <c r="U113" i="7"/>
  <c r="U55" i="7"/>
  <c r="U183" i="7"/>
  <c r="U107" i="7"/>
  <c r="U189" i="7"/>
  <c r="U205" i="7"/>
  <c r="U204" i="7"/>
  <c r="U203" i="7"/>
  <c r="Q18" i="10"/>
  <c r="Y10" i="7"/>
  <c r="Y228" i="7" s="1"/>
  <c r="X22" i="2"/>
  <c r="X18" i="2"/>
  <c r="X17" i="2"/>
  <c r="S1" i="2"/>
  <c r="S134" i="2"/>
  <c r="AE134" i="2"/>
  <c r="T40" i="2"/>
  <c r="AK15" i="2"/>
  <c r="R4" i="2"/>
  <c r="S6" i="2"/>
  <c r="R8" i="2"/>
  <c r="Z15" i="2"/>
  <c r="R44" i="2" l="1"/>
  <c r="R46" i="2"/>
  <c r="R47" i="2" s="1"/>
  <c r="Q44" i="2"/>
  <c r="Q46" i="2"/>
  <c r="Q47" i="2" s="1"/>
  <c r="H134" i="2"/>
  <c r="U41" i="2"/>
  <c r="U43" i="2" s="1"/>
  <c r="S41" i="2"/>
  <c r="S43" i="2" s="1"/>
  <c r="Q51" i="2"/>
  <c r="J115" i="10" s="1"/>
  <c r="E134" i="2"/>
  <c r="F134" i="2"/>
  <c r="G134" i="2"/>
  <c r="V41" i="2"/>
  <c r="V43" i="2" s="1"/>
  <c r="V51" i="2"/>
  <c r="O115" i="10" s="1"/>
  <c r="I134" i="2"/>
  <c r="Q180" i="7"/>
  <c r="Q189" i="7"/>
  <c r="Q192" i="7"/>
  <c r="Q122" i="7"/>
  <c r="Q119" i="7"/>
  <c r="Q162" i="7"/>
  <c r="Q174" i="7"/>
  <c r="Q86" i="7"/>
  <c r="Q104" i="7"/>
  <c r="Q70" i="7"/>
  <c r="Q107" i="7"/>
  <c r="Q183" i="7"/>
  <c r="Q98" i="7"/>
  <c r="Q220" i="7"/>
  <c r="Q223" i="7"/>
  <c r="Q153" i="7"/>
  <c r="Q217" i="7"/>
  <c r="Q186" i="7"/>
  <c r="Q101" i="7"/>
  <c r="Q19" i="7"/>
  <c r="Q203" i="7"/>
  <c r="Q133" i="7"/>
  <c r="Q159" i="7"/>
  <c r="Q73" i="7"/>
  <c r="Q205" i="7"/>
  <c r="Q83" i="7"/>
  <c r="Q80" i="7"/>
  <c r="F10" i="7"/>
  <c r="F228" i="7" s="1"/>
  <c r="Q212" i="7"/>
  <c r="Q25" i="7"/>
  <c r="Q61" i="7"/>
  <c r="Q37" i="7"/>
  <c r="Q171" i="7"/>
  <c r="Q13" i="7"/>
  <c r="Q49" i="7"/>
  <c r="Q67" i="7"/>
  <c r="Q168" i="7"/>
  <c r="Q110" i="7"/>
  <c r="Q156" i="7"/>
  <c r="Q43" i="7"/>
  <c r="Q125" i="7"/>
  <c r="Q165" i="7"/>
  <c r="Q150" i="7"/>
  <c r="Q95" i="7"/>
  <c r="Q31" i="7"/>
  <c r="Q139" i="7"/>
  <c r="Q177" i="7"/>
  <c r="Q116" i="7"/>
  <c r="Q89" i="7"/>
  <c r="Q136" i="7"/>
  <c r="Q142" i="7"/>
  <c r="Q130" i="7"/>
  <c r="Q145" i="7"/>
  <c r="Q92" i="7"/>
  <c r="Q55" i="7"/>
  <c r="Q204" i="7"/>
  <c r="Q64" i="7"/>
  <c r="Q113" i="7"/>
  <c r="S140" i="2"/>
  <c r="S52" i="2"/>
  <c r="I1" i="2"/>
  <c r="F205" i="7"/>
  <c r="F203" i="7"/>
  <c r="U52" i="2"/>
  <c r="U140" i="2"/>
  <c r="Y23" i="2"/>
  <c r="Y40" i="2"/>
  <c r="T51" i="2"/>
  <c r="M115" i="10" s="1"/>
  <c r="T41" i="2"/>
  <c r="T43" i="2" s="1"/>
  <c r="P23" i="2"/>
  <c r="P40" i="2"/>
  <c r="F204" i="7"/>
  <c r="Q140" i="2"/>
  <c r="Z165" i="7"/>
  <c r="Z49" i="7"/>
  <c r="Z107" i="7"/>
  <c r="Z180" i="7"/>
  <c r="Z177" i="7"/>
  <c r="Z174" i="7"/>
  <c r="Z186" i="7"/>
  <c r="Z125" i="7"/>
  <c r="Z83" i="7"/>
  <c r="Z220" i="7"/>
  <c r="Z31" i="7"/>
  <c r="Z217" i="7"/>
  <c r="Z162" i="7"/>
  <c r="Z189" i="7"/>
  <c r="Z119" i="7"/>
  <c r="Z168" i="7"/>
  <c r="Z13" i="7"/>
  <c r="Z145" i="7"/>
  <c r="Z142" i="7"/>
  <c r="Z101" i="7"/>
  <c r="Z89" i="7"/>
  <c r="Z156" i="7"/>
  <c r="Z150" i="7"/>
  <c r="Z183" i="7"/>
  <c r="Z19" i="7"/>
  <c r="Z110" i="7"/>
  <c r="Z133" i="7"/>
  <c r="Z67" i="7"/>
  <c r="Z113" i="7"/>
  <c r="Z136" i="7"/>
  <c r="Z130" i="7"/>
  <c r="Z25" i="7"/>
  <c r="Z92" i="7"/>
  <c r="Z73" i="7"/>
  <c r="Z55" i="7"/>
  <c r="Z104" i="7"/>
  <c r="Z223" i="7"/>
  <c r="Z159" i="7"/>
  <c r="Z98" i="7"/>
  <c r="Z212" i="7"/>
  <c r="Z80" i="7"/>
  <c r="Z64" i="7"/>
  <c r="Z86" i="7"/>
  <c r="Z122" i="7"/>
  <c r="Z43" i="7"/>
  <c r="Z95" i="7"/>
  <c r="Z37" i="7"/>
  <c r="Z192" i="7"/>
  <c r="Z153" i="7"/>
  <c r="Z139" i="7"/>
  <c r="Z171" i="7"/>
  <c r="Z61" i="7"/>
  <c r="Z116" i="7"/>
  <c r="Z70" i="7"/>
  <c r="Z205" i="7"/>
  <c r="Z203" i="7"/>
  <c r="Z204" i="7"/>
  <c r="R52" i="2"/>
  <c r="R140" i="2"/>
  <c r="X23" i="2"/>
  <c r="X40" i="2"/>
  <c r="AD18" i="10"/>
  <c r="AD25" i="10" s="1"/>
  <c r="AL10" i="7"/>
  <c r="W41" i="2"/>
  <c r="W43" i="2" s="1"/>
  <c r="W51" i="2"/>
  <c r="P115" i="10" s="1"/>
  <c r="Y136" i="7"/>
  <c r="Y150" i="7"/>
  <c r="Y98" i="7"/>
  <c r="Y220" i="7"/>
  <c r="Y159" i="7"/>
  <c r="Y116" i="7"/>
  <c r="Y122" i="7"/>
  <c r="Y192" i="7"/>
  <c r="Y104" i="7"/>
  <c r="Y31" i="7"/>
  <c r="Y13" i="7"/>
  <c r="Y217" i="7"/>
  <c r="Y174" i="7"/>
  <c r="Y113" i="7"/>
  <c r="Y223" i="7"/>
  <c r="Y133" i="7"/>
  <c r="Y177" i="7"/>
  <c r="Y162" i="7"/>
  <c r="Y186" i="7"/>
  <c r="Y139" i="7"/>
  <c r="Y107" i="7"/>
  <c r="Y80" i="7"/>
  <c r="Y145" i="7"/>
  <c r="Y119" i="7"/>
  <c r="Y165" i="7"/>
  <c r="Y19" i="7"/>
  <c r="Y61" i="7"/>
  <c r="Y153" i="7"/>
  <c r="Y49" i="7"/>
  <c r="Y25" i="7"/>
  <c r="Y89" i="7"/>
  <c r="Y37" i="7"/>
  <c r="Y183" i="7"/>
  <c r="Y73" i="7"/>
  <c r="Y189" i="7"/>
  <c r="Y168" i="7"/>
  <c r="Y83" i="7"/>
  <c r="Y95" i="7"/>
  <c r="Y55" i="7"/>
  <c r="Y64" i="7"/>
  <c r="Y171" i="7"/>
  <c r="Y212" i="7"/>
  <c r="Y110" i="7"/>
  <c r="Y130" i="7"/>
  <c r="Y156" i="7"/>
  <c r="Y142" i="7"/>
  <c r="Y67" i="7"/>
  <c r="Y43" i="7"/>
  <c r="Y70" i="7"/>
  <c r="Y125" i="7"/>
  <c r="Y180" i="7"/>
  <c r="Y92" i="7"/>
  <c r="Y86" i="7"/>
  <c r="Y101" i="7"/>
  <c r="Y203" i="7"/>
  <c r="Y204" i="7"/>
  <c r="Y205" i="7"/>
  <c r="T1" i="2"/>
  <c r="S18" i="10"/>
  <c r="AA10" i="7"/>
  <c r="AA228" i="7" s="1"/>
  <c r="Z22" i="2"/>
  <c r="Z18" i="2"/>
  <c r="Z17" i="2"/>
  <c r="G220" i="7"/>
  <c r="G80" i="7"/>
  <c r="G180" i="7"/>
  <c r="G110" i="7"/>
  <c r="G61" i="7"/>
  <c r="G73" i="7"/>
  <c r="G165" i="7"/>
  <c r="G186" i="7"/>
  <c r="G156" i="7"/>
  <c r="G162" i="7"/>
  <c r="G142" i="7"/>
  <c r="G125" i="7"/>
  <c r="G171" i="7"/>
  <c r="G174" i="7"/>
  <c r="G212" i="7"/>
  <c r="G49" i="7"/>
  <c r="G153" i="7"/>
  <c r="G86" i="7"/>
  <c r="G133" i="7"/>
  <c r="G70" i="7"/>
  <c r="G25" i="7"/>
  <c r="G183" i="7"/>
  <c r="G119" i="7"/>
  <c r="G37" i="7"/>
  <c r="G19" i="7"/>
  <c r="G192" i="7"/>
  <c r="G113" i="7"/>
  <c r="G104" i="7"/>
  <c r="G89" i="7"/>
  <c r="G92" i="7"/>
  <c r="G64" i="7"/>
  <c r="G95" i="7"/>
  <c r="G189" i="7"/>
  <c r="G150" i="7"/>
  <c r="G136" i="7"/>
  <c r="G130" i="7"/>
  <c r="G98" i="7"/>
  <c r="G159" i="7"/>
  <c r="G168" i="7"/>
  <c r="G83" i="7"/>
  <c r="G55" i="7"/>
  <c r="G107" i="7"/>
  <c r="G101" i="7"/>
  <c r="G223" i="7"/>
  <c r="G139" i="7"/>
  <c r="G217" i="7"/>
  <c r="G31" i="7"/>
  <c r="G122" i="7"/>
  <c r="G145" i="7"/>
  <c r="G116" i="7"/>
  <c r="G13" i="7"/>
  <c r="G43" i="7"/>
  <c r="G177" i="7"/>
  <c r="G67" i="7"/>
  <c r="AK17" i="2"/>
  <c r="AK18" i="2"/>
  <c r="AL15" i="2"/>
  <c r="S4" i="2"/>
  <c r="T6" i="2"/>
  <c r="S8" i="2"/>
  <c r="AA15" i="2"/>
  <c r="V44" i="2" l="1"/>
  <c r="V46" i="2"/>
  <c r="V47" i="2" s="1"/>
  <c r="T44" i="2"/>
  <c r="T46" i="2"/>
  <c r="T47" i="2" s="1"/>
  <c r="W44" i="2"/>
  <c r="W46" i="2"/>
  <c r="W47" i="2" s="1"/>
  <c r="Q52" i="2"/>
  <c r="S44" i="2"/>
  <c r="S46" i="2"/>
  <c r="S47" i="2" s="1"/>
  <c r="U44" i="2"/>
  <c r="U46" i="2"/>
  <c r="U47" i="2" s="1"/>
  <c r="V52" i="2"/>
  <c r="V140" i="2"/>
  <c r="T52" i="2"/>
  <c r="T140" i="2"/>
  <c r="X51" i="2"/>
  <c r="Q115" i="10" s="1"/>
  <c r="X41" i="2"/>
  <c r="X43" i="2" s="1"/>
  <c r="AE18" i="10"/>
  <c r="AE25" i="10" s="1"/>
  <c r="AM10" i="7"/>
  <c r="U1" i="2"/>
  <c r="Y41" i="2"/>
  <c r="Y43" i="2" s="1"/>
  <c r="Y51" i="2"/>
  <c r="R115" i="10" s="1"/>
  <c r="W52" i="2"/>
  <c r="W140" i="2"/>
  <c r="T18" i="10"/>
  <c r="AB10" i="7"/>
  <c r="AB228" i="7" s="1"/>
  <c r="AA22" i="2"/>
  <c r="AA18" i="2"/>
  <c r="AA17" i="2"/>
  <c r="Z23" i="2"/>
  <c r="Z40" i="2"/>
  <c r="P51" i="2"/>
  <c r="I115" i="10" s="1"/>
  <c r="P41" i="2"/>
  <c r="P43" i="2" s="1"/>
  <c r="J1" i="2"/>
  <c r="F31" i="7"/>
  <c r="F168" i="7"/>
  <c r="F180" i="7"/>
  <c r="F116" i="7"/>
  <c r="F61" i="7"/>
  <c r="F113" i="7"/>
  <c r="F177" i="7"/>
  <c r="F142" i="7"/>
  <c r="F37" i="7"/>
  <c r="F92" i="7"/>
  <c r="F119" i="7"/>
  <c r="F98" i="7"/>
  <c r="F86" i="7"/>
  <c r="F130" i="7"/>
  <c r="F133" i="7"/>
  <c r="F174" i="7"/>
  <c r="F89" i="7"/>
  <c r="F139" i="7"/>
  <c r="F64" i="7"/>
  <c r="F101" i="7"/>
  <c r="F110" i="7"/>
  <c r="F145" i="7"/>
  <c r="F159" i="7"/>
  <c r="F162" i="7"/>
  <c r="F153" i="7"/>
  <c r="F192" i="7"/>
  <c r="F183" i="7"/>
  <c r="F49" i="7"/>
  <c r="F25" i="7"/>
  <c r="F104" i="7"/>
  <c r="F19" i="7"/>
  <c r="F13" i="7"/>
  <c r="F171" i="7"/>
  <c r="F122" i="7"/>
  <c r="F212" i="7"/>
  <c r="F186" i="7"/>
  <c r="F136" i="7"/>
  <c r="F43" i="7"/>
  <c r="F125" i="7"/>
  <c r="F80" i="7"/>
  <c r="F220" i="7"/>
  <c r="F150" i="7"/>
  <c r="F189" i="7"/>
  <c r="F107" i="7"/>
  <c r="F83" i="7"/>
  <c r="F217" i="7"/>
  <c r="F165" i="7"/>
  <c r="F156" i="7"/>
  <c r="F73" i="7"/>
  <c r="F67" i="7"/>
  <c r="F70" i="7"/>
  <c r="F55" i="7"/>
  <c r="F223" i="7"/>
  <c r="F95" i="7"/>
  <c r="AA165" i="7"/>
  <c r="AA122" i="7"/>
  <c r="AA64" i="7"/>
  <c r="AA101" i="7"/>
  <c r="AA177" i="7"/>
  <c r="AA139" i="7"/>
  <c r="AA116" i="7"/>
  <c r="AA61" i="7"/>
  <c r="AA49" i="7"/>
  <c r="AA95" i="7"/>
  <c r="AA80" i="7"/>
  <c r="AA110" i="7"/>
  <c r="AA150" i="7"/>
  <c r="AA119" i="7"/>
  <c r="AA168" i="7"/>
  <c r="AA180" i="7"/>
  <c r="AA133" i="7"/>
  <c r="AA183" i="7"/>
  <c r="AA189" i="7"/>
  <c r="AA156" i="7"/>
  <c r="AA159" i="7"/>
  <c r="AA220" i="7"/>
  <c r="AA145" i="7"/>
  <c r="AA37" i="7"/>
  <c r="AA217" i="7"/>
  <c r="AA186" i="7"/>
  <c r="AA223" i="7"/>
  <c r="AA153" i="7"/>
  <c r="AA70" i="7"/>
  <c r="AA19" i="7"/>
  <c r="AA25" i="7"/>
  <c r="AA13" i="7"/>
  <c r="AA162" i="7"/>
  <c r="AA174" i="7"/>
  <c r="AA171" i="7"/>
  <c r="AA125" i="7"/>
  <c r="AA107" i="7"/>
  <c r="AA92" i="7"/>
  <c r="AA55" i="7"/>
  <c r="AA136" i="7"/>
  <c r="AA192" i="7"/>
  <c r="AA98" i="7"/>
  <c r="AA43" i="7"/>
  <c r="AA86" i="7"/>
  <c r="AA130" i="7"/>
  <c r="AA31" i="7"/>
  <c r="AA83" i="7"/>
  <c r="AA89" i="7"/>
  <c r="AA212" i="7"/>
  <c r="AA73" i="7"/>
  <c r="AA142" i="7"/>
  <c r="AA113" i="7"/>
  <c r="AA67" i="7"/>
  <c r="AA104" i="7"/>
  <c r="AA204" i="7"/>
  <c r="AA203" i="7"/>
  <c r="AA205" i="7"/>
  <c r="AL17" i="2"/>
  <c r="AL18" i="2"/>
  <c r="AM15" i="2"/>
  <c r="T4" i="2"/>
  <c r="U6" i="2"/>
  <c r="T8" i="2"/>
  <c r="AB15" i="2"/>
  <c r="Y44" i="2" l="1"/>
  <c r="Y46" i="2"/>
  <c r="Y47" i="2" s="1"/>
  <c r="P44" i="2"/>
  <c r="P46" i="2"/>
  <c r="P47" i="2" s="1"/>
  <c r="X44" i="2"/>
  <c r="X46" i="2"/>
  <c r="X47" i="2" s="1"/>
  <c r="P52" i="2"/>
  <c r="P140" i="2"/>
  <c r="X52" i="2"/>
  <c r="X140" i="2"/>
  <c r="AA23" i="2"/>
  <c r="AA40" i="2"/>
  <c r="AB174" i="7"/>
  <c r="AB145" i="7"/>
  <c r="AB86" i="7"/>
  <c r="AB80" i="7"/>
  <c r="AB73" i="7"/>
  <c r="AB89" i="7"/>
  <c r="AB217" i="7"/>
  <c r="AB153" i="7"/>
  <c r="AB133" i="7"/>
  <c r="AB130" i="7"/>
  <c r="AB142" i="7"/>
  <c r="AB61" i="7"/>
  <c r="AB122" i="7"/>
  <c r="AB116" i="7"/>
  <c r="AB98" i="7"/>
  <c r="AB107" i="7"/>
  <c r="AB192" i="7"/>
  <c r="AB183" i="7"/>
  <c r="AB177" i="7"/>
  <c r="AB31" i="7"/>
  <c r="AB101" i="7"/>
  <c r="AB113" i="7"/>
  <c r="AB55" i="7"/>
  <c r="AB119" i="7"/>
  <c r="AB150" i="7"/>
  <c r="AB49" i="7"/>
  <c r="AB95" i="7"/>
  <c r="AB13" i="7"/>
  <c r="AB37" i="7"/>
  <c r="AB186" i="7"/>
  <c r="AB168" i="7"/>
  <c r="AB189" i="7"/>
  <c r="AB83" i="7"/>
  <c r="AB104" i="7"/>
  <c r="AB92" i="7"/>
  <c r="AB67" i="7"/>
  <c r="AB156" i="7"/>
  <c r="AB162" i="7"/>
  <c r="AB139" i="7"/>
  <c r="AB165" i="7"/>
  <c r="AB25" i="7"/>
  <c r="AB212" i="7"/>
  <c r="AB43" i="7"/>
  <c r="AB171" i="7"/>
  <c r="AB110" i="7"/>
  <c r="AB19" i="7"/>
  <c r="AB223" i="7"/>
  <c r="AB180" i="7"/>
  <c r="AB220" i="7"/>
  <c r="AB125" i="7"/>
  <c r="AB136" i="7"/>
  <c r="AB159" i="7"/>
  <c r="AB70" i="7"/>
  <c r="AB64" i="7"/>
  <c r="AB205" i="7"/>
  <c r="AB204" i="7"/>
  <c r="AB203" i="7"/>
  <c r="H10" i="7"/>
  <c r="H228" i="7" s="1"/>
  <c r="U18" i="10"/>
  <c r="AC10" i="7"/>
  <c r="AC228" i="7" s="1"/>
  <c r="AB22" i="2"/>
  <c r="AB18" i="2"/>
  <c r="AB17" i="2"/>
  <c r="Z51" i="2"/>
  <c r="S115" i="10" s="1"/>
  <c r="Z41" i="2"/>
  <c r="Z43" i="2" s="1"/>
  <c r="V1" i="2"/>
  <c r="K1" i="2"/>
  <c r="Y52" i="2"/>
  <c r="Y140" i="2"/>
  <c r="AF18" i="10"/>
  <c r="AF25" i="10" s="1"/>
  <c r="AN10" i="7"/>
  <c r="AM18" i="2"/>
  <c r="AM17" i="2"/>
  <c r="AN15" i="2"/>
  <c r="V6" i="2"/>
  <c r="U8" i="2"/>
  <c r="U4" i="2"/>
  <c r="AC15" i="2"/>
  <c r="Z44" i="2" l="1"/>
  <c r="Z46" i="2"/>
  <c r="Z47" i="2" s="1"/>
  <c r="K10" i="7"/>
  <c r="V18" i="10"/>
  <c r="AD10" i="7"/>
  <c r="AD228" i="7" s="1"/>
  <c r="AC17" i="2"/>
  <c r="AC22" i="2"/>
  <c r="AC18" i="2"/>
  <c r="AA51" i="2"/>
  <c r="T115" i="10" s="1"/>
  <c r="AA41" i="2"/>
  <c r="AA43" i="2" s="1"/>
  <c r="H204" i="7"/>
  <c r="AC122" i="7"/>
  <c r="AC55" i="7"/>
  <c r="AC153" i="7"/>
  <c r="AC61" i="7"/>
  <c r="AC223" i="7"/>
  <c r="AC189" i="7"/>
  <c r="AC192" i="7"/>
  <c r="AC113" i="7"/>
  <c r="AC110" i="7"/>
  <c r="AC119" i="7"/>
  <c r="AC104" i="7"/>
  <c r="AC70" i="7"/>
  <c r="AC37" i="7"/>
  <c r="AC107" i="7"/>
  <c r="AC139" i="7"/>
  <c r="AC130" i="7"/>
  <c r="AC171" i="7"/>
  <c r="AC168" i="7"/>
  <c r="AC136" i="7"/>
  <c r="AC116" i="7"/>
  <c r="AC49" i="7"/>
  <c r="AC220" i="7"/>
  <c r="AC217" i="7"/>
  <c r="AC142" i="7"/>
  <c r="AC125" i="7"/>
  <c r="AC145" i="7"/>
  <c r="AC19" i="7"/>
  <c r="AC162" i="7"/>
  <c r="AC174" i="7"/>
  <c r="AC80" i="7"/>
  <c r="AC83" i="7"/>
  <c r="AC165" i="7"/>
  <c r="AC133" i="7"/>
  <c r="AC212" i="7"/>
  <c r="AC180" i="7"/>
  <c r="AC73" i="7"/>
  <c r="AC43" i="7"/>
  <c r="AC95" i="7"/>
  <c r="AC67" i="7"/>
  <c r="AC186" i="7"/>
  <c r="AC64" i="7"/>
  <c r="AC150" i="7"/>
  <c r="AC101" i="7"/>
  <c r="AC183" i="7"/>
  <c r="AC13" i="7"/>
  <c r="AC92" i="7"/>
  <c r="AC177" i="7"/>
  <c r="AC156" i="7"/>
  <c r="AC89" i="7"/>
  <c r="AC159" i="7"/>
  <c r="AC86" i="7"/>
  <c r="AC31" i="7"/>
  <c r="AC25" i="7"/>
  <c r="AC98" i="7"/>
  <c r="AC204" i="7"/>
  <c r="AC203" i="7"/>
  <c r="AC205" i="7"/>
  <c r="H205" i="7"/>
  <c r="H165" i="7"/>
  <c r="H168" i="7"/>
  <c r="H70" i="7"/>
  <c r="H130" i="7"/>
  <c r="H139" i="7"/>
  <c r="H159" i="7"/>
  <c r="H180" i="7"/>
  <c r="H122" i="7"/>
  <c r="H89" i="7"/>
  <c r="H101" i="7"/>
  <c r="H186" i="7"/>
  <c r="H183" i="7"/>
  <c r="H98" i="7"/>
  <c r="H25" i="7"/>
  <c r="H43" i="7"/>
  <c r="H171" i="7"/>
  <c r="H136" i="7"/>
  <c r="H133" i="7"/>
  <c r="H153" i="7"/>
  <c r="H177" i="7"/>
  <c r="H192" i="7"/>
  <c r="H110" i="7"/>
  <c r="H19" i="7"/>
  <c r="H145" i="7"/>
  <c r="H49" i="7"/>
  <c r="H104" i="7"/>
  <c r="H31" i="7"/>
  <c r="H212" i="7"/>
  <c r="H61" i="7"/>
  <c r="H13" i="7"/>
  <c r="H119" i="7"/>
  <c r="H189" i="7"/>
  <c r="H113" i="7"/>
  <c r="H55" i="7"/>
  <c r="H73" i="7"/>
  <c r="H217" i="7"/>
  <c r="H142" i="7"/>
  <c r="H67" i="7"/>
  <c r="H83" i="7"/>
  <c r="H116" i="7"/>
  <c r="H162" i="7"/>
  <c r="H86" i="7"/>
  <c r="H92" i="7"/>
  <c r="H174" i="7"/>
  <c r="H107" i="7"/>
  <c r="H37" i="7"/>
  <c r="H220" i="7"/>
  <c r="H64" i="7"/>
  <c r="H156" i="7"/>
  <c r="H150" i="7"/>
  <c r="H223" i="7"/>
  <c r="H125" i="7"/>
  <c r="H80" i="7"/>
  <c r="H95" i="7"/>
  <c r="H203" i="7"/>
  <c r="L1" i="2"/>
  <c r="AG18" i="10"/>
  <c r="AG25" i="10" s="1"/>
  <c r="AO10" i="7"/>
  <c r="W1" i="2"/>
  <c r="AB23" i="2"/>
  <c r="AB40" i="2"/>
  <c r="Z52" i="2"/>
  <c r="Z140" i="2"/>
  <c r="AN17" i="2"/>
  <c r="AN18" i="2"/>
  <c r="AO15" i="2"/>
  <c r="W6" i="2"/>
  <c r="V8" i="2"/>
  <c r="V4" i="2"/>
  <c r="AD15" i="2"/>
  <c r="AA44" i="2" l="1"/>
  <c r="AA46" i="2"/>
  <c r="AA47" i="2" s="1"/>
  <c r="AA52" i="2"/>
  <c r="AA140" i="2"/>
  <c r="X1" i="2"/>
  <c r="AC23" i="2"/>
  <c r="AC40" i="2"/>
  <c r="AD192" i="7"/>
  <c r="AD156" i="7"/>
  <c r="AD168" i="7"/>
  <c r="AD150" i="7"/>
  <c r="AD174" i="7"/>
  <c r="AD110" i="7"/>
  <c r="AD37" i="7"/>
  <c r="AD142" i="7"/>
  <c r="AD183" i="7"/>
  <c r="AD130" i="7"/>
  <c r="AD64" i="7"/>
  <c r="AD217" i="7"/>
  <c r="AD119" i="7"/>
  <c r="AD223" i="7"/>
  <c r="AD220" i="7"/>
  <c r="AD113" i="7"/>
  <c r="AD107" i="7"/>
  <c r="AD153" i="7"/>
  <c r="AD83" i="7"/>
  <c r="AD125" i="7"/>
  <c r="AD177" i="7"/>
  <c r="AD165" i="7"/>
  <c r="AD136" i="7"/>
  <c r="AD25" i="7"/>
  <c r="AD139" i="7"/>
  <c r="AD122" i="7"/>
  <c r="AD159" i="7"/>
  <c r="AD55" i="7"/>
  <c r="AD104" i="7"/>
  <c r="AD86" i="7"/>
  <c r="AD31" i="7"/>
  <c r="AD98" i="7"/>
  <c r="AD95" i="7"/>
  <c r="AD162" i="7"/>
  <c r="AD101" i="7"/>
  <c r="AD49" i="7"/>
  <c r="AD80" i="7"/>
  <c r="AD43" i="7"/>
  <c r="AD171" i="7"/>
  <c r="AD186" i="7"/>
  <c r="AD13" i="7"/>
  <c r="AD116" i="7"/>
  <c r="AD189" i="7"/>
  <c r="AD133" i="7"/>
  <c r="AD92" i="7"/>
  <c r="AD180" i="7"/>
  <c r="AD67" i="7"/>
  <c r="AD61" i="7"/>
  <c r="AD73" i="7"/>
  <c r="AD89" i="7"/>
  <c r="AD70" i="7"/>
  <c r="AD212" i="7"/>
  <c r="AD145" i="7"/>
  <c r="AD19" i="7"/>
  <c r="AD204" i="7"/>
  <c r="AD203" i="7"/>
  <c r="AD205" i="7"/>
  <c r="AB41" i="2"/>
  <c r="AB43" i="2" s="1"/>
  <c r="AB51" i="2"/>
  <c r="U115" i="10" s="1"/>
  <c r="AH18" i="10"/>
  <c r="AH25" i="10" s="1"/>
  <c r="AP10" i="7"/>
  <c r="W18" i="10"/>
  <c r="AE10" i="7"/>
  <c r="AE228" i="7" s="1"/>
  <c r="AD17" i="2"/>
  <c r="AD18" i="2"/>
  <c r="AD22" i="2"/>
  <c r="M1" i="2"/>
  <c r="AO17" i="2"/>
  <c r="AO18" i="2"/>
  <c r="AP15" i="2"/>
  <c r="X6" i="2"/>
  <c r="W8" i="2"/>
  <c r="W4" i="2"/>
  <c r="AE15" i="2"/>
  <c r="AB44" i="2" l="1"/>
  <c r="AB46" i="2"/>
  <c r="AB47" i="2" s="1"/>
  <c r="AE61" i="7"/>
  <c r="AE223" i="7"/>
  <c r="AE116" i="7"/>
  <c r="AE142" i="7"/>
  <c r="AE171" i="7"/>
  <c r="AE192" i="7"/>
  <c r="AE98" i="7"/>
  <c r="AE156" i="7"/>
  <c r="AE183" i="7"/>
  <c r="AE31" i="7"/>
  <c r="AE73" i="7"/>
  <c r="AE125" i="7"/>
  <c r="AE130" i="7"/>
  <c r="AE150" i="7"/>
  <c r="AE64" i="7"/>
  <c r="AE101" i="7"/>
  <c r="AE49" i="7"/>
  <c r="AE165" i="7"/>
  <c r="AE180" i="7"/>
  <c r="AE37" i="7"/>
  <c r="AE104" i="7"/>
  <c r="AE186" i="7"/>
  <c r="AE95" i="7"/>
  <c r="AE122" i="7"/>
  <c r="AE189" i="7"/>
  <c r="AE89" i="7"/>
  <c r="AE43" i="7"/>
  <c r="AE67" i="7"/>
  <c r="AE13" i="7"/>
  <c r="AE86" i="7"/>
  <c r="AE136" i="7"/>
  <c r="AE25" i="7"/>
  <c r="AE70" i="7"/>
  <c r="AE19" i="7"/>
  <c r="AE168" i="7"/>
  <c r="AE107" i="7"/>
  <c r="AE92" i="7"/>
  <c r="AE110" i="7"/>
  <c r="AE139" i="7"/>
  <c r="AE177" i="7"/>
  <c r="AE174" i="7"/>
  <c r="AE80" i="7"/>
  <c r="AE113" i="7"/>
  <c r="AE159" i="7"/>
  <c r="AE220" i="7"/>
  <c r="AE217" i="7"/>
  <c r="AE212" i="7"/>
  <c r="AE153" i="7"/>
  <c r="AE145" i="7"/>
  <c r="AE55" i="7"/>
  <c r="AE83" i="7"/>
  <c r="AE162" i="7"/>
  <c r="AE119" i="7"/>
  <c r="AE133" i="7"/>
  <c r="AE204" i="7"/>
  <c r="AE205" i="7"/>
  <c r="AE203" i="7"/>
  <c r="AI18" i="10"/>
  <c r="AI25" i="10" s="1"/>
  <c r="AQ10" i="7"/>
  <c r="AB52" i="2"/>
  <c r="AB140" i="2"/>
  <c r="AC41" i="2"/>
  <c r="AC43" i="2" s="1"/>
  <c r="AC51" i="2"/>
  <c r="V115" i="10" s="1"/>
  <c r="Y1" i="2"/>
  <c r="N1" i="2"/>
  <c r="AD23" i="2"/>
  <c r="AD40" i="2"/>
  <c r="X18" i="10"/>
  <c r="AF10" i="7"/>
  <c r="AE17" i="2"/>
  <c r="AE22" i="2"/>
  <c r="AE18" i="2"/>
  <c r="AP18" i="2"/>
  <c r="AP17" i="2"/>
  <c r="AQ15" i="2"/>
  <c r="Y6" i="2"/>
  <c r="X8" i="2"/>
  <c r="X4" i="2"/>
  <c r="AF15" i="2"/>
  <c r="AC44" i="2" l="1"/>
  <c r="AC46" i="2"/>
  <c r="AC47" i="2" s="1"/>
  <c r="I10" i="7"/>
  <c r="I228" i="7" s="1"/>
  <c r="AF228" i="7"/>
  <c r="AE23" i="2"/>
  <c r="AE40" i="2"/>
  <c r="AF142" i="7"/>
  <c r="AF168" i="7"/>
  <c r="AF119" i="7"/>
  <c r="AF192" i="7"/>
  <c r="AF186" i="7"/>
  <c r="AF150" i="7"/>
  <c r="AF113" i="7"/>
  <c r="AF86" i="7"/>
  <c r="AF70" i="7"/>
  <c r="AF116" i="7"/>
  <c r="AF107" i="7"/>
  <c r="AF139" i="7"/>
  <c r="AF153" i="7"/>
  <c r="AF165" i="7"/>
  <c r="AF189" i="7"/>
  <c r="AF89" i="7"/>
  <c r="AF64" i="7"/>
  <c r="AF162" i="7"/>
  <c r="AF49" i="7"/>
  <c r="AF43" i="7"/>
  <c r="AF217" i="7"/>
  <c r="AF145" i="7"/>
  <c r="AF223" i="7"/>
  <c r="AF67" i="7"/>
  <c r="AF104" i="7"/>
  <c r="AF83" i="7"/>
  <c r="AF220" i="7"/>
  <c r="AF171" i="7"/>
  <c r="AF136" i="7"/>
  <c r="AF156" i="7"/>
  <c r="AF98" i="7"/>
  <c r="AF122" i="7"/>
  <c r="AF95" i="7"/>
  <c r="AF37" i="7"/>
  <c r="AF80" i="7"/>
  <c r="AF159" i="7"/>
  <c r="AF31" i="7"/>
  <c r="AF174" i="7"/>
  <c r="AF19" i="7"/>
  <c r="AF183" i="7"/>
  <c r="AF125" i="7"/>
  <c r="AF73" i="7"/>
  <c r="AF101" i="7"/>
  <c r="AF25" i="7"/>
  <c r="AF110" i="7"/>
  <c r="AF55" i="7"/>
  <c r="AF61" i="7"/>
  <c r="AF133" i="7"/>
  <c r="AF130" i="7"/>
  <c r="AF212" i="7"/>
  <c r="AF180" i="7"/>
  <c r="AF13" i="7"/>
  <c r="AF177" i="7"/>
  <c r="AF92" i="7"/>
  <c r="AF204" i="7"/>
  <c r="AF205" i="7"/>
  <c r="AF203" i="7"/>
  <c r="Z1" i="2"/>
  <c r="AJ18" i="10"/>
  <c r="AJ25" i="10" s="1"/>
  <c r="AR10" i="7"/>
  <c r="AC52" i="2"/>
  <c r="AC140" i="2"/>
  <c r="AD41" i="2"/>
  <c r="AD43" i="2" s="1"/>
  <c r="AD51" i="2"/>
  <c r="W115" i="10" s="1"/>
  <c r="Y18" i="10"/>
  <c r="AG10" i="7"/>
  <c r="AG228" i="7" s="1"/>
  <c r="AK228" i="7" s="1"/>
  <c r="AF17" i="2"/>
  <c r="AF18" i="2"/>
  <c r="AF22" i="2"/>
  <c r="AQ18" i="2"/>
  <c r="AQ17" i="2"/>
  <c r="AR15" i="2"/>
  <c r="Z6" i="2"/>
  <c r="Y8" i="2"/>
  <c r="Y4" i="2"/>
  <c r="AG15" i="2"/>
  <c r="AD44" i="2" l="1"/>
  <c r="AD46" i="2"/>
  <c r="AD47" i="2" s="1"/>
  <c r="I113" i="7"/>
  <c r="I110" i="7"/>
  <c r="I153" i="7"/>
  <c r="I139" i="7"/>
  <c r="I145" i="7"/>
  <c r="I83" i="7"/>
  <c r="I13" i="7"/>
  <c r="I98" i="7"/>
  <c r="I95" i="7"/>
  <c r="I31" i="7"/>
  <c r="I19" i="7"/>
  <c r="I70" i="7"/>
  <c r="I80" i="7"/>
  <c r="I142" i="7"/>
  <c r="I119" i="7"/>
  <c r="I122" i="7"/>
  <c r="I177" i="7"/>
  <c r="I67" i="7"/>
  <c r="I150" i="7"/>
  <c r="I125" i="7"/>
  <c r="I116" i="7"/>
  <c r="I156" i="7"/>
  <c r="I180" i="7"/>
  <c r="I89" i="7"/>
  <c r="I159" i="7"/>
  <c r="I217" i="7"/>
  <c r="I49" i="7"/>
  <c r="I104" i="7"/>
  <c r="I189" i="7"/>
  <c r="I192" i="7"/>
  <c r="I223" i="7"/>
  <c r="I162" i="7"/>
  <c r="I183" i="7"/>
  <c r="I86" i="7"/>
  <c r="I130" i="7"/>
  <c r="I220" i="7"/>
  <c r="I168" i="7"/>
  <c r="I136" i="7"/>
  <c r="I73" i="7"/>
  <c r="I64" i="7"/>
  <c r="I186" i="7"/>
  <c r="I212" i="7"/>
  <c r="I165" i="7"/>
  <c r="I92" i="7"/>
  <c r="I55" i="7"/>
  <c r="I133" i="7"/>
  <c r="I107" i="7"/>
  <c r="I171" i="7"/>
  <c r="I37" i="7"/>
  <c r="I43" i="7"/>
  <c r="I174" i="7"/>
  <c r="I61" i="7"/>
  <c r="AO228" i="7"/>
  <c r="AK227" i="7"/>
  <c r="AJ130" i="2" s="1"/>
  <c r="AJ182" i="2" s="1"/>
  <c r="I101" i="7"/>
  <c r="I25" i="7"/>
  <c r="AK18" i="10"/>
  <c r="AK25" i="10" s="1"/>
  <c r="AS10" i="7"/>
  <c r="AF23" i="2"/>
  <c r="AF40" i="2"/>
  <c r="I204" i="7"/>
  <c r="AE51" i="2"/>
  <c r="X115" i="10" s="1"/>
  <c r="AE41" i="2"/>
  <c r="AE43" i="2" s="1"/>
  <c r="I203" i="7"/>
  <c r="I205" i="7"/>
  <c r="AG145" i="7"/>
  <c r="AK145" i="7" s="1"/>
  <c r="AG101" i="7"/>
  <c r="AK101" i="7" s="1"/>
  <c r="AG83" i="7"/>
  <c r="AK83" i="7" s="1"/>
  <c r="AG139" i="7"/>
  <c r="AK139" i="7" s="1"/>
  <c r="AG122" i="7"/>
  <c r="AK122" i="7" s="1"/>
  <c r="AG162" i="7"/>
  <c r="AK162" i="7" s="1"/>
  <c r="AG92" i="7"/>
  <c r="AK92" i="7" s="1"/>
  <c r="AG49" i="7"/>
  <c r="AK51" i="7" s="1"/>
  <c r="AG142" i="7"/>
  <c r="AK142" i="7" s="1"/>
  <c r="AG64" i="7"/>
  <c r="AK64" i="7" s="1"/>
  <c r="AG31" i="7"/>
  <c r="AK33" i="7" s="1"/>
  <c r="AG43" i="7"/>
  <c r="AK45" i="7" s="1"/>
  <c r="AG168" i="7"/>
  <c r="AK168" i="7" s="1"/>
  <c r="AG192" i="7"/>
  <c r="AK192" i="7" s="1"/>
  <c r="AG186" i="7"/>
  <c r="AK186" i="7" s="1"/>
  <c r="AG159" i="7"/>
  <c r="AK159" i="7" s="1"/>
  <c r="AG37" i="7"/>
  <c r="AK39" i="7" s="1"/>
  <c r="AO39" i="7" s="1"/>
  <c r="AS39" i="7" s="1"/>
  <c r="AW39" i="7" s="1"/>
  <c r="BA39" i="7" s="1"/>
  <c r="AG116" i="7"/>
  <c r="AK116" i="7" s="1"/>
  <c r="AG86" i="7"/>
  <c r="AK86" i="7" s="1"/>
  <c r="AG220" i="7"/>
  <c r="AK220" i="7" s="1"/>
  <c r="AG223" i="7"/>
  <c r="AK223" i="7" s="1"/>
  <c r="AG217" i="7"/>
  <c r="AK217" i="7" s="1"/>
  <c r="AG125" i="7"/>
  <c r="AK125" i="7" s="1"/>
  <c r="AG70" i="7"/>
  <c r="AK70" i="7" s="1"/>
  <c r="AG95" i="7"/>
  <c r="AK95" i="7" s="1"/>
  <c r="AG189" i="7"/>
  <c r="AK189" i="7" s="1"/>
  <c r="AG130" i="7"/>
  <c r="AK130" i="7" s="1"/>
  <c r="AG136" i="7"/>
  <c r="AK136" i="7" s="1"/>
  <c r="AG156" i="7"/>
  <c r="AK156" i="7" s="1"/>
  <c r="AG104" i="7"/>
  <c r="AK104" i="7" s="1"/>
  <c r="AG98" i="7"/>
  <c r="AK98" i="7" s="1"/>
  <c r="AG212" i="7"/>
  <c r="AK212" i="7" s="1"/>
  <c r="AG119" i="7"/>
  <c r="AK119" i="7" s="1"/>
  <c r="AG177" i="7"/>
  <c r="AK177" i="7" s="1"/>
  <c r="AG165" i="7"/>
  <c r="AK165" i="7" s="1"/>
  <c r="AG89" i="7"/>
  <c r="AK89" i="7" s="1"/>
  <c r="AG153" i="7"/>
  <c r="AK153" i="7" s="1"/>
  <c r="AG80" i="7"/>
  <c r="AK80" i="7" s="1"/>
  <c r="AG67" i="7"/>
  <c r="AK67" i="7" s="1"/>
  <c r="AG110" i="7"/>
  <c r="AK110" i="7" s="1"/>
  <c r="AG171" i="7"/>
  <c r="AK171" i="7" s="1"/>
  <c r="AG133" i="7"/>
  <c r="AK133" i="7" s="1"/>
  <c r="AG113" i="7"/>
  <c r="AK113" i="7" s="1"/>
  <c r="AG174" i="7"/>
  <c r="AK174" i="7" s="1"/>
  <c r="AG61" i="7"/>
  <c r="AK61" i="7" s="1"/>
  <c r="AG183" i="7"/>
  <c r="AK183" i="7" s="1"/>
  <c r="AG19" i="7"/>
  <c r="AK21" i="7" s="1"/>
  <c r="AG55" i="7"/>
  <c r="AK57" i="7" s="1"/>
  <c r="AG107" i="7"/>
  <c r="AK107" i="7" s="1"/>
  <c r="AG13" i="7"/>
  <c r="AK15" i="7" s="1"/>
  <c r="AG150" i="7"/>
  <c r="AK150" i="7" s="1"/>
  <c r="AG180" i="7"/>
  <c r="AK180" i="7" s="1"/>
  <c r="AG73" i="7"/>
  <c r="AK73" i="7" s="1"/>
  <c r="AG25" i="7"/>
  <c r="AK27" i="7" s="1"/>
  <c r="AO27" i="7" s="1"/>
  <c r="AS27" i="7" s="1"/>
  <c r="AW27" i="7" s="1"/>
  <c r="BA27" i="7" s="1"/>
  <c r="AG204" i="7"/>
  <c r="AK204" i="7" s="1"/>
  <c r="AG203" i="7"/>
  <c r="AK203" i="7" s="1"/>
  <c r="AG205" i="7"/>
  <c r="AK205" i="7" s="1"/>
  <c r="AD52" i="2"/>
  <c r="AD140" i="2"/>
  <c r="AA1" i="2"/>
  <c r="Z18" i="10"/>
  <c r="AH10" i="7"/>
  <c r="AH228" i="7" s="1"/>
  <c r="AL228" i="7" s="1"/>
  <c r="AG18" i="2"/>
  <c r="AG17" i="2"/>
  <c r="AG22" i="2"/>
  <c r="AR18" i="2"/>
  <c r="AR17" i="2"/>
  <c r="AS15" i="2"/>
  <c r="AA6" i="2"/>
  <c r="Z8" i="2"/>
  <c r="Z4" i="2"/>
  <c r="AH15" i="2"/>
  <c r="AE44" i="2" l="1"/>
  <c r="AE46" i="2"/>
  <c r="AE47" i="2" s="1"/>
  <c r="AS228" i="7"/>
  <c r="AW228" i="7" s="1"/>
  <c r="BA228" i="7" s="1"/>
  <c r="AO227" i="7"/>
  <c r="AN130" i="2" s="1"/>
  <c r="AP228" i="7"/>
  <c r="AL227" i="7"/>
  <c r="AK130" i="2" s="1"/>
  <c r="AK182" i="2" s="1"/>
  <c r="AO119" i="7"/>
  <c r="AK118" i="7"/>
  <c r="AJ75" i="2" s="1"/>
  <c r="BD75" i="2" s="1"/>
  <c r="AO204" i="7"/>
  <c r="AK197" i="7"/>
  <c r="AJ62" i="2" s="1"/>
  <c r="BD62" i="2" s="1"/>
  <c r="AK97" i="7"/>
  <c r="AJ68" i="2" s="1"/>
  <c r="BD68" i="2" s="1"/>
  <c r="AO98" i="7"/>
  <c r="AO73" i="7"/>
  <c r="AK72" i="7"/>
  <c r="AO162" i="7"/>
  <c r="AK161" i="7"/>
  <c r="AJ105" i="2" s="1"/>
  <c r="AK155" i="7"/>
  <c r="AJ102" i="2" s="1"/>
  <c r="AO156" i="7"/>
  <c r="AO136" i="7"/>
  <c r="AK135" i="7"/>
  <c r="AJ86" i="2" s="1"/>
  <c r="AO139" i="7"/>
  <c r="AK138" i="7"/>
  <c r="AJ88" i="2" s="1"/>
  <c r="AL18" i="10"/>
  <c r="AL25" i="10" s="1"/>
  <c r="AT10" i="7"/>
  <c r="AK14" i="7"/>
  <c r="AK16" i="7"/>
  <c r="AK13" i="7"/>
  <c r="AK12" i="7" s="1"/>
  <c r="AO15" i="7"/>
  <c r="AK66" i="7"/>
  <c r="AO67" i="7"/>
  <c r="AO130" i="7"/>
  <c r="AK129" i="7"/>
  <c r="AJ84" i="2" s="1"/>
  <c r="AO186" i="7"/>
  <c r="AK185" i="7"/>
  <c r="AJ117" i="2" s="1"/>
  <c r="AO83" i="7"/>
  <c r="AK82" i="7"/>
  <c r="AJ60" i="2" s="1"/>
  <c r="BD60" i="2" s="1"/>
  <c r="AE52" i="2"/>
  <c r="AE140" i="2"/>
  <c r="AO113" i="7"/>
  <c r="AK112" i="7"/>
  <c r="AJ73" i="2" s="1"/>
  <c r="BD73" i="2" s="1"/>
  <c r="AO133" i="7"/>
  <c r="AK132" i="7"/>
  <c r="AJ85" i="2" s="1"/>
  <c r="AO180" i="7"/>
  <c r="AK179" i="7"/>
  <c r="AJ111" i="2" s="1"/>
  <c r="AO122" i="7"/>
  <c r="AK121" i="7"/>
  <c r="AJ76" i="2" s="1"/>
  <c r="BD76" i="2" s="1"/>
  <c r="AO150" i="7"/>
  <c r="AK149" i="7"/>
  <c r="AJ100" i="2" s="1"/>
  <c r="AK106" i="7"/>
  <c r="AJ71" i="2" s="1"/>
  <c r="BD71" i="2" s="1"/>
  <c r="AO107" i="7"/>
  <c r="AK79" i="7"/>
  <c r="AO80" i="7"/>
  <c r="AO189" i="7"/>
  <c r="AK188" i="7"/>
  <c r="AJ118" i="2" s="1"/>
  <c r="AO192" i="7"/>
  <c r="AK191" i="7"/>
  <c r="AJ119" i="2" s="1"/>
  <c r="AK100" i="7"/>
  <c r="AJ69" i="2" s="1"/>
  <c r="BD69" i="2" s="1"/>
  <c r="AO101" i="7"/>
  <c r="AK173" i="7"/>
  <c r="AJ109" i="2" s="1"/>
  <c r="AO174" i="7"/>
  <c r="AO142" i="7"/>
  <c r="AK141" i="7"/>
  <c r="AJ89" i="2" s="1"/>
  <c r="AK170" i="7"/>
  <c r="AJ108" i="2" s="1"/>
  <c r="AO171" i="7"/>
  <c r="AK158" i="7"/>
  <c r="AJ104" i="2" s="1"/>
  <c r="AO159" i="7"/>
  <c r="AO57" i="7"/>
  <c r="AK56" i="7"/>
  <c r="AK55" i="7"/>
  <c r="AK54" i="7" s="1"/>
  <c r="AK58" i="7"/>
  <c r="AO153" i="7"/>
  <c r="AK152" i="7"/>
  <c r="AJ101" i="2" s="1"/>
  <c r="AK94" i="7"/>
  <c r="AJ67" i="2" s="1"/>
  <c r="BD67" i="2" s="1"/>
  <c r="AO95" i="7"/>
  <c r="AK167" i="7"/>
  <c r="AJ107" i="2" s="1"/>
  <c r="AO168" i="7"/>
  <c r="AK144" i="7"/>
  <c r="AJ90" i="2" s="1"/>
  <c r="AO145" i="7"/>
  <c r="AO203" i="7"/>
  <c r="AK196" i="7"/>
  <c r="AJ61" i="2" s="1"/>
  <c r="BD61" i="2" s="1"/>
  <c r="AK49" i="7"/>
  <c r="AK48" i="7" s="1"/>
  <c r="AO51" i="7"/>
  <c r="AK50" i="7"/>
  <c r="AK52" i="7"/>
  <c r="AO86" i="7"/>
  <c r="AK85" i="7"/>
  <c r="AJ64" i="2" s="1"/>
  <c r="BD64" i="2" s="1"/>
  <c r="AO104" i="7"/>
  <c r="AK103" i="7"/>
  <c r="AJ70" i="2" s="1"/>
  <c r="BD70" i="2" s="1"/>
  <c r="AO110" i="7"/>
  <c r="AK109" i="7"/>
  <c r="AJ72" i="2" s="1"/>
  <c r="BD72" i="2" s="1"/>
  <c r="AK20" i="7"/>
  <c r="AO21" i="7"/>
  <c r="AK22" i="7"/>
  <c r="AK19" i="7"/>
  <c r="AK18" i="7" s="1"/>
  <c r="AO70" i="7"/>
  <c r="AK69" i="7"/>
  <c r="AO45" i="7"/>
  <c r="AK43" i="7"/>
  <c r="AK42" i="7" s="1"/>
  <c r="AK44" i="7"/>
  <c r="AK46" i="7"/>
  <c r="AK211" i="7"/>
  <c r="AJ98" i="2" s="1"/>
  <c r="AO212" i="7"/>
  <c r="AA18" i="10"/>
  <c r="AI10" i="7"/>
  <c r="AI228" i="7" s="1"/>
  <c r="AM228" i="7" s="1"/>
  <c r="AH18" i="2"/>
  <c r="AH17" i="2"/>
  <c r="AH22" i="2"/>
  <c r="AO92" i="7"/>
  <c r="AK91" i="7"/>
  <c r="AJ66" i="2" s="1"/>
  <c r="BD66" i="2" s="1"/>
  <c r="AK38" i="7"/>
  <c r="AK37" i="7"/>
  <c r="AK36" i="7" s="1"/>
  <c r="AK40" i="7"/>
  <c r="AG23" i="2"/>
  <c r="AG40" i="2"/>
  <c r="AK164" i="7"/>
  <c r="AJ106" i="2" s="1"/>
  <c r="AO165" i="7"/>
  <c r="AK32" i="7"/>
  <c r="AK34" i="7"/>
  <c r="AK31" i="7"/>
  <c r="AK30" i="7" s="1"/>
  <c r="AO33" i="7"/>
  <c r="AO223" i="7"/>
  <c r="AK222" i="7"/>
  <c r="AO220" i="7"/>
  <c r="AK219" i="7"/>
  <c r="AK25" i="7"/>
  <c r="AK24" i="7" s="1"/>
  <c r="AK26" i="7"/>
  <c r="AK28" i="7"/>
  <c r="AF51" i="2"/>
  <c r="Y115" i="10" s="1"/>
  <c r="AF41" i="2"/>
  <c r="AF43" i="2" s="1"/>
  <c r="AO116" i="7"/>
  <c r="AK115" i="7"/>
  <c r="AJ74" i="2" s="1"/>
  <c r="BD74" i="2" s="1"/>
  <c r="AH217" i="7"/>
  <c r="AL217" i="7" s="1"/>
  <c r="AH125" i="7"/>
  <c r="AL125" i="7" s="1"/>
  <c r="AH130" i="7"/>
  <c r="AL130" i="7" s="1"/>
  <c r="AH177" i="7"/>
  <c r="AL177" i="7" s="1"/>
  <c r="AH153" i="7"/>
  <c r="AL153" i="7" s="1"/>
  <c r="AH192" i="7"/>
  <c r="AL192" i="7" s="1"/>
  <c r="AH113" i="7"/>
  <c r="AL113" i="7" s="1"/>
  <c r="AH119" i="7"/>
  <c r="AL119" i="7" s="1"/>
  <c r="AH183" i="7"/>
  <c r="AL183" i="7" s="1"/>
  <c r="AH171" i="7"/>
  <c r="AL171" i="7" s="1"/>
  <c r="AH156" i="7"/>
  <c r="AL156" i="7" s="1"/>
  <c r="AH180" i="7"/>
  <c r="AL180" i="7" s="1"/>
  <c r="AH31" i="7"/>
  <c r="AL33" i="7" s="1"/>
  <c r="AH92" i="7"/>
  <c r="AL92" i="7" s="1"/>
  <c r="AH104" i="7"/>
  <c r="AL104" i="7" s="1"/>
  <c r="AH67" i="7"/>
  <c r="AL67" i="7" s="1"/>
  <c r="AH159" i="7"/>
  <c r="AL159" i="7" s="1"/>
  <c r="AH19" i="7"/>
  <c r="AL21" i="7" s="1"/>
  <c r="AH122" i="7"/>
  <c r="AL122" i="7" s="1"/>
  <c r="AH37" i="7"/>
  <c r="AL39" i="7" s="1"/>
  <c r="AP39" i="7" s="1"/>
  <c r="AT39" i="7" s="1"/>
  <c r="AX39" i="7" s="1"/>
  <c r="BB39" i="7" s="1"/>
  <c r="AH142" i="7"/>
  <c r="AL142" i="7" s="1"/>
  <c r="AH133" i="7"/>
  <c r="AL133" i="7" s="1"/>
  <c r="AH212" i="7"/>
  <c r="AL212" i="7" s="1"/>
  <c r="AH165" i="7"/>
  <c r="AL165" i="7" s="1"/>
  <c r="AH189" i="7"/>
  <c r="AL189" i="7" s="1"/>
  <c r="AH80" i="7"/>
  <c r="AL80" i="7" s="1"/>
  <c r="AH61" i="7"/>
  <c r="AL61" i="7" s="1"/>
  <c r="AH145" i="7"/>
  <c r="AL145" i="7" s="1"/>
  <c r="AH162" i="7"/>
  <c r="AL162" i="7" s="1"/>
  <c r="AH116" i="7"/>
  <c r="AL116" i="7" s="1"/>
  <c r="AH73" i="7"/>
  <c r="AL73" i="7" s="1"/>
  <c r="AH55" i="7"/>
  <c r="AL57" i="7" s="1"/>
  <c r="AH139" i="7"/>
  <c r="AL139" i="7" s="1"/>
  <c r="AH25" i="7"/>
  <c r="AL27" i="7" s="1"/>
  <c r="AP27" i="7" s="1"/>
  <c r="AT27" i="7" s="1"/>
  <c r="AX27" i="7" s="1"/>
  <c r="BB27" i="7" s="1"/>
  <c r="AH110" i="7"/>
  <c r="AL110" i="7" s="1"/>
  <c r="AH49" i="7"/>
  <c r="AL51" i="7" s="1"/>
  <c r="AH98" i="7"/>
  <c r="AL98" i="7" s="1"/>
  <c r="AH95" i="7"/>
  <c r="AL95" i="7" s="1"/>
  <c r="AH223" i="7"/>
  <c r="AL223" i="7" s="1"/>
  <c r="AH150" i="7"/>
  <c r="AL150" i="7" s="1"/>
  <c r="AH70" i="7"/>
  <c r="AL70" i="7" s="1"/>
  <c r="AH220" i="7"/>
  <c r="AL220" i="7" s="1"/>
  <c r="AH168" i="7"/>
  <c r="AL168" i="7" s="1"/>
  <c r="AH86" i="7"/>
  <c r="AL86" i="7" s="1"/>
  <c r="AH101" i="7"/>
  <c r="AL101" i="7" s="1"/>
  <c r="AH43" i="7"/>
  <c r="AL45" i="7" s="1"/>
  <c r="AH89" i="7"/>
  <c r="AL89" i="7" s="1"/>
  <c r="AH64" i="7"/>
  <c r="AL64" i="7" s="1"/>
  <c r="AH83" i="7"/>
  <c r="AL83" i="7" s="1"/>
  <c r="AH174" i="7"/>
  <c r="AL174" i="7" s="1"/>
  <c r="AH13" i="7"/>
  <c r="AL15" i="7" s="1"/>
  <c r="AH186" i="7"/>
  <c r="AL186" i="7" s="1"/>
  <c r="AH136" i="7"/>
  <c r="AL136" i="7" s="1"/>
  <c r="AH107" i="7"/>
  <c r="AL107" i="7" s="1"/>
  <c r="AH205" i="7"/>
  <c r="AL205" i="7" s="1"/>
  <c r="AH203" i="7"/>
  <c r="AL203" i="7" s="1"/>
  <c r="AH204" i="7"/>
  <c r="AL204" i="7" s="1"/>
  <c r="AB1" i="2"/>
  <c r="AO89" i="7"/>
  <c r="AK88" i="7"/>
  <c r="AJ65" i="2" s="1"/>
  <c r="BD65" i="2" s="1"/>
  <c r="AK182" i="7"/>
  <c r="AJ116" i="2" s="1"/>
  <c r="AO183" i="7"/>
  <c r="AK124" i="7"/>
  <c r="AJ77" i="2" s="1"/>
  <c r="BD77" i="2" s="1"/>
  <c r="AO125" i="7"/>
  <c r="AO205" i="7"/>
  <c r="AK198" i="7"/>
  <c r="AJ63" i="2" s="1"/>
  <c r="AK60" i="7"/>
  <c r="AO61" i="7"/>
  <c r="AO177" i="7"/>
  <c r="AK176" i="7"/>
  <c r="AJ110" i="2" s="1"/>
  <c r="AO217" i="7"/>
  <c r="AK216" i="7"/>
  <c r="AJ81" i="2" s="1"/>
  <c r="AO64" i="7"/>
  <c r="AK63" i="7"/>
  <c r="AS18" i="2"/>
  <c r="AS17" i="2"/>
  <c r="AT15" i="2"/>
  <c r="AB6" i="2"/>
  <c r="AA8" i="2"/>
  <c r="AA4" i="2"/>
  <c r="AI15" i="2"/>
  <c r="AF44" i="2" l="1"/>
  <c r="AF46" i="2"/>
  <c r="AF47" i="2" s="1"/>
  <c r="BD63" i="2"/>
  <c r="AJ147" i="2"/>
  <c r="AQ228" i="7"/>
  <c r="AM227" i="7"/>
  <c r="AL130" i="2" s="1"/>
  <c r="AL182" i="2" s="1"/>
  <c r="AT228" i="7"/>
  <c r="AX228" i="7" s="1"/>
  <c r="BB228" i="7" s="1"/>
  <c r="AP227" i="7"/>
  <c r="AO130" i="2" s="1"/>
  <c r="AO182" i="2" s="1"/>
  <c r="AS227" i="7"/>
  <c r="AR130" i="2" s="1"/>
  <c r="AJ200" i="2"/>
  <c r="AJ199" i="2"/>
  <c r="AJ191" i="2"/>
  <c r="AJ190" i="2"/>
  <c r="AJ189" i="2"/>
  <c r="AJ171" i="2"/>
  <c r="AJ172" i="2"/>
  <c r="AJ168" i="2"/>
  <c r="AJ174" i="2"/>
  <c r="AJ175" i="2"/>
  <c r="AJ150" i="2"/>
  <c r="AJ177" i="2"/>
  <c r="AJ176" i="2"/>
  <c r="AJ167" i="2"/>
  <c r="BD81" i="2"/>
  <c r="AJ179" i="2"/>
  <c r="AJ170" i="2"/>
  <c r="AJ180" i="2"/>
  <c r="AJ181" i="2"/>
  <c r="AJ169" i="2"/>
  <c r="AJ173" i="2"/>
  <c r="AJ178" i="2"/>
  <c r="AJ159" i="2"/>
  <c r="AJ162" i="2"/>
  <c r="AJ166" i="2"/>
  <c r="AJ163" i="2"/>
  <c r="AJ160" i="2"/>
  <c r="AJ165" i="2"/>
  <c r="AJ164" i="2"/>
  <c r="AJ161" i="2"/>
  <c r="AJ155" i="2"/>
  <c r="AJ157" i="2"/>
  <c r="AJ154" i="2"/>
  <c r="AJ156" i="2"/>
  <c r="AJ158" i="2"/>
  <c r="AJ28" i="2"/>
  <c r="AO167" i="7"/>
  <c r="AN107" i="2" s="1"/>
  <c r="AS168" i="7"/>
  <c r="AO79" i="7"/>
  <c r="AS80" i="7"/>
  <c r="AO60" i="7"/>
  <c r="AS61" i="7"/>
  <c r="AP83" i="7"/>
  <c r="AL82" i="7"/>
  <c r="AK60" i="2" s="1"/>
  <c r="AK152" i="2" s="1"/>
  <c r="AJ29" i="2"/>
  <c r="AO94" i="7"/>
  <c r="AN67" i="2" s="1"/>
  <c r="AS95" i="7"/>
  <c r="AO161" i="7"/>
  <c r="AN105" i="2" s="1"/>
  <c r="AS162" i="7"/>
  <c r="AJ34" i="2"/>
  <c r="AO85" i="7"/>
  <c r="AN64" i="2" s="1"/>
  <c r="AS86" i="7"/>
  <c r="AO141" i="7"/>
  <c r="AN89" i="2" s="1"/>
  <c r="AS142" i="7"/>
  <c r="AP89" i="7"/>
  <c r="AL88" i="7"/>
  <c r="AK65" i="2" s="1"/>
  <c r="AJ27" i="2"/>
  <c r="AJ38" i="2"/>
  <c r="AS205" i="7"/>
  <c r="AO198" i="7"/>
  <c r="AN63" i="2" s="1"/>
  <c r="AL26" i="7"/>
  <c r="AL28" i="7"/>
  <c r="AL25" i="7"/>
  <c r="AL24" i="7" s="1"/>
  <c r="AK26" i="2" s="1"/>
  <c r="AP171" i="7"/>
  <c r="AL170" i="7"/>
  <c r="AK108" i="2" s="1"/>
  <c r="AK175" i="2" s="1"/>
  <c r="AH23" i="2"/>
  <c r="AH40" i="2"/>
  <c r="AO69" i="7"/>
  <c r="AS70" i="7"/>
  <c r="AS153" i="7"/>
  <c r="AO152" i="7"/>
  <c r="AN101" i="2" s="1"/>
  <c r="AO149" i="7"/>
  <c r="AN100" i="2" s="1"/>
  <c r="AS150" i="7"/>
  <c r="AS83" i="7"/>
  <c r="AO82" i="7"/>
  <c r="AN60" i="2" s="1"/>
  <c r="AS98" i="7"/>
  <c r="AO97" i="7"/>
  <c r="AN68" i="2" s="1"/>
  <c r="AO124" i="7"/>
  <c r="AN77" i="2" s="1"/>
  <c r="AS125" i="7"/>
  <c r="AP204" i="7"/>
  <c r="AL197" i="7"/>
  <c r="AK62" i="2" s="1"/>
  <c r="AP101" i="7"/>
  <c r="AL100" i="7"/>
  <c r="AK69" i="2" s="1"/>
  <c r="AL138" i="7"/>
  <c r="AK88" i="2" s="1"/>
  <c r="AP139" i="7"/>
  <c r="AP142" i="7"/>
  <c r="AL141" i="7"/>
  <c r="AK89" i="2" s="1"/>
  <c r="AL182" i="7"/>
  <c r="AK116" i="2" s="1"/>
  <c r="AP183" i="7"/>
  <c r="AF52" i="2"/>
  <c r="AF140" i="2"/>
  <c r="AJ25" i="2"/>
  <c r="AS51" i="7"/>
  <c r="AO50" i="7"/>
  <c r="AO49" i="7"/>
  <c r="AO48" i="7" s="1"/>
  <c r="AO52" i="7"/>
  <c r="AO100" i="7"/>
  <c r="AN69" i="2" s="1"/>
  <c r="AS101" i="7"/>
  <c r="AL13" i="7"/>
  <c r="AL12" i="7" s="1"/>
  <c r="AL14" i="7"/>
  <c r="AP15" i="7"/>
  <c r="AL16" i="7"/>
  <c r="AP104" i="7"/>
  <c r="AL103" i="7"/>
  <c r="AK70" i="2" s="1"/>
  <c r="AL129" i="7"/>
  <c r="AK84" i="2" s="1"/>
  <c r="AP130" i="7"/>
  <c r="AO219" i="7"/>
  <c r="AS220" i="7"/>
  <c r="AO16" i="7"/>
  <c r="AS15" i="7"/>
  <c r="AO14" i="7"/>
  <c r="AO13" i="7"/>
  <c r="AO12" i="7" s="1"/>
  <c r="AS177" i="7"/>
  <c r="AO176" i="7"/>
  <c r="AN110" i="2" s="1"/>
  <c r="AP80" i="7"/>
  <c r="AL79" i="7"/>
  <c r="AL188" i="7"/>
  <c r="AK118" i="2" s="1"/>
  <c r="AK180" i="2" s="1"/>
  <c r="AP189" i="7"/>
  <c r="AS223" i="7"/>
  <c r="AO222" i="7"/>
  <c r="AO38" i="7"/>
  <c r="AO40" i="7"/>
  <c r="AO37" i="7"/>
  <c r="AO36" i="7" s="1"/>
  <c r="AO106" i="7"/>
  <c r="AN71" i="2" s="1"/>
  <c r="AS107" i="7"/>
  <c r="AP64" i="7"/>
  <c r="AL63" i="7"/>
  <c r="AK35" i="2" s="1"/>
  <c r="AP180" i="7"/>
  <c r="AL179" i="7"/>
  <c r="AK111" i="2" s="1"/>
  <c r="AK178" i="2" s="1"/>
  <c r="AO121" i="7"/>
  <c r="AN76" i="2" s="1"/>
  <c r="AS122" i="7"/>
  <c r="AO185" i="7"/>
  <c r="AN117" i="2" s="1"/>
  <c r="AS186" i="7"/>
  <c r="AJ146" i="2"/>
  <c r="AP61" i="7"/>
  <c r="AL60" i="7"/>
  <c r="AK34" i="2" s="1"/>
  <c r="AP92" i="7"/>
  <c r="AL91" i="7"/>
  <c r="AK66" i="2" s="1"/>
  <c r="AJ20" i="2"/>
  <c r="AJ22" i="2" s="1"/>
  <c r="AJ23" i="2" s="1"/>
  <c r="AK199" i="7"/>
  <c r="AJ99" i="2" s="1"/>
  <c r="AL34" i="7"/>
  <c r="AL31" i="7"/>
  <c r="AL30" i="7" s="1"/>
  <c r="AK27" i="2" s="1"/>
  <c r="AP33" i="7"/>
  <c r="AL32" i="7"/>
  <c r="AL46" i="7"/>
  <c r="AP45" i="7"/>
  <c r="AL43" i="7"/>
  <c r="AL42" i="7" s="1"/>
  <c r="AK29" i="2" s="1"/>
  <c r="AL44" i="7"/>
  <c r="AL40" i="7"/>
  <c r="AL38" i="7"/>
  <c r="AL37" i="7"/>
  <c r="AL36" i="7" s="1"/>
  <c r="AK28" i="2" s="1"/>
  <c r="AP205" i="7"/>
  <c r="AL198" i="7"/>
  <c r="AK63" i="2" s="1"/>
  <c r="AL72" i="7"/>
  <c r="AK49" i="2" s="1"/>
  <c r="AP73" i="7"/>
  <c r="AP122" i="7"/>
  <c r="AL121" i="7"/>
  <c r="AK76" i="2" s="1"/>
  <c r="AP113" i="7"/>
  <c r="AL112" i="7"/>
  <c r="AK73" i="2" s="1"/>
  <c r="AI212" i="7"/>
  <c r="AM212" i="7" s="1"/>
  <c r="AI159" i="7"/>
  <c r="AM159" i="7" s="1"/>
  <c r="AI92" i="7"/>
  <c r="AM92" i="7" s="1"/>
  <c r="AI113" i="7"/>
  <c r="AM113" i="7" s="1"/>
  <c r="AI107" i="7"/>
  <c r="AM107" i="7" s="1"/>
  <c r="AI174" i="7"/>
  <c r="AM174" i="7" s="1"/>
  <c r="AI183" i="7"/>
  <c r="AM183" i="7" s="1"/>
  <c r="AI165" i="7"/>
  <c r="AM165" i="7" s="1"/>
  <c r="AI139" i="7"/>
  <c r="AM139" i="7" s="1"/>
  <c r="AI122" i="7"/>
  <c r="AM122" i="7" s="1"/>
  <c r="AI177" i="7"/>
  <c r="AM177" i="7" s="1"/>
  <c r="AI168" i="7"/>
  <c r="AM168" i="7" s="1"/>
  <c r="AI86" i="7"/>
  <c r="AM86" i="7" s="1"/>
  <c r="AI83" i="7"/>
  <c r="AM83" i="7" s="1"/>
  <c r="AI142" i="7"/>
  <c r="AM142" i="7" s="1"/>
  <c r="AI223" i="7"/>
  <c r="AM223" i="7" s="1"/>
  <c r="AI119" i="7"/>
  <c r="AM119" i="7" s="1"/>
  <c r="AI73" i="7"/>
  <c r="AM73" i="7" s="1"/>
  <c r="AI220" i="7"/>
  <c r="AM220" i="7" s="1"/>
  <c r="AI116" i="7"/>
  <c r="AM116" i="7" s="1"/>
  <c r="AI217" i="7"/>
  <c r="AM217" i="7" s="1"/>
  <c r="AI180" i="7"/>
  <c r="AM180" i="7" s="1"/>
  <c r="AI80" i="7"/>
  <c r="AM80" i="7" s="1"/>
  <c r="AI61" i="7"/>
  <c r="AM61" i="7" s="1"/>
  <c r="AI156" i="7"/>
  <c r="AM156" i="7" s="1"/>
  <c r="AI150" i="7"/>
  <c r="AM150" i="7" s="1"/>
  <c r="AI64" i="7"/>
  <c r="AM64" i="7" s="1"/>
  <c r="AI125" i="7"/>
  <c r="AM125" i="7" s="1"/>
  <c r="AI153" i="7"/>
  <c r="AM153" i="7" s="1"/>
  <c r="AI95" i="7"/>
  <c r="AM95" i="7" s="1"/>
  <c r="AI89" i="7"/>
  <c r="AM89" i="7" s="1"/>
  <c r="AI145" i="7"/>
  <c r="AM145" i="7" s="1"/>
  <c r="AI192" i="7"/>
  <c r="AM192" i="7" s="1"/>
  <c r="AI19" i="7"/>
  <c r="AM21" i="7" s="1"/>
  <c r="AI101" i="7"/>
  <c r="AM101" i="7" s="1"/>
  <c r="AI67" i="7"/>
  <c r="AM67" i="7" s="1"/>
  <c r="AI162" i="7"/>
  <c r="AM162" i="7" s="1"/>
  <c r="AI31" i="7"/>
  <c r="AM33" i="7" s="1"/>
  <c r="AI49" i="7"/>
  <c r="AM51" i="7" s="1"/>
  <c r="AI37" i="7"/>
  <c r="AM39" i="7" s="1"/>
  <c r="AQ39" i="7" s="1"/>
  <c r="AU39" i="7" s="1"/>
  <c r="AY39" i="7" s="1"/>
  <c r="BC39" i="7" s="1"/>
  <c r="AI25" i="7"/>
  <c r="AM27" i="7" s="1"/>
  <c r="AQ27" i="7" s="1"/>
  <c r="AU27" i="7" s="1"/>
  <c r="AY27" i="7" s="1"/>
  <c r="BC27" i="7" s="1"/>
  <c r="AI98" i="7"/>
  <c r="AM98" i="7" s="1"/>
  <c r="AI186" i="7"/>
  <c r="AM186" i="7" s="1"/>
  <c r="AI130" i="7"/>
  <c r="AM130" i="7" s="1"/>
  <c r="AI136" i="7"/>
  <c r="AM136" i="7" s="1"/>
  <c r="AI55" i="7"/>
  <c r="AM57" i="7" s="1"/>
  <c r="AI189" i="7"/>
  <c r="AM189" i="7" s="1"/>
  <c r="AI110" i="7"/>
  <c r="AM110" i="7" s="1"/>
  <c r="AI70" i="7"/>
  <c r="AM70" i="7" s="1"/>
  <c r="AI104" i="7"/>
  <c r="AM104" i="7" s="1"/>
  <c r="AI43" i="7"/>
  <c r="AM45" i="7" s="1"/>
  <c r="AI171" i="7"/>
  <c r="AM171" i="7" s="1"/>
  <c r="AI133" i="7"/>
  <c r="AM133" i="7" s="1"/>
  <c r="AI205" i="7"/>
  <c r="AM205" i="7" s="1"/>
  <c r="AI203" i="7"/>
  <c r="AM203" i="7" s="1"/>
  <c r="AI204" i="7"/>
  <c r="AM204" i="7" s="1"/>
  <c r="J10" i="7"/>
  <c r="J228" i="7" s="1"/>
  <c r="AO22" i="7"/>
  <c r="AO19" i="7"/>
  <c r="AO18" i="7" s="1"/>
  <c r="AO20" i="7"/>
  <c r="AS21" i="7"/>
  <c r="AJ145" i="2"/>
  <c r="AS139" i="7"/>
  <c r="AO138" i="7"/>
  <c r="AN88" i="2" s="1"/>
  <c r="AS204" i="7"/>
  <c r="AO197" i="7"/>
  <c r="AN62" i="2" s="1"/>
  <c r="AP95" i="7"/>
  <c r="AL94" i="7"/>
  <c r="AK67" i="2" s="1"/>
  <c r="AK156" i="2" s="1"/>
  <c r="AP217" i="7"/>
  <c r="AL216" i="7"/>
  <c r="AK81" i="2" s="1"/>
  <c r="AO46" i="7"/>
  <c r="AO44" i="7"/>
  <c r="AO43" i="7"/>
  <c r="AO42" i="7" s="1"/>
  <c r="AS45" i="7"/>
  <c r="AJ152" i="2"/>
  <c r="AC1" i="2"/>
  <c r="AP133" i="7"/>
  <c r="AL132" i="7"/>
  <c r="AK85" i="2" s="1"/>
  <c r="AP203" i="7"/>
  <c r="AL196" i="7"/>
  <c r="AK61" i="2" s="1"/>
  <c r="AK145" i="2" s="1"/>
  <c r="AJ30" i="2"/>
  <c r="AP168" i="7"/>
  <c r="AL167" i="7"/>
  <c r="AK107" i="2" s="1"/>
  <c r="AK174" i="2" s="1"/>
  <c r="AS64" i="7"/>
  <c r="AO63" i="7"/>
  <c r="AP107" i="7"/>
  <c r="AL106" i="7"/>
  <c r="AK71" i="2" s="1"/>
  <c r="AP220" i="7"/>
  <c r="AL219" i="7"/>
  <c r="AP116" i="7"/>
  <c r="AL115" i="7"/>
  <c r="AK74" i="2" s="1"/>
  <c r="AK163" i="2" s="1"/>
  <c r="AL20" i="7"/>
  <c r="AP21" i="7"/>
  <c r="AL22" i="7"/>
  <c r="AL19" i="7"/>
  <c r="AL18" i="7" s="1"/>
  <c r="AK25" i="2" s="1"/>
  <c r="AP192" i="7"/>
  <c r="AL191" i="7"/>
  <c r="AK119" i="2" s="1"/>
  <c r="AK181" i="2" s="1"/>
  <c r="AJ26" i="2"/>
  <c r="AG51" i="2"/>
  <c r="Z115" i="10" s="1"/>
  <c r="AG41" i="2"/>
  <c r="AG43" i="2" s="1"/>
  <c r="AS203" i="7"/>
  <c r="AO196" i="7"/>
  <c r="AN61" i="2" s="1"/>
  <c r="AO58" i="7"/>
  <c r="AO55" i="7"/>
  <c r="AO54" i="7" s="1"/>
  <c r="AS57" i="7"/>
  <c r="AO56" i="7"/>
  <c r="AO191" i="7"/>
  <c r="AN119" i="2" s="1"/>
  <c r="AS192" i="7"/>
  <c r="AO179" i="7"/>
  <c r="AN111" i="2" s="1"/>
  <c r="AS180" i="7"/>
  <c r="AO129" i="7"/>
  <c r="AN84" i="2" s="1"/>
  <c r="AS130" i="7"/>
  <c r="AS89" i="7"/>
  <c r="AO88" i="7"/>
  <c r="AN65" i="2" s="1"/>
  <c r="AP174" i="7"/>
  <c r="AL173" i="7"/>
  <c r="AK109" i="2" s="1"/>
  <c r="AK176" i="2" s="1"/>
  <c r="AL124" i="7"/>
  <c r="AK77" i="2" s="1"/>
  <c r="AP125" i="7"/>
  <c r="AO103" i="7"/>
  <c r="AN70" i="2" s="1"/>
  <c r="AS104" i="7"/>
  <c r="AJ153" i="2"/>
  <c r="AL52" i="7"/>
  <c r="AL50" i="7"/>
  <c r="AL49" i="7"/>
  <c r="AL48" i="7" s="1"/>
  <c r="AK30" i="2" s="1"/>
  <c r="AP51" i="7"/>
  <c r="AL164" i="7"/>
  <c r="AK106" i="2" s="1"/>
  <c r="AK173" i="2" s="1"/>
  <c r="AP165" i="7"/>
  <c r="AS33" i="7"/>
  <c r="AO32" i="7"/>
  <c r="AO31" i="7"/>
  <c r="AO30" i="7" s="1"/>
  <c r="AO34" i="7"/>
  <c r="AO173" i="7"/>
  <c r="AN109" i="2" s="1"/>
  <c r="AS174" i="7"/>
  <c r="AL58" i="7"/>
  <c r="AL56" i="7"/>
  <c r="AP57" i="7"/>
  <c r="AL55" i="7"/>
  <c r="AL54" i="7" s="1"/>
  <c r="AK31" i="2" s="1"/>
  <c r="AO26" i="7"/>
  <c r="AO28" i="7"/>
  <c r="AO25" i="7"/>
  <c r="AO24" i="7" s="1"/>
  <c r="AO211" i="7"/>
  <c r="AN98" i="2" s="1"/>
  <c r="AS212" i="7"/>
  <c r="AO144" i="7"/>
  <c r="AN90" i="2" s="1"/>
  <c r="AS145" i="7"/>
  <c r="AS159" i="7"/>
  <c r="AO158" i="7"/>
  <c r="AN104" i="2" s="1"/>
  <c r="AO66" i="7"/>
  <c r="AS67" i="7"/>
  <c r="AO135" i="7"/>
  <c r="AN86" i="2" s="1"/>
  <c r="AS136" i="7"/>
  <c r="AO118" i="7"/>
  <c r="AN75" i="2" s="1"/>
  <c r="AS119" i="7"/>
  <c r="AP223" i="7"/>
  <c r="AL222" i="7"/>
  <c r="AS171" i="7"/>
  <c r="AO170" i="7"/>
  <c r="AN108" i="2" s="1"/>
  <c r="AO112" i="7"/>
  <c r="AN73" i="2" s="1"/>
  <c r="AS113" i="7"/>
  <c r="AM18" i="10"/>
  <c r="AM25" i="10" s="1"/>
  <c r="AU10" i="7"/>
  <c r="AL97" i="7"/>
  <c r="AK68" i="2" s="1"/>
  <c r="AP98" i="7"/>
  <c r="AJ49" i="2"/>
  <c r="AP110" i="7"/>
  <c r="AL109" i="7"/>
  <c r="AK72" i="2" s="1"/>
  <c r="AK161" i="2" s="1"/>
  <c r="AP212" i="7"/>
  <c r="AL211" i="7"/>
  <c r="AK98" i="2" s="1"/>
  <c r="AL155" i="7"/>
  <c r="AK102" i="2" s="1"/>
  <c r="AK200" i="2" s="1"/>
  <c r="AP156" i="7"/>
  <c r="AO115" i="7"/>
  <c r="AN74" i="2" s="1"/>
  <c r="AS116" i="7"/>
  <c r="AS92" i="7"/>
  <c r="AO91" i="7"/>
  <c r="AN66" i="2" s="1"/>
  <c r="AO72" i="7"/>
  <c r="AS73" i="7"/>
  <c r="AP86" i="7"/>
  <c r="AL85" i="7"/>
  <c r="AK64" i="2" s="1"/>
  <c r="AK153" i="2" s="1"/>
  <c r="AP119" i="7"/>
  <c r="AL118" i="7"/>
  <c r="AK75" i="2" s="1"/>
  <c r="AS165" i="7"/>
  <c r="AO164" i="7"/>
  <c r="AN106" i="2" s="1"/>
  <c r="AJ31" i="2"/>
  <c r="AJ35" i="2"/>
  <c r="AS183" i="7"/>
  <c r="AO182" i="7"/>
  <c r="AN116" i="2" s="1"/>
  <c r="AB18" i="10"/>
  <c r="AJ10" i="7"/>
  <c r="AJ228" i="7" s="1"/>
  <c r="AN228" i="7" s="1"/>
  <c r="AI22" i="2"/>
  <c r="AI17" i="2"/>
  <c r="AI18" i="2"/>
  <c r="AP136" i="7"/>
  <c r="AL135" i="7"/>
  <c r="AK86" i="2" s="1"/>
  <c r="AP70" i="7"/>
  <c r="AL69" i="7"/>
  <c r="AK38" i="2" s="1"/>
  <c r="AP162" i="7"/>
  <c r="AL161" i="7"/>
  <c r="AK105" i="2" s="1"/>
  <c r="AK172" i="2" s="1"/>
  <c r="AL158" i="7"/>
  <c r="AK104" i="2" s="1"/>
  <c r="AK171" i="2" s="1"/>
  <c r="AP159" i="7"/>
  <c r="AP153" i="7"/>
  <c r="AL152" i="7"/>
  <c r="AK101" i="2" s="1"/>
  <c r="AK199" i="2" s="1"/>
  <c r="AS217" i="7"/>
  <c r="AO216" i="7"/>
  <c r="AN81" i="2" s="1"/>
  <c r="AP186" i="7"/>
  <c r="AL185" i="7"/>
  <c r="AK117" i="2" s="1"/>
  <c r="AK179" i="2" s="1"/>
  <c r="AP150" i="7"/>
  <c r="AL149" i="7"/>
  <c r="AK100" i="2" s="1"/>
  <c r="AP145" i="7"/>
  <c r="AL144" i="7"/>
  <c r="AK90" i="2" s="1"/>
  <c r="AP67" i="7"/>
  <c r="AL66" i="7"/>
  <c r="AK37" i="2" s="1"/>
  <c r="AL176" i="7"/>
  <c r="AK110" i="2" s="1"/>
  <c r="AK177" i="2" s="1"/>
  <c r="AP177" i="7"/>
  <c r="AJ148" i="2"/>
  <c r="AO109" i="7"/>
  <c r="AN72" i="2" s="1"/>
  <c r="AS110" i="7"/>
  <c r="AO188" i="7"/>
  <c r="AN118" i="2" s="1"/>
  <c r="AS189" i="7"/>
  <c r="AO132" i="7"/>
  <c r="AN85" i="2" s="1"/>
  <c r="AS133" i="7"/>
  <c r="AJ37" i="2"/>
  <c r="AO155" i="7"/>
  <c r="AN102" i="2" s="1"/>
  <c r="AS156" i="7"/>
  <c r="AT18" i="2"/>
  <c r="AT17" i="2"/>
  <c r="AU15" i="2"/>
  <c r="AC6" i="2"/>
  <c r="AB8" i="2"/>
  <c r="AB4" i="2"/>
  <c r="AG44" i="2" l="1"/>
  <c r="AG46" i="2"/>
  <c r="AG47" i="2" s="1"/>
  <c r="AT227" i="7"/>
  <c r="AS130" i="2" s="1"/>
  <c r="AS182" i="2" s="1"/>
  <c r="AR228" i="7"/>
  <c r="AN227" i="7"/>
  <c r="AU228" i="7"/>
  <c r="AY228" i="7" s="1"/>
  <c r="BC228" i="7" s="1"/>
  <c r="AQ227" i="7"/>
  <c r="AP130" i="2" s="1"/>
  <c r="AP182" i="2" s="1"/>
  <c r="AK150" i="2"/>
  <c r="AK190" i="2"/>
  <c r="AK191" i="2"/>
  <c r="AK189" i="2"/>
  <c r="AJ149" i="2"/>
  <c r="AK170" i="2"/>
  <c r="AK168" i="2"/>
  <c r="AK169" i="2"/>
  <c r="AK167" i="2"/>
  <c r="AK166" i="2"/>
  <c r="AK164" i="2"/>
  <c r="AK162" i="2"/>
  <c r="AK165" i="2"/>
  <c r="AK159" i="2"/>
  <c r="AK160" i="2"/>
  <c r="AJ112" i="2"/>
  <c r="AK154" i="2"/>
  <c r="AK32" i="2"/>
  <c r="AK158" i="2"/>
  <c r="AK157" i="2"/>
  <c r="AK155" i="2"/>
  <c r="AS109" i="7"/>
  <c r="AR72" i="2" s="1"/>
  <c r="AW110" i="7"/>
  <c r="AT125" i="7"/>
  <c r="AP124" i="7"/>
  <c r="AO77" i="2" s="1"/>
  <c r="AO166" i="2" s="1"/>
  <c r="AT122" i="7"/>
  <c r="AP121" i="7"/>
  <c r="AO76" i="2" s="1"/>
  <c r="AT171" i="7"/>
  <c r="AP170" i="7"/>
  <c r="AO108" i="2" s="1"/>
  <c r="AO175" i="2" s="1"/>
  <c r="AS115" i="7"/>
  <c r="AR74" i="2" s="1"/>
  <c r="AW116" i="7"/>
  <c r="AS66" i="7"/>
  <c r="AW67" i="7"/>
  <c r="AS31" i="7"/>
  <c r="AS30" i="7" s="1"/>
  <c r="AW33" i="7"/>
  <c r="AS32" i="7"/>
  <c r="AS34" i="7"/>
  <c r="AP167" i="7"/>
  <c r="AO107" i="2" s="1"/>
  <c r="AO174" i="2" s="1"/>
  <c r="AT168" i="7"/>
  <c r="AN31" i="2"/>
  <c r="AQ203" i="7"/>
  <c r="AM196" i="7"/>
  <c r="AL61" i="2" s="1"/>
  <c r="AL145" i="2" s="1"/>
  <c r="AS37" i="7"/>
  <c r="AS36" i="7" s="1"/>
  <c r="AS38" i="7"/>
  <c r="AS40" i="7"/>
  <c r="AW217" i="7"/>
  <c r="AS216" i="7"/>
  <c r="AR81" i="2" s="1"/>
  <c r="AT174" i="7"/>
  <c r="AP173" i="7"/>
  <c r="AO109" i="2" s="1"/>
  <c r="AO176" i="2" s="1"/>
  <c r="AQ205" i="7"/>
  <c r="AM198" i="7"/>
  <c r="AL63" i="2" s="1"/>
  <c r="AL147" i="2" s="1"/>
  <c r="AS85" i="7"/>
  <c r="AR64" i="2" s="1"/>
  <c r="AW86" i="7"/>
  <c r="AQ133" i="7"/>
  <c r="AM132" i="7"/>
  <c r="AL85" i="2" s="1"/>
  <c r="AQ153" i="7"/>
  <c r="AM152" i="7"/>
  <c r="AL101" i="2" s="1"/>
  <c r="AL199" i="2" s="1"/>
  <c r="AT205" i="7"/>
  <c r="AP198" i="7"/>
  <c r="AO63" i="2" s="1"/>
  <c r="AO147" i="2" s="1"/>
  <c r="AK148" i="2"/>
  <c r="AS144" i="7"/>
  <c r="AR90" i="2" s="1"/>
  <c r="AW145" i="7"/>
  <c r="AW89" i="7"/>
  <c r="AS88" i="7"/>
  <c r="AR65" i="2" s="1"/>
  <c r="AW203" i="7"/>
  <c r="AS196" i="7"/>
  <c r="AR61" i="2" s="1"/>
  <c r="AT116" i="7"/>
  <c r="AP115" i="7"/>
  <c r="AO74" i="2" s="1"/>
  <c r="AT203" i="7"/>
  <c r="AP196" i="7"/>
  <c r="AO61" i="2" s="1"/>
  <c r="AM38" i="7"/>
  <c r="AM37" i="7"/>
  <c r="AM36" i="7" s="1"/>
  <c r="AL28" i="2" s="1"/>
  <c r="AM40" i="7"/>
  <c r="AQ125" i="7"/>
  <c r="AM124" i="7"/>
  <c r="AL77" i="2" s="1"/>
  <c r="AM222" i="7"/>
  <c r="AQ223" i="7"/>
  <c r="AP188" i="7"/>
  <c r="AO118" i="2" s="1"/>
  <c r="AO180" i="2" s="1"/>
  <c r="AT189" i="7"/>
  <c r="AT130" i="7"/>
  <c r="AP129" i="7"/>
  <c r="AO84" i="2" s="1"/>
  <c r="AS79" i="7"/>
  <c r="AW80" i="7"/>
  <c r="AP158" i="7"/>
  <c r="AO104" i="2" s="1"/>
  <c r="AO171" i="2" s="1"/>
  <c r="AT159" i="7"/>
  <c r="AJ220" i="7"/>
  <c r="AN220" i="7" s="1"/>
  <c r="AJ25" i="7"/>
  <c r="AN27" i="7" s="1"/>
  <c r="AR27" i="7" s="1"/>
  <c r="AV27" i="7" s="1"/>
  <c r="AZ27" i="7" s="1"/>
  <c r="BD27" i="7" s="1"/>
  <c r="AJ92" i="7"/>
  <c r="AN92" i="7" s="1"/>
  <c r="AJ186" i="7"/>
  <c r="AN186" i="7" s="1"/>
  <c r="AJ180" i="7"/>
  <c r="AN180" i="7" s="1"/>
  <c r="AJ217" i="7"/>
  <c r="AN217" i="7" s="1"/>
  <c r="AJ116" i="7"/>
  <c r="AN116" i="7" s="1"/>
  <c r="AJ165" i="7"/>
  <c r="AN165" i="7" s="1"/>
  <c r="AJ142" i="7"/>
  <c r="AN142" i="7" s="1"/>
  <c r="AJ98" i="7"/>
  <c r="AN98" i="7" s="1"/>
  <c r="AJ223" i="7"/>
  <c r="AN223" i="7" s="1"/>
  <c r="AJ119" i="7"/>
  <c r="AN119" i="7" s="1"/>
  <c r="AJ192" i="7"/>
  <c r="AN192" i="7" s="1"/>
  <c r="AJ174" i="7"/>
  <c r="AN174" i="7" s="1"/>
  <c r="AJ145" i="7"/>
  <c r="AN145" i="7" s="1"/>
  <c r="AJ139" i="7"/>
  <c r="AN139" i="7" s="1"/>
  <c r="AJ168" i="7"/>
  <c r="AN168" i="7" s="1"/>
  <c r="AJ70" i="7"/>
  <c r="AN70" i="7" s="1"/>
  <c r="AJ73" i="7"/>
  <c r="AN73" i="7" s="1"/>
  <c r="AJ37" i="7"/>
  <c r="AN39" i="7" s="1"/>
  <c r="AR39" i="7" s="1"/>
  <c r="AV39" i="7" s="1"/>
  <c r="AZ39" i="7" s="1"/>
  <c r="BD39" i="7" s="1"/>
  <c r="AJ125" i="7"/>
  <c r="AN125" i="7" s="1"/>
  <c r="AJ177" i="7"/>
  <c r="AN177" i="7" s="1"/>
  <c r="AJ133" i="7"/>
  <c r="AN133" i="7" s="1"/>
  <c r="AJ159" i="7"/>
  <c r="AN159" i="7" s="1"/>
  <c r="AJ80" i="7"/>
  <c r="AN80" i="7" s="1"/>
  <c r="AJ89" i="7"/>
  <c r="AN89" i="7" s="1"/>
  <c r="AJ189" i="7"/>
  <c r="AN189" i="7" s="1"/>
  <c r="AJ156" i="7"/>
  <c r="AN156" i="7" s="1"/>
  <c r="AJ43" i="7"/>
  <c r="AN45" i="7" s="1"/>
  <c r="AJ95" i="7"/>
  <c r="AN95" i="7" s="1"/>
  <c r="AJ101" i="7"/>
  <c r="AN101" i="7" s="1"/>
  <c r="AJ110" i="7"/>
  <c r="AN110" i="7" s="1"/>
  <c r="AJ61" i="7"/>
  <c r="AN61" i="7" s="1"/>
  <c r="AJ83" i="7"/>
  <c r="AN83" i="7" s="1"/>
  <c r="AJ130" i="7"/>
  <c r="AN130" i="7" s="1"/>
  <c r="AJ171" i="7"/>
  <c r="AN171" i="7" s="1"/>
  <c r="AJ136" i="7"/>
  <c r="AN136" i="7" s="1"/>
  <c r="AJ212" i="7"/>
  <c r="AN212" i="7" s="1"/>
  <c r="AJ122" i="7"/>
  <c r="AN122" i="7" s="1"/>
  <c r="AJ113" i="7"/>
  <c r="AN113" i="7" s="1"/>
  <c r="AJ49" i="7"/>
  <c r="AN51" i="7" s="1"/>
  <c r="AJ150" i="7"/>
  <c r="AN150" i="7" s="1"/>
  <c r="AJ107" i="7"/>
  <c r="AN107" i="7" s="1"/>
  <c r="AJ55" i="7"/>
  <c r="AN57" i="7" s="1"/>
  <c r="AJ64" i="7"/>
  <c r="AN64" i="7" s="1"/>
  <c r="AJ104" i="7"/>
  <c r="AN104" i="7" s="1"/>
  <c r="AJ86" i="7"/>
  <c r="AN86" i="7" s="1"/>
  <c r="AJ67" i="7"/>
  <c r="AN67" i="7" s="1"/>
  <c r="AJ162" i="7"/>
  <c r="AN162" i="7" s="1"/>
  <c r="AJ31" i="7"/>
  <c r="AN33" i="7" s="1"/>
  <c r="AJ19" i="7"/>
  <c r="AN21" i="7" s="1"/>
  <c r="AJ153" i="7"/>
  <c r="AN153" i="7" s="1"/>
  <c r="AJ183" i="7"/>
  <c r="AN183" i="7" s="1"/>
  <c r="AJ205" i="7"/>
  <c r="AJ203" i="7"/>
  <c r="AJ204" i="7"/>
  <c r="AT119" i="7"/>
  <c r="AP118" i="7"/>
  <c r="AO75" i="2" s="1"/>
  <c r="AP211" i="7"/>
  <c r="AO98" i="2" s="1"/>
  <c r="AT212" i="7"/>
  <c r="AW171" i="7"/>
  <c r="AS170" i="7"/>
  <c r="AR108" i="2" s="1"/>
  <c r="AW174" i="7"/>
  <c r="AS173" i="7"/>
  <c r="AR109" i="2" s="1"/>
  <c r="AW130" i="7"/>
  <c r="AS129" i="7"/>
  <c r="AR84" i="2" s="1"/>
  <c r="AW45" i="7"/>
  <c r="AS44" i="7"/>
  <c r="AS43" i="7"/>
  <c r="AS42" i="7" s="1"/>
  <c r="AS46" i="7"/>
  <c r="AQ45" i="7"/>
  <c r="AM43" i="7"/>
  <c r="AM42" i="7" s="1"/>
  <c r="AL29" i="2" s="1"/>
  <c r="AM44" i="7"/>
  <c r="AM46" i="7"/>
  <c r="AM50" i="7"/>
  <c r="AM52" i="7"/>
  <c r="AM49" i="7"/>
  <c r="AM48" i="7" s="1"/>
  <c r="AQ51" i="7"/>
  <c r="AQ64" i="7"/>
  <c r="AM63" i="7"/>
  <c r="AQ142" i="7"/>
  <c r="AM141" i="7"/>
  <c r="AL89" i="2" s="1"/>
  <c r="AM91" i="7"/>
  <c r="AL66" i="2" s="1"/>
  <c r="AL155" i="2" s="1"/>
  <c r="AQ92" i="7"/>
  <c r="AP38" i="7"/>
  <c r="AP37" i="7"/>
  <c r="AP36" i="7" s="1"/>
  <c r="AO28" i="2" s="1"/>
  <c r="AP40" i="7"/>
  <c r="AP179" i="7"/>
  <c r="AO111" i="2" s="1"/>
  <c r="AO178" i="2" s="1"/>
  <c r="AT180" i="7"/>
  <c r="AS52" i="7"/>
  <c r="AS49" i="7"/>
  <c r="AS48" i="7" s="1"/>
  <c r="AS50" i="7"/>
  <c r="AW51" i="7"/>
  <c r="AP100" i="7"/>
  <c r="AO69" i="2" s="1"/>
  <c r="AO158" i="2" s="1"/>
  <c r="AT101" i="7"/>
  <c r="AW153" i="7"/>
  <c r="AS152" i="7"/>
  <c r="AR101" i="2" s="1"/>
  <c r="AW205" i="7"/>
  <c r="AS198" i="7"/>
  <c r="AR63" i="2" s="1"/>
  <c r="AW92" i="7"/>
  <c r="AS91" i="7"/>
  <c r="AR66" i="2" s="1"/>
  <c r="AW57" i="7"/>
  <c r="AS56" i="7"/>
  <c r="AS55" i="7"/>
  <c r="AS54" i="7" s="1"/>
  <c r="AS58" i="7"/>
  <c r="AQ174" i="7"/>
  <c r="AM173" i="7"/>
  <c r="AL109" i="2" s="1"/>
  <c r="AL176" i="2" s="1"/>
  <c r="AT220" i="7"/>
  <c r="AP219" i="7"/>
  <c r="AN29" i="2"/>
  <c r="AQ104" i="7"/>
  <c r="AM103" i="7"/>
  <c r="AL70" i="2" s="1"/>
  <c r="AM32" i="7"/>
  <c r="AM34" i="7"/>
  <c r="AM31" i="7"/>
  <c r="AM30" i="7" s="1"/>
  <c r="AL27" i="2" s="1"/>
  <c r="AQ33" i="7"/>
  <c r="AQ150" i="7"/>
  <c r="AM149" i="7"/>
  <c r="AL100" i="2" s="1"/>
  <c r="AM82" i="7"/>
  <c r="AL60" i="2" s="1"/>
  <c r="AL152" i="2" s="1"/>
  <c r="AQ83" i="7"/>
  <c r="AQ159" i="7"/>
  <c r="AM158" i="7"/>
  <c r="AL104" i="2" s="1"/>
  <c r="AL171" i="2" s="1"/>
  <c r="AW70" i="7"/>
  <c r="AS69" i="7"/>
  <c r="AW162" i="7"/>
  <c r="AS161" i="7"/>
  <c r="AR105" i="2" s="1"/>
  <c r="AW168" i="7"/>
  <c r="AS167" i="7"/>
  <c r="AR107" i="2" s="1"/>
  <c r="J220" i="7"/>
  <c r="J150" i="7"/>
  <c r="J25" i="7"/>
  <c r="D297" i="12" s="1"/>
  <c r="J55" i="7"/>
  <c r="J107" i="7"/>
  <c r="J80" i="7"/>
  <c r="J116" i="7"/>
  <c r="J171" i="7"/>
  <c r="J139" i="7"/>
  <c r="J189" i="7"/>
  <c r="J113" i="7"/>
  <c r="J142" i="7"/>
  <c r="J119" i="7"/>
  <c r="J133" i="7"/>
  <c r="J19" i="7"/>
  <c r="J174" i="7"/>
  <c r="J223" i="7"/>
  <c r="J183" i="7"/>
  <c r="J180" i="7"/>
  <c r="J217" i="7"/>
  <c r="J177" i="7"/>
  <c r="J101" i="7"/>
  <c r="J89" i="7"/>
  <c r="J159" i="7"/>
  <c r="J98" i="7"/>
  <c r="J162" i="7"/>
  <c r="J92" i="7"/>
  <c r="J70" i="7"/>
  <c r="J86" i="7"/>
  <c r="J145" i="7"/>
  <c r="J153" i="7"/>
  <c r="J61" i="7"/>
  <c r="J31" i="7"/>
  <c r="J168" i="7"/>
  <c r="J104" i="7"/>
  <c r="J136" i="7"/>
  <c r="J186" i="7"/>
  <c r="J64" i="7"/>
  <c r="J37" i="7"/>
  <c r="J49" i="7"/>
  <c r="J212" i="7"/>
  <c r="J130" i="7"/>
  <c r="J165" i="7"/>
  <c r="J122" i="7"/>
  <c r="J192" i="7"/>
  <c r="J83" i="7"/>
  <c r="J156" i="7"/>
  <c r="J125" i="7"/>
  <c r="J67" i="7"/>
  <c r="J110" i="7"/>
  <c r="J43" i="7"/>
  <c r="J73" i="7"/>
  <c r="J95" i="7"/>
  <c r="AQ217" i="7"/>
  <c r="AM216" i="7"/>
  <c r="AL81" i="2" s="1"/>
  <c r="AS97" i="7"/>
  <c r="AR68" i="2" s="1"/>
  <c r="AW98" i="7"/>
  <c r="AQ116" i="7"/>
  <c r="AM115" i="7"/>
  <c r="AL74" i="2" s="1"/>
  <c r="AL163" i="2" s="1"/>
  <c r="AW204" i="7"/>
  <c r="AS197" i="7"/>
  <c r="AR62" i="2" s="1"/>
  <c r="AM97" i="7"/>
  <c r="AL68" i="2" s="1"/>
  <c r="AQ98" i="7"/>
  <c r="AW220" i="7"/>
  <c r="AS219" i="7"/>
  <c r="AS158" i="7"/>
  <c r="AR104" i="2" s="1"/>
  <c r="AW159" i="7"/>
  <c r="AP52" i="7"/>
  <c r="AP50" i="7"/>
  <c r="AT51" i="7"/>
  <c r="AP49" i="7"/>
  <c r="AP48" i="7" s="1"/>
  <c r="AO30" i="2" s="1"/>
  <c r="AQ107" i="7"/>
  <c r="AM106" i="7"/>
  <c r="AL71" i="2" s="1"/>
  <c r="AL160" i="2" s="1"/>
  <c r="AT153" i="7"/>
  <c r="AP152" i="7"/>
  <c r="AO101" i="2" s="1"/>
  <c r="AO199" i="2" s="1"/>
  <c r="AQ171" i="7"/>
  <c r="AM170" i="7"/>
  <c r="AL108" i="2" s="1"/>
  <c r="AL175" i="2" s="1"/>
  <c r="AW212" i="7"/>
  <c r="AS211" i="7"/>
  <c r="AR98" i="2" s="1"/>
  <c r="AS132" i="7"/>
  <c r="AR85" i="2" s="1"/>
  <c r="AW133" i="7"/>
  <c r="AP85" i="7"/>
  <c r="AO64" i="2" s="1"/>
  <c r="AO153" i="2" s="1"/>
  <c r="AT86" i="7"/>
  <c r="AP109" i="7"/>
  <c r="AO72" i="2" s="1"/>
  <c r="AT110" i="7"/>
  <c r="AT223" i="7"/>
  <c r="AP222" i="7"/>
  <c r="AK147" i="2"/>
  <c r="AS179" i="7"/>
  <c r="AR111" i="2" s="1"/>
  <c r="AW180" i="7"/>
  <c r="AS20" i="7"/>
  <c r="AS19" i="7"/>
  <c r="AS18" i="7" s="1"/>
  <c r="AS22" i="7"/>
  <c r="AW21" i="7"/>
  <c r="AQ70" i="7"/>
  <c r="AM69" i="7"/>
  <c r="AL38" i="2" s="1"/>
  <c r="AQ162" i="7"/>
  <c r="AM161" i="7"/>
  <c r="AL105" i="2" s="1"/>
  <c r="AL172" i="2" s="1"/>
  <c r="AQ156" i="7"/>
  <c r="AM155" i="7"/>
  <c r="AL102" i="2" s="1"/>
  <c r="AL200" i="2" s="1"/>
  <c r="AM85" i="7"/>
  <c r="AL64" i="2" s="1"/>
  <c r="AL153" i="2" s="1"/>
  <c r="AQ86" i="7"/>
  <c r="AQ212" i="7"/>
  <c r="AM211" i="7"/>
  <c r="AL98" i="2" s="1"/>
  <c r="AP91" i="7"/>
  <c r="AO66" i="2" s="1"/>
  <c r="AO155" i="2" s="1"/>
  <c r="AT92" i="7"/>
  <c r="AT64" i="7"/>
  <c r="AP63" i="7"/>
  <c r="AO35" i="2" s="1"/>
  <c r="AT80" i="7"/>
  <c r="AP79" i="7"/>
  <c r="AT104" i="7"/>
  <c r="AP103" i="7"/>
  <c r="AO70" i="2" s="1"/>
  <c r="AO159" i="2" s="1"/>
  <c r="AJ32" i="2"/>
  <c r="AJ40" i="2" s="1"/>
  <c r="AT204" i="7"/>
  <c r="AP197" i="7"/>
  <c r="AO62" i="2" s="1"/>
  <c r="AO146" i="2" s="1"/>
  <c r="AN38" i="2"/>
  <c r="AS26" i="7"/>
  <c r="AS28" i="7"/>
  <c r="AS25" i="7"/>
  <c r="AS24" i="7" s="1"/>
  <c r="AQ136" i="7"/>
  <c r="AM135" i="7"/>
  <c r="AL86" i="2" s="1"/>
  <c r="AQ139" i="7"/>
  <c r="AM138" i="7"/>
  <c r="AL88" i="2" s="1"/>
  <c r="AP88" i="7"/>
  <c r="AO65" i="2" s="1"/>
  <c r="AO154" i="2" s="1"/>
  <c r="AT89" i="7"/>
  <c r="AP185" i="7"/>
  <c r="AO117" i="2" s="1"/>
  <c r="AO179" i="2" s="1"/>
  <c r="AT186" i="7"/>
  <c r="AW83" i="7"/>
  <c r="AS82" i="7"/>
  <c r="AR60" i="2" s="1"/>
  <c r="AP82" i="7"/>
  <c r="AO60" i="2" s="1"/>
  <c r="AO152" i="2" s="1"/>
  <c r="AT83" i="7"/>
  <c r="AS112" i="7"/>
  <c r="AR73" i="2" s="1"/>
  <c r="AW113" i="7"/>
  <c r="AQ73" i="7"/>
  <c r="AM72" i="7"/>
  <c r="AL49" i="2" s="1"/>
  <c r="AM26" i="7"/>
  <c r="AM25" i="7"/>
  <c r="AM24" i="7" s="1"/>
  <c r="AL26" i="2" s="1"/>
  <c r="AM28" i="7"/>
  <c r="AN30" i="2"/>
  <c r="AN34" i="2"/>
  <c r="AI23" i="2"/>
  <c r="AI40" i="2"/>
  <c r="AW139" i="7"/>
  <c r="AS138" i="7"/>
  <c r="AR88" i="2" s="1"/>
  <c r="AG52" i="2"/>
  <c r="AG140" i="2"/>
  <c r="AP132" i="7"/>
  <c r="AO85" i="2" s="1"/>
  <c r="AT133" i="7"/>
  <c r="AN18" i="10"/>
  <c r="AN25" i="10" s="1"/>
  <c r="AV10" i="7"/>
  <c r="AP144" i="7"/>
  <c r="AO90" i="2" s="1"/>
  <c r="AT145" i="7"/>
  <c r="AP161" i="7"/>
  <c r="AO105" i="2" s="1"/>
  <c r="AO172" i="2" s="1"/>
  <c r="AT162" i="7"/>
  <c r="AW73" i="7"/>
  <c r="AS72" i="7"/>
  <c r="AS118" i="7"/>
  <c r="AR75" i="2" s="1"/>
  <c r="AW119" i="7"/>
  <c r="AN26" i="2"/>
  <c r="AP106" i="7"/>
  <c r="AO71" i="2" s="1"/>
  <c r="AO160" i="2" s="1"/>
  <c r="AT107" i="7"/>
  <c r="AQ110" i="7"/>
  <c r="AM109" i="7"/>
  <c r="AL72" i="2" s="1"/>
  <c r="AL161" i="2" s="1"/>
  <c r="AM66" i="7"/>
  <c r="AQ67" i="7"/>
  <c r="AM60" i="7"/>
  <c r="AQ61" i="7"/>
  <c r="AM167" i="7"/>
  <c r="AL107" i="2" s="1"/>
  <c r="AL174" i="2" s="1"/>
  <c r="AQ168" i="7"/>
  <c r="AS106" i="7"/>
  <c r="AR71" i="2" s="1"/>
  <c r="AW107" i="7"/>
  <c r="AS124" i="7"/>
  <c r="AR77" i="2" s="1"/>
  <c r="AW125" i="7"/>
  <c r="AH41" i="2"/>
  <c r="AH43" i="2" s="1"/>
  <c r="AH51" i="2"/>
  <c r="AA115" i="10" s="1"/>
  <c r="AS94" i="7"/>
  <c r="AR67" i="2" s="1"/>
  <c r="AW95" i="7"/>
  <c r="AT136" i="7"/>
  <c r="AP135" i="7"/>
  <c r="AO86" i="2" s="1"/>
  <c r="AN37" i="2"/>
  <c r="AP19" i="7"/>
  <c r="AP18" i="7" s="1"/>
  <c r="AO25" i="2" s="1"/>
  <c r="AP20" i="7"/>
  <c r="AP22" i="7"/>
  <c r="AT21" i="7"/>
  <c r="AP56" i="7"/>
  <c r="AP58" i="7"/>
  <c r="AT57" i="7"/>
  <c r="AP55" i="7"/>
  <c r="AP54" i="7" s="1"/>
  <c r="AO31" i="2" s="1"/>
  <c r="AP138" i="7"/>
  <c r="AO88" i="2" s="1"/>
  <c r="AO170" i="2" s="1"/>
  <c r="AT139" i="7"/>
  <c r="AM112" i="7"/>
  <c r="AL73" i="2" s="1"/>
  <c r="AL162" i="2" s="1"/>
  <c r="AQ113" i="7"/>
  <c r="AS103" i="7"/>
  <c r="AR70" i="2" s="1"/>
  <c r="AW104" i="7"/>
  <c r="AS191" i="7"/>
  <c r="AR119" i="2" s="1"/>
  <c r="AW192" i="7"/>
  <c r="AN35" i="2"/>
  <c r="AN25" i="2"/>
  <c r="AM188" i="7"/>
  <c r="AL118" i="2" s="1"/>
  <c r="AL180" i="2" s="1"/>
  <c r="AQ189" i="7"/>
  <c r="AQ101" i="7"/>
  <c r="AM100" i="7"/>
  <c r="AL69" i="2" s="1"/>
  <c r="AM79" i="7"/>
  <c r="AQ80" i="7"/>
  <c r="AM176" i="7"/>
  <c r="AL110" i="2" s="1"/>
  <c r="AL177" i="2" s="1"/>
  <c r="AQ177" i="7"/>
  <c r="AP112" i="7"/>
  <c r="AO73" i="2" s="1"/>
  <c r="AO162" i="2" s="1"/>
  <c r="AT113" i="7"/>
  <c r="AP60" i="7"/>
  <c r="AO34" i="2" s="1"/>
  <c r="AT61" i="7"/>
  <c r="AS176" i="7"/>
  <c r="AR110" i="2" s="1"/>
  <c r="AW177" i="7"/>
  <c r="AP14" i="7"/>
  <c r="AP16" i="7"/>
  <c r="AT15" i="7"/>
  <c r="AP13" i="7"/>
  <c r="AP12" i="7" s="1"/>
  <c r="AQ192" i="7"/>
  <c r="AM191" i="7"/>
  <c r="AL119" i="2" s="1"/>
  <c r="AL181" i="2" s="1"/>
  <c r="AK20" i="2"/>
  <c r="AK22" i="2" s="1"/>
  <c r="AK23" i="2" s="1"/>
  <c r="AL199" i="7"/>
  <c r="AK99" i="2" s="1"/>
  <c r="AP94" i="7"/>
  <c r="AO67" i="2" s="1"/>
  <c r="AT95" i="7"/>
  <c r="AQ204" i="7"/>
  <c r="AM197" i="7"/>
  <c r="AL62" i="2" s="1"/>
  <c r="AL146" i="2" s="1"/>
  <c r="AQ130" i="7"/>
  <c r="AM129" i="7"/>
  <c r="AL84" i="2" s="1"/>
  <c r="AQ145" i="7"/>
  <c r="AM144" i="7"/>
  <c r="AL90" i="2" s="1"/>
  <c r="AQ165" i="7"/>
  <c r="AM164" i="7"/>
  <c r="AL106" i="2" s="1"/>
  <c r="AL173" i="2" s="1"/>
  <c r="AT73" i="7"/>
  <c r="AP72" i="7"/>
  <c r="AO49" i="2" s="1"/>
  <c r="AW186" i="7"/>
  <c r="AS185" i="7"/>
  <c r="AR117" i="2" s="1"/>
  <c r="AS13" i="7"/>
  <c r="AS12" i="7" s="1"/>
  <c r="AW15" i="7"/>
  <c r="AS16" i="7"/>
  <c r="AS14" i="7"/>
  <c r="AS100" i="7"/>
  <c r="AR69" i="2" s="1"/>
  <c r="AW101" i="7"/>
  <c r="AS141" i="7"/>
  <c r="AR89" i="2" s="1"/>
  <c r="AW142" i="7"/>
  <c r="AP164" i="7"/>
  <c r="AO106" i="2" s="1"/>
  <c r="AO173" i="2" s="1"/>
  <c r="AT165" i="7"/>
  <c r="AD1" i="2"/>
  <c r="AQ186" i="7"/>
  <c r="AM185" i="7"/>
  <c r="AL117" i="2" s="1"/>
  <c r="AL179" i="2" s="1"/>
  <c r="AM88" i="7"/>
  <c r="AL65" i="2" s="1"/>
  <c r="AL154" i="2" s="1"/>
  <c r="AQ89" i="7"/>
  <c r="AQ220" i="7"/>
  <c r="AM219" i="7"/>
  <c r="AM182" i="7"/>
  <c r="AL116" i="2" s="1"/>
  <c r="AQ183" i="7"/>
  <c r="AP31" i="7"/>
  <c r="AP30" i="7" s="1"/>
  <c r="AO27" i="2" s="1"/>
  <c r="AP32" i="7"/>
  <c r="AP34" i="7"/>
  <c r="AT33" i="7"/>
  <c r="AP141" i="7"/>
  <c r="AO89" i="2" s="1"/>
  <c r="AT142" i="7"/>
  <c r="AT156" i="7"/>
  <c r="AP155" i="7"/>
  <c r="AO102" i="2" s="1"/>
  <c r="AO200" i="2" s="1"/>
  <c r="AQ95" i="7"/>
  <c r="AM94" i="7"/>
  <c r="AL67" i="2" s="1"/>
  <c r="AL156" i="2" s="1"/>
  <c r="AS121" i="7"/>
  <c r="AR76" i="2" s="1"/>
  <c r="AW122" i="7"/>
  <c r="AW150" i="7"/>
  <c r="AS149" i="7"/>
  <c r="AR100" i="2" s="1"/>
  <c r="AS60" i="7"/>
  <c r="AW61" i="7"/>
  <c r="AW156" i="7"/>
  <c r="AS155" i="7"/>
  <c r="AR102" i="2" s="1"/>
  <c r="AP176" i="7"/>
  <c r="AO110" i="2" s="1"/>
  <c r="AO177" i="2" s="1"/>
  <c r="AT177" i="7"/>
  <c r="AS164" i="7"/>
  <c r="AR106" i="2" s="1"/>
  <c r="AW165" i="7"/>
  <c r="AQ119" i="7"/>
  <c r="AM118" i="7"/>
  <c r="AL75" i="2" s="1"/>
  <c r="AW223" i="7"/>
  <c r="AS222" i="7"/>
  <c r="AP26" i="7"/>
  <c r="AP25" i="7"/>
  <c r="AP24" i="7" s="1"/>
  <c r="AO26" i="2" s="1"/>
  <c r="AP28" i="7"/>
  <c r="AP66" i="7"/>
  <c r="AO37" i="2" s="1"/>
  <c r="AT67" i="7"/>
  <c r="AS188" i="7"/>
  <c r="AR118" i="2" s="1"/>
  <c r="AW189" i="7"/>
  <c r="AW183" i="7"/>
  <c r="AS182" i="7"/>
  <c r="AR116" i="2" s="1"/>
  <c r="AN49" i="2"/>
  <c r="AT150" i="7"/>
  <c r="AP149" i="7"/>
  <c r="AO100" i="2" s="1"/>
  <c r="AP69" i="7"/>
  <c r="AO38" i="2" s="1"/>
  <c r="AT70" i="7"/>
  <c r="AP97" i="7"/>
  <c r="AO68" i="2" s="1"/>
  <c r="AO157" i="2" s="1"/>
  <c r="AT98" i="7"/>
  <c r="AS135" i="7"/>
  <c r="AR86" i="2" s="1"/>
  <c r="AW136" i="7"/>
  <c r="AN27" i="2"/>
  <c r="AT192" i="7"/>
  <c r="AP191" i="7"/>
  <c r="AO119" i="2" s="1"/>
  <c r="AO181" i="2" s="1"/>
  <c r="AW64" i="7"/>
  <c r="AS63" i="7"/>
  <c r="AT217" i="7"/>
  <c r="AP216" i="7"/>
  <c r="AO81" i="2" s="1"/>
  <c r="AO167" i="2" s="1"/>
  <c r="AM55" i="7"/>
  <c r="AM54" i="7" s="1"/>
  <c r="AQ57" i="7"/>
  <c r="AM58" i="7"/>
  <c r="AM56" i="7"/>
  <c r="AM19" i="7"/>
  <c r="AM18" i="7" s="1"/>
  <c r="AL25" i="2" s="1"/>
  <c r="AM20" i="7"/>
  <c r="AM22" i="7"/>
  <c r="AQ21" i="7"/>
  <c r="AM179" i="7"/>
  <c r="AL111" i="2" s="1"/>
  <c r="AL178" i="2" s="1"/>
  <c r="AQ180" i="7"/>
  <c r="AQ122" i="7"/>
  <c r="AM121" i="7"/>
  <c r="AL76" i="2" s="1"/>
  <c r="AP43" i="7"/>
  <c r="AP42" i="7" s="1"/>
  <c r="AO29" i="2" s="1"/>
  <c r="AP46" i="7"/>
  <c r="AP44" i="7"/>
  <c r="AT45" i="7"/>
  <c r="AK146" i="2"/>
  <c r="AN28" i="2"/>
  <c r="AN20" i="2"/>
  <c r="AN22" i="2" s="1"/>
  <c r="AN23" i="2" s="1"/>
  <c r="AO199" i="7"/>
  <c r="AN99" i="2" s="1"/>
  <c r="AP182" i="7"/>
  <c r="AO116" i="2" s="1"/>
  <c r="AT183" i="7"/>
  <c r="AU17" i="2"/>
  <c r="AU18" i="2"/>
  <c r="AV15" i="2"/>
  <c r="AD6" i="2"/>
  <c r="AC8" i="2"/>
  <c r="AC4" i="2"/>
  <c r="AH44" i="2" l="1"/>
  <c r="AH46" i="2"/>
  <c r="AH47" i="2" s="1"/>
  <c r="AU227" i="7"/>
  <c r="AT130" i="2" s="1"/>
  <c r="AT182" i="2" s="1"/>
  <c r="K227" i="7"/>
  <c r="K228" i="7" s="1"/>
  <c r="AM130" i="2"/>
  <c r="AV228" i="7"/>
  <c r="AZ228" i="7" s="1"/>
  <c r="BD228" i="7" s="1"/>
  <c r="AR227" i="7"/>
  <c r="AN112" i="2"/>
  <c r="AO150" i="2"/>
  <c r="AK149" i="2"/>
  <c r="AL148" i="2"/>
  <c r="AL150" i="2"/>
  <c r="AO191" i="2"/>
  <c r="AL191" i="2"/>
  <c r="AL190" i="2"/>
  <c r="AO190" i="2"/>
  <c r="AL169" i="2"/>
  <c r="AO168" i="2"/>
  <c r="AL189" i="2"/>
  <c r="AO189" i="2"/>
  <c r="AL170" i="2"/>
  <c r="AL168" i="2"/>
  <c r="AO169" i="2"/>
  <c r="AL167" i="2"/>
  <c r="AO163" i="2"/>
  <c r="AL165" i="2"/>
  <c r="AO165" i="2"/>
  <c r="AO164" i="2"/>
  <c r="AL164" i="2"/>
  <c r="AL166" i="2"/>
  <c r="AL159" i="2"/>
  <c r="AO161" i="2"/>
  <c r="AK112" i="2"/>
  <c r="AL158" i="2"/>
  <c r="AL157" i="2"/>
  <c r="AO156" i="2"/>
  <c r="BA119" i="7"/>
  <c r="AN176" i="7"/>
  <c r="AR177" i="7"/>
  <c r="BA145" i="7"/>
  <c r="AQ55" i="7"/>
  <c r="AQ54" i="7" s="1"/>
  <c r="AP31" i="2" s="1"/>
  <c r="AQ56" i="7"/>
  <c r="AU57" i="7"/>
  <c r="AQ58" i="7"/>
  <c r="AQ94" i="7"/>
  <c r="AP67" i="2" s="1"/>
  <c r="AP156" i="2" s="1"/>
  <c r="AU95" i="7"/>
  <c r="AQ164" i="7"/>
  <c r="AP106" i="2" s="1"/>
  <c r="AP173" i="2" s="1"/>
  <c r="AU165" i="7"/>
  <c r="AQ191" i="7"/>
  <c r="AP119" i="2" s="1"/>
  <c r="AP181" i="2" s="1"/>
  <c r="AU192" i="7"/>
  <c r="AQ176" i="7"/>
  <c r="AP110" i="2" s="1"/>
  <c r="AP177" i="2" s="1"/>
  <c r="AU177" i="7"/>
  <c r="AT56" i="7"/>
  <c r="AT58" i="7"/>
  <c r="AT55" i="7"/>
  <c r="AT54" i="7" s="1"/>
  <c r="AS31" i="2" s="1"/>
  <c r="AX57" i="7"/>
  <c r="AL35" i="2"/>
  <c r="J204" i="7"/>
  <c r="AN204" i="7"/>
  <c r="AN40" i="7"/>
  <c r="AN38" i="7"/>
  <c r="AN37" i="7"/>
  <c r="AN36" i="7" s="1"/>
  <c r="AM28" i="2" s="1"/>
  <c r="AN164" i="7"/>
  <c r="AR165" i="7"/>
  <c r="AT69" i="7"/>
  <c r="AS38" i="2" s="1"/>
  <c r="AX70" i="7"/>
  <c r="AT155" i="7"/>
  <c r="AS102" i="2" s="1"/>
  <c r="AS200" i="2" s="1"/>
  <c r="AX156" i="7"/>
  <c r="AL34" i="2"/>
  <c r="AX64" i="7"/>
  <c r="AT63" i="7"/>
  <c r="AS35" i="2" s="1"/>
  <c r="AU98" i="7"/>
  <c r="AQ97" i="7"/>
  <c r="AP68" i="2" s="1"/>
  <c r="AP157" i="2" s="1"/>
  <c r="BA70" i="7"/>
  <c r="AQ63" i="7"/>
  <c r="AU64" i="7"/>
  <c r="AW44" i="7"/>
  <c r="AW46" i="7"/>
  <c r="AW43" i="7"/>
  <c r="BA45" i="7"/>
  <c r="AR107" i="7"/>
  <c r="AN106" i="7"/>
  <c r="AN115" i="7"/>
  <c r="AR116" i="7"/>
  <c r="AT167" i="7"/>
  <c r="AS107" i="2" s="1"/>
  <c r="AS174" i="2" s="1"/>
  <c r="AX168" i="7"/>
  <c r="AT109" i="7"/>
  <c r="AS72" i="2" s="1"/>
  <c r="AS161" i="2" s="1"/>
  <c r="AX110" i="7"/>
  <c r="AQ129" i="7"/>
  <c r="AP84" i="2" s="1"/>
  <c r="AU130" i="7"/>
  <c r="BA92" i="7"/>
  <c r="AN52" i="7"/>
  <c r="AR51" i="7"/>
  <c r="AN50" i="7"/>
  <c r="AN49" i="7"/>
  <c r="AN48" i="7" s="1"/>
  <c r="AM30" i="2" s="1"/>
  <c r="AN167" i="7"/>
  <c r="AR168" i="7"/>
  <c r="AX205" i="7"/>
  <c r="AT198" i="7"/>
  <c r="AS63" i="2" s="1"/>
  <c r="AS147" i="2" s="1"/>
  <c r="BA64" i="7"/>
  <c r="AT149" i="7"/>
  <c r="AS100" i="2" s="1"/>
  <c r="AX150" i="7"/>
  <c r="AT26" i="7"/>
  <c r="AT28" i="7"/>
  <c r="AT25" i="7"/>
  <c r="AT24" i="7" s="1"/>
  <c r="AS26" i="2" s="1"/>
  <c r="BA61" i="7"/>
  <c r="AT34" i="7"/>
  <c r="AX33" i="7"/>
  <c r="AT32" i="7"/>
  <c r="AT31" i="7"/>
  <c r="AT30" i="7" s="1"/>
  <c r="AS27" i="2" s="1"/>
  <c r="AW14" i="7"/>
  <c r="BA15" i="7"/>
  <c r="AW13" i="7"/>
  <c r="AW16" i="7"/>
  <c r="AU101" i="7"/>
  <c r="AQ100" i="7"/>
  <c r="AP69" i="2" s="1"/>
  <c r="AP158" i="2" s="1"/>
  <c r="AQ112" i="7"/>
  <c r="AP73" i="2" s="1"/>
  <c r="AP162" i="2" s="1"/>
  <c r="AU113" i="7"/>
  <c r="AH52" i="2"/>
  <c r="AH140" i="2"/>
  <c r="AT161" i="7"/>
  <c r="AS105" i="2" s="1"/>
  <c r="AS172" i="2" s="1"/>
  <c r="AX162" i="7"/>
  <c r="BA139" i="7"/>
  <c r="AU73" i="7"/>
  <c r="AQ72" i="7"/>
  <c r="AT88" i="7"/>
  <c r="AS65" i="2" s="1"/>
  <c r="AS154" i="2" s="1"/>
  <c r="AX89" i="7"/>
  <c r="AR25" i="2"/>
  <c r="AT85" i="7"/>
  <c r="AS64" i="2" s="1"/>
  <c r="AS153" i="2" s="1"/>
  <c r="AX86" i="7"/>
  <c r="AU107" i="7"/>
  <c r="AQ106" i="7"/>
  <c r="AP71" i="2" s="1"/>
  <c r="AP160" i="2" s="1"/>
  <c r="BA204" i="7"/>
  <c r="AR153" i="7"/>
  <c r="AN152" i="7"/>
  <c r="AR113" i="7"/>
  <c r="AN112" i="7"/>
  <c r="AN155" i="7"/>
  <c r="AR156" i="7"/>
  <c r="AR139" i="7"/>
  <c r="AN138" i="7"/>
  <c r="AR186" i="7"/>
  <c r="AN185" i="7"/>
  <c r="AT188" i="7"/>
  <c r="AS118" i="2" s="1"/>
  <c r="AS180" i="2" s="1"/>
  <c r="AX189" i="7"/>
  <c r="BA217" i="7"/>
  <c r="AQ167" i="7"/>
  <c r="AP107" i="2" s="1"/>
  <c r="AP174" i="2" s="1"/>
  <c r="AU168" i="7"/>
  <c r="AT132" i="7"/>
  <c r="AS85" i="2" s="1"/>
  <c r="AX133" i="7"/>
  <c r="BA83" i="7"/>
  <c r="AT79" i="7"/>
  <c r="AX80" i="7"/>
  <c r="AQ170" i="7"/>
  <c r="AP108" i="2" s="1"/>
  <c r="AP175" i="2" s="1"/>
  <c r="AU171" i="7"/>
  <c r="AO20" i="2"/>
  <c r="AO22" i="2" s="1"/>
  <c r="AO23" i="2" s="1"/>
  <c r="AP199" i="7"/>
  <c r="AO99" i="2" s="1"/>
  <c r="AQ79" i="7"/>
  <c r="AU80" i="7"/>
  <c r="AU70" i="7"/>
  <c r="AQ69" i="7"/>
  <c r="AP38" i="2" s="1"/>
  <c r="AQ40" i="7"/>
  <c r="AQ37" i="7"/>
  <c r="AQ36" i="7" s="1"/>
  <c r="AQ38" i="7"/>
  <c r="AT185" i="7"/>
  <c r="AS117" i="2" s="1"/>
  <c r="AS179" i="2" s="1"/>
  <c r="AX186" i="7"/>
  <c r="AQ179" i="7"/>
  <c r="AP111" i="2" s="1"/>
  <c r="AP178" i="2" s="1"/>
  <c r="AU180" i="7"/>
  <c r="AR35" i="2"/>
  <c r="BA156" i="7"/>
  <c r="AQ103" i="7"/>
  <c r="AP70" i="2" s="1"/>
  <c r="AP159" i="2" s="1"/>
  <c r="AU104" i="7"/>
  <c r="AN182" i="7"/>
  <c r="AR183" i="7"/>
  <c r="AR180" i="7"/>
  <c r="AN179" i="7"/>
  <c r="AT121" i="7"/>
  <c r="AS76" i="2" s="1"/>
  <c r="AS165" i="2" s="1"/>
  <c r="AX122" i="7"/>
  <c r="AI51" i="2"/>
  <c r="AB115" i="10" s="1"/>
  <c r="AI41" i="2"/>
  <c r="AI43" i="2" s="1"/>
  <c r="BA113" i="7"/>
  <c r="AX204" i="7"/>
  <c r="AT197" i="7"/>
  <c r="AS62" i="2" s="1"/>
  <c r="AU212" i="7"/>
  <c r="AQ211" i="7"/>
  <c r="AP98" i="2" s="1"/>
  <c r="AQ158" i="7"/>
  <c r="AP104" i="2" s="1"/>
  <c r="AP171" i="2" s="1"/>
  <c r="AU159" i="7"/>
  <c r="BA205" i="7"/>
  <c r="BA174" i="7"/>
  <c r="AN22" i="7"/>
  <c r="AR21" i="7"/>
  <c r="AN20" i="7"/>
  <c r="AN19" i="7"/>
  <c r="AN18" i="7" s="1"/>
  <c r="AR122" i="7"/>
  <c r="AN121" i="7"/>
  <c r="AR189" i="7"/>
  <c r="AN188" i="7"/>
  <c r="AR145" i="7"/>
  <c r="AN144" i="7"/>
  <c r="AR92" i="7"/>
  <c r="AN91" i="7"/>
  <c r="AT115" i="7"/>
  <c r="AS74" i="2" s="1"/>
  <c r="AS163" i="2" s="1"/>
  <c r="AX116" i="7"/>
  <c r="AU153" i="7"/>
  <c r="AQ152" i="7"/>
  <c r="AP101" i="2" s="1"/>
  <c r="AP199" i="2" s="1"/>
  <c r="BA33" i="7"/>
  <c r="AW32" i="7"/>
  <c r="AW31" i="7"/>
  <c r="AW34" i="7"/>
  <c r="AT124" i="7"/>
  <c r="AS77" i="2" s="1"/>
  <c r="AX125" i="7"/>
  <c r="AW28" i="7"/>
  <c r="AW26" i="7"/>
  <c r="AW25" i="7"/>
  <c r="AT66" i="7"/>
  <c r="AS37" i="2" s="1"/>
  <c r="AX67" i="7"/>
  <c r="AQ161" i="7"/>
  <c r="AP105" i="2" s="1"/>
  <c r="AP172" i="2" s="1"/>
  <c r="AU162" i="7"/>
  <c r="AT176" i="7"/>
  <c r="AS110" i="2" s="1"/>
  <c r="AS177" i="2" s="1"/>
  <c r="AX177" i="7"/>
  <c r="AR38" i="2"/>
  <c r="AQ144" i="7"/>
  <c r="AP90" i="2" s="1"/>
  <c r="AU145" i="7"/>
  <c r="AX217" i="7"/>
  <c r="AT216" i="7"/>
  <c r="AS81" i="2" s="1"/>
  <c r="AX15" i="7"/>
  <c r="AT16" i="7"/>
  <c r="AT13" i="7"/>
  <c r="AT12" i="7" s="1"/>
  <c r="AT14" i="7"/>
  <c r="BA104" i="7"/>
  <c r="AQ66" i="7"/>
  <c r="AP37" i="2" s="1"/>
  <c r="AU67" i="7"/>
  <c r="AQ28" i="7"/>
  <c r="AQ25" i="7"/>
  <c r="AQ24" i="7" s="1"/>
  <c r="AP26" i="2" s="1"/>
  <c r="AQ26" i="7"/>
  <c r="AW22" i="7"/>
  <c r="BA21" i="7"/>
  <c r="AW19" i="7"/>
  <c r="AW20" i="7"/>
  <c r="J205" i="7"/>
  <c r="AN205" i="7"/>
  <c r="AQ185" i="7"/>
  <c r="AP117" i="2" s="1"/>
  <c r="AP179" i="2" s="1"/>
  <c r="AU186" i="7"/>
  <c r="AN46" i="7"/>
  <c r="AN44" i="7"/>
  <c r="AR45" i="7"/>
  <c r="AN43" i="7"/>
  <c r="AN42" i="7" s="1"/>
  <c r="AQ19" i="7"/>
  <c r="AQ18" i="7" s="1"/>
  <c r="AP25" i="2" s="1"/>
  <c r="AQ20" i="7"/>
  <c r="AQ22" i="7"/>
  <c r="AU21" i="7"/>
  <c r="AR20" i="2"/>
  <c r="AR22" i="2" s="1"/>
  <c r="AR23" i="2" s="1"/>
  <c r="AS199" i="7"/>
  <c r="AR99" i="2" s="1"/>
  <c r="AU204" i="7"/>
  <c r="AQ197" i="7"/>
  <c r="AP62" i="2" s="1"/>
  <c r="BA177" i="7"/>
  <c r="AQ188" i="7"/>
  <c r="AP118" i="2" s="1"/>
  <c r="AP180" i="2" s="1"/>
  <c r="AU189" i="7"/>
  <c r="AQ109" i="7"/>
  <c r="AP72" i="2" s="1"/>
  <c r="AP161" i="2" s="1"/>
  <c r="AU110" i="7"/>
  <c r="AO18" i="10"/>
  <c r="AO25" i="10" s="1"/>
  <c r="AW10" i="7"/>
  <c r="AT191" i="7"/>
  <c r="AS119" i="2" s="1"/>
  <c r="AS181" i="2" s="1"/>
  <c r="AX192" i="7"/>
  <c r="BA223" i="7"/>
  <c r="AT94" i="7"/>
  <c r="AS67" i="2" s="1"/>
  <c r="AS156" i="2" s="1"/>
  <c r="AX95" i="7"/>
  <c r="BA125" i="7"/>
  <c r="AX107" i="7"/>
  <c r="AT106" i="7"/>
  <c r="AS71" i="2" s="1"/>
  <c r="AS160" i="2" s="1"/>
  <c r="AT144" i="7"/>
  <c r="AS90" i="2" s="1"/>
  <c r="AX145" i="7"/>
  <c r="AJ41" i="2"/>
  <c r="AJ43" i="2" s="1"/>
  <c r="AJ51" i="2"/>
  <c r="AC115" i="10" s="1"/>
  <c r="AQ85" i="7"/>
  <c r="AP64" i="2" s="1"/>
  <c r="AP153" i="2" s="1"/>
  <c r="AU86" i="7"/>
  <c r="BA133" i="7"/>
  <c r="AT52" i="7"/>
  <c r="AX51" i="7"/>
  <c r="AT50" i="7"/>
  <c r="AT49" i="7"/>
  <c r="AT48" i="7" s="1"/>
  <c r="AS30" i="2" s="1"/>
  <c r="AK40" i="2"/>
  <c r="AU83" i="7"/>
  <c r="AQ82" i="7"/>
  <c r="AP60" i="2" s="1"/>
  <c r="AP152" i="2" s="1"/>
  <c r="AT40" i="7"/>
  <c r="AT37" i="7"/>
  <c r="AT36" i="7" s="1"/>
  <c r="AS28" i="2" s="1"/>
  <c r="AT38" i="7"/>
  <c r="AN34" i="7"/>
  <c r="AN32" i="7"/>
  <c r="AR33" i="7"/>
  <c r="AN31" i="7"/>
  <c r="AN30" i="7" s="1"/>
  <c r="AM27" i="2" s="1"/>
  <c r="AR212" i="7"/>
  <c r="AN211" i="7"/>
  <c r="AN88" i="7"/>
  <c r="AR89" i="7"/>
  <c r="AR174" i="7"/>
  <c r="AN173" i="7"/>
  <c r="AN28" i="7"/>
  <c r="AN25" i="7"/>
  <c r="AN24" i="7" s="1"/>
  <c r="AM26" i="2" s="1"/>
  <c r="AN26" i="7"/>
  <c r="AU223" i="7"/>
  <c r="AQ222" i="7"/>
  <c r="AR27" i="2"/>
  <c r="BA110" i="7"/>
  <c r="BA165" i="7"/>
  <c r="AU220" i="7"/>
  <c r="AQ219" i="7"/>
  <c r="AQ141" i="7"/>
  <c r="AP89" i="2" s="1"/>
  <c r="AU142" i="7"/>
  <c r="AR61" i="7"/>
  <c r="AN60" i="7"/>
  <c r="AM34" i="2" s="1"/>
  <c r="BA80" i="7"/>
  <c r="AU61" i="7"/>
  <c r="AQ60" i="7"/>
  <c r="AP34" i="2" s="1"/>
  <c r="AU217" i="7"/>
  <c r="AQ216" i="7"/>
  <c r="AP81" i="2" s="1"/>
  <c r="AN72" i="7"/>
  <c r="AR73" i="7"/>
  <c r="AT170" i="7"/>
  <c r="AS108" i="2" s="1"/>
  <c r="AS175" i="2" s="1"/>
  <c r="AX171" i="7"/>
  <c r="AQ121" i="7"/>
  <c r="AP76" i="2" s="1"/>
  <c r="AU122" i="7"/>
  <c r="AX142" i="7"/>
  <c r="AT141" i="7"/>
  <c r="AS89" i="2" s="1"/>
  <c r="AT179" i="7"/>
  <c r="AS111" i="2" s="1"/>
  <c r="AS178" i="2" s="1"/>
  <c r="AX180" i="7"/>
  <c r="AR150" i="7"/>
  <c r="AN149" i="7"/>
  <c r="AN94" i="7"/>
  <c r="AR95" i="7"/>
  <c r="AN69" i="7"/>
  <c r="AR70" i="7"/>
  <c r="AR217" i="7"/>
  <c r="AN216" i="7"/>
  <c r="AT173" i="7"/>
  <c r="AS109" i="2" s="1"/>
  <c r="AS176" i="2" s="1"/>
  <c r="AX174" i="7"/>
  <c r="AR34" i="2"/>
  <c r="AO32" i="2"/>
  <c r="BA150" i="7"/>
  <c r="AE1" i="2"/>
  <c r="BA186" i="7"/>
  <c r="AT60" i="7"/>
  <c r="AS34" i="2" s="1"/>
  <c r="AX61" i="7"/>
  <c r="AT82" i="7"/>
  <c r="AS60" i="2" s="1"/>
  <c r="AX83" i="7"/>
  <c r="AQ138" i="7"/>
  <c r="AP88" i="2" s="1"/>
  <c r="AU139" i="7"/>
  <c r="BA180" i="7"/>
  <c r="AX220" i="7"/>
  <c r="AT219" i="7"/>
  <c r="BA153" i="7"/>
  <c r="BA171" i="7"/>
  <c r="AR162" i="7"/>
  <c r="AN161" i="7"/>
  <c r="AR136" i="7"/>
  <c r="AN135" i="7"/>
  <c r="AR80" i="7"/>
  <c r="AN79" i="7"/>
  <c r="K79" i="7" s="1"/>
  <c r="K80" i="7" s="1"/>
  <c r="AR192" i="7"/>
  <c r="AN191" i="7"/>
  <c r="AR220" i="7"/>
  <c r="AN219" i="7"/>
  <c r="K219" i="7" s="1"/>
  <c r="K220" i="7" s="1"/>
  <c r="BA203" i="7"/>
  <c r="AQ132" i="7"/>
  <c r="AP85" i="2" s="1"/>
  <c r="AU133" i="7"/>
  <c r="AW37" i="7"/>
  <c r="AW38" i="7"/>
  <c r="AW40" i="7"/>
  <c r="BA67" i="7"/>
  <c r="AX136" i="7"/>
  <c r="AT135" i="7"/>
  <c r="AS86" i="2" s="1"/>
  <c r="BA162" i="7"/>
  <c r="AQ31" i="7"/>
  <c r="AQ30" i="7" s="1"/>
  <c r="AU33" i="7"/>
  <c r="AQ32" i="7"/>
  <c r="AQ34" i="7"/>
  <c r="AW50" i="7"/>
  <c r="AW49" i="7"/>
  <c r="AW52" i="7"/>
  <c r="BA51" i="7"/>
  <c r="AN103" i="7"/>
  <c r="AR104" i="7"/>
  <c r="AT97" i="7"/>
  <c r="AS68" i="2" s="1"/>
  <c r="AS157" i="2" s="1"/>
  <c r="AX98" i="7"/>
  <c r="AR29" i="2"/>
  <c r="AT118" i="7"/>
  <c r="AS75" i="2" s="1"/>
  <c r="AS164" i="2" s="1"/>
  <c r="AX119" i="7"/>
  <c r="AR64" i="7"/>
  <c r="AN63" i="7"/>
  <c r="AM35" i="2" s="1"/>
  <c r="AR125" i="7"/>
  <c r="AN124" i="7"/>
  <c r="AR142" i="7"/>
  <c r="AN141" i="7"/>
  <c r="AR30" i="2"/>
  <c r="AR110" i="7"/>
  <c r="AN109" i="7"/>
  <c r="AU205" i="7"/>
  <c r="AQ198" i="7"/>
  <c r="AP63" i="2" s="1"/>
  <c r="AP147" i="2" s="1"/>
  <c r="AR101" i="7"/>
  <c r="AN100" i="7"/>
  <c r="AX21" i="7"/>
  <c r="AT20" i="7"/>
  <c r="AT19" i="7"/>
  <c r="AT18" i="7" s="1"/>
  <c r="AS25" i="2" s="1"/>
  <c r="AT22" i="7"/>
  <c r="AT91" i="7"/>
  <c r="AS66" i="2" s="1"/>
  <c r="AS155" i="2" s="1"/>
  <c r="AX92" i="7"/>
  <c r="AX130" i="7"/>
  <c r="AT129" i="7"/>
  <c r="AS84" i="2" s="1"/>
  <c r="AS189" i="2" s="1"/>
  <c r="AN32" i="2"/>
  <c r="AN40" i="2" s="1"/>
  <c r="AT138" i="7"/>
  <c r="AS88" i="2" s="1"/>
  <c r="AS170" i="2" s="1"/>
  <c r="AX139" i="7"/>
  <c r="BA107" i="7"/>
  <c r="AQ115" i="7"/>
  <c r="AP74" i="2" s="1"/>
  <c r="AP163" i="2" s="1"/>
  <c r="AU116" i="7"/>
  <c r="BA168" i="7"/>
  <c r="AX101" i="7"/>
  <c r="AT100" i="7"/>
  <c r="AS69" i="2" s="1"/>
  <c r="AS158" i="2" s="1"/>
  <c r="AQ91" i="7"/>
  <c r="AP66" i="2" s="1"/>
  <c r="AP155" i="2" s="1"/>
  <c r="AU92" i="7"/>
  <c r="AX212" i="7"/>
  <c r="AT211" i="7"/>
  <c r="AS98" i="2" s="1"/>
  <c r="AR67" i="7"/>
  <c r="AN66" i="7"/>
  <c r="AM37" i="2" s="1"/>
  <c r="AR171" i="7"/>
  <c r="AN170" i="7"/>
  <c r="AR159" i="7"/>
  <c r="AN158" i="7"/>
  <c r="AR119" i="7"/>
  <c r="AN118" i="7"/>
  <c r="AX159" i="7"/>
  <c r="AT158" i="7"/>
  <c r="AS104" i="2" s="1"/>
  <c r="AS171" i="2" s="1"/>
  <c r="BA86" i="7"/>
  <c r="AR28" i="2"/>
  <c r="AR37" i="2"/>
  <c r="BA142" i="7"/>
  <c r="AN82" i="7"/>
  <c r="AR83" i="7"/>
  <c r="AR98" i="7"/>
  <c r="AN97" i="7"/>
  <c r="AU203" i="7"/>
  <c r="AQ196" i="7"/>
  <c r="AP61" i="2" s="1"/>
  <c r="AR26" i="2"/>
  <c r="AR31" i="2"/>
  <c r="AL31" i="2"/>
  <c r="AQ88" i="7"/>
  <c r="AP65" i="2" s="1"/>
  <c r="AP154" i="2" s="1"/>
  <c r="AU89" i="7"/>
  <c r="BA101" i="7"/>
  <c r="BA192" i="7"/>
  <c r="BA220" i="7"/>
  <c r="AR57" i="7"/>
  <c r="AN58" i="7"/>
  <c r="AN56" i="7"/>
  <c r="AN55" i="7"/>
  <c r="AN54" i="7" s="1"/>
  <c r="AM31" i="2" s="1"/>
  <c r="BA95" i="7"/>
  <c r="AR49" i="2"/>
  <c r="AX223" i="7"/>
  <c r="AT222" i="7"/>
  <c r="AT152" i="7"/>
  <c r="AS101" i="2" s="1"/>
  <c r="AS199" i="2" s="1"/>
  <c r="AX153" i="7"/>
  <c r="AW58" i="7"/>
  <c r="AW55" i="7"/>
  <c r="BA57" i="7"/>
  <c r="AW56" i="7"/>
  <c r="J203" i="7"/>
  <c r="AN203" i="7"/>
  <c r="AT182" i="7"/>
  <c r="AS116" i="2" s="1"/>
  <c r="AX183" i="7"/>
  <c r="BA73" i="7"/>
  <c r="AU51" i="7"/>
  <c r="AQ50" i="7"/>
  <c r="AQ49" i="7"/>
  <c r="AQ48" i="7" s="1"/>
  <c r="AP30" i="2" s="1"/>
  <c r="AQ52" i="7"/>
  <c r="AL37" i="2"/>
  <c r="AL30" i="2"/>
  <c r="BA130" i="7"/>
  <c r="AX203" i="7"/>
  <c r="AT196" i="7"/>
  <c r="AS61" i="2" s="1"/>
  <c r="BA183" i="7"/>
  <c r="AQ118" i="7"/>
  <c r="AP75" i="2" s="1"/>
  <c r="AP164" i="2" s="1"/>
  <c r="AU119" i="7"/>
  <c r="BA122" i="7"/>
  <c r="AQ182" i="7"/>
  <c r="AP116" i="2" s="1"/>
  <c r="AU183" i="7"/>
  <c r="AX165" i="7"/>
  <c r="AT164" i="7"/>
  <c r="AS106" i="2" s="1"/>
  <c r="AS173" i="2" s="1"/>
  <c r="AT43" i="7"/>
  <c r="AT42" i="7" s="1"/>
  <c r="AS29" i="2" s="1"/>
  <c r="AT46" i="7"/>
  <c r="AT44" i="7"/>
  <c r="AX45" i="7"/>
  <c r="BA136" i="7"/>
  <c r="BA189" i="7"/>
  <c r="AO145" i="2"/>
  <c r="AX73" i="7"/>
  <c r="AT72" i="7"/>
  <c r="AS49" i="2" s="1"/>
  <c r="AT112" i="7"/>
  <c r="AS73" i="2" s="1"/>
  <c r="AS162" i="2" s="1"/>
  <c r="AX113" i="7"/>
  <c r="AU136" i="7"/>
  <c r="AQ135" i="7"/>
  <c r="AP86" i="2" s="1"/>
  <c r="AT103" i="7"/>
  <c r="AS70" i="2" s="1"/>
  <c r="AS159" i="2" s="1"/>
  <c r="AX104" i="7"/>
  <c r="AU156" i="7"/>
  <c r="AQ155" i="7"/>
  <c r="AP102" i="2" s="1"/>
  <c r="AP200" i="2" s="1"/>
  <c r="BA212" i="7"/>
  <c r="BA159" i="7"/>
  <c r="BA98" i="7"/>
  <c r="AQ149" i="7"/>
  <c r="AP100" i="2" s="1"/>
  <c r="AU150" i="7"/>
  <c r="AQ173" i="7"/>
  <c r="AP109" i="2" s="1"/>
  <c r="AP176" i="2" s="1"/>
  <c r="AU174" i="7"/>
  <c r="AU45" i="7"/>
  <c r="AQ46" i="7"/>
  <c r="AQ44" i="7"/>
  <c r="AQ43" i="7"/>
  <c r="AQ42" i="7" s="1"/>
  <c r="AP29" i="2" s="1"/>
  <c r="AO148" i="2"/>
  <c r="AR86" i="7"/>
  <c r="AN85" i="7"/>
  <c r="AN129" i="7"/>
  <c r="AR130" i="7"/>
  <c r="AR133" i="7"/>
  <c r="AN132" i="7"/>
  <c r="AR223" i="7"/>
  <c r="AN222" i="7"/>
  <c r="K222" i="7" s="1"/>
  <c r="K223" i="7" s="1"/>
  <c r="AU125" i="7"/>
  <c r="AQ124" i="7"/>
  <c r="AP77" i="2" s="1"/>
  <c r="BA89" i="7"/>
  <c r="BA116" i="7"/>
  <c r="AV18" i="2"/>
  <c r="AV17" i="2"/>
  <c r="AW15" i="2"/>
  <c r="AE6" i="2"/>
  <c r="AD4" i="2"/>
  <c r="AD8" i="2"/>
  <c r="AI44" i="2" l="1"/>
  <c r="AI46" i="2"/>
  <c r="AI47" i="2" s="1"/>
  <c r="AJ44" i="2"/>
  <c r="L227" i="7"/>
  <c r="AQ130" i="2"/>
  <c r="AV227" i="7"/>
  <c r="J130" i="2"/>
  <c r="AM182" i="2"/>
  <c r="AN182" i="2"/>
  <c r="AW198" i="7"/>
  <c r="AV63" i="2" s="1"/>
  <c r="AW227" i="7"/>
  <c r="AV130" i="2" s="1"/>
  <c r="AP148" i="2"/>
  <c r="AP150" i="2"/>
  <c r="AR112" i="2"/>
  <c r="AS150" i="2"/>
  <c r="AO149" i="2"/>
  <c r="AS191" i="2"/>
  <c r="AS190" i="2"/>
  <c r="AP191" i="2"/>
  <c r="AP190" i="2"/>
  <c r="AP168" i="2"/>
  <c r="AP169" i="2"/>
  <c r="AS169" i="2"/>
  <c r="AP189" i="2"/>
  <c r="AP170" i="2"/>
  <c r="AS168" i="2"/>
  <c r="AP167" i="2"/>
  <c r="AW161" i="7"/>
  <c r="AV105" i="2" s="1"/>
  <c r="AW152" i="7"/>
  <c r="AV101" i="2" s="1"/>
  <c r="AW196" i="7"/>
  <c r="AV61" i="2" s="1"/>
  <c r="AS167" i="2"/>
  <c r="AW115" i="7"/>
  <c r="AV74" i="2" s="1"/>
  <c r="AW97" i="7"/>
  <c r="AV68" i="2" s="1"/>
  <c r="AW167" i="7"/>
  <c r="AV107" i="2" s="1"/>
  <c r="AW158" i="7"/>
  <c r="AV104" i="2" s="1"/>
  <c r="AW88" i="7"/>
  <c r="AV65" i="2" s="1"/>
  <c r="AW191" i="7"/>
  <c r="AV119" i="2" s="1"/>
  <c r="AW176" i="7"/>
  <c r="AV110" i="2" s="1"/>
  <c r="AW182" i="7"/>
  <c r="AV116" i="2" s="1"/>
  <c r="AO40" i="2"/>
  <c r="AS32" i="2"/>
  <c r="AW82" i="7"/>
  <c r="AV60" i="2" s="1"/>
  <c r="AW100" i="7"/>
  <c r="AV69" i="2" s="1"/>
  <c r="AW222" i="7"/>
  <c r="AW94" i="7"/>
  <c r="AV67" i="2" s="1"/>
  <c r="AW141" i="7"/>
  <c r="AV89" i="2" s="1"/>
  <c r="AW149" i="7"/>
  <c r="AV100" i="2" s="1"/>
  <c r="AW211" i="7"/>
  <c r="AV98" i="2" s="1"/>
  <c r="AW129" i="7"/>
  <c r="AV84" i="2" s="1"/>
  <c r="AW66" i="7"/>
  <c r="AV37" i="2" s="1"/>
  <c r="AW91" i="7"/>
  <c r="AV66" i="2" s="1"/>
  <c r="AW12" i="7"/>
  <c r="AV20" i="2" s="1"/>
  <c r="AV22" i="2" s="1"/>
  <c r="AV23" i="2" s="1"/>
  <c r="AW48" i="7"/>
  <c r="AV30" i="2" s="1"/>
  <c r="AW109" i="7"/>
  <c r="AV72" i="2" s="1"/>
  <c r="K36" i="7"/>
  <c r="K37" i="7" s="1"/>
  <c r="AS166" i="2"/>
  <c r="AW85" i="7"/>
  <c r="AV64" i="2" s="1"/>
  <c r="AW188" i="7"/>
  <c r="AV118" i="2" s="1"/>
  <c r="AW106" i="7"/>
  <c r="AV71" i="2" s="1"/>
  <c r="AW121" i="7"/>
  <c r="AV76" i="2" s="1"/>
  <c r="AW36" i="7"/>
  <c r="AV28" i="2" s="1"/>
  <c r="AW124" i="7"/>
  <c r="AV77" i="2" s="1"/>
  <c r="AP165" i="2"/>
  <c r="AW54" i="7"/>
  <c r="AV31" i="2" s="1"/>
  <c r="AW135" i="7"/>
  <c r="AV86" i="2" s="1"/>
  <c r="AW219" i="7"/>
  <c r="AW173" i="7"/>
  <c r="AV109" i="2" s="1"/>
  <c r="AW69" i="7"/>
  <c r="AV38" i="2" s="1"/>
  <c r="AP166" i="2"/>
  <c r="K30" i="7"/>
  <c r="K31" i="7" s="1"/>
  <c r="K66" i="7"/>
  <c r="K67" i="7" s="1"/>
  <c r="AW132" i="7"/>
  <c r="AV85" i="2" s="1"/>
  <c r="AW197" i="7"/>
  <c r="AV62" i="2" s="1"/>
  <c r="AW138" i="7"/>
  <c r="AV88" i="2" s="1"/>
  <c r="K54" i="7"/>
  <c r="K55" i="7" s="1"/>
  <c r="AL32" i="2"/>
  <c r="AW164" i="7"/>
  <c r="AV106" i="2" s="1"/>
  <c r="AO112" i="2"/>
  <c r="AW72" i="7"/>
  <c r="AV49" i="2" s="1"/>
  <c r="AW79" i="7"/>
  <c r="AW24" i="7"/>
  <c r="AV26" i="2" s="1"/>
  <c r="AW112" i="7"/>
  <c r="AV73" i="2" s="1"/>
  <c r="AU109" i="7"/>
  <c r="AT72" i="2" s="1"/>
  <c r="AY110" i="7"/>
  <c r="K121" i="7"/>
  <c r="K122" i="7" s="1"/>
  <c r="AM76" i="2"/>
  <c r="AM107" i="2"/>
  <c r="K167" i="7"/>
  <c r="K168" i="7" s="1"/>
  <c r="AY95" i="7"/>
  <c r="AU94" i="7"/>
  <c r="AT67" i="2" s="1"/>
  <c r="AT156" i="2" s="1"/>
  <c r="AY119" i="7"/>
  <c r="AU118" i="7"/>
  <c r="AT75" i="2" s="1"/>
  <c r="AT164" i="2" s="1"/>
  <c r="AR82" i="7"/>
  <c r="AV83" i="7"/>
  <c r="AV142" i="7"/>
  <c r="AR141" i="7"/>
  <c r="AR219" i="7"/>
  <c r="L219" i="7" s="1"/>
  <c r="AV220" i="7"/>
  <c r="BB189" i="7"/>
  <c r="AX43" i="7"/>
  <c r="AX44" i="7"/>
  <c r="BB45" i="7"/>
  <c r="AX46" i="7"/>
  <c r="K82" i="7"/>
  <c r="K83" i="7" s="1"/>
  <c r="AM60" i="2"/>
  <c r="BB101" i="7"/>
  <c r="BB139" i="7"/>
  <c r="K124" i="7"/>
  <c r="K125" i="7" s="1"/>
  <c r="AM77" i="2"/>
  <c r="BA52" i="7"/>
  <c r="BA49" i="7"/>
  <c r="BA50" i="7"/>
  <c r="K191" i="7"/>
  <c r="K192" i="7" s="1"/>
  <c r="AM119" i="2"/>
  <c r="K94" i="7"/>
  <c r="K95" i="7" s="1"/>
  <c r="AM67" i="2"/>
  <c r="AM29" i="2"/>
  <c r="K42" i="7"/>
  <c r="K43" i="7" s="1"/>
  <c r="BB168" i="7"/>
  <c r="K24" i="7"/>
  <c r="K25" i="7" s="1"/>
  <c r="E297" i="12" s="1"/>
  <c r="AR44" i="7"/>
  <c r="AR43" i="7"/>
  <c r="AR42" i="7" s="1"/>
  <c r="AR46" i="7"/>
  <c r="AV45" i="7"/>
  <c r="AV159" i="7"/>
  <c r="AR158" i="7"/>
  <c r="AN41" i="2"/>
  <c r="AN43" i="2" s="1"/>
  <c r="AN51" i="2"/>
  <c r="AG115" i="10" s="1"/>
  <c r="AM69" i="2"/>
  <c r="K100" i="7"/>
  <c r="K101" i="7" s="1"/>
  <c r="AV150" i="7"/>
  <c r="AR149" i="7"/>
  <c r="AP28" i="2"/>
  <c r="AV186" i="7"/>
  <c r="AR185" i="7"/>
  <c r="AR37" i="7"/>
  <c r="AR36" i="7" s="1"/>
  <c r="AQ28" i="2" s="1"/>
  <c r="AR38" i="7"/>
  <c r="AR40" i="7"/>
  <c r="AV101" i="7"/>
  <c r="AR100" i="7"/>
  <c r="AU26" i="7"/>
  <c r="AU28" i="7"/>
  <c r="AU25" i="7"/>
  <c r="AU24" i="7" s="1"/>
  <c r="AT26" i="2" s="1"/>
  <c r="BA26" i="7"/>
  <c r="BA28" i="7"/>
  <c r="BA25" i="7"/>
  <c r="BA13" i="7"/>
  <c r="BA16" i="7"/>
  <c r="BA14" i="7"/>
  <c r="BB150" i="7"/>
  <c r="K115" i="7"/>
  <c r="K116" i="7" s="1"/>
  <c r="AM74" i="2"/>
  <c r="AY98" i="7"/>
  <c r="AU97" i="7"/>
  <c r="AT68" i="2" s="1"/>
  <c r="AT157" i="2" s="1"/>
  <c r="AU50" i="7"/>
  <c r="AY51" i="7"/>
  <c r="AU52" i="7"/>
  <c r="AU49" i="7"/>
  <c r="AU48" i="7" s="1"/>
  <c r="AR170" i="7"/>
  <c r="AV171" i="7"/>
  <c r="BB130" i="7"/>
  <c r="BB119" i="7"/>
  <c r="K135" i="7"/>
  <c r="K136" i="7" s="1"/>
  <c r="AM86" i="2"/>
  <c r="AW179" i="7"/>
  <c r="AV111" i="2" s="1"/>
  <c r="AW185" i="7"/>
  <c r="AV117" i="2" s="1"/>
  <c r="AY61" i="7"/>
  <c r="AU60" i="7"/>
  <c r="AV89" i="7"/>
  <c r="AR88" i="7"/>
  <c r="AJ140" i="2"/>
  <c r="AJ52" i="2"/>
  <c r="AY186" i="7"/>
  <c r="AU185" i="7"/>
  <c r="AT117" i="2" s="1"/>
  <c r="AT179" i="2" s="1"/>
  <c r="AY67" i="7"/>
  <c r="AU66" i="7"/>
  <c r="AT37" i="2" s="1"/>
  <c r="AM66" i="2"/>
  <c r="K91" i="7"/>
  <c r="K92" i="7" s="1"/>
  <c r="AW155" i="7"/>
  <c r="AV102" i="2" s="1"/>
  <c r="AR138" i="7"/>
  <c r="AV139" i="7"/>
  <c r="AY107" i="7"/>
  <c r="AU106" i="7"/>
  <c r="AT71" i="2" s="1"/>
  <c r="AT160" i="2" s="1"/>
  <c r="BB162" i="7"/>
  <c r="AM71" i="2"/>
  <c r="K106" i="7"/>
  <c r="K107" i="7" s="1"/>
  <c r="AU176" i="7"/>
  <c r="AT110" i="2" s="1"/>
  <c r="AT177" i="2" s="1"/>
  <c r="AY177" i="7"/>
  <c r="AW144" i="7"/>
  <c r="AV90" i="2" s="1"/>
  <c r="AM38" i="2"/>
  <c r="K69" i="7"/>
  <c r="K70" i="7" s="1"/>
  <c r="BA22" i="7"/>
  <c r="BA20" i="7"/>
  <c r="BA19" i="7"/>
  <c r="BB70" i="7"/>
  <c r="AU100" i="7"/>
  <c r="AT69" i="2" s="1"/>
  <c r="AY101" i="7"/>
  <c r="AV165" i="7"/>
  <c r="AR164" i="7"/>
  <c r="BB95" i="7"/>
  <c r="BB217" i="7"/>
  <c r="K173" i="7"/>
  <c r="K174" i="7" s="1"/>
  <c r="AM109" i="2"/>
  <c r="AX37" i="7"/>
  <c r="AX40" i="7"/>
  <c r="AX38" i="7"/>
  <c r="AY86" i="7"/>
  <c r="AU85" i="7"/>
  <c r="AT64" i="2" s="1"/>
  <c r="BB204" i="7"/>
  <c r="AR79" i="7"/>
  <c r="L79" i="7" s="1"/>
  <c r="AV80" i="7"/>
  <c r="AY156" i="7"/>
  <c r="AU155" i="7"/>
  <c r="AT102" i="2" s="1"/>
  <c r="AT200" i="2" s="1"/>
  <c r="K88" i="7"/>
  <c r="K89" i="7" s="1"/>
  <c r="AM65" i="2"/>
  <c r="AU82" i="7"/>
  <c r="AT60" i="2" s="1"/>
  <c r="AT152" i="2" s="1"/>
  <c r="AY83" i="7"/>
  <c r="AY204" i="7"/>
  <c r="AU197" i="7"/>
  <c r="AT62" i="2" s="1"/>
  <c r="AR91" i="7"/>
  <c r="AV92" i="7"/>
  <c r="AY70" i="7"/>
  <c r="AU69" i="7"/>
  <c r="AT38" i="2" s="1"/>
  <c r="BB133" i="7"/>
  <c r="AR155" i="7"/>
  <c r="AV156" i="7"/>
  <c r="BB86" i="7"/>
  <c r="AW63" i="7"/>
  <c r="AS146" i="2"/>
  <c r="AR106" i="7"/>
  <c r="AV107" i="7"/>
  <c r="BB64" i="7"/>
  <c r="AV98" i="7"/>
  <c r="AR97" i="7"/>
  <c r="BB89" i="7"/>
  <c r="AV86" i="7"/>
  <c r="AR85" i="7"/>
  <c r="AM49" i="2"/>
  <c r="K72" i="7"/>
  <c r="K73" i="7" s="1"/>
  <c r="AX56" i="7"/>
  <c r="BB57" i="7"/>
  <c r="AX58" i="7"/>
  <c r="AX55" i="7"/>
  <c r="K158" i="7"/>
  <c r="K159" i="7" s="1"/>
  <c r="AM104" i="2"/>
  <c r="AU55" i="7"/>
  <c r="AU54" i="7" s="1"/>
  <c r="AT31" i="2" s="1"/>
  <c r="AU56" i="7"/>
  <c r="AU58" i="7"/>
  <c r="AY57" i="7"/>
  <c r="AP18" i="10"/>
  <c r="AP25" i="10" s="1"/>
  <c r="AX10" i="7"/>
  <c r="BB61" i="7"/>
  <c r="AV57" i="7"/>
  <c r="AR56" i="7"/>
  <c r="AR58" i="7"/>
  <c r="AR55" i="7"/>
  <c r="AR54" i="7" s="1"/>
  <c r="AQ31" i="2" s="1"/>
  <c r="K138" i="7"/>
  <c r="K139" i="7" s="1"/>
  <c r="AM88" i="2"/>
  <c r="AV223" i="7"/>
  <c r="AR222" i="7"/>
  <c r="L222" i="7" s="1"/>
  <c r="BB73" i="7"/>
  <c r="AY205" i="7"/>
  <c r="AU198" i="7"/>
  <c r="AT63" i="2" s="1"/>
  <c r="AV136" i="7"/>
  <c r="AR135" i="7"/>
  <c r="BB174" i="7"/>
  <c r="K132" i="7"/>
  <c r="K133" i="7" s="1"/>
  <c r="AM85" i="2"/>
  <c r="AU173" i="7"/>
  <c r="AT109" i="2" s="1"/>
  <c r="AT176" i="2" s="1"/>
  <c r="AY174" i="7"/>
  <c r="BB104" i="7"/>
  <c r="BB165" i="7"/>
  <c r="BB223" i="7"/>
  <c r="AV67" i="7"/>
  <c r="AR66" i="7"/>
  <c r="AM72" i="2"/>
  <c r="K109" i="7"/>
  <c r="K110" i="7" s="1"/>
  <c r="AY33" i="7"/>
  <c r="AU31" i="7"/>
  <c r="AU30" i="7" s="1"/>
  <c r="AU34" i="7"/>
  <c r="AU32" i="7"/>
  <c r="AU132" i="7"/>
  <c r="AT85" i="2" s="1"/>
  <c r="AY133" i="7"/>
  <c r="K161" i="7"/>
  <c r="K162" i="7" s="1"/>
  <c r="AM105" i="2"/>
  <c r="BB142" i="7"/>
  <c r="K211" i="7"/>
  <c r="K212" i="7" s="1"/>
  <c r="AM98" i="2"/>
  <c r="AK51" i="2"/>
  <c r="AD115" i="10" s="1"/>
  <c r="AK41" i="2"/>
  <c r="AK43" i="2" s="1"/>
  <c r="BB145" i="7"/>
  <c r="BB192" i="7"/>
  <c r="K205" i="7"/>
  <c r="AR205" i="7"/>
  <c r="AN198" i="7"/>
  <c r="AW103" i="7"/>
  <c r="AV70" i="2" s="1"/>
  <c r="BB125" i="7"/>
  <c r="K144" i="7"/>
  <c r="K145" i="7" s="1"/>
  <c r="AM90" i="2"/>
  <c r="AI52" i="2"/>
  <c r="AI140" i="2"/>
  <c r="AY80" i="7"/>
  <c r="AU79" i="7"/>
  <c r="K155" i="7"/>
  <c r="K156" i="7" s="1"/>
  <c r="AM102" i="2"/>
  <c r="BA44" i="7"/>
  <c r="BA46" i="7"/>
  <c r="BA43" i="7"/>
  <c r="K60" i="7"/>
  <c r="K61" i="7" s="1"/>
  <c r="K204" i="7"/>
  <c r="AR204" i="7"/>
  <c r="AN197" i="7"/>
  <c r="AU191" i="7"/>
  <c r="AT119" i="2" s="1"/>
  <c r="AT181" i="2" s="1"/>
  <c r="AY192" i="7"/>
  <c r="AV177" i="7"/>
  <c r="AR176" i="7"/>
  <c r="BB159" i="7"/>
  <c r="AU63" i="7"/>
  <c r="AY64" i="7"/>
  <c r="K118" i="7"/>
  <c r="K119" i="7" s="1"/>
  <c r="AM75" i="2"/>
  <c r="AV119" i="7"/>
  <c r="AR118" i="7"/>
  <c r="AR173" i="7"/>
  <c r="AV174" i="7"/>
  <c r="AU44" i="7"/>
  <c r="AU46" i="7"/>
  <c r="AU43" i="7"/>
  <c r="AU42" i="7" s="1"/>
  <c r="AT29" i="2" s="1"/>
  <c r="AY45" i="7"/>
  <c r="BB203" i="7"/>
  <c r="AY183" i="7"/>
  <c r="AU182" i="7"/>
  <c r="AT116" i="2" s="1"/>
  <c r="BB183" i="7"/>
  <c r="AS148" i="2"/>
  <c r="BB92" i="7"/>
  <c r="AR109" i="7"/>
  <c r="AV110" i="7"/>
  <c r="AP27" i="2"/>
  <c r="AR161" i="7"/>
  <c r="AV162" i="7"/>
  <c r="AY139" i="7"/>
  <c r="AU138" i="7"/>
  <c r="AT88" i="2" s="1"/>
  <c r="AF1" i="2"/>
  <c r="AG1" i="2" s="1"/>
  <c r="AH1" i="2" s="1"/>
  <c r="AI1" i="2" s="1"/>
  <c r="E13" i="2" s="1"/>
  <c r="AB75" i="12" s="1"/>
  <c r="AB79" i="12" s="1"/>
  <c r="AM81" i="2"/>
  <c r="K216" i="7"/>
  <c r="K217" i="7" s="1"/>
  <c r="AY122" i="7"/>
  <c r="AU121" i="7"/>
  <c r="AT76" i="2" s="1"/>
  <c r="AT165" i="2" s="1"/>
  <c r="AS145" i="2"/>
  <c r="AV212" i="7"/>
  <c r="AR211" i="7"/>
  <c r="BB177" i="7"/>
  <c r="AR144" i="7"/>
  <c r="AV145" i="7"/>
  <c r="AU167" i="7"/>
  <c r="AT107" i="2" s="1"/>
  <c r="AT174" i="2" s="1"/>
  <c r="AY168" i="7"/>
  <c r="K112" i="7"/>
  <c r="K113" i="7" s="1"/>
  <c r="AM73" i="2"/>
  <c r="AX32" i="7"/>
  <c r="AX31" i="7"/>
  <c r="AX34" i="7"/>
  <c r="BB33" i="7"/>
  <c r="AY130" i="7"/>
  <c r="AU129" i="7"/>
  <c r="AT84" i="2" s="1"/>
  <c r="AW42" i="7"/>
  <c r="AM110" i="2"/>
  <c r="K176" i="7"/>
  <c r="K177" i="7" s="1"/>
  <c r="K85" i="7"/>
  <c r="K86" i="7" s="1"/>
  <c r="AM64" i="2"/>
  <c r="AM89" i="2"/>
  <c r="K141" i="7"/>
  <c r="K142" i="7" s="1"/>
  <c r="AV104" i="7"/>
  <c r="AR103" i="7"/>
  <c r="BB110" i="7"/>
  <c r="BB136" i="7"/>
  <c r="AR94" i="7"/>
  <c r="AV95" i="7"/>
  <c r="AR72" i="7"/>
  <c r="AQ49" i="2" s="1"/>
  <c r="AV73" i="7"/>
  <c r="BA32" i="7"/>
  <c r="BA34" i="7"/>
  <c r="BA31" i="7"/>
  <c r="AV122" i="7"/>
  <c r="AR121" i="7"/>
  <c r="AR179" i="7"/>
  <c r="AV180" i="7"/>
  <c r="AY171" i="7"/>
  <c r="AU170" i="7"/>
  <c r="AT108" i="2" s="1"/>
  <c r="AT175" i="2" s="1"/>
  <c r="AP35" i="2"/>
  <c r="BA58" i="7"/>
  <c r="BA55" i="7"/>
  <c r="BA56" i="7"/>
  <c r="AR28" i="7"/>
  <c r="AR26" i="7"/>
  <c r="AR25" i="7"/>
  <c r="AR24" i="7" s="1"/>
  <c r="AQ26" i="2" s="1"/>
  <c r="AY189" i="7"/>
  <c r="AU188" i="7"/>
  <c r="AT118" i="2" s="1"/>
  <c r="AT180" i="2" s="1"/>
  <c r="BB113" i="7"/>
  <c r="AY217" i="7"/>
  <c r="AU216" i="7"/>
  <c r="AT81" i="2" s="1"/>
  <c r="AR115" i="7"/>
  <c r="AV116" i="7"/>
  <c r="BB153" i="7"/>
  <c r="AY150" i="7"/>
  <c r="AU149" i="7"/>
  <c r="AT100" i="2" s="1"/>
  <c r="AV217" i="7"/>
  <c r="AR216" i="7"/>
  <c r="AV61" i="7"/>
  <c r="AR60" i="7"/>
  <c r="AU22" i="7"/>
  <c r="AU19" i="7"/>
  <c r="AU18" i="7" s="1"/>
  <c r="AT25" i="2" s="1"/>
  <c r="AU20" i="7"/>
  <c r="AY21" i="7"/>
  <c r="K188" i="7"/>
  <c r="K189" i="7" s="1"/>
  <c r="AM118" i="2"/>
  <c r="AU158" i="7"/>
  <c r="AT104" i="2" s="1"/>
  <c r="AT171" i="2" s="1"/>
  <c r="AY159" i="7"/>
  <c r="BB122" i="7"/>
  <c r="AU179" i="7"/>
  <c r="AT111" i="2" s="1"/>
  <c r="AT178" i="2" s="1"/>
  <c r="AY180" i="7"/>
  <c r="AR112" i="7"/>
  <c r="AV113" i="7"/>
  <c r="AR32" i="2"/>
  <c r="AR40" i="2" s="1"/>
  <c r="AY113" i="7"/>
  <c r="AU112" i="7"/>
  <c r="AT73" i="2" s="1"/>
  <c r="AT162" i="2" s="1"/>
  <c r="BB205" i="7"/>
  <c r="BB156" i="7"/>
  <c r="K63" i="7"/>
  <c r="K64" i="7" s="1"/>
  <c r="AY165" i="7"/>
  <c r="AU164" i="7"/>
  <c r="AT106" i="2" s="1"/>
  <c r="AT173" i="2" s="1"/>
  <c r="AU88" i="7"/>
  <c r="AT65" i="2" s="1"/>
  <c r="AT154" i="2" s="1"/>
  <c r="AY89" i="7"/>
  <c r="AY162" i="7"/>
  <c r="AU161" i="7"/>
  <c r="AT105" i="2" s="1"/>
  <c r="AT172" i="2" s="1"/>
  <c r="K179" i="7"/>
  <c r="K180" i="7" s="1"/>
  <c r="AM111" i="2"/>
  <c r="BB186" i="7"/>
  <c r="AR152" i="7"/>
  <c r="AV153" i="7"/>
  <c r="AS152" i="2"/>
  <c r="K103" i="7"/>
  <c r="K104" i="7" s="1"/>
  <c r="AM70" i="2"/>
  <c r="BB15" i="7"/>
  <c r="AX13" i="7"/>
  <c r="AX14" i="7"/>
  <c r="AX16" i="7"/>
  <c r="AY220" i="7"/>
  <c r="AU219" i="7"/>
  <c r="BB67" i="7"/>
  <c r="AM25" i="2"/>
  <c r="K18" i="7"/>
  <c r="K19" i="7" s="1"/>
  <c r="AY212" i="7"/>
  <c r="AU211" i="7"/>
  <c r="AT98" i="2" s="1"/>
  <c r="AR182" i="7"/>
  <c r="AV183" i="7"/>
  <c r="AP49" i="2"/>
  <c r="AX22" i="7"/>
  <c r="AX19" i="7"/>
  <c r="BB21" i="7"/>
  <c r="AX20" i="7"/>
  <c r="AR124" i="7"/>
  <c r="AV125" i="7"/>
  <c r="AV192" i="7"/>
  <c r="AR191" i="7"/>
  <c r="BB220" i="7"/>
  <c r="AM100" i="2"/>
  <c r="K149" i="7"/>
  <c r="K150" i="7" s="1"/>
  <c r="AU152" i="7"/>
  <c r="AT101" i="2" s="1"/>
  <c r="AT199" i="2" s="1"/>
  <c r="AY153" i="7"/>
  <c r="AM116" i="2"/>
  <c r="K182" i="7"/>
  <c r="K183" i="7" s="1"/>
  <c r="AU38" i="7"/>
  <c r="AU37" i="7"/>
  <c r="AU36" i="7" s="1"/>
  <c r="AT28" i="2" s="1"/>
  <c r="AU40" i="7"/>
  <c r="BB80" i="7"/>
  <c r="K185" i="7"/>
  <c r="K186" i="7" s="1"/>
  <c r="AM117" i="2"/>
  <c r="AU72" i="7"/>
  <c r="AY73" i="7"/>
  <c r="AX28" i="7"/>
  <c r="AX26" i="7"/>
  <c r="AX25" i="7"/>
  <c r="AR52" i="7"/>
  <c r="AV51" i="7"/>
  <c r="AR49" i="7"/>
  <c r="AR48" i="7" s="1"/>
  <c r="AR50" i="7"/>
  <c r="K164" i="7"/>
  <c r="K165" i="7" s="1"/>
  <c r="AM106" i="2"/>
  <c r="AY145" i="7"/>
  <c r="AU144" i="7"/>
  <c r="AT90" i="2" s="1"/>
  <c r="BB116" i="7"/>
  <c r="AV21" i="7"/>
  <c r="AR20" i="7"/>
  <c r="AR19" i="7"/>
  <c r="AR18" i="7" s="1"/>
  <c r="AQ25" i="2" s="1"/>
  <c r="AR22" i="7"/>
  <c r="AU103" i="7"/>
  <c r="AT70" i="2" s="1"/>
  <c r="AY104" i="7"/>
  <c r="AU124" i="7"/>
  <c r="AT77" i="2" s="1"/>
  <c r="AY125" i="7"/>
  <c r="K170" i="7"/>
  <c r="K171" i="7" s="1"/>
  <c r="AM108" i="2"/>
  <c r="AY116" i="7"/>
  <c r="AU115" i="7"/>
  <c r="AT74" i="2" s="1"/>
  <c r="AR63" i="7"/>
  <c r="AQ35" i="2" s="1"/>
  <c r="AV64" i="7"/>
  <c r="BA38" i="7"/>
  <c r="BA40" i="7"/>
  <c r="BA37" i="7"/>
  <c r="BB180" i="7"/>
  <c r="AR132" i="7"/>
  <c r="AV133" i="7"/>
  <c r="AR129" i="7"/>
  <c r="AV130" i="7"/>
  <c r="K48" i="7"/>
  <c r="K49" i="7" s="1"/>
  <c r="AY203" i="7"/>
  <c r="AU196" i="7"/>
  <c r="AT61" i="2" s="1"/>
  <c r="AT145" i="2" s="1"/>
  <c r="BB212" i="7"/>
  <c r="BB98" i="7"/>
  <c r="K129" i="7"/>
  <c r="K130" i="7" s="1"/>
  <c r="AM84" i="2"/>
  <c r="AY136" i="7"/>
  <c r="AU135" i="7"/>
  <c r="AT86" i="2" s="1"/>
  <c r="AR203" i="7"/>
  <c r="K203" i="7"/>
  <c r="AN196" i="7"/>
  <c r="AM68" i="2"/>
  <c r="K97" i="7"/>
  <c r="K98" i="7" s="1"/>
  <c r="AY92" i="7"/>
  <c r="AU91" i="7"/>
  <c r="AT66" i="2" s="1"/>
  <c r="AW170" i="7"/>
  <c r="AV108" i="2" s="1"/>
  <c r="BB83" i="7"/>
  <c r="AR69" i="7"/>
  <c r="AV70" i="7"/>
  <c r="BB171" i="7"/>
  <c r="AY142" i="7"/>
  <c r="AU141" i="7"/>
  <c r="AT89" i="2" s="1"/>
  <c r="AT190" i="2" s="1"/>
  <c r="AU222" i="7"/>
  <c r="AY223" i="7"/>
  <c r="AR32" i="7"/>
  <c r="AR34" i="7"/>
  <c r="AV33" i="7"/>
  <c r="AR31" i="7"/>
  <c r="AR30" i="7" s="1"/>
  <c r="AQ27" i="2" s="1"/>
  <c r="AX52" i="7"/>
  <c r="AX50" i="7"/>
  <c r="BB51" i="7"/>
  <c r="AX49" i="7"/>
  <c r="BB107" i="7"/>
  <c r="AW18" i="7"/>
  <c r="AS20" i="2"/>
  <c r="AS22" i="2" s="1"/>
  <c r="AS23" i="2" s="1"/>
  <c r="AT199" i="7"/>
  <c r="AS99" i="2" s="1"/>
  <c r="AW30" i="7"/>
  <c r="AV189" i="7"/>
  <c r="AR188" i="7"/>
  <c r="AW216" i="7"/>
  <c r="AV81" i="2" s="1"/>
  <c r="K152" i="7"/>
  <c r="K153" i="7" s="1"/>
  <c r="AM101" i="2"/>
  <c r="AP146" i="2"/>
  <c r="AW60" i="7"/>
  <c r="AR167" i="7"/>
  <c r="AV168" i="7"/>
  <c r="AP145" i="2"/>
  <c r="AW118" i="7"/>
  <c r="AV75" i="2" s="1"/>
  <c r="AW18" i="2"/>
  <c r="AW17" i="2"/>
  <c r="AX15" i="2"/>
  <c r="AF6" i="2"/>
  <c r="AE4" i="2"/>
  <c r="AE8" i="2"/>
  <c r="AN44" i="2" l="1"/>
  <c r="AK44" i="2"/>
  <c r="AO41" i="2"/>
  <c r="AO43" i="2" s="1"/>
  <c r="AU130" i="2"/>
  <c r="M227" i="7"/>
  <c r="AQ182" i="2"/>
  <c r="K130" i="2"/>
  <c r="AR182" i="2"/>
  <c r="AX167" i="7"/>
  <c r="AW107" i="2" s="1"/>
  <c r="AW174" i="2" s="1"/>
  <c r="AX227" i="7"/>
  <c r="AW130" i="2" s="1"/>
  <c r="AW182" i="2" s="1"/>
  <c r="J102" i="2"/>
  <c r="AM200" i="2"/>
  <c r="AN200" i="2"/>
  <c r="J101" i="2"/>
  <c r="AM199" i="2"/>
  <c r="AN199" i="2"/>
  <c r="AT150" i="2"/>
  <c r="AS149" i="2"/>
  <c r="AT148" i="2"/>
  <c r="J90" i="2"/>
  <c r="AN191" i="2"/>
  <c r="AM191" i="2"/>
  <c r="J89" i="2"/>
  <c r="AN190" i="2"/>
  <c r="AM190" i="2"/>
  <c r="AT191" i="2"/>
  <c r="AT169" i="2"/>
  <c r="AT189" i="2"/>
  <c r="J84" i="2"/>
  <c r="AN189" i="2"/>
  <c r="AM189" i="2"/>
  <c r="J118" i="2"/>
  <c r="AM180" i="2"/>
  <c r="AN180" i="2"/>
  <c r="J119" i="2"/>
  <c r="AM181" i="2"/>
  <c r="AN181" i="2"/>
  <c r="J117" i="2"/>
  <c r="AM179" i="2"/>
  <c r="AN179" i="2"/>
  <c r="J105" i="2"/>
  <c r="AM172" i="2"/>
  <c r="AN172" i="2"/>
  <c r="J107" i="2"/>
  <c r="AM174" i="2"/>
  <c r="AN174" i="2"/>
  <c r="J109" i="2"/>
  <c r="AM176" i="2"/>
  <c r="AN176" i="2"/>
  <c r="J108" i="2"/>
  <c r="AM175" i="2"/>
  <c r="AN175" i="2"/>
  <c r="J111" i="2"/>
  <c r="AM178" i="2"/>
  <c r="AN178" i="2"/>
  <c r="J110" i="2"/>
  <c r="AM177" i="2"/>
  <c r="AN177" i="2"/>
  <c r="J106" i="2"/>
  <c r="AM173" i="2"/>
  <c r="AN173" i="2"/>
  <c r="J104" i="2"/>
  <c r="AM171" i="2"/>
  <c r="AN171" i="2"/>
  <c r="J88" i="2"/>
  <c r="AN170" i="2"/>
  <c r="AM170" i="2"/>
  <c r="AT170" i="2"/>
  <c r="J86" i="2"/>
  <c r="AN169" i="2"/>
  <c r="AM169" i="2"/>
  <c r="J85" i="2"/>
  <c r="AN168" i="2"/>
  <c r="AM168" i="2"/>
  <c r="AT168" i="2"/>
  <c r="AX97" i="7"/>
  <c r="AW68" i="2" s="1"/>
  <c r="AW157" i="2" s="1"/>
  <c r="AX185" i="7"/>
  <c r="AW117" i="2" s="1"/>
  <c r="AW179" i="2" s="1"/>
  <c r="AN167" i="2"/>
  <c r="AM167" i="2"/>
  <c r="AX182" i="7"/>
  <c r="AW116" i="2" s="1"/>
  <c r="AX155" i="7"/>
  <c r="AW102" i="2" s="1"/>
  <c r="AW200" i="2" s="1"/>
  <c r="AT167" i="2"/>
  <c r="AO51" i="2"/>
  <c r="AW199" i="7"/>
  <c r="AV99" i="2" s="1"/>
  <c r="AX100" i="7"/>
  <c r="AW69" i="2" s="1"/>
  <c r="AW158" i="2" s="1"/>
  <c r="AX106" i="7"/>
  <c r="AW71" i="2" s="1"/>
  <c r="AW160" i="2" s="1"/>
  <c r="L72" i="7"/>
  <c r="AX179" i="7"/>
  <c r="AW111" i="2" s="1"/>
  <c r="AW178" i="2" s="1"/>
  <c r="AP32" i="2"/>
  <c r="J72" i="2"/>
  <c r="AN161" i="2"/>
  <c r="AM161" i="2"/>
  <c r="AX94" i="7"/>
  <c r="AW67" i="2" s="1"/>
  <c r="AW156" i="2" s="1"/>
  <c r="J70" i="2"/>
  <c r="AN159" i="2"/>
  <c r="AM159" i="2"/>
  <c r="AX197" i="7"/>
  <c r="AW62" i="2" s="1"/>
  <c r="AW146" i="2" s="1"/>
  <c r="AT163" i="2"/>
  <c r="J74" i="2"/>
  <c r="AN163" i="2"/>
  <c r="AM163" i="2"/>
  <c r="J77" i="2"/>
  <c r="AN166" i="2"/>
  <c r="AM166" i="2"/>
  <c r="J76" i="2"/>
  <c r="AN165" i="2"/>
  <c r="AM165" i="2"/>
  <c r="AX135" i="7"/>
  <c r="AW86" i="2" s="1"/>
  <c r="J75" i="2"/>
  <c r="AN164" i="2"/>
  <c r="AM164" i="2"/>
  <c r="AX63" i="7"/>
  <c r="AW35" i="2" s="1"/>
  <c r="AX60" i="7"/>
  <c r="AW34" i="2" s="1"/>
  <c r="AX112" i="7"/>
  <c r="AW73" i="2" s="1"/>
  <c r="AW162" i="2" s="1"/>
  <c r="AX176" i="7"/>
  <c r="AW110" i="2" s="1"/>
  <c r="AW177" i="2" s="1"/>
  <c r="AX121" i="7"/>
  <c r="AW76" i="2" s="1"/>
  <c r="AX164" i="7"/>
  <c r="AW106" i="2" s="1"/>
  <c r="AW173" i="2" s="1"/>
  <c r="J71" i="2"/>
  <c r="AN160" i="2"/>
  <c r="AM160" i="2"/>
  <c r="AX103" i="7"/>
  <c r="AW70" i="2" s="1"/>
  <c r="AW159" i="2" s="1"/>
  <c r="AT161" i="2"/>
  <c r="AX211" i="7"/>
  <c r="AW98" i="2" s="1"/>
  <c r="AX79" i="7"/>
  <c r="J73" i="2"/>
  <c r="AN162" i="2"/>
  <c r="AM162" i="2"/>
  <c r="AX144" i="7"/>
  <c r="AW90" i="2" s="1"/>
  <c r="AW191" i="2" s="1"/>
  <c r="AT166" i="2"/>
  <c r="AX219" i="7"/>
  <c r="L30" i="7"/>
  <c r="AT159" i="2"/>
  <c r="AX198" i="7"/>
  <c r="AW63" i="2" s="1"/>
  <c r="AW147" i="2" s="1"/>
  <c r="AX109" i="7"/>
  <c r="AW72" i="2" s="1"/>
  <c r="AX48" i="7"/>
  <c r="AW30" i="2" s="1"/>
  <c r="AX170" i="7"/>
  <c r="AW108" i="2" s="1"/>
  <c r="AW175" i="2" s="1"/>
  <c r="AX196" i="7"/>
  <c r="AW61" i="2" s="1"/>
  <c r="AW145" i="2" s="1"/>
  <c r="AX85" i="7"/>
  <c r="AW64" i="2" s="1"/>
  <c r="AW153" i="2" s="1"/>
  <c r="L36" i="7"/>
  <c r="AS40" i="2"/>
  <c r="AX124" i="7"/>
  <c r="AW77" i="2" s="1"/>
  <c r="AW166" i="2" s="1"/>
  <c r="AX88" i="7"/>
  <c r="AW65" i="2" s="1"/>
  <c r="AX36" i="7"/>
  <c r="AW28" i="2" s="1"/>
  <c r="AX118" i="7"/>
  <c r="AW75" i="2" s="1"/>
  <c r="AX115" i="7"/>
  <c r="AW74" i="2" s="1"/>
  <c r="AX66" i="7"/>
  <c r="AW37" i="2" s="1"/>
  <c r="AX173" i="7"/>
  <c r="AW109" i="2" s="1"/>
  <c r="AW176" i="2" s="1"/>
  <c r="AX129" i="7"/>
  <c r="AW84" i="2" s="1"/>
  <c r="AX149" i="7"/>
  <c r="AW100" i="2" s="1"/>
  <c r="J68" i="2"/>
  <c r="AN157" i="2"/>
  <c r="AM157" i="2"/>
  <c r="AX30" i="7"/>
  <c r="AW27" i="2" s="1"/>
  <c r="AX141" i="7"/>
  <c r="AW89" i="2" s="1"/>
  <c r="J65" i="2"/>
  <c r="AN154" i="2"/>
  <c r="AM154" i="2"/>
  <c r="AX69" i="7"/>
  <c r="AW38" i="2" s="1"/>
  <c r="AX222" i="7"/>
  <c r="AX132" i="7"/>
  <c r="AW85" i="2" s="1"/>
  <c r="J66" i="2"/>
  <c r="AN155" i="2"/>
  <c r="AM155" i="2"/>
  <c r="J67" i="2"/>
  <c r="AN156" i="2"/>
  <c r="AM156" i="2"/>
  <c r="AX12" i="7"/>
  <c r="AX199" i="7" s="1"/>
  <c r="AW99" i="2" s="1"/>
  <c r="AX152" i="7"/>
  <c r="AW101" i="2" s="1"/>
  <c r="AW199" i="2" s="1"/>
  <c r="AX24" i="7"/>
  <c r="AW26" i="2" s="1"/>
  <c r="AX82" i="7"/>
  <c r="AW60" i="2" s="1"/>
  <c r="AW152" i="2" s="1"/>
  <c r="AX18" i="7"/>
  <c r="AW25" i="2" s="1"/>
  <c r="AX91" i="7"/>
  <c r="AW66" i="2" s="1"/>
  <c r="AX158" i="7"/>
  <c r="AW104" i="2" s="1"/>
  <c r="AW171" i="2" s="1"/>
  <c r="AT158" i="2"/>
  <c r="AT155" i="2"/>
  <c r="AX54" i="7"/>
  <c r="AW31" i="2" s="1"/>
  <c r="AX216" i="7"/>
  <c r="AW81" i="2" s="1"/>
  <c r="AW167" i="2" s="1"/>
  <c r="J69" i="2"/>
  <c r="AN158" i="2"/>
  <c r="AM158" i="2"/>
  <c r="AX138" i="7"/>
  <c r="AW88" i="2" s="1"/>
  <c r="BC142" i="7"/>
  <c r="AZ92" i="7"/>
  <c r="AV91" i="7"/>
  <c r="AY25" i="7"/>
  <c r="AY26" i="7"/>
  <c r="AY28" i="7"/>
  <c r="BC92" i="7"/>
  <c r="L173" i="7"/>
  <c r="AQ109" i="2"/>
  <c r="AY58" i="7"/>
  <c r="AY55" i="7"/>
  <c r="AY56" i="7"/>
  <c r="BC57" i="7"/>
  <c r="AQ66" i="2"/>
  <c r="L91" i="7"/>
  <c r="BC107" i="7"/>
  <c r="BC61" i="7"/>
  <c r="BC165" i="7"/>
  <c r="BC122" i="7"/>
  <c r="AQ64" i="2"/>
  <c r="L85" i="7"/>
  <c r="AV35" i="2"/>
  <c r="AV138" i="7"/>
  <c r="AZ139" i="7"/>
  <c r="BC186" i="7"/>
  <c r="L100" i="7"/>
  <c r="AQ69" i="2"/>
  <c r="AV60" i="7"/>
  <c r="AU34" i="2" s="1"/>
  <c r="AZ61" i="7"/>
  <c r="L121" i="7"/>
  <c r="AQ76" i="2"/>
  <c r="AV56" i="7"/>
  <c r="AV58" i="7"/>
  <c r="AZ57" i="7"/>
  <c r="AV55" i="7"/>
  <c r="AV54" i="7" s="1"/>
  <c r="AQ88" i="2"/>
  <c r="L138" i="7"/>
  <c r="AQ38" i="2"/>
  <c r="L69" i="7"/>
  <c r="BC145" i="7"/>
  <c r="BC153" i="7"/>
  <c r="L216" i="7"/>
  <c r="AQ81" i="2"/>
  <c r="K196" i="7"/>
  <c r="AM61" i="2"/>
  <c r="BC159" i="7"/>
  <c r="AV176" i="7"/>
  <c r="AZ177" i="7"/>
  <c r="AZ67" i="7"/>
  <c r="AV66" i="7"/>
  <c r="AZ156" i="7"/>
  <c r="AV155" i="7"/>
  <c r="BC83" i="7"/>
  <c r="AT153" i="2"/>
  <c r="L164" i="7"/>
  <c r="AQ106" i="2"/>
  <c r="BC177" i="7"/>
  <c r="AY50" i="7"/>
  <c r="BC51" i="7"/>
  <c r="AY52" i="7"/>
  <c r="AY49" i="7"/>
  <c r="AV38" i="7"/>
  <c r="AV40" i="7"/>
  <c r="AV37" i="7"/>
  <c r="AV36" i="7" s="1"/>
  <c r="AU28" i="2" s="1"/>
  <c r="AZ150" i="7"/>
  <c r="AV149" i="7"/>
  <c r="AZ83" i="7"/>
  <c r="AV82" i="7"/>
  <c r="AZ189" i="7"/>
  <c r="AV188" i="7"/>
  <c r="AZ33" i="7"/>
  <c r="AV34" i="7"/>
  <c r="AV31" i="7"/>
  <c r="AV30" i="7" s="1"/>
  <c r="AU27" i="2" s="1"/>
  <c r="AV32" i="7"/>
  <c r="BB13" i="7"/>
  <c r="BB16" i="7"/>
  <c r="BB14" i="7"/>
  <c r="L115" i="7"/>
  <c r="AQ74" i="2"/>
  <c r="AQ70" i="2"/>
  <c r="L103" i="7"/>
  <c r="AT147" i="2"/>
  <c r="L144" i="7"/>
  <c r="AQ90" i="2"/>
  <c r="AS112" i="2"/>
  <c r="AY46" i="7"/>
  <c r="AY44" i="7"/>
  <c r="BC45" i="7"/>
  <c r="AY43" i="7"/>
  <c r="BC192" i="7"/>
  <c r="AX191" i="7"/>
  <c r="AW119" i="2" s="1"/>
  <c r="AW181" i="2" s="1"/>
  <c r="AX72" i="7"/>
  <c r="L97" i="7"/>
  <c r="AQ68" i="2"/>
  <c r="AQ102" i="2"/>
  <c r="L155" i="7"/>
  <c r="BC86" i="7"/>
  <c r="AV164" i="7"/>
  <c r="AZ165" i="7"/>
  <c r="AQ29" i="2"/>
  <c r="L42" i="7"/>
  <c r="AQ60" i="2"/>
  <c r="L82" i="7"/>
  <c r="BC110" i="7"/>
  <c r="BC171" i="7"/>
  <c r="AQ71" i="2"/>
  <c r="L106" i="7"/>
  <c r="BC180" i="7"/>
  <c r="AT35" i="2"/>
  <c r="L109" i="7"/>
  <c r="AQ72" i="2"/>
  <c r="AV85" i="7"/>
  <c r="AZ86" i="7"/>
  <c r="AV141" i="7"/>
  <c r="AZ142" i="7"/>
  <c r="AV144" i="7"/>
  <c r="AZ145" i="7"/>
  <c r="AV27" i="2"/>
  <c r="BC162" i="7"/>
  <c r="AV97" i="7"/>
  <c r="AZ98" i="7"/>
  <c r="BC101" i="7"/>
  <c r="BB44" i="7"/>
  <c r="BB46" i="7"/>
  <c r="BB43" i="7"/>
  <c r="AM148" i="2"/>
  <c r="AN148" i="2"/>
  <c r="AZ125" i="7"/>
  <c r="AV124" i="7"/>
  <c r="J81" i="2"/>
  <c r="L176" i="7"/>
  <c r="AQ110" i="2"/>
  <c r="AQ37" i="2"/>
  <c r="L66" i="7"/>
  <c r="AQ100" i="2"/>
  <c r="L149" i="7"/>
  <c r="L203" i="7"/>
  <c r="AV203" i="7"/>
  <c r="AR196" i="7"/>
  <c r="BC104" i="7"/>
  <c r="BB34" i="7"/>
  <c r="BB32" i="7"/>
  <c r="BB31" i="7"/>
  <c r="BC133" i="7"/>
  <c r="BC203" i="7"/>
  <c r="AZ64" i="7"/>
  <c r="AV63" i="7"/>
  <c r="AU35" i="2" s="1"/>
  <c r="L18" i="7"/>
  <c r="BC217" i="7"/>
  <c r="L118" i="7"/>
  <c r="AQ75" i="2"/>
  <c r="K197" i="7"/>
  <c r="AM62" i="2"/>
  <c r="AN140" i="2"/>
  <c r="AN52" i="2"/>
  <c r="BC119" i="7"/>
  <c r="AV34" i="2"/>
  <c r="AV22" i="7"/>
  <c r="AV19" i="7"/>
  <c r="AV18" i="7" s="1"/>
  <c r="AU25" i="2" s="1"/>
  <c r="AZ21" i="7"/>
  <c r="AV20" i="7"/>
  <c r="AV191" i="7"/>
  <c r="AZ192" i="7"/>
  <c r="AQ101" i="2"/>
  <c r="L152" i="7"/>
  <c r="BC150" i="7"/>
  <c r="BC64" i="7"/>
  <c r="BC95" i="7"/>
  <c r="AQ116" i="2"/>
  <c r="L182" i="7"/>
  <c r="AV179" i="7"/>
  <c r="AZ180" i="7"/>
  <c r="J116" i="2"/>
  <c r="L124" i="7"/>
  <c r="AQ77" i="2"/>
  <c r="BC212" i="7"/>
  <c r="AV29" i="2"/>
  <c r="L141" i="7"/>
  <c r="AQ89" i="2"/>
  <c r="BC73" i="7"/>
  <c r="AZ122" i="7"/>
  <c r="AV121" i="7"/>
  <c r="AV205" i="7"/>
  <c r="L205" i="7"/>
  <c r="AR198" i="7"/>
  <c r="BC205" i="7"/>
  <c r="L188" i="7"/>
  <c r="AQ118" i="2"/>
  <c r="AM150" i="2"/>
  <c r="J100" i="2"/>
  <c r="AN150" i="2"/>
  <c r="AZ104" i="7"/>
  <c r="AV103" i="7"/>
  <c r="BC223" i="7"/>
  <c r="AQ30" i="2"/>
  <c r="L48" i="7"/>
  <c r="BC113" i="7"/>
  <c r="AY20" i="7"/>
  <c r="AY22" i="7"/>
  <c r="BC21" i="7"/>
  <c r="AY19" i="7"/>
  <c r="L63" i="7"/>
  <c r="AV72" i="7"/>
  <c r="AU49" i="2" s="1"/>
  <c r="AZ73" i="7"/>
  <c r="BC139" i="7"/>
  <c r="AZ119" i="7"/>
  <c r="AV118" i="7"/>
  <c r="AV204" i="7"/>
  <c r="L204" i="7"/>
  <c r="AR197" i="7"/>
  <c r="AV222" i="7"/>
  <c r="M222" i="7" s="1"/>
  <c r="AZ223" i="7"/>
  <c r="BB56" i="7"/>
  <c r="BB58" i="7"/>
  <c r="BB55" i="7"/>
  <c r="AQ65" i="2"/>
  <c r="L88" i="7"/>
  <c r="AX42" i="7"/>
  <c r="AW29" i="2" s="1"/>
  <c r="L129" i="7"/>
  <c r="AQ84" i="2"/>
  <c r="BB28" i="7"/>
  <c r="BB25" i="7"/>
  <c r="BB26" i="7"/>
  <c r="AV182" i="7"/>
  <c r="AZ183" i="7"/>
  <c r="AQ73" i="2"/>
  <c r="L112" i="7"/>
  <c r="L94" i="7"/>
  <c r="AQ67" i="2"/>
  <c r="AZ174" i="7"/>
  <c r="AV173" i="7"/>
  <c r="AY31" i="7"/>
  <c r="BC33" i="7"/>
  <c r="AY34" i="7"/>
  <c r="AY32" i="7"/>
  <c r="L170" i="7"/>
  <c r="AQ108" i="2"/>
  <c r="AV132" i="7"/>
  <c r="AZ133" i="7"/>
  <c r="AZ220" i="7"/>
  <c r="AV219" i="7"/>
  <c r="M219" i="7" s="1"/>
  <c r="AQ34" i="2"/>
  <c r="L60" i="7"/>
  <c r="L179" i="7"/>
  <c r="AQ111" i="2"/>
  <c r="AV109" i="7"/>
  <c r="AZ110" i="7"/>
  <c r="AV69" i="7"/>
  <c r="AZ70" i="7"/>
  <c r="BC125" i="7"/>
  <c r="BC183" i="7"/>
  <c r="AT146" i="2"/>
  <c r="AN152" i="2"/>
  <c r="J60" i="2"/>
  <c r="AM152" i="2"/>
  <c r="AM32" i="2"/>
  <c r="AV115" i="7"/>
  <c r="AZ116" i="7"/>
  <c r="AJ1" i="2"/>
  <c r="E142" i="2"/>
  <c r="F201" i="2"/>
  <c r="G36" i="2"/>
  <c r="F25" i="2"/>
  <c r="E307" i="12" s="1"/>
  <c r="F183" i="2"/>
  <c r="E30" i="2"/>
  <c r="D312" i="12" s="1"/>
  <c r="H201" i="2"/>
  <c r="F49" i="2"/>
  <c r="G192" i="2"/>
  <c r="F27" i="2"/>
  <c r="F143" i="2"/>
  <c r="E49" i="2"/>
  <c r="E34" i="2"/>
  <c r="E183" i="2"/>
  <c r="F28" i="2"/>
  <c r="G29" i="2"/>
  <c r="F311" i="12" s="1"/>
  <c r="F36" i="2"/>
  <c r="F142" i="2"/>
  <c r="F205" i="2"/>
  <c r="F29" i="2"/>
  <c r="E311" i="12" s="1"/>
  <c r="F192" i="2"/>
  <c r="E205" i="2"/>
  <c r="F26" i="2"/>
  <c r="F35" i="2"/>
  <c r="E192" i="2"/>
  <c r="H205" i="2"/>
  <c r="F13" i="2"/>
  <c r="AC75" i="12" s="1"/>
  <c r="AC79" i="12" s="1"/>
  <c r="E28" i="2"/>
  <c r="E143" i="2"/>
  <c r="G143" i="2"/>
  <c r="E25" i="2"/>
  <c r="D307" i="12" s="1"/>
  <c r="G142" i="2"/>
  <c r="H38" i="2"/>
  <c r="H142" i="2"/>
  <c r="E20" i="2"/>
  <c r="E201" i="2"/>
  <c r="F30" i="2"/>
  <c r="E312" i="12" s="1"/>
  <c r="G49" i="2"/>
  <c r="H31" i="2"/>
  <c r="G313" i="12" s="1"/>
  <c r="F38" i="2"/>
  <c r="H26" i="2"/>
  <c r="F20" i="2"/>
  <c r="F31" i="2"/>
  <c r="E313" i="12" s="1"/>
  <c r="G38" i="2"/>
  <c r="G27" i="2"/>
  <c r="G20" i="2"/>
  <c r="F14" i="2"/>
  <c r="H49" i="2"/>
  <c r="E29" i="2"/>
  <c r="D311" i="12" s="1"/>
  <c r="E35" i="2"/>
  <c r="H34" i="2"/>
  <c r="G25" i="2"/>
  <c r="F307" i="12" s="1"/>
  <c r="G31" i="2"/>
  <c r="F313" i="12" s="1"/>
  <c r="I31" i="2"/>
  <c r="H313" i="12" s="1"/>
  <c r="E31" i="2"/>
  <c r="D313" i="12" s="1"/>
  <c r="I142" i="2"/>
  <c r="G26" i="2"/>
  <c r="G35" i="2"/>
  <c r="H30" i="2"/>
  <c r="G312" i="12" s="1"/>
  <c r="E27" i="2"/>
  <c r="H27" i="2"/>
  <c r="I20" i="2"/>
  <c r="E36" i="2"/>
  <c r="G37" i="2"/>
  <c r="G30" i="2"/>
  <c r="F312" i="12" s="1"/>
  <c r="I34" i="2"/>
  <c r="F37" i="2"/>
  <c r="G34" i="2"/>
  <c r="G183" i="2"/>
  <c r="H35" i="2"/>
  <c r="H143" i="2"/>
  <c r="F34" i="2"/>
  <c r="E37" i="2"/>
  <c r="H20" i="2"/>
  <c r="E14" i="2"/>
  <c r="I28" i="2"/>
  <c r="G14" i="2"/>
  <c r="H183" i="2"/>
  <c r="G205" i="2"/>
  <c r="H29" i="2"/>
  <c r="G311" i="12" s="1"/>
  <c r="H37" i="2"/>
  <c r="G28" i="2"/>
  <c r="H192" i="2"/>
  <c r="E38" i="2"/>
  <c r="I14" i="2"/>
  <c r="G201" i="2"/>
  <c r="E26" i="2"/>
  <c r="H36" i="2"/>
  <c r="I183" i="2"/>
  <c r="I143" i="2"/>
  <c r="I25" i="2"/>
  <c r="H307" i="12" s="1"/>
  <c r="H25" i="2"/>
  <c r="G307" i="12" s="1"/>
  <c r="H28" i="2"/>
  <c r="I192" i="2"/>
  <c r="I37" i="2"/>
  <c r="I26" i="2"/>
  <c r="I35" i="2"/>
  <c r="H14" i="2"/>
  <c r="I201" i="2"/>
  <c r="G13" i="2"/>
  <c r="AD75" i="12" s="1"/>
  <c r="AD79" i="12" s="1"/>
  <c r="I29" i="2"/>
  <c r="H311" i="12" s="1"/>
  <c r="I205" i="2"/>
  <c r="I38" i="2"/>
  <c r="H13" i="2"/>
  <c r="AE75" i="12" s="1"/>
  <c r="AE79" i="12" s="1"/>
  <c r="I27" i="2"/>
  <c r="I49" i="2"/>
  <c r="I30" i="2"/>
  <c r="H312" i="12" s="1"/>
  <c r="I36" i="2"/>
  <c r="J33" i="22" s="1"/>
  <c r="K33" i="22" s="1"/>
  <c r="M33" i="22" s="1"/>
  <c r="AV25" i="2"/>
  <c r="BC89" i="7"/>
  <c r="L211" i="7"/>
  <c r="AQ98" i="2"/>
  <c r="AZ162" i="7"/>
  <c r="AV161" i="7"/>
  <c r="BC70" i="7"/>
  <c r="BB40" i="7"/>
  <c r="BB37" i="7"/>
  <c r="BB38" i="7"/>
  <c r="AX161" i="7"/>
  <c r="AW105" i="2" s="1"/>
  <c r="AW172" i="2" s="1"/>
  <c r="L54" i="7"/>
  <c r="AV88" i="7"/>
  <c r="AZ89" i="7"/>
  <c r="BC98" i="7"/>
  <c r="AQ117" i="2"/>
  <c r="L185" i="7"/>
  <c r="AQ104" i="2"/>
  <c r="L158" i="7"/>
  <c r="AX188" i="7"/>
  <c r="AW118" i="2" s="1"/>
  <c r="AW180" i="2" s="1"/>
  <c r="I13" i="2"/>
  <c r="AF75" i="12" s="1"/>
  <c r="AF79" i="12" s="1"/>
  <c r="AF86" i="12" s="1"/>
  <c r="AZ136" i="7"/>
  <c r="AV135" i="7"/>
  <c r="AZ80" i="7"/>
  <c r="AV79" i="7"/>
  <c r="M79" i="7" s="1"/>
  <c r="BC67" i="7"/>
  <c r="AT34" i="2"/>
  <c r="BC189" i="7"/>
  <c r="AQ18" i="10"/>
  <c r="AQ25" i="10" s="1"/>
  <c r="AY10" i="7"/>
  <c r="BB49" i="7"/>
  <c r="BB50" i="7"/>
  <c r="BB52" i="7"/>
  <c r="L132" i="7"/>
  <c r="AQ85" i="2"/>
  <c r="AV26" i="7"/>
  <c r="AV28" i="7"/>
  <c r="AV25" i="7"/>
  <c r="AV24" i="7" s="1"/>
  <c r="BC168" i="7"/>
  <c r="AM63" i="2"/>
  <c r="K198" i="7"/>
  <c r="BC174" i="7"/>
  <c r="AT30" i="2"/>
  <c r="AZ101" i="7"/>
  <c r="AV100" i="7"/>
  <c r="BC204" i="7"/>
  <c r="AV43" i="7"/>
  <c r="AV42" i="7" s="1"/>
  <c r="AZ45" i="7"/>
  <c r="AV44" i="7"/>
  <c r="AV46" i="7"/>
  <c r="AT49" i="2"/>
  <c r="BB22" i="7"/>
  <c r="BB20" i="7"/>
  <c r="BB19" i="7"/>
  <c r="AZ217" i="7"/>
  <c r="AV216" i="7"/>
  <c r="BC130" i="7"/>
  <c r="BC80" i="7"/>
  <c r="AV167" i="7"/>
  <c r="AZ168" i="7"/>
  <c r="AV50" i="7"/>
  <c r="AV52" i="7"/>
  <c r="AZ51" i="7"/>
  <c r="AV49" i="7"/>
  <c r="AV48" i="7" s="1"/>
  <c r="AU30" i="2" s="1"/>
  <c r="BC220" i="7"/>
  <c r="AR51" i="2"/>
  <c r="AK115" i="10" s="1"/>
  <c r="AR41" i="2"/>
  <c r="AR43" i="2" s="1"/>
  <c r="L167" i="7"/>
  <c r="AQ107" i="2"/>
  <c r="L24" i="7"/>
  <c r="BC136" i="7"/>
  <c r="AZ130" i="7"/>
  <c r="AV129" i="7"/>
  <c r="BC116" i="7"/>
  <c r="AY40" i="7"/>
  <c r="AY37" i="7"/>
  <c r="AY38" i="7"/>
  <c r="L191" i="7"/>
  <c r="AQ119" i="2"/>
  <c r="AV152" i="7"/>
  <c r="AZ153" i="7"/>
  <c r="AZ113" i="7"/>
  <c r="AV112" i="7"/>
  <c r="AZ95" i="7"/>
  <c r="AV94" i="7"/>
  <c r="AN153" i="2"/>
  <c r="J64" i="2"/>
  <c r="AM153" i="2"/>
  <c r="AZ212" i="7"/>
  <c r="AV211" i="7"/>
  <c r="AQ105" i="2"/>
  <c r="L161" i="7"/>
  <c r="AK140" i="2"/>
  <c r="AK52" i="2"/>
  <c r="AT27" i="2"/>
  <c r="AQ86" i="2"/>
  <c r="L135" i="7"/>
  <c r="AZ107" i="7"/>
  <c r="AV106" i="7"/>
  <c r="BC156" i="7"/>
  <c r="AV170" i="7"/>
  <c r="AZ171" i="7"/>
  <c r="AV185" i="7"/>
  <c r="AZ186" i="7"/>
  <c r="AZ159" i="7"/>
  <c r="AV158" i="7"/>
  <c r="AX17" i="2"/>
  <c r="AX18" i="2"/>
  <c r="AY15" i="2"/>
  <c r="AG6" i="2"/>
  <c r="AF4" i="2"/>
  <c r="AF8" i="2"/>
  <c r="BI49" i="12" l="1"/>
  <c r="D309" i="12"/>
  <c r="BI50" i="12"/>
  <c r="D310" i="12"/>
  <c r="AF76" i="12"/>
  <c r="AF80" i="12" s="1"/>
  <c r="AF85" i="12" s="1"/>
  <c r="D296" i="12"/>
  <c r="H308" i="12"/>
  <c r="J13" i="20"/>
  <c r="H13" i="20"/>
  <c r="AB76" i="12"/>
  <c r="AB80" i="12" s="1"/>
  <c r="D308" i="12"/>
  <c r="AC76" i="12"/>
  <c r="AC80" i="12" s="1"/>
  <c r="E308" i="12"/>
  <c r="BJ50" i="12"/>
  <c r="E310" i="12"/>
  <c r="BL50" i="12"/>
  <c r="G310" i="12"/>
  <c r="BL49" i="12"/>
  <c r="G309" i="12"/>
  <c r="BM50" i="12"/>
  <c r="H310" i="12"/>
  <c r="D329" i="12"/>
  <c r="D330" i="12" s="1"/>
  <c r="BK50" i="12"/>
  <c r="F310" i="12"/>
  <c r="I13" i="20"/>
  <c r="G13" i="20"/>
  <c r="BJ49" i="12"/>
  <c r="BJ48" i="12" s="1"/>
  <c r="E309" i="12"/>
  <c r="BK49" i="12"/>
  <c r="BK48" i="12" s="1"/>
  <c r="F309" i="12"/>
  <c r="O33" i="22"/>
  <c r="L37" i="22" s="1"/>
  <c r="M37" i="22"/>
  <c r="BM49" i="12"/>
  <c r="BM48" i="12" s="1"/>
  <c r="BN54" i="12" s="1"/>
  <c r="BN55" i="12" s="1"/>
  <c r="H309" i="12"/>
  <c r="AD76" i="12"/>
  <c r="AD80" i="12" s="1"/>
  <c r="F308" i="12"/>
  <c r="AE76" i="12"/>
  <c r="AE80" i="12" s="1"/>
  <c r="G308" i="12"/>
  <c r="F13" i="20"/>
  <c r="AR44" i="2"/>
  <c r="AO44" i="2"/>
  <c r="AS51" i="2"/>
  <c r="AL115" i="10" s="1"/>
  <c r="AU182" i="2"/>
  <c r="L130" i="2"/>
  <c r="AV182" i="2"/>
  <c r="AY141" i="7"/>
  <c r="AX89" i="2" s="1"/>
  <c r="AX190" i="2" s="1"/>
  <c r="AY227" i="7"/>
  <c r="AX130" i="2" s="1"/>
  <c r="AX182" i="2" s="1"/>
  <c r="AO52" i="2"/>
  <c r="AH115" i="10"/>
  <c r="K102" i="2"/>
  <c r="AQ200" i="2"/>
  <c r="AR200" i="2"/>
  <c r="K101" i="2"/>
  <c r="AQ199" i="2"/>
  <c r="AR199" i="2"/>
  <c r="AW150" i="2"/>
  <c r="AW148" i="2"/>
  <c r="AV112" i="2"/>
  <c r="I32" i="2"/>
  <c r="K90" i="2"/>
  <c r="AR191" i="2"/>
  <c r="AQ191" i="2"/>
  <c r="K89" i="2"/>
  <c r="AR190" i="2"/>
  <c r="AQ190" i="2"/>
  <c r="AW190" i="2"/>
  <c r="AW168" i="2"/>
  <c r="K84" i="2"/>
  <c r="AR189" i="2"/>
  <c r="AQ189" i="2"/>
  <c r="AW189" i="2"/>
  <c r="I206" i="2"/>
  <c r="G206" i="2"/>
  <c r="E32" i="2"/>
  <c r="F206" i="2"/>
  <c r="K119" i="2"/>
  <c r="AQ181" i="2"/>
  <c r="AR181" i="2"/>
  <c r="K118" i="2"/>
  <c r="AQ180" i="2"/>
  <c r="AR180" i="2"/>
  <c r="K117" i="2"/>
  <c r="AQ179" i="2"/>
  <c r="AR179" i="2"/>
  <c r="K106" i="2"/>
  <c r="AQ173" i="2"/>
  <c r="AR173" i="2"/>
  <c r="K111" i="2"/>
  <c r="AQ178" i="2"/>
  <c r="AR178" i="2"/>
  <c r="K109" i="2"/>
  <c r="AQ176" i="2"/>
  <c r="AR176" i="2"/>
  <c r="K110" i="2"/>
  <c r="AQ177" i="2"/>
  <c r="AR177" i="2"/>
  <c r="K107" i="2"/>
  <c r="AQ174" i="2"/>
  <c r="AR174" i="2"/>
  <c r="K105" i="2"/>
  <c r="AQ172" i="2"/>
  <c r="AR172" i="2"/>
  <c r="K108" i="2"/>
  <c r="AQ175" i="2"/>
  <c r="AR175" i="2"/>
  <c r="K104" i="2"/>
  <c r="AQ171" i="2"/>
  <c r="AR171" i="2"/>
  <c r="AO140" i="2"/>
  <c r="K88" i="2"/>
  <c r="AR170" i="2"/>
  <c r="AQ170" i="2"/>
  <c r="AW170" i="2"/>
  <c r="K85" i="2"/>
  <c r="AR168" i="2"/>
  <c r="AQ168" i="2"/>
  <c r="K86" i="2"/>
  <c r="AR169" i="2"/>
  <c r="AQ169" i="2"/>
  <c r="AW169" i="2"/>
  <c r="AR167" i="2"/>
  <c r="AQ167" i="2"/>
  <c r="AS41" i="2"/>
  <c r="AS43" i="2" s="1"/>
  <c r="M30" i="7"/>
  <c r="K76" i="2"/>
  <c r="AR165" i="2"/>
  <c r="AQ165" i="2"/>
  <c r="K72" i="2"/>
  <c r="AR161" i="2"/>
  <c r="AQ161" i="2"/>
  <c r="AY132" i="7"/>
  <c r="AX85" i="2" s="1"/>
  <c r="AT32" i="2"/>
  <c r="AY149" i="7"/>
  <c r="AX100" i="2" s="1"/>
  <c r="AW161" i="2"/>
  <c r="AW163" i="2"/>
  <c r="K77" i="2"/>
  <c r="AR166" i="2"/>
  <c r="AQ166" i="2"/>
  <c r="AW164" i="2"/>
  <c r="K74" i="2"/>
  <c r="AR163" i="2"/>
  <c r="AQ163" i="2"/>
  <c r="AW32" i="2"/>
  <c r="AY135" i="7"/>
  <c r="AX86" i="2" s="1"/>
  <c r="K75" i="2"/>
  <c r="AR164" i="2"/>
  <c r="AQ164" i="2"/>
  <c r="AW165" i="2"/>
  <c r="K71" i="2"/>
  <c r="AR160" i="2"/>
  <c r="AQ160" i="2"/>
  <c r="K73" i="2"/>
  <c r="AR162" i="2"/>
  <c r="AQ162" i="2"/>
  <c r="K70" i="2"/>
  <c r="AR159" i="2"/>
  <c r="AQ159" i="2"/>
  <c r="AW149" i="2"/>
  <c r="AW112" i="2"/>
  <c r="AY91" i="7"/>
  <c r="AX66" i="2" s="1"/>
  <c r="AX155" i="2" s="1"/>
  <c r="M60" i="7"/>
  <c r="AQ32" i="2"/>
  <c r="AY66" i="7"/>
  <c r="AX37" i="2" s="1"/>
  <c r="AY94" i="7"/>
  <c r="AX67" i="2" s="1"/>
  <c r="AY179" i="7"/>
  <c r="AX111" i="2" s="1"/>
  <c r="AX178" i="2" s="1"/>
  <c r="AY60" i="7"/>
  <c r="AX34" i="2" s="1"/>
  <c r="AY124" i="7"/>
  <c r="AX77" i="2" s="1"/>
  <c r="AY197" i="7"/>
  <c r="AX62" i="2" s="1"/>
  <c r="AX146" i="2" s="1"/>
  <c r="AW20" i="2"/>
  <c r="AW22" i="2" s="1"/>
  <c r="AW23" i="2" s="1"/>
  <c r="AV32" i="2"/>
  <c r="AV40" i="2" s="1"/>
  <c r="AY112" i="7"/>
  <c r="AX73" i="2" s="1"/>
  <c r="AX162" i="2" s="1"/>
  <c r="AY211" i="7"/>
  <c r="AX98" i="2" s="1"/>
  <c r="AY152" i="7"/>
  <c r="AX101" i="2" s="1"/>
  <c r="AX199" i="2" s="1"/>
  <c r="K67" i="2"/>
  <c r="AR156" i="2"/>
  <c r="AQ156" i="2"/>
  <c r="AY129" i="7"/>
  <c r="AX84" i="2" s="1"/>
  <c r="K66" i="2"/>
  <c r="AR155" i="2"/>
  <c r="AQ155" i="2"/>
  <c r="AY63" i="7"/>
  <c r="AX35" i="2" s="1"/>
  <c r="AW154" i="2"/>
  <c r="K69" i="2"/>
  <c r="AR158" i="2"/>
  <c r="AQ158" i="2"/>
  <c r="AY167" i="7"/>
  <c r="AX107" i="2" s="1"/>
  <c r="AX174" i="2" s="1"/>
  <c r="AY69" i="7"/>
  <c r="AX38" i="2" s="1"/>
  <c r="K65" i="2"/>
  <c r="AR154" i="2"/>
  <c r="AQ154" i="2"/>
  <c r="AY100" i="7"/>
  <c r="AX69" i="2" s="1"/>
  <c r="AY72" i="7"/>
  <c r="AX49" i="2" s="1"/>
  <c r="AY106" i="7"/>
  <c r="AX71" i="2" s="1"/>
  <c r="AY185" i="7"/>
  <c r="AX117" i="2" s="1"/>
  <c r="AX179" i="2" s="1"/>
  <c r="AW155" i="2"/>
  <c r="M48" i="7"/>
  <c r="M72" i="7"/>
  <c r="AY118" i="7"/>
  <c r="AX75" i="2" s="1"/>
  <c r="K68" i="2"/>
  <c r="AR157" i="2"/>
  <c r="AQ157" i="2"/>
  <c r="AY144" i="7"/>
  <c r="AX90" i="2" s="1"/>
  <c r="K81" i="2"/>
  <c r="M205" i="7"/>
  <c r="AZ205" i="7"/>
  <c r="AV198" i="7"/>
  <c r="BD177" i="7"/>
  <c r="BD159" i="7"/>
  <c r="BD217" i="7"/>
  <c r="M176" i="7"/>
  <c r="AU110" i="2"/>
  <c r="BD186" i="7"/>
  <c r="AZ40" i="7"/>
  <c r="AZ37" i="7"/>
  <c r="AZ38" i="7"/>
  <c r="G32" i="2"/>
  <c r="F32" i="2"/>
  <c r="BD133" i="7"/>
  <c r="BC25" i="7"/>
  <c r="BC26" i="7"/>
  <c r="BC28" i="7"/>
  <c r="BD142" i="7"/>
  <c r="AU108" i="2"/>
  <c r="M170" i="7"/>
  <c r="BD95" i="7"/>
  <c r="BC40" i="7"/>
  <c r="BC37" i="7"/>
  <c r="BC38" i="7"/>
  <c r="AY79" i="7"/>
  <c r="BD80" i="7"/>
  <c r="M161" i="7"/>
  <c r="AU105" i="2"/>
  <c r="H206" i="2"/>
  <c r="BD110" i="7"/>
  <c r="AY138" i="7"/>
  <c r="AX88" i="2" s="1"/>
  <c r="BD125" i="7"/>
  <c r="M97" i="7"/>
  <c r="AU68" i="2"/>
  <c r="AU89" i="2"/>
  <c r="M141" i="7"/>
  <c r="AY191" i="7"/>
  <c r="AX119" i="2" s="1"/>
  <c r="AX181" i="2" s="1"/>
  <c r="AY82" i="7"/>
  <c r="AX60" i="2" s="1"/>
  <c r="AY158" i="7"/>
  <c r="AX104" i="2" s="1"/>
  <c r="AX171" i="2" s="1"/>
  <c r="BD61" i="7"/>
  <c r="M152" i="7"/>
  <c r="AU101" i="2"/>
  <c r="M158" i="7"/>
  <c r="AU104" i="2"/>
  <c r="M144" i="7"/>
  <c r="AU90" i="2"/>
  <c r="BD150" i="7"/>
  <c r="M185" i="7"/>
  <c r="AU117" i="2"/>
  <c r="BD119" i="7"/>
  <c r="M94" i="7"/>
  <c r="AU67" i="2"/>
  <c r="AU85" i="2"/>
  <c r="M132" i="7"/>
  <c r="AU77" i="2"/>
  <c r="M124" i="7"/>
  <c r="AU26" i="2"/>
  <c r="M24" i="7"/>
  <c r="M109" i="7"/>
  <c r="AU72" i="2"/>
  <c r="BD183" i="7"/>
  <c r="AY216" i="7"/>
  <c r="AX81" i="2" s="1"/>
  <c r="AX167" i="2" s="1"/>
  <c r="BD86" i="7"/>
  <c r="AY170" i="7"/>
  <c r="AX108" i="2" s="1"/>
  <c r="AX175" i="2" s="1"/>
  <c r="AY85" i="7"/>
  <c r="AX64" i="2" s="1"/>
  <c r="AZ32" i="7"/>
  <c r="AZ34" i="7"/>
  <c r="AZ31" i="7"/>
  <c r="BD33" i="7"/>
  <c r="AY48" i="7"/>
  <c r="M155" i="7"/>
  <c r="AU102" i="2"/>
  <c r="BC58" i="7"/>
  <c r="BC55" i="7"/>
  <c r="BC56" i="7"/>
  <c r="AY24" i="7"/>
  <c r="M216" i="7"/>
  <c r="AU81" i="2"/>
  <c r="BD220" i="7"/>
  <c r="AQ150" i="2"/>
  <c r="K100" i="2"/>
  <c r="AR150" i="2"/>
  <c r="BD165" i="7"/>
  <c r="M36" i="7"/>
  <c r="M138" i="7"/>
  <c r="AU88" i="2"/>
  <c r="AU107" i="2"/>
  <c r="M167" i="7"/>
  <c r="M164" i="7"/>
  <c r="AU106" i="2"/>
  <c r="BD162" i="7"/>
  <c r="AY219" i="7"/>
  <c r="AY188" i="7"/>
  <c r="AX118" i="2" s="1"/>
  <c r="AX180" i="2" s="1"/>
  <c r="BD136" i="7"/>
  <c r="BD89" i="7"/>
  <c r="AQ148" i="2"/>
  <c r="AR148" i="2"/>
  <c r="AK1" i="2"/>
  <c r="M182" i="7"/>
  <c r="AU116" i="2"/>
  <c r="BD73" i="7"/>
  <c r="AY198" i="7"/>
  <c r="AX63" i="2" s="1"/>
  <c r="BD180" i="7"/>
  <c r="BD192" i="7"/>
  <c r="AY103" i="7"/>
  <c r="AX70" i="2" s="1"/>
  <c r="AY161" i="7"/>
  <c r="AX105" i="2" s="1"/>
  <c r="AX172" i="2" s="1"/>
  <c r="M85" i="7"/>
  <c r="AU64" i="2"/>
  <c r="AY109" i="7"/>
  <c r="AX72" i="2" s="1"/>
  <c r="AX161" i="2" s="1"/>
  <c r="AY42" i="7"/>
  <c r="AX29" i="2" s="1"/>
  <c r="M188" i="7"/>
  <c r="AU118" i="2"/>
  <c r="BD156" i="7"/>
  <c r="AR153" i="2"/>
  <c r="K64" i="2"/>
  <c r="AQ153" i="2"/>
  <c r="M91" i="7"/>
  <c r="AU66" i="2"/>
  <c r="BD130" i="7"/>
  <c r="AQ62" i="2"/>
  <c r="L197" i="7"/>
  <c r="BC20" i="7"/>
  <c r="BC19" i="7"/>
  <c r="BC22" i="7"/>
  <c r="BD67" i="7"/>
  <c r="M18" i="7"/>
  <c r="AU109" i="2"/>
  <c r="M173" i="7"/>
  <c r="AU38" i="2"/>
  <c r="M69" i="7"/>
  <c r="BD101" i="7"/>
  <c r="AY182" i="7"/>
  <c r="AX116" i="2" s="1"/>
  <c r="BD223" i="7"/>
  <c r="AY222" i="7"/>
  <c r="M179" i="7"/>
  <c r="AU111" i="2"/>
  <c r="M191" i="7"/>
  <c r="AU119" i="2"/>
  <c r="L196" i="7"/>
  <c r="AQ61" i="2"/>
  <c r="BC46" i="7"/>
  <c r="BC43" i="7"/>
  <c r="BC44" i="7"/>
  <c r="BD189" i="7"/>
  <c r="BC49" i="7"/>
  <c r="BC50" i="7"/>
  <c r="BC52" i="7"/>
  <c r="AY121" i="7"/>
  <c r="AX76" i="2" s="1"/>
  <c r="AX165" i="2" s="1"/>
  <c r="AY54" i="7"/>
  <c r="BD92" i="7"/>
  <c r="BD104" i="7"/>
  <c r="AN146" i="2"/>
  <c r="J62" i="2"/>
  <c r="AM146" i="2"/>
  <c r="AZ204" i="7"/>
  <c r="M204" i="7"/>
  <c r="AV197" i="7"/>
  <c r="M121" i="7"/>
  <c r="AU76" i="2"/>
  <c r="AR18" i="10"/>
  <c r="AR25" i="10" s="1"/>
  <c r="AZ10" i="7"/>
  <c r="AU69" i="2"/>
  <c r="M100" i="7"/>
  <c r="BD171" i="7"/>
  <c r="AY97" i="7"/>
  <c r="AX68" i="2" s="1"/>
  <c r="AY36" i="7"/>
  <c r="M135" i="7"/>
  <c r="AU86" i="2"/>
  <c r="AZ43" i="7"/>
  <c r="BD45" i="7"/>
  <c r="AZ44" i="7"/>
  <c r="AZ46" i="7"/>
  <c r="E206" i="2"/>
  <c r="BD116" i="7"/>
  <c r="BC34" i="7"/>
  <c r="BC31" i="7"/>
  <c r="BC32" i="7"/>
  <c r="BD64" i="7"/>
  <c r="M203" i="7"/>
  <c r="AZ203" i="7"/>
  <c r="AV196" i="7"/>
  <c r="M82" i="7"/>
  <c r="AU60" i="2"/>
  <c r="AN145" i="2"/>
  <c r="J61" i="2"/>
  <c r="AM145" i="2"/>
  <c r="AU31" i="2"/>
  <c r="M54" i="7"/>
  <c r="BD107" i="7"/>
  <c r="BD212" i="7"/>
  <c r="BD51" i="7"/>
  <c r="AZ49" i="7"/>
  <c r="AZ50" i="7"/>
  <c r="AZ52" i="7"/>
  <c r="AN147" i="2"/>
  <c r="J63" i="2"/>
  <c r="AM147" i="2"/>
  <c r="BD145" i="7"/>
  <c r="M149" i="7"/>
  <c r="AU100" i="2"/>
  <c r="BD70" i="7"/>
  <c r="BD174" i="7"/>
  <c r="G15" i="2"/>
  <c r="AU75" i="2"/>
  <c r="M118" i="7"/>
  <c r="BD122" i="7"/>
  <c r="AW49" i="2"/>
  <c r="BD139" i="7"/>
  <c r="BD168" i="7"/>
  <c r="F15" i="2"/>
  <c r="BD98" i="7"/>
  <c r="AR140" i="2"/>
  <c r="AR52" i="2"/>
  <c r="AU73" i="2"/>
  <c r="M112" i="7"/>
  <c r="AY115" i="7"/>
  <c r="AX74" i="2" s="1"/>
  <c r="AU65" i="2"/>
  <c r="M88" i="7"/>
  <c r="AY155" i="7"/>
  <c r="AX102" i="2" s="1"/>
  <c r="AX200" i="2" s="1"/>
  <c r="BD113" i="7"/>
  <c r="AY173" i="7"/>
  <c r="AX109" i="2" s="1"/>
  <c r="AX176" i="2" s="1"/>
  <c r="AZ28" i="7"/>
  <c r="AZ26" i="7"/>
  <c r="AZ25" i="7"/>
  <c r="H15" i="2"/>
  <c r="E15" i="2"/>
  <c r="M106" i="7"/>
  <c r="AU71" i="2"/>
  <c r="M211" i="7"/>
  <c r="AU98" i="2"/>
  <c r="BD153" i="7"/>
  <c r="AU84" i="2"/>
  <c r="M129" i="7"/>
  <c r="AU29" i="2"/>
  <c r="M42" i="7"/>
  <c r="I15" i="2"/>
  <c r="AY88" i="7"/>
  <c r="AX65" i="2" s="1"/>
  <c r="AX154" i="2" s="1"/>
  <c r="H32" i="2"/>
  <c r="AU74" i="2"/>
  <c r="M115" i="7"/>
  <c r="AS140" i="2"/>
  <c r="AS52" i="2"/>
  <c r="AY30" i="7"/>
  <c r="AY18" i="7"/>
  <c r="M103" i="7"/>
  <c r="AU70" i="2"/>
  <c r="L198" i="7"/>
  <c r="AQ63" i="2"/>
  <c r="K116" i="2"/>
  <c r="AZ22" i="7"/>
  <c r="BD21" i="7"/>
  <c r="AZ19" i="7"/>
  <c r="AZ20" i="7"/>
  <c r="AY196" i="7"/>
  <c r="AX61" i="2" s="1"/>
  <c r="M63" i="7"/>
  <c r="AR152" i="2"/>
  <c r="K60" i="2"/>
  <c r="AQ152" i="2"/>
  <c r="BD83" i="7"/>
  <c r="AY176" i="7"/>
  <c r="AX110" i="2" s="1"/>
  <c r="AX177" i="2" s="1"/>
  <c r="AU37" i="2"/>
  <c r="M66" i="7"/>
  <c r="BD57" i="7"/>
  <c r="AZ58" i="7"/>
  <c r="AZ56" i="7"/>
  <c r="AZ55" i="7"/>
  <c r="AY164" i="7"/>
  <c r="AX106" i="2" s="1"/>
  <c r="AX173" i="2" s="1"/>
  <c r="AY18" i="2"/>
  <c r="AY17" i="2"/>
  <c r="AZ15" i="2"/>
  <c r="AH6" i="2"/>
  <c r="AG8" i="2"/>
  <c r="AG4" i="2"/>
  <c r="E314" i="12" l="1"/>
  <c r="E325" i="12" s="1"/>
  <c r="E326" i="12"/>
  <c r="F314" i="12"/>
  <c r="F325" i="12" s="1"/>
  <c r="F326" i="12"/>
  <c r="D321" i="12"/>
  <c r="D322" i="12" s="1"/>
  <c r="O37" i="22"/>
  <c r="O39" i="22" s="1"/>
  <c r="D12" i="22" s="1"/>
  <c r="D15" i="22" s="1"/>
  <c r="D20" i="20" s="1"/>
  <c r="BL48" i="12"/>
  <c r="H326" i="12"/>
  <c r="H304" i="12"/>
  <c r="H314" i="12"/>
  <c r="H325" i="12" s="1"/>
  <c r="G314" i="12"/>
  <c r="G325" i="12" s="1"/>
  <c r="G326" i="12"/>
  <c r="D314" i="12"/>
  <c r="D325" i="12" s="1"/>
  <c r="D304" i="12"/>
  <c r="BI48" i="12"/>
  <c r="E18" i="2"/>
  <c r="D326" i="12"/>
  <c r="AS44" i="2"/>
  <c r="AV41" i="2"/>
  <c r="AV43" i="2" s="1"/>
  <c r="I17" i="2"/>
  <c r="G5" i="12"/>
  <c r="G6" i="12"/>
  <c r="G18" i="2"/>
  <c r="E5" i="12"/>
  <c r="E6" i="12"/>
  <c r="H17" i="2"/>
  <c r="F5" i="12"/>
  <c r="F6" i="12"/>
  <c r="F17" i="2"/>
  <c r="D6" i="12"/>
  <c r="D5" i="12"/>
  <c r="AZ176" i="7"/>
  <c r="N176" i="7" s="1"/>
  <c r="AZ227" i="7"/>
  <c r="L101" i="2"/>
  <c r="AU199" i="2"/>
  <c r="AV199" i="2"/>
  <c r="L102" i="2"/>
  <c r="AU200" i="2"/>
  <c r="AV200" i="2"/>
  <c r="AX150" i="2"/>
  <c r="AX148" i="2"/>
  <c r="F18" i="2"/>
  <c r="AX191" i="2"/>
  <c r="L89" i="2"/>
  <c r="AV190" i="2"/>
  <c r="AU190" i="2"/>
  <c r="L90" i="2"/>
  <c r="AV191" i="2"/>
  <c r="AU191" i="2"/>
  <c r="AX168" i="2"/>
  <c r="AX169" i="2"/>
  <c r="L84" i="2"/>
  <c r="AV189" i="2"/>
  <c r="AU189" i="2"/>
  <c r="AX189" i="2"/>
  <c r="I18" i="2"/>
  <c r="L119" i="2"/>
  <c r="AU181" i="2"/>
  <c r="AV181" i="2"/>
  <c r="L118" i="2"/>
  <c r="AU180" i="2"/>
  <c r="AV180" i="2"/>
  <c r="L117" i="2"/>
  <c r="AU179" i="2"/>
  <c r="AV179" i="2"/>
  <c r="L111" i="2"/>
  <c r="AU178" i="2"/>
  <c r="AV178" i="2"/>
  <c r="L105" i="2"/>
  <c r="AU172" i="2"/>
  <c r="AV172" i="2"/>
  <c r="L110" i="2"/>
  <c r="AU177" i="2"/>
  <c r="AV177" i="2"/>
  <c r="L107" i="2"/>
  <c r="AU174" i="2"/>
  <c r="AV174" i="2"/>
  <c r="L109" i="2"/>
  <c r="AU176" i="2"/>
  <c r="AV176" i="2"/>
  <c r="L106" i="2"/>
  <c r="AU173" i="2"/>
  <c r="AV173" i="2"/>
  <c r="L108" i="2"/>
  <c r="AU175" i="2"/>
  <c r="AV175" i="2"/>
  <c r="L104" i="2"/>
  <c r="AU171" i="2"/>
  <c r="AV171" i="2"/>
  <c r="AX170" i="2"/>
  <c r="L88" i="2"/>
  <c r="AV170" i="2"/>
  <c r="AU170" i="2"/>
  <c r="L85" i="2"/>
  <c r="AV168" i="2"/>
  <c r="AU168" i="2"/>
  <c r="L86" i="2"/>
  <c r="AV169" i="2"/>
  <c r="AU169" i="2"/>
  <c r="AV167" i="2"/>
  <c r="AU167" i="2"/>
  <c r="AZ121" i="7"/>
  <c r="N121" i="7" s="1"/>
  <c r="AZ85" i="7"/>
  <c r="N85" i="7" s="1"/>
  <c r="AZ141" i="7"/>
  <c r="N141" i="7" s="1"/>
  <c r="AZ185" i="7"/>
  <c r="N185" i="7" s="1"/>
  <c r="AZ211" i="7"/>
  <c r="N211" i="7" s="1"/>
  <c r="AZ109" i="7"/>
  <c r="N109" i="7" s="1"/>
  <c r="N10" i="7"/>
  <c r="AZ63" i="7"/>
  <c r="AY35" i="2" s="1"/>
  <c r="AZ24" i="7"/>
  <c r="AY26" i="2" s="1"/>
  <c r="AZ144" i="7"/>
  <c r="AY90" i="2" s="1"/>
  <c r="AZ170" i="7"/>
  <c r="N170" i="7" s="1"/>
  <c r="AZ219" i="7"/>
  <c r="N219" i="7" s="1"/>
  <c r="AX160" i="2"/>
  <c r="L75" i="2"/>
  <c r="AV164" i="2"/>
  <c r="AU164" i="2"/>
  <c r="AX159" i="2"/>
  <c r="L72" i="2"/>
  <c r="AV161" i="2"/>
  <c r="AU161" i="2"/>
  <c r="AX166" i="2"/>
  <c r="AZ152" i="7"/>
  <c r="N152" i="7" s="1"/>
  <c r="AZ173" i="7"/>
  <c r="N173" i="7" s="1"/>
  <c r="AZ48" i="7"/>
  <c r="AY30" i="2" s="1"/>
  <c r="AZ155" i="7"/>
  <c r="N155" i="7" s="1"/>
  <c r="AZ179" i="7"/>
  <c r="N179" i="7" s="1"/>
  <c r="AV51" i="2"/>
  <c r="AO115" i="10" s="1"/>
  <c r="AX164" i="2"/>
  <c r="L70" i="2"/>
  <c r="AV159" i="2"/>
  <c r="AU159" i="2"/>
  <c r="L76" i="2"/>
  <c r="AV165" i="2"/>
  <c r="AU165" i="2"/>
  <c r="L73" i="2"/>
  <c r="AV162" i="2"/>
  <c r="AU162" i="2"/>
  <c r="L74" i="2"/>
  <c r="AV163" i="2"/>
  <c r="AU163" i="2"/>
  <c r="AX163" i="2"/>
  <c r="L71" i="2"/>
  <c r="AV160" i="2"/>
  <c r="AU160" i="2"/>
  <c r="L77" i="2"/>
  <c r="AV166" i="2"/>
  <c r="AU166" i="2"/>
  <c r="AX157" i="2"/>
  <c r="L66" i="2"/>
  <c r="AV155" i="2"/>
  <c r="AU155" i="2"/>
  <c r="L69" i="2"/>
  <c r="AV158" i="2"/>
  <c r="AU158" i="2"/>
  <c r="L67" i="2"/>
  <c r="AV156" i="2"/>
  <c r="AU156" i="2"/>
  <c r="AZ191" i="7"/>
  <c r="AY119" i="2" s="1"/>
  <c r="AZ135" i="7"/>
  <c r="AY86" i="2" s="1"/>
  <c r="AZ18" i="7"/>
  <c r="AY25" i="2" s="1"/>
  <c r="AX158" i="2"/>
  <c r="AX156" i="2"/>
  <c r="L65" i="2"/>
  <c r="AV154" i="2"/>
  <c r="AU154" i="2"/>
  <c r="AW40" i="2"/>
  <c r="L68" i="2"/>
  <c r="AV157" i="2"/>
  <c r="AU157" i="2"/>
  <c r="AY110" i="2"/>
  <c r="M197" i="7"/>
  <c r="AU62" i="2"/>
  <c r="AX31" i="2"/>
  <c r="AX27" i="2"/>
  <c r="AV152" i="2"/>
  <c r="L60" i="2"/>
  <c r="AU152" i="2"/>
  <c r="BD205" i="7"/>
  <c r="N205" i="7"/>
  <c r="AZ198" i="7"/>
  <c r="AZ129" i="7"/>
  <c r="AZ164" i="7"/>
  <c r="BD46" i="7"/>
  <c r="BD44" i="7"/>
  <c r="BD43" i="7"/>
  <c r="AZ188" i="7"/>
  <c r="AZ72" i="7"/>
  <c r="AX30" i="2"/>
  <c r="AZ82" i="7"/>
  <c r="AU148" i="2"/>
  <c r="AV148" i="2"/>
  <c r="AZ106" i="7"/>
  <c r="AZ42" i="7"/>
  <c r="AZ161" i="7"/>
  <c r="BD34" i="7"/>
  <c r="BD31" i="7"/>
  <c r="BD32" i="7"/>
  <c r="AZ60" i="7"/>
  <c r="AZ124" i="7"/>
  <c r="AZ36" i="7"/>
  <c r="AY28" i="2" s="1"/>
  <c r="AX25" i="2"/>
  <c r="I17" i="8"/>
  <c r="I19" i="9"/>
  <c r="H22" i="2"/>
  <c r="H23" i="2" s="1"/>
  <c r="AR146" i="2"/>
  <c r="K62" i="2"/>
  <c r="AQ146" i="2"/>
  <c r="H18" i="2"/>
  <c r="AU32" i="2"/>
  <c r="L116" i="2"/>
  <c r="L81" i="2"/>
  <c r="AZ30" i="7"/>
  <c r="AY27" i="2" s="1"/>
  <c r="BD38" i="7"/>
  <c r="BD37" i="7"/>
  <c r="BD40" i="7"/>
  <c r="AZ216" i="7"/>
  <c r="AS18" i="10"/>
  <c r="AS25" i="10" s="1"/>
  <c r="BA10" i="7"/>
  <c r="BA227" i="7" s="1"/>
  <c r="AZ130" i="2" s="1"/>
  <c r="AU150" i="2"/>
  <c r="L100" i="2"/>
  <c r="AV150" i="2"/>
  <c r="AU63" i="2"/>
  <c r="M198" i="7"/>
  <c r="BD22" i="7"/>
  <c r="BD19" i="7"/>
  <c r="BD20" i="7"/>
  <c r="AZ100" i="7"/>
  <c r="G17" i="2"/>
  <c r="M196" i="7"/>
  <c r="AU61" i="2"/>
  <c r="AZ103" i="7"/>
  <c r="AL1" i="2"/>
  <c r="AZ158" i="7"/>
  <c r="G19" i="9"/>
  <c r="G17" i="8"/>
  <c r="F22" i="2"/>
  <c r="F23" i="2" s="1"/>
  <c r="BD55" i="7"/>
  <c r="BD58" i="7"/>
  <c r="BD56" i="7"/>
  <c r="AZ94" i="7"/>
  <c r="AZ66" i="7"/>
  <c r="AZ97" i="7"/>
  <c r="H17" i="8"/>
  <c r="H19" i="9"/>
  <c r="G22" i="2"/>
  <c r="G23" i="2" s="1"/>
  <c r="BD203" i="7"/>
  <c r="N203" i="7"/>
  <c r="AZ196" i="7"/>
  <c r="AX28" i="2"/>
  <c r="AZ222" i="7"/>
  <c r="N222" i="7" s="1"/>
  <c r="AX26" i="2"/>
  <c r="AZ149" i="7"/>
  <c r="AZ79" i="7"/>
  <c r="N79" i="7" s="1"/>
  <c r="BD25" i="7"/>
  <c r="BD26" i="7"/>
  <c r="BD28" i="7"/>
  <c r="AX147" i="2"/>
  <c r="AZ118" i="7"/>
  <c r="AV153" i="2"/>
  <c r="L64" i="2"/>
  <c r="AU153" i="2"/>
  <c r="AZ167" i="7"/>
  <c r="F17" i="8"/>
  <c r="F21" i="8" s="1"/>
  <c r="F19" i="9"/>
  <c r="F23" i="9" s="1"/>
  <c r="E22" i="2"/>
  <c r="AZ138" i="7"/>
  <c r="AZ91" i="7"/>
  <c r="AZ182" i="7"/>
  <c r="AX152" i="2"/>
  <c r="AR145" i="2"/>
  <c r="K61" i="2"/>
  <c r="AQ145" i="2"/>
  <c r="AX145" i="2"/>
  <c r="N204" i="7"/>
  <c r="BD204" i="7"/>
  <c r="AZ197" i="7"/>
  <c r="BD52" i="7"/>
  <c r="BD49" i="7"/>
  <c r="BD50" i="7"/>
  <c r="AZ69" i="7"/>
  <c r="AR147" i="2"/>
  <c r="K63" i="2"/>
  <c r="AQ147" i="2"/>
  <c r="AZ112" i="7"/>
  <c r="J17" i="8"/>
  <c r="J19" i="9"/>
  <c r="I22" i="2"/>
  <c r="AZ54" i="7"/>
  <c r="AY31" i="2" s="1"/>
  <c r="E17" i="2"/>
  <c r="AZ115" i="7"/>
  <c r="AZ88" i="7"/>
  <c r="AX153" i="2"/>
  <c r="AZ132" i="7"/>
  <c r="AZ17" i="2"/>
  <c r="AZ18" i="2"/>
  <c r="BA15" i="2"/>
  <c r="AI6" i="2"/>
  <c r="AH8" i="2"/>
  <c r="AH4" i="2"/>
  <c r="L29" i="20" l="1"/>
  <c r="K29" i="20"/>
  <c r="N29" i="20"/>
  <c r="M29" i="20"/>
  <c r="O29" i="20"/>
  <c r="D317" i="12"/>
  <c r="D318" i="12" s="1"/>
  <c r="AV44" i="2"/>
  <c r="AW41" i="2"/>
  <c r="AW43" i="2" s="1"/>
  <c r="N227" i="7"/>
  <c r="N228" i="7" s="1"/>
  <c r="AY130" i="2"/>
  <c r="M90" i="2"/>
  <c r="AY191" i="2"/>
  <c r="M119" i="2"/>
  <c r="AY181" i="2"/>
  <c r="M110" i="2"/>
  <c r="AY177" i="2"/>
  <c r="AY64" i="2"/>
  <c r="AY153" i="2" s="1"/>
  <c r="M86" i="2"/>
  <c r="AY169" i="2"/>
  <c r="N48" i="7"/>
  <c r="N49" i="7" s="1"/>
  <c r="AY111" i="2"/>
  <c r="AY117" i="2"/>
  <c r="AY72" i="2"/>
  <c r="AY161" i="2" s="1"/>
  <c r="AY76" i="2"/>
  <c r="AY165" i="2" s="1"/>
  <c r="N212" i="7"/>
  <c r="N186" i="7"/>
  <c r="AY102" i="2"/>
  <c r="N177" i="7"/>
  <c r="AY89" i="2"/>
  <c r="N180" i="7"/>
  <c r="N174" i="7"/>
  <c r="N220" i="7"/>
  <c r="AY98" i="2"/>
  <c r="N153" i="7"/>
  <c r="N171" i="7"/>
  <c r="N86" i="7"/>
  <c r="N80" i="7"/>
  <c r="N110" i="7"/>
  <c r="N142" i="7"/>
  <c r="AY109" i="2"/>
  <c r="N156" i="7"/>
  <c r="N122" i="7"/>
  <c r="N144" i="7"/>
  <c r="N145" i="7" s="1"/>
  <c r="N191" i="7"/>
  <c r="N192" i="7" s="1"/>
  <c r="AY101" i="2"/>
  <c r="N63" i="7"/>
  <c r="N64" i="7" s="1"/>
  <c r="N24" i="7"/>
  <c r="N25" i="7" s="1"/>
  <c r="H297" i="12" s="1"/>
  <c r="AY108" i="2"/>
  <c r="N223" i="7"/>
  <c r="N18" i="7"/>
  <c r="N19" i="7" s="1"/>
  <c r="N135" i="7"/>
  <c r="N136" i="7" s="1"/>
  <c r="AV140" i="2"/>
  <c r="AV52" i="2"/>
  <c r="AW51" i="2"/>
  <c r="AP115" i="10" s="1"/>
  <c r="N30" i="7"/>
  <c r="N31" i="7" s="1"/>
  <c r="N132" i="7"/>
  <c r="N133" i="7" s="1"/>
  <c r="AY85" i="2"/>
  <c r="N149" i="7"/>
  <c r="N150" i="7" s="1"/>
  <c r="AY100" i="2"/>
  <c r="J20" i="9"/>
  <c r="J23" i="9"/>
  <c r="H20" i="9"/>
  <c r="H23" i="9"/>
  <c r="K23" i="9" s="1"/>
  <c r="AY29" i="2"/>
  <c r="N42" i="7"/>
  <c r="N43" i="7" s="1"/>
  <c r="H18" i="8"/>
  <c r="H21" i="8"/>
  <c r="G18" i="8"/>
  <c r="G21" i="8"/>
  <c r="N124" i="7"/>
  <c r="N125" i="7" s="1"/>
  <c r="AY77" i="2"/>
  <c r="N106" i="7"/>
  <c r="N107" i="7" s="1"/>
  <c r="AY71" i="2"/>
  <c r="G40" i="2"/>
  <c r="AV146" i="2"/>
  <c r="L62" i="2"/>
  <c r="AU146" i="2"/>
  <c r="AT18" i="10"/>
  <c r="AT25" i="10" s="1"/>
  <c r="BB10" i="7"/>
  <c r="BB227" i="7" s="1"/>
  <c r="BA130" i="2" s="1"/>
  <c r="BA182" i="2" s="1"/>
  <c r="AY116" i="2"/>
  <c r="N182" i="7"/>
  <c r="N183" i="7" s="1"/>
  <c r="AY107" i="2"/>
  <c r="N167" i="7"/>
  <c r="N168" i="7" s="1"/>
  <c r="N97" i="7"/>
  <c r="N98" i="7" s="1"/>
  <c r="AY68" i="2"/>
  <c r="G20" i="9"/>
  <c r="G23" i="9"/>
  <c r="AV145" i="2"/>
  <c r="L61" i="2"/>
  <c r="AU145" i="2"/>
  <c r="AY34" i="2"/>
  <c r="N60" i="7"/>
  <c r="N61" i="7" s="1"/>
  <c r="AY49" i="2"/>
  <c r="N72" i="7"/>
  <c r="N73" i="7" s="1"/>
  <c r="N164" i="7"/>
  <c r="N165" i="7" s="1"/>
  <c r="AY106" i="2"/>
  <c r="N129" i="7"/>
  <c r="N130" i="7" s="1"/>
  <c r="AY84" i="2"/>
  <c r="AV147" i="2"/>
  <c r="L63" i="2"/>
  <c r="AU147" i="2"/>
  <c r="E23" i="2"/>
  <c r="E40" i="2"/>
  <c r="N36" i="7"/>
  <c r="N37" i="7" s="1"/>
  <c r="BA109" i="7"/>
  <c r="AZ72" i="2" s="1"/>
  <c r="BA155" i="7"/>
  <c r="AZ102" i="2" s="1"/>
  <c r="BA161" i="7"/>
  <c r="AZ105" i="2" s="1"/>
  <c r="BA176" i="7"/>
  <c r="AZ110" i="2" s="1"/>
  <c r="AZ177" i="2" s="1"/>
  <c r="BA100" i="7"/>
  <c r="AZ69" i="2" s="1"/>
  <c r="BA63" i="7"/>
  <c r="BA97" i="7"/>
  <c r="AZ68" i="2" s="1"/>
  <c r="BA179" i="7"/>
  <c r="AZ111" i="2" s="1"/>
  <c r="BA191" i="7"/>
  <c r="AZ119" i="2" s="1"/>
  <c r="AZ181" i="2" s="1"/>
  <c r="BA106" i="7"/>
  <c r="AZ71" i="2" s="1"/>
  <c r="BA132" i="7"/>
  <c r="AZ85" i="2" s="1"/>
  <c r="BA118" i="7"/>
  <c r="AZ75" i="2" s="1"/>
  <c r="BA94" i="7"/>
  <c r="AZ67" i="2" s="1"/>
  <c r="BA135" i="7"/>
  <c r="AZ86" i="2" s="1"/>
  <c r="BA164" i="7"/>
  <c r="AZ106" i="2" s="1"/>
  <c r="BA138" i="7"/>
  <c r="AZ88" i="2" s="1"/>
  <c r="BA91" i="7"/>
  <c r="AZ66" i="2" s="1"/>
  <c r="BA185" i="7"/>
  <c r="AZ117" i="2" s="1"/>
  <c r="BA103" i="7"/>
  <c r="AZ70" i="2" s="1"/>
  <c r="BA167" i="7"/>
  <c r="AZ107" i="2" s="1"/>
  <c r="BA85" i="7"/>
  <c r="AZ64" i="2" s="1"/>
  <c r="BA158" i="7"/>
  <c r="AZ104" i="2" s="1"/>
  <c r="BA188" i="7"/>
  <c r="AZ118" i="2" s="1"/>
  <c r="BA196" i="7"/>
  <c r="AZ61" i="2" s="1"/>
  <c r="BA115" i="7"/>
  <c r="AZ74" i="2" s="1"/>
  <c r="BA216" i="7"/>
  <c r="AZ81" i="2" s="1"/>
  <c r="BA66" i="7"/>
  <c r="BA144" i="7"/>
  <c r="AZ90" i="2" s="1"/>
  <c r="BA141" i="7"/>
  <c r="AZ89" i="2" s="1"/>
  <c r="BA124" i="7"/>
  <c r="AZ77" i="2" s="1"/>
  <c r="BA182" i="7"/>
  <c r="AZ116" i="2" s="1"/>
  <c r="BA121" i="7"/>
  <c r="AZ76" i="2" s="1"/>
  <c r="BA170" i="7"/>
  <c r="AZ108" i="2" s="1"/>
  <c r="BA152" i="7"/>
  <c r="AZ101" i="2" s="1"/>
  <c r="BA173" i="7"/>
  <c r="AZ109" i="2" s="1"/>
  <c r="BA72" i="7"/>
  <c r="BA112" i="7"/>
  <c r="AZ73" i="2" s="1"/>
  <c r="BA219" i="7"/>
  <c r="BA149" i="7"/>
  <c r="AZ100" i="2" s="1"/>
  <c r="BA222" i="7"/>
  <c r="BA82" i="7"/>
  <c r="AZ60" i="2" s="1"/>
  <c r="BA198" i="7"/>
  <c r="AZ63" i="2" s="1"/>
  <c r="BA60" i="7"/>
  <c r="BA69" i="7"/>
  <c r="BA197" i="7"/>
  <c r="AZ62" i="2" s="1"/>
  <c r="BA79" i="7"/>
  <c r="BA211" i="7"/>
  <c r="AZ98" i="2" s="1"/>
  <c r="BA88" i="7"/>
  <c r="AZ65" i="2" s="1"/>
  <c r="BA129" i="7"/>
  <c r="AZ84" i="2" s="1"/>
  <c r="BA18" i="7"/>
  <c r="BA30" i="7"/>
  <c r="BA42" i="7"/>
  <c r="BA36" i="7"/>
  <c r="BA12" i="7"/>
  <c r="BA54" i="7"/>
  <c r="BA48" i="7"/>
  <c r="BA24" i="7"/>
  <c r="I20" i="9"/>
  <c r="I23" i="9"/>
  <c r="I23" i="2"/>
  <c r="I40" i="2"/>
  <c r="N112" i="7"/>
  <c r="N113" i="7" s="1"/>
  <c r="AY73" i="2"/>
  <c r="F40" i="2"/>
  <c r="O204" i="7"/>
  <c r="AM1" i="2"/>
  <c r="I18" i="8"/>
  <c r="I21" i="8"/>
  <c r="N82" i="7"/>
  <c r="N83" i="7" s="1"/>
  <c r="AY60" i="2"/>
  <c r="N198" i="7"/>
  <c r="AY63" i="2"/>
  <c r="AY75" i="2"/>
  <c r="N118" i="7"/>
  <c r="N119" i="7" s="1"/>
  <c r="N103" i="7"/>
  <c r="N104" i="7" s="1"/>
  <c r="AY70" i="2"/>
  <c r="J18" i="8"/>
  <c r="J21" i="8"/>
  <c r="AY67" i="2"/>
  <c r="N94" i="7"/>
  <c r="N95" i="7" s="1"/>
  <c r="N161" i="7"/>
  <c r="N162" i="7" s="1"/>
  <c r="AY105" i="2"/>
  <c r="N188" i="7"/>
  <c r="N189" i="7" s="1"/>
  <c r="AY118" i="2"/>
  <c r="O203" i="7"/>
  <c r="AY104" i="2"/>
  <c r="N158" i="7"/>
  <c r="N159" i="7" s="1"/>
  <c r="AY38" i="2"/>
  <c r="N69" i="7"/>
  <c r="N70" i="7" s="1"/>
  <c r="N54" i="7"/>
  <c r="N55" i="7" s="1"/>
  <c r="AY65" i="2"/>
  <c r="N88" i="7"/>
  <c r="N89" i="7" s="1"/>
  <c r="N115" i="7"/>
  <c r="N116" i="7" s="1"/>
  <c r="AY74" i="2"/>
  <c r="AY37" i="2"/>
  <c r="N66" i="7"/>
  <c r="N67" i="7" s="1"/>
  <c r="N197" i="7"/>
  <c r="AY62" i="2"/>
  <c r="AY66" i="2"/>
  <c r="N91" i="7"/>
  <c r="N92" i="7" s="1"/>
  <c r="AY61" i="2"/>
  <c r="N196" i="7"/>
  <c r="N100" i="7"/>
  <c r="N101" i="7" s="1"/>
  <c r="AY69" i="2"/>
  <c r="AY88" i="2"/>
  <c r="N138" i="7"/>
  <c r="N139" i="7" s="1"/>
  <c r="H40" i="2"/>
  <c r="N216" i="7"/>
  <c r="N217" i="7" s="1"/>
  <c r="AY81" i="2"/>
  <c r="AX32" i="2"/>
  <c r="O205" i="7"/>
  <c r="BA17" i="2"/>
  <c r="BA18" i="2"/>
  <c r="BC15" i="2"/>
  <c r="BB15" i="2"/>
  <c r="AJ6" i="2"/>
  <c r="AI8" i="2"/>
  <c r="AI4" i="2"/>
  <c r="AW44" i="2" l="1"/>
  <c r="AY182" i="2"/>
  <c r="M130" i="2"/>
  <c r="AZ182" i="2"/>
  <c r="AZ200" i="2"/>
  <c r="M101" i="2"/>
  <c r="AY199" i="2"/>
  <c r="AZ199" i="2"/>
  <c r="M102" i="2"/>
  <c r="AY200" i="2"/>
  <c r="AY148" i="2"/>
  <c r="K21" i="8"/>
  <c r="L21" i="8" s="1"/>
  <c r="M89" i="2"/>
  <c r="AZ190" i="2"/>
  <c r="AY190" i="2"/>
  <c r="AZ191" i="2"/>
  <c r="AZ169" i="2"/>
  <c r="M84" i="2"/>
  <c r="AZ189" i="2"/>
  <c r="AY189" i="2"/>
  <c r="AZ178" i="2"/>
  <c r="AZ179" i="2"/>
  <c r="M118" i="2"/>
  <c r="AY180" i="2"/>
  <c r="AZ180" i="2"/>
  <c r="M117" i="2"/>
  <c r="AY179" i="2"/>
  <c r="AZ172" i="2"/>
  <c r="M109" i="2"/>
  <c r="AY176" i="2"/>
  <c r="M106" i="2"/>
  <c r="AY173" i="2"/>
  <c r="AZ173" i="2"/>
  <c r="M107" i="2"/>
  <c r="AY174" i="2"/>
  <c r="AZ176" i="2"/>
  <c r="AZ175" i="2"/>
  <c r="M108" i="2"/>
  <c r="AY175" i="2"/>
  <c r="M105" i="2"/>
  <c r="AY172" i="2"/>
  <c r="AZ174" i="2"/>
  <c r="M111" i="2"/>
  <c r="AY178" i="2"/>
  <c r="M104" i="2"/>
  <c r="AY171" i="2"/>
  <c r="AZ171" i="2"/>
  <c r="AZ153" i="2"/>
  <c r="M64" i="2"/>
  <c r="M88" i="2"/>
  <c r="AZ170" i="2"/>
  <c r="AY170" i="2"/>
  <c r="AZ161" i="2"/>
  <c r="AZ165" i="2"/>
  <c r="M85" i="2"/>
  <c r="AZ168" i="2"/>
  <c r="AY168" i="2"/>
  <c r="M72" i="2"/>
  <c r="M76" i="2"/>
  <c r="AZ167" i="2"/>
  <c r="AY167" i="2"/>
  <c r="M75" i="2"/>
  <c r="AZ164" i="2"/>
  <c r="AY164" i="2"/>
  <c r="M74" i="2"/>
  <c r="AZ163" i="2"/>
  <c r="AY163" i="2"/>
  <c r="AW52" i="2"/>
  <c r="AW140" i="2"/>
  <c r="M71" i="2"/>
  <c r="AZ160" i="2"/>
  <c r="AY160" i="2"/>
  <c r="M70" i="2"/>
  <c r="AZ159" i="2"/>
  <c r="AY159" i="2"/>
  <c r="M73" i="2"/>
  <c r="AZ162" i="2"/>
  <c r="AY162" i="2"/>
  <c r="M77" i="2"/>
  <c r="AZ166" i="2"/>
  <c r="AY166" i="2"/>
  <c r="M66" i="2"/>
  <c r="AZ155" i="2"/>
  <c r="AY155" i="2"/>
  <c r="M68" i="2"/>
  <c r="AZ157" i="2"/>
  <c r="AY157" i="2"/>
  <c r="M69" i="2"/>
  <c r="AZ158" i="2"/>
  <c r="AY158" i="2"/>
  <c r="M65" i="2"/>
  <c r="AZ154" i="2"/>
  <c r="AY154" i="2"/>
  <c r="M67" i="2"/>
  <c r="AZ156" i="2"/>
  <c r="AY156" i="2"/>
  <c r="M81" i="2"/>
  <c r="AZ49" i="2"/>
  <c r="AZ148" i="2"/>
  <c r="AZ38" i="2"/>
  <c r="AZ20" i="2"/>
  <c r="AZ22" i="2" s="1"/>
  <c r="AZ23" i="2" s="1"/>
  <c r="BA199" i="7"/>
  <c r="AZ99" i="2" s="1"/>
  <c r="AZ35" i="2"/>
  <c r="BB173" i="7"/>
  <c r="BA109" i="2" s="1"/>
  <c r="BA176" i="2" s="1"/>
  <c r="BB144" i="7"/>
  <c r="BA90" i="2" s="1"/>
  <c r="BB167" i="7"/>
  <c r="BA107" i="2" s="1"/>
  <c r="BA174" i="2" s="1"/>
  <c r="BB106" i="7"/>
  <c r="BA71" i="2" s="1"/>
  <c r="BB66" i="7"/>
  <c r="BA37" i="2" s="1"/>
  <c r="BB129" i="7"/>
  <c r="BA84" i="2" s="1"/>
  <c r="BB112" i="7"/>
  <c r="BA73" i="2" s="1"/>
  <c r="BA162" i="2" s="1"/>
  <c r="BB182" i="7"/>
  <c r="BA116" i="2" s="1"/>
  <c r="BB197" i="7"/>
  <c r="BA62" i="2" s="1"/>
  <c r="BB176" i="7"/>
  <c r="BA110" i="2" s="1"/>
  <c r="BA177" i="2" s="1"/>
  <c r="BB79" i="7"/>
  <c r="BB63" i="7"/>
  <c r="BA35" i="2" s="1"/>
  <c r="BB109" i="7"/>
  <c r="BA72" i="2" s="1"/>
  <c r="BB82" i="7"/>
  <c r="BA60" i="2" s="1"/>
  <c r="BA152" i="2" s="1"/>
  <c r="BB211" i="7"/>
  <c r="BA98" i="2" s="1"/>
  <c r="BB155" i="7"/>
  <c r="BA102" i="2" s="1"/>
  <c r="BA200" i="2" s="1"/>
  <c r="BB121" i="7"/>
  <c r="BA76" i="2" s="1"/>
  <c r="BB170" i="7"/>
  <c r="BA108" i="2" s="1"/>
  <c r="BA175" i="2" s="1"/>
  <c r="BB188" i="7"/>
  <c r="BA118" i="2" s="1"/>
  <c r="BA180" i="2" s="1"/>
  <c r="BB60" i="7"/>
  <c r="BA34" i="2" s="1"/>
  <c r="BB141" i="7"/>
  <c r="BA89" i="2" s="1"/>
  <c r="BB161" i="7"/>
  <c r="BA105" i="2" s="1"/>
  <c r="BA172" i="2" s="1"/>
  <c r="BB216" i="7"/>
  <c r="BA81" i="2" s="1"/>
  <c r="BB94" i="7"/>
  <c r="BA67" i="2" s="1"/>
  <c r="BA156" i="2" s="1"/>
  <c r="BB100" i="7"/>
  <c r="BA69" i="2" s="1"/>
  <c r="BB97" i="7"/>
  <c r="BA68" i="2" s="1"/>
  <c r="BA157" i="2" s="1"/>
  <c r="BB88" i="7"/>
  <c r="BA65" i="2" s="1"/>
  <c r="BA154" i="2" s="1"/>
  <c r="BB132" i="7"/>
  <c r="BA85" i="2" s="1"/>
  <c r="BB196" i="7"/>
  <c r="BA61" i="2" s="1"/>
  <c r="BA145" i="2" s="1"/>
  <c r="BB219" i="7"/>
  <c r="BB179" i="7"/>
  <c r="BA111" i="2" s="1"/>
  <c r="BA178" i="2" s="1"/>
  <c r="BB164" i="7"/>
  <c r="BA106" i="2" s="1"/>
  <c r="BA173" i="2" s="1"/>
  <c r="BB198" i="7"/>
  <c r="BA63" i="2" s="1"/>
  <c r="BA147" i="2" s="1"/>
  <c r="BB152" i="7"/>
  <c r="BA101" i="2" s="1"/>
  <c r="BA199" i="2" s="1"/>
  <c r="BB149" i="7"/>
  <c r="BA100" i="2" s="1"/>
  <c r="BB185" i="7"/>
  <c r="BA117" i="2" s="1"/>
  <c r="BA179" i="2" s="1"/>
  <c r="BB115" i="7"/>
  <c r="BA74" i="2" s="1"/>
  <c r="BA163" i="2" s="1"/>
  <c r="BB72" i="7"/>
  <c r="BA49" i="2" s="1"/>
  <c r="BB138" i="7"/>
  <c r="BA88" i="2" s="1"/>
  <c r="BB91" i="7"/>
  <c r="BA66" i="2" s="1"/>
  <c r="BB69" i="7"/>
  <c r="BA38" i="2" s="1"/>
  <c r="BB85" i="7"/>
  <c r="BA64" i="2" s="1"/>
  <c r="BB135" i="7"/>
  <c r="BA86" i="2" s="1"/>
  <c r="BB118" i="7"/>
  <c r="BA75" i="2" s="1"/>
  <c r="BB191" i="7"/>
  <c r="BA119" i="2" s="1"/>
  <c r="BA181" i="2" s="1"/>
  <c r="BB158" i="7"/>
  <c r="BA104" i="2" s="1"/>
  <c r="BA171" i="2" s="1"/>
  <c r="BB103" i="7"/>
  <c r="BA70" i="2" s="1"/>
  <c r="BB222" i="7"/>
  <c r="BB124" i="7"/>
  <c r="BA77" i="2" s="1"/>
  <c r="BA166" i="2" s="1"/>
  <c r="BB18" i="7"/>
  <c r="BA25" i="2" s="1"/>
  <c r="BB54" i="7"/>
  <c r="BA31" i="2" s="1"/>
  <c r="BB30" i="7"/>
  <c r="BA27" i="2" s="1"/>
  <c r="BB24" i="7"/>
  <c r="BA26" i="2" s="1"/>
  <c r="BB42" i="7"/>
  <c r="BA29" i="2" s="1"/>
  <c r="BB36" i="7"/>
  <c r="BA28" i="2" s="1"/>
  <c r="BB48" i="7"/>
  <c r="BA30" i="2" s="1"/>
  <c r="BB12" i="7"/>
  <c r="G43" i="2"/>
  <c r="G51" i="2"/>
  <c r="G41" i="2"/>
  <c r="AZ146" i="2"/>
  <c r="M62" i="2"/>
  <c r="AY146" i="2"/>
  <c r="AZ30" i="2"/>
  <c r="AZ28" i="2"/>
  <c r="AU18" i="10"/>
  <c r="AU25" i="10" s="1"/>
  <c r="BC10" i="7"/>
  <c r="BC227" i="7" s="1"/>
  <c r="BB130" i="2" s="1"/>
  <c r="BB182" i="2" s="1"/>
  <c r="L23" i="9"/>
  <c r="AZ152" i="2"/>
  <c r="M60" i="2"/>
  <c r="AY152" i="2"/>
  <c r="H43" i="2"/>
  <c r="H51" i="2"/>
  <c r="H41" i="2"/>
  <c r="F43" i="2"/>
  <c r="F51" i="2"/>
  <c r="F41" i="2"/>
  <c r="AZ34" i="2"/>
  <c r="M116" i="2"/>
  <c r="I41" i="2"/>
  <c r="I51" i="2"/>
  <c r="I43" i="2"/>
  <c r="AZ29" i="2"/>
  <c r="AV18" i="10"/>
  <c r="AV25" i="10" s="1"/>
  <c r="BD10" i="7"/>
  <c r="BD227" i="7" s="1"/>
  <c r="E41" i="2"/>
  <c r="E43" i="2"/>
  <c r="E51" i="2"/>
  <c r="AZ145" i="2"/>
  <c r="M61" i="2"/>
  <c r="AY145" i="2"/>
  <c r="AZ27" i="2"/>
  <c r="AZ150" i="2"/>
  <c r="AZ37" i="2"/>
  <c r="AN1" i="2"/>
  <c r="AZ26" i="2"/>
  <c r="AZ31" i="2"/>
  <c r="AY150" i="2"/>
  <c r="M100" i="2"/>
  <c r="AZ147" i="2"/>
  <c r="M63" i="2"/>
  <c r="AY147" i="2"/>
  <c r="AZ25" i="2"/>
  <c r="AY32" i="2"/>
  <c r="BB18" i="2"/>
  <c r="BB17" i="2"/>
  <c r="BC18" i="2"/>
  <c r="BC17" i="2"/>
  <c r="AK6" i="2"/>
  <c r="AJ8" i="2"/>
  <c r="AJ4" i="2"/>
  <c r="H44" i="2" l="1"/>
  <c r="I10" i="20"/>
  <c r="I11" i="20" s="1"/>
  <c r="I12" i="20" s="1"/>
  <c r="H46" i="2"/>
  <c r="F10" i="20"/>
  <c r="F11" i="20" s="1"/>
  <c r="F12" i="20" s="1"/>
  <c r="F44" i="2"/>
  <c r="G10" i="20"/>
  <c r="F46" i="2"/>
  <c r="I44" i="2"/>
  <c r="J10" i="20"/>
  <c r="J11" i="20" s="1"/>
  <c r="J12" i="20" s="1"/>
  <c r="I46" i="2"/>
  <c r="G44" i="2"/>
  <c r="H10" i="20"/>
  <c r="G46" i="2"/>
  <c r="E44" i="2"/>
  <c r="E46" i="2"/>
  <c r="O227" i="7"/>
  <c r="BC130" i="2"/>
  <c r="BA150" i="2"/>
  <c r="AZ112" i="2"/>
  <c r="BA190" i="2"/>
  <c r="BA191" i="2"/>
  <c r="BA168" i="2"/>
  <c r="BA189" i="2"/>
  <c r="BA170" i="2"/>
  <c r="BA169" i="2"/>
  <c r="BA167" i="2"/>
  <c r="BA159" i="2"/>
  <c r="BA160" i="2"/>
  <c r="BA165" i="2"/>
  <c r="BA164" i="2"/>
  <c r="BA161" i="2"/>
  <c r="BA158" i="2"/>
  <c r="BA155" i="2"/>
  <c r="E52" i="2"/>
  <c r="E140" i="2"/>
  <c r="L10" i="7"/>
  <c r="L228" i="7" s="1"/>
  <c r="M10" i="7"/>
  <c r="M228" i="7" s="1"/>
  <c r="BC82" i="7"/>
  <c r="BB60" i="2" s="1"/>
  <c r="BC161" i="7"/>
  <c r="BB105" i="2" s="1"/>
  <c r="BB172" i="2" s="1"/>
  <c r="BC164" i="7"/>
  <c r="BB106" i="2" s="1"/>
  <c r="BB173" i="2" s="1"/>
  <c r="BC149" i="7"/>
  <c r="BB100" i="2" s="1"/>
  <c r="BC197" i="7"/>
  <c r="BB62" i="2" s="1"/>
  <c r="BB146" i="2" s="1"/>
  <c r="BC155" i="7"/>
  <c r="BB102" i="2" s="1"/>
  <c r="BB200" i="2" s="1"/>
  <c r="BC222" i="7"/>
  <c r="BC85" i="7"/>
  <c r="BB64" i="2" s="1"/>
  <c r="BC144" i="7"/>
  <c r="BB90" i="2" s="1"/>
  <c r="BC191" i="7"/>
  <c r="BB119" i="2" s="1"/>
  <c r="BB181" i="2" s="1"/>
  <c r="BC63" i="7"/>
  <c r="BB35" i="2" s="1"/>
  <c r="BC69" i="7"/>
  <c r="BB38" i="2" s="1"/>
  <c r="BC109" i="7"/>
  <c r="BB72" i="2" s="1"/>
  <c r="BB161" i="2" s="1"/>
  <c r="BC118" i="7"/>
  <c r="BB75" i="2" s="1"/>
  <c r="BB164" i="2" s="1"/>
  <c r="BC60" i="7"/>
  <c r="BB34" i="2" s="1"/>
  <c r="BC106" i="7"/>
  <c r="BB71" i="2" s="1"/>
  <c r="BC103" i="7"/>
  <c r="BB70" i="2" s="1"/>
  <c r="BB159" i="2" s="1"/>
  <c r="BC185" i="7"/>
  <c r="BB117" i="2" s="1"/>
  <c r="BB179" i="2" s="1"/>
  <c r="BC138" i="7"/>
  <c r="BB88" i="2" s="1"/>
  <c r="BB170" i="2" s="1"/>
  <c r="BC173" i="7"/>
  <c r="BB109" i="2" s="1"/>
  <c r="BB176" i="2" s="1"/>
  <c r="BC100" i="7"/>
  <c r="BB69" i="2" s="1"/>
  <c r="BB158" i="2" s="1"/>
  <c r="BC182" i="7"/>
  <c r="BB116" i="2" s="1"/>
  <c r="BC196" i="7"/>
  <c r="BB61" i="2" s="1"/>
  <c r="BB145" i="2" s="1"/>
  <c r="BC66" i="7"/>
  <c r="BC219" i="7"/>
  <c r="BC91" i="7"/>
  <c r="BB66" i="2" s="1"/>
  <c r="BB155" i="2" s="1"/>
  <c r="BC88" i="7"/>
  <c r="BB65" i="2" s="1"/>
  <c r="BB154" i="2" s="1"/>
  <c r="BC129" i="7"/>
  <c r="BB84" i="2" s="1"/>
  <c r="BC216" i="7"/>
  <c r="BB81" i="2" s="1"/>
  <c r="BC135" i="7"/>
  <c r="BB86" i="2" s="1"/>
  <c r="BC121" i="7"/>
  <c r="BB76" i="2" s="1"/>
  <c r="BB165" i="2" s="1"/>
  <c r="BC115" i="7"/>
  <c r="BB74" i="2" s="1"/>
  <c r="BB163" i="2" s="1"/>
  <c r="BC141" i="7"/>
  <c r="BB89" i="2" s="1"/>
  <c r="BC167" i="7"/>
  <c r="BB107" i="2" s="1"/>
  <c r="BB174" i="2" s="1"/>
  <c r="BC112" i="7"/>
  <c r="BB73" i="2" s="1"/>
  <c r="BC94" i="7"/>
  <c r="BB67" i="2" s="1"/>
  <c r="BB156" i="2" s="1"/>
  <c r="BC97" i="7"/>
  <c r="BB68" i="2" s="1"/>
  <c r="BB157" i="2" s="1"/>
  <c r="BC72" i="7"/>
  <c r="BC158" i="7"/>
  <c r="BB104" i="2" s="1"/>
  <c r="BB171" i="2" s="1"/>
  <c r="BC198" i="7"/>
  <c r="BB63" i="2" s="1"/>
  <c r="BB147" i="2" s="1"/>
  <c r="BC152" i="7"/>
  <c r="BB101" i="2" s="1"/>
  <c r="BB199" i="2" s="1"/>
  <c r="BC179" i="7"/>
  <c r="BB111" i="2" s="1"/>
  <c r="BB178" i="2" s="1"/>
  <c r="BC79" i="7"/>
  <c r="BC188" i="7"/>
  <c r="BB118" i="2" s="1"/>
  <c r="BB180" i="2" s="1"/>
  <c r="BC132" i="7"/>
  <c r="BB85" i="2" s="1"/>
  <c r="BC170" i="7"/>
  <c r="BB108" i="2" s="1"/>
  <c r="BB175" i="2" s="1"/>
  <c r="BC124" i="7"/>
  <c r="BB77" i="2" s="1"/>
  <c r="BB166" i="2" s="1"/>
  <c r="BC211" i="7"/>
  <c r="BB98" i="2" s="1"/>
  <c r="BC176" i="7"/>
  <c r="BB110" i="2" s="1"/>
  <c r="BB177" i="2" s="1"/>
  <c r="BC48" i="7"/>
  <c r="BC36" i="7"/>
  <c r="BC18" i="7"/>
  <c r="BC24" i="7"/>
  <c r="BB26" i="2" s="1"/>
  <c r="BC42" i="7"/>
  <c r="BB29" i="2" s="1"/>
  <c r="BC54" i="7"/>
  <c r="BC30" i="7"/>
  <c r="O10" i="7"/>
  <c r="O228" i="7" s="1"/>
  <c r="BA148" i="2"/>
  <c r="F52" i="2"/>
  <c r="F140" i="2"/>
  <c r="BA20" i="2"/>
  <c r="BA22" i="2" s="1"/>
  <c r="BA23" i="2" s="1"/>
  <c r="BB199" i="7"/>
  <c r="BA99" i="2" s="1"/>
  <c r="BD170" i="7"/>
  <c r="BD135" i="7"/>
  <c r="BD106" i="7"/>
  <c r="BD118" i="7"/>
  <c r="BD82" i="7"/>
  <c r="BD63" i="7"/>
  <c r="BC35" i="2" s="1"/>
  <c r="BD60" i="7"/>
  <c r="BC34" i="2" s="1"/>
  <c r="BD185" i="7"/>
  <c r="BD72" i="7"/>
  <c r="BC49" i="2" s="1"/>
  <c r="BD112" i="7"/>
  <c r="BD141" i="7"/>
  <c r="BD144" i="7"/>
  <c r="BD88" i="7"/>
  <c r="BD109" i="7"/>
  <c r="BD152" i="7"/>
  <c r="BD97" i="7"/>
  <c r="BD191" i="7"/>
  <c r="BD94" i="7"/>
  <c r="BD138" i="7"/>
  <c r="BD103" i="7"/>
  <c r="BD216" i="7"/>
  <c r="BD222" i="7"/>
  <c r="O222" i="7" s="1"/>
  <c r="BD219" i="7"/>
  <c r="O219" i="7" s="1"/>
  <c r="BD161" i="7"/>
  <c r="BD85" i="7"/>
  <c r="BD167" i="7"/>
  <c r="BD158" i="7"/>
  <c r="BD176" i="7"/>
  <c r="BD188" i="7"/>
  <c r="BD79" i="7"/>
  <c r="O79" i="7" s="1"/>
  <c r="BD100" i="7"/>
  <c r="BD179" i="7"/>
  <c r="BD155" i="7"/>
  <c r="BD132" i="7"/>
  <c r="BD211" i="7"/>
  <c r="BD115" i="7"/>
  <c r="BD173" i="7"/>
  <c r="BD129" i="7"/>
  <c r="BD69" i="7"/>
  <c r="BC38" i="2" s="1"/>
  <c r="BD121" i="7"/>
  <c r="BD164" i="7"/>
  <c r="BD149" i="7"/>
  <c r="BD91" i="7"/>
  <c r="BD124" i="7"/>
  <c r="BD66" i="7"/>
  <c r="BC37" i="2" s="1"/>
  <c r="BD182" i="7"/>
  <c r="BD18" i="7"/>
  <c r="BC25" i="2" s="1"/>
  <c r="BD197" i="7"/>
  <c r="BD42" i="7"/>
  <c r="BC29" i="2" s="1"/>
  <c r="BD54" i="7"/>
  <c r="BC31" i="2" s="1"/>
  <c r="BD24" i="7"/>
  <c r="BC26" i="2" s="1"/>
  <c r="BD30" i="7"/>
  <c r="BC27" i="2" s="1"/>
  <c r="BD36" i="7"/>
  <c r="BC28" i="2" s="1"/>
  <c r="BD198" i="7"/>
  <c r="BD196" i="7"/>
  <c r="BD48" i="7"/>
  <c r="BC30" i="2" s="1"/>
  <c r="BA32" i="2"/>
  <c r="M23" i="9"/>
  <c r="AO1" i="2"/>
  <c r="I140" i="2"/>
  <c r="I52" i="2"/>
  <c r="D334" i="12" s="1"/>
  <c r="M21" i="8"/>
  <c r="BA153" i="2"/>
  <c r="H140" i="2"/>
  <c r="H52" i="2"/>
  <c r="BA146" i="2"/>
  <c r="AZ32" i="2"/>
  <c r="AZ40" i="2" s="1"/>
  <c r="G52" i="2"/>
  <c r="G140" i="2"/>
  <c r="AL6" i="2"/>
  <c r="AK8" i="2"/>
  <c r="AK4" i="2"/>
  <c r="K25" i="16" l="1"/>
  <c r="H14" i="12"/>
  <c r="I47" i="2"/>
  <c r="B87" i="25"/>
  <c r="B89" i="25"/>
  <c r="B88" i="25"/>
  <c r="G14" i="12"/>
  <c r="H47" i="2"/>
  <c r="G15" i="12" s="1"/>
  <c r="F14" i="12"/>
  <c r="G47" i="2"/>
  <c r="F15" i="12" s="1"/>
  <c r="F47" i="2"/>
  <c r="E15" i="12" s="1"/>
  <c r="E14" i="12"/>
  <c r="H11" i="20"/>
  <c r="H12" i="20" s="1"/>
  <c r="G11" i="20"/>
  <c r="G12" i="20"/>
  <c r="E47" i="2"/>
  <c r="D15" i="12" s="1"/>
  <c r="D14" i="12"/>
  <c r="BC182" i="2"/>
  <c r="N130" i="2"/>
  <c r="BA149" i="2"/>
  <c r="BB148" i="2"/>
  <c r="BB150" i="2"/>
  <c r="O63" i="7"/>
  <c r="O64" i="7" s="1"/>
  <c r="BB191" i="2"/>
  <c r="BB190" i="2"/>
  <c r="BB189" i="2"/>
  <c r="BB169" i="2"/>
  <c r="BB168" i="2"/>
  <c r="BB167" i="2"/>
  <c r="O80" i="7"/>
  <c r="O42" i="7"/>
  <c r="O43" i="7" s="1"/>
  <c r="BB160" i="2"/>
  <c r="BB162" i="2"/>
  <c r="BA40" i="2"/>
  <c r="O60" i="7"/>
  <c r="O61" i="7" s="1"/>
  <c r="BA112" i="2"/>
  <c r="O24" i="7"/>
  <c r="O25" i="7" s="1"/>
  <c r="I297" i="12" s="1"/>
  <c r="O198" i="7"/>
  <c r="BC63" i="2"/>
  <c r="O149" i="7"/>
  <c r="O150" i="7" s="1"/>
  <c r="BC100" i="2"/>
  <c r="O188" i="7"/>
  <c r="O189" i="7" s="1"/>
  <c r="BC118" i="2"/>
  <c r="O191" i="7"/>
  <c r="O192" i="7" s="1"/>
  <c r="BC119" i="2"/>
  <c r="O97" i="7"/>
  <c r="O98" i="7" s="1"/>
  <c r="BC68" i="2"/>
  <c r="N68" i="2" s="1"/>
  <c r="M73" i="7"/>
  <c r="M31" i="7"/>
  <c r="M61" i="7"/>
  <c r="M223" i="7"/>
  <c r="M49" i="7"/>
  <c r="M80" i="7"/>
  <c r="M220" i="7"/>
  <c r="M98" i="7"/>
  <c r="M86" i="7"/>
  <c r="M130" i="7"/>
  <c r="M150" i="7"/>
  <c r="M95" i="7"/>
  <c r="M145" i="7"/>
  <c r="M119" i="7"/>
  <c r="M136" i="7"/>
  <c r="M217" i="7"/>
  <c r="M168" i="7"/>
  <c r="M37" i="7"/>
  <c r="M133" i="7"/>
  <c r="M177" i="7"/>
  <c r="M125" i="7"/>
  <c r="M116" i="7"/>
  <c r="M55" i="7"/>
  <c r="M159" i="7"/>
  <c r="M43" i="7"/>
  <c r="M139" i="7"/>
  <c r="M183" i="7"/>
  <c r="M212" i="7"/>
  <c r="M92" i="7"/>
  <c r="M153" i="7"/>
  <c r="M101" i="7"/>
  <c r="M180" i="7"/>
  <c r="M89" i="7"/>
  <c r="M25" i="7"/>
  <c r="G297" i="12" s="1"/>
  <c r="M70" i="7"/>
  <c r="M67" i="7"/>
  <c r="M162" i="7"/>
  <c r="M83" i="7"/>
  <c r="M189" i="7"/>
  <c r="M64" i="7"/>
  <c r="M113" i="7"/>
  <c r="M19" i="7"/>
  <c r="M142" i="7"/>
  <c r="M104" i="7"/>
  <c r="M156" i="7"/>
  <c r="M174" i="7"/>
  <c r="M110" i="7"/>
  <c r="M107" i="7"/>
  <c r="M122" i="7"/>
  <c r="M186" i="7"/>
  <c r="M192" i="7"/>
  <c r="M165" i="7"/>
  <c r="M171" i="7"/>
  <c r="O197" i="7"/>
  <c r="BC62" i="2"/>
  <c r="O115" i="7"/>
  <c r="O116" i="7" s="1"/>
  <c r="BC74" i="2"/>
  <c r="N74" i="2" s="1"/>
  <c r="O144" i="7"/>
  <c r="O145" i="7" s="1"/>
  <c r="BC90" i="2"/>
  <c r="N90" i="2" s="1"/>
  <c r="BB153" i="2"/>
  <c r="BC32" i="2"/>
  <c r="O211" i="7"/>
  <c r="O212" i="7" s="1"/>
  <c r="BC98" i="2"/>
  <c r="BC148" i="2" s="1"/>
  <c r="O220" i="7"/>
  <c r="O141" i="7"/>
  <c r="O142" i="7" s="1"/>
  <c r="BC89" i="2"/>
  <c r="N89" i="2" s="1"/>
  <c r="BB31" i="2"/>
  <c r="O54" i="7"/>
  <c r="O55" i="7" s="1"/>
  <c r="BB30" i="2"/>
  <c r="O48" i="7"/>
  <c r="O49" i="7" s="1"/>
  <c r="O164" i="7"/>
  <c r="O165" i="7" s="1"/>
  <c r="BC106" i="2"/>
  <c r="O121" i="7"/>
  <c r="O122" i="7" s="1"/>
  <c r="BC76" i="2"/>
  <c r="N76" i="2" s="1"/>
  <c r="BC110" i="2"/>
  <c r="O176" i="7"/>
  <c r="O177" i="7" s="1"/>
  <c r="BC75" i="2"/>
  <c r="N75" i="2" s="1"/>
  <c r="O118" i="7"/>
  <c r="O119" i="7" s="1"/>
  <c r="BC101" i="2"/>
  <c r="O152" i="7"/>
  <c r="O153" i="7" s="1"/>
  <c r="O109" i="7"/>
  <c r="O110" i="7" s="1"/>
  <c r="BC72" i="2"/>
  <c r="N72" i="2" s="1"/>
  <c r="O170" i="7"/>
  <c r="O171" i="7" s="1"/>
  <c r="BC108" i="2"/>
  <c r="AZ41" i="2"/>
  <c r="AZ43" i="2" s="1"/>
  <c r="AZ51" i="2"/>
  <c r="AS115" i="10" s="1"/>
  <c r="AP1" i="2"/>
  <c r="O182" i="7"/>
  <c r="O183" i="7" s="1"/>
  <c r="BC116" i="2"/>
  <c r="BC85" i="2"/>
  <c r="N85" i="2" s="1"/>
  <c r="O132" i="7"/>
  <c r="O133" i="7" s="1"/>
  <c r="O223" i="7"/>
  <c r="O112" i="7"/>
  <c r="O113" i="7" s="1"/>
  <c r="BC73" i="2"/>
  <c r="N73" i="2" s="1"/>
  <c r="BC60" i="2"/>
  <c r="O82" i="7"/>
  <c r="O83" i="7" s="1"/>
  <c r="BB37" i="2"/>
  <c r="O66" i="7"/>
  <c r="O67" i="7" s="1"/>
  <c r="BB152" i="2"/>
  <c r="O167" i="7"/>
  <c r="O168" i="7" s="1"/>
  <c r="BC107" i="2"/>
  <c r="BC105" i="2"/>
  <c r="O161" i="7"/>
  <c r="O162" i="7" s="1"/>
  <c r="BB27" i="2"/>
  <c r="O30" i="7"/>
  <c r="O31" i="7" s="1"/>
  <c r="N23" i="9"/>
  <c r="O155" i="7"/>
  <c r="O156" i="7" s="1"/>
  <c r="BC102" i="2"/>
  <c r="BC81" i="2"/>
  <c r="BC167" i="2" s="1"/>
  <c r="O216" i="7"/>
  <c r="O217" i="7" s="1"/>
  <c r="BB49" i="2"/>
  <c r="O72" i="7"/>
  <c r="O73" i="7" s="1"/>
  <c r="O158" i="7"/>
  <c r="O159" i="7" s="1"/>
  <c r="BC104" i="2"/>
  <c r="BC71" i="2"/>
  <c r="N71" i="2" s="1"/>
  <c r="O106" i="7"/>
  <c r="O107" i="7" s="1"/>
  <c r="L31" i="7"/>
  <c r="L73" i="7"/>
  <c r="L80" i="7"/>
  <c r="L223" i="7"/>
  <c r="L37" i="7"/>
  <c r="L220" i="7"/>
  <c r="L171" i="7"/>
  <c r="L19" i="7"/>
  <c r="L139" i="7"/>
  <c r="L101" i="7"/>
  <c r="L119" i="7"/>
  <c r="L67" i="7"/>
  <c r="L217" i="7"/>
  <c r="L130" i="7"/>
  <c r="L55" i="7"/>
  <c r="L133" i="7"/>
  <c r="L174" i="7"/>
  <c r="L107" i="7"/>
  <c r="L95" i="7"/>
  <c r="L49" i="7"/>
  <c r="L180" i="7"/>
  <c r="L61" i="7"/>
  <c r="L136" i="7"/>
  <c r="L186" i="7"/>
  <c r="L145" i="7"/>
  <c r="L153" i="7"/>
  <c r="L165" i="7"/>
  <c r="L177" i="7"/>
  <c r="L25" i="7"/>
  <c r="F297" i="12" s="1"/>
  <c r="L92" i="7"/>
  <c r="L70" i="7"/>
  <c r="L189" i="7"/>
  <c r="L43" i="7"/>
  <c r="L104" i="7"/>
  <c r="L116" i="7"/>
  <c r="L183" i="7"/>
  <c r="L113" i="7"/>
  <c r="L142" i="7"/>
  <c r="L83" i="7"/>
  <c r="L156" i="7"/>
  <c r="L159" i="7"/>
  <c r="L192" i="7"/>
  <c r="L122" i="7"/>
  <c r="L110" i="7"/>
  <c r="L89" i="7"/>
  <c r="L162" i="7"/>
  <c r="L168" i="7"/>
  <c r="L64" i="7"/>
  <c r="L98" i="7"/>
  <c r="L125" i="7"/>
  <c r="L86" i="7"/>
  <c r="L212" i="7"/>
  <c r="L150" i="7"/>
  <c r="N21" i="8"/>
  <c r="O135" i="7"/>
  <c r="O136" i="7" s="1"/>
  <c r="BC86" i="2"/>
  <c r="N86" i="2" s="1"/>
  <c r="BC109" i="2"/>
  <c r="O173" i="7"/>
  <c r="O174" i="7" s="1"/>
  <c r="O124" i="7"/>
  <c r="O125" i="7" s="1"/>
  <c r="BC77" i="2"/>
  <c r="N77" i="2" s="1"/>
  <c r="O179" i="7"/>
  <c r="O180" i="7" s="1"/>
  <c r="BC111" i="2"/>
  <c r="O103" i="7"/>
  <c r="O104" i="7" s="1"/>
  <c r="BC70" i="2"/>
  <c r="N70" i="2" s="1"/>
  <c r="O185" i="7"/>
  <c r="O186" i="7" s="1"/>
  <c r="BC117" i="2"/>
  <c r="BB25" i="2"/>
  <c r="O18" i="7"/>
  <c r="O19" i="7" s="1"/>
  <c r="O94" i="7"/>
  <c r="O95" i="7" s="1"/>
  <c r="BC67" i="2"/>
  <c r="N67" i="2" s="1"/>
  <c r="BC84" i="2"/>
  <c r="N84" i="2" s="1"/>
  <c r="O129" i="7"/>
  <c r="O130" i="7" s="1"/>
  <c r="BC64" i="2"/>
  <c r="N64" i="2" s="1"/>
  <c r="O85" i="7"/>
  <c r="O86" i="7" s="1"/>
  <c r="O88" i="7"/>
  <c r="O89" i="7" s="1"/>
  <c r="BC65" i="2"/>
  <c r="N65" i="2" s="1"/>
  <c r="O69" i="7"/>
  <c r="O70" i="7" s="1"/>
  <c r="O196" i="7"/>
  <c r="BC61" i="2"/>
  <c r="O91" i="7"/>
  <c r="O92" i="7" s="1"/>
  <c r="BC66" i="2"/>
  <c r="N66" i="2" s="1"/>
  <c r="O100" i="7"/>
  <c r="O101" i="7" s="1"/>
  <c r="BC69" i="2"/>
  <c r="N69" i="2" s="1"/>
  <c r="O138" i="7"/>
  <c r="O139" i="7" s="1"/>
  <c r="BC88" i="2"/>
  <c r="N88" i="2" s="1"/>
  <c r="BB28" i="2"/>
  <c r="O36" i="7"/>
  <c r="O37" i="7" s="1"/>
  <c r="AM6" i="2"/>
  <c r="AL8" i="2"/>
  <c r="AL4" i="2"/>
  <c r="B61" i="25" l="1"/>
  <c r="B59" i="25"/>
  <c r="B60" i="25"/>
  <c r="D333" i="12"/>
  <c r="H15" i="12"/>
  <c r="B58" i="25"/>
  <c r="AZ44" i="2"/>
  <c r="N101" i="2"/>
  <c r="BC199" i="2"/>
  <c r="N102" i="2"/>
  <c r="BC200" i="2"/>
  <c r="BC191" i="2"/>
  <c r="BC190" i="2"/>
  <c r="BC189" i="2"/>
  <c r="N117" i="2"/>
  <c r="BC179" i="2"/>
  <c r="N118" i="2"/>
  <c r="BC180" i="2"/>
  <c r="N119" i="2"/>
  <c r="BC181" i="2"/>
  <c r="N106" i="2"/>
  <c r="BC173" i="2"/>
  <c r="N110" i="2"/>
  <c r="BC177" i="2"/>
  <c r="N111" i="2"/>
  <c r="BC178" i="2"/>
  <c r="N109" i="2"/>
  <c r="BC176" i="2"/>
  <c r="N105" i="2"/>
  <c r="BC172" i="2"/>
  <c r="N108" i="2"/>
  <c r="BC175" i="2"/>
  <c r="N107" i="2"/>
  <c r="BC174" i="2"/>
  <c r="N104" i="2"/>
  <c r="BC171" i="2"/>
  <c r="BC170" i="2"/>
  <c r="BC168" i="2"/>
  <c r="BC169" i="2"/>
  <c r="BC159" i="2"/>
  <c r="BC164" i="2"/>
  <c r="BC165" i="2"/>
  <c r="BC162" i="2"/>
  <c r="BC166" i="2"/>
  <c r="BC161" i="2"/>
  <c r="BC163" i="2"/>
  <c r="BC158" i="2"/>
  <c r="BC160" i="2"/>
  <c r="BC156" i="2"/>
  <c r="BC157" i="2"/>
  <c r="BA51" i="2"/>
  <c r="AT115" i="10" s="1"/>
  <c r="BA41" i="2"/>
  <c r="BA43" i="2" s="1"/>
  <c r="BC155" i="2"/>
  <c r="BC154" i="2"/>
  <c r="BC145" i="2"/>
  <c r="N61" i="2"/>
  <c r="BB32" i="2"/>
  <c r="BC146" i="2"/>
  <c r="N62" i="2"/>
  <c r="BC150" i="2"/>
  <c r="N100" i="2"/>
  <c r="O23" i="9"/>
  <c r="AZ52" i="2"/>
  <c r="AZ140" i="2"/>
  <c r="N116" i="2"/>
  <c r="O21" i="8"/>
  <c r="N81" i="2"/>
  <c r="BC147" i="2"/>
  <c r="N63" i="2"/>
  <c r="N60" i="2"/>
  <c r="BC152" i="2"/>
  <c r="AQ1" i="2"/>
  <c r="BC153" i="2"/>
  <c r="AN6" i="2"/>
  <c r="AM8" i="2"/>
  <c r="AM4" i="2"/>
  <c r="F61" i="25" l="1"/>
  <c r="B86" i="25"/>
  <c r="B90" i="25" s="1"/>
  <c r="BA44" i="2"/>
  <c r="BA52" i="2"/>
  <c r="BA140" i="2"/>
  <c r="AR1" i="2"/>
  <c r="AO6" i="2"/>
  <c r="AN8" i="2"/>
  <c r="AN4" i="2"/>
  <c r="AS1" i="2" l="1"/>
  <c r="AP6" i="2"/>
  <c r="AO8" i="2"/>
  <c r="AO4" i="2"/>
  <c r="AT1" i="2" l="1"/>
  <c r="AQ6" i="2"/>
  <c r="AP4" i="2"/>
  <c r="AP8" i="2"/>
  <c r="AU1" i="2" l="1"/>
  <c r="AR6" i="2"/>
  <c r="AQ4" i="2"/>
  <c r="AQ8" i="2"/>
  <c r="AV1" i="2" l="1"/>
  <c r="AS6" i="2"/>
  <c r="AR4" i="2"/>
  <c r="AR8" i="2"/>
  <c r="AW1" i="2" l="1"/>
  <c r="AT6" i="2"/>
  <c r="AS8" i="2"/>
  <c r="AS4" i="2"/>
  <c r="AX1" i="2" l="1"/>
  <c r="AU6" i="2"/>
  <c r="AT8" i="2"/>
  <c r="AT4" i="2"/>
  <c r="AY1" i="2" l="1"/>
  <c r="AV6" i="2"/>
  <c r="AU8" i="2"/>
  <c r="AU4" i="2"/>
  <c r="AZ1" i="2" l="1"/>
  <c r="AW6" i="2"/>
  <c r="AV8" i="2"/>
  <c r="AV4" i="2"/>
  <c r="BA1" i="2" l="1"/>
  <c r="AX6" i="2"/>
  <c r="AW8" i="2"/>
  <c r="AW4" i="2"/>
  <c r="BB1" i="2" l="1"/>
  <c r="AY6" i="2"/>
  <c r="AX8" i="2"/>
  <c r="AX4" i="2"/>
  <c r="BC1" i="2" l="1"/>
  <c r="J146" i="2" s="1"/>
  <c r="M150" i="2"/>
  <c r="N147" i="2"/>
  <c r="N28" i="2"/>
  <c r="N148" i="2"/>
  <c r="N37" i="2"/>
  <c r="N49" i="2"/>
  <c r="N27" i="2"/>
  <c r="BR49" i="12" s="1"/>
  <c r="M146" i="2"/>
  <c r="AZ6" i="2"/>
  <c r="AY8" i="2"/>
  <c r="AY4" i="2"/>
  <c r="I329" i="12" l="1"/>
  <c r="I330" i="12" s="1"/>
  <c r="BR50" i="12"/>
  <c r="BR48" i="12" s="1"/>
  <c r="BS54" i="12" s="1"/>
  <c r="BS55" i="12" s="1"/>
  <c r="J199" i="2"/>
  <c r="N196" i="2"/>
  <c r="K196" i="2"/>
  <c r="L196" i="2"/>
  <c r="M196" i="2"/>
  <c r="J196" i="2"/>
  <c r="M199" i="2"/>
  <c r="K199" i="2"/>
  <c r="L199" i="2"/>
  <c r="N199" i="2"/>
  <c r="J191" i="2"/>
  <c r="J190" i="2"/>
  <c r="K190" i="2"/>
  <c r="L191" i="2"/>
  <c r="K189" i="2"/>
  <c r="K191" i="2"/>
  <c r="L189" i="2"/>
  <c r="L190" i="2"/>
  <c r="M190" i="2"/>
  <c r="M191" i="2"/>
  <c r="M189" i="2"/>
  <c r="J189" i="2"/>
  <c r="N191" i="2"/>
  <c r="N189" i="2"/>
  <c r="N190" i="2"/>
  <c r="J182" i="2"/>
  <c r="M182" i="2"/>
  <c r="L182" i="2"/>
  <c r="N182" i="2"/>
  <c r="K182" i="2"/>
  <c r="J158" i="2"/>
  <c r="L178" i="2"/>
  <c r="J172" i="2"/>
  <c r="J162" i="2"/>
  <c r="J165" i="2"/>
  <c r="J167" i="2"/>
  <c r="J163" i="2"/>
  <c r="J155" i="2"/>
  <c r="K177" i="2"/>
  <c r="K174" i="2"/>
  <c r="L166" i="2"/>
  <c r="K158" i="2"/>
  <c r="J168" i="2"/>
  <c r="J156" i="2"/>
  <c r="K178" i="2"/>
  <c r="K163" i="2"/>
  <c r="J170" i="2"/>
  <c r="J166" i="2"/>
  <c r="K181" i="2"/>
  <c r="K157" i="2"/>
  <c r="K169" i="2"/>
  <c r="J157" i="2"/>
  <c r="L170" i="2"/>
  <c r="L161" i="2"/>
  <c r="K167" i="2"/>
  <c r="K160" i="2"/>
  <c r="K175" i="2"/>
  <c r="J160" i="2"/>
  <c r="L169" i="2"/>
  <c r="K162" i="2"/>
  <c r="L173" i="2"/>
  <c r="J177" i="2"/>
  <c r="K165" i="2"/>
  <c r="L160" i="2"/>
  <c r="L164" i="2"/>
  <c r="K173" i="2"/>
  <c r="J161" i="2"/>
  <c r="J169" i="2"/>
  <c r="M177" i="2"/>
  <c r="J154" i="2"/>
  <c r="K156" i="2"/>
  <c r="K154" i="2"/>
  <c r="K170" i="2"/>
  <c r="K180" i="2"/>
  <c r="K172" i="2"/>
  <c r="K179" i="2"/>
  <c r="K159" i="2"/>
  <c r="K176" i="2"/>
  <c r="L163" i="2"/>
  <c r="K166" i="2"/>
  <c r="L154" i="2"/>
  <c r="L165" i="2"/>
  <c r="K168" i="2"/>
  <c r="K155" i="2"/>
  <c r="M162" i="2"/>
  <c r="K164" i="2"/>
  <c r="M155" i="2"/>
  <c r="L181" i="2"/>
  <c r="M165" i="2"/>
  <c r="L171" i="2"/>
  <c r="K171" i="2"/>
  <c r="M164" i="2"/>
  <c r="L180" i="2"/>
  <c r="L177" i="2"/>
  <c r="M180" i="2"/>
  <c r="L158" i="2"/>
  <c r="L175" i="2"/>
  <c r="L172" i="2"/>
  <c r="L155" i="2"/>
  <c r="M181" i="2"/>
  <c r="K161" i="2"/>
  <c r="L174" i="2"/>
  <c r="L176" i="2"/>
  <c r="M159" i="2"/>
  <c r="L168" i="2"/>
  <c r="M154" i="2"/>
  <c r="M169" i="2"/>
  <c r="L156" i="2"/>
  <c r="M168" i="2"/>
  <c r="L159" i="2"/>
  <c r="M158" i="2"/>
  <c r="L157" i="2"/>
  <c r="M161" i="2"/>
  <c r="M170" i="2"/>
  <c r="M178" i="2"/>
  <c r="L179" i="2"/>
  <c r="M167" i="2"/>
  <c r="M171" i="2"/>
  <c r="L162" i="2"/>
  <c r="M175" i="2"/>
  <c r="M163" i="2"/>
  <c r="M172" i="2"/>
  <c r="M160" i="2"/>
  <c r="M179" i="2"/>
  <c r="M174" i="2"/>
  <c r="M156" i="2"/>
  <c r="M176" i="2"/>
  <c r="N177" i="2"/>
  <c r="L167" i="2"/>
  <c r="M166" i="2"/>
  <c r="N154" i="2"/>
  <c r="M157" i="2"/>
  <c r="M173" i="2"/>
  <c r="N160" i="2"/>
  <c r="N167" i="2"/>
  <c r="N155" i="2"/>
  <c r="N161" i="2"/>
  <c r="N175" i="2"/>
  <c r="N170" i="2"/>
  <c r="J176" i="2"/>
  <c r="N162" i="2"/>
  <c r="N156" i="2"/>
  <c r="N163" i="2"/>
  <c r="N166" i="2"/>
  <c r="J178" i="2"/>
  <c r="N168" i="2"/>
  <c r="J179" i="2"/>
  <c r="N157" i="2"/>
  <c r="N172" i="2"/>
  <c r="J181" i="2"/>
  <c r="N169" i="2"/>
  <c r="N165" i="2"/>
  <c r="J164" i="2"/>
  <c r="J174" i="2"/>
  <c r="N173" i="2"/>
  <c r="N178" i="2"/>
  <c r="N179" i="2"/>
  <c r="N176" i="2"/>
  <c r="J171" i="2"/>
  <c r="N158" i="2"/>
  <c r="N181" i="2"/>
  <c r="N159" i="2"/>
  <c r="N164" i="2"/>
  <c r="N180" i="2"/>
  <c r="J159" i="2"/>
  <c r="N171" i="2"/>
  <c r="N174" i="2"/>
  <c r="J173" i="2"/>
  <c r="J180" i="2"/>
  <c r="J13" i="2"/>
  <c r="AG75" i="12" s="1"/>
  <c r="AG79" i="12" s="1"/>
  <c r="AG86" i="12" s="1"/>
  <c r="L14" i="2"/>
  <c r="L35" i="2"/>
  <c r="K153" i="2"/>
  <c r="N14" i="2"/>
  <c r="L152" i="2"/>
  <c r="L153" i="2"/>
  <c r="L26" i="2"/>
  <c r="K147" i="2"/>
  <c r="J175" i="2"/>
  <c r="L25" i="2"/>
  <c r="M28" i="2"/>
  <c r="L31" i="2"/>
  <c r="K37" i="2"/>
  <c r="M31" i="2"/>
  <c r="J31" i="2"/>
  <c r="N34" i="2"/>
  <c r="K26" i="2"/>
  <c r="K28" i="2"/>
  <c r="J37" i="2"/>
  <c r="J150" i="2"/>
  <c r="L36" i="2"/>
  <c r="M153" i="2"/>
  <c r="M27" i="2"/>
  <c r="BQ49" i="12" s="1"/>
  <c r="L34" i="2"/>
  <c r="K29" i="2"/>
  <c r="M145" i="2"/>
  <c r="M13" i="2"/>
  <c r="AJ75" i="12" s="1"/>
  <c r="AJ79" i="12" s="1"/>
  <c r="AJ86" i="12" s="1"/>
  <c r="J26" i="2"/>
  <c r="J153" i="2"/>
  <c r="K25" i="2"/>
  <c r="K14" i="2"/>
  <c r="L147" i="2"/>
  <c r="J205" i="2"/>
  <c r="K30" i="2"/>
  <c r="L205" i="2"/>
  <c r="M35" i="2"/>
  <c r="M34" i="2"/>
  <c r="J148" i="2"/>
  <c r="M147" i="2"/>
  <c r="M36" i="2"/>
  <c r="J152" i="2"/>
  <c r="K36" i="2"/>
  <c r="L37" i="2"/>
  <c r="N146" i="2"/>
  <c r="J36" i="2"/>
  <c r="K31" i="2"/>
  <c r="K49" i="2"/>
  <c r="L28" i="2"/>
  <c r="J145" i="2"/>
  <c r="L13" i="2"/>
  <c r="AI75" i="12" s="1"/>
  <c r="AI79" i="12" s="1"/>
  <c r="AI86" i="12" s="1"/>
  <c r="K150" i="2"/>
  <c r="N25" i="2"/>
  <c r="K205" i="2"/>
  <c r="N31" i="2"/>
  <c r="N35" i="2"/>
  <c r="N26" i="2"/>
  <c r="M148" i="2"/>
  <c r="M25" i="2"/>
  <c r="L49" i="2"/>
  <c r="M38" i="2"/>
  <c r="L146" i="2"/>
  <c r="J29" i="2"/>
  <c r="N30" i="2"/>
  <c r="K27" i="2"/>
  <c r="BO49" i="12" s="1"/>
  <c r="K152" i="2"/>
  <c r="K34" i="2"/>
  <c r="M205" i="2"/>
  <c r="N29" i="2"/>
  <c r="M30" i="2"/>
  <c r="N13" i="2"/>
  <c r="AK75" i="12" s="1"/>
  <c r="AK79" i="12" s="1"/>
  <c r="AK86" i="12" s="1"/>
  <c r="N205" i="2"/>
  <c r="L38" i="2"/>
  <c r="N150" i="2"/>
  <c r="J147" i="2"/>
  <c r="L150" i="2"/>
  <c r="K148" i="2"/>
  <c r="M29" i="2"/>
  <c r="K145" i="2"/>
  <c r="N36" i="2"/>
  <c r="L29" i="2"/>
  <c r="M14" i="2"/>
  <c r="J34" i="2"/>
  <c r="J30" i="2"/>
  <c r="M152" i="2"/>
  <c r="N38" i="2"/>
  <c r="N152" i="2"/>
  <c r="J14" i="2"/>
  <c r="N145" i="2"/>
  <c r="M26" i="2"/>
  <c r="K35" i="2"/>
  <c r="M37" i="2"/>
  <c r="M49" i="2"/>
  <c r="J49" i="2"/>
  <c r="K38" i="2"/>
  <c r="L145" i="2"/>
  <c r="N153" i="2"/>
  <c r="J25" i="2"/>
  <c r="L27" i="2"/>
  <c r="BP49" i="12" s="1"/>
  <c r="J35" i="2"/>
  <c r="L30" i="2"/>
  <c r="J28" i="2"/>
  <c r="J38" i="2"/>
  <c r="J27" i="2"/>
  <c r="BN49" i="12" s="1"/>
  <c r="L148" i="2"/>
  <c r="K146" i="2"/>
  <c r="K13" i="2"/>
  <c r="AH75" i="12" s="1"/>
  <c r="AH79" i="12" s="1"/>
  <c r="AH86" i="12" s="1"/>
  <c r="BA6" i="2"/>
  <c r="AZ8" i="2"/>
  <c r="AZ4" i="2"/>
  <c r="E329" i="12" l="1"/>
  <c r="E330" i="12" s="1"/>
  <c r="BN50" i="12"/>
  <c r="BN48" i="12" s="1"/>
  <c r="BO54" i="12" s="1"/>
  <c r="BO55" i="12" s="1"/>
  <c r="G329" i="12"/>
  <c r="G330" i="12" s="1"/>
  <c r="BP50" i="12"/>
  <c r="BP48" i="12" s="1"/>
  <c r="BQ54" i="12" s="1"/>
  <c r="BQ55" i="12" s="1"/>
  <c r="F329" i="12"/>
  <c r="F330" i="12" s="1"/>
  <c r="BO50" i="12"/>
  <c r="BO48" i="12" s="1"/>
  <c r="BP54" i="12" s="1"/>
  <c r="BP55" i="12" s="1"/>
  <c r="H329" i="12"/>
  <c r="H330" i="12" s="1"/>
  <c r="BQ50" i="12"/>
  <c r="BQ48" i="12" s="1"/>
  <c r="BR54" i="12" s="1"/>
  <c r="BR55" i="12" s="1"/>
  <c r="I296" i="12"/>
  <c r="AK76" i="12"/>
  <c r="AK80" i="12" s="1"/>
  <c r="AK85" i="12" s="1"/>
  <c r="G296" i="12"/>
  <c r="AI76" i="12"/>
  <c r="AI80" i="12" s="1"/>
  <c r="AI85" i="12" s="1"/>
  <c r="H296" i="12"/>
  <c r="AJ76" i="12"/>
  <c r="AJ80" i="12" s="1"/>
  <c r="AJ85" i="12" s="1"/>
  <c r="F296" i="12"/>
  <c r="AH76" i="12"/>
  <c r="AH80" i="12" s="1"/>
  <c r="AH85" i="12" s="1"/>
  <c r="E296" i="12"/>
  <c r="AG76" i="12"/>
  <c r="M32" i="2"/>
  <c r="M15" i="2"/>
  <c r="M17" i="2" s="1"/>
  <c r="M18" i="2"/>
  <c r="L15" i="2"/>
  <c r="L18" i="2" s="1"/>
  <c r="K32" i="2"/>
  <c r="N15" i="2"/>
  <c r="N18" i="2" s="1"/>
  <c r="J32" i="2"/>
  <c r="N32" i="2"/>
  <c r="K15" i="2"/>
  <c r="K18" i="2" s="1"/>
  <c r="L32" i="2"/>
  <c r="J15" i="2"/>
  <c r="J17" i="2"/>
  <c r="BB6" i="2"/>
  <c r="BA8" i="2"/>
  <c r="BA4" i="2"/>
  <c r="AG80" i="12" l="1"/>
  <c r="AF82" i="12"/>
  <c r="K17" i="2"/>
  <c r="M19" i="9"/>
  <c r="M17" i="8"/>
  <c r="K17" i="8"/>
  <c r="K19" i="9"/>
  <c r="J18" i="2"/>
  <c r="L17" i="2"/>
  <c r="O17" i="8"/>
  <c r="O19" i="9"/>
  <c r="L19" i="9"/>
  <c r="L17" i="8"/>
  <c r="N17" i="2"/>
  <c r="N17" i="8"/>
  <c r="N19" i="9"/>
  <c r="BC6" i="2"/>
  <c r="BB4" i="2"/>
  <c r="BB8" i="2"/>
  <c r="AG85" i="12" l="1"/>
  <c r="AG82" i="12"/>
  <c r="O20" i="8"/>
  <c r="O18" i="8"/>
  <c r="L18" i="8"/>
  <c r="L20" i="8"/>
  <c r="L20" i="9"/>
  <c r="L22" i="9"/>
  <c r="O20" i="9"/>
  <c r="O22" i="9"/>
  <c r="N20" i="9"/>
  <c r="N22" i="9"/>
  <c r="M18" i="8"/>
  <c r="M20" i="8"/>
  <c r="K20" i="9"/>
  <c r="K22" i="9"/>
  <c r="K20" i="8"/>
  <c r="K18" i="8"/>
  <c r="N18" i="8"/>
  <c r="N20" i="8"/>
  <c r="M20" i="9"/>
  <c r="M22" i="9"/>
  <c r="BC4" i="2"/>
  <c r="BC8" i="2"/>
  <c r="AW188" i="2" l="1"/>
  <c r="AV188" i="2"/>
  <c r="AX188" i="2"/>
  <c r="AY188" i="2"/>
  <c r="AR188" i="2"/>
  <c r="AS188" i="2"/>
  <c r="AT188" i="2"/>
  <c r="AU188" i="2"/>
  <c r="AZ188" i="2"/>
  <c r="BC188" i="2"/>
  <c r="BA188" i="2"/>
  <c r="BB188" i="2"/>
  <c r="AN188" i="2"/>
  <c r="AP188" i="2"/>
  <c r="AO188" i="2"/>
  <c r="AQ188" i="2"/>
  <c r="AK188" i="2"/>
  <c r="AL188" i="2"/>
  <c r="AM188" i="2"/>
  <c r="AJ188" i="2"/>
  <c r="M29" i="8"/>
  <c r="M43" i="8" s="1"/>
  <c r="AR187" i="2"/>
  <c r="AS187" i="2"/>
  <c r="AT187" i="2"/>
  <c r="AU187" i="2"/>
  <c r="N29" i="8"/>
  <c r="N43" i="8" s="1"/>
  <c r="AV187" i="2"/>
  <c r="AW187" i="2"/>
  <c r="AW192" i="2" s="1"/>
  <c r="AX187" i="2"/>
  <c r="AY187" i="2"/>
  <c r="L29" i="8"/>
  <c r="L43" i="8" s="1"/>
  <c r="AN187" i="2"/>
  <c r="AO187" i="2"/>
  <c r="AP187" i="2"/>
  <c r="AQ187" i="2"/>
  <c r="K29" i="8"/>
  <c r="K43" i="8" s="1"/>
  <c r="AJ187" i="2"/>
  <c r="AK187" i="2"/>
  <c r="AL187" i="2"/>
  <c r="AM187" i="2"/>
  <c r="O29" i="8"/>
  <c r="O43" i="8" s="1"/>
  <c r="AZ187" i="2"/>
  <c r="BA187" i="2"/>
  <c r="BB187" i="2"/>
  <c r="BC187" i="2"/>
  <c r="N38" i="9"/>
  <c r="N39" i="9"/>
  <c r="N84" i="9" s="1"/>
  <c r="N41" i="9"/>
  <c r="N102" i="9" s="1"/>
  <c r="N44" i="9"/>
  <c r="O41" i="9"/>
  <c r="O102" i="9" s="1"/>
  <c r="O38" i="9"/>
  <c r="O44" i="9"/>
  <c r="O39" i="9"/>
  <c r="O84" i="9" s="1"/>
  <c r="L39" i="9"/>
  <c r="L84" i="9" s="1"/>
  <c r="L38" i="9"/>
  <c r="L41" i="9"/>
  <c r="L102" i="9" s="1"/>
  <c r="L44" i="9"/>
  <c r="M41" i="9"/>
  <c r="M102" i="9" s="1"/>
  <c r="M38" i="9"/>
  <c r="M39" i="9"/>
  <c r="M84" i="9" s="1"/>
  <c r="M44" i="9"/>
  <c r="K41" i="9"/>
  <c r="K44" i="9"/>
  <c r="K34" i="9" s="1"/>
  <c r="K38" i="9"/>
  <c r="K39" i="9"/>
  <c r="J12" i="7"/>
  <c r="J13" i="7" s="1"/>
  <c r="AI13" i="7"/>
  <c r="AM15" i="7" s="1"/>
  <c r="AJ13" i="7"/>
  <c r="AN15" i="7" s="1"/>
  <c r="AS192" i="2" l="1"/>
  <c r="AT192" i="2"/>
  <c r="AQ192" i="2"/>
  <c r="AP192" i="2"/>
  <c r="AO192" i="2"/>
  <c r="AY192" i="2"/>
  <c r="AX192" i="2"/>
  <c r="AK192" i="2"/>
  <c r="AM192" i="2"/>
  <c r="AL192" i="2"/>
  <c r="BB192" i="2"/>
  <c r="AN192" i="2"/>
  <c r="K187" i="2"/>
  <c r="J188" i="2"/>
  <c r="L188" i="2"/>
  <c r="N188" i="2"/>
  <c r="AZ192" i="2"/>
  <c r="N187" i="2"/>
  <c r="BC192" i="2"/>
  <c r="AV192" i="2"/>
  <c r="M187" i="2"/>
  <c r="M188" i="2"/>
  <c r="AR192" i="2"/>
  <c r="L187" i="2"/>
  <c r="BA192" i="2"/>
  <c r="K26" i="8"/>
  <c r="L26" i="8" s="1"/>
  <c r="M26" i="8" s="1"/>
  <c r="N26" i="8" s="1"/>
  <c r="O26" i="8" s="1"/>
  <c r="AJ192" i="2"/>
  <c r="J187" i="2"/>
  <c r="AU192" i="2"/>
  <c r="K188" i="2"/>
  <c r="K29" i="9"/>
  <c r="L29" i="9" s="1"/>
  <c r="M29" i="9" s="1"/>
  <c r="N29" i="9" s="1"/>
  <c r="O29" i="9" s="1"/>
  <c r="K84" i="9"/>
  <c r="D90" i="9" s="1" a="1"/>
  <c r="K28" i="9"/>
  <c r="K45" i="9"/>
  <c r="K66" i="9"/>
  <c r="K31" i="9"/>
  <c r="L31" i="9" s="1"/>
  <c r="M31" i="9" s="1"/>
  <c r="N31" i="9" s="1"/>
  <c r="O31" i="9" s="1"/>
  <c r="K102" i="9"/>
  <c r="D108" i="9" s="1" a="1"/>
  <c r="O66" i="9"/>
  <c r="O45" i="9"/>
  <c r="L34" i="9"/>
  <c r="M34" i="9" s="1"/>
  <c r="N34" i="9" s="1"/>
  <c r="O34" i="9" s="1"/>
  <c r="L66" i="9"/>
  <c r="L45" i="9"/>
  <c r="D49" i="8" a="1"/>
  <c r="M45" i="9"/>
  <c r="M66" i="9"/>
  <c r="N66" i="9"/>
  <c r="N45" i="9"/>
  <c r="AN13" i="7"/>
  <c r="AN12" i="7" s="1"/>
  <c r="AR15" i="7"/>
  <c r="AN16" i="7"/>
  <c r="AN14" i="7"/>
  <c r="AM13" i="7"/>
  <c r="AM12" i="7" s="1"/>
  <c r="AQ15" i="7"/>
  <c r="AM14" i="7"/>
  <c r="AM16" i="7"/>
  <c r="M14" i="20" l="1"/>
  <c r="N14" i="20"/>
  <c r="L14" i="20"/>
  <c r="K14" i="20"/>
  <c r="O14" i="20"/>
  <c r="K192" i="2"/>
  <c r="L192" i="2"/>
  <c r="J192" i="2"/>
  <c r="M192" i="2"/>
  <c r="N192" i="2"/>
  <c r="M109" i="9"/>
  <c r="N109" i="9"/>
  <c r="N110" i="9"/>
  <c r="O109" i="9"/>
  <c r="O111" i="9"/>
  <c r="L109" i="9"/>
  <c r="O110" i="9"/>
  <c r="M110" i="9"/>
  <c r="D108" i="9"/>
  <c r="O112" i="9"/>
  <c r="N111" i="9"/>
  <c r="D72" i="9" a="1"/>
  <c r="K35" i="9"/>
  <c r="L28" i="9"/>
  <c r="M91" i="9"/>
  <c r="N92" i="9"/>
  <c r="N93" i="9"/>
  <c r="D90" i="9"/>
  <c r="N91" i="9"/>
  <c r="O92" i="9"/>
  <c r="O93" i="9"/>
  <c r="O91" i="9"/>
  <c r="M92" i="9"/>
  <c r="L91" i="9"/>
  <c r="O94" i="9"/>
  <c r="N52" i="8"/>
  <c r="O52" i="8"/>
  <c r="D49" i="8"/>
  <c r="L50" i="8"/>
  <c r="O53" i="8"/>
  <c r="O51" i="8"/>
  <c r="M50" i="8"/>
  <c r="N51" i="8"/>
  <c r="O50" i="8"/>
  <c r="M51" i="8"/>
  <c r="N50" i="8"/>
  <c r="AM199" i="7"/>
  <c r="AL99" i="2" s="1"/>
  <c r="AM20" i="2"/>
  <c r="AM22" i="2" s="1"/>
  <c r="AM23" i="2" s="1"/>
  <c r="AN199" i="7"/>
  <c r="K12" i="7"/>
  <c r="K13" i="7" s="1"/>
  <c r="AL20" i="2"/>
  <c r="AQ13" i="7"/>
  <c r="AQ12" i="7" s="1"/>
  <c r="AU15" i="7"/>
  <c r="AQ16" i="7"/>
  <c r="AQ14" i="7"/>
  <c r="AV15" i="7"/>
  <c r="AR13" i="7"/>
  <c r="AR12" i="7" s="1"/>
  <c r="AR16" i="7"/>
  <c r="AR14" i="7"/>
  <c r="AL149" i="2" l="1"/>
  <c r="J200" i="2"/>
  <c r="M108" i="9"/>
  <c r="M113" i="9" s="1"/>
  <c r="M103" i="9" s="1"/>
  <c r="K108" i="9"/>
  <c r="K113" i="9" s="1"/>
  <c r="K103" i="9" s="1"/>
  <c r="K104" i="9" s="1"/>
  <c r="L101" i="9" s="1"/>
  <c r="N108" i="9"/>
  <c r="N113" i="9" s="1"/>
  <c r="N103" i="9" s="1"/>
  <c r="O108" i="9"/>
  <c r="O113" i="9" s="1"/>
  <c r="O103" i="9" s="1"/>
  <c r="L108" i="9"/>
  <c r="L113" i="9" s="1"/>
  <c r="L103" i="9" s="1"/>
  <c r="L90" i="9"/>
  <c r="L95" i="9" s="1"/>
  <c r="L85" i="9" s="1"/>
  <c r="O90" i="9"/>
  <c r="O95" i="9" s="1"/>
  <c r="O85" i="9" s="1"/>
  <c r="M90" i="9"/>
  <c r="M95" i="9" s="1"/>
  <c r="M85" i="9" s="1"/>
  <c r="K90" i="9"/>
  <c r="K95" i="9" s="1"/>
  <c r="K85" i="9" s="1"/>
  <c r="K86" i="9" s="1"/>
  <c r="L83" i="9" s="1"/>
  <c r="N90" i="9"/>
  <c r="N95" i="9" s="1"/>
  <c r="N85" i="9" s="1"/>
  <c r="M73" i="9"/>
  <c r="N73" i="9"/>
  <c r="L73" i="9"/>
  <c r="N75" i="9"/>
  <c r="O76" i="9"/>
  <c r="D72" i="9"/>
  <c r="M74" i="9"/>
  <c r="O74" i="9"/>
  <c r="O73" i="9"/>
  <c r="O75" i="9"/>
  <c r="N74" i="9"/>
  <c r="O49" i="8"/>
  <c r="O54" i="8" s="1"/>
  <c r="O44" i="8" s="1"/>
  <c r="O35" i="8" s="1"/>
  <c r="K49" i="8"/>
  <c r="K54" i="8" s="1"/>
  <c r="K44" i="8" s="1"/>
  <c r="M49" i="8"/>
  <c r="M54" i="8" s="1"/>
  <c r="M44" i="8" s="1"/>
  <c r="M35" i="8" s="1"/>
  <c r="L49" i="8"/>
  <c r="L54" i="8" s="1"/>
  <c r="L44" i="8" s="1"/>
  <c r="L35" i="8" s="1"/>
  <c r="N49" i="8"/>
  <c r="N54" i="8" s="1"/>
  <c r="N44" i="8" s="1"/>
  <c r="N35" i="8" s="1"/>
  <c r="L35" i="9"/>
  <c r="M28" i="9"/>
  <c r="AL112" i="2"/>
  <c r="AM40" i="2"/>
  <c r="AP20" i="2"/>
  <c r="AP22" i="2" s="1"/>
  <c r="AQ199" i="7"/>
  <c r="AP99" i="2" s="1"/>
  <c r="K199" i="7"/>
  <c r="AM99" i="2"/>
  <c r="AQ20" i="2"/>
  <c r="AQ22" i="2" s="1"/>
  <c r="AQ40" i="2" s="1"/>
  <c r="AR199" i="7"/>
  <c r="J20" i="2"/>
  <c r="J22" i="2" s="1"/>
  <c r="AL22" i="2"/>
  <c r="L12" i="7"/>
  <c r="L13" i="7" s="1"/>
  <c r="AZ15" i="7"/>
  <c r="AV13" i="7"/>
  <c r="AV12" i="7" s="1"/>
  <c r="AV14" i="7"/>
  <c r="AV16" i="7"/>
  <c r="AY15" i="7"/>
  <c r="AU13" i="7"/>
  <c r="AU12" i="7" s="1"/>
  <c r="AU16" i="7"/>
  <c r="AU14" i="7"/>
  <c r="L104" i="9" l="1"/>
  <c r="M101" i="9" s="1"/>
  <c r="L86" i="9"/>
  <c r="M83" i="9" s="1"/>
  <c r="M86" i="9" s="1"/>
  <c r="N83" i="9" s="1"/>
  <c r="N86" i="9" s="1"/>
  <c r="O83" i="9" s="1"/>
  <c r="O86" i="9" s="1"/>
  <c r="AM41" i="2"/>
  <c r="AM43" i="2" s="1"/>
  <c r="M104" i="9"/>
  <c r="N101" i="9" s="1"/>
  <c r="N104" i="9" s="1"/>
  <c r="O101" i="9" s="1"/>
  <c r="O104" i="9" s="1"/>
  <c r="AZ142" i="2"/>
  <c r="BA142" i="2"/>
  <c r="BB142" i="2"/>
  <c r="BC142" i="2"/>
  <c r="AV142" i="2"/>
  <c r="AW142" i="2"/>
  <c r="AX142" i="2"/>
  <c r="AY142" i="2"/>
  <c r="AR142" i="2"/>
  <c r="AS142" i="2"/>
  <c r="AT142" i="2"/>
  <c r="AU142" i="2"/>
  <c r="AN142" i="2"/>
  <c r="AO142" i="2"/>
  <c r="AP142" i="2"/>
  <c r="AQ142" i="2"/>
  <c r="AP149" i="2"/>
  <c r="K35" i="8"/>
  <c r="K10" i="8"/>
  <c r="L10" i="8" s="1"/>
  <c r="M10" i="8" s="1"/>
  <c r="N10" i="8" s="1"/>
  <c r="O10" i="8" s="1"/>
  <c r="K45" i="8"/>
  <c r="L42" i="8" s="1"/>
  <c r="L45" i="8" s="1"/>
  <c r="M42" i="8" s="1"/>
  <c r="M45" i="8" s="1"/>
  <c r="N42" i="8" s="1"/>
  <c r="N45" i="8" s="1"/>
  <c r="O42" i="8" s="1"/>
  <c r="O45" i="8" s="1"/>
  <c r="AM51" i="2"/>
  <c r="N28" i="9"/>
  <c r="M35" i="9"/>
  <c r="K72" i="9"/>
  <c r="K77" i="9" s="1"/>
  <c r="K67" i="9" s="1"/>
  <c r="M72" i="9"/>
  <c r="M77" i="9" s="1"/>
  <c r="M67" i="9" s="1"/>
  <c r="M58" i="9" s="1"/>
  <c r="N72" i="9"/>
  <c r="N77" i="9" s="1"/>
  <c r="N67" i="9" s="1"/>
  <c r="N58" i="9" s="1"/>
  <c r="O72" i="9"/>
  <c r="O77" i="9" s="1"/>
  <c r="O67" i="9" s="1"/>
  <c r="O58" i="9" s="1"/>
  <c r="L72" i="9"/>
  <c r="L77" i="9" s="1"/>
  <c r="L67" i="9" s="1"/>
  <c r="L58" i="9" s="1"/>
  <c r="J99" i="2"/>
  <c r="AM149" i="2"/>
  <c r="AN149" i="2"/>
  <c r="AP112" i="2"/>
  <c r="K20" i="2"/>
  <c r="K22" i="2" s="1"/>
  <c r="K23" i="2" s="1"/>
  <c r="AM112" i="2"/>
  <c r="J98" i="2"/>
  <c r="L199" i="7"/>
  <c r="AQ99" i="2"/>
  <c r="AU20" i="2"/>
  <c r="AU22" i="2" s="1"/>
  <c r="AU23" i="2" s="1"/>
  <c r="AV199" i="7"/>
  <c r="AQ23" i="2"/>
  <c r="AU199" i="7"/>
  <c r="AT99" i="2" s="1"/>
  <c r="AL40" i="2"/>
  <c r="AL23" i="2"/>
  <c r="J40" i="2"/>
  <c r="J23" i="2"/>
  <c r="M12" i="7"/>
  <c r="M13" i="7" s="1"/>
  <c r="AT20" i="2"/>
  <c r="AQ41" i="2"/>
  <c r="AQ43" i="2" s="1"/>
  <c r="AQ51" i="2"/>
  <c r="AJ115" i="10" s="1"/>
  <c r="AP40" i="2"/>
  <c r="AP23" i="2"/>
  <c r="BC15" i="7"/>
  <c r="AY13" i="7"/>
  <c r="AY12" i="7" s="1"/>
  <c r="AY16" i="7"/>
  <c r="AY14" i="7"/>
  <c r="BD15" i="7"/>
  <c r="AZ13" i="7"/>
  <c r="AZ12" i="7" s="1"/>
  <c r="AZ14" i="7"/>
  <c r="AZ16" i="7"/>
  <c r="AQ44" i="2" l="1"/>
  <c r="AM44" i="2"/>
  <c r="AM52" i="2"/>
  <c r="AF115" i="10"/>
  <c r="AN143" i="2"/>
  <c r="AN183" i="2" s="1"/>
  <c r="AO143" i="2"/>
  <c r="AO46" i="2" s="1"/>
  <c r="AO47" i="2" s="1"/>
  <c r="AP143" i="2"/>
  <c r="AQ143" i="2"/>
  <c r="AQ46" i="2" s="1"/>
  <c r="AQ47" i="2" s="1"/>
  <c r="M142" i="2"/>
  <c r="AZ143" i="2"/>
  <c r="AZ46" i="2" s="1"/>
  <c r="AZ47" i="2" s="1"/>
  <c r="BA143" i="2"/>
  <c r="BA183" i="2" s="1"/>
  <c r="BB143" i="2"/>
  <c r="BC143" i="2"/>
  <c r="K36" i="8"/>
  <c r="L34" i="8" s="1"/>
  <c r="L36" i="8" s="1"/>
  <c r="M34" i="8" s="1"/>
  <c r="M36" i="8" s="1"/>
  <c r="N34" i="8" s="1"/>
  <c r="N36" i="8" s="1"/>
  <c r="O34" i="8" s="1"/>
  <c r="O36" i="8" s="1"/>
  <c r="AJ142" i="2"/>
  <c r="AK142" i="2"/>
  <c r="AL142" i="2"/>
  <c r="AM142" i="2"/>
  <c r="AV143" i="2"/>
  <c r="AV46" i="2" s="1"/>
  <c r="AV47" i="2" s="1"/>
  <c r="AW143" i="2"/>
  <c r="AW183" i="2" s="1"/>
  <c r="AX143" i="2"/>
  <c r="AY143" i="2"/>
  <c r="L142" i="2"/>
  <c r="AR143" i="2"/>
  <c r="AR46" i="2" s="1"/>
  <c r="AR47" i="2" s="1"/>
  <c r="AS143" i="2"/>
  <c r="AS183" i="2" s="1"/>
  <c r="AT143" i="2"/>
  <c r="AU143" i="2"/>
  <c r="K142" i="2"/>
  <c r="N142" i="2"/>
  <c r="AT149" i="2"/>
  <c r="K200" i="2"/>
  <c r="AM140" i="2"/>
  <c r="N35" i="9"/>
  <c r="O28" i="9"/>
  <c r="O35" i="9" s="1"/>
  <c r="K58" i="9"/>
  <c r="K68" i="9"/>
  <c r="L65" i="9" s="1"/>
  <c r="L68" i="9" s="1"/>
  <c r="M65" i="9" s="1"/>
  <c r="M68" i="9" s="1"/>
  <c r="N65" i="9" s="1"/>
  <c r="N68" i="9" s="1"/>
  <c r="O65" i="9" s="1"/>
  <c r="O68" i="9" s="1"/>
  <c r="J112" i="2"/>
  <c r="K99" i="2"/>
  <c r="AQ149" i="2"/>
  <c r="K149" i="2" s="1"/>
  <c r="L15" i="20" s="1"/>
  <c r="AR149" i="2"/>
  <c r="K40" i="2"/>
  <c r="K41" i="2" s="1"/>
  <c r="AQ112" i="2"/>
  <c r="K98" i="2"/>
  <c r="AX20" i="2"/>
  <c r="AX22" i="2" s="1"/>
  <c r="AY199" i="7"/>
  <c r="AX99" i="2" s="1"/>
  <c r="M199" i="7"/>
  <c r="AU99" i="2"/>
  <c r="AU40" i="2"/>
  <c r="AY20" i="2"/>
  <c r="AY22" i="2" s="1"/>
  <c r="AY40" i="2" s="1"/>
  <c r="AZ199" i="7"/>
  <c r="AT112" i="2"/>
  <c r="AQ52" i="2"/>
  <c r="AQ140" i="2"/>
  <c r="L20" i="2"/>
  <c r="L22" i="2" s="1"/>
  <c r="AT22" i="2"/>
  <c r="J41" i="2"/>
  <c r="J43" i="2"/>
  <c r="J51" i="2"/>
  <c r="AL51" i="2"/>
  <c r="AE115" i="10" s="1"/>
  <c r="AL41" i="2"/>
  <c r="AL43" i="2" s="1"/>
  <c r="AP41" i="2"/>
  <c r="AP43" i="2" s="1"/>
  <c r="AP51" i="2"/>
  <c r="AI115" i="10" s="1"/>
  <c r="BD13" i="7"/>
  <c r="BD12" i="7" s="1"/>
  <c r="BD16" i="7"/>
  <c r="BD14" i="7"/>
  <c r="N12" i="7"/>
  <c r="N13" i="7" s="1"/>
  <c r="BC13" i="7"/>
  <c r="BC12" i="7" s="1"/>
  <c r="BC16" i="7"/>
  <c r="BC14" i="7"/>
  <c r="M13" i="20" l="1"/>
  <c r="O13" i="20"/>
  <c r="K10" i="20"/>
  <c r="K11" i="20" s="1"/>
  <c r="K12" i="20" s="1"/>
  <c r="AO183" i="2"/>
  <c r="AW46" i="2"/>
  <c r="AW47" i="2" s="1"/>
  <c r="BA46" i="2"/>
  <c r="BA47" i="2" s="1"/>
  <c r="AS46" i="2"/>
  <c r="AS47" i="2" s="1"/>
  <c r="AJ82" i="2"/>
  <c r="AK82" i="2" s="1"/>
  <c r="AN46" i="2"/>
  <c r="AN47" i="2" s="1"/>
  <c r="AP44" i="2"/>
  <c r="AP46" i="2"/>
  <c r="AP47" i="2" s="1"/>
  <c r="AL44" i="2"/>
  <c r="AU51" i="2"/>
  <c r="AN115" i="10" s="1"/>
  <c r="J44" i="2"/>
  <c r="L143" i="2"/>
  <c r="AP21" i="10"/>
  <c r="AL21" i="10"/>
  <c r="AT21" i="10"/>
  <c r="AG21" i="10"/>
  <c r="AH21" i="10"/>
  <c r="AR183" i="2"/>
  <c r="M143" i="2"/>
  <c r="N13" i="20" s="1"/>
  <c r="N143" i="2"/>
  <c r="K59" i="9"/>
  <c r="L57" i="9" s="1"/>
  <c r="L59" i="9" s="1"/>
  <c r="AJ143" i="2"/>
  <c r="AJ87" i="2" s="1"/>
  <c r="AK143" i="2"/>
  <c r="AK183" i="2" s="1"/>
  <c r="AL143" i="2"/>
  <c r="AL46" i="2" s="1"/>
  <c r="AL47" i="2" s="1"/>
  <c r="AM143" i="2"/>
  <c r="AM183" i="2" s="1"/>
  <c r="K143" i="2"/>
  <c r="L13" i="20" s="1"/>
  <c r="J142" i="2"/>
  <c r="AQ183" i="2"/>
  <c r="AX149" i="2"/>
  <c r="L200" i="2"/>
  <c r="K112" i="2"/>
  <c r="L99" i="2"/>
  <c r="AU149" i="2"/>
  <c r="L149" i="2" s="1"/>
  <c r="M15" i="20" s="1"/>
  <c r="AV149" i="2"/>
  <c r="AV183" i="2" s="1"/>
  <c r="K43" i="2"/>
  <c r="K51" i="2"/>
  <c r="K140" i="2" s="1"/>
  <c r="AX112" i="2"/>
  <c r="AU41" i="2"/>
  <c r="AU43" i="2" s="1"/>
  <c r="BC20" i="2"/>
  <c r="BC22" i="2" s="1"/>
  <c r="BC40" i="2" s="1"/>
  <c r="BD199" i="7"/>
  <c r="M20" i="2"/>
  <c r="M22" i="2" s="1"/>
  <c r="M23" i="2" s="1"/>
  <c r="AY23" i="2"/>
  <c r="BC199" i="7"/>
  <c r="BB99" i="2" s="1"/>
  <c r="AU112" i="2"/>
  <c r="L98" i="2"/>
  <c r="N199" i="7"/>
  <c r="AY99" i="2"/>
  <c r="AY51" i="2"/>
  <c r="AR115" i="10" s="1"/>
  <c r="AY41" i="2"/>
  <c r="AY43" i="2" s="1"/>
  <c r="AP52" i="2"/>
  <c r="AP140" i="2"/>
  <c r="AP183" i="2" s="1"/>
  <c r="AX23" i="2"/>
  <c r="AX40" i="2"/>
  <c r="AT23" i="2"/>
  <c r="AT40" i="2"/>
  <c r="AL52" i="2"/>
  <c r="AL140" i="2"/>
  <c r="L23" i="2"/>
  <c r="L40" i="2"/>
  <c r="J140" i="2"/>
  <c r="J52" i="2"/>
  <c r="E334" i="12" s="1"/>
  <c r="O12" i="7"/>
  <c r="O13" i="7" s="1"/>
  <c r="BB20" i="2"/>
  <c r="K46" i="2" l="1"/>
  <c r="L10" i="20"/>
  <c r="L11" i="20" s="1"/>
  <c r="L12" i="20" s="1"/>
  <c r="L16" i="20" s="1"/>
  <c r="BE77" i="2"/>
  <c r="AJ46" i="2"/>
  <c r="AJ47" i="2" s="1"/>
  <c r="AK46" i="2"/>
  <c r="AK47" i="2" s="1"/>
  <c r="AJ91" i="2"/>
  <c r="AM46" i="2"/>
  <c r="AM47" i="2" s="1"/>
  <c r="AU44" i="2"/>
  <c r="AU46" i="2"/>
  <c r="AU47" i="2" s="1"/>
  <c r="AY44" i="2"/>
  <c r="AY46" i="2"/>
  <c r="AY47" i="2" s="1"/>
  <c r="K44" i="2"/>
  <c r="K47" i="2"/>
  <c r="F333" i="12" s="1"/>
  <c r="AU52" i="2"/>
  <c r="AU140" i="2"/>
  <c r="AU183" i="2" s="1"/>
  <c r="BE70" i="2"/>
  <c r="BE74" i="2"/>
  <c r="BE63" i="2"/>
  <c r="BE62" i="2"/>
  <c r="BE67" i="2"/>
  <c r="BE81" i="2"/>
  <c r="BE61" i="2"/>
  <c r="BE73" i="2"/>
  <c r="BE76" i="2"/>
  <c r="BE64" i="2"/>
  <c r="AJ183" i="2"/>
  <c r="AC21" i="10" s="1"/>
  <c r="AC26" i="10" s="1"/>
  <c r="AC30" i="10" s="1"/>
  <c r="BE71" i="2"/>
  <c r="BE72" i="2"/>
  <c r="BE65" i="2"/>
  <c r="BE68" i="2"/>
  <c r="BE75" i="2"/>
  <c r="BE66" i="2"/>
  <c r="K10" i="9"/>
  <c r="K183" i="2"/>
  <c r="L11" i="19" s="1"/>
  <c r="AK87" i="2"/>
  <c r="AL87" i="2" s="1"/>
  <c r="AM87" i="2" s="1"/>
  <c r="AL82" i="2"/>
  <c r="AF21" i="10"/>
  <c r="AK21" i="10"/>
  <c r="AD21" i="10"/>
  <c r="AO21" i="10"/>
  <c r="AI21" i="10"/>
  <c r="AJ21" i="10"/>
  <c r="J143" i="2"/>
  <c r="J46" i="2" s="1"/>
  <c r="AL183" i="2"/>
  <c r="BE69" i="2"/>
  <c r="BE60" i="2"/>
  <c r="BB149" i="2"/>
  <c r="M200" i="2"/>
  <c r="M57" i="9"/>
  <c r="M59" i="9" s="1"/>
  <c r="L10" i="9"/>
  <c r="L112" i="2"/>
  <c r="M99" i="2"/>
  <c r="AY149" i="2"/>
  <c r="M149" i="2" s="1"/>
  <c r="N15" i="20" s="1"/>
  <c r="AZ149" i="2"/>
  <c r="AZ183" i="2" s="1"/>
  <c r="K52" i="2"/>
  <c r="F334" i="12" s="1"/>
  <c r="BC23" i="2"/>
  <c r="BB112" i="2"/>
  <c r="AY112" i="2"/>
  <c r="M98" i="2"/>
  <c r="M40" i="2"/>
  <c r="M51" i="2" s="1"/>
  <c r="O199" i="7"/>
  <c r="BC99" i="2"/>
  <c r="N200" i="2" s="1"/>
  <c r="BC41" i="2"/>
  <c r="BC43" i="2" s="1"/>
  <c r="BC51" i="2"/>
  <c r="AV115" i="10" s="1"/>
  <c r="N20" i="2"/>
  <c r="N22" i="2" s="1"/>
  <c r="BB22" i="2"/>
  <c r="AX51" i="2"/>
  <c r="AQ115" i="10" s="1"/>
  <c r="AX41" i="2"/>
  <c r="AX43" i="2" s="1"/>
  <c r="AT41" i="2"/>
  <c r="AT43" i="2" s="1"/>
  <c r="AT51" i="2"/>
  <c r="AM115" i="10" s="1"/>
  <c r="L51" i="2"/>
  <c r="L41" i="2"/>
  <c r="L43" i="2"/>
  <c r="AY52" i="2"/>
  <c r="AY140" i="2"/>
  <c r="K13" i="20" l="1"/>
  <c r="J47" i="2"/>
  <c r="E333" i="12" s="1"/>
  <c r="L46" i="2"/>
  <c r="M10" i="20"/>
  <c r="L24" i="20"/>
  <c r="L30" i="20"/>
  <c r="AK91" i="2"/>
  <c r="BC44" i="2"/>
  <c r="BC46" i="2"/>
  <c r="BC47" i="2" s="1"/>
  <c r="AT44" i="2"/>
  <c r="AT46" i="2"/>
  <c r="AX44" i="2"/>
  <c r="AX46" i="2"/>
  <c r="AX47" i="2" s="1"/>
  <c r="L44" i="2"/>
  <c r="L47" i="2"/>
  <c r="G333" i="12" s="1"/>
  <c r="AM82" i="2"/>
  <c r="AL91" i="2"/>
  <c r="AN87" i="2"/>
  <c r="AO87" i="2" s="1"/>
  <c r="AP87" i="2" s="1"/>
  <c r="AQ87" i="2" s="1"/>
  <c r="J87" i="2"/>
  <c r="AC31" i="10"/>
  <c r="AC32" i="10"/>
  <c r="AN21" i="10"/>
  <c r="AS21" i="10"/>
  <c r="AE21" i="10"/>
  <c r="AY183" i="2"/>
  <c r="N57" i="9"/>
  <c r="N59" i="9" s="1"/>
  <c r="M10" i="9"/>
  <c r="M112" i="2"/>
  <c r="N99" i="2"/>
  <c r="BC149" i="2"/>
  <c r="J149" i="2" s="1"/>
  <c r="K15" i="20" s="1"/>
  <c r="K16" i="20" s="1"/>
  <c r="M41" i="2"/>
  <c r="M43" i="2"/>
  <c r="BC112" i="2"/>
  <c r="N98" i="2"/>
  <c r="N23" i="2"/>
  <c r="N40" i="2"/>
  <c r="L52" i="2"/>
  <c r="G334" i="12" s="1"/>
  <c r="L140" i="2"/>
  <c r="L183" i="2" s="1"/>
  <c r="M11" i="19" s="1"/>
  <c r="AT52" i="2"/>
  <c r="AT140" i="2"/>
  <c r="AT183" i="2" s="1"/>
  <c r="AX52" i="2"/>
  <c r="AX140" i="2"/>
  <c r="AX183" i="2" s="1"/>
  <c r="BB40" i="2"/>
  <c r="BB23" i="2"/>
  <c r="BC52" i="2"/>
  <c r="BC140" i="2"/>
  <c r="M140" i="2"/>
  <c r="M183" i="2" s="1"/>
  <c r="N11" i="19" s="1"/>
  <c r="M52" i="2"/>
  <c r="H334" i="12" s="1"/>
  <c r="M46" i="2" l="1"/>
  <c r="N10" i="20"/>
  <c r="N11" i="20" s="1"/>
  <c r="N12" i="20" s="1"/>
  <c r="N16" i="20" s="1"/>
  <c r="K24" i="20"/>
  <c r="K30" i="20"/>
  <c r="M11" i="20"/>
  <c r="M12" i="20" s="1"/>
  <c r="M16" i="20" s="1"/>
  <c r="AT47" i="2"/>
  <c r="M44" i="2"/>
  <c r="AR87" i="2"/>
  <c r="AS87" i="2" s="1"/>
  <c r="AT87" i="2" s="1"/>
  <c r="AU87" i="2" s="1"/>
  <c r="K87" i="2"/>
  <c r="AN82" i="2"/>
  <c r="J82" i="2"/>
  <c r="J91" i="2" s="1"/>
  <c r="AM91" i="2"/>
  <c r="AC116" i="10"/>
  <c r="AC118" i="10" s="1"/>
  <c r="AJ129" i="2" s="1"/>
  <c r="AJ198" i="2"/>
  <c r="AC37" i="10"/>
  <c r="AC39" i="10" s="1"/>
  <c r="AC12" i="10" s="1"/>
  <c r="AD36" i="10" s="1"/>
  <c r="AJ197" i="2"/>
  <c r="AQ21" i="10"/>
  <c r="AR21" i="10"/>
  <c r="J183" i="2"/>
  <c r="K11" i="19" s="1"/>
  <c r="K12" i="19" s="1"/>
  <c r="AM21" i="10"/>
  <c r="BC183" i="2"/>
  <c r="O57" i="9"/>
  <c r="O59" i="9" s="1"/>
  <c r="O10" i="9" s="1"/>
  <c r="N10" i="9"/>
  <c r="N149" i="2"/>
  <c r="O15" i="20" s="1"/>
  <c r="N112" i="2"/>
  <c r="BB51" i="2"/>
  <c r="AU115" i="10" s="1"/>
  <c r="BB41" i="2"/>
  <c r="BB43" i="2" s="1"/>
  <c r="N43" i="2"/>
  <c r="N41" i="2"/>
  <c r="N51" i="2"/>
  <c r="M47" i="2" l="1"/>
  <c r="H333" i="12" s="1"/>
  <c r="N46" i="2"/>
  <c r="O10" i="20"/>
  <c r="M24" i="20"/>
  <c r="M30" i="20"/>
  <c r="N24" i="20"/>
  <c r="N30" i="20"/>
  <c r="BB44" i="2"/>
  <c r="BB46" i="2"/>
  <c r="AD114" i="10"/>
  <c r="AC11" i="10"/>
  <c r="AJ115" i="2" s="1"/>
  <c r="AJ120" i="2" s="1"/>
  <c r="AJ122" i="2" s="1"/>
  <c r="BB47" i="2"/>
  <c r="N44" i="2"/>
  <c r="N47" i="2"/>
  <c r="I333" i="12" s="1"/>
  <c r="AO82" i="2"/>
  <c r="AN91" i="2"/>
  <c r="AV87" i="2"/>
  <c r="AW87" i="2" s="1"/>
  <c r="AX87" i="2" s="1"/>
  <c r="AY87" i="2" s="1"/>
  <c r="L87" i="2"/>
  <c r="AJ201" i="2"/>
  <c r="AJ131" i="2"/>
  <c r="AV21" i="10"/>
  <c r="N52" i="2"/>
  <c r="I334" i="12" s="1"/>
  <c r="N140" i="2"/>
  <c r="N183" i="2" s="1"/>
  <c r="O11" i="19" s="1"/>
  <c r="BB52" i="2"/>
  <c r="BB140" i="2"/>
  <c r="BB183" i="2" s="1"/>
  <c r="AJ133" i="2" l="1"/>
  <c r="O11" i="20"/>
  <c r="O12" i="20" s="1"/>
  <c r="O16" i="20" s="1"/>
  <c r="O22" i="20"/>
  <c r="E35" i="20" s="1"/>
  <c r="AZ87" i="2"/>
  <c r="BA87" i="2" s="1"/>
  <c r="BB87" i="2" s="1"/>
  <c r="BC87" i="2" s="1"/>
  <c r="N87" i="2" s="1"/>
  <c r="M87" i="2"/>
  <c r="AP82" i="2"/>
  <c r="AO91" i="2"/>
  <c r="AJ206" i="2"/>
  <c r="AU21" i="10"/>
  <c r="O24" i="20" l="1"/>
  <c r="O30" i="20"/>
  <c r="E34" i="20" s="1"/>
  <c r="AQ82" i="2"/>
  <c r="AP91" i="2"/>
  <c r="AJ208" i="2"/>
  <c r="E36" i="20" l="1"/>
  <c r="F35" i="20" s="1"/>
  <c r="F34" i="20"/>
  <c r="AR82" i="2"/>
  <c r="K82" i="2"/>
  <c r="K91" i="2" s="1"/>
  <c r="AQ91" i="2"/>
  <c r="AK207" i="2"/>
  <c r="AJ59" i="2"/>
  <c r="AS82" i="2" l="1"/>
  <c r="AR91" i="2"/>
  <c r="AD20" i="10"/>
  <c r="AD26" i="10" s="1"/>
  <c r="AD30" i="10" s="1"/>
  <c r="BD59" i="2"/>
  <c r="BE59" i="2" s="1"/>
  <c r="AJ78" i="2"/>
  <c r="AJ93" i="2" s="1"/>
  <c r="AJ134" i="2" s="1"/>
  <c r="AT82" i="2" l="1"/>
  <c r="AS91" i="2"/>
  <c r="AD31" i="10"/>
  <c r="AD32" i="10"/>
  <c r="AU82" i="2" l="1"/>
  <c r="AT91" i="2"/>
  <c r="AD116" i="10"/>
  <c r="AD118" i="10" s="1"/>
  <c r="AE114" i="10" s="1"/>
  <c r="AK198" i="2"/>
  <c r="AD37" i="10"/>
  <c r="AD39" i="10" s="1"/>
  <c r="AD12" i="10" s="1"/>
  <c r="AE36" i="10" s="1"/>
  <c r="AK197" i="2"/>
  <c r="AD11" i="10" l="1"/>
  <c r="AK115" i="2" s="1"/>
  <c r="AK120" i="2" s="1"/>
  <c r="AK122" i="2" s="1"/>
  <c r="AK129" i="2"/>
  <c r="AK131" i="2" s="1"/>
  <c r="AV82" i="2"/>
  <c r="L82" i="2"/>
  <c r="L91" i="2" s="1"/>
  <c r="AU91" i="2"/>
  <c r="AK201" i="2"/>
  <c r="AK133" i="2" l="1"/>
  <c r="AW82" i="2"/>
  <c r="AV91" i="2"/>
  <c r="AK206" i="2"/>
  <c r="AK208" i="2" s="1"/>
  <c r="AX82" i="2" l="1"/>
  <c r="AW91" i="2"/>
  <c r="AL207" i="2"/>
  <c r="AK59" i="2"/>
  <c r="AY82" i="2" l="1"/>
  <c r="AX91" i="2"/>
  <c r="AK78" i="2"/>
  <c r="AK93" i="2" s="1"/>
  <c r="AK134" i="2" s="1"/>
  <c r="AE20" i="10"/>
  <c r="AE26" i="10" s="1"/>
  <c r="AE30" i="10" s="1"/>
  <c r="AZ82" i="2" l="1"/>
  <c r="M82" i="2"/>
  <c r="M91" i="2" s="1"/>
  <c r="AY91" i="2"/>
  <c r="AE31" i="10"/>
  <c r="AE32" i="10"/>
  <c r="BA82" i="2" l="1"/>
  <c r="AZ91" i="2"/>
  <c r="AE116" i="10"/>
  <c r="AE118" i="10" s="1"/>
  <c r="AL198" i="2"/>
  <c r="AE37" i="10"/>
  <c r="AE39" i="10" s="1"/>
  <c r="AE12" i="10" s="1"/>
  <c r="AL197" i="2"/>
  <c r="BB82" i="2" l="1"/>
  <c r="BA91" i="2"/>
  <c r="AL201" i="2"/>
  <c r="AF36" i="10"/>
  <c r="AE11" i="10"/>
  <c r="AL115" i="2" s="1"/>
  <c r="AL120" i="2" s="1"/>
  <c r="AL122" i="2" s="1"/>
  <c r="AF114" i="10"/>
  <c r="AL129" i="2"/>
  <c r="AL131" i="2" s="1"/>
  <c r="BC82" i="2" l="1"/>
  <c r="BB91" i="2"/>
  <c r="AL133" i="2"/>
  <c r="AL206" i="2"/>
  <c r="AL208" i="2" s="1"/>
  <c r="N82" i="2" l="1"/>
  <c r="N91" i="2" s="1"/>
  <c r="BC91" i="2"/>
  <c r="AM207" i="2"/>
  <c r="AL59" i="2"/>
  <c r="AL78" i="2" l="1"/>
  <c r="AL93" i="2" s="1"/>
  <c r="AL134" i="2" s="1"/>
  <c r="AF20" i="10"/>
  <c r="AF26" i="10" s="1"/>
  <c r="AF30" i="10" s="1"/>
  <c r="AF32" i="10" l="1"/>
  <c r="AF31" i="10"/>
  <c r="AF37" i="10" l="1"/>
  <c r="AF39" i="10" s="1"/>
  <c r="AF12" i="10" s="1"/>
  <c r="AM197" i="2"/>
  <c r="AF116" i="10"/>
  <c r="AF118" i="10" s="1"/>
  <c r="AM198" i="2"/>
  <c r="AM129" i="2" l="1"/>
  <c r="AG114" i="10"/>
  <c r="AM201" i="2"/>
  <c r="J197" i="2"/>
  <c r="AG36" i="10"/>
  <c r="AF11" i="10"/>
  <c r="AM115" i="2" s="1"/>
  <c r="J115" i="2" l="1"/>
  <c r="AM120" i="2"/>
  <c r="AM122" i="2" s="1"/>
  <c r="AM206" i="2"/>
  <c r="AM208" i="2" s="1"/>
  <c r="J201" i="2"/>
  <c r="J206" i="2" s="1"/>
  <c r="J208" i="2" s="1"/>
  <c r="K207" i="2" s="1"/>
  <c r="L10" i="19" s="1"/>
  <c r="L12" i="19" s="1"/>
  <c r="J129" i="2"/>
  <c r="J131" i="2" s="1"/>
  <c r="AM131" i="2"/>
  <c r="J120" i="2" l="1"/>
  <c r="J122" i="2" s="1"/>
  <c r="J133" i="2"/>
  <c r="AM59" i="2"/>
  <c r="AN207" i="2"/>
  <c r="AM133" i="2"/>
  <c r="AM78" i="2" l="1"/>
  <c r="AM93" i="2" s="1"/>
  <c r="AM134" i="2" s="1"/>
  <c r="AG20" i="10"/>
  <c r="AG26" i="10" s="1"/>
  <c r="AG30" i="10" s="1"/>
  <c r="J59" i="2"/>
  <c r="J78" i="2" l="1"/>
  <c r="J93" i="2" s="1"/>
  <c r="J134" i="2" s="1"/>
  <c r="AG32" i="10"/>
  <c r="AG31" i="10"/>
  <c r="AG37" i="10" l="1"/>
  <c r="AG39" i="10" s="1"/>
  <c r="AG12" i="10" s="1"/>
  <c r="AN197" i="2"/>
  <c r="AG116" i="10"/>
  <c r="AG118" i="10" s="1"/>
  <c r="AN198" i="2"/>
  <c r="AH114" i="10" l="1"/>
  <c r="AN129" i="2"/>
  <c r="AN131" i="2" s="1"/>
  <c r="AN201" i="2"/>
  <c r="AG11" i="10"/>
  <c r="AN115" i="2" s="1"/>
  <c r="AN120" i="2" s="1"/>
  <c r="AN122" i="2" s="1"/>
  <c r="AH36" i="10"/>
  <c r="AN133" i="2" l="1"/>
  <c r="AN206" i="2"/>
  <c r="AN208" i="2" s="1"/>
  <c r="AN59" i="2" l="1"/>
  <c r="AO207" i="2"/>
  <c r="AN78" i="2" l="1"/>
  <c r="AN93" i="2" s="1"/>
  <c r="AN134" i="2" s="1"/>
  <c r="AH20" i="10"/>
  <c r="AH26" i="10" s="1"/>
  <c r="AH30" i="10" s="1"/>
  <c r="AH31" i="10" l="1"/>
  <c r="AH32" i="10"/>
  <c r="AH116" i="10" l="1"/>
  <c r="AH118" i="10" s="1"/>
  <c r="AO198" i="2"/>
  <c r="AH37" i="10"/>
  <c r="AH39" i="10" s="1"/>
  <c r="AH12" i="10" s="1"/>
  <c r="AO197" i="2"/>
  <c r="AO201" i="2" l="1"/>
  <c r="AH11" i="10"/>
  <c r="AO115" i="2" s="1"/>
  <c r="AO120" i="2" s="1"/>
  <c r="AO122" i="2" s="1"/>
  <c r="AI36" i="10"/>
  <c r="AI114" i="10"/>
  <c r="AO129" i="2"/>
  <c r="AO131" i="2" s="1"/>
  <c r="AO133" i="2" l="1"/>
  <c r="AO206" i="2"/>
  <c r="AO208" i="2" s="1"/>
  <c r="AO59" i="2" l="1"/>
  <c r="AP207" i="2"/>
  <c r="AI20" i="10" l="1"/>
  <c r="AI26" i="10" s="1"/>
  <c r="AI30" i="10" s="1"/>
  <c r="AO78" i="2"/>
  <c r="AO93" i="2" s="1"/>
  <c r="AO134" i="2" s="1"/>
  <c r="AI31" i="10" l="1"/>
  <c r="AI32" i="10"/>
  <c r="AI116" i="10" l="1"/>
  <c r="AI118" i="10" s="1"/>
  <c r="AP198" i="2"/>
  <c r="AI37" i="10"/>
  <c r="AI39" i="10" s="1"/>
  <c r="AI12" i="10" s="1"/>
  <c r="AP197" i="2"/>
  <c r="AI11" i="10" l="1"/>
  <c r="AP115" i="2" s="1"/>
  <c r="AP120" i="2" s="1"/>
  <c r="AP122" i="2" s="1"/>
  <c r="AJ36" i="10"/>
  <c r="AP201" i="2"/>
  <c r="AJ114" i="10"/>
  <c r="AP129" i="2"/>
  <c r="AP131" i="2" s="1"/>
  <c r="AP133" i="2" l="1"/>
  <c r="AP206" i="2"/>
  <c r="AP208" i="2" s="1"/>
  <c r="AQ207" i="2" l="1"/>
  <c r="AP59" i="2"/>
  <c r="AJ20" i="10" l="1"/>
  <c r="AJ26" i="10" s="1"/>
  <c r="AJ30" i="10" s="1"/>
  <c r="AP78" i="2"/>
  <c r="AP93" i="2" s="1"/>
  <c r="AP134" i="2" s="1"/>
  <c r="AJ31" i="10" l="1"/>
  <c r="AJ32" i="10"/>
  <c r="AJ116" i="10" l="1"/>
  <c r="AJ118" i="10" s="1"/>
  <c r="AQ198" i="2"/>
  <c r="AJ37" i="10"/>
  <c r="AJ39" i="10" s="1"/>
  <c r="AJ12" i="10" s="1"/>
  <c r="AQ197" i="2"/>
  <c r="AQ201" i="2" l="1"/>
  <c r="K197" i="2"/>
  <c r="AK36" i="10"/>
  <c r="AJ11" i="10"/>
  <c r="AQ115" i="2" s="1"/>
  <c r="AK114" i="10"/>
  <c r="AQ129" i="2"/>
  <c r="K115" i="2" l="1"/>
  <c r="AQ120" i="2"/>
  <c r="AQ122" i="2" s="1"/>
  <c r="K129" i="2"/>
  <c r="K131" i="2" s="1"/>
  <c r="AQ131" i="2"/>
  <c r="AQ206" i="2"/>
  <c r="AQ208" i="2" s="1"/>
  <c r="K201" i="2"/>
  <c r="K206" i="2" s="1"/>
  <c r="K208" i="2" s="1"/>
  <c r="L207" i="2" s="1"/>
  <c r="M10" i="19" s="1"/>
  <c r="M12" i="19" s="1"/>
  <c r="K120" i="2" l="1"/>
  <c r="K122" i="2" s="1"/>
  <c r="K133" i="2"/>
  <c r="AQ59" i="2"/>
  <c r="AR207" i="2"/>
  <c r="AQ133" i="2"/>
  <c r="AQ78" i="2" l="1"/>
  <c r="AQ93" i="2" s="1"/>
  <c r="AQ134" i="2" s="1"/>
  <c r="AK20" i="10"/>
  <c r="AK26" i="10" s="1"/>
  <c r="AK30" i="10" s="1"/>
  <c r="K59" i="2"/>
  <c r="K78" i="2" l="1"/>
  <c r="K93" i="2" s="1"/>
  <c r="K134" i="2" s="1"/>
  <c r="AK31" i="10"/>
  <c r="AK32" i="10"/>
  <c r="AK116" i="10" l="1"/>
  <c r="AK118" i="10" s="1"/>
  <c r="AR198" i="2"/>
  <c r="AK37" i="10"/>
  <c r="AK39" i="10" s="1"/>
  <c r="AK12" i="10" s="1"/>
  <c r="AR197" i="2"/>
  <c r="AR201" i="2" l="1"/>
  <c r="AL36" i="10"/>
  <c r="AK11" i="10"/>
  <c r="AR115" i="2" s="1"/>
  <c r="AR120" i="2" s="1"/>
  <c r="AR122" i="2" s="1"/>
  <c r="AL114" i="10"/>
  <c r="AR129" i="2"/>
  <c r="AR131" i="2" s="1"/>
  <c r="AR133" i="2" l="1"/>
  <c r="AR206" i="2"/>
  <c r="AR208" i="2" s="1"/>
  <c r="AR59" i="2" l="1"/>
  <c r="AS207" i="2"/>
  <c r="AR78" i="2" l="1"/>
  <c r="AR93" i="2" s="1"/>
  <c r="AR134" i="2" s="1"/>
  <c r="AL20" i="10"/>
  <c r="AL26" i="10" s="1"/>
  <c r="AL30" i="10" s="1"/>
  <c r="AL32" i="10" l="1"/>
  <c r="AL31" i="10"/>
  <c r="AL37" i="10" l="1"/>
  <c r="AL39" i="10" s="1"/>
  <c r="AL12" i="10" s="1"/>
  <c r="AS197" i="2"/>
  <c r="AL116" i="10"/>
  <c r="AL118" i="10" s="1"/>
  <c r="AS198" i="2"/>
  <c r="AM114" i="10" l="1"/>
  <c r="AS129" i="2"/>
  <c r="AS131" i="2" s="1"/>
  <c r="AS201" i="2"/>
  <c r="AL11" i="10"/>
  <c r="AS115" i="2" s="1"/>
  <c r="AS120" i="2" s="1"/>
  <c r="AS122" i="2" s="1"/>
  <c r="AM36" i="10"/>
  <c r="AS206" i="2" l="1"/>
  <c r="AS208" i="2" s="1"/>
  <c r="AS133" i="2"/>
  <c r="AS59" i="2" l="1"/>
  <c r="AT207" i="2"/>
  <c r="AS78" i="2" l="1"/>
  <c r="AS93" i="2" s="1"/>
  <c r="AS134" i="2" s="1"/>
  <c r="AM20" i="10"/>
  <c r="AM26" i="10" s="1"/>
  <c r="AM30" i="10" s="1"/>
  <c r="AM32" i="10" l="1"/>
  <c r="AM31" i="10"/>
  <c r="AM37" i="10" l="1"/>
  <c r="AM39" i="10" s="1"/>
  <c r="AM12" i="10" s="1"/>
  <c r="AT197" i="2"/>
  <c r="AM116" i="10"/>
  <c r="AM118" i="10" s="1"/>
  <c r="AT198" i="2"/>
  <c r="AT129" i="2" l="1"/>
  <c r="AT131" i="2" s="1"/>
  <c r="AN114" i="10"/>
  <c r="AT201" i="2"/>
  <c r="AN36" i="10"/>
  <c r="AM11" i="10"/>
  <c r="AT115" i="2" s="1"/>
  <c r="AT120" i="2" s="1"/>
  <c r="AT122" i="2" s="1"/>
  <c r="AT133" i="2" l="1"/>
  <c r="AT206" i="2"/>
  <c r="AT208" i="2" s="1"/>
  <c r="AU207" i="2" l="1"/>
  <c r="AT59" i="2"/>
  <c r="AN20" i="10" l="1"/>
  <c r="AN26" i="10" s="1"/>
  <c r="AN30" i="10" s="1"/>
  <c r="AT78" i="2"/>
  <c r="AT93" i="2" s="1"/>
  <c r="AT134" i="2" s="1"/>
  <c r="AN31" i="10" l="1"/>
  <c r="AN32" i="10"/>
  <c r="AN116" i="10" l="1"/>
  <c r="AN118" i="10" s="1"/>
  <c r="AU198" i="2"/>
  <c r="AN37" i="10"/>
  <c r="AN39" i="10" s="1"/>
  <c r="AN12" i="10" s="1"/>
  <c r="AU197" i="2"/>
  <c r="AU201" i="2" l="1"/>
  <c r="L197" i="2"/>
  <c r="AO36" i="10"/>
  <c r="AN11" i="10"/>
  <c r="AU115" i="2" s="1"/>
  <c r="AU129" i="2"/>
  <c r="AO114" i="10"/>
  <c r="AU131" i="2" l="1"/>
  <c r="L129" i="2"/>
  <c r="L131" i="2" s="1"/>
  <c r="AU120" i="2"/>
  <c r="AU122" i="2" s="1"/>
  <c r="AU133" i="2" s="1"/>
  <c r="L115" i="2"/>
  <c r="AU206" i="2"/>
  <c r="AU208" i="2" s="1"/>
  <c r="L201" i="2"/>
  <c r="L206" i="2" s="1"/>
  <c r="L208" i="2" s="1"/>
  <c r="M207" i="2" s="1"/>
  <c r="N10" i="19" s="1"/>
  <c r="N12" i="19" s="1"/>
  <c r="L120" i="2" l="1"/>
  <c r="L122" i="2" s="1"/>
  <c r="L133" i="2"/>
  <c r="AU59" i="2"/>
  <c r="AV207" i="2"/>
  <c r="AU78" i="2" l="1"/>
  <c r="AU93" i="2" s="1"/>
  <c r="AU134" i="2" s="1"/>
  <c r="L59" i="2"/>
  <c r="AO20" i="10"/>
  <c r="AO26" i="10" s="1"/>
  <c r="AO30" i="10" s="1"/>
  <c r="L78" i="2" l="1"/>
  <c r="L93" i="2" s="1"/>
  <c r="L134" i="2" s="1"/>
  <c r="AO32" i="10"/>
  <c r="AO31" i="10"/>
  <c r="AO37" i="10" l="1"/>
  <c r="AO39" i="10" s="1"/>
  <c r="AO12" i="10" s="1"/>
  <c r="AV197" i="2"/>
  <c r="AO116" i="10"/>
  <c r="AO118" i="10" s="1"/>
  <c r="AV198" i="2"/>
  <c r="AP114" i="10" l="1"/>
  <c r="AV129" i="2"/>
  <c r="AV131" i="2" s="1"/>
  <c r="AV201" i="2"/>
  <c r="AO11" i="10"/>
  <c r="AV115" i="2" s="1"/>
  <c r="AV120" i="2" s="1"/>
  <c r="AV122" i="2" s="1"/>
  <c r="AP36" i="10"/>
  <c r="AV206" i="2" l="1"/>
  <c r="AV208" i="2" s="1"/>
  <c r="AV133" i="2"/>
  <c r="AV59" i="2" l="1"/>
  <c r="AW207" i="2"/>
  <c r="AP20" i="10" l="1"/>
  <c r="AP26" i="10" s="1"/>
  <c r="AP30" i="10" s="1"/>
  <c r="AV78" i="2"/>
  <c r="AV93" i="2" s="1"/>
  <c r="AV134" i="2" s="1"/>
  <c r="AP32" i="10" l="1"/>
  <c r="AP31" i="10"/>
  <c r="AP116" i="10" l="1"/>
  <c r="AP118" i="10" s="1"/>
  <c r="AW198" i="2"/>
  <c r="AP37" i="10"/>
  <c r="AP39" i="10" s="1"/>
  <c r="AP12" i="10" s="1"/>
  <c r="AW197" i="2"/>
  <c r="AW201" i="2" l="1"/>
  <c r="AQ36" i="10"/>
  <c r="AP11" i="10"/>
  <c r="AW115" i="2" s="1"/>
  <c r="AW120" i="2" s="1"/>
  <c r="AW122" i="2" s="1"/>
  <c r="AQ114" i="10"/>
  <c r="AW129" i="2"/>
  <c r="AW131" i="2" s="1"/>
  <c r="AW133" i="2" l="1"/>
  <c r="AW206" i="2"/>
  <c r="AW208" i="2" s="1"/>
  <c r="AX207" i="2" l="1"/>
  <c r="AW59" i="2"/>
  <c r="AQ20" i="10" l="1"/>
  <c r="AQ26" i="10" s="1"/>
  <c r="AQ30" i="10" s="1"/>
  <c r="AW78" i="2"/>
  <c r="AW93" i="2" s="1"/>
  <c r="AW134" i="2" s="1"/>
  <c r="AQ32" i="10" l="1"/>
  <c r="AQ31" i="10"/>
  <c r="AQ37" i="10" l="1"/>
  <c r="AQ39" i="10" s="1"/>
  <c r="AQ12" i="10" s="1"/>
  <c r="AX197" i="2"/>
  <c r="AQ116" i="10"/>
  <c r="AQ118" i="10" s="1"/>
  <c r="AX198" i="2"/>
  <c r="AR114" i="10" l="1"/>
  <c r="AX129" i="2"/>
  <c r="AX131" i="2" s="1"/>
  <c r="AX201" i="2"/>
  <c r="AQ11" i="10"/>
  <c r="AX115" i="2" s="1"/>
  <c r="AX120" i="2" s="1"/>
  <c r="AX122" i="2" s="1"/>
  <c r="AR36" i="10"/>
  <c r="AX206" i="2" l="1"/>
  <c r="AX208" i="2" s="1"/>
  <c r="AX133" i="2"/>
  <c r="AY207" i="2" l="1"/>
  <c r="AX59" i="2"/>
  <c r="AR20" i="10" l="1"/>
  <c r="AR26" i="10" s="1"/>
  <c r="AR30" i="10" s="1"/>
  <c r="AX78" i="2"/>
  <c r="AX93" i="2" s="1"/>
  <c r="AX134" i="2" s="1"/>
  <c r="AR31" i="10" l="1"/>
  <c r="AR32" i="10"/>
  <c r="AR116" i="10" l="1"/>
  <c r="AR118" i="10" s="1"/>
  <c r="AY198" i="2"/>
  <c r="AR37" i="10"/>
  <c r="AR39" i="10" s="1"/>
  <c r="AR12" i="10" s="1"/>
  <c r="AY197" i="2"/>
  <c r="AY201" i="2" l="1"/>
  <c r="M197" i="2"/>
  <c r="AS36" i="10"/>
  <c r="AR11" i="10"/>
  <c r="AY115" i="2" s="1"/>
  <c r="AS114" i="10"/>
  <c r="AY129" i="2"/>
  <c r="M129" i="2" l="1"/>
  <c r="M131" i="2" s="1"/>
  <c r="AY131" i="2"/>
  <c r="AY120" i="2"/>
  <c r="AY122" i="2" s="1"/>
  <c r="M115" i="2"/>
  <c r="AY206" i="2"/>
  <c r="AY208" i="2" s="1"/>
  <c r="M201" i="2"/>
  <c r="M206" i="2" s="1"/>
  <c r="M208" i="2" s="1"/>
  <c r="N207" i="2" s="1"/>
  <c r="O10" i="19" s="1"/>
  <c r="O12" i="19" s="1"/>
  <c r="M120" i="2" l="1"/>
  <c r="M122" i="2" s="1"/>
  <c r="AY59" i="2"/>
  <c r="AZ207" i="2"/>
  <c r="AY133" i="2"/>
  <c r="M133" i="2"/>
  <c r="M59" i="2" l="1"/>
  <c r="AY78" i="2"/>
  <c r="AY93" i="2" s="1"/>
  <c r="AY134" i="2" s="1"/>
  <c r="AS20" i="10"/>
  <c r="AS26" i="10" s="1"/>
  <c r="AS30" i="10" s="1"/>
  <c r="M78" i="2" l="1"/>
  <c r="M93" i="2" s="1"/>
  <c r="M134" i="2" s="1"/>
  <c r="AS32" i="10"/>
  <c r="AS31" i="10"/>
  <c r="AS37" i="10" l="1"/>
  <c r="AS39" i="10" s="1"/>
  <c r="AS12" i="10" s="1"/>
  <c r="AZ197" i="2"/>
  <c r="AS116" i="10"/>
  <c r="AS118" i="10" s="1"/>
  <c r="AZ198" i="2"/>
  <c r="AZ129" i="2" l="1"/>
  <c r="AZ131" i="2" s="1"/>
  <c r="AT114" i="10"/>
  <c r="AZ201" i="2"/>
  <c r="AT36" i="10"/>
  <c r="AS11" i="10"/>
  <c r="AZ115" i="2" s="1"/>
  <c r="AZ120" i="2" s="1"/>
  <c r="AZ122" i="2" s="1"/>
  <c r="AZ133" i="2" l="1"/>
  <c r="AZ206" i="2"/>
  <c r="AZ208" i="2" s="1"/>
  <c r="BA207" i="2" l="1"/>
  <c r="AZ59" i="2"/>
  <c r="AZ78" i="2" l="1"/>
  <c r="AZ93" i="2" s="1"/>
  <c r="AZ134" i="2" s="1"/>
  <c r="AT20" i="10"/>
  <c r="AT26" i="10" s="1"/>
  <c r="AT30" i="10" s="1"/>
  <c r="AT32" i="10" l="1"/>
  <c r="AT31" i="10"/>
  <c r="AT37" i="10" l="1"/>
  <c r="AT39" i="10" s="1"/>
  <c r="AT12" i="10" s="1"/>
  <c r="BA197" i="2"/>
  <c r="AT116" i="10"/>
  <c r="AT118" i="10" s="1"/>
  <c r="BA198" i="2"/>
  <c r="BA129" i="2" l="1"/>
  <c r="BA131" i="2" s="1"/>
  <c r="AU114" i="10"/>
  <c r="BA201" i="2"/>
  <c r="AU36" i="10"/>
  <c r="AT11" i="10"/>
  <c r="BA115" i="2" s="1"/>
  <c r="BA120" i="2" s="1"/>
  <c r="BA122" i="2" s="1"/>
  <c r="BA206" i="2" l="1"/>
  <c r="BA208" i="2" s="1"/>
  <c r="BA133" i="2"/>
  <c r="BB207" i="2" l="1"/>
  <c r="BA59" i="2"/>
  <c r="BA78" i="2" l="1"/>
  <c r="BA93" i="2" s="1"/>
  <c r="BA134" i="2" s="1"/>
  <c r="AU20" i="10"/>
  <c r="AU26" i="10" s="1"/>
  <c r="AU30" i="10" s="1"/>
  <c r="AU32" i="10" l="1"/>
  <c r="AU31" i="10"/>
  <c r="AU37" i="10" l="1"/>
  <c r="AU39" i="10" s="1"/>
  <c r="AU12" i="10" s="1"/>
  <c r="BB197" i="2"/>
  <c r="AU116" i="10"/>
  <c r="AU118" i="10" s="1"/>
  <c r="BB198" i="2"/>
  <c r="BB129" i="2" l="1"/>
  <c r="BB131" i="2" s="1"/>
  <c r="AV114" i="10"/>
  <c r="BB201" i="2"/>
  <c r="AV36" i="10"/>
  <c r="AU11" i="10"/>
  <c r="BB115" i="2" s="1"/>
  <c r="BB120" i="2" s="1"/>
  <c r="BB122" i="2" s="1"/>
  <c r="BB206" i="2" l="1"/>
  <c r="BB208" i="2" s="1"/>
  <c r="BB133" i="2"/>
  <c r="BB59" i="2" l="1"/>
  <c r="BC207" i="2"/>
  <c r="AV20" i="10" l="1"/>
  <c r="AV26" i="10" s="1"/>
  <c r="AV30" i="10" s="1"/>
  <c r="BB78" i="2"/>
  <c r="BB93" i="2" s="1"/>
  <c r="BB134" i="2" s="1"/>
  <c r="AV32" i="10" l="1"/>
  <c r="AV31" i="10"/>
  <c r="AV37" i="10" l="1"/>
  <c r="AV39" i="10" s="1"/>
  <c r="AV12" i="10" s="1"/>
  <c r="AV11" i="10" s="1"/>
  <c r="BC115" i="2" s="1"/>
  <c r="BC197" i="2"/>
  <c r="AV116" i="10"/>
  <c r="AV118" i="10" s="1"/>
  <c r="BC129" i="2" s="1"/>
  <c r="BC198" i="2"/>
  <c r="J198" i="2" l="1"/>
  <c r="K198" i="2"/>
  <c r="L198" i="2"/>
  <c r="M198" i="2"/>
  <c r="N198" i="2"/>
  <c r="N129" i="2"/>
  <c r="N131" i="2" s="1"/>
  <c r="BC131" i="2"/>
  <c r="BC201" i="2"/>
  <c r="N197" i="2"/>
  <c r="BC120" i="2"/>
  <c r="BC122" i="2" s="1"/>
  <c r="N115" i="2"/>
  <c r="N120" i="2" l="1"/>
  <c r="N122" i="2" s="1"/>
  <c r="BC133" i="2"/>
  <c r="N133" i="2"/>
  <c r="BC206" i="2"/>
  <c r="BC208" i="2" s="1"/>
  <c r="BC59" i="2" s="1"/>
  <c r="N201" i="2"/>
  <c r="N206" i="2" s="1"/>
  <c r="N208" i="2" s="1"/>
  <c r="BC78" i="2" l="1"/>
  <c r="BC93" i="2" s="1"/>
  <c r="BC134" i="2" s="1"/>
  <c r="N59" i="2"/>
  <c r="N78" i="2" l="1"/>
  <c r="N93" i="2" s="1"/>
  <c r="N134" i="2" s="1"/>
  <c r="F58" i="25" l="1"/>
  <c r="F62" i="25" l="1"/>
  <c r="F64" i="25"/>
  <c r="G58" i="25" s="1"/>
  <c r="B63" i="25"/>
  <c r="G60" i="25" l="1"/>
  <c r="G59" i="25"/>
  <c r="G61" i="25"/>
  <c r="G62" i="25"/>
  <c r="C63" i="25" l="1"/>
  <c r="B64" i="25"/>
  <c r="C59" i="25"/>
  <c r="C60" i="25"/>
  <c r="C61" i="25"/>
  <c r="C62" i="25"/>
  <c r="C58" i="25"/>
  <c r="C64" i="25" l="1"/>
  <c r="C4" i="21" l="1" a="1"/>
  <c r="C4" i="21"/>
  <c r="D4" i="21"/>
  <c r="E4" i="21" a="1"/>
  <c r="E4" i="21"/>
  <c r="F4" i="21" a="1"/>
  <c r="F4" i="21"/>
  <c r="G4" i="21" a="1"/>
  <c r="G4" i="21"/>
  <c r="H4" i="21" a="1"/>
  <c r="H4" i="21"/>
  <c r="I4" i="21" a="1"/>
  <c r="I4" i="21"/>
  <c r="J4" i="21" a="1"/>
  <c r="J4" i="21"/>
  <c r="C5" i="21" a="1"/>
  <c r="C5" i="21"/>
  <c r="D5" i="21"/>
  <c r="E5" i="21" a="1"/>
  <c r="E5" i="21"/>
  <c r="F5" i="21" a="1"/>
  <c r="F5" i="21"/>
  <c r="G5" i="21" a="1"/>
  <c r="G5" i="21"/>
  <c r="H5" i="21" a="1"/>
  <c r="H5" i="21"/>
  <c r="I5" i="21" a="1"/>
  <c r="I5" i="21"/>
  <c r="J5" i="21" a="1"/>
  <c r="J5" i="21"/>
  <c r="C6" i="21" a="1"/>
  <c r="C6" i="21"/>
  <c r="D6" i="21"/>
  <c r="E6" i="21" a="1"/>
  <c r="E6" i="21"/>
  <c r="F6" i="21" a="1"/>
  <c r="F6" i="21"/>
  <c r="G6" i="21" a="1"/>
  <c r="G6" i="21"/>
  <c r="H6" i="21" a="1"/>
  <c r="H6" i="21"/>
  <c r="I6" i="21" a="1"/>
  <c r="I6" i="21"/>
  <c r="J6" i="21" a="1"/>
  <c r="J6" i="21"/>
  <c r="C7" i="21" a="1"/>
  <c r="C7" i="21"/>
  <c r="D7" i="21"/>
  <c r="E7" i="21" a="1"/>
  <c r="E7" i="21"/>
  <c r="F7" i="21" a="1"/>
  <c r="F7" i="21"/>
  <c r="G7" i="21" a="1"/>
  <c r="G7" i="21"/>
  <c r="H7" i="21" a="1"/>
  <c r="H7" i="21"/>
  <c r="I7" i="21" a="1"/>
  <c r="I7" i="21"/>
  <c r="J7" i="21" a="1"/>
  <c r="J7" i="21"/>
  <c r="C8" i="21" a="1"/>
  <c r="C8" i="21"/>
  <c r="D8" i="21"/>
  <c r="E8" i="21" a="1"/>
  <c r="E8" i="21"/>
  <c r="F8" i="21" a="1"/>
  <c r="F8" i="21"/>
  <c r="G8" i="21" a="1"/>
  <c r="G8" i="21"/>
  <c r="H8" i="21" a="1"/>
  <c r="H8" i="21"/>
  <c r="I8" i="21" a="1"/>
  <c r="I8" i="21"/>
  <c r="J8" i="21" a="1"/>
  <c r="J8" i="21"/>
  <c r="J10" i="21" a="1"/>
  <c r="J10" i="21"/>
  <c r="J11" i="21" a="1"/>
  <c r="J11" i="21"/>
  <c r="J12" i="21" a="1"/>
  <c r="J12" i="21"/>
  <c r="J14" i="21" a="1"/>
  <c r="J14" i="21"/>
  <c r="J15" i="21" a="1"/>
  <c r="J15" i="21"/>
  <c r="J16" i="21" a="1"/>
  <c r="J16" i="21"/>
  <c r="J17" i="21" a="1"/>
  <c r="J17" i="21"/>
  <c r="J18" i="21" a="1"/>
  <c r="J18" i="21"/>
  <c r="J19" i="21" a="1"/>
  <c r="J19" i="21"/>
  <c r="J20" i="21" a="1"/>
  <c r="J20" i="21"/>
  <c r="J21" i="21" a="1"/>
  <c r="J21" i="21"/>
  <c r="J22" i="21" a="1"/>
  <c r="J22" i="21"/>
  <c r="J23" i="21" a="1"/>
  <c r="J23" i="21"/>
  <c r="J24" i="21" a="1"/>
  <c r="J24" i="21"/>
  <c r="J25" i="21" a="1"/>
  <c r="J25" i="21"/>
  <c r="J26" i="21" a="1"/>
  <c r="J26" i="21"/>
  <c r="J27" i="21" a="1"/>
  <c r="J27" i="21"/>
  <c r="J29" i="21" a="1"/>
  <c r="J29" i="21"/>
  <c r="J30" i="21" a="1"/>
  <c r="J30" i="21"/>
  <c r="J31" i="21" a="1"/>
  <c r="J31" i="21"/>
  <c r="J32" i="21" a="1"/>
  <c r="J32" i="21"/>
  <c r="J33" i="21" a="1"/>
  <c r="J33" i="21"/>
  <c r="J34" i="21" a="1"/>
  <c r="J34" i="21"/>
  <c r="J35" i="21" a="1"/>
  <c r="J35" i="21"/>
  <c r="J36" i="21" a="1"/>
  <c r="J36" i="21"/>
  <c r="J37" i="21" a="1"/>
  <c r="J37" i="21"/>
  <c r="J38" i="21" a="1"/>
  <c r="J38" i="21"/>
  <c r="J39" i="21" a="1"/>
  <c r="J39" i="21"/>
  <c r="J40" i="21" a="1"/>
  <c r="J40" i="21"/>
  <c r="J42" i="21" a="1"/>
  <c r="J42" i="21"/>
  <c r="J43" i="21" a="1"/>
  <c r="J43" i="21"/>
  <c r="J44" i="21" a="1"/>
  <c r="J44" i="21"/>
  <c r="J45" i="21" a="1"/>
  <c r="J45" i="21"/>
  <c r="J46" i="21" a="1"/>
  <c r="J46" i="21"/>
  <c r="J49" i="21" a="1"/>
  <c r="J49" i="21"/>
  <c r="J50" i="21" a="1"/>
  <c r="J50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<sst xmlns="http://schemas.openxmlformats.org/spreadsheetml/2006/main" count="6131" uniqueCount="1344">
  <si>
    <t>Financial Model</t>
  </si>
  <si>
    <t>Description</t>
  </si>
  <si>
    <t>Color Codes</t>
  </si>
  <si>
    <t>Company</t>
  </si>
  <si>
    <t>Coinbase Global Inc., (NASDAQ: COIN)</t>
  </si>
  <si>
    <t>Last updated:</t>
  </si>
  <si>
    <t>X</t>
  </si>
  <si>
    <t>Hardcoded</t>
  </si>
  <si>
    <t>Project:</t>
  </si>
  <si>
    <t>PEC Case</t>
  </si>
  <si>
    <t>Linked to other tab</t>
  </si>
  <si>
    <t>Short description:</t>
  </si>
  <si>
    <t>Financial Projections</t>
  </si>
  <si>
    <t>Formula</t>
  </si>
  <si>
    <t>Operating Case</t>
  </si>
  <si>
    <t>Base Case</t>
  </si>
  <si>
    <t>For Inputs</t>
  </si>
  <si>
    <t>Owner</t>
  </si>
  <si>
    <t>dillon.hj@u.nus.edu</t>
  </si>
  <si>
    <t>3 Financial Statements</t>
  </si>
  <si>
    <t>Q4</t>
  </si>
  <si>
    <t>Q1</t>
  </si>
  <si>
    <t>Q2</t>
  </si>
  <si>
    <t>Q3</t>
  </si>
  <si>
    <t>Actuals</t>
  </si>
  <si>
    <t>Forecasted</t>
  </si>
  <si>
    <t>In USD '000s, Unless Stated Otherwise</t>
  </si>
  <si>
    <t>x</t>
  </si>
  <si>
    <t>P&amp;L</t>
  </si>
  <si>
    <t>Units</t>
  </si>
  <si>
    <t>Sales</t>
  </si>
  <si>
    <t>Revenues</t>
  </si>
  <si>
    <t>Net Revenues</t>
  </si>
  <si>
    <t>USD '000s</t>
  </si>
  <si>
    <t>Other Revenues</t>
  </si>
  <si>
    <t>Total Revenues</t>
  </si>
  <si>
    <t>%</t>
  </si>
  <si>
    <t>Cost of Goods Sold</t>
  </si>
  <si>
    <t>Gross Profit</t>
  </si>
  <si>
    <t>Gross Profit Margin</t>
  </si>
  <si>
    <t>Transaction Expenses</t>
  </si>
  <si>
    <t>Sales and Marketing</t>
  </si>
  <si>
    <t>General and Administrative</t>
  </si>
  <si>
    <t>Technology Development</t>
  </si>
  <si>
    <t>Other Operating (Expenses)/income</t>
  </si>
  <si>
    <t>Other Operating Income/expense, Net</t>
  </si>
  <si>
    <t>Ther Operating Income and Expenses, Net</t>
  </si>
  <si>
    <t>Total OPEX</t>
  </si>
  <si>
    <t>Asset Write-downs</t>
  </si>
  <si>
    <t>Restructurings</t>
  </si>
  <si>
    <t>Interest Expense</t>
  </si>
  <si>
    <t>Other Income/expense-net</t>
  </si>
  <si>
    <t>Gain/Loss on Crypto assets held for investment, net</t>
  </si>
  <si>
    <t>Earnings Before Taxes (EBT)</t>
  </si>
  <si>
    <t>EBT Margin</t>
  </si>
  <si>
    <t>Earnings Before Interest &amp; Taxes (EBIT)</t>
  </si>
  <si>
    <t>EBIT Margin</t>
  </si>
  <si>
    <t>Earnings Before Interest, Taxes, Depreciation &amp; Amortization (EBITDA)</t>
  </si>
  <si>
    <t>EBITDA Margin</t>
  </si>
  <si>
    <t>Provision For Income Tax</t>
  </si>
  <si>
    <t>Net Income</t>
  </si>
  <si>
    <t>Net Income Margin</t>
  </si>
  <si>
    <t>Balance Sheet</t>
  </si>
  <si>
    <t>Assets</t>
  </si>
  <si>
    <t>Current Assets:</t>
  </si>
  <si>
    <t>Cash and Cash Equivalents</t>
  </si>
  <si>
    <t>Marketable Investments</t>
  </si>
  <si>
    <t>Accounts Receivable, Net of Allowance</t>
  </si>
  <si>
    <t>Accounts Receivable, Net</t>
  </si>
  <si>
    <t>Accounts and Loans Receivable, Net of Allowance</t>
  </si>
  <si>
    <t>Income Tax Receivable</t>
  </si>
  <si>
    <t>Loans Receivable</t>
  </si>
  <si>
    <t>Prepaid Expenses and Other Current Assets</t>
  </si>
  <si>
    <t>Restricted Cash</t>
  </si>
  <si>
    <t>Restricted: Cash and Cash Equivalents</t>
  </si>
  <si>
    <t>Other Current Assets</t>
  </si>
  <si>
    <t>Customer Custodial Funds</t>
  </si>
  <si>
    <t>Usdc</t>
  </si>
  <si>
    <t>Crypto Assets Borrowed</t>
  </si>
  <si>
    <t>Customer Crypto assets</t>
  </si>
  <si>
    <t>Customer Custodial Cash</t>
  </si>
  <si>
    <t>Safeguarding Customer Crypto assets</t>
  </si>
  <si>
    <t>Crypto assets held as Collateral</t>
  </si>
  <si>
    <t>Crypto assets held for operations</t>
  </si>
  <si>
    <t>Total Current Assets</t>
  </si>
  <si>
    <t>Non-Current Assets:</t>
  </si>
  <si>
    <t>Lease Right-of-use Assets</t>
  </si>
  <si>
    <t>Software and Equipment, Net</t>
  </si>
  <si>
    <t>Property and Equipment, net</t>
  </si>
  <si>
    <t>Strategic Investments</t>
  </si>
  <si>
    <t>Deferred Tax Assets</t>
  </si>
  <si>
    <t>Goodwill</t>
  </si>
  <si>
    <t>Intangible Assets, Net</t>
  </si>
  <si>
    <t>Other Non-current Assets</t>
  </si>
  <si>
    <t>Crypto Assets Held</t>
  </si>
  <si>
    <t>Crypto assets held for investment</t>
  </si>
  <si>
    <t>Total Non-Current Assets</t>
  </si>
  <si>
    <t>Total Assets</t>
  </si>
  <si>
    <t>Liabilities</t>
  </si>
  <si>
    <t>Current Liabilities:</t>
  </si>
  <si>
    <t>Accounts Payable</t>
  </si>
  <si>
    <t>Accounts Payable and Accrued Expenses</t>
  </si>
  <si>
    <t>Accrued Expenses and Other Current Liabilities</t>
  </si>
  <si>
    <t>Short-term Borrowings</t>
  </si>
  <si>
    <t>Crypto Asset Borrowings</t>
  </si>
  <si>
    <t>Current Portion of Long-term Debt</t>
  </si>
  <si>
    <t>Lease Liabilities, Current</t>
  </si>
  <si>
    <t>Other Current Liabilities</t>
  </si>
  <si>
    <t>Obligation to Return Collateral</t>
  </si>
  <si>
    <t>Custodial Funds Due to Customers</t>
  </si>
  <si>
    <t>Customer Crypto liabilities</t>
  </si>
  <si>
    <t>Customer Custodial Cash liabilities</t>
  </si>
  <si>
    <t>Safeguarding Customer Crypto liabilities</t>
  </si>
  <si>
    <t>Customer Custodial fund liabilities</t>
  </si>
  <si>
    <t>Total Current Liabilities</t>
  </si>
  <si>
    <t>Non-Current Liabilities:</t>
  </si>
  <si>
    <t>Long-term Debt</t>
  </si>
  <si>
    <t>Convertible Senior Notes, Net Non-current</t>
  </si>
  <si>
    <t>Lease Liabilities (non-current)</t>
  </si>
  <si>
    <t>Preferred Stock Convertible</t>
  </si>
  <si>
    <t>Other Non-current Liabilities</t>
  </si>
  <si>
    <t>Total Non-Current Liabilities</t>
  </si>
  <si>
    <t>Total Liabilities</t>
  </si>
  <si>
    <t>Shareholders' Equity</t>
  </si>
  <si>
    <t>Common Stock - Par Value</t>
  </si>
  <si>
    <t>Additional Paid in Capital</t>
  </si>
  <si>
    <t>Retained Earnings</t>
  </si>
  <si>
    <t>Accumulated Other Comprehensive Income (Loss)</t>
  </si>
  <si>
    <t>Total Shareholders' Equity</t>
  </si>
  <si>
    <t>Total Liabilities &amp; Shareholders' Equity</t>
  </si>
  <si>
    <t>Balance Check</t>
  </si>
  <si>
    <t>Statement of Cash Flows</t>
  </si>
  <si>
    <t>Cash Flow From Operations</t>
  </si>
  <si>
    <t>Adjustments:</t>
  </si>
  <si>
    <t>Depreciation &amp; Amort.</t>
  </si>
  <si>
    <t>Amort. of Goodwill and Intangibles</t>
  </si>
  <si>
    <t>Changes in Operating Working Capital:</t>
  </si>
  <si>
    <t>Changes in Other Items:</t>
  </si>
  <si>
    <t>Cash Flow From Investing</t>
  </si>
  <si>
    <t>Capital Expenditure</t>
  </si>
  <si>
    <t>Addition to Intagibles</t>
  </si>
  <si>
    <t>Cash Flow From Financing</t>
  </si>
  <si>
    <t>Debt Payments</t>
  </si>
  <si>
    <t>Debt Financing</t>
  </si>
  <si>
    <t>Equity Financing</t>
  </si>
  <si>
    <t>Changes in Cash &amp; Cash Equivalents</t>
  </si>
  <si>
    <t>(+) Foreign Exchange Rate Effect on Cash and Cash Equivalents</t>
  </si>
  <si>
    <t>Cash Flow Net Changes in Cash</t>
  </si>
  <si>
    <t>(+) Cash and Cash Equivalents, BOP</t>
  </si>
  <si>
    <t>Cash and Cash Equivalents, EOP</t>
  </si>
  <si>
    <t>Property, Plant &amp; Equipment Projections</t>
  </si>
  <si>
    <t>Cash Available for Debt Service</t>
  </si>
  <si>
    <t>Beginning Cash Balance</t>
  </si>
  <si>
    <t>Cash Flow Available for Debt Service</t>
  </si>
  <si>
    <t>Mandated Repayments</t>
  </si>
  <si>
    <t>Mandated Repayments Amount - Term Loan A</t>
  </si>
  <si>
    <t>Mandated Repayments Amount - Term Loan B</t>
  </si>
  <si>
    <t>Free Cash Flows</t>
  </si>
  <si>
    <t>EBIT</t>
  </si>
  <si>
    <t>Cash Tax on EBIT</t>
  </si>
  <si>
    <t>NOPAT</t>
  </si>
  <si>
    <t>Depreciation &amp; Amortization</t>
  </si>
  <si>
    <t>CapEx</t>
  </si>
  <si>
    <t>Changes in Operating Working Capital</t>
  </si>
  <si>
    <t>Terminal Value</t>
  </si>
  <si>
    <t>Weighted Average Cost of Equity</t>
  </si>
  <si>
    <t>Terminal EBITDA Multiple</t>
  </si>
  <si>
    <t>Total Free Cash Flows &amp; Terminal Value</t>
  </si>
  <si>
    <t>Discounting Model</t>
  </si>
  <si>
    <t>Year Count</t>
  </si>
  <si>
    <t>Years</t>
  </si>
  <si>
    <t>Discount Factor</t>
  </si>
  <si>
    <t>Present Value of Free Cash Flows</t>
  </si>
  <si>
    <t>Net Present Value</t>
  </si>
  <si>
    <t>Value</t>
  </si>
  <si>
    <t>%NPV</t>
  </si>
  <si>
    <t>Total Present Value of Free Cash Flows</t>
  </si>
  <si>
    <t>Present Value of Terminal Value</t>
  </si>
  <si>
    <t>DCF Valuation of the Operating Phase</t>
  </si>
  <si>
    <t>Enterprise Value</t>
  </si>
  <si>
    <t>Cost of Equity</t>
  </si>
  <si>
    <t>Capital Asset Pricing Model (CAPM)</t>
  </si>
  <si>
    <t xml:space="preserve">Risk Free Rate </t>
  </si>
  <si>
    <t>Levered Beta</t>
  </si>
  <si>
    <t xml:space="preserve">Equity Risk Premium </t>
  </si>
  <si>
    <t>Country Risk Premium</t>
  </si>
  <si>
    <t>Identified Peer Group</t>
  </si>
  <si>
    <t>Levered</t>
  </si>
  <si>
    <t>BV</t>
  </si>
  <si>
    <t xml:space="preserve">Cost of </t>
  </si>
  <si>
    <t>Debt</t>
  </si>
  <si>
    <t>Interest</t>
  </si>
  <si>
    <t>MV</t>
  </si>
  <si>
    <t>Market</t>
  </si>
  <si>
    <t>D/E</t>
  </si>
  <si>
    <t>Tax</t>
  </si>
  <si>
    <t>Unlevered</t>
  </si>
  <si>
    <t>Country</t>
  </si>
  <si>
    <t>Name</t>
  </si>
  <si>
    <t xml:space="preserve">Ticker </t>
  </si>
  <si>
    <t>Beta</t>
  </si>
  <si>
    <t>Maturity</t>
  </si>
  <si>
    <t>Expense</t>
  </si>
  <si>
    <t>Capitalisation</t>
  </si>
  <si>
    <t>Ratio</t>
  </si>
  <si>
    <t>Rate</t>
  </si>
  <si>
    <t>NASDAQ:GEMI</t>
  </si>
  <si>
    <t>NYSE:BLSH</t>
  </si>
  <si>
    <t>NYSE:CRCL</t>
  </si>
  <si>
    <t>NASDAQ:HOOD</t>
  </si>
  <si>
    <t>NASDAQ:GLXY</t>
  </si>
  <si>
    <t>NASDAQ:ETOR</t>
  </si>
  <si>
    <t>NASDAQ:IBKR</t>
  </si>
  <si>
    <t>Average</t>
  </si>
  <si>
    <t xml:space="preserve">Median </t>
  </si>
  <si>
    <t>NASDAQ:COIN</t>
  </si>
  <si>
    <t>Weightage</t>
  </si>
  <si>
    <t>Tax Rate</t>
  </si>
  <si>
    <t>Capital Structure</t>
  </si>
  <si>
    <t>(%)</t>
  </si>
  <si>
    <t>Target Capital Structure - Current D/E</t>
  </si>
  <si>
    <t>Target Capital Structure - Median Comps D/E</t>
  </si>
  <si>
    <t>Equity Risk Premium</t>
  </si>
  <si>
    <t>Revenue</t>
  </si>
  <si>
    <t>ERP</t>
  </si>
  <si>
    <t>Country/Region</t>
  </si>
  <si>
    <t>US$ Bn</t>
  </si>
  <si>
    <t>US</t>
  </si>
  <si>
    <t>International</t>
  </si>
  <si>
    <t>CRP</t>
  </si>
  <si>
    <t>US$Bn</t>
  </si>
  <si>
    <t>Revenue Build</t>
  </si>
  <si>
    <t>Sales Summary</t>
  </si>
  <si>
    <t>TRANSACTION REVENUE</t>
  </si>
  <si>
    <t xml:space="preserve">  Consumer, net</t>
  </si>
  <si>
    <t xml:space="preserve">  Institutional, net</t>
  </si>
  <si>
    <t xml:space="preserve">  Other transaction revenue, net</t>
  </si>
  <si>
    <t>Total Transaction Revenue</t>
  </si>
  <si>
    <t>SUBSCRIPTION &amp; SERVICES</t>
  </si>
  <si>
    <t xml:space="preserve">  Stablecoin revenue</t>
  </si>
  <si>
    <t xml:space="preserve">  Blockchain rewards</t>
  </si>
  <si>
    <t xml:space="preserve">  Interest &amp; finance fee income</t>
  </si>
  <si>
    <t xml:space="preserve">  Custodial fee revenue</t>
  </si>
  <si>
    <t xml:space="preserve">  Other subscription &amp; services</t>
  </si>
  <si>
    <t>Total Subscription &amp; Services</t>
  </si>
  <si>
    <t>Net Revenue</t>
  </si>
  <si>
    <t>Total Revenue</t>
  </si>
  <si>
    <t>Macro Data</t>
  </si>
  <si>
    <t>Internet Users (Euromonitor)</t>
  </si>
  <si>
    <t>Global Average Growth</t>
  </si>
  <si>
    <t>(+) Brand Premium</t>
  </si>
  <si>
    <t>MTU Growth Rate</t>
  </si>
  <si>
    <t>Inflation (Euromonitor)</t>
  </si>
  <si>
    <t>Pricing Growth Rate</t>
  </si>
  <si>
    <t>Cryptocurrency Market (Mordor Intelligence)</t>
  </si>
  <si>
    <t>User Data Build</t>
  </si>
  <si>
    <t>Notes:</t>
  </si>
  <si>
    <t>MTU's were grown using historical quarterly growth rates to reflect seasonality, with the addition of internet users growth rate to reflect global macroeconomic trends</t>
  </si>
  <si>
    <t>MTU's function as the main volume driver for this model, due to lack of other operating metrics</t>
  </si>
  <si>
    <t>MTU</t>
  </si>
  <si>
    <t>Mns</t>
  </si>
  <si>
    <t>%YoY</t>
  </si>
  <si>
    <t>Bull Case</t>
  </si>
  <si>
    <t>Bear Case</t>
  </si>
  <si>
    <t>Transaction Revenue Build</t>
  </si>
  <si>
    <t>Q3 Premium</t>
  </si>
  <si>
    <t>Q4 Step Down</t>
  </si>
  <si>
    <t>Consumer, net</t>
  </si>
  <si>
    <t>Consumer Revenue Per MTU (ASP)</t>
  </si>
  <si>
    <t>USD</t>
  </si>
  <si>
    <t>Consumer Spot Trading Volume (Volume)</t>
  </si>
  <si>
    <t>USD Bns</t>
  </si>
  <si>
    <t>Consumer Trading Fees Rate</t>
  </si>
  <si>
    <t>Institutional Revenue Build</t>
  </si>
  <si>
    <t>Q2 Premium</t>
  </si>
  <si>
    <t>Institutional, net</t>
  </si>
  <si>
    <t>Institutional Spot Trading Volume (Volume)</t>
  </si>
  <si>
    <t>Institutional Trading Fees Rate</t>
  </si>
  <si>
    <t>Other Transaction Revenue Build</t>
  </si>
  <si>
    <t>Other Transaction Revenue, net</t>
  </si>
  <si>
    <t>Coinbase Assets Breakdown</t>
  </si>
  <si>
    <t>Assets Under Custody or on Platform</t>
  </si>
  <si>
    <t>Contribution Towards Service Revenue</t>
  </si>
  <si>
    <t>Stablecoin Revenue</t>
  </si>
  <si>
    <t>Blockchain Rewards</t>
  </si>
  <si>
    <t>Interest &amp; Finance Fee Income</t>
  </si>
  <si>
    <t>Custodial Fee Revenue</t>
  </si>
  <si>
    <t>Other Subscription &amp; Services</t>
  </si>
  <si>
    <t>Check</t>
  </si>
  <si>
    <t>Assets Related to Service (Assumption Based off Calculations)</t>
  </si>
  <si>
    <t>Fees Incurred (For Transactions or Management of Assets)</t>
  </si>
  <si>
    <t>Other Revenues Build</t>
  </si>
  <si>
    <t>Income Statement &amp; Balance Sheet Projections</t>
  </si>
  <si>
    <t>%Revenue</t>
  </si>
  <si>
    <t>Current Assets</t>
  </si>
  <si>
    <t>Non-Current Assets</t>
  </si>
  <si>
    <t>Current Liabilities</t>
  </si>
  <si>
    <t>Net Working Capital</t>
  </si>
  <si>
    <t>Days</t>
  </si>
  <si>
    <t>Accounts Payable was calculated differently due to Coinbase's absence of COGS</t>
  </si>
  <si>
    <t>Leases</t>
  </si>
  <si>
    <t>OCI</t>
  </si>
  <si>
    <t>Property, Plant &amp; Equipment</t>
  </si>
  <si>
    <t>Property Plant &amp; Equipment, Net</t>
  </si>
  <si>
    <t>Assumptions</t>
  </si>
  <si>
    <t>Useful Life:</t>
  </si>
  <si>
    <t>Min</t>
  </si>
  <si>
    <t>Max</t>
  </si>
  <si>
    <t>Capitalized software &amp; Others</t>
  </si>
  <si>
    <t>CapEx Schedule &amp; Allocation</t>
  </si>
  <si>
    <t>Gross PPE:</t>
  </si>
  <si>
    <t>PPE Net Additions</t>
  </si>
  <si>
    <t>Depreciation Schedules</t>
  </si>
  <si>
    <t>Accumulated Depreciation:</t>
  </si>
  <si>
    <t>Beginning Accumulated Depreciation</t>
  </si>
  <si>
    <t>(+) Depreciation</t>
  </si>
  <si>
    <t>Ending Accumulated Depreciation</t>
  </si>
  <si>
    <t>Useful Life</t>
  </si>
  <si>
    <t>Beginning Balance</t>
  </si>
  <si>
    <t>(+) Additions</t>
  </si>
  <si>
    <t>(-) Depreciation</t>
  </si>
  <si>
    <t>Ending Balance, Net</t>
  </si>
  <si>
    <t>Beginning Year:</t>
  </si>
  <si>
    <t>Amount:</t>
  </si>
  <si>
    <t>Final Year:</t>
  </si>
  <si>
    <t>Total Depreciation</t>
  </si>
  <si>
    <t>Intangibles Schedule</t>
  </si>
  <si>
    <t>Intangibles</t>
  </si>
  <si>
    <t>Customer Relationships</t>
  </si>
  <si>
    <t>Acquired Developed Technology</t>
  </si>
  <si>
    <t>Trade Name and Other</t>
  </si>
  <si>
    <t>Additions to Intangibles</t>
  </si>
  <si>
    <t>Additions to Intangibles Schedule &amp; Allocation</t>
  </si>
  <si>
    <t>Gross Intangible Value:</t>
  </si>
  <si>
    <t>Acquired developed technology</t>
  </si>
  <si>
    <t>Customer relationships</t>
  </si>
  <si>
    <t>Assembled workforce</t>
  </si>
  <si>
    <t>Other</t>
  </si>
  <si>
    <t>Other (Indefinite)</t>
  </si>
  <si>
    <t>Crypto assets held</t>
  </si>
  <si>
    <t>Licenses</t>
  </si>
  <si>
    <t>Total</t>
  </si>
  <si>
    <t>% of Additions</t>
  </si>
  <si>
    <t>Debt &amp; Equity Schedule</t>
  </si>
  <si>
    <t>Debt Schedule</t>
  </si>
  <si>
    <t>Current Portion of Long-Term Debt</t>
  </si>
  <si>
    <t>Long-Term Debt</t>
  </si>
  <si>
    <t>Total Debt</t>
  </si>
  <si>
    <t>Revolver Schedule</t>
  </si>
  <si>
    <t>Circularity</t>
  </si>
  <si>
    <t>OFF</t>
  </si>
  <si>
    <t>Beginning Cash and Equivalents</t>
  </si>
  <si>
    <t>(+) Cash Flow from Operations + Investing</t>
  </si>
  <si>
    <t>(-) Debt Principal Repayments</t>
  </si>
  <si>
    <t>(-) Mandatory Lease Repayments</t>
  </si>
  <si>
    <t>(-) Dividends</t>
  </si>
  <si>
    <t>(-) Minimum Cash Balance</t>
  </si>
  <si>
    <t>(Required Fundraise)</t>
  </si>
  <si>
    <t>% Debt Financing</t>
  </si>
  <si>
    <t>Required Fundraise</t>
  </si>
  <si>
    <t>Convertible Notes Proceeds</t>
  </si>
  <si>
    <t>Total Debt Beginning Balance</t>
  </si>
  <si>
    <t>(+) Borrowings</t>
  </si>
  <si>
    <t>(-) Repayments</t>
  </si>
  <si>
    <t>Ending Balance</t>
  </si>
  <si>
    <t>Repayment Schedule</t>
  </si>
  <si>
    <t>Principal Repayments</t>
  </si>
  <si>
    <t>Loans From Banks:</t>
  </si>
  <si>
    <t>Principal</t>
  </si>
  <si>
    <t>Effective Rate</t>
  </si>
  <si>
    <t>Quarter</t>
  </si>
  <si>
    <t>0.50% 2026 Convertible Notes due June 1, 2026</t>
  </si>
  <si>
    <t>3.38% 2028 Senior Notes due October 1, 2028</t>
  </si>
  <si>
    <t>0.00% 2029 Convertible Notes due October 1, 2029</t>
  </si>
  <si>
    <t>0.25% 2030 Convertible Notes due April 1, 2030</t>
  </si>
  <si>
    <t>3.63% 2031 Senior Notes due October 1, 2031</t>
  </si>
  <si>
    <t>0.00% 2032 Convertible Notes due October 1, 2032</t>
  </si>
  <si>
    <t>Credit Revolver:</t>
  </si>
  <si>
    <t>Total Principal Repayments</t>
  </si>
  <si>
    <t>Interest Schedule</t>
  </si>
  <si>
    <t>Total Interest Expense</t>
  </si>
  <si>
    <t>Equity Schedule</t>
  </si>
  <si>
    <t>Equity Attributable to the Parent</t>
  </si>
  <si>
    <t>Equity attributable to the Parent, BOP</t>
  </si>
  <si>
    <t>(+) Net Income</t>
  </si>
  <si>
    <t>(+) Equity Financing</t>
  </si>
  <si>
    <t>Equity attributable to the Parent, EOP</t>
  </si>
  <si>
    <t>Stock Based Compensation</t>
  </si>
  <si>
    <t>APIC Opening</t>
  </si>
  <si>
    <t xml:space="preserve"> SBC Expense</t>
  </si>
  <si>
    <t xml:space="preserve"> Cash Equity Issuance</t>
  </si>
  <si>
    <t>APIC Closing</t>
  </si>
  <si>
    <t>APAC</t>
  </si>
  <si>
    <t>GDP (Bn)</t>
  </si>
  <si>
    <t>Weightage (%)</t>
  </si>
  <si>
    <t>Moody's rating</t>
  </si>
  <si>
    <t>Adj. Default Spread</t>
  </si>
  <si>
    <t>Corporate Tax Rate</t>
  </si>
  <si>
    <t>Region</t>
  </si>
  <si>
    <t>Australia</t>
  </si>
  <si>
    <t>China</t>
  </si>
  <si>
    <t>India</t>
  </si>
  <si>
    <t>Japan</t>
  </si>
  <si>
    <t>New Zealand</t>
  </si>
  <si>
    <t>NIL</t>
  </si>
  <si>
    <t>Austria</t>
  </si>
  <si>
    <t>Aa1</t>
  </si>
  <si>
    <t>Czech Republic</t>
  </si>
  <si>
    <t>Aa3</t>
  </si>
  <si>
    <t>Denmark</t>
  </si>
  <si>
    <t>Aaa</t>
  </si>
  <si>
    <t>Faroe Islands</t>
  </si>
  <si>
    <t>Finland</t>
  </si>
  <si>
    <t>France</t>
  </si>
  <si>
    <t>Germany</t>
  </si>
  <si>
    <t>Ireland</t>
  </si>
  <si>
    <t>Italy</t>
  </si>
  <si>
    <t>Baa3</t>
  </si>
  <si>
    <t>Saudi Arabia</t>
  </si>
  <si>
    <t>Lithuania</t>
  </si>
  <si>
    <t>A2</t>
  </si>
  <si>
    <t>Norway</t>
  </si>
  <si>
    <t>Portugal</t>
  </si>
  <si>
    <t>A3</t>
  </si>
  <si>
    <t>Slovakia</t>
  </si>
  <si>
    <t>Spain</t>
  </si>
  <si>
    <t>Baa1</t>
  </si>
  <si>
    <t>Sweden</t>
  </si>
  <si>
    <t>Turkey</t>
  </si>
  <si>
    <t>B1</t>
  </si>
  <si>
    <t>United Kingdom</t>
  </si>
  <si>
    <t>Europe &amp; Middle East</t>
  </si>
  <si>
    <t>Aruba</t>
  </si>
  <si>
    <t>Bahamas</t>
  </si>
  <si>
    <t>Barbados</t>
  </si>
  <si>
    <t>B2</t>
  </si>
  <si>
    <t>Bolivia</t>
  </si>
  <si>
    <t>Ca</t>
  </si>
  <si>
    <t>Brazil</t>
  </si>
  <si>
    <t>Ba1</t>
  </si>
  <si>
    <t>Canada</t>
  </si>
  <si>
    <t>Chile</t>
  </si>
  <si>
    <t>Colombia</t>
  </si>
  <si>
    <t>Costa Rica</t>
  </si>
  <si>
    <t>Ba3</t>
  </si>
  <si>
    <t>Dominican Republic</t>
  </si>
  <si>
    <t>Ecuador</t>
  </si>
  <si>
    <t>Caa3</t>
  </si>
  <si>
    <t>El Salvador</t>
  </si>
  <si>
    <t>B3</t>
  </si>
  <si>
    <t>Grenada</t>
  </si>
  <si>
    <t>Guatemala</t>
  </si>
  <si>
    <t>Honduras</t>
  </si>
  <si>
    <t>Mexico</t>
  </si>
  <si>
    <t>Baa2</t>
  </si>
  <si>
    <t>Panama</t>
  </si>
  <si>
    <t>Peru</t>
  </si>
  <si>
    <t>Puerto Rico</t>
  </si>
  <si>
    <t>Sint Maarten</t>
  </si>
  <si>
    <t>Trinidad and Tobago</t>
  </si>
  <si>
    <t>Ba2</t>
  </si>
  <si>
    <t>Uruguay</t>
  </si>
  <si>
    <t>Latin America, Caribbean &amp; Canada</t>
  </si>
  <si>
    <t>For financial service firms (default spreads are slighty different)</t>
  </si>
  <si>
    <t>A1</t>
  </si>
  <si>
    <t>Asia</t>
  </si>
  <si>
    <t>&gt;</t>
  </si>
  <si>
    <t>≤ to</t>
  </si>
  <si>
    <t>Rating is</t>
  </si>
  <si>
    <t>Spread is</t>
  </si>
  <si>
    <t>United States</t>
  </si>
  <si>
    <t>North America</t>
  </si>
  <si>
    <t>D2/D</t>
  </si>
  <si>
    <t>Abu Dhabi</t>
  </si>
  <si>
    <t>Aa2</t>
  </si>
  <si>
    <t>Middle East</t>
  </si>
  <si>
    <t>C2/C</t>
  </si>
  <si>
    <t>Albania</t>
  </si>
  <si>
    <t>Eastern Europe &amp; Russia</t>
  </si>
  <si>
    <t>Ca2/CC</t>
  </si>
  <si>
    <t>Andorra (Principality of)</t>
  </si>
  <si>
    <t>Western Europe</t>
  </si>
  <si>
    <t>Caa/CCC</t>
  </si>
  <si>
    <t>Angola</t>
  </si>
  <si>
    <t>Africa</t>
  </si>
  <si>
    <t>B3/B-</t>
  </si>
  <si>
    <t>Argentina</t>
  </si>
  <si>
    <t>Central and South America</t>
  </si>
  <si>
    <t>B2/B</t>
  </si>
  <si>
    <t>Armenia</t>
  </si>
  <si>
    <t>B1/B+</t>
  </si>
  <si>
    <t>Caribbean</t>
  </si>
  <si>
    <t>Ba2/BB</t>
  </si>
  <si>
    <t>Australia &amp; New Zealand</t>
  </si>
  <si>
    <t>Ba1/BB+</t>
  </si>
  <si>
    <t>Baa2/BBB</t>
  </si>
  <si>
    <t>Azerbaijan</t>
  </si>
  <si>
    <t>A3/A-</t>
  </si>
  <si>
    <t>A2/A</t>
  </si>
  <si>
    <t>Bahrain</t>
  </si>
  <si>
    <t>A1/A+</t>
  </si>
  <si>
    <t>Bangladesh</t>
  </si>
  <si>
    <t>Aa2/AA</t>
  </si>
  <si>
    <t>Aaa/AAA</t>
  </si>
  <si>
    <t>Belarus</t>
  </si>
  <si>
    <t>C</t>
  </si>
  <si>
    <t>Belgium</t>
  </si>
  <si>
    <t>Belize</t>
  </si>
  <si>
    <t>Caa1</t>
  </si>
  <si>
    <t>Benin</t>
  </si>
  <si>
    <t>Bermuda</t>
  </si>
  <si>
    <t>Bosnia and Herzegovina</t>
  </si>
  <si>
    <t>Botswana</t>
  </si>
  <si>
    <t>Bulgaria</t>
  </si>
  <si>
    <t>Burkina Faso</t>
  </si>
  <si>
    <t>Cambodia</t>
  </si>
  <si>
    <t>Cameroon</t>
  </si>
  <si>
    <t>Cape Verde</t>
  </si>
  <si>
    <t>Cayman Islands</t>
  </si>
  <si>
    <t>Congo (Democratic Republic of)</t>
  </si>
  <si>
    <t>Congo (Republic of)</t>
  </si>
  <si>
    <t>Caa2</t>
  </si>
  <si>
    <t>Cook Islands</t>
  </si>
  <si>
    <t>Côte d'Ivoire</t>
  </si>
  <si>
    <t>Croatia</t>
  </si>
  <si>
    <t>Cuba</t>
  </si>
  <si>
    <t>Curacao</t>
  </si>
  <si>
    <t>Cyprus</t>
  </si>
  <si>
    <t>Egypt</t>
  </si>
  <si>
    <t>Estonia</t>
  </si>
  <si>
    <t>Ethiopia</t>
  </si>
  <si>
    <t>Fiji</t>
  </si>
  <si>
    <t>Gabon</t>
  </si>
  <si>
    <t>Georgia</t>
  </si>
  <si>
    <t>Ghana</t>
  </si>
  <si>
    <t>Greece</t>
  </si>
  <si>
    <t>Guernsey (States of)</t>
  </si>
  <si>
    <t>Hong Kong</t>
  </si>
  <si>
    <t>Hungary</t>
  </si>
  <si>
    <t>Iceland</t>
  </si>
  <si>
    <t>Indonesia</t>
  </si>
  <si>
    <t>Iraq</t>
  </si>
  <si>
    <t>Isle of Man</t>
  </si>
  <si>
    <t>Israel</t>
  </si>
  <si>
    <t>Jamaica</t>
  </si>
  <si>
    <t>Jersey (States of)</t>
  </si>
  <si>
    <t>Jordan</t>
  </si>
  <si>
    <t>Kazakhstan</t>
  </si>
  <si>
    <t>Kenya</t>
  </si>
  <si>
    <t>Korea</t>
  </si>
  <si>
    <t>Kuwait</t>
  </si>
  <si>
    <t>Kyrgyzstan</t>
  </si>
  <si>
    <t>Laos</t>
  </si>
  <si>
    <t>Latvia</t>
  </si>
  <si>
    <t>Lebanon</t>
  </si>
  <si>
    <t>Liechtenstein</t>
  </si>
  <si>
    <t>Luxembourg</t>
  </si>
  <si>
    <t>Macao</t>
  </si>
  <si>
    <t>Macedonia</t>
  </si>
  <si>
    <t>Malaysia</t>
  </si>
  <si>
    <t>Maldives</t>
  </si>
  <si>
    <t>Mali</t>
  </si>
  <si>
    <t>Malta</t>
  </si>
  <si>
    <t>Mauritius</t>
  </si>
  <si>
    <t>Moldova</t>
  </si>
  <si>
    <t>Mongolia</t>
  </si>
  <si>
    <t>Montenegro</t>
  </si>
  <si>
    <t>Montserrat</t>
  </si>
  <si>
    <t>Morocco</t>
  </si>
  <si>
    <t>Mozambique</t>
  </si>
  <si>
    <t>Namibia</t>
  </si>
  <si>
    <t>Nepal</t>
  </si>
  <si>
    <t>Netherlands</t>
  </si>
  <si>
    <t>Nicaragua</t>
  </si>
  <si>
    <t>Niger</t>
  </si>
  <si>
    <t>Nigeria</t>
  </si>
  <si>
    <t>Oman</t>
  </si>
  <si>
    <t>Pakistan</t>
  </si>
  <si>
    <t>Papua New Guinea</t>
  </si>
  <si>
    <t>Paraguay</t>
  </si>
  <si>
    <t>Philippines</t>
  </si>
  <si>
    <t>Poland</t>
  </si>
  <si>
    <t>Qatar</t>
  </si>
  <si>
    <t>Ras Al Khaimah (Emirate of)</t>
  </si>
  <si>
    <t>Romania</t>
  </si>
  <si>
    <t>Rwanda</t>
  </si>
  <si>
    <t>Senegal</t>
  </si>
  <si>
    <t>Serbia</t>
  </si>
  <si>
    <t>Sharjah</t>
  </si>
  <si>
    <t>Singapore</t>
  </si>
  <si>
    <t>Slovenia</t>
  </si>
  <si>
    <t>Solomon Islands</t>
  </si>
  <si>
    <t>South Africa</t>
  </si>
  <si>
    <t>Sri Lanka</t>
  </si>
  <si>
    <t>St. Maarten</t>
  </si>
  <si>
    <t>St. Vincent &amp; the Grenadines</t>
  </si>
  <si>
    <t>Suriname</t>
  </si>
  <si>
    <t>Swaziland</t>
  </si>
  <si>
    <t>Switzerland</t>
  </si>
  <si>
    <t>Taiwan</t>
  </si>
  <si>
    <t>Tajikistan</t>
  </si>
  <si>
    <t>Tanzania</t>
  </si>
  <si>
    <t>Thailand</t>
  </si>
  <si>
    <t>Togo</t>
  </si>
  <si>
    <t>Tunisia</t>
  </si>
  <si>
    <t>Turks and Caicos Islands</t>
  </si>
  <si>
    <t>Uganda</t>
  </si>
  <si>
    <t>Ukraine</t>
  </si>
  <si>
    <t>United Arab Emirates</t>
  </si>
  <si>
    <t>Uzbekistan</t>
  </si>
  <si>
    <t>Venezuela</t>
  </si>
  <si>
    <t>Vietnam</t>
  </si>
  <si>
    <t>Zambia</t>
  </si>
  <si>
    <t>Internet User Data (Euromonitor)</t>
  </si>
  <si>
    <t>Geography</t>
  </si>
  <si>
    <t>Category</t>
  </si>
  <si>
    <t>Data Type</t>
  </si>
  <si>
    <t>Unit</t>
  </si>
  <si>
    <t>Current Constant</t>
  </si>
  <si>
    <t>2020 - 2021</t>
  </si>
  <si>
    <t>2021 - 2022</t>
  </si>
  <si>
    <t>2022 - 2023</t>
  </si>
  <si>
    <t>2023 - 2024</t>
  </si>
  <si>
    <t>2024 - 2025</t>
  </si>
  <si>
    <t>2025 - 2026</t>
  </si>
  <si>
    <t>2026 - 2027</t>
  </si>
  <si>
    <t>2027 - 2028</t>
  </si>
  <si>
    <t>2028 - 2029</t>
  </si>
  <si>
    <t>2029 - 2030</t>
  </si>
  <si>
    <t>Afghanistan</t>
  </si>
  <si>
    <t>Internet Users</t>
  </si>
  <si>
    <t>Socio-economic indicators</t>
  </si>
  <si>
    <t>000</t>
  </si>
  <si>
    <t>-</t>
  </si>
  <si>
    <t>American Samoa</t>
  </si>
  <si>
    <t>Bhutan</t>
  </si>
  <si>
    <t>Brunei Darussalam</t>
  </si>
  <si>
    <t>French Polynesia</t>
  </si>
  <si>
    <t>Guam</t>
  </si>
  <si>
    <t>Hong Kong, China</t>
  </si>
  <si>
    <t>Kiribati</t>
  </si>
  <si>
    <t>Macau, China</t>
  </si>
  <si>
    <t>Myanmar</t>
  </si>
  <si>
    <t>Nauru</t>
  </si>
  <si>
    <t>New Caledonia</t>
  </si>
  <si>
    <t>Samoa</t>
  </si>
  <si>
    <t>South Korea</t>
  </si>
  <si>
    <t>Tonga</t>
  </si>
  <si>
    <t>Turkmenistan</t>
  </si>
  <si>
    <t>Tuvalu</t>
  </si>
  <si>
    <t>Vanuatu</t>
  </si>
  <si>
    <t>Kosovo</t>
  </si>
  <si>
    <t>North Macedonia</t>
  </si>
  <si>
    <t>Russia</t>
  </si>
  <si>
    <t>Anguilla</t>
  </si>
  <si>
    <t>Antigua and Barbuda</t>
  </si>
  <si>
    <t>British Virgin Islands</t>
  </si>
  <si>
    <t>Dominica</t>
  </si>
  <si>
    <t>French Guiana</t>
  </si>
  <si>
    <t>Guadeloupe</t>
  </si>
  <si>
    <t>Guyana</t>
  </si>
  <si>
    <t>Haiti</t>
  </si>
  <si>
    <t>Martinique</t>
  </si>
  <si>
    <t>St Kitts and Nevis</t>
  </si>
  <si>
    <t>St Lucia</t>
  </si>
  <si>
    <t>St Vincent and the Grenadines</t>
  </si>
  <si>
    <t>US Virgin Islands</t>
  </si>
  <si>
    <t>Algeria</t>
  </si>
  <si>
    <t>Burundi</t>
  </si>
  <si>
    <t>Cabo Verde</t>
  </si>
  <si>
    <t>Central African Republic</t>
  </si>
  <si>
    <t>Chad</t>
  </si>
  <si>
    <t>Comoros</t>
  </si>
  <si>
    <t>Congo, Democratic Republic</t>
  </si>
  <si>
    <t>Congo-Brazzaville</t>
  </si>
  <si>
    <t>Djibouti</t>
  </si>
  <si>
    <t>Equatorial Guinea</t>
  </si>
  <si>
    <t>Eritrea</t>
  </si>
  <si>
    <t>Eswatini</t>
  </si>
  <si>
    <t>Gambia</t>
  </si>
  <si>
    <t>Guinea</t>
  </si>
  <si>
    <t>Guinea-Bissau</t>
  </si>
  <si>
    <t>Iran</t>
  </si>
  <si>
    <t>Lesotho</t>
  </si>
  <si>
    <t>Liberia</t>
  </si>
  <si>
    <t>Libya</t>
  </si>
  <si>
    <t>Madagascar</t>
  </si>
  <si>
    <t>Malawi</t>
  </si>
  <si>
    <t>Mauritania</t>
  </si>
  <si>
    <t>Réunion</t>
  </si>
  <si>
    <t>Sao Tomé e Príncipe</t>
  </si>
  <si>
    <t>Seychelles</t>
  </si>
  <si>
    <t>Sierra Leone</t>
  </si>
  <si>
    <t>Somalia</t>
  </si>
  <si>
    <t>South Sudan</t>
  </si>
  <si>
    <t>Sudan</t>
  </si>
  <si>
    <t>Syria</t>
  </si>
  <si>
    <t>Yemen</t>
  </si>
  <si>
    <t>Zimbabwe</t>
  </si>
  <si>
    <t>USA</t>
  </si>
  <si>
    <t>Andorra</t>
  </si>
  <si>
    <t>Gibraltar</t>
  </si>
  <si>
    <t>Monaco</t>
  </si>
  <si>
    <t>Inflation Quarterly Data (Euromonitor)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</si>
  <si>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</si>
  <si>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</si>
  <si>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</si>
  <si>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</si>
  <si>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</si>
  <si>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</si>
  <si>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</si>
  <si>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</si>
  <si>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</si>
  <si>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</si>
  <si>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</si>
  <si>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</si>
  <si>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</si>
  <si>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</si>
  <si>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</si>
  <si>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</si>
  <si>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</si>
  <si>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</si>
  <si>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</si>
  <si>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</si>
  <si>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</si>
  <si>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</si>
  <si>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</si>
  <si>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</si>
  <si>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</si>
  <si>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</si>
  <si>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Q3 2026</t>
  </si>
  <si>
    <t>Q4 2026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</si>
  <si>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</si>
  <si>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</si>
  <si>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</si>
  <si>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</si>
  <si>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</si>
  <si>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</si>
  <si>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</si>
  <si>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</si>
  <si>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</si>
  <si>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</si>
  <si>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</si>
  <si>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</si>
  <si>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>Q1 2030</t>
  </si>
  <si>
    <t>Q2 2030</t>
  </si>
  <si>
    <t>Q3 2030</t>
  </si>
  <si>
    <t>Q4 2030</t>
  </si>
  <si>
    <t>Inflation</t>
  </si>
  <si>
    <t>% growth over previous period</t>
  </si>
  <si>
    <t>Cryptocurrency Market Growth Rate (Mordor Intelligence)</t>
  </si>
  <si>
    <t>Growth Rate</t>
  </si>
  <si>
    <t>Company Overview</t>
  </si>
  <si>
    <t>INGYU</t>
  </si>
  <si>
    <t>Thesis 1</t>
  </si>
  <si>
    <t>Revenue Growth</t>
  </si>
  <si>
    <t>Transaction Revenue</t>
  </si>
  <si>
    <t>Subscriptions &amp; Services</t>
  </si>
  <si>
    <t>Other Revenue</t>
  </si>
  <si>
    <t>TRANSACTION Yoy Growth</t>
  </si>
  <si>
    <t>EBITDA</t>
  </si>
  <si>
    <t xml:space="preserve">  Consumer YoY%</t>
  </si>
  <si>
    <t xml:space="preserve">  Institutional YoY%</t>
  </si>
  <si>
    <t>Industry Overview</t>
  </si>
  <si>
    <t>Broker</t>
  </si>
  <si>
    <t>Price Target (USD)</t>
  </si>
  <si>
    <t>Analyst</t>
  </si>
  <si>
    <t>Research Date</t>
  </si>
  <si>
    <t>Rating</t>
  </si>
  <si>
    <t>Waterfall</t>
  </si>
  <si>
    <t>Market Size</t>
  </si>
  <si>
    <t>Goldman Sachs</t>
  </si>
  <si>
    <t>$264</t>
  </si>
  <si>
    <t>James Yaro, CFA</t>
  </si>
  <si>
    <t>13 Feb '26</t>
  </si>
  <si>
    <t>Buy</t>
  </si>
  <si>
    <t>Market Cap</t>
  </si>
  <si>
    <t>Citi</t>
  </si>
  <si>
    <t>$400</t>
  </si>
  <si>
    <t>Peter Christiansen, CFA</t>
  </si>
  <si>
    <t>Buy / High Risk</t>
  </si>
  <si>
    <t>(+) Total Debt</t>
  </si>
  <si>
    <t>Date</t>
  </si>
  <si>
    <t>Number of Users</t>
  </si>
  <si>
    <t>Barclays</t>
  </si>
  <si>
    <t>$148</t>
  </si>
  <si>
    <t>Benjamin Budish, CFA</t>
  </si>
  <si>
    <t>12 Feb '26</t>
  </si>
  <si>
    <t>Equal Weight</t>
  </si>
  <si>
    <t>(-) Cash &amp; Equivalents</t>
  </si>
  <si>
    <t>Jefferies</t>
  </si>
  <si>
    <t>$151</t>
  </si>
  <si>
    <t>Daniel T. Fannon</t>
  </si>
  <si>
    <t>Hold</t>
  </si>
  <si>
    <t>(-) Investments</t>
  </si>
  <si>
    <t>Baird</t>
  </si>
  <si>
    <t>$240</t>
  </si>
  <si>
    <t>David J. Koning, CFA</t>
  </si>
  <si>
    <t>27 Jan '26</t>
  </si>
  <si>
    <t>Neutral</t>
  </si>
  <si>
    <t>Oppenheimer</t>
  </si>
  <si>
    <t>$227</t>
  </si>
  <si>
    <t>Rayna Kumar</t>
  </si>
  <si>
    <t>04 Mar '26</t>
  </si>
  <si>
    <t>China Renaissance (US)</t>
  </si>
  <si>
    <t>$223</t>
  </si>
  <si>
    <t>Cindy Wang</t>
  </si>
  <si>
    <t>20 Feb '26</t>
  </si>
  <si>
    <t>CMB International</t>
  </si>
  <si>
    <t>$270</t>
  </si>
  <si>
    <t>Saiyi He</t>
  </si>
  <si>
    <t>Clear Street</t>
  </si>
  <si>
    <t>$277</t>
  </si>
  <si>
    <t>Owen Lau</t>
  </si>
  <si>
    <t>Monness, Crespi, Hardt</t>
  </si>
  <si>
    <t>$120</t>
  </si>
  <si>
    <t>Gus Gala</t>
  </si>
  <si>
    <t>Sell</t>
  </si>
  <si>
    <t>Cantor Fitzgerald</t>
  </si>
  <si>
    <t>$221</t>
  </si>
  <si>
    <t>Ramsey El-Assal</t>
  </si>
  <si>
    <t>23 Jan '26</t>
  </si>
  <si>
    <t>Restricted 1</t>
  </si>
  <si>
    <t>$215</t>
  </si>
  <si>
    <t>Restricted 2</t>
  </si>
  <si>
    <t>$252</t>
  </si>
  <si>
    <t>Equity Capitalization</t>
  </si>
  <si>
    <t>Current as of 03/27/2026</t>
  </si>
  <si>
    <t>Shares</t>
  </si>
  <si>
    <t>Basic Shares</t>
  </si>
  <si>
    <t>Diluted Shares</t>
  </si>
  <si>
    <t>Convertible Preferred Dilution</t>
  </si>
  <si>
    <t>--</t>
  </si>
  <si>
    <t>Convertible Debt Dilution</t>
  </si>
  <si>
    <t>Value Creation Plan 1</t>
  </si>
  <si>
    <t>Stock Compensation Dilution</t>
  </si>
  <si>
    <t>Restricted Stock Awards</t>
  </si>
  <si>
    <t>Restricted Stock Units</t>
  </si>
  <si>
    <t>BTC-USD</t>
  </si>
  <si>
    <t>Stock Options + Warrants</t>
  </si>
  <si>
    <t>Performance Shares</t>
  </si>
  <si>
    <t>Txn Revenue</t>
  </si>
  <si>
    <t>Total Fixed Cost</t>
  </si>
  <si>
    <t>Deferred Share Units</t>
  </si>
  <si>
    <t>Phantom Stock</t>
  </si>
  <si>
    <t>Fully Diluted Total (Basic + Diluted)</t>
  </si>
  <si>
    <t>Year</t>
  </si>
  <si>
    <t>Source: FactSet Equity Capital Structure</t>
  </si>
  <si>
    <t>Coverage</t>
  </si>
  <si>
    <t>Debt Capitalization</t>
  </si>
  <si>
    <t>Cryptocurrency</t>
  </si>
  <si>
    <t>Market Share</t>
  </si>
  <si>
    <t>BTC</t>
  </si>
  <si>
    <t>ETH</t>
  </si>
  <si>
    <t>USDT</t>
  </si>
  <si>
    <t>ST Debt Total</t>
  </si>
  <si>
    <t>XRP</t>
  </si>
  <si>
    <t>Revolving Credit</t>
  </si>
  <si>
    <t>BNB</t>
  </si>
  <si>
    <t>Term Loans</t>
  </si>
  <si>
    <t>Others</t>
  </si>
  <si>
    <t>Notes/Bonds</t>
  </si>
  <si>
    <t>No. of Transactions</t>
  </si>
  <si>
    <t>LT Debt Total</t>
  </si>
  <si>
    <t>LTD Current (Debt/Capital Leases)</t>
  </si>
  <si>
    <t>Net LT Debt Total</t>
  </si>
  <si>
    <t>Value Creation Plan 2</t>
  </si>
  <si>
    <t>Source: FactSet Debt Capital Structure</t>
  </si>
  <si>
    <t xml:space="preserve">  Interest &amp; finance fee</t>
  </si>
  <si>
    <t>Net</t>
  </si>
  <si>
    <t>Sales and Marketing Expense</t>
  </si>
  <si>
    <t>Market Capitalization</t>
  </si>
  <si>
    <t>+ Total Debt</t>
  </si>
  <si>
    <t>d</t>
  </si>
  <si>
    <t>- In-the-Money Convertible Debt</t>
  </si>
  <si>
    <t>- Cash &amp; Equivalents</t>
  </si>
  <si>
    <t>+ Total Preferred</t>
  </si>
  <si>
    <t>S&amp;M Expense Per MTU</t>
  </si>
  <si>
    <t>- In-the-Money Convertible Preferred</t>
  </si>
  <si>
    <t>Net Rev per MTU</t>
  </si>
  <si>
    <t>- Investments in Unconsolidated Subsidiaries</t>
  </si>
  <si>
    <t>+ Non-Controlling Interest</t>
  </si>
  <si>
    <t>+ Pension Liabilities</t>
  </si>
  <si>
    <t>Guidance:</t>
  </si>
  <si>
    <t>FY25</t>
  </si>
  <si>
    <t>FY26</t>
  </si>
  <si>
    <t>FY25A Actual</t>
  </si>
  <si>
    <t>Action A: S&amp;M</t>
  </si>
  <si>
    <t>Action B: T&amp;D</t>
  </si>
  <si>
    <t>Action C: G&amp;A</t>
  </si>
  <si>
    <t>FY26F Target</t>
  </si>
  <si>
    <t>William Blair</t>
  </si>
  <si>
    <t>Andrew W. Jeffrey</t>
  </si>
  <si>
    <t>—</t>
  </si>
  <si>
    <t>Restricted</t>
  </si>
  <si>
    <t>Investment Thesis</t>
  </si>
  <si>
    <t>Consumer Take Rates</t>
  </si>
  <si>
    <t>Sales &amp; Marketing Margin</t>
  </si>
  <si>
    <t>Consumer Revenue</t>
  </si>
  <si>
    <t>Consumer Revenue Per MTU (US$)</t>
  </si>
  <si>
    <t>OPEX</t>
  </si>
  <si>
    <t>S&amp;M</t>
  </si>
  <si>
    <t>OPEX Margin</t>
  </si>
  <si>
    <t>T&amp;D Expense</t>
  </si>
  <si>
    <t>T&amp;D Expense Per MTU</t>
  </si>
  <si>
    <t>Subscription Revenue</t>
  </si>
  <si>
    <t>Bitcoin Market</t>
  </si>
  <si>
    <t>Institutional Assets</t>
  </si>
  <si>
    <t xml:space="preserve">Shareholding Structure </t>
  </si>
  <si>
    <t>Yixuan</t>
  </si>
  <si>
    <t xml:space="preserve">Institutional Shareholders </t>
  </si>
  <si>
    <t xml:space="preserve">Insiders </t>
  </si>
  <si>
    <t xml:space="preserve">Retail Investors </t>
  </si>
  <si>
    <t xml:space="preserve">Total </t>
  </si>
  <si>
    <t>Staked AUM</t>
  </si>
  <si>
    <t>Yield</t>
  </si>
  <si>
    <t>Source: 10-Q</t>
  </si>
  <si>
    <t xml:space="preserve">Trading Comparables </t>
  </si>
  <si>
    <t>As of Date:</t>
  </si>
  <si>
    <t>Currency:</t>
  </si>
  <si>
    <t>EV/Sales Upper Bound:</t>
  </si>
  <si>
    <t>EV/EBITDA Upper Bound:</t>
  </si>
  <si>
    <t>P/E Upper Bound:</t>
  </si>
  <si>
    <t>P/B Upper Bound:</t>
  </si>
  <si>
    <t>P/NTA Upper Bound:</t>
  </si>
  <si>
    <t>IQ PERIOD:</t>
  </si>
  <si>
    <t>IQ_FY</t>
  </si>
  <si>
    <t>-3Y</t>
  </si>
  <si>
    <t>-90D</t>
  </si>
  <si>
    <t>-180D</t>
  </si>
  <si>
    <t>IQ_LTM</t>
  </si>
  <si>
    <t>CY2017</t>
  </si>
  <si>
    <t>CY2018</t>
  </si>
  <si>
    <t>CY2019</t>
  </si>
  <si>
    <t>CY2020</t>
  </si>
  <si>
    <t>CY2022</t>
  </si>
  <si>
    <t>CY2024</t>
  </si>
  <si>
    <t>CY2025</t>
  </si>
  <si>
    <t>CY2026</t>
  </si>
  <si>
    <t>CY2027</t>
  </si>
  <si>
    <t>CY2028</t>
  </si>
  <si>
    <t>IQ FUNCTION:</t>
  </si>
  <si>
    <t>IQ_PERIODDATE</t>
  </si>
  <si>
    <t>IQ_EXCHANGE</t>
  </si>
  <si>
    <t>IQ_COUNTRY_NAME</t>
  </si>
  <si>
    <t>IQ_TRADING_CURRENCY</t>
  </si>
  <si>
    <t>IQ_LASTSALEPRICE</t>
  </si>
  <si>
    <t>IQ_YEARHIGH</t>
  </si>
  <si>
    <t>IQ_YEARLOW</t>
  </si>
  <si>
    <t>IQ_CUSTOM_BETA</t>
  </si>
  <si>
    <t>IQ_SHARESOUTSTANDING</t>
  </si>
  <si>
    <t>IQ_VOLUME</t>
  </si>
  <si>
    <t>IQ_TOTAL_REV</t>
  </si>
  <si>
    <t>IQ_REVENUE_EST</t>
  </si>
  <si>
    <t>IQ_GP</t>
  </si>
  <si>
    <t>IQ_EBIT</t>
  </si>
  <si>
    <t>IQ_EBITDA</t>
  </si>
  <si>
    <t>IQ_EBITDA_LEASE_ADJUSTED</t>
  </si>
  <si>
    <t>IQ_EBITDA_EST</t>
  </si>
  <si>
    <t>IQ_NI</t>
  </si>
  <si>
    <t>IQ_NI_EST</t>
  </si>
  <si>
    <t>IQ_GROSS_MARGIN_EST</t>
  </si>
  <si>
    <t>IQ_TBV</t>
  </si>
  <si>
    <t>IQ_TOTAL_ASSETS</t>
  </si>
  <si>
    <t>IQ_TOTAL_DEBT</t>
  </si>
  <si>
    <t>IQ_TOTAL_COMMON_EQUITY</t>
  </si>
  <si>
    <t>IQ_CASH_ST_INVEST</t>
  </si>
  <si>
    <t>IQ_LT_INVEST</t>
  </si>
  <si>
    <t>IQ_PREF_EQUITY</t>
  </si>
  <si>
    <t>IQ_MINORITY_INTEREST</t>
  </si>
  <si>
    <t>IQ_DIV_SHARE</t>
  </si>
  <si>
    <t>IQ_INTEREST_EXP</t>
  </si>
  <si>
    <t>IQ_TOTAL_DEBT_EXCL_LEASES</t>
  </si>
  <si>
    <t>ALT IQ FUNCTION:</t>
  </si>
  <si>
    <t>IQ_DPS_EST</t>
  </si>
  <si>
    <t>Column Number:</t>
  </si>
  <si>
    <t>General Information</t>
  </si>
  <si>
    <t>Company Valuation</t>
  </si>
  <si>
    <t>Earnings</t>
  </si>
  <si>
    <t>Valuation Multiples</t>
  </si>
  <si>
    <t>Earnings Margins</t>
  </si>
  <si>
    <t>Leverage</t>
  </si>
  <si>
    <t>PATMI Growth</t>
  </si>
  <si>
    <t>Balance Sheet (LTM)</t>
  </si>
  <si>
    <t>Other Financials</t>
  </si>
  <si>
    <t>Other Ratios</t>
  </si>
  <si>
    <t>Other Information</t>
  </si>
  <si>
    <t>Bloomberg</t>
  </si>
  <si>
    <t>FYE</t>
  </si>
  <si>
    <t>Listing</t>
  </si>
  <si>
    <t xml:space="preserve">Trading </t>
  </si>
  <si>
    <t>Share Price</t>
  </si>
  <si>
    <t>52 Week (USD)</t>
  </si>
  <si>
    <t>TSO</t>
  </si>
  <si>
    <t>ADTV</t>
  </si>
  <si>
    <t>EV</t>
  </si>
  <si>
    <t>Revenue (USD mm)</t>
  </si>
  <si>
    <t>Gross Profit (USD mm)</t>
  </si>
  <si>
    <t>EBIT (USD mm)</t>
  </si>
  <si>
    <t>Pre-IFRS16 EBITDA (USD mm)</t>
  </si>
  <si>
    <t>Post-IFRS16 EBITDA (USD mm)</t>
  </si>
  <si>
    <t>PATMI (USD mm)</t>
  </si>
  <si>
    <t>EV/Sales</t>
  </si>
  <si>
    <t>Pre-IFRS16 EV/EBITDA</t>
  </si>
  <si>
    <t>Post-IFRS16 EV/EBITDA</t>
  </si>
  <si>
    <t>P/E</t>
  </si>
  <si>
    <t>P/B</t>
  </si>
  <si>
    <t>P/NTA</t>
  </si>
  <si>
    <t>NI Margin</t>
  </si>
  <si>
    <t>Net Debt/</t>
  </si>
  <si>
    <t>3 Year CAGR</t>
  </si>
  <si>
    <t>3 Year Growth</t>
  </si>
  <si>
    <t>1 Year Growth</t>
  </si>
  <si>
    <t>Growth</t>
  </si>
  <si>
    <t>2Y Fw CAGR</t>
  </si>
  <si>
    <t>Net Tangible</t>
  </si>
  <si>
    <t>Cash &amp;</t>
  </si>
  <si>
    <t>LT</t>
  </si>
  <si>
    <t>Preferred</t>
  </si>
  <si>
    <t>Minority</t>
  </si>
  <si>
    <t>DPU</t>
  </si>
  <si>
    <t>DPU Yield</t>
  </si>
  <si>
    <t>PEG</t>
  </si>
  <si>
    <t>ROE</t>
  </si>
  <si>
    <t>Pre-IFRS16</t>
  </si>
  <si>
    <t>Ticker</t>
  </si>
  <si>
    <t>Given Name</t>
  </si>
  <si>
    <t>Exchange</t>
  </si>
  <si>
    <t>Currency</t>
  </si>
  <si>
    <t>(LCY)</t>
  </si>
  <si>
    <t>(USD)</t>
  </si>
  <si>
    <t>High</t>
  </si>
  <si>
    <t>Low</t>
  </si>
  <si>
    <t>3Y Beta</t>
  </si>
  <si>
    <t>(mm)</t>
  </si>
  <si>
    <t>3M</t>
  </si>
  <si>
    <t>6M</t>
  </si>
  <si>
    <t>(USD mm)</t>
  </si>
  <si>
    <t>LTM</t>
  </si>
  <si>
    <t>CY2021</t>
  </si>
  <si>
    <t>CY2023</t>
  </si>
  <si>
    <t>LTM EBITDA</t>
  </si>
  <si>
    <t>Equity</t>
  </si>
  <si>
    <t>CY2022-CY2025</t>
  </si>
  <si>
    <t>CY2024-CY2025</t>
  </si>
  <si>
    <t>CY2025-CY2026</t>
  </si>
  <si>
    <t>CY2026-CY2027</t>
  </si>
  <si>
    <t>CY2026-CY2028</t>
  </si>
  <si>
    <t>ST Inv.</t>
  </si>
  <si>
    <t>Net Debt</t>
  </si>
  <si>
    <t>Investments</t>
  </si>
  <si>
    <t>LTM Total Debt</t>
  </si>
  <si>
    <t>Net Debt/EBITDA</t>
  </si>
  <si>
    <t>Net Debt/Total Equity</t>
  </si>
  <si>
    <t>Gemini Space Station, Inc.</t>
  </si>
  <si>
    <t>E-commerce</t>
  </si>
  <si>
    <t>NasdaqGS</t>
  </si>
  <si>
    <t>NA</t>
  </si>
  <si>
    <t>NM</t>
  </si>
  <si>
    <t>Bullish</t>
  </si>
  <si>
    <t>NYSE</t>
  </si>
  <si>
    <t>Circle Internet Group, Inc.</t>
  </si>
  <si>
    <t>Net Cash</t>
  </si>
  <si>
    <t>Robinhood Markets, Inc.</t>
  </si>
  <si>
    <t>Galaxy Digital Inc.</t>
  </si>
  <si>
    <t>eToro Group Ltd.</t>
  </si>
  <si>
    <t>Interactive Brokers Group, Inc.</t>
  </si>
  <si>
    <t>Coinbase Global, Inc.</t>
  </si>
  <si>
    <t>Financial Overview (CY2025)</t>
  </si>
  <si>
    <t>Margin in 2025</t>
  </si>
  <si>
    <t>CAGR (2022-2025)</t>
  </si>
  <si>
    <t>CAGR (2025-2028)</t>
  </si>
  <si>
    <t>Net Inc.</t>
  </si>
  <si>
    <t>GP</t>
  </si>
  <si>
    <t>Fiscal Year End</t>
  </si>
  <si>
    <t>EV/Revenue</t>
  </si>
  <si>
    <t>EV/EBITDA</t>
  </si>
  <si>
    <t>Price/Earnings</t>
  </si>
  <si>
    <t>Median</t>
  </si>
  <si>
    <r>
      <t>Type</t>
    </r>
    <r>
      <rPr>
        <sz val="10"/>
        <color rgb="FF000000"/>
        <rFont val="Times New Roman"/>
        <family val="1"/>
      </rPr>
      <t>​</t>
    </r>
  </si>
  <si>
    <r>
      <t>Closed Date</t>
    </r>
    <r>
      <rPr>
        <sz val="10"/>
        <color rgb="FF000000"/>
        <rFont val="Times New Roman"/>
        <family val="1"/>
      </rPr>
      <t>​</t>
    </r>
  </si>
  <si>
    <r>
      <t>Target/Issuer</t>
    </r>
    <r>
      <rPr>
        <sz val="10"/>
        <color rgb="FF000000"/>
        <rFont val="Times New Roman"/>
        <family val="1"/>
      </rPr>
      <t>​</t>
    </r>
  </si>
  <si>
    <r>
      <t>Buyer/Investor</t>
    </r>
    <r>
      <rPr>
        <sz val="10"/>
        <color rgb="FF000000"/>
        <rFont val="Times New Roman"/>
        <family val="1"/>
      </rPr>
      <t>​</t>
    </r>
  </si>
  <si>
    <r>
      <t>Target</t>
    </r>
    <r>
      <rPr>
        <sz val="10"/>
        <color rgb="FF000000"/>
        <rFont val="Times New Roman"/>
        <family val="1"/>
      </rPr>
      <t>​</t>
    </r>
  </si>
  <si>
    <r>
      <t xml:space="preserve">Deal Value </t>
    </r>
    <r>
      <rPr>
        <sz val="10"/>
        <color rgb="FF000000"/>
        <rFont val="Times New Roman"/>
        <family val="1"/>
      </rPr>
      <t>​</t>
    </r>
  </si>
  <si>
    <r>
      <t>Percent Sought</t>
    </r>
    <r>
      <rPr>
        <sz val="10"/>
        <color rgb="FF000000"/>
        <rFont val="Times New Roman"/>
        <family val="1"/>
      </rPr>
      <t>​</t>
    </r>
  </si>
  <si>
    <r>
      <t>Final Implied EV</t>
    </r>
    <r>
      <rPr>
        <sz val="10"/>
        <color rgb="FF000000"/>
        <rFont val="Times New Roman"/>
        <family val="1"/>
      </rPr>
      <t>​</t>
    </r>
  </si>
  <si>
    <r>
      <t>Implied Multiples</t>
    </r>
    <r>
      <rPr>
        <sz val="10"/>
        <color rgb="FF000000"/>
        <rFont val="Times New Roman"/>
        <family val="1"/>
      </rPr>
      <t>​</t>
    </r>
  </si>
  <si>
    <r>
      <t>HQ</t>
    </r>
    <r>
      <rPr>
        <sz val="10"/>
        <color rgb="FF000000"/>
        <rFont val="Times New Roman"/>
        <family val="1"/>
      </rPr>
      <t>​</t>
    </r>
  </si>
  <si>
    <r>
      <t>(USD M)</t>
    </r>
    <r>
      <rPr>
        <sz val="10"/>
        <color rgb="FF000000"/>
        <rFont val="Times New Roman"/>
        <family val="1"/>
      </rPr>
      <t>​</t>
    </r>
  </si>
  <si>
    <r>
      <t>(%)</t>
    </r>
    <r>
      <rPr>
        <sz val="10"/>
        <color rgb="FF000000"/>
        <rFont val="Times New Roman"/>
        <family val="1"/>
      </rPr>
      <t>​</t>
    </r>
  </si>
  <si>
    <r>
      <t>Implied EV/</t>
    </r>
    <r>
      <rPr>
        <sz val="10"/>
        <color rgb="FF000000"/>
        <rFont val="Times New Roman"/>
        <family val="1"/>
      </rPr>
      <t>​</t>
    </r>
  </si>
  <si>
    <r>
      <t>EqV/</t>
    </r>
    <r>
      <rPr>
        <sz val="10"/>
        <color rgb="FF000000"/>
        <rFont val="Times New Roman"/>
        <family val="1"/>
      </rPr>
      <t>​</t>
    </r>
  </si>
  <si>
    <r>
      <t>Revenue</t>
    </r>
    <r>
      <rPr>
        <sz val="10"/>
        <color rgb="FF000000"/>
        <rFont val="Times New Roman"/>
        <family val="1"/>
      </rPr>
      <t>​</t>
    </r>
  </si>
  <si>
    <r>
      <t>EBITDA</t>
    </r>
    <r>
      <rPr>
        <sz val="10"/>
        <color rgb="FF000000"/>
        <rFont val="Times New Roman"/>
        <family val="1"/>
      </rPr>
      <t>​</t>
    </r>
  </si>
  <si>
    <r>
      <t>LTM Net Income</t>
    </r>
    <r>
      <rPr>
        <sz val="10"/>
        <color rgb="FF000000"/>
        <rFont val="Times New Roman"/>
        <family val="1"/>
      </rPr>
      <t>​</t>
    </r>
  </si>
  <si>
    <t>M&amp;A</t>
  </si>
  <si>
    <t>Binance</t>
  </si>
  <si>
    <t>MGX Fund</t>
  </si>
  <si>
    <t>Deribit FZE</t>
  </si>
  <si>
    <t>Coinbase</t>
  </si>
  <si>
    <t>Dunamu Inc.</t>
  </si>
  <si>
    <t>Naver Financial</t>
  </si>
  <si>
    <t>Next Report Date:</t>
  </si>
  <si>
    <t>Last Refresh:</t>
  </si>
  <si>
    <t>Capital Structure - Coinbase Global, Inc. Class A (COIN-US)</t>
  </si>
  <si>
    <t>FYE Date:</t>
  </si>
  <si>
    <t>Inputs</t>
  </si>
  <si>
    <t>Identifier</t>
  </si>
  <si>
    <t>COIN-US</t>
  </si>
  <si>
    <t>Report Basis</t>
  </si>
  <si>
    <t>Annual</t>
  </si>
  <si>
    <t>Current Capitalization</t>
  </si>
  <si>
    <t>Price</t>
  </si>
  <si>
    <t>Multi Class</t>
  </si>
  <si>
    <t>* Fully Diluted Shares</t>
  </si>
  <si>
    <t>= Fully Diluted Market Cap</t>
  </si>
  <si>
    <t>+ Total Preferred Equity</t>
  </si>
  <si>
    <t>- In-the-Money Convertible Debt &amp; Prefs</t>
  </si>
  <si>
    <t>- Investments in Unconsolidated Subs</t>
  </si>
  <si>
    <t>= Enterprise Value</t>
  </si>
  <si>
    <t>Source: FactSet; USD as of 03/27/2026, millions</t>
  </si>
  <si>
    <t>Source:  FactSet Equity Capital Structure, FactSet Debt Capital Structure, FactSet Fundamentals</t>
  </si>
  <si>
    <t>ANN</t>
  </si>
  <si>
    <t>Quarterly</t>
  </si>
  <si>
    <t>QTR</t>
  </si>
  <si>
    <t>Semi-Annual</t>
  </si>
  <si>
    <t>SEMI</t>
  </si>
  <si>
    <t xml:space="preserve">IRR </t>
  </si>
  <si>
    <t>¥ M</t>
  </si>
  <si>
    <t>Cash - End of Period:</t>
  </si>
  <si>
    <t>(+) Debt Drawdown / (-) Repayment:</t>
  </si>
  <si>
    <t>(+) Free Cash Flow:</t>
  </si>
  <si>
    <t>Cash - Beginning of Period:</t>
  </si>
  <si>
    <t>Free Cash Flow (FCF):</t>
  </si>
  <si>
    <t>(-) Cash Taxes:</t>
  </si>
  <si>
    <t>EBITDA:</t>
  </si>
  <si>
    <t>Cash Flow Projections:</t>
  </si>
  <si>
    <t>Forecast</t>
  </si>
  <si>
    <t>Historical</t>
  </si>
  <si>
    <t>Cash Interest Income:</t>
  </si>
  <si>
    <t>Total Interest Expense:</t>
  </si>
  <si>
    <t>Cash Interest Expense:</t>
  </si>
  <si>
    <t>Debt (Repayment) / Drawdown:</t>
  </si>
  <si>
    <t>Total:</t>
  </si>
  <si>
    <t>(+) PIK Interest:</t>
  </si>
  <si>
    <t>EoP Subordinated Notes:</t>
  </si>
  <si>
    <t>BoP Subordinated Notes:</t>
  </si>
  <si>
    <t>Subordinated Notes:</t>
  </si>
  <si>
    <t>EoP Term Loans:</t>
  </si>
  <si>
    <t>(-) Cash Flow Sweep:</t>
  </si>
  <si>
    <t>(-) Amortization:</t>
  </si>
  <si>
    <t>BoP Term Loans:</t>
  </si>
  <si>
    <t>EoP Revolver:</t>
  </si>
  <si>
    <t>Revolver (Repayments) / Drawdowns:</t>
  </si>
  <si>
    <t>BoP Revolver:</t>
  </si>
  <si>
    <t>Cash Flow Surplus / (Shortfall):</t>
  </si>
  <si>
    <t>(-) Minimum Cash:</t>
  </si>
  <si>
    <t>Cash Flow and Revolver Calculations:</t>
  </si>
  <si>
    <t>Cash:</t>
  </si>
  <si>
    <t>Cash Interest Rates:</t>
  </si>
  <si>
    <t>Circuit Breaker</t>
  </si>
  <si>
    <t>Debt Schedule:</t>
  </si>
  <si>
    <t>Amortisation here refers to %BOP Debt Balance being paid down each year. Only applicable for term loans in this model</t>
  </si>
  <si>
    <t>Sweep %:</t>
  </si>
  <si>
    <t>Amort:</t>
  </si>
  <si>
    <t>Margin:</t>
  </si>
  <si>
    <t>Tranche Name:</t>
  </si>
  <si>
    <t>Cash Flow</t>
  </si>
  <si>
    <t>PIK</t>
  </si>
  <si>
    <t>Debt and Cash Assumptions:</t>
  </si>
  <si>
    <t>Total Sources:</t>
  </si>
  <si>
    <t>Total Uses:</t>
  </si>
  <si>
    <t>Investor Equity:</t>
  </si>
  <si>
    <t>Transaction Fees:</t>
  </si>
  <si>
    <t>Excess Cash:</t>
  </si>
  <si>
    <t>Financing Fees:</t>
  </si>
  <si>
    <t>Prepayment Penalty on Existing Debt:</t>
  </si>
  <si>
    <t>Assume/Replace Existing Debt:</t>
  </si>
  <si>
    <t>Purchase Equity Value:</t>
  </si>
  <si>
    <t>Revolver:</t>
  </si>
  <si>
    <t>x EBITDA</t>
  </si>
  <si>
    <t>Uses of Funds:</t>
  </si>
  <si>
    <t>% Sources</t>
  </si>
  <si>
    <t>Sources of Funds:</t>
  </si>
  <si>
    <t>Sources &amp; Uses Schedule:</t>
  </si>
  <si>
    <t>Debt Issuance Fee %:</t>
  </si>
  <si>
    <t>Minimum Cash Balance:</t>
  </si>
  <si>
    <t>Prepayment Penalty on Existing Debt (%):</t>
  </si>
  <si>
    <t>#</t>
  </si>
  <si>
    <t>Units:</t>
  </si>
  <si>
    <t>Last Historical Year:</t>
  </si>
  <si>
    <t>LTM EBITDA:</t>
  </si>
  <si>
    <t>M Shares</t>
  </si>
  <si>
    <t>Diluted Share Count:</t>
  </si>
  <si>
    <t>Purchase Enterprise Value:</t>
  </si>
  <si>
    <t>Offer Price per Share:</t>
  </si>
  <si>
    <t>Premium Paid:</t>
  </si>
  <si>
    <t>Share Price:</t>
  </si>
  <si>
    <t>Transaction Assumptions:</t>
  </si>
  <si>
    <t xml:space="preserve">LBO Valuation </t>
  </si>
  <si>
    <t>$ as Stated</t>
  </si>
  <si>
    <t>USD Millions</t>
  </si>
  <si>
    <t>SOFR:</t>
  </si>
  <si>
    <t xml:space="preserve">Revolver: </t>
  </si>
  <si>
    <t xml:space="preserve">Term Loan A </t>
  </si>
  <si>
    <t>Term Loan B</t>
  </si>
  <si>
    <t>Upfront</t>
  </si>
  <si>
    <t xml:space="preserve"> Financing Fee</t>
  </si>
  <si>
    <t>A 5% of original principal per year, paid annually, with a final balloon repayment at maturity</t>
  </si>
  <si>
    <t xml:space="preserve">A 20% of original principal per year paid annually </t>
  </si>
  <si>
    <t xml:space="preserve">Commitment Fee   </t>
  </si>
  <si>
    <t>Undrawn Portion</t>
  </si>
  <si>
    <t>Transaction Fee %:</t>
  </si>
  <si>
    <t>(+) In-the-Money Convertible Debt &amp; Prefs</t>
  </si>
  <si>
    <t>Bullet Repayment at maturity (year 5)</t>
  </si>
  <si>
    <t>US corporate tax rate</t>
  </si>
  <si>
    <t xml:space="preserve">Initial Minimum Cash Balance </t>
  </si>
  <si>
    <t>Entry TEV/ EBITDA Multiple:</t>
  </si>
  <si>
    <t xml:space="preserve">Exit TEV/ EBITDA Multiple: </t>
  </si>
  <si>
    <t xml:space="preserve">EBITDA Multiples: </t>
  </si>
  <si>
    <t xml:space="preserve">Enterprise Value: </t>
  </si>
  <si>
    <t>(+) Cash &amp; Investments:</t>
  </si>
  <si>
    <t>(-) Debt:</t>
  </si>
  <si>
    <t>(-) Total Preferred Equity</t>
  </si>
  <si>
    <t>(+) Investments in Unconsolidated Subs</t>
  </si>
  <si>
    <t xml:space="preserve">(-) Non-controlling Interest </t>
  </si>
  <si>
    <t>(-) Pension Liabilities</t>
  </si>
  <si>
    <t>Tagomi</t>
  </si>
  <si>
    <t>Cryto Facilities</t>
  </si>
  <si>
    <t>Kraken</t>
  </si>
  <si>
    <t>UK</t>
  </si>
  <si>
    <t>Bakkt</t>
  </si>
  <si>
    <t>VPC Impact Acquisition (SPAC)</t>
  </si>
  <si>
    <t>$ M</t>
  </si>
  <si>
    <t>EBIT:</t>
  </si>
  <si>
    <t>(+) Depreciation &amp; Amortisation</t>
  </si>
  <si>
    <t>(-) NWC</t>
  </si>
  <si>
    <t>(-) Capex</t>
  </si>
  <si>
    <t>On</t>
  </si>
  <si>
    <t>Off</t>
  </si>
  <si>
    <t>Term Loan A:</t>
  </si>
  <si>
    <t>Term Loan B:</t>
  </si>
  <si>
    <t>BoP Revolver (Undrawn):</t>
  </si>
  <si>
    <t xml:space="preserve">Maximum </t>
  </si>
  <si>
    <t>Revolving Credit Line (Maximum capacity)</t>
  </si>
  <si>
    <t>Revolver (Drawn):</t>
  </si>
  <si>
    <t>Cash Interest Rates</t>
  </si>
  <si>
    <t>Revolver Standby Fee Rate</t>
  </si>
  <si>
    <t xml:space="preserve">Revolver Standby Fee </t>
  </si>
  <si>
    <t>Term Loan A Upfront Financing Fee %:</t>
  </si>
  <si>
    <t>Term Loan B Upfront Financing Fee %:</t>
  </si>
  <si>
    <t xml:space="preserve">Subordinated Loan Upfront Financing Fee %: </t>
  </si>
  <si>
    <t>Numerical Year:</t>
  </si>
  <si>
    <t>(x) Exit Multiple:</t>
  </si>
  <si>
    <t>Exit Enterprise Value:</t>
  </si>
  <si>
    <t>Exit Equity Value:</t>
  </si>
  <si>
    <t>Project-Level Returns:</t>
  </si>
  <si>
    <t>Multiple:</t>
  </si>
  <si>
    <t>IRR:</t>
  </si>
  <si>
    <t>Sensitivity Tables - Sponsor Returns:</t>
  </si>
  <si>
    <t>Purchase Premium:</t>
  </si>
  <si>
    <t>Subscription &amp; Services</t>
  </si>
  <si>
    <t>2029E</t>
  </si>
  <si>
    <t>2025A</t>
  </si>
  <si>
    <t>Segment</t>
  </si>
  <si>
    <t>10. REVENUE MIX (2025 vs 2029E)</t>
  </si>
  <si>
    <t>Sponsor Equity</t>
  </si>
  <si>
    <t>Bullet Yr 5</t>
  </si>
  <si>
    <t>SOFR + 500bps (+ PIK)</t>
  </si>
  <si>
    <t>Subordinated Notes</t>
  </si>
  <si>
    <t>5% p.a. + balloon</t>
  </si>
  <si>
    <t>SOFR + 300bps</t>
  </si>
  <si>
    <t>20% p.a.</t>
  </si>
  <si>
    <t>Fixed 5.0%</t>
  </si>
  <si>
    <t>Term Loan A</t>
  </si>
  <si>
    <t>Year 5</t>
  </si>
  <si>
    <t>SOFR + 100bps</t>
  </si>
  <si>
    <t>Revolver</t>
  </si>
  <si>
    <t>Amount</t>
  </si>
  <si>
    <t>Tranche</t>
  </si>
  <si>
    <t>9. CAPITAL STRUCTURE AT ENTRY</t>
  </si>
  <si>
    <t>FCF Yield (% Revenue)</t>
  </si>
  <si>
    <t>FCF</t>
  </si>
  <si>
    <t>Capex % of Revenue</t>
  </si>
  <si>
    <t>Capex</t>
  </si>
  <si>
    <t>2030E</t>
  </si>
  <si>
    <t>2028E</t>
  </si>
  <si>
    <t>2027E</t>
  </si>
  <si>
    <t>2026E</t>
  </si>
  <si>
    <t>8. KEY OPERATIONAL ASSUMPTIONS</t>
  </si>
  <si>
    <t>Premium Paid</t>
  </si>
  <si>
    <t>Offer Price / Share</t>
  </si>
  <si>
    <t>Equity Value</t>
  </si>
  <si>
    <t>(-) Debt</t>
  </si>
  <si>
    <t>(+) Cash</t>
  </si>
  <si>
    <t>EV/EBITDA Multiple</t>
  </si>
  <si>
    <t>Exit (Yr 5)</t>
  </si>
  <si>
    <t>Entry (2025)</t>
  </si>
  <si>
    <t>7. VALUATION BRIDGE (ENTRY &amp; EXIT)</t>
  </si>
  <si>
    <t>IRR</t>
  </si>
  <si>
    <t>MoM Multiple</t>
  </si>
  <si>
    <t>Exit Equity Value</t>
  </si>
  <si>
    <t>Year 4</t>
  </si>
  <si>
    <t>Year 3</t>
  </si>
  <si>
    <t>Year 2</t>
  </si>
  <si>
    <t>Year 1</t>
  </si>
  <si>
    <t>Exit Year</t>
  </si>
  <si>
    <t>6. RETURNS ANALYSIS</t>
  </si>
  <si>
    <t>FCF Margin</t>
  </si>
  <si>
    <t>Free Cash Flow</t>
  </si>
  <si>
    <t>(-) NWC Changes</t>
  </si>
  <si>
    <t>(-) Cash Taxes</t>
  </si>
  <si>
    <t>5. FREE CASH FLOW GENERATION</t>
  </si>
  <si>
    <t>Entry</t>
  </si>
  <si>
    <t>4. DEBT PAYDOWN SCHEDULE</t>
  </si>
  <si>
    <t>Total Uses</t>
  </si>
  <si>
    <t>Total Sources</t>
  </si>
  <si>
    <t>Transaction Fees</t>
  </si>
  <si>
    <t>Excess Cash</t>
  </si>
  <si>
    <t>Financing Fees</t>
  </si>
  <si>
    <t>Prepayment Penalty</t>
  </si>
  <si>
    <t>Replace Existing Debt</t>
  </si>
  <si>
    <t>Purchase Equity Value</t>
  </si>
  <si>
    <t>Amount ($'000s)</t>
  </si>
  <si>
    <t>Uses</t>
  </si>
  <si>
    <t>% of Total</t>
  </si>
  <si>
    <t>Sources</t>
  </si>
  <si>
    <t>3. SOURCES &amp; USES</t>
  </si>
  <si>
    <t>2. EBITDA &amp; MARGIN TREND</t>
  </si>
  <si>
    <t>YoY Growth</t>
  </si>
  <si>
    <t>1. REVENUE BREAKDOWN</t>
  </si>
  <si>
    <t>IC Deck — Data &amp; Charts</t>
  </si>
  <si>
    <t>Coinbase Global Inc. (NASDAQ: COIN)</t>
  </si>
  <si>
    <t>Spot Bitcoin ETFs' Custodian</t>
  </si>
  <si>
    <t>Number</t>
  </si>
  <si>
    <t>Transaction Revenue, Institutional</t>
  </si>
  <si>
    <t>Blockchain Rewards Revenue</t>
  </si>
  <si>
    <t>Equity Returns</t>
  </si>
  <si>
    <t>$</t>
  </si>
  <si>
    <t>Exit Share Price:</t>
  </si>
  <si>
    <t>(+) Cash &amp; Cash Equivalents</t>
  </si>
  <si>
    <t>Thousand Shares</t>
  </si>
  <si>
    <t>Purchase TEV / EBITDA Multiple: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</si>
</sst>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4">
    <numFmt numFmtId="41" formatCode="_(* #,##0_);_(* \(#,##0\);_(* &quot;-&quot;_);_(@_)"/>
    <numFmt numFmtId="43" formatCode="_(* #,##0.00_);_(* \(#,##0.00\);_(* &quot;-&quot;??_);_(@_)"/>
    <numFmt numFmtId="164" formatCode="&quot;$&quot;#,##0.00_);\(&quot;$&quot;#,##0.0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-* #,##0.00_-;\-* #,##0.00_-;_-* &quot;-&quot;??_-;_-@_-"/>
    <numFmt numFmtId="168" formatCode="#,##0.0_);\(#,##0.0\);&quot;-&quot;_);@_)"/>
    <numFmt numFmtId="169" formatCode="&quot;FY&quot;0&quot;A&quot;"/>
    <numFmt numFmtId="170" formatCode="&quot;FY&quot;0&quot;F&quot;"/>
    <numFmt numFmtId="171" formatCode="_(* #,##0.0_);_(* \(#,##0.0\);_(* &quot;-&quot;??_);_(@_)"/>
    <numFmt numFmtId="172" formatCode="_(0.0%_);\(0.0%\);\-"/>
    <numFmt numFmtId="173" formatCode="#,##0.0"/>
    <numFmt numFmtId="174" formatCode="_-* #,##0.0_-;\-* #,##0.0_-;_-* &quot;-&quot;?_-;_-@_-"/>
    <numFmt numFmtId="175" formatCode="_(0.00%_);\(0.00%\);\-"/>
    <numFmt numFmtId="176" formatCode="0\ &quot;Days&quot;"/>
    <numFmt numFmtId="177" formatCode="0\ &quot;Years&quot;"/>
    <numFmt numFmtId="178" formatCode="&quot;Increase/(Decrease) in&quot;\ "/>
    <numFmt numFmtId="179" formatCode="_(\ #,##0.0_);_(\ \(#,##0.0\)_);_(\ &quot; - &quot;_)"/>
    <numFmt numFmtId="180" formatCode="&quot;Q&quot;0"/>
    <numFmt numFmtId="181" formatCode="mmm\ \'yy"/>
    <numFmt numFmtId="182" formatCode="#,##0.0_);\(#,##0.0\);#,##0.0_);@_)"/>
    <numFmt numFmtId="183" formatCode="#,##0.0_);\(&quot;$&quot;#,##0.0\);&quot;$&quot;#,##0.0_);@_)"/>
    <numFmt numFmtId="184" formatCode="dd\-mmm\-yyyy"/>
    <numFmt numFmtId="185" formatCode="#,##0.00_);\(#,##0.00\);#,##0.00_);@_)"/>
    <numFmt numFmtId="186" formatCode="_(* #,##0.00&quot;M&quot;_);_(* \(#,##0.00\);_(* &quot;-&quot;??_);_(@_)"/>
    <numFmt numFmtId="187" formatCode="&quot;$&quot;#,##0.0_);\(&quot;$&quot;#,##0.0\);&quot;$&quot;#,##0.0_);@_)"/>
    <numFmt numFmtId="188" formatCode="#,##0.000_);\(#,##0.000\);#,##0.000_);@_)"/>
    <numFmt numFmtId="189" formatCode="0.0\x"/>
    <numFmt numFmtId="190" formatCode="#,##0.0_);\(#,##0.0\)"/>
    <numFmt numFmtId="191" formatCode="#,##0;\(#,##0\);&quot;-&quot;"/>
    <numFmt numFmtId="192" formatCode="#,##0.0;\(#,##0.0\);&quot;-&quot;"/>
    <numFmt numFmtId="193" formatCode="0.0%;\(0.0%\);&quot;-&quot;"/>
    <numFmt numFmtId="194" formatCode="0.00\x"/>
    <numFmt numFmtId="195" formatCode="#,##0.00;\(#,##0.00\);&quot;-&quot;"/>
    <numFmt numFmtId="196" formatCode="0.00%;\(0.00%\);&quot;-&quot;"/>
    <numFmt numFmtId="197" formatCode="0.0;\(0.0\);&quot;-&quot;"/>
    <numFmt numFmtId="198" formatCode="0.0\x_);\(0.0\x\);0.0\x_);@_)"/>
    <numFmt numFmtId="199" formatCode="yyyy"/>
    <numFmt numFmtId="200" formatCode="#,##0_);[Red]\(#,##0\);\ &quot;-&quot;\ ;\ &quot;-&quot;\ "/>
    <numFmt numFmtId="201" formatCode="##,##0.0%_);[Red]\(##,##0.0%\);\ &quot;-&quot;\ ??"/>
    <numFmt numFmtId="202" formatCode="General&quot;A&quot;"/>
    <numFmt numFmtId="203" formatCode="General&quot;F&quot;"/>
    <numFmt numFmtId="204" formatCode="#,##0;[Red]\ \(#,##0\);_(* &quot;-&quot;??_);_(@_)"/>
    <numFmt numFmtId="205" formatCode="mmm\ yyyy"/>
    <numFmt numFmtId="206" formatCode="#,##0.0&quot;x&quot;;[Red]_-\(#,##0.0&quot;x&quot;\);_-* &quot;-&quot;??_-;_-@_-"/>
    <numFmt numFmtId="207" formatCode="0.0&quot;x&quot;"/>
    <numFmt numFmtId="208" formatCode="_(* #,##0.0_);_(* \(#,##0.0\);_(* &quot;-&quot;?_);_(@_)"/>
    <numFmt numFmtId="209" formatCode="_-* #,##0_-;\-* #,##0_-;_-* &quot;-&quot;??_-;_-@_-"/>
    <numFmt numFmtId="210" formatCode="0.0%"/>
    <numFmt numFmtId="211" formatCode="#,##0.0;\(#,##0.0\)"/>
    <numFmt numFmtId="212" formatCode="#,##0.00;\(#,##0.00\)"/>
    <numFmt numFmtId="213" formatCode="_(* #,##0.0_);_(* \(#,##0.0\);_(* &quot;-&quot;_);_(@_)"/>
    <numFmt numFmtId="214" formatCode="_(* #,##0.00_);_(* \(#,##0.00\);_(* &quot;-&quot;?_);_(@_)"/>
    <numFmt numFmtId="215" formatCode="0\ &quot;years&quot;"/>
    <numFmt numFmtId="216" formatCode="&quot;$&quot;#,##0.00"/>
    <numFmt numFmtId="217" formatCode="_(* #,##0.000_);_(* \(#,##0.000\);_(* &quot;-&quot;??_);_(@_)"/>
    <numFmt numFmtId="218" formatCode="&quot;FY&quot;0&quot;E&quot;"/>
    <numFmt numFmtId="219" formatCode="_-[$¥-411]* #,##0_-;\-[$¥-411]* #,##0_-;_-[$¥-411]* &quot;-&quot;_-;_-@_-"/>
    <numFmt numFmtId="220" formatCode="_([$€-2]\ * #,##0.0_);_([$€-2]\ * \(#,##0.0\);_([$€-2]\ * &quot;-&quot;?_);_(@_)"/>
    <numFmt numFmtId="221" formatCode="_(* #,##0_);_(* \(#,##0\);_(* &quot;-&quot;?_);_(@_)"/>
    <numFmt numFmtId="222" formatCode="* _(##,##0_);[Red]* \(##,##0\);* _(&quot;-&quot;?_);_(@_)"/>
    <numFmt numFmtId="223" formatCode="&quot;FY&quot;yy"/>
    <numFmt numFmtId="224" formatCode="0.0%;\(0.0%\)"/>
    <numFmt numFmtId="225" formatCode="0.0\ \x"/>
    <numFmt numFmtId="226" formatCode="_(* #,##0.000_);_(* \(#,##0.000\);_(* &quot;-&quot;???_);_(@_)"/>
    <numFmt numFmtId="227" formatCode="_-[$¥-411]* #,##0.00_-;\-[$¥-411]* #,##0.00_-;_-[$¥-411]* &quot;-&quot;??_-;_-@_-"/>
    <numFmt numFmtId="228" formatCode="0.0"/>
    <numFmt numFmtId="229" formatCode="_(* #,##0_);_(* \(#,##0\);_(* &quot;-&quot;???_);_(@_)"/>
    <numFmt numFmtId="230" formatCode="_(&quot;$&quot;* #,##0_);_(&quot;$&quot;* \(#,##0\);_(&quot;$&quot;* &quot;-&quot;??_);_(@_)"/>
    <numFmt numFmtId="231" formatCode="[=0]&quot;OFF&quot;;[=1]&quot;ON&quot;"/>
    <numFmt numFmtId="232" formatCode="0_);\(0\)"/>
    <numFmt numFmtId="233" formatCode="_(* #,##0.0%;_(* \(#,##0.0%\);_(* &quot;- %&quot;_);_(* @_%_)"/>
    <numFmt numFmtId="234" formatCode="0.000"/>
    <numFmt numFmtId="235" formatCode="_(* #,##0.0000_);_(* \(#,##0.0000\);_(* &quot;-&quot;?_);_(@_)"/>
  </numFmts>
  <fonts count="10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b/>
      <sz val="36"/>
      <color rgb="FF0000FF"/>
      <name val="Times New Roman"/>
      <family val="1"/>
    </font>
    <font>
      <b/>
      <sz val="11"/>
      <name val="Times New Roman"/>
      <family val="1"/>
    </font>
    <font>
      <b/>
      <sz val="26"/>
      <color rgb="FFFF0000"/>
      <name val="Times New Roman"/>
      <family val="1"/>
    </font>
    <font>
      <sz val="11"/>
      <color rgb="FF55AB70"/>
      <name val="Times New Roman"/>
      <family val="1"/>
    </font>
    <font>
      <sz val="11"/>
      <name val="Times New Roman"/>
      <family val="1"/>
    </font>
    <font>
      <b/>
      <u/>
      <sz val="11"/>
      <color theme="1"/>
      <name val="Times New Roman"/>
      <family val="1"/>
    </font>
    <font>
      <sz val="11"/>
      <color rgb="FF0000FF"/>
      <name val="Times New Roman"/>
      <family val="1"/>
    </font>
    <font>
      <i/>
      <sz val="11"/>
      <name val="Times New Roman"/>
      <family val="1"/>
    </font>
    <font>
      <i/>
      <sz val="11"/>
      <color theme="1"/>
      <name val="Times New Roman"/>
      <family val="1"/>
    </font>
    <font>
      <sz val="11"/>
      <color rgb="FF00B050"/>
      <name val="Times New Roman"/>
      <family val="1"/>
    </font>
    <font>
      <sz val="11"/>
      <color rgb="FFC9A227"/>
      <name val="Times New Roman"/>
      <family val="1"/>
    </font>
    <font>
      <b/>
      <sz val="32"/>
      <color rgb="FF002060"/>
      <name val="Times New Roman"/>
      <family val="1"/>
    </font>
    <font>
      <b/>
      <sz val="18"/>
      <color theme="1"/>
      <name val="Times New Roman"/>
      <family val="1"/>
    </font>
    <font>
      <b/>
      <sz val="11"/>
      <color theme="0"/>
      <name val="Times New Roman"/>
      <family val="1"/>
    </font>
    <font>
      <b/>
      <i/>
      <sz val="11"/>
      <color theme="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i/>
      <u/>
      <sz val="11"/>
      <color theme="1"/>
      <name val="Times New Roman"/>
      <family val="1"/>
    </font>
    <font>
      <b/>
      <sz val="11"/>
      <color rgb="FF0000FF"/>
      <name val="Times New Roman"/>
      <family val="1"/>
    </font>
    <font>
      <b/>
      <sz val="18"/>
      <color rgb="FF002060"/>
      <name val="Times New Roman"/>
      <family val="1"/>
    </font>
    <font>
      <b/>
      <sz val="11"/>
      <color theme="0"/>
      <name val="Aptos Narrow"/>
      <family val="2"/>
      <scheme val="minor"/>
    </font>
    <font>
      <i/>
      <sz val="11"/>
      <color rgb="FF0000FF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i/>
      <sz val="10"/>
      <color rgb="FF595959"/>
      <name val="Arial"/>
      <family val="2"/>
    </font>
    <font>
      <b/>
      <sz val="11"/>
      <color indexed="9"/>
      <name val="Times New Roman"/>
      <family val="1"/>
    </font>
    <font>
      <sz val="11"/>
      <color indexed="8"/>
      <name val="Times New Roman"/>
      <family val="1"/>
    </font>
    <font>
      <b/>
      <sz val="11"/>
      <color rgb="FF00B050"/>
      <name val="Times New Roman"/>
      <family val="1"/>
    </font>
    <font>
      <sz val="12"/>
      <color theme="1"/>
      <name val="Segoe UI"/>
      <family val="2"/>
    </font>
    <font>
      <sz val="11"/>
      <color theme="1"/>
      <name val="Aptos Narrow"/>
      <family val="2"/>
    </font>
    <font>
      <b/>
      <u val="singleAccounting"/>
      <sz val="11"/>
      <color theme="1"/>
      <name val="Times New Roman"/>
      <family val="1"/>
    </font>
    <font>
      <b/>
      <u/>
      <sz val="11"/>
      <name val="Times New Roman"/>
      <family val="1"/>
    </font>
    <font>
      <sz val="11"/>
      <color theme="0"/>
      <name val="Arial"/>
      <family val="2"/>
    </font>
    <font>
      <sz val="10"/>
      <name val="Trebuchet MS"/>
      <family val="2"/>
    </font>
    <font>
      <sz val="10"/>
      <name val="Arial"/>
      <family val="2"/>
    </font>
    <font>
      <sz val="11"/>
      <color rgb="FF3D3D3A"/>
      <name val="Times New Roman"/>
      <family val="1"/>
    </font>
    <font>
      <sz val="11"/>
      <color rgb="FF141413"/>
      <name val="Times New Roman"/>
      <family val="1"/>
    </font>
    <font>
      <sz val="11"/>
      <color rgb="FF3266AD"/>
      <name val="Times New Roman"/>
      <family val="1"/>
    </font>
    <font>
      <sz val="11"/>
      <color rgb="FF265B19"/>
      <name val="Times New Roman"/>
      <family val="1"/>
    </font>
    <font>
      <sz val="11"/>
      <color rgb="FF5A4815"/>
      <name val="Times New Roman"/>
      <family val="1"/>
    </font>
    <font>
      <sz val="11"/>
      <color rgb="FF7F2C28"/>
      <name val="Times New Roman"/>
      <family val="1"/>
    </font>
    <font>
      <sz val="11"/>
      <color rgb="FF73726C"/>
      <name val="Times New Roman"/>
      <family val="1"/>
    </font>
    <font>
      <sz val="11"/>
      <color rgb="FF000000"/>
      <name val="Times New Roman"/>
      <family val="1"/>
    </font>
    <font>
      <i/>
      <sz val="11"/>
      <color rgb="FF800080"/>
      <name val="Times New Roman"/>
      <family val="1"/>
    </font>
    <font>
      <sz val="11"/>
      <color rgb="FF80008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800080"/>
      <name val="Times New Roman"/>
      <family val="1"/>
    </font>
    <font>
      <i/>
      <sz val="11"/>
      <color rgb="FF000000"/>
      <name val="Times New Roman"/>
      <family val="1"/>
    </font>
    <font>
      <sz val="11"/>
      <color theme="0"/>
      <name val="Times New Roman"/>
      <family val="1"/>
    </font>
    <font>
      <sz val="11"/>
      <color theme="0" tint="-0.3499252296517838"/>
      <name val="Times New Roman"/>
      <family val="1"/>
    </font>
    <font>
      <sz val="11"/>
      <color rgb="FFFF0000"/>
      <name val="Times New Roman"/>
      <family val="1"/>
    </font>
    <font>
      <b/>
      <sz val="11"/>
      <color rgb="FF002060"/>
      <name val="Times New Roman"/>
      <family val="1"/>
    </font>
    <font>
      <b/>
      <u val="singleAccounting"/>
      <sz val="11"/>
      <color theme="0"/>
      <name val="Times New Roman"/>
      <family val="1"/>
    </font>
    <font>
      <sz val="11"/>
      <color rgb="FF008000"/>
      <name val="Times New Roman"/>
      <family val="1"/>
    </font>
    <font>
      <b/>
      <sz val="10"/>
      <color theme="0"/>
      <name val="Times New Roman"/>
      <family val="1"/>
    </font>
    <font>
      <sz val="10"/>
      <name val="Times New Roman"/>
      <family val="1"/>
    </font>
    <font>
      <sz val="11"/>
      <color indexed="8"/>
      <name val="Calibri"/>
      <family val="2"/>
      <charset val="136"/>
    </font>
    <font>
      <sz val="10"/>
      <color theme="1"/>
      <name val="Times New Roman"/>
      <family val="1"/>
    </font>
    <font>
      <i/>
      <u/>
      <sz val="11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rgb="FFFFFFFF"/>
      <name val="Times New Roman"/>
      <family val="1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Times New Roman"/>
      <family val="1"/>
    </font>
    <font>
      <b/>
      <u/>
      <sz val="11"/>
      <color rgb="FF1F1F1F"/>
      <name val="Times New Roman"/>
      <family val="1"/>
    </font>
    <font>
      <b/>
      <sz val="11"/>
      <color theme="1"/>
      <name val="Aptos Narrow"/>
      <family val="2"/>
      <scheme val="minor"/>
    </font>
    <font>
      <sz val="9"/>
      <name val="Geneva"/>
      <family val="2"/>
      <charset val="1"/>
    </font>
    <font>
      <b/>
      <sz val="12"/>
      <color theme="0"/>
      <name val="Times New Roman"/>
      <family val="1"/>
    </font>
    <font>
      <b/>
      <i/>
      <sz val="12"/>
      <color theme="0"/>
      <name val="Times New Roman"/>
      <family val="1"/>
    </font>
    <font>
      <sz val="12"/>
      <name val="Times New Roman"/>
      <family val="1"/>
    </font>
    <font>
      <sz val="12"/>
      <color rgb="FF0000FF"/>
      <name val="Times New Roman"/>
      <family val="1"/>
    </font>
    <font>
      <sz val="12"/>
      <color theme="1"/>
      <name val="Aptos Narrow"/>
      <family val="2"/>
      <scheme val="minor"/>
    </font>
    <font>
      <sz val="11"/>
      <color rgb="FFFFFFFF"/>
      <name val="Times New Roman"/>
      <family val="1"/>
    </font>
    <font>
      <sz val="11"/>
      <color rgb="FF0432FF"/>
      <name val="Times New Roman"/>
      <family val="1"/>
    </font>
    <font>
      <b/>
      <sz val="11"/>
      <color rgb="FFFFFFFF"/>
      <name val="Times New Roman"/>
      <family val="1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i/>
      <sz val="9"/>
      <color theme="1"/>
      <name val="Arial"/>
      <family val="2"/>
    </font>
    <font>
      <sz val="9"/>
      <color rgb="FF0000FF"/>
      <name val="Arial"/>
      <family val="2"/>
    </font>
    <font>
      <b/>
      <sz val="9"/>
      <color rgb="FF0000FF"/>
      <name val="Arial"/>
      <family val="2"/>
    </font>
    <font>
      <i/>
      <sz val="9"/>
      <color rgb="FFFFFFFF"/>
      <name val="Arial"/>
      <family val="2"/>
    </font>
    <font>
      <b/>
      <u/>
      <sz val="9"/>
      <color theme="1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i/>
      <sz val="11"/>
      <color rgb="FFFFFFFF"/>
      <name val="Times New Roman"/>
      <family val="1"/>
    </font>
    <font>
      <sz val="11"/>
      <color indexed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9"/>
      <color theme="0"/>
      <name val="Arial"/>
      <family val="2"/>
    </font>
    <font>
      <sz val="9"/>
      <color theme="1"/>
      <name val="Aptos Narrow"/>
      <family val="2"/>
      <scheme val="minor"/>
    </font>
    <font>
      <sz val="9"/>
      <color theme="0" tint="-0.14999847407452621"/>
      <name val="Arial"/>
      <family val="2"/>
    </font>
    <font>
      <b/>
      <sz val="10"/>
      <color theme="1"/>
      <name val="Arial"/>
      <family val="2"/>
    </font>
    <font>
      <b/>
      <sz val="11"/>
      <color rgb="FFFFFFFF"/>
      <name val="Arial"/>
      <family val="2"/>
    </font>
    <font>
      <i/>
      <sz val="11"/>
      <color rgb="FF666666"/>
      <name val="Aptos Narrow"/>
      <family val="2"/>
      <scheme val="minor"/>
    </font>
    <font>
      <i/>
      <sz val="10"/>
      <color rgb="FF666666"/>
      <name val="Arial"/>
      <family val="2"/>
    </font>
    <font>
      <b/>
      <u/>
      <sz val="10"/>
      <color theme="1"/>
      <name val="Arial"/>
      <family val="2"/>
    </font>
    <font>
      <sz val="9"/>
      <color rgb="FF999999"/>
      <name val="Arial"/>
      <family val="2"/>
    </font>
    <font>
      <b/>
      <sz val="11"/>
      <color rgb="FF666666"/>
      <name val="Arial"/>
      <family val="2"/>
    </font>
    <font>
      <b/>
      <sz val="14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mediumGray"/>
    </fill>
    <fill>
      <patternFill patternType="darkVertical">
        <fgColor rgb="FF5D87A1"/>
        <bgColor rgb="FF5D87A1"/>
      </patternFill>
    </fill>
    <fill>
      <patternFill patternType="solid">
        <fgColor rgb="FFA0002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2828150273141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23232"/>
        <bgColor indexed="64"/>
      </patternFill>
    </fill>
    <fill>
      <patternFill patternType="solid">
        <fgColor rgb="FFF1F3F5"/>
        <bgColor indexed="64"/>
      </patternFill>
    </fill>
    <fill>
      <patternFill patternType="solid">
        <fgColor rgb="FF021B5A"/>
        <bgColor indexed="64"/>
      </patternFill>
    </fill>
    <fill>
      <patternFill patternType="solid">
        <fgColor rgb="FF02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3A8F"/>
        <bgColor indexed="64"/>
      </patternFill>
    </fill>
    <fill>
      <patternFill patternType="gray0625"/>
    </fill>
    <fill>
      <patternFill patternType="solid">
        <fgColor rgb="FF002060"/>
        <bgColor rgb="FF000000"/>
      </patternFill>
    </fill>
    <fill>
      <patternFill patternType="solid">
        <fgColor rgb="FFFFFFCC"/>
      </patternFill>
    </fill>
    <fill>
      <patternFill patternType="solid">
        <fgColor rgb="FFFFFF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4" tint="-0.499984740745262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rgb="FFC8C8C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auto="1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 style="thin">
        <color auto="1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E7E6E6"/>
      </top>
      <bottom/>
      <diagonal/>
    </border>
    <border>
      <left style="thin">
        <color rgb="FF000000"/>
      </left>
      <right style="medium">
        <color rgb="FFFFFFFF"/>
      </right>
      <top style="thin">
        <color rgb="FF000000"/>
      </top>
      <bottom/>
      <diagonal/>
    </border>
    <border>
      <left style="medium">
        <color rgb="FFFFFFFF"/>
      </left>
      <right style="medium">
        <color rgb="FFFFFFFF"/>
      </right>
      <top style="thin">
        <color rgb="FF000000"/>
      </top>
      <bottom/>
      <diagonal/>
    </border>
    <border>
      <left style="medium">
        <color rgb="FFFFFFFF"/>
      </left>
      <right/>
      <top style="thin">
        <color rgb="FF000000"/>
      </top>
      <bottom style="medium">
        <color rgb="FFE7E6E6"/>
      </bottom>
      <diagonal/>
    </border>
    <border>
      <left/>
      <right/>
      <top style="thin">
        <color rgb="FF000000"/>
      </top>
      <bottom style="medium">
        <color rgb="FFE7E6E6"/>
      </bottom>
      <diagonal/>
    </border>
    <border>
      <left/>
      <right style="thin">
        <color rgb="FF000000"/>
      </right>
      <top style="thin">
        <color rgb="FF000000"/>
      </top>
      <bottom style="medium">
        <color rgb="FFE7E6E6"/>
      </bottom>
      <diagonal/>
    </border>
    <border>
      <left style="thin">
        <color rgb="FF000000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000000"/>
      </right>
      <top style="medium">
        <color rgb="FFE7E6E6"/>
      </top>
      <bottom/>
      <diagonal/>
    </border>
    <border>
      <left style="thin">
        <color rgb="FF000000"/>
      </left>
      <right style="medium">
        <color rgb="FFFFFFFF"/>
      </right>
      <top/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/>
      <bottom style="thin">
        <color rgb="FF000000"/>
      </bottom>
      <diagonal/>
    </border>
    <border>
      <left style="medium">
        <color rgb="FFFFFFFF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/>
      </left>
      <right/>
      <top style="thin">
        <color rgb="FFFFFFFF"/>
      </top>
      <bottom style="thin">
        <color indexed="64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 style="thin">
        <color rgb="FF000000"/>
      </top>
      <bottom/>
      <diagonal/>
    </border>
    <border>
      <left style="thin">
        <color theme="0" tint="-0.24994659260841701"/>
      </left>
      <right style="thin">
        <color rgb="FFB2B2B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25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4" fillId="0" borderId="0"/>
    <xf numFmtId="0" fontId="27" fillId="9" borderId="0" applyNumberFormat="0" applyBorder="0" applyProtection="0">
      <alignment vertical="center"/>
    </xf>
    <xf numFmtId="0" fontId="28" fillId="0" borderId="0" applyNumberFormat="0" applyFont="0" applyFill="0" applyBorder="0" applyAlignment="0" applyProtection="0">
      <alignment vertical="center"/>
    </xf>
    <xf numFmtId="0" fontId="28" fillId="0" borderId="0" applyNumberFormat="0" applyFont="0" applyFill="0" applyBorder="0" applyProtection="0">
      <alignment horizontal="center" vertical="center"/>
    </xf>
    <xf numFmtId="173" fontId="29" fillId="0" borderId="0" applyFill="0" applyBorder="0" applyProtection="0">
      <alignment horizontal="right" vertical="center"/>
    </xf>
    <xf numFmtId="0" fontId="33" fillId="0" borderId="0"/>
    <xf numFmtId="0" fontId="34" fillId="0" borderId="0"/>
    <xf numFmtId="0" fontId="37" fillId="16" borderId="21">
      <alignment horizontal="right" vertical="center" indent="1"/>
    </xf>
    <xf numFmtId="0" fontId="38" fillId="0" borderId="0"/>
    <xf numFmtId="0" fontId="39" fillId="0" borderId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/>
    <xf numFmtId="9" fontId="76" fillId="0" borderId="0" applyFont="0" applyFill="0" applyBorder="0" applyAlignment="0" applyProtection="0"/>
    <xf numFmtId="0" fontId="1" fillId="26" borderId="67" applyNumberFormat="0" applyFont="0" applyAlignment="0" applyProtection="0"/>
    <xf numFmtId="0" fontId="39" fillId="0" borderId="0"/>
    <xf numFmtId="0" fontId="96" fillId="0" borderId="0"/>
    <xf numFmtId="166" fontId="1" fillId="0" borderId="0" applyFont="0" applyFill="0" applyBorder="0" applyAlignment="0" applyProtection="0"/>
  </cellStyleXfs>
  <cellXfs count="848">
    <xf numFmtId="0" fontId="0" fillId="0" borderId="0" xfId="0"/>
    <xf numFmtId="0" fontId="2" fillId="0" borderId="0" xfId="0" applyFont="1"/>
    <xf numFmtId="0" fontId="2" fillId="0" borderId="0" xfId="2" applyFont="1"/>
    <xf numFmtId="0" fontId="5" fillId="0" borderId="0" xfId="4" applyFont="1" applyAlignment="1">
      <alignment horizontal="left"/>
    </xf>
    <xf numFmtId="0" fontId="6" fillId="0" borderId="0" xfId="3" applyFont="1"/>
    <xf numFmtId="0" fontId="7" fillId="0" borderId="0" xfId="2" applyFont="1"/>
    <xf numFmtId="0" fontId="6" fillId="0" borderId="0" xfId="4" applyFont="1" applyAlignment="1">
      <alignment horizontal="left"/>
    </xf>
    <xf numFmtId="0" fontId="2" fillId="0" borderId="0" xfId="3" applyFont="1"/>
    <xf numFmtId="0" fontId="9" fillId="0" borderId="0" xfId="3" applyFont="1"/>
    <xf numFmtId="168" fontId="11" fillId="0" borderId="2" xfId="0" applyNumberFormat="1" applyFont="1" applyBorder="1" applyAlignment="1">
      <alignment horizontal="center"/>
    </xf>
    <xf numFmtId="168" fontId="9" fillId="0" borderId="2" xfId="0" applyNumberFormat="1" applyFont="1" applyBorder="1" applyAlignment="1">
      <alignment horizontal="center"/>
    </xf>
    <xf numFmtId="168" fontId="11" fillId="2" borderId="2" xfId="0" applyNumberFormat="1" applyFont="1" applyFill="1" applyBorder="1" applyAlignment="1">
      <alignment horizontal="center"/>
    </xf>
    <xf numFmtId="0" fontId="10" fillId="0" borderId="3" xfId="3" applyFont="1" applyBorder="1"/>
    <xf numFmtId="0" fontId="10" fillId="0" borderId="4" xfId="3" applyFont="1" applyBorder="1"/>
    <xf numFmtId="0" fontId="2" fillId="0" borderId="4" xfId="3" applyFont="1" applyBorder="1"/>
    <xf numFmtId="0" fontId="2" fillId="0" borderId="5" xfId="3" applyFont="1" applyBorder="1"/>
    <xf numFmtId="0" fontId="9" fillId="0" borderId="4" xfId="3" applyFont="1" applyBorder="1"/>
    <xf numFmtId="0" fontId="2" fillId="0" borderId="6" xfId="3" applyFont="1" applyBorder="1"/>
    <xf numFmtId="0" fontId="2" fillId="0" borderId="7" xfId="3" applyFont="1" applyBorder="1"/>
    <xf numFmtId="0" fontId="11" fillId="0" borderId="0" xfId="0" applyFont="1"/>
    <xf numFmtId="0" fontId="14" fillId="0" borderId="0" xfId="0" applyFont="1"/>
    <xf numFmtId="0" fontId="15" fillId="0" borderId="0" xfId="0" applyFont="1"/>
    <xf numFmtId="0" fontId="8" fillId="3" borderId="0" xfId="3" applyFont="1" applyFill="1"/>
    <xf numFmtId="0" fontId="9" fillId="3" borderId="0" xfId="3" applyFont="1" applyFill="1"/>
    <xf numFmtId="22" fontId="11" fillId="2" borderId="1" xfId="3" applyNumberFormat="1" applyFont="1" applyFill="1" applyBorder="1" applyAlignment="1">
      <alignment horizontal="left"/>
    </xf>
    <xf numFmtId="168" fontId="14" fillId="0" borderId="2" xfId="0" applyNumberFormat="1" applyFont="1" applyBorder="1" applyAlignment="1">
      <alignment horizontal="center"/>
    </xf>
    <xf numFmtId="0" fontId="16" fillId="0" borderId="0" xfId="3" applyFont="1"/>
    <xf numFmtId="0" fontId="17" fillId="0" borderId="0" xfId="0" applyFont="1"/>
    <xf numFmtId="0" fontId="2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13" fillId="0" borderId="0" xfId="0" applyFont="1"/>
    <xf numFmtId="14" fontId="11" fillId="0" borderId="0" xfId="0" applyNumberFormat="1" applyFont="1"/>
    <xf numFmtId="14" fontId="2" fillId="0" borderId="0" xfId="0" applyNumberFormat="1" applyFont="1"/>
    <xf numFmtId="0" fontId="18" fillId="3" borderId="0" xfId="0" applyFont="1" applyFill="1"/>
    <xf numFmtId="0" fontId="19" fillId="3" borderId="0" xfId="0" applyFont="1" applyFill="1" applyAlignment="1">
      <alignment horizontal="center"/>
    </xf>
    <xf numFmtId="169" fontId="18" fillId="3" borderId="0" xfId="0" applyNumberFormat="1" applyFont="1" applyFill="1"/>
    <xf numFmtId="170" fontId="18" fillId="3" borderId="0" xfId="0" applyNumberFormat="1" applyFont="1" applyFill="1"/>
    <xf numFmtId="0" fontId="2" fillId="0" borderId="0" xfId="0" applyFont="1" applyAlignment="1">
      <alignment horizontal="center"/>
    </xf>
    <xf numFmtId="0" fontId="20" fillId="4" borderId="0" xfId="0" applyFont="1" applyFill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17" fontId="18" fillId="3" borderId="0" xfId="0" applyNumberFormat="1" applyFont="1" applyFill="1"/>
    <xf numFmtId="14" fontId="2" fillId="4" borderId="0" xfId="0" applyNumberFormat="1" applyFont="1" applyFill="1"/>
    <xf numFmtId="0" fontId="13" fillId="0" borderId="0" xfId="0" applyFont="1" applyAlignment="1">
      <alignment horizontal="center"/>
    </xf>
    <xf numFmtId="0" fontId="2" fillId="0" borderId="8" xfId="0" applyFont="1" applyBorder="1" applyAlignment="1">
      <alignment horizontal="left" indent="1"/>
    </xf>
    <xf numFmtId="0" fontId="2" fillId="0" borderId="8" xfId="0" applyFont="1" applyBorder="1"/>
    <xf numFmtId="0" fontId="13" fillId="0" borderId="8" xfId="0" applyFont="1" applyBorder="1" applyAlignment="1">
      <alignment horizontal="center"/>
    </xf>
    <xf numFmtId="171" fontId="2" fillId="0" borderId="8" xfId="0" applyNumberFormat="1" applyFont="1" applyBorder="1"/>
    <xf numFmtId="171" fontId="11" fillId="0" borderId="8" xfId="0" applyNumberFormat="1" applyFont="1" applyBorder="1"/>
    <xf numFmtId="0" fontId="2" fillId="0" borderId="0" xfId="0" applyFont="1" applyAlignment="1">
      <alignment horizontal="left" indent="1"/>
    </xf>
    <xf numFmtId="171" fontId="2" fillId="0" borderId="0" xfId="0" applyNumberFormat="1" applyFont="1"/>
    <xf numFmtId="171" fontId="11" fillId="0" borderId="0" xfId="0" applyNumberFormat="1" applyFont="1"/>
    <xf numFmtId="0" fontId="20" fillId="0" borderId="0" xfId="0" applyFont="1"/>
    <xf numFmtId="0" fontId="20" fillId="5" borderId="9" xfId="0" applyFont="1" applyFill="1" applyBorder="1"/>
    <xf numFmtId="0" fontId="21" fillId="5" borderId="9" xfId="0" applyFont="1" applyFill="1" applyBorder="1" applyAlignment="1">
      <alignment horizontal="center"/>
    </xf>
    <xf numFmtId="171" fontId="20" fillId="5" borderId="9" xfId="0" applyNumberFormat="1" applyFont="1" applyFill="1" applyBorder="1"/>
    <xf numFmtId="0" fontId="2" fillId="0" borderId="4" xfId="0" applyFont="1" applyBorder="1"/>
    <xf numFmtId="0" fontId="13" fillId="0" borderId="4" xfId="0" applyFont="1" applyBorder="1" applyAlignment="1">
      <alignment horizontal="center"/>
    </xf>
    <xf numFmtId="0" fontId="2" fillId="0" borderId="11" xfId="0" applyFont="1" applyBorder="1"/>
    <xf numFmtId="0" fontId="13" fillId="0" borderId="11" xfId="0" applyFont="1" applyBorder="1" applyAlignment="1">
      <alignment horizontal="center"/>
    </xf>
    <xf numFmtId="0" fontId="13" fillId="0" borderId="3" xfId="0" applyFont="1" applyBorder="1"/>
    <xf numFmtId="0" fontId="13" fillId="0" borderId="10" xfId="0" applyFont="1" applyBorder="1"/>
    <xf numFmtId="0" fontId="13" fillId="0" borderId="11" xfId="0" applyFont="1" applyBorder="1"/>
    <xf numFmtId="172" fontId="13" fillId="0" borderId="4" xfId="0" applyNumberFormat="1" applyFont="1" applyBorder="1"/>
    <xf numFmtId="172" fontId="13" fillId="0" borderId="5" xfId="0" applyNumberFormat="1" applyFont="1" applyBorder="1"/>
    <xf numFmtId="172" fontId="13" fillId="0" borderId="11" xfId="0" applyNumberFormat="1" applyFont="1" applyBorder="1"/>
    <xf numFmtId="172" fontId="13" fillId="0" borderId="12" xfId="0" applyNumberFormat="1" applyFont="1" applyBorder="1"/>
    <xf numFmtId="0" fontId="20" fillId="5" borderId="0" xfId="0" applyFont="1" applyFill="1"/>
    <xf numFmtId="0" fontId="21" fillId="5" borderId="0" xfId="0" applyFont="1" applyFill="1" applyAlignment="1">
      <alignment horizontal="center"/>
    </xf>
    <xf numFmtId="171" fontId="20" fillId="5" borderId="0" xfId="0" applyNumberFormat="1" applyFont="1" applyFill="1"/>
    <xf numFmtId="0" fontId="20" fillId="6" borderId="3" xfId="0" applyFont="1" applyFill="1" applyBorder="1"/>
    <xf numFmtId="0" fontId="20" fillId="6" borderId="4" xfId="0" applyFont="1" applyFill="1" applyBorder="1"/>
    <xf numFmtId="0" fontId="21" fillId="6" borderId="4" xfId="0" applyFont="1" applyFill="1" applyBorder="1" applyAlignment="1">
      <alignment horizontal="center"/>
    </xf>
    <xf numFmtId="171" fontId="20" fillId="6" borderId="4" xfId="0" applyNumberFormat="1" applyFont="1" applyFill="1" applyBorder="1"/>
    <xf numFmtId="171" fontId="20" fillId="6" borderId="5" xfId="0" applyNumberFormat="1" applyFont="1" applyFill="1" applyBorder="1"/>
    <xf numFmtId="0" fontId="22" fillId="0" borderId="0" xfId="0" applyFont="1"/>
    <xf numFmtId="0" fontId="20" fillId="6" borderId="13" xfId="0" applyFont="1" applyFill="1" applyBorder="1"/>
    <xf numFmtId="0" fontId="20" fillId="6" borderId="14" xfId="0" applyFont="1" applyFill="1" applyBorder="1"/>
    <xf numFmtId="0" fontId="21" fillId="6" borderId="14" xfId="0" applyFont="1" applyFill="1" applyBorder="1" applyAlignment="1">
      <alignment horizontal="center"/>
    </xf>
    <xf numFmtId="171" fontId="20" fillId="6" borderId="14" xfId="0" applyNumberFormat="1" applyFont="1" applyFill="1" applyBorder="1"/>
    <xf numFmtId="171" fontId="20" fillId="6" borderId="15" xfId="0" applyNumberFormat="1" applyFont="1" applyFill="1" applyBorder="1"/>
    <xf numFmtId="172" fontId="13" fillId="0" borderId="0" xfId="0" applyNumberFormat="1" applyFont="1"/>
    <xf numFmtId="172" fontId="13" fillId="0" borderId="3" xfId="0" applyNumberFormat="1" applyFont="1" applyBorder="1"/>
    <xf numFmtId="172" fontId="13" fillId="0" borderId="10" xfId="0" applyNumberFormat="1" applyFont="1" applyBorder="1"/>
    <xf numFmtId="171" fontId="20" fillId="6" borderId="3" xfId="0" applyNumberFormat="1" applyFont="1" applyFill="1" applyBorder="1"/>
    <xf numFmtId="171" fontId="20" fillId="6" borderId="13" xfId="0" applyNumberFormat="1" applyFont="1" applyFill="1" applyBorder="1"/>
    <xf numFmtId="0" fontId="13" fillId="7" borderId="0" xfId="0" applyFont="1" applyFill="1"/>
    <xf numFmtId="0" fontId="13" fillId="7" borderId="0" xfId="0" applyFont="1" applyFill="1" applyAlignment="1">
      <alignment horizontal="right"/>
    </xf>
    <xf numFmtId="0" fontId="13" fillId="0" borderId="0" xfId="0" applyFont="1" applyAlignment="1">
      <alignment horizontal="right"/>
    </xf>
    <xf numFmtId="171" fontId="23" fillId="6" borderId="13" xfId="0" applyNumberFormat="1" applyFont="1" applyFill="1" applyBorder="1"/>
    <xf numFmtId="171" fontId="23" fillId="6" borderId="14" xfId="0" applyNumberFormat="1" applyFont="1" applyFill="1" applyBorder="1"/>
    <xf numFmtId="171" fontId="9" fillId="0" borderId="0" xfId="0" applyNumberFormat="1" applyFont="1"/>
    <xf numFmtId="0" fontId="9" fillId="2" borderId="1" xfId="3" applyFont="1" applyFill="1" applyBorder="1" applyAlignment="1">
      <alignment vertical="top" wrapText="1"/>
    </xf>
    <xf numFmtId="0" fontId="24" fillId="0" borderId="0" xfId="0" applyFont="1"/>
    <xf numFmtId="171" fontId="2" fillId="0" borderId="9" xfId="0" applyNumberFormat="1" applyFont="1" applyBorder="1"/>
    <xf numFmtId="0" fontId="2" fillId="0" borderId="9" xfId="0" applyFont="1" applyBorder="1"/>
    <xf numFmtId="171" fontId="13" fillId="0" borderId="9" xfId="0" applyNumberFormat="1" applyFont="1" applyBorder="1" applyAlignment="1">
      <alignment horizontal="center"/>
    </xf>
    <xf numFmtId="171" fontId="11" fillId="0" borderId="9" xfId="0" applyNumberFormat="1" applyFont="1" applyBorder="1"/>
    <xf numFmtId="0" fontId="13" fillId="0" borderId="8" xfId="0" applyFont="1" applyBorder="1"/>
    <xf numFmtId="172" fontId="2" fillId="2" borderId="1" xfId="0" applyNumberFormat="1" applyFont="1" applyFill="1" applyBorder="1"/>
    <xf numFmtId="172" fontId="11" fillId="2" borderId="1" xfId="0" applyNumberFormat="1" applyFont="1" applyFill="1" applyBorder="1"/>
    <xf numFmtId="172" fontId="12" fillId="2" borderId="1" xfId="0" applyNumberFormat="1" applyFont="1" applyFill="1" applyBorder="1" applyAlignment="1">
      <alignment horizontal="right"/>
    </xf>
    <xf numFmtId="172" fontId="26" fillId="2" borderId="1" xfId="0" applyNumberFormat="1" applyFont="1" applyFill="1" applyBorder="1" applyAlignment="1">
      <alignment horizontal="right"/>
    </xf>
    <xf numFmtId="0" fontId="2" fillId="8" borderId="8" xfId="0" applyFont="1" applyFill="1" applyBorder="1"/>
    <xf numFmtId="172" fontId="2" fillId="0" borderId="8" xfId="0" applyNumberFormat="1" applyFont="1" applyBorder="1"/>
    <xf numFmtId="172" fontId="2" fillId="0" borderId="0" xfId="0" applyNumberFormat="1" applyFont="1"/>
    <xf numFmtId="172" fontId="2" fillId="8" borderId="8" xfId="0" applyNumberFormat="1" applyFont="1" applyFill="1" applyBorder="1"/>
    <xf numFmtId="0" fontId="31" fillId="0" borderId="0" xfId="7" applyFont="1">
      <alignment vertical="center"/>
    </xf>
    <xf numFmtId="0" fontId="31" fillId="0" borderId="0" xfId="7" applyFont="1" applyAlignment="1">
      <alignment horizontal="left" vertical="center" indent="3"/>
    </xf>
    <xf numFmtId="0" fontId="31" fillId="0" borderId="0" xfId="8" applyFont="1">
      <alignment horizontal="center" vertical="center"/>
    </xf>
    <xf numFmtId="0" fontId="11" fillId="0" borderId="0" xfId="8" applyFont="1">
      <alignment horizontal="center" vertical="center"/>
    </xf>
    <xf numFmtId="0" fontId="30" fillId="4" borderId="0" xfId="6" applyFont="1" applyFill="1">
      <alignment vertical="center"/>
    </xf>
    <xf numFmtId="0" fontId="0" fillId="3" borderId="0" xfId="0" applyFill="1"/>
    <xf numFmtId="0" fontId="25" fillId="3" borderId="0" xfId="0" applyFont="1" applyFill="1" applyAlignment="1">
      <alignment horizontal="center"/>
    </xf>
    <xf numFmtId="0" fontId="25" fillId="3" borderId="0" xfId="0" applyFont="1" applyFill="1"/>
    <xf numFmtId="172" fontId="11" fillId="0" borderId="0" xfId="9" applyNumberFormat="1" applyFont="1">
      <alignment horizontal="right" vertical="center"/>
    </xf>
    <xf numFmtId="172" fontId="26" fillId="0" borderId="0" xfId="9" applyNumberFormat="1" applyFont="1">
      <alignment horizontal="right" vertical="center"/>
    </xf>
    <xf numFmtId="172" fontId="11" fillId="0" borderId="0" xfId="8" applyNumberFormat="1" applyFont="1">
      <alignment horizontal="center" vertical="center"/>
    </xf>
    <xf numFmtId="172" fontId="14" fillId="0" borderId="0" xfId="0" applyNumberFormat="1" applyFont="1"/>
    <xf numFmtId="0" fontId="2" fillId="8" borderId="0" xfId="0" applyFont="1" applyFill="1"/>
    <xf numFmtId="172" fontId="9" fillId="0" borderId="0" xfId="0" applyNumberFormat="1" applyFont="1"/>
    <xf numFmtId="0" fontId="20" fillId="0" borderId="16" xfId="0" applyFont="1" applyBorder="1"/>
    <xf numFmtId="0" fontId="21" fillId="0" borderId="16" xfId="0" applyFont="1" applyBorder="1" applyAlignment="1">
      <alignment horizontal="center"/>
    </xf>
    <xf numFmtId="0" fontId="20" fillId="8" borderId="16" xfId="0" applyFont="1" applyFill="1" applyBorder="1"/>
    <xf numFmtId="172" fontId="20" fillId="0" borderId="16" xfId="0" applyNumberFormat="1" applyFont="1" applyBorder="1"/>
    <xf numFmtId="0" fontId="13" fillId="8" borderId="8" xfId="0" applyFont="1" applyFill="1" applyBorder="1"/>
    <xf numFmtId="172" fontId="13" fillId="0" borderId="8" xfId="0" applyNumberFormat="1" applyFont="1" applyBorder="1"/>
    <xf numFmtId="172" fontId="13" fillId="8" borderId="8" xfId="0" applyNumberFormat="1" applyFont="1" applyFill="1" applyBorder="1"/>
    <xf numFmtId="0" fontId="18" fillId="4" borderId="0" xfId="6" applyFont="1" applyFill="1">
      <alignment vertical="center"/>
    </xf>
    <xf numFmtId="0" fontId="31" fillId="0" borderId="0" xfId="7" applyFont="1" applyAlignment="1">
      <alignment horizontal="left" vertical="center"/>
    </xf>
    <xf numFmtId="172" fontId="26" fillId="0" borderId="0" xfId="0" applyNumberFormat="1" applyFont="1"/>
    <xf numFmtId="172" fontId="26" fillId="0" borderId="0" xfId="0" applyNumberFormat="1" applyFont="1" applyAlignment="1">
      <alignment horizontal="right"/>
    </xf>
    <xf numFmtId="175" fontId="2" fillId="0" borderId="0" xfId="0" applyNumberFormat="1" applyFont="1"/>
    <xf numFmtId="172" fontId="14" fillId="8" borderId="0" xfId="0" applyNumberFormat="1" applyFont="1" applyFill="1"/>
    <xf numFmtId="172" fontId="9" fillId="8" borderId="0" xfId="0" applyNumberFormat="1" applyFont="1" applyFill="1"/>
    <xf numFmtId="0" fontId="21" fillId="0" borderId="0" xfId="0" applyFont="1"/>
    <xf numFmtId="0" fontId="21" fillId="0" borderId="16" xfId="0" applyFont="1" applyBorder="1"/>
    <xf numFmtId="172" fontId="21" fillId="0" borderId="16" xfId="0" applyNumberFormat="1" applyFont="1" applyBorder="1"/>
    <xf numFmtId="172" fontId="13" fillId="2" borderId="1" xfId="0" applyNumberFormat="1" applyFont="1" applyFill="1" applyBorder="1"/>
    <xf numFmtId="174" fontId="2" fillId="0" borderId="0" xfId="0" applyNumberFormat="1" applyFont="1"/>
    <xf numFmtId="175" fontId="13" fillId="0" borderId="0" xfId="0" applyNumberFormat="1" applyFont="1"/>
    <xf numFmtId="175" fontId="13" fillId="2" borderId="1" xfId="0" applyNumberFormat="1" applyFont="1" applyFill="1" applyBorder="1"/>
    <xf numFmtId="171" fontId="14" fillId="0" borderId="8" xfId="0" applyNumberFormat="1" applyFont="1" applyBorder="1"/>
    <xf numFmtId="171" fontId="14" fillId="0" borderId="0" xfId="0" applyNumberFormat="1" applyFont="1"/>
    <xf numFmtId="171" fontId="32" fillId="6" borderId="13" xfId="0" applyNumberFormat="1" applyFont="1" applyFill="1" applyBorder="1"/>
    <xf numFmtId="171" fontId="32" fillId="6" borderId="14" xfId="0" applyNumberFormat="1" applyFont="1" applyFill="1" applyBorder="1"/>
    <xf numFmtId="171" fontId="32" fillId="6" borderId="15" xfId="0" applyNumberFormat="1" applyFont="1" applyFill="1" applyBorder="1"/>
    <xf numFmtId="171" fontId="11" fillId="2" borderId="1" xfId="0" applyNumberFormat="1" applyFont="1" applyFill="1" applyBorder="1"/>
    <xf numFmtId="0" fontId="18" fillId="10" borderId="0" xfId="0" applyFont="1" applyFill="1"/>
    <xf numFmtId="0" fontId="2" fillId="10" borderId="0" xfId="0" applyFont="1" applyFill="1"/>
    <xf numFmtId="176" fontId="13" fillId="0" borderId="0" xfId="0" applyNumberFormat="1" applyFont="1"/>
    <xf numFmtId="176" fontId="13" fillId="2" borderId="1" xfId="0" applyNumberFormat="1" applyFont="1" applyFill="1" applyBorder="1"/>
    <xf numFmtId="0" fontId="21" fillId="0" borderId="0" xfId="0" applyFont="1" applyAlignment="1">
      <alignment horizontal="center"/>
    </xf>
    <xf numFmtId="0" fontId="20" fillId="0" borderId="13" xfId="0" applyFont="1" applyBorder="1"/>
    <xf numFmtId="0" fontId="20" fillId="0" borderId="14" xfId="0" applyFont="1" applyBorder="1"/>
    <xf numFmtId="0" fontId="21" fillId="0" borderId="14" xfId="0" applyFont="1" applyBorder="1" applyAlignment="1">
      <alignment horizontal="center"/>
    </xf>
    <xf numFmtId="171" fontId="20" fillId="0" borderId="14" xfId="0" applyNumberFormat="1" applyFont="1" applyBorder="1"/>
    <xf numFmtId="0" fontId="18" fillId="4" borderId="0" xfId="0" applyFont="1" applyFill="1"/>
    <xf numFmtId="0" fontId="10" fillId="0" borderId="0" xfId="0" applyFont="1"/>
    <xf numFmtId="0" fontId="35" fillId="0" borderId="0" xfId="10" applyFont="1" applyAlignment="1">
      <alignment horizontal="centerContinuous"/>
    </xf>
    <xf numFmtId="177" fontId="11" fillId="2" borderId="1" xfId="11" applyNumberFormat="1" applyFont="1" applyFill="1" applyBorder="1" applyAlignment="1">
      <alignment horizontal="center"/>
    </xf>
    <xf numFmtId="177" fontId="9" fillId="2" borderId="1" xfId="11" applyNumberFormat="1" applyFont="1" applyFill="1" applyBorder="1" applyAlignment="1">
      <alignment horizontal="center"/>
    </xf>
    <xf numFmtId="3" fontId="2" fillId="0" borderId="0" xfId="0" applyNumberFormat="1" applyFont="1"/>
    <xf numFmtId="3" fontId="2" fillId="8" borderId="0" xfId="0" applyNumberFormat="1" applyFont="1" applyFill="1"/>
    <xf numFmtId="167" fontId="2" fillId="0" borderId="0" xfId="0" applyNumberFormat="1" applyFont="1"/>
    <xf numFmtId="171" fontId="20" fillId="0" borderId="16" xfId="0" applyNumberFormat="1" applyFont="1" applyBorder="1"/>
    <xf numFmtId="171" fontId="23" fillId="0" borderId="16" xfId="0" applyNumberFormat="1" applyFont="1" applyBorder="1"/>
    <xf numFmtId="0" fontId="2" fillId="2" borderId="1" xfId="0" applyFont="1" applyFill="1" applyBorder="1"/>
    <xf numFmtId="0" fontId="20" fillId="0" borderId="8" xfId="0" applyFont="1" applyBorder="1"/>
    <xf numFmtId="0" fontId="21" fillId="0" borderId="8" xfId="0" applyFont="1" applyBorder="1" applyAlignment="1">
      <alignment horizontal="center"/>
    </xf>
    <xf numFmtId="177" fontId="20" fillId="2" borderId="1" xfId="0" applyNumberFormat="1" applyFont="1" applyFill="1" applyBorder="1"/>
    <xf numFmtId="0" fontId="20" fillId="8" borderId="8" xfId="0" applyFont="1" applyFill="1" applyBorder="1"/>
    <xf numFmtId="171" fontId="20" fillId="0" borderId="8" xfId="0" applyNumberFormat="1" applyFont="1" applyBorder="1"/>
    <xf numFmtId="171" fontId="2" fillId="2" borderId="1" xfId="0" applyNumberFormat="1" applyFont="1" applyFill="1" applyBorder="1"/>
    <xf numFmtId="170" fontId="2" fillId="0" borderId="0" xfId="0" applyNumberFormat="1" applyFont="1"/>
    <xf numFmtId="0" fontId="10" fillId="0" borderId="0" xfId="0" applyFont="1" applyAlignment="1">
      <alignment horizontal="right"/>
    </xf>
    <xf numFmtId="167" fontId="20" fillId="0" borderId="14" xfId="0" applyNumberFormat="1" applyFont="1" applyBorder="1"/>
    <xf numFmtId="171" fontId="2" fillId="8" borderId="0" xfId="0" applyNumberFormat="1" applyFont="1" applyFill="1"/>
    <xf numFmtId="171" fontId="20" fillId="8" borderId="16" xfId="0" applyNumberFormat="1" applyFont="1" applyFill="1" applyBorder="1"/>
    <xf numFmtId="0" fontId="20" fillId="8" borderId="0" xfId="0" applyFont="1" applyFill="1"/>
    <xf numFmtId="171" fontId="23" fillId="0" borderId="0" xfId="0" applyNumberFormat="1" applyFont="1"/>
    <xf numFmtId="171" fontId="20" fillId="0" borderId="0" xfId="0" applyNumberFormat="1" applyFont="1"/>
    <xf numFmtId="0" fontId="20" fillId="0" borderId="18" xfId="0" applyFont="1" applyBorder="1"/>
    <xf numFmtId="171" fontId="20" fillId="0" borderId="19" xfId="0" applyNumberFormat="1" applyFont="1" applyBorder="1"/>
    <xf numFmtId="0" fontId="19" fillId="10" borderId="0" xfId="0" applyFont="1" applyFill="1" applyAlignment="1">
      <alignment horizontal="center"/>
    </xf>
    <xf numFmtId="17" fontId="18" fillId="10" borderId="0" xfId="0" applyNumberFormat="1" applyFont="1" applyFill="1"/>
    <xf numFmtId="0" fontId="20" fillId="0" borderId="15" xfId="0" applyFont="1" applyBorder="1" applyAlignment="1">
      <alignment horizontal="center"/>
    </xf>
    <xf numFmtId="171" fontId="32" fillId="0" borderId="0" xfId="0" applyNumberFormat="1" applyFont="1"/>
    <xf numFmtId="171" fontId="2" fillId="2" borderId="17" xfId="0" applyNumberFormat="1" applyFont="1" applyFill="1" applyBorder="1"/>
    <xf numFmtId="0" fontId="20" fillId="8" borderId="14" xfId="0" applyFont="1" applyFill="1" applyBorder="1"/>
    <xf numFmtId="171" fontId="20" fillId="0" borderId="15" xfId="0" applyNumberFormat="1" applyFont="1" applyBorder="1"/>
    <xf numFmtId="0" fontId="20" fillId="8" borderId="13" xfId="0" applyFont="1" applyFill="1" applyBorder="1"/>
    <xf numFmtId="178" fontId="2" fillId="0" borderId="0" xfId="0" applyNumberFormat="1" applyFont="1"/>
    <xf numFmtId="172" fontId="23" fillId="2" borderId="1" xfId="0" applyNumberFormat="1" applyFont="1" applyFill="1" applyBorder="1"/>
    <xf numFmtId="167" fontId="20" fillId="0" borderId="0" xfId="0" applyNumberFormat="1" applyFont="1"/>
    <xf numFmtId="172" fontId="23" fillId="2" borderId="17" xfId="0" applyNumberFormat="1" applyFont="1" applyFill="1" applyBorder="1"/>
    <xf numFmtId="167" fontId="20" fillId="0" borderId="16" xfId="0" applyNumberFormat="1" applyFont="1" applyBorder="1"/>
    <xf numFmtId="167" fontId="20" fillId="0" borderId="19" xfId="0" applyNumberFormat="1" applyFont="1" applyBorder="1"/>
    <xf numFmtId="0" fontId="20" fillId="0" borderId="0" xfId="0" applyFont="1" applyAlignment="1">
      <alignment horizontal="center"/>
    </xf>
    <xf numFmtId="172" fontId="23" fillId="0" borderId="0" xfId="0" applyNumberFormat="1" applyFont="1"/>
    <xf numFmtId="0" fontId="36" fillId="0" borderId="0" xfId="0" applyFont="1" applyAlignment="1">
      <alignment horizontal="center"/>
    </xf>
    <xf numFmtId="179" fontId="11" fillId="2" borderId="1" xfId="0" applyNumberFormat="1" applyFont="1" applyFill="1" applyBorder="1" applyAlignment="1">
      <alignment horizontal="center" vertical="top" wrapText="1"/>
    </xf>
    <xf numFmtId="10" fontId="11" fillId="2" borderId="1" xfId="0" applyNumberFormat="1" applyFont="1" applyFill="1" applyBorder="1" applyAlignment="1">
      <alignment horizontal="center" vertical="top" wrapText="1"/>
    </xf>
    <xf numFmtId="180" fontId="11" fillId="2" borderId="1" xfId="0" applyNumberFormat="1" applyFont="1" applyFill="1" applyBorder="1" applyAlignment="1">
      <alignment horizontal="center" vertical="center"/>
    </xf>
    <xf numFmtId="180" fontId="11" fillId="0" borderId="0" xfId="0" applyNumberFormat="1" applyFont="1" applyAlignment="1">
      <alignment horizontal="right"/>
    </xf>
    <xf numFmtId="1" fontId="11" fillId="2" borderId="1" xfId="0" applyNumberFormat="1" applyFont="1" applyFill="1" applyBorder="1" applyAlignment="1">
      <alignment horizontal="center" vertical="center"/>
    </xf>
    <xf numFmtId="17" fontId="2" fillId="0" borderId="0" xfId="0" applyNumberFormat="1" applyFont="1"/>
    <xf numFmtId="17" fontId="11" fillId="2" borderId="1" xfId="0" applyNumberFormat="1" applyFont="1" applyFill="1" applyBorder="1" applyAlignment="1">
      <alignment horizontal="center" vertical="center"/>
    </xf>
    <xf numFmtId="171" fontId="14" fillId="2" borderId="1" xfId="0" applyNumberFormat="1" applyFont="1" applyFill="1" applyBorder="1"/>
    <xf numFmtId="167" fontId="2" fillId="2" borderId="1" xfId="0" applyNumberFormat="1" applyFont="1" applyFill="1" applyBorder="1"/>
    <xf numFmtId="171" fontId="32" fillId="0" borderId="16" xfId="0" applyNumberFormat="1" applyFont="1" applyBorder="1"/>
    <xf numFmtId="0" fontId="2" fillId="2" borderId="17" xfId="0" applyFont="1" applyFill="1" applyBorder="1"/>
    <xf numFmtId="0" fontId="9" fillId="0" borderId="0" xfId="3" applyFont="1" applyAlignment="1">
      <alignment vertical="top" wrapText="1"/>
    </xf>
    <xf numFmtId="0" fontId="9" fillId="0" borderId="7" xfId="3" applyFont="1" applyBorder="1" applyAlignment="1">
      <alignment vertical="top" wrapText="1"/>
    </xf>
    <xf numFmtId="0" fontId="2" fillId="0" borderId="10" xfId="3" applyFont="1" applyBorder="1"/>
    <xf numFmtId="0" fontId="2" fillId="0" borderId="11" xfId="3" applyFont="1" applyBorder="1"/>
    <xf numFmtId="0" fontId="3" fillId="0" borderId="11" xfId="1" applyFill="1" applyBorder="1" applyAlignment="1">
      <alignment vertical="top" wrapText="1"/>
    </xf>
    <xf numFmtId="0" fontId="9" fillId="0" borderId="11" xfId="3" applyFont="1" applyBorder="1" applyAlignment="1">
      <alignment vertical="top" wrapText="1"/>
    </xf>
    <xf numFmtId="0" fontId="9" fillId="0" borderId="12" xfId="3" applyFont="1" applyBorder="1" applyAlignment="1">
      <alignment vertical="top" wrapText="1"/>
    </xf>
    <xf numFmtId="0" fontId="2" fillId="0" borderId="6" xfId="0" applyFont="1" applyBorder="1"/>
    <xf numFmtId="0" fontId="2" fillId="0" borderId="0" xfId="0" applyFont="1" applyProtection="1">
      <protection locked="0"/>
    </xf>
    <xf numFmtId="0" fontId="2" fillId="0" borderId="6" xfId="3" applyFont="1" applyBorder="1" applyAlignment="1">
      <alignment horizontal="center"/>
    </xf>
    <xf numFmtId="0" fontId="2" fillId="0" borderId="10" xfId="3" applyFont="1" applyBorder="1" applyAlignment="1">
      <alignment horizontal="center"/>
    </xf>
    <xf numFmtId="168" fontId="11" fillId="0" borderId="11" xfId="0" applyNumberFormat="1" applyFont="1" applyBorder="1" applyAlignment="1">
      <alignment horizontal="center"/>
    </xf>
    <xf numFmtId="0" fontId="2" fillId="0" borderId="11" xfId="0" applyFont="1" applyBorder="1" applyProtection="1">
      <protection locked="0"/>
    </xf>
    <xf numFmtId="0" fontId="2" fillId="0" borderId="12" xfId="3" applyFont="1" applyBorder="1"/>
    <xf numFmtId="0" fontId="2" fillId="3" borderId="0" xfId="0" applyFont="1" applyFill="1"/>
    <xf numFmtId="0" fontId="18" fillId="3" borderId="0" xfId="0" applyFont="1" applyFill="1" applyAlignment="1">
      <alignment horizontal="center"/>
    </xf>
    <xf numFmtId="169" fontId="20" fillId="4" borderId="0" xfId="0" applyNumberFormat="1" applyFont="1" applyFill="1"/>
    <xf numFmtId="170" fontId="20" fillId="4" borderId="0" xfId="0" applyNumberFormat="1" applyFont="1" applyFill="1"/>
    <xf numFmtId="0" fontId="20" fillId="4" borderId="0" xfId="0" applyFont="1" applyFill="1" applyAlignment="1">
      <alignment horizontal="center"/>
    </xf>
    <xf numFmtId="172" fontId="20" fillId="4" borderId="0" xfId="0" applyNumberFormat="1" applyFont="1" applyFill="1" applyAlignment="1">
      <alignment horizontal="center"/>
    </xf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165" fontId="6" fillId="11" borderId="0" xfId="0" applyNumberFormat="1" applyFont="1" applyFill="1"/>
    <xf numFmtId="0" fontId="47" fillId="0" borderId="0" xfId="0" applyFont="1"/>
    <xf numFmtId="0" fontId="47" fillId="12" borderId="0" xfId="0" applyFont="1" applyFill="1"/>
    <xf numFmtId="0" fontId="48" fillId="12" borderId="0" xfId="0" applyFont="1" applyFill="1" applyAlignment="1">
      <alignment horizontal="left"/>
    </xf>
    <xf numFmtId="0" fontId="48" fillId="12" borderId="0" xfId="0" applyFont="1" applyFill="1" applyAlignment="1">
      <alignment horizontal="right"/>
    </xf>
    <xf numFmtId="181" fontId="49" fillId="12" borderId="0" xfId="0" applyNumberFormat="1" applyFont="1" applyFill="1" applyAlignment="1">
      <alignment horizontal="right"/>
    </xf>
    <xf numFmtId="0" fontId="50" fillId="12" borderId="0" xfId="0" applyFont="1" applyFill="1"/>
    <xf numFmtId="182" fontId="50" fillId="12" borderId="0" xfId="0" applyNumberFormat="1" applyFont="1" applyFill="1" applyAlignment="1">
      <alignment horizontal="right"/>
    </xf>
    <xf numFmtId="182" fontId="47" fillId="0" borderId="0" xfId="0" applyNumberFormat="1" applyFont="1" applyAlignment="1">
      <alignment horizontal="left" indent="1"/>
    </xf>
    <xf numFmtId="182" fontId="47" fillId="0" borderId="0" xfId="0" applyNumberFormat="1" applyFont="1" applyAlignment="1">
      <alignment horizontal="right"/>
    </xf>
    <xf numFmtId="182" fontId="49" fillId="0" borderId="0" xfId="0" applyNumberFormat="1" applyFont="1" applyAlignment="1">
      <alignment horizontal="right"/>
    </xf>
    <xf numFmtId="182" fontId="47" fillId="13" borderId="0" xfId="0" applyNumberFormat="1" applyFont="1" applyFill="1" applyAlignment="1">
      <alignment horizontal="left" indent="1"/>
    </xf>
    <xf numFmtId="182" fontId="47" fillId="13" borderId="0" xfId="0" applyNumberFormat="1" applyFont="1" applyFill="1" applyAlignment="1">
      <alignment horizontal="right"/>
    </xf>
    <xf numFmtId="182" fontId="49" fillId="13" borderId="0" xfId="0" applyNumberFormat="1" applyFont="1" applyFill="1" applyAlignment="1">
      <alignment horizontal="right"/>
    </xf>
    <xf numFmtId="182" fontId="47" fillId="0" borderId="0" xfId="0" applyNumberFormat="1" applyFont="1" applyAlignment="1">
      <alignment horizontal="left" indent="2"/>
    </xf>
    <xf numFmtId="182" fontId="47" fillId="0" borderId="0" xfId="0" applyNumberFormat="1" applyFont="1" applyAlignment="1">
      <alignment horizontal="left" indent="3"/>
    </xf>
    <xf numFmtId="182" fontId="47" fillId="13" borderId="0" xfId="0" applyNumberFormat="1" applyFont="1" applyFill="1" applyAlignment="1">
      <alignment horizontal="left" indent="3"/>
    </xf>
    <xf numFmtId="182" fontId="47" fillId="0" borderId="0" xfId="0" applyNumberFormat="1" applyFont="1" applyAlignment="1">
      <alignment horizontal="left"/>
    </xf>
    <xf numFmtId="182" fontId="47" fillId="13" borderId="0" xfId="0" applyNumberFormat="1" applyFont="1" applyFill="1" applyAlignment="1">
      <alignment horizontal="left"/>
    </xf>
    <xf numFmtId="0" fontId="47" fillId="0" borderId="20" xfId="0" applyFont="1" applyBorder="1" applyAlignment="1">
      <alignment horizontal="left" indent="1"/>
    </xf>
    <xf numFmtId="0" fontId="47" fillId="0" borderId="20" xfId="0" applyFont="1" applyBorder="1"/>
    <xf numFmtId="0" fontId="47" fillId="0" borderId="20" xfId="0" applyFont="1" applyBorder="1" applyAlignment="1">
      <alignment horizontal="right"/>
    </xf>
    <xf numFmtId="0" fontId="50" fillId="0" borderId="0" xfId="0" applyFont="1" applyAlignment="1">
      <alignment horizontal="left" indent="1"/>
    </xf>
    <xf numFmtId="0" fontId="50" fillId="0" borderId="0" xfId="0" applyFont="1"/>
    <xf numFmtId="182" fontId="51" fillId="0" borderId="0" xfId="0" applyNumberFormat="1" applyFont="1" applyAlignment="1">
      <alignment horizontal="right"/>
    </xf>
    <xf numFmtId="183" fontId="51" fillId="0" borderId="0" xfId="0" applyNumberFormat="1" applyFont="1" applyAlignment="1">
      <alignment horizontal="right"/>
    </xf>
    <xf numFmtId="165" fontId="50" fillId="0" borderId="0" xfId="0" applyNumberFormat="1" applyFont="1"/>
    <xf numFmtId="0" fontId="48" fillId="0" borderId="0" xfId="0" applyFont="1"/>
    <xf numFmtId="0" fontId="47" fillId="11" borderId="0" xfId="0" applyFont="1" applyFill="1"/>
    <xf numFmtId="165" fontId="52" fillId="0" borderId="0" xfId="0" applyNumberFormat="1" applyFont="1"/>
    <xf numFmtId="165" fontId="50" fillId="11" borderId="0" xfId="0" applyNumberFormat="1" applyFont="1" applyFill="1"/>
    <xf numFmtId="165" fontId="50" fillId="12" borderId="0" xfId="0" applyNumberFormat="1" applyFont="1" applyFill="1"/>
    <xf numFmtId="0" fontId="48" fillId="12" borderId="0" xfId="0" applyFont="1" applyFill="1"/>
    <xf numFmtId="181" fontId="49" fillId="12" borderId="0" xfId="0" applyNumberFormat="1" applyFont="1" applyFill="1"/>
    <xf numFmtId="0" fontId="47" fillId="14" borderId="0" xfId="0" applyFont="1" applyFill="1" applyAlignment="1">
      <alignment horizontal="left" indent="1"/>
    </xf>
    <xf numFmtId="0" fontId="47" fillId="14" borderId="0" xfId="0" applyFont="1" applyFill="1"/>
    <xf numFmtId="173" fontId="49" fillId="13" borderId="0" xfId="0" applyNumberFormat="1" applyFont="1" applyFill="1" applyAlignment="1">
      <alignment horizontal="right"/>
    </xf>
    <xf numFmtId="0" fontId="47" fillId="11" borderId="0" xfId="0" applyFont="1" applyFill="1" applyAlignment="1">
      <alignment horizontal="left" indent="1"/>
    </xf>
    <xf numFmtId="173" fontId="49" fillId="15" borderId="0" xfId="0" applyNumberFormat="1" applyFont="1" applyFill="1" applyAlignment="1">
      <alignment horizontal="right"/>
    </xf>
    <xf numFmtId="0" fontId="47" fillId="11" borderId="20" xfId="0" applyFont="1" applyFill="1" applyBorder="1" applyAlignment="1">
      <alignment horizontal="left" indent="1"/>
    </xf>
    <xf numFmtId="0" fontId="47" fillId="11" borderId="20" xfId="0" applyFont="1" applyFill="1" applyBorder="1"/>
    <xf numFmtId="173" fontId="47" fillId="11" borderId="20" xfId="0" applyNumberFormat="1" applyFont="1" applyFill="1" applyBorder="1" applyAlignment="1">
      <alignment horizontal="right"/>
    </xf>
    <xf numFmtId="0" fontId="50" fillId="11" borderId="0" xfId="0" applyFont="1" applyFill="1" applyAlignment="1">
      <alignment horizontal="left" indent="1"/>
    </xf>
    <xf numFmtId="0" fontId="50" fillId="11" borderId="0" xfId="0" applyFont="1" applyFill="1"/>
    <xf numFmtId="183" fontId="51" fillId="15" borderId="0" xfId="0" applyNumberFormat="1" applyFont="1" applyFill="1" applyAlignment="1">
      <alignment horizontal="right"/>
    </xf>
    <xf numFmtId="0" fontId="47" fillId="11" borderId="0" xfId="0" quotePrefix="1" applyFont="1" applyFill="1" applyAlignment="1">
      <alignment horizontal="left" indent="1"/>
    </xf>
    <xf numFmtId="0" fontId="47" fillId="14" borderId="0" xfId="0" quotePrefix="1" applyFont="1" applyFill="1" applyAlignment="1">
      <alignment horizontal="left" indent="1"/>
    </xf>
    <xf numFmtId="183" fontId="51" fillId="11" borderId="0" xfId="0" applyNumberFormat="1" applyFont="1" applyFill="1" applyAlignment="1">
      <alignment horizontal="right"/>
    </xf>
    <xf numFmtId="0" fontId="51" fillId="17" borderId="0" xfId="13" applyFont="1" applyFill="1" applyAlignment="1">
      <alignment vertical="center"/>
    </xf>
    <xf numFmtId="0" fontId="53" fillId="0" borderId="0" xfId="12" applyFont="1" applyFill="1" applyBorder="1">
      <alignment horizontal="right" vertical="center" indent="1"/>
    </xf>
    <xf numFmtId="0" fontId="53" fillId="0" borderId="0" xfId="12" applyFont="1" applyFill="1" applyBorder="1" applyAlignment="1">
      <alignment horizontal="center" vertical="center"/>
    </xf>
    <xf numFmtId="184" fontId="54" fillId="0" borderId="0" xfId="12" applyNumberFormat="1" applyFont="1" applyFill="1" applyBorder="1" applyAlignment="1">
      <alignment horizontal="right" vertical="center"/>
    </xf>
    <xf numFmtId="184" fontId="49" fillId="0" borderId="0" xfId="12" applyNumberFormat="1" applyFont="1" applyFill="1" applyBorder="1" applyAlignment="1">
      <alignment horizontal="right" vertical="center"/>
    </xf>
    <xf numFmtId="0" fontId="55" fillId="0" borderId="0" xfId="12" applyFont="1" applyFill="1" applyBorder="1">
      <alignment horizontal="right" vertical="center" indent="1"/>
    </xf>
    <xf numFmtId="0" fontId="54" fillId="0" borderId="0" xfId="12" applyFont="1" applyFill="1" applyBorder="1">
      <alignment horizontal="right" vertical="center" indent="1"/>
    </xf>
    <xf numFmtId="0" fontId="51" fillId="0" borderId="0" xfId="13" applyFont="1" applyAlignment="1">
      <alignment vertical="center"/>
    </xf>
    <xf numFmtId="0" fontId="20" fillId="17" borderId="0" xfId="13" applyFont="1" applyFill="1" applyAlignment="1">
      <alignment horizontal="left" vertical="center" indent="1"/>
    </xf>
    <xf numFmtId="0" fontId="49" fillId="17" borderId="0" xfId="13" applyFont="1" applyFill="1" applyAlignment="1">
      <alignment horizontal="right" vertical="center"/>
    </xf>
    <xf numFmtId="0" fontId="2" fillId="17" borderId="0" xfId="13" applyFont="1" applyFill="1" applyAlignment="1">
      <alignment horizontal="right" vertical="center"/>
    </xf>
    <xf numFmtId="0" fontId="9" fillId="0" borderId="0" xfId="14" applyFont="1"/>
    <xf numFmtId="0" fontId="20" fillId="0" borderId="0" xfId="13" applyFont="1" applyAlignment="1">
      <alignment horizontal="left" vertical="center" indent="1"/>
    </xf>
    <xf numFmtId="0" fontId="49" fillId="0" borderId="0" xfId="13" applyFont="1" applyAlignment="1">
      <alignment horizontal="right" vertical="center"/>
    </xf>
    <xf numFmtId="0" fontId="2" fillId="0" borderId="0" xfId="13" applyFont="1" applyAlignment="1">
      <alignment horizontal="right" vertical="center"/>
    </xf>
    <xf numFmtId="0" fontId="10" fillId="0" borderId="22" xfId="0" applyFont="1" applyBorder="1"/>
    <xf numFmtId="0" fontId="9" fillId="0" borderId="23" xfId="14" applyFont="1" applyBorder="1"/>
    <xf numFmtId="0" fontId="6" fillId="0" borderId="24" xfId="0" applyFont="1" applyBorder="1" applyAlignment="1">
      <alignment horizontal="left"/>
    </xf>
    <xf numFmtId="11" fontId="23" fillId="2" borderId="25" xfId="15" quotePrefix="1" applyNumberFormat="1" applyFont="1" applyFill="1" applyBorder="1" applyAlignment="1">
      <alignment horizontal="left"/>
    </xf>
    <xf numFmtId="0" fontId="23" fillId="2" borderId="25" xfId="15" quotePrefix="1" applyNumberFormat="1" applyFont="1" applyFill="1" applyBorder="1" applyAlignment="1">
      <alignment horizontal="left"/>
    </xf>
    <xf numFmtId="0" fontId="23" fillId="2" borderId="25" xfId="15" applyNumberFormat="1" applyFont="1" applyFill="1" applyBorder="1" applyAlignment="1">
      <alignment horizontal="left"/>
    </xf>
    <xf numFmtId="0" fontId="6" fillId="0" borderId="26" xfId="0" applyFont="1" applyBorder="1" applyAlignment="1">
      <alignment horizontal="left"/>
    </xf>
    <xf numFmtId="0" fontId="23" fillId="0" borderId="27" xfId="15" applyNumberFormat="1" applyFont="1" applyFill="1" applyBorder="1" applyAlignment="1">
      <alignment horizontal="left"/>
    </xf>
    <xf numFmtId="0" fontId="52" fillId="0" borderId="0" xfId="0" applyFont="1" applyAlignment="1">
      <alignment horizontal="right"/>
    </xf>
    <xf numFmtId="0" fontId="56" fillId="0" borderId="28" xfId="0" applyFont="1" applyBorder="1"/>
    <xf numFmtId="0" fontId="56" fillId="0" borderId="29" xfId="0" applyFont="1" applyBorder="1"/>
    <xf numFmtId="0" fontId="9" fillId="0" borderId="6" xfId="14" applyFont="1" applyBorder="1"/>
    <xf numFmtId="0" fontId="9" fillId="0" borderId="7" xfId="14" applyFont="1" applyBorder="1"/>
    <xf numFmtId="185" fontId="49" fillId="0" borderId="7" xfId="0" applyNumberFormat="1" applyFont="1" applyBorder="1" applyAlignment="1">
      <alignment horizontal="right"/>
    </xf>
    <xf numFmtId="0" fontId="47" fillId="0" borderId="6" xfId="0" applyFont="1" applyBorder="1" applyAlignment="1">
      <alignment horizontal="left" indent="1"/>
    </xf>
    <xf numFmtId="0" fontId="9" fillId="0" borderId="30" xfId="14" applyFont="1" applyBorder="1"/>
    <xf numFmtId="0" fontId="9" fillId="0" borderId="31" xfId="14" applyFont="1" applyBorder="1"/>
    <xf numFmtId="0" fontId="9" fillId="0" borderId="32" xfId="14" applyFont="1" applyBorder="1"/>
    <xf numFmtId="49" fontId="20" fillId="0" borderId="6" xfId="0" quotePrefix="1" applyNumberFormat="1" applyFont="1" applyBorder="1"/>
    <xf numFmtId="186" fontId="51" fillId="0" borderId="7" xfId="0" applyNumberFormat="1" applyFont="1" applyBorder="1" applyAlignment="1">
      <alignment horizontal="right"/>
    </xf>
    <xf numFmtId="49" fontId="47" fillId="0" borderId="6" xfId="0" quotePrefix="1" applyNumberFormat="1" applyFont="1" applyBorder="1" applyAlignment="1">
      <alignment horizontal="left" indent="1"/>
    </xf>
    <xf numFmtId="0" fontId="9" fillId="0" borderId="6" xfId="14" quotePrefix="1" applyFont="1" applyBorder="1" applyAlignment="1">
      <alignment horizontal="left" indent="1"/>
    </xf>
    <xf numFmtId="49" fontId="2" fillId="0" borderId="6" xfId="0" quotePrefix="1" applyNumberFormat="1" applyFont="1" applyBorder="1" applyAlignment="1">
      <alignment horizontal="left" indent="1"/>
    </xf>
    <xf numFmtId="49" fontId="2" fillId="0" borderId="6" xfId="0" applyNumberFormat="1" applyFont="1" applyBorder="1" applyAlignment="1">
      <alignment horizontal="left" indent="1"/>
    </xf>
    <xf numFmtId="49" fontId="47" fillId="0" borderId="6" xfId="0" applyNumberFormat="1" applyFont="1" applyBorder="1" applyAlignment="1">
      <alignment horizontal="left" indent="1"/>
    </xf>
    <xf numFmtId="39" fontId="49" fillId="0" borderId="7" xfId="0" applyNumberFormat="1" applyFont="1" applyBorder="1" applyAlignment="1">
      <alignment horizontal="right"/>
    </xf>
    <xf numFmtId="49" fontId="2" fillId="0" borderId="30" xfId="0" applyNumberFormat="1" applyFont="1" applyBorder="1" applyAlignment="1">
      <alignment horizontal="left" indent="1"/>
    </xf>
    <xf numFmtId="0" fontId="2" fillId="0" borderId="31" xfId="0" applyFont="1" applyBorder="1"/>
    <xf numFmtId="39" fontId="49" fillId="0" borderId="32" xfId="0" applyNumberFormat="1" applyFont="1" applyBorder="1" applyAlignment="1">
      <alignment horizontal="right"/>
    </xf>
    <xf numFmtId="49" fontId="2" fillId="0" borderId="6" xfId="0" quotePrefix="1" applyNumberFormat="1" applyFont="1" applyBorder="1"/>
    <xf numFmtId="39" fontId="47" fillId="0" borderId="7" xfId="0" applyNumberFormat="1" applyFont="1" applyBorder="1" applyAlignment="1">
      <alignment horizontal="right"/>
    </xf>
    <xf numFmtId="0" fontId="48" fillId="0" borderId="10" xfId="0" applyFont="1" applyBorder="1"/>
    <xf numFmtId="0" fontId="2" fillId="0" borderId="12" xfId="0" applyFont="1" applyBorder="1"/>
    <xf numFmtId="181" fontId="47" fillId="12" borderId="0" xfId="0" applyNumberFormat="1" applyFont="1" applyFill="1"/>
    <xf numFmtId="173" fontId="47" fillId="14" borderId="0" xfId="0" applyNumberFormat="1" applyFont="1" applyFill="1" applyAlignment="1">
      <alignment horizontal="right"/>
    </xf>
    <xf numFmtId="0" fontId="50" fillId="14" borderId="0" xfId="0" applyFont="1" applyFill="1" applyAlignment="1">
      <alignment horizontal="right"/>
    </xf>
    <xf numFmtId="173" fontId="47" fillId="11" borderId="0" xfId="0" applyNumberFormat="1" applyFont="1" applyFill="1" applyAlignment="1">
      <alignment horizontal="right"/>
    </xf>
    <xf numFmtId="0" fontId="50" fillId="11" borderId="0" xfId="0" applyFont="1" applyFill="1" applyAlignment="1">
      <alignment horizontal="right"/>
    </xf>
    <xf numFmtId="0" fontId="47" fillId="14" borderId="0" xfId="0" applyFont="1" applyFill="1" applyAlignment="1">
      <alignment horizontal="right"/>
    </xf>
    <xf numFmtId="0" fontId="50" fillId="11" borderId="20" xfId="0" applyFont="1" applyFill="1" applyBorder="1" applyAlignment="1">
      <alignment horizontal="right"/>
    </xf>
    <xf numFmtId="187" fontId="50" fillId="11" borderId="0" xfId="0" applyNumberFormat="1" applyFont="1" applyFill="1" applyAlignment="1">
      <alignment horizontal="right"/>
    </xf>
    <xf numFmtId="164" fontId="47" fillId="11" borderId="0" xfId="0" applyNumberFormat="1" applyFont="1" applyFill="1"/>
    <xf numFmtId="0" fontId="47" fillId="15" borderId="0" xfId="0" applyFont="1" applyFill="1"/>
    <xf numFmtId="173" fontId="47" fillId="15" borderId="0" xfId="0" applyNumberFormat="1" applyFont="1" applyFill="1"/>
    <xf numFmtId="0" fontId="49" fillId="0" borderId="0" xfId="0" applyFont="1"/>
    <xf numFmtId="0" fontId="9" fillId="0" borderId="0" xfId="14" applyFont="1" applyAlignment="1">
      <alignment horizontal="right"/>
    </xf>
    <xf numFmtId="14" fontId="9" fillId="0" borderId="0" xfId="14" applyNumberFormat="1" applyFont="1" applyAlignment="1">
      <alignment horizontal="right"/>
    </xf>
    <xf numFmtId="188" fontId="9" fillId="0" borderId="0" xfId="14" applyNumberFormat="1" applyFont="1" applyAlignment="1">
      <alignment horizontal="right"/>
    </xf>
    <xf numFmtId="14" fontId="9" fillId="0" borderId="0" xfId="14" applyNumberFormat="1" applyFont="1"/>
    <xf numFmtId="0" fontId="26" fillId="12" borderId="0" xfId="0" applyFont="1" applyFill="1" applyAlignment="1">
      <alignment horizontal="left"/>
    </xf>
    <xf numFmtId="0" fontId="26" fillId="12" borderId="0" xfId="0" applyFont="1" applyFill="1" applyAlignment="1">
      <alignment horizontal="right"/>
    </xf>
    <xf numFmtId="181" fontId="11" fillId="12" borderId="0" xfId="0" applyNumberFormat="1" applyFont="1" applyFill="1" applyAlignment="1">
      <alignment horizontal="right"/>
    </xf>
    <xf numFmtId="182" fontId="23" fillId="12" borderId="0" xfId="0" applyNumberFormat="1" applyFont="1" applyFill="1" applyAlignment="1">
      <alignment horizontal="right"/>
    </xf>
    <xf numFmtId="182" fontId="11" fillId="0" borderId="0" xfId="0" applyNumberFormat="1" applyFont="1" applyAlignment="1">
      <alignment horizontal="right"/>
    </xf>
    <xf numFmtId="182" fontId="11" fillId="13" borderId="0" xfId="0" applyNumberFormat="1" applyFont="1" applyFill="1" applyAlignment="1">
      <alignment horizontal="right"/>
    </xf>
    <xf numFmtId="0" fontId="11" fillId="0" borderId="20" xfId="0" applyFont="1" applyBorder="1"/>
    <xf numFmtId="0" fontId="11" fillId="0" borderId="20" xfId="0" applyFont="1" applyBorder="1" applyAlignment="1">
      <alignment horizontal="right"/>
    </xf>
    <xf numFmtId="183" fontId="23" fillId="0" borderId="0" xfId="0" applyNumberFormat="1" applyFont="1" applyAlignment="1">
      <alignment horizontal="right"/>
    </xf>
    <xf numFmtId="182" fontId="23" fillId="0" borderId="0" xfId="0" applyNumberFormat="1" applyFont="1" applyAlignment="1">
      <alignment horizontal="right"/>
    </xf>
    <xf numFmtId="0" fontId="11" fillId="11" borderId="0" xfId="0" applyFont="1" applyFill="1"/>
    <xf numFmtId="0" fontId="11" fillId="12" borderId="0" xfId="0" applyFont="1" applyFill="1"/>
    <xf numFmtId="0" fontId="26" fillId="12" borderId="0" xfId="0" applyFont="1" applyFill="1"/>
    <xf numFmtId="181" fontId="11" fillId="12" borderId="0" xfId="0" applyNumberFormat="1" applyFont="1" applyFill="1"/>
    <xf numFmtId="0" fontId="11" fillId="14" borderId="0" xfId="0" applyFont="1" applyFill="1"/>
    <xf numFmtId="173" fontId="11" fillId="13" borderId="0" xfId="0" applyNumberFormat="1" applyFont="1" applyFill="1" applyAlignment="1">
      <alignment horizontal="right"/>
    </xf>
    <xf numFmtId="173" fontId="11" fillId="15" borderId="0" xfId="0" applyNumberFormat="1" applyFont="1" applyFill="1" applyAlignment="1">
      <alignment horizontal="right"/>
    </xf>
    <xf numFmtId="0" fontId="11" fillId="11" borderId="20" xfId="0" applyFont="1" applyFill="1" applyBorder="1"/>
    <xf numFmtId="173" fontId="11" fillId="11" borderId="20" xfId="0" applyNumberFormat="1" applyFont="1" applyFill="1" applyBorder="1" applyAlignment="1">
      <alignment horizontal="right"/>
    </xf>
    <xf numFmtId="0" fontId="23" fillId="11" borderId="0" xfId="0" applyFont="1" applyFill="1"/>
    <xf numFmtId="183" fontId="23" fillId="15" borderId="0" xfId="0" applyNumberFormat="1" applyFont="1" applyFill="1" applyAlignment="1">
      <alignment horizontal="right"/>
    </xf>
    <xf numFmtId="183" fontId="23" fillId="11" borderId="0" xfId="0" applyNumberFormat="1" applyFont="1" applyFill="1" applyAlignment="1">
      <alignment horizontal="right"/>
    </xf>
    <xf numFmtId="173" fontId="43" fillId="0" borderId="0" xfId="0" applyNumberFormat="1" applyFont="1"/>
    <xf numFmtId="173" fontId="40" fillId="0" borderId="0" xfId="0" applyNumberFormat="1" applyFont="1"/>
    <xf numFmtId="173" fontId="44" fillId="0" borderId="0" xfId="0" applyNumberFormat="1" applyFont="1"/>
    <xf numFmtId="183" fontId="40" fillId="0" borderId="0" xfId="0" applyNumberFormat="1" applyFont="1"/>
    <xf numFmtId="0" fontId="47" fillId="14" borderId="0" xfId="0" applyFont="1" applyFill="1" applyAlignment="1">
      <alignment horizontal="left"/>
    </xf>
    <xf numFmtId="0" fontId="47" fillId="11" borderId="0" xfId="0" quotePrefix="1" applyFont="1" applyFill="1" applyAlignment="1">
      <alignment horizontal="left"/>
    </xf>
    <xf numFmtId="0" fontId="47" fillId="14" borderId="0" xfId="0" quotePrefix="1" applyFont="1" applyFill="1" applyAlignment="1">
      <alignment horizontal="left"/>
    </xf>
    <xf numFmtId="0" fontId="20" fillId="0" borderId="11" xfId="0" applyFont="1" applyBorder="1"/>
    <xf numFmtId="0" fontId="20" fillId="0" borderId="0" xfId="0" applyFont="1" applyAlignment="1">
      <alignment horizontal="right"/>
    </xf>
    <xf numFmtId="15" fontId="23" fillId="5" borderId="0" xfId="0" applyNumberFormat="1" applyFont="1" applyFill="1" applyAlignment="1">
      <alignment horizontal="center"/>
    </xf>
    <xf numFmtId="15" fontId="23" fillId="0" borderId="0" xfId="0" applyNumberFormat="1" applyFont="1"/>
    <xf numFmtId="0" fontId="23" fillId="0" borderId="0" xfId="0" applyFont="1" applyAlignment="1">
      <alignment horizontal="center"/>
    </xf>
    <xf numFmtId="189" fontId="11" fillId="5" borderId="0" xfId="0" applyNumberFormat="1" applyFont="1" applyFill="1" applyAlignment="1">
      <alignment horizontal="center"/>
    </xf>
    <xf numFmtId="0" fontId="20" fillId="0" borderId="0" xfId="0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8" fillId="18" borderId="0" xfId="0" applyFont="1" applyFill="1"/>
    <xf numFmtId="0" fontId="57" fillId="18" borderId="0" xfId="0" applyFont="1" applyFill="1" applyAlignment="1">
      <alignment horizontal="centerContinuous"/>
    </xf>
    <xf numFmtId="0" fontId="18" fillId="18" borderId="0" xfId="0" applyFont="1" applyFill="1" applyAlignment="1">
      <alignment horizontal="center"/>
    </xf>
    <xf numFmtId="0" fontId="56" fillId="18" borderId="0" xfId="0" applyFont="1" applyFill="1" applyAlignment="1">
      <alignment horizontal="center"/>
    </xf>
    <xf numFmtId="0" fontId="57" fillId="18" borderId="0" xfId="0" applyFont="1" applyFill="1" applyAlignment="1">
      <alignment horizontal="left"/>
    </xf>
    <xf numFmtId="0" fontId="57" fillId="18" borderId="0" xfId="0" applyFont="1" applyFill="1" applyAlignment="1">
      <alignment horizontal="center"/>
    </xf>
    <xf numFmtId="0" fontId="56" fillId="18" borderId="0" xfId="0" applyFont="1" applyFill="1" applyAlignment="1">
      <alignment horizontal="centerContinuous"/>
    </xf>
    <xf numFmtId="0" fontId="11" fillId="0" borderId="0" xfId="0" applyFont="1" applyAlignment="1">
      <alignment vertical="center"/>
    </xf>
    <xf numFmtId="190" fontId="9" fillId="0" borderId="0" xfId="0" applyNumberFormat="1" applyFont="1" applyAlignment="1">
      <alignment horizontal="left" vertical="center"/>
    </xf>
    <xf numFmtId="0" fontId="58" fillId="0" borderId="0" xfId="0" applyFont="1"/>
    <xf numFmtId="14" fontId="58" fillId="0" borderId="0" xfId="0" applyNumberFormat="1" applyFont="1" applyAlignment="1">
      <alignment horizontal="center"/>
    </xf>
    <xf numFmtId="191" fontId="58" fillId="0" borderId="0" xfId="16" applyNumberFormat="1" applyFont="1" applyAlignment="1">
      <alignment horizontal="center"/>
    </xf>
    <xf numFmtId="192" fontId="58" fillId="0" borderId="0" xfId="16" applyNumberFormat="1" applyFont="1" applyAlignment="1">
      <alignment horizontal="center" vertical="center"/>
    </xf>
    <xf numFmtId="191" fontId="2" fillId="0" borderId="0" xfId="16" applyNumberFormat="1" applyFont="1" applyAlignment="1">
      <alignment horizontal="center"/>
    </xf>
    <xf numFmtId="191" fontId="2" fillId="0" borderId="0" xfId="0" applyNumberFormat="1" applyFont="1" applyAlignment="1">
      <alignment horizontal="center"/>
    </xf>
    <xf numFmtId="189" fontId="2" fillId="0" borderId="0" xfId="0" applyNumberFormat="1" applyFont="1" applyAlignment="1">
      <alignment horizontal="center"/>
    </xf>
    <xf numFmtId="193" fontId="2" fillId="0" borderId="0" xfId="17" applyNumberFormat="1" applyFont="1" applyAlignment="1">
      <alignment horizontal="center"/>
    </xf>
    <xf numFmtId="193" fontId="58" fillId="0" borderId="0" xfId="17" applyNumberFormat="1" applyFont="1" applyAlignment="1">
      <alignment horizontal="center"/>
    </xf>
    <xf numFmtId="194" fontId="2" fillId="0" borderId="0" xfId="0" applyNumberFormat="1" applyFont="1" applyAlignment="1">
      <alignment horizontal="center"/>
    </xf>
    <xf numFmtId="195" fontId="58" fillId="0" borderId="0" xfId="16" applyNumberFormat="1" applyFont="1" applyAlignment="1">
      <alignment horizontal="center"/>
    </xf>
    <xf numFmtId="196" fontId="2" fillId="0" borderId="0" xfId="0" applyNumberFormat="1" applyFont="1" applyAlignment="1">
      <alignment horizontal="center"/>
    </xf>
    <xf numFmtId="197" fontId="2" fillId="0" borderId="0" xfId="0" applyNumberFormat="1" applyFont="1" applyAlignment="1">
      <alignment horizontal="center"/>
    </xf>
    <xf numFmtId="193" fontId="2" fillId="0" borderId="0" xfId="0" applyNumberFormat="1" applyFont="1" applyAlignment="1">
      <alignment horizontal="center"/>
    </xf>
    <xf numFmtId="191" fontId="2" fillId="0" borderId="0" xfId="0" applyNumberFormat="1" applyFont="1" applyAlignment="1">
      <alignment horizontal="center" vertical="center"/>
    </xf>
    <xf numFmtId="198" fontId="2" fillId="0" borderId="0" xfId="0" applyNumberFormat="1" applyFont="1" applyAlignment="1">
      <alignment horizontal="center" vertical="center"/>
    </xf>
    <xf numFmtId="190" fontId="23" fillId="0" borderId="0" xfId="0" applyNumberFormat="1" applyFont="1" applyAlignment="1">
      <alignment horizontal="left" vertical="center"/>
    </xf>
    <xf numFmtId="190" fontId="11" fillId="0" borderId="0" xfId="0" applyNumberFormat="1" applyFont="1" applyAlignment="1">
      <alignment horizontal="left" vertical="center"/>
    </xf>
    <xf numFmtId="9" fontId="58" fillId="0" borderId="0" xfId="17" applyFont="1" applyAlignment="1">
      <alignment horizontal="center"/>
    </xf>
    <xf numFmtId="0" fontId="59" fillId="3" borderId="41" xfId="13" applyFont="1" applyFill="1" applyBorder="1" applyAlignment="1">
      <alignment horizontal="center" vertical="center" wrapText="1"/>
    </xf>
    <xf numFmtId="0" fontId="59" fillId="3" borderId="42" xfId="13" applyFont="1" applyFill="1" applyBorder="1" applyAlignment="1">
      <alignment horizontal="center" vertical="center" wrapText="1"/>
    </xf>
    <xf numFmtId="0" fontId="59" fillId="3" borderId="43" xfId="13" applyFont="1" applyFill="1" applyBorder="1" applyAlignment="1">
      <alignment horizontal="center" vertical="center" wrapText="1"/>
    </xf>
    <xf numFmtId="0" fontId="60" fillId="0" borderId="44" xfId="13" applyFont="1" applyBorder="1" applyAlignment="1">
      <alignment horizontal="left" vertical="center" indent="1"/>
    </xf>
    <xf numFmtId="0" fontId="60" fillId="0" borderId="45" xfId="0" applyFont="1" applyBorder="1" applyAlignment="1">
      <alignment horizontal="center" vertical="center"/>
    </xf>
    <xf numFmtId="200" fontId="60" fillId="0" borderId="0" xfId="13" applyNumberFormat="1" applyFont="1" applyAlignment="1">
      <alignment horizontal="center" vertical="center"/>
    </xf>
    <xf numFmtId="200" fontId="60" fillId="11" borderId="46" xfId="13" applyNumberFormat="1" applyFont="1" applyFill="1" applyBorder="1" applyAlignment="1">
      <alignment horizontal="center" vertical="center"/>
    </xf>
    <xf numFmtId="201" fontId="60" fillId="0" borderId="0" xfId="13" applyNumberFormat="1" applyFont="1" applyAlignment="1">
      <alignment horizontal="center" vertical="center"/>
    </xf>
    <xf numFmtId="201" fontId="60" fillId="0" borderId="46" xfId="13" applyNumberFormat="1" applyFont="1" applyBorder="1" applyAlignment="1">
      <alignment horizontal="center" vertical="center"/>
    </xf>
    <xf numFmtId="201" fontId="60" fillId="0" borderId="25" xfId="13" applyNumberFormat="1" applyFont="1" applyBorder="1" applyAlignment="1">
      <alignment horizontal="center" vertical="center"/>
    </xf>
    <xf numFmtId="2" fontId="60" fillId="0" borderId="0" xfId="13" applyNumberFormat="1" applyFont="1" applyAlignment="1">
      <alignment horizontal="center" vertical="center"/>
    </xf>
    <xf numFmtId="0" fontId="60" fillId="0" borderId="47" xfId="13" applyFont="1" applyBorder="1" applyAlignment="1">
      <alignment horizontal="left" vertical="center" indent="1"/>
    </xf>
    <xf numFmtId="0" fontId="60" fillId="0" borderId="48" xfId="0" applyFont="1" applyBorder="1" applyAlignment="1">
      <alignment horizontal="center" vertical="center"/>
    </xf>
    <xf numFmtId="200" fontId="60" fillId="0" borderId="33" xfId="13" applyNumberFormat="1" applyFont="1" applyBorder="1" applyAlignment="1">
      <alignment horizontal="center" vertical="center"/>
    </xf>
    <xf numFmtId="2" fontId="60" fillId="0" borderId="33" xfId="13" applyNumberFormat="1" applyFont="1" applyBorder="1" applyAlignment="1">
      <alignment horizontal="center" vertical="center"/>
    </xf>
    <xf numFmtId="200" fontId="60" fillId="11" borderId="49" xfId="13" applyNumberFormat="1" applyFont="1" applyFill="1" applyBorder="1" applyAlignment="1">
      <alignment horizontal="center" vertical="center"/>
    </xf>
    <xf numFmtId="201" fontId="60" fillId="0" borderId="33" xfId="13" applyNumberFormat="1" applyFont="1" applyBorder="1" applyAlignment="1">
      <alignment horizontal="center" vertical="center"/>
    </xf>
    <xf numFmtId="201" fontId="60" fillId="0" borderId="49" xfId="13" applyNumberFormat="1" applyFont="1" applyBorder="1" applyAlignment="1">
      <alignment horizontal="center" vertical="center"/>
    </xf>
    <xf numFmtId="201" fontId="60" fillId="0" borderId="27" xfId="13" applyNumberFormat="1" applyFont="1" applyBorder="1" applyAlignment="1">
      <alignment horizontal="center" vertical="center"/>
    </xf>
    <xf numFmtId="204" fontId="60" fillId="0" borderId="45" xfId="18" applyNumberFormat="1" applyFont="1" applyFill="1" applyBorder="1" applyAlignment="1">
      <alignment horizontal="center" vertical="center"/>
    </xf>
    <xf numFmtId="204" fontId="60" fillId="0" borderId="45" xfId="0" applyNumberFormat="1" applyFont="1" applyBorder="1" applyAlignment="1">
      <alignment horizontal="center" vertical="center"/>
    </xf>
    <xf numFmtId="205" fontId="60" fillId="0" borderId="0" xfId="0" applyNumberFormat="1" applyFont="1" applyAlignment="1">
      <alignment horizontal="center" vertical="center"/>
    </xf>
    <xf numFmtId="206" fontId="60" fillId="0" borderId="50" xfId="18" applyNumberFormat="1" applyFont="1" applyFill="1" applyBorder="1" applyAlignment="1">
      <alignment horizontal="center" vertical="center"/>
    </xf>
    <xf numFmtId="206" fontId="60" fillId="0" borderId="0" xfId="18" applyNumberFormat="1" applyFont="1" applyFill="1" applyBorder="1" applyAlignment="1">
      <alignment horizontal="center" vertical="center"/>
    </xf>
    <xf numFmtId="206" fontId="60" fillId="0" borderId="46" xfId="18" applyNumberFormat="1" applyFont="1" applyFill="1" applyBorder="1" applyAlignment="1">
      <alignment horizontal="center" vertical="center"/>
    </xf>
    <xf numFmtId="204" fontId="60" fillId="0" borderId="48" xfId="18" applyNumberFormat="1" applyFont="1" applyFill="1" applyBorder="1" applyAlignment="1">
      <alignment horizontal="center" vertical="center"/>
    </xf>
    <xf numFmtId="204" fontId="60" fillId="0" borderId="48" xfId="0" applyNumberFormat="1" applyFont="1" applyBorder="1" applyAlignment="1">
      <alignment horizontal="center" vertical="center"/>
    </xf>
    <xf numFmtId="205" fontId="60" fillId="0" borderId="33" xfId="0" applyNumberFormat="1" applyFont="1" applyBorder="1" applyAlignment="1">
      <alignment horizontal="center" vertical="center"/>
    </xf>
    <xf numFmtId="206" fontId="60" fillId="0" borderId="51" xfId="18" applyNumberFormat="1" applyFont="1" applyFill="1" applyBorder="1" applyAlignment="1">
      <alignment horizontal="center" vertical="center"/>
    </xf>
    <xf numFmtId="206" fontId="60" fillId="0" borderId="33" xfId="18" applyNumberFormat="1" applyFont="1" applyFill="1" applyBorder="1" applyAlignment="1">
      <alignment horizontal="center" vertical="center"/>
    </xf>
    <xf numFmtId="206" fontId="60" fillId="0" borderId="49" xfId="18" applyNumberFormat="1" applyFont="1" applyFill="1" applyBorder="1" applyAlignment="1">
      <alignment horizontal="center" vertical="center"/>
    </xf>
    <xf numFmtId="202" fontId="59" fillId="3" borderId="41" xfId="13" applyNumberFormat="1" applyFont="1" applyFill="1" applyBorder="1" applyAlignment="1">
      <alignment horizontal="center" vertical="center"/>
    </xf>
    <xf numFmtId="203" fontId="59" fillId="3" borderId="42" xfId="13" applyNumberFormat="1" applyFont="1" applyFill="1" applyBorder="1" applyAlignment="1">
      <alignment horizontal="center" vertical="center"/>
    </xf>
    <xf numFmtId="0" fontId="59" fillId="3" borderId="41" xfId="13" applyFont="1" applyFill="1" applyBorder="1" applyAlignment="1">
      <alignment horizontal="center" vertical="center"/>
    </xf>
    <xf numFmtId="203" fontId="59" fillId="3" borderId="52" xfId="13" applyNumberFormat="1" applyFont="1" applyFill="1" applyBorder="1" applyAlignment="1">
      <alignment horizontal="center" vertical="center"/>
    </xf>
    <xf numFmtId="206" fontId="60" fillId="0" borderId="25" xfId="18" applyNumberFormat="1" applyFont="1" applyFill="1" applyBorder="1" applyAlignment="1">
      <alignment horizontal="center" vertical="center"/>
    </xf>
    <xf numFmtId="206" fontId="60" fillId="0" borderId="27" xfId="18" applyNumberFormat="1" applyFont="1" applyFill="1" applyBorder="1" applyAlignment="1">
      <alignment horizontal="center" vertical="center"/>
    </xf>
    <xf numFmtId="206" fontId="62" fillId="0" borderId="8" xfId="0" applyNumberFormat="1" applyFont="1" applyBorder="1" applyAlignment="1">
      <alignment horizontal="center"/>
    </xf>
    <xf numFmtId="206" fontId="62" fillId="0" borderId="23" xfId="0" applyNumberFormat="1" applyFont="1" applyBorder="1" applyAlignment="1">
      <alignment horizontal="center"/>
    </xf>
    <xf numFmtId="206" fontId="62" fillId="0" borderId="33" xfId="0" applyNumberFormat="1" applyFont="1" applyBorder="1" applyAlignment="1">
      <alignment horizontal="center"/>
    </xf>
    <xf numFmtId="206" fontId="62" fillId="0" borderId="27" xfId="0" applyNumberFormat="1" applyFont="1" applyBorder="1" applyAlignment="1">
      <alignment horizontal="center"/>
    </xf>
    <xf numFmtId="0" fontId="62" fillId="0" borderId="0" xfId="0" applyFont="1"/>
    <xf numFmtId="206" fontId="62" fillId="4" borderId="22" xfId="0" applyNumberFormat="1" applyFont="1" applyFill="1" applyBorder="1" applyAlignment="1">
      <alignment horizontal="center"/>
    </xf>
    <xf numFmtId="206" fontId="62" fillId="4" borderId="26" xfId="0" applyNumberFormat="1" applyFont="1" applyFill="1" applyBorder="1" applyAlignment="1">
      <alignment horizontal="center"/>
    </xf>
    <xf numFmtId="206" fontId="62" fillId="4" borderId="8" xfId="0" applyNumberFormat="1" applyFont="1" applyFill="1" applyBorder="1" applyAlignment="1">
      <alignment horizontal="center"/>
    </xf>
    <xf numFmtId="206" fontId="62" fillId="4" borderId="33" xfId="0" applyNumberFormat="1" applyFont="1" applyFill="1" applyBorder="1" applyAlignment="1">
      <alignment horizontal="center"/>
    </xf>
    <xf numFmtId="10" fontId="2" fillId="0" borderId="0" xfId="0" applyNumberFormat="1" applyFont="1"/>
    <xf numFmtId="0" fontId="2" fillId="19" borderId="0" xfId="0" applyFont="1" applyFill="1"/>
    <xf numFmtId="0" fontId="63" fillId="0" borderId="0" xfId="0" applyFont="1"/>
    <xf numFmtId="0" fontId="65" fillId="3" borderId="57" xfId="0" applyFont="1" applyFill="1" applyBorder="1" applyAlignment="1">
      <alignment horizontal="center" vertical="center" wrapText="1"/>
    </xf>
    <xf numFmtId="0" fontId="65" fillId="3" borderId="54" xfId="0" applyFont="1" applyFill="1" applyBorder="1" applyAlignment="1">
      <alignment horizontal="center" vertical="center" wrapText="1"/>
    </xf>
    <xf numFmtId="0" fontId="65" fillId="3" borderId="55" xfId="0" applyFont="1" applyFill="1" applyBorder="1" applyAlignment="1">
      <alignment horizontal="center" vertical="center" wrapText="1"/>
    </xf>
    <xf numFmtId="0" fontId="65" fillId="3" borderId="62" xfId="0" applyFont="1" applyFill="1" applyBorder="1" applyAlignment="1">
      <alignment horizontal="center" vertical="center" wrapText="1"/>
    </xf>
    <xf numFmtId="0" fontId="65" fillId="3" borderId="64" xfId="0" applyFont="1" applyFill="1" applyBorder="1" applyAlignment="1">
      <alignment horizontal="center" vertical="center" wrapText="1"/>
    </xf>
    <xf numFmtId="0" fontId="62" fillId="3" borderId="64" xfId="0" applyFont="1" applyFill="1" applyBorder="1" applyAlignment="1">
      <alignment vertical="center" wrapText="1"/>
    </xf>
    <xf numFmtId="0" fontId="65" fillId="3" borderId="65" xfId="0" applyFont="1" applyFill="1" applyBorder="1" applyAlignment="1">
      <alignment horizontal="center" vertical="center" wrapText="1"/>
    </xf>
    <xf numFmtId="0" fontId="62" fillId="0" borderId="0" xfId="0" applyFont="1" applyAlignment="1">
      <alignment horizontal="center"/>
    </xf>
    <xf numFmtId="205" fontId="62" fillId="0" borderId="0" xfId="0" applyNumberFormat="1" applyFont="1" applyAlignment="1">
      <alignment horizontal="center"/>
    </xf>
    <xf numFmtId="207" fontId="62" fillId="0" borderId="0" xfId="0" applyNumberFormat="1" applyFont="1" applyAlignment="1">
      <alignment horizontal="center"/>
    </xf>
    <xf numFmtId="173" fontId="62" fillId="0" borderId="0" xfId="0" applyNumberFormat="1" applyFont="1" applyAlignment="1">
      <alignment horizontal="center"/>
    </xf>
    <xf numFmtId="207" fontId="62" fillId="0" borderId="22" xfId="0" applyNumberFormat="1" applyFont="1" applyBorder="1" applyAlignment="1">
      <alignment horizontal="center"/>
    </xf>
    <xf numFmtId="207" fontId="62" fillId="0" borderId="8" xfId="0" applyNumberFormat="1" applyFont="1" applyBorder="1" applyAlignment="1">
      <alignment horizontal="center"/>
    </xf>
    <xf numFmtId="207" fontId="62" fillId="0" borderId="23" xfId="0" applyNumberFormat="1" applyFont="1" applyBorder="1" applyAlignment="1">
      <alignment horizontal="center"/>
    </xf>
    <xf numFmtId="207" fontId="62" fillId="0" borderId="26" xfId="0" applyNumberFormat="1" applyFont="1" applyBorder="1" applyAlignment="1">
      <alignment horizontal="center"/>
    </xf>
    <xf numFmtId="207" fontId="62" fillId="0" borderId="33" xfId="0" applyNumberFormat="1" applyFont="1" applyBorder="1" applyAlignment="1">
      <alignment horizontal="center"/>
    </xf>
    <xf numFmtId="207" fontId="62" fillId="0" borderId="27" xfId="0" applyNumberFormat="1" applyFont="1" applyBorder="1" applyAlignment="1">
      <alignment horizontal="center"/>
    </xf>
    <xf numFmtId="193" fontId="2" fillId="0" borderId="0" xfId="0" applyNumberFormat="1" applyFont="1"/>
    <xf numFmtId="0" fontId="67" fillId="0" borderId="0" xfId="0" applyFont="1"/>
    <xf numFmtId="15" fontId="66" fillId="0" borderId="0" xfId="0" applyNumberFormat="1" applyFont="1"/>
    <xf numFmtId="4" fontId="66" fillId="0" borderId="0" xfId="0" applyNumberFormat="1" applyFont="1"/>
    <xf numFmtId="15" fontId="68" fillId="0" borderId="0" xfId="0" applyNumberFormat="1" applyFont="1"/>
    <xf numFmtId="173" fontId="68" fillId="0" borderId="0" xfId="0" applyNumberFormat="1" applyFont="1"/>
    <xf numFmtId="0" fontId="68" fillId="0" borderId="0" xfId="0" applyFont="1"/>
    <xf numFmtId="0" fontId="69" fillId="0" borderId="0" xfId="0" applyFont="1"/>
    <xf numFmtId="0" fontId="66" fillId="0" borderId="0" xfId="0" applyFont="1"/>
    <xf numFmtId="15" fontId="68" fillId="20" borderId="0" xfId="0" applyNumberFormat="1" applyFont="1" applyFill="1"/>
    <xf numFmtId="173" fontId="68" fillId="20" borderId="0" xfId="0" applyNumberFormat="1" applyFont="1" applyFill="1"/>
    <xf numFmtId="0" fontId="68" fillId="20" borderId="0" xfId="0" applyFont="1" applyFill="1"/>
    <xf numFmtId="9" fontId="66" fillId="0" borderId="0" xfId="0" applyNumberFormat="1" applyFont="1"/>
    <xf numFmtId="0" fontId="20" fillId="21" borderId="0" xfId="0" applyFont="1" applyFill="1"/>
    <xf numFmtId="0" fontId="0" fillId="21" borderId="0" xfId="0" applyFill="1"/>
    <xf numFmtId="0" fontId="21" fillId="21" borderId="0" xfId="0" applyFont="1" applyFill="1" applyAlignment="1">
      <alignment horizontal="center"/>
    </xf>
    <xf numFmtId="10" fontId="9" fillId="21" borderId="0" xfId="0" applyNumberFormat="1" applyFont="1" applyFill="1"/>
    <xf numFmtId="171" fontId="11" fillId="21" borderId="0" xfId="0" applyNumberFormat="1" applyFont="1" applyFill="1"/>
    <xf numFmtId="10" fontId="11" fillId="21" borderId="0" xfId="0" applyNumberFormat="1" applyFont="1" applyFill="1"/>
    <xf numFmtId="43" fontId="0" fillId="21" borderId="0" xfId="0" applyNumberFormat="1" applyFill="1"/>
    <xf numFmtId="171" fontId="0" fillId="0" borderId="0" xfId="0" applyNumberFormat="1"/>
    <xf numFmtId="172" fontId="20" fillId="5" borderId="0" xfId="0" applyNumberFormat="1" applyFont="1" applyFill="1"/>
    <xf numFmtId="10" fontId="11" fillId="0" borderId="0" xfId="0" applyNumberFormat="1" applyFont="1"/>
    <xf numFmtId="173" fontId="2" fillId="0" borderId="0" xfId="0" applyNumberFormat="1" applyFont="1"/>
    <xf numFmtId="208" fontId="2" fillId="0" borderId="0" xfId="0" applyNumberFormat="1" applyFont="1"/>
    <xf numFmtId="43" fontId="2" fillId="0" borderId="0" xfId="0" applyNumberFormat="1" applyFont="1"/>
    <xf numFmtId="0" fontId="9" fillId="0" borderId="0" xfId="0" applyFont="1" applyAlignment="1">
      <alignment horizontal="center"/>
    </xf>
    <xf numFmtId="2" fontId="2" fillId="8" borderId="0" xfId="0" applyNumberFormat="1" applyFont="1" applyFill="1"/>
    <xf numFmtId="182" fontId="14" fillId="0" borderId="0" xfId="0" applyNumberFormat="1" applyFont="1"/>
    <xf numFmtId="2" fontId="20" fillId="8" borderId="14" xfId="0" applyNumberFormat="1" applyFont="1" applyFill="1" applyBorder="1"/>
    <xf numFmtId="182" fontId="20" fillId="0" borderId="14" xfId="0" applyNumberFormat="1" applyFont="1" applyBorder="1"/>
    <xf numFmtId="182" fontId="20" fillId="0" borderId="15" xfId="0" applyNumberFormat="1" applyFont="1" applyBorder="1"/>
    <xf numFmtId="0" fontId="72" fillId="3" borderId="18" xfId="0" applyFont="1" applyFill="1" applyBorder="1"/>
    <xf numFmtId="2" fontId="72" fillId="3" borderId="0" xfId="0" applyNumberFormat="1" applyFont="1" applyFill="1" applyAlignment="1">
      <alignment horizontal="right"/>
    </xf>
    <xf numFmtId="0" fontId="72" fillId="3" borderId="0" xfId="0" applyFont="1" applyFill="1" applyAlignment="1">
      <alignment horizontal="right"/>
    </xf>
    <xf numFmtId="0" fontId="73" fillId="3" borderId="0" xfId="0" applyFont="1" applyFill="1" applyAlignment="1">
      <alignment horizontal="right"/>
    </xf>
    <xf numFmtId="209" fontId="74" fillId="0" borderId="0" xfId="16" applyNumberFormat="1" applyFont="1" applyBorder="1" applyAlignment="1">
      <alignment horizontal="right"/>
    </xf>
    <xf numFmtId="210" fontId="9" fillId="0" borderId="0" xfId="17" applyNumberFormat="1" applyFont="1"/>
    <xf numFmtId="0" fontId="74" fillId="0" borderId="0" xfId="0" applyFont="1" applyAlignment="1">
      <alignment horizontal="right"/>
    </xf>
    <xf numFmtId="10" fontId="74" fillId="0" borderId="0" xfId="19" applyNumberFormat="1" applyFont="1" applyBorder="1" applyAlignment="1">
      <alignment horizontal="right"/>
    </xf>
    <xf numFmtId="10" fontId="74" fillId="0" borderId="0" xfId="0" applyNumberFormat="1" applyFont="1" applyAlignment="1">
      <alignment horizontal="right"/>
    </xf>
    <xf numFmtId="210" fontId="74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20" fillId="22" borderId="18" xfId="0" applyFont="1" applyFill="1" applyBorder="1"/>
    <xf numFmtId="209" fontId="20" fillId="22" borderId="16" xfId="0" applyNumberFormat="1" applyFont="1" applyFill="1" applyBorder="1"/>
    <xf numFmtId="210" fontId="20" fillId="22" borderId="16" xfId="17" applyNumberFormat="1" applyFont="1" applyFill="1" applyBorder="1"/>
    <xf numFmtId="0" fontId="23" fillId="22" borderId="16" xfId="0" applyFont="1" applyFill="1" applyBorder="1" applyAlignment="1">
      <alignment horizontal="right"/>
    </xf>
    <xf numFmtId="10" fontId="20" fillId="22" borderId="16" xfId="17" applyNumberFormat="1" applyFont="1" applyFill="1" applyBorder="1" applyAlignment="1">
      <alignment horizontal="right"/>
    </xf>
    <xf numFmtId="0" fontId="20" fillId="22" borderId="19" xfId="0" applyFont="1" applyFill="1" applyBorder="1" applyAlignment="1">
      <alignment horizontal="right"/>
    </xf>
    <xf numFmtId="209" fontId="74" fillId="0" borderId="0" xfId="16" applyNumberFormat="1" applyFont="1" applyAlignment="1">
      <alignment horizontal="right"/>
    </xf>
    <xf numFmtId="10" fontId="74" fillId="0" borderId="0" xfId="19" applyNumberFormat="1" applyFont="1" applyAlignment="1">
      <alignment horizontal="right"/>
    </xf>
    <xf numFmtId="209" fontId="75" fillId="0" borderId="0" xfId="16" applyNumberFormat="1" applyFont="1" applyAlignment="1">
      <alignment horizontal="right"/>
    </xf>
    <xf numFmtId="0" fontId="72" fillId="3" borderId="1" xfId="0" applyFont="1" applyFill="1" applyBorder="1"/>
    <xf numFmtId="2" fontId="72" fillId="3" borderId="1" xfId="0" applyNumberFormat="1" applyFont="1" applyFill="1" applyBorder="1" applyAlignment="1">
      <alignment horizontal="right"/>
    </xf>
    <xf numFmtId="0" fontId="72" fillId="3" borderId="1" xfId="0" applyFont="1" applyFill="1" applyBorder="1" applyAlignment="1">
      <alignment horizontal="right"/>
    </xf>
    <xf numFmtId="0" fontId="73" fillId="3" borderId="1" xfId="0" applyFont="1" applyFill="1" applyBorder="1" applyAlignment="1">
      <alignment horizontal="right"/>
    </xf>
    <xf numFmtId="0" fontId="73" fillId="3" borderId="18" xfId="0" applyFont="1" applyFill="1" applyBorder="1" applyAlignment="1">
      <alignment horizontal="right"/>
    </xf>
    <xf numFmtId="0" fontId="72" fillId="23" borderId="0" xfId="0" applyFont="1" applyFill="1"/>
    <xf numFmtId="0" fontId="74" fillId="22" borderId="1" xfId="0" applyFont="1" applyFill="1" applyBorder="1"/>
    <xf numFmtId="209" fontId="75" fillId="22" borderId="1" xfId="16" applyNumberFormat="1" applyFont="1" applyFill="1" applyBorder="1" applyAlignment="1">
      <alignment horizontal="right"/>
    </xf>
    <xf numFmtId="0" fontId="74" fillId="22" borderId="1" xfId="0" applyFont="1" applyFill="1" applyBorder="1" applyAlignment="1">
      <alignment horizontal="right"/>
    </xf>
    <xf numFmtId="10" fontId="75" fillId="22" borderId="1" xfId="19" applyNumberFormat="1" applyFont="1" applyFill="1" applyBorder="1" applyAlignment="1">
      <alignment horizontal="right"/>
    </xf>
    <xf numFmtId="10" fontId="75" fillId="22" borderId="18" xfId="0" applyNumberFormat="1" applyFont="1" applyFill="1" applyBorder="1" applyAlignment="1">
      <alignment horizontal="right"/>
    </xf>
    <xf numFmtId="210" fontId="75" fillId="22" borderId="18" xfId="0" applyNumberFormat="1" applyFont="1" applyFill="1" applyBorder="1" applyAlignment="1">
      <alignment horizontal="right"/>
    </xf>
    <xf numFmtId="0" fontId="2" fillId="22" borderId="1" xfId="0" applyFont="1" applyFill="1" applyBorder="1" applyAlignment="1">
      <alignment horizontal="right"/>
    </xf>
    <xf numFmtId="0" fontId="72" fillId="23" borderId="0" xfId="0" applyFont="1" applyFill="1" applyAlignment="1">
      <alignment horizontal="right"/>
    </xf>
    <xf numFmtId="0" fontId="74" fillId="0" borderId="66" xfId="0" applyFont="1" applyBorder="1" applyAlignment="1">
      <alignment horizontal="right"/>
    </xf>
    <xf numFmtId="210" fontId="74" fillId="0" borderId="66" xfId="17" applyNumberFormat="1" applyFont="1" applyBorder="1" applyAlignment="1">
      <alignment horizontal="right"/>
    </xf>
    <xf numFmtId="0" fontId="74" fillId="0" borderId="1" xfId="0" applyFont="1" applyBorder="1"/>
    <xf numFmtId="209" fontId="75" fillId="0" borderId="1" xfId="16" applyNumberFormat="1" applyFont="1" applyBorder="1" applyAlignment="1">
      <alignment horizontal="right"/>
    </xf>
    <xf numFmtId="0" fontId="74" fillId="0" borderId="1" xfId="0" applyFont="1" applyBorder="1" applyAlignment="1">
      <alignment horizontal="right"/>
    </xf>
    <xf numFmtId="10" fontId="75" fillId="0" borderId="1" xfId="19" applyNumberFormat="1" applyFont="1" applyBorder="1" applyAlignment="1">
      <alignment horizontal="right"/>
    </xf>
    <xf numFmtId="10" fontId="75" fillId="0" borderId="18" xfId="0" applyNumberFormat="1" applyFont="1" applyBorder="1" applyAlignment="1">
      <alignment horizontal="right"/>
    </xf>
    <xf numFmtId="210" fontId="75" fillId="0" borderId="18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0" fillId="0" borderId="0" xfId="0" applyFont="1"/>
    <xf numFmtId="171" fontId="14" fillId="8" borderId="0" xfId="0" applyNumberFormat="1" applyFont="1" applyFill="1"/>
    <xf numFmtId="207" fontId="23" fillId="2" borderId="1" xfId="0" applyNumberFormat="1" applyFont="1" applyFill="1" applyBorder="1"/>
    <xf numFmtId="10" fontId="14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0" fontId="2" fillId="0" borderId="16" xfId="0" applyFont="1" applyBorder="1"/>
    <xf numFmtId="10" fontId="2" fillId="0" borderId="16" xfId="0" applyNumberFormat="1" applyFont="1" applyBorder="1" applyAlignment="1">
      <alignment horizontal="center"/>
    </xf>
    <xf numFmtId="0" fontId="11" fillId="0" borderId="0" xfId="0" applyFont="1" applyAlignment="1">
      <alignment horizontal="left"/>
    </xf>
    <xf numFmtId="0" fontId="9" fillId="0" borderId="0" xfId="0" applyFont="1" applyAlignment="1">
      <alignment vertical="center"/>
    </xf>
    <xf numFmtId="0" fontId="9" fillId="0" borderId="8" xfId="0" applyFont="1" applyBorder="1" applyAlignment="1">
      <alignment vertical="center"/>
    </xf>
    <xf numFmtId="0" fontId="14" fillId="0" borderId="0" xfId="0" applyFont="1" applyAlignment="1">
      <alignment horizontal="left"/>
    </xf>
    <xf numFmtId="211" fontId="11" fillId="0" borderId="0" xfId="11" applyNumberFormat="1" applyFont="1" applyAlignment="1">
      <alignment horizontal="left"/>
    </xf>
    <xf numFmtId="212" fontId="14" fillId="0" borderId="0" xfId="11" applyNumberFormat="1" applyFont="1"/>
    <xf numFmtId="0" fontId="2" fillId="24" borderId="0" xfId="0" applyFont="1" applyFill="1" applyAlignment="1">
      <alignment horizontal="right"/>
    </xf>
    <xf numFmtId="210" fontId="2" fillId="0" borderId="0" xfId="17" applyNumberFormat="1" applyFont="1" applyAlignment="1">
      <alignment horizontal="right"/>
    </xf>
    <xf numFmtId="210" fontId="11" fillId="0" borderId="0" xfId="0" applyNumberFormat="1" applyFont="1" applyAlignment="1">
      <alignment horizontal="right" vertical="center"/>
    </xf>
    <xf numFmtId="2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213" fontId="14" fillId="0" borderId="0" xfId="0" applyNumberFormat="1" applyFont="1" applyAlignment="1">
      <alignment horizontal="right" vertical="center"/>
    </xf>
    <xf numFmtId="210" fontId="2" fillId="0" borderId="0" xfId="20" applyNumberFormat="1" applyFont="1" applyAlignment="1">
      <alignment horizontal="right" vertical="center"/>
    </xf>
    <xf numFmtId="210" fontId="78" fillId="0" borderId="0" xfId="0" applyNumberFormat="1" applyFont="1" applyAlignment="1">
      <alignment horizontal="right" vertical="center"/>
    </xf>
    <xf numFmtId="214" fontId="2" fillId="0" borderId="0" xfId="0" applyNumberFormat="1" applyFont="1" applyAlignment="1">
      <alignment horizontal="right" vertical="center"/>
    </xf>
    <xf numFmtId="0" fontId="2" fillId="0" borderId="16" xfId="0" applyFont="1" applyBorder="1" applyAlignment="1">
      <alignment vertical="center"/>
    </xf>
    <xf numFmtId="0" fontId="2" fillId="0" borderId="16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2" fontId="14" fillId="0" borderId="16" xfId="0" applyNumberFormat="1" applyFont="1" applyBorder="1" applyAlignment="1">
      <alignment horizontal="right" vertical="center"/>
    </xf>
    <xf numFmtId="211" fontId="14" fillId="0" borderId="16" xfId="11" applyNumberFormat="1" applyFont="1" applyBorder="1" applyAlignment="1">
      <alignment horizontal="right"/>
    </xf>
    <xf numFmtId="175" fontId="2" fillId="0" borderId="16" xfId="0" applyNumberFormat="1" applyFont="1" applyBorder="1" applyAlignment="1">
      <alignment horizontal="right"/>
    </xf>
    <xf numFmtId="215" fontId="2" fillId="0" borderId="16" xfId="0" applyNumberFormat="1" applyFont="1" applyBorder="1" applyAlignment="1">
      <alignment horizontal="right"/>
    </xf>
    <xf numFmtId="210" fontId="2" fillId="0" borderId="16" xfId="20" applyNumberFormat="1" applyFont="1" applyFill="1" applyBorder="1" applyAlignment="1">
      <alignment horizontal="right" vertical="center"/>
    </xf>
    <xf numFmtId="210" fontId="11" fillId="0" borderId="16" xfId="0" applyNumberFormat="1" applyFont="1" applyBorder="1" applyAlignment="1">
      <alignment horizontal="right" vertical="center"/>
    </xf>
    <xf numFmtId="2" fontId="2" fillId="0" borderId="16" xfId="0" applyNumberFormat="1" applyFont="1" applyBorder="1" applyAlignment="1">
      <alignment horizontal="right" vertical="center"/>
    </xf>
    <xf numFmtId="0" fontId="53" fillId="0" borderId="0" xfId="0" applyFont="1" applyAlignment="1">
      <alignment vertical="center"/>
    </xf>
    <xf numFmtId="0" fontId="53" fillId="0" borderId="0" xfId="0" applyFont="1" applyAlignment="1">
      <alignment horizontal="right" vertical="center"/>
    </xf>
    <xf numFmtId="213" fontId="53" fillId="0" borderId="0" xfId="0" applyNumberFormat="1" applyFont="1" applyAlignment="1">
      <alignment vertical="center"/>
    </xf>
    <xf numFmtId="210" fontId="53" fillId="0" borderId="0" xfId="20" applyNumberFormat="1" applyFont="1" applyFill="1" applyBorder="1" applyAlignment="1">
      <alignment vertical="center"/>
    </xf>
    <xf numFmtId="210" fontId="53" fillId="0" borderId="0" xfId="0" applyNumberFormat="1" applyFont="1" applyAlignment="1">
      <alignment vertical="center"/>
    </xf>
    <xf numFmtId="214" fontId="53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 indent="1"/>
    </xf>
    <xf numFmtId="2" fontId="2" fillId="0" borderId="0" xfId="0" applyNumberFormat="1" applyFont="1" applyAlignment="1">
      <alignment horizontal="center" vertical="center"/>
    </xf>
    <xf numFmtId="210" fontId="2" fillId="0" borderId="0" xfId="20" applyNumberFormat="1" applyFont="1" applyFill="1" applyBorder="1" applyAlignment="1">
      <alignment horizontal="right" vertical="center"/>
    </xf>
    <xf numFmtId="210" fontId="2" fillId="0" borderId="0" xfId="0" applyNumberFormat="1" applyFont="1" applyAlignment="1">
      <alignment horizontal="right" vertical="center"/>
    </xf>
    <xf numFmtId="2" fontId="2" fillId="0" borderId="0" xfId="20" applyNumberFormat="1" applyFont="1" applyFill="1" applyBorder="1" applyAlignment="1">
      <alignment horizontal="right" vertical="center"/>
    </xf>
    <xf numFmtId="211" fontId="11" fillId="0" borderId="0" xfId="11" applyNumberFormat="1" applyFont="1"/>
    <xf numFmtId="210" fontId="9" fillId="0" borderId="0" xfId="0" applyNumberFormat="1" applyFont="1" applyAlignment="1">
      <alignment horizontal="right" vertical="center"/>
    </xf>
    <xf numFmtId="10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0" fontId="77" fillId="25" borderId="0" xfId="0" applyFont="1" applyFill="1"/>
    <xf numFmtId="0" fontId="79" fillId="25" borderId="0" xfId="0" applyFont="1" applyFill="1"/>
    <xf numFmtId="0" fontId="9" fillId="4" borderId="16" xfId="0" applyFont="1" applyFill="1" applyBorder="1" applyAlignment="1">
      <alignment vertical="center"/>
    </xf>
    <xf numFmtId="0" fontId="6" fillId="4" borderId="16" xfId="0" applyFont="1" applyFill="1" applyBorder="1" applyAlignment="1">
      <alignment vertical="center"/>
    </xf>
    <xf numFmtId="0" fontId="53" fillId="3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0" fontId="9" fillId="4" borderId="8" xfId="0" applyFont="1" applyFill="1" applyBorder="1" applyAlignment="1">
      <alignment vertical="center"/>
    </xf>
    <xf numFmtId="0" fontId="53" fillId="10" borderId="0" xfId="0" applyFont="1" applyFill="1" applyAlignment="1">
      <alignment horizontal="right" vertical="center"/>
    </xf>
    <xf numFmtId="0" fontId="53" fillId="10" borderId="0" xfId="0" applyFont="1" applyFill="1" applyAlignment="1">
      <alignment vertical="center"/>
    </xf>
    <xf numFmtId="0" fontId="53" fillId="10" borderId="0" xfId="0" applyFont="1" applyFill="1" applyAlignment="1">
      <alignment horizontal="center" vertical="center"/>
    </xf>
    <xf numFmtId="0" fontId="53" fillId="10" borderId="16" xfId="0" applyFont="1" applyFill="1" applyBorder="1" applyAlignment="1">
      <alignment vertical="center"/>
    </xf>
    <xf numFmtId="0" fontId="53" fillId="10" borderId="16" xfId="0" applyFont="1" applyFill="1" applyBorder="1" applyAlignment="1">
      <alignment horizontal="right" vertical="center"/>
    </xf>
    <xf numFmtId="2" fontId="53" fillId="10" borderId="19" xfId="0" applyNumberFormat="1" applyFont="1" applyFill="1" applyBorder="1" applyAlignment="1">
      <alignment horizontal="right" vertical="center"/>
    </xf>
    <xf numFmtId="0" fontId="18" fillId="10" borderId="18" xfId="0" applyFont="1" applyFill="1" applyBorder="1" applyAlignment="1">
      <alignment vertical="center"/>
    </xf>
    <xf numFmtId="0" fontId="18" fillId="10" borderId="0" xfId="0" applyFont="1" applyFill="1" applyAlignment="1">
      <alignment vertical="center"/>
    </xf>
    <xf numFmtId="0" fontId="18" fillId="10" borderId="0" xfId="0" applyFont="1" applyFill="1" applyAlignment="1">
      <alignment horizontal="center" vertical="center"/>
    </xf>
    <xf numFmtId="2" fontId="18" fillId="10" borderId="0" xfId="0" applyNumberFormat="1" applyFont="1" applyFill="1" applyAlignment="1">
      <alignment horizontal="right" vertical="center"/>
    </xf>
    <xf numFmtId="213" fontId="18" fillId="10" borderId="0" xfId="0" applyNumberFormat="1" applyFont="1" applyFill="1" applyAlignment="1">
      <alignment horizontal="right" vertical="center"/>
    </xf>
    <xf numFmtId="210" fontId="18" fillId="10" borderId="0" xfId="20" applyNumberFormat="1" applyFont="1" applyFill="1" applyBorder="1" applyAlignment="1">
      <alignment horizontal="right" vertical="center"/>
    </xf>
    <xf numFmtId="211" fontId="18" fillId="10" borderId="0" xfId="11" applyNumberFormat="1" applyFont="1" applyFill="1" applyAlignment="1">
      <alignment horizontal="right"/>
    </xf>
    <xf numFmtId="210" fontId="18" fillId="10" borderId="0" xfId="17" applyNumberFormat="1" applyFont="1" applyFill="1" applyAlignment="1">
      <alignment horizontal="right" vertical="center"/>
    </xf>
    <xf numFmtId="210" fontId="18" fillId="10" borderId="0" xfId="0" applyNumberFormat="1" applyFont="1" applyFill="1" applyAlignment="1">
      <alignment horizontal="right" vertical="center"/>
    </xf>
    <xf numFmtId="0" fontId="18" fillId="10" borderId="0" xfId="0" applyFont="1" applyFill="1" applyAlignment="1">
      <alignment horizontal="left" vertical="center"/>
    </xf>
    <xf numFmtId="0" fontId="18" fillId="10" borderId="0" xfId="0" applyFont="1" applyFill="1" applyAlignment="1">
      <alignment horizontal="right" vertical="center"/>
    </xf>
    <xf numFmtId="0" fontId="18" fillId="10" borderId="0" xfId="0" applyFont="1" applyFill="1" applyAlignment="1">
      <alignment horizontal="right"/>
    </xf>
    <xf numFmtId="216" fontId="18" fillId="10" borderId="0" xfId="0" applyNumberFormat="1" applyFont="1" applyFill="1" applyAlignment="1">
      <alignment horizontal="right" vertical="center"/>
    </xf>
    <xf numFmtId="0" fontId="18" fillId="10" borderId="16" xfId="0" applyFont="1" applyFill="1" applyBorder="1" applyAlignment="1">
      <alignment vertical="center"/>
    </xf>
    <xf numFmtId="0" fontId="18" fillId="10" borderId="16" xfId="0" applyFont="1" applyFill="1" applyBorder="1" applyAlignment="1">
      <alignment horizontal="right" vertical="center"/>
    </xf>
    <xf numFmtId="211" fontId="18" fillId="10" borderId="16" xfId="0" applyNumberFormat="1" applyFont="1" applyFill="1" applyBorder="1" applyAlignment="1">
      <alignment horizontal="right" vertical="center"/>
    </xf>
    <xf numFmtId="210" fontId="18" fillId="10" borderId="16" xfId="17" applyNumberFormat="1" applyFont="1" applyFill="1" applyBorder="1" applyAlignment="1">
      <alignment horizontal="right" vertical="center"/>
    </xf>
    <xf numFmtId="10" fontId="18" fillId="10" borderId="19" xfId="17" applyNumberFormat="1" applyFont="1" applyFill="1" applyBorder="1" applyAlignment="1">
      <alignment horizontal="right" vertical="center"/>
    </xf>
    <xf numFmtId="210" fontId="32" fillId="2" borderId="1" xfId="0" applyNumberFormat="1" applyFont="1" applyFill="1" applyBorder="1"/>
    <xf numFmtId="169" fontId="19" fillId="3" borderId="0" xfId="0" applyNumberFormat="1" applyFont="1" applyFill="1" applyAlignment="1">
      <alignment horizontal="center"/>
    </xf>
    <xf numFmtId="172" fontId="2" fillId="0" borderId="0" xfId="0" applyNumberFormat="1" applyFont="1" applyAlignment="1">
      <alignment horizontal="center"/>
    </xf>
    <xf numFmtId="182" fontId="2" fillId="0" borderId="0" xfId="0" applyNumberFormat="1" applyFont="1"/>
    <xf numFmtId="169" fontId="2" fillId="0" borderId="0" xfId="0" applyNumberFormat="1" applyFont="1"/>
    <xf numFmtId="217" fontId="2" fillId="0" borderId="0" xfId="0" applyNumberFormat="1" applyFont="1"/>
    <xf numFmtId="0" fontId="80" fillId="0" borderId="0" xfId="0" applyFont="1"/>
    <xf numFmtId="0" fontId="81" fillId="0" borderId="0" xfId="0" applyFont="1"/>
    <xf numFmtId="208" fontId="80" fillId="0" borderId="0" xfId="0" applyNumberFormat="1" applyFont="1"/>
    <xf numFmtId="219" fontId="81" fillId="0" borderId="8" xfId="0" applyNumberFormat="1" applyFont="1" applyBorder="1"/>
    <xf numFmtId="219" fontId="85" fillId="2" borderId="1" xfId="21" applyNumberFormat="1" applyFont="1" applyFill="1" applyBorder="1"/>
    <xf numFmtId="219" fontId="86" fillId="0" borderId="0" xfId="0" applyNumberFormat="1" applyFont="1" applyAlignment="1">
      <alignment horizontal="center"/>
    </xf>
    <xf numFmtId="0" fontId="86" fillId="0" borderId="0" xfId="0" applyFont="1" applyAlignment="1">
      <alignment horizontal="center"/>
    </xf>
    <xf numFmtId="0" fontId="81" fillId="0" borderId="8" xfId="0" applyFont="1" applyBorder="1"/>
    <xf numFmtId="41" fontId="80" fillId="2" borderId="1" xfId="0" applyNumberFormat="1" applyFont="1" applyFill="1" applyBorder="1"/>
    <xf numFmtId="220" fontId="81" fillId="0" borderId="0" xfId="0" applyNumberFormat="1" applyFont="1"/>
    <xf numFmtId="0" fontId="86" fillId="0" borderId="33" xfId="0" applyFont="1" applyBorder="1" applyAlignment="1">
      <alignment horizontal="center"/>
    </xf>
    <xf numFmtId="0" fontId="80" fillId="0" borderId="0" xfId="0" applyFont="1" applyAlignment="1">
      <alignment horizontal="left" indent="1"/>
    </xf>
    <xf numFmtId="221" fontId="80" fillId="0" borderId="0" xfId="0" applyNumberFormat="1" applyFont="1"/>
    <xf numFmtId="41" fontId="87" fillId="0" borderId="0" xfId="0" applyNumberFormat="1" applyFont="1"/>
    <xf numFmtId="221" fontId="87" fillId="0" borderId="0" xfId="0" applyNumberFormat="1" applyFont="1"/>
    <xf numFmtId="0" fontId="81" fillId="5" borderId="33" xfId="0" applyFont="1" applyFill="1" applyBorder="1"/>
    <xf numFmtId="221" fontId="81" fillId="0" borderId="0" xfId="0" applyNumberFormat="1" applyFont="1"/>
    <xf numFmtId="222" fontId="85" fillId="2" borderId="1" xfId="21" applyNumberFormat="1" applyFont="1" applyFill="1" applyBorder="1"/>
    <xf numFmtId="0" fontId="80" fillId="0" borderId="8" xfId="0" applyFont="1" applyBorder="1"/>
    <xf numFmtId="0" fontId="81" fillId="0" borderId="8" xfId="0" applyFont="1" applyBorder="1" applyAlignment="1">
      <alignment horizontal="left" indent="1"/>
    </xf>
    <xf numFmtId="0" fontId="80" fillId="0" borderId="0" xfId="0" applyFont="1" applyAlignment="1">
      <alignment horizontal="left" indent="2"/>
    </xf>
    <xf numFmtId="10" fontId="91" fillId="0" borderId="0" xfId="21" applyNumberFormat="1" applyFont="1" applyFill="1" applyBorder="1"/>
    <xf numFmtId="221" fontId="80" fillId="0" borderId="33" xfId="0" applyNumberFormat="1" applyFont="1" applyBorder="1"/>
    <xf numFmtId="222" fontId="91" fillId="2" borderId="1" xfId="21" applyNumberFormat="1" applyFont="1" applyFill="1" applyBorder="1"/>
    <xf numFmtId="0" fontId="81" fillId="0" borderId="0" xfId="0" applyFont="1" applyAlignment="1">
      <alignment horizontal="left" indent="1"/>
    </xf>
    <xf numFmtId="0" fontId="80" fillId="0" borderId="33" xfId="0" applyFont="1" applyBorder="1"/>
    <xf numFmtId="0" fontId="80" fillId="0" borderId="33" xfId="0" applyFont="1" applyBorder="1" applyAlignment="1">
      <alignment horizontal="left" indent="2"/>
    </xf>
    <xf numFmtId="219" fontId="80" fillId="0" borderId="0" xfId="0" applyNumberFormat="1" applyFont="1"/>
    <xf numFmtId="223" fontId="82" fillId="0" borderId="0" xfId="0" applyNumberFormat="1" applyFont="1" applyAlignment="1">
      <alignment horizontal="center"/>
    </xf>
    <xf numFmtId="0" fontId="89" fillId="0" borderId="0" xfId="0" applyFont="1"/>
    <xf numFmtId="0" fontId="83" fillId="0" borderId="0" xfId="0" applyFont="1"/>
    <xf numFmtId="0" fontId="84" fillId="0" borderId="0" xfId="0" applyFont="1"/>
    <xf numFmtId="224" fontId="87" fillId="2" borderId="1" xfId="21" applyNumberFormat="1" applyFont="1" applyFill="1" applyBorder="1" applyAlignment="1">
      <alignment horizontal="right"/>
    </xf>
    <xf numFmtId="0" fontId="92" fillId="0" borderId="0" xfId="22" applyFont="1" applyAlignment="1">
      <alignment horizontal="center"/>
    </xf>
    <xf numFmtId="0" fontId="85" fillId="0" borderId="0" xfId="0" applyFont="1"/>
    <xf numFmtId="223" fontId="85" fillId="0" borderId="0" xfId="0" applyNumberFormat="1" applyFont="1" applyAlignment="1">
      <alignment horizontal="center"/>
    </xf>
    <xf numFmtId="0" fontId="80" fillId="0" borderId="0" xfId="0" applyFont="1" applyAlignment="1">
      <alignment horizontal="center"/>
    </xf>
    <xf numFmtId="224" fontId="87" fillId="2" borderId="1" xfId="21" applyNumberFormat="1" applyFont="1" applyFill="1" applyBorder="1" applyAlignment="1">
      <alignment horizontal="center"/>
    </xf>
    <xf numFmtId="0" fontId="87" fillId="0" borderId="0" xfId="0" applyFont="1" applyAlignment="1">
      <alignment horizontal="center"/>
    </xf>
    <xf numFmtId="0" fontId="81" fillId="5" borderId="33" xfId="0" applyFont="1" applyFill="1" applyBorder="1" applyAlignment="1">
      <alignment horizontal="center"/>
    </xf>
    <xf numFmtId="0" fontId="81" fillId="5" borderId="0" xfId="0" applyFont="1" applyFill="1" applyAlignment="1">
      <alignment horizontal="center"/>
    </xf>
    <xf numFmtId="0" fontId="81" fillId="5" borderId="0" xfId="0" applyFont="1" applyFill="1"/>
    <xf numFmtId="224" fontId="93" fillId="0" borderId="0" xfId="21" applyNumberFormat="1" applyFont="1" applyFill="1" applyBorder="1" applyAlignment="1">
      <alignment horizontal="center"/>
    </xf>
    <xf numFmtId="225" fontId="85" fillId="0" borderId="0" xfId="0" applyNumberFormat="1" applyFont="1" applyAlignment="1">
      <alignment horizontal="center"/>
    </xf>
    <xf numFmtId="219" fontId="85" fillId="0" borderId="0" xfId="0" applyNumberFormat="1" applyFont="1"/>
    <xf numFmtId="0" fontId="81" fillId="0" borderId="8" xfId="0" applyFont="1" applyBorder="1" applyAlignment="1">
      <alignment horizontal="left"/>
    </xf>
    <xf numFmtId="225" fontId="85" fillId="0" borderId="8" xfId="0" applyNumberFormat="1" applyFont="1" applyBorder="1" applyAlignment="1">
      <alignment horizontal="center"/>
    </xf>
    <xf numFmtId="224" fontId="80" fillId="0" borderId="33" xfId="21" applyNumberFormat="1" applyFont="1" applyFill="1" applyBorder="1" applyAlignment="1">
      <alignment horizontal="center"/>
    </xf>
    <xf numFmtId="225" fontId="91" fillId="0" borderId="33" xfId="0" applyNumberFormat="1" applyFont="1" applyBorder="1" applyAlignment="1">
      <alignment horizontal="center"/>
    </xf>
    <xf numFmtId="221" fontId="80" fillId="0" borderId="33" xfId="21" applyNumberFormat="1" applyFont="1" applyFill="1" applyBorder="1"/>
    <xf numFmtId="225" fontId="91" fillId="0" borderId="0" xfId="0" applyNumberFormat="1" applyFont="1" applyAlignment="1">
      <alignment horizontal="center"/>
    </xf>
    <xf numFmtId="41" fontId="91" fillId="2" borderId="1" xfId="0" applyNumberFormat="1" applyFont="1" applyFill="1" applyBorder="1"/>
    <xf numFmtId="224" fontId="94" fillId="0" borderId="0" xfId="21" applyNumberFormat="1" applyFont="1" applyFill="1" applyBorder="1" applyAlignment="1">
      <alignment horizontal="center"/>
    </xf>
    <xf numFmtId="225" fontId="87" fillId="2" borderId="1" xfId="0" applyNumberFormat="1" applyFont="1" applyFill="1" applyBorder="1" applyAlignment="1">
      <alignment horizontal="center"/>
    </xf>
    <xf numFmtId="225" fontId="91" fillId="0" borderId="8" xfId="0" applyNumberFormat="1" applyFont="1" applyBorder="1" applyAlignment="1">
      <alignment horizontal="center"/>
    </xf>
    <xf numFmtId="224" fontId="94" fillId="0" borderId="71" xfId="21" applyNumberFormat="1" applyFont="1" applyFill="1" applyBorder="1" applyAlignment="1">
      <alignment horizontal="center"/>
    </xf>
    <xf numFmtId="0" fontId="80" fillId="5" borderId="33" xfId="0" applyFont="1" applyFill="1" applyBorder="1"/>
    <xf numFmtId="225" fontId="91" fillId="0" borderId="0" xfId="0" applyNumberFormat="1" applyFont="1"/>
    <xf numFmtId="184" fontId="87" fillId="2" borderId="1" xfId="21" applyNumberFormat="1" applyFont="1" applyFill="1" applyBorder="1" applyAlignment="1">
      <alignment horizontal="center"/>
    </xf>
    <xf numFmtId="226" fontId="87" fillId="2" borderId="1" xfId="0" applyNumberFormat="1" applyFont="1" applyFill="1" applyBorder="1"/>
    <xf numFmtId="219" fontId="81" fillId="5" borderId="8" xfId="0" applyNumberFormat="1" applyFont="1" applyFill="1" applyBorder="1"/>
    <xf numFmtId="0" fontId="86" fillId="5" borderId="8" xfId="0" applyFont="1" applyFill="1" applyBorder="1" applyAlignment="1">
      <alignment horizontal="center"/>
    </xf>
    <xf numFmtId="0" fontId="80" fillId="5" borderId="8" xfId="0" applyFont="1" applyFill="1" applyBorder="1"/>
    <xf numFmtId="0" fontId="81" fillId="5" borderId="8" xfId="0" applyFont="1" applyFill="1" applyBorder="1"/>
    <xf numFmtId="227" fontId="80" fillId="0" borderId="0" xfId="0" applyNumberFormat="1" applyFont="1"/>
    <xf numFmtId="0" fontId="86" fillId="0" borderId="0" xfId="0" applyFont="1"/>
    <xf numFmtId="0" fontId="86" fillId="5" borderId="33" xfId="0" applyFont="1" applyFill="1" applyBorder="1" applyAlignment="1">
      <alignment horizontal="center"/>
    </xf>
    <xf numFmtId="0" fontId="79" fillId="19" borderId="69" xfId="0" applyFont="1" applyFill="1" applyBorder="1" applyAlignment="1">
      <alignment horizontal="centerContinuous"/>
    </xf>
    <xf numFmtId="0" fontId="77" fillId="19" borderId="69" xfId="0" applyFont="1" applyFill="1" applyBorder="1" applyAlignment="1">
      <alignment horizontal="centerContinuous"/>
    </xf>
    <xf numFmtId="0" fontId="79" fillId="19" borderId="70" xfId="0" applyFont="1" applyFill="1" applyBorder="1" applyAlignment="1">
      <alignment horizontal="centerContinuous"/>
    </xf>
    <xf numFmtId="0" fontId="95" fillId="19" borderId="69" xfId="0" applyFont="1" applyFill="1" applyBorder="1" applyAlignment="1">
      <alignment horizontal="centerContinuous"/>
    </xf>
    <xf numFmtId="169" fontId="18" fillId="19" borderId="33" xfId="0" applyNumberFormat="1" applyFont="1" applyFill="1" applyBorder="1" applyAlignment="1">
      <alignment horizontal="center"/>
    </xf>
    <xf numFmtId="218" fontId="18" fillId="19" borderId="68" xfId="0" applyNumberFormat="1" applyFont="1" applyFill="1" applyBorder="1" applyAlignment="1">
      <alignment horizontal="center"/>
    </xf>
    <xf numFmtId="218" fontId="18" fillId="19" borderId="33" xfId="0" applyNumberFormat="1" applyFont="1" applyFill="1" applyBorder="1" applyAlignment="1">
      <alignment horizontal="center"/>
    </xf>
    <xf numFmtId="216" fontId="87" fillId="2" borderId="1" xfId="21" applyNumberFormat="1" applyFont="1" applyFill="1" applyBorder="1"/>
    <xf numFmtId="225" fontId="80" fillId="0" borderId="0" xfId="0" applyNumberFormat="1" applyFont="1"/>
    <xf numFmtId="2" fontId="87" fillId="2" borderId="1" xfId="21" applyNumberFormat="1" applyFont="1" applyFill="1" applyBorder="1" applyAlignment="1">
      <alignment horizontal="right"/>
    </xf>
    <xf numFmtId="224" fontId="80" fillId="0" borderId="0" xfId="0" applyNumberFormat="1" applyFont="1"/>
    <xf numFmtId="43" fontId="9" fillId="0" borderId="0" xfId="14" applyNumberFormat="1" applyFont="1"/>
    <xf numFmtId="0" fontId="97" fillId="0" borderId="0" xfId="0" applyFont="1"/>
    <xf numFmtId="0" fontId="90" fillId="0" borderId="0" xfId="0" applyFont="1"/>
    <xf numFmtId="228" fontId="87" fillId="2" borderId="1" xfId="21" applyNumberFormat="1" applyFont="1" applyFill="1" applyBorder="1"/>
    <xf numFmtId="216" fontId="81" fillId="5" borderId="33" xfId="0" applyNumberFormat="1" applyFont="1" applyFill="1" applyBorder="1"/>
    <xf numFmtId="229" fontId="87" fillId="2" borderId="1" xfId="0" applyNumberFormat="1" applyFont="1" applyFill="1" applyBorder="1"/>
    <xf numFmtId="166" fontId="88" fillId="0" borderId="0" xfId="24" applyFont="1"/>
    <xf numFmtId="166" fontId="80" fillId="0" borderId="0" xfId="24" applyFont="1"/>
    <xf numFmtId="230" fontId="80" fillId="0" borderId="0" xfId="24" applyNumberFormat="1" applyFont="1"/>
    <xf numFmtId="0" fontId="86" fillId="0" borderId="8" xfId="0" applyFont="1" applyBorder="1" applyAlignment="1">
      <alignment horizontal="center"/>
    </xf>
    <xf numFmtId="221" fontId="81" fillId="0" borderId="8" xfId="0" applyNumberFormat="1" applyFont="1" applyBorder="1" applyAlignment="1">
      <alignment horizontal="center"/>
    </xf>
    <xf numFmtId="2" fontId="2" fillId="8" borderId="8" xfId="0" applyNumberFormat="1" applyFont="1" applyFill="1" applyBorder="1"/>
    <xf numFmtId="0" fontId="90" fillId="0" borderId="0" xfId="0" applyFont="1" applyAlignment="1">
      <alignment horizontal="left" indent="1"/>
    </xf>
    <xf numFmtId="0" fontId="90" fillId="0" borderId="0" xfId="0" applyFont="1" applyAlignment="1">
      <alignment horizontal="center"/>
    </xf>
    <xf numFmtId="1" fontId="87" fillId="2" borderId="1" xfId="21" applyNumberFormat="1" applyFont="1" applyFill="1" applyBorder="1" applyAlignment="1">
      <alignment horizontal="right"/>
    </xf>
    <xf numFmtId="210" fontId="80" fillId="0" borderId="0" xfId="17" applyNumberFormat="1" applyFont="1" applyFill="1"/>
    <xf numFmtId="0" fontId="80" fillId="0" borderId="22" xfId="0" applyFont="1" applyBorder="1" applyAlignment="1">
      <alignment horizontal="left" indent="1"/>
    </xf>
    <xf numFmtId="210" fontId="80" fillId="0" borderId="8" xfId="17" applyNumberFormat="1" applyFont="1" applyFill="1" applyBorder="1"/>
    <xf numFmtId="0" fontId="80" fillId="0" borderId="23" xfId="0" applyFont="1" applyBorder="1"/>
    <xf numFmtId="0" fontId="80" fillId="0" borderId="26" xfId="0" applyFont="1" applyBorder="1" applyAlignment="1">
      <alignment horizontal="left" indent="1"/>
    </xf>
    <xf numFmtId="0" fontId="80" fillId="0" borderId="27" xfId="0" applyFont="1" applyBorder="1"/>
    <xf numFmtId="210" fontId="80" fillId="0" borderId="23" xfId="17" applyNumberFormat="1" applyFont="1" applyFill="1" applyBorder="1"/>
    <xf numFmtId="221" fontId="80" fillId="0" borderId="27" xfId="0" applyNumberFormat="1" applyFont="1" applyBorder="1"/>
    <xf numFmtId="231" fontId="85" fillId="2" borderId="1" xfId="0" applyNumberFormat="1" applyFont="1" applyFill="1" applyBorder="1" applyAlignment="1">
      <alignment horizontal="center"/>
    </xf>
    <xf numFmtId="0" fontId="98" fillId="0" borderId="0" xfId="0" applyFont="1"/>
    <xf numFmtId="221" fontId="81" fillId="0" borderId="8" xfId="0" applyNumberFormat="1" applyFont="1" applyBorder="1"/>
    <xf numFmtId="0" fontId="0" fillId="0" borderId="8" xfId="0" applyBorder="1"/>
    <xf numFmtId="232" fontId="87" fillId="27" borderId="72" xfId="0" applyNumberFormat="1" applyFont="1" applyFill="1" applyBorder="1" applyAlignment="1">
      <alignment horizontal="center"/>
    </xf>
    <xf numFmtId="37" fontId="91" fillId="0" borderId="0" xfId="0" applyNumberFormat="1" applyFont="1" applyAlignment="1">
      <alignment horizontal="center"/>
    </xf>
    <xf numFmtId="225" fontId="87" fillId="27" borderId="67" xfId="0" applyNumberFormat="1" applyFont="1" applyFill="1" applyBorder="1" applyAlignment="1">
      <alignment horizontal="center"/>
    </xf>
    <xf numFmtId="0" fontId="80" fillId="28" borderId="33" xfId="0" applyFont="1" applyFill="1" applyBorder="1" applyAlignment="1">
      <alignment horizontal="left" indent="1"/>
    </xf>
    <xf numFmtId="0" fontId="86" fillId="28" borderId="33" xfId="0" applyFont="1" applyFill="1" applyBorder="1" applyAlignment="1">
      <alignment horizontal="center"/>
    </xf>
    <xf numFmtId="0" fontId="80" fillId="28" borderId="33" xfId="0" applyFont="1" applyFill="1" applyBorder="1"/>
    <xf numFmtId="221" fontId="80" fillId="28" borderId="33" xfId="0" applyNumberFormat="1" applyFont="1" applyFill="1" applyBorder="1"/>
    <xf numFmtId="233" fontId="94" fillId="0" borderId="0" xfId="21" applyNumberFormat="1" applyFont="1" applyFill="1" applyBorder="1"/>
    <xf numFmtId="233" fontId="94" fillId="29" borderId="0" xfId="21" applyNumberFormat="1" applyFont="1" applyFill="1" applyBorder="1"/>
    <xf numFmtId="230" fontId="81" fillId="0" borderId="0" xfId="24" applyNumberFormat="1" applyFont="1"/>
    <xf numFmtId="0" fontId="99" fillId="0" borderId="0" xfId="0" applyFont="1"/>
    <xf numFmtId="0" fontId="91" fillId="30" borderId="22" xfId="22" applyFont="1" applyFill="1" applyBorder="1"/>
    <xf numFmtId="0" fontId="91" fillId="30" borderId="16" xfId="22" applyFont="1" applyFill="1" applyBorder="1"/>
    <xf numFmtId="0" fontId="82" fillId="30" borderId="16" xfId="22" applyFont="1" applyFill="1" applyBorder="1" applyAlignment="1">
      <alignment horizontal="centerContinuous"/>
    </xf>
    <xf numFmtId="0" fontId="85" fillId="30" borderId="16" xfId="22" applyFont="1" applyFill="1" applyBorder="1" applyAlignment="1">
      <alignment horizontal="centerContinuous"/>
    </xf>
    <xf numFmtId="0" fontId="85" fillId="30" borderId="19" xfId="22" applyFont="1" applyFill="1" applyBorder="1" applyAlignment="1">
      <alignment horizontal="centerContinuous"/>
    </xf>
    <xf numFmtId="0" fontId="91" fillId="30" borderId="73" xfId="22" applyFont="1" applyFill="1" applyBorder="1"/>
    <xf numFmtId="224" fontId="100" fillId="5" borderId="0" xfId="22" applyNumberFormat="1" applyFont="1" applyFill="1"/>
    <xf numFmtId="225" fontId="87" fillId="5" borderId="16" xfId="22" applyNumberFormat="1" applyFont="1" applyFill="1" applyBorder="1" applyAlignment="1">
      <alignment horizontal="center"/>
    </xf>
    <xf numFmtId="225" fontId="91" fillId="5" borderId="16" xfId="22" applyNumberFormat="1" applyFont="1" applyFill="1" applyBorder="1" applyAlignment="1">
      <alignment horizontal="center"/>
    </xf>
    <xf numFmtId="225" fontId="85" fillId="5" borderId="16" xfId="22" applyNumberFormat="1" applyFont="1" applyFill="1" applyBorder="1" applyAlignment="1">
      <alignment horizontal="center"/>
    </xf>
    <xf numFmtId="225" fontId="91" fillId="5" borderId="19" xfId="22" applyNumberFormat="1" applyFont="1" applyFill="1" applyBorder="1" applyAlignment="1">
      <alignment horizontal="center"/>
    </xf>
    <xf numFmtId="210" fontId="87" fillId="5" borderId="25" xfId="22" applyNumberFormat="1" applyFont="1" applyFill="1" applyBorder="1" applyAlignment="1">
      <alignment horizontal="center"/>
    </xf>
    <xf numFmtId="233" fontId="93" fillId="0" borderId="0" xfId="21" applyNumberFormat="1" applyFont="1" applyFill="1" applyBorder="1"/>
    <xf numFmtId="43" fontId="91" fillId="0" borderId="0" xfId="0" applyNumberFormat="1" applyFont="1"/>
    <xf numFmtId="210" fontId="91" fillId="5" borderId="25" xfId="22" applyNumberFormat="1" applyFont="1" applyFill="1" applyBorder="1" applyAlignment="1">
      <alignment horizontal="center"/>
    </xf>
    <xf numFmtId="43" fontId="85" fillId="0" borderId="0" xfId="0" applyNumberFormat="1" applyFont="1"/>
    <xf numFmtId="210" fontId="85" fillId="5" borderId="25" xfId="22" applyNumberFormat="1" applyFont="1" applyFill="1" applyBorder="1" applyAlignment="1">
      <alignment horizontal="center"/>
    </xf>
    <xf numFmtId="233" fontId="93" fillId="31" borderId="0" xfId="21" applyNumberFormat="1" applyFont="1" applyFill="1" applyBorder="1"/>
    <xf numFmtId="210" fontId="91" fillId="5" borderId="66" xfId="22" applyNumberFormat="1" applyFont="1" applyFill="1" applyBorder="1" applyAlignment="1">
      <alignment horizontal="center"/>
    </xf>
    <xf numFmtId="234" fontId="80" fillId="0" borderId="0" xfId="0" applyNumberFormat="1" applyFont="1"/>
    <xf numFmtId="210" fontId="0" fillId="0" borderId="0" xfId="0" applyNumberFormat="1"/>
    <xf numFmtId="0" fontId="4" fillId="0" borderId="0" xfId="0" applyFont="1"/>
    <xf numFmtId="0" fontId="101" fillId="0" borderId="0" xfId="0" applyFont="1" applyAlignment="1">
      <alignment horizontal="center"/>
    </xf>
    <xf numFmtId="0" fontId="101" fillId="0" borderId="0" xfId="0" applyFont="1"/>
    <xf numFmtId="0" fontId="0" fillId="32" borderId="0" xfId="0" applyFill="1"/>
    <xf numFmtId="0" fontId="102" fillId="32" borderId="0" xfId="0" applyFont="1" applyFill="1"/>
    <xf numFmtId="0" fontId="0" fillId="0" borderId="74" xfId="0" applyBorder="1"/>
    <xf numFmtId="189" fontId="70" fillId="0" borderId="74" xfId="0" applyNumberFormat="1" applyFont="1" applyBorder="1"/>
    <xf numFmtId="3" fontId="70" fillId="0" borderId="74" xfId="0" applyNumberFormat="1" applyFont="1" applyBorder="1"/>
    <xf numFmtId="0" fontId="101" fillId="0" borderId="74" xfId="0" applyFont="1" applyBorder="1"/>
    <xf numFmtId="0" fontId="0" fillId="0" borderId="75" xfId="0" applyBorder="1"/>
    <xf numFmtId="189" fontId="70" fillId="0" borderId="75" xfId="0" applyNumberFormat="1" applyFont="1" applyBorder="1"/>
    <xf numFmtId="3" fontId="70" fillId="0" borderId="75" xfId="0" applyNumberFormat="1" applyFont="1" applyBorder="1"/>
    <xf numFmtId="0" fontId="101" fillId="0" borderId="75" xfId="0" applyFont="1" applyBorder="1"/>
    <xf numFmtId="0" fontId="4" fillId="0" borderId="75" xfId="0" applyFont="1" applyBorder="1" applyAlignment="1">
      <alignment horizontal="center"/>
    </xf>
    <xf numFmtId="0" fontId="80" fillId="0" borderId="75" xfId="0" applyFont="1" applyBorder="1"/>
    <xf numFmtId="189" fontId="0" fillId="0" borderId="75" xfId="0" applyNumberFormat="1" applyBorder="1"/>
    <xf numFmtId="3" fontId="0" fillId="0" borderId="75" xfId="0" applyNumberFormat="1" applyBorder="1"/>
    <xf numFmtId="0" fontId="4" fillId="0" borderId="75" xfId="0" applyFont="1" applyBorder="1"/>
    <xf numFmtId="0" fontId="101" fillId="0" borderId="76" xfId="0" applyFont="1" applyBorder="1" applyAlignment="1">
      <alignment horizontal="center"/>
    </xf>
    <xf numFmtId="0" fontId="101" fillId="0" borderId="76" xfId="0" applyFont="1" applyBorder="1"/>
    <xf numFmtId="210" fontId="0" fillId="0" borderId="74" xfId="0" applyNumberFormat="1" applyBorder="1"/>
    <xf numFmtId="0" fontId="4" fillId="0" borderId="74" xfId="0" applyFont="1" applyBorder="1"/>
    <xf numFmtId="210" fontId="0" fillId="0" borderId="75" xfId="0" applyNumberFormat="1" applyBorder="1"/>
    <xf numFmtId="216" fontId="0" fillId="0" borderId="75" xfId="0" applyNumberFormat="1" applyBorder="1"/>
    <xf numFmtId="210" fontId="103" fillId="0" borderId="74" xfId="0" applyNumberFormat="1" applyFont="1" applyBorder="1"/>
    <xf numFmtId="0" fontId="104" fillId="0" borderId="74" xfId="0" applyFont="1" applyBorder="1"/>
    <xf numFmtId="0" fontId="105" fillId="0" borderId="75" xfId="0" applyFont="1" applyBorder="1"/>
    <xf numFmtId="0" fontId="106" fillId="0" borderId="0" xfId="0" applyFont="1"/>
    <xf numFmtId="0" fontId="107" fillId="0" borderId="0" xfId="0" applyFont="1"/>
    <xf numFmtId="0" fontId="108" fillId="0" borderId="0" xfId="0" applyFont="1"/>
    <xf numFmtId="210" fontId="0" fillId="0" borderId="0" xfId="17" applyNumberFormat="1" applyFont="1"/>
    <xf numFmtId="235" fontId="2" fillId="0" borderId="0" xfId="0" applyNumberFormat="1" applyFont="1"/>
    <xf numFmtId="210" fontId="70" fillId="0" borderId="74" xfId="0" applyNumberFormat="1" applyFont="1" applyBorder="1"/>
    <xf numFmtId="0" fontId="83" fillId="33" borderId="33" xfId="0" applyFont="1" applyFill="1" applyBorder="1"/>
    <xf numFmtId="0" fontId="89" fillId="33" borderId="33" xfId="0" applyFont="1" applyFill="1" applyBorder="1"/>
    <xf numFmtId="0" fontId="84" fillId="33" borderId="33" xfId="0" applyFont="1" applyFill="1" applyBorder="1"/>
    <xf numFmtId="210" fontId="80" fillId="0" borderId="0" xfId="17" applyNumberFormat="1" applyFont="1"/>
    <xf numFmtId="230" fontId="85" fillId="0" borderId="0" xfId="24" applyNumberFormat="1" applyFont="1"/>
    <xf numFmtId="0" fontId="82" fillId="30" borderId="73" xfId="22" applyFont="1" applyFill="1" applyBorder="1" applyAlignment="1">
      <alignment horizontal="center" vertical="center" wrapText="1"/>
    </xf>
    <xf numFmtId="0" fontId="80" fillId="0" borderId="73" xfId="0" applyFont="1" applyBorder="1" applyAlignment="1">
      <alignment horizontal="center" vertical="center" wrapText="1"/>
    </xf>
    <xf numFmtId="0" fontId="80" fillId="0" borderId="66" xfId="0" applyFont="1" applyBorder="1" applyAlignment="1">
      <alignment horizontal="center" vertical="center" wrapText="1"/>
    </xf>
    <xf numFmtId="0" fontId="48" fillId="12" borderId="0" xfId="0" applyFont="1" applyFill="1" applyAlignment="1">
      <alignment horizontal="right"/>
    </xf>
    <xf numFmtId="0" fontId="26" fillId="12" borderId="0" xfId="0" applyFont="1" applyFill="1" applyAlignment="1">
      <alignment horizontal="right"/>
    </xf>
    <xf numFmtId="0" fontId="59" fillId="3" borderId="36" xfId="13" applyFont="1" applyFill="1" applyBorder="1" applyAlignment="1">
      <alignment horizontal="center" vertical="center"/>
    </xf>
    <xf numFmtId="0" fontId="59" fillId="3" borderId="37" xfId="13" applyFont="1" applyFill="1" applyBorder="1" applyAlignment="1">
      <alignment horizontal="center" vertical="center"/>
    </xf>
    <xf numFmtId="0" fontId="59" fillId="3" borderId="34" xfId="13" applyFont="1" applyFill="1" applyBorder="1" applyAlignment="1">
      <alignment horizontal="center" vertical="center"/>
    </xf>
    <xf numFmtId="0" fontId="59" fillId="3" borderId="39" xfId="13" applyFont="1" applyFill="1" applyBorder="1" applyAlignment="1">
      <alignment horizontal="center" vertical="center"/>
    </xf>
    <xf numFmtId="199" fontId="59" fillId="3" borderId="35" xfId="13" applyNumberFormat="1" applyFont="1" applyFill="1" applyBorder="1" applyAlignment="1">
      <alignment horizontal="center" vertical="center" wrapText="1"/>
    </xf>
    <xf numFmtId="199" fontId="59" fillId="3" borderId="40" xfId="13" applyNumberFormat="1" applyFont="1" applyFill="1" applyBorder="1" applyAlignment="1">
      <alignment horizontal="center" vertical="center" wrapText="1"/>
    </xf>
    <xf numFmtId="0" fontId="59" fillId="3" borderId="38" xfId="13" applyFont="1" applyFill="1" applyBorder="1" applyAlignment="1">
      <alignment horizontal="center" vertical="center"/>
    </xf>
    <xf numFmtId="0" fontId="59" fillId="3" borderId="53" xfId="13" applyFont="1" applyFill="1" applyBorder="1" applyAlignment="1">
      <alignment horizontal="center" vertical="center"/>
    </xf>
    <xf numFmtId="0" fontId="59" fillId="3" borderId="34" xfId="13" applyFont="1" applyFill="1" applyBorder="1" applyAlignment="1">
      <alignment horizontal="center" vertical="center" wrapText="1"/>
    </xf>
    <xf numFmtId="0" fontId="59" fillId="3" borderId="39" xfId="13" applyFont="1" applyFill="1" applyBorder="1" applyAlignment="1">
      <alignment horizontal="center" vertical="center" wrapText="1"/>
    </xf>
    <xf numFmtId="0" fontId="59" fillId="3" borderId="35" xfId="13" applyFont="1" applyFill="1" applyBorder="1" applyAlignment="1">
      <alignment horizontal="center" vertical="center" wrapText="1"/>
    </xf>
    <xf numFmtId="0" fontId="59" fillId="3" borderId="40" xfId="13" applyFont="1" applyFill="1" applyBorder="1" applyAlignment="1">
      <alignment horizontal="center" vertical="center" wrapText="1"/>
    </xf>
    <xf numFmtId="0" fontId="65" fillId="3" borderId="56" xfId="0" applyFont="1" applyFill="1" applyBorder="1" applyAlignment="1">
      <alignment horizontal="center" vertical="center" wrapText="1"/>
    </xf>
    <xf numFmtId="0" fontId="65" fillId="3" borderId="61" xfId="0" applyFont="1" applyFill="1" applyBorder="1" applyAlignment="1">
      <alignment horizontal="center" vertical="center" wrapText="1"/>
    </xf>
    <xf numFmtId="0" fontId="65" fillId="3" borderId="63" xfId="0" applyFont="1" applyFill="1" applyBorder="1" applyAlignment="1">
      <alignment horizontal="center" vertical="center" wrapText="1"/>
    </xf>
    <xf numFmtId="0" fontId="65" fillId="3" borderId="57" xfId="0" applyFont="1" applyFill="1" applyBorder="1" applyAlignment="1">
      <alignment horizontal="center" vertical="center" wrapText="1"/>
    </xf>
    <xf numFmtId="0" fontId="65" fillId="3" borderId="54" xfId="0" applyFont="1" applyFill="1" applyBorder="1" applyAlignment="1">
      <alignment horizontal="center" vertical="center" wrapText="1"/>
    </xf>
    <xf numFmtId="0" fontId="65" fillId="3" borderId="64" xfId="0" applyFont="1" applyFill="1" applyBorder="1" applyAlignment="1">
      <alignment horizontal="center" vertical="center" wrapText="1"/>
    </xf>
    <xf numFmtId="0" fontId="65" fillId="3" borderId="58" xfId="0" applyFont="1" applyFill="1" applyBorder="1" applyAlignment="1">
      <alignment horizontal="center" vertical="center" wrapText="1"/>
    </xf>
    <xf numFmtId="0" fontId="65" fillId="3" borderId="59" xfId="0" applyFont="1" applyFill="1" applyBorder="1" applyAlignment="1">
      <alignment horizontal="center" vertical="center" wrapText="1"/>
    </xf>
    <xf numFmtId="0" fontId="65" fillId="3" borderId="60" xfId="0" applyFont="1" applyFill="1" applyBorder="1" applyAlignment="1">
      <alignment horizontal="center" vertical="center" wrapText="1"/>
    </xf>
  </cellXfs>
  <cellStyles count="25">
    <cellStyle name="Comma" xfId="16" builtinId="3"/>
    <cellStyle name="Comma 2" xfId="18" xr:uid="{611F2591-5491-4481-B789-68B644A6ACC1}"/>
    <cellStyle name="Comma 2 3" xfId="15" xr:uid="{F2E1E112-F354-144A-B8A2-00807544046C}"/>
    <cellStyle name="Currency" xfId="24" builtinId="4"/>
    <cellStyle name="DescriptorColumnStyle" xfId="7" xr:uid="{9BD0D551-9963-430B-9E25-A81A6A4320B6}"/>
    <cellStyle name="FactSet header" xfId="12" xr:uid="{D78BB89A-5ADF-0F4F-93AF-6249878188BA}"/>
    <cellStyle name="HeaderStyle" xfId="6" xr:uid="{63F15FFF-E992-4AB1-9D18-6DE58EBD2A3D}"/>
    <cellStyle name="Hyperlink" xfId="1" builtinId="8"/>
    <cellStyle name="HyphenStyle" xfId="8" xr:uid="{C7760FDD-59EF-45B8-B174-37DCE5E2D7B9}"/>
    <cellStyle name="Normal" xfId="0" builtinId="0"/>
    <cellStyle name="Normal 10 2" xfId="14" xr:uid="{DBE9F7A4-98DA-A941-9B4D-0A3E26440951}"/>
    <cellStyle name="Normal 15" xfId="2" xr:uid="{E2F26EFE-59C6-497D-A78E-A1A365079580}"/>
    <cellStyle name="Normal 2" xfId="13" xr:uid="{9CF81C99-6282-6046-B6BB-A85B2F46CDC7}"/>
    <cellStyle name="Normal 2 2" xfId="11" xr:uid="{A8160FA0-8429-45EB-B988-64AF613DC63E}"/>
    <cellStyle name="Normal 2 3" xfId="22" xr:uid="{57EEE6EE-E100-46C4-84C4-1AEBB22B8B51}"/>
    <cellStyle name="Normal 3" xfId="10" xr:uid="{1C4C5883-22C3-4CC2-A948-216364357636}"/>
    <cellStyle name="Normal 4" xfId="23" xr:uid="{9270A417-FEB0-488A-A67E-1D94DA11B3E8}"/>
    <cellStyle name="Normal 8" xfId="3" xr:uid="{24351456-9D25-4660-85A0-8E32A2D73FD2}"/>
    <cellStyle name="Normal 8 2 2" xfId="4" xr:uid="{5DA257ED-4C72-4BBF-901E-616AECC72151}"/>
    <cellStyle name="Normal 8 3" xfId="5" xr:uid="{C55914CF-791B-4617-99D7-3B9E6E6643BE}"/>
    <cellStyle name="Note" xfId="21" builtinId="10"/>
    <cellStyle name="NumberStyle" xfId="9" xr:uid="{567A616B-D46E-437E-95C4-2C1CC9030EA6}"/>
    <cellStyle name="Percent" xfId="17" builtinId="5"/>
    <cellStyle name="Percent 2" xfId="19" xr:uid="{F303CD16-AE85-4A9A-A345-D2FB6644FF94}"/>
    <cellStyle name="Percent 2 2" xfId="20" xr:uid="{BF3F077E-6773-4B7C-B8CD-D98A51507DC6}"/>
  </cellStyles>
  <dxfs count="61">
    <dxf>
      <fill>
        <patternFill>
          <bgColor theme="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ont>
        <color rgb="FF0000FF"/>
      </font>
    </dxf>
    <dxf>
      <font>
        <color rgb="FF0000FF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00B050"/>
      </font>
    </dxf>
    <dxf>
      <font>
        <color rgb="FF0000FF"/>
      </font>
    </dxf>
    <dxf>
      <font>
        <color rgb="FF0000FF"/>
      </font>
    </dxf>
    <dxf>
      <font>
        <color theme="1"/>
      </font>
    </dxf>
    <dxf>
      <font>
        <color rgb="FF00B050"/>
      </font>
    </dxf>
    <dxf>
      <font>
        <color rgb="FF0000FF"/>
      </font>
    </dxf>
    <dxf>
      <font>
        <color rgb="FF00B050"/>
      </font>
    </dxf>
    <dxf>
      <font>
        <color theme="1"/>
      </font>
    </dxf>
    <dxf>
      <font>
        <color rgb="FF0000FF"/>
      </font>
    </dxf>
    <dxf>
      <font>
        <color rgb="FF00B050"/>
      </font>
    </dxf>
    <dxf>
      <font>
        <color theme="1"/>
      </font>
    </dxf>
    <dxf>
      <font>
        <color rgb="FF0000FF"/>
      </font>
    </dxf>
    <dxf>
      <font>
        <color rgb="FF00B050"/>
      </font>
    </dxf>
    <dxf>
      <font>
        <color theme="1"/>
      </font>
    </dxf>
    <dxf>
      <font>
        <color rgb="FF0000FF"/>
      </font>
    </dxf>
    <dxf>
      <font>
        <color theme="1"/>
      </font>
    </dxf>
    <dxf>
      <font>
        <color rgb="FF00B050"/>
      </font>
    </dxf>
    <dxf>
      <font>
        <color theme="1"/>
      </font>
    </dxf>
    <dxf>
      <font>
        <color theme="1"/>
      </font>
    </dxf>
    <dxf>
      <font>
        <color rgb="FF00B050"/>
      </font>
    </dxf>
    <dxf>
      <font>
        <color rgb="FF0000FF"/>
      </font>
    </dxf>
    <dxf>
      <font>
        <color theme="1"/>
      </font>
    </dxf>
    <dxf>
      <font>
        <color rgb="FF0000FF"/>
      </font>
    </dxf>
    <dxf>
      <font>
        <color rgb="FF00B050"/>
      </font>
    </dxf>
    <dxf>
      <font>
        <color theme="1"/>
      </font>
    </dxf>
    <dxf>
      <font>
        <color rgb="FF00B050"/>
      </font>
    </dxf>
    <dxf>
      <font>
        <color rgb="FF0000FF"/>
      </font>
    </dxf>
    <dxf>
      <font>
        <color theme="1"/>
      </font>
    </dxf>
    <dxf>
      <font>
        <color rgb="FF00B050"/>
      </font>
    </dxf>
    <dxf>
      <font>
        <color rgb="FF0000FF"/>
      </font>
    </dxf>
    <dxf>
      <font>
        <color rgb="FF00B050"/>
      </font>
    </dxf>
    <dxf>
      <font>
        <color rgb="FF0000FF"/>
      </font>
    </dxf>
    <dxf>
      <font>
        <color rgb="FF0000FF"/>
      </font>
    </dxf>
    <dxf>
      <font>
        <color rgb="FF00B050"/>
      </font>
    </dxf>
    <dxf>
      <font>
        <color theme="1"/>
      </font>
    </dxf>
    <dxf>
      <font>
        <color rgb="FF0000FF"/>
      </font>
    </dxf>
    <dxf>
      <font>
        <color rgb="FF00B050"/>
      </font>
    </dxf>
    <dxf>
      <font>
        <color theme="1"/>
      </font>
    </dxf>
    <dxf>
      <font>
        <color rgb="FF0000FF"/>
      </font>
    </dxf>
    <dxf>
      <font>
        <color rgb="FF00B050"/>
      </font>
    </dxf>
    <dxf>
      <font>
        <color theme="1"/>
      </font>
    </dxf>
    <dxf>
      <font>
        <color theme="1"/>
      </font>
    </dxf>
    <dxf>
      <font>
        <color rgb="FF00B050"/>
      </font>
    </dxf>
    <dxf>
      <font>
        <color rgb="FF0000FF"/>
      </font>
    </dxf>
  </dxfs>
  <tableStyles count="0" defaultTableStyle="TableStyleMedium2" defaultPivotStyle="PivotStyleLight16"/>
  <colors>
    <mruColors>
      <color rgb="FFC9A227"/>
      <color rgb="FFA0002A"/>
      <color rgb="FF022060"/>
      <color rgb="FFC1E5F5"/>
      <color rgb="FF45B1E1"/>
      <color rgb="FF00B050"/>
      <color rgb="FF0000FF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2"/>
          <c:order val="2"/>
          <c:tx>
            <c:strRef>
              <c:f>'LBO Val'!$F$38</c:f>
              <c:strCache>
                <c:ptCount val="1"/>
                <c:pt idx="0">
                  <c:v>% Sources</c:v>
                </c:pt>
              </c:strCache>
            </c:strRef>
          </c:tx>
          <c:dPt>
            <c:idx val="0"/>
            <c:bubble3D val="0"/>
            <c:spPr>
              <a:solidFill>
                <a:srgbClr val="45B1E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B5-413B-99CC-A8FFC964ED65}"/>
              </c:ext>
            </c:extLst>
          </c:dPt>
          <c:dPt>
            <c:idx val="1"/>
            <c:bubble3D val="0"/>
            <c:spPr>
              <a:solidFill>
                <a:srgbClr val="C1E5F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B5-413B-99CC-A8FFC964ED65}"/>
              </c:ext>
            </c:extLst>
          </c:dPt>
          <c:dPt>
            <c:idx val="2"/>
            <c:bubble3D val="0"/>
            <c:spPr>
              <a:solidFill>
                <a:srgbClr val="C9A22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B5-413B-99CC-A8FFC964ED65}"/>
              </c:ext>
            </c:extLst>
          </c:dPt>
          <c:dPt>
            <c:idx val="3"/>
            <c:bubble3D val="0"/>
            <c:spPr>
              <a:solidFill>
                <a:srgbClr val="A0002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FB5-413B-99CC-A8FFC964ED6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FB5-413B-99CC-A8FFC964ED65}"/>
              </c:ext>
            </c:extLst>
          </c:dPt>
          <c:dPt>
            <c:idx val="5"/>
            <c:bubble3D val="0"/>
            <c:spPr>
              <a:solidFill>
                <a:srgbClr val="02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FB5-413B-99CC-A8FFC964ED65}"/>
              </c:ext>
            </c:extLst>
          </c:dPt>
          <c:cat>
            <c:strRef>
              <c:f>'LBO Val'!$C$39:$C$44</c:f>
              <c:strCache>
                <c:ptCount val="6"/>
                <c:pt idx="0">
                  <c:v>Revolver:</c:v>
                </c:pt>
                <c:pt idx="1">
                  <c:v>Term Loan A </c:v>
                </c:pt>
                <c:pt idx="2">
                  <c:v>Term Loan B</c:v>
                </c:pt>
                <c:pt idx="3">
                  <c:v>Subordinated Notes:</c:v>
                </c:pt>
                <c:pt idx="4">
                  <c:v>Excess Cash:</c:v>
                </c:pt>
                <c:pt idx="5">
                  <c:v>Investor Equity:</c:v>
                </c:pt>
              </c:strCache>
            </c:strRef>
          </c:cat>
          <c:val>
            <c:numRef>
              <c:f>'LBO Val'!$F$39:$F$44</c:f>
              <c:numCache>
                <c:formatCode>0.0%;\(0.0%\)</c:formatCode>
                <c:ptCount val="6"/>
                <c:pt idx="0">
                  <c:v>2.5386942509233595E-2</c:v>
                </c:pt>
                <c:pt idx="1">
                  <c:v>5.0773885018467191E-2</c:v>
                </c:pt>
                <c:pt idx="2">
                  <c:v>0.15232165505540157</c:v>
                </c:pt>
                <c:pt idx="3">
                  <c:v>5.0773885018467191E-2</c:v>
                </c:pt>
                <c:pt idx="4">
                  <c:v>0.18444488210082033</c:v>
                </c:pt>
                <c:pt idx="5">
                  <c:v>0.53629875029761009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FB5-413B-99CC-A8FFC964E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'LBO Val'!$D$38</c15:sqref>
                        </c15:formulaRef>
                      </c:ext>
                    </c:extLst>
                    <c:strCache>
                      <c:ptCount val="1"/>
                      <c:pt idx="0">
                        <c:v>¥ M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E-6FB5-413B-99CC-A8FFC964ED6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6FB5-413B-99CC-A8FFC964ED6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2-6FB5-413B-99CC-A8FFC964ED6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4-6FB5-413B-99CC-A8FFC964ED6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6-6FB5-413B-99CC-A8FFC964ED65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8-6FB5-413B-99CC-A8FFC964ED65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A-6FB5-413B-99CC-A8FFC964ED65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'LBO Val'!$C$39:$C$44</c15:sqref>
                        </c15:formulaRef>
                      </c:ext>
                    </c:extLst>
                    <c:strCache>
                      <c:ptCount val="6"/>
                      <c:pt idx="0">
                        <c:v>Revolver:</c:v>
                      </c:pt>
                      <c:pt idx="1">
                        <c:v>Term Loan A </c:v>
                      </c:pt>
                      <c:pt idx="2">
                        <c:v>Term Loan B</c:v>
                      </c:pt>
                      <c:pt idx="3">
                        <c:v>Subordinated Notes:</c:v>
                      </c:pt>
                      <c:pt idx="4">
                        <c:v>Excess Cash:</c:v>
                      </c:pt>
                      <c:pt idx="5">
                        <c:v>Investor Equity: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'LBO Val'!$D$39:$D$45</c15:sqref>
                        </c15:formulaRef>
                      </c:ext>
                    </c:extLst>
                    <c:numCache>
                      <c:formatCode>_(* #,##0_);_(* \(#,##0\);_(* "-"?_);_(@_)</c:formatCode>
                      <c:ptCount val="7"/>
                      <c:pt idx="0" formatCode="_(&quot;$&quot;* #,##0.00_);_(&quot;$&quot;* \(#,##0.00\);_(&quot;$&quot;* &quot;-&quot;??_);_(@_)">
                        <c:v>1559879</c:v>
                      </c:pt>
                      <c:pt idx="1">
                        <c:v>3119758</c:v>
                      </c:pt>
                      <c:pt idx="2">
                        <c:v>9359274</c:v>
                      </c:pt>
                      <c:pt idx="3">
                        <c:v>3119758</c:v>
                      </c:pt>
                      <c:pt idx="4">
                        <c:v>11333058.25</c:v>
                      </c:pt>
                      <c:pt idx="5">
                        <c:v>32952418.670000002</c:v>
                      </c:pt>
                      <c:pt idx="6" formatCode="_(&quot;$&quot;* #,##0_);_(&quot;$&quot;* \(#,##0\);_(&quot;$&quot;* &quot;-&quot;??_);_(@_)">
                        <c:v>61444145.920000002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B-6FB5-413B-99CC-A8FFC964ED65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'LBO Val'!$E$38</c15:sqref>
                        </c15:formulaRef>
                      </c:ext>
                    </c:extLst>
                    <c:strCache>
                      <c:ptCount val="1"/>
                      <c:pt idx="0">
                        <c:v>x EBITDA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D-6FB5-413B-99CC-A8FFC964ED6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F-6FB5-413B-99CC-A8FFC964ED6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1-6FB5-413B-99CC-A8FFC964ED6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3-6FB5-413B-99CC-A8FFC964ED6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6FB5-413B-99CC-A8FFC964ED65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7-6FB5-413B-99CC-A8FFC964ED65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9-6FB5-413B-99CC-A8FFC964ED65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'LBO Val'!$C$39:$C$44</c15:sqref>
                        </c15:formulaRef>
                      </c:ext>
                    </c:extLst>
                    <c:strCache>
                      <c:ptCount val="6"/>
                      <c:pt idx="0">
                        <c:v>Revolver:</c:v>
                      </c:pt>
                      <c:pt idx="1">
                        <c:v>Term Loan A </c:v>
                      </c:pt>
                      <c:pt idx="2">
                        <c:v>Term Loan B</c:v>
                      </c:pt>
                      <c:pt idx="3">
                        <c:v>Subordinated Notes:</c:v>
                      </c:pt>
                      <c:pt idx="4">
                        <c:v>Excess Cash:</c:v>
                      </c:pt>
                      <c:pt idx="5">
                        <c:v>Investor Equity: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'LBO Val'!$E$39:$E$45</c15:sqref>
                        </c15:formulaRef>
                      </c:ext>
                    </c:extLst>
                    <c:numCache>
                      <c:formatCode>0.0\ \x</c:formatCode>
                      <c:ptCount val="7"/>
                      <c:pt idx="0">
                        <c:v>0.5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1</c:v>
                      </c:pt>
                      <c:pt idx="4">
                        <c:v>3.6326722297049963</c:v>
                      </c:pt>
                      <c:pt idx="5">
                        <c:v>10.562491920847707</c:v>
                      </c:pt>
                      <c:pt idx="6">
                        <c:v>19.695164150552703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A-6FB5-413B-99CC-A8FFC964ED65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for Deck'!$R$6</c:f>
              <c:strCache>
                <c:ptCount val="1"/>
                <c:pt idx="0">
                  <c:v>  Consumer, net</c:v>
                </c:pt>
              </c:strCache>
            </c:strRef>
          </c:tx>
          <c:spPr>
            <a:solidFill>
              <a:srgbClr val="022060"/>
            </a:solidFill>
            <a:ln>
              <a:noFill/>
            </a:ln>
            <a:effectLst/>
          </c:spPr>
          <c:invertIfNegative val="0"/>
          <c:cat>
            <c:strRef>
              <c:f>'Charts for Deck'!$S$5:$V$5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'Charts for Deck'!$S$6:$V$6</c:f>
              <c:numCache>
                <c:formatCode>_(* #,##0.0_);_(* \(#,##0.0\);_(* "-"??_);_(@_)</c:formatCode>
                <c:ptCount val="4"/>
                <c:pt idx="0">
                  <c:v>1095500</c:v>
                </c:pt>
                <c:pt idx="1">
                  <c:v>649900</c:v>
                </c:pt>
                <c:pt idx="2">
                  <c:v>843500</c:v>
                </c:pt>
                <c:pt idx="3">
                  <c:v>733900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8-6248-B5DA-3B86CF195674}"/>
            </c:ext>
          </c:extLst>
        </c:ser>
        <c:ser>
          <c:idx val="1"/>
          <c:order val="1"/>
          <c:tx>
            <c:strRef>
              <c:f>'Charts for Deck'!$R$7</c:f>
              <c:strCache>
                <c:ptCount val="1"/>
                <c:pt idx="0">
                  <c:v>  Institutional, net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  <a:effectLst/>
          </c:spPr>
          <c:invertIfNegative val="0"/>
          <c:cat>
            <c:strRef>
              <c:f>'Charts for Deck'!$S$5:$V$5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'Charts for Deck'!$S$7:$V$7</c:f>
              <c:numCache>
                <c:formatCode>_(* #,##0.0_);_(* \(#,##0.0\);_(* "-"??_);_(@_)</c:formatCode>
                <c:ptCount val="4"/>
                <c:pt idx="0">
                  <c:v>98900</c:v>
                </c:pt>
                <c:pt idx="1">
                  <c:v>60800</c:v>
                </c:pt>
                <c:pt idx="2">
                  <c:v>135000</c:v>
                </c:pt>
                <c:pt idx="3">
                  <c:v>185000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48-6248-B5DA-3B86CF195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6494655"/>
        <c:axId val="518375615"/>
      </c:barChart>
      <c:catAx>
        <c:axId val="46649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KR"/>
          </a:p>
        </c:txPr>
        <c:crossAx val="518375615"/>
        <c:crosses val="autoZero"/>
        <c:auto val="1"/>
        <c:lblAlgn val="ctr"/>
        <c:lblOffset val="100"/>
        <c:noMultiLvlLbl val="0"/>
      </c:catAx>
      <c:valAx>
        <c:axId val="518375615"/>
        <c:scaling>
          <c:orientation val="minMax"/>
        </c:scaling>
        <c:delete val="0"/>
        <c:axPos val="l"/>
        <c:numFmt formatCode="_(* #,##0.0_);_(* \(#,##0.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KR"/>
          </a:p>
        </c:txPr>
        <c:crossAx val="46649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Institutional</a:t>
            </a:r>
            <a:r>
              <a:rPr lang="en-US" baseline="0"/>
              <a:t> vs Consumer Rev Growth FY25 YoY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'Charts for Deck'!$R$14</c:f>
              <c:strCache>
                <c:ptCount val="1"/>
                <c:pt idx="0">
                  <c:v>  Consumer YoY%</c:v>
                </c:pt>
              </c:strCache>
            </c:strRef>
          </c:tx>
          <c:spPr>
            <a:ln w="28575" cap="rnd">
              <a:solidFill>
                <a:srgbClr val="022060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452-C24D-9809-6FA947A8C627}"/>
                </c:ext>
              </c:extLst>
            </c:dLbl>
            <c:dLbl>
              <c:idx val="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452-C24D-9809-6FA947A8C627}"/>
                </c:ext>
              </c:extLst>
            </c:dLbl>
            <c:spPr>
              <a:solidFill>
                <a:srgbClr val="C9A227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'Charts for Deck'!$S$13:$V$13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'Charts for Deck'!$S$14:$V$14</c:f>
              <c:numCache>
                <c:formatCode>0.00%</c:formatCode>
                <c:ptCount val="4"/>
                <c:pt idx="0">
                  <c:v>0.17140718562874246</c:v>
                </c:pt>
                <c:pt idx="1">
                  <c:v>-2.2412755716004762E-2</c:v>
                </c:pt>
                <c:pt idx="2">
                  <c:v>0.7452927788123318</c:v>
                </c:pt>
                <c:pt idx="3">
                  <c:v>-0.45520005938683095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52-C24D-9809-6FA947A8C627}"/>
            </c:ext>
          </c:extLst>
        </c:ser>
        <c:ser>
          <c:idx val="1"/>
          <c:order val="1"/>
          <c:tx>
            <c:strRef>
              <c:f>'Charts for Deck'!$R$15</c:f>
              <c:strCache>
                <c:ptCount val="1"/>
                <c:pt idx="0">
                  <c:v>  Institutional YoY%</c:v>
                </c:pt>
              </c:strCache>
            </c:strRef>
          </c:tx>
          <c:spPr>
            <a:ln w="28575" cap="rnd">
              <a:solidFill>
                <a:srgbClr val="C9A227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52-C24D-9809-6FA947A8C627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452-C24D-9809-6FA947A8C6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'Charts for Deck'!$S$13:$V$13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'Charts for Deck'!$S$15:$V$15</c:f>
              <c:numCache>
                <c:formatCode>0.00%</c:formatCode>
                <c:ptCount val="4"/>
                <c:pt idx="0">
                  <c:v>0.15807962529274011</c:v>
                </c:pt>
                <c:pt idx="1">
                  <c:v>-4.4025157232704393E-2</c:v>
                </c:pt>
                <c:pt idx="2">
                  <c:v>1.4412296564195297</c:v>
                </c:pt>
                <c:pt idx="3">
                  <c:v>0.30927105449398451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52-C24D-9809-6FA947A8C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5317695"/>
        <c:axId val="405316351"/>
      </c:lineChart>
      <c:catAx>
        <c:axId val="40531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KR"/>
          </a:p>
        </c:txPr>
        <c:crossAx val="405316351"/>
        <c:crosses val="autoZero"/>
        <c:auto val="1"/>
        <c:lblAlgn val="ctr"/>
        <c:lblOffset val="100"/>
        <c:noMultiLvlLbl val="0"/>
      </c:catAx>
      <c:valAx>
        <c:axId val="405316351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KR"/>
          </a:p>
        </c:txPr>
        <c:crossAx val="40531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r>
              <a:rPr lang="en-SG"/>
              <a:t>Chart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'Charts for Deck'!$C$333</c:f>
              <c:strCache>
                <c:ptCount val="1"/>
                <c:pt idx="0">
                  <c:v>EBITDA Margin</c:v>
                </c:pt>
              </c:strCache>
            </c:strRef>
          </c:tx>
          <c:spPr>
            <a:ln w="28575" cap="rnd">
              <a:solidFill>
                <a:srgbClr val="004B93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004B93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'Charts for Deck'!$D$332:$I$332</c:f>
              <c:numCache>
                <c:formatCode>"FY"0"F"</c:formatCode>
                <c:ptCount val="6"/>
                <c:pt idx="0" formatCode="&quot;FY&quot;0&quot;A&quot;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</c:numCache>
            </c:numRef>
          </c:cat>
          <c:val>
            <c:numRef>
              <c:f>'Charts for Deck'!$D$333:$I$333</c:f>
              <c:numCache>
                <c:formatCode>_(0.0%_);\(0.0%\);\-</c:formatCode>
                <c:ptCount val="6"/>
                <c:pt idx="0">
                  <c:v>0.25296306740051455</c:v>
                </c:pt>
                <c:pt idx="1">
                  <c:v>0.31211421445093018</c:v>
                </c:pt>
                <c:pt idx="2">
                  <c:v>0.31222022783544584</c:v>
                </c:pt>
                <c:pt idx="3">
                  <c:v>0.31446682153580474</c:v>
                </c:pt>
                <c:pt idx="4">
                  <c:v>0.3146026646677052</c:v>
                </c:pt>
                <c:pt idx="5">
                  <c:v>0.31267447195802034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9-452D-9C38-F9E535DD774F}"/>
            </c:ext>
          </c:extLst>
        </c:ser>
        <c:ser>
          <c:idx val="1"/>
          <c:order val="1"/>
          <c:tx>
            <c:strRef>
              <c:f>'Charts for Deck'!$C$334</c:f>
              <c:strCache>
                <c:ptCount val="1"/>
                <c:pt idx="0">
                  <c:v>Net Income Margin</c:v>
                </c:pt>
              </c:strCache>
            </c:strRef>
          </c:tx>
          <c:spPr>
            <a:ln w="28575" cap="rnd">
              <a:solidFill>
                <a:srgbClr val="ED1C2E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ED1C2E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'Charts for Deck'!$D$332:$I$332</c:f>
              <c:numCache>
                <c:formatCode>"FY"0"F"</c:formatCode>
                <c:ptCount val="6"/>
                <c:pt idx="0" formatCode="&quot;FY&quot;0&quot;A&quot;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</c:numCache>
            </c:numRef>
          </c:cat>
          <c:val>
            <c:numRef>
              <c:f>'Charts for Deck'!$D$334:$I$334</c:f>
              <c:numCache>
                <c:formatCode>_(0.0%_);\(0.0%\);\-</c:formatCode>
                <c:ptCount val="6"/>
                <c:pt idx="0">
                  <c:v>0.17838365482692958</c:v>
                </c:pt>
                <c:pt idx="1">
                  <c:v>0.28709184759463624</c:v>
                </c:pt>
                <c:pt idx="2">
                  <c:v>0.28896723952164372</c:v>
                </c:pt>
                <c:pt idx="3">
                  <c:v>0.29209895124646801</c:v>
                </c:pt>
                <c:pt idx="4">
                  <c:v>0.29771455606323494</c:v>
                </c:pt>
                <c:pt idx="5">
                  <c:v>0.29983787382425181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E9-452D-9C38-F9E535DD7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1231456"/>
        <c:axId val="251237216"/>
      </c:lineChart>
      <c:catAx>
        <c:axId val="251231456"/>
        <c:scaling>
          <c:orientation val="minMax"/>
        </c:scaling>
        <c:delete val="0"/>
        <c:axPos val="b"/>
        <c:numFmt formatCode="&quot;FY&quot;0&quot;A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251237216"/>
        <c:crossesAt val="-2.0000000000000004E-2"/>
        <c:auto val="1"/>
        <c:lblAlgn val="ctr"/>
        <c:lblOffset val="100"/>
        <c:noMultiLvlLbl val="0"/>
      </c:catAx>
      <c:valAx>
        <c:axId val="251237216"/>
        <c:scaling>
          <c:orientation val="minMax"/>
        </c:scaling>
        <c:delete val="0"/>
        <c:axPos val="l"/>
        <c:numFmt formatCode="_(0.0%_);\(0.0%\);\-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25123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solidFill>
            <a:schemeClr val="tx1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sng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b="1" u="sng"/>
              <a:t>Transaction Revenue vs Bitcoin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sng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for Deck'!$AB$48</c:f>
              <c:strCache>
                <c:ptCount val="1"/>
                <c:pt idx="0">
                  <c:v>Txn Revenue</c:v>
                </c:pt>
              </c:strCache>
            </c:strRef>
          </c:tx>
          <c:spPr>
            <a:solidFill>
              <a:srgbClr val="022060"/>
            </a:solidFill>
            <a:ln>
              <a:noFill/>
            </a:ln>
            <a:effectLst/>
          </c:spPr>
          <c:invertIfNegative val="0"/>
          <c:cat>
            <c:numRef>
              <c:f>'Charts for Deck'!$AA$53:$AA$68</c:f>
              <c:numCache>
                <c:formatCode>d\-mmm\-yy</c:formatCode>
                <c:ptCount val="16"/>
                <c:pt idx="0">
                  <c:v>44651</c:v>
                </c:pt>
                <c:pt idx="1">
                  <c:v>44742</c:v>
                </c:pt>
                <c:pt idx="2">
                  <c:v>44834</c:v>
                </c:pt>
                <c:pt idx="3">
                  <c:v>44926</c:v>
                </c:pt>
                <c:pt idx="4">
                  <c:v>45016</c:v>
                </c:pt>
                <c:pt idx="5">
                  <c:v>45107</c:v>
                </c:pt>
                <c:pt idx="6">
                  <c:v>45199</c:v>
                </c:pt>
                <c:pt idx="7">
                  <c:v>45291</c:v>
                </c:pt>
                <c:pt idx="8">
                  <c:v>45382</c:v>
                </c:pt>
                <c:pt idx="9">
                  <c:v>45473</c:v>
                </c:pt>
                <c:pt idx="10">
                  <c:v>45565</c:v>
                </c:pt>
                <c:pt idx="11">
                  <c:v>45657</c:v>
                </c:pt>
                <c:pt idx="12">
                  <c:v>45747</c:v>
                </c:pt>
                <c:pt idx="13">
                  <c:v>45838</c:v>
                </c:pt>
                <c:pt idx="14">
                  <c:v>45930</c:v>
                </c:pt>
                <c:pt idx="15">
                  <c:v>46022</c:v>
                </c:pt>
              </c:numCache>
            </c:numRef>
          </c:cat>
          <c:val>
            <c:numRef>
              <c:f>'Charts for Deck'!$AB$53:$AB$68</c:f>
              <c:numCache>
                <c:formatCode>#,##0.0</c:formatCode>
                <c:ptCount val="16"/>
                <c:pt idx="0">
                  <c:v>1.0129999999999999</c:v>
                </c:pt>
                <c:pt idx="1">
                  <c:v>0.6552</c:v>
                </c:pt>
                <c:pt idx="2">
                  <c:v>0.3659</c:v>
                </c:pt>
                <c:pt idx="3">
                  <c:v>0.32219999999999999</c:v>
                </c:pt>
                <c:pt idx="4">
                  <c:v>0.38400000000000001</c:v>
                </c:pt>
                <c:pt idx="5">
                  <c:v>0.37540000000000001</c:v>
                </c:pt>
                <c:pt idx="6">
                  <c:v>0.28849999999999998</c:v>
                </c:pt>
                <c:pt idx="7">
                  <c:v>0.5292</c:v>
                </c:pt>
                <c:pt idx="8">
                  <c:v>1.0767</c:v>
                </c:pt>
                <c:pt idx="9">
                  <c:v>0.78090000000000004</c:v>
                </c:pt>
                <c:pt idx="10">
                  <c:v>0.5726</c:v>
                </c:pt>
                <c:pt idx="11">
                  <c:v>1.556</c:v>
                </c:pt>
                <c:pt idx="12">
                  <c:v>1.2622</c:v>
                </c:pt>
                <c:pt idx="13">
                  <c:v>0.76419999999999999</c:v>
                </c:pt>
                <c:pt idx="14">
                  <c:v>1.0462</c:v>
                </c:pt>
                <c:pt idx="15">
                  <c:v>0.98270000000000002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2B-C84D-95BD-AED4A15E4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2493247"/>
        <c:axId val="2109909055"/>
      </c:barChart>
      <c:lineChart>
        <c:grouping val="standard"/>
        <c:varyColors val="0"/>
        <c:ser>
          <c:idx val="1"/>
          <c:order val="1"/>
          <c:tx>
            <c:strRef>
              <c:f>'Charts for Deck'!$AC$48</c:f>
              <c:strCache>
                <c:ptCount val="1"/>
                <c:pt idx="0">
                  <c:v>BTC-USD</c:v>
                </c:pt>
              </c:strCache>
            </c:strRef>
          </c:tx>
          <c:spPr>
            <a:ln w="28575" cap="rnd">
              <a:solidFill>
                <a:srgbClr val="C9A227"/>
              </a:solidFill>
              <a:round/>
            </a:ln>
            <a:effectLst/>
          </c:spPr>
          <c:marker>
            <c:symbol val="none"/>
          </c:marker>
          <c:cat>
            <c:numRef>
              <c:f>'Charts for Deck'!$AA$53:$AA$68</c:f>
              <c:numCache>
                <c:formatCode>d\-mmm\-yy</c:formatCode>
                <c:ptCount val="16"/>
                <c:pt idx="0">
                  <c:v>44651</c:v>
                </c:pt>
                <c:pt idx="1">
                  <c:v>44742</c:v>
                </c:pt>
                <c:pt idx="2">
                  <c:v>44834</c:v>
                </c:pt>
                <c:pt idx="3">
                  <c:v>44926</c:v>
                </c:pt>
                <c:pt idx="4">
                  <c:v>45016</c:v>
                </c:pt>
                <c:pt idx="5">
                  <c:v>45107</c:v>
                </c:pt>
                <c:pt idx="6">
                  <c:v>45199</c:v>
                </c:pt>
                <c:pt idx="7">
                  <c:v>45291</c:v>
                </c:pt>
                <c:pt idx="8">
                  <c:v>45382</c:v>
                </c:pt>
                <c:pt idx="9">
                  <c:v>45473</c:v>
                </c:pt>
                <c:pt idx="10">
                  <c:v>45565</c:v>
                </c:pt>
                <c:pt idx="11">
                  <c:v>45657</c:v>
                </c:pt>
                <c:pt idx="12">
                  <c:v>45747</c:v>
                </c:pt>
                <c:pt idx="13">
                  <c:v>45838</c:v>
                </c:pt>
                <c:pt idx="14">
                  <c:v>45930</c:v>
                </c:pt>
                <c:pt idx="15">
                  <c:v>46022</c:v>
                </c:pt>
              </c:numCache>
            </c:numRef>
          </c:cat>
          <c:val>
            <c:numRef>
              <c:f>'Charts for Deck'!$AC$53:$AC$68</c:f>
              <c:numCache>
                <c:formatCode>General</c:formatCode>
                <c:ptCount val="16"/>
                <c:pt idx="0">
                  <c:v>45521.5</c:v>
                </c:pt>
                <c:pt idx="1">
                  <c:v>19913.14</c:v>
                </c:pt>
                <c:pt idx="2">
                  <c:v>19424.580000000002</c:v>
                </c:pt>
                <c:pt idx="3">
                  <c:v>16529.2</c:v>
                </c:pt>
                <c:pt idx="4">
                  <c:v>28474.26</c:v>
                </c:pt>
                <c:pt idx="5">
                  <c:v>30472.82</c:v>
                </c:pt>
                <c:pt idx="6">
                  <c:v>26968.959999999999</c:v>
                </c:pt>
                <c:pt idx="7">
                  <c:v>42291.37</c:v>
                </c:pt>
                <c:pt idx="8">
                  <c:v>71341.710000000006</c:v>
                </c:pt>
                <c:pt idx="9">
                  <c:v>60860.1</c:v>
                </c:pt>
                <c:pt idx="10">
                  <c:v>64544.22</c:v>
                </c:pt>
                <c:pt idx="11">
                  <c:v>92382.89</c:v>
                </c:pt>
                <c:pt idx="12">
                  <c:v>81559.22</c:v>
                </c:pt>
                <c:pt idx="13">
                  <c:v>108527.5</c:v>
                </c:pt>
                <c:pt idx="14">
                  <c:v>114433.1</c:v>
                </c:pt>
                <c:pt idx="15">
                  <c:v>88262.84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2B-C84D-95BD-AED4A15E4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906815"/>
        <c:axId val="2109913983"/>
      </c:lineChart>
      <c:dateAx>
        <c:axId val="2112493247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KR"/>
          </a:p>
        </c:txPr>
        <c:crossAx val="2109909055"/>
        <c:crosses val="autoZero"/>
        <c:auto val="1"/>
        <c:lblOffset val="100"/>
        <c:baseTimeUnit val="months"/>
      </c:dateAx>
      <c:valAx>
        <c:axId val="2109909055"/>
        <c:scaling>
          <c:orientation val="minMax"/>
        </c:scaling>
        <c:delete val="0"/>
        <c:axPos val="l"/>
        <c:numFmt formatCode="#,##0.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KR"/>
          </a:p>
        </c:txPr>
        <c:crossAx val="2112493247"/>
        <c:crosses val="autoZero"/>
        <c:crossBetween val="between"/>
      </c:valAx>
      <c:valAx>
        <c:axId val="2109913983"/>
        <c:scaling>
          <c:orientation val="minMax"/>
        </c:scaling>
        <c:delete val="0"/>
        <c:axPos val="r"/>
        <c:numFmt formatCode="_(* #,##0.0_);_(* \(#,##0.0\);_(* &quot;-&quot;??_);_(@_)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KR"/>
          </a:p>
        </c:txPr>
        <c:crossAx val="2109906815"/>
        <c:crosses val="max"/>
        <c:crossBetween val="between"/>
      </c:valAx>
      <c:dateAx>
        <c:axId val="2109906815"/>
        <c:scaling>
          <c:orientation val="minMax"/>
        </c:scaling>
        <c:delete val="1"/>
        <c:axPos val="b"/>
        <c:numFmt formatCode="d\-mmm\-yy" sourceLinked="1"/>
        <c:majorTickMark val="out"/>
        <c:minorTickMark val="none"/>
        <c:tickLblPos val="nextTo"/>
        <c:crossAx val="2109913983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22060"/>
            </a:solidFill>
          </c:spPr>
          <c:dPt>
            <c:idx val="0"/>
            <c:bubble3D val="0"/>
            <c:spPr>
              <a:solidFill>
                <a:srgbClr val="02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174-4B4A-A572-5196917D216A}"/>
              </c:ext>
            </c:extLst>
          </c:dPt>
          <c:dPt>
            <c:idx val="1"/>
            <c:bubble3D val="0"/>
            <c:spPr>
              <a:solidFill>
                <a:srgbClr val="C9A22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74-4B4A-A572-5196917D216A}"/>
              </c:ext>
            </c:extLst>
          </c:dPt>
          <c:dPt>
            <c:idx val="2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174-4B4A-A572-5196917D21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'Charts for Deck'!$D$361:$D$364</c15:sqref>
                  </c15:fullRef>
                </c:ext>
              </c:extLst>
              <c:f>'Charts for Deck'!$D$361:$D$363</c:f>
              <c:strCache>
                <c:ptCount val="3"/>
                <c:pt idx="0">
                  <c:v>Institutional Shareholders </c:v>
                </c:pt>
                <c:pt idx="1">
                  <c:v>Insiders </c:v>
                </c:pt>
                <c:pt idx="2">
                  <c:v>Retail Investors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'Charts for Deck'!$E$361:$E$364</c15:sqref>
                  </c15:fullRef>
                </c:ext>
              </c:extLst>
              <c:f>'Charts for Deck'!$E$361:$E$363</c:f>
              <c:numCache>
                <c:formatCode>0.00%</c:formatCode>
                <c:ptCount val="3"/>
                <c:pt idx="0">
                  <c:v>0.55820000000000003</c:v>
                </c:pt>
                <c:pt idx="1">
                  <c:v>0.15989999999999999</c:v>
                </c:pt>
                <c:pt idx="2">
                  <c:v>0.28179999999999999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F174-4B4A-A572-5196917D21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219997957665827"/>
          <c:y val="0.38804203679145338"/>
          <c:w val="0.30596072319666495"/>
          <c:h val="0.223915926417093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 u="sng"/>
              <a:t>Net Revenue vs S&amp;M Expense</a:t>
            </a:r>
            <a:r>
              <a:rPr lang="en-US" b="1" u="sng" baseline="0"/>
              <a:t> (US$B)</a:t>
            </a:r>
            <a:endParaRPr lang="en-US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for Deck'!$AA$79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02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'Charts for Deck'!$AB$78:$AG$78</c:f>
              <c:numCache>
                <c:formatCode>"FY"0"A"</c:formatCode>
                <c:ptCount val="6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 formatCode="&quot;FY&quot;0&quot;F&quot;">
                  <c:v>26</c:v>
                </c:pt>
              </c:numCache>
            </c:numRef>
          </c:cat>
          <c:val>
            <c:numRef>
              <c:f>'Charts for Deck'!$AB$79:$AG$79</c:f>
              <c:numCache>
                <c:formatCode>#,##0.0</c:formatCode>
                <c:ptCount val="6"/>
                <c:pt idx="0">
                  <c:v>7.3547539999999998</c:v>
                </c:pt>
                <c:pt idx="1">
                  <c:v>3.1488149999999999</c:v>
                </c:pt>
                <c:pt idx="2">
                  <c:v>2.9265400000000001</c:v>
                </c:pt>
                <c:pt idx="3">
                  <c:v>6.2932459999999999</c:v>
                </c:pt>
                <c:pt idx="4">
                  <c:v>6.8834379999999999</c:v>
                </c:pt>
                <c:pt idx="5">
                  <c:v>7.4765964093261532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8B-D14B-924C-CBE65BDC9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8774079"/>
        <c:axId val="2018770943"/>
      </c:barChart>
      <c:lineChart>
        <c:grouping val="standard"/>
        <c:varyColors val="0"/>
        <c:ser>
          <c:idx val="1"/>
          <c:order val="1"/>
          <c:tx>
            <c:strRef>
              <c:f>'Charts for Deck'!$AA$80</c:f>
              <c:strCache>
                <c:ptCount val="1"/>
                <c:pt idx="0">
                  <c:v>Sales and Marketing Expense</c:v>
                </c:pt>
              </c:strCache>
            </c:strRef>
          </c:tx>
          <c:spPr>
            <a:ln w="28575" cap="rnd">
              <a:solidFill>
                <a:srgbClr val="C9A227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C9A227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'Charts for Deck'!$AB$78:$AG$78</c:f>
              <c:numCache>
                <c:formatCode>"FY"0"A"</c:formatCode>
                <c:ptCount val="6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 formatCode="&quot;FY&quot;0&quot;F&quot;">
                  <c:v>26</c:v>
                </c:pt>
              </c:numCache>
            </c:numRef>
          </c:cat>
          <c:val>
            <c:numRef>
              <c:f>'Charts for Deck'!$AB$80:$AG$80</c:f>
              <c:numCache>
                <c:formatCode>#,##0.0</c:formatCode>
                <c:ptCount val="6"/>
                <c:pt idx="0">
                  <c:v>0.66369</c:v>
                </c:pt>
                <c:pt idx="1">
                  <c:v>0.51008900000000001</c:v>
                </c:pt>
                <c:pt idx="2">
                  <c:v>0.332312</c:v>
                </c:pt>
                <c:pt idx="3">
                  <c:v>0.65444400000000003</c:v>
                </c:pt>
                <c:pt idx="4">
                  <c:v>1.0585770000000001</c:v>
                </c:pt>
                <c:pt idx="5">
                  <c:v>0.78702742871742948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8B-D14B-924C-CBE65BDC9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5130623"/>
        <c:axId val="2115128831"/>
      </c:lineChart>
      <c:catAx>
        <c:axId val="2018774079"/>
        <c:scaling>
          <c:orientation val="minMax"/>
        </c:scaling>
        <c:delete val="0"/>
        <c:axPos val="b"/>
        <c:numFmt formatCode="&quot;FY&quot;0&quot;A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KR"/>
          </a:p>
        </c:txPr>
        <c:crossAx val="2018770943"/>
        <c:crosses val="autoZero"/>
        <c:auto val="1"/>
        <c:lblAlgn val="ctr"/>
        <c:lblOffset val="100"/>
        <c:noMultiLvlLbl val="0"/>
      </c:catAx>
      <c:valAx>
        <c:axId val="2018770943"/>
        <c:scaling>
          <c:orientation val="minMax"/>
        </c:scaling>
        <c:delete val="0"/>
        <c:axPos val="l"/>
        <c:numFmt formatCode="_(* #,##0.0_);_(* \(#,##0.0\);_(* &quot;-&quot;??_);_(@_)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KR"/>
          </a:p>
        </c:txPr>
        <c:crossAx val="2018774079"/>
        <c:crosses val="autoZero"/>
        <c:crossBetween val="between"/>
      </c:valAx>
      <c:valAx>
        <c:axId val="2115128831"/>
        <c:scaling>
          <c:orientation val="minMax"/>
        </c:scaling>
        <c:delete val="0"/>
        <c:axPos val="r"/>
        <c:numFmt formatCode="_(* #,##0.0_);_(* \(#,##0.0\);_(* &quot;-&quot;??_);_(@_)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KR"/>
          </a:p>
        </c:txPr>
        <c:crossAx val="2115130623"/>
        <c:crosses val="max"/>
        <c:crossBetween val="between"/>
      </c:valAx>
      <c:catAx>
        <c:axId val="2115130623"/>
        <c:scaling>
          <c:orientation val="minMax"/>
        </c:scaling>
        <c:delete val="1"/>
        <c:axPos val="b"/>
        <c:numFmt formatCode="&quot;FY&quot;0&quot;A&quot;" sourceLinked="1"/>
        <c:majorTickMark val="none"/>
        <c:minorTickMark val="none"/>
        <c:tickLblPos val="nextTo"/>
        <c:crossAx val="21151288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sng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SG"/>
              <a:t>Chart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sng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'Charts for Deck'!$C$340:$C$341</c:f>
              <c:strCache>
                <c:ptCount val="2"/>
                <c:pt idx="0">
                  <c:v>Bitcoin Market</c:v>
                </c:pt>
                <c:pt idx="1">
                  <c:v>Institutional Assets</c:v>
                </c:pt>
              </c:strCache>
            </c:strRef>
          </c:cat>
          <c:val>
            <c:numRef>
              <c:f>'Charts for Deck'!$D$340:$D$341</c:f>
              <c:numCache>
                <c:formatCode>General</c:formatCode>
                <c:ptCount val="2"/>
                <c:pt idx="0" formatCode="#,##0.0_);\(#,##0.0\);#,##0.0_);@_)">
                  <c:v>1.34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2-4F52-A1B5-199DED565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7412528"/>
        <c:axId val="1997413968"/>
      </c:barChart>
      <c:catAx>
        <c:axId val="1997412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97413968"/>
        <c:crosses val="autoZero"/>
        <c:auto val="1"/>
        <c:lblAlgn val="ctr"/>
        <c:lblOffset val="100"/>
        <c:noMultiLvlLbl val="0"/>
      </c:catAx>
      <c:valAx>
        <c:axId val="1997413968"/>
        <c:scaling>
          <c:orientation val="minMax"/>
          <c:max val="10"/>
        </c:scaling>
        <c:delete val="0"/>
        <c:axPos val="l"/>
        <c:numFmt formatCode="#,##0.0_);\(#,##0.0\);#,##0.0_);@_)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9741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sng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 u="sng"/>
              <a:t>Total Subscription &amp; Services (US$B)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sng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for Deck'!$AW$70</c:f>
              <c:strCache>
                <c:ptCount val="1"/>
                <c:pt idx="0">
                  <c:v>Total Subscription &amp; Services</c:v>
                </c:pt>
              </c:strCache>
            </c:strRef>
          </c:tx>
          <c:spPr>
            <a:solidFill>
              <a:srgbClr val="02206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22060"/>
              </a:solidFill>
              <a:ln>
                <a:solidFill>
                  <a:srgbClr val="02206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'Charts for Deck'!$AX$69:$BG$69</c:f>
              <c:numCache>
                <c:formatCode>"FY"0"F"</c:formatCode>
                <c:ptCount val="10"/>
                <c:pt idx="0" formatCode="&quot;FY&quot;0&quot;A&quot;">
                  <c:v>25</c:v>
                </c:pt>
                <c:pt idx="5">
                  <c:v>30</c:v>
                </c:pt>
              </c:numCache>
            </c:numRef>
          </c:cat>
          <c:val>
            <c:numRef>
              <c:f>'Charts for Deck'!$AX$70:$BG$70</c:f>
              <c:numCache>
                <c:formatCode>_(* #,##0.0_);_(* \(#,##0.0\);_(* "-"??_);_(@_)</c:formatCode>
                <c:ptCount val="10"/>
                <c:pt idx="0">
                  <c:v>2.8279999999999998</c:v>
                </c:pt>
                <c:pt idx="5">
                  <c:v>5.1928045378271088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2-3442-BEE6-6DCD24522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8557695"/>
        <c:axId val="1598569791"/>
      </c:barChart>
      <c:catAx>
        <c:axId val="1598557695"/>
        <c:scaling>
          <c:orientation val="minMax"/>
        </c:scaling>
        <c:delete val="0"/>
        <c:axPos val="b"/>
        <c:numFmt formatCode="&quot;FY&quot;0&quot;A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KR"/>
          </a:p>
        </c:txPr>
        <c:crossAx val="1598569791"/>
        <c:crosses val="autoZero"/>
        <c:auto val="1"/>
        <c:lblAlgn val="ctr"/>
        <c:lblOffset val="100"/>
        <c:noMultiLvlLbl val="0"/>
      </c:catAx>
      <c:valAx>
        <c:axId val="1598569791"/>
        <c:scaling>
          <c:orientation val="minMax"/>
        </c:scaling>
        <c:delete val="0"/>
        <c:axPos val="l"/>
        <c:numFmt formatCode="_(* #,##0.0_);_(* \(#,##0.0\);_(* &quot;-&quot;??_);_(@_)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KR"/>
          </a:p>
        </c:txPr>
        <c:crossAx val="159855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'Charts for Deck'!$AW$72</c:f>
              <c:strCache>
                <c:ptCount val="1"/>
                <c:pt idx="0">
                  <c:v>  Stablecoin revenue</c:v>
                </c:pt>
              </c:strCache>
            </c:strRef>
          </c:tx>
          <c:spPr>
            <a:solidFill>
              <a:srgbClr val="A0002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'Charts for Deck'!$AX$72</c:f>
              <c:numCache>
                <c:formatCode>_(0.0%_);\(0.0%\);\-</c:formatCode>
                <c:ptCount val="1"/>
                <c:pt idx="0">
                  <c:v>0.47694483734087695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28-2341-8765-E66EA1BFE620}"/>
            </c:ext>
          </c:extLst>
        </c:ser>
        <c:ser>
          <c:idx val="1"/>
          <c:order val="1"/>
          <c:tx>
            <c:strRef>
              <c:f>'Charts for Deck'!$AW$73</c:f>
              <c:strCache>
                <c:ptCount val="1"/>
                <c:pt idx="0">
                  <c:v>  Blockchain rewards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'Charts for Deck'!$AX$73</c:f>
              <c:numCache>
                <c:formatCode>_(0.0%_);\(0.0%\);\-</c:formatCode>
                <c:ptCount val="1"/>
                <c:pt idx="0">
                  <c:v>0.2394978783592645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28-2341-8765-E66EA1BFE620}"/>
            </c:ext>
          </c:extLst>
        </c:ser>
        <c:ser>
          <c:idx val="2"/>
          <c:order val="2"/>
          <c:tx>
            <c:strRef>
              <c:f>'Charts for Deck'!$AW$74</c:f>
              <c:strCache>
                <c:ptCount val="1"/>
                <c:pt idx="0">
                  <c:v>  Interest &amp; finance fee</c:v>
                </c:pt>
              </c:strCache>
            </c:strRef>
          </c:tx>
          <c:spPr>
            <a:solidFill>
              <a:srgbClr val="C1E5F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'Charts for Deck'!$AX$74</c:f>
              <c:numCache>
                <c:formatCode>_(0.0%_);\(0.0%\);\-</c:formatCode>
                <c:ptCount val="1"/>
                <c:pt idx="0">
                  <c:v>8.7376237623762371E-2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28-2341-8765-E66EA1BFE620}"/>
            </c:ext>
          </c:extLst>
        </c:ser>
        <c:ser>
          <c:idx val="3"/>
          <c:order val="3"/>
          <c:tx>
            <c:strRef>
              <c:f>'Charts for Deck'!$AW$75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'Charts for Deck'!$AX$75</c:f>
              <c:numCache>
                <c:formatCode>_(0.0%_);\(0.0%\);\-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3-2F28-2341-8765-E66EA1BFE620}"/>
            </c:ext>
          </c:extLst>
        </c:ser>
        <c:ser>
          <c:idx val="4"/>
          <c:order val="4"/>
          <c:tx>
            <c:strRef>
              <c:f>'Charts for Deck'!$AW$76</c:f>
              <c:strCache>
                <c:ptCount val="1"/>
                <c:pt idx="0">
                  <c:v>  Other subscription &amp; services</c:v>
                </c:pt>
              </c:strCache>
            </c:strRef>
          </c:tx>
          <c:spPr>
            <a:solidFill>
              <a:srgbClr val="45B1E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'Charts for Deck'!$AX$76</c:f>
              <c:numCache>
                <c:formatCode>_(0.0%_);\(0.0%\);\-</c:formatCode>
                <c:ptCount val="1"/>
                <c:pt idx="0">
                  <c:v>0.19618104667609618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28-2341-8765-E66EA1BFE62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70039423"/>
        <c:axId val="1570041663"/>
      </c:barChart>
      <c:catAx>
        <c:axId val="15700394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0041663"/>
        <c:crosses val="autoZero"/>
        <c:auto val="1"/>
        <c:lblAlgn val="ctr"/>
        <c:lblOffset val="100"/>
        <c:noMultiLvlLbl val="0"/>
      </c:catAx>
      <c:valAx>
        <c:axId val="1570041663"/>
        <c:scaling>
          <c:orientation val="minMax"/>
        </c:scaling>
        <c:delete val="1"/>
        <c:axPos val="l"/>
        <c:numFmt formatCode="_(0.0%_);\(0.0%\);\-" sourceLinked="1"/>
        <c:majorTickMark val="none"/>
        <c:minorTickMark val="none"/>
        <c:tickLblPos val="nextTo"/>
        <c:crossAx val="157003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7125271198775"/>
          <c:y val="0.17655896702081073"/>
          <c:w val="0.82779719052352452"/>
          <c:h val="0.7222671839639176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'Charts for Deck'!$BB$72</c:f>
              <c:strCache>
                <c:ptCount val="1"/>
                <c:pt idx="0">
                  <c:v>  Stablecoin revenue</c:v>
                </c:pt>
              </c:strCache>
            </c:strRef>
          </c:tx>
          <c:spPr>
            <a:solidFill>
              <a:srgbClr val="A0002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'Charts for Deck'!$BC$72</c:f>
              <c:numCache>
                <c:formatCode>_(0.0%_);\(0.0%\);\-</c:formatCode>
                <c:ptCount val="1"/>
                <c:pt idx="0">
                  <c:v>0.46040512301079001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0A-514B-AF29-C3F362962837}"/>
            </c:ext>
          </c:extLst>
        </c:ser>
        <c:ser>
          <c:idx val="1"/>
          <c:order val="1"/>
          <c:tx>
            <c:strRef>
              <c:f>'Charts for Deck'!$BB$73</c:f>
              <c:strCache>
                <c:ptCount val="1"/>
                <c:pt idx="0">
                  <c:v>  Blockchain rewards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'Charts for Deck'!$BC$73</c:f>
              <c:numCache>
                <c:formatCode>_(0.0%_);\(0.0%\);\-</c:formatCode>
                <c:ptCount val="1"/>
                <c:pt idx="0">
                  <c:v>0.27128184473983413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0A-514B-AF29-C3F362962837}"/>
            </c:ext>
          </c:extLst>
        </c:ser>
        <c:ser>
          <c:idx val="2"/>
          <c:order val="2"/>
          <c:tx>
            <c:strRef>
              <c:f>'Charts for Deck'!$BB$74</c:f>
              <c:strCache>
                <c:ptCount val="1"/>
                <c:pt idx="0">
                  <c:v>  Interest &amp; finance fee income</c:v>
                </c:pt>
              </c:strCache>
            </c:strRef>
          </c:tx>
          <c:spPr>
            <a:solidFill>
              <a:srgbClr val="C1E5F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'Charts for Deck'!$BC$74</c:f>
              <c:numCache>
                <c:formatCode>_(0.0%_);\(0.0%\);\-</c:formatCode>
                <c:ptCount val="1"/>
                <c:pt idx="0">
                  <c:v>0.11462474287477789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0A-514B-AF29-C3F362962837}"/>
            </c:ext>
          </c:extLst>
        </c:ser>
        <c:ser>
          <c:idx val="3"/>
          <c:order val="3"/>
          <c:tx>
            <c:strRef>
              <c:f>'Charts for Deck'!$BB$75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'Charts for Deck'!$BC$75</c:f>
              <c:numCache>
                <c:formatCode>_(0.0%_);\(0.0%\);\-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3-960A-514B-AF29-C3F362962837}"/>
            </c:ext>
          </c:extLst>
        </c:ser>
        <c:ser>
          <c:idx val="4"/>
          <c:order val="4"/>
          <c:tx>
            <c:strRef>
              <c:f>'Charts for Deck'!$BB$76</c:f>
              <c:strCache>
                <c:ptCount val="1"/>
                <c:pt idx="0">
                  <c:v>  Other subscription &amp; services</c:v>
                </c:pt>
              </c:strCache>
            </c:strRef>
          </c:tx>
          <c:spPr>
            <a:solidFill>
              <a:srgbClr val="45B1E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'Charts for Deck'!$BC$76</c:f>
              <c:numCache>
                <c:formatCode>_(0.0%_);\(0.0%\);\-</c:formatCode>
                <c:ptCount val="1"/>
                <c:pt idx="0">
                  <c:v>0.15368828937459808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0A-514B-AF29-C3F36296283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70330303"/>
        <c:axId val="1570333439"/>
      </c:barChart>
      <c:catAx>
        <c:axId val="15703303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0333439"/>
        <c:crosses val="autoZero"/>
        <c:auto val="1"/>
        <c:lblAlgn val="ctr"/>
        <c:lblOffset val="100"/>
        <c:noMultiLvlLbl val="0"/>
      </c:catAx>
      <c:valAx>
        <c:axId val="1570333439"/>
        <c:scaling>
          <c:orientation val="minMax"/>
        </c:scaling>
        <c:delete val="1"/>
        <c:axPos val="l"/>
        <c:numFmt formatCode="_(0.0%_);\(0.0%\);\-" sourceLinked="1"/>
        <c:majorTickMark val="none"/>
        <c:minorTickMark val="none"/>
        <c:tickLblPos val="nextTo"/>
        <c:crossAx val="1570330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b="1" i="0" u="sng" strike="noStrike" baseline="0"/>
              <a:t>S&amp;S Revenue Scales to Cover Fixed Cost Base</a:t>
            </a:r>
            <a:endParaRPr lang="en-US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for Deck'!$BM$53</c:f>
              <c:strCache>
                <c:ptCount val="1"/>
                <c:pt idx="0">
                  <c:v>Total Subscription &amp; Services</c:v>
                </c:pt>
              </c:strCache>
            </c:strRef>
          </c:tx>
          <c:spPr>
            <a:solidFill>
              <a:srgbClr val="022060"/>
            </a:solidFill>
            <a:ln>
              <a:noFill/>
            </a:ln>
            <a:effectLst/>
          </c:spPr>
          <c:invertIfNegative val="0"/>
          <c:cat>
            <c:numRef>
              <c:f>'Charts for Deck'!$BN$52:$BS$52</c:f>
              <c:numCache>
                <c:formatCode>"FY"0"F"</c:formatCode>
                <c:ptCount val="6"/>
                <c:pt idx="0" formatCode="&quot;FY&quot;0&quot;A&quot;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</c:numCache>
            </c:numRef>
          </c:cat>
          <c:val>
            <c:numRef>
              <c:f>'Charts for Deck'!$BN$53:$BS$53</c:f>
              <c:numCache>
                <c:formatCode>_(* #,##0.0_);_(* \(#,##0.0\);_(* "-"??_);_(@_)</c:formatCode>
                <c:ptCount val="6"/>
                <c:pt idx="0">
                  <c:v>2.8279999999999998</c:v>
                </c:pt>
                <c:pt idx="1">
                  <c:v>3.6775713474313849</c:v>
                </c:pt>
                <c:pt idx="2">
                  <c:v>4.2749671727987488</c:v>
                </c:pt>
                <c:pt idx="3">
                  <c:v>4.5614065272153708</c:v>
                </c:pt>
                <c:pt idx="4">
                  <c:v>4.8623952710534031</c:v>
                </c:pt>
                <c:pt idx="5">
                  <c:v>5.1928045378271088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9-E340-B1E9-5E769A892BA0}"/>
            </c:ext>
          </c:extLst>
        </c:ser>
        <c:ser>
          <c:idx val="1"/>
          <c:order val="1"/>
          <c:tx>
            <c:strRef>
              <c:f>'Charts for Deck'!$BM$54</c:f>
              <c:strCache>
                <c:ptCount val="1"/>
                <c:pt idx="0">
                  <c:v>Total Fixed Cost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  <a:effectLst/>
          </c:spPr>
          <c:invertIfNegative val="0"/>
          <c:cat>
            <c:numRef>
              <c:f>'Charts for Deck'!$BN$52:$BS$52</c:f>
              <c:numCache>
                <c:formatCode>"FY"0"F"</c:formatCode>
                <c:ptCount val="6"/>
                <c:pt idx="0" formatCode="&quot;FY&quot;0&quot;A&quot;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</c:numCache>
            </c:numRef>
          </c:cat>
          <c:val>
            <c:numRef>
              <c:f>'Charts for Deck'!$BN$54:$BS$54</c:f>
              <c:numCache>
                <c:formatCode>_(* #,##0.0_);_(* \(#,##0.0\);_(* "-"??_);_(@_)</c:formatCode>
                <c:ptCount val="6"/>
                <c:pt idx="0">
                  <c:v>3.2902469999999999</c:v>
                </c:pt>
                <c:pt idx="1">
                  <c:v>3.3917022065578291</c:v>
                </c:pt>
                <c:pt idx="2">
                  <c:v>3.7909132582008831</c:v>
                </c:pt>
                <c:pt idx="3">
                  <c:v>4.230706796479204</c:v>
                </c:pt>
                <c:pt idx="4">
                  <c:v>4.8997314156453218</c:v>
                </c:pt>
                <c:pt idx="5">
                  <c:v>5.9920391770849362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19-E340-B1E9-5E769A892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0498047"/>
        <c:axId val="1617264639"/>
      </c:barChart>
      <c:lineChart>
        <c:grouping val="standard"/>
        <c:varyColors val="0"/>
        <c:ser>
          <c:idx val="2"/>
          <c:order val="2"/>
          <c:tx>
            <c:strRef>
              <c:f>'Charts for Deck'!$BM$55</c:f>
              <c:strCache>
                <c:ptCount val="1"/>
                <c:pt idx="0">
                  <c:v>Coverage</c:v>
                </c:pt>
              </c:strCache>
            </c:strRef>
          </c:tx>
          <c:spPr>
            <a:ln w="28575" cap="rnd">
              <a:solidFill>
                <a:srgbClr val="A0002A"/>
              </a:solidFill>
              <a:round/>
            </a:ln>
            <a:effectLst/>
          </c:spPr>
          <c:marker>
            <c:symbol val="none"/>
          </c:marker>
          <c:cat>
            <c:numRef>
              <c:f>'Charts for Deck'!$BN$52:$BS$52</c:f>
              <c:numCache>
                <c:formatCode>"FY"0"F"</c:formatCode>
                <c:ptCount val="6"/>
                <c:pt idx="0" formatCode="&quot;FY&quot;0&quot;A&quot;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</c:numCache>
            </c:numRef>
          </c:cat>
          <c:val>
            <c:numRef>
              <c:f>'Charts for Deck'!$BN$55:$BS$55</c:f>
              <c:numCache>
                <c:formatCode>0.0%;\(0.0%\);"-"</c:formatCode>
                <c:ptCount val="6"/>
                <c:pt idx="0">
                  <c:v>0.85950993952733634</c:v>
                </c:pt>
                <c:pt idx="1">
                  <c:v>1.0842848585942568</c:v>
                </c:pt>
                <c:pt idx="2">
                  <c:v>1.1276879426219293</c:v>
                </c:pt>
                <c:pt idx="3">
                  <c:v>1.0781665444202788</c:v>
                </c:pt>
                <c:pt idx="4">
                  <c:v>0.99237996097649339</c:v>
                </c:pt>
                <c:pt idx="5">
                  <c:v>0.86661725405362811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19-E340-B1E9-5E769A892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80511"/>
        <c:axId val="1570078719"/>
      </c:lineChart>
      <c:catAx>
        <c:axId val="1730498047"/>
        <c:scaling>
          <c:orientation val="minMax"/>
        </c:scaling>
        <c:delete val="0"/>
        <c:axPos val="b"/>
        <c:numFmt formatCode="&quot;FY&quot;0&quot;A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KR"/>
          </a:p>
        </c:txPr>
        <c:crossAx val="1617264639"/>
        <c:crosses val="autoZero"/>
        <c:auto val="1"/>
        <c:lblAlgn val="ctr"/>
        <c:lblOffset val="100"/>
        <c:noMultiLvlLbl val="0"/>
      </c:catAx>
      <c:valAx>
        <c:axId val="1617264639"/>
        <c:scaling>
          <c:orientation val="minMax"/>
        </c:scaling>
        <c:delete val="0"/>
        <c:axPos val="l"/>
        <c:numFmt formatCode="_(* #,##0.0_);_(* \(#,##0.0\);_(* &quot;-&quot;??_);_(@_)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KR"/>
          </a:p>
        </c:txPr>
        <c:crossAx val="1730498047"/>
        <c:crosses val="autoZero"/>
        <c:crossBetween val="between"/>
      </c:valAx>
      <c:valAx>
        <c:axId val="1570078719"/>
        <c:scaling>
          <c:orientation val="minMax"/>
        </c:scaling>
        <c:delete val="0"/>
        <c:axPos val="r"/>
        <c:numFmt formatCode="0.0%;\(0.0%\);&quot;-&quot;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KR"/>
          </a:p>
        </c:txPr>
        <c:crossAx val="1570080511"/>
        <c:crosses val="max"/>
        <c:crossBetween val="between"/>
      </c:valAx>
      <c:catAx>
        <c:axId val="1570080511"/>
        <c:scaling>
          <c:orientation val="minMax"/>
        </c:scaling>
        <c:delete val="1"/>
        <c:axPos val="b"/>
        <c:numFmt formatCode="&quot;FY&quot;0&quot;A&quot;" sourceLinked="1"/>
        <c:majorTickMark val="none"/>
        <c:minorTickMark val="none"/>
        <c:tickLblPos val="nextTo"/>
        <c:crossAx val="15700787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'Charts for Deck'!$BE$72</c:f>
              <c:strCache>
                <c:ptCount val="1"/>
                <c:pt idx="0">
                  <c:v>  Stablecoin revenue</c:v>
                </c:pt>
              </c:strCache>
            </c:strRef>
          </c:tx>
          <c:spPr>
            <a:solidFill>
              <a:srgbClr val="A0002A"/>
            </a:solidFill>
            <a:ln>
              <a:noFill/>
            </a:ln>
            <a:effectLst/>
          </c:spPr>
          <c:invertIfNegative val="0"/>
          <c:val>
            <c:numRef>
              <c:f>'Charts for Deck'!$BF$72</c:f>
              <c:numCache>
                <c:formatCode>_(0.0%_);\(0.0%\);\-</c:formatCode>
                <c:ptCount val="1"/>
                <c:pt idx="0">
                  <c:v>0.46040512301079001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B8-CA47-954F-9B0AF32615F3}"/>
            </c:ext>
          </c:extLst>
        </c:ser>
        <c:ser>
          <c:idx val="1"/>
          <c:order val="1"/>
          <c:tx>
            <c:strRef>
              <c:f>'Charts for Deck'!$BE$73</c:f>
              <c:strCache>
                <c:ptCount val="1"/>
                <c:pt idx="0">
                  <c:v>  Blockchain rewards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  <a:effectLst/>
          </c:spPr>
          <c:invertIfNegative val="0"/>
          <c:val>
            <c:numRef>
              <c:f>'Charts for Deck'!$BF$73</c:f>
              <c:numCache>
                <c:formatCode>_(0.0%_);\(0.0%\);\-</c:formatCode>
                <c:ptCount val="1"/>
                <c:pt idx="0">
                  <c:v>0.27128184473983413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B8-CA47-954F-9B0AF32615F3}"/>
            </c:ext>
          </c:extLst>
        </c:ser>
        <c:ser>
          <c:idx val="2"/>
          <c:order val="2"/>
          <c:tx>
            <c:strRef>
              <c:f>'Charts for Deck'!$BE$74</c:f>
              <c:strCache>
                <c:ptCount val="1"/>
                <c:pt idx="0">
                  <c:v>  Interest &amp; finance fee income</c:v>
                </c:pt>
              </c:strCache>
            </c:strRef>
          </c:tx>
          <c:spPr>
            <a:solidFill>
              <a:srgbClr val="C1E5F5"/>
            </a:solidFill>
            <a:ln>
              <a:noFill/>
            </a:ln>
            <a:effectLst/>
          </c:spPr>
          <c:invertIfNegative val="0"/>
          <c:val>
            <c:numRef>
              <c:f>'Charts for Deck'!$BF$74</c:f>
              <c:numCache>
                <c:formatCode>_(0.0%_);\(0.0%\);\-</c:formatCode>
                <c:ptCount val="1"/>
                <c:pt idx="0">
                  <c:v>0.11462474287477789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B8-CA47-954F-9B0AF32615F3}"/>
            </c:ext>
          </c:extLst>
        </c:ser>
        <c:ser>
          <c:idx val="3"/>
          <c:order val="3"/>
          <c:tx>
            <c:strRef>
              <c:f>'Charts for Deck'!$BE$75</c:f>
              <c:strCache>
                <c:ptCount val="1"/>
                <c:pt idx="0">
                  <c:v>  Other subscription &amp; 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'Charts for Deck'!$BF$75</c:f>
              <c:numCache>
                <c:formatCode>_(0.0%_);\(0.0%\);\-</c:formatCode>
                <c:ptCount val="1"/>
                <c:pt idx="0">
                  <c:v>0.15368828937459808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B8-CA47-954F-9B0AF3261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1733503"/>
        <c:axId val="1486572607"/>
      </c:barChart>
      <c:catAx>
        <c:axId val="16317335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86572607"/>
        <c:crosses val="autoZero"/>
        <c:auto val="1"/>
        <c:lblAlgn val="ctr"/>
        <c:lblOffset val="100"/>
        <c:noMultiLvlLbl val="0"/>
      </c:catAx>
      <c:valAx>
        <c:axId val="1486572607"/>
        <c:scaling>
          <c:orientation val="minMax"/>
        </c:scaling>
        <c:delete val="1"/>
        <c:axPos val="l"/>
        <c:numFmt formatCode="_(0.0%_);\(0.0%\);\-" sourceLinked="1"/>
        <c:majorTickMark val="none"/>
        <c:minorTickMark val="none"/>
        <c:tickLblPos val="nextTo"/>
        <c:crossAx val="163173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  Stablecoin Revenue (US$B)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for Deck'!$AR$35</c:f>
              <c:strCache>
                <c:ptCount val="1"/>
                <c:pt idx="0">
                  <c:v>  Stablecoin revenue</c:v>
                </c:pt>
              </c:strCache>
            </c:strRef>
          </c:tx>
          <c:spPr>
            <a:solidFill>
              <a:srgbClr val="022060"/>
            </a:solidFill>
            <a:ln>
              <a:noFill/>
            </a:ln>
            <a:effectLst/>
          </c:spPr>
          <c:invertIfNegative val="0"/>
          <c:cat>
            <c:numRef>
              <c:f>'Charts for Deck'!$AS$34:$AX$34</c:f>
              <c:numCache>
                <c:formatCode>"FY"0"F"</c:formatCode>
                <c:ptCount val="6"/>
                <c:pt idx="0" formatCode="&quot;FY&quot;0&quot;A&quot;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</c:numCache>
            </c:numRef>
          </c:cat>
          <c:val>
            <c:numRef>
              <c:f>'Charts for Deck'!$AS$35:$AX$35</c:f>
              <c:numCache>
                <c:formatCode>_(* #,##0.0_);_(* \(#,##0.0\);_(* "-"??_);_(@_)</c:formatCode>
                <c:ptCount val="6"/>
                <c:pt idx="0">
                  <c:v>1.3488</c:v>
                </c:pt>
                <c:pt idx="1">
                  <c:v>1.577801345252035</c:v>
                </c:pt>
                <c:pt idx="2">
                  <c:v>2.0193559877862191</c:v>
                </c:pt>
                <c:pt idx="3">
                  <c:v>2.12221396557978</c:v>
                </c:pt>
                <c:pt idx="4">
                  <c:v>2.2154119150220342</c:v>
                </c:pt>
                <c:pt idx="5">
                  <c:v>2.3907938120092789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8-4649-A041-94A513DDAC46}"/>
            </c:ext>
          </c:extLst>
        </c:ser>
        <c:ser>
          <c:idx val="1"/>
          <c:order val="1"/>
          <c:tx>
            <c:strRef>
              <c:f>'Charts for Deck'!$AR$36</c:f>
              <c:strCache>
                <c:ptCount val="1"/>
                <c:pt idx="0">
                  <c:v>Total Subscription &amp; Services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'Charts for Deck'!$AS$34:$AX$34</c:f>
              <c:numCache>
                <c:formatCode>"FY"0"F"</c:formatCode>
                <c:ptCount val="6"/>
                <c:pt idx="0" formatCode="&quot;FY&quot;0&quot;A&quot;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</c:numCache>
            </c:numRef>
          </c:cat>
          <c:val>
            <c:numRef>
              <c:f>'Charts for Deck'!$AS$36:$AX$36</c:f>
              <c:numCache>
                <c:formatCode>_(* #,##0.0_);_(* \(#,##0.0\);_(* "-"??_);_(@_)</c:formatCode>
                <c:ptCount val="6"/>
                <c:pt idx="0">
                  <c:v>2.8279999999999998</c:v>
                </c:pt>
                <c:pt idx="1">
                  <c:v>3.6775713474313849</c:v>
                </c:pt>
                <c:pt idx="2">
                  <c:v>4.2749671727987488</c:v>
                </c:pt>
                <c:pt idx="3">
                  <c:v>4.5614065272153708</c:v>
                </c:pt>
                <c:pt idx="4">
                  <c:v>4.8623952710534031</c:v>
                </c:pt>
                <c:pt idx="5">
                  <c:v>5.1928045378271088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F8-4649-A041-94A513DDA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2202880"/>
        <c:axId val="752201984"/>
      </c:barChart>
      <c:catAx>
        <c:axId val="752202880"/>
        <c:scaling>
          <c:orientation val="minMax"/>
        </c:scaling>
        <c:delete val="0"/>
        <c:axPos val="b"/>
        <c:numFmt formatCode="&quot;FY&quot;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KR"/>
          </a:p>
        </c:txPr>
        <c:crossAx val="752201984"/>
        <c:crosses val="autoZero"/>
        <c:auto val="1"/>
        <c:lblAlgn val="ctr"/>
        <c:lblOffset val="100"/>
        <c:noMultiLvlLbl val="0"/>
      </c:catAx>
      <c:valAx>
        <c:axId val="752201984"/>
        <c:scaling>
          <c:orientation val="minMax"/>
        </c:scaling>
        <c:delete val="0"/>
        <c:axPos val="l"/>
        <c:numFmt formatCode="_(* #,##0.0_);_(* \(#,##0.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KR"/>
          </a:p>
        </c:txPr>
        <c:crossAx val="75220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b="1" i="0" u="sng" strike="noStrike">
                <a:effectLst/>
              </a:rPr>
              <a:t>Spot Bitcoin ETFs' Custodian</a:t>
            </a:r>
            <a:r>
              <a:rPr lang="en-US" sz="1200" b="1" u="sng">
                <a:effectLst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K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'Charts for Deck'!$BF$29</c:f>
              <c:strCache>
                <c:ptCount val="1"/>
                <c:pt idx="0">
                  <c:v>Number</c:v>
                </c:pt>
              </c:strCache>
            </c:strRef>
          </c:tx>
          <c:dPt>
            <c:idx val="0"/>
            <c:bubble3D val="0"/>
            <c:spPr>
              <a:solidFill>
                <a:srgbClr val="02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94-B04C-8572-FFC2CDF7CCEF}"/>
              </c:ext>
            </c:extLst>
          </c:dPt>
          <c:dPt>
            <c:idx val="1"/>
            <c:bubble3D val="0"/>
            <c:spPr>
              <a:solidFill>
                <a:srgbClr val="C9A22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794-B04C-8572-FFC2CDF7CCE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94-B04C-8572-FFC2CDF7CCEF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794-B04C-8572-FFC2CDF7CC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'Charts for Deck'!$BE$30:$BE$31</c:f>
              <c:strCache>
                <c:ptCount val="2"/>
                <c:pt idx="0">
                  <c:v>Coinbase</c:v>
                </c:pt>
                <c:pt idx="1">
                  <c:v>Others</c:v>
                </c:pt>
              </c:strCache>
            </c:strRef>
          </c:cat>
          <c:val>
            <c:numRef>
              <c:f>'Charts for Deck'!$BF$30:$BF$31</c:f>
              <c:numCache>
                <c:formatCode>General</c:formatCode>
                <c:ptCount val="2"/>
                <c:pt idx="0">
                  <c:v>8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94-B04C-8572-FFC2CDF7C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for Deck'!$AR$39</c:f>
              <c:strCache>
                <c:ptCount val="1"/>
                <c:pt idx="0">
                  <c:v>Transaction Revenue, Institutional</c:v>
                </c:pt>
              </c:strCache>
            </c:strRef>
          </c:tx>
          <c:spPr>
            <a:solidFill>
              <a:srgbClr val="022060"/>
            </a:solidFill>
            <a:ln>
              <a:noFill/>
            </a:ln>
            <a:effectLst/>
          </c:spPr>
          <c:invertIfNegative val="0"/>
          <c:cat>
            <c:numRef>
              <c:f>'Charts for Deck'!$AS$38:$AX$38</c:f>
              <c:numCache>
                <c:formatCode>"FY"0"F"</c:formatCode>
                <c:ptCount val="6"/>
                <c:pt idx="0" formatCode="&quot;FY&quot;0&quot;A&quot;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</c:numCache>
            </c:numRef>
          </c:cat>
          <c:val>
            <c:numRef>
              <c:f>'Charts for Deck'!$AS$39:$AX$39</c:f>
              <c:numCache>
                <c:formatCode>_(* #,##0.0_);_(* \(#,##0.0\);_(* "-"??_);_(@_)</c:formatCode>
                <c:ptCount val="6"/>
                <c:pt idx="0">
                  <c:v>0.47970000000000002</c:v>
                </c:pt>
                <c:pt idx="1">
                  <c:v>0.51960078864324422</c:v>
                </c:pt>
                <c:pt idx="2">
                  <c:v>0.56293271472782846</c:v>
                </c:pt>
                <c:pt idx="3">
                  <c:v>0.61461499940719533</c:v>
                </c:pt>
                <c:pt idx="4">
                  <c:v>0.67609967525163239</c:v>
                </c:pt>
                <c:pt idx="5">
                  <c:v>0.74910436763286148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8F-FE4D-937B-BACCC9B071B9}"/>
            </c:ext>
          </c:extLst>
        </c:ser>
        <c:ser>
          <c:idx val="1"/>
          <c:order val="1"/>
          <c:tx>
            <c:strRef>
              <c:f>'Charts for Deck'!$AR$40</c:f>
              <c:strCache>
                <c:ptCount val="1"/>
                <c:pt idx="0">
                  <c:v>Blockchain Rewards Revenue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  <a:effectLst/>
          </c:spPr>
          <c:invertIfNegative val="0"/>
          <c:cat>
            <c:numRef>
              <c:f>'Charts for Deck'!$AS$38:$AX$38</c:f>
              <c:numCache>
                <c:formatCode>"FY"0"F"</c:formatCode>
                <c:ptCount val="6"/>
                <c:pt idx="0" formatCode="&quot;FY&quot;0&quot;A&quot;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</c:numCache>
            </c:numRef>
          </c:cat>
          <c:val>
            <c:numRef>
              <c:f>'Charts for Deck'!$AS$40:$AX$40</c:f>
              <c:numCache>
                <c:formatCode>_(* #,##0.0_);_(* \(#,##0.0\);_(* "-"??_);_(@_)</c:formatCode>
                <c:ptCount val="6"/>
                <c:pt idx="0">
                  <c:v>0.67730000000000001</c:v>
                </c:pt>
                <c:pt idx="1">
                  <c:v>1.0948397052919745</c:v>
                </c:pt>
                <c:pt idx="2">
                  <c:v>1.1315204980073632</c:v>
                </c:pt>
                <c:pt idx="3">
                  <c:v>1.2568026815206135</c:v>
                </c:pt>
                <c:pt idx="4">
                  <c:v>1.3474078171095345</c:v>
                </c:pt>
                <c:pt idx="5">
                  <c:v>1.4087135943951199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8F-FE4D-937B-BACCC9B07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2584959"/>
        <c:axId val="582591231"/>
      </c:barChart>
      <c:catAx>
        <c:axId val="582584959"/>
        <c:scaling>
          <c:orientation val="minMax"/>
        </c:scaling>
        <c:delete val="0"/>
        <c:axPos val="b"/>
        <c:numFmt formatCode="&quot;FY&quot;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KR"/>
          </a:p>
        </c:txPr>
        <c:crossAx val="582591231"/>
        <c:crosses val="autoZero"/>
        <c:auto val="1"/>
        <c:lblAlgn val="ctr"/>
        <c:lblOffset val="100"/>
        <c:noMultiLvlLbl val="0"/>
      </c:catAx>
      <c:valAx>
        <c:axId val="582591231"/>
        <c:scaling>
          <c:orientation val="minMax"/>
        </c:scaling>
        <c:delete val="0"/>
        <c:axPos val="l"/>
        <c:numFmt formatCode="_(* #,##0.0_);_(* \(#,##0.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KR"/>
          </a:p>
        </c:txPr>
        <c:crossAx val="58258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Breakdown ($'000s)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'Deck Data &amp; Charts'!$A$7</c:f>
              <c:strCache>
                <c:ptCount val="1"/>
                <c:pt idx="0">
                  <c:v>Transaction Revenue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'Deck Data &amp; Charts'!$B$6:$J$6</c:f>
              <c:strCache>
                <c:ptCount val="9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2026E</c:v>
                </c:pt>
                <c:pt idx="6">
                  <c:v>2027E</c:v>
                </c:pt>
                <c:pt idx="7">
                  <c:v>2028E</c:v>
                </c:pt>
                <c:pt idx="8">
                  <c:v>2029E</c:v>
                </c:pt>
              </c:strCache>
            </c:strRef>
          </c:cat>
          <c:val>
            <c:numRef>
              <c:f>'Deck Data &amp; Charts'!$B$7:$J$7</c:f>
              <c:numCache>
                <c:formatCode>#,##0</c:formatCode>
                <c:ptCount val="9"/>
                <c:pt idx="0">
                  <c:v>6880000</c:v>
                </c:pt>
                <c:pt idx="1">
                  <c:v>2356300</c:v>
                </c:pt>
                <c:pt idx="2">
                  <c:v>1577100</c:v>
                </c:pt>
                <c:pt idx="3">
                  <c:v>3986200</c:v>
                </c:pt>
                <c:pt idx="4">
                  <c:v>4055300</c:v>
                </c:pt>
                <c:pt idx="5">
                  <c:v>4132525.4778581127</c:v>
                </c:pt>
                <c:pt idx="6">
                  <c:v>4603601.1915870355</c:v>
                </c:pt>
                <c:pt idx="7">
                  <c:v>5571680.8505433509</c:v>
                </c:pt>
                <c:pt idx="8">
                  <c:v>7251293.7080915086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F-424D-AD7E-D2CFBC979A3D}"/>
            </c:ext>
          </c:extLst>
        </c:ser>
        <c:ser>
          <c:idx val="1"/>
          <c:order val="1"/>
          <c:tx>
            <c:strRef>
              <c:f>'Deck Data &amp; Charts'!$A$8</c:f>
              <c:strCache>
                <c:ptCount val="1"/>
                <c:pt idx="0">
                  <c:v>Subscription &amp; Services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'Deck Data &amp; Charts'!$B$6:$J$6</c:f>
              <c:strCache>
                <c:ptCount val="9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2026E</c:v>
                </c:pt>
                <c:pt idx="6">
                  <c:v>2027E</c:v>
                </c:pt>
                <c:pt idx="7">
                  <c:v>2028E</c:v>
                </c:pt>
                <c:pt idx="8">
                  <c:v>2029E</c:v>
                </c:pt>
              </c:strCache>
            </c:strRef>
          </c:cat>
          <c:val>
            <c:numRef>
              <c:f>'Deck Data &amp; Charts'!$B$8:$J$8</c:f>
              <c:numCache>
                <c:formatCode>#,##0</c:formatCode>
                <c:ptCount val="9"/>
                <c:pt idx="0">
                  <c:v>495100</c:v>
                </c:pt>
                <c:pt idx="1">
                  <c:v>1386600</c:v>
                </c:pt>
                <c:pt idx="2">
                  <c:v>1258400</c:v>
                </c:pt>
                <c:pt idx="3">
                  <c:v>2307000</c:v>
                </c:pt>
                <c:pt idx="4">
                  <c:v>2828000</c:v>
                </c:pt>
                <c:pt idx="5">
                  <c:v>3677571.347431385</c:v>
                </c:pt>
                <c:pt idx="6">
                  <c:v>4274967.1727987491</c:v>
                </c:pt>
                <c:pt idx="7">
                  <c:v>4561406.5272153709</c:v>
                </c:pt>
                <c:pt idx="8">
                  <c:v>4862395.2710534027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6F-424D-AD7E-D2CFBC979A3D}"/>
            </c:ext>
          </c:extLst>
        </c:ser>
        <c:ser>
          <c:idx val="2"/>
          <c:order val="2"/>
          <c:tx>
            <c:strRef>
              <c:f>'Deck Data &amp; Charts'!$A$9</c:f>
              <c:strCache>
                <c:ptCount val="1"/>
                <c:pt idx="0">
                  <c:v>Other Revenue</c:v>
                </c:pt>
              </c:strCache>
            </c:strRef>
          </c:tx>
          <c:spPr>
            <a:solidFill>
              <a:srgbClr val="9DC3E6"/>
            </a:solidFill>
            <a:ln>
              <a:noFill/>
            </a:ln>
            <a:effectLst/>
          </c:spPr>
          <c:invertIfNegative val="0"/>
          <c:cat>
            <c:strRef>
              <c:f>'Deck Data &amp; Charts'!$B$6:$J$6</c:f>
              <c:strCache>
                <c:ptCount val="9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2026E</c:v>
                </c:pt>
                <c:pt idx="6">
                  <c:v>2027E</c:v>
                </c:pt>
                <c:pt idx="7">
                  <c:v>2028E</c:v>
                </c:pt>
                <c:pt idx="8">
                  <c:v>2029E</c:v>
                </c:pt>
              </c:strCache>
            </c:strRef>
          </c:cat>
          <c:val>
            <c:numRef>
              <c:f>'Deck Data &amp; Charts'!$B$9:$J$9</c:f>
              <c:numCache>
                <c:formatCode>#,##0</c:formatCode>
                <c:ptCount val="9"/>
                <c:pt idx="0">
                  <c:v>514000</c:v>
                </c:pt>
                <c:pt idx="1">
                  <c:v>600</c:v>
                </c:pt>
                <c:pt idx="2">
                  <c:v>49200</c:v>
                </c:pt>
                <c:pt idx="3">
                  <c:v>270800</c:v>
                </c:pt>
                <c:pt idx="4">
                  <c:v>297900</c:v>
                </c:pt>
                <c:pt idx="5">
                  <c:v>283923.45844504016</c:v>
                </c:pt>
                <c:pt idx="6">
                  <c:v>270602.65275391896</c:v>
                </c:pt>
                <c:pt idx="7">
                  <c:v>257906.81783919083</c:v>
                </c:pt>
                <c:pt idx="8">
                  <c:v>245806.63201563628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6F-424D-AD7E-D2CFBC979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9354432"/>
        <c:axId val="1939359232"/>
      </c:barChart>
      <c:catAx>
        <c:axId val="19393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359232"/>
        <c:crosses val="autoZero"/>
        <c:auto val="1"/>
        <c:lblAlgn val="ctr"/>
        <c:lblOffset val="100"/>
        <c:noMultiLvlLbl val="0"/>
      </c:catAx>
      <c:valAx>
        <c:axId val="193935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3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EBITDA &amp; Margin Trend ($'000s)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'Deck Data &amp; Charts'!$A$34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'Deck Data &amp; Charts'!$B$33:$J$33</c:f>
              <c:strCache>
                <c:ptCount val="9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2026E</c:v>
                </c:pt>
                <c:pt idx="6">
                  <c:v>2027E</c:v>
                </c:pt>
                <c:pt idx="7">
                  <c:v>2028E</c:v>
                </c:pt>
                <c:pt idx="8">
                  <c:v>2029E</c:v>
                </c:pt>
              </c:strCache>
            </c:strRef>
          </c:cat>
          <c:val>
            <c:numRef>
              <c:f>'Deck Data &amp; Charts'!$B$34:$J$34</c:f>
              <c:numCache>
                <c:formatCode>#,##0</c:formatCode>
                <c:ptCount val="9"/>
                <c:pt idx="0">
                  <c:v>3119758</c:v>
                </c:pt>
                <c:pt idx="1">
                  <c:v>-2821612</c:v>
                </c:pt>
                <c:pt idx="2">
                  <c:v>145563</c:v>
                </c:pt>
                <c:pt idx="3">
                  <c:v>3079082</c:v>
                </c:pt>
                <c:pt idx="4">
                  <c:v>1816610</c:v>
                </c:pt>
                <c:pt idx="5">
                  <c:v>2422168.5622602426</c:v>
                </c:pt>
                <c:pt idx="6">
                  <c:v>2709341.9138760874</c:v>
                </c:pt>
                <c:pt idx="7">
                  <c:v>3058146.6911850735</c:v>
                </c:pt>
                <c:pt idx="8">
                  <c:v>3553252.2050124547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7B-4699-9673-256FCDEAB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0985264"/>
        <c:axId val="1880986704"/>
      </c:barChart>
      <c:lineChart>
        <c:grouping val="standard"/>
        <c:varyColors val="0"/>
        <c:ser>
          <c:idx val="1"/>
          <c:order val="1"/>
          <c:tx>
            <c:v>EBITDA Margin</c:v>
          </c:tx>
          <c:spPr>
            <a:ln w="28575" cap="rnd">
              <a:solidFill>
                <a:srgbClr val="FF660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'Deck Data &amp; Charts'!$B$35:$J$35</c:f>
              <c:numCache>
                <c:formatCode>0.0%</c:formatCode>
                <c:ptCount val="9"/>
                <c:pt idx="0">
                  <c:v>0.39795648799117794</c:v>
                </c:pt>
                <c:pt idx="1">
                  <c:v>-0.88335261823901257</c:v>
                </c:pt>
                <c:pt idx="2">
                  <c:v>4.8800398548489617E-2</c:v>
                </c:pt>
                <c:pt idx="3">
                  <c:v>0.46908422694114044</c:v>
                </c:pt>
                <c:pt idx="4">
                  <c:v>0.25296306740051455</c:v>
                </c:pt>
                <c:pt idx="5">
                  <c:v>0.31211421445093018</c:v>
                </c:pt>
                <c:pt idx="6">
                  <c:v>0.31222022783544584</c:v>
                </c:pt>
                <c:pt idx="7">
                  <c:v>0.31446682153580474</c:v>
                </c:pt>
                <c:pt idx="8">
                  <c:v>0.3146026646677052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7B-4699-9673-256FCDEAB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3425200"/>
        <c:axId val="1883429520"/>
      </c:lineChart>
      <c:catAx>
        <c:axId val="188098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986704"/>
        <c:crosses val="autoZero"/>
        <c:auto val="1"/>
        <c:lblAlgn val="ctr"/>
        <c:lblOffset val="100"/>
        <c:noMultiLvlLbl val="0"/>
      </c:catAx>
      <c:valAx>
        <c:axId val="188098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985264"/>
        <c:crosses val="autoZero"/>
        <c:crossBetween val="between"/>
      </c:valAx>
      <c:valAx>
        <c:axId val="188342952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425200"/>
        <c:crosses val="max"/>
        <c:crossBetween val="between"/>
      </c:valAx>
      <c:catAx>
        <c:axId val="1883425200"/>
        <c:scaling>
          <c:orientation val="minMax"/>
        </c:scaling>
        <c:delete val="1"/>
        <c:axPos val="b"/>
        <c:majorTickMark val="out"/>
        <c:minorTickMark val="none"/>
        <c:tickLblPos val="nextTo"/>
        <c:crossAx val="1883429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EBITDA &amp; Margin Trend ($'000s)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'Deck Data &amp; Charts'!$A$34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'Deck Data &amp; Charts'!$B$33:$J$33</c:f>
              <c:strCache>
                <c:ptCount val="9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2026E</c:v>
                </c:pt>
                <c:pt idx="6">
                  <c:v>2027E</c:v>
                </c:pt>
                <c:pt idx="7">
                  <c:v>2028E</c:v>
                </c:pt>
                <c:pt idx="8">
                  <c:v>2029E</c:v>
                </c:pt>
              </c:strCache>
            </c:strRef>
          </c:cat>
          <c:val>
            <c:numRef>
              <c:f>'Deck Data &amp; Charts'!$B$34:$J$34</c:f>
              <c:numCache>
                <c:formatCode>#,##0</c:formatCode>
                <c:ptCount val="9"/>
                <c:pt idx="0">
                  <c:v>3119758</c:v>
                </c:pt>
                <c:pt idx="1">
                  <c:v>-2821612</c:v>
                </c:pt>
                <c:pt idx="2">
                  <c:v>145563</c:v>
                </c:pt>
                <c:pt idx="3">
                  <c:v>3079082</c:v>
                </c:pt>
                <c:pt idx="4">
                  <c:v>1816610</c:v>
                </c:pt>
                <c:pt idx="5">
                  <c:v>2422168.5622602426</c:v>
                </c:pt>
                <c:pt idx="6">
                  <c:v>2709341.9138760874</c:v>
                </c:pt>
                <c:pt idx="7">
                  <c:v>3058146.6911850735</c:v>
                </c:pt>
                <c:pt idx="8">
                  <c:v>3553252.2050124547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2F-4E5B-812A-076E78CF5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3419920"/>
        <c:axId val="1883428080"/>
      </c:barChart>
      <c:lineChart>
        <c:grouping val="standard"/>
        <c:varyColors val="0"/>
        <c:ser>
          <c:idx val="1"/>
          <c:order val="1"/>
          <c:tx>
            <c:v>EBITDA Margin</c:v>
          </c:tx>
          <c:spPr>
            <a:ln w="28575" cap="rnd">
              <a:solidFill>
                <a:srgbClr val="FF660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'Deck Data &amp; Charts'!$B$35:$J$35</c:f>
              <c:numCache>
                <c:formatCode>0.0%</c:formatCode>
                <c:ptCount val="9"/>
                <c:pt idx="0">
                  <c:v>0.39795648799117794</c:v>
                </c:pt>
                <c:pt idx="1">
                  <c:v>-0.88335261823901257</c:v>
                </c:pt>
                <c:pt idx="2">
                  <c:v>4.8800398548489617E-2</c:v>
                </c:pt>
                <c:pt idx="3">
                  <c:v>0.46908422694114044</c:v>
                </c:pt>
                <c:pt idx="4">
                  <c:v>0.25296306740051455</c:v>
                </c:pt>
                <c:pt idx="5">
                  <c:v>0.31211421445093018</c:v>
                </c:pt>
                <c:pt idx="6">
                  <c:v>0.31222022783544584</c:v>
                </c:pt>
                <c:pt idx="7">
                  <c:v>0.31446682153580474</c:v>
                </c:pt>
                <c:pt idx="8">
                  <c:v>0.3146026646677052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2F-4E5B-812A-076E78CF5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3424720"/>
        <c:axId val="1883420880"/>
      </c:lineChart>
      <c:catAx>
        <c:axId val="188341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428080"/>
        <c:crosses val="autoZero"/>
        <c:auto val="1"/>
        <c:lblAlgn val="ctr"/>
        <c:lblOffset val="100"/>
        <c:noMultiLvlLbl val="0"/>
      </c:catAx>
      <c:valAx>
        <c:axId val="188342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419920"/>
        <c:crosses val="autoZero"/>
        <c:crossBetween val="between"/>
      </c:valAx>
      <c:valAx>
        <c:axId val="1883420880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424720"/>
        <c:crosses val="max"/>
        <c:crossBetween val="between"/>
      </c:valAx>
      <c:catAx>
        <c:axId val="1883424720"/>
        <c:scaling>
          <c:orientation val="minMax"/>
        </c:scaling>
        <c:delete val="1"/>
        <c:axPos val="b"/>
        <c:majorTickMark val="out"/>
        <c:minorTickMark val="none"/>
        <c:tickLblPos val="nextTo"/>
        <c:crossAx val="1883420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Sources of Funds</a:t>
            </a:r>
          </a:p>
        </c:rich>
      </c:tx>
      <c:layout>
        <c:manualLayout>
          <c:xMode val="edge"/>
          <c:yMode val="edge"/>
          <c:x val="0.34385493154179353"/>
          <c:y val="0.511304399138082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1"/>
          <c:order val="1"/>
          <c:tx>
            <c:strRef>
              <c:f>'Deck Data &amp; Charts'!$C$57</c:f>
              <c:strCache>
                <c:ptCount val="1"/>
                <c:pt idx="0">
                  <c:v>% of Total</c:v>
                </c:pt>
              </c:strCache>
            </c:strRef>
          </c:tx>
          <c:dPt>
            <c:idx val="0"/>
            <c:bubble3D val="0"/>
            <c:spPr>
              <a:solidFill>
                <a:srgbClr val="45B1E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9C4-4173-A8BC-41CBAE4C971C}"/>
              </c:ext>
            </c:extLst>
          </c:dPt>
          <c:dPt>
            <c:idx val="1"/>
            <c:bubble3D val="0"/>
            <c:spPr>
              <a:solidFill>
                <a:srgbClr val="C1E5F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B9C4-4173-A8BC-41CBAE4C971C}"/>
              </c:ext>
            </c:extLst>
          </c:dPt>
          <c:dPt>
            <c:idx val="2"/>
            <c:bubble3D val="0"/>
            <c:spPr>
              <a:solidFill>
                <a:srgbClr val="C9A22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9C4-4173-A8BC-41CBAE4C971C}"/>
              </c:ext>
            </c:extLst>
          </c:dPt>
          <c:dPt>
            <c:idx val="3"/>
            <c:bubble3D val="0"/>
            <c:spPr>
              <a:solidFill>
                <a:srgbClr val="A0002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B9C4-4173-A8BC-41CBAE4C971C}"/>
              </c:ext>
            </c:extLst>
          </c:dPt>
          <c:dPt>
            <c:idx val="4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9C4-4173-A8BC-41CBAE4C971C}"/>
              </c:ext>
            </c:extLst>
          </c:dPt>
          <c:dPt>
            <c:idx val="5"/>
            <c:bubble3D val="0"/>
            <c:spPr>
              <a:solidFill>
                <a:srgbClr val="02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B9C4-4173-A8BC-41CBAE4C971C}"/>
              </c:ext>
            </c:extLst>
          </c:dPt>
          <c:dLbls>
            <c:dLbl>
              <c:idx val="0"/>
              <c:layout>
                <c:manualLayout>
                  <c:x val="7.675665889300686E-3"/>
                  <c:y val="-0.1209323235909016"/>
                </c:manualLayout>
              </c:layout>
              <c:spPr>
                <a:solidFill>
                  <a:srgbClr val="45B1E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9C4-4173-A8BC-41CBAE4C971C}"/>
                </c:ext>
              </c:extLst>
            </c:dLbl>
            <c:dLbl>
              <c:idx val="1"/>
              <c:layout>
                <c:manualLayout>
                  <c:x val="4.7443995297471493E-4"/>
                  <c:y val="-4.413282920767640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9C4-4173-A8BC-41CBAE4C971C}"/>
                </c:ext>
              </c:extLst>
            </c:dLbl>
            <c:dLbl>
              <c:idx val="2"/>
              <c:layout>
                <c:manualLayout>
                  <c:x val="3.6715283247138984E-3"/>
                  <c:y val="1.1272212198004693E-2"/>
                </c:manualLayout>
              </c:layout>
              <c:spPr>
                <a:solidFill>
                  <a:srgbClr val="C9A227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9C4-4173-A8BC-41CBAE4C971C}"/>
                </c:ext>
              </c:extLst>
            </c:dLbl>
            <c:dLbl>
              <c:idx val="3"/>
              <c:layout>
                <c:manualLayout>
                  <c:x val="6.177155111788255E-3"/>
                  <c:y val="-1.402715900823267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9C4-4173-A8BC-41CBAE4C971C}"/>
                </c:ext>
              </c:extLst>
            </c:dLbl>
            <c:dLbl>
              <c:idx val="4"/>
              <c:spPr>
                <a:solidFill>
                  <a:schemeClr val="bg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5-B9C4-4173-A8BC-41CBAE4C971C}"/>
                </c:ext>
              </c:extLst>
            </c:dLbl>
            <c:spPr>
              <a:solidFill>
                <a:srgbClr val="02206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'Deck Data &amp; Charts'!$A$58:$A$63</c:f>
              <c:strCache>
                <c:ptCount val="6"/>
                <c:pt idx="0">
                  <c:v>Revolver</c:v>
                </c:pt>
                <c:pt idx="1">
                  <c:v>Term Loan A</c:v>
                </c:pt>
                <c:pt idx="2">
                  <c:v>Term Loan B</c:v>
                </c:pt>
                <c:pt idx="3">
                  <c:v>Subordinated Notes</c:v>
                </c:pt>
                <c:pt idx="4">
                  <c:v>Excess Cash</c:v>
                </c:pt>
                <c:pt idx="5">
                  <c:v>Sponsor Equity</c:v>
                </c:pt>
              </c:strCache>
            </c:strRef>
          </c:cat>
          <c:val>
            <c:numRef>
              <c:f>'Deck Data &amp; Charts'!$C$58:$C$63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9C4-4173-A8BC-41CBAE4C9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'Deck Data &amp; Charts'!$B$57</c15:sqref>
                        </c15:formulaRef>
                      </c:ext>
                    </c:extLst>
                    <c:strCache>
                      <c:ptCount val="1"/>
                      <c:pt idx="0">
                        <c:v>Amount ($'000s)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rgbClr val="45B1E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1-B9C4-4173-A8BC-41CBAE4C971C}"/>
                    </c:ext>
                  </c:extLst>
                </c:dPt>
                <c:dPt>
                  <c:idx val="1"/>
                  <c:bubble3D val="0"/>
                  <c:spPr>
                    <a:solidFill>
                      <a:srgbClr val="C1E5F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3-B9C4-4173-A8BC-41CBAE4C971C}"/>
                    </c:ext>
                  </c:extLst>
                </c:dPt>
                <c:dPt>
                  <c:idx val="2"/>
                  <c:bubble3D val="0"/>
                  <c:spPr>
                    <a:solidFill>
                      <a:srgbClr val="C9A227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5-B9C4-4173-A8BC-41CBAE4C971C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A0002A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7-B9C4-4173-A8BC-41CBAE4C971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bg1">
                        <a:lumMod val="8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9-B9C4-4173-A8BC-41CBAE4C971C}"/>
                    </c:ext>
                  </c:extLst>
                </c:dPt>
                <c:dPt>
                  <c:idx val="5"/>
                  <c:bubble3D val="0"/>
                  <c:spPr>
                    <a:solidFill>
                      <a:srgbClr val="022060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B9C4-4173-A8BC-41CBAE4C971C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'Deck Data &amp; Charts'!$A$58:$A$63</c15:sqref>
                        </c15:formulaRef>
                      </c:ext>
                    </c:extLst>
                    <c:strCache>
                      <c:ptCount val="6"/>
                      <c:pt idx="0">
                        <c:v>Revolver</c:v>
                      </c:pt>
                      <c:pt idx="1">
                        <c:v>Term Loan A</c:v>
                      </c:pt>
                      <c:pt idx="2">
                        <c:v>Term Loan B</c:v>
                      </c:pt>
                      <c:pt idx="3">
                        <c:v>Subordinated Notes</c:v>
                      </c:pt>
                      <c:pt idx="4">
                        <c:v>Excess Cash</c:v>
                      </c:pt>
                      <c:pt idx="5">
                        <c:v>Sponsor Equity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'Deck Data &amp; Charts'!$B$58:$B$63</c15:sqref>
                        </c15:formulaRef>
                      </c:ext>
                    </c:extLst>
                    <c:numCache>
                      <c:formatCode>#,##0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C-B9C4-4173-A8BC-41CBAE4C971C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545757212357144"/>
          <c:y val="0.38160071292476488"/>
          <c:w val="0.14685145068605743"/>
          <c:h val="0.387074998881426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Uses of Funds</a:t>
            </a:r>
          </a:p>
        </c:rich>
      </c:tx>
      <c:layout>
        <c:manualLayout>
          <c:xMode val="edge"/>
          <c:yMode val="edge"/>
          <c:x val="0.31172651312001715"/>
          <c:y val="0.499130411999068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'Deck Data &amp; Charts'!$G$57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tx2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CB-48D6-9E51-FCDF722922F3}"/>
              </c:ext>
            </c:extLst>
          </c:dPt>
          <c:dPt>
            <c:idx val="1"/>
            <c:bubble3D val="0"/>
            <c:spPr>
              <a:solidFill>
                <a:srgbClr val="C9A22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CB-48D6-9E51-FCDF722922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4CB-48D6-9E51-FCDF722922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4CB-48D6-9E51-FCDF722922F3}"/>
              </c:ext>
            </c:extLst>
          </c:dPt>
          <c:dPt>
            <c:idx val="4"/>
            <c:bubble3D val="0"/>
            <c:spPr>
              <a:solidFill>
                <a:srgbClr val="C1E5F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4CB-48D6-9E51-FCDF722922F3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CB-48D6-9E51-FCDF722922F3}"/>
                </c:ext>
              </c:extLst>
            </c:dLbl>
            <c:dLbl>
              <c:idx val="3"/>
              <c:layout>
                <c:manualLayout>
                  <c:x val="-2.2037034016504524E-2"/>
                  <c:y val="-0.1095652123900394"/>
                </c:manualLayout>
              </c:layout>
              <c:spPr>
                <a:solidFill>
                  <a:srgbClr val="45B1E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4CB-48D6-9E51-FCDF722922F3}"/>
                </c:ext>
              </c:extLst>
            </c:dLbl>
            <c:dLbl>
              <c:idx val="4"/>
              <c:layout>
                <c:manualLayout>
                  <c:x val="3.746295782805769E-2"/>
                  <c:y val="-0.11362318321930011"/>
                </c:manualLayout>
              </c:layout>
              <c:spPr>
                <a:solidFill>
                  <a:srgbClr val="C1E5F5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4CB-48D6-9E51-FCDF722922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'Deck Data &amp; Charts'!$E$58:$E$62</c:f>
              <c:strCache>
                <c:ptCount val="5"/>
                <c:pt idx="0">
                  <c:v>Purchase Equity Value</c:v>
                </c:pt>
                <c:pt idx="1">
                  <c:v>Replace Existing Debt</c:v>
                </c:pt>
                <c:pt idx="2">
                  <c:v>Prepayment Penalty</c:v>
                </c:pt>
                <c:pt idx="3">
                  <c:v>Financing Fees</c:v>
                </c:pt>
                <c:pt idx="4">
                  <c:v>Transaction Fees</c:v>
                </c:pt>
              </c:strCache>
            </c:strRef>
          </c:cat>
          <c:val>
            <c:numRef>
              <c:f>'Deck Data &amp; Charts'!$G$58:$G$62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4CB-48D6-9E51-FCDF722922F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187972082721821"/>
          <c:y val="0.4012154101921529"/>
          <c:w val="0.18877657532795269"/>
          <c:h val="0.322562499067855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'Deck Data &amp; Charts'!$A$86</c:f>
              <c:strCache>
                <c:ptCount val="1"/>
                <c:pt idx="0">
                  <c:v>Revolver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  <a:effectLst/>
          </c:spPr>
          <c:invertIfNegative val="0"/>
          <c:cat>
            <c:strRef>
              <c:f>'Deck Data &amp; Charts'!$B$85:$G$85</c:f>
              <c:strCache>
                <c:ptCount val="6"/>
                <c:pt idx="0">
                  <c:v>Entry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  <c:pt idx="5">
                  <c:v>2030E</c:v>
                </c:pt>
              </c:strCache>
            </c:strRef>
          </c:cat>
          <c:val>
            <c:numRef>
              <c:f>'Deck Data &amp; Charts'!$B$86:$G$86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F-4327-85FC-4840C51B5AED}"/>
            </c:ext>
          </c:extLst>
        </c:ser>
        <c:ser>
          <c:idx val="1"/>
          <c:order val="1"/>
          <c:tx>
            <c:strRef>
              <c:f>'Deck Data &amp; Charts'!$A$87</c:f>
              <c:strCache>
                <c:ptCount val="1"/>
                <c:pt idx="0">
                  <c:v>Term Loan A</c:v>
                </c:pt>
              </c:strCache>
            </c:strRef>
          </c:tx>
          <c:spPr>
            <a:solidFill>
              <a:srgbClr val="C1E5F5"/>
            </a:solidFill>
            <a:ln>
              <a:noFill/>
            </a:ln>
            <a:effectLst/>
          </c:spPr>
          <c:invertIfNegative val="0"/>
          <c:cat>
            <c:strRef>
              <c:f>'Deck Data &amp; Charts'!$B$85:$G$85</c:f>
              <c:strCache>
                <c:ptCount val="6"/>
                <c:pt idx="0">
                  <c:v>Entry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  <c:pt idx="5">
                  <c:v>2030E</c:v>
                </c:pt>
              </c:strCache>
            </c:strRef>
          </c:cat>
          <c:val>
            <c:numRef>
              <c:f>'Deck Data &amp; Charts'!$B$87:$G$87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0F-4327-85FC-4840C51B5AED}"/>
            </c:ext>
          </c:extLst>
        </c:ser>
        <c:ser>
          <c:idx val="2"/>
          <c:order val="2"/>
          <c:tx>
            <c:strRef>
              <c:f>'Deck Data &amp; Charts'!$A$88</c:f>
              <c:strCache>
                <c:ptCount val="1"/>
                <c:pt idx="0">
                  <c:v>Term Loan B</c:v>
                </c:pt>
              </c:strCache>
            </c:strRef>
          </c:tx>
          <c:spPr>
            <a:solidFill>
              <a:srgbClr val="45B1E1"/>
            </a:solidFill>
            <a:ln>
              <a:noFill/>
            </a:ln>
            <a:effectLst/>
          </c:spPr>
          <c:invertIfNegative val="0"/>
          <c:cat>
            <c:strRef>
              <c:f>'Deck Data &amp; Charts'!$B$85:$G$85</c:f>
              <c:strCache>
                <c:ptCount val="6"/>
                <c:pt idx="0">
                  <c:v>Entry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  <c:pt idx="5">
                  <c:v>2030E</c:v>
                </c:pt>
              </c:strCache>
            </c:strRef>
          </c:cat>
          <c:val>
            <c:numRef>
              <c:f>'Deck Data &amp; Charts'!$B$88:$G$88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0F-4327-85FC-4840C51B5AED}"/>
            </c:ext>
          </c:extLst>
        </c:ser>
        <c:ser>
          <c:idx val="3"/>
          <c:order val="3"/>
          <c:tx>
            <c:strRef>
              <c:f>'Deck Data &amp; Charts'!$A$89</c:f>
              <c:strCache>
                <c:ptCount val="1"/>
                <c:pt idx="0">
                  <c:v>Subordinated Notes</c:v>
                </c:pt>
              </c:strCache>
            </c:strRef>
          </c:tx>
          <c:spPr>
            <a:solidFill>
              <a:srgbClr val="022060"/>
            </a:solidFill>
            <a:ln>
              <a:noFill/>
            </a:ln>
            <a:effectLst/>
          </c:spPr>
          <c:invertIfNegative val="0"/>
          <c:cat>
            <c:strRef>
              <c:f>'Deck Data &amp; Charts'!$B$85:$G$85</c:f>
              <c:strCache>
                <c:ptCount val="6"/>
                <c:pt idx="0">
                  <c:v>Entry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  <c:pt idx="5">
                  <c:v>2030E</c:v>
                </c:pt>
              </c:strCache>
            </c:strRef>
          </c:cat>
          <c:val>
            <c:numRef>
              <c:f>'Deck Data &amp; Charts'!$B$89:$G$89</c:f>
              <c:numCache>
                <c:formatCode>#,##0</c:formatCode>
                <c:ptCount val="6"/>
                <c:pt idx="0">
                  <c:v>0</c:v>
                </c:pt>
                <c:pt idx="1">
                  <c:v>3213.3507399999999</c:v>
                </c:pt>
                <c:pt idx="2">
                  <c:v>3309.7512621999999</c:v>
                </c:pt>
                <c:pt idx="3">
                  <c:v>3409.0438000660001</c:v>
                </c:pt>
                <c:pt idx="4">
                  <c:v>3511.3151140679802</c:v>
                </c:pt>
                <c:pt idx="5">
                  <c:v>3616.6545674900194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0F-4327-85FC-4840C51B5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948844991"/>
        <c:axId val="1948840191"/>
      </c:barChart>
      <c:catAx>
        <c:axId val="194884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840191"/>
        <c:crosses val="autoZero"/>
        <c:auto val="1"/>
        <c:lblAlgn val="ctr"/>
        <c:lblOffset val="100"/>
        <c:noMultiLvlLbl val="0"/>
      </c:catAx>
      <c:valAx>
        <c:axId val="194884019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84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 Cash Flow Build ($'000s)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'Deck Data &amp; Charts'!$A$112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'Deck Data &amp; Charts'!$B$111:$F$111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'Deck Data &amp; Charts'!$B$112:$F$112</c:f>
              <c:numCache>
                <c:formatCode>#,##0</c:formatCode>
                <c:ptCount val="5"/>
                <c:pt idx="0">
                  <c:v>2422168.5622602426</c:v>
                </c:pt>
                <c:pt idx="1">
                  <c:v>2709341.9138760874</c:v>
                </c:pt>
                <c:pt idx="2">
                  <c:v>3058146.6911850735</c:v>
                </c:pt>
                <c:pt idx="3">
                  <c:v>3553252.2050124547</c:v>
                </c:pt>
                <c:pt idx="4">
                  <c:v>4327638.2487039221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3E-4979-8232-099D52ED8C79}"/>
            </c:ext>
          </c:extLst>
        </c:ser>
        <c:ser>
          <c:idx val="1"/>
          <c:order val="1"/>
          <c:tx>
            <c:strRef>
              <c:f>'Deck Data &amp; Charts'!$A$113</c:f>
              <c:strCache>
                <c:ptCount val="1"/>
                <c:pt idx="0">
                  <c:v>(-) Capex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'Deck Data &amp; Charts'!$B$111:$F$111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'Deck Data &amp; Charts'!$B$113:$F$113</c:f>
              <c:numCache>
                <c:formatCode>#,##0</c:formatCode>
                <c:ptCount val="5"/>
                <c:pt idx="0">
                  <c:v>-181828.14602436282</c:v>
                </c:pt>
                <c:pt idx="1">
                  <c:v>-203316.71061345292</c:v>
                </c:pt>
                <c:pt idx="2">
                  <c:v>-227852.48944999449</c:v>
                </c:pt>
                <c:pt idx="3">
                  <c:v>-264626.86568560253</c:v>
                </c:pt>
                <c:pt idx="4">
                  <c:v>-324286.46377003501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3E-4979-8232-099D52ED8C79}"/>
            </c:ext>
          </c:extLst>
        </c:ser>
        <c:ser>
          <c:idx val="2"/>
          <c:order val="2"/>
          <c:tx>
            <c:strRef>
              <c:f>'Deck Data &amp; Charts'!$A$114</c:f>
              <c:strCache>
                <c:ptCount val="1"/>
                <c:pt idx="0">
                  <c:v>(-) Cash Taxes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'Deck Data &amp; Charts'!$B$111:$F$111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'Deck Data &amp; Charts'!$B$114:$F$114</c:f>
              <c:numCache>
                <c:formatCode>#,##0</c:formatCode>
                <c:ptCount val="5"/>
                <c:pt idx="0">
                  <c:v>-431557.05767454562</c:v>
                </c:pt>
                <c:pt idx="1">
                  <c:v>-481682.60383297206</c:v>
                </c:pt>
                <c:pt idx="2">
                  <c:v>-543252.38734628167</c:v>
                </c:pt>
                <c:pt idx="3">
                  <c:v>-632760.2995196674</c:v>
                </c:pt>
                <c:pt idx="4">
                  <c:v>-775979.58785639203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3E-4979-8232-099D52ED8C79}"/>
            </c:ext>
          </c:extLst>
        </c:ser>
        <c:ser>
          <c:idx val="3"/>
          <c:order val="3"/>
          <c:tx>
            <c:strRef>
              <c:f>'Deck Data &amp; Charts'!$A$115</c:f>
              <c:strCache>
                <c:ptCount val="1"/>
                <c:pt idx="0">
                  <c:v>(-) NWC Changes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invertIfNegative val="0"/>
          <c:cat>
            <c:strRef>
              <c:f>'Deck Data &amp; Charts'!$B$111:$F$111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'Deck Data &amp; Charts'!$B$115:$F$115</c:f>
              <c:numCache>
                <c:formatCode>#,##0</c:formatCode>
                <c:ptCount val="5"/>
                <c:pt idx="0">
                  <c:v>-149917.1723046769</c:v>
                </c:pt>
                <c:pt idx="1">
                  <c:v>35532.441620884056</c:v>
                </c:pt>
                <c:pt idx="2">
                  <c:v>37056.354533750447</c:v>
                </c:pt>
                <c:pt idx="3">
                  <c:v>58354.957817295261</c:v>
                </c:pt>
                <c:pt idx="4">
                  <c:v>93917.017073585535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3E-4979-8232-099D52ED8C79}"/>
            </c:ext>
          </c:extLst>
        </c:ser>
        <c:ser>
          <c:idx val="4"/>
          <c:order val="4"/>
          <c:tx>
            <c:strRef>
              <c:f>'Deck Data &amp; Charts'!$A$116</c:f>
              <c:strCache>
                <c:ptCount val="1"/>
                <c:pt idx="0">
                  <c:v>Free Cash Flow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'Deck Data &amp; Charts'!$B$111:$F$111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'Deck Data &amp; Charts'!$B$116:$F$116</c:f>
              <c:numCache>
                <c:formatCode>#,##0</c:formatCode>
                <c:ptCount val="5"/>
                <c:pt idx="0">
                  <c:v>1514134.6033732034</c:v>
                </c:pt>
                <c:pt idx="1">
                  <c:v>1912483.9557789552</c:v>
                </c:pt>
                <c:pt idx="2">
                  <c:v>2173726.6388168512</c:v>
                </c:pt>
                <c:pt idx="3">
                  <c:v>2560386.9921725974</c:v>
                </c:pt>
                <c:pt idx="4">
                  <c:v>3163214.3506530263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3E-4979-8232-099D52ED8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73328"/>
        <c:axId val="198762288"/>
      </c:barChart>
      <c:catAx>
        <c:axId val="19877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62288"/>
        <c:crosses val="autoZero"/>
        <c:auto val="1"/>
        <c:lblAlgn val="ctr"/>
        <c:lblOffset val="100"/>
        <c:noMultiLvlLbl val="0"/>
      </c:catAx>
      <c:valAx>
        <c:axId val="19876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Sponsor Returns by Exit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'Deck Data &amp; Charts'!$A$139</c:f>
              <c:strCache>
                <c:ptCount val="1"/>
                <c:pt idx="0">
                  <c:v>Exit Equity Value</c:v>
                </c:pt>
              </c:strCache>
            </c:strRef>
          </c:tx>
          <c:spPr>
            <a:solidFill>
              <a:srgbClr val="022060"/>
            </a:solidFill>
            <a:ln>
              <a:noFill/>
            </a:ln>
            <a:effectLst/>
          </c:spPr>
          <c:invertIfNegative val="0"/>
          <c:cat>
            <c:strRef>
              <c:f>'Deck Data &amp; Charts'!$B$138:$F$138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'Deck Data &amp; Charts'!$B$139:$F$139</c:f>
              <c:numCache>
                <c:formatCode>#,##0</c:formatCode>
                <c:ptCount val="5"/>
                <c:pt idx="0">
                  <c:v>42832386.634157553</c:v>
                </c:pt>
                <c:pt idx="1">
                  <c:v>53786519.980808392</c:v>
                </c:pt>
                <c:pt idx="2">
                  <c:v>62287080.380811341</c:v>
                </c:pt>
                <c:pt idx="3">
                  <c:v>72634578.610540852</c:v>
                </c:pt>
                <c:pt idx="4">
                  <c:v>85322730.353620589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C-408B-BA75-B09189B27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84498448"/>
        <c:axId val="184485008"/>
      </c:barChart>
      <c:lineChart>
        <c:grouping val="standard"/>
        <c:varyColors val="0"/>
        <c:ser>
          <c:idx val="1"/>
          <c:order val="1"/>
          <c:tx>
            <c:strRef>
              <c:f>'Deck Data &amp; Charts'!$A$140</c:f>
              <c:strCache>
                <c:ptCount val="1"/>
                <c:pt idx="0">
                  <c:v>MoM Multiple</c:v>
                </c:pt>
              </c:strCache>
            </c:strRef>
          </c:tx>
          <c:spPr>
            <a:ln w="41275" cap="rnd">
              <a:solidFill>
                <a:srgbClr val="A0002A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9A227"/>
              </a:solidFill>
              <a:ln w="9525">
                <a:solidFill>
                  <a:schemeClr val="bg1"/>
                </a:solidFill>
              </a:ln>
              <a:effectLst/>
            </c:spPr>
          </c:marker>
          <c:cat>
            <c:strRef>
              <c:f>'Deck Data &amp; Charts'!$B$138:$F$138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'Deck Data &amp; Charts'!$B$140:$F$140</c:f>
              <c:numCache>
                <c:formatCode>0.0\x</c:formatCode>
                <c:ptCount val="5"/>
                <c:pt idx="0">
                  <c:v>1.2998252742264502</c:v>
                </c:pt>
                <c:pt idx="1">
                  <c:v>1.6322480155235413</c:v>
                </c:pt>
                <c:pt idx="2">
                  <c:v>1.8902127034917082</c:v>
                </c:pt>
                <c:pt idx="3">
                  <c:v>2.2042260186706</c:v>
                </c:pt>
                <c:pt idx="4">
                  <c:v>2.5892706452925323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C-408B-BA75-B09189B27FB1}"/>
            </c:ext>
          </c:extLst>
        </c:ser>
        <c:ser>
          <c:idx val="2"/>
          <c:order val="2"/>
          <c:tx>
            <c:strRef>
              <c:f>'Deck Data &amp; Charts'!$A$141</c:f>
              <c:strCache>
                <c:ptCount val="1"/>
                <c:pt idx="0">
                  <c:v>IRR</c:v>
                </c:pt>
              </c:strCache>
            </c:strRef>
          </c:tx>
          <c:spPr>
            <a:ln w="41275" cap="rnd">
              <a:solidFill>
                <a:srgbClr val="C9A227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A0002A"/>
              </a:solidFill>
              <a:ln w="9525">
                <a:solidFill>
                  <a:schemeClr val="bg1"/>
                </a:solidFill>
              </a:ln>
              <a:effectLst/>
            </c:spPr>
          </c:marker>
          <c:cat>
            <c:strRef>
              <c:f>'Deck Data &amp; Charts'!$B$138:$F$138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'Deck Data &amp; Charts'!$B$141:$F$141</c:f>
              <c:numCache>
                <c:formatCode>0.0%</c:formatCode>
                <c:ptCount val="5"/>
                <c:pt idx="0">
                  <c:v>0.29982527422645022</c:v>
                </c:pt>
                <c:pt idx="1">
                  <c:v>0.2775946209668938</c:v>
                </c:pt>
                <c:pt idx="2">
                  <c:v>0.23643196977804726</c:v>
                </c:pt>
                <c:pt idx="3">
                  <c:v>0.21846772815220006</c:v>
                </c:pt>
                <c:pt idx="4">
                  <c:v>0.20958248504713839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C-408B-BA75-B09189B27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93168"/>
        <c:axId val="184487408"/>
      </c:lineChart>
      <c:catAx>
        <c:axId val="18449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85008"/>
        <c:crosses val="autoZero"/>
        <c:auto val="1"/>
        <c:lblAlgn val="ctr"/>
        <c:lblOffset val="100"/>
        <c:noMultiLvlLbl val="0"/>
      </c:catAx>
      <c:valAx>
        <c:axId val="18448500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98448"/>
        <c:crosses val="autoZero"/>
        <c:crossBetween val="between"/>
      </c:valAx>
      <c:valAx>
        <c:axId val="18448740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93168"/>
        <c:crosses val="max"/>
        <c:crossBetween val="between"/>
      </c:valAx>
      <c:catAx>
        <c:axId val="1844931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48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Mix 2025A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'Deck Data &amp; Charts'!$B$196</c:f>
              <c:strCache>
                <c:ptCount val="1"/>
                <c:pt idx="0">
                  <c:v>2025A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98-477C-8ED2-BBCFD06A5B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98-477C-8ED2-BBCFD06A5B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98-477C-8ED2-BBCFD06A5B11}"/>
              </c:ext>
            </c:extLst>
          </c:dPt>
          <c:cat>
            <c:strRef>
              <c:f>'Deck Data &amp; Charts'!$A$197:$A$199</c:f>
              <c:strCache>
                <c:ptCount val="3"/>
                <c:pt idx="0">
                  <c:v>Transaction Revenue</c:v>
                </c:pt>
                <c:pt idx="1">
                  <c:v>Subscription &amp; Services</c:v>
                </c:pt>
                <c:pt idx="2">
                  <c:v>Other Revenue</c:v>
                </c:pt>
              </c:strCache>
            </c:strRef>
          </c:cat>
          <c:val>
            <c:numRef>
              <c:f>'Deck Data &amp; Charts'!$B$197:$B$199</c:f>
              <c:numCache>
                <c:formatCode>0.0%</c:formatCode>
                <c:ptCount val="3"/>
                <c:pt idx="0">
                  <c:v>0.56471063332033644</c:v>
                </c:pt>
                <c:pt idx="1">
                  <c:v>0.39380604912827938</c:v>
                </c:pt>
                <c:pt idx="2">
                  <c:v>4.1483317551384173E-2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98-477C-8ED2-BBCFD06A5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Mix 2029E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'Deck Data &amp; Charts'!$C$196</c:f>
              <c:strCache>
                <c:ptCount val="1"/>
                <c:pt idx="0">
                  <c:v>2029E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91-4A51-983B-550ADBA2B1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91-4A51-983B-550ADBA2B1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91-4A51-983B-550ADBA2B1DE}"/>
              </c:ext>
            </c:extLst>
          </c:dPt>
          <c:cat>
            <c:strRef>
              <c:f>'Deck Data &amp; Charts'!$A$197:$A$199</c:f>
              <c:strCache>
                <c:ptCount val="3"/>
                <c:pt idx="0">
                  <c:v>Transaction Revenue</c:v>
                </c:pt>
                <c:pt idx="1">
                  <c:v>Subscription &amp; Services</c:v>
                </c:pt>
                <c:pt idx="2">
                  <c:v>Other Revenue</c:v>
                </c:pt>
              </c:strCache>
            </c:strRef>
          </c:cat>
          <c:val>
            <c:numRef>
              <c:f>'Deck Data &amp; Charts'!$C$197:$C$199</c:f>
              <c:numCache>
                <c:formatCode>0.0%</c:formatCode>
                <c:ptCount val="3"/>
                <c:pt idx="0">
                  <c:v>0.58669819030022841</c:v>
                </c:pt>
                <c:pt idx="1">
                  <c:v>0.39341373014143793</c:v>
                </c:pt>
                <c:pt idx="2">
                  <c:v>1.9888079558333625E-2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91-4A51-983B-550ADBA2B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'Staking AUM'!$B$39</c:f>
              <c:strCache>
                <c:ptCount val="1"/>
                <c:pt idx="0">
                  <c:v>Total Transaction Revenue</c:v>
                </c:pt>
              </c:strCache>
            </c:strRef>
          </c:tx>
          <c:spPr>
            <a:solidFill>
              <a:srgbClr val="022060"/>
            </a:solidFill>
            <a:ln>
              <a:noFill/>
            </a:ln>
            <a:effectLst/>
          </c:spPr>
          <c:invertIfNegative val="0"/>
          <c:cat>
            <c:numRef>
              <c:f>'Staking AUM'!$C$38:$D$38</c:f>
              <c:numCache>
                <c:formatCode>"FY"0"F"</c:formatCode>
                <c:ptCount val="2"/>
                <c:pt idx="0" formatCode="&quot;FY&quot;0&quot;A&quot;">
                  <c:v>25</c:v>
                </c:pt>
                <c:pt idx="1">
                  <c:v>26</c:v>
                </c:pt>
              </c:numCache>
            </c:numRef>
          </c:cat>
          <c:val>
            <c:numRef>
              <c:f>'Staking AUM'!$C$39:$D$39</c:f>
              <c:numCache>
                <c:formatCode>_(0.0%_);\(0.0%\);\-</c:formatCode>
                <c:ptCount val="2"/>
                <c:pt idx="0">
                  <c:v>0.58915055278718054</c:v>
                </c:pt>
                <c:pt idx="1">
                  <c:v>0.52912602369752726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40-354E-BF77-8A8A658D1F15}"/>
            </c:ext>
          </c:extLst>
        </c:ser>
        <c:ser>
          <c:idx val="1"/>
          <c:order val="1"/>
          <c:tx>
            <c:strRef>
              <c:f>'Staking AUM'!$B$40</c:f>
              <c:strCache>
                <c:ptCount val="1"/>
                <c:pt idx="0">
                  <c:v>Total Subscription &amp; Services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  <a:effectLst/>
          </c:spPr>
          <c:invertIfNegative val="0"/>
          <c:cat>
            <c:numRef>
              <c:f>'Staking AUM'!$C$38:$D$38</c:f>
              <c:numCache>
                <c:formatCode>"FY"0"F"</c:formatCode>
                <c:ptCount val="2"/>
                <c:pt idx="0" formatCode="&quot;FY&quot;0&quot;A&quot;">
                  <c:v>25</c:v>
                </c:pt>
                <c:pt idx="1">
                  <c:v>26</c:v>
                </c:pt>
              </c:numCache>
            </c:numRef>
          </c:cat>
          <c:val>
            <c:numRef>
              <c:f>'Staking AUM'!$C$40:$D$40</c:f>
              <c:numCache>
                <c:formatCode>_(0.0%_);\(0.0%\);\-</c:formatCode>
                <c:ptCount val="2"/>
                <c:pt idx="0">
                  <c:v>0.41084944721281941</c:v>
                </c:pt>
                <c:pt idx="1">
                  <c:v>0.47087397630247285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40-354E-BF77-8A8A658D1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802176"/>
        <c:axId val="2143809791"/>
      </c:barChart>
      <c:catAx>
        <c:axId val="49802176"/>
        <c:scaling>
          <c:orientation val="minMax"/>
        </c:scaling>
        <c:delete val="0"/>
        <c:axPos val="b"/>
        <c:numFmt formatCode="&quot;FY&quot;0&quot;A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KR"/>
          </a:p>
        </c:txPr>
        <c:crossAx val="2143809791"/>
        <c:crosses val="autoZero"/>
        <c:auto val="1"/>
        <c:lblAlgn val="ctr"/>
        <c:lblOffset val="100"/>
        <c:noMultiLvlLbl val="0"/>
      </c:catAx>
      <c:valAx>
        <c:axId val="2143809791"/>
        <c:scaling>
          <c:orientation val="minMax"/>
        </c:scaling>
        <c:delete val="0"/>
        <c:axPos val="l"/>
        <c:numFmt formatCode="_(0.0%_);\(0.0%\);\-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KR"/>
          </a:p>
        </c:txPr>
        <c:crossAx val="4980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Revenue Diversification &amp; Change</a:t>
            </a:r>
            <a:r>
              <a:rPr lang="en-US" baseline="0"/>
              <a:t> in OPEX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'Staking AUM'!$B$45</c:f>
              <c:strCache>
                <c:ptCount val="1"/>
                <c:pt idx="0">
                  <c:v>Total Transaction Revenue</c:v>
                </c:pt>
              </c:strCache>
            </c:strRef>
          </c:tx>
          <c:spPr>
            <a:solidFill>
              <a:srgbClr val="022060"/>
            </a:solidFill>
            <a:ln>
              <a:noFill/>
            </a:ln>
            <a:effectLst/>
          </c:spPr>
          <c:invertIfNegative val="0"/>
          <c:cat>
            <c:numRef>
              <c:f>'Staking AUM'!$C$44:$D$44</c:f>
              <c:numCache>
                <c:formatCode>"FY"0"F"</c:formatCode>
                <c:ptCount val="2"/>
                <c:pt idx="0" formatCode="&quot;FY&quot;0&quot;A&quot;">
                  <c:v>25</c:v>
                </c:pt>
                <c:pt idx="1">
                  <c:v>26</c:v>
                </c:pt>
              </c:numCache>
            </c:numRef>
          </c:cat>
          <c:val>
            <c:numRef>
              <c:f>'Staking AUM'!$C$45:$D$45</c:f>
              <c:numCache>
                <c:formatCode>_(0.0%_);\(0.0%\);\-</c:formatCode>
                <c:ptCount val="2"/>
                <c:pt idx="0">
                  <c:v>0.58915055278718054</c:v>
                </c:pt>
                <c:pt idx="1">
                  <c:v>0.52912602369752726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CF-CD4C-B55C-8EA9687E422E}"/>
            </c:ext>
          </c:extLst>
        </c:ser>
        <c:ser>
          <c:idx val="1"/>
          <c:order val="1"/>
          <c:tx>
            <c:strRef>
              <c:f>'Staking AUM'!$B$46</c:f>
              <c:strCache>
                <c:ptCount val="1"/>
                <c:pt idx="0">
                  <c:v>Total Subscription &amp; Services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  <a:effectLst/>
          </c:spPr>
          <c:invertIfNegative val="0"/>
          <c:cat>
            <c:numRef>
              <c:f>'Staking AUM'!$C$44:$D$44</c:f>
              <c:numCache>
                <c:formatCode>"FY"0"F"</c:formatCode>
                <c:ptCount val="2"/>
                <c:pt idx="0" formatCode="&quot;FY&quot;0&quot;A&quot;">
                  <c:v>25</c:v>
                </c:pt>
                <c:pt idx="1">
                  <c:v>26</c:v>
                </c:pt>
              </c:numCache>
            </c:numRef>
          </c:cat>
          <c:val>
            <c:numRef>
              <c:f>'Staking AUM'!$C$46:$D$46</c:f>
              <c:numCache>
                <c:formatCode>_(0.0%_);\(0.0%\);\-</c:formatCode>
                <c:ptCount val="2"/>
                <c:pt idx="0">
                  <c:v>0.41084944721281941</c:v>
                </c:pt>
                <c:pt idx="1">
                  <c:v>0.47087397630247285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CF-CD4C-B55C-8EA9687E4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6250623"/>
        <c:axId val="2006244799"/>
      </c:barChart>
      <c:lineChart>
        <c:grouping val="standard"/>
        <c:varyColors val="0"/>
        <c:ser>
          <c:idx val="2"/>
          <c:order val="2"/>
          <c:tx>
            <c:strRef>
              <c:f>'Staking AUM'!$B$47</c:f>
              <c:strCache>
                <c:ptCount val="1"/>
                <c:pt idx="0">
                  <c:v>Total OPEX</c:v>
                </c:pt>
              </c:strCache>
            </c:strRef>
          </c:tx>
          <c:spPr>
            <a:ln w="28575" cap="rnd">
              <a:solidFill>
                <a:srgbClr val="A0002A"/>
              </a:solidFill>
              <a:round/>
            </a:ln>
            <a:effectLst/>
          </c:spPr>
          <c:marker>
            <c:symbol val="none"/>
          </c:marker>
          <c:cat>
            <c:numRef>
              <c:f>'Staking AUM'!$C$44:$D$44</c:f>
              <c:numCache>
                <c:formatCode>"FY"0"F"</c:formatCode>
                <c:ptCount val="2"/>
                <c:pt idx="0" formatCode="&quot;FY&quot;0&quot;A&quot;">
                  <c:v>25</c:v>
                </c:pt>
                <c:pt idx="1">
                  <c:v>26</c:v>
                </c:pt>
              </c:numCache>
            </c:numRef>
          </c:cat>
          <c:val>
            <c:numRef>
              <c:f>'Staking AUM'!$C$47:$D$47</c:f>
              <c:numCache>
                <c:formatCode>_(* #,##0.0_);_(* \(#,##0.0\);_(* "-"??_);_(@_)</c:formatCode>
                <c:ptCount val="2"/>
                <c:pt idx="0">
                  <c:v>5.7251799999999999</c:v>
                </c:pt>
                <c:pt idx="1">
                  <c:v>5.5732048990750753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CF-CD4C-B55C-8EA9687E4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9324607"/>
        <c:axId val="2019321919"/>
      </c:lineChart>
      <c:catAx>
        <c:axId val="2006250623"/>
        <c:scaling>
          <c:orientation val="minMax"/>
        </c:scaling>
        <c:delete val="0"/>
        <c:axPos val="b"/>
        <c:numFmt formatCode="&quot;FY&quot;0&quot;A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KR"/>
          </a:p>
        </c:txPr>
        <c:crossAx val="2006244799"/>
        <c:crosses val="autoZero"/>
        <c:auto val="1"/>
        <c:lblAlgn val="ctr"/>
        <c:lblOffset val="100"/>
        <c:noMultiLvlLbl val="0"/>
      </c:catAx>
      <c:valAx>
        <c:axId val="2006244799"/>
        <c:scaling>
          <c:orientation val="minMax"/>
        </c:scaling>
        <c:delete val="0"/>
        <c:axPos val="l"/>
        <c:numFmt formatCode="_(0.0%_);\(0.0%\);\-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KR"/>
          </a:p>
        </c:txPr>
        <c:crossAx val="2006250623"/>
        <c:crosses val="autoZero"/>
        <c:crossBetween val="between"/>
      </c:valAx>
      <c:valAx>
        <c:axId val="2019321919"/>
        <c:scaling>
          <c:orientation val="minMax"/>
        </c:scaling>
        <c:delete val="0"/>
        <c:axPos val="r"/>
        <c:numFmt formatCode="_(* #,##0.0_);_(* \(#,##0.0\);_(* &quot;-&quot;??_);_(@_)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KR"/>
          </a:p>
        </c:txPr>
        <c:crossAx val="2019324607"/>
        <c:crosses val="max"/>
        <c:crossBetween val="between"/>
      </c:valAx>
      <c:catAx>
        <c:axId val="2019324607"/>
        <c:scaling>
          <c:orientation val="minMax"/>
        </c:scaling>
        <c:delete val="1"/>
        <c:axPos val="b"/>
        <c:numFmt formatCode="&quot;FY&quot;0&quot;A&quot;" sourceLinked="1"/>
        <c:majorTickMark val="out"/>
        <c:minorTickMark val="none"/>
        <c:tickLblPos val="nextTo"/>
        <c:crossAx val="20193219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Enterprise Value (Pre-Acquisition)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>
              <a:ln>
                <a:noFill/>
              </a:ln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defRPr>
          </a:pPr>
          <a:r>
            <a:rPr lang="en-US" sz="1200" b="0" i="0" u="none" strike="noStrike" baseline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Enterprise Value (Pre-Acquisition)</a:t>
          </a:r>
        </a:p>
      </cx:txPr>
    </cx:title>
    <cx:plotArea>
      <cx:plotAreaRegion>
        <cx:series layoutId="waterfall" uniqueId="{6A50A6B5-C08F-E947-B6FC-78A1081A637B}">
          <cx:dataPt idx="0"/>
          <cx:dataPt idx="4"/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1000" b="0" i="0">
                    <a:ln>
                      <a:noFill/>
                    </a:ln>
                    <a:solidFill>
                      <a:srgbClr val="595959"/>
                    </a:solidFill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 sz="1000">
                  <a:ln>
                    <a:noFill/>
                  </a:ln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visibility seriesName="0" categoryName="0" value="1"/>
          </cx:dataLabels>
          <cx:dataId val="0"/>
          <cx:layoutPr>
            <cx:visibility connectorLines="0"/>
            <cx:subtotals>
              <cx:idx val="4"/>
            </cx:subtotals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ln>
                  <a:noFill/>
                </a:ln>
                <a:solidFill>
                  <a:srgbClr val="595959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US">
              <a:ln>
                <a:noFill/>
              </a:ln>
            </a:endParaRPr>
          </a:p>
        </cx:txPr>
      </cx:axis>
      <cx:axis id="1" hidden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ln>
                  <a:noFill/>
                </a:ln>
                <a:solidFill>
                  <a:srgbClr val="595959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 sz="1200">
              <a:ln>
                <a:noFill/>
              </a:ln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000" b="0" i="0">
              <a:solidFill>
                <a:schemeClr val="tx1"/>
              </a:solidFill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defRPr>
          </a:pPr>
          <a:r>
            <a:rPr lang="en-US" sz="10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Chart Title</a:t>
          </a:r>
        </a:p>
      </cx:txPr>
    </cx:title>
    <cx:plotArea>
      <cx:plotAreaRegion>
        <cx:series layoutId="waterfall" uniqueId="{98F0AFC5-B1B4-7A4D-A08C-96D62F62DA35}">
          <cx:dataPt idx="0">
            <cx:spPr>
              <a:solidFill>
                <a:srgbClr val="022060"/>
              </a:solidFill>
            </cx:spPr>
          </cx:dataPt>
          <cx:dataPt idx="1">
            <cx:spPr>
              <a:solidFill>
                <a:srgbClr val="C9A227"/>
              </a:solidFill>
            </cx:spPr>
          </cx:dataPt>
          <cx:dataPt idx="2">
            <cx:spPr>
              <a:solidFill>
                <a:srgbClr val="C9A227"/>
              </a:solidFill>
            </cx:spPr>
          </cx:dataPt>
          <cx:dataPt idx="3">
            <cx:spPr>
              <a:solidFill>
                <a:srgbClr val="C9A227"/>
              </a:solidFill>
            </cx:spPr>
          </cx:dataPt>
          <cx:dataPt idx="4">
            <cx:spPr>
              <a:solidFill>
                <a:srgbClr val="C9A227"/>
              </a:solidFill>
            </cx:spPr>
          </cx:dataPt>
          <cx:dataPt idx="5">
            <cx:spPr>
              <a:solidFill>
                <a:srgbClr val="A0002A"/>
              </a:solidFill>
            </cx:spPr>
          </cx:dataPt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1000" b="0" i="0">
                    <a:solidFill>
                      <a:schemeClr val="tx1"/>
                    </a:solidFill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 sz="1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visibility seriesName="0" categoryName="0" value="1"/>
          </cx:dataLabels>
          <cx:dataId val="0"/>
          <cx:layoutPr>
            <cx:visibility connectorLines="0"/>
            <cx:subtotals>
              <cx:idx val="5"/>
            </cx:subtotals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 sz="10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 sz="10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2.xml"/><Relationship Id="rId18" Type="http://schemas.openxmlformats.org/officeDocument/2006/relationships/chart" Target="../charts/chart16.xml"/><Relationship Id="rId3" Type="http://schemas.openxmlformats.org/officeDocument/2006/relationships/image" Target="../media/image1.png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17" Type="http://schemas.openxmlformats.org/officeDocument/2006/relationships/chart" Target="../charts/chart15.xml"/><Relationship Id="rId2" Type="http://schemas.openxmlformats.org/officeDocument/2006/relationships/chart" Target="../charts/chart2.xml"/><Relationship Id="rId16" Type="http://schemas.openxmlformats.org/officeDocument/2006/relationships/chart" Target="../charts/chart14.xml"/><Relationship Id="rId1" Type="http://schemas.microsoft.com/office/2014/relationships/chartEx" Target="../charts/chartEx1.xml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5" Type="http://schemas.openxmlformats.org/officeDocument/2006/relationships/chart" Target="../charts/chart4.xml"/><Relationship Id="rId15" Type="http://schemas.microsoft.com/office/2014/relationships/chartEx" Target="../charts/chartEx2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Relationship Id="rId14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10" Type="http://schemas.openxmlformats.org/officeDocument/2006/relationships/chart" Target="../charts/chart26.xml"/><Relationship Id="rId4" Type="http://schemas.openxmlformats.org/officeDocument/2006/relationships/chart" Target="../charts/chart20.xml"/><Relationship Id="rId9" Type="http://schemas.openxmlformats.org/officeDocument/2006/relationships/chart" Target="../charts/chart2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791568</xdr:colOff>
      <xdr:row>20</xdr:row>
      <xdr:rowOff>0</xdr:rowOff>
    </xdr:from>
    <xdr:to>
      <xdr:col>24</xdr:col>
      <xdr:colOff>45470</xdr:colOff>
      <xdr:row>35</xdr:row>
      <xdr:rowOff>152328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C36667-BC93-4FF6-ADE1-AE51785293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701752</xdr:colOff>
      <xdr:row>24</xdr:row>
      <xdr:rowOff>97039</xdr:rowOff>
    </xdr:from>
    <xdr:to>
      <xdr:col>25</xdr:col>
      <xdr:colOff>669890</xdr:colOff>
      <xdr:row>35</xdr:row>
      <xdr:rowOff>27912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40FD92DD-5067-50FC-E1CB-1C5D3AF815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564552" y="4376939"/>
              <a:ext cx="3651138" cy="19247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213250</xdr:colOff>
      <xdr:row>2</xdr:row>
      <xdr:rowOff>132818</xdr:rowOff>
    </xdr:from>
    <xdr:to>
      <xdr:col>24</xdr:col>
      <xdr:colOff>399319</xdr:colOff>
      <xdr:row>13</xdr:row>
      <xdr:rowOff>160582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4CD5F8-F72A-58D7-2EF0-05100108BC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25</xdr:col>
      <xdr:colOff>47523</xdr:colOff>
      <xdr:row>2</xdr:row>
      <xdr:rowOff>118692</xdr:rowOff>
    </xdr:from>
    <xdr:to>
      <xdr:col>25</xdr:col>
      <xdr:colOff>569720</xdr:colOff>
      <xdr:row>13</xdr:row>
      <xdr:rowOff>47221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91E7B3-89B2-1565-6C09-7C7DA417E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>
          <a:off x="19912378" y="471062"/>
          <a:ext cx="522197" cy="1863389"/>
        </a:xfrm>
        <a:prstGeom prst="rect">
          <a:avLst/>
        </a:prstGeom>
      </xdr:spPr>
    </xdr:pic>
    <xdr:clientData/>
  </xdr:twoCellAnchor>
  <xdr:twoCellAnchor>
    <xdr:from>
      <xdr:col>26</xdr:col>
      <xdr:colOff>577287</xdr:colOff>
      <xdr:row>2</xdr:row>
      <xdr:rowOff>155199</xdr:rowOff>
    </xdr:from>
    <xdr:to>
      <xdr:col>30</xdr:col>
      <xdr:colOff>126672</xdr:colOff>
      <xdr:row>15</xdr:row>
      <xdr:rowOff>75966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AB8120-CD4E-7673-C342-F9F255DC3B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342900</xdr:colOff>
      <xdr:row>310</xdr:row>
      <xdr:rowOff>101600</xdr:rowOff>
    </xdr:from>
    <xdr:to>
      <xdr:col>17</xdr:col>
      <xdr:colOff>1866900</xdr:colOff>
      <xdr:row>326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63AFA5B-E701-8150-811A-F9FCC74465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280776</xdr:colOff>
      <xdr:row>47</xdr:row>
      <xdr:rowOff>68011</xdr:rowOff>
    </xdr:from>
    <xdr:to>
      <xdr:col>39</xdr:col>
      <xdr:colOff>88899</xdr:colOff>
      <xdr:row>62</xdr:row>
      <xdr:rowOff>44451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876368-18C4-7B8D-BFBE-C356DFCB3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860131</xdr:colOff>
      <xdr:row>366</xdr:row>
      <xdr:rowOff>47931</xdr:rowOff>
    </xdr:from>
    <xdr:to>
      <xdr:col>7</xdr:col>
      <xdr:colOff>391643</xdr:colOff>
      <xdr:row>381</xdr:row>
      <xdr:rowOff>149744</xdr:rowOff>
    </xdr:to>
    <xdr:graphicFrame macro="">
      <xdr:nvGraphicFramePr>
        <xdr:cNvPr id="59" name="Chart 5">
          <a:extLst>
            <a:ext uri="{FF2B5EF4-FFF2-40B4-BE49-F238E27FC236}">
              <a16:creationId xmlns:a16="http://schemas.microsoft.com/office/drawing/2014/main" id="{81659C60-CFBC-FF27-8B14-1E84D894A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37</xdr:col>
      <xdr:colOff>64106</xdr:colOff>
      <xdr:row>71</xdr:row>
      <xdr:rowOff>84556</xdr:rowOff>
    </xdr:from>
    <xdr:to>
      <xdr:col>44</xdr:col>
      <xdr:colOff>202670</xdr:colOff>
      <xdr:row>86</xdr:row>
      <xdr:rowOff>144470</xdr:rowOff>
    </xdr:to>
    <xdr:graphicFrame macro="">
      <xdr:nvGraphicFramePr>
        <xdr:cNvPr id="62" name="Chart 8">
          <a:extLst>
            <a:ext uri="{FF2B5EF4-FFF2-40B4-BE49-F238E27FC236}">
              <a16:creationId xmlns:a16="http://schemas.microsoft.com/office/drawing/2014/main" id="{9D71CC8E-4856-8E26-EB4C-7B2664DF4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749300</xdr:colOff>
      <xdr:row>334</xdr:row>
      <xdr:rowOff>44450</xdr:rowOff>
    </xdr:from>
    <xdr:to>
      <xdr:col>11</xdr:col>
      <xdr:colOff>203200</xdr:colOff>
      <xdr:row>349</xdr:row>
      <xdr:rowOff>120650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5106368-817A-DC7A-07FE-C323184758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47</xdr:col>
      <xdr:colOff>821690</xdr:colOff>
      <xdr:row>80</xdr:row>
      <xdr:rowOff>10160</xdr:rowOff>
    </xdr:from>
    <xdr:to>
      <xdr:col>55</xdr:col>
      <xdr:colOff>78740</xdr:colOff>
      <xdr:row>95</xdr:row>
      <xdr:rowOff>129540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6DCC6E-38A6-02E0-88DF-1A732E249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49</xdr:col>
      <xdr:colOff>318633</xdr:colOff>
      <xdr:row>86</xdr:row>
      <xdr:rowOff>165452</xdr:rowOff>
    </xdr:from>
    <xdr:to>
      <xdr:col>50</xdr:col>
      <xdr:colOff>690193</xdr:colOff>
      <xdr:row>93</xdr:row>
      <xdr:rowOff>79336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273C8EA-4001-0814-B0D3-41D3E13F8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52</xdr:col>
      <xdr:colOff>273125</xdr:colOff>
      <xdr:row>83</xdr:row>
      <xdr:rowOff>84666</xdr:rowOff>
    </xdr:from>
    <xdr:to>
      <xdr:col>59</xdr:col>
      <xdr:colOff>81280</xdr:colOff>
      <xdr:row>94</xdr:row>
      <xdr:rowOff>109058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3F34C90-7601-040E-AE1A-FF13EDAAD7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63</xdr:col>
      <xdr:colOff>821266</xdr:colOff>
      <xdr:row>56</xdr:row>
      <xdr:rowOff>131232</xdr:rowOff>
    </xdr:from>
    <xdr:to>
      <xdr:col>68</xdr:col>
      <xdr:colOff>567266</xdr:colOff>
      <xdr:row>71</xdr:row>
      <xdr:rowOff>105832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8A72548-036B-34DE-6456-B7262973BE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58</xdr:col>
      <xdr:colOff>559777</xdr:colOff>
      <xdr:row>88</xdr:row>
      <xdr:rowOff>75587</xdr:rowOff>
    </xdr:from>
    <xdr:to>
      <xdr:col>63</xdr:col>
      <xdr:colOff>804369</xdr:colOff>
      <xdr:row>103</xdr:row>
      <xdr:rowOff>98479</xdr:rowOff>
    </xdr:to>
    <xdr:graphicFrame macro="">
      <xdr:nvGraphicFramePr>
        <xdr:cNvPr id="11" name="Chart 12">
          <a:extLst>
            <a:ext uri="{FF2B5EF4-FFF2-40B4-BE49-F238E27FC236}">
              <a16:creationId xmlns:a16="http://schemas.microsoft.com/office/drawing/2014/main" id="{6B6A8514-BD24-DE02-927E-F70C5BE76D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26</xdr:col>
      <xdr:colOff>385234</xdr:colOff>
      <xdr:row>98</xdr:row>
      <xdr:rowOff>21167</xdr:rowOff>
    </xdr:from>
    <xdr:to>
      <xdr:col>29</xdr:col>
      <xdr:colOff>952500</xdr:colOff>
      <xdr:row>113</xdr:row>
      <xdr:rowOff>97367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F78BCDF1-000C-83A2-35E7-B958F72C02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391534" y="17712267"/>
              <a:ext cx="4567766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53</xdr:col>
      <xdr:colOff>546745</xdr:colOff>
      <xdr:row>23</xdr:row>
      <xdr:rowOff>152622</xdr:rowOff>
    </xdr:from>
    <xdr:to>
      <xdr:col>59</xdr:col>
      <xdr:colOff>398893</xdr:colOff>
      <xdr:row>39</xdr:row>
      <xdr:rowOff>34832</xdr:rowOff>
    </xdr:to>
    <xdr:graphicFrame macro="">
      <xdr:nvGraphicFramePr>
        <xdr:cNvPr id="37" name="Chart 10">
          <a:extLst>
            <a:ext uri="{FF2B5EF4-FFF2-40B4-BE49-F238E27FC236}">
              <a16:creationId xmlns:a16="http://schemas.microsoft.com/office/drawing/2014/main" id="{8126EF16-1F50-E6FE-84EB-33ED03AE9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58</xdr:col>
      <xdr:colOff>335280</xdr:colOff>
      <xdr:row>24</xdr:row>
      <xdr:rowOff>76200</xdr:rowOff>
    </xdr:from>
    <xdr:to>
      <xdr:col>63</xdr:col>
      <xdr:colOff>548640</xdr:colOff>
      <xdr:row>39</xdr:row>
      <xdr:rowOff>25400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AE4A197-9F6E-FEC2-61C0-6F97161638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50</xdr:col>
      <xdr:colOff>67734</xdr:colOff>
      <xdr:row>24</xdr:row>
      <xdr:rowOff>143934</xdr:rowOff>
    </xdr:from>
    <xdr:to>
      <xdr:col>54</xdr:col>
      <xdr:colOff>728134</xdr:colOff>
      <xdr:row>39</xdr:row>
      <xdr:rowOff>135467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F80D75D-5EFC-F3B5-B41D-387CE559F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91F7FC-EC04-4F7B-BDAE-8A33D49555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10</xdr:col>
      <xdr:colOff>0</xdr:colOff>
      <xdr:row>54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2150B4-88E5-47C5-A4D2-9C0FF0FD55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10</xdr:col>
      <xdr:colOff>0</xdr:colOff>
      <xdr:row>54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61A4B4-969C-4AAB-B469-3180F3CFF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65</xdr:row>
      <xdr:rowOff>0</xdr:rowOff>
    </xdr:from>
    <xdr:to>
      <xdr:col>4</xdr:col>
      <xdr:colOff>1032542</xdr:colOff>
      <xdr:row>82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03C39B-7009-476C-85F8-14C18224C6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1373547</xdr:colOff>
      <xdr:row>65</xdr:row>
      <xdr:rowOff>8005</xdr:rowOff>
    </xdr:from>
    <xdr:to>
      <xdr:col>9</xdr:col>
      <xdr:colOff>917308</xdr:colOff>
      <xdr:row>82</xdr:row>
      <xdr:rowOff>8005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B0BA04-0C66-4D3B-BE2E-2558C97B23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96126</xdr:colOff>
      <xdr:row>92</xdr:row>
      <xdr:rowOff>0</xdr:rowOff>
    </xdr:from>
    <xdr:to>
      <xdr:col>4</xdr:col>
      <xdr:colOff>934357</xdr:colOff>
      <xdr:row>107</xdr:row>
      <xdr:rowOff>136072</xdr:rowOff>
    </xdr:to>
    <xdr:graphicFrame macro="">
      <xdr:nvGraphicFramePr>
        <xdr:cNvPr id="17" name="Chart 6">
          <a:extLst>
            <a:ext uri="{FF2B5EF4-FFF2-40B4-BE49-F238E27FC236}">
              <a16:creationId xmlns:a16="http://schemas.microsoft.com/office/drawing/2014/main" id="{EE68FB89-6251-4518-8157-C605D52E92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118</xdr:row>
      <xdr:rowOff>0</xdr:rowOff>
    </xdr:from>
    <xdr:to>
      <xdr:col>10</xdr:col>
      <xdr:colOff>0</xdr:colOff>
      <xdr:row>135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7BACD58-AE5A-427B-9BBD-0CD19E6771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2035709</xdr:colOff>
      <xdr:row>142</xdr:row>
      <xdr:rowOff>141350</xdr:rowOff>
    </xdr:from>
    <xdr:to>
      <xdr:col>5</xdr:col>
      <xdr:colOff>16472</xdr:colOff>
      <xdr:row>158</xdr:row>
      <xdr:rowOff>141350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90B5A3-511A-4CDE-ABE5-86F1A522A9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199</xdr:row>
      <xdr:rowOff>184149</xdr:rowOff>
    </xdr:from>
    <xdr:to>
      <xdr:col>5</xdr:col>
      <xdr:colOff>0</xdr:colOff>
      <xdr:row>215</xdr:row>
      <xdr:rowOff>184149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D530ED5-4CB4-4166-BDD4-0211BC0EC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0</xdr:colOff>
      <xdr:row>199</xdr:row>
      <xdr:rowOff>184149</xdr:rowOff>
    </xdr:from>
    <xdr:to>
      <xdr:col>10</xdr:col>
      <xdr:colOff>0</xdr:colOff>
      <xdr:row>215</xdr:row>
      <xdr:rowOff>184149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8037242-1EA3-4DC4-9707-AD86E62BD2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222022</xdr:colOff>
      <xdr:row>28</xdr:row>
      <xdr:rowOff>181637</xdr:rowOff>
    </xdr:from>
    <xdr:to>
      <xdr:col>7</xdr:col>
      <xdr:colOff>873853</xdr:colOff>
      <xdr:row>38</xdr:row>
      <xdr:rowOff>151468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63D6FE-43BF-A17C-7191-0A9AEA3C3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134937</xdr:colOff>
      <xdr:row>40</xdr:row>
      <xdr:rowOff>78798</xdr:rowOff>
    </xdr:from>
    <xdr:to>
      <xdr:col>9</xdr:col>
      <xdr:colOff>750455</xdr:colOff>
      <xdr:row>55</xdr:row>
      <xdr:rowOff>43295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81CD52-5747-70B0-3C49-7772DBD848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junyi/Documents/Copy%20of%20COINBASE.xlsx" TargetMode="External"/><Relationship Id="rId1" Type="http://schemas.openxmlformats.org/officeDocument/2006/relationships/externalLinkPath" Target="file:///C:/Users/junyi/Documents/Copy%20of%20COINBAS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27138FF2BD9F4EF/Documents/Copy%20of%20COINBASE.xlsx" TargetMode="External"/><Relationship Id="rId1" Type="http://schemas.openxmlformats.org/officeDocument/2006/relationships/externalLinkPath" Target="https://d.docs.live.net/D27138FF2BD9F4EF/Documents/Copy%20of%20COINBAS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Dillon%20Heng/Downloads/Trading%20Comps%20Template%20OM.xlsb" TargetMode="External"/><Relationship Id="rId1" Type="http://schemas.openxmlformats.org/officeDocument/2006/relationships/externalLinkPath" Target="file:///C:/Users/Dillon%20Heng/Downloads/Trading%20Comps%20Template%20OM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 Page"/>
      <sheetName val="Valuation&gt;"/>
      <sheetName val="3FS"/>
      <sheetName val="Debt"/>
      <sheetName val="WACC"/>
      <sheetName val="LBO"/>
      <sheetName val="lbo(yx)"/>
      <sheetName val="Reference (Capital Structure)"/>
      <sheetName val="Projections&gt;"/>
      <sheetName val="Revenue Build"/>
      <sheetName val="IS &amp; BS Projections"/>
      <sheetName val="PPE"/>
      <sheetName val="Intangibles"/>
      <sheetName val="D&amp;E Schedule"/>
      <sheetName val="Reference&gt;"/>
      <sheetName val="Damodaran"/>
      <sheetName val="Macro Data"/>
      <sheetName val="Charts for Deck"/>
      <sheetName val="Staking AUM"/>
      <sheetName val="Trading Comps_Raw"/>
      <sheetName val="Comps Export"/>
      <sheetName val="Precedent Transactions Export"/>
    </sheetNames>
    <sheetDataSet>
      <sheetData sheetId="0"/>
      <sheetData sheetId="1"/>
      <sheetData sheetId="2">
        <row r="15">
          <cell r="I15">
            <v>7181325</v>
          </cell>
          <cell r="J15">
            <v>7760519.8677711934</v>
          </cell>
          <cell r="K15">
            <v>8677662.983783463</v>
          </cell>
          <cell r="L15">
            <v>9724862.789179422</v>
          </cell>
          <cell r="M15">
            <v>11294412.298654651</v>
          </cell>
          <cell r="N15">
            <v>13840714.982593624</v>
          </cell>
        </row>
        <row r="44">
          <cell r="I44">
            <v>0.22672445544519987</v>
          </cell>
          <cell r="J44">
            <v>0.27804648723777314</v>
          </cell>
          <cell r="K44">
            <v>0.2775416634254666</v>
          </cell>
          <cell r="L44">
            <v>0.2793110808466846</v>
          </cell>
          <cell r="M44">
            <v>0.28012094954026051</v>
          </cell>
          <cell r="N44">
            <v>0.28032496472627333</v>
          </cell>
        </row>
        <row r="46">
          <cell r="E46">
            <v>3119758</v>
          </cell>
          <cell r="F46">
            <v>-2821612</v>
          </cell>
          <cell r="G46">
            <v>145563</v>
          </cell>
          <cell r="H46">
            <v>3079082</v>
          </cell>
          <cell r="I46">
            <v>1816610</v>
          </cell>
          <cell r="J46">
            <v>2422168.5622602426</v>
          </cell>
          <cell r="K46">
            <v>2709341.9138760874</v>
          </cell>
          <cell r="L46">
            <v>3058146.6911850735</v>
          </cell>
          <cell r="M46">
            <v>3553252.2050124547</v>
          </cell>
          <cell r="N46">
            <v>4327638.2487039221</v>
          </cell>
        </row>
        <row r="47">
          <cell r="E47">
            <v>0.39795648799117794</v>
          </cell>
          <cell r="F47">
            <v>-0.88335261823901257</v>
          </cell>
          <cell r="G47">
            <v>4.8800398548489617E-2</v>
          </cell>
          <cell r="H47">
            <v>0.46908422694114044</v>
          </cell>
          <cell r="I47">
            <v>0.25296306740051455</v>
          </cell>
          <cell r="J47">
            <v>0.31211421445093018</v>
          </cell>
          <cell r="K47">
            <v>0.31222022783544584</v>
          </cell>
          <cell r="L47">
            <v>0.31446682153580474</v>
          </cell>
          <cell r="M47">
            <v>0.3146026646677052</v>
          </cell>
        </row>
        <row r="187">
          <cell r="I187">
            <v>-377426</v>
          </cell>
          <cell r="J187">
            <v>-181828.14602436282</v>
          </cell>
          <cell r="K187">
            <v>-203316.71061345292</v>
          </cell>
          <cell r="L187">
            <v>-227852.48944999449</v>
          </cell>
          <cell r="M187">
            <v>-264626.86568560253</v>
          </cell>
          <cell r="N187">
            <v>-324286.46377003501</v>
          </cell>
        </row>
      </sheetData>
      <sheetData sheetId="3"/>
      <sheetData sheetId="4"/>
      <sheetData sheetId="5"/>
      <sheetData sheetId="6">
        <row r="7">
          <cell r="E7">
            <v>15</v>
          </cell>
        </row>
        <row r="8">
          <cell r="K8">
            <v>11929.535</v>
          </cell>
        </row>
        <row r="9">
          <cell r="K9">
            <v>-7658.7240000000002</v>
          </cell>
        </row>
        <row r="12">
          <cell r="E12">
            <v>3119.7579999999998</v>
          </cell>
        </row>
        <row r="13">
          <cell r="E13">
            <v>46796.369999999995</v>
          </cell>
        </row>
        <row r="15">
          <cell r="K15">
            <v>51690.165999999997</v>
          </cell>
        </row>
        <row r="17">
          <cell r="E17">
            <v>0.13039190210383467</v>
          </cell>
        </row>
        <row r="18">
          <cell r="E18">
            <v>182.15135110501203</v>
          </cell>
        </row>
        <row r="31">
          <cell r="E31">
            <v>0.05</v>
          </cell>
        </row>
        <row r="41">
          <cell r="D41">
            <v>1559.8789999999999</v>
          </cell>
          <cell r="E41">
            <v>0.5</v>
          </cell>
        </row>
        <row r="42">
          <cell r="D42">
            <v>3119.7579999999998</v>
          </cell>
          <cell r="E42">
            <v>1</v>
          </cell>
        </row>
        <row r="43">
          <cell r="D43">
            <v>9359.2739999999994</v>
          </cell>
          <cell r="E43">
            <v>3</v>
          </cell>
        </row>
        <row r="44">
          <cell r="D44">
            <v>3119.7579999999998</v>
          </cell>
          <cell r="E44">
            <v>1</v>
          </cell>
        </row>
        <row r="46">
          <cell r="D46">
            <v>32952.418669999999</v>
          </cell>
          <cell r="E46">
            <v>10.562491920847707</v>
          </cell>
        </row>
        <row r="82"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99"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8"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</row>
        <row r="116">
          <cell r="J116">
            <v>3213.3507399999999</v>
          </cell>
          <cell r="K116">
            <v>3309.7512621999999</v>
          </cell>
          <cell r="L116">
            <v>3409.0438000660001</v>
          </cell>
          <cell r="M116">
            <v>3511.3151140679802</v>
          </cell>
          <cell r="N116">
            <v>3616.6545674900194</v>
          </cell>
        </row>
        <row r="132">
          <cell r="J132">
            <v>-149917.1723046769</v>
          </cell>
          <cell r="K132">
            <v>35532.441620884056</v>
          </cell>
          <cell r="L132">
            <v>37056.354533750447</v>
          </cell>
          <cell r="M132">
            <v>58354.957817295261</v>
          </cell>
          <cell r="N132">
            <v>93917.017073585535</v>
          </cell>
        </row>
        <row r="133">
          <cell r="J133">
            <v>-181828.14602436282</v>
          </cell>
          <cell r="K133">
            <v>-203316.71061345292</v>
          </cell>
          <cell r="L133">
            <v>-227852.48944999449</v>
          </cell>
          <cell r="M133">
            <v>-264626.86568560253</v>
          </cell>
          <cell r="N133">
            <v>-324286.46377003501</v>
          </cell>
        </row>
        <row r="134">
          <cell r="J134">
            <v>-431557.05767454562</v>
          </cell>
          <cell r="K134">
            <v>-481682.60383297206</v>
          </cell>
          <cell r="L134">
            <v>-543252.38734628167</v>
          </cell>
          <cell r="M134">
            <v>-632760.2995196674</v>
          </cell>
          <cell r="N134">
            <v>-775979.58785639203</v>
          </cell>
        </row>
        <row r="135">
          <cell r="J135">
            <v>1514134.6033732034</v>
          </cell>
          <cell r="K135">
            <v>1912483.9557789552</v>
          </cell>
          <cell r="L135">
            <v>2173726.6388168512</v>
          </cell>
          <cell r="M135">
            <v>2560386.9921725974</v>
          </cell>
          <cell r="N135">
            <v>3163214.3506530263</v>
          </cell>
        </row>
        <row r="146">
          <cell r="J146">
            <v>2422168.5622602426</v>
          </cell>
          <cell r="K146">
            <v>2709341.9138760874</v>
          </cell>
          <cell r="L146">
            <v>3058146.6911850735</v>
          </cell>
          <cell r="M146">
            <v>3553252.2050124547</v>
          </cell>
          <cell r="N146">
            <v>4327638.2487039221</v>
          </cell>
        </row>
        <row r="147">
          <cell r="N147">
            <v>5.5</v>
          </cell>
        </row>
        <row r="148">
          <cell r="N148">
            <v>23802010.367871571</v>
          </cell>
        </row>
        <row r="149">
          <cell r="N149">
            <v>21953777.623061761</v>
          </cell>
        </row>
        <row r="150">
          <cell r="N150">
            <v>-2168606</v>
          </cell>
        </row>
        <row r="157">
          <cell r="N157">
            <v>43587181.990933329</v>
          </cell>
        </row>
      </sheetData>
      <sheetData sheetId="7"/>
      <sheetData sheetId="8"/>
      <sheetData sheetId="9">
        <row r="14">
          <cell r="F14">
            <v>6880000</v>
          </cell>
          <cell r="G14">
            <v>2356300</v>
          </cell>
          <cell r="H14">
            <v>1577100</v>
          </cell>
          <cell r="I14">
            <v>3986200</v>
          </cell>
          <cell r="J14">
            <v>4055300</v>
          </cell>
          <cell r="K14">
            <v>4132525.4778581127</v>
          </cell>
          <cell r="L14">
            <v>4603601.1915870355</v>
          </cell>
          <cell r="M14">
            <v>5571680.8505433509</v>
          </cell>
          <cell r="N14">
            <v>7251293.7080915086</v>
          </cell>
        </row>
        <row r="22">
          <cell r="F22">
            <v>495100</v>
          </cell>
          <cell r="G22">
            <v>1386600</v>
          </cell>
          <cell r="H22">
            <v>1258400</v>
          </cell>
          <cell r="I22">
            <v>2307000</v>
          </cell>
          <cell r="J22">
            <v>2828000</v>
          </cell>
          <cell r="K22">
            <v>3677571.347431385</v>
          </cell>
          <cell r="L22">
            <v>4274967.1727987491</v>
          </cell>
          <cell r="M22">
            <v>4561406.5272153709</v>
          </cell>
          <cell r="N22">
            <v>4862395.2710534027</v>
          </cell>
        </row>
        <row r="26">
          <cell r="F26">
            <v>514000</v>
          </cell>
          <cell r="G26">
            <v>600</v>
          </cell>
          <cell r="H26">
            <v>49200</v>
          </cell>
          <cell r="I26">
            <v>270800</v>
          </cell>
          <cell r="J26">
            <v>297900</v>
          </cell>
          <cell r="K26">
            <v>283923.45844504016</v>
          </cell>
          <cell r="L26">
            <v>270602.65275391896</v>
          </cell>
          <cell r="M26">
            <v>257906.81783919083</v>
          </cell>
          <cell r="N26">
            <v>245806.63201563628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BO Val (2)"/>
      <sheetName val="Cover Page"/>
      <sheetName val="Valuation&gt;"/>
      <sheetName val="3FS"/>
      <sheetName val="Debt"/>
      <sheetName val="WACC"/>
      <sheetName val="lbo(yx)"/>
      <sheetName val="Reference (Capital Structure)"/>
      <sheetName val="Projections&gt;"/>
      <sheetName val="Revenue Build"/>
      <sheetName val="IS &amp; BS Projections"/>
      <sheetName val="PPE"/>
      <sheetName val="Intangibles"/>
      <sheetName val="D&amp;E Schedule"/>
      <sheetName val="Reference&gt;"/>
      <sheetName val="Damodaran"/>
      <sheetName val="Macro Data"/>
      <sheetName val="Charts for Deck"/>
      <sheetName val="Staking AUM"/>
      <sheetName val="Trading Comps_Raw"/>
      <sheetName val="Comps Export"/>
      <sheetName val="Precedent Transactions Export"/>
    </sheetNames>
    <sheetDataSet>
      <sheetData sheetId="0"/>
      <sheetData sheetId="1"/>
      <sheetData sheetId="2"/>
      <sheetData sheetId="3">
        <row r="15">
          <cell r="I15">
            <v>7181325</v>
          </cell>
        </row>
        <row r="43">
          <cell r="E43">
            <v>3056107</v>
          </cell>
          <cell r="F43">
            <v>-2975681</v>
          </cell>
          <cell r="G43">
            <v>5921</v>
          </cell>
          <cell r="H43">
            <v>2951564</v>
          </cell>
          <cell r="I43">
            <v>1628182</v>
          </cell>
          <cell r="J43">
            <v>2157785.288372728</v>
          </cell>
          <cell r="K43">
            <v>2408413.0191648602</v>
          </cell>
          <cell r="L43">
            <v>2716261.9367314084</v>
          </cell>
          <cell r="M43">
            <v>3163801.497598337</v>
          </cell>
          <cell r="N43">
            <v>3879897.93928196</v>
          </cell>
        </row>
        <row r="46">
          <cell r="E46">
            <v>3119758</v>
          </cell>
          <cell r="J46">
            <v>2422168.5622602426</v>
          </cell>
          <cell r="K46">
            <v>2709341.9138760874</v>
          </cell>
          <cell r="L46">
            <v>3058146.6911850735</v>
          </cell>
          <cell r="M46">
            <v>3553252.2050124547</v>
          </cell>
          <cell r="N46">
            <v>4327638.2487039221</v>
          </cell>
        </row>
        <row r="59">
          <cell r="J59">
            <v>11810479.200253915</v>
          </cell>
          <cell r="K59">
            <v>18457012.27266708</v>
          </cell>
          <cell r="L59">
            <v>19725501.013035238</v>
          </cell>
          <cell r="M59">
            <v>20646416.535354033</v>
          </cell>
          <cell r="N59">
            <v>21953777.623061761</v>
          </cell>
        </row>
        <row r="62">
          <cell r="E62">
            <v>0</v>
          </cell>
          <cell r="F62">
            <v>0</v>
          </cell>
          <cell r="G62">
            <v>168290</v>
          </cell>
          <cell r="H62">
            <v>265251</v>
          </cell>
          <cell r="I62">
            <v>307119</v>
          </cell>
        </row>
        <row r="98">
          <cell r="E98">
            <v>39833</v>
          </cell>
          <cell r="F98">
            <v>56043</v>
          </cell>
          <cell r="G98">
            <v>39294</v>
          </cell>
          <cell r="H98">
            <v>63316</v>
          </cell>
          <cell r="I98">
            <v>117605</v>
          </cell>
        </row>
        <row r="115">
          <cell r="J115">
            <v>5933606</v>
          </cell>
          <cell r="K115">
            <v>5933606</v>
          </cell>
          <cell r="L115">
            <v>3933606</v>
          </cell>
          <cell r="M115">
            <v>1933606</v>
          </cell>
          <cell r="N115">
            <v>2168606</v>
          </cell>
        </row>
        <row r="116"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</row>
        <row r="142">
          <cell r="E142">
            <v>18351</v>
          </cell>
          <cell r="F142">
            <v>47969</v>
          </cell>
          <cell r="G142">
            <v>51031</v>
          </cell>
          <cell r="H142">
            <v>100476</v>
          </cell>
          <cell r="I142">
            <v>121302</v>
          </cell>
          <cell r="J142">
            <v>119651.69100406047</v>
          </cell>
          <cell r="K142">
            <v>153537.80943963595</v>
          </cell>
          <cell r="L142">
            <v>191513.22434796835</v>
          </cell>
          <cell r="M142">
            <v>235617.70196223544</v>
          </cell>
          <cell r="N142">
            <v>289665.44592390792</v>
          </cell>
        </row>
        <row r="146">
          <cell r="J146">
            <v>103982.70475303294</v>
          </cell>
          <cell r="K146">
            <v>-26265.462952572649</v>
          </cell>
          <cell r="L146">
            <v>-27391.934321551525</v>
          </cell>
          <cell r="M146">
            <v>-43135.791201814223</v>
          </cell>
          <cell r="N146">
            <v>-69423.147412210412</v>
          </cell>
        </row>
        <row r="148">
          <cell r="J148">
            <v>-45934.467551643975</v>
          </cell>
          <cell r="K148">
            <v>9266.9786683114071</v>
          </cell>
          <cell r="L148">
            <v>9664.4202121989219</v>
          </cell>
          <cell r="M148">
            <v>15219.166615481037</v>
          </cell>
          <cell r="N148">
            <v>24493.869661375124</v>
          </cell>
        </row>
        <row r="187">
          <cell r="E187">
            <v>-387313</v>
          </cell>
          <cell r="F187">
            <v>0</v>
          </cell>
          <cell r="G187">
            <v>-18835</v>
          </cell>
          <cell r="H187">
            <v>-59915</v>
          </cell>
          <cell r="I187">
            <v>-377426</v>
          </cell>
          <cell r="J187">
            <v>-181828.14602436282</v>
          </cell>
          <cell r="K187">
            <v>-203316.71061345292</v>
          </cell>
          <cell r="L187">
            <v>-227852.48944999449</v>
          </cell>
          <cell r="M187">
            <v>-264626.86568560253</v>
          </cell>
          <cell r="N187">
            <v>-324286.46377003501</v>
          </cell>
        </row>
      </sheetData>
      <sheetData sheetId="4"/>
      <sheetData sheetId="5"/>
      <sheetData sheetId="6"/>
      <sheetData sheetId="7">
        <row r="2">
          <cell r="N2">
            <v>46022</v>
          </cell>
        </row>
        <row r="15">
          <cell r="U15">
            <v>283.77591319759199</v>
          </cell>
        </row>
        <row r="17">
          <cell r="U17">
            <v>45727.650652659999</v>
          </cell>
        </row>
        <row r="19">
          <cell r="U19">
            <v>7658.7240000000002</v>
          </cell>
        </row>
        <row r="20">
          <cell r="U20">
            <v>11929.535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622.98500000000001</v>
          </cell>
        </row>
        <row r="24">
          <cell r="U24">
            <v>0</v>
          </cell>
        </row>
        <row r="25">
          <cell r="U25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2">
          <cell r="K12">
            <v>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snloffice"/>
      <sheetName val="Instructions"/>
      <sheetName val="CIQ Link"/>
      <sheetName val="_CIQHiddenCacheSheet"/>
      <sheetName val="SG Office Format"/>
      <sheetName val="Biz Des"/>
      <sheetName val="Adams Format"/>
      <sheetName val="Henry Format"/>
    </sheetNames>
    <sheetDataSet>
      <sheetData sheetId="0" refreshError="1"/>
      <sheetData sheetId="1" refreshError="1"/>
      <sheetData sheetId="2" refreshError="1">
        <row r="9">
          <cell r="E9" t="str">
            <v>2025A</v>
          </cell>
          <cell r="G9" t="str">
            <v>2026F</v>
          </cell>
          <cell r="H9" t="str">
            <v>2027F</v>
          </cell>
          <cell r="J9" t="str">
            <v>2025A</v>
          </cell>
          <cell r="L9" t="str">
            <v>2026F</v>
          </cell>
          <cell r="M9" t="str">
            <v>2027F</v>
          </cell>
          <cell r="O9" t="str">
            <v>2025A</v>
          </cell>
          <cell r="Q9" t="str">
            <v>2026F</v>
          </cell>
          <cell r="R9" t="str">
            <v>2027F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B3CFEB8-72E0-874F-B4E3-E7BD62F66922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llon.hj@u.nus.ed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43740-0710-4D92-AF5F-27946F178221}">
  <sheetPr>
    <tabColor rgb="FFA0002A"/>
  </sheetPr>
  <dimension ref="B3:R20"/>
  <sheetViews>
    <sheetView showGridLines="0" view="pageBreakPreview" zoomScale="83" zoomScaleNormal="87" workbookViewId="0">
      <selection activeCell="E13" sqref="E13"/>
    </sheetView>
  </sheetViews>
  <sheetFormatPr baseColWidth="10" defaultColWidth="8.6640625" defaultRowHeight="14" x14ac:dyDescent="0.15"/>
  <cols>
    <col min="1" max="1" width="8.6640625" style="1"/>
    <col min="2" max="2" width="1.5" style="1" customWidth="1"/>
    <col min="3" max="3" width="29.83203125" style="1" customWidth="1"/>
    <col min="4" max="4" width="1.5" style="1" customWidth="1"/>
    <col min="5" max="5" width="34.83203125" style="1" bestFit="1" customWidth="1"/>
    <col min="6" max="8" width="8.1640625" style="1"/>
    <col min="9" max="9" width="1.5" style="1" customWidth="1"/>
    <col min="10" max="10" width="8.83203125" style="1" customWidth="1"/>
    <col min="11" max="11" width="8.1640625" style="1"/>
    <col min="12" max="12" width="9.33203125" style="1" customWidth="1"/>
    <col min="13" max="14" width="1.5" style="1" customWidth="1"/>
    <col min="15" max="15" width="13.6640625" style="1" bestFit="1" customWidth="1"/>
    <col min="16" max="16" width="30" style="1" customWidth="1"/>
    <col min="17" max="18" width="1.5" style="1" customWidth="1"/>
    <col min="19" max="16384" width="8.6640625" style="1"/>
  </cols>
  <sheetData>
    <row r="3" spans="2:18" ht="45" x14ac:dyDescent="0.45">
      <c r="B3" s="2"/>
      <c r="C3" s="26" t="str">
        <f>$E$9</f>
        <v>Coinbase Global Inc., (NASDAQ: COIN)</v>
      </c>
      <c r="D3" s="3"/>
      <c r="E3" s="4"/>
      <c r="F3" s="2"/>
      <c r="G3" s="2"/>
      <c r="H3" s="2"/>
      <c r="I3" s="2"/>
      <c r="J3" s="2"/>
      <c r="K3" s="2"/>
      <c r="L3" s="2"/>
      <c r="M3" s="2"/>
      <c r="N3" s="2"/>
      <c r="O3" s="2"/>
      <c r="P3" s="5"/>
      <c r="Q3" s="2"/>
      <c r="R3" s="2"/>
    </row>
    <row r="4" spans="2:18" x14ac:dyDescent="0.15">
      <c r="C4" s="6" t="s">
        <v>0</v>
      </c>
      <c r="D4" s="6"/>
    </row>
    <row r="5" spans="2:18" x14ac:dyDescent="0.15">
      <c r="B5" s="7"/>
      <c r="C5" s="22"/>
      <c r="D5" s="22"/>
      <c r="E5" s="23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7"/>
    </row>
    <row r="6" spans="2:18" x14ac:dyDescent="0.15">
      <c r="B6" s="2"/>
      <c r="C6" s="2"/>
      <c r="D6" s="2"/>
      <c r="E6" s="8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2:18" ht="15" thickBot="1" x14ac:dyDescent="0.2">
      <c r="B7" s="2"/>
      <c r="C7" s="2"/>
      <c r="D7" s="2"/>
      <c r="E7" s="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2:18" x14ac:dyDescent="0.15">
      <c r="B8" s="2"/>
      <c r="C8" s="12" t="s">
        <v>1</v>
      </c>
      <c r="D8" s="13"/>
      <c r="E8" s="16"/>
      <c r="F8" s="14"/>
      <c r="G8" s="14"/>
      <c r="H8" s="14"/>
      <c r="I8" s="14"/>
      <c r="J8" s="14"/>
      <c r="K8" s="14"/>
      <c r="L8" s="15"/>
      <c r="M8" s="2"/>
      <c r="N8" s="12" t="s">
        <v>2</v>
      </c>
      <c r="O8" s="14"/>
      <c r="P8" s="14"/>
      <c r="Q8" s="15"/>
      <c r="R8" s="2"/>
    </row>
    <row r="9" spans="2:18" x14ac:dyDescent="0.15">
      <c r="B9" s="2"/>
      <c r="C9" s="17" t="s">
        <v>3</v>
      </c>
      <c r="D9" s="7"/>
      <c r="E9" s="8" t="s">
        <v>4</v>
      </c>
      <c r="F9" s="2"/>
      <c r="G9" s="2"/>
      <c r="H9" s="2"/>
      <c r="I9" s="2"/>
      <c r="J9" s="2"/>
      <c r="K9" s="2"/>
      <c r="L9" s="18"/>
      <c r="M9" s="7"/>
      <c r="N9" s="219"/>
      <c r="Q9" s="18"/>
      <c r="R9" s="2"/>
    </row>
    <row r="10" spans="2:18" x14ac:dyDescent="0.15">
      <c r="B10" s="2"/>
      <c r="C10" s="17" t="s">
        <v>5</v>
      </c>
      <c r="D10" s="7"/>
      <c r="E10" s="24">
        <f ca="1">NOW()</f>
        <v>46130.691016203702</v>
      </c>
      <c r="F10" s="2"/>
      <c r="G10" s="2"/>
      <c r="H10" s="2"/>
      <c r="I10" s="2"/>
      <c r="J10" s="2"/>
      <c r="K10" s="2"/>
      <c r="L10" s="18"/>
      <c r="M10" s="7"/>
      <c r="N10" s="219"/>
      <c r="O10" s="9" t="s">
        <v>6</v>
      </c>
      <c r="P10" s="220" t="s">
        <v>7</v>
      </c>
      <c r="Q10" s="18"/>
      <c r="R10" s="2"/>
    </row>
    <row r="11" spans="2:18" x14ac:dyDescent="0.15">
      <c r="B11" s="2"/>
      <c r="C11" s="17" t="s">
        <v>8</v>
      </c>
      <c r="D11" s="7"/>
      <c r="E11" s="8" t="s">
        <v>9</v>
      </c>
      <c r="F11" s="2"/>
      <c r="G11" s="2"/>
      <c r="H11" s="2"/>
      <c r="I11" s="2"/>
      <c r="J11" s="2"/>
      <c r="K11" s="2"/>
      <c r="L11" s="18"/>
      <c r="M11" s="7"/>
      <c r="N11" s="219"/>
      <c r="O11" s="25" t="s">
        <v>6</v>
      </c>
      <c r="P11" s="220" t="s">
        <v>10</v>
      </c>
      <c r="Q11" s="18"/>
      <c r="R11" s="2"/>
    </row>
    <row r="12" spans="2:18" ht="15" x14ac:dyDescent="0.15">
      <c r="B12" s="2"/>
      <c r="C12" s="17" t="s">
        <v>11</v>
      </c>
      <c r="D12" s="7"/>
      <c r="E12" s="212" t="s">
        <v>12</v>
      </c>
      <c r="F12" s="212"/>
      <c r="G12" s="212"/>
      <c r="H12" s="212"/>
      <c r="I12" s="212"/>
      <c r="J12" s="212"/>
      <c r="K12" s="212"/>
      <c r="L12" s="213"/>
      <c r="M12" s="7"/>
      <c r="N12" s="219"/>
      <c r="O12" s="10" t="s">
        <v>6</v>
      </c>
      <c r="P12" s="220" t="s">
        <v>13</v>
      </c>
      <c r="Q12" s="18"/>
      <c r="R12" s="2"/>
    </row>
    <row r="13" spans="2:18" ht="15" x14ac:dyDescent="0.15">
      <c r="B13" s="2"/>
      <c r="C13" s="17" t="s">
        <v>14</v>
      </c>
      <c r="D13" s="7"/>
      <c r="E13" s="92" t="s">
        <v>15</v>
      </c>
      <c r="F13" s="212"/>
      <c r="G13" s="212"/>
      <c r="H13" s="212"/>
      <c r="I13" s="212"/>
      <c r="J13" s="212"/>
      <c r="K13" s="212"/>
      <c r="L13" s="213"/>
      <c r="M13" s="2"/>
      <c r="N13" s="221"/>
      <c r="O13" s="11" t="s">
        <v>6</v>
      </c>
      <c r="P13" s="220" t="s">
        <v>16</v>
      </c>
      <c r="Q13" s="18"/>
      <c r="R13" s="2"/>
    </row>
    <row r="14" spans="2:18" ht="17" thickBot="1" x14ac:dyDescent="0.2">
      <c r="B14" s="2"/>
      <c r="C14" s="214" t="s">
        <v>17</v>
      </c>
      <c r="D14" s="215"/>
      <c r="E14" s="216" t="s">
        <v>18</v>
      </c>
      <c r="F14" s="217"/>
      <c r="G14" s="217"/>
      <c r="H14" s="217"/>
      <c r="I14" s="217"/>
      <c r="J14" s="217"/>
      <c r="K14" s="217"/>
      <c r="L14" s="218"/>
      <c r="M14" s="2"/>
      <c r="N14" s="222"/>
      <c r="O14" s="223"/>
      <c r="P14" s="224"/>
      <c r="Q14" s="225"/>
      <c r="R14" s="2"/>
    </row>
    <row r="15" spans="2:18" x14ac:dyDescent="0.15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20" spans="3:5" x14ac:dyDescent="0.15">
      <c r="C20" s="20"/>
      <c r="E20" s="21"/>
    </row>
  </sheetData>
  <dataValidations count="1">
    <dataValidation type="list" allowBlank="1" showInputMessage="1" showErrorMessage="1" sqref="E13" xr:uid="{11592705-34ED-4B83-8D4B-E1B763B1F113}">
      <formula1>"Bull Case, Base Case, Bear Case"</formula1>
    </dataValidation>
  </dataValidations>
  <hyperlinks>
    <hyperlink ref="E14" r:id="rId1" xr:uid="{982EA5B1-B2C1-4FC9-9630-79BF7001683C}"/>
  </hyperlinks>
  <pageMargins left="0.7" right="0.7" top="0.75" bottom="0.75" header="0.3" footer="0.3"/>
  <pageSetup scale="50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B865F-EBFD-46D1-8B7F-AA310319C6B2}">
  <sheetPr>
    <tabColor rgb="FF002060"/>
  </sheetPr>
  <dimension ref="A1"/>
  <sheetViews>
    <sheetView showGridLines="0" view="pageBreakPreview" zoomScale="60" zoomScaleNormal="100" workbookViewId="0">
      <selection activeCell="H35" sqref="H35"/>
    </sheetView>
  </sheetViews>
  <sheetFormatPr baseColWidth="10" defaultColWidth="8.83203125" defaultRowHeight="15" x14ac:dyDescent="0.2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3CD6-CAED-47CB-85D4-73A9852ECDE1}">
  <sheetPr>
    <tabColor theme="3" tint="0.749992370372631"/>
  </sheetPr>
  <dimension ref="A1:BE211"/>
  <sheetViews>
    <sheetView showGridLines="0" view="pageBreakPreview" zoomScale="118" zoomScaleNormal="57" zoomScaleSheetLayoutView="131" workbookViewId="0">
      <pane xSplit="3" ySplit="8" topLeftCell="D179" activePane="bottomRight" state="frozen"/>
      <selection pane="topRight" activeCell="D1" sqref="D1"/>
      <selection pane="bottomLeft" activeCell="A9" sqref="A9"/>
      <selection pane="bottomRight" activeCell="J180" sqref="J180"/>
    </sheetView>
  </sheetViews>
  <sheetFormatPr baseColWidth="10" defaultColWidth="8.6640625" defaultRowHeight="14" x14ac:dyDescent="0.15"/>
  <cols>
    <col min="1" max="1" width="2.1640625" style="1" customWidth="1"/>
    <col min="2" max="2" width="8.6640625" style="1" customWidth="1"/>
    <col min="3" max="3" width="56.1640625" style="1" customWidth="1"/>
    <col min="4" max="4" width="12.5" style="1" customWidth="1"/>
    <col min="5" max="14" width="15.5" style="1" customWidth="1"/>
    <col min="15" max="15" width="1.6640625" style="1" customWidth="1"/>
    <col min="16" max="55" width="15.5" style="1" customWidth="1"/>
    <col min="56" max="16383" width="8.6640625" style="1" customWidth="1"/>
    <col min="16384" max="16384" width="8.6640625" style="1"/>
  </cols>
  <sheetData>
    <row r="1" spans="1:55" ht="23" x14ac:dyDescent="0.25">
      <c r="A1" s="93" t="str">
        <f>'Cover Page'!$C$3</f>
        <v>Coinbase Global Inc., (NASDAQ: COIN)</v>
      </c>
      <c r="E1" s="28">
        <v>2021</v>
      </c>
      <c r="F1" s="28">
        <f>E1+1</f>
        <v>2022</v>
      </c>
      <c r="G1" s="28">
        <f t="shared" ref="G1:N1" si="0">F1+1</f>
        <v>2023</v>
      </c>
      <c r="H1" s="28">
        <f t="shared" si="0"/>
        <v>2024</v>
      </c>
      <c r="I1" s="28">
        <f t="shared" si="0"/>
        <v>2025</v>
      </c>
      <c r="J1" s="28">
        <f t="shared" si="0"/>
        <v>2026</v>
      </c>
      <c r="K1" s="28">
        <f t="shared" si="0"/>
        <v>2027</v>
      </c>
      <c r="L1" s="28">
        <f t="shared" si="0"/>
        <v>2028</v>
      </c>
      <c r="M1" s="28">
        <f t="shared" si="0"/>
        <v>2029</v>
      </c>
      <c r="N1" s="28">
        <f t="shared" si="0"/>
        <v>2030</v>
      </c>
      <c r="P1" s="1">
        <v>2021</v>
      </c>
      <c r="Q1" s="1">
        <f>P1</f>
        <v>2021</v>
      </c>
      <c r="R1" s="1">
        <f t="shared" ref="R1:S1" si="1">Q1</f>
        <v>2021</v>
      </c>
      <c r="S1" s="1">
        <f t="shared" si="1"/>
        <v>2021</v>
      </c>
      <c r="T1" s="1">
        <f>S1+1</f>
        <v>2022</v>
      </c>
      <c r="U1" s="1">
        <f>T1</f>
        <v>2022</v>
      </c>
      <c r="V1" s="1">
        <f t="shared" ref="V1:W1" si="2">U1</f>
        <v>2022</v>
      </c>
      <c r="W1" s="1">
        <f t="shared" si="2"/>
        <v>2022</v>
      </c>
      <c r="X1" s="1">
        <f>W1+1</f>
        <v>2023</v>
      </c>
      <c r="Y1" s="1">
        <f>X1</f>
        <v>2023</v>
      </c>
      <c r="Z1" s="1">
        <f t="shared" ref="Z1:AA1" si="3">Y1</f>
        <v>2023</v>
      </c>
      <c r="AA1" s="1">
        <f t="shared" si="3"/>
        <v>2023</v>
      </c>
      <c r="AB1" s="1">
        <f>AA1+1</f>
        <v>2024</v>
      </c>
      <c r="AC1" s="1">
        <f>AB1</f>
        <v>2024</v>
      </c>
      <c r="AD1" s="1">
        <f t="shared" ref="AD1:AE1" si="4">AC1</f>
        <v>2024</v>
      </c>
      <c r="AE1" s="1">
        <f t="shared" si="4"/>
        <v>2024</v>
      </c>
      <c r="AF1" s="1">
        <f>AE1+1</f>
        <v>2025</v>
      </c>
      <c r="AG1" s="1">
        <f>AF1</f>
        <v>2025</v>
      </c>
      <c r="AH1" s="1">
        <f t="shared" ref="AH1:AI1" si="5">AG1</f>
        <v>2025</v>
      </c>
      <c r="AI1" s="1">
        <f t="shared" si="5"/>
        <v>2025</v>
      </c>
      <c r="AJ1" s="1">
        <f>AI1+1</f>
        <v>2026</v>
      </c>
      <c r="AK1" s="1">
        <f>AJ1</f>
        <v>2026</v>
      </c>
      <c r="AL1" s="1">
        <f t="shared" ref="AL1:AM1" si="6">AK1</f>
        <v>2026</v>
      </c>
      <c r="AM1" s="1">
        <f t="shared" si="6"/>
        <v>2026</v>
      </c>
      <c r="AN1" s="1">
        <f>AM1+1</f>
        <v>2027</v>
      </c>
      <c r="AO1" s="1">
        <f>AN1</f>
        <v>2027</v>
      </c>
      <c r="AP1" s="1">
        <f t="shared" ref="AP1:AQ1" si="7">AO1</f>
        <v>2027</v>
      </c>
      <c r="AQ1" s="1">
        <f t="shared" si="7"/>
        <v>2027</v>
      </c>
      <c r="AR1" s="1">
        <f>AQ1+1</f>
        <v>2028</v>
      </c>
      <c r="AS1" s="1">
        <f>AR1</f>
        <v>2028</v>
      </c>
      <c r="AT1" s="1">
        <f t="shared" ref="AT1:AU1" si="8">AS1</f>
        <v>2028</v>
      </c>
      <c r="AU1" s="1">
        <f t="shared" si="8"/>
        <v>2028</v>
      </c>
      <c r="AV1" s="1">
        <f>AU1+1</f>
        <v>2029</v>
      </c>
      <c r="AW1" s="1">
        <f>AV1</f>
        <v>2029</v>
      </c>
      <c r="AX1" s="1">
        <f t="shared" ref="AX1:AY1" si="9">AW1</f>
        <v>2029</v>
      </c>
      <c r="AY1" s="1">
        <f t="shared" si="9"/>
        <v>2029</v>
      </c>
      <c r="AZ1" s="1">
        <f>AY1+1</f>
        <v>2030</v>
      </c>
      <c r="BA1" s="1">
        <f>AZ1</f>
        <v>2030</v>
      </c>
      <c r="BB1" s="1">
        <f t="shared" ref="BB1:BC1" si="10">BA1</f>
        <v>2030</v>
      </c>
      <c r="BC1" s="1">
        <f t="shared" si="10"/>
        <v>2030</v>
      </c>
    </row>
    <row r="2" spans="1:55" x14ac:dyDescent="0.15">
      <c r="A2" s="1" t="s">
        <v>19</v>
      </c>
      <c r="E2" s="29" t="s">
        <v>20</v>
      </c>
      <c r="F2" s="29" t="s">
        <v>20</v>
      </c>
      <c r="G2" s="29" t="s">
        <v>20</v>
      </c>
      <c r="H2" s="29" t="s">
        <v>20</v>
      </c>
      <c r="I2" s="29" t="s">
        <v>20</v>
      </c>
      <c r="J2" s="29" t="s">
        <v>20</v>
      </c>
      <c r="K2" s="29" t="s">
        <v>20</v>
      </c>
      <c r="L2" s="29" t="s">
        <v>20</v>
      </c>
      <c r="M2" s="29" t="s">
        <v>20</v>
      </c>
      <c r="N2" s="29" t="s">
        <v>20</v>
      </c>
      <c r="P2" s="29" t="s">
        <v>21</v>
      </c>
      <c r="Q2" s="29" t="s">
        <v>22</v>
      </c>
      <c r="R2" s="29" t="s">
        <v>23</v>
      </c>
      <c r="S2" s="29" t="s">
        <v>20</v>
      </c>
      <c r="T2" s="29" t="s">
        <v>21</v>
      </c>
      <c r="U2" s="29" t="s">
        <v>22</v>
      </c>
      <c r="V2" s="29" t="s">
        <v>23</v>
      </c>
      <c r="W2" s="29" t="s">
        <v>20</v>
      </c>
      <c r="X2" s="29" t="s">
        <v>21</v>
      </c>
      <c r="Y2" s="29" t="s">
        <v>22</v>
      </c>
      <c r="Z2" s="29" t="s">
        <v>23</v>
      </c>
      <c r="AA2" s="29" t="s">
        <v>20</v>
      </c>
      <c r="AB2" s="29" t="s">
        <v>21</v>
      </c>
      <c r="AC2" s="29" t="s">
        <v>22</v>
      </c>
      <c r="AD2" s="29" t="s">
        <v>23</v>
      </c>
      <c r="AE2" s="29" t="s">
        <v>20</v>
      </c>
      <c r="AF2" s="29" t="s">
        <v>21</v>
      </c>
      <c r="AG2" s="29" t="s">
        <v>22</v>
      </c>
      <c r="AH2" s="29" t="s">
        <v>23</v>
      </c>
      <c r="AI2" s="29" t="s">
        <v>20</v>
      </c>
      <c r="AJ2" s="29" t="s">
        <v>21</v>
      </c>
      <c r="AK2" s="29" t="s">
        <v>22</v>
      </c>
      <c r="AL2" s="29" t="s">
        <v>23</v>
      </c>
      <c r="AM2" s="29" t="s">
        <v>20</v>
      </c>
      <c r="AN2" s="29" t="s">
        <v>21</v>
      </c>
      <c r="AO2" s="29" t="s">
        <v>22</v>
      </c>
      <c r="AP2" s="29" t="s">
        <v>23</v>
      </c>
      <c r="AQ2" s="29" t="s">
        <v>20</v>
      </c>
      <c r="AR2" s="29" t="s">
        <v>21</v>
      </c>
      <c r="AS2" s="29" t="s">
        <v>22</v>
      </c>
      <c r="AT2" s="29" t="s">
        <v>23</v>
      </c>
      <c r="AU2" s="29" t="s">
        <v>20</v>
      </c>
      <c r="AV2" s="29" t="s">
        <v>21</v>
      </c>
      <c r="AW2" s="29" t="s">
        <v>22</v>
      </c>
      <c r="AX2" s="29" t="s">
        <v>23</v>
      </c>
      <c r="AY2" s="29" t="s">
        <v>20</v>
      </c>
      <c r="AZ2" s="29" t="s">
        <v>21</v>
      </c>
      <c r="BA2" s="29" t="s">
        <v>22</v>
      </c>
      <c r="BB2" s="29" t="s">
        <v>23</v>
      </c>
      <c r="BC2" s="29" t="s">
        <v>20</v>
      </c>
    </row>
    <row r="3" spans="1:55" x14ac:dyDescent="0.15">
      <c r="E3" s="29">
        <v>12</v>
      </c>
      <c r="F3" s="29">
        <v>12</v>
      </c>
      <c r="G3" s="29">
        <v>12</v>
      </c>
      <c r="H3" s="29">
        <v>12</v>
      </c>
      <c r="I3" s="29">
        <v>12</v>
      </c>
      <c r="J3" s="29">
        <v>12</v>
      </c>
      <c r="K3" s="29">
        <v>12</v>
      </c>
      <c r="L3" s="29">
        <v>12</v>
      </c>
      <c r="M3" s="29">
        <v>12</v>
      </c>
      <c r="N3" s="29">
        <v>12</v>
      </c>
      <c r="P3" s="19">
        <v>3</v>
      </c>
      <c r="Q3" s="19">
        <v>3</v>
      </c>
      <c r="R3" s="19">
        <v>3</v>
      </c>
      <c r="S3" s="19">
        <v>3</v>
      </c>
      <c r="T3" s="19">
        <v>3</v>
      </c>
      <c r="U3" s="19">
        <v>3</v>
      </c>
      <c r="V3" s="19">
        <v>3</v>
      </c>
      <c r="W3" s="19">
        <v>3</v>
      </c>
      <c r="X3" s="19">
        <v>3</v>
      </c>
      <c r="Y3" s="19">
        <v>3</v>
      </c>
      <c r="Z3" s="19">
        <v>3</v>
      </c>
      <c r="AA3" s="19">
        <v>3</v>
      </c>
      <c r="AB3" s="19">
        <v>3</v>
      </c>
      <c r="AC3" s="19">
        <v>3</v>
      </c>
      <c r="AD3" s="19">
        <v>3</v>
      </c>
      <c r="AE3" s="19">
        <v>3</v>
      </c>
      <c r="AF3" s="19">
        <v>3</v>
      </c>
      <c r="AG3" s="19">
        <v>3</v>
      </c>
      <c r="AH3" s="19">
        <v>3</v>
      </c>
      <c r="AI3" s="19">
        <v>3</v>
      </c>
      <c r="AJ3" s="19">
        <v>3</v>
      </c>
      <c r="AK3" s="19">
        <v>3</v>
      </c>
      <c r="AL3" s="19">
        <v>3</v>
      </c>
      <c r="AM3" s="19">
        <v>3</v>
      </c>
      <c r="AN3" s="19">
        <v>3</v>
      </c>
      <c r="AO3" s="19">
        <v>3</v>
      </c>
      <c r="AP3" s="19">
        <v>3</v>
      </c>
      <c r="AQ3" s="19">
        <v>3</v>
      </c>
      <c r="AR3" s="19">
        <v>3</v>
      </c>
      <c r="AS3" s="19">
        <v>3</v>
      </c>
      <c r="AT3" s="19">
        <v>3</v>
      </c>
      <c r="AU3" s="19">
        <v>3</v>
      </c>
      <c r="AV3" s="19">
        <v>3</v>
      </c>
      <c r="AW3" s="19">
        <v>3</v>
      </c>
      <c r="AX3" s="19">
        <v>3</v>
      </c>
      <c r="AY3" s="19">
        <v>3</v>
      </c>
      <c r="AZ3" s="19">
        <v>3</v>
      </c>
      <c r="BA3" s="19">
        <v>3</v>
      </c>
      <c r="BB3" s="19">
        <v>3</v>
      </c>
      <c r="BC3" s="19">
        <v>3</v>
      </c>
    </row>
    <row r="4" spans="1:55" x14ac:dyDescent="0.15">
      <c r="E4" s="29">
        <v>365</v>
      </c>
      <c r="F4" s="29">
        <v>365</v>
      </c>
      <c r="G4" s="29">
        <v>365</v>
      </c>
      <c r="H4" s="29">
        <v>366</v>
      </c>
      <c r="I4" s="29">
        <v>365</v>
      </c>
      <c r="J4" s="29">
        <v>365</v>
      </c>
      <c r="K4" s="29">
        <v>365</v>
      </c>
      <c r="L4" s="29">
        <v>366</v>
      </c>
      <c r="M4" s="29">
        <v>365</v>
      </c>
      <c r="N4" s="29">
        <v>365</v>
      </c>
      <c r="P4" s="19">
        <v>90</v>
      </c>
      <c r="Q4" s="19">
        <f>Q6-P6</f>
        <v>91</v>
      </c>
      <c r="R4" s="19">
        <f t="shared" ref="R4:BC4" si="11">R6-Q6</f>
        <v>92</v>
      </c>
      <c r="S4" s="19">
        <f t="shared" si="11"/>
        <v>92</v>
      </c>
      <c r="T4" s="19">
        <f t="shared" si="11"/>
        <v>90</v>
      </c>
      <c r="U4" s="19">
        <f t="shared" si="11"/>
        <v>91</v>
      </c>
      <c r="V4" s="19">
        <f t="shared" si="11"/>
        <v>92</v>
      </c>
      <c r="W4" s="19">
        <f t="shared" si="11"/>
        <v>92</v>
      </c>
      <c r="X4" s="19">
        <f t="shared" si="11"/>
        <v>90</v>
      </c>
      <c r="Y4" s="19">
        <f t="shared" si="11"/>
        <v>91</v>
      </c>
      <c r="Z4" s="19">
        <f t="shared" si="11"/>
        <v>92</v>
      </c>
      <c r="AA4" s="19">
        <f t="shared" si="11"/>
        <v>92</v>
      </c>
      <c r="AB4" s="19">
        <f t="shared" si="11"/>
        <v>91</v>
      </c>
      <c r="AC4" s="19">
        <f t="shared" si="11"/>
        <v>91</v>
      </c>
      <c r="AD4" s="19">
        <f t="shared" si="11"/>
        <v>92</v>
      </c>
      <c r="AE4" s="19">
        <f t="shared" si="11"/>
        <v>92</v>
      </c>
      <c r="AF4" s="19">
        <f t="shared" si="11"/>
        <v>90</v>
      </c>
      <c r="AG4" s="19">
        <f t="shared" si="11"/>
        <v>91</v>
      </c>
      <c r="AH4" s="19">
        <f t="shared" si="11"/>
        <v>92</v>
      </c>
      <c r="AI4" s="19">
        <f t="shared" si="11"/>
        <v>92</v>
      </c>
      <c r="AJ4" s="19">
        <f t="shared" si="11"/>
        <v>90</v>
      </c>
      <c r="AK4" s="19">
        <f t="shared" si="11"/>
        <v>91</v>
      </c>
      <c r="AL4" s="19">
        <f t="shared" si="11"/>
        <v>92</v>
      </c>
      <c r="AM4" s="19">
        <f t="shared" si="11"/>
        <v>92</v>
      </c>
      <c r="AN4" s="19">
        <f t="shared" si="11"/>
        <v>90</v>
      </c>
      <c r="AO4" s="19">
        <f t="shared" si="11"/>
        <v>91</v>
      </c>
      <c r="AP4" s="19">
        <f t="shared" si="11"/>
        <v>92</v>
      </c>
      <c r="AQ4" s="19">
        <f t="shared" si="11"/>
        <v>92</v>
      </c>
      <c r="AR4" s="19">
        <f t="shared" si="11"/>
        <v>91</v>
      </c>
      <c r="AS4" s="19">
        <f t="shared" si="11"/>
        <v>91</v>
      </c>
      <c r="AT4" s="19">
        <f t="shared" si="11"/>
        <v>92</v>
      </c>
      <c r="AU4" s="19">
        <f t="shared" si="11"/>
        <v>92</v>
      </c>
      <c r="AV4" s="19">
        <f t="shared" si="11"/>
        <v>90</v>
      </c>
      <c r="AW4" s="19">
        <f t="shared" si="11"/>
        <v>91</v>
      </c>
      <c r="AX4" s="19">
        <f t="shared" si="11"/>
        <v>92</v>
      </c>
      <c r="AY4" s="19">
        <f t="shared" si="11"/>
        <v>92</v>
      </c>
      <c r="AZ4" s="19">
        <f t="shared" si="11"/>
        <v>90</v>
      </c>
      <c r="BA4" s="19">
        <f t="shared" si="11"/>
        <v>91</v>
      </c>
      <c r="BB4" s="19">
        <f t="shared" si="11"/>
        <v>92</v>
      </c>
      <c r="BC4" s="19">
        <f t="shared" si="11"/>
        <v>92</v>
      </c>
    </row>
    <row r="5" spans="1:55" x14ac:dyDescent="0.15">
      <c r="E5" s="29" t="s">
        <v>24</v>
      </c>
      <c r="F5" s="29" t="s">
        <v>24</v>
      </c>
      <c r="G5" s="29" t="s">
        <v>24</v>
      </c>
      <c r="H5" s="29" t="s">
        <v>24</v>
      </c>
      <c r="I5" s="29" t="s">
        <v>24</v>
      </c>
      <c r="J5" s="29" t="s">
        <v>25</v>
      </c>
      <c r="K5" s="29" t="s">
        <v>25</v>
      </c>
      <c r="L5" s="29" t="s">
        <v>25</v>
      </c>
      <c r="M5" s="29" t="s">
        <v>25</v>
      </c>
      <c r="N5" s="29" t="s">
        <v>25</v>
      </c>
      <c r="P5" s="29" t="s">
        <v>24</v>
      </c>
      <c r="Q5" s="29" t="s">
        <v>24</v>
      </c>
      <c r="R5" s="29" t="s">
        <v>24</v>
      </c>
      <c r="S5" s="29" t="s">
        <v>24</v>
      </c>
      <c r="T5" s="29" t="s">
        <v>24</v>
      </c>
      <c r="U5" s="29" t="s">
        <v>24</v>
      </c>
      <c r="V5" s="29" t="s">
        <v>24</v>
      </c>
      <c r="W5" s="29" t="s">
        <v>24</v>
      </c>
      <c r="X5" s="29" t="s">
        <v>24</v>
      </c>
      <c r="Y5" s="29" t="s">
        <v>24</v>
      </c>
      <c r="Z5" s="29" t="s">
        <v>24</v>
      </c>
      <c r="AA5" s="29" t="s">
        <v>24</v>
      </c>
      <c r="AB5" s="29" t="s">
        <v>24</v>
      </c>
      <c r="AC5" s="29" t="s">
        <v>24</v>
      </c>
      <c r="AD5" s="29" t="s">
        <v>24</v>
      </c>
      <c r="AE5" s="29" t="s">
        <v>24</v>
      </c>
      <c r="AF5" s="29" t="s">
        <v>24</v>
      </c>
      <c r="AG5" s="29" t="s">
        <v>24</v>
      </c>
      <c r="AH5" s="29" t="s">
        <v>24</v>
      </c>
      <c r="AI5" s="29" t="s">
        <v>24</v>
      </c>
      <c r="AJ5" s="29" t="s">
        <v>25</v>
      </c>
      <c r="AK5" s="29" t="s">
        <v>25</v>
      </c>
      <c r="AL5" s="29" t="s">
        <v>25</v>
      </c>
      <c r="AM5" s="29" t="s">
        <v>25</v>
      </c>
      <c r="AN5" s="29" t="s">
        <v>25</v>
      </c>
      <c r="AO5" s="29" t="s">
        <v>25</v>
      </c>
      <c r="AP5" s="29" t="s">
        <v>25</v>
      </c>
      <c r="AQ5" s="29" t="s">
        <v>25</v>
      </c>
      <c r="AR5" s="29" t="s">
        <v>25</v>
      </c>
      <c r="AS5" s="29" t="s">
        <v>25</v>
      </c>
      <c r="AT5" s="29" t="s">
        <v>25</v>
      </c>
      <c r="AU5" s="29" t="s">
        <v>25</v>
      </c>
      <c r="AV5" s="29" t="s">
        <v>25</v>
      </c>
      <c r="AW5" s="29" t="s">
        <v>25</v>
      </c>
      <c r="AX5" s="29" t="s">
        <v>25</v>
      </c>
      <c r="AY5" s="29" t="s">
        <v>25</v>
      </c>
      <c r="AZ5" s="29" t="s">
        <v>25</v>
      </c>
      <c r="BA5" s="29" t="s">
        <v>25</v>
      </c>
      <c r="BB5" s="29" t="s">
        <v>25</v>
      </c>
      <c r="BC5" s="29" t="s">
        <v>25</v>
      </c>
    </row>
    <row r="6" spans="1:55" x14ac:dyDescent="0.15">
      <c r="A6" s="30" t="s">
        <v>26</v>
      </c>
      <c r="E6" s="31">
        <v>44561</v>
      </c>
      <c r="F6" s="32">
        <f>EOMONTH(E6,12)</f>
        <v>44926</v>
      </c>
      <c r="G6" s="32">
        <f t="shared" ref="G6:N6" si="12">EOMONTH(F6,12)</f>
        <v>45291</v>
      </c>
      <c r="H6" s="32">
        <f t="shared" si="12"/>
        <v>45657</v>
      </c>
      <c r="I6" s="32">
        <f t="shared" si="12"/>
        <v>46022</v>
      </c>
      <c r="J6" s="32">
        <f t="shared" si="12"/>
        <v>46387</v>
      </c>
      <c r="K6" s="32">
        <f t="shared" si="12"/>
        <v>46752</v>
      </c>
      <c r="L6" s="32">
        <f t="shared" si="12"/>
        <v>47118</v>
      </c>
      <c r="M6" s="32">
        <f t="shared" si="12"/>
        <v>47483</v>
      </c>
      <c r="N6" s="32">
        <f t="shared" si="12"/>
        <v>47848</v>
      </c>
      <c r="P6" s="32">
        <v>44286</v>
      </c>
      <c r="Q6" s="32">
        <f>EOMONTH(P6,3)</f>
        <v>44377</v>
      </c>
      <c r="R6" s="32">
        <f t="shared" ref="R6:BC6" si="13">EOMONTH(Q6,3)</f>
        <v>44469</v>
      </c>
      <c r="S6" s="32">
        <f t="shared" si="13"/>
        <v>44561</v>
      </c>
      <c r="T6" s="32">
        <f t="shared" si="13"/>
        <v>44651</v>
      </c>
      <c r="U6" s="32">
        <f t="shared" si="13"/>
        <v>44742</v>
      </c>
      <c r="V6" s="32">
        <f t="shared" si="13"/>
        <v>44834</v>
      </c>
      <c r="W6" s="32">
        <f t="shared" si="13"/>
        <v>44926</v>
      </c>
      <c r="X6" s="32">
        <f t="shared" si="13"/>
        <v>45016</v>
      </c>
      <c r="Y6" s="32">
        <f t="shared" si="13"/>
        <v>45107</v>
      </c>
      <c r="Z6" s="32">
        <f t="shared" si="13"/>
        <v>45199</v>
      </c>
      <c r="AA6" s="32">
        <f t="shared" si="13"/>
        <v>45291</v>
      </c>
      <c r="AB6" s="32">
        <f t="shared" si="13"/>
        <v>45382</v>
      </c>
      <c r="AC6" s="32">
        <f t="shared" si="13"/>
        <v>45473</v>
      </c>
      <c r="AD6" s="32">
        <f t="shared" si="13"/>
        <v>45565</v>
      </c>
      <c r="AE6" s="32">
        <f t="shared" si="13"/>
        <v>45657</v>
      </c>
      <c r="AF6" s="32">
        <f t="shared" si="13"/>
        <v>45747</v>
      </c>
      <c r="AG6" s="32">
        <f t="shared" si="13"/>
        <v>45838</v>
      </c>
      <c r="AH6" s="32">
        <f t="shared" si="13"/>
        <v>45930</v>
      </c>
      <c r="AI6" s="32">
        <f t="shared" si="13"/>
        <v>46022</v>
      </c>
      <c r="AJ6" s="32">
        <f t="shared" si="13"/>
        <v>46112</v>
      </c>
      <c r="AK6" s="32">
        <f t="shared" si="13"/>
        <v>46203</v>
      </c>
      <c r="AL6" s="32">
        <f t="shared" si="13"/>
        <v>46295</v>
      </c>
      <c r="AM6" s="32">
        <f t="shared" si="13"/>
        <v>46387</v>
      </c>
      <c r="AN6" s="32">
        <f t="shared" si="13"/>
        <v>46477</v>
      </c>
      <c r="AO6" s="32">
        <f t="shared" si="13"/>
        <v>46568</v>
      </c>
      <c r="AP6" s="32">
        <f t="shared" si="13"/>
        <v>46660</v>
      </c>
      <c r="AQ6" s="32">
        <f t="shared" si="13"/>
        <v>46752</v>
      </c>
      <c r="AR6" s="32">
        <f t="shared" si="13"/>
        <v>46843</v>
      </c>
      <c r="AS6" s="32">
        <f t="shared" si="13"/>
        <v>46934</v>
      </c>
      <c r="AT6" s="32">
        <f t="shared" si="13"/>
        <v>47026</v>
      </c>
      <c r="AU6" s="32">
        <f t="shared" si="13"/>
        <v>47118</v>
      </c>
      <c r="AV6" s="32">
        <f t="shared" si="13"/>
        <v>47208</v>
      </c>
      <c r="AW6" s="32">
        <f t="shared" si="13"/>
        <v>47299</v>
      </c>
      <c r="AX6" s="32">
        <f t="shared" si="13"/>
        <v>47391</v>
      </c>
      <c r="AY6" s="32">
        <f t="shared" si="13"/>
        <v>47483</v>
      </c>
      <c r="AZ6" s="32">
        <f t="shared" si="13"/>
        <v>47573</v>
      </c>
      <c r="BA6" s="32">
        <f t="shared" si="13"/>
        <v>47664</v>
      </c>
      <c r="BB6" s="32">
        <f t="shared" si="13"/>
        <v>47756</v>
      </c>
      <c r="BC6" s="32">
        <f t="shared" si="13"/>
        <v>47848</v>
      </c>
    </row>
    <row r="7" spans="1:55" ht="3" customHeight="1" x14ac:dyDescent="0.15"/>
    <row r="8" spans="1:55" x14ac:dyDescent="0.15">
      <c r="A8" s="1" t="s">
        <v>27</v>
      </c>
      <c r="B8" s="33" t="s">
        <v>28</v>
      </c>
      <c r="C8" s="33"/>
      <c r="D8" s="34" t="s">
        <v>29</v>
      </c>
      <c r="E8" s="35">
        <v>21</v>
      </c>
      <c r="F8" s="35">
        <f>E8+1</f>
        <v>22</v>
      </c>
      <c r="G8" s="35">
        <f t="shared" ref="G8:N8" si="14">F8+1</f>
        <v>23</v>
      </c>
      <c r="H8" s="35">
        <f t="shared" si="14"/>
        <v>24</v>
      </c>
      <c r="I8" s="35">
        <f t="shared" si="14"/>
        <v>25</v>
      </c>
      <c r="J8" s="36">
        <f t="shared" si="14"/>
        <v>26</v>
      </c>
      <c r="K8" s="36">
        <f t="shared" si="14"/>
        <v>27</v>
      </c>
      <c r="L8" s="36">
        <f t="shared" si="14"/>
        <v>28</v>
      </c>
      <c r="M8" s="36">
        <f t="shared" si="14"/>
        <v>29</v>
      </c>
      <c r="N8" s="36">
        <f t="shared" si="14"/>
        <v>30</v>
      </c>
      <c r="P8" s="41">
        <f>P6</f>
        <v>44286</v>
      </c>
      <c r="Q8" s="41">
        <f t="shared" ref="Q8:BC8" si="15">Q6</f>
        <v>44377</v>
      </c>
      <c r="R8" s="41">
        <f t="shared" si="15"/>
        <v>44469</v>
      </c>
      <c r="S8" s="41">
        <f t="shared" si="15"/>
        <v>44561</v>
      </c>
      <c r="T8" s="41">
        <f t="shared" si="15"/>
        <v>44651</v>
      </c>
      <c r="U8" s="41">
        <f t="shared" si="15"/>
        <v>44742</v>
      </c>
      <c r="V8" s="41">
        <f t="shared" si="15"/>
        <v>44834</v>
      </c>
      <c r="W8" s="41">
        <f t="shared" si="15"/>
        <v>44926</v>
      </c>
      <c r="X8" s="41">
        <f t="shared" si="15"/>
        <v>45016</v>
      </c>
      <c r="Y8" s="41">
        <f t="shared" si="15"/>
        <v>45107</v>
      </c>
      <c r="Z8" s="41">
        <f t="shared" si="15"/>
        <v>45199</v>
      </c>
      <c r="AA8" s="41">
        <f t="shared" si="15"/>
        <v>45291</v>
      </c>
      <c r="AB8" s="41">
        <f t="shared" si="15"/>
        <v>45382</v>
      </c>
      <c r="AC8" s="41">
        <f t="shared" si="15"/>
        <v>45473</v>
      </c>
      <c r="AD8" s="41">
        <f t="shared" si="15"/>
        <v>45565</v>
      </c>
      <c r="AE8" s="41">
        <f t="shared" si="15"/>
        <v>45657</v>
      </c>
      <c r="AF8" s="41">
        <f t="shared" si="15"/>
        <v>45747</v>
      </c>
      <c r="AG8" s="41">
        <f t="shared" si="15"/>
        <v>45838</v>
      </c>
      <c r="AH8" s="41">
        <f t="shared" si="15"/>
        <v>45930</v>
      </c>
      <c r="AI8" s="41">
        <f t="shared" si="15"/>
        <v>46022</v>
      </c>
      <c r="AJ8" s="41">
        <f t="shared" si="15"/>
        <v>46112</v>
      </c>
      <c r="AK8" s="41">
        <f t="shared" si="15"/>
        <v>46203</v>
      </c>
      <c r="AL8" s="41">
        <f t="shared" si="15"/>
        <v>46295</v>
      </c>
      <c r="AM8" s="41">
        <f t="shared" si="15"/>
        <v>46387</v>
      </c>
      <c r="AN8" s="41">
        <f t="shared" si="15"/>
        <v>46477</v>
      </c>
      <c r="AO8" s="41">
        <f t="shared" si="15"/>
        <v>46568</v>
      </c>
      <c r="AP8" s="41">
        <f t="shared" si="15"/>
        <v>46660</v>
      </c>
      <c r="AQ8" s="41">
        <f t="shared" si="15"/>
        <v>46752</v>
      </c>
      <c r="AR8" s="41">
        <f t="shared" si="15"/>
        <v>46843</v>
      </c>
      <c r="AS8" s="41">
        <f t="shared" si="15"/>
        <v>46934</v>
      </c>
      <c r="AT8" s="41">
        <f t="shared" si="15"/>
        <v>47026</v>
      </c>
      <c r="AU8" s="41">
        <f t="shared" si="15"/>
        <v>47118</v>
      </c>
      <c r="AV8" s="41">
        <f t="shared" si="15"/>
        <v>47208</v>
      </c>
      <c r="AW8" s="41">
        <f t="shared" si="15"/>
        <v>47299</v>
      </c>
      <c r="AX8" s="41">
        <f t="shared" si="15"/>
        <v>47391</v>
      </c>
      <c r="AY8" s="41">
        <f t="shared" si="15"/>
        <v>47483</v>
      </c>
      <c r="AZ8" s="41">
        <f t="shared" si="15"/>
        <v>47573</v>
      </c>
      <c r="BA8" s="41">
        <f t="shared" si="15"/>
        <v>47664</v>
      </c>
      <c r="BB8" s="41">
        <f t="shared" si="15"/>
        <v>47756</v>
      </c>
      <c r="BC8" s="41">
        <f t="shared" si="15"/>
        <v>47848</v>
      </c>
    </row>
    <row r="9" spans="1:55" ht="3" customHeight="1" x14ac:dyDescent="0.15">
      <c r="D9" s="37"/>
    </row>
    <row r="10" spans="1:55" x14ac:dyDescent="0.15">
      <c r="B10" s="38" t="s">
        <v>30</v>
      </c>
      <c r="C10" s="39"/>
      <c r="D10" s="40"/>
      <c r="E10" s="39"/>
      <c r="F10" s="39"/>
      <c r="G10" s="39"/>
      <c r="H10" s="39"/>
      <c r="I10" s="39"/>
      <c r="J10" s="39"/>
      <c r="K10" s="39"/>
      <c r="L10" s="39"/>
      <c r="M10" s="39"/>
      <c r="N10" s="39"/>
      <c r="P10" s="42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</row>
    <row r="12" spans="1:55" x14ac:dyDescent="0.15">
      <c r="B12" s="30" t="s">
        <v>31</v>
      </c>
      <c r="D12" s="43"/>
    </row>
    <row r="13" spans="1:55" x14ac:dyDescent="0.15">
      <c r="B13" s="44" t="s">
        <v>32</v>
      </c>
      <c r="C13" s="45"/>
      <c r="D13" s="46" t="s">
        <v>33</v>
      </c>
      <c r="E13" s="47">
        <f>SUMIF($P$1:$AI$1,E$1,$P13:$AI13)</f>
        <v>7354754</v>
      </c>
      <c r="F13" s="47">
        <f t="shared" ref="F13:I14" si="16">SUMIF($P$1:$AI$1,F$1,$P13:$AI13)</f>
        <v>3148815</v>
      </c>
      <c r="G13" s="47">
        <f t="shared" si="16"/>
        <v>2926540</v>
      </c>
      <c r="H13" s="47">
        <f t="shared" si="16"/>
        <v>6293246</v>
      </c>
      <c r="I13" s="47">
        <f t="shared" si="16"/>
        <v>6883438</v>
      </c>
      <c r="J13" s="47">
        <f>SUMIFS($AJ13:$BC13,$AJ$1:$BC$1,J$1)</f>
        <v>7476596.4093261529</v>
      </c>
      <c r="K13" s="47">
        <f t="shared" ref="K13:N14" si="17">SUMIFS($AJ13:$BC13,$AJ$1:$BC$1,K$1)</f>
        <v>8407060.3310295437</v>
      </c>
      <c r="L13" s="47">
        <f t="shared" si="17"/>
        <v>9466955.9713402316</v>
      </c>
      <c r="M13" s="47">
        <f t="shared" si="17"/>
        <v>11048605.666639015</v>
      </c>
      <c r="N13" s="47">
        <f t="shared" si="17"/>
        <v>13606440.833313305</v>
      </c>
      <c r="P13" s="48">
        <v>1596981</v>
      </c>
      <c r="Q13" s="48">
        <v>2033011</v>
      </c>
      <c r="R13" s="48">
        <v>1234736</v>
      </c>
      <c r="S13" s="48">
        <v>2490026</v>
      </c>
      <c r="T13" s="48">
        <v>1164891</v>
      </c>
      <c r="U13" s="48">
        <v>802603</v>
      </c>
      <c r="V13" s="48">
        <v>576375</v>
      </c>
      <c r="W13" s="48">
        <v>604946</v>
      </c>
      <c r="X13" s="48">
        <v>736398</v>
      </c>
      <c r="Y13" s="48">
        <v>662500</v>
      </c>
      <c r="Z13" s="48">
        <v>623004</v>
      </c>
      <c r="AA13" s="48">
        <v>904638</v>
      </c>
      <c r="AB13" s="48">
        <v>1587677</v>
      </c>
      <c r="AC13" s="48">
        <v>1379942</v>
      </c>
      <c r="AD13" s="48">
        <v>1128597</v>
      </c>
      <c r="AE13" s="48">
        <v>2197030</v>
      </c>
      <c r="AF13" s="48">
        <v>1960319</v>
      </c>
      <c r="AG13" s="48">
        <v>1420096</v>
      </c>
      <c r="AH13" s="48">
        <v>1792984</v>
      </c>
      <c r="AI13" s="48">
        <v>1710039</v>
      </c>
      <c r="AJ13" s="142">
        <f>SUM('Revenue Build'!AI24)</f>
        <v>1793000</v>
      </c>
      <c r="AK13" s="142">
        <f>SUM('Revenue Build'!AJ24)</f>
        <v>1710000</v>
      </c>
      <c r="AL13" s="142">
        <f>SUM('Revenue Build'!AK24)</f>
        <v>2301680.374725352</v>
      </c>
      <c r="AM13" s="142">
        <f>SUM('Revenue Build'!AL24)</f>
        <v>1671916.0346008008</v>
      </c>
      <c r="AN13" s="142">
        <f>SUM('Revenue Build'!AM24)</f>
        <v>1877501.559826842</v>
      </c>
      <c r="AO13" s="142">
        <f>SUM('Revenue Build'!AN24)</f>
        <v>1958998.8561365025</v>
      </c>
      <c r="AP13" s="142">
        <f>SUM('Revenue Build'!AO24)</f>
        <v>2670524.4530444434</v>
      </c>
      <c r="AQ13" s="142">
        <f>SUM('Revenue Build'!AP24)</f>
        <v>1900035.462021756</v>
      </c>
      <c r="AR13" s="142">
        <f>SUM('Revenue Build'!AQ24)</f>
        <v>2052886.2212783908</v>
      </c>
      <c r="AS13" s="142">
        <f>SUM('Revenue Build'!AR24)</f>
        <v>2255122.2280411944</v>
      </c>
      <c r="AT13" s="142">
        <f>SUM('Revenue Build'!AS24)</f>
        <v>3021294.5774679128</v>
      </c>
      <c r="AU13" s="142">
        <f>SUM('Revenue Build'!AT24)</f>
        <v>2137652.9445527336</v>
      </c>
      <c r="AV13" s="142">
        <f>SUM('Revenue Build'!AU24)</f>
        <v>2276317.0533506335</v>
      </c>
      <c r="AW13" s="142">
        <f>SUM('Revenue Build'!AV24)</f>
        <v>2697822.8023874424</v>
      </c>
      <c r="AX13" s="142">
        <f>SUM('Revenue Build'!AW24)</f>
        <v>3564505.5290253847</v>
      </c>
      <c r="AY13" s="142">
        <f>SUM('Revenue Build'!AX24)</f>
        <v>2509960.281875554</v>
      </c>
      <c r="AZ13" s="142">
        <f>SUM('Revenue Build'!AY24)</f>
        <v>2627300.7748303618</v>
      </c>
      <c r="BA13" s="142">
        <f>SUM('Revenue Build'!AZ24)</f>
        <v>3411922.3934136108</v>
      </c>
      <c r="BB13" s="142">
        <f>SUM('Revenue Build'!BA24)</f>
        <v>4459957.9023664873</v>
      </c>
      <c r="BC13" s="142">
        <f>SUM('Revenue Build'!BB24)</f>
        <v>3107259.762702845</v>
      </c>
    </row>
    <row r="14" spans="1:55" x14ac:dyDescent="0.15">
      <c r="B14" s="49" t="s">
        <v>34</v>
      </c>
      <c r="D14" s="43" t="s">
        <v>33</v>
      </c>
      <c r="E14" s="50">
        <f t="shared" ref="E14" si="18">SUMIF($P$1:$AI$1,E$1,$P14:$AI14)</f>
        <v>484691</v>
      </c>
      <c r="F14" s="50">
        <f t="shared" si="16"/>
        <v>45393</v>
      </c>
      <c r="G14" s="50">
        <f t="shared" si="16"/>
        <v>181843</v>
      </c>
      <c r="H14" s="50">
        <f t="shared" si="16"/>
        <v>270782</v>
      </c>
      <c r="I14" s="50">
        <f t="shared" si="16"/>
        <v>297887</v>
      </c>
      <c r="J14" s="50">
        <f>SUMIFS($AJ14:$BC14,$AJ$1:$BC$1,J$1)</f>
        <v>283923.45844504016</v>
      </c>
      <c r="K14" s="50">
        <f t="shared" si="17"/>
        <v>270602.65275391896</v>
      </c>
      <c r="L14" s="50">
        <f t="shared" si="17"/>
        <v>257906.81783919083</v>
      </c>
      <c r="M14" s="50">
        <f t="shared" si="17"/>
        <v>245806.63201563628</v>
      </c>
      <c r="N14" s="50">
        <f t="shared" si="17"/>
        <v>234274.14928031823</v>
      </c>
      <c r="P14" s="51">
        <v>204131</v>
      </c>
      <c r="Q14" s="51">
        <v>194951</v>
      </c>
      <c r="R14" s="51">
        <v>77172</v>
      </c>
      <c r="S14" s="51">
        <v>8437</v>
      </c>
      <c r="T14" s="51">
        <v>1545</v>
      </c>
      <c r="U14" s="51">
        <v>5722</v>
      </c>
      <c r="V14" s="51">
        <v>13964</v>
      </c>
      <c r="W14" s="51">
        <v>24162</v>
      </c>
      <c r="X14" s="51">
        <v>36131</v>
      </c>
      <c r="Y14" s="51">
        <v>45411</v>
      </c>
      <c r="Z14" s="51">
        <v>51144</v>
      </c>
      <c r="AA14" s="51">
        <v>49157</v>
      </c>
      <c r="AB14" s="51">
        <v>49893</v>
      </c>
      <c r="AC14" s="51">
        <v>69686</v>
      </c>
      <c r="AD14" s="51">
        <v>76596</v>
      </c>
      <c r="AE14" s="51">
        <v>74607</v>
      </c>
      <c r="AF14" s="51">
        <v>73976</v>
      </c>
      <c r="AG14" s="51">
        <v>77112</v>
      </c>
      <c r="AH14" s="51">
        <v>75709</v>
      </c>
      <c r="AI14" s="51">
        <v>71090</v>
      </c>
      <c r="AJ14" s="143">
        <f>'Revenue Build'!AK26</f>
        <v>70528.15013404825</v>
      </c>
      <c r="AK14" s="143">
        <f>'Revenue Build'!AL26</f>
        <v>73482.70777479891</v>
      </c>
      <c r="AL14" s="143">
        <f>'Revenue Build'!AM26</f>
        <v>72148.391420911503</v>
      </c>
      <c r="AM14" s="143">
        <f>'Revenue Build'!AN26</f>
        <v>67764.209115281483</v>
      </c>
      <c r="AN14" s="143">
        <f>'Revenue Build'!AO26</f>
        <v>67219.188666633112</v>
      </c>
      <c r="AO14" s="143">
        <f>'Revenue Build'!AP26</f>
        <v>70035.12765131639</v>
      </c>
      <c r="AP14" s="143">
        <f>'Revenue Build'!AQ26</f>
        <v>68763.413271136844</v>
      </c>
      <c r="AQ14" s="143">
        <f>'Revenue Build'!AR26</f>
        <v>64584.923164832624</v>
      </c>
      <c r="AR14" s="143">
        <f>'Revenue Build'!AS26</f>
        <v>64065.473380665069</v>
      </c>
      <c r="AS14" s="143">
        <f>'Revenue Build'!AT26</f>
        <v>66749.297265530768</v>
      </c>
      <c r="AT14" s="143">
        <f>'Revenue Build'!AU26</f>
        <v>65537.247769139809</v>
      </c>
      <c r="AU14" s="143">
        <f>'Revenue Build'!AV26</f>
        <v>61554.79942385522</v>
      </c>
      <c r="AV14" s="143">
        <f>'Revenue Build'!AW26</f>
        <v>61059.720608113756</v>
      </c>
      <c r="AW14" s="143">
        <f>'Revenue Build'!AX26</f>
        <v>63617.627822777977</v>
      </c>
      <c r="AX14" s="143">
        <f>'Revenue Build'!AY26</f>
        <v>62462.443919381229</v>
      </c>
      <c r="AY14" s="143">
        <f>'Revenue Build'!AZ26</f>
        <v>58666.839665363346</v>
      </c>
      <c r="AZ14" s="143">
        <f>'Revenue Build'!BA26</f>
        <v>58194.988408001176</v>
      </c>
      <c r="BA14" s="143">
        <f>'Revenue Build'!BB26</f>
        <v>60632.88657103906</v>
      </c>
      <c r="BB14" s="143">
        <f>'Revenue Build'!BC26</f>
        <v>59531.900303860653</v>
      </c>
      <c r="BC14" s="143">
        <f>'Revenue Build'!BD26</f>
        <v>55914.373997417337</v>
      </c>
    </row>
    <row r="15" spans="1:55" x14ac:dyDescent="0.15">
      <c r="B15" s="53" t="s">
        <v>35</v>
      </c>
      <c r="C15" s="53"/>
      <c r="D15" s="54" t="s">
        <v>33</v>
      </c>
      <c r="E15" s="55">
        <f t="shared" ref="E15:N15" si="19">SUM(E13:E14)</f>
        <v>7839445</v>
      </c>
      <c r="F15" s="55">
        <f t="shared" si="19"/>
        <v>3194208</v>
      </c>
      <c r="G15" s="55">
        <f t="shared" si="19"/>
        <v>3108383</v>
      </c>
      <c r="H15" s="55">
        <f t="shared" si="19"/>
        <v>6564028</v>
      </c>
      <c r="I15" s="55">
        <f t="shared" si="19"/>
        <v>7181325</v>
      </c>
      <c r="J15" s="55">
        <f t="shared" si="19"/>
        <v>7760519.8677711934</v>
      </c>
      <c r="K15" s="55">
        <f t="shared" si="19"/>
        <v>8677662.983783463</v>
      </c>
      <c r="L15" s="55">
        <f t="shared" si="19"/>
        <v>9724862.789179422</v>
      </c>
      <c r="M15" s="55">
        <f t="shared" si="19"/>
        <v>11294412.298654651</v>
      </c>
      <c r="N15" s="55">
        <f t="shared" si="19"/>
        <v>13840714.982593624</v>
      </c>
      <c r="O15" s="52"/>
      <c r="P15" s="55">
        <f t="shared" ref="P15:AI15" si="20">SUM(P13:P14)</f>
        <v>1801112</v>
      </c>
      <c r="Q15" s="55">
        <f t="shared" si="20"/>
        <v>2227962</v>
      </c>
      <c r="R15" s="55">
        <f t="shared" si="20"/>
        <v>1311908</v>
      </c>
      <c r="S15" s="55">
        <f t="shared" si="20"/>
        <v>2498463</v>
      </c>
      <c r="T15" s="55">
        <f t="shared" si="20"/>
        <v>1166436</v>
      </c>
      <c r="U15" s="55">
        <f t="shared" si="20"/>
        <v>808325</v>
      </c>
      <c r="V15" s="55">
        <f t="shared" si="20"/>
        <v>590339</v>
      </c>
      <c r="W15" s="55">
        <f t="shared" si="20"/>
        <v>629108</v>
      </c>
      <c r="X15" s="55">
        <f t="shared" si="20"/>
        <v>772529</v>
      </c>
      <c r="Y15" s="55">
        <f t="shared" si="20"/>
        <v>707911</v>
      </c>
      <c r="Z15" s="55">
        <f t="shared" si="20"/>
        <v>674148</v>
      </c>
      <c r="AA15" s="55">
        <f t="shared" si="20"/>
        <v>953795</v>
      </c>
      <c r="AB15" s="55">
        <f t="shared" si="20"/>
        <v>1637570</v>
      </c>
      <c r="AC15" s="55">
        <f t="shared" si="20"/>
        <v>1449628</v>
      </c>
      <c r="AD15" s="55">
        <f t="shared" si="20"/>
        <v>1205193</v>
      </c>
      <c r="AE15" s="55">
        <f t="shared" si="20"/>
        <v>2271637</v>
      </c>
      <c r="AF15" s="55">
        <f t="shared" si="20"/>
        <v>2034295</v>
      </c>
      <c r="AG15" s="55">
        <f t="shared" si="20"/>
        <v>1497208</v>
      </c>
      <c r="AH15" s="55">
        <f t="shared" si="20"/>
        <v>1868693</v>
      </c>
      <c r="AI15" s="55">
        <f t="shared" si="20"/>
        <v>1781129</v>
      </c>
      <c r="AJ15" s="55">
        <f t="shared" ref="AJ15:BC15" si="21">SUM(AJ13:AJ14)</f>
        <v>1863528.1501340482</v>
      </c>
      <c r="AK15" s="55">
        <f t="shared" si="21"/>
        <v>1783482.7077747989</v>
      </c>
      <c r="AL15" s="55">
        <f t="shared" si="21"/>
        <v>2373828.7661462636</v>
      </c>
      <c r="AM15" s="55">
        <f t="shared" si="21"/>
        <v>1739680.2437160823</v>
      </c>
      <c r="AN15" s="55">
        <f t="shared" si="21"/>
        <v>1944720.7484934751</v>
      </c>
      <c r="AO15" s="55">
        <f t="shared" si="21"/>
        <v>2029033.9837878188</v>
      </c>
      <c r="AP15" s="55">
        <f t="shared" si="21"/>
        <v>2739287.8663155804</v>
      </c>
      <c r="AQ15" s="55">
        <f t="shared" si="21"/>
        <v>1964620.3851865886</v>
      </c>
      <c r="AR15" s="55">
        <f t="shared" si="21"/>
        <v>2116951.6946590561</v>
      </c>
      <c r="AS15" s="55">
        <f t="shared" si="21"/>
        <v>2321871.5253067249</v>
      </c>
      <c r="AT15" s="55">
        <f t="shared" si="21"/>
        <v>3086831.8252370525</v>
      </c>
      <c r="AU15" s="55">
        <f t="shared" si="21"/>
        <v>2199207.7439765888</v>
      </c>
      <c r="AV15" s="55">
        <f t="shared" si="21"/>
        <v>2337376.7739587473</v>
      </c>
      <c r="AW15" s="55">
        <f t="shared" si="21"/>
        <v>2761440.4302102206</v>
      </c>
      <c r="AX15" s="55">
        <f t="shared" si="21"/>
        <v>3626967.9729447658</v>
      </c>
      <c r="AY15" s="55">
        <f t="shared" si="21"/>
        <v>2568627.1215409175</v>
      </c>
      <c r="AZ15" s="55">
        <f t="shared" si="21"/>
        <v>2685495.763238363</v>
      </c>
      <c r="BA15" s="55">
        <f t="shared" si="21"/>
        <v>3472555.2799846497</v>
      </c>
      <c r="BB15" s="55">
        <f t="shared" si="21"/>
        <v>4519489.8026703475</v>
      </c>
      <c r="BC15" s="55">
        <f t="shared" si="21"/>
        <v>3163174.1367002623</v>
      </c>
    </row>
    <row r="16" spans="1:55" ht="15" thickBot="1" x14ac:dyDescent="0.2"/>
    <row r="17" spans="2:55" x14ac:dyDescent="0.15">
      <c r="B17" s="60" t="s">
        <v>32</v>
      </c>
      <c r="C17" s="56"/>
      <c r="D17" s="57" t="s">
        <v>36</v>
      </c>
      <c r="E17" s="63">
        <f>E13/E$15</f>
        <v>0.93817279156879085</v>
      </c>
      <c r="F17" s="63">
        <f t="shared" ref="F17:P18" si="22">F13/F$15</f>
        <v>0.98578896552760498</v>
      </c>
      <c r="G17" s="63">
        <f t="shared" si="22"/>
        <v>0.9414991653216479</v>
      </c>
      <c r="H17" s="63">
        <f t="shared" si="22"/>
        <v>0.95874758608586075</v>
      </c>
      <c r="I17" s="63">
        <f t="shared" si="22"/>
        <v>0.95851921476886226</v>
      </c>
      <c r="J17" s="63">
        <f t="shared" si="22"/>
        <v>0.96341437644865113</v>
      </c>
      <c r="K17" s="63">
        <f t="shared" si="22"/>
        <v>0.96881618319821672</v>
      </c>
      <c r="L17" s="63">
        <f t="shared" si="22"/>
        <v>0.97347964455332414</v>
      </c>
      <c r="M17" s="63">
        <f t="shared" si="22"/>
        <v>0.97823643891192857</v>
      </c>
      <c r="N17" s="64">
        <f t="shared" si="22"/>
        <v>0.9830735515054716</v>
      </c>
      <c r="O17" s="81"/>
      <c r="P17" s="82">
        <f t="shared" si="22"/>
        <v>0.88666390540954698</v>
      </c>
      <c r="Q17" s="63">
        <f t="shared" ref="Q17:BC17" si="23">Q13/Q$15</f>
        <v>0.91249805876401846</v>
      </c>
      <c r="R17" s="63">
        <f t="shared" si="23"/>
        <v>0.94117575317781432</v>
      </c>
      <c r="S17" s="63">
        <f t="shared" si="23"/>
        <v>0.99662312389657159</v>
      </c>
      <c r="T17" s="63">
        <f t="shared" si="23"/>
        <v>0.99867545240373234</v>
      </c>
      <c r="U17" s="63">
        <f t="shared" si="23"/>
        <v>0.99292116413571274</v>
      </c>
      <c r="V17" s="63">
        <f t="shared" si="23"/>
        <v>0.97634579453500447</v>
      </c>
      <c r="W17" s="63">
        <f t="shared" si="23"/>
        <v>0.96159323995244061</v>
      </c>
      <c r="X17" s="63">
        <f t="shared" si="23"/>
        <v>0.95323023472257995</v>
      </c>
      <c r="Y17" s="63">
        <f t="shared" si="23"/>
        <v>0.93585210570255295</v>
      </c>
      <c r="Z17" s="63">
        <f t="shared" si="23"/>
        <v>0.92413535306787231</v>
      </c>
      <c r="AA17" s="63">
        <f t="shared" si="23"/>
        <v>0.94846167153319105</v>
      </c>
      <c r="AB17" s="63">
        <f t="shared" si="23"/>
        <v>0.9695322948026649</v>
      </c>
      <c r="AC17" s="63">
        <f t="shared" si="23"/>
        <v>0.95192835679222532</v>
      </c>
      <c r="AD17" s="63">
        <f t="shared" si="23"/>
        <v>0.9364450341148679</v>
      </c>
      <c r="AE17" s="63">
        <f t="shared" si="23"/>
        <v>0.96715716463501866</v>
      </c>
      <c r="AF17" s="63">
        <f t="shared" si="23"/>
        <v>0.96363555924779842</v>
      </c>
      <c r="AG17" s="63">
        <f t="shared" si="23"/>
        <v>0.94849613413767497</v>
      </c>
      <c r="AH17" s="63">
        <f t="shared" si="23"/>
        <v>0.95948558698512809</v>
      </c>
      <c r="AI17" s="63">
        <f t="shared" si="23"/>
        <v>0.96008711328601126</v>
      </c>
      <c r="AJ17" s="63">
        <f t="shared" si="23"/>
        <v>0.96215342916661872</v>
      </c>
      <c r="AK17" s="63">
        <f t="shared" si="23"/>
        <v>0.95879819442349334</v>
      </c>
      <c r="AL17" s="63">
        <f t="shared" si="23"/>
        <v>0.96960674145926751</v>
      </c>
      <c r="AM17" s="63">
        <f t="shared" si="23"/>
        <v>0.96104789408280444</v>
      </c>
      <c r="AN17" s="63">
        <f t="shared" si="23"/>
        <v>0.96543504319645579</v>
      </c>
      <c r="AO17" s="63">
        <f t="shared" si="23"/>
        <v>0.96548351175440927</v>
      </c>
      <c r="AP17" s="63">
        <f t="shared" si="23"/>
        <v>0.97489733951779745</v>
      </c>
      <c r="AQ17" s="63">
        <f t="shared" si="23"/>
        <v>0.96712600375532665</v>
      </c>
      <c r="AR17" s="63">
        <f t="shared" si="23"/>
        <v>0.96973692241429099</v>
      </c>
      <c r="AS17" s="63">
        <f t="shared" si="23"/>
        <v>0.97125194200539888</v>
      </c>
      <c r="AT17" s="63">
        <f t="shared" si="23"/>
        <v>0.97876876633403675</v>
      </c>
      <c r="AU17" s="63">
        <f t="shared" si="23"/>
        <v>0.97201046622700937</v>
      </c>
      <c r="AV17" s="63">
        <f t="shared" si="23"/>
        <v>0.97387681725582531</v>
      </c>
      <c r="AW17" s="63">
        <f t="shared" si="23"/>
        <v>0.97696215818136078</v>
      </c>
      <c r="AX17" s="63">
        <f t="shared" si="23"/>
        <v>0.98277833044423957</v>
      </c>
      <c r="AY17" s="63">
        <f t="shared" si="23"/>
        <v>0.9771602350635582</v>
      </c>
      <c r="AZ17" s="63">
        <f t="shared" si="23"/>
        <v>0.97832989006922677</v>
      </c>
      <c r="BA17" s="63">
        <f t="shared" si="23"/>
        <v>0.98253940349905478</v>
      </c>
      <c r="BB17" s="63">
        <f t="shared" si="23"/>
        <v>0.98682773877071572</v>
      </c>
      <c r="BC17" s="64">
        <f t="shared" si="23"/>
        <v>0.9823233335943542</v>
      </c>
    </row>
    <row r="18" spans="2:55" ht="15" thickBot="1" x14ac:dyDescent="0.2">
      <c r="B18" s="61" t="s">
        <v>34</v>
      </c>
      <c r="C18" s="58"/>
      <c r="D18" s="59" t="s">
        <v>36</v>
      </c>
      <c r="E18" s="65">
        <f>E14/E$15</f>
        <v>6.1827208431209098E-2</v>
      </c>
      <c r="F18" s="65">
        <f t="shared" ref="F18:N18" si="24">F14/F$15</f>
        <v>1.4211034472395035E-2</v>
      </c>
      <c r="G18" s="65">
        <f t="shared" si="24"/>
        <v>5.8500834678352057E-2</v>
      </c>
      <c r="H18" s="65">
        <f t="shared" si="24"/>
        <v>4.1252413914139308E-2</v>
      </c>
      <c r="I18" s="65">
        <f t="shared" si="24"/>
        <v>4.1480785231137705E-2</v>
      </c>
      <c r="J18" s="65">
        <f t="shared" si="24"/>
        <v>3.6585623551348811E-2</v>
      </c>
      <c r="K18" s="65">
        <f t="shared" si="24"/>
        <v>3.1183816801783209E-2</v>
      </c>
      <c r="L18" s="65">
        <f t="shared" si="24"/>
        <v>2.6520355446675959E-2</v>
      </c>
      <c r="M18" s="65">
        <f t="shared" si="24"/>
        <v>2.1763561088071474E-2</v>
      </c>
      <c r="N18" s="66">
        <f t="shared" si="24"/>
        <v>1.692644849452838E-2</v>
      </c>
      <c r="O18" s="81"/>
      <c r="P18" s="83">
        <f t="shared" si="22"/>
        <v>0.113336094590453</v>
      </c>
      <c r="Q18" s="65">
        <f t="shared" ref="Q18:BC18" si="25">Q14/Q$15</f>
        <v>8.7501941235981581E-2</v>
      </c>
      <c r="R18" s="65">
        <f t="shared" si="25"/>
        <v>5.8824246822185705E-2</v>
      </c>
      <c r="S18" s="65">
        <f t="shared" si="25"/>
        <v>3.3768761034283878E-3</v>
      </c>
      <c r="T18" s="65">
        <f t="shared" si="25"/>
        <v>1.3245475962676049E-3</v>
      </c>
      <c r="U18" s="65">
        <f t="shared" si="25"/>
        <v>7.078835864287261E-3</v>
      </c>
      <c r="V18" s="65">
        <f t="shared" si="25"/>
        <v>2.3654205464995536E-2</v>
      </c>
      <c r="W18" s="65">
        <f t="shared" si="25"/>
        <v>3.8406760047559399E-2</v>
      </c>
      <c r="X18" s="65">
        <f t="shared" si="25"/>
        <v>4.6769765277420008E-2</v>
      </c>
      <c r="Y18" s="65">
        <f t="shared" si="25"/>
        <v>6.4147894297446995E-2</v>
      </c>
      <c r="Z18" s="65">
        <f t="shared" si="25"/>
        <v>7.5864646932127661E-2</v>
      </c>
      <c r="AA18" s="65">
        <f t="shared" si="25"/>
        <v>5.1538328466808905E-2</v>
      </c>
      <c r="AB18" s="65">
        <f t="shared" si="25"/>
        <v>3.0467705197335077E-2</v>
      </c>
      <c r="AC18" s="65">
        <f t="shared" si="25"/>
        <v>4.8071643207774684E-2</v>
      </c>
      <c r="AD18" s="65">
        <f t="shared" si="25"/>
        <v>6.3554965885132098E-2</v>
      </c>
      <c r="AE18" s="65">
        <f t="shared" si="25"/>
        <v>3.2842835364981289E-2</v>
      </c>
      <c r="AF18" s="65">
        <f t="shared" si="25"/>
        <v>3.6364440752201625E-2</v>
      </c>
      <c r="AG18" s="65">
        <f t="shared" si="25"/>
        <v>5.1503865862325075E-2</v>
      </c>
      <c r="AH18" s="65">
        <f t="shared" si="25"/>
        <v>4.0514413014871895E-2</v>
      </c>
      <c r="AI18" s="65">
        <f t="shared" si="25"/>
        <v>3.991288671398871E-2</v>
      </c>
      <c r="AJ18" s="65">
        <f t="shared" si="25"/>
        <v>3.7846570833381284E-2</v>
      </c>
      <c r="AK18" s="65">
        <f t="shared" si="25"/>
        <v>4.1201805576506663E-2</v>
      </c>
      <c r="AL18" s="65">
        <f t="shared" si="25"/>
        <v>3.0393258540732535E-2</v>
      </c>
      <c r="AM18" s="65">
        <f t="shared" si="25"/>
        <v>3.8952105917195591E-2</v>
      </c>
      <c r="AN18" s="65">
        <f t="shared" si="25"/>
        <v>3.4564956803544197E-2</v>
      </c>
      <c r="AO18" s="65">
        <f t="shared" si="25"/>
        <v>3.4516488245590733E-2</v>
      </c>
      <c r="AP18" s="65">
        <f t="shared" si="25"/>
        <v>2.5102660482202471E-2</v>
      </c>
      <c r="AQ18" s="65">
        <f t="shared" si="25"/>
        <v>3.2873996244673347E-2</v>
      </c>
      <c r="AR18" s="65">
        <f t="shared" si="25"/>
        <v>3.0263077585708956E-2</v>
      </c>
      <c r="AS18" s="65">
        <f t="shared" si="25"/>
        <v>2.8748057994601152E-2</v>
      </c>
      <c r="AT18" s="65">
        <f t="shared" si="25"/>
        <v>2.1231233665963287E-2</v>
      </c>
      <c r="AU18" s="65">
        <f t="shared" si="25"/>
        <v>2.7989533772990609E-2</v>
      </c>
      <c r="AV18" s="65">
        <f t="shared" si="25"/>
        <v>2.6123182744174647E-2</v>
      </c>
      <c r="AW18" s="65">
        <f t="shared" si="25"/>
        <v>2.3037841818639177E-2</v>
      </c>
      <c r="AX18" s="65">
        <f t="shared" si="25"/>
        <v>1.7221669555760495E-2</v>
      </c>
      <c r="AY18" s="65">
        <f t="shared" si="25"/>
        <v>2.2839764936441669E-2</v>
      </c>
      <c r="AZ18" s="65">
        <f t="shared" si="25"/>
        <v>2.1670109930773264E-2</v>
      </c>
      <c r="BA18" s="65">
        <f t="shared" si="25"/>
        <v>1.7460596500945287E-2</v>
      </c>
      <c r="BB18" s="65">
        <f t="shared" si="25"/>
        <v>1.3172261229284363E-2</v>
      </c>
      <c r="BC18" s="66">
        <f t="shared" si="25"/>
        <v>1.7676666405645847E-2</v>
      </c>
    </row>
    <row r="20" spans="2:55" x14ac:dyDescent="0.15">
      <c r="B20" s="1" t="s">
        <v>37</v>
      </c>
      <c r="D20" s="43" t="s">
        <v>33</v>
      </c>
      <c r="E20" s="50">
        <f>SUMIF($P$1:$AI$1,E$1,$P20:$AI20)</f>
        <v>0</v>
      </c>
      <c r="F20" s="50">
        <f t="shared" ref="F20:I20" si="26">SUMIF($P$1:$AI$1,F$1,$P20:$AI20)</f>
        <v>0</v>
      </c>
      <c r="G20" s="50">
        <f t="shared" si="26"/>
        <v>-125559</v>
      </c>
      <c r="H20" s="50">
        <f t="shared" si="26"/>
        <v>0</v>
      </c>
      <c r="I20" s="50">
        <f t="shared" si="26"/>
        <v>0</v>
      </c>
      <c r="J20" s="50">
        <f>SUMIFS($AJ20:$BC20,$AJ$1:$BC$1,J$1)</f>
        <v>0</v>
      </c>
      <c r="K20" s="50">
        <f t="shared" ref="K20:N20" si="27">SUMIFS($AJ20:$BC20,$AJ$1:$BC$1,K$1)</f>
        <v>0</v>
      </c>
      <c r="L20" s="50">
        <f t="shared" si="27"/>
        <v>0</v>
      </c>
      <c r="M20" s="50">
        <f t="shared" si="27"/>
        <v>0</v>
      </c>
      <c r="N20" s="50">
        <f t="shared" si="27"/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1">
        <v>0</v>
      </c>
      <c r="V20" s="51">
        <v>0</v>
      </c>
      <c r="W20" s="51">
        <v>0</v>
      </c>
      <c r="X20" s="51">
        <v>0</v>
      </c>
      <c r="Y20" s="51">
        <v>0</v>
      </c>
      <c r="Z20" s="51">
        <v>0</v>
      </c>
      <c r="AA20" s="51">
        <v>-125559</v>
      </c>
      <c r="AB20" s="51">
        <v>0</v>
      </c>
      <c r="AC20" s="51">
        <v>0</v>
      </c>
      <c r="AD20" s="51">
        <v>0</v>
      </c>
      <c r="AE20" s="51">
        <v>0</v>
      </c>
      <c r="AF20" s="51">
        <v>0</v>
      </c>
      <c r="AG20" s="51">
        <v>0</v>
      </c>
      <c r="AH20" s="51">
        <v>0</v>
      </c>
      <c r="AI20" s="51">
        <v>0</v>
      </c>
      <c r="AJ20" s="143">
        <f>_xlfn.XLOOKUP($B20,'IS &amp; BS Projections'!$B:$B,'IS &amp; BS Projections'!AK:AK)</f>
        <v>0</v>
      </c>
      <c r="AK20" s="143">
        <f>_xlfn.XLOOKUP($B20,'IS &amp; BS Projections'!$B:$B,'IS &amp; BS Projections'!AL:AL)</f>
        <v>0</v>
      </c>
      <c r="AL20" s="143">
        <f>_xlfn.XLOOKUP($B20,'IS &amp; BS Projections'!$B:$B,'IS &amp; BS Projections'!AM:AM)</f>
        <v>0</v>
      </c>
      <c r="AM20" s="143">
        <f>_xlfn.XLOOKUP($B20,'IS &amp; BS Projections'!$B:$B,'IS &amp; BS Projections'!AN:AN)</f>
        <v>0</v>
      </c>
      <c r="AN20" s="143">
        <f>_xlfn.XLOOKUP($B20,'IS &amp; BS Projections'!$B:$B,'IS &amp; BS Projections'!AO:AO)</f>
        <v>0</v>
      </c>
      <c r="AO20" s="143">
        <f>_xlfn.XLOOKUP($B20,'IS &amp; BS Projections'!$B:$B,'IS &amp; BS Projections'!AP:AP)</f>
        <v>0</v>
      </c>
      <c r="AP20" s="143">
        <f>_xlfn.XLOOKUP($B20,'IS &amp; BS Projections'!$B:$B,'IS &amp; BS Projections'!AQ:AQ)</f>
        <v>0</v>
      </c>
      <c r="AQ20" s="143">
        <f>_xlfn.XLOOKUP($B20,'IS &amp; BS Projections'!$B:$B,'IS &amp; BS Projections'!AR:AR)</f>
        <v>0</v>
      </c>
      <c r="AR20" s="143">
        <f>_xlfn.XLOOKUP($B20,'IS &amp; BS Projections'!$B:$B,'IS &amp; BS Projections'!AS:AS)</f>
        <v>0</v>
      </c>
      <c r="AS20" s="143">
        <f>_xlfn.XLOOKUP($B20,'IS &amp; BS Projections'!$B:$B,'IS &amp; BS Projections'!AT:AT)</f>
        <v>0</v>
      </c>
      <c r="AT20" s="143">
        <f>_xlfn.XLOOKUP($B20,'IS &amp; BS Projections'!$B:$B,'IS &amp; BS Projections'!AU:AU)</f>
        <v>0</v>
      </c>
      <c r="AU20" s="143">
        <f>_xlfn.XLOOKUP($B20,'IS &amp; BS Projections'!$B:$B,'IS &amp; BS Projections'!AV:AV)</f>
        <v>0</v>
      </c>
      <c r="AV20" s="143">
        <f>_xlfn.XLOOKUP($B20,'IS &amp; BS Projections'!$B:$B,'IS &amp; BS Projections'!AW:AW)</f>
        <v>0</v>
      </c>
      <c r="AW20" s="143">
        <f>_xlfn.XLOOKUP($B20,'IS &amp; BS Projections'!$B:$B,'IS &amp; BS Projections'!AX:AX)</f>
        <v>0</v>
      </c>
      <c r="AX20" s="143">
        <f>_xlfn.XLOOKUP($B20,'IS &amp; BS Projections'!$B:$B,'IS &amp; BS Projections'!AY:AY)</f>
        <v>0</v>
      </c>
      <c r="AY20" s="143">
        <f>_xlfn.XLOOKUP($B20,'IS &amp; BS Projections'!$B:$B,'IS &amp; BS Projections'!AZ:AZ)</f>
        <v>0</v>
      </c>
      <c r="AZ20" s="143">
        <f>_xlfn.XLOOKUP($B20,'IS &amp; BS Projections'!$B:$B,'IS &amp; BS Projections'!BA:BA)</f>
        <v>0</v>
      </c>
      <c r="BA20" s="143">
        <f>_xlfn.XLOOKUP($B20,'IS &amp; BS Projections'!$B:$B,'IS &amp; BS Projections'!BB:BB)</f>
        <v>0</v>
      </c>
      <c r="BB20" s="143">
        <f>_xlfn.XLOOKUP($B20,'IS &amp; BS Projections'!$B:$B,'IS &amp; BS Projections'!BC:BC)</f>
        <v>0</v>
      </c>
      <c r="BC20" s="143">
        <f>_xlfn.XLOOKUP($B20,'IS &amp; BS Projections'!$B:$B,'IS &amp; BS Projections'!BD:BD)</f>
        <v>0</v>
      </c>
    </row>
    <row r="21" spans="2:55" ht="15" thickBot="1" x14ac:dyDescent="0.2"/>
    <row r="22" spans="2:55" x14ac:dyDescent="0.15">
      <c r="B22" s="70" t="s">
        <v>38</v>
      </c>
      <c r="C22" s="71"/>
      <c r="D22" s="72" t="s">
        <v>33</v>
      </c>
      <c r="E22" s="73">
        <f>SUM(E15,E20)</f>
        <v>7839445</v>
      </c>
      <c r="F22" s="73">
        <f t="shared" ref="F22:BC22" si="28">SUM(F15,F20)</f>
        <v>3194208</v>
      </c>
      <c r="G22" s="73">
        <f t="shared" si="28"/>
        <v>2982824</v>
      </c>
      <c r="H22" s="73">
        <f t="shared" si="28"/>
        <v>6564028</v>
      </c>
      <c r="I22" s="73">
        <f t="shared" si="28"/>
        <v>7181325</v>
      </c>
      <c r="J22" s="73">
        <f t="shared" si="28"/>
        <v>7760519.8677711934</v>
      </c>
      <c r="K22" s="73">
        <f t="shared" si="28"/>
        <v>8677662.983783463</v>
      </c>
      <c r="L22" s="73">
        <f t="shared" si="28"/>
        <v>9724862.789179422</v>
      </c>
      <c r="M22" s="73">
        <f t="shared" si="28"/>
        <v>11294412.298654651</v>
      </c>
      <c r="N22" s="74">
        <f t="shared" si="28"/>
        <v>13840714.982593624</v>
      </c>
      <c r="P22" s="84">
        <f t="shared" si="28"/>
        <v>1801112</v>
      </c>
      <c r="Q22" s="73">
        <f t="shared" si="28"/>
        <v>2227962</v>
      </c>
      <c r="R22" s="73">
        <f t="shared" si="28"/>
        <v>1311908</v>
      </c>
      <c r="S22" s="73">
        <f t="shared" si="28"/>
        <v>2498463</v>
      </c>
      <c r="T22" s="73">
        <f t="shared" si="28"/>
        <v>1166436</v>
      </c>
      <c r="U22" s="73">
        <f t="shared" si="28"/>
        <v>808325</v>
      </c>
      <c r="V22" s="73">
        <f t="shared" si="28"/>
        <v>590339</v>
      </c>
      <c r="W22" s="73">
        <f t="shared" si="28"/>
        <v>629108</v>
      </c>
      <c r="X22" s="73">
        <f t="shared" si="28"/>
        <v>772529</v>
      </c>
      <c r="Y22" s="73">
        <f t="shared" si="28"/>
        <v>707911</v>
      </c>
      <c r="Z22" s="73">
        <f t="shared" si="28"/>
        <v>674148</v>
      </c>
      <c r="AA22" s="73">
        <f t="shared" si="28"/>
        <v>828236</v>
      </c>
      <c r="AB22" s="73">
        <f t="shared" si="28"/>
        <v>1637570</v>
      </c>
      <c r="AC22" s="73">
        <f t="shared" si="28"/>
        <v>1449628</v>
      </c>
      <c r="AD22" s="73">
        <f t="shared" si="28"/>
        <v>1205193</v>
      </c>
      <c r="AE22" s="73">
        <f t="shared" si="28"/>
        <v>2271637</v>
      </c>
      <c r="AF22" s="73">
        <f t="shared" si="28"/>
        <v>2034295</v>
      </c>
      <c r="AG22" s="73">
        <f t="shared" si="28"/>
        <v>1497208</v>
      </c>
      <c r="AH22" s="73">
        <f t="shared" si="28"/>
        <v>1868693</v>
      </c>
      <c r="AI22" s="73">
        <f t="shared" si="28"/>
        <v>1781129</v>
      </c>
      <c r="AJ22" s="73">
        <f t="shared" si="28"/>
        <v>1863528.1501340482</v>
      </c>
      <c r="AK22" s="73">
        <f t="shared" si="28"/>
        <v>1783482.7077747989</v>
      </c>
      <c r="AL22" s="73">
        <f t="shared" si="28"/>
        <v>2373828.7661462636</v>
      </c>
      <c r="AM22" s="73">
        <f t="shared" si="28"/>
        <v>1739680.2437160823</v>
      </c>
      <c r="AN22" s="73">
        <f t="shared" si="28"/>
        <v>1944720.7484934751</v>
      </c>
      <c r="AO22" s="73">
        <f t="shared" si="28"/>
        <v>2029033.9837878188</v>
      </c>
      <c r="AP22" s="73">
        <f t="shared" si="28"/>
        <v>2739287.8663155804</v>
      </c>
      <c r="AQ22" s="73">
        <f t="shared" si="28"/>
        <v>1964620.3851865886</v>
      </c>
      <c r="AR22" s="73">
        <f t="shared" si="28"/>
        <v>2116951.6946590561</v>
      </c>
      <c r="AS22" s="73">
        <f t="shared" si="28"/>
        <v>2321871.5253067249</v>
      </c>
      <c r="AT22" s="73">
        <f t="shared" si="28"/>
        <v>3086831.8252370525</v>
      </c>
      <c r="AU22" s="73">
        <f t="shared" si="28"/>
        <v>2199207.7439765888</v>
      </c>
      <c r="AV22" s="73">
        <f t="shared" si="28"/>
        <v>2337376.7739587473</v>
      </c>
      <c r="AW22" s="73">
        <f t="shared" si="28"/>
        <v>2761440.4302102206</v>
      </c>
      <c r="AX22" s="73">
        <f t="shared" si="28"/>
        <v>3626967.9729447658</v>
      </c>
      <c r="AY22" s="73">
        <f t="shared" si="28"/>
        <v>2568627.1215409175</v>
      </c>
      <c r="AZ22" s="73">
        <f t="shared" si="28"/>
        <v>2685495.763238363</v>
      </c>
      <c r="BA22" s="73">
        <f t="shared" si="28"/>
        <v>3472555.2799846497</v>
      </c>
      <c r="BB22" s="73">
        <f t="shared" si="28"/>
        <v>4519489.8026703475</v>
      </c>
      <c r="BC22" s="74">
        <f t="shared" si="28"/>
        <v>3163174.1367002623</v>
      </c>
    </row>
    <row r="23" spans="2:55" ht="15" thickBot="1" x14ac:dyDescent="0.2">
      <c r="B23" s="61" t="s">
        <v>39</v>
      </c>
      <c r="C23" s="62"/>
      <c r="D23" s="59" t="s">
        <v>36</v>
      </c>
      <c r="E23" s="65">
        <f>E22/E$15</f>
        <v>1</v>
      </c>
      <c r="F23" s="65">
        <f t="shared" ref="F23:P23" si="29">F22/F$15</f>
        <v>1</v>
      </c>
      <c r="G23" s="65">
        <f t="shared" si="29"/>
        <v>0.95960632907849519</v>
      </c>
      <c r="H23" s="65">
        <f t="shared" si="29"/>
        <v>1</v>
      </c>
      <c r="I23" s="65">
        <f t="shared" si="29"/>
        <v>1</v>
      </c>
      <c r="J23" s="65">
        <f t="shared" si="29"/>
        <v>1</v>
      </c>
      <c r="K23" s="65">
        <f t="shared" si="29"/>
        <v>1</v>
      </c>
      <c r="L23" s="65">
        <f t="shared" si="29"/>
        <v>1</v>
      </c>
      <c r="M23" s="65">
        <f t="shared" si="29"/>
        <v>1</v>
      </c>
      <c r="N23" s="66">
        <f t="shared" si="29"/>
        <v>1</v>
      </c>
      <c r="O23" s="30"/>
      <c r="P23" s="83">
        <f t="shared" si="29"/>
        <v>1</v>
      </c>
      <c r="Q23" s="65">
        <f t="shared" ref="Q23" si="30">Q22/Q$15</f>
        <v>1</v>
      </c>
      <c r="R23" s="65">
        <f t="shared" ref="R23" si="31">R22/R$15</f>
        <v>1</v>
      </c>
      <c r="S23" s="65">
        <f t="shared" ref="S23" si="32">S22/S$15</f>
        <v>1</v>
      </c>
      <c r="T23" s="65">
        <f t="shared" ref="T23" si="33">T22/T$15</f>
        <v>1</v>
      </c>
      <c r="U23" s="65">
        <f t="shared" ref="U23" si="34">U22/U$15</f>
        <v>1</v>
      </c>
      <c r="V23" s="65">
        <f t="shared" ref="V23" si="35">V22/V$15</f>
        <v>1</v>
      </c>
      <c r="W23" s="65">
        <f t="shared" ref="W23" si="36">W22/W$15</f>
        <v>1</v>
      </c>
      <c r="X23" s="65">
        <f t="shared" ref="X23" si="37">X22/X$15</f>
        <v>1</v>
      </c>
      <c r="Y23" s="65">
        <f t="shared" ref="Y23" si="38">Y22/Y$15</f>
        <v>1</v>
      </c>
      <c r="Z23" s="65">
        <f t="shared" ref="Z23" si="39">Z22/Z$15</f>
        <v>1</v>
      </c>
      <c r="AA23" s="65">
        <f t="shared" ref="AA23" si="40">AA22/AA$15</f>
        <v>0.86835850471013165</v>
      </c>
      <c r="AB23" s="65">
        <f t="shared" ref="AB23" si="41">AB22/AB$15</f>
        <v>1</v>
      </c>
      <c r="AC23" s="65">
        <f t="shared" ref="AC23" si="42">AC22/AC$15</f>
        <v>1</v>
      </c>
      <c r="AD23" s="65">
        <f t="shared" ref="AD23" si="43">AD22/AD$15</f>
        <v>1</v>
      </c>
      <c r="AE23" s="65">
        <f t="shared" ref="AE23" si="44">AE22/AE$15</f>
        <v>1</v>
      </c>
      <c r="AF23" s="65">
        <f t="shared" ref="AF23" si="45">AF22/AF$15</f>
        <v>1</v>
      </c>
      <c r="AG23" s="65">
        <f t="shared" ref="AG23" si="46">AG22/AG$15</f>
        <v>1</v>
      </c>
      <c r="AH23" s="65">
        <f t="shared" ref="AH23" si="47">AH22/AH$15</f>
        <v>1</v>
      </c>
      <c r="AI23" s="65">
        <f t="shared" ref="AI23" si="48">AI22/AI$15</f>
        <v>1</v>
      </c>
      <c r="AJ23" s="65">
        <f t="shared" ref="AJ23" si="49">AJ22/AJ$15</f>
        <v>1</v>
      </c>
      <c r="AK23" s="65">
        <f t="shared" ref="AK23" si="50">AK22/AK$15</f>
        <v>1</v>
      </c>
      <c r="AL23" s="65">
        <f t="shared" ref="AL23" si="51">AL22/AL$15</f>
        <v>1</v>
      </c>
      <c r="AM23" s="65">
        <f t="shared" ref="AM23" si="52">AM22/AM$15</f>
        <v>1</v>
      </c>
      <c r="AN23" s="65">
        <f t="shared" ref="AN23" si="53">AN22/AN$15</f>
        <v>1</v>
      </c>
      <c r="AO23" s="65">
        <f t="shared" ref="AO23" si="54">AO22/AO$15</f>
        <v>1</v>
      </c>
      <c r="AP23" s="65">
        <f t="shared" ref="AP23" si="55">AP22/AP$15</f>
        <v>1</v>
      </c>
      <c r="AQ23" s="65">
        <f t="shared" ref="AQ23" si="56">AQ22/AQ$15</f>
        <v>1</v>
      </c>
      <c r="AR23" s="65">
        <f t="shared" ref="AR23" si="57">AR22/AR$15</f>
        <v>1</v>
      </c>
      <c r="AS23" s="65">
        <f t="shared" ref="AS23" si="58">AS22/AS$15</f>
        <v>1</v>
      </c>
      <c r="AT23" s="65">
        <f t="shared" ref="AT23" si="59">AT22/AT$15</f>
        <v>1</v>
      </c>
      <c r="AU23" s="65">
        <f t="shared" ref="AU23" si="60">AU22/AU$15</f>
        <v>1</v>
      </c>
      <c r="AV23" s="65">
        <f t="shared" ref="AV23" si="61">AV22/AV$15</f>
        <v>1</v>
      </c>
      <c r="AW23" s="65">
        <f t="shared" ref="AW23" si="62">AW22/AW$15</f>
        <v>1</v>
      </c>
      <c r="AX23" s="65">
        <f t="shared" ref="AX23" si="63">AX22/AX$15</f>
        <v>1</v>
      </c>
      <c r="AY23" s="65">
        <f t="shared" ref="AY23" si="64">AY22/AY$15</f>
        <v>1</v>
      </c>
      <c r="AZ23" s="65">
        <f t="shared" ref="AZ23" si="65">AZ22/AZ$15</f>
        <v>1</v>
      </c>
      <c r="BA23" s="65">
        <f t="shared" ref="BA23" si="66">BA22/BA$15</f>
        <v>1</v>
      </c>
      <c r="BB23" s="65">
        <f t="shared" ref="BB23" si="67">BB22/BB$15</f>
        <v>1</v>
      </c>
      <c r="BC23" s="66">
        <f t="shared" ref="BC23" si="68">BC22/BC$15</f>
        <v>1</v>
      </c>
    </row>
    <row r="25" spans="2:55" x14ac:dyDescent="0.15">
      <c r="B25" s="1" t="s">
        <v>40</v>
      </c>
      <c r="D25" s="43" t="s">
        <v>33</v>
      </c>
      <c r="E25" s="50">
        <f t="shared" ref="E25:I38" si="69">SUMIF($P$1:$AI$1,E$1,$P25:$AI25)</f>
        <v>-1267924</v>
      </c>
      <c r="F25" s="50">
        <f t="shared" si="69"/>
        <v>-629880</v>
      </c>
      <c r="G25" s="50">
        <f t="shared" si="69"/>
        <v>-295146</v>
      </c>
      <c r="H25" s="50">
        <f t="shared" si="69"/>
        <v>-897707</v>
      </c>
      <c r="I25" s="50">
        <f t="shared" si="69"/>
        <v>-1020230</v>
      </c>
      <c r="J25" s="50">
        <f t="shared" ref="J25:N31" si="70">SUMIFS($AJ25:$BC25,$AJ$1:$BC$1,J$1)</f>
        <v>-1087847.810170586</v>
      </c>
      <c r="K25" s="50">
        <f t="shared" si="70"/>
        <v>-1217922.2811011479</v>
      </c>
      <c r="L25" s="50">
        <f t="shared" si="70"/>
        <v>-1366029.7363773452</v>
      </c>
      <c r="M25" s="50">
        <f t="shared" si="70"/>
        <v>-1588200.3377905455</v>
      </c>
      <c r="N25" s="50">
        <f t="shared" si="70"/>
        <v>-1948753.4737733954</v>
      </c>
      <c r="P25" s="51">
        <v>-234066</v>
      </c>
      <c r="Q25" s="51">
        <v>-335426</v>
      </c>
      <c r="R25" s="51">
        <v>-197251</v>
      </c>
      <c r="S25" s="51">
        <v>-501181</v>
      </c>
      <c r="T25" s="51">
        <v>-277826</v>
      </c>
      <c r="U25" s="51">
        <v>-167187</v>
      </c>
      <c r="V25" s="51">
        <v>-101876</v>
      </c>
      <c r="W25" s="51">
        <v>-82991</v>
      </c>
      <c r="X25" s="51">
        <v>-96369</v>
      </c>
      <c r="Y25" s="51">
        <v>-108200</v>
      </c>
      <c r="Z25" s="51">
        <v>-90577</v>
      </c>
      <c r="AA25" s="51">
        <v>0</v>
      </c>
      <c r="AB25" s="51">
        <v>-217407</v>
      </c>
      <c r="AC25" s="51">
        <v>-191477</v>
      </c>
      <c r="AD25" s="51">
        <v>-171781</v>
      </c>
      <c r="AE25" s="51">
        <v>-317042</v>
      </c>
      <c r="AF25" s="51">
        <v>-303026</v>
      </c>
      <c r="AG25" s="51">
        <v>-245261</v>
      </c>
      <c r="AH25" s="51">
        <v>-253318</v>
      </c>
      <c r="AI25" s="51">
        <v>-218625</v>
      </c>
      <c r="AJ25" s="143">
        <f>_xlfn.XLOOKUP($B25,'IS &amp; BS Projections'!$B:$B,'IS &amp; BS Projections'!AK:AK)</f>
        <v>-247405.64649828282</v>
      </c>
      <c r="AK25" s="143">
        <f>_xlfn.XLOOKUP($B25,'IS &amp; BS Projections'!$B:$B,'IS &amp; BS Projections'!AL:AL)</f>
        <v>-272594.75976674078</v>
      </c>
      <c r="AL25" s="143">
        <f>_xlfn.XLOOKUP($B25,'IS &amp; BS Projections'!$B:$B,'IS &amp; BS Projections'!AM:AM)</f>
        <v>-338351.35059477721</v>
      </c>
      <c r="AM25" s="143">
        <f>_xlfn.XLOOKUP($B25,'IS &amp; BS Projections'!$B:$B,'IS &amp; BS Projections'!AN:AN)</f>
        <v>-229496.05331078512</v>
      </c>
      <c r="AN25" s="143">
        <f>_xlfn.XLOOKUP($B25,'IS &amp; BS Projections'!$B:$B,'IS &amp; BS Projections'!AO:AO)</f>
        <v>-258184.9348533015</v>
      </c>
      <c r="AO25" s="143">
        <f>_xlfn.XLOOKUP($B25,'IS &amp; BS Projections'!$B:$B,'IS &amp; BS Projections'!AP:AP)</f>
        <v>-310125.81672815082</v>
      </c>
      <c r="AP25" s="143">
        <f>_xlfn.XLOOKUP($B25,'IS &amp; BS Projections'!$B:$B,'IS &amp; BS Projections'!AQ:AQ)</f>
        <v>-390441.70432748675</v>
      </c>
      <c r="AQ25" s="143">
        <f>_xlfn.XLOOKUP($B25,'IS &amp; BS Projections'!$B:$B,'IS &amp; BS Projections'!AR:AR)</f>
        <v>-259169.82519220895</v>
      </c>
      <c r="AR25" s="143">
        <f>_xlfn.XLOOKUP($B25,'IS &amp; BS Projections'!$B:$B,'IS &amp; BS Projections'!AS:AS)</f>
        <v>-281050.65254049684</v>
      </c>
      <c r="AS25" s="143">
        <f>_xlfn.XLOOKUP($B25,'IS &amp; BS Projections'!$B:$B,'IS &amp; BS Projections'!AT:AT)</f>
        <v>-354884.29906893329</v>
      </c>
      <c r="AT25" s="143">
        <f>_xlfn.XLOOKUP($B25,'IS &amp; BS Projections'!$B:$B,'IS &amp; BS Projections'!AU:AU)</f>
        <v>-439978.54100633354</v>
      </c>
      <c r="AU25" s="143">
        <f>_xlfn.XLOOKUP($B25,'IS &amp; BS Projections'!$B:$B,'IS &amp; BS Projections'!AV:AV)</f>
        <v>-290116.24376158166</v>
      </c>
      <c r="AV25" s="143">
        <f>_xlfn.XLOOKUP($B25,'IS &amp; BS Projections'!$B:$B,'IS &amp; BS Projections'!AW:AW)</f>
        <v>-310314.71771957801</v>
      </c>
      <c r="AW25" s="143">
        <f>_xlfn.XLOOKUP($B25,'IS &amp; BS Projections'!$B:$B,'IS &amp; BS Projections'!AX:AX)</f>
        <v>-422069.80050987465</v>
      </c>
      <c r="AX25" s="143">
        <f>_xlfn.XLOOKUP($B25,'IS &amp; BS Projections'!$B:$B,'IS &amp; BS Projections'!AY:AY)</f>
        <v>-516966.31606757158</v>
      </c>
      <c r="AY25" s="143">
        <f>_xlfn.XLOOKUP($B25,'IS &amp; BS Projections'!$B:$B,'IS &amp; BS Projections'!AZ:AZ)</f>
        <v>-338849.50349352148</v>
      </c>
      <c r="AZ25" s="143">
        <f>_xlfn.XLOOKUP($B25,'IS &amp; BS Projections'!$B:$B,'IS &amp; BS Projections'!BA:BA)</f>
        <v>-356531.67644641927</v>
      </c>
      <c r="BA25" s="143">
        <f>_xlfn.XLOOKUP($B25,'IS &amp; BS Projections'!$B:$B,'IS &amp; BS Projections'!BB:BB)</f>
        <v>-530759.48995613726</v>
      </c>
      <c r="BB25" s="143">
        <f>_xlfn.XLOOKUP($B25,'IS &amp; BS Projections'!$B:$B,'IS &amp; BS Projections'!BC:BC)</f>
        <v>-644181.03805159417</v>
      </c>
      <c r="BC25" s="143">
        <f>_xlfn.XLOOKUP($B25,'IS &amp; BS Projections'!$B:$B,'IS &amp; BS Projections'!BD:BD)</f>
        <v>-417281.26931924484</v>
      </c>
    </row>
    <row r="26" spans="2:55" x14ac:dyDescent="0.15">
      <c r="B26" s="1" t="s">
        <v>41</v>
      </c>
      <c r="D26" s="43" t="s">
        <v>33</v>
      </c>
      <c r="E26" s="50">
        <f t="shared" si="69"/>
        <v>-663690</v>
      </c>
      <c r="F26" s="50">
        <f t="shared" si="69"/>
        <v>-510089</v>
      </c>
      <c r="G26" s="50">
        <f t="shared" si="69"/>
        <v>-332312</v>
      </c>
      <c r="H26" s="50">
        <f t="shared" si="69"/>
        <v>-654444</v>
      </c>
      <c r="I26" s="50">
        <f t="shared" si="69"/>
        <v>-1058577</v>
      </c>
      <c r="J26" s="50">
        <f t="shared" si="70"/>
        <v>-787027.42871742952</v>
      </c>
      <c r="K26" s="50">
        <f t="shared" si="70"/>
        <v>-877038.44099667727</v>
      </c>
      <c r="L26" s="50">
        <f t="shared" si="70"/>
        <v>-975567.07139289426</v>
      </c>
      <c r="M26" s="50">
        <f t="shared" si="70"/>
        <v>-1126367.7882924157</v>
      </c>
      <c r="N26" s="50">
        <f t="shared" si="70"/>
        <v>-1373485.3290253468</v>
      </c>
      <c r="P26" s="51">
        <v>-117990</v>
      </c>
      <c r="Q26" s="51">
        <v>-195733</v>
      </c>
      <c r="R26" s="51">
        <v>-105395</v>
      </c>
      <c r="S26" s="51">
        <v>-244572</v>
      </c>
      <c r="T26" s="51">
        <v>-200204</v>
      </c>
      <c r="U26" s="51">
        <v>-140894</v>
      </c>
      <c r="V26" s="51">
        <v>-75888</v>
      </c>
      <c r="W26" s="51">
        <v>-93103</v>
      </c>
      <c r="X26" s="51">
        <v>-63976</v>
      </c>
      <c r="Y26" s="51">
        <v>-83853</v>
      </c>
      <c r="Z26" s="51">
        <v>-78178</v>
      </c>
      <c r="AA26" s="51">
        <v>-106305</v>
      </c>
      <c r="AB26" s="51">
        <v>-98585</v>
      </c>
      <c r="AC26" s="51">
        <v>-165262</v>
      </c>
      <c r="AD26" s="51">
        <v>-164770</v>
      </c>
      <c r="AE26" s="51">
        <v>-225827</v>
      </c>
      <c r="AF26" s="51">
        <v>-247283</v>
      </c>
      <c r="AG26" s="51">
        <v>-236245</v>
      </c>
      <c r="AH26" s="51">
        <v>-260272</v>
      </c>
      <c r="AI26" s="51">
        <v>-314777</v>
      </c>
      <c r="AJ26" s="143">
        <f>_xlfn.XLOOKUP($B26,'IS &amp; BS Projections'!$B:$B,'IS &amp; BS Projections'!AK:AK)</f>
        <v>-135690.41621741944</v>
      </c>
      <c r="AK26" s="143">
        <f>_xlfn.XLOOKUP($B26,'IS &amp; BS Projections'!$B:$B,'IS &amp; BS Projections'!AL:AL)</f>
        <v>-193421.07302133256</v>
      </c>
      <c r="AL26" s="143">
        <f>_xlfn.XLOOKUP($B26,'IS &amp; BS Projections'!$B:$B,'IS &amp; BS Projections'!AM:AM)</f>
        <v>-281417.0847691368</v>
      </c>
      <c r="AM26" s="143">
        <f>_xlfn.XLOOKUP($B26,'IS &amp; BS Projections'!$B:$B,'IS &amp; BS Projections'!AN:AN)</f>
        <v>-176498.85470954067</v>
      </c>
      <c r="AN26" s="143">
        <f>_xlfn.XLOOKUP($B26,'IS &amp; BS Projections'!$B:$B,'IS &amp; BS Projections'!AO:AO)</f>
        <v>-139657.6305606346</v>
      </c>
      <c r="AO26" s="143">
        <f>_xlfn.XLOOKUP($B26,'IS &amp; BS Projections'!$B:$B,'IS &amp; BS Projections'!AP:AP)</f>
        <v>-218022.40168762821</v>
      </c>
      <c r="AP26" s="143">
        <f>_xlfn.XLOOKUP($B26,'IS &amp; BS Projections'!$B:$B,'IS &amp; BS Projections'!AQ:AQ)</f>
        <v>-322002.92466212664</v>
      </c>
      <c r="AQ26" s="143">
        <f>_xlfn.XLOOKUP($B26,'IS &amp; BS Projections'!$B:$B,'IS &amp; BS Projections'!AR:AR)</f>
        <v>-197355.48408628779</v>
      </c>
      <c r="AR26" s="143">
        <f>_xlfn.XLOOKUP($B26,'IS &amp; BS Projections'!$B:$B,'IS &amp; BS Projections'!AS:AS)</f>
        <v>-149909.22374283502</v>
      </c>
      <c r="AS26" s="143">
        <f>_xlfn.XLOOKUP($B26,'IS &amp; BS Projections'!$B:$B,'IS &amp; BS Projections'!AT:AT)</f>
        <v>-247166.31369102598</v>
      </c>
      <c r="AT26" s="143">
        <f>_xlfn.XLOOKUP($B26,'IS &amp; BS Projections'!$B:$B,'IS &amp; BS Projections'!AU:AU)</f>
        <v>-359769.83902308001</v>
      </c>
      <c r="AU26" s="143">
        <f>_xlfn.XLOOKUP($B26,'IS &amp; BS Projections'!$B:$B,'IS &amp; BS Projections'!AV:AV)</f>
        <v>-218721.69493595322</v>
      </c>
      <c r="AV26" s="143">
        <f>_xlfn.XLOOKUP($B26,'IS &amp; BS Projections'!$B:$B,'IS &amp; BS Projections'!AW:AW)</f>
        <v>-163180.96673038852</v>
      </c>
      <c r="AW26" s="143">
        <f>_xlfn.XLOOKUP($B26,'IS &amp; BS Projections'!$B:$B,'IS &amp; BS Projections'!AX:AX)</f>
        <v>-291197.56814252149</v>
      </c>
      <c r="AX26" s="143">
        <f>_xlfn.XLOOKUP($B26,'IS &amp; BS Projections'!$B:$B,'IS &amp; BS Projections'!AY:AY)</f>
        <v>-419095.66728691355</v>
      </c>
      <c r="AY26" s="143">
        <f>_xlfn.XLOOKUP($B26,'IS &amp; BS Projections'!$B:$B,'IS &amp; BS Projections'!AZ:AZ)</f>
        <v>-252893.58613259211</v>
      </c>
      <c r="AZ26" s="143">
        <f>_xlfn.XLOOKUP($B26,'IS &amp; BS Projections'!$B:$B,'IS &amp; BS Projections'!BA:BA)</f>
        <v>-184798.95247716882</v>
      </c>
      <c r="BA26" s="143">
        <f>_xlfn.XLOOKUP($B26,'IS &amp; BS Projections'!$B:$B,'IS &amp; BS Projections'!BB:BB)</f>
        <v>-362713.02008476184</v>
      </c>
      <c r="BB26" s="143">
        <f>_xlfn.XLOOKUP($B26,'IS &amp; BS Projections'!$B:$B,'IS &amp; BS Projections'!BC:BC)</f>
        <v>-517706.95630203455</v>
      </c>
      <c r="BC26" s="143">
        <f>_xlfn.XLOOKUP($B26,'IS &amp; BS Projections'!$B:$B,'IS &amp; BS Projections'!BD:BD)</f>
        <v>-308266.40016138169</v>
      </c>
    </row>
    <row r="27" spans="2:55" x14ac:dyDescent="0.15">
      <c r="B27" s="1" t="s">
        <v>42</v>
      </c>
      <c r="D27" s="43" t="s">
        <v>33</v>
      </c>
      <c r="E27" s="50">
        <f t="shared" si="69"/>
        <v>-909392</v>
      </c>
      <c r="F27" s="50">
        <f t="shared" si="69"/>
        <v>-1600586</v>
      </c>
      <c r="G27" s="50">
        <f t="shared" si="69"/>
        <v>-1074308</v>
      </c>
      <c r="H27" s="50">
        <f t="shared" si="69"/>
        <v>-1300257</v>
      </c>
      <c r="I27" s="50">
        <f t="shared" si="69"/>
        <v>-1619642</v>
      </c>
      <c r="J27" s="50">
        <f t="shared" si="70"/>
        <v>-1875931.0394125634</v>
      </c>
      <c r="K27" s="50">
        <f t="shared" si="70"/>
        <v>-2107093.5898876041</v>
      </c>
      <c r="L27" s="50">
        <f t="shared" si="70"/>
        <v>-2364618.1385795875</v>
      </c>
      <c r="M27" s="50">
        <f t="shared" si="70"/>
        <v>-2753249.0849329252</v>
      </c>
      <c r="N27" s="50">
        <f t="shared" si="70"/>
        <v>-3384661.7128533726</v>
      </c>
      <c r="P27" s="51">
        <v>-121231</v>
      </c>
      <c r="Q27" s="51">
        <v>-248195</v>
      </c>
      <c r="R27" s="51">
        <v>-242642</v>
      </c>
      <c r="S27" s="51">
        <v>-297324</v>
      </c>
      <c r="T27" s="51">
        <v>-413578</v>
      </c>
      <c r="U27" s="51">
        <v>-470169</v>
      </c>
      <c r="V27" s="51">
        <v>-339157</v>
      </c>
      <c r="W27" s="51">
        <v>-377682</v>
      </c>
      <c r="X27" s="51">
        <v>-248761</v>
      </c>
      <c r="Y27" s="51">
        <v>-258988</v>
      </c>
      <c r="Z27" s="51">
        <v>-252630</v>
      </c>
      <c r="AA27" s="51">
        <v>-313929</v>
      </c>
      <c r="AB27" s="51">
        <v>-287236</v>
      </c>
      <c r="AC27" s="51">
        <v>-320115</v>
      </c>
      <c r="AD27" s="51">
        <v>-330387</v>
      </c>
      <c r="AE27" s="51">
        <v>-362519</v>
      </c>
      <c r="AF27" s="51">
        <v>-394346</v>
      </c>
      <c r="AG27" s="51">
        <v>-353707</v>
      </c>
      <c r="AH27" s="51">
        <v>-418446</v>
      </c>
      <c r="AI27" s="51">
        <v>-453143</v>
      </c>
      <c r="AJ27" s="143">
        <f>_xlfn.XLOOKUP($B27,'IS &amp; BS Projections'!$B:$B,'IS &amp; BS Projections'!AK:AK)</f>
        <v>-361243.02123967337</v>
      </c>
      <c r="AK27" s="143">
        <f>_xlfn.XLOOKUP($B27,'IS &amp; BS Projections'!$B:$B,'IS &amp; BS Projections'!AL:AL)</f>
        <v>-421337.79549595033</v>
      </c>
      <c r="AL27" s="143">
        <f>_xlfn.XLOOKUP($B27,'IS &amp; BS Projections'!$B:$B,'IS &amp; BS Projections'!AM:AM)</f>
        <v>-650752.33971717849</v>
      </c>
      <c r="AM27" s="143">
        <f>_xlfn.XLOOKUP($B27,'IS &amp; BS Projections'!$B:$B,'IS &amp; BS Projections'!AN:AN)</f>
        <v>-442597.88295976137</v>
      </c>
      <c r="AN27" s="143">
        <f>_xlfn.XLOOKUP($B27,'IS &amp; BS Projections'!$B:$B,'IS &amp; BS Projections'!AO:AO)</f>
        <v>-376982.12318538263</v>
      </c>
      <c r="AO27" s="143">
        <f>_xlfn.XLOOKUP($B27,'IS &amp; BS Projections'!$B:$B,'IS &amp; BS Projections'!AP:AP)</f>
        <v>-479347.90844267333</v>
      </c>
      <c r="AP27" s="143">
        <f>_xlfn.XLOOKUP($B27,'IS &amp; BS Projections'!$B:$B,'IS &amp; BS Projections'!AQ:AQ)</f>
        <v>-750937.89981223387</v>
      </c>
      <c r="AQ27" s="143">
        <f>_xlfn.XLOOKUP($B27,'IS &amp; BS Projections'!$B:$B,'IS &amp; BS Projections'!AR:AR)</f>
        <v>-499825.65844731429</v>
      </c>
      <c r="AR27" s="143">
        <f>_xlfn.XLOOKUP($B27,'IS &amp; BS Projections'!$B:$B,'IS &amp; BS Projections'!AS:AS)</f>
        <v>-410368.91551226354</v>
      </c>
      <c r="AS27" s="143">
        <f>_xlfn.XLOOKUP($B27,'IS &amp; BS Projections'!$B:$B,'IS &amp; BS Projections'!AT:AT)</f>
        <v>-548529.13663409883</v>
      </c>
      <c r="AT27" s="143">
        <f>_xlfn.XLOOKUP($B27,'IS &amp; BS Projections'!$B:$B,'IS &amp; BS Projections'!AU:AU)</f>
        <v>-846212.27159848588</v>
      </c>
      <c r="AU27" s="143">
        <f>_xlfn.XLOOKUP($B27,'IS &amp; BS Projections'!$B:$B,'IS &amp; BS Projections'!AV:AV)</f>
        <v>-559507.81483473885</v>
      </c>
      <c r="AV27" s="143">
        <f>_xlfn.XLOOKUP($B27,'IS &amp; BS Projections'!$B:$B,'IS &amp; BS Projections'!AW:AW)</f>
        <v>-453098.09113404702</v>
      </c>
      <c r="AW27" s="143">
        <f>_xlfn.XLOOKUP($B27,'IS &amp; BS Projections'!$B:$B,'IS &amp; BS Projections'!AX:AX)</f>
        <v>-652374.82717723027</v>
      </c>
      <c r="AX27" s="143">
        <f>_xlfn.XLOOKUP($B27,'IS &amp; BS Projections'!$B:$B,'IS &amp; BS Projections'!AY:AY)</f>
        <v>-994283.12948822486</v>
      </c>
      <c r="AY27" s="143">
        <f>_xlfn.XLOOKUP($B27,'IS &amp; BS Projections'!$B:$B,'IS &amp; BS Projections'!AZ:AZ)</f>
        <v>-653493.0371334228</v>
      </c>
      <c r="AZ27" s="143">
        <f>_xlfn.XLOOKUP($B27,'IS &amp; BS Projections'!$B:$B,'IS &amp; BS Projections'!BA:BA)</f>
        <v>-520580.60028166784</v>
      </c>
      <c r="BA27" s="143">
        <f>_xlfn.XLOOKUP($B27,'IS &amp; BS Projections'!$B:$B,'IS &amp; BS Projections'!BB:BB)</f>
        <v>-820371.72551678226</v>
      </c>
      <c r="BB27" s="143">
        <f>_xlfn.XLOOKUP($B27,'IS &amp; BS Projections'!$B:$B,'IS &amp; BS Projections'!BC:BC)</f>
        <v>-1238955.6506176586</v>
      </c>
      <c r="BC27" s="143">
        <f>_xlfn.XLOOKUP($B27,'IS &amp; BS Projections'!$B:$B,'IS &amp; BS Projections'!BD:BD)</f>
        <v>-804753.73643726378</v>
      </c>
    </row>
    <row r="28" spans="2:55" x14ac:dyDescent="0.15">
      <c r="B28" s="1" t="s">
        <v>43</v>
      </c>
      <c r="D28" s="43" t="s">
        <v>33</v>
      </c>
      <c r="E28" s="50">
        <f t="shared" si="69"/>
        <v>-1291561</v>
      </c>
      <c r="F28" s="50">
        <f t="shared" si="69"/>
        <v>-2326354</v>
      </c>
      <c r="G28" s="50">
        <f t="shared" si="69"/>
        <v>-1324541</v>
      </c>
      <c r="H28" s="50">
        <f t="shared" si="69"/>
        <v>-1468252</v>
      </c>
      <c r="I28" s="50">
        <f t="shared" si="69"/>
        <v>-1670605</v>
      </c>
      <c r="J28" s="50">
        <f t="shared" si="70"/>
        <v>-1515771.1671452657</v>
      </c>
      <c r="K28" s="50">
        <f t="shared" si="70"/>
        <v>-1683819.6683132788</v>
      </c>
      <c r="L28" s="50">
        <f t="shared" si="70"/>
        <v>-1866088.6578996165</v>
      </c>
      <c r="M28" s="50">
        <f t="shared" si="70"/>
        <v>-2146482.3307123967</v>
      </c>
      <c r="N28" s="50">
        <f t="shared" si="70"/>
        <v>-2607377.4642315628</v>
      </c>
      <c r="P28" s="51">
        <v>-184225</v>
      </c>
      <c r="Q28" s="51">
        <v>-291461</v>
      </c>
      <c r="R28" s="51">
        <v>-356264</v>
      </c>
      <c r="S28" s="51">
        <v>-459611</v>
      </c>
      <c r="T28" s="51">
        <v>-570664</v>
      </c>
      <c r="U28" s="51">
        <v>-609249</v>
      </c>
      <c r="V28" s="51">
        <v>-556338</v>
      </c>
      <c r="W28" s="51">
        <v>-590103</v>
      </c>
      <c r="X28" s="51">
        <v>-358031</v>
      </c>
      <c r="Y28" s="51">
        <v>-320667</v>
      </c>
      <c r="Z28" s="51">
        <v>-322756</v>
      </c>
      <c r="AA28" s="51">
        <v>-323087</v>
      </c>
      <c r="AB28" s="51">
        <v>-357863</v>
      </c>
      <c r="AC28" s="51">
        <v>-364258</v>
      </c>
      <c r="AD28" s="51">
        <v>-377440</v>
      </c>
      <c r="AE28" s="51">
        <v>-368691</v>
      </c>
      <c r="AF28" s="51">
        <v>-355368</v>
      </c>
      <c r="AG28" s="51">
        <v>-387322</v>
      </c>
      <c r="AH28" s="51">
        <v>-430585</v>
      </c>
      <c r="AI28" s="51">
        <v>-497330</v>
      </c>
      <c r="AJ28" s="143">
        <f>_xlfn.XLOOKUP($B28,'IS &amp; BS Projections'!$B:$B,'IS &amp; BS Projections'!AK:AK)</f>
        <v>-267477.68946078332</v>
      </c>
      <c r="AK28" s="143">
        <f>_xlfn.XLOOKUP($B28,'IS &amp; BS Projections'!$B:$B,'IS &amp; BS Projections'!AL:AL)</f>
        <v>-327618.97211015021</v>
      </c>
      <c r="AL28" s="143">
        <f>_xlfn.XLOOKUP($B28,'IS &amp; BS Projections'!$B:$B,'IS &amp; BS Projections'!AM:AM)</f>
        <v>-565393.91913360532</v>
      </c>
      <c r="AM28" s="143">
        <f>_xlfn.XLOOKUP($B28,'IS &amp; BS Projections'!$B:$B,'IS &amp; BS Projections'!AN:AN)</f>
        <v>-355280.58644072694</v>
      </c>
      <c r="AN28" s="143">
        <f>_xlfn.XLOOKUP($B28,'IS &amp; BS Projections'!$B:$B,'IS &amp; BS Projections'!AO:AO)</f>
        <v>-274269.70060489618</v>
      </c>
      <c r="AO28" s="143">
        <f>_xlfn.XLOOKUP($B28,'IS &amp; BS Projections'!$B:$B,'IS &amp; BS Projections'!AP:AP)</f>
        <v>-367653.22014492546</v>
      </c>
      <c r="AP28" s="143">
        <f>_xlfn.XLOOKUP($B28,'IS &amp; BS Projections'!$B:$B,'IS &amp; BS Projections'!AQ:AQ)</f>
        <v>-645590.03723747656</v>
      </c>
      <c r="AQ28" s="143">
        <f>_xlfn.XLOOKUP($B28,'IS &amp; BS Projections'!$B:$B,'IS &amp; BS Projections'!AR:AR)</f>
        <v>-396306.7103259805</v>
      </c>
      <c r="AR28" s="143">
        <f>_xlfn.XLOOKUP($B28,'IS &amp; BS Projections'!$B:$B,'IS &amp; BS Projections'!AS:AS)</f>
        <v>-293267.55947895197</v>
      </c>
      <c r="AS28" s="143">
        <f>_xlfn.XLOOKUP($B28,'IS &amp; BS Projections'!$B:$B,'IS &amp; BS Projections'!AT:AT)</f>
        <v>-414909.58711944951</v>
      </c>
      <c r="AT28" s="143">
        <f>_xlfn.XLOOKUP($B28,'IS &amp; BS Projections'!$B:$B,'IS &amp; BS Projections'!AU:AU)</f>
        <v>-719781.44204392121</v>
      </c>
      <c r="AU28" s="143">
        <f>_xlfn.XLOOKUP($B28,'IS &amp; BS Projections'!$B:$B,'IS &amp; BS Projections'!AV:AV)</f>
        <v>-438130.06925729389</v>
      </c>
      <c r="AV28" s="143">
        <f>_xlfn.XLOOKUP($B28,'IS &amp; BS Projections'!$B:$B,'IS &amp; BS Projections'!AW:AW)</f>
        <v>-317960.25363883073</v>
      </c>
      <c r="AW28" s="143">
        <f>_xlfn.XLOOKUP($B28,'IS &amp; BS Projections'!$B:$B,'IS &amp; BS Projections'!AX:AX)</f>
        <v>-486555.27305495483</v>
      </c>
      <c r="AX28" s="143">
        <f>_xlfn.XLOOKUP($B28,'IS &amp; BS Projections'!$B:$B,'IS &amp; BS Projections'!AY:AY)</f>
        <v>-836661.91863075178</v>
      </c>
      <c r="AY28" s="143">
        <f>_xlfn.XLOOKUP($B28,'IS &amp; BS Projections'!$B:$B,'IS &amp; BS Projections'!AZ:AZ)</f>
        <v>-505304.88538785937</v>
      </c>
      <c r="AZ28" s="143">
        <f>_xlfn.XLOOKUP($B28,'IS &amp; BS Projections'!$B:$B,'IS &amp; BS Projections'!BA:BA)</f>
        <v>-358602.16667027323</v>
      </c>
      <c r="BA28" s="143">
        <f>_xlfn.XLOOKUP($B28,'IS &amp; BS Projections'!$B:$B,'IS &amp; BS Projections'!BB:BB)</f>
        <v>-603169.60955005419</v>
      </c>
      <c r="BB28" s="143">
        <f>_xlfn.XLOOKUP($B28,'IS &amp; BS Projections'!$B:$B,'IS &amp; BS Projections'!BC:BC)</f>
        <v>-1031248.3941171023</v>
      </c>
      <c r="BC28" s="143">
        <f>_xlfn.XLOOKUP($B28,'IS &amp; BS Projections'!$B:$B,'IS &amp; BS Projections'!BD:BD)</f>
        <v>-614357.29389413295</v>
      </c>
    </row>
    <row r="29" spans="2:55" x14ac:dyDescent="0.15">
      <c r="B29" s="1" t="s">
        <v>44</v>
      </c>
      <c r="D29" s="43" t="s">
        <v>33</v>
      </c>
      <c r="E29" s="50">
        <f t="shared" si="69"/>
        <v>0</v>
      </c>
      <c r="F29" s="50">
        <f t="shared" si="69"/>
        <v>0</v>
      </c>
      <c r="G29" s="50">
        <f t="shared" si="69"/>
        <v>34675</v>
      </c>
      <c r="H29" s="50">
        <f t="shared" si="69"/>
        <v>0</v>
      </c>
      <c r="I29" s="50">
        <f t="shared" si="69"/>
        <v>0</v>
      </c>
      <c r="J29" s="50">
        <f t="shared" si="70"/>
        <v>0</v>
      </c>
      <c r="K29" s="50">
        <f t="shared" si="70"/>
        <v>0</v>
      </c>
      <c r="L29" s="50">
        <f t="shared" si="70"/>
        <v>0</v>
      </c>
      <c r="M29" s="50">
        <f t="shared" si="70"/>
        <v>0</v>
      </c>
      <c r="N29" s="50">
        <f t="shared" si="70"/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-17962</v>
      </c>
      <c r="Y29" s="51">
        <v>8053</v>
      </c>
      <c r="Z29" s="51">
        <v>-7180</v>
      </c>
      <c r="AA29" s="51">
        <v>51764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1">
        <v>0</v>
      </c>
      <c r="AH29" s="51">
        <v>0</v>
      </c>
      <c r="AI29" s="51">
        <v>0</v>
      </c>
      <c r="AJ29" s="143">
        <f>_xlfn.XLOOKUP($B29,'IS &amp; BS Projections'!$B:$B,'IS &amp; BS Projections'!AK:AK)</f>
        <v>0</v>
      </c>
      <c r="AK29" s="143">
        <f>_xlfn.XLOOKUP($B29,'IS &amp; BS Projections'!$B:$B,'IS &amp; BS Projections'!AL:AL)</f>
        <v>0</v>
      </c>
      <c r="AL29" s="143">
        <f>_xlfn.XLOOKUP($B29,'IS &amp; BS Projections'!$B:$B,'IS &amp; BS Projections'!AM:AM)</f>
        <v>0</v>
      </c>
      <c r="AM29" s="143">
        <f>_xlfn.XLOOKUP($B29,'IS &amp; BS Projections'!$B:$B,'IS &amp; BS Projections'!AN:AN)</f>
        <v>0</v>
      </c>
      <c r="AN29" s="143">
        <f>_xlfn.XLOOKUP($B29,'IS &amp; BS Projections'!$B:$B,'IS &amp; BS Projections'!AO:AO)</f>
        <v>0</v>
      </c>
      <c r="AO29" s="143">
        <f>_xlfn.XLOOKUP($B29,'IS &amp; BS Projections'!$B:$B,'IS &amp; BS Projections'!AP:AP)</f>
        <v>0</v>
      </c>
      <c r="AP29" s="143">
        <f>_xlfn.XLOOKUP($B29,'IS &amp; BS Projections'!$B:$B,'IS &amp; BS Projections'!AQ:AQ)</f>
        <v>0</v>
      </c>
      <c r="AQ29" s="143">
        <f>_xlfn.XLOOKUP($B29,'IS &amp; BS Projections'!$B:$B,'IS &amp; BS Projections'!AR:AR)</f>
        <v>0</v>
      </c>
      <c r="AR29" s="143">
        <f>_xlfn.XLOOKUP($B29,'IS &amp; BS Projections'!$B:$B,'IS &amp; BS Projections'!AS:AS)</f>
        <v>0</v>
      </c>
      <c r="AS29" s="143">
        <f>_xlfn.XLOOKUP($B29,'IS &amp; BS Projections'!$B:$B,'IS &amp; BS Projections'!AT:AT)</f>
        <v>0</v>
      </c>
      <c r="AT29" s="143">
        <f>_xlfn.XLOOKUP($B29,'IS &amp; BS Projections'!$B:$B,'IS &amp; BS Projections'!AU:AU)</f>
        <v>0</v>
      </c>
      <c r="AU29" s="143">
        <f>_xlfn.XLOOKUP($B29,'IS &amp; BS Projections'!$B:$B,'IS &amp; BS Projections'!AV:AV)</f>
        <v>0</v>
      </c>
      <c r="AV29" s="143">
        <f>_xlfn.XLOOKUP($B29,'IS &amp; BS Projections'!$B:$B,'IS &amp; BS Projections'!AW:AW)</f>
        <v>0</v>
      </c>
      <c r="AW29" s="143">
        <f>_xlfn.XLOOKUP($B29,'IS &amp; BS Projections'!$B:$B,'IS &amp; BS Projections'!AX:AX)</f>
        <v>0</v>
      </c>
      <c r="AX29" s="143">
        <f>_xlfn.XLOOKUP($B29,'IS &amp; BS Projections'!$B:$B,'IS &amp; BS Projections'!AY:AY)</f>
        <v>0</v>
      </c>
      <c r="AY29" s="143">
        <f>_xlfn.XLOOKUP($B29,'IS &amp; BS Projections'!$B:$B,'IS &amp; BS Projections'!AZ:AZ)</f>
        <v>0</v>
      </c>
      <c r="AZ29" s="143">
        <f>_xlfn.XLOOKUP($B29,'IS &amp; BS Projections'!$B:$B,'IS &amp; BS Projections'!BA:BA)</f>
        <v>0</v>
      </c>
      <c r="BA29" s="143">
        <f>_xlfn.XLOOKUP($B29,'IS &amp; BS Projections'!$B:$B,'IS &amp; BS Projections'!BB:BB)</f>
        <v>0</v>
      </c>
      <c r="BB29" s="143">
        <f>_xlfn.XLOOKUP($B29,'IS &amp; BS Projections'!$B:$B,'IS &amp; BS Projections'!BC:BC)</f>
        <v>0</v>
      </c>
      <c r="BC29" s="143">
        <f>_xlfn.XLOOKUP($B29,'IS &amp; BS Projections'!$B:$B,'IS &amp; BS Projections'!BD:BD)</f>
        <v>0</v>
      </c>
    </row>
    <row r="30" spans="2:55" x14ac:dyDescent="0.15">
      <c r="B30" s="1" t="s">
        <v>45</v>
      </c>
      <c r="D30" s="43" t="s">
        <v>33</v>
      </c>
      <c r="E30" s="50">
        <f t="shared" si="69"/>
        <v>-630308</v>
      </c>
      <c r="F30" s="50">
        <f t="shared" si="69"/>
        <v>-717405</v>
      </c>
      <c r="G30" s="50">
        <f t="shared" si="69"/>
        <v>-10260</v>
      </c>
      <c r="H30" s="50">
        <f t="shared" si="69"/>
        <v>-28203</v>
      </c>
      <c r="I30" s="50">
        <f t="shared" si="69"/>
        <v>-363406</v>
      </c>
      <c r="J30" s="50">
        <f t="shared" si="70"/>
        <v>-306627.4536292305</v>
      </c>
      <c r="K30" s="50">
        <f t="shared" si="70"/>
        <v>-349856.43900111748</v>
      </c>
      <c r="L30" s="50">
        <f t="shared" si="70"/>
        <v>-398624.14845246612</v>
      </c>
      <c r="M30" s="50">
        <f t="shared" si="70"/>
        <v>-472377.48705014936</v>
      </c>
      <c r="N30" s="50">
        <f t="shared" si="70"/>
        <v>-592293.71375467686</v>
      </c>
      <c r="P30" s="51">
        <v>-155887</v>
      </c>
      <c r="Q30" s="51">
        <v>-282422</v>
      </c>
      <c r="R30" s="51">
        <v>-118548</v>
      </c>
      <c r="S30" s="51">
        <v>-73451</v>
      </c>
      <c r="T30" s="51">
        <v>-258627</v>
      </c>
      <c r="U30" s="51">
        <v>-422762</v>
      </c>
      <c r="V30" s="51">
        <v>-62646</v>
      </c>
      <c r="W30" s="51">
        <v>26630</v>
      </c>
      <c r="X30" s="51">
        <v>33184</v>
      </c>
      <c r="Y30" s="51">
        <v>-18866</v>
      </c>
      <c r="Z30" s="51">
        <v>-3512</v>
      </c>
      <c r="AA30" s="51">
        <v>-21066</v>
      </c>
      <c r="AB30" s="51">
        <v>-2376</v>
      </c>
      <c r="AC30" s="51">
        <v>-34383</v>
      </c>
      <c r="AD30" s="51">
        <v>8556</v>
      </c>
      <c r="AE30" s="51">
        <v>0</v>
      </c>
      <c r="AF30" s="51">
        <v>5899</v>
      </c>
      <c r="AG30" s="51">
        <v>-308025</v>
      </c>
      <c r="AH30" s="51">
        <v>-61280</v>
      </c>
      <c r="AI30" s="51">
        <v>0</v>
      </c>
      <c r="AJ30" s="143">
        <f>_xlfn.XLOOKUP($B30,'IS &amp; BS Projections'!$B:$B,'IS &amp; BS Projections'!AK:AK)</f>
        <v>-2703.8495360311308</v>
      </c>
      <c r="AK30" s="143">
        <f>_xlfn.XLOOKUP($B30,'IS &amp; BS Projections'!$B:$B,'IS &amp; BS Projections'!AL:AL)</f>
        <v>-226078.70030780337</v>
      </c>
      <c r="AL30" s="143">
        <f>_xlfn.XLOOKUP($B30,'IS &amp; BS Projections'!$B:$B,'IS &amp; BS Projections'!AM:AM)</f>
        <v>-77844.903785396018</v>
      </c>
      <c r="AM30" s="143">
        <f>_xlfn.XLOOKUP($B30,'IS &amp; BS Projections'!$B:$B,'IS &amp; BS Projections'!AN:AN)</f>
        <v>0</v>
      </c>
      <c r="AN30" s="143">
        <f>_xlfn.XLOOKUP($B30,'IS &amp; BS Projections'!$B:$B,'IS &amp; BS Projections'!AO:AO)</f>
        <v>-2821.6543405292582</v>
      </c>
      <c r="AO30" s="143">
        <f>_xlfn.XLOOKUP($B30,'IS &amp; BS Projections'!$B:$B,'IS &amp; BS Projections'!AP:AP)</f>
        <v>-257205.39029360615</v>
      </c>
      <c r="AP30" s="143">
        <f>_xlfn.XLOOKUP($B30,'IS &amp; BS Projections'!$B:$B,'IS &amp; BS Projections'!AQ:AQ)</f>
        <v>-89829.394366982044</v>
      </c>
      <c r="AQ30" s="143">
        <f>_xlfn.XLOOKUP($B30,'IS &amp; BS Projections'!$B:$B,'IS &amp; BS Projections'!AR:AR)</f>
        <v>0</v>
      </c>
      <c r="AR30" s="143">
        <f>_xlfn.XLOOKUP($B30,'IS &amp; BS Projections'!$B:$B,'IS &amp; BS Projections'!AS:AS)</f>
        <v>-3071.5494461366034</v>
      </c>
      <c r="AS30" s="143">
        <f>_xlfn.XLOOKUP($B30,'IS &amp; BS Projections'!$B:$B,'IS &amp; BS Projections'!AT:AT)</f>
        <v>-294326.20480967622</v>
      </c>
      <c r="AT30" s="143">
        <f>_xlfn.XLOOKUP($B30,'IS &amp; BS Projections'!$B:$B,'IS &amp; BS Projections'!AU:AU)</f>
        <v>-101226.39419665327</v>
      </c>
      <c r="AU30" s="143">
        <f>_xlfn.XLOOKUP($B30,'IS &amp; BS Projections'!$B:$B,'IS &amp; BS Projections'!AV:AV)</f>
        <v>0</v>
      </c>
      <c r="AV30" s="143">
        <f>_xlfn.XLOOKUP($B30,'IS &amp; BS Projections'!$B:$B,'IS &amp; BS Projections'!AW:AW)</f>
        <v>-3391.3708818102332</v>
      </c>
      <c r="AW30" s="143">
        <f>_xlfn.XLOOKUP($B30,'IS &amp; BS Projections'!$B:$B,'IS &amp; BS Projections'!AX:AX)</f>
        <v>-350047.05160179164</v>
      </c>
      <c r="AX30" s="143">
        <f>_xlfn.XLOOKUP($B30,'IS &amp; BS Projections'!$B:$B,'IS &amp; BS Projections'!AY:AY)</f>
        <v>-118939.06456654746</v>
      </c>
      <c r="AY30" s="143">
        <f>_xlfn.XLOOKUP($B30,'IS &amp; BS Projections'!$B:$B,'IS &amp; BS Projections'!AZ:AZ)</f>
        <v>0</v>
      </c>
      <c r="AZ30" s="143">
        <f>_xlfn.XLOOKUP($B30,'IS &amp; BS Projections'!$B:$B,'IS &amp; BS Projections'!BA:BA)</f>
        <v>-3896.4672859507382</v>
      </c>
      <c r="BA30" s="143">
        <f>_xlfn.XLOOKUP($B30,'IS &amp; BS Projections'!$B:$B,'IS &amp; BS Projections'!BB:BB)</f>
        <v>-440189.73720549303</v>
      </c>
      <c r="BB30" s="143">
        <f>_xlfn.XLOOKUP($B30,'IS &amp; BS Projections'!$B:$B,'IS &amp; BS Projections'!BC:BC)</f>
        <v>-148207.50926323314</v>
      </c>
      <c r="BC30" s="143">
        <f>_xlfn.XLOOKUP($B30,'IS &amp; BS Projections'!$B:$B,'IS &amp; BS Projections'!BD:BD)</f>
        <v>0</v>
      </c>
    </row>
    <row r="31" spans="2:55" x14ac:dyDescent="0.15">
      <c r="B31" s="1" t="s">
        <v>46</v>
      </c>
      <c r="D31" s="43" t="s">
        <v>33</v>
      </c>
      <c r="E31" s="50">
        <f t="shared" si="69"/>
        <v>0</v>
      </c>
      <c r="F31" s="50">
        <f t="shared" si="69"/>
        <v>0</v>
      </c>
      <c r="G31" s="50">
        <f t="shared" si="69"/>
        <v>0</v>
      </c>
      <c r="H31" s="50">
        <f t="shared" si="69"/>
        <v>20270</v>
      </c>
      <c r="I31" s="50">
        <f t="shared" si="69"/>
        <v>7280</v>
      </c>
      <c r="J31" s="50">
        <f t="shared" si="70"/>
        <v>0</v>
      </c>
      <c r="K31" s="50">
        <f t="shared" si="70"/>
        <v>0</v>
      </c>
      <c r="L31" s="50">
        <f t="shared" si="70"/>
        <v>0</v>
      </c>
      <c r="M31" s="50">
        <f t="shared" si="70"/>
        <v>0</v>
      </c>
      <c r="N31" s="50">
        <f t="shared" si="70"/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20270</v>
      </c>
      <c r="AF31" s="51">
        <v>0</v>
      </c>
      <c r="AG31" s="51">
        <v>0</v>
      </c>
      <c r="AH31" s="51">
        <v>0</v>
      </c>
      <c r="AI31" s="51">
        <v>7280</v>
      </c>
      <c r="AJ31" s="143">
        <f>_xlfn.XLOOKUP($B31,'IS &amp; BS Projections'!$B:$B,'IS &amp; BS Projections'!AK:AK)</f>
        <v>0</v>
      </c>
      <c r="AK31" s="143">
        <f>_xlfn.XLOOKUP($B31,'IS &amp; BS Projections'!$B:$B,'IS &amp; BS Projections'!AL:AL)</f>
        <v>0</v>
      </c>
      <c r="AL31" s="143">
        <f>_xlfn.XLOOKUP($B31,'IS &amp; BS Projections'!$B:$B,'IS &amp; BS Projections'!AM:AM)</f>
        <v>0</v>
      </c>
      <c r="AM31" s="143">
        <f>_xlfn.XLOOKUP($B31,'IS &amp; BS Projections'!$B:$B,'IS &amp; BS Projections'!AN:AN)</f>
        <v>0</v>
      </c>
      <c r="AN31" s="143">
        <f>_xlfn.XLOOKUP($B31,'IS &amp; BS Projections'!$B:$B,'IS &amp; BS Projections'!AO:AO)</f>
        <v>0</v>
      </c>
      <c r="AO31" s="143">
        <f>_xlfn.XLOOKUP($B31,'IS &amp; BS Projections'!$B:$B,'IS &amp; BS Projections'!AP:AP)</f>
        <v>0</v>
      </c>
      <c r="AP31" s="143">
        <f>_xlfn.XLOOKUP($B31,'IS &amp; BS Projections'!$B:$B,'IS &amp; BS Projections'!AQ:AQ)</f>
        <v>0</v>
      </c>
      <c r="AQ31" s="143">
        <f>_xlfn.XLOOKUP($B31,'IS &amp; BS Projections'!$B:$B,'IS &amp; BS Projections'!AR:AR)</f>
        <v>0</v>
      </c>
      <c r="AR31" s="143">
        <f>_xlfn.XLOOKUP($B31,'IS &amp; BS Projections'!$B:$B,'IS &amp; BS Projections'!AS:AS)</f>
        <v>0</v>
      </c>
      <c r="AS31" s="143">
        <f>_xlfn.XLOOKUP($B31,'IS &amp; BS Projections'!$B:$B,'IS &amp; BS Projections'!AT:AT)</f>
        <v>0</v>
      </c>
      <c r="AT31" s="143">
        <f>_xlfn.XLOOKUP($B31,'IS &amp; BS Projections'!$B:$B,'IS &amp; BS Projections'!AU:AU)</f>
        <v>0</v>
      </c>
      <c r="AU31" s="143">
        <f>_xlfn.XLOOKUP($B31,'IS &amp; BS Projections'!$B:$B,'IS &amp; BS Projections'!AV:AV)</f>
        <v>0</v>
      </c>
      <c r="AV31" s="143">
        <f>_xlfn.XLOOKUP($B31,'IS &amp; BS Projections'!$B:$B,'IS &amp; BS Projections'!AW:AW)</f>
        <v>0</v>
      </c>
      <c r="AW31" s="143">
        <f>_xlfn.XLOOKUP($B31,'IS &amp; BS Projections'!$B:$B,'IS &amp; BS Projections'!AX:AX)</f>
        <v>0</v>
      </c>
      <c r="AX31" s="143">
        <f>_xlfn.XLOOKUP($B31,'IS &amp; BS Projections'!$B:$B,'IS &amp; BS Projections'!AY:AY)</f>
        <v>0</v>
      </c>
      <c r="AY31" s="143">
        <f>_xlfn.XLOOKUP($B31,'IS &amp; BS Projections'!$B:$B,'IS &amp; BS Projections'!AZ:AZ)</f>
        <v>0</v>
      </c>
      <c r="AZ31" s="143">
        <f>_xlfn.XLOOKUP($B31,'IS &amp; BS Projections'!$B:$B,'IS &amp; BS Projections'!BA:BA)</f>
        <v>0</v>
      </c>
      <c r="BA31" s="143">
        <f>_xlfn.XLOOKUP($B31,'IS &amp; BS Projections'!$B:$B,'IS &amp; BS Projections'!BB:BB)</f>
        <v>0</v>
      </c>
      <c r="BB31" s="143">
        <f>_xlfn.XLOOKUP($B31,'IS &amp; BS Projections'!$B:$B,'IS &amp; BS Projections'!BC:BC)</f>
        <v>0</v>
      </c>
      <c r="BC31" s="143">
        <f>_xlfn.XLOOKUP($B31,'IS &amp; BS Projections'!$B:$B,'IS &amp; BS Projections'!BD:BD)</f>
        <v>0</v>
      </c>
    </row>
    <row r="32" spans="2:55" x14ac:dyDescent="0.15">
      <c r="B32" s="67" t="s">
        <v>47</v>
      </c>
      <c r="C32" s="67"/>
      <c r="D32" s="68" t="s">
        <v>33</v>
      </c>
      <c r="E32" s="69">
        <f>SUM(E25:E31)</f>
        <v>-4762875</v>
      </c>
      <c r="F32" s="69">
        <f t="shared" ref="F32:P32" si="71">SUM(F25:F31)</f>
        <v>-5784314</v>
      </c>
      <c r="G32" s="69">
        <f t="shared" si="71"/>
        <v>-3001892</v>
      </c>
      <c r="H32" s="69">
        <f t="shared" si="71"/>
        <v>-4328593</v>
      </c>
      <c r="I32" s="69">
        <f t="shared" si="71"/>
        <v>-5725180</v>
      </c>
      <c r="J32" s="69">
        <f t="shared" si="71"/>
        <v>-5573204.8990750751</v>
      </c>
      <c r="K32" s="69">
        <f t="shared" si="71"/>
        <v>-6235730.419299826</v>
      </c>
      <c r="L32" s="69">
        <f t="shared" si="71"/>
        <v>-6970927.7527019093</v>
      </c>
      <c r="M32" s="69">
        <f t="shared" si="71"/>
        <v>-8086677.0287784329</v>
      </c>
      <c r="N32" s="69">
        <f t="shared" si="71"/>
        <v>-9906571.6936383545</v>
      </c>
      <c r="O32" s="52"/>
      <c r="P32" s="69">
        <f t="shared" si="71"/>
        <v>-813399</v>
      </c>
      <c r="Q32" s="69">
        <f t="shared" ref="Q32" si="72">SUM(Q25:Q31)</f>
        <v>-1353237</v>
      </c>
      <c r="R32" s="69">
        <f t="shared" ref="R32" si="73">SUM(R25:R31)</f>
        <v>-1020100</v>
      </c>
      <c r="S32" s="69">
        <f t="shared" ref="S32" si="74">SUM(S25:S31)</f>
        <v>-1576139</v>
      </c>
      <c r="T32" s="69">
        <f t="shared" ref="T32" si="75">SUM(T25:T31)</f>
        <v>-1720899</v>
      </c>
      <c r="U32" s="69">
        <f t="shared" ref="U32" si="76">SUM(U25:U31)</f>
        <v>-1810261</v>
      </c>
      <c r="V32" s="69">
        <f t="shared" ref="V32" si="77">SUM(V25:V31)</f>
        <v>-1135905</v>
      </c>
      <c r="W32" s="69">
        <f t="shared" ref="W32" si="78">SUM(W25:W31)</f>
        <v>-1117249</v>
      </c>
      <c r="X32" s="69">
        <f t="shared" ref="X32" si="79">SUM(X25:X31)</f>
        <v>-751915</v>
      </c>
      <c r="Y32" s="69">
        <f t="shared" ref="Y32" si="80">SUM(Y25:Y31)</f>
        <v>-782521</v>
      </c>
      <c r="Z32" s="69">
        <f t="shared" ref="Z32" si="81">SUM(Z25:Z31)</f>
        <v>-754833</v>
      </c>
      <c r="AA32" s="69">
        <f t="shared" ref="AA32" si="82">SUM(AA25:AA31)</f>
        <v>-712623</v>
      </c>
      <c r="AB32" s="69">
        <f t="shared" ref="AB32" si="83">SUM(AB25:AB31)</f>
        <v>-963467</v>
      </c>
      <c r="AC32" s="69">
        <f t="shared" ref="AC32" si="84">SUM(AC25:AC31)</f>
        <v>-1075495</v>
      </c>
      <c r="AD32" s="69">
        <f t="shared" ref="AD32" si="85">SUM(AD25:AD31)</f>
        <v>-1035822</v>
      </c>
      <c r="AE32" s="69">
        <f t="shared" ref="AE32" si="86">SUM(AE25:AE31)</f>
        <v>-1253809</v>
      </c>
      <c r="AF32" s="69">
        <f t="shared" ref="AF32" si="87">SUM(AF25:AF31)</f>
        <v>-1294124</v>
      </c>
      <c r="AG32" s="69">
        <f t="shared" ref="AG32" si="88">SUM(AG25:AG31)</f>
        <v>-1530560</v>
      </c>
      <c r="AH32" s="69">
        <f t="shared" ref="AH32" si="89">SUM(AH25:AH31)</f>
        <v>-1423901</v>
      </c>
      <c r="AI32" s="69">
        <f t="shared" ref="AI32" si="90">SUM(AI25:AI31)</f>
        <v>-1476595</v>
      </c>
      <c r="AJ32" s="69">
        <f t="shared" ref="AJ32" si="91">SUM(AJ25:AJ31)</f>
        <v>-1014520.6229521901</v>
      </c>
      <c r="AK32" s="69">
        <f t="shared" ref="AK32" si="92">SUM(AK25:AK31)</f>
        <v>-1441051.3007019772</v>
      </c>
      <c r="AL32" s="69">
        <f t="shared" ref="AL32" si="93">SUM(AL25:AL31)</f>
        <v>-1913759.5980000938</v>
      </c>
      <c r="AM32" s="69">
        <f t="shared" ref="AM32" si="94">SUM(AM25:AM31)</f>
        <v>-1203873.377420814</v>
      </c>
      <c r="AN32" s="69">
        <f t="shared" ref="AN32" si="95">SUM(AN25:AN31)</f>
        <v>-1051916.0435447441</v>
      </c>
      <c r="AO32" s="69">
        <f t="shared" ref="AO32" si="96">SUM(AO25:AO31)</f>
        <v>-1632354.7372969838</v>
      </c>
      <c r="AP32" s="69">
        <f t="shared" ref="AP32" si="97">SUM(AP25:AP31)</f>
        <v>-2198801.9604063057</v>
      </c>
      <c r="AQ32" s="69">
        <f t="shared" ref="AQ32" si="98">SUM(AQ25:AQ31)</f>
        <v>-1352657.6780517916</v>
      </c>
      <c r="AR32" s="69">
        <f t="shared" ref="AR32" si="99">SUM(AR25:AR31)</f>
        <v>-1137667.9007206841</v>
      </c>
      <c r="AS32" s="69">
        <f t="shared" ref="AS32" si="100">SUM(AS25:AS31)</f>
        <v>-1859815.5413231838</v>
      </c>
      <c r="AT32" s="69">
        <f t="shared" ref="AT32" si="101">SUM(AT25:AT31)</f>
        <v>-2466968.4878684743</v>
      </c>
      <c r="AU32" s="69">
        <f t="shared" ref="AU32" si="102">SUM(AU25:AU31)</f>
        <v>-1506475.8227895675</v>
      </c>
      <c r="AV32" s="69">
        <f t="shared" ref="AV32" si="103">SUM(AV25:AV31)</f>
        <v>-1247945.4001046545</v>
      </c>
      <c r="AW32" s="69">
        <f t="shared" ref="AW32" si="104">SUM(AW25:AW31)</f>
        <v>-2202244.520486373</v>
      </c>
      <c r="AX32" s="69">
        <f t="shared" ref="AX32" si="105">SUM(AX25:AX31)</f>
        <v>-2885946.0960400091</v>
      </c>
      <c r="AY32" s="69">
        <f t="shared" ref="AY32" si="106">SUM(AY25:AY31)</f>
        <v>-1750541.0121473959</v>
      </c>
      <c r="AZ32" s="69">
        <f t="shared" ref="AZ32" si="107">SUM(AZ25:AZ31)</f>
        <v>-1424409.8631614798</v>
      </c>
      <c r="BA32" s="69">
        <f t="shared" ref="BA32" si="108">SUM(BA25:BA31)</f>
        <v>-2757203.5823132284</v>
      </c>
      <c r="BB32" s="69">
        <f t="shared" ref="BB32" si="109">SUM(BB25:BB31)</f>
        <v>-3580299.5483516231</v>
      </c>
      <c r="BC32" s="69">
        <f t="shared" ref="BC32" si="110">SUM(BC25:BC31)</f>
        <v>-2144658.6998120234</v>
      </c>
    </row>
    <row r="34" spans="2:55" x14ac:dyDescent="0.15">
      <c r="B34" s="1" t="s">
        <v>48</v>
      </c>
      <c r="D34" s="43" t="s">
        <v>33</v>
      </c>
      <c r="E34" s="50">
        <f t="shared" si="69"/>
        <v>0</v>
      </c>
      <c r="F34" s="50">
        <f t="shared" si="69"/>
        <v>-79399</v>
      </c>
      <c r="G34" s="50">
        <f t="shared" si="69"/>
        <v>0</v>
      </c>
      <c r="H34" s="50">
        <f t="shared" si="69"/>
        <v>0</v>
      </c>
      <c r="I34" s="50">
        <f t="shared" si="69"/>
        <v>0</v>
      </c>
      <c r="J34" s="50">
        <f t="shared" ref="J34:N38" si="111">SUMIFS($AJ34:$BC34,$AJ$1:$BC$1,J$1)</f>
        <v>0</v>
      </c>
      <c r="K34" s="50">
        <f t="shared" si="111"/>
        <v>0</v>
      </c>
      <c r="L34" s="50">
        <f t="shared" si="111"/>
        <v>0</v>
      </c>
      <c r="M34" s="50">
        <f t="shared" si="111"/>
        <v>0</v>
      </c>
      <c r="N34" s="50">
        <f t="shared" si="111"/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0</v>
      </c>
      <c r="V34" s="51">
        <v>-12150</v>
      </c>
      <c r="W34" s="51">
        <v>-67249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  <c r="AJ34" s="143">
        <f>_xlfn.XLOOKUP($B34,'IS &amp; BS Projections'!$B:$B,'IS &amp; BS Projections'!AK:AK)</f>
        <v>0</v>
      </c>
      <c r="AK34" s="143">
        <f>_xlfn.XLOOKUP($B34,'IS &amp; BS Projections'!$B:$B,'IS &amp; BS Projections'!AL:AL)</f>
        <v>0</v>
      </c>
      <c r="AL34" s="143">
        <f>_xlfn.XLOOKUP($B34,'IS &amp; BS Projections'!$B:$B,'IS &amp; BS Projections'!AM:AM)</f>
        <v>0</v>
      </c>
      <c r="AM34" s="143">
        <f>_xlfn.XLOOKUP($B34,'IS &amp; BS Projections'!$B:$B,'IS &amp; BS Projections'!AN:AN)</f>
        <v>0</v>
      </c>
      <c r="AN34" s="143">
        <f>_xlfn.XLOOKUP($B34,'IS &amp; BS Projections'!$B:$B,'IS &amp; BS Projections'!AO:AO)</f>
        <v>0</v>
      </c>
      <c r="AO34" s="143">
        <f>_xlfn.XLOOKUP($B34,'IS &amp; BS Projections'!$B:$B,'IS &amp; BS Projections'!AP:AP)</f>
        <v>0</v>
      </c>
      <c r="AP34" s="143">
        <f>_xlfn.XLOOKUP($B34,'IS &amp; BS Projections'!$B:$B,'IS &amp; BS Projections'!AQ:AQ)</f>
        <v>0</v>
      </c>
      <c r="AQ34" s="143">
        <f>_xlfn.XLOOKUP($B34,'IS &amp; BS Projections'!$B:$B,'IS &amp; BS Projections'!AR:AR)</f>
        <v>0</v>
      </c>
      <c r="AR34" s="143">
        <f>_xlfn.XLOOKUP($B34,'IS &amp; BS Projections'!$B:$B,'IS &amp; BS Projections'!AS:AS)</f>
        <v>0</v>
      </c>
      <c r="AS34" s="143">
        <f>_xlfn.XLOOKUP($B34,'IS &amp; BS Projections'!$B:$B,'IS &amp; BS Projections'!AT:AT)</f>
        <v>0</v>
      </c>
      <c r="AT34" s="143">
        <f>_xlfn.XLOOKUP($B34,'IS &amp; BS Projections'!$B:$B,'IS &amp; BS Projections'!AU:AU)</f>
        <v>0</v>
      </c>
      <c r="AU34" s="143">
        <f>_xlfn.XLOOKUP($B34,'IS &amp; BS Projections'!$B:$B,'IS &amp; BS Projections'!AV:AV)</f>
        <v>0</v>
      </c>
      <c r="AV34" s="143">
        <f>_xlfn.XLOOKUP($B34,'IS &amp; BS Projections'!$B:$B,'IS &amp; BS Projections'!AW:AW)</f>
        <v>0</v>
      </c>
      <c r="AW34" s="143">
        <f>_xlfn.XLOOKUP($B34,'IS &amp; BS Projections'!$B:$B,'IS &amp; BS Projections'!AX:AX)</f>
        <v>0</v>
      </c>
      <c r="AX34" s="143">
        <f>_xlfn.XLOOKUP($B34,'IS &amp; BS Projections'!$B:$B,'IS &amp; BS Projections'!AY:AY)</f>
        <v>0</v>
      </c>
      <c r="AY34" s="143">
        <f>_xlfn.XLOOKUP($B34,'IS &amp; BS Projections'!$B:$B,'IS &amp; BS Projections'!AZ:AZ)</f>
        <v>0</v>
      </c>
      <c r="AZ34" s="143">
        <f>_xlfn.XLOOKUP($B34,'IS &amp; BS Projections'!$B:$B,'IS &amp; BS Projections'!BA:BA)</f>
        <v>0</v>
      </c>
      <c r="BA34" s="143">
        <f>_xlfn.XLOOKUP($B34,'IS &amp; BS Projections'!$B:$B,'IS &amp; BS Projections'!BB:BB)</f>
        <v>0</v>
      </c>
      <c r="BB34" s="143">
        <f>_xlfn.XLOOKUP($B34,'IS &amp; BS Projections'!$B:$B,'IS &amp; BS Projections'!BC:BC)</f>
        <v>0</v>
      </c>
      <c r="BC34" s="143">
        <f>_xlfn.XLOOKUP($B34,'IS &amp; BS Projections'!$B:$B,'IS &amp; BS Projections'!BD:BD)</f>
        <v>0</v>
      </c>
    </row>
    <row r="35" spans="2:55" x14ac:dyDescent="0.15">
      <c r="B35" s="1" t="s">
        <v>49</v>
      </c>
      <c r="D35" s="43" t="s">
        <v>33</v>
      </c>
      <c r="E35" s="50">
        <f t="shared" si="69"/>
        <v>0</v>
      </c>
      <c r="F35" s="50">
        <f t="shared" si="69"/>
        <v>-40703</v>
      </c>
      <c r="G35" s="50">
        <f t="shared" si="69"/>
        <v>-142594</v>
      </c>
      <c r="H35" s="50">
        <f t="shared" si="69"/>
        <v>0</v>
      </c>
      <c r="I35" s="50">
        <f t="shared" si="69"/>
        <v>0</v>
      </c>
      <c r="J35" s="50">
        <f t="shared" si="111"/>
        <v>0</v>
      </c>
      <c r="K35" s="50">
        <f t="shared" si="111"/>
        <v>0</v>
      </c>
      <c r="L35" s="50">
        <f t="shared" si="111"/>
        <v>0</v>
      </c>
      <c r="M35" s="50">
        <f t="shared" si="111"/>
        <v>0</v>
      </c>
      <c r="N35" s="50">
        <f t="shared" si="111"/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-42453</v>
      </c>
      <c r="V35" s="51">
        <v>1232</v>
      </c>
      <c r="W35" s="51">
        <v>518</v>
      </c>
      <c r="X35" s="51">
        <v>-144489</v>
      </c>
      <c r="Y35" s="51">
        <v>1035</v>
      </c>
      <c r="Z35" s="51">
        <v>860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51">
        <v>0</v>
      </c>
      <c r="AH35" s="51">
        <v>0</v>
      </c>
      <c r="AI35" s="51">
        <v>0</v>
      </c>
      <c r="AJ35" s="143">
        <f>_xlfn.XLOOKUP($B35,'IS &amp; BS Projections'!$B:$B,'IS &amp; BS Projections'!AK:AK)</f>
        <v>0</v>
      </c>
      <c r="AK35" s="143">
        <f>_xlfn.XLOOKUP($B35,'IS &amp; BS Projections'!$B:$B,'IS &amp; BS Projections'!AL:AL)</f>
        <v>0</v>
      </c>
      <c r="AL35" s="143">
        <f>_xlfn.XLOOKUP($B35,'IS &amp; BS Projections'!$B:$B,'IS &amp; BS Projections'!AM:AM)</f>
        <v>0</v>
      </c>
      <c r="AM35" s="143">
        <f>_xlfn.XLOOKUP($B35,'IS &amp; BS Projections'!$B:$B,'IS &amp; BS Projections'!AN:AN)</f>
        <v>0</v>
      </c>
      <c r="AN35" s="143">
        <f>_xlfn.XLOOKUP($B35,'IS &amp; BS Projections'!$B:$B,'IS &amp; BS Projections'!AO:AO)</f>
        <v>0</v>
      </c>
      <c r="AO35" s="143">
        <f>_xlfn.XLOOKUP($B35,'IS &amp; BS Projections'!$B:$B,'IS &amp; BS Projections'!AP:AP)</f>
        <v>0</v>
      </c>
      <c r="AP35" s="143">
        <f>_xlfn.XLOOKUP($B35,'IS &amp; BS Projections'!$B:$B,'IS &amp; BS Projections'!AQ:AQ)</f>
        <v>0</v>
      </c>
      <c r="AQ35" s="143">
        <f>_xlfn.XLOOKUP($B35,'IS &amp; BS Projections'!$B:$B,'IS &amp; BS Projections'!AR:AR)</f>
        <v>0</v>
      </c>
      <c r="AR35" s="143">
        <f>_xlfn.XLOOKUP($B35,'IS &amp; BS Projections'!$B:$B,'IS &amp; BS Projections'!AS:AS)</f>
        <v>0</v>
      </c>
      <c r="AS35" s="143">
        <f>_xlfn.XLOOKUP($B35,'IS &amp; BS Projections'!$B:$B,'IS &amp; BS Projections'!AT:AT)</f>
        <v>0</v>
      </c>
      <c r="AT35" s="143">
        <f>_xlfn.XLOOKUP($B35,'IS &amp; BS Projections'!$B:$B,'IS &amp; BS Projections'!AU:AU)</f>
        <v>0</v>
      </c>
      <c r="AU35" s="143">
        <f>_xlfn.XLOOKUP($B35,'IS &amp; BS Projections'!$B:$B,'IS &amp; BS Projections'!AV:AV)</f>
        <v>0</v>
      </c>
      <c r="AV35" s="143">
        <f>_xlfn.XLOOKUP($B35,'IS &amp; BS Projections'!$B:$B,'IS &amp; BS Projections'!AW:AW)</f>
        <v>0</v>
      </c>
      <c r="AW35" s="143">
        <f>_xlfn.XLOOKUP($B35,'IS &amp; BS Projections'!$B:$B,'IS &amp; BS Projections'!AX:AX)</f>
        <v>0</v>
      </c>
      <c r="AX35" s="143">
        <f>_xlfn.XLOOKUP($B35,'IS &amp; BS Projections'!$B:$B,'IS &amp; BS Projections'!AY:AY)</f>
        <v>0</v>
      </c>
      <c r="AY35" s="143">
        <f>_xlfn.XLOOKUP($B35,'IS &amp; BS Projections'!$B:$B,'IS &amp; BS Projections'!AZ:AZ)</f>
        <v>0</v>
      </c>
      <c r="AZ35" s="143">
        <f>_xlfn.XLOOKUP($B35,'IS &amp; BS Projections'!$B:$B,'IS &amp; BS Projections'!BA:BA)</f>
        <v>0</v>
      </c>
      <c r="BA35" s="143">
        <f>_xlfn.XLOOKUP($B35,'IS &amp; BS Projections'!$B:$B,'IS &amp; BS Projections'!BB:BB)</f>
        <v>0</v>
      </c>
      <c r="BB35" s="143">
        <f>_xlfn.XLOOKUP($B35,'IS &amp; BS Projections'!$B:$B,'IS &amp; BS Projections'!BC:BC)</f>
        <v>0</v>
      </c>
      <c r="BC35" s="143">
        <f>_xlfn.XLOOKUP($B35,'IS &amp; BS Projections'!$B:$B,'IS &amp; BS Projections'!BD:BD)</f>
        <v>0</v>
      </c>
    </row>
    <row r="36" spans="2:55" x14ac:dyDescent="0.15">
      <c r="B36" s="1" t="s">
        <v>50</v>
      </c>
      <c r="D36" s="43" t="s">
        <v>33</v>
      </c>
      <c r="E36" s="50">
        <f t="shared" si="69"/>
        <v>-29160</v>
      </c>
      <c r="F36" s="50">
        <f t="shared" si="69"/>
        <v>-88901</v>
      </c>
      <c r="G36" s="50">
        <f t="shared" si="69"/>
        <v>-82766</v>
      </c>
      <c r="H36" s="50">
        <f t="shared" si="69"/>
        <v>-80645</v>
      </c>
      <c r="I36" s="50">
        <f t="shared" si="69"/>
        <v>-85413</v>
      </c>
      <c r="J36" s="50">
        <f t="shared" si="111"/>
        <v>-84947.392600000006</v>
      </c>
      <c r="K36" s="50">
        <f t="shared" si="111"/>
        <v>-78709.628899999996</v>
      </c>
      <c r="L36" s="50">
        <f t="shared" si="111"/>
        <v>-78709.628899999996</v>
      </c>
      <c r="M36" s="50">
        <f t="shared" si="111"/>
        <v>-43009.628899999996</v>
      </c>
      <c r="N36" s="50">
        <f t="shared" si="111"/>
        <v>-34280.878899999996</v>
      </c>
      <c r="P36" s="51">
        <v>0</v>
      </c>
      <c r="Q36" s="51">
        <v>-748</v>
      </c>
      <c r="R36" s="51">
        <v>-6972</v>
      </c>
      <c r="S36" s="51">
        <v>-21440</v>
      </c>
      <c r="T36" s="51">
        <v>-22138</v>
      </c>
      <c r="U36" s="51">
        <v>-23656</v>
      </c>
      <c r="V36" s="51">
        <v>-21507</v>
      </c>
      <c r="W36" s="51">
        <v>-21600</v>
      </c>
      <c r="X36" s="51">
        <v>-21536</v>
      </c>
      <c r="Y36" s="51">
        <v>-21672</v>
      </c>
      <c r="Z36" s="51">
        <v>-20821</v>
      </c>
      <c r="AA36" s="51">
        <v>-18737</v>
      </c>
      <c r="AB36" s="51">
        <v>-19071</v>
      </c>
      <c r="AC36" s="51">
        <v>-20507</v>
      </c>
      <c r="AD36" s="51">
        <v>-20530</v>
      </c>
      <c r="AE36" s="51">
        <v>-20537</v>
      </c>
      <c r="AF36" s="51">
        <v>-20511</v>
      </c>
      <c r="AG36" s="51">
        <v>-20535</v>
      </c>
      <c r="AH36" s="51">
        <v>-21774</v>
      </c>
      <c r="AI36" s="51">
        <v>-22593</v>
      </c>
      <c r="AJ36" s="143">
        <f>'D&amp;E Schedule'!AC109</f>
        <v>-22796.289075000001</v>
      </c>
      <c r="AK36" s="143">
        <f>'D&amp;E Schedule'!AD109</f>
        <v>-22796.289075000001</v>
      </c>
      <c r="AL36" s="143">
        <f>'D&amp;E Schedule'!AE109</f>
        <v>-19677.407224999999</v>
      </c>
      <c r="AM36" s="143">
        <f>'D&amp;E Schedule'!AF109</f>
        <v>-19677.407224999999</v>
      </c>
      <c r="AN36" s="143">
        <f>'D&amp;E Schedule'!AG109</f>
        <v>-19677.407224999999</v>
      </c>
      <c r="AO36" s="143">
        <f>'D&amp;E Schedule'!AH109</f>
        <v>-19677.407224999999</v>
      </c>
      <c r="AP36" s="143">
        <f>'D&amp;E Schedule'!AI109</f>
        <v>-19677.407224999999</v>
      </c>
      <c r="AQ36" s="143">
        <f>'D&amp;E Schedule'!AJ109</f>
        <v>-19677.407224999999</v>
      </c>
      <c r="AR36" s="143">
        <f>'D&amp;E Schedule'!AK109</f>
        <v>-19677.407224999999</v>
      </c>
      <c r="AS36" s="143">
        <f>'D&amp;E Schedule'!AL109</f>
        <v>-19677.407224999999</v>
      </c>
      <c r="AT36" s="143">
        <f>'D&amp;E Schedule'!AM109</f>
        <v>-19677.407224999999</v>
      </c>
      <c r="AU36" s="143">
        <f>'D&amp;E Schedule'!AN109</f>
        <v>-19677.407224999999</v>
      </c>
      <c r="AV36" s="143">
        <f>'D&amp;E Schedule'!AO109</f>
        <v>-10752.407224999999</v>
      </c>
      <c r="AW36" s="143">
        <f>'D&amp;E Schedule'!AP109</f>
        <v>-10752.407224999999</v>
      </c>
      <c r="AX36" s="143">
        <f>'D&amp;E Schedule'!AQ109</f>
        <v>-10752.407224999999</v>
      </c>
      <c r="AY36" s="143">
        <f>'D&amp;E Schedule'!AR109</f>
        <v>-10752.407224999999</v>
      </c>
      <c r="AZ36" s="143">
        <f>'D&amp;E Schedule'!AS109</f>
        <v>-9439.907224999999</v>
      </c>
      <c r="BA36" s="143">
        <f>'D&amp;E Schedule'!AT109</f>
        <v>-9439.907224999999</v>
      </c>
      <c r="BB36" s="143">
        <f>'D&amp;E Schedule'!AU109</f>
        <v>-7700.5322249999999</v>
      </c>
      <c r="BC36" s="143">
        <f>'D&amp;E Schedule'!AV109</f>
        <v>-7700.5322249999999</v>
      </c>
    </row>
    <row r="37" spans="2:55" x14ac:dyDescent="0.15">
      <c r="B37" s="1" t="s">
        <v>51</v>
      </c>
      <c r="D37" s="43" t="s">
        <v>33</v>
      </c>
      <c r="E37" s="50">
        <f t="shared" si="69"/>
        <v>-20463</v>
      </c>
      <c r="F37" s="50">
        <f t="shared" si="69"/>
        <v>-265473</v>
      </c>
      <c r="G37" s="50">
        <f t="shared" si="69"/>
        <v>167583</v>
      </c>
      <c r="H37" s="50">
        <f t="shared" si="69"/>
        <v>29074</v>
      </c>
      <c r="I37" s="50">
        <f t="shared" si="69"/>
        <v>700894</v>
      </c>
      <c r="J37" s="50">
        <f t="shared" si="111"/>
        <v>-29529.680323390137</v>
      </c>
      <c r="K37" s="50">
        <f t="shared" si="111"/>
        <v>-33519.545318776407</v>
      </c>
      <c r="L37" s="50">
        <f t="shared" si="111"/>
        <v>-37673.099746104177</v>
      </c>
      <c r="M37" s="50">
        <f t="shared" si="111"/>
        <v>-43933.772277881159</v>
      </c>
      <c r="N37" s="50">
        <f t="shared" si="111"/>
        <v>-54245.349673308912</v>
      </c>
      <c r="P37" s="51">
        <v>8953</v>
      </c>
      <c r="Q37" s="51">
        <v>-5096</v>
      </c>
      <c r="R37" s="51">
        <v>-13976</v>
      </c>
      <c r="S37" s="51">
        <v>-10344</v>
      </c>
      <c r="T37" s="51">
        <v>-32844</v>
      </c>
      <c r="U37" s="51">
        <v>-172524</v>
      </c>
      <c r="V37" s="51">
        <v>-65699</v>
      </c>
      <c r="W37" s="51">
        <v>5594</v>
      </c>
      <c r="X37" s="51">
        <v>-20265</v>
      </c>
      <c r="Y37" s="51">
        <v>16564</v>
      </c>
      <c r="Z37" s="51">
        <v>135307</v>
      </c>
      <c r="AA37" s="51">
        <v>35977</v>
      </c>
      <c r="AB37" s="51">
        <v>45605</v>
      </c>
      <c r="AC37" s="51">
        <v>-63827</v>
      </c>
      <c r="AD37" s="51">
        <v>40105</v>
      </c>
      <c r="AE37" s="51">
        <v>7191</v>
      </c>
      <c r="AF37" s="51">
        <v>-6188</v>
      </c>
      <c r="AG37" s="51">
        <v>1506905</v>
      </c>
      <c r="AH37" s="51">
        <v>-380518</v>
      </c>
      <c r="AI37" s="51">
        <v>-419305</v>
      </c>
      <c r="AJ37" s="143">
        <f>_xlfn.XLOOKUP($B37,'IS &amp; BS Projections'!$B:$B,'IS &amp; BS Projections'!AK:AK)</f>
        <v>-5668.5545572443971</v>
      </c>
      <c r="AK37" s="143">
        <f>_xlfn.XLOOKUP($B37,'IS &amp; BS Projections'!$B:$B,'IS &amp; BS Projections'!AL:AL)</f>
        <v>-4079.3460026788498</v>
      </c>
      <c r="AL37" s="143">
        <f>_xlfn.XLOOKUP($B37,'IS &amp; BS Projections'!$B:$B,'IS &amp; BS Projections'!AM:AM)</f>
        <v>-25288.83948848561</v>
      </c>
      <c r="AM37" s="143">
        <f>_xlfn.XLOOKUP($B37,'IS &amp; BS Projections'!$B:$B,'IS &amp; BS Projections'!AN:AN)</f>
        <v>5507.0597250187193</v>
      </c>
      <c r="AN37" s="143">
        <f>_xlfn.XLOOKUP($B37,'IS &amp; BS Projections'!$B:$B,'IS &amp; BS Projections'!AO:AO)</f>
        <v>-5915.5294545174738</v>
      </c>
      <c r="AO37" s="143">
        <f>_xlfn.XLOOKUP($B37,'IS &amp; BS Projections'!$B:$B,'IS &amp; BS Projections'!AP:AP)</f>
        <v>-4640.9935094865732</v>
      </c>
      <c r="AP37" s="143">
        <f>_xlfn.XLOOKUP($B37,'IS &amp; BS Projections'!$B:$B,'IS &amp; BS Projections'!AQ:AQ)</f>
        <v>-29182.143275005987</v>
      </c>
      <c r="AQ37" s="143">
        <f>_xlfn.XLOOKUP($B37,'IS &amp; BS Projections'!$B:$B,'IS &amp; BS Projections'!AR:AR)</f>
        <v>6219.1209202336286</v>
      </c>
      <c r="AR37" s="143">
        <f>_xlfn.XLOOKUP($B37,'IS &amp; BS Projections'!$B:$B,'IS &amp; BS Projections'!AS:AS)</f>
        <v>-6439.4284440310967</v>
      </c>
      <c r="AS37" s="143">
        <f>_xlfn.XLOOKUP($B37,'IS &amp; BS Projections'!$B:$B,'IS &amp; BS Projections'!AT:AT)</f>
        <v>-5310.7985203352082</v>
      </c>
      <c r="AT37" s="143">
        <f>_xlfn.XLOOKUP($B37,'IS &amp; BS Projections'!$B:$B,'IS &amp; BS Projections'!AU:AU)</f>
        <v>-32884.593728762266</v>
      </c>
      <c r="AU37" s="143">
        <f>_xlfn.XLOOKUP($B37,'IS &amp; BS Projections'!$B:$B,'IS &amp; BS Projections'!AV:AV)</f>
        <v>6961.7209470243924</v>
      </c>
      <c r="AV37" s="143">
        <f>_xlfn.XLOOKUP($B37,'IS &amp; BS Projections'!$B:$B,'IS &amp; BS Projections'!AW:AW)</f>
        <v>-7109.9262777801296</v>
      </c>
      <c r="AW37" s="143">
        <f>_xlfn.XLOOKUP($B37,'IS &amp; BS Projections'!$B:$B,'IS &amp; BS Projections'!AX:AX)</f>
        <v>-6316.2210272667508</v>
      </c>
      <c r="AX37" s="143">
        <f>_xlfn.XLOOKUP($B37,'IS &amp; BS Projections'!$B:$B,'IS &amp; BS Projections'!AY:AY)</f>
        <v>-38638.764600776922</v>
      </c>
      <c r="AY37" s="143">
        <f>_xlfn.XLOOKUP($B37,'IS &amp; BS Projections'!$B:$B,'IS &amp; BS Projections'!AZ:AZ)</f>
        <v>8131.1396279426417</v>
      </c>
      <c r="AZ37" s="143">
        <f>_xlfn.XLOOKUP($B37,'IS &amp; BS Projections'!$B:$B,'IS &amp; BS Projections'!BA:BA)</f>
        <v>-8168.8485607637986</v>
      </c>
      <c r="BA37" s="143">
        <f>_xlfn.XLOOKUP($B37,'IS &amp; BS Projections'!$B:$B,'IS &amp; BS Projections'!BB:BB)</f>
        <v>-7942.748443107098</v>
      </c>
      <c r="BB37" s="143">
        <f>_xlfn.XLOOKUP($B37,'IS &amp; BS Projections'!$B:$B,'IS &amp; BS Projections'!BC:BC)</f>
        <v>-48146.9657034798</v>
      </c>
      <c r="BC37" s="143">
        <f>_xlfn.XLOOKUP($B37,'IS &amp; BS Projections'!$B:$B,'IS &amp; BS Projections'!BD:BD)</f>
        <v>10013.213034041788</v>
      </c>
    </row>
    <row r="38" spans="2:55" x14ac:dyDescent="0.15">
      <c r="B38" s="1" t="s">
        <v>52</v>
      </c>
      <c r="D38" s="43" t="s">
        <v>33</v>
      </c>
      <c r="E38" s="50">
        <f t="shared" si="69"/>
        <v>0</v>
      </c>
      <c r="F38" s="50">
        <f t="shared" si="69"/>
        <v>0</v>
      </c>
      <c r="G38" s="50">
        <f t="shared" si="69"/>
        <v>0</v>
      </c>
      <c r="H38" s="50">
        <f t="shared" si="69"/>
        <v>687055</v>
      </c>
      <c r="I38" s="50">
        <f t="shared" si="69"/>
        <v>-528857</v>
      </c>
      <c r="J38" s="50">
        <f t="shared" si="111"/>
        <v>0</v>
      </c>
      <c r="K38" s="50">
        <f t="shared" si="111"/>
        <v>0</v>
      </c>
      <c r="L38" s="50">
        <f t="shared" si="111"/>
        <v>0</v>
      </c>
      <c r="M38" s="50">
        <f t="shared" si="111"/>
        <v>0</v>
      </c>
      <c r="N38" s="50">
        <f t="shared" si="111"/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1">
        <v>0</v>
      </c>
      <c r="V38" s="51">
        <v>0</v>
      </c>
      <c r="W38" s="51">
        <v>0</v>
      </c>
      <c r="X38" s="51">
        <v>0</v>
      </c>
      <c r="Y38" s="51">
        <v>0</v>
      </c>
      <c r="Z38" s="51">
        <v>0</v>
      </c>
      <c r="AA38" s="51">
        <v>0</v>
      </c>
      <c r="AB38" s="51">
        <v>650429</v>
      </c>
      <c r="AC38" s="51">
        <v>-319020</v>
      </c>
      <c r="AD38" s="51">
        <v>-120507</v>
      </c>
      <c r="AE38" s="51">
        <v>476153</v>
      </c>
      <c r="AF38" s="51">
        <v>-596651</v>
      </c>
      <c r="AG38" s="51">
        <v>362053</v>
      </c>
      <c r="AH38" s="51">
        <v>423903</v>
      </c>
      <c r="AI38" s="51">
        <v>-718162</v>
      </c>
      <c r="AJ38" s="143">
        <f>_xlfn.XLOOKUP($B38,'IS &amp; BS Projections'!$B:$B,'IS &amp; BS Projections'!AK:AK)</f>
        <v>0</v>
      </c>
      <c r="AK38" s="143">
        <f>_xlfn.XLOOKUP($B38,'IS &amp; BS Projections'!$B:$B,'IS &amp; BS Projections'!AL:AL)</f>
        <v>0</v>
      </c>
      <c r="AL38" s="143">
        <f>_xlfn.XLOOKUP($B38,'IS &amp; BS Projections'!$B:$B,'IS &amp; BS Projections'!AM:AM)</f>
        <v>0</v>
      </c>
      <c r="AM38" s="143">
        <f>_xlfn.XLOOKUP($B38,'IS &amp; BS Projections'!$B:$B,'IS &amp; BS Projections'!AN:AN)</f>
        <v>0</v>
      </c>
      <c r="AN38" s="143">
        <f>_xlfn.XLOOKUP($B38,'IS &amp; BS Projections'!$B:$B,'IS &amp; BS Projections'!AO:AO)</f>
        <v>0</v>
      </c>
      <c r="AO38" s="143">
        <f>_xlfn.XLOOKUP($B38,'IS &amp; BS Projections'!$B:$B,'IS &amp; BS Projections'!AP:AP)</f>
        <v>0</v>
      </c>
      <c r="AP38" s="143">
        <f>_xlfn.XLOOKUP($B38,'IS &amp; BS Projections'!$B:$B,'IS &amp; BS Projections'!AQ:AQ)</f>
        <v>0</v>
      </c>
      <c r="AQ38" s="143">
        <f>_xlfn.XLOOKUP($B38,'IS &amp; BS Projections'!$B:$B,'IS &amp; BS Projections'!AR:AR)</f>
        <v>0</v>
      </c>
      <c r="AR38" s="143">
        <f>_xlfn.XLOOKUP($B38,'IS &amp; BS Projections'!$B:$B,'IS &amp; BS Projections'!AS:AS)</f>
        <v>0</v>
      </c>
      <c r="AS38" s="143">
        <f>_xlfn.XLOOKUP($B38,'IS &amp; BS Projections'!$B:$B,'IS &amp; BS Projections'!AT:AT)</f>
        <v>0</v>
      </c>
      <c r="AT38" s="143">
        <f>_xlfn.XLOOKUP($B38,'IS &amp; BS Projections'!$B:$B,'IS &amp; BS Projections'!AU:AU)</f>
        <v>0</v>
      </c>
      <c r="AU38" s="143">
        <f>_xlfn.XLOOKUP($B38,'IS &amp; BS Projections'!$B:$B,'IS &amp; BS Projections'!AV:AV)</f>
        <v>0</v>
      </c>
      <c r="AV38" s="143">
        <f>_xlfn.XLOOKUP($B38,'IS &amp; BS Projections'!$B:$B,'IS &amp; BS Projections'!AW:AW)</f>
        <v>0</v>
      </c>
      <c r="AW38" s="143">
        <f>_xlfn.XLOOKUP($B38,'IS &amp; BS Projections'!$B:$B,'IS &amp; BS Projections'!AX:AX)</f>
        <v>0</v>
      </c>
      <c r="AX38" s="143">
        <f>_xlfn.XLOOKUP($B38,'IS &amp; BS Projections'!$B:$B,'IS &amp; BS Projections'!AY:AY)</f>
        <v>0</v>
      </c>
      <c r="AY38" s="143">
        <f>_xlfn.XLOOKUP($B38,'IS &amp; BS Projections'!$B:$B,'IS &amp; BS Projections'!AZ:AZ)</f>
        <v>0</v>
      </c>
      <c r="AZ38" s="143">
        <f>_xlfn.XLOOKUP($B38,'IS &amp; BS Projections'!$B:$B,'IS &amp; BS Projections'!BA:BA)</f>
        <v>0</v>
      </c>
      <c r="BA38" s="143">
        <f>_xlfn.XLOOKUP($B38,'IS &amp; BS Projections'!$B:$B,'IS &amp; BS Projections'!BB:BB)</f>
        <v>0</v>
      </c>
      <c r="BB38" s="143">
        <f>_xlfn.XLOOKUP($B38,'IS &amp; BS Projections'!$B:$B,'IS &amp; BS Projections'!BC:BC)</f>
        <v>0</v>
      </c>
      <c r="BC38" s="143">
        <f>_xlfn.XLOOKUP($B38,'IS &amp; BS Projections'!$B:$B,'IS &amp; BS Projections'!BD:BD)</f>
        <v>0</v>
      </c>
    </row>
    <row r="39" spans="2:55" ht="15" thickBot="1" x14ac:dyDescent="0.2"/>
    <row r="40" spans="2:55" x14ac:dyDescent="0.15">
      <c r="B40" s="70" t="s">
        <v>53</v>
      </c>
      <c r="C40" s="71"/>
      <c r="D40" s="72" t="s">
        <v>33</v>
      </c>
      <c r="E40" s="73">
        <f>SUM(E32,E34:E38,E22)</f>
        <v>3026947</v>
      </c>
      <c r="F40" s="73">
        <f t="shared" ref="F40:BC40" si="112">SUM(F32,F34:F38,F22)</f>
        <v>-3064582</v>
      </c>
      <c r="G40" s="73">
        <f t="shared" si="112"/>
        <v>-76845</v>
      </c>
      <c r="H40" s="73">
        <f t="shared" si="112"/>
        <v>2870919</v>
      </c>
      <c r="I40" s="73">
        <f t="shared" si="112"/>
        <v>1542769</v>
      </c>
      <c r="J40" s="73">
        <f t="shared" si="112"/>
        <v>2072837.8957727281</v>
      </c>
      <c r="K40" s="73">
        <f t="shared" si="112"/>
        <v>2329703.3902648604</v>
      </c>
      <c r="L40" s="73">
        <f t="shared" si="112"/>
        <v>2637552.3078314085</v>
      </c>
      <c r="M40" s="73">
        <f t="shared" si="112"/>
        <v>3120791.8686983371</v>
      </c>
      <c r="N40" s="74">
        <f t="shared" si="112"/>
        <v>3845617.0603819601</v>
      </c>
      <c r="P40" s="84">
        <f t="shared" si="112"/>
        <v>996666</v>
      </c>
      <c r="Q40" s="73">
        <f t="shared" si="112"/>
        <v>868881</v>
      </c>
      <c r="R40" s="73">
        <f t="shared" si="112"/>
        <v>270860</v>
      </c>
      <c r="S40" s="73">
        <f t="shared" si="112"/>
        <v>890540</v>
      </c>
      <c r="T40" s="73">
        <f t="shared" si="112"/>
        <v>-609445</v>
      </c>
      <c r="U40" s="73">
        <f t="shared" si="112"/>
        <v>-1240569</v>
      </c>
      <c r="V40" s="73">
        <f t="shared" si="112"/>
        <v>-643690</v>
      </c>
      <c r="W40" s="73">
        <f t="shared" si="112"/>
        <v>-570878</v>
      </c>
      <c r="X40" s="73">
        <f t="shared" si="112"/>
        <v>-165676</v>
      </c>
      <c r="Y40" s="73">
        <f t="shared" si="112"/>
        <v>-78683</v>
      </c>
      <c r="Z40" s="73">
        <f t="shared" si="112"/>
        <v>34661</v>
      </c>
      <c r="AA40" s="73">
        <f t="shared" si="112"/>
        <v>132853</v>
      </c>
      <c r="AB40" s="73">
        <f t="shared" si="112"/>
        <v>1351066</v>
      </c>
      <c r="AC40" s="73">
        <f t="shared" si="112"/>
        <v>-29221</v>
      </c>
      <c r="AD40" s="73">
        <f t="shared" si="112"/>
        <v>68439</v>
      </c>
      <c r="AE40" s="73">
        <f t="shared" si="112"/>
        <v>1480635</v>
      </c>
      <c r="AF40" s="73">
        <f t="shared" si="112"/>
        <v>116821</v>
      </c>
      <c r="AG40" s="73">
        <f t="shared" si="112"/>
        <v>1815071</v>
      </c>
      <c r="AH40" s="73">
        <f t="shared" si="112"/>
        <v>466403</v>
      </c>
      <c r="AI40" s="73">
        <f t="shared" si="112"/>
        <v>-855526</v>
      </c>
      <c r="AJ40" s="73">
        <f t="shared" si="112"/>
        <v>820542.68354961369</v>
      </c>
      <c r="AK40" s="73">
        <f t="shared" si="112"/>
        <v>315555.7719951428</v>
      </c>
      <c r="AL40" s="73">
        <f t="shared" si="112"/>
        <v>415102.92143268418</v>
      </c>
      <c r="AM40" s="73">
        <f t="shared" si="112"/>
        <v>521636.518795287</v>
      </c>
      <c r="AN40" s="73">
        <f t="shared" si="112"/>
        <v>867211.76826921361</v>
      </c>
      <c r="AO40" s="73">
        <f t="shared" si="112"/>
        <v>372360.84575634846</v>
      </c>
      <c r="AP40" s="73">
        <f t="shared" si="112"/>
        <v>491626.35540926829</v>
      </c>
      <c r="AQ40" s="73">
        <f t="shared" si="112"/>
        <v>598504.42083003069</v>
      </c>
      <c r="AR40" s="73">
        <f t="shared" si="112"/>
        <v>953166.95826934092</v>
      </c>
      <c r="AS40" s="73">
        <f t="shared" si="112"/>
        <v>437067.77823820594</v>
      </c>
      <c r="AT40" s="73">
        <f t="shared" si="112"/>
        <v>567301.33641481586</v>
      </c>
      <c r="AU40" s="73">
        <f t="shared" si="112"/>
        <v>680016.23490904574</v>
      </c>
      <c r="AV40" s="73">
        <f t="shared" si="112"/>
        <v>1071569.0403513126</v>
      </c>
      <c r="AW40" s="73">
        <f t="shared" si="112"/>
        <v>542127.28147158073</v>
      </c>
      <c r="AX40" s="73">
        <f t="shared" si="112"/>
        <v>691630.70507897949</v>
      </c>
      <c r="AY40" s="73">
        <f t="shared" si="112"/>
        <v>815464.84179646429</v>
      </c>
      <c r="AZ40" s="73">
        <f t="shared" si="112"/>
        <v>1243477.1442911194</v>
      </c>
      <c r="BA40" s="73">
        <f t="shared" si="112"/>
        <v>697969.04200331401</v>
      </c>
      <c r="BB40" s="73">
        <f t="shared" si="112"/>
        <v>883342.75639024423</v>
      </c>
      <c r="BC40" s="74">
        <f t="shared" si="112"/>
        <v>1020828.1176972804</v>
      </c>
    </row>
    <row r="41" spans="2:55" ht="15" thickBot="1" x14ac:dyDescent="0.2">
      <c r="B41" s="61" t="s">
        <v>54</v>
      </c>
      <c r="C41" s="62"/>
      <c r="D41" s="59" t="s">
        <v>36</v>
      </c>
      <c r="E41" s="65">
        <f>E40/E$22</f>
        <v>0.38611751214531131</v>
      </c>
      <c r="F41" s="65">
        <f t="shared" ref="F41:P41" si="113">F40/F$22</f>
        <v>-0.95941842234444341</v>
      </c>
      <c r="G41" s="65">
        <f t="shared" si="113"/>
        <v>-2.5762498893665869E-2</v>
      </c>
      <c r="H41" s="65">
        <f t="shared" si="113"/>
        <v>0.43737153467352669</v>
      </c>
      <c r="I41" s="65">
        <f t="shared" si="113"/>
        <v>0.21483068932265284</v>
      </c>
      <c r="J41" s="65">
        <f t="shared" si="113"/>
        <v>0.2671003916092084</v>
      </c>
      <c r="K41" s="65">
        <f t="shared" si="113"/>
        <v>0.26847129170820933</v>
      </c>
      <c r="L41" s="65">
        <f t="shared" si="113"/>
        <v>0.27121743154732608</v>
      </c>
      <c r="M41" s="65">
        <f t="shared" si="113"/>
        <v>0.27631290466260688</v>
      </c>
      <c r="N41" s="66">
        <f t="shared" si="113"/>
        <v>0.27784815056290729</v>
      </c>
      <c r="O41" s="30"/>
      <c r="P41" s="83">
        <f t="shared" si="113"/>
        <v>0.55336147890858534</v>
      </c>
      <c r="Q41" s="65">
        <f t="shared" ref="Q41" si="114">Q40/Q$22</f>
        <v>0.38998914703213072</v>
      </c>
      <c r="R41" s="65">
        <f t="shared" ref="R41" si="115">R40/R$22</f>
        <v>0.20646264829545974</v>
      </c>
      <c r="S41" s="65">
        <f t="shared" ref="S41" si="116">S40/S$22</f>
        <v>0.35643513632181067</v>
      </c>
      <c r="T41" s="65">
        <f t="shared" ref="T41" si="117">T40/T$22</f>
        <v>-0.52248473126686767</v>
      </c>
      <c r="U41" s="65">
        <f t="shared" ref="U41" si="118">U40/U$22</f>
        <v>-1.5347403581480221</v>
      </c>
      <c r="V41" s="65">
        <f t="shared" ref="V41" si="119">V40/V$22</f>
        <v>-1.0903734972617429</v>
      </c>
      <c r="W41" s="65">
        <f t="shared" ref="W41" si="120">W40/W$22</f>
        <v>-0.9074403758973022</v>
      </c>
      <c r="X41" s="65">
        <f t="shared" ref="X41" si="121">X40/X$22</f>
        <v>-0.2144592630179579</v>
      </c>
      <c r="Y41" s="65">
        <f t="shared" ref="Y41" si="122">Y40/Y$22</f>
        <v>-0.11114815280451922</v>
      </c>
      <c r="Z41" s="65">
        <f t="shared" ref="Z41" si="123">Z40/Z$22</f>
        <v>5.1414526187128051E-2</v>
      </c>
      <c r="AA41" s="65">
        <f t="shared" ref="AA41" si="124">AA40/AA$22</f>
        <v>0.16040476385957625</v>
      </c>
      <c r="AB41" s="65">
        <f t="shared" ref="AB41" si="125">AB40/AB$22</f>
        <v>0.82504320425997058</v>
      </c>
      <c r="AC41" s="65">
        <f t="shared" ref="AC41" si="126">AC40/AC$22</f>
        <v>-2.0157585256355425E-2</v>
      </c>
      <c r="AD41" s="65">
        <f t="shared" ref="AD41" si="127">AD40/AD$22</f>
        <v>5.6786755316368419E-2</v>
      </c>
      <c r="AE41" s="65">
        <f t="shared" ref="AE41" si="128">AE40/AE$22</f>
        <v>0.65179207769551206</v>
      </c>
      <c r="AF41" s="65">
        <f t="shared" ref="AF41" si="129">AF40/AF$22</f>
        <v>5.7425791244632658E-2</v>
      </c>
      <c r="AG41" s="65">
        <f t="shared" ref="AG41" si="130">AG40/AG$22</f>
        <v>1.2123038348713071</v>
      </c>
      <c r="AH41" s="65">
        <f t="shared" ref="AH41" si="131">AH40/AH$22</f>
        <v>0.24958781351457945</v>
      </c>
      <c r="AI41" s="65">
        <f t="shared" ref="AI41" si="132">AI40/AI$22</f>
        <v>-0.48032792683741604</v>
      </c>
      <c r="AJ41" s="65">
        <f t="shared" ref="AJ41" si="133">AJ40/AJ$22</f>
        <v>0.44031676338808728</v>
      </c>
      <c r="AK41" s="65">
        <f t="shared" ref="AK41" si="134">AK40/AK$22</f>
        <v>0.17693234177125994</v>
      </c>
      <c r="AL41" s="65">
        <f t="shared" ref="AL41" si="135">AL40/AL$22</f>
        <v>0.17486641300862371</v>
      </c>
      <c r="AM41" s="65">
        <f t="shared" ref="AM41" si="136">AM40/AM$22</f>
        <v>0.29984620488707386</v>
      </c>
      <c r="AN41" s="65">
        <f t="shared" ref="AN41" si="137">AN40/AN$22</f>
        <v>0.44593125719516291</v>
      </c>
      <c r="AO41" s="65">
        <f t="shared" ref="AO41" si="138">AO40/AO$22</f>
        <v>0.18351631797769197</v>
      </c>
      <c r="AP41" s="65">
        <f t="shared" ref="AP41" si="139">AP40/AP$22</f>
        <v>0.17947232251662532</v>
      </c>
      <c r="AQ41" s="65">
        <f t="shared" ref="AQ41" si="140">AQ40/AQ$22</f>
        <v>0.30464125555390087</v>
      </c>
      <c r="AR41" s="65">
        <f t="shared" ref="AR41" si="141">AR40/AR$22</f>
        <v>0.45025446762631605</v>
      </c>
      <c r="AS41" s="65">
        <f t="shared" ref="AS41" si="142">AS40/AS$22</f>
        <v>0.1882394324899041</v>
      </c>
      <c r="AT41" s="65">
        <f t="shared" ref="AT41" si="143">AT40/AT$22</f>
        <v>0.18378109613122512</v>
      </c>
      <c r="AU41" s="65">
        <f t="shared" ref="AU41" si="144">AU40/AU$22</f>
        <v>0.30920964004948714</v>
      </c>
      <c r="AV41" s="65">
        <f t="shared" ref="AV41" si="145">AV40/AV$22</f>
        <v>0.45844942599323735</v>
      </c>
      <c r="AW41" s="65">
        <f t="shared" ref="AW41" si="146">AW40/AW$22</f>
        <v>0.19632046939731021</v>
      </c>
      <c r="AX41" s="65">
        <f t="shared" ref="AX41" si="147">AX40/AX$22</f>
        <v>0.19069115311692117</v>
      </c>
      <c r="AY41" s="65">
        <f t="shared" ref="AY41" si="148">AY40/AY$22</f>
        <v>0.31747108599681356</v>
      </c>
      <c r="AZ41" s="65">
        <f t="shared" ref="AZ41" si="149">AZ40/AZ$22</f>
        <v>0.46303448373035067</v>
      </c>
      <c r="BA41" s="65">
        <f t="shared" ref="BA41" si="150">BA40/BA$22</f>
        <v>0.2009958044516427</v>
      </c>
      <c r="BB41" s="65">
        <f t="shared" ref="BB41" si="151">BB40/BB$22</f>
        <v>0.1954518750918123</v>
      </c>
      <c r="BC41" s="66">
        <f t="shared" ref="BC41" si="152">BC40/BC$22</f>
        <v>0.32272270623778576</v>
      </c>
    </row>
    <row r="42" spans="2:55" ht="15" thickBot="1" x14ac:dyDescent="0.2"/>
    <row r="43" spans="2:55" x14ac:dyDescent="0.15">
      <c r="B43" s="70" t="s">
        <v>55</v>
      </c>
      <c r="C43" s="71"/>
      <c r="D43" s="72" t="s">
        <v>33</v>
      </c>
      <c r="E43" s="73">
        <f>E40-E36</f>
        <v>3056107</v>
      </c>
      <c r="F43" s="73">
        <f t="shared" ref="F43:N43" si="153">F40-F36</f>
        <v>-2975681</v>
      </c>
      <c r="G43" s="73">
        <f t="shared" si="153"/>
        <v>5921</v>
      </c>
      <c r="H43" s="73">
        <f t="shared" si="153"/>
        <v>2951564</v>
      </c>
      <c r="I43" s="73">
        <f t="shared" si="153"/>
        <v>1628182</v>
      </c>
      <c r="J43" s="73">
        <f t="shared" si="153"/>
        <v>2157785.288372728</v>
      </c>
      <c r="K43" s="73">
        <f t="shared" si="153"/>
        <v>2408413.0191648602</v>
      </c>
      <c r="L43" s="73">
        <f t="shared" si="153"/>
        <v>2716261.9367314084</v>
      </c>
      <c r="M43" s="73">
        <f t="shared" si="153"/>
        <v>3163801.497598337</v>
      </c>
      <c r="N43" s="74">
        <f t="shared" si="153"/>
        <v>3879897.93928196</v>
      </c>
      <c r="P43" s="84">
        <f t="shared" ref="P43:BC43" si="154">SUM(P35,P37:P41,P25)</f>
        <v>771553.55336147896</v>
      </c>
      <c r="Q43" s="73">
        <f t="shared" si="154"/>
        <v>528359.38998914708</v>
      </c>
      <c r="R43" s="73">
        <f t="shared" si="154"/>
        <v>59633.20646264829</v>
      </c>
      <c r="S43" s="73">
        <f t="shared" si="154"/>
        <v>379015.35643513629</v>
      </c>
      <c r="T43" s="73">
        <f t="shared" si="154"/>
        <v>-920115.52248473128</v>
      </c>
      <c r="U43" s="73">
        <f t="shared" si="154"/>
        <v>-1622734.5347403581</v>
      </c>
      <c r="V43" s="73">
        <f t="shared" si="154"/>
        <v>-810034.09037349722</v>
      </c>
      <c r="W43" s="73">
        <f t="shared" si="154"/>
        <v>-647757.90744037589</v>
      </c>
      <c r="X43" s="73">
        <f t="shared" si="154"/>
        <v>-426799.21445926302</v>
      </c>
      <c r="Y43" s="73">
        <f t="shared" si="154"/>
        <v>-169284.11114815279</v>
      </c>
      <c r="Z43" s="73">
        <f t="shared" si="154"/>
        <v>80251.051414526184</v>
      </c>
      <c r="AA43" s="73">
        <f t="shared" si="154"/>
        <v>168830.16040476385</v>
      </c>
      <c r="AB43" s="73">
        <f t="shared" si="154"/>
        <v>1829693.8250432042</v>
      </c>
      <c r="AC43" s="73">
        <f t="shared" si="154"/>
        <v>-603545.02015758527</v>
      </c>
      <c r="AD43" s="73">
        <f t="shared" si="154"/>
        <v>-183743.9432132447</v>
      </c>
      <c r="AE43" s="73">
        <f t="shared" si="154"/>
        <v>1646937.6517920776</v>
      </c>
      <c r="AF43" s="73">
        <f t="shared" si="154"/>
        <v>-789043.94257420884</v>
      </c>
      <c r="AG43" s="73">
        <f t="shared" si="154"/>
        <v>3438769.212303835</v>
      </c>
      <c r="AH43" s="73">
        <f t="shared" si="154"/>
        <v>256470.24958781351</v>
      </c>
      <c r="AI43" s="73">
        <f t="shared" si="154"/>
        <v>-2211618.4803279266</v>
      </c>
      <c r="AJ43" s="73">
        <f t="shared" si="154"/>
        <v>567468.92281084985</v>
      </c>
      <c r="AK43" s="73">
        <f t="shared" si="154"/>
        <v>38881.843158064934</v>
      </c>
      <c r="AL43" s="73">
        <f t="shared" si="154"/>
        <v>51462.906215834373</v>
      </c>
      <c r="AM43" s="73">
        <f t="shared" si="154"/>
        <v>297647.82505572552</v>
      </c>
      <c r="AN43" s="73">
        <f t="shared" si="154"/>
        <v>603111.7498926518</v>
      </c>
      <c r="AO43" s="73">
        <f t="shared" si="154"/>
        <v>57594.219035029062</v>
      </c>
      <c r="AP43" s="73">
        <f t="shared" si="154"/>
        <v>72002.687279098085</v>
      </c>
      <c r="AQ43" s="73">
        <f t="shared" si="154"/>
        <v>345554.0211993109</v>
      </c>
      <c r="AR43" s="73">
        <f t="shared" si="154"/>
        <v>665677.32753928076</v>
      </c>
      <c r="AS43" s="73">
        <f t="shared" si="154"/>
        <v>76872.868888369878</v>
      </c>
      <c r="AT43" s="73">
        <f t="shared" si="154"/>
        <v>94438.385460816207</v>
      </c>
      <c r="AU43" s="73">
        <f t="shared" si="154"/>
        <v>396862.02130412852</v>
      </c>
      <c r="AV43" s="73">
        <f t="shared" si="154"/>
        <v>754144.85480338056</v>
      </c>
      <c r="AW43" s="73">
        <f t="shared" si="154"/>
        <v>113741.45625490876</v>
      </c>
      <c r="AX43" s="73">
        <f t="shared" si="154"/>
        <v>136025.81510178413</v>
      </c>
      <c r="AY43" s="73">
        <f t="shared" si="154"/>
        <v>484746.79540197155</v>
      </c>
      <c r="AZ43" s="73">
        <f t="shared" si="154"/>
        <v>878777.08231842029</v>
      </c>
      <c r="BA43" s="73">
        <f t="shared" si="154"/>
        <v>159267.00459987414</v>
      </c>
      <c r="BB43" s="73">
        <f t="shared" si="154"/>
        <v>191014.94808704534</v>
      </c>
      <c r="BC43" s="74">
        <f t="shared" si="154"/>
        <v>613560.38413478364</v>
      </c>
    </row>
    <row r="44" spans="2:55" ht="15" thickBot="1" x14ac:dyDescent="0.2">
      <c r="B44" s="61" t="s">
        <v>56</v>
      </c>
      <c r="C44" s="62"/>
      <c r="D44" s="59" t="s">
        <v>36</v>
      </c>
      <c r="E44" s="65">
        <f>E43/E$22</f>
        <v>0.38983716321754919</v>
      </c>
      <c r="F44" s="65">
        <f t="shared" ref="F44" si="155">F43/F$22</f>
        <v>-0.93158648403610533</v>
      </c>
      <c r="G44" s="65">
        <f t="shared" ref="G44" si="156">G43/G$22</f>
        <v>1.985031634451111E-3</v>
      </c>
      <c r="H44" s="65">
        <f t="shared" ref="H44" si="157">H43/H$22</f>
        <v>0.44965743595243651</v>
      </c>
      <c r="I44" s="65">
        <f t="shared" ref="I44" si="158">I43/I$22</f>
        <v>0.22672445544519987</v>
      </c>
      <c r="J44" s="65">
        <f t="shared" ref="J44" si="159">J43/J$22</f>
        <v>0.27804648723777314</v>
      </c>
      <c r="K44" s="65">
        <f t="shared" ref="K44" si="160">K43/K$22</f>
        <v>0.2775416634254666</v>
      </c>
      <c r="L44" s="65">
        <f t="shared" ref="L44" si="161">L43/L$22</f>
        <v>0.2793110808466846</v>
      </c>
      <c r="M44" s="65">
        <f t="shared" ref="M44" si="162">M43/M$22</f>
        <v>0.28012094954026051</v>
      </c>
      <c r="N44" s="66">
        <f t="shared" ref="N44" si="163">N43/N$22</f>
        <v>0.28032496472627333</v>
      </c>
      <c r="O44" s="30"/>
      <c r="P44" s="83">
        <f t="shared" ref="P44" si="164">P43/P$22</f>
        <v>0.42837622166832434</v>
      </c>
      <c r="Q44" s="65">
        <f t="shared" ref="Q44" si="165">Q43/Q$22</f>
        <v>0.23714919284491706</v>
      </c>
      <c r="R44" s="65">
        <f t="shared" ref="R44" si="166">R43/R$22</f>
        <v>4.5455326488327147E-2</v>
      </c>
      <c r="S44" s="65">
        <f t="shared" ref="S44" si="167">S43/S$22</f>
        <v>0.15169940736970541</v>
      </c>
      <c r="T44" s="65">
        <f t="shared" ref="T44" si="168">T43/T$22</f>
        <v>-0.78882641009427978</v>
      </c>
      <c r="U44" s="65">
        <f t="shared" ref="U44" si="169">U43/U$22</f>
        <v>-2.0075273370740212</v>
      </c>
      <c r="V44" s="65">
        <f t="shared" ref="V44" si="170">V43/V$22</f>
        <v>-1.3721507309757566</v>
      </c>
      <c r="W44" s="65">
        <f t="shared" ref="W44" si="171">W43/W$22</f>
        <v>-1.0296450012404481</v>
      </c>
      <c r="X44" s="65">
        <f t="shared" ref="X44" si="172">X43/X$22</f>
        <v>-0.55247015252406451</v>
      </c>
      <c r="Y44" s="65">
        <f t="shared" ref="Y44" si="173">Y43/Y$22</f>
        <v>-0.23913191227167369</v>
      </c>
      <c r="Z44" s="65">
        <f t="shared" ref="Z44" si="174">Z43/Z$22</f>
        <v>0.11904070235990641</v>
      </c>
      <c r="AA44" s="65">
        <f t="shared" ref="AA44" si="175">AA43/AA$22</f>
        <v>0.20384305971337138</v>
      </c>
      <c r="AB44" s="65">
        <f t="shared" ref="AB44" si="176">AB43/AB$22</f>
        <v>1.1173225114304759</v>
      </c>
      <c r="AC44" s="65">
        <f t="shared" ref="AC44" si="177">AC43/AC$22</f>
        <v>-0.41634475890199779</v>
      </c>
      <c r="AD44" s="65">
        <f t="shared" ref="AD44" si="178">AD43/AD$22</f>
        <v>-0.15246018124337321</v>
      </c>
      <c r="AE44" s="65">
        <f t="shared" ref="AE44" si="179">AE43/AE$22</f>
        <v>0.72500036396311451</v>
      </c>
      <c r="AF44" s="65">
        <f t="shared" ref="AF44" si="180">AF43/AF$22</f>
        <v>-0.38787095410164646</v>
      </c>
      <c r="AG44" s="65">
        <f t="shared" ref="AG44" si="181">AG43/AG$22</f>
        <v>2.2967878960731141</v>
      </c>
      <c r="AH44" s="65">
        <f t="shared" ref="AH44" si="182">AH43/AH$22</f>
        <v>0.13724579135674694</v>
      </c>
      <c r="AI44" s="65">
        <f t="shared" ref="AI44" si="183">AI43/AI$22</f>
        <v>-1.2416947230256352</v>
      </c>
      <c r="AJ44" s="65">
        <f t="shared" ref="AJ44" si="184">AJ43/AJ$22</f>
        <v>0.30451320135412518</v>
      </c>
      <c r="AK44" s="65">
        <f t="shared" ref="AK44" si="185">AK43/AK$22</f>
        <v>2.1801076617432819E-2</v>
      </c>
      <c r="AL44" s="65">
        <f t="shared" ref="AL44" si="186">AL43/AL$22</f>
        <v>2.1679283253181154E-2</v>
      </c>
      <c r="AM44" s="65">
        <f t="shared" ref="AM44" si="187">AM43/AM$22</f>
        <v>0.1710934099130357</v>
      </c>
      <c r="AN44" s="65">
        <f t="shared" ref="AN44" si="188">AN43/AN$22</f>
        <v>0.31012768818344066</v>
      </c>
      <c r="AO44" s="65">
        <f t="shared" ref="AO44" si="189">AO43/AO$22</f>
        <v>2.8385044062944505E-2</v>
      </c>
      <c r="AP44" s="65">
        <f t="shared" ref="AP44" si="190">AP43/AP$22</f>
        <v>2.6285184614767681E-2</v>
      </c>
      <c r="AQ44" s="65">
        <f t="shared" ref="AQ44" si="191">AQ43/AQ$22</f>
        <v>0.17588844328645817</v>
      </c>
      <c r="AR44" s="65">
        <f t="shared" ref="AR44" si="192">AR43/AR$22</f>
        <v>0.31445088200110816</v>
      </c>
      <c r="AS44" s="65">
        <f t="shared" ref="AS44" si="193">AS43/AS$22</f>
        <v>3.3108149202275429E-2</v>
      </c>
      <c r="AT44" s="65">
        <f t="shared" ref="AT44" si="194">AT43/AT$22</f>
        <v>3.0593952248617832E-2</v>
      </c>
      <c r="AU44" s="65">
        <f t="shared" ref="AU44" si="195">AU43/AU$22</f>
        <v>0.18045681331883906</v>
      </c>
      <c r="AV44" s="65">
        <f t="shared" ref="AV44" si="196">AV43/AV$22</f>
        <v>0.3226458238164604</v>
      </c>
      <c r="AW44" s="65">
        <f t="shared" ref="AW44" si="197">AW43/AW$22</f>
        <v>4.1189176130896996E-2</v>
      </c>
      <c r="AX44" s="65">
        <f t="shared" ref="AX44" si="198">AX43/AX$22</f>
        <v>3.7504002273100752E-2</v>
      </c>
      <c r="AY44" s="65">
        <f t="shared" ref="AY44" si="199">AY43/AY$22</f>
        <v>0.18871824226132608</v>
      </c>
      <c r="AZ44" s="65">
        <f t="shared" ref="AZ44" si="200">AZ43/AZ$22</f>
        <v>0.32723085783562289</v>
      </c>
      <c r="BA44" s="65">
        <f t="shared" ref="BA44" si="201">BA43/BA$22</f>
        <v>4.5864497972967669E-2</v>
      </c>
      <c r="BB44" s="65">
        <f t="shared" ref="BB44" si="202">BB43/BB$22</f>
        <v>4.2264714918525507E-2</v>
      </c>
      <c r="BC44" s="66">
        <f t="shared" ref="BC44" si="203">BC43/BC$22</f>
        <v>0.19396984093162611</v>
      </c>
    </row>
    <row r="45" spans="2:55" ht="15" thickBot="1" x14ac:dyDescent="0.2"/>
    <row r="46" spans="2:55" x14ac:dyDescent="0.15">
      <c r="B46" s="70" t="s">
        <v>57</v>
      </c>
      <c r="C46" s="71"/>
      <c r="D46" s="72" t="s">
        <v>33</v>
      </c>
      <c r="E46" s="73">
        <f>E43+SUM(E142:E143)</f>
        <v>3119758</v>
      </c>
      <c r="F46" s="73">
        <f t="shared" ref="F46:BC46" si="204">F43+SUM(F142:F143)</f>
        <v>-2821612</v>
      </c>
      <c r="G46" s="73">
        <f t="shared" si="204"/>
        <v>145563</v>
      </c>
      <c r="H46" s="73">
        <f t="shared" si="204"/>
        <v>3079082</v>
      </c>
      <c r="I46" s="73">
        <f t="shared" si="204"/>
        <v>1816610</v>
      </c>
      <c r="J46" s="73">
        <f t="shared" si="204"/>
        <v>2422168.5622602426</v>
      </c>
      <c r="K46" s="73">
        <f t="shared" si="204"/>
        <v>2709341.9138760874</v>
      </c>
      <c r="L46" s="73">
        <f t="shared" si="204"/>
        <v>3058146.6911850735</v>
      </c>
      <c r="M46" s="73">
        <f t="shared" si="204"/>
        <v>3553252.2050124547</v>
      </c>
      <c r="N46" s="74">
        <f t="shared" si="204"/>
        <v>4327638.2487039221</v>
      </c>
      <c r="P46" s="84">
        <f t="shared" si="204"/>
        <v>782475.55336147896</v>
      </c>
      <c r="Q46" s="73">
        <f t="shared" si="204"/>
        <v>540971.38998914708</v>
      </c>
      <c r="R46" s="73">
        <f t="shared" si="204"/>
        <v>76732.20646264829</v>
      </c>
      <c r="S46" s="73">
        <f t="shared" si="204"/>
        <v>402033.35643513629</v>
      </c>
      <c r="T46" s="73">
        <f t="shared" si="204"/>
        <v>-888535.52248473128</v>
      </c>
      <c r="U46" s="73">
        <f t="shared" si="204"/>
        <v>-1580707.5347403581</v>
      </c>
      <c r="V46" s="73">
        <f t="shared" si="204"/>
        <v>-769920.09037349722</v>
      </c>
      <c r="W46" s="73">
        <f t="shared" si="204"/>
        <v>-607409.90744037589</v>
      </c>
      <c r="X46" s="73">
        <f t="shared" si="204"/>
        <v>-385591.21445926302</v>
      </c>
      <c r="Y46" s="73">
        <f t="shared" si="204"/>
        <v>-132302.11114815279</v>
      </c>
      <c r="Z46" s="73">
        <f t="shared" si="204"/>
        <v>112218.05141452618</v>
      </c>
      <c r="AA46" s="73">
        <f t="shared" si="204"/>
        <v>198315.16040476385</v>
      </c>
      <c r="AB46" s="73">
        <f t="shared" si="204"/>
        <v>1859020.8250432042</v>
      </c>
      <c r="AC46" s="73">
        <f t="shared" si="204"/>
        <v>-569044.02015758527</v>
      </c>
      <c r="AD46" s="73">
        <f t="shared" si="204"/>
        <v>-153048.9432132447</v>
      </c>
      <c r="AE46" s="73">
        <f t="shared" si="204"/>
        <v>1679932.6517920776</v>
      </c>
      <c r="AF46" s="73">
        <f t="shared" si="204"/>
        <v>-755710.94257420884</v>
      </c>
      <c r="AG46" s="73">
        <f t="shared" si="204"/>
        <v>3472670.212303835</v>
      </c>
      <c r="AH46" s="73">
        <f t="shared" si="204"/>
        <v>306548.24958781351</v>
      </c>
      <c r="AI46" s="73">
        <f t="shared" si="204"/>
        <v>-2140502.4803279266</v>
      </c>
      <c r="AJ46" s="73">
        <f t="shared" si="204"/>
        <v>633564.7412827285</v>
      </c>
      <c r="AK46" s="73">
        <f t="shared" si="204"/>
        <v>104977.66162994361</v>
      </c>
      <c r="AL46" s="73">
        <f t="shared" si="204"/>
        <v>117558.72468771305</v>
      </c>
      <c r="AM46" s="73">
        <f t="shared" si="204"/>
        <v>363743.64352760417</v>
      </c>
      <c r="AN46" s="73">
        <f t="shared" si="204"/>
        <v>678343.97357045859</v>
      </c>
      <c r="AO46" s="73">
        <f t="shared" si="204"/>
        <v>132826.44271283585</v>
      </c>
      <c r="AP46" s="73">
        <f t="shared" si="204"/>
        <v>147234.91095690487</v>
      </c>
      <c r="AQ46" s="73">
        <f t="shared" si="204"/>
        <v>420786.24487711769</v>
      </c>
      <c r="AR46" s="73">
        <f t="shared" si="204"/>
        <v>751148.51615269703</v>
      </c>
      <c r="AS46" s="73">
        <f t="shared" si="204"/>
        <v>162344.05750178616</v>
      </c>
      <c r="AT46" s="73">
        <f t="shared" si="204"/>
        <v>179909.57407423249</v>
      </c>
      <c r="AU46" s="73">
        <f t="shared" si="204"/>
        <v>482333.20991754479</v>
      </c>
      <c r="AV46" s="73">
        <f t="shared" si="204"/>
        <v>851507.53165690997</v>
      </c>
      <c r="AW46" s="73">
        <f t="shared" si="204"/>
        <v>211104.13310843823</v>
      </c>
      <c r="AX46" s="73">
        <f t="shared" si="204"/>
        <v>233388.4919553136</v>
      </c>
      <c r="AY46" s="73">
        <f t="shared" si="204"/>
        <v>582109.47225550096</v>
      </c>
      <c r="AZ46" s="73">
        <f t="shared" si="204"/>
        <v>990712.15967391082</v>
      </c>
      <c r="BA46" s="73">
        <f t="shared" si="204"/>
        <v>271202.08195536467</v>
      </c>
      <c r="BB46" s="73">
        <f t="shared" si="204"/>
        <v>302950.02544253587</v>
      </c>
      <c r="BC46" s="74">
        <f t="shared" si="204"/>
        <v>725495.46149027417</v>
      </c>
    </row>
    <row r="47" spans="2:55" ht="15" thickBot="1" x14ac:dyDescent="0.2">
      <c r="B47" s="61" t="s">
        <v>58</v>
      </c>
      <c r="C47" s="62"/>
      <c r="D47" s="59" t="s">
        <v>36</v>
      </c>
      <c r="E47" s="65">
        <f>E46/E$22</f>
        <v>0.39795648799117794</v>
      </c>
      <c r="F47" s="65">
        <f t="shared" ref="F47:N47" si="205">F46/F$22</f>
        <v>-0.88335261823901257</v>
      </c>
      <c r="G47" s="65">
        <f t="shared" si="205"/>
        <v>4.8800398548489617E-2</v>
      </c>
      <c r="H47" s="65">
        <f t="shared" si="205"/>
        <v>0.46908422694114044</v>
      </c>
      <c r="I47" s="65">
        <f t="shared" si="205"/>
        <v>0.25296306740051455</v>
      </c>
      <c r="J47" s="65">
        <f t="shared" si="205"/>
        <v>0.31211421445093018</v>
      </c>
      <c r="K47" s="65">
        <f t="shared" si="205"/>
        <v>0.31222022783544584</v>
      </c>
      <c r="L47" s="65">
        <f t="shared" si="205"/>
        <v>0.31446682153580474</v>
      </c>
      <c r="M47" s="65">
        <f t="shared" si="205"/>
        <v>0.3146026646677052</v>
      </c>
      <c r="N47" s="66">
        <f t="shared" si="205"/>
        <v>0.31267447195802034</v>
      </c>
      <c r="O47" s="30"/>
      <c r="P47" s="83">
        <f t="shared" ref="P47:BC47" si="206">P46/P$22</f>
        <v>0.4344402532221644</v>
      </c>
      <c r="Q47" s="65">
        <f t="shared" si="206"/>
        <v>0.24280997161942039</v>
      </c>
      <c r="R47" s="65">
        <f t="shared" si="206"/>
        <v>5.848901482622889E-2</v>
      </c>
      <c r="S47" s="65">
        <f t="shared" si="206"/>
        <v>0.16091227143853493</v>
      </c>
      <c r="T47" s="65">
        <f t="shared" si="206"/>
        <v>-0.76175248576409793</v>
      </c>
      <c r="U47" s="65">
        <f t="shared" si="206"/>
        <v>-1.9555346361183412</v>
      </c>
      <c r="V47" s="65">
        <f t="shared" si="206"/>
        <v>-1.3041999433774445</v>
      </c>
      <c r="W47" s="65">
        <f t="shared" si="206"/>
        <v>-0.96550974942359002</v>
      </c>
      <c r="X47" s="65">
        <f t="shared" si="206"/>
        <v>-0.49912846567476821</v>
      </c>
      <c r="Y47" s="65">
        <f t="shared" si="206"/>
        <v>-0.18689088197266718</v>
      </c>
      <c r="Z47" s="65">
        <f t="shared" si="206"/>
        <v>0.16645907340009342</v>
      </c>
      <c r="AA47" s="65">
        <f t="shared" si="206"/>
        <v>0.23944281630448791</v>
      </c>
      <c r="AB47" s="65">
        <f t="shared" si="206"/>
        <v>1.1352313641818086</v>
      </c>
      <c r="AC47" s="65">
        <f t="shared" si="206"/>
        <v>-0.39254485989342458</v>
      </c>
      <c r="AD47" s="65">
        <f t="shared" si="206"/>
        <v>-0.12699123145690747</v>
      </c>
      <c r="AE47" s="65">
        <f t="shared" si="206"/>
        <v>0.73952513178473389</v>
      </c>
      <c r="AF47" s="65">
        <f t="shared" si="206"/>
        <v>-0.37148542496255893</v>
      </c>
      <c r="AG47" s="65">
        <f t="shared" si="206"/>
        <v>2.3194307085614256</v>
      </c>
      <c r="AH47" s="65">
        <f t="shared" si="206"/>
        <v>0.16404420072629025</v>
      </c>
      <c r="AI47" s="65">
        <f t="shared" si="206"/>
        <v>-1.2017672388288139</v>
      </c>
      <c r="AJ47" s="65">
        <f t="shared" si="206"/>
        <v>0.33998130977369706</v>
      </c>
      <c r="AK47" s="65">
        <f t="shared" si="206"/>
        <v>5.8861048202099635E-2</v>
      </c>
      <c r="AL47" s="65">
        <f t="shared" si="206"/>
        <v>4.9522832634032399E-2</v>
      </c>
      <c r="AM47" s="65">
        <f t="shared" si="206"/>
        <v>0.20908649439544222</v>
      </c>
      <c r="AN47" s="65">
        <f t="shared" si="206"/>
        <v>0.34881304891509701</v>
      </c>
      <c r="AO47" s="65">
        <f t="shared" si="206"/>
        <v>6.5462897011155166E-2</v>
      </c>
      <c r="AP47" s="65">
        <f t="shared" si="206"/>
        <v>5.3749338566209177E-2</v>
      </c>
      <c r="AQ47" s="65">
        <f t="shared" si="206"/>
        <v>0.21418196006204718</v>
      </c>
      <c r="AR47" s="65">
        <f t="shared" si="206"/>
        <v>0.35482553430378233</v>
      </c>
      <c r="AS47" s="65">
        <f t="shared" si="206"/>
        <v>6.9919483370355778E-2</v>
      </c>
      <c r="AT47" s="65">
        <f t="shared" si="206"/>
        <v>5.8282920567082196E-2</v>
      </c>
      <c r="AU47" s="65">
        <f t="shared" si="206"/>
        <v>0.21932134935346942</v>
      </c>
      <c r="AV47" s="65">
        <f t="shared" si="206"/>
        <v>0.36430050180345397</v>
      </c>
      <c r="AW47" s="65">
        <f t="shared" si="206"/>
        <v>7.644710738604181E-2</v>
      </c>
      <c r="AX47" s="65">
        <f t="shared" si="206"/>
        <v>6.4348098383075467E-2</v>
      </c>
      <c r="AY47" s="65">
        <f t="shared" si="206"/>
        <v>0.22662280070697607</v>
      </c>
      <c r="AZ47" s="65">
        <f t="shared" si="206"/>
        <v>0.36891220356245852</v>
      </c>
      <c r="BA47" s="65">
        <f t="shared" si="206"/>
        <v>7.8098708325404539E-2</v>
      </c>
      <c r="BB47" s="65">
        <f t="shared" si="206"/>
        <v>6.7031908173249416E-2</v>
      </c>
      <c r="BC47" s="66">
        <f t="shared" si="206"/>
        <v>0.22935678850962388</v>
      </c>
    </row>
    <row r="49" spans="1:57" x14ac:dyDescent="0.15">
      <c r="B49" s="1" t="s">
        <v>59</v>
      </c>
      <c r="D49" s="43" t="s">
        <v>33</v>
      </c>
      <c r="E49" s="50">
        <f t="shared" ref="E49:I49" si="207">SUMIF($P$1:$AI$1,E$1,$P49:$AI49)</f>
        <v>597173</v>
      </c>
      <c r="F49" s="50">
        <f t="shared" si="207"/>
        <v>439633</v>
      </c>
      <c r="G49" s="50">
        <f t="shared" si="207"/>
        <v>171716</v>
      </c>
      <c r="H49" s="50">
        <f t="shared" si="207"/>
        <v>-363578</v>
      </c>
      <c r="I49" s="50">
        <f t="shared" si="207"/>
        <v>-261738</v>
      </c>
      <c r="J49" s="50">
        <f>SUMIFS($AJ49:$BC49,$AJ$1:$BC$1,J$1)</f>
        <v>155144.09136058565</v>
      </c>
      <c r="K49" s="50">
        <f t="shared" ref="K49:N49" si="208">SUMIFS($AJ49:$BC49,$AJ$1:$BC$1,K$1)</f>
        <v>177856.927658197</v>
      </c>
      <c r="L49" s="50">
        <f t="shared" si="208"/>
        <v>203069.91390370243</v>
      </c>
      <c r="M49" s="50">
        <f t="shared" si="208"/>
        <v>241719.07479077327</v>
      </c>
      <c r="N49" s="50">
        <f t="shared" si="208"/>
        <v>304353.49220637896</v>
      </c>
      <c r="P49" s="51">
        <v>-225203</v>
      </c>
      <c r="Q49" s="51">
        <v>737468</v>
      </c>
      <c r="R49" s="51">
        <v>135240</v>
      </c>
      <c r="S49" s="51">
        <v>-50332</v>
      </c>
      <c r="T49" s="51">
        <v>179786</v>
      </c>
      <c r="U49" s="51">
        <v>146915</v>
      </c>
      <c r="V49" s="51">
        <v>99055</v>
      </c>
      <c r="W49" s="51">
        <v>13877</v>
      </c>
      <c r="X49" s="51">
        <v>86780</v>
      </c>
      <c r="Y49" s="51">
        <v>-18722</v>
      </c>
      <c r="Z49" s="51">
        <v>-36926</v>
      </c>
      <c r="AA49" s="51">
        <v>140584</v>
      </c>
      <c r="AB49" s="51">
        <v>-261179</v>
      </c>
      <c r="AC49" s="51">
        <v>96387</v>
      </c>
      <c r="AD49" s="51">
        <v>6914</v>
      </c>
      <c r="AE49" s="51">
        <v>-205700</v>
      </c>
      <c r="AF49" s="51">
        <v>-16848</v>
      </c>
      <c r="AG49" s="51">
        <v>-394873</v>
      </c>
      <c r="AH49" s="51">
        <v>-69591</v>
      </c>
      <c r="AI49" s="51">
        <v>219574</v>
      </c>
      <c r="AJ49" s="143">
        <f>_xlfn.XLOOKUP($B49,'IS &amp; BS Projections'!$B:$B,'IS &amp; BS Projections'!AK:AK)</f>
        <v>-15433.711567623401</v>
      </c>
      <c r="AK49" s="143">
        <f>_xlfn.XLOOKUP($B49,'IS &amp; BS Projections'!$B:$B,'IS &amp; BS Projections'!AL:AL)</f>
        <v>118585.28377921061</v>
      </c>
      <c r="AL49" s="143">
        <f>_xlfn.XLOOKUP($B49,'IS &amp; BS Projections'!$B:$B,'IS &amp; BS Projections'!AM:AM)</f>
        <v>13618.276980645645</v>
      </c>
      <c r="AM49" s="143">
        <f>_xlfn.XLOOKUP($B49,'IS &amp; BS Projections'!$B:$B,'IS &amp; BS Projections'!AN:AN)</f>
        <v>38374.242168352772</v>
      </c>
      <c r="AN49" s="143">
        <f>_xlfn.XLOOKUP($B49,'IS &amp; BS Projections'!$B:$B,'IS &amp; BS Projections'!AO:AO)</f>
        <v>-16106.14742238371</v>
      </c>
      <c r="AO49" s="143">
        <f>_xlfn.XLOOKUP($B49,'IS &amp; BS Projections'!$B:$B,'IS &amp; BS Projections'!AP:AP)</f>
        <v>134912.19719497449</v>
      </c>
      <c r="AP49" s="143">
        <f>_xlfn.XLOOKUP($B49,'IS &amp; BS Projections'!$B:$B,'IS &amp; BS Projections'!AQ:AQ)</f>
        <v>15714.857543734426</v>
      </c>
      <c r="AQ49" s="143">
        <f>_xlfn.XLOOKUP($B49,'IS &amp; BS Projections'!$B:$B,'IS &amp; BS Projections'!AR:AR)</f>
        <v>43336.020341871808</v>
      </c>
      <c r="AR49" s="143">
        <f>_xlfn.XLOOKUP($B49,'IS &amp; BS Projections'!$B:$B,'IS &amp; BS Projections'!AS:AS)</f>
        <v>-17532.56147786618</v>
      </c>
      <c r="AS49" s="143">
        <f>_xlfn.XLOOKUP($B49,'IS &amp; BS Projections'!$B:$B,'IS &amp; BS Projections'!AT:AT)</f>
        <v>154383.2146659276</v>
      </c>
      <c r="AT49" s="143">
        <f>_xlfn.XLOOKUP($B49,'IS &amp; BS Projections'!$B:$B,'IS &amp; BS Projections'!AU:AU)</f>
        <v>17708.661799138379</v>
      </c>
      <c r="AU49" s="143">
        <f>_xlfn.XLOOKUP($B49,'IS &amp; BS Projections'!$B:$B,'IS &amp; BS Projections'!AV:AV)</f>
        <v>48510.598916502611</v>
      </c>
      <c r="AV49" s="143">
        <f>_xlfn.XLOOKUP($B49,'IS &amp; BS Projections'!$B:$B,'IS &amp; BS Projections'!AW:AW)</f>
        <v>-19358.118605048421</v>
      </c>
      <c r="AW49" s="143">
        <f>_xlfn.XLOOKUP($B49,'IS &amp; BS Projections'!$B:$B,'IS &amp; BS Projections'!AX:AX)</f>
        <v>183610.52542215833</v>
      </c>
      <c r="AX49" s="143">
        <f>_xlfn.XLOOKUP($B49,'IS &amp; BS Projections'!$B:$B,'IS &amp; BS Projections'!AY:AY)</f>
        <v>20807.336721122767</v>
      </c>
      <c r="AY49" s="143">
        <f>_xlfn.XLOOKUP($B49,'IS &amp; BS Projections'!$B:$B,'IS &amp; BS Projections'!AZ:AZ)</f>
        <v>56659.331252540607</v>
      </c>
      <c r="AZ49" s="143">
        <f>_xlfn.XLOOKUP($B49,'IS &amp; BS Projections'!$B:$B,'IS &amp; BS Projections'!BA:BA)</f>
        <v>-22241.234736869501</v>
      </c>
      <c r="BA49" s="143">
        <f>_xlfn.XLOOKUP($B49,'IS &amp; BS Projections'!$B:$B,'IS &amp; BS Projections'!BB:BB)</f>
        <v>230893.15725957308</v>
      </c>
      <c r="BB49" s="143">
        <f>_xlfn.XLOOKUP($B49,'IS &amp; BS Projections'!$B:$B,'IS &amp; BS Projections'!BC:BC)</f>
        <v>25927.592091609215</v>
      </c>
      <c r="BC49" s="143">
        <f>_xlfn.XLOOKUP($B49,'IS &amp; BS Projections'!$B:$B,'IS &amp; BS Projections'!BD:BD)</f>
        <v>69773.977592066134</v>
      </c>
    </row>
    <row r="50" spans="1:57" ht="15" thickBot="1" x14ac:dyDescent="0.2"/>
    <row r="51" spans="1:57" x14ac:dyDescent="0.15">
      <c r="B51" s="70" t="s">
        <v>60</v>
      </c>
      <c r="C51" s="71"/>
      <c r="D51" s="72" t="s">
        <v>33</v>
      </c>
      <c r="E51" s="73">
        <f t="shared" ref="E51:N51" si="209">SUM(E40,E49)</f>
        <v>3624120</v>
      </c>
      <c r="F51" s="73">
        <f t="shared" si="209"/>
        <v>-2624949</v>
      </c>
      <c r="G51" s="73">
        <f t="shared" si="209"/>
        <v>94871</v>
      </c>
      <c r="H51" s="73">
        <f t="shared" si="209"/>
        <v>2507341</v>
      </c>
      <c r="I51" s="73">
        <f t="shared" si="209"/>
        <v>1281031</v>
      </c>
      <c r="J51" s="73">
        <f t="shared" si="209"/>
        <v>2227981.9871333139</v>
      </c>
      <c r="K51" s="73">
        <f t="shared" si="209"/>
        <v>2507560.3179230574</v>
      </c>
      <c r="L51" s="73">
        <f t="shared" si="209"/>
        <v>2840622.221735111</v>
      </c>
      <c r="M51" s="73">
        <f t="shared" si="209"/>
        <v>3362510.9434891106</v>
      </c>
      <c r="N51" s="74">
        <f t="shared" si="209"/>
        <v>4149970.552588339</v>
      </c>
      <c r="P51" s="84">
        <f t="shared" ref="P51:BC51" si="210">SUM(P40,P49)</f>
        <v>771463</v>
      </c>
      <c r="Q51" s="73">
        <f t="shared" si="210"/>
        <v>1606349</v>
      </c>
      <c r="R51" s="73">
        <f t="shared" si="210"/>
        <v>406100</v>
      </c>
      <c r="S51" s="73">
        <f t="shared" si="210"/>
        <v>840208</v>
      </c>
      <c r="T51" s="73">
        <f t="shared" si="210"/>
        <v>-429659</v>
      </c>
      <c r="U51" s="73">
        <f t="shared" si="210"/>
        <v>-1093654</v>
      </c>
      <c r="V51" s="73">
        <f t="shared" si="210"/>
        <v>-544635</v>
      </c>
      <c r="W51" s="73">
        <f t="shared" si="210"/>
        <v>-557001</v>
      </c>
      <c r="X51" s="73">
        <f t="shared" si="210"/>
        <v>-78896</v>
      </c>
      <c r="Y51" s="73">
        <f t="shared" si="210"/>
        <v>-97405</v>
      </c>
      <c r="Z51" s="73">
        <f t="shared" si="210"/>
        <v>-2265</v>
      </c>
      <c r="AA51" s="73">
        <f t="shared" si="210"/>
        <v>273437</v>
      </c>
      <c r="AB51" s="73">
        <f t="shared" si="210"/>
        <v>1089887</v>
      </c>
      <c r="AC51" s="73">
        <f t="shared" si="210"/>
        <v>67166</v>
      </c>
      <c r="AD51" s="73">
        <f t="shared" si="210"/>
        <v>75353</v>
      </c>
      <c r="AE51" s="73">
        <f t="shared" si="210"/>
        <v>1274935</v>
      </c>
      <c r="AF51" s="73">
        <f t="shared" si="210"/>
        <v>99973</v>
      </c>
      <c r="AG51" s="73">
        <f t="shared" si="210"/>
        <v>1420198</v>
      </c>
      <c r="AH51" s="73">
        <f t="shared" si="210"/>
        <v>396812</v>
      </c>
      <c r="AI51" s="73">
        <f t="shared" si="210"/>
        <v>-635952</v>
      </c>
      <c r="AJ51" s="73">
        <f t="shared" si="210"/>
        <v>805108.97198199027</v>
      </c>
      <c r="AK51" s="73">
        <f t="shared" si="210"/>
        <v>434141.05577435344</v>
      </c>
      <c r="AL51" s="73">
        <f t="shared" si="210"/>
        <v>428721.19841332984</v>
      </c>
      <c r="AM51" s="73">
        <f t="shared" si="210"/>
        <v>560010.76096363983</v>
      </c>
      <c r="AN51" s="73">
        <f t="shared" si="210"/>
        <v>851105.62084682996</v>
      </c>
      <c r="AO51" s="73">
        <f t="shared" si="210"/>
        <v>507273.04295132298</v>
      </c>
      <c r="AP51" s="73">
        <f t="shared" si="210"/>
        <v>507341.21295300272</v>
      </c>
      <c r="AQ51" s="73">
        <f t="shared" si="210"/>
        <v>641840.44117190246</v>
      </c>
      <c r="AR51" s="73">
        <f t="shared" si="210"/>
        <v>935634.39679147478</v>
      </c>
      <c r="AS51" s="73">
        <f t="shared" si="210"/>
        <v>591450.99290413351</v>
      </c>
      <c r="AT51" s="73">
        <f t="shared" si="210"/>
        <v>585009.99821395427</v>
      </c>
      <c r="AU51" s="73">
        <f t="shared" si="210"/>
        <v>728526.83382554841</v>
      </c>
      <c r="AV51" s="73">
        <f t="shared" si="210"/>
        <v>1052210.9217462642</v>
      </c>
      <c r="AW51" s="73">
        <f t="shared" si="210"/>
        <v>725737.80689373903</v>
      </c>
      <c r="AX51" s="73">
        <f t="shared" si="210"/>
        <v>712438.04180010222</v>
      </c>
      <c r="AY51" s="73">
        <f t="shared" si="210"/>
        <v>872124.17304900486</v>
      </c>
      <c r="AZ51" s="73">
        <f t="shared" si="210"/>
        <v>1221235.9095542498</v>
      </c>
      <c r="BA51" s="73">
        <f t="shared" si="210"/>
        <v>928862.19926288712</v>
      </c>
      <c r="BB51" s="73">
        <f t="shared" si="210"/>
        <v>909270.34848185349</v>
      </c>
      <c r="BC51" s="74">
        <f t="shared" si="210"/>
        <v>1090602.0952893465</v>
      </c>
    </row>
    <row r="52" spans="1:57" ht="15" thickBot="1" x14ac:dyDescent="0.2">
      <c r="B52" s="61" t="s">
        <v>61</v>
      </c>
      <c r="C52" s="62"/>
      <c r="D52" s="59" t="s">
        <v>36</v>
      </c>
      <c r="E52" s="65">
        <f>E51/E$22</f>
        <v>0.46229293017554174</v>
      </c>
      <c r="F52" s="65">
        <f t="shared" ref="F52" si="211">F51/F$22</f>
        <v>-0.82178399152465964</v>
      </c>
      <c r="G52" s="65">
        <f t="shared" ref="G52" si="212">G51/G$22</f>
        <v>3.1805765274786575E-2</v>
      </c>
      <c r="H52" s="65">
        <f t="shared" ref="H52" si="213">H51/H$22</f>
        <v>0.38198206954632125</v>
      </c>
      <c r="I52" s="65">
        <f t="shared" ref="I52" si="214">I51/I$22</f>
        <v>0.17838365482692958</v>
      </c>
      <c r="J52" s="65">
        <f t="shared" ref="J52" si="215">J51/J$22</f>
        <v>0.28709184759463624</v>
      </c>
      <c r="K52" s="65">
        <f t="shared" ref="K52" si="216">K51/K$22</f>
        <v>0.28896723952164372</v>
      </c>
      <c r="L52" s="65">
        <f t="shared" ref="L52" si="217">L51/L$22</f>
        <v>0.29209895124646801</v>
      </c>
      <c r="M52" s="65">
        <f t="shared" ref="M52" si="218">M51/M$22</f>
        <v>0.29771455606323494</v>
      </c>
      <c r="N52" s="66">
        <f t="shared" ref="N52" si="219">N51/N$22</f>
        <v>0.29983787382425181</v>
      </c>
      <c r="O52" s="30"/>
      <c r="P52" s="83">
        <f t="shared" ref="P52" si="220">P51/P$22</f>
        <v>0.42832594530490053</v>
      </c>
      <c r="Q52" s="65">
        <f t="shared" ref="Q52" si="221">Q51/Q$22</f>
        <v>0.72099479255032173</v>
      </c>
      <c r="R52" s="65">
        <f t="shared" ref="R52" si="222">R51/R$22</f>
        <v>0.30954914521445104</v>
      </c>
      <c r="S52" s="65">
        <f t="shared" ref="S52" si="223">S51/S$22</f>
        <v>0.33628995106191284</v>
      </c>
      <c r="T52" s="65">
        <f t="shared" ref="T52" si="224">T51/T$22</f>
        <v>-0.36835197130404068</v>
      </c>
      <c r="U52" s="65">
        <f t="shared" ref="U52" si="225">U51/U$22</f>
        <v>-1.3529879689481334</v>
      </c>
      <c r="V52" s="65">
        <f t="shared" ref="V52" si="226">V51/V$22</f>
        <v>-0.9225800768710859</v>
      </c>
      <c r="W52" s="65">
        <f t="shared" ref="W52" si="227">W51/W$22</f>
        <v>-0.88538216013784599</v>
      </c>
      <c r="X52" s="65">
        <f t="shared" ref="X52" si="228">X51/X$22</f>
        <v>-0.10212691044608034</v>
      </c>
      <c r="Y52" s="65">
        <f t="shared" ref="Y52" si="229">Y51/Y$22</f>
        <v>-0.13759498015993535</v>
      </c>
      <c r="Z52" s="65">
        <f t="shared" ref="Z52" si="230">Z51/Z$22</f>
        <v>-3.3597963651898397E-3</v>
      </c>
      <c r="AA52" s="65">
        <f t="shared" ref="AA52" si="231">AA51/AA$22</f>
        <v>0.33014382374105933</v>
      </c>
      <c r="AB52" s="65">
        <f t="shared" ref="AB52" si="232">AB51/AB$22</f>
        <v>0.66555139627618976</v>
      </c>
      <c r="AC52" s="65">
        <f t="shared" ref="AC52" si="233">AC51/AC$22</f>
        <v>4.6333266189670728E-2</v>
      </c>
      <c r="AD52" s="65">
        <f t="shared" ref="AD52" si="234">AD51/AD$22</f>
        <v>6.2523595805816998E-2</v>
      </c>
      <c r="AE52" s="65">
        <f t="shared" ref="AE52" si="235">AE51/AE$22</f>
        <v>0.56124063835903359</v>
      </c>
      <c r="AF52" s="65">
        <f t="shared" ref="AF52" si="236">AF51/AF$22</f>
        <v>4.9143806576725596E-2</v>
      </c>
      <c r="AG52" s="65">
        <f t="shared" ref="AG52" si="237">AG51/AG$22</f>
        <v>0.94856426094437107</v>
      </c>
      <c r="AH52" s="65">
        <f t="shared" ref="AH52" si="238">AH51/AH$22</f>
        <v>0.21234734651438197</v>
      </c>
      <c r="AI52" s="65">
        <f t="shared" ref="AI52" si="239">AI51/AI$22</f>
        <v>-0.35704993855021167</v>
      </c>
      <c r="AJ52" s="65">
        <f t="shared" ref="AJ52" si="240">AJ51/AJ$22</f>
        <v>0.4320347787201802</v>
      </c>
      <c r="AK52" s="65">
        <f t="shared" ref="AK52" si="241">AK51/AK$22</f>
        <v>0.24342319321728609</v>
      </c>
      <c r="AL52" s="65">
        <f t="shared" ref="AL52" si="242">AL51/AL$22</f>
        <v>0.1806032534980723</v>
      </c>
      <c r="AM52" s="65">
        <f t="shared" ref="AM52" si="243">AM51/AM$22</f>
        <v>0.32190442064653013</v>
      </c>
      <c r="AN52" s="65">
        <f t="shared" ref="AN52" si="244">AN51/AN$22</f>
        <v>0.43764927252725588</v>
      </c>
      <c r="AO52" s="65">
        <f t="shared" ref="AO52" si="245">AO51/AO$22</f>
        <v>0.25000716942371815</v>
      </c>
      <c r="AP52" s="65">
        <f t="shared" ref="AP52" si="246">AP51/AP$22</f>
        <v>0.1852091630060739</v>
      </c>
      <c r="AQ52" s="65">
        <f t="shared" ref="AQ52" si="247">AQ51/AQ$22</f>
        <v>0.32669947131335708</v>
      </c>
      <c r="AR52" s="65">
        <f t="shared" ref="AR52" si="248">AR51/AR$22</f>
        <v>0.44197248295840902</v>
      </c>
      <c r="AS52" s="65">
        <f t="shared" ref="AS52" si="249">AS51/AS$22</f>
        <v>0.25473028393593028</v>
      </c>
      <c r="AT52" s="65">
        <f t="shared" ref="AT52" si="250">AT51/AT$22</f>
        <v>0.1895179366206737</v>
      </c>
      <c r="AU52" s="65">
        <f t="shared" ref="AU52" si="251">AU51/AU$22</f>
        <v>0.33126785580894341</v>
      </c>
      <c r="AV52" s="65">
        <f t="shared" ref="AV52" si="252">AV51/AV$22</f>
        <v>0.45016744132533032</v>
      </c>
      <c r="AW52" s="65">
        <f t="shared" ref="AW52" si="253">AW51/AW$22</f>
        <v>0.26281132084333636</v>
      </c>
      <c r="AX52" s="65">
        <f t="shared" ref="AX52" si="254">AX51/AX$22</f>
        <v>0.19642799360636973</v>
      </c>
      <c r="AY52" s="65">
        <f t="shared" ref="AY52" si="255">AY51/AY$22</f>
        <v>0.33952930175626977</v>
      </c>
      <c r="AZ52" s="65">
        <f t="shared" ref="AZ52" si="256">AZ51/AZ$22</f>
        <v>0.45475249906244358</v>
      </c>
      <c r="BA52" s="65">
        <f t="shared" ref="BA52" si="257">BA51/BA$22</f>
        <v>0.26748665589766885</v>
      </c>
      <c r="BB52" s="65">
        <f t="shared" ref="BB52" si="258">BB51/BB$22</f>
        <v>0.20118871558126089</v>
      </c>
      <c r="BC52" s="66">
        <f t="shared" ref="BC52" si="259">BC51/BC$22</f>
        <v>0.34478092199724203</v>
      </c>
    </row>
    <row r="54" spans="1:57" x14ac:dyDescent="0.15">
      <c r="A54" s="1" t="s">
        <v>27</v>
      </c>
      <c r="B54" s="33" t="s">
        <v>62</v>
      </c>
      <c r="C54" s="33"/>
      <c r="D54" s="34" t="s">
        <v>29</v>
      </c>
      <c r="E54" s="35">
        <v>21</v>
      </c>
      <c r="F54" s="35">
        <f>E54+1</f>
        <v>22</v>
      </c>
      <c r="G54" s="35">
        <f t="shared" ref="G54" si="260">F54+1</f>
        <v>23</v>
      </c>
      <c r="H54" s="35">
        <f t="shared" ref="H54" si="261">G54+1</f>
        <v>24</v>
      </c>
      <c r="I54" s="36">
        <f t="shared" ref="I54" si="262">H54+1</f>
        <v>25</v>
      </c>
      <c r="J54" s="36">
        <f t="shared" ref="J54" si="263">I54+1</f>
        <v>26</v>
      </c>
      <c r="K54" s="36">
        <f t="shared" ref="K54" si="264">J54+1</f>
        <v>27</v>
      </c>
      <c r="L54" s="36">
        <f t="shared" ref="L54" si="265">K54+1</f>
        <v>28</v>
      </c>
      <c r="M54" s="36">
        <f t="shared" ref="M54" si="266">L54+1</f>
        <v>29</v>
      </c>
      <c r="N54" s="36">
        <f t="shared" ref="N54" si="267">M54+1</f>
        <v>30</v>
      </c>
      <c r="P54" s="41">
        <v>44286</v>
      </c>
      <c r="Q54" s="41">
        <v>44377</v>
      </c>
      <c r="R54" s="41">
        <v>44469</v>
      </c>
      <c r="S54" s="41">
        <v>44561</v>
      </c>
      <c r="T54" s="41">
        <v>44651</v>
      </c>
      <c r="U54" s="41">
        <v>44742</v>
      </c>
      <c r="V54" s="41">
        <v>44834</v>
      </c>
      <c r="W54" s="41">
        <v>44926</v>
      </c>
      <c r="X54" s="41">
        <v>45016</v>
      </c>
      <c r="Y54" s="41">
        <v>45107</v>
      </c>
      <c r="Z54" s="41">
        <v>45199</v>
      </c>
      <c r="AA54" s="41">
        <v>45291</v>
      </c>
      <c r="AB54" s="41">
        <v>45382</v>
      </c>
      <c r="AC54" s="41">
        <v>45473</v>
      </c>
      <c r="AD54" s="41">
        <v>45565</v>
      </c>
      <c r="AE54" s="41">
        <v>45657</v>
      </c>
      <c r="AF54" s="41">
        <v>45747</v>
      </c>
      <c r="AG54" s="41">
        <v>45838</v>
      </c>
      <c r="AH54" s="41">
        <v>45930</v>
      </c>
      <c r="AI54" s="41">
        <v>46022</v>
      </c>
      <c r="AJ54" s="41">
        <v>46112</v>
      </c>
      <c r="AK54" s="41">
        <v>46203</v>
      </c>
      <c r="AL54" s="41">
        <v>46295</v>
      </c>
      <c r="AM54" s="41">
        <v>46387</v>
      </c>
      <c r="AN54" s="41">
        <v>46477</v>
      </c>
      <c r="AO54" s="41">
        <v>46568</v>
      </c>
      <c r="AP54" s="41">
        <v>46660</v>
      </c>
      <c r="AQ54" s="41">
        <v>46752</v>
      </c>
      <c r="AR54" s="41">
        <v>46843</v>
      </c>
      <c r="AS54" s="41">
        <v>46934</v>
      </c>
      <c r="AT54" s="41">
        <v>47026</v>
      </c>
      <c r="AU54" s="41">
        <v>47118</v>
      </c>
      <c r="AV54" s="41">
        <v>47208</v>
      </c>
      <c r="AW54" s="41">
        <v>47299</v>
      </c>
      <c r="AX54" s="41">
        <v>47391</v>
      </c>
      <c r="AY54" s="41">
        <v>47483</v>
      </c>
      <c r="AZ54" s="41">
        <v>47573</v>
      </c>
      <c r="BA54" s="41">
        <v>47664</v>
      </c>
      <c r="BB54" s="41">
        <v>47756</v>
      </c>
      <c r="BC54" s="41">
        <v>47848</v>
      </c>
    </row>
    <row r="55" spans="1:57" ht="3" customHeight="1" x14ac:dyDescent="0.15">
      <c r="D55" s="37"/>
    </row>
    <row r="56" spans="1:57" x14ac:dyDescent="0.15">
      <c r="B56" s="38" t="s">
        <v>63</v>
      </c>
      <c r="C56" s="39"/>
      <c r="D56" s="40"/>
      <c r="E56" s="39"/>
      <c r="F56" s="39"/>
      <c r="G56" s="39"/>
      <c r="H56" s="39"/>
      <c r="I56" s="39"/>
      <c r="J56" s="39"/>
      <c r="K56" s="39"/>
      <c r="L56" s="39"/>
      <c r="M56" s="39"/>
      <c r="N56" s="39"/>
      <c r="P56" s="42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</row>
    <row r="57" spans="1:57" ht="3" customHeight="1" x14ac:dyDescent="0.15"/>
    <row r="58" spans="1:57" x14ac:dyDescent="0.15">
      <c r="B58" s="75" t="s">
        <v>64</v>
      </c>
    </row>
    <row r="59" spans="1:57" x14ac:dyDescent="0.15">
      <c r="B59" s="1" t="s">
        <v>65</v>
      </c>
      <c r="D59" s="43" t="s">
        <v>33</v>
      </c>
      <c r="E59" s="50">
        <f>S59</f>
        <v>7123478</v>
      </c>
      <c r="F59" s="50">
        <f>W59</f>
        <v>4425021</v>
      </c>
      <c r="G59" s="50">
        <f>AA59</f>
        <v>5139351</v>
      </c>
      <c r="H59" s="50">
        <f>AE59</f>
        <v>9308266</v>
      </c>
      <c r="I59" s="50">
        <f>AI59</f>
        <v>11285452</v>
      </c>
      <c r="J59" s="50">
        <f>AM59</f>
        <v>16507512.538027182</v>
      </c>
      <c r="K59" s="50">
        <f>AQ59</f>
        <v>18457012.27266708</v>
      </c>
      <c r="L59" s="50">
        <f>AU59</f>
        <v>19725501.013035238</v>
      </c>
      <c r="M59" s="50">
        <f>AY59</f>
        <v>20646416.535354033</v>
      </c>
      <c r="N59" s="50">
        <f>BC59</f>
        <v>21953777.623061761</v>
      </c>
      <c r="P59" s="51">
        <v>1983318</v>
      </c>
      <c r="Q59" s="51">
        <v>4365982</v>
      </c>
      <c r="R59" s="51">
        <v>6352775</v>
      </c>
      <c r="S59" s="51">
        <v>7123478</v>
      </c>
      <c r="T59" s="51">
        <v>6116388</v>
      </c>
      <c r="U59" s="51">
        <v>5682068</v>
      </c>
      <c r="V59" s="51">
        <v>5006584</v>
      </c>
      <c r="W59" s="51">
        <v>4425021</v>
      </c>
      <c r="X59" s="51">
        <v>5018409</v>
      </c>
      <c r="Y59" s="51">
        <v>5166733</v>
      </c>
      <c r="Z59" s="51">
        <v>5100799</v>
      </c>
      <c r="AA59" s="51">
        <v>5139351</v>
      </c>
      <c r="AB59" s="51">
        <v>6711400</v>
      </c>
      <c r="AC59" s="51">
        <v>7225535</v>
      </c>
      <c r="AD59" s="51">
        <v>7723806</v>
      </c>
      <c r="AE59" s="51">
        <v>9308266</v>
      </c>
      <c r="AF59" s="51">
        <v>8051169</v>
      </c>
      <c r="AG59" s="51">
        <v>7539388</v>
      </c>
      <c r="AH59" s="51">
        <v>8676275</v>
      </c>
      <c r="AI59" s="51">
        <v>11285452</v>
      </c>
      <c r="AJ59" s="91">
        <f>AJ208</f>
        <v>11810479.200253915</v>
      </c>
      <c r="AK59" s="91">
        <f t="shared" ref="AK59:BC59" si="268">AK208</f>
        <v>17329813.662732832</v>
      </c>
      <c r="AL59" s="91">
        <f t="shared" si="268"/>
        <v>12853036.016134247</v>
      </c>
      <c r="AM59" s="91">
        <f t="shared" si="268"/>
        <v>16507512.538027182</v>
      </c>
      <c r="AN59" s="91">
        <f t="shared" si="268"/>
        <v>12462711.104950873</v>
      </c>
      <c r="AO59" s="91">
        <f t="shared" si="268"/>
        <v>19325573.722336005</v>
      </c>
      <c r="AP59" s="91">
        <f t="shared" si="268"/>
        <v>14124269.045585111</v>
      </c>
      <c r="AQ59" s="91">
        <f t="shared" si="268"/>
        <v>18457012.27266708</v>
      </c>
      <c r="AR59" s="91">
        <f t="shared" si="268"/>
        <v>14264501.28132746</v>
      </c>
      <c r="AS59" s="91">
        <f t="shared" si="268"/>
        <v>21583331.865307171</v>
      </c>
      <c r="AT59" s="91">
        <f t="shared" si="268"/>
        <v>15795959.733865136</v>
      </c>
      <c r="AU59" s="91">
        <f t="shared" si="268"/>
        <v>19725501.013035238</v>
      </c>
      <c r="AV59" s="91">
        <f t="shared" si="268"/>
        <v>15195310.796293743</v>
      </c>
      <c r="AW59" s="91">
        <f t="shared" si="268"/>
        <v>23018794.868714068</v>
      </c>
      <c r="AX59" s="91">
        <f t="shared" si="268"/>
        <v>16297555.597038481</v>
      </c>
      <c r="AY59" s="91">
        <f t="shared" si="268"/>
        <v>20646416.535354033</v>
      </c>
      <c r="AZ59" s="91">
        <f t="shared" si="268"/>
        <v>15564475.617120245</v>
      </c>
      <c r="BA59" s="91">
        <f t="shared" si="268"/>
        <v>22873690.570358835</v>
      </c>
      <c r="BB59" s="91">
        <f t="shared" si="268"/>
        <v>14565251.899231829</v>
      </c>
      <c r="BC59" s="91">
        <f t="shared" si="268"/>
        <v>21953777.623061761</v>
      </c>
      <c r="BD59" s="139">
        <f>AI59-AJ59</f>
        <v>-525027.20025391504</v>
      </c>
      <c r="BE59" s="1" t="str">
        <f t="shared" ref="BE59:BE77" si="269">IF(ISNUMBER(MATCH(BD59,$AJ$136:$AJ$1048576,0)),"YES","NO")</f>
        <v>NO</v>
      </c>
    </row>
    <row r="60" spans="1:57" x14ac:dyDescent="0.15">
      <c r="B60" s="1" t="s">
        <v>66</v>
      </c>
      <c r="D60" s="43" t="s">
        <v>33</v>
      </c>
      <c r="E60" s="50">
        <f t="shared" ref="E60:E77" si="270">S60</f>
        <v>0</v>
      </c>
      <c r="F60" s="50">
        <f t="shared" ref="F60:F77" si="271">W60</f>
        <v>0</v>
      </c>
      <c r="G60" s="50">
        <f t="shared" ref="G60:G77" si="272">AA60</f>
        <v>0</v>
      </c>
      <c r="H60" s="50">
        <f t="shared" ref="H60:H77" si="273">AE60</f>
        <v>0</v>
      </c>
      <c r="I60" s="50">
        <f t="shared" ref="I60:I77" si="274">AI60</f>
        <v>309765</v>
      </c>
      <c r="J60" s="50">
        <f t="shared" ref="J60:J77" si="275">AM60</f>
        <v>0</v>
      </c>
      <c r="K60" s="50">
        <f t="shared" ref="K60:K77" si="276">AQ60</f>
        <v>0</v>
      </c>
      <c r="L60" s="50">
        <f t="shared" ref="L60:L77" si="277">AU60</f>
        <v>0</v>
      </c>
      <c r="M60" s="50">
        <f t="shared" ref="M60:M77" si="278">AY60</f>
        <v>0</v>
      </c>
      <c r="N60" s="50">
        <f t="shared" ref="N60:N77" si="279">BC60</f>
        <v>0</v>
      </c>
      <c r="P60" s="51">
        <v>0</v>
      </c>
      <c r="Q60" s="51">
        <v>0</v>
      </c>
      <c r="R60" s="51">
        <v>0</v>
      </c>
      <c r="S60" s="51">
        <v>0</v>
      </c>
      <c r="T60" s="51">
        <v>0</v>
      </c>
      <c r="U60" s="51">
        <v>0</v>
      </c>
      <c r="V60" s="51">
        <v>0</v>
      </c>
      <c r="W60" s="51">
        <v>0</v>
      </c>
      <c r="X60" s="51">
        <v>0</v>
      </c>
      <c r="Y60" s="51">
        <v>0</v>
      </c>
      <c r="Z60" s="51">
        <v>0</v>
      </c>
      <c r="AA60" s="51">
        <v>0</v>
      </c>
      <c r="AB60" s="51">
        <v>0</v>
      </c>
      <c r="AC60" s="51">
        <v>0</v>
      </c>
      <c r="AD60" s="51">
        <v>0</v>
      </c>
      <c r="AE60" s="51">
        <v>0</v>
      </c>
      <c r="AF60" s="51">
        <v>0</v>
      </c>
      <c r="AG60" s="51">
        <v>0</v>
      </c>
      <c r="AH60" s="51">
        <v>1093395</v>
      </c>
      <c r="AI60" s="51">
        <v>309765</v>
      </c>
      <c r="AJ60" s="143">
        <f>_xlfn.XLOOKUP($B60,'IS &amp; BS Projections'!$B:$B,'IS &amp; BS Projections'!AK:AK)</f>
        <v>0</v>
      </c>
      <c r="AK60" s="143">
        <f>_xlfn.XLOOKUP($B60,'IS &amp; BS Projections'!$B:$B,'IS &amp; BS Projections'!AL:AL)</f>
        <v>0</v>
      </c>
      <c r="AL60" s="143">
        <f>_xlfn.XLOOKUP($B60,'IS &amp; BS Projections'!$B:$B,'IS &amp; BS Projections'!AM:AM)</f>
        <v>0</v>
      </c>
      <c r="AM60" s="143">
        <f>_xlfn.XLOOKUP($B60,'IS &amp; BS Projections'!$B:$B,'IS &amp; BS Projections'!AN:AN)</f>
        <v>0</v>
      </c>
      <c r="AN60" s="143">
        <f>_xlfn.XLOOKUP($B60,'IS &amp; BS Projections'!$B:$B,'IS &amp; BS Projections'!AO:AO)</f>
        <v>0</v>
      </c>
      <c r="AO60" s="143">
        <f>_xlfn.XLOOKUP($B60,'IS &amp; BS Projections'!$B:$B,'IS &amp; BS Projections'!AP:AP)</f>
        <v>0</v>
      </c>
      <c r="AP60" s="143">
        <f>_xlfn.XLOOKUP($B60,'IS &amp; BS Projections'!$B:$B,'IS &amp; BS Projections'!AQ:AQ)</f>
        <v>0</v>
      </c>
      <c r="AQ60" s="143">
        <f>_xlfn.XLOOKUP($B60,'IS &amp; BS Projections'!$B:$B,'IS &amp; BS Projections'!AR:AR)</f>
        <v>0</v>
      </c>
      <c r="AR60" s="143">
        <f>_xlfn.XLOOKUP($B60,'IS &amp; BS Projections'!$B:$B,'IS &amp; BS Projections'!AS:AS)</f>
        <v>0</v>
      </c>
      <c r="AS60" s="143">
        <f>_xlfn.XLOOKUP($B60,'IS &amp; BS Projections'!$B:$B,'IS &amp; BS Projections'!AT:AT)</f>
        <v>0</v>
      </c>
      <c r="AT60" s="143">
        <f>_xlfn.XLOOKUP($B60,'IS &amp; BS Projections'!$B:$B,'IS &amp; BS Projections'!AU:AU)</f>
        <v>0</v>
      </c>
      <c r="AU60" s="143">
        <f>_xlfn.XLOOKUP($B60,'IS &amp; BS Projections'!$B:$B,'IS &amp; BS Projections'!AV:AV)</f>
        <v>0</v>
      </c>
      <c r="AV60" s="143">
        <f>_xlfn.XLOOKUP($B60,'IS &amp; BS Projections'!$B:$B,'IS &amp; BS Projections'!AW:AW)</f>
        <v>0</v>
      </c>
      <c r="AW60" s="143">
        <f>_xlfn.XLOOKUP($B60,'IS &amp; BS Projections'!$B:$B,'IS &amp; BS Projections'!AX:AX)</f>
        <v>0</v>
      </c>
      <c r="AX60" s="143">
        <f>_xlfn.XLOOKUP($B60,'IS &amp; BS Projections'!$B:$B,'IS &amp; BS Projections'!AY:AY)</f>
        <v>0</v>
      </c>
      <c r="AY60" s="143">
        <f>_xlfn.XLOOKUP($B60,'IS &amp; BS Projections'!$B:$B,'IS &amp; BS Projections'!AZ:AZ)</f>
        <v>0</v>
      </c>
      <c r="AZ60" s="143">
        <f>_xlfn.XLOOKUP($B60,'IS &amp; BS Projections'!$B:$B,'IS &amp; BS Projections'!BA:BA)</f>
        <v>0</v>
      </c>
      <c r="BA60" s="143">
        <f>_xlfn.XLOOKUP($B60,'IS &amp; BS Projections'!$B:$B,'IS &amp; BS Projections'!BB:BB)</f>
        <v>0</v>
      </c>
      <c r="BB60" s="143">
        <f>_xlfn.XLOOKUP($B60,'IS &amp; BS Projections'!$B:$B,'IS &amp; BS Projections'!BC:BC)</f>
        <v>0</v>
      </c>
      <c r="BC60" s="143">
        <f>_xlfn.XLOOKUP($B60,'IS &amp; BS Projections'!$B:$B,'IS &amp; BS Projections'!BD:BD)</f>
        <v>0</v>
      </c>
      <c r="BD60" s="139">
        <f t="shared" ref="BD60:BD77" si="280">AI60-AJ60</f>
        <v>309765</v>
      </c>
      <c r="BE60" s="1" t="str">
        <f t="shared" si="269"/>
        <v>YES</v>
      </c>
    </row>
    <row r="61" spans="1:57" x14ac:dyDescent="0.15">
      <c r="B61" s="1" t="s">
        <v>67</v>
      </c>
      <c r="D61" s="43" t="s">
        <v>33</v>
      </c>
      <c r="E61" s="50">
        <f t="shared" si="270"/>
        <v>0</v>
      </c>
      <c r="F61" s="50">
        <f t="shared" si="271"/>
        <v>0</v>
      </c>
      <c r="G61" s="50">
        <f t="shared" si="272"/>
        <v>0</v>
      </c>
      <c r="H61" s="50">
        <f t="shared" si="273"/>
        <v>0</v>
      </c>
      <c r="I61" s="50">
        <f t="shared" si="274"/>
        <v>0</v>
      </c>
      <c r="J61" s="50">
        <f t="shared" si="275"/>
        <v>0</v>
      </c>
      <c r="K61" s="50">
        <f t="shared" si="276"/>
        <v>0</v>
      </c>
      <c r="L61" s="50">
        <f t="shared" si="277"/>
        <v>0</v>
      </c>
      <c r="M61" s="50">
        <f t="shared" si="278"/>
        <v>0</v>
      </c>
      <c r="N61" s="50">
        <f t="shared" si="279"/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280357</v>
      </c>
      <c r="AC61" s="51">
        <v>236444</v>
      </c>
      <c r="AD61" s="51">
        <v>187004</v>
      </c>
      <c r="AE61" s="51">
        <v>0</v>
      </c>
      <c r="AF61" s="51">
        <v>245112</v>
      </c>
      <c r="AG61" s="51">
        <v>222996</v>
      </c>
      <c r="AH61" s="51">
        <v>308423</v>
      </c>
      <c r="AI61" s="51">
        <v>0</v>
      </c>
      <c r="AJ61" s="143">
        <f>_xlfn.XLOOKUP($B61,'IS &amp; BS Projections'!$B:$B,'IS &amp; BS Projections'!AK:AK)</f>
        <v>0</v>
      </c>
      <c r="AK61" s="143">
        <f>_xlfn.XLOOKUP($B61,'IS &amp; BS Projections'!$B:$B,'IS &amp; BS Projections'!AL:AL)</f>
        <v>0</v>
      </c>
      <c r="AL61" s="143">
        <f>_xlfn.XLOOKUP($B61,'IS &amp; BS Projections'!$B:$B,'IS &amp; BS Projections'!AM:AM)</f>
        <v>0</v>
      </c>
      <c r="AM61" s="143">
        <f>_xlfn.XLOOKUP($B61,'IS &amp; BS Projections'!$B:$B,'IS &amp; BS Projections'!AN:AN)</f>
        <v>0</v>
      </c>
      <c r="AN61" s="143">
        <f>_xlfn.XLOOKUP($B61,'IS &amp; BS Projections'!$B:$B,'IS &amp; BS Projections'!AO:AO)</f>
        <v>0</v>
      </c>
      <c r="AO61" s="143">
        <f>_xlfn.XLOOKUP($B61,'IS &amp; BS Projections'!$B:$B,'IS &amp; BS Projections'!AP:AP)</f>
        <v>0</v>
      </c>
      <c r="AP61" s="143">
        <f>_xlfn.XLOOKUP($B61,'IS &amp; BS Projections'!$B:$B,'IS &amp; BS Projections'!AQ:AQ)</f>
        <v>0</v>
      </c>
      <c r="AQ61" s="143">
        <f>_xlfn.XLOOKUP($B61,'IS &amp; BS Projections'!$B:$B,'IS &amp; BS Projections'!AR:AR)</f>
        <v>0</v>
      </c>
      <c r="AR61" s="143">
        <f>_xlfn.XLOOKUP($B61,'IS &amp; BS Projections'!$B:$B,'IS &amp; BS Projections'!AS:AS)</f>
        <v>0</v>
      </c>
      <c r="AS61" s="143">
        <f>_xlfn.XLOOKUP($B61,'IS &amp; BS Projections'!$B:$B,'IS &amp; BS Projections'!AT:AT)</f>
        <v>0</v>
      </c>
      <c r="AT61" s="143">
        <f>_xlfn.XLOOKUP($B61,'IS &amp; BS Projections'!$B:$B,'IS &amp; BS Projections'!AU:AU)</f>
        <v>0</v>
      </c>
      <c r="AU61" s="143">
        <f>_xlfn.XLOOKUP($B61,'IS &amp; BS Projections'!$B:$B,'IS &amp; BS Projections'!AV:AV)</f>
        <v>0</v>
      </c>
      <c r="AV61" s="143">
        <f>_xlfn.XLOOKUP($B61,'IS &amp; BS Projections'!$B:$B,'IS &amp; BS Projections'!AW:AW)</f>
        <v>0</v>
      </c>
      <c r="AW61" s="143">
        <f>_xlfn.XLOOKUP($B61,'IS &amp; BS Projections'!$B:$B,'IS &amp; BS Projections'!AX:AX)</f>
        <v>0</v>
      </c>
      <c r="AX61" s="143">
        <f>_xlfn.XLOOKUP($B61,'IS &amp; BS Projections'!$B:$B,'IS &amp; BS Projections'!AY:AY)</f>
        <v>0</v>
      </c>
      <c r="AY61" s="143">
        <f>_xlfn.XLOOKUP($B61,'IS &amp; BS Projections'!$B:$B,'IS &amp; BS Projections'!AZ:AZ)</f>
        <v>0</v>
      </c>
      <c r="AZ61" s="143">
        <f>_xlfn.XLOOKUP($B61,'IS &amp; BS Projections'!$B:$B,'IS &amp; BS Projections'!BA:BA)</f>
        <v>0</v>
      </c>
      <c r="BA61" s="143">
        <f>_xlfn.XLOOKUP($B61,'IS &amp; BS Projections'!$B:$B,'IS &amp; BS Projections'!BB:BB)</f>
        <v>0</v>
      </c>
      <c r="BB61" s="143">
        <f>_xlfn.XLOOKUP($B61,'IS &amp; BS Projections'!$B:$B,'IS &amp; BS Projections'!BC:BC)</f>
        <v>0</v>
      </c>
      <c r="BC61" s="143">
        <f>_xlfn.XLOOKUP($B61,'IS &amp; BS Projections'!$B:$B,'IS &amp; BS Projections'!BD:BD)</f>
        <v>0</v>
      </c>
      <c r="BD61" s="139">
        <f t="shared" si="280"/>
        <v>0</v>
      </c>
      <c r="BE61" s="1" t="str">
        <f t="shared" si="269"/>
        <v>YES</v>
      </c>
    </row>
    <row r="62" spans="1:57" x14ac:dyDescent="0.15">
      <c r="B62" s="1" t="s">
        <v>68</v>
      </c>
      <c r="D62" s="43" t="s">
        <v>33</v>
      </c>
      <c r="E62" s="50">
        <f t="shared" si="270"/>
        <v>0</v>
      </c>
      <c r="F62" s="50">
        <f t="shared" si="271"/>
        <v>0</v>
      </c>
      <c r="G62" s="50">
        <f t="shared" si="272"/>
        <v>168290</v>
      </c>
      <c r="H62" s="50">
        <f t="shared" si="273"/>
        <v>265251</v>
      </c>
      <c r="I62" s="50">
        <f t="shared" si="274"/>
        <v>307119</v>
      </c>
      <c r="J62" s="50">
        <f t="shared" si="275"/>
        <v>203136.29524696706</v>
      </c>
      <c r="K62" s="50">
        <f t="shared" si="276"/>
        <v>229401.7581995397</v>
      </c>
      <c r="L62" s="50">
        <f t="shared" si="277"/>
        <v>256793.69252109123</v>
      </c>
      <c r="M62" s="50">
        <f t="shared" si="278"/>
        <v>299929.48372290545</v>
      </c>
      <c r="N62" s="50">
        <f t="shared" si="279"/>
        <v>369352.63113511587</v>
      </c>
      <c r="P62" s="51">
        <v>0</v>
      </c>
      <c r="Q62" s="51">
        <v>0</v>
      </c>
      <c r="R62" s="51">
        <v>0</v>
      </c>
      <c r="S62" s="51">
        <v>0</v>
      </c>
      <c r="T62" s="51">
        <v>0</v>
      </c>
      <c r="U62" s="51">
        <v>0</v>
      </c>
      <c r="V62" s="51">
        <v>0</v>
      </c>
      <c r="W62" s="51">
        <v>0</v>
      </c>
      <c r="X62" s="51">
        <v>0</v>
      </c>
      <c r="Y62" s="51">
        <v>0</v>
      </c>
      <c r="Z62" s="51">
        <v>0</v>
      </c>
      <c r="AA62" s="51">
        <v>168290</v>
      </c>
      <c r="AB62" s="51">
        <v>0</v>
      </c>
      <c r="AC62" s="51">
        <v>0</v>
      </c>
      <c r="AD62" s="51">
        <v>0</v>
      </c>
      <c r="AE62" s="51">
        <v>265251</v>
      </c>
      <c r="AF62" s="51">
        <v>0</v>
      </c>
      <c r="AG62" s="51">
        <v>0</v>
      </c>
      <c r="AH62" s="51">
        <v>0</v>
      </c>
      <c r="AI62" s="51">
        <v>307119</v>
      </c>
      <c r="AJ62" s="143">
        <f>_xlfn.XLOOKUP($B62,'IS &amp; BS Projections'!$B:$B,'IS &amp; BS Projections'!AK:AK)</f>
        <v>0</v>
      </c>
      <c r="AK62" s="143">
        <f>_xlfn.XLOOKUP($B62,'IS &amp; BS Projections'!$B:$B,'IS &amp; BS Projections'!AL:AL)</f>
        <v>0</v>
      </c>
      <c r="AL62" s="143">
        <f>_xlfn.XLOOKUP($B62,'IS &amp; BS Projections'!$B:$B,'IS &amp; BS Projections'!AM:AM)</f>
        <v>0</v>
      </c>
      <c r="AM62" s="143">
        <f>_xlfn.XLOOKUP($B62,'IS &amp; BS Projections'!$B:$B,'IS &amp; BS Projections'!AN:AN)</f>
        <v>203136.29524696706</v>
      </c>
      <c r="AN62" s="143">
        <f>_xlfn.XLOOKUP($B62,'IS &amp; BS Projections'!$B:$B,'IS &amp; BS Projections'!AO:AO)</f>
        <v>0</v>
      </c>
      <c r="AO62" s="143">
        <f>_xlfn.XLOOKUP($B62,'IS &amp; BS Projections'!$B:$B,'IS &amp; BS Projections'!AP:AP)</f>
        <v>0</v>
      </c>
      <c r="AP62" s="143">
        <f>_xlfn.XLOOKUP($B62,'IS &amp; BS Projections'!$B:$B,'IS &amp; BS Projections'!AQ:AQ)</f>
        <v>0</v>
      </c>
      <c r="AQ62" s="143">
        <f>_xlfn.XLOOKUP($B62,'IS &amp; BS Projections'!$B:$B,'IS &amp; BS Projections'!AR:AR)</f>
        <v>229401.7581995397</v>
      </c>
      <c r="AR62" s="143">
        <f>_xlfn.XLOOKUP($B62,'IS &amp; BS Projections'!$B:$B,'IS &amp; BS Projections'!AS:AS)</f>
        <v>0</v>
      </c>
      <c r="AS62" s="143">
        <f>_xlfn.XLOOKUP($B62,'IS &amp; BS Projections'!$B:$B,'IS &amp; BS Projections'!AT:AT)</f>
        <v>0</v>
      </c>
      <c r="AT62" s="143">
        <f>_xlfn.XLOOKUP($B62,'IS &amp; BS Projections'!$B:$B,'IS &amp; BS Projections'!AU:AU)</f>
        <v>0</v>
      </c>
      <c r="AU62" s="143">
        <f>_xlfn.XLOOKUP($B62,'IS &amp; BS Projections'!$B:$B,'IS &amp; BS Projections'!AV:AV)</f>
        <v>256793.69252109123</v>
      </c>
      <c r="AV62" s="143">
        <f>_xlfn.XLOOKUP($B62,'IS &amp; BS Projections'!$B:$B,'IS &amp; BS Projections'!AW:AW)</f>
        <v>0</v>
      </c>
      <c r="AW62" s="143">
        <f>_xlfn.XLOOKUP($B62,'IS &amp; BS Projections'!$B:$B,'IS &amp; BS Projections'!AX:AX)</f>
        <v>0</v>
      </c>
      <c r="AX62" s="143">
        <f>_xlfn.XLOOKUP($B62,'IS &amp; BS Projections'!$B:$B,'IS &amp; BS Projections'!AY:AY)</f>
        <v>0</v>
      </c>
      <c r="AY62" s="143">
        <f>_xlfn.XLOOKUP($B62,'IS &amp; BS Projections'!$B:$B,'IS &amp; BS Projections'!AZ:AZ)</f>
        <v>299929.48372290545</v>
      </c>
      <c r="AZ62" s="143">
        <f>_xlfn.XLOOKUP($B62,'IS &amp; BS Projections'!$B:$B,'IS &amp; BS Projections'!BA:BA)</f>
        <v>0</v>
      </c>
      <c r="BA62" s="143">
        <f>_xlfn.XLOOKUP($B62,'IS &amp; BS Projections'!$B:$B,'IS &amp; BS Projections'!BB:BB)</f>
        <v>0</v>
      </c>
      <c r="BB62" s="143">
        <f>_xlfn.XLOOKUP($B62,'IS &amp; BS Projections'!$B:$B,'IS &amp; BS Projections'!BC:BC)</f>
        <v>0</v>
      </c>
      <c r="BC62" s="143">
        <f>_xlfn.XLOOKUP($B62,'IS &amp; BS Projections'!$B:$B,'IS &amp; BS Projections'!BD:BD)</f>
        <v>369352.63113511587</v>
      </c>
      <c r="BD62" s="139">
        <f t="shared" si="280"/>
        <v>307119</v>
      </c>
      <c r="BE62" s="1" t="str">
        <f t="shared" si="269"/>
        <v>YES</v>
      </c>
    </row>
    <row r="63" spans="1:57" x14ac:dyDescent="0.15">
      <c r="B63" s="1" t="s">
        <v>69</v>
      </c>
      <c r="D63" s="43" t="s">
        <v>33</v>
      </c>
      <c r="E63" s="50">
        <f t="shared" si="270"/>
        <v>304706</v>
      </c>
      <c r="F63" s="50">
        <f t="shared" si="271"/>
        <v>404376</v>
      </c>
      <c r="G63" s="50">
        <f t="shared" si="272"/>
        <v>0</v>
      </c>
      <c r="H63" s="50">
        <f t="shared" si="273"/>
        <v>0</v>
      </c>
      <c r="I63" s="50">
        <f t="shared" si="274"/>
        <v>0</v>
      </c>
      <c r="J63" s="50">
        <f t="shared" si="275"/>
        <v>0</v>
      </c>
      <c r="K63" s="50">
        <f t="shared" si="276"/>
        <v>0</v>
      </c>
      <c r="L63" s="50">
        <f t="shared" si="277"/>
        <v>0</v>
      </c>
      <c r="M63" s="50">
        <f t="shared" si="278"/>
        <v>0</v>
      </c>
      <c r="N63" s="50">
        <f t="shared" si="279"/>
        <v>0</v>
      </c>
      <c r="P63" s="51">
        <v>208828</v>
      </c>
      <c r="Q63" s="51">
        <v>184579</v>
      </c>
      <c r="R63" s="51">
        <v>237131</v>
      </c>
      <c r="S63" s="51">
        <v>304706</v>
      </c>
      <c r="T63" s="51">
        <v>346048</v>
      </c>
      <c r="U63" s="51">
        <v>245616</v>
      </c>
      <c r="V63" s="51">
        <v>240354</v>
      </c>
      <c r="W63" s="51">
        <v>404376</v>
      </c>
      <c r="X63" s="51">
        <v>480404</v>
      </c>
      <c r="Y63" s="51">
        <v>427210</v>
      </c>
      <c r="Z63" s="51">
        <v>397466</v>
      </c>
      <c r="AA63" s="51">
        <v>0</v>
      </c>
      <c r="AB63" s="51">
        <v>0</v>
      </c>
      <c r="AC63" s="51">
        <v>0</v>
      </c>
      <c r="AD63" s="51">
        <v>0</v>
      </c>
      <c r="AE63" s="51">
        <v>0</v>
      </c>
      <c r="AF63" s="51">
        <v>0</v>
      </c>
      <c r="AG63" s="51">
        <v>0</v>
      </c>
      <c r="AH63" s="51">
        <v>0</v>
      </c>
      <c r="AI63" s="51">
        <v>0</v>
      </c>
      <c r="AJ63" s="143">
        <f>_xlfn.XLOOKUP($B63,'IS &amp; BS Projections'!$B:$B,'IS &amp; BS Projections'!AK:AK)</f>
        <v>216064.77361551806</v>
      </c>
      <c r="AK63" s="143">
        <f>_xlfn.XLOOKUP($B63,'IS &amp; BS Projections'!$B:$B,'IS &amp; BS Projections'!AL:AL)</f>
        <v>147755.41715629108</v>
      </c>
      <c r="AL63" s="143">
        <f>_xlfn.XLOOKUP($B63,'IS &amp; BS Projections'!$B:$B,'IS &amp; BS Projections'!AM:AM)</f>
        <v>429076.11596623366</v>
      </c>
      <c r="AM63" s="143">
        <f>_xlfn.XLOOKUP($B63,'IS &amp; BS Projections'!$B:$B,'IS &amp; BS Projections'!AN:AN)</f>
        <v>0</v>
      </c>
      <c r="AN63" s="143">
        <f>_xlfn.XLOOKUP($B63,'IS &amp; BS Projections'!$B:$B,'IS &amp; BS Projections'!AO:AO)</f>
        <v>225478.56239167546</v>
      </c>
      <c r="AO63" s="143">
        <f>_xlfn.XLOOKUP($B63,'IS &amp; BS Projections'!$B:$B,'IS &amp; BS Projections'!AP:AP)</f>
        <v>168098.49705406636</v>
      </c>
      <c r="AP63" s="143">
        <f>_xlfn.XLOOKUP($B63,'IS &amp; BS Projections'!$B:$B,'IS &amp; BS Projections'!AQ:AQ)</f>
        <v>495133.85925482574</v>
      </c>
      <c r="AQ63" s="143">
        <f>_xlfn.XLOOKUP($B63,'IS &amp; BS Projections'!$B:$B,'IS &amp; BS Projections'!AR:AR)</f>
        <v>0</v>
      </c>
      <c r="AR63" s="143">
        <f>_xlfn.XLOOKUP($B63,'IS &amp; BS Projections'!$B:$B,'IS &amp; BS Projections'!AS:AS)</f>
        <v>242750.46739320553</v>
      </c>
      <c r="AS63" s="143">
        <f>_xlfn.XLOOKUP($B63,'IS &amp; BS Projections'!$B:$B,'IS &amp; BS Projections'!AT:AT)</f>
        <v>192359.08164932346</v>
      </c>
      <c r="AT63" s="143">
        <f>_xlfn.XLOOKUP($B63,'IS &amp; BS Projections'!$B:$B,'IS &amp; BS Projections'!AU:AU)</f>
        <v>557953.39120600489</v>
      </c>
      <c r="AU63" s="143">
        <f>_xlfn.XLOOKUP($B63,'IS &amp; BS Projections'!$B:$B,'IS &amp; BS Projections'!AV:AV)</f>
        <v>0</v>
      </c>
      <c r="AV63" s="143">
        <f>_xlfn.XLOOKUP($B63,'IS &amp; BS Projections'!$B:$B,'IS &amp; BS Projections'!AW:AW)</f>
        <v>271004.64432653674</v>
      </c>
      <c r="AW63" s="143">
        <f>_xlfn.XLOOKUP($B63,'IS &amp; BS Projections'!$B:$B,'IS &amp; BS Projections'!AX:AX)</f>
        <v>228775.85576763531</v>
      </c>
      <c r="AX63" s="143">
        <f>_xlfn.XLOOKUP($B63,'IS &amp; BS Projections'!$B:$B,'IS &amp; BS Projections'!AY:AY)</f>
        <v>655584.4940288231</v>
      </c>
      <c r="AY63" s="143">
        <f>_xlfn.XLOOKUP($B63,'IS &amp; BS Projections'!$B:$B,'IS &amp; BS Projections'!AZ:AZ)</f>
        <v>0</v>
      </c>
      <c r="AZ63" s="143">
        <f>_xlfn.XLOOKUP($B63,'IS &amp; BS Projections'!$B:$B,'IS &amp; BS Projections'!BA:BA)</f>
        <v>311366.9273457402</v>
      </c>
      <c r="BA63" s="143">
        <f>_xlfn.XLOOKUP($B63,'IS &amp; BS Projections'!$B:$B,'IS &amp; BS Projections'!BB:BB)</f>
        <v>287689.27882265794</v>
      </c>
      <c r="BB63" s="143">
        <f>_xlfn.XLOOKUP($B63,'IS &amp; BS Projections'!$B:$B,'IS &amp; BS Projections'!BC:BC)</f>
        <v>816910.28364566888</v>
      </c>
      <c r="BC63" s="143">
        <f>_xlfn.XLOOKUP($B63,'IS &amp; BS Projections'!$B:$B,'IS &amp; BS Projections'!BD:BD)</f>
        <v>0</v>
      </c>
      <c r="BD63" s="139">
        <f t="shared" si="280"/>
        <v>-216064.77361551806</v>
      </c>
      <c r="BE63" s="1" t="str">
        <f t="shared" si="269"/>
        <v>YES</v>
      </c>
    </row>
    <row r="64" spans="1:57" x14ac:dyDescent="0.15">
      <c r="B64" s="1" t="s">
        <v>70</v>
      </c>
      <c r="D64" s="43" t="s">
        <v>33</v>
      </c>
      <c r="E64" s="50">
        <f t="shared" si="270"/>
        <v>61231</v>
      </c>
      <c r="F64" s="50">
        <f t="shared" si="271"/>
        <v>60441</v>
      </c>
      <c r="G64" s="50">
        <f t="shared" si="272"/>
        <v>0</v>
      </c>
      <c r="H64" s="50">
        <f t="shared" si="273"/>
        <v>0</v>
      </c>
      <c r="I64" s="50">
        <f t="shared" si="274"/>
        <v>0</v>
      </c>
      <c r="J64" s="50">
        <f t="shared" si="275"/>
        <v>0</v>
      </c>
      <c r="K64" s="50">
        <f t="shared" si="276"/>
        <v>0</v>
      </c>
      <c r="L64" s="50">
        <f t="shared" si="277"/>
        <v>0</v>
      </c>
      <c r="M64" s="50">
        <f t="shared" si="278"/>
        <v>0</v>
      </c>
      <c r="N64" s="50">
        <f t="shared" si="279"/>
        <v>0</v>
      </c>
      <c r="P64" s="51">
        <v>0</v>
      </c>
      <c r="Q64" s="51">
        <v>435096</v>
      </c>
      <c r="R64" s="51">
        <v>94689</v>
      </c>
      <c r="S64" s="51">
        <v>61231</v>
      </c>
      <c r="T64" s="51">
        <v>56767</v>
      </c>
      <c r="U64" s="51">
        <v>62406</v>
      </c>
      <c r="V64" s="51">
        <v>60522</v>
      </c>
      <c r="W64" s="51">
        <v>60441</v>
      </c>
      <c r="X64" s="51">
        <v>67947</v>
      </c>
      <c r="Y64" s="51">
        <v>64759</v>
      </c>
      <c r="Z64" s="51">
        <v>69727</v>
      </c>
      <c r="AA64" s="51">
        <v>0</v>
      </c>
      <c r="AB64" s="51">
        <v>0</v>
      </c>
      <c r="AC64" s="51">
        <v>0</v>
      </c>
      <c r="AD64" s="51">
        <v>0</v>
      </c>
      <c r="AE64" s="51">
        <v>0</v>
      </c>
      <c r="AF64" s="51">
        <v>0</v>
      </c>
      <c r="AG64" s="51">
        <v>0</v>
      </c>
      <c r="AH64" s="51">
        <v>0</v>
      </c>
      <c r="AI64" s="51">
        <v>0</v>
      </c>
      <c r="AJ64" s="143">
        <f>_xlfn.XLOOKUP($B64,'IS &amp; BS Projections'!$B:$B,'IS &amp; BS Projections'!AK:AK)</f>
        <v>0</v>
      </c>
      <c r="AK64" s="143">
        <f>_xlfn.XLOOKUP($B64,'IS &amp; BS Projections'!$B:$B,'IS &amp; BS Projections'!AL:AL)</f>
        <v>137692.16820139685</v>
      </c>
      <c r="AL64" s="143">
        <f>_xlfn.XLOOKUP($B64,'IS &amp; BS Projections'!$B:$B,'IS &amp; BS Projections'!AM:AM)</f>
        <v>171334.78265063066</v>
      </c>
      <c r="AM64" s="143">
        <f>_xlfn.XLOOKUP($B64,'IS &amp; BS Projections'!$B:$B,'IS &amp; BS Projections'!AN:AN)</f>
        <v>0</v>
      </c>
      <c r="AN64" s="143">
        <f>_xlfn.XLOOKUP($B64,'IS &amp; BS Projections'!$B:$B,'IS &amp; BS Projections'!AO:AO)</f>
        <v>0</v>
      </c>
      <c r="AO64" s="143">
        <f>_xlfn.XLOOKUP($B64,'IS &amp; BS Projections'!$B:$B,'IS &amp; BS Projections'!AP:AP)</f>
        <v>156649.73221447144</v>
      </c>
      <c r="AP64" s="143">
        <f>_xlfn.XLOOKUP($B64,'IS &amp; BS Projections'!$B:$B,'IS &amp; BS Projections'!AQ:AQ)</f>
        <v>197712.36151738995</v>
      </c>
      <c r="AQ64" s="143">
        <f>_xlfn.XLOOKUP($B64,'IS &amp; BS Projections'!$B:$B,'IS &amp; BS Projections'!AR:AR)</f>
        <v>0</v>
      </c>
      <c r="AR64" s="143">
        <f>_xlfn.XLOOKUP($B64,'IS &amp; BS Projections'!$B:$B,'IS &amp; BS Projections'!AS:AS)</f>
        <v>0</v>
      </c>
      <c r="AS64" s="143">
        <f>_xlfn.XLOOKUP($B64,'IS &amp; BS Projections'!$B:$B,'IS &amp; BS Projections'!AT:AT)</f>
        <v>179257.98955654161</v>
      </c>
      <c r="AT64" s="143">
        <f>_xlfn.XLOOKUP($B64,'IS &amp; BS Projections'!$B:$B,'IS &amp; BS Projections'!AU:AU)</f>
        <v>222796.88720540717</v>
      </c>
      <c r="AU64" s="143">
        <f>_xlfn.XLOOKUP($B64,'IS &amp; BS Projections'!$B:$B,'IS &amp; BS Projections'!AV:AV)</f>
        <v>0</v>
      </c>
      <c r="AV64" s="143">
        <f>_xlfn.XLOOKUP($B64,'IS &amp; BS Projections'!$B:$B,'IS &amp; BS Projections'!AW:AW)</f>
        <v>0</v>
      </c>
      <c r="AW64" s="143">
        <f>_xlfn.XLOOKUP($B64,'IS &amp; BS Projections'!$B:$B,'IS &amp; BS Projections'!AX:AX)</f>
        <v>213194.50900033902</v>
      </c>
      <c r="AX64" s="143">
        <f>_xlfn.XLOOKUP($B64,'IS &amp; BS Projections'!$B:$B,'IS &amp; BS Projections'!AY:AY)</f>
        <v>261782.05361211835</v>
      </c>
      <c r="AY64" s="143">
        <f>_xlfn.XLOOKUP($B64,'IS &amp; BS Projections'!$B:$B,'IS &amp; BS Projections'!AZ:AZ)</f>
        <v>0</v>
      </c>
      <c r="AZ64" s="143">
        <f>_xlfn.XLOOKUP($B64,'IS &amp; BS Projections'!$B:$B,'IS &amp; BS Projections'!BA:BA)</f>
        <v>0</v>
      </c>
      <c r="BA64" s="143">
        <f>_xlfn.XLOOKUP($B64,'IS &amp; BS Projections'!$B:$B,'IS &amp; BS Projections'!BB:BB)</f>
        <v>268095.48733828851</v>
      </c>
      <c r="BB64" s="143">
        <f>_xlfn.XLOOKUP($B64,'IS &amp; BS Projections'!$B:$B,'IS &amp; BS Projections'!BC:BC)</f>
        <v>326201.20460051508</v>
      </c>
      <c r="BC64" s="143">
        <f>_xlfn.XLOOKUP($B64,'IS &amp; BS Projections'!$B:$B,'IS &amp; BS Projections'!BD:BD)</f>
        <v>0</v>
      </c>
      <c r="BD64" s="139">
        <f t="shared" si="280"/>
        <v>0</v>
      </c>
      <c r="BE64" s="1" t="str">
        <f t="shared" si="269"/>
        <v>YES</v>
      </c>
    </row>
    <row r="65" spans="2:57" x14ac:dyDescent="0.15">
      <c r="B65" s="1" t="s">
        <v>71</v>
      </c>
      <c r="D65" s="43" t="s">
        <v>33</v>
      </c>
      <c r="E65" s="50">
        <f t="shared" si="270"/>
        <v>0</v>
      </c>
      <c r="F65" s="50">
        <f t="shared" si="271"/>
        <v>0</v>
      </c>
      <c r="G65" s="50">
        <f t="shared" si="272"/>
        <v>193425</v>
      </c>
      <c r="H65" s="50">
        <f t="shared" si="273"/>
        <v>644165</v>
      </c>
      <c r="I65" s="50">
        <f t="shared" si="274"/>
        <v>1354692</v>
      </c>
      <c r="J65" s="50">
        <f t="shared" si="275"/>
        <v>352798.71580453159</v>
      </c>
      <c r="K65" s="50">
        <f t="shared" si="276"/>
        <v>398415.48551283655</v>
      </c>
      <c r="L65" s="50">
        <f t="shared" si="277"/>
        <v>445988.6641035775</v>
      </c>
      <c r="M65" s="50">
        <f t="shared" si="278"/>
        <v>520905.12215313769</v>
      </c>
      <c r="N65" s="50">
        <f t="shared" si="279"/>
        <v>641476.37321567873</v>
      </c>
      <c r="P65" s="51">
        <v>0</v>
      </c>
      <c r="Q65" s="51">
        <v>0</v>
      </c>
      <c r="R65" s="51">
        <v>0</v>
      </c>
      <c r="S65" s="51">
        <v>0</v>
      </c>
      <c r="T65" s="51">
        <v>0</v>
      </c>
      <c r="U65" s="51">
        <v>0</v>
      </c>
      <c r="V65" s="51">
        <v>0</v>
      </c>
      <c r="W65" s="51">
        <v>0</v>
      </c>
      <c r="X65" s="51">
        <v>0</v>
      </c>
      <c r="Y65" s="51">
        <v>0</v>
      </c>
      <c r="Z65" s="51">
        <v>0</v>
      </c>
      <c r="AA65" s="51">
        <v>193425</v>
      </c>
      <c r="AB65" s="51">
        <v>529143</v>
      </c>
      <c r="AC65" s="51">
        <v>440351</v>
      </c>
      <c r="AD65" s="51">
        <v>398239</v>
      </c>
      <c r="AE65" s="51">
        <v>644165</v>
      </c>
      <c r="AF65" s="51">
        <v>454473</v>
      </c>
      <c r="AG65" s="51">
        <v>803366</v>
      </c>
      <c r="AH65" s="51">
        <v>859056</v>
      </c>
      <c r="AI65" s="51">
        <v>1354692</v>
      </c>
      <c r="AJ65" s="143">
        <f>_xlfn.XLOOKUP($B65,'IS &amp; BS Projections'!$B:$B,'IS &amp; BS Projections'!AK:AK)</f>
        <v>0</v>
      </c>
      <c r="AK65" s="143">
        <f>_xlfn.XLOOKUP($B65,'IS &amp; BS Projections'!$B:$B,'IS &amp; BS Projections'!AL:AL)</f>
        <v>0</v>
      </c>
      <c r="AL65" s="143">
        <f>_xlfn.XLOOKUP($B65,'IS &amp; BS Projections'!$B:$B,'IS &amp; BS Projections'!AM:AM)</f>
        <v>0</v>
      </c>
      <c r="AM65" s="143">
        <f>_xlfn.XLOOKUP($B65,'IS &amp; BS Projections'!$B:$B,'IS &amp; BS Projections'!AN:AN)</f>
        <v>352798.71580453159</v>
      </c>
      <c r="AN65" s="143">
        <f>_xlfn.XLOOKUP($B65,'IS &amp; BS Projections'!$B:$B,'IS &amp; BS Projections'!AO:AO)</f>
        <v>0</v>
      </c>
      <c r="AO65" s="143">
        <f>_xlfn.XLOOKUP($B65,'IS &amp; BS Projections'!$B:$B,'IS &amp; BS Projections'!AP:AP)</f>
        <v>0</v>
      </c>
      <c r="AP65" s="143">
        <f>_xlfn.XLOOKUP($B65,'IS &amp; BS Projections'!$B:$B,'IS &amp; BS Projections'!AQ:AQ)</f>
        <v>0</v>
      </c>
      <c r="AQ65" s="143">
        <f>_xlfn.XLOOKUP($B65,'IS &amp; BS Projections'!$B:$B,'IS &amp; BS Projections'!AR:AR)</f>
        <v>398415.48551283655</v>
      </c>
      <c r="AR65" s="143">
        <f>_xlfn.XLOOKUP($B65,'IS &amp; BS Projections'!$B:$B,'IS &amp; BS Projections'!AS:AS)</f>
        <v>0</v>
      </c>
      <c r="AS65" s="143">
        <f>_xlfn.XLOOKUP($B65,'IS &amp; BS Projections'!$B:$B,'IS &amp; BS Projections'!AT:AT)</f>
        <v>0</v>
      </c>
      <c r="AT65" s="143">
        <f>_xlfn.XLOOKUP($B65,'IS &amp; BS Projections'!$B:$B,'IS &amp; BS Projections'!AU:AU)</f>
        <v>0</v>
      </c>
      <c r="AU65" s="143">
        <f>_xlfn.XLOOKUP($B65,'IS &amp; BS Projections'!$B:$B,'IS &amp; BS Projections'!AV:AV)</f>
        <v>445988.6641035775</v>
      </c>
      <c r="AV65" s="143">
        <f>_xlfn.XLOOKUP($B65,'IS &amp; BS Projections'!$B:$B,'IS &amp; BS Projections'!AW:AW)</f>
        <v>0</v>
      </c>
      <c r="AW65" s="143">
        <f>_xlfn.XLOOKUP($B65,'IS &amp; BS Projections'!$B:$B,'IS &amp; BS Projections'!AX:AX)</f>
        <v>0</v>
      </c>
      <c r="AX65" s="143">
        <f>_xlfn.XLOOKUP($B65,'IS &amp; BS Projections'!$B:$B,'IS &amp; BS Projections'!AY:AY)</f>
        <v>0</v>
      </c>
      <c r="AY65" s="143">
        <f>_xlfn.XLOOKUP($B65,'IS &amp; BS Projections'!$B:$B,'IS &amp; BS Projections'!AZ:AZ)</f>
        <v>520905.12215313769</v>
      </c>
      <c r="AZ65" s="143">
        <f>_xlfn.XLOOKUP($B65,'IS &amp; BS Projections'!$B:$B,'IS &amp; BS Projections'!BA:BA)</f>
        <v>0</v>
      </c>
      <c r="BA65" s="143">
        <f>_xlfn.XLOOKUP($B65,'IS &amp; BS Projections'!$B:$B,'IS &amp; BS Projections'!BB:BB)</f>
        <v>0</v>
      </c>
      <c r="BB65" s="143">
        <f>_xlfn.XLOOKUP($B65,'IS &amp; BS Projections'!$B:$B,'IS &amp; BS Projections'!BC:BC)</f>
        <v>0</v>
      </c>
      <c r="BC65" s="143">
        <f>_xlfn.XLOOKUP($B65,'IS &amp; BS Projections'!$B:$B,'IS &amp; BS Projections'!BD:BD)</f>
        <v>641476.37321567873</v>
      </c>
      <c r="BD65" s="139">
        <f t="shared" si="280"/>
        <v>1354692</v>
      </c>
      <c r="BE65" s="1" t="str">
        <f t="shared" si="269"/>
        <v>YES</v>
      </c>
    </row>
    <row r="66" spans="2:57" x14ac:dyDescent="0.15">
      <c r="B66" s="1" t="s">
        <v>72</v>
      </c>
      <c r="D66" s="43" t="s">
        <v>33</v>
      </c>
      <c r="E66" s="50">
        <f t="shared" si="270"/>
        <v>135849</v>
      </c>
      <c r="F66" s="50">
        <f t="shared" si="271"/>
        <v>217048</v>
      </c>
      <c r="G66" s="50">
        <f t="shared" si="272"/>
        <v>0</v>
      </c>
      <c r="H66" s="50">
        <f t="shared" si="273"/>
        <v>0</v>
      </c>
      <c r="I66" s="50">
        <f t="shared" si="274"/>
        <v>0</v>
      </c>
      <c r="J66" s="50">
        <f t="shared" si="275"/>
        <v>0</v>
      </c>
      <c r="K66" s="50">
        <f t="shared" si="276"/>
        <v>0</v>
      </c>
      <c r="L66" s="50">
        <f t="shared" si="277"/>
        <v>0</v>
      </c>
      <c r="M66" s="50">
        <f t="shared" si="278"/>
        <v>0</v>
      </c>
      <c r="N66" s="50">
        <f t="shared" si="279"/>
        <v>0</v>
      </c>
      <c r="P66" s="51">
        <v>55662</v>
      </c>
      <c r="Q66" s="51">
        <v>114751</v>
      </c>
      <c r="R66" s="51">
        <v>105165</v>
      </c>
      <c r="S66" s="51">
        <v>135849</v>
      </c>
      <c r="T66" s="51">
        <v>191068</v>
      </c>
      <c r="U66" s="51">
        <v>146463</v>
      </c>
      <c r="V66" s="51">
        <v>277044</v>
      </c>
      <c r="W66" s="51">
        <v>217048</v>
      </c>
      <c r="X66" s="51">
        <v>219075</v>
      </c>
      <c r="Y66" s="51">
        <v>175399</v>
      </c>
      <c r="Z66" s="51">
        <v>157714</v>
      </c>
      <c r="AA66" s="51">
        <v>0</v>
      </c>
      <c r="AB66" s="51">
        <v>0</v>
      </c>
      <c r="AC66" s="51">
        <v>0</v>
      </c>
      <c r="AD66" s="51">
        <v>0</v>
      </c>
      <c r="AE66" s="51">
        <v>0</v>
      </c>
      <c r="AF66" s="51">
        <v>0</v>
      </c>
      <c r="AG66" s="51">
        <v>0</v>
      </c>
      <c r="AH66" s="51">
        <v>0</v>
      </c>
      <c r="AI66" s="51">
        <v>0</v>
      </c>
      <c r="AJ66" s="143">
        <f>_xlfn.XLOOKUP($B66,'IS &amp; BS Projections'!$B:$B,'IS &amp; BS Projections'!AK:AK)</f>
        <v>57590.923769738583</v>
      </c>
      <c r="AK66" s="143">
        <f>_xlfn.XLOOKUP($B66,'IS &amp; BS Projections'!$B:$B,'IS &amp; BS Projections'!AL:AL)</f>
        <v>91858.130524607666</v>
      </c>
      <c r="AL66" s="143">
        <f>_xlfn.XLOOKUP($B66,'IS &amp; BS Projections'!$B:$B,'IS &amp; BS Projections'!AM:AM)</f>
        <v>190290.55558146746</v>
      </c>
      <c r="AM66" s="143">
        <f>_xlfn.XLOOKUP($B66,'IS &amp; BS Projections'!$B:$B,'IS &amp; BS Projections'!AN:AN)</f>
        <v>0</v>
      </c>
      <c r="AN66" s="143">
        <f>_xlfn.XLOOKUP($B66,'IS &amp; BS Projections'!$B:$B,'IS &amp; BS Projections'!AO:AO)</f>
        <v>60100.119427689016</v>
      </c>
      <c r="AO66" s="143">
        <f>_xlfn.XLOOKUP($B66,'IS &amp; BS Projections'!$B:$B,'IS &amp; BS Projections'!AP:AP)</f>
        <v>104505.22884754588</v>
      </c>
      <c r="AP66" s="143">
        <f>_xlfn.XLOOKUP($B66,'IS &amp; BS Projections'!$B:$B,'IS &amp; BS Projections'!AQ:AQ)</f>
        <v>219586.44086405297</v>
      </c>
      <c r="AQ66" s="143">
        <f>_xlfn.XLOOKUP($B66,'IS &amp; BS Projections'!$B:$B,'IS &amp; BS Projections'!AR:AR)</f>
        <v>0</v>
      </c>
      <c r="AR66" s="143">
        <f>_xlfn.XLOOKUP($B66,'IS &amp; BS Projections'!$B:$B,'IS &amp; BS Projections'!AS:AS)</f>
        <v>65422.786161056276</v>
      </c>
      <c r="AS66" s="143">
        <f>_xlfn.XLOOKUP($B66,'IS &amp; BS Projections'!$B:$B,'IS &amp; BS Projections'!AT:AT)</f>
        <v>119587.80239540531</v>
      </c>
      <c r="AT66" s="143">
        <f>_xlfn.XLOOKUP($B66,'IS &amp; BS Projections'!$B:$B,'IS &amp; BS Projections'!AU:AU)</f>
        <v>247446.21490306838</v>
      </c>
      <c r="AU66" s="143">
        <f>_xlfn.XLOOKUP($B66,'IS &amp; BS Projections'!$B:$B,'IS &amp; BS Projections'!AV:AV)</f>
        <v>0</v>
      </c>
      <c r="AV66" s="143">
        <f>_xlfn.XLOOKUP($B66,'IS &amp; BS Projections'!$B:$B,'IS &amp; BS Projections'!AW:AW)</f>
        <v>72234.856017888829</v>
      </c>
      <c r="AW66" s="143">
        <f>_xlfn.XLOOKUP($B66,'IS &amp; BS Projections'!$B:$B,'IS &amp; BS Projections'!AX:AX)</f>
        <v>142227.76277470309</v>
      </c>
      <c r="AX66" s="143">
        <f>_xlfn.XLOOKUP($B66,'IS &amp; BS Projections'!$B:$B,'IS &amp; BS Projections'!AY:AY)</f>
        <v>290744.53915574588</v>
      </c>
      <c r="AY66" s="143">
        <f>_xlfn.XLOOKUP($B66,'IS &amp; BS Projections'!$B:$B,'IS &amp; BS Projections'!AZ:AZ)</f>
        <v>0</v>
      </c>
      <c r="AZ66" s="143">
        <f>_xlfn.XLOOKUP($B66,'IS &amp; BS Projections'!$B:$B,'IS &amp; BS Projections'!BA:BA)</f>
        <v>82993.209291467589</v>
      </c>
      <c r="BA66" s="143">
        <f>_xlfn.XLOOKUP($B66,'IS &amp; BS Projections'!$B:$B,'IS &amp; BS Projections'!BB:BB)</f>
        <v>178853.6747635366</v>
      </c>
      <c r="BB66" s="143">
        <f>_xlfn.XLOOKUP($B66,'IS &amp; BS Projections'!$B:$B,'IS &amp; BS Projections'!BC:BC)</f>
        <v>362290.75903022703</v>
      </c>
      <c r="BC66" s="143">
        <f>_xlfn.XLOOKUP($B66,'IS &amp; BS Projections'!$B:$B,'IS &amp; BS Projections'!BD:BD)</f>
        <v>0</v>
      </c>
      <c r="BD66" s="139">
        <f t="shared" si="280"/>
        <v>-57590.923769738583</v>
      </c>
      <c r="BE66" s="1" t="str">
        <f t="shared" si="269"/>
        <v>YES</v>
      </c>
    </row>
    <row r="67" spans="2:57" x14ac:dyDescent="0.15">
      <c r="B67" s="1" t="s">
        <v>73</v>
      </c>
      <c r="D67" s="43" t="s">
        <v>33</v>
      </c>
      <c r="E67" s="50">
        <f t="shared" si="270"/>
        <v>30951</v>
      </c>
      <c r="F67" s="50">
        <f t="shared" si="271"/>
        <v>25873</v>
      </c>
      <c r="G67" s="50">
        <f t="shared" si="272"/>
        <v>0</v>
      </c>
      <c r="H67" s="50">
        <f t="shared" si="273"/>
        <v>0</v>
      </c>
      <c r="I67" s="50">
        <f t="shared" si="274"/>
        <v>0</v>
      </c>
      <c r="J67" s="50">
        <f t="shared" si="275"/>
        <v>0</v>
      </c>
      <c r="K67" s="50">
        <f t="shared" si="276"/>
        <v>0</v>
      </c>
      <c r="L67" s="50">
        <f t="shared" si="277"/>
        <v>0</v>
      </c>
      <c r="M67" s="50">
        <f t="shared" si="278"/>
        <v>0</v>
      </c>
      <c r="N67" s="50">
        <f t="shared" si="279"/>
        <v>0</v>
      </c>
      <c r="P67" s="51">
        <v>30841</v>
      </c>
      <c r="Q67" s="51">
        <v>30842</v>
      </c>
      <c r="R67" s="51">
        <v>30884</v>
      </c>
      <c r="S67" s="51">
        <v>30951</v>
      </c>
      <c r="T67" s="51">
        <v>27111</v>
      </c>
      <c r="U67" s="51">
        <v>28962</v>
      </c>
      <c r="V67" s="51">
        <v>23113</v>
      </c>
      <c r="W67" s="51">
        <v>25873</v>
      </c>
      <c r="X67" s="51">
        <v>26712</v>
      </c>
      <c r="Y67" s="51">
        <v>20697</v>
      </c>
      <c r="Z67" s="51">
        <v>26319</v>
      </c>
      <c r="AA67" s="51">
        <v>0</v>
      </c>
      <c r="AB67" s="51">
        <v>33499</v>
      </c>
      <c r="AC67" s="51">
        <v>34282</v>
      </c>
      <c r="AD67" s="51">
        <v>31881</v>
      </c>
      <c r="AE67" s="51">
        <v>0</v>
      </c>
      <c r="AF67" s="51">
        <v>55672</v>
      </c>
      <c r="AG67" s="51">
        <v>69190</v>
      </c>
      <c r="AH67" s="51">
        <v>78867</v>
      </c>
      <c r="AI67" s="51">
        <v>0</v>
      </c>
      <c r="AJ67" s="143">
        <f>_xlfn.XLOOKUP($B67,'IS &amp; BS Projections'!$B:$B,'IS &amp; BS Projections'!AK:AK)</f>
        <v>43313.230797304081</v>
      </c>
      <c r="AK67" s="143">
        <f>_xlfn.XLOOKUP($B67,'IS &amp; BS Projections'!$B:$B,'IS &amp; BS Projections'!AL:AL)</f>
        <v>52143.195405658356</v>
      </c>
      <c r="AL67" s="143">
        <f>_xlfn.XLOOKUP($B67,'IS &amp; BS Projections'!$B:$B,'IS &amp; BS Projections'!AM:AM)</f>
        <v>92675.197873765865</v>
      </c>
      <c r="AM67" s="143">
        <f>_xlfn.XLOOKUP($B67,'IS &amp; BS Projections'!$B:$B,'IS &amp; BS Projections'!AN:AN)</f>
        <v>0</v>
      </c>
      <c r="AN67" s="143">
        <f>_xlfn.XLOOKUP($B67,'IS &amp; BS Projections'!$B:$B,'IS &amp; BS Projections'!AO:AO)</f>
        <v>45200.357509890469</v>
      </c>
      <c r="AO67" s="143">
        <f>_xlfn.XLOOKUP($B67,'IS &amp; BS Projections'!$B:$B,'IS &amp; BS Projections'!AP:AP)</f>
        <v>59322.310802426415</v>
      </c>
      <c r="AP67" s="143">
        <f>_xlfn.XLOOKUP($B67,'IS &amp; BS Projections'!$B:$B,'IS &amp; BS Projections'!AQ:AQ)</f>
        <v>106942.86321929275</v>
      </c>
      <c r="AQ67" s="143">
        <f>_xlfn.XLOOKUP($B67,'IS &amp; BS Projections'!$B:$B,'IS &amp; BS Projections'!AR:AR)</f>
        <v>0</v>
      </c>
      <c r="AR67" s="143">
        <f>_xlfn.XLOOKUP($B67,'IS &amp; BS Projections'!$B:$B,'IS &amp; BS Projections'!AS:AS)</f>
        <v>49203.451705795836</v>
      </c>
      <c r="AS67" s="143">
        <f>_xlfn.XLOOKUP($B67,'IS &amp; BS Projections'!$B:$B,'IS &amp; BS Projections'!AT:AT)</f>
        <v>67883.921791402157</v>
      </c>
      <c r="AT67" s="143">
        <f>_xlfn.XLOOKUP($B67,'IS &amp; BS Projections'!$B:$B,'IS &amp; BS Projections'!AU:AU)</f>
        <v>120511.11448586066</v>
      </c>
      <c r="AU67" s="143">
        <f>_xlfn.XLOOKUP($B67,'IS &amp; BS Projections'!$B:$B,'IS &amp; BS Projections'!AV:AV)</f>
        <v>0</v>
      </c>
      <c r="AV67" s="143">
        <f>_xlfn.XLOOKUP($B67,'IS &amp; BS Projections'!$B:$B,'IS &amp; BS Projections'!AW:AW)</f>
        <v>54326.702638460745</v>
      </c>
      <c r="AW67" s="143">
        <f>_xlfn.XLOOKUP($B67,'IS &amp; BS Projections'!$B:$B,'IS &amp; BS Projections'!AX:AX)</f>
        <v>80735.477459823247</v>
      </c>
      <c r="AX67" s="143">
        <f>_xlfn.XLOOKUP($B67,'IS &amp; BS Projections'!$B:$B,'IS &amp; BS Projections'!AY:AY)</f>
        <v>141598.23967427522</v>
      </c>
      <c r="AY67" s="143">
        <f>_xlfn.XLOOKUP($B67,'IS &amp; BS Projections'!$B:$B,'IS &amp; BS Projections'!AZ:AZ)</f>
        <v>0</v>
      </c>
      <c r="AZ67" s="143">
        <f>_xlfn.XLOOKUP($B67,'IS &amp; BS Projections'!$B:$B,'IS &amp; BS Projections'!BA:BA)</f>
        <v>62417.891454957884</v>
      </c>
      <c r="BA67" s="143">
        <f>_xlfn.XLOOKUP($B67,'IS &amp; BS Projections'!$B:$B,'IS &amp; BS Projections'!BB:BB)</f>
        <v>101526.14753809772</v>
      </c>
      <c r="BB67" s="143">
        <f>_xlfn.XLOOKUP($B67,'IS &amp; BS Projections'!$B:$B,'IS &amp; BS Projections'!BC:BC)</f>
        <v>176442.63888119653</v>
      </c>
      <c r="BC67" s="143">
        <f>_xlfn.XLOOKUP($B67,'IS &amp; BS Projections'!$B:$B,'IS &amp; BS Projections'!BD:BD)</f>
        <v>0</v>
      </c>
      <c r="BD67" s="139">
        <f t="shared" si="280"/>
        <v>-43313.230797304081</v>
      </c>
      <c r="BE67" s="1" t="str">
        <f t="shared" si="269"/>
        <v>YES</v>
      </c>
    </row>
    <row r="68" spans="2:57" x14ac:dyDescent="0.15">
      <c r="B68" s="1" t="s">
        <v>74</v>
      </c>
      <c r="D68" s="43" t="s">
        <v>33</v>
      </c>
      <c r="E68" s="50">
        <f t="shared" si="270"/>
        <v>0</v>
      </c>
      <c r="F68" s="50">
        <f t="shared" si="271"/>
        <v>0</v>
      </c>
      <c r="G68" s="50">
        <f t="shared" si="272"/>
        <v>22992</v>
      </c>
      <c r="H68" s="50">
        <f t="shared" si="273"/>
        <v>347169</v>
      </c>
      <c r="I68" s="50">
        <f t="shared" si="274"/>
        <v>334318</v>
      </c>
      <c r="J68" s="50">
        <f t="shared" si="275"/>
        <v>41936.399502534783</v>
      </c>
      <c r="K68" s="50">
        <f t="shared" si="276"/>
        <v>47358.76356681472</v>
      </c>
      <c r="L68" s="50">
        <f t="shared" si="277"/>
        <v>53013.681608217412</v>
      </c>
      <c r="M68" s="50">
        <f t="shared" si="278"/>
        <v>61918.834527827021</v>
      </c>
      <c r="N68" s="50">
        <f t="shared" si="279"/>
        <v>76250.871257463528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1">
        <v>0</v>
      </c>
      <c r="V68" s="51">
        <v>0</v>
      </c>
      <c r="W68" s="51">
        <v>0</v>
      </c>
      <c r="X68" s="51">
        <v>0</v>
      </c>
      <c r="Y68" s="51">
        <v>0</v>
      </c>
      <c r="Z68" s="51">
        <v>0</v>
      </c>
      <c r="AA68" s="51">
        <v>22992</v>
      </c>
      <c r="AB68" s="51">
        <v>0</v>
      </c>
      <c r="AC68" s="51">
        <v>0</v>
      </c>
      <c r="AD68" s="51">
        <v>0</v>
      </c>
      <c r="AE68" s="51">
        <v>347169</v>
      </c>
      <c r="AF68" s="51">
        <v>0</v>
      </c>
      <c r="AG68" s="51">
        <v>0</v>
      </c>
      <c r="AH68" s="51">
        <v>0</v>
      </c>
      <c r="AI68" s="51">
        <v>334318</v>
      </c>
      <c r="AJ68" s="143">
        <f>_xlfn.XLOOKUP($B68,'IS &amp; BS Projections'!$B:$B,'IS &amp; BS Projections'!AK:AK)</f>
        <v>0</v>
      </c>
      <c r="AK68" s="143">
        <f>_xlfn.XLOOKUP($B68,'IS &amp; BS Projections'!$B:$B,'IS &amp; BS Projections'!AL:AL)</f>
        <v>0</v>
      </c>
      <c r="AL68" s="143">
        <f>_xlfn.XLOOKUP($B68,'IS &amp; BS Projections'!$B:$B,'IS &amp; BS Projections'!AM:AM)</f>
        <v>0</v>
      </c>
      <c r="AM68" s="143">
        <f>_xlfn.XLOOKUP($B68,'IS &amp; BS Projections'!$B:$B,'IS &amp; BS Projections'!AN:AN)</f>
        <v>41936.399502534783</v>
      </c>
      <c r="AN68" s="143">
        <f>_xlfn.XLOOKUP($B68,'IS &amp; BS Projections'!$B:$B,'IS &amp; BS Projections'!AO:AO)</f>
        <v>0</v>
      </c>
      <c r="AO68" s="143">
        <f>_xlfn.XLOOKUP($B68,'IS &amp; BS Projections'!$B:$B,'IS &amp; BS Projections'!AP:AP)</f>
        <v>0</v>
      </c>
      <c r="AP68" s="143">
        <f>_xlfn.XLOOKUP($B68,'IS &amp; BS Projections'!$B:$B,'IS &amp; BS Projections'!AQ:AQ)</f>
        <v>0</v>
      </c>
      <c r="AQ68" s="143">
        <f>_xlfn.XLOOKUP($B68,'IS &amp; BS Projections'!$B:$B,'IS &amp; BS Projections'!AR:AR)</f>
        <v>47358.76356681472</v>
      </c>
      <c r="AR68" s="143">
        <f>_xlfn.XLOOKUP($B68,'IS &amp; BS Projections'!$B:$B,'IS &amp; BS Projections'!AS:AS)</f>
        <v>0</v>
      </c>
      <c r="AS68" s="143">
        <f>_xlfn.XLOOKUP($B68,'IS &amp; BS Projections'!$B:$B,'IS &amp; BS Projections'!AT:AT)</f>
        <v>0</v>
      </c>
      <c r="AT68" s="143">
        <f>_xlfn.XLOOKUP($B68,'IS &amp; BS Projections'!$B:$B,'IS &amp; BS Projections'!AU:AU)</f>
        <v>0</v>
      </c>
      <c r="AU68" s="143">
        <f>_xlfn.XLOOKUP($B68,'IS &amp; BS Projections'!$B:$B,'IS &amp; BS Projections'!AV:AV)</f>
        <v>53013.681608217412</v>
      </c>
      <c r="AV68" s="143">
        <f>_xlfn.XLOOKUP($B68,'IS &amp; BS Projections'!$B:$B,'IS &amp; BS Projections'!AW:AW)</f>
        <v>0</v>
      </c>
      <c r="AW68" s="143">
        <f>_xlfn.XLOOKUP($B68,'IS &amp; BS Projections'!$B:$B,'IS &amp; BS Projections'!AX:AX)</f>
        <v>0</v>
      </c>
      <c r="AX68" s="143">
        <f>_xlfn.XLOOKUP($B68,'IS &amp; BS Projections'!$B:$B,'IS &amp; BS Projections'!AY:AY)</f>
        <v>0</v>
      </c>
      <c r="AY68" s="143">
        <f>_xlfn.XLOOKUP($B68,'IS &amp; BS Projections'!$B:$B,'IS &amp; BS Projections'!AZ:AZ)</f>
        <v>61918.834527827021</v>
      </c>
      <c r="AZ68" s="143">
        <f>_xlfn.XLOOKUP($B68,'IS &amp; BS Projections'!$B:$B,'IS &amp; BS Projections'!BA:BA)</f>
        <v>0</v>
      </c>
      <c r="BA68" s="143">
        <f>_xlfn.XLOOKUP($B68,'IS &amp; BS Projections'!$B:$B,'IS &amp; BS Projections'!BB:BB)</f>
        <v>0</v>
      </c>
      <c r="BB68" s="143">
        <f>_xlfn.XLOOKUP($B68,'IS &amp; BS Projections'!$B:$B,'IS &amp; BS Projections'!BC:BC)</f>
        <v>0</v>
      </c>
      <c r="BC68" s="143">
        <f>_xlfn.XLOOKUP($B68,'IS &amp; BS Projections'!$B:$B,'IS &amp; BS Projections'!BD:BD)</f>
        <v>76250.871257463528</v>
      </c>
      <c r="BD68" s="139">
        <f t="shared" si="280"/>
        <v>334318</v>
      </c>
      <c r="BE68" s="1" t="str">
        <f t="shared" si="269"/>
        <v>YES</v>
      </c>
    </row>
    <row r="69" spans="2:57" x14ac:dyDescent="0.15">
      <c r="B69" s="1" t="s">
        <v>75</v>
      </c>
      <c r="D69" s="43" t="s">
        <v>33</v>
      </c>
      <c r="E69" s="50">
        <f t="shared" si="270"/>
        <v>0</v>
      </c>
      <c r="F69" s="50">
        <f t="shared" si="271"/>
        <v>0</v>
      </c>
      <c r="G69" s="50">
        <f t="shared" si="272"/>
        <v>212540</v>
      </c>
      <c r="H69" s="50">
        <f t="shared" si="273"/>
        <v>277536</v>
      </c>
      <c r="I69" s="50">
        <f t="shared" si="274"/>
        <v>187164</v>
      </c>
      <c r="J69" s="50">
        <f t="shared" si="275"/>
        <v>182808.49569844568</v>
      </c>
      <c r="K69" s="50">
        <f t="shared" si="276"/>
        <v>206445.58017586748</v>
      </c>
      <c r="L69" s="50">
        <f t="shared" si="277"/>
        <v>231096.410306965</v>
      </c>
      <c r="M69" s="50">
        <f t="shared" si="278"/>
        <v>269915.61339806626</v>
      </c>
      <c r="N69" s="50">
        <f t="shared" si="279"/>
        <v>332391.60337143909</v>
      </c>
      <c r="P69" s="51">
        <v>0</v>
      </c>
      <c r="Q69" s="51">
        <v>0</v>
      </c>
      <c r="R69" s="51">
        <v>0</v>
      </c>
      <c r="S69" s="51">
        <v>0</v>
      </c>
      <c r="T69" s="51">
        <v>0</v>
      </c>
      <c r="U69" s="51">
        <v>0</v>
      </c>
      <c r="V69" s="51">
        <v>0</v>
      </c>
      <c r="W69" s="51">
        <v>0</v>
      </c>
      <c r="X69" s="51">
        <v>0</v>
      </c>
      <c r="Y69" s="51">
        <v>0</v>
      </c>
      <c r="Z69" s="51">
        <v>0</v>
      </c>
      <c r="AA69" s="51">
        <v>212540</v>
      </c>
      <c r="AB69" s="51">
        <v>379537</v>
      </c>
      <c r="AC69" s="51">
        <v>253226</v>
      </c>
      <c r="AD69" s="51">
        <v>255975</v>
      </c>
      <c r="AE69" s="51">
        <v>277536</v>
      </c>
      <c r="AF69" s="51">
        <v>151977</v>
      </c>
      <c r="AG69" s="51">
        <v>279230</v>
      </c>
      <c r="AH69" s="51">
        <v>184160</v>
      </c>
      <c r="AI69" s="51">
        <v>187164</v>
      </c>
      <c r="AJ69" s="143">
        <f>_xlfn.XLOOKUP($B69,'IS &amp; BS Projections'!$B:$B,'IS &amp; BS Projections'!AK:AK)</f>
        <v>0</v>
      </c>
      <c r="AK69" s="143">
        <f>_xlfn.XLOOKUP($B69,'IS &amp; BS Projections'!$B:$B,'IS &amp; BS Projections'!AL:AL)</f>
        <v>0</v>
      </c>
      <c r="AL69" s="143">
        <f>_xlfn.XLOOKUP($B69,'IS &amp; BS Projections'!$B:$B,'IS &amp; BS Projections'!AM:AM)</f>
        <v>0</v>
      </c>
      <c r="AM69" s="143">
        <f>_xlfn.XLOOKUP($B69,'IS &amp; BS Projections'!$B:$B,'IS &amp; BS Projections'!AN:AN)</f>
        <v>182808.49569844568</v>
      </c>
      <c r="AN69" s="143">
        <f>_xlfn.XLOOKUP($B69,'IS &amp; BS Projections'!$B:$B,'IS &amp; BS Projections'!AO:AO)</f>
        <v>0</v>
      </c>
      <c r="AO69" s="143">
        <f>_xlfn.XLOOKUP($B69,'IS &amp; BS Projections'!$B:$B,'IS &amp; BS Projections'!AP:AP)</f>
        <v>0</v>
      </c>
      <c r="AP69" s="143">
        <f>_xlfn.XLOOKUP($B69,'IS &amp; BS Projections'!$B:$B,'IS &amp; BS Projections'!AQ:AQ)</f>
        <v>0</v>
      </c>
      <c r="AQ69" s="143">
        <f>_xlfn.XLOOKUP($B69,'IS &amp; BS Projections'!$B:$B,'IS &amp; BS Projections'!AR:AR)</f>
        <v>206445.58017586748</v>
      </c>
      <c r="AR69" s="143">
        <f>_xlfn.XLOOKUP($B69,'IS &amp; BS Projections'!$B:$B,'IS &amp; BS Projections'!AS:AS)</f>
        <v>0</v>
      </c>
      <c r="AS69" s="143">
        <f>_xlfn.XLOOKUP($B69,'IS &amp; BS Projections'!$B:$B,'IS &amp; BS Projections'!AT:AT)</f>
        <v>0</v>
      </c>
      <c r="AT69" s="143">
        <f>_xlfn.XLOOKUP($B69,'IS &amp; BS Projections'!$B:$B,'IS &amp; BS Projections'!AU:AU)</f>
        <v>0</v>
      </c>
      <c r="AU69" s="143">
        <f>_xlfn.XLOOKUP($B69,'IS &amp; BS Projections'!$B:$B,'IS &amp; BS Projections'!AV:AV)</f>
        <v>231096.410306965</v>
      </c>
      <c r="AV69" s="143">
        <f>_xlfn.XLOOKUP($B69,'IS &amp; BS Projections'!$B:$B,'IS &amp; BS Projections'!AW:AW)</f>
        <v>0</v>
      </c>
      <c r="AW69" s="143">
        <f>_xlfn.XLOOKUP($B69,'IS &amp; BS Projections'!$B:$B,'IS &amp; BS Projections'!AX:AX)</f>
        <v>0</v>
      </c>
      <c r="AX69" s="143">
        <f>_xlfn.XLOOKUP($B69,'IS &amp; BS Projections'!$B:$B,'IS &amp; BS Projections'!AY:AY)</f>
        <v>0</v>
      </c>
      <c r="AY69" s="143">
        <f>_xlfn.XLOOKUP($B69,'IS &amp; BS Projections'!$B:$B,'IS &amp; BS Projections'!AZ:AZ)</f>
        <v>269915.61339806626</v>
      </c>
      <c r="AZ69" s="143">
        <f>_xlfn.XLOOKUP($B69,'IS &amp; BS Projections'!$B:$B,'IS &amp; BS Projections'!BA:BA)</f>
        <v>0</v>
      </c>
      <c r="BA69" s="143">
        <f>_xlfn.XLOOKUP($B69,'IS &amp; BS Projections'!$B:$B,'IS &amp; BS Projections'!BB:BB)</f>
        <v>0</v>
      </c>
      <c r="BB69" s="143">
        <f>_xlfn.XLOOKUP($B69,'IS &amp; BS Projections'!$B:$B,'IS &amp; BS Projections'!BC:BC)</f>
        <v>0</v>
      </c>
      <c r="BC69" s="143">
        <f>_xlfn.XLOOKUP($B69,'IS &amp; BS Projections'!$B:$B,'IS &amp; BS Projections'!BD:BD)</f>
        <v>332391.60337143909</v>
      </c>
      <c r="BD69" s="139">
        <f t="shared" si="280"/>
        <v>187164</v>
      </c>
      <c r="BE69" s="1" t="str">
        <f t="shared" si="269"/>
        <v>YES</v>
      </c>
    </row>
    <row r="70" spans="2:57" x14ac:dyDescent="0.15">
      <c r="B70" s="1" t="s">
        <v>76</v>
      </c>
      <c r="D70" s="43" t="s">
        <v>33</v>
      </c>
      <c r="E70" s="50">
        <f t="shared" si="270"/>
        <v>10617552</v>
      </c>
      <c r="F70" s="50">
        <f t="shared" si="271"/>
        <v>5041119</v>
      </c>
      <c r="G70" s="50">
        <f t="shared" si="272"/>
        <v>4570845</v>
      </c>
      <c r="H70" s="50">
        <f t="shared" si="273"/>
        <v>6158949</v>
      </c>
      <c r="I70" s="50">
        <f t="shared" si="274"/>
        <v>5347428</v>
      </c>
      <c r="J70" s="50">
        <f t="shared" si="275"/>
        <v>7393003.398900914</v>
      </c>
      <c r="K70" s="50">
        <f t="shared" si="276"/>
        <v>8348916.5538887838</v>
      </c>
      <c r="L70" s="50">
        <f t="shared" si="277"/>
        <v>9345826.8465348966</v>
      </c>
      <c r="M70" s="50">
        <f t="shared" si="278"/>
        <v>10915723.79962041</v>
      </c>
      <c r="N70" s="50">
        <f t="shared" si="279"/>
        <v>13442330.697500879</v>
      </c>
      <c r="P70" s="51">
        <v>6291776</v>
      </c>
      <c r="Q70" s="51">
        <v>8961812</v>
      </c>
      <c r="R70" s="51">
        <v>8956966</v>
      </c>
      <c r="S70" s="51">
        <v>10617552</v>
      </c>
      <c r="T70" s="51">
        <v>10023385</v>
      </c>
      <c r="U70" s="51">
        <v>0</v>
      </c>
      <c r="V70" s="51">
        <v>0</v>
      </c>
      <c r="W70" s="51">
        <v>5041119</v>
      </c>
      <c r="X70" s="51">
        <v>5370658</v>
      </c>
      <c r="Y70" s="51">
        <v>3848078</v>
      </c>
      <c r="Z70" s="51">
        <v>3474489</v>
      </c>
      <c r="AA70" s="51">
        <v>4570845</v>
      </c>
      <c r="AB70" s="51">
        <v>5201906</v>
      </c>
      <c r="AC70" s="51">
        <v>4197837</v>
      </c>
      <c r="AD70" s="51">
        <v>4035045</v>
      </c>
      <c r="AE70" s="51">
        <v>6158949</v>
      </c>
      <c r="AF70" s="51">
        <v>5369865</v>
      </c>
      <c r="AG70" s="51">
        <v>5121640</v>
      </c>
      <c r="AH70" s="51">
        <v>5672037</v>
      </c>
      <c r="AI70" s="51">
        <v>5347428</v>
      </c>
      <c r="AJ70" s="143">
        <f>_xlfn.XLOOKUP($B70,'IS &amp; BS Projections'!$B:$B,'IS &amp; BS Projections'!AK:AK)</f>
        <v>6509812.6548142489</v>
      </c>
      <c r="AK70" s="143">
        <f>_xlfn.XLOOKUP($B70,'IS &amp; BS Projections'!$B:$B,'IS &amp; BS Projections'!AL:AL)</f>
        <v>6100926.7753363065</v>
      </c>
      <c r="AL70" s="143">
        <f>_xlfn.XLOOKUP($B70,'IS &amp; BS Projections'!$B:$B,'IS &amp; BS Projections'!AM:AM)</f>
        <v>7947694.5963797085</v>
      </c>
      <c r="AM70" s="143">
        <f>_xlfn.XLOOKUP($B70,'IS &amp; BS Projections'!$B:$B,'IS &amp; BS Projections'!AN:AN)</f>
        <v>7393003.398900914</v>
      </c>
      <c r="AN70" s="143">
        <f>_xlfn.XLOOKUP($B70,'IS &amp; BS Projections'!$B:$B,'IS &amp; BS Projections'!AO:AO)</f>
        <v>6793440.5700885253</v>
      </c>
      <c r="AO70" s="143">
        <f>_xlfn.XLOOKUP($B70,'IS &amp; BS Projections'!$B:$B,'IS &amp; BS Projections'!AP:AP)</f>
        <v>6940907.0835361853</v>
      </c>
      <c r="AP70" s="143">
        <f>_xlfn.XLOOKUP($B70,'IS &amp; BS Projections'!$B:$B,'IS &amp; BS Projections'!AQ:AQ)</f>
        <v>9171269.5049982462</v>
      </c>
      <c r="AQ70" s="143">
        <f>_xlfn.XLOOKUP($B70,'IS &amp; BS Projections'!$B:$B,'IS &amp; BS Projections'!AR:AR)</f>
        <v>8348916.5538887838</v>
      </c>
      <c r="AR70" s="143">
        <f>_xlfn.XLOOKUP($B70,'IS &amp; BS Projections'!$B:$B,'IS &amp; BS Projections'!AS:AS)</f>
        <v>7395090.2917837305</v>
      </c>
      <c r="AS70" s="143">
        <f>_xlfn.XLOOKUP($B70,'IS &amp; BS Projections'!$B:$B,'IS &amp; BS Projections'!AT:AT)</f>
        <v>7942643.960539842</v>
      </c>
      <c r="AT70" s="143">
        <f>_xlfn.XLOOKUP($B70,'IS &amp; BS Projections'!$B:$B,'IS &amp; BS Projections'!AU:AU)</f>
        <v>10334863.646124432</v>
      </c>
      <c r="AU70" s="143">
        <f>_xlfn.XLOOKUP($B70,'IS &amp; BS Projections'!$B:$B,'IS &amp; BS Projections'!AV:AV)</f>
        <v>9345826.8465348966</v>
      </c>
      <c r="AV70" s="143">
        <f>_xlfn.XLOOKUP($B70,'IS &amp; BS Projections'!$B:$B,'IS &amp; BS Projections'!AW:AW)</f>
        <v>8165095.2796667125</v>
      </c>
      <c r="AW70" s="143">
        <f>_xlfn.XLOOKUP($B70,'IS &amp; BS Projections'!$B:$B,'IS &amp; BS Projections'!AX:AX)</f>
        <v>9446318.5909919497</v>
      </c>
      <c r="AX70" s="143">
        <f>_xlfn.XLOOKUP($B70,'IS &amp; BS Projections'!$B:$B,'IS &amp; BS Projections'!AY:AY)</f>
        <v>12143265.83741435</v>
      </c>
      <c r="AY70" s="143">
        <f>_xlfn.XLOOKUP($B70,'IS &amp; BS Projections'!$B:$B,'IS &amp; BS Projections'!AZ:AZ)</f>
        <v>10915723.79962041</v>
      </c>
      <c r="AZ70" s="143">
        <f>_xlfn.XLOOKUP($B70,'IS &amp; BS Projections'!$B:$B,'IS &amp; BS Projections'!BA:BA)</f>
        <v>9381169.9612488374</v>
      </c>
      <c r="BA70" s="143">
        <f>_xlfn.XLOOKUP($B70,'IS &amp; BS Projections'!$B:$B,'IS &amp; BS Projections'!BB:BB)</f>
        <v>11878895.934419654</v>
      </c>
      <c r="BB70" s="143">
        <f>_xlfn.XLOOKUP($B70,'IS &amp; BS Projections'!$B:$B,'IS &amp; BS Projections'!BC:BC)</f>
        <v>15131472.495123994</v>
      </c>
      <c r="BC70" s="143">
        <f>_xlfn.XLOOKUP($B70,'IS &amp; BS Projections'!$B:$B,'IS &amp; BS Projections'!BD:BD)</f>
        <v>13442330.697500879</v>
      </c>
      <c r="BD70" s="139">
        <f t="shared" si="280"/>
        <v>-1162384.6548142489</v>
      </c>
      <c r="BE70" s="1" t="str">
        <f t="shared" si="269"/>
        <v>YES</v>
      </c>
    </row>
    <row r="71" spans="2:57" x14ac:dyDescent="0.15">
      <c r="B71" s="1" t="s">
        <v>77</v>
      </c>
      <c r="D71" s="43" t="s">
        <v>33</v>
      </c>
      <c r="E71" s="50">
        <f t="shared" si="270"/>
        <v>100096</v>
      </c>
      <c r="F71" s="50">
        <f t="shared" si="271"/>
        <v>861149</v>
      </c>
      <c r="G71" s="50">
        <f t="shared" si="272"/>
        <v>576028</v>
      </c>
      <c r="H71" s="50">
        <f t="shared" si="273"/>
        <v>0</v>
      </c>
      <c r="I71" s="50">
        <f t="shared" si="274"/>
        <v>0</v>
      </c>
      <c r="J71" s="50">
        <f t="shared" si="275"/>
        <v>69696.863101436757</v>
      </c>
      <c r="K71" s="50">
        <f t="shared" si="276"/>
        <v>78708.646906372756</v>
      </c>
      <c r="L71" s="50">
        <f t="shared" si="277"/>
        <v>88106.927475444158</v>
      </c>
      <c r="M71" s="50">
        <f t="shared" si="278"/>
        <v>102906.98735893215</v>
      </c>
      <c r="N71" s="50">
        <f t="shared" si="279"/>
        <v>126726.34271035812</v>
      </c>
      <c r="P71" s="51">
        <v>102118</v>
      </c>
      <c r="Q71" s="51">
        <v>144993</v>
      </c>
      <c r="R71" s="51">
        <v>92107</v>
      </c>
      <c r="S71" s="51">
        <v>100096</v>
      </c>
      <c r="T71" s="51">
        <v>179885</v>
      </c>
      <c r="U71" s="51">
        <v>361714</v>
      </c>
      <c r="V71" s="51">
        <v>368121</v>
      </c>
      <c r="W71" s="51">
        <v>861149</v>
      </c>
      <c r="X71" s="51">
        <v>302851</v>
      </c>
      <c r="Y71" s="51">
        <v>315508</v>
      </c>
      <c r="Z71" s="51">
        <v>400799</v>
      </c>
      <c r="AA71" s="51">
        <v>576028</v>
      </c>
      <c r="AB71" s="51">
        <v>860669</v>
      </c>
      <c r="AC71" s="51">
        <v>1056648</v>
      </c>
      <c r="AD71" s="51">
        <v>871425</v>
      </c>
      <c r="AE71" s="51">
        <v>0</v>
      </c>
      <c r="AF71" s="51">
        <v>2225054</v>
      </c>
      <c r="AG71" s="51">
        <v>2153824</v>
      </c>
      <c r="AH71" s="51">
        <v>3696441</v>
      </c>
      <c r="AI71" s="51">
        <v>0</v>
      </c>
      <c r="AJ71" s="143">
        <f>_xlfn.XLOOKUP($B71,'IS &amp; BS Projections'!$B:$B,'IS &amp; BS Projections'!AK:AK)</f>
        <v>730550.39201925963</v>
      </c>
      <c r="AK71" s="143">
        <f>_xlfn.XLOOKUP($B71,'IS &amp; BS Projections'!$B:$B,'IS &amp; BS Projections'!AL:AL)</f>
        <v>798083.27610806737</v>
      </c>
      <c r="AL71" s="143">
        <f>_xlfn.XLOOKUP($B71,'IS &amp; BS Projections'!$B:$B,'IS &amp; BS Projections'!AM:AM)</f>
        <v>1480261.7127151159</v>
      </c>
      <c r="AM71" s="143">
        <f>_xlfn.XLOOKUP($B71,'IS &amp; BS Projections'!$B:$B,'IS &amp; BS Projections'!AN:AN)</f>
        <v>69696.863101436757</v>
      </c>
      <c r="AN71" s="143">
        <f>_xlfn.XLOOKUP($B71,'IS &amp; BS Projections'!$B:$B,'IS &amp; BS Projections'!AO:AO)</f>
        <v>762379.95389428409</v>
      </c>
      <c r="AO71" s="143">
        <f>_xlfn.XLOOKUP($B71,'IS &amp; BS Projections'!$B:$B,'IS &amp; BS Projections'!AP:AP)</f>
        <v>907963.99766409188</v>
      </c>
      <c r="AP71" s="143">
        <f>_xlfn.XLOOKUP($B71,'IS &amp; BS Projections'!$B:$B,'IS &amp; BS Projections'!AQ:AQ)</f>
        <v>1708153.0927754357</v>
      </c>
      <c r="AQ71" s="143">
        <f>_xlfn.XLOOKUP($B71,'IS &amp; BS Projections'!$B:$B,'IS &amp; BS Projections'!AR:AR)</f>
        <v>78708.646906372756</v>
      </c>
      <c r="AR71" s="143">
        <f>_xlfn.XLOOKUP($B71,'IS &amp; BS Projections'!$B:$B,'IS &amp; BS Projections'!AS:AS)</f>
        <v>829898.86163391895</v>
      </c>
      <c r="AS71" s="143">
        <f>_xlfn.XLOOKUP($B71,'IS &amp; BS Projections'!$B:$B,'IS &amp; BS Projections'!AT:AT)</f>
        <v>1039004.6539508201</v>
      </c>
      <c r="AT71" s="143">
        <f>_xlfn.XLOOKUP($B71,'IS &amp; BS Projections'!$B:$B,'IS &amp; BS Projections'!AU:AU)</f>
        <v>1924873.0277655534</v>
      </c>
      <c r="AU71" s="143">
        <f>_xlfn.XLOOKUP($B71,'IS &amp; BS Projections'!$B:$B,'IS &amp; BS Projections'!AV:AV)</f>
        <v>88106.927475444158</v>
      </c>
      <c r="AV71" s="143">
        <f>_xlfn.XLOOKUP($B71,'IS &amp; BS Projections'!$B:$B,'IS &amp; BS Projections'!AW:AW)</f>
        <v>916311.09430219524</v>
      </c>
      <c r="AW71" s="143">
        <f>_xlfn.XLOOKUP($B71,'IS &amp; BS Projections'!$B:$B,'IS &amp; BS Projections'!AX:AX)</f>
        <v>1235705.519157591</v>
      </c>
      <c r="AX71" s="143">
        <f>_xlfn.XLOOKUP($B71,'IS &amp; BS Projections'!$B:$B,'IS &amp; BS Projections'!AY:AY)</f>
        <v>2261688.7536964356</v>
      </c>
      <c r="AY71" s="143">
        <f>_xlfn.XLOOKUP($B71,'IS &amp; BS Projections'!$B:$B,'IS &amp; BS Projections'!AZ:AZ)</f>
        <v>102906.98735893215</v>
      </c>
      <c r="AZ71" s="143">
        <f>_xlfn.XLOOKUP($B71,'IS &amp; BS Projections'!$B:$B,'IS &amp; BS Projections'!BA:BA)</f>
        <v>1052782.5847217406</v>
      </c>
      <c r="BA71" s="143">
        <f>_xlfn.XLOOKUP($B71,'IS &amp; BS Projections'!$B:$B,'IS &amp; BS Projections'!BB:BB)</f>
        <v>1553919.3524193456</v>
      </c>
      <c r="BB71" s="143">
        <f>_xlfn.XLOOKUP($B71,'IS &amp; BS Projections'!$B:$B,'IS &amp; BS Projections'!BC:BC)</f>
        <v>2818243.5950340587</v>
      </c>
      <c r="BC71" s="143">
        <f>_xlfn.XLOOKUP($B71,'IS &amp; BS Projections'!$B:$B,'IS &amp; BS Projections'!BD:BD)</f>
        <v>126726.34271035812</v>
      </c>
      <c r="BD71" s="139">
        <f t="shared" si="280"/>
        <v>-730550.39201925963</v>
      </c>
      <c r="BE71" s="1" t="str">
        <f t="shared" si="269"/>
        <v>YES</v>
      </c>
    </row>
    <row r="72" spans="2:57" x14ac:dyDescent="0.15">
      <c r="B72" s="1" t="s">
        <v>78</v>
      </c>
      <c r="D72" s="43" t="s">
        <v>33</v>
      </c>
      <c r="E72" s="50">
        <f t="shared" si="270"/>
        <v>0</v>
      </c>
      <c r="F72" s="50">
        <f t="shared" si="271"/>
        <v>0</v>
      </c>
      <c r="G72" s="50">
        <f t="shared" si="272"/>
        <v>45212</v>
      </c>
      <c r="H72" s="50">
        <f t="shared" si="273"/>
        <v>261052</v>
      </c>
      <c r="I72" s="50">
        <f t="shared" si="274"/>
        <v>318849</v>
      </c>
      <c r="J72" s="50">
        <f t="shared" si="275"/>
        <v>82464.704867284396</v>
      </c>
      <c r="K72" s="50">
        <f t="shared" si="276"/>
        <v>93127.366839893322</v>
      </c>
      <c r="L72" s="50">
        <f t="shared" si="277"/>
        <v>104247.32832597103</v>
      </c>
      <c r="M72" s="50">
        <f t="shared" si="278"/>
        <v>121758.62676896814</v>
      </c>
      <c r="N72" s="50">
        <f t="shared" si="279"/>
        <v>149941.4749170338</v>
      </c>
      <c r="P72" s="51">
        <v>0</v>
      </c>
      <c r="Q72" s="51">
        <v>0</v>
      </c>
      <c r="R72" s="51">
        <v>0</v>
      </c>
      <c r="S72" s="51">
        <v>0</v>
      </c>
      <c r="T72" s="51">
        <v>0</v>
      </c>
      <c r="U72" s="51">
        <v>0</v>
      </c>
      <c r="V72" s="51">
        <v>0</v>
      </c>
      <c r="W72" s="51">
        <v>0</v>
      </c>
      <c r="X72" s="51">
        <v>0</v>
      </c>
      <c r="Y72" s="51">
        <v>0</v>
      </c>
      <c r="Z72" s="51">
        <v>0</v>
      </c>
      <c r="AA72" s="51">
        <v>45212</v>
      </c>
      <c r="AB72" s="51">
        <v>231348</v>
      </c>
      <c r="AC72" s="51">
        <v>223123</v>
      </c>
      <c r="AD72" s="51">
        <v>252885</v>
      </c>
      <c r="AE72" s="51">
        <v>261052</v>
      </c>
      <c r="AF72" s="51">
        <v>235433</v>
      </c>
      <c r="AG72" s="51">
        <v>223620</v>
      </c>
      <c r="AH72" s="51">
        <v>346008</v>
      </c>
      <c r="AI72" s="51">
        <v>318849</v>
      </c>
      <c r="AJ72" s="143">
        <f>_xlfn.XLOOKUP($B72,'IS &amp; BS Projections'!$B:$B,'IS &amp; BS Projections'!AK:AK)</f>
        <v>0</v>
      </c>
      <c r="AK72" s="143">
        <f>_xlfn.XLOOKUP($B72,'IS &amp; BS Projections'!$B:$B,'IS &amp; BS Projections'!AL:AL)</f>
        <v>0</v>
      </c>
      <c r="AL72" s="143">
        <f>_xlfn.XLOOKUP($B72,'IS &amp; BS Projections'!$B:$B,'IS &amp; BS Projections'!AM:AM)</f>
        <v>0</v>
      </c>
      <c r="AM72" s="143">
        <f>_xlfn.XLOOKUP($B72,'IS &amp; BS Projections'!$B:$B,'IS &amp; BS Projections'!AN:AN)</f>
        <v>82464.704867284396</v>
      </c>
      <c r="AN72" s="143">
        <f>_xlfn.XLOOKUP($B72,'IS &amp; BS Projections'!$B:$B,'IS &amp; BS Projections'!AO:AO)</f>
        <v>0</v>
      </c>
      <c r="AO72" s="143">
        <f>_xlfn.XLOOKUP($B72,'IS &amp; BS Projections'!$B:$B,'IS &amp; BS Projections'!AP:AP)</f>
        <v>0</v>
      </c>
      <c r="AP72" s="143">
        <f>_xlfn.XLOOKUP($B72,'IS &amp; BS Projections'!$B:$B,'IS &amp; BS Projections'!AQ:AQ)</f>
        <v>0</v>
      </c>
      <c r="AQ72" s="143">
        <f>_xlfn.XLOOKUP($B72,'IS &amp; BS Projections'!$B:$B,'IS &amp; BS Projections'!AR:AR)</f>
        <v>93127.366839893322</v>
      </c>
      <c r="AR72" s="143">
        <f>_xlfn.XLOOKUP($B72,'IS &amp; BS Projections'!$B:$B,'IS &amp; BS Projections'!AS:AS)</f>
        <v>0</v>
      </c>
      <c r="AS72" s="143">
        <f>_xlfn.XLOOKUP($B72,'IS &amp; BS Projections'!$B:$B,'IS &amp; BS Projections'!AT:AT)</f>
        <v>0</v>
      </c>
      <c r="AT72" s="143">
        <f>_xlfn.XLOOKUP($B72,'IS &amp; BS Projections'!$B:$B,'IS &amp; BS Projections'!AU:AU)</f>
        <v>0</v>
      </c>
      <c r="AU72" s="143">
        <f>_xlfn.XLOOKUP($B72,'IS &amp; BS Projections'!$B:$B,'IS &amp; BS Projections'!AV:AV)</f>
        <v>104247.32832597103</v>
      </c>
      <c r="AV72" s="143">
        <f>_xlfn.XLOOKUP($B72,'IS &amp; BS Projections'!$B:$B,'IS &amp; BS Projections'!AW:AW)</f>
        <v>0</v>
      </c>
      <c r="AW72" s="143">
        <f>_xlfn.XLOOKUP($B72,'IS &amp; BS Projections'!$B:$B,'IS &amp; BS Projections'!AX:AX)</f>
        <v>0</v>
      </c>
      <c r="AX72" s="143">
        <f>_xlfn.XLOOKUP($B72,'IS &amp; BS Projections'!$B:$B,'IS &amp; BS Projections'!AY:AY)</f>
        <v>0</v>
      </c>
      <c r="AY72" s="143">
        <f>_xlfn.XLOOKUP($B72,'IS &amp; BS Projections'!$B:$B,'IS &amp; BS Projections'!AZ:AZ)</f>
        <v>121758.62676896814</v>
      </c>
      <c r="AZ72" s="143">
        <f>_xlfn.XLOOKUP($B72,'IS &amp; BS Projections'!$B:$B,'IS &amp; BS Projections'!BA:BA)</f>
        <v>0</v>
      </c>
      <c r="BA72" s="143">
        <f>_xlfn.XLOOKUP($B72,'IS &amp; BS Projections'!$B:$B,'IS &amp; BS Projections'!BB:BB)</f>
        <v>0</v>
      </c>
      <c r="BB72" s="143">
        <f>_xlfn.XLOOKUP($B72,'IS &amp; BS Projections'!$B:$B,'IS &amp; BS Projections'!BC:BC)</f>
        <v>0</v>
      </c>
      <c r="BC72" s="143">
        <f>_xlfn.XLOOKUP($B72,'IS &amp; BS Projections'!$B:$B,'IS &amp; BS Projections'!BD:BD)</f>
        <v>149941.4749170338</v>
      </c>
      <c r="BD72" s="139">
        <f t="shared" si="280"/>
        <v>318849</v>
      </c>
      <c r="BE72" s="1" t="str">
        <f t="shared" si="269"/>
        <v>YES</v>
      </c>
    </row>
    <row r="73" spans="2:57" x14ac:dyDescent="0.15">
      <c r="B73" s="1" t="s">
        <v>79</v>
      </c>
      <c r="D73" s="43" t="s">
        <v>33</v>
      </c>
      <c r="E73" s="50">
        <f t="shared" si="270"/>
        <v>0</v>
      </c>
      <c r="F73" s="50">
        <f t="shared" si="271"/>
        <v>0</v>
      </c>
      <c r="G73" s="50">
        <f t="shared" si="272"/>
        <v>0</v>
      </c>
      <c r="H73" s="50">
        <f t="shared" si="273"/>
        <v>0</v>
      </c>
      <c r="I73" s="50">
        <f t="shared" si="274"/>
        <v>0</v>
      </c>
      <c r="J73" s="50">
        <f t="shared" si="275"/>
        <v>0</v>
      </c>
      <c r="K73" s="50">
        <f t="shared" si="276"/>
        <v>0</v>
      </c>
      <c r="L73" s="50">
        <f t="shared" si="277"/>
        <v>0</v>
      </c>
      <c r="M73" s="50">
        <f t="shared" si="278"/>
        <v>0</v>
      </c>
      <c r="N73" s="50">
        <f t="shared" si="279"/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88453873</v>
      </c>
      <c r="V73" s="51">
        <v>95113124</v>
      </c>
      <c r="W73" s="51">
        <v>0</v>
      </c>
      <c r="X73" s="51">
        <v>124357889</v>
      </c>
      <c r="Y73" s="51">
        <v>124243587</v>
      </c>
      <c r="Z73" s="51">
        <v>0</v>
      </c>
      <c r="AA73" s="51">
        <v>0</v>
      </c>
      <c r="AB73" s="51">
        <v>0</v>
      </c>
      <c r="AC73" s="51">
        <v>0</v>
      </c>
      <c r="AD73" s="51">
        <v>0</v>
      </c>
      <c r="AE73" s="51">
        <v>0</v>
      </c>
      <c r="AF73" s="51">
        <v>0</v>
      </c>
      <c r="AG73" s="51">
        <v>0</v>
      </c>
      <c r="AH73" s="51">
        <v>0</v>
      </c>
      <c r="AI73" s="51">
        <v>0</v>
      </c>
      <c r="AJ73" s="143">
        <f>_xlfn.XLOOKUP($B73,'IS &amp; BS Projections'!$B:$B,'IS &amp; BS Projections'!AK:AK)</f>
        <v>0</v>
      </c>
      <c r="AK73" s="143">
        <f>_xlfn.XLOOKUP($B73,'IS &amp; BS Projections'!$B:$B,'IS &amp; BS Projections'!AL:AL)</f>
        <v>0</v>
      </c>
      <c r="AL73" s="143">
        <f>_xlfn.XLOOKUP($B73,'IS &amp; BS Projections'!$B:$B,'IS &amp; BS Projections'!AM:AM)</f>
        <v>0</v>
      </c>
      <c r="AM73" s="143">
        <f>_xlfn.XLOOKUP($B73,'IS &amp; BS Projections'!$B:$B,'IS &amp; BS Projections'!AN:AN)</f>
        <v>0</v>
      </c>
      <c r="AN73" s="143">
        <f>_xlfn.XLOOKUP($B73,'IS &amp; BS Projections'!$B:$B,'IS &amp; BS Projections'!AO:AO)</f>
        <v>0</v>
      </c>
      <c r="AO73" s="143">
        <f>_xlfn.XLOOKUP($B73,'IS &amp; BS Projections'!$B:$B,'IS &amp; BS Projections'!AP:AP)</f>
        <v>0</v>
      </c>
      <c r="AP73" s="143">
        <f>_xlfn.XLOOKUP($B73,'IS &amp; BS Projections'!$B:$B,'IS &amp; BS Projections'!AQ:AQ)</f>
        <v>0</v>
      </c>
      <c r="AQ73" s="143">
        <f>_xlfn.XLOOKUP($B73,'IS &amp; BS Projections'!$B:$B,'IS &amp; BS Projections'!AR:AR)</f>
        <v>0</v>
      </c>
      <c r="AR73" s="143">
        <f>_xlfn.XLOOKUP($B73,'IS &amp; BS Projections'!$B:$B,'IS &amp; BS Projections'!AS:AS)</f>
        <v>0</v>
      </c>
      <c r="AS73" s="143">
        <f>_xlfn.XLOOKUP($B73,'IS &amp; BS Projections'!$B:$B,'IS &amp; BS Projections'!AT:AT)</f>
        <v>0</v>
      </c>
      <c r="AT73" s="143">
        <f>_xlfn.XLOOKUP($B73,'IS &amp; BS Projections'!$B:$B,'IS &amp; BS Projections'!AU:AU)</f>
        <v>0</v>
      </c>
      <c r="AU73" s="143">
        <f>_xlfn.XLOOKUP($B73,'IS &amp; BS Projections'!$B:$B,'IS &amp; BS Projections'!AV:AV)</f>
        <v>0</v>
      </c>
      <c r="AV73" s="143">
        <f>_xlfn.XLOOKUP($B73,'IS &amp; BS Projections'!$B:$B,'IS &amp; BS Projections'!AW:AW)</f>
        <v>0</v>
      </c>
      <c r="AW73" s="143">
        <f>_xlfn.XLOOKUP($B73,'IS &amp; BS Projections'!$B:$B,'IS &amp; BS Projections'!AX:AX)</f>
        <v>0</v>
      </c>
      <c r="AX73" s="143">
        <f>_xlfn.XLOOKUP($B73,'IS &amp; BS Projections'!$B:$B,'IS &amp; BS Projections'!AY:AY)</f>
        <v>0</v>
      </c>
      <c r="AY73" s="143">
        <f>_xlfn.XLOOKUP($B73,'IS &amp; BS Projections'!$B:$B,'IS &amp; BS Projections'!AZ:AZ)</f>
        <v>0</v>
      </c>
      <c r="AZ73" s="143">
        <f>_xlfn.XLOOKUP($B73,'IS &amp; BS Projections'!$B:$B,'IS &amp; BS Projections'!BA:BA)</f>
        <v>0</v>
      </c>
      <c r="BA73" s="143">
        <f>_xlfn.XLOOKUP($B73,'IS &amp; BS Projections'!$B:$B,'IS &amp; BS Projections'!BB:BB)</f>
        <v>0</v>
      </c>
      <c r="BB73" s="143">
        <f>_xlfn.XLOOKUP($B73,'IS &amp; BS Projections'!$B:$B,'IS &amp; BS Projections'!BC:BC)</f>
        <v>0</v>
      </c>
      <c r="BC73" s="143">
        <f>_xlfn.XLOOKUP($B73,'IS &amp; BS Projections'!$B:$B,'IS &amp; BS Projections'!BD:BD)</f>
        <v>0</v>
      </c>
      <c r="BD73" s="139">
        <f t="shared" si="280"/>
        <v>0</v>
      </c>
      <c r="BE73" s="1" t="str">
        <f t="shared" si="269"/>
        <v>YES</v>
      </c>
    </row>
    <row r="74" spans="2:57" x14ac:dyDescent="0.15">
      <c r="B74" s="1" t="s">
        <v>80</v>
      </c>
      <c r="D74" s="43" t="s">
        <v>33</v>
      </c>
      <c r="E74" s="50">
        <f t="shared" si="270"/>
        <v>0</v>
      </c>
      <c r="F74" s="50">
        <f t="shared" si="271"/>
        <v>0</v>
      </c>
      <c r="G74" s="50">
        <f t="shared" si="272"/>
        <v>0</v>
      </c>
      <c r="H74" s="50">
        <f t="shared" si="273"/>
        <v>0</v>
      </c>
      <c r="I74" s="50">
        <f t="shared" si="274"/>
        <v>0</v>
      </c>
      <c r="J74" s="50">
        <f t="shared" si="275"/>
        <v>0</v>
      </c>
      <c r="K74" s="50">
        <f t="shared" si="276"/>
        <v>0</v>
      </c>
      <c r="L74" s="50">
        <f t="shared" si="277"/>
        <v>0</v>
      </c>
      <c r="M74" s="50">
        <f t="shared" si="278"/>
        <v>0</v>
      </c>
      <c r="N74" s="50">
        <f t="shared" si="279"/>
        <v>0</v>
      </c>
      <c r="P74" s="51">
        <v>0</v>
      </c>
      <c r="Q74" s="51">
        <v>0</v>
      </c>
      <c r="R74" s="51">
        <v>0</v>
      </c>
      <c r="S74" s="51">
        <v>0</v>
      </c>
      <c r="T74" s="51">
        <v>0</v>
      </c>
      <c r="U74" s="51">
        <v>7181148</v>
      </c>
      <c r="V74" s="51">
        <v>6591105</v>
      </c>
      <c r="W74" s="51">
        <v>0</v>
      </c>
      <c r="X74" s="51">
        <v>0</v>
      </c>
      <c r="Y74" s="51">
        <v>0</v>
      </c>
      <c r="Z74" s="51">
        <v>0</v>
      </c>
      <c r="AA74" s="51">
        <v>0</v>
      </c>
      <c r="AB74" s="51">
        <v>0</v>
      </c>
      <c r="AC74" s="51">
        <v>0</v>
      </c>
      <c r="AD74" s="51">
        <v>0</v>
      </c>
      <c r="AE74" s="51">
        <v>0</v>
      </c>
      <c r="AF74" s="51">
        <v>0</v>
      </c>
      <c r="AG74" s="51">
        <v>0</v>
      </c>
      <c r="AH74" s="51">
        <v>0</v>
      </c>
      <c r="AI74" s="51">
        <v>0</v>
      </c>
      <c r="AJ74" s="143">
        <f>_xlfn.XLOOKUP($B74,'IS &amp; BS Projections'!$B:$B,'IS &amp; BS Projections'!AK:AK)</f>
        <v>0</v>
      </c>
      <c r="AK74" s="143">
        <f>_xlfn.XLOOKUP($B74,'IS &amp; BS Projections'!$B:$B,'IS &amp; BS Projections'!AL:AL)</f>
        <v>0</v>
      </c>
      <c r="AL74" s="143">
        <f>_xlfn.XLOOKUP($B74,'IS &amp; BS Projections'!$B:$B,'IS &amp; BS Projections'!AM:AM)</f>
        <v>0</v>
      </c>
      <c r="AM74" s="143">
        <f>_xlfn.XLOOKUP($B74,'IS &amp; BS Projections'!$B:$B,'IS &amp; BS Projections'!AN:AN)</f>
        <v>0</v>
      </c>
      <c r="AN74" s="143">
        <f>_xlfn.XLOOKUP($B74,'IS &amp; BS Projections'!$B:$B,'IS &amp; BS Projections'!AO:AO)</f>
        <v>0</v>
      </c>
      <c r="AO74" s="143">
        <f>_xlfn.XLOOKUP($B74,'IS &amp; BS Projections'!$B:$B,'IS &amp; BS Projections'!AP:AP)</f>
        <v>0</v>
      </c>
      <c r="AP74" s="143">
        <f>_xlfn.XLOOKUP($B74,'IS &amp; BS Projections'!$B:$B,'IS &amp; BS Projections'!AQ:AQ)</f>
        <v>0</v>
      </c>
      <c r="AQ74" s="143">
        <f>_xlfn.XLOOKUP($B74,'IS &amp; BS Projections'!$B:$B,'IS &amp; BS Projections'!AR:AR)</f>
        <v>0</v>
      </c>
      <c r="AR74" s="143">
        <f>_xlfn.XLOOKUP($B74,'IS &amp; BS Projections'!$B:$B,'IS &amp; BS Projections'!AS:AS)</f>
        <v>0</v>
      </c>
      <c r="AS74" s="143">
        <f>_xlfn.XLOOKUP($B74,'IS &amp; BS Projections'!$B:$B,'IS &amp; BS Projections'!AT:AT)</f>
        <v>0</v>
      </c>
      <c r="AT74" s="143">
        <f>_xlfn.XLOOKUP($B74,'IS &amp; BS Projections'!$B:$B,'IS &amp; BS Projections'!AU:AU)</f>
        <v>0</v>
      </c>
      <c r="AU74" s="143">
        <f>_xlfn.XLOOKUP($B74,'IS &amp; BS Projections'!$B:$B,'IS &amp; BS Projections'!AV:AV)</f>
        <v>0</v>
      </c>
      <c r="AV74" s="143">
        <f>_xlfn.XLOOKUP($B74,'IS &amp; BS Projections'!$B:$B,'IS &amp; BS Projections'!AW:AW)</f>
        <v>0</v>
      </c>
      <c r="AW74" s="143">
        <f>_xlfn.XLOOKUP($B74,'IS &amp; BS Projections'!$B:$B,'IS &amp; BS Projections'!AX:AX)</f>
        <v>0</v>
      </c>
      <c r="AX74" s="143">
        <f>_xlfn.XLOOKUP($B74,'IS &amp; BS Projections'!$B:$B,'IS &amp; BS Projections'!AY:AY)</f>
        <v>0</v>
      </c>
      <c r="AY74" s="143">
        <f>_xlfn.XLOOKUP($B74,'IS &amp; BS Projections'!$B:$B,'IS &amp; BS Projections'!AZ:AZ)</f>
        <v>0</v>
      </c>
      <c r="AZ74" s="143">
        <f>_xlfn.XLOOKUP($B74,'IS &amp; BS Projections'!$B:$B,'IS &amp; BS Projections'!BA:BA)</f>
        <v>0</v>
      </c>
      <c r="BA74" s="143">
        <f>_xlfn.XLOOKUP($B74,'IS &amp; BS Projections'!$B:$B,'IS &amp; BS Projections'!BB:BB)</f>
        <v>0</v>
      </c>
      <c r="BB74" s="143">
        <f>_xlfn.XLOOKUP($B74,'IS &amp; BS Projections'!$B:$B,'IS &amp; BS Projections'!BC:BC)</f>
        <v>0</v>
      </c>
      <c r="BC74" s="143">
        <f>_xlfn.XLOOKUP($B74,'IS &amp; BS Projections'!$B:$B,'IS &amp; BS Projections'!BD:BD)</f>
        <v>0</v>
      </c>
      <c r="BD74" s="139">
        <f t="shared" si="280"/>
        <v>0</v>
      </c>
      <c r="BE74" s="1" t="str">
        <f t="shared" si="269"/>
        <v>YES</v>
      </c>
    </row>
    <row r="75" spans="2:57" x14ac:dyDescent="0.15">
      <c r="B75" s="1" t="s">
        <v>81</v>
      </c>
      <c r="D75" s="43" t="s">
        <v>33</v>
      </c>
      <c r="E75" s="50">
        <f t="shared" si="270"/>
        <v>0</v>
      </c>
      <c r="F75" s="50">
        <f t="shared" si="271"/>
        <v>75413188</v>
      </c>
      <c r="G75" s="50">
        <f t="shared" si="272"/>
        <v>0</v>
      </c>
      <c r="H75" s="50">
        <f t="shared" si="273"/>
        <v>0</v>
      </c>
      <c r="I75" s="50">
        <f t="shared" si="274"/>
        <v>0</v>
      </c>
      <c r="J75" s="50">
        <f t="shared" si="275"/>
        <v>0</v>
      </c>
      <c r="K75" s="50">
        <f t="shared" si="276"/>
        <v>0</v>
      </c>
      <c r="L75" s="50">
        <f t="shared" si="277"/>
        <v>0</v>
      </c>
      <c r="M75" s="50">
        <f t="shared" si="278"/>
        <v>0</v>
      </c>
      <c r="N75" s="50">
        <f t="shared" si="279"/>
        <v>0</v>
      </c>
      <c r="P75" s="51">
        <v>0</v>
      </c>
      <c r="Q75" s="51">
        <v>0</v>
      </c>
      <c r="R75" s="51">
        <v>0</v>
      </c>
      <c r="S75" s="51">
        <v>0</v>
      </c>
      <c r="T75" s="51">
        <v>0</v>
      </c>
      <c r="U75" s="51">
        <v>0</v>
      </c>
      <c r="V75" s="51">
        <v>0</v>
      </c>
      <c r="W75" s="51">
        <v>75413188</v>
      </c>
      <c r="X75" s="51">
        <v>0</v>
      </c>
      <c r="Y75" s="51">
        <v>0</v>
      </c>
      <c r="Z75" s="51">
        <v>114291909</v>
      </c>
      <c r="AA75" s="51">
        <v>0</v>
      </c>
      <c r="AB75" s="51">
        <v>329506477</v>
      </c>
      <c r="AC75" s="51">
        <v>269198067</v>
      </c>
      <c r="AD75" s="51">
        <v>272669307</v>
      </c>
      <c r="AE75" s="51">
        <v>0</v>
      </c>
      <c r="AF75" s="51">
        <v>0</v>
      </c>
      <c r="AG75" s="51">
        <v>0</v>
      </c>
      <c r="AH75" s="51">
        <v>0</v>
      </c>
      <c r="AI75" s="51">
        <v>0</v>
      </c>
      <c r="AJ75" s="143">
        <f>_xlfn.XLOOKUP($B75,'IS &amp; BS Projections'!$B:$B,'IS &amp; BS Projections'!AK:AK)</f>
        <v>0</v>
      </c>
      <c r="AK75" s="143">
        <f>_xlfn.XLOOKUP($B75,'IS &amp; BS Projections'!$B:$B,'IS &amp; BS Projections'!AL:AL)</f>
        <v>0</v>
      </c>
      <c r="AL75" s="143">
        <f>_xlfn.XLOOKUP($B75,'IS &amp; BS Projections'!$B:$B,'IS &amp; BS Projections'!AM:AM)</f>
        <v>0</v>
      </c>
      <c r="AM75" s="143">
        <f>_xlfn.XLOOKUP($B75,'IS &amp; BS Projections'!$B:$B,'IS &amp; BS Projections'!AN:AN)</f>
        <v>0</v>
      </c>
      <c r="AN75" s="143">
        <f>_xlfn.XLOOKUP($B75,'IS &amp; BS Projections'!$B:$B,'IS &amp; BS Projections'!AO:AO)</f>
        <v>0</v>
      </c>
      <c r="AO75" s="143">
        <f>_xlfn.XLOOKUP($B75,'IS &amp; BS Projections'!$B:$B,'IS &amp; BS Projections'!AP:AP)</f>
        <v>0</v>
      </c>
      <c r="AP75" s="143">
        <f>_xlfn.XLOOKUP($B75,'IS &amp; BS Projections'!$B:$B,'IS &amp; BS Projections'!AQ:AQ)</f>
        <v>0</v>
      </c>
      <c r="AQ75" s="143">
        <f>_xlfn.XLOOKUP($B75,'IS &amp; BS Projections'!$B:$B,'IS &amp; BS Projections'!AR:AR)</f>
        <v>0</v>
      </c>
      <c r="AR75" s="143">
        <f>_xlfn.XLOOKUP($B75,'IS &amp; BS Projections'!$B:$B,'IS &amp; BS Projections'!AS:AS)</f>
        <v>0</v>
      </c>
      <c r="AS75" s="143">
        <f>_xlfn.XLOOKUP($B75,'IS &amp; BS Projections'!$B:$B,'IS &amp; BS Projections'!AT:AT)</f>
        <v>0</v>
      </c>
      <c r="AT75" s="143">
        <f>_xlfn.XLOOKUP($B75,'IS &amp; BS Projections'!$B:$B,'IS &amp; BS Projections'!AU:AU)</f>
        <v>0</v>
      </c>
      <c r="AU75" s="143">
        <f>_xlfn.XLOOKUP($B75,'IS &amp; BS Projections'!$B:$B,'IS &amp; BS Projections'!AV:AV)</f>
        <v>0</v>
      </c>
      <c r="AV75" s="143">
        <f>_xlfn.XLOOKUP($B75,'IS &amp; BS Projections'!$B:$B,'IS &amp; BS Projections'!AW:AW)</f>
        <v>0</v>
      </c>
      <c r="AW75" s="143">
        <f>_xlfn.XLOOKUP($B75,'IS &amp; BS Projections'!$B:$B,'IS &amp; BS Projections'!AX:AX)</f>
        <v>0</v>
      </c>
      <c r="AX75" s="143">
        <f>_xlfn.XLOOKUP($B75,'IS &amp; BS Projections'!$B:$B,'IS &amp; BS Projections'!AY:AY)</f>
        <v>0</v>
      </c>
      <c r="AY75" s="143">
        <f>_xlfn.XLOOKUP($B75,'IS &amp; BS Projections'!$B:$B,'IS &amp; BS Projections'!AZ:AZ)</f>
        <v>0</v>
      </c>
      <c r="AZ75" s="143">
        <f>_xlfn.XLOOKUP($B75,'IS &amp; BS Projections'!$B:$B,'IS &amp; BS Projections'!BA:BA)</f>
        <v>0</v>
      </c>
      <c r="BA75" s="143">
        <f>_xlfn.XLOOKUP($B75,'IS &amp; BS Projections'!$B:$B,'IS &amp; BS Projections'!BB:BB)</f>
        <v>0</v>
      </c>
      <c r="BB75" s="143">
        <f>_xlfn.XLOOKUP($B75,'IS &amp; BS Projections'!$B:$B,'IS &amp; BS Projections'!BC:BC)</f>
        <v>0</v>
      </c>
      <c r="BC75" s="143">
        <f>_xlfn.XLOOKUP($B75,'IS &amp; BS Projections'!$B:$B,'IS &amp; BS Projections'!BD:BD)</f>
        <v>0</v>
      </c>
      <c r="BD75" s="139">
        <f t="shared" si="280"/>
        <v>0</v>
      </c>
      <c r="BE75" s="1" t="str">
        <f t="shared" si="269"/>
        <v>YES</v>
      </c>
    </row>
    <row r="76" spans="2:57" x14ac:dyDescent="0.15">
      <c r="B76" s="1" t="s">
        <v>82</v>
      </c>
      <c r="D76" s="43" t="s">
        <v>33</v>
      </c>
      <c r="E76" s="50">
        <f t="shared" si="270"/>
        <v>0</v>
      </c>
      <c r="F76" s="50">
        <f t="shared" si="271"/>
        <v>0</v>
      </c>
      <c r="G76" s="50">
        <f t="shared" si="272"/>
        <v>354008</v>
      </c>
      <c r="H76" s="50">
        <f t="shared" si="273"/>
        <v>767484</v>
      </c>
      <c r="I76" s="50">
        <f t="shared" si="274"/>
        <v>822827</v>
      </c>
      <c r="J76" s="50">
        <f t="shared" si="275"/>
        <v>587759.73105218564</v>
      </c>
      <c r="K76" s="50">
        <f t="shared" si="276"/>
        <v>663756.89060556062</v>
      </c>
      <c r="L76" s="50">
        <f t="shared" si="277"/>
        <v>743013.41111195518</v>
      </c>
      <c r="M76" s="50">
        <f t="shared" si="278"/>
        <v>867823.60815073433</v>
      </c>
      <c r="N76" s="50">
        <f t="shared" si="279"/>
        <v>1068694.3112527505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354008</v>
      </c>
      <c r="AB76" s="51">
        <v>106610</v>
      </c>
      <c r="AC76" s="51">
        <v>21119</v>
      </c>
      <c r="AD76" s="51">
        <v>0</v>
      </c>
      <c r="AE76" s="51">
        <v>767484</v>
      </c>
      <c r="AF76" s="51">
        <v>597548</v>
      </c>
      <c r="AG76" s="51">
        <v>951272</v>
      </c>
      <c r="AH76" s="51">
        <v>1017382</v>
      </c>
      <c r="AI76" s="51">
        <v>822827</v>
      </c>
      <c r="AJ76" s="143">
        <f>_xlfn.XLOOKUP($B76,'IS &amp; BS Projections'!$B:$B,'IS &amp; BS Projections'!AK:AK)</f>
        <v>0</v>
      </c>
      <c r="AK76" s="143">
        <f>_xlfn.XLOOKUP($B76,'IS &amp; BS Projections'!$B:$B,'IS &amp; BS Projections'!AL:AL)</f>
        <v>0</v>
      </c>
      <c r="AL76" s="143">
        <f>_xlfn.XLOOKUP($B76,'IS &amp; BS Projections'!$B:$B,'IS &amp; BS Projections'!AM:AM)</f>
        <v>0</v>
      </c>
      <c r="AM76" s="143">
        <f>_xlfn.XLOOKUP($B76,'IS &amp; BS Projections'!$B:$B,'IS &amp; BS Projections'!AN:AN)</f>
        <v>587759.73105218564</v>
      </c>
      <c r="AN76" s="143">
        <f>_xlfn.XLOOKUP($B76,'IS &amp; BS Projections'!$B:$B,'IS &amp; BS Projections'!AO:AO)</f>
        <v>0</v>
      </c>
      <c r="AO76" s="143">
        <f>_xlfn.XLOOKUP($B76,'IS &amp; BS Projections'!$B:$B,'IS &amp; BS Projections'!AP:AP)</f>
        <v>0</v>
      </c>
      <c r="AP76" s="143">
        <f>_xlfn.XLOOKUP($B76,'IS &amp; BS Projections'!$B:$B,'IS &amp; BS Projections'!AQ:AQ)</f>
        <v>0</v>
      </c>
      <c r="AQ76" s="143">
        <f>_xlfn.XLOOKUP($B76,'IS &amp; BS Projections'!$B:$B,'IS &amp; BS Projections'!AR:AR)</f>
        <v>663756.89060556062</v>
      </c>
      <c r="AR76" s="143">
        <f>_xlfn.XLOOKUP($B76,'IS &amp; BS Projections'!$B:$B,'IS &amp; BS Projections'!AS:AS)</f>
        <v>0</v>
      </c>
      <c r="AS76" s="143">
        <f>_xlfn.XLOOKUP($B76,'IS &amp; BS Projections'!$B:$B,'IS &amp; BS Projections'!AT:AT)</f>
        <v>0</v>
      </c>
      <c r="AT76" s="143">
        <f>_xlfn.XLOOKUP($B76,'IS &amp; BS Projections'!$B:$B,'IS &amp; BS Projections'!AU:AU)</f>
        <v>0</v>
      </c>
      <c r="AU76" s="143">
        <f>_xlfn.XLOOKUP($B76,'IS &amp; BS Projections'!$B:$B,'IS &amp; BS Projections'!AV:AV)</f>
        <v>743013.41111195518</v>
      </c>
      <c r="AV76" s="143">
        <f>_xlfn.XLOOKUP($B76,'IS &amp; BS Projections'!$B:$B,'IS &amp; BS Projections'!AW:AW)</f>
        <v>0</v>
      </c>
      <c r="AW76" s="143">
        <f>_xlfn.XLOOKUP($B76,'IS &amp; BS Projections'!$B:$B,'IS &amp; BS Projections'!AX:AX)</f>
        <v>0</v>
      </c>
      <c r="AX76" s="143">
        <f>_xlfn.XLOOKUP($B76,'IS &amp; BS Projections'!$B:$B,'IS &amp; BS Projections'!AY:AY)</f>
        <v>0</v>
      </c>
      <c r="AY76" s="143">
        <f>_xlfn.XLOOKUP($B76,'IS &amp; BS Projections'!$B:$B,'IS &amp; BS Projections'!AZ:AZ)</f>
        <v>867823.60815073433</v>
      </c>
      <c r="AZ76" s="143">
        <f>_xlfn.XLOOKUP($B76,'IS &amp; BS Projections'!$B:$B,'IS &amp; BS Projections'!BA:BA)</f>
        <v>0</v>
      </c>
      <c r="BA76" s="143">
        <f>_xlfn.XLOOKUP($B76,'IS &amp; BS Projections'!$B:$B,'IS &amp; BS Projections'!BB:BB)</f>
        <v>0</v>
      </c>
      <c r="BB76" s="143">
        <f>_xlfn.XLOOKUP($B76,'IS &amp; BS Projections'!$B:$B,'IS &amp; BS Projections'!BC:BC)</f>
        <v>0</v>
      </c>
      <c r="BC76" s="143">
        <f>_xlfn.XLOOKUP($B76,'IS &amp; BS Projections'!$B:$B,'IS &amp; BS Projections'!BD:BD)</f>
        <v>1068694.3112527505</v>
      </c>
      <c r="BD76" s="139">
        <f t="shared" si="280"/>
        <v>822827</v>
      </c>
      <c r="BE76" s="1" t="str">
        <f t="shared" si="269"/>
        <v>YES</v>
      </c>
    </row>
    <row r="77" spans="2:57" x14ac:dyDescent="0.15">
      <c r="B77" s="1" t="s">
        <v>83</v>
      </c>
      <c r="D77" s="43" t="s">
        <v>33</v>
      </c>
      <c r="E77" s="50">
        <f t="shared" si="270"/>
        <v>0</v>
      </c>
      <c r="F77" s="50">
        <f t="shared" si="271"/>
        <v>0</v>
      </c>
      <c r="G77" s="50">
        <f t="shared" si="272"/>
        <v>74103</v>
      </c>
      <c r="H77" s="50">
        <f t="shared" si="273"/>
        <v>82781</v>
      </c>
      <c r="I77" s="50">
        <f t="shared" si="274"/>
        <v>120831</v>
      </c>
      <c r="J77" s="50">
        <f t="shared" si="275"/>
        <v>63395.899192987708</v>
      </c>
      <c r="K77" s="50">
        <f t="shared" si="276"/>
        <v>71592.970226374629</v>
      </c>
      <c r="L77" s="50">
        <f t="shared" si="277"/>
        <v>80141.596678574089</v>
      </c>
      <c r="M77" s="50">
        <f t="shared" si="278"/>
        <v>93603.653113714347</v>
      </c>
      <c r="N77" s="50">
        <f t="shared" si="279"/>
        <v>115269.61315130208</v>
      </c>
      <c r="P77" s="51">
        <v>0</v>
      </c>
      <c r="Q77" s="51">
        <v>0</v>
      </c>
      <c r="R77" s="51">
        <v>0</v>
      </c>
      <c r="S77" s="51">
        <v>0</v>
      </c>
      <c r="T77" s="51">
        <v>0</v>
      </c>
      <c r="U77" s="51">
        <v>0</v>
      </c>
      <c r="V77" s="51">
        <v>0</v>
      </c>
      <c r="W77" s="51">
        <v>0</v>
      </c>
      <c r="X77" s="51">
        <v>0</v>
      </c>
      <c r="Y77" s="51">
        <v>0</v>
      </c>
      <c r="Z77" s="51">
        <v>0</v>
      </c>
      <c r="AA77" s="51">
        <v>74103</v>
      </c>
      <c r="AB77" s="51">
        <v>0</v>
      </c>
      <c r="AC77" s="51">
        <v>0</v>
      </c>
      <c r="AD77" s="51">
        <v>0</v>
      </c>
      <c r="AE77" s="51">
        <v>82781</v>
      </c>
      <c r="AF77" s="51">
        <v>67485</v>
      </c>
      <c r="AG77" s="51">
        <v>125974</v>
      </c>
      <c r="AH77" s="51">
        <v>161145</v>
      </c>
      <c r="AI77" s="51">
        <v>120831</v>
      </c>
      <c r="AJ77" s="143">
        <f>_xlfn.XLOOKUP($B77,'IS &amp; BS Projections'!$B:$B,'IS &amp; BS Projections'!AK:AK)</f>
        <v>0</v>
      </c>
      <c r="AK77" s="143">
        <f>_xlfn.XLOOKUP($B77,'IS &amp; BS Projections'!$B:$B,'IS &amp; BS Projections'!AL:AL)</f>
        <v>0</v>
      </c>
      <c r="AL77" s="143">
        <f>_xlfn.XLOOKUP($B77,'IS &amp; BS Projections'!$B:$B,'IS &amp; BS Projections'!AM:AM)</f>
        <v>0</v>
      </c>
      <c r="AM77" s="143">
        <f>_xlfn.XLOOKUP($B77,'IS &amp; BS Projections'!$B:$B,'IS &amp; BS Projections'!AN:AN)</f>
        <v>63395.899192987708</v>
      </c>
      <c r="AN77" s="143">
        <f>_xlfn.XLOOKUP($B77,'IS &amp; BS Projections'!$B:$B,'IS &amp; BS Projections'!AO:AO)</f>
        <v>0</v>
      </c>
      <c r="AO77" s="143">
        <f>_xlfn.XLOOKUP($B77,'IS &amp; BS Projections'!$B:$B,'IS &amp; BS Projections'!AP:AP)</f>
        <v>0</v>
      </c>
      <c r="AP77" s="143">
        <f>_xlfn.XLOOKUP($B77,'IS &amp; BS Projections'!$B:$B,'IS &amp; BS Projections'!AQ:AQ)</f>
        <v>0</v>
      </c>
      <c r="AQ77" s="143">
        <f>_xlfn.XLOOKUP($B77,'IS &amp; BS Projections'!$B:$B,'IS &amp; BS Projections'!AR:AR)</f>
        <v>71592.970226374629</v>
      </c>
      <c r="AR77" s="143">
        <f>_xlfn.XLOOKUP($B77,'IS &amp; BS Projections'!$B:$B,'IS &amp; BS Projections'!AS:AS)</f>
        <v>0</v>
      </c>
      <c r="AS77" s="143">
        <f>_xlfn.XLOOKUP($B77,'IS &amp; BS Projections'!$B:$B,'IS &amp; BS Projections'!AT:AT)</f>
        <v>0</v>
      </c>
      <c r="AT77" s="143">
        <f>_xlfn.XLOOKUP($B77,'IS &amp; BS Projections'!$B:$B,'IS &amp; BS Projections'!AU:AU)</f>
        <v>0</v>
      </c>
      <c r="AU77" s="143">
        <f>_xlfn.XLOOKUP($B77,'IS &amp; BS Projections'!$B:$B,'IS &amp; BS Projections'!AV:AV)</f>
        <v>80141.596678574089</v>
      </c>
      <c r="AV77" s="143">
        <f>_xlfn.XLOOKUP($B77,'IS &amp; BS Projections'!$B:$B,'IS &amp; BS Projections'!AW:AW)</f>
        <v>0</v>
      </c>
      <c r="AW77" s="143">
        <f>_xlfn.XLOOKUP($B77,'IS &amp; BS Projections'!$B:$B,'IS &amp; BS Projections'!AX:AX)</f>
        <v>0</v>
      </c>
      <c r="AX77" s="143">
        <f>_xlfn.XLOOKUP($B77,'IS &amp; BS Projections'!$B:$B,'IS &amp; BS Projections'!AY:AY)</f>
        <v>0</v>
      </c>
      <c r="AY77" s="143">
        <f>_xlfn.XLOOKUP($B77,'IS &amp; BS Projections'!$B:$B,'IS &amp; BS Projections'!AZ:AZ)</f>
        <v>93603.653113714347</v>
      </c>
      <c r="AZ77" s="143">
        <f>_xlfn.XLOOKUP($B77,'IS &amp; BS Projections'!$B:$B,'IS &amp; BS Projections'!BA:BA)</f>
        <v>0</v>
      </c>
      <c r="BA77" s="143">
        <f>_xlfn.XLOOKUP($B77,'IS &amp; BS Projections'!$B:$B,'IS &amp; BS Projections'!BB:BB)</f>
        <v>0</v>
      </c>
      <c r="BB77" s="143">
        <f>_xlfn.XLOOKUP($B77,'IS &amp; BS Projections'!$B:$B,'IS &amp; BS Projections'!BC:BC)</f>
        <v>0</v>
      </c>
      <c r="BC77" s="143">
        <f>_xlfn.XLOOKUP($B77,'IS &amp; BS Projections'!$B:$B,'IS &amp; BS Projections'!BD:BD)</f>
        <v>115269.61315130208</v>
      </c>
      <c r="BD77" s="139">
        <f t="shared" si="280"/>
        <v>120831</v>
      </c>
      <c r="BE77" s="1" t="str">
        <f t="shared" si="269"/>
        <v>YES</v>
      </c>
    </row>
    <row r="78" spans="2:57" x14ac:dyDescent="0.15">
      <c r="B78" s="67" t="s">
        <v>84</v>
      </c>
      <c r="C78" s="67"/>
      <c r="D78" s="68" t="s">
        <v>33</v>
      </c>
      <c r="E78" s="69">
        <f>SUM(E59:E77)</f>
        <v>18373863</v>
      </c>
      <c r="F78" s="69">
        <f t="shared" ref="F78:N78" si="281">SUM(F59:F77)</f>
        <v>86448215</v>
      </c>
      <c r="G78" s="69">
        <f t="shared" si="281"/>
        <v>11356794</v>
      </c>
      <c r="H78" s="69">
        <f t="shared" si="281"/>
        <v>18112653</v>
      </c>
      <c r="I78" s="69">
        <f t="shared" si="281"/>
        <v>20388445</v>
      </c>
      <c r="J78" s="69">
        <f t="shared" si="281"/>
        <v>25484513.041394472</v>
      </c>
      <c r="K78" s="69">
        <f t="shared" si="281"/>
        <v>28594736.288589124</v>
      </c>
      <c r="L78" s="69">
        <f t="shared" si="281"/>
        <v>31073729.571701933</v>
      </c>
      <c r="M78" s="69">
        <f t="shared" si="281"/>
        <v>33900902.264168732</v>
      </c>
      <c r="N78" s="69">
        <f t="shared" si="281"/>
        <v>38276211.541573785</v>
      </c>
      <c r="O78" s="52"/>
      <c r="P78" s="69">
        <f>SUM(P59:P77)</f>
        <v>8672543</v>
      </c>
      <c r="Q78" s="69">
        <f t="shared" ref="Q78:BC78" si="282">SUM(Q59:Q77)</f>
        <v>14238055</v>
      </c>
      <c r="R78" s="69">
        <f t="shared" si="282"/>
        <v>15869717</v>
      </c>
      <c r="S78" s="69">
        <f t="shared" si="282"/>
        <v>18373863</v>
      </c>
      <c r="T78" s="69">
        <f t="shared" si="282"/>
        <v>16940652</v>
      </c>
      <c r="U78" s="69">
        <f t="shared" si="282"/>
        <v>102162250</v>
      </c>
      <c r="V78" s="69">
        <f t="shared" si="282"/>
        <v>107679967</v>
      </c>
      <c r="W78" s="69">
        <f t="shared" si="282"/>
        <v>86448215</v>
      </c>
      <c r="X78" s="69">
        <f t="shared" si="282"/>
        <v>135843945</v>
      </c>
      <c r="Y78" s="69">
        <f t="shared" si="282"/>
        <v>134261971</v>
      </c>
      <c r="Z78" s="69">
        <f t="shared" si="282"/>
        <v>123919222</v>
      </c>
      <c r="AA78" s="69">
        <f t="shared" si="282"/>
        <v>11356794</v>
      </c>
      <c r="AB78" s="69">
        <f t="shared" si="282"/>
        <v>343840946</v>
      </c>
      <c r="AC78" s="69">
        <f t="shared" si="282"/>
        <v>282886632</v>
      </c>
      <c r="AD78" s="69">
        <f t="shared" si="282"/>
        <v>286425567</v>
      </c>
      <c r="AE78" s="69">
        <f t="shared" si="282"/>
        <v>18112653</v>
      </c>
      <c r="AF78" s="69">
        <f t="shared" si="282"/>
        <v>17453788</v>
      </c>
      <c r="AG78" s="69">
        <f t="shared" si="282"/>
        <v>17490500</v>
      </c>
      <c r="AH78" s="69">
        <f t="shared" si="282"/>
        <v>22093189</v>
      </c>
      <c r="AI78" s="69">
        <f t="shared" si="282"/>
        <v>20388445</v>
      </c>
      <c r="AJ78" s="69">
        <f t="shared" si="282"/>
        <v>19367811.175269987</v>
      </c>
      <c r="AK78" s="69">
        <f t="shared" si="282"/>
        <v>24658272.625465162</v>
      </c>
      <c r="AL78" s="69">
        <f t="shared" si="282"/>
        <v>23164368.977301169</v>
      </c>
      <c r="AM78" s="69">
        <f t="shared" si="282"/>
        <v>25484513.041394472</v>
      </c>
      <c r="AN78" s="69">
        <f t="shared" si="282"/>
        <v>20349310.668262936</v>
      </c>
      <c r="AO78" s="69">
        <f t="shared" si="282"/>
        <v>27663020.572454792</v>
      </c>
      <c r="AP78" s="69">
        <f t="shared" si="282"/>
        <v>26023067.168214351</v>
      </c>
      <c r="AQ78" s="69">
        <f t="shared" si="282"/>
        <v>28594736.288589124</v>
      </c>
      <c r="AR78" s="69">
        <f t="shared" si="282"/>
        <v>22846867.140005168</v>
      </c>
      <c r="AS78" s="69">
        <f t="shared" si="282"/>
        <v>31124069.275190506</v>
      </c>
      <c r="AT78" s="69">
        <f t="shared" si="282"/>
        <v>29204404.01555546</v>
      </c>
      <c r="AU78" s="69">
        <f t="shared" si="282"/>
        <v>31073729.571701933</v>
      </c>
      <c r="AV78" s="69">
        <f t="shared" si="282"/>
        <v>24674283.373245537</v>
      </c>
      <c r="AW78" s="69">
        <f t="shared" si="282"/>
        <v>34365752.583866104</v>
      </c>
      <c r="AX78" s="69">
        <f t="shared" si="282"/>
        <v>32052219.514620222</v>
      </c>
      <c r="AY78" s="69">
        <f t="shared" si="282"/>
        <v>33900902.264168732</v>
      </c>
      <c r="AZ78" s="69">
        <f t="shared" si="282"/>
        <v>26455206.19118299</v>
      </c>
      <c r="BA78" s="69">
        <f t="shared" si="282"/>
        <v>37142670.44566042</v>
      </c>
      <c r="BB78" s="69">
        <f t="shared" si="282"/>
        <v>34196812.875547484</v>
      </c>
      <c r="BC78" s="69">
        <f t="shared" si="282"/>
        <v>38276211.541573785</v>
      </c>
    </row>
    <row r="80" spans="2:57" x14ac:dyDescent="0.15">
      <c r="B80" s="75" t="s">
        <v>85</v>
      </c>
    </row>
    <row r="81" spans="2:57" x14ac:dyDescent="0.15">
      <c r="B81" s="1" t="s">
        <v>86</v>
      </c>
      <c r="D81" s="43" t="s">
        <v>33</v>
      </c>
      <c r="E81" s="50">
        <f t="shared" ref="E81:E90" si="283">S81</f>
        <v>98385</v>
      </c>
      <c r="F81" s="50">
        <f t="shared" ref="F81:F90" si="284">W81</f>
        <v>69357</v>
      </c>
      <c r="G81" s="50">
        <f t="shared" ref="G81:G90" si="285">AA81</f>
        <v>0</v>
      </c>
      <c r="H81" s="50">
        <f t="shared" ref="H81:H90" si="286">AE81</f>
        <v>0</v>
      </c>
      <c r="I81" s="50">
        <f t="shared" ref="I81:I90" si="287">AI81</f>
        <v>0</v>
      </c>
      <c r="J81" s="50">
        <f t="shared" ref="J81:J90" si="288">AM81</f>
        <v>0</v>
      </c>
      <c r="K81" s="50">
        <f t="shared" ref="K81:K90" si="289">AQ81</f>
        <v>0</v>
      </c>
      <c r="L81" s="50">
        <f t="shared" ref="L81:L90" si="290">AU81</f>
        <v>0</v>
      </c>
      <c r="M81" s="50">
        <f t="shared" ref="M81:M90" si="291">AY81</f>
        <v>0</v>
      </c>
      <c r="N81" s="50">
        <f t="shared" ref="N81:N90" si="292">BC81</f>
        <v>0</v>
      </c>
      <c r="P81" s="51">
        <v>110791</v>
      </c>
      <c r="Q81" s="51">
        <v>105296</v>
      </c>
      <c r="R81" s="51">
        <v>105583</v>
      </c>
      <c r="S81" s="51">
        <v>98385</v>
      </c>
      <c r="T81" s="51">
        <v>91431</v>
      </c>
      <c r="U81" s="51">
        <v>85972</v>
      </c>
      <c r="V81" s="51">
        <v>76465</v>
      </c>
      <c r="W81" s="51">
        <v>69357</v>
      </c>
      <c r="X81" s="51">
        <v>38864</v>
      </c>
      <c r="Y81" s="51">
        <v>18210</v>
      </c>
      <c r="Z81" s="51">
        <v>15412</v>
      </c>
      <c r="AA81" s="51">
        <v>0</v>
      </c>
      <c r="AB81" s="51">
        <v>0</v>
      </c>
      <c r="AC81" s="51">
        <v>0</v>
      </c>
      <c r="AD81" s="51">
        <v>0</v>
      </c>
      <c r="AE81" s="51">
        <v>0</v>
      </c>
      <c r="AF81" s="51">
        <v>0</v>
      </c>
      <c r="AG81" s="51">
        <v>0</v>
      </c>
      <c r="AH81" s="51">
        <v>0</v>
      </c>
      <c r="AI81" s="51">
        <v>0</v>
      </c>
      <c r="AJ81" s="143">
        <f>_xlfn.XLOOKUP($B81,'IS &amp; BS Projections'!$B:$B,'IS &amp; BS Projections'!AK:AK)</f>
        <v>93749.435978208785</v>
      </c>
      <c r="AK81" s="143">
        <f>_xlfn.XLOOKUP($B81,'IS &amp; BS Projections'!$B:$B,'IS &amp; BS Projections'!AL:AL)</f>
        <v>45877.546907138167</v>
      </c>
      <c r="AL81" s="143">
        <f>_xlfn.XLOOKUP($B81,'IS &amp; BS Projections'!$B:$B,'IS &amp; BS Projections'!AM:AM)</f>
        <v>54269.164847846783</v>
      </c>
      <c r="AM81" s="143">
        <f>_xlfn.XLOOKUP($B81,'IS &amp; BS Projections'!$B:$B,'IS &amp; BS Projections'!AN:AN)</f>
        <v>0</v>
      </c>
      <c r="AN81" s="143">
        <f>_xlfn.XLOOKUP($B81,'IS &amp; BS Projections'!$B:$B,'IS &amp; BS Projections'!AO:AO)</f>
        <v>97834.032339822093</v>
      </c>
      <c r="AO81" s="143">
        <f>_xlfn.XLOOKUP($B81,'IS &amp; BS Projections'!$B:$B,'IS &amp; BS Projections'!AP:AP)</f>
        <v>52194.002981697107</v>
      </c>
      <c r="AP81" s="143">
        <f>_xlfn.XLOOKUP($B81,'IS &amp; BS Projections'!$B:$B,'IS &amp; BS Projections'!AQ:AQ)</f>
        <v>62624.089362655868</v>
      </c>
      <c r="AQ81" s="143">
        <f>_xlfn.XLOOKUP($B81,'IS &amp; BS Projections'!$B:$B,'IS &amp; BS Projections'!AR:AR)</f>
        <v>0</v>
      </c>
      <c r="AR81" s="143">
        <f>_xlfn.XLOOKUP($B81,'IS &amp; BS Projections'!$B:$B,'IS &amp; BS Projections'!AS:AS)</f>
        <v>106498.5400693431</v>
      </c>
      <c r="AS81" s="143">
        <f>_xlfn.XLOOKUP($B81,'IS &amp; BS Projections'!$B:$B,'IS &amp; BS Projections'!AT:AT)</f>
        <v>59726.830739789977</v>
      </c>
      <c r="AT81" s="143">
        <f>_xlfn.XLOOKUP($B81,'IS &amp; BS Projections'!$B:$B,'IS &amp; BS Projections'!AU:AU)</f>
        <v>70569.447792700492</v>
      </c>
      <c r="AU81" s="143">
        <f>_xlfn.XLOOKUP($B81,'IS &amp; BS Projections'!$B:$B,'IS &amp; BS Projections'!AV:AV)</f>
        <v>0</v>
      </c>
      <c r="AV81" s="143">
        <f>_xlfn.XLOOKUP($B81,'IS &amp; BS Projections'!$B:$B,'IS &amp; BS Projections'!AW:AW)</f>
        <v>117587.57398509668</v>
      </c>
      <c r="AW81" s="143">
        <f>_xlfn.XLOOKUP($B81,'IS &amp; BS Projections'!$B:$B,'IS &amp; BS Projections'!AX:AX)</f>
        <v>71034.113376014953</v>
      </c>
      <c r="AX81" s="143">
        <f>_xlfn.XLOOKUP($B81,'IS &amp; BS Projections'!$B:$B,'IS &amp; BS Projections'!AY:AY)</f>
        <v>82917.74269006915</v>
      </c>
      <c r="AY81" s="143">
        <f>_xlfn.XLOOKUP($B81,'IS &amp; BS Projections'!$B:$B,'IS &amp; BS Projections'!AZ:AZ)</f>
        <v>0</v>
      </c>
      <c r="AZ81" s="143">
        <f>_xlfn.XLOOKUP($B81,'IS &amp; BS Projections'!$B:$B,'IS &amp; BS Projections'!BA:BA)</f>
        <v>135100.56883624531</v>
      </c>
      <c r="BA81" s="143">
        <f>_xlfn.XLOOKUP($B81,'IS &amp; BS Projections'!$B:$B,'IS &amp; BS Projections'!BB:BB)</f>
        <v>89326.527838274123</v>
      </c>
      <c r="BB81" s="143">
        <f>_xlfn.XLOOKUP($B81,'IS &amp; BS Projections'!$B:$B,'IS &amp; BS Projections'!BC:BC)</f>
        <v>103322.08482225772</v>
      </c>
      <c r="BC81" s="143">
        <f>_xlfn.XLOOKUP($B81,'IS &amp; BS Projections'!$B:$B,'IS &amp; BS Projections'!BD:BD)</f>
        <v>0</v>
      </c>
      <c r="BD81" s="139">
        <f t="shared" ref="BD81" si="293">AI81-AJ81</f>
        <v>-93749.435978208785</v>
      </c>
      <c r="BE81" s="1" t="str">
        <f>IF(ISNUMBER(MATCH(BD81,$AJ$136:$AJ$1048576,0)),"YES","NO")</f>
        <v>YES</v>
      </c>
    </row>
    <row r="82" spans="2:57" x14ac:dyDescent="0.15">
      <c r="B82" s="1" t="s">
        <v>87</v>
      </c>
      <c r="D82" s="43" t="s">
        <v>33</v>
      </c>
      <c r="E82" s="50">
        <f t="shared" si="283"/>
        <v>0</v>
      </c>
      <c r="F82" s="50">
        <f t="shared" si="284"/>
        <v>0</v>
      </c>
      <c r="G82" s="50">
        <f t="shared" si="285"/>
        <v>0</v>
      </c>
      <c r="H82" s="50">
        <f t="shared" si="286"/>
        <v>0</v>
      </c>
      <c r="I82" s="50">
        <f t="shared" si="287"/>
        <v>264573</v>
      </c>
      <c r="J82" s="50">
        <f t="shared" si="288"/>
        <v>326749.45502030244</v>
      </c>
      <c r="K82" s="50">
        <f t="shared" si="289"/>
        <v>376528.35619411943</v>
      </c>
      <c r="L82" s="50">
        <f t="shared" si="290"/>
        <v>412867.62129614549</v>
      </c>
      <c r="M82" s="50">
        <f t="shared" si="291"/>
        <v>441876.78501951275</v>
      </c>
      <c r="N82" s="50">
        <f t="shared" si="292"/>
        <v>476497.80286563985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0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0</v>
      </c>
      <c r="AF82" s="51">
        <v>0</v>
      </c>
      <c r="AG82" s="51">
        <v>0</v>
      </c>
      <c r="AH82" s="51">
        <v>0</v>
      </c>
      <c r="AI82" s="51">
        <v>264573</v>
      </c>
      <c r="AJ82" s="143">
        <f>AI82-AJ187-AJ142</f>
        <v>280117.11375507561</v>
      </c>
      <c r="AK82" s="143">
        <f t="shared" ref="AK82:BC82" si="294">AJ82-AK187-AK142</f>
        <v>295661.22751015122</v>
      </c>
      <c r="AL82" s="143">
        <f t="shared" si="294"/>
        <v>311205.34126522683</v>
      </c>
      <c r="AM82" s="143">
        <f t="shared" si="294"/>
        <v>326749.45502030244</v>
      </c>
      <c r="AN82" s="143">
        <f t="shared" si="294"/>
        <v>339194.18031375669</v>
      </c>
      <c r="AO82" s="143">
        <f t="shared" si="294"/>
        <v>351638.90560721094</v>
      </c>
      <c r="AP82" s="143">
        <f t="shared" si="294"/>
        <v>364083.63090066519</v>
      </c>
      <c r="AQ82" s="143">
        <f t="shared" si="294"/>
        <v>376528.35619411943</v>
      </c>
      <c r="AR82" s="143">
        <f t="shared" si="294"/>
        <v>385613.17246962595</v>
      </c>
      <c r="AS82" s="143">
        <f t="shared" si="294"/>
        <v>394697.98874513246</v>
      </c>
      <c r="AT82" s="143">
        <f t="shared" si="294"/>
        <v>403782.80502063897</v>
      </c>
      <c r="AU82" s="143">
        <f t="shared" si="294"/>
        <v>412867.62129614549</v>
      </c>
      <c r="AV82" s="143">
        <f t="shared" si="294"/>
        <v>420119.9122269873</v>
      </c>
      <c r="AW82" s="143">
        <f t="shared" si="294"/>
        <v>427372.20315782912</v>
      </c>
      <c r="AX82" s="143">
        <f t="shared" si="294"/>
        <v>434624.49408867094</v>
      </c>
      <c r="AY82" s="143">
        <f t="shared" si="294"/>
        <v>441876.78501951275</v>
      </c>
      <c r="AZ82" s="143">
        <f t="shared" si="294"/>
        <v>450532.03948104451</v>
      </c>
      <c r="BA82" s="143">
        <f t="shared" si="294"/>
        <v>459187.29394257633</v>
      </c>
      <c r="BB82" s="143">
        <f t="shared" si="294"/>
        <v>467842.54840410809</v>
      </c>
      <c r="BC82" s="143">
        <f t="shared" si="294"/>
        <v>476497.80286563985</v>
      </c>
      <c r="BD82" s="139"/>
    </row>
    <row r="83" spans="2:57" x14ac:dyDescent="0.15">
      <c r="B83" s="1" t="s">
        <v>88</v>
      </c>
      <c r="D83" s="43" t="s">
        <v>33</v>
      </c>
      <c r="E83" s="50">
        <f t="shared" si="283"/>
        <v>59230</v>
      </c>
      <c r="F83" s="50">
        <f t="shared" si="284"/>
        <v>171853</v>
      </c>
      <c r="G83" s="50">
        <f t="shared" si="285"/>
        <v>192550</v>
      </c>
      <c r="H83" s="50">
        <f t="shared" si="286"/>
        <v>200080</v>
      </c>
      <c r="I83" s="50">
        <f t="shared" si="287"/>
        <v>0</v>
      </c>
      <c r="J83" s="50">
        <f t="shared" si="288"/>
        <v>0</v>
      </c>
      <c r="K83" s="50">
        <f t="shared" si="289"/>
        <v>0</v>
      </c>
      <c r="L83" s="50">
        <f t="shared" si="290"/>
        <v>0</v>
      </c>
      <c r="M83" s="50">
        <f t="shared" si="291"/>
        <v>0</v>
      </c>
      <c r="N83" s="50">
        <f t="shared" si="292"/>
        <v>0</v>
      </c>
      <c r="P83" s="51">
        <v>50331</v>
      </c>
      <c r="Q83" s="51">
        <v>52175</v>
      </c>
      <c r="R83" s="51">
        <v>55632</v>
      </c>
      <c r="S83" s="51">
        <v>59230</v>
      </c>
      <c r="T83" s="51">
        <v>65861</v>
      </c>
      <c r="U83" s="51">
        <v>142209</v>
      </c>
      <c r="V83" s="51">
        <v>170922</v>
      </c>
      <c r="W83" s="51">
        <v>171853</v>
      </c>
      <c r="X83" s="51">
        <v>172843</v>
      </c>
      <c r="Y83" s="51">
        <v>186046</v>
      </c>
      <c r="Z83" s="51">
        <v>202274</v>
      </c>
      <c r="AA83" s="51">
        <v>192550</v>
      </c>
      <c r="AB83" s="51">
        <v>0</v>
      </c>
      <c r="AC83" s="51">
        <v>0</v>
      </c>
      <c r="AD83" s="51">
        <v>0</v>
      </c>
      <c r="AE83" s="51">
        <v>200080</v>
      </c>
      <c r="AF83" s="51">
        <v>0</v>
      </c>
      <c r="AG83" s="51">
        <v>0</v>
      </c>
      <c r="AH83" s="51">
        <v>0</v>
      </c>
      <c r="AI83" s="51">
        <v>0</v>
      </c>
      <c r="AJ83" s="147">
        <f>AI83</f>
        <v>0</v>
      </c>
      <c r="AK83" s="147">
        <f t="shared" ref="AK83:BC83" si="295">AJ83</f>
        <v>0</v>
      </c>
      <c r="AL83" s="147">
        <f t="shared" si="295"/>
        <v>0</v>
      </c>
      <c r="AM83" s="147">
        <f t="shared" si="295"/>
        <v>0</v>
      </c>
      <c r="AN83" s="147">
        <f t="shared" si="295"/>
        <v>0</v>
      </c>
      <c r="AO83" s="147">
        <f t="shared" si="295"/>
        <v>0</v>
      </c>
      <c r="AP83" s="147">
        <f t="shared" si="295"/>
        <v>0</v>
      </c>
      <c r="AQ83" s="147">
        <f t="shared" si="295"/>
        <v>0</v>
      </c>
      <c r="AR83" s="147">
        <f t="shared" si="295"/>
        <v>0</v>
      </c>
      <c r="AS83" s="147">
        <f t="shared" si="295"/>
        <v>0</v>
      </c>
      <c r="AT83" s="147">
        <f t="shared" si="295"/>
        <v>0</v>
      </c>
      <c r="AU83" s="147">
        <f t="shared" si="295"/>
        <v>0</v>
      </c>
      <c r="AV83" s="147">
        <f t="shared" si="295"/>
        <v>0</v>
      </c>
      <c r="AW83" s="147">
        <f t="shared" si="295"/>
        <v>0</v>
      </c>
      <c r="AX83" s="147">
        <f t="shared" si="295"/>
        <v>0</v>
      </c>
      <c r="AY83" s="147">
        <f t="shared" si="295"/>
        <v>0</v>
      </c>
      <c r="AZ83" s="147">
        <f t="shared" si="295"/>
        <v>0</v>
      </c>
      <c r="BA83" s="147">
        <f t="shared" si="295"/>
        <v>0</v>
      </c>
      <c r="BB83" s="147">
        <f t="shared" si="295"/>
        <v>0</v>
      </c>
      <c r="BC83" s="147">
        <f t="shared" si="295"/>
        <v>0</v>
      </c>
      <c r="BD83" s="139"/>
    </row>
    <row r="84" spans="2:57" x14ac:dyDescent="0.15">
      <c r="B84" s="1" t="s">
        <v>89</v>
      </c>
      <c r="D84" s="43" t="s">
        <v>33</v>
      </c>
      <c r="E84" s="50">
        <f t="shared" si="283"/>
        <v>0</v>
      </c>
      <c r="F84" s="50">
        <f t="shared" si="284"/>
        <v>0</v>
      </c>
      <c r="G84" s="50">
        <f t="shared" si="285"/>
        <v>0</v>
      </c>
      <c r="H84" s="50">
        <f t="shared" si="286"/>
        <v>374161</v>
      </c>
      <c r="I84" s="50">
        <f t="shared" si="287"/>
        <v>622985</v>
      </c>
      <c r="J84" s="50">
        <f t="shared" si="288"/>
        <v>0</v>
      </c>
      <c r="K84" s="50">
        <f t="shared" si="289"/>
        <v>0</v>
      </c>
      <c r="L84" s="50">
        <f t="shared" si="290"/>
        <v>0</v>
      </c>
      <c r="M84" s="50">
        <f t="shared" si="291"/>
        <v>0</v>
      </c>
      <c r="N84" s="50">
        <f t="shared" si="292"/>
        <v>0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1">
        <v>0</v>
      </c>
      <c r="V84" s="51">
        <v>0</v>
      </c>
      <c r="W84" s="51">
        <v>0</v>
      </c>
      <c r="X84" s="51">
        <v>0</v>
      </c>
      <c r="Y84" s="51">
        <v>0</v>
      </c>
      <c r="Z84" s="51">
        <v>0</v>
      </c>
      <c r="AA84" s="51">
        <v>0</v>
      </c>
      <c r="AB84" s="51">
        <v>0</v>
      </c>
      <c r="AC84" s="51">
        <v>0</v>
      </c>
      <c r="AD84" s="51">
        <v>0</v>
      </c>
      <c r="AE84" s="51">
        <v>374161</v>
      </c>
      <c r="AF84" s="51">
        <v>0</v>
      </c>
      <c r="AG84" s="51">
        <v>1933843</v>
      </c>
      <c r="AH84" s="51">
        <v>401728</v>
      </c>
      <c r="AI84" s="51">
        <v>622985</v>
      </c>
      <c r="AJ84" s="143">
        <f>_xlfn.XLOOKUP($B84,'IS &amp; BS Projections'!$B:$B,'IS &amp; BS Projections'!AK:AK)</f>
        <v>0</v>
      </c>
      <c r="AK84" s="143">
        <f>_xlfn.XLOOKUP($B84,'IS &amp; BS Projections'!$B:$B,'IS &amp; BS Projections'!AL:AL)</f>
        <v>0</v>
      </c>
      <c r="AL84" s="143">
        <f>_xlfn.XLOOKUP($B84,'IS &amp; BS Projections'!$B:$B,'IS &amp; BS Projections'!AM:AM)</f>
        <v>0</v>
      </c>
      <c r="AM84" s="143">
        <f>_xlfn.XLOOKUP($B84,'IS &amp; BS Projections'!$B:$B,'IS &amp; BS Projections'!AN:AN)</f>
        <v>0</v>
      </c>
      <c r="AN84" s="143">
        <f>_xlfn.XLOOKUP($B84,'IS &amp; BS Projections'!$B:$B,'IS &amp; BS Projections'!AO:AO)</f>
        <v>0</v>
      </c>
      <c r="AO84" s="143">
        <f>_xlfn.XLOOKUP($B84,'IS &amp; BS Projections'!$B:$B,'IS &amp; BS Projections'!AP:AP)</f>
        <v>0</v>
      </c>
      <c r="AP84" s="143">
        <f>_xlfn.XLOOKUP($B84,'IS &amp; BS Projections'!$B:$B,'IS &amp; BS Projections'!AQ:AQ)</f>
        <v>0</v>
      </c>
      <c r="AQ84" s="143">
        <f>_xlfn.XLOOKUP($B84,'IS &amp; BS Projections'!$B:$B,'IS &amp; BS Projections'!AR:AR)</f>
        <v>0</v>
      </c>
      <c r="AR84" s="143">
        <f>_xlfn.XLOOKUP($B84,'IS &amp; BS Projections'!$B:$B,'IS &amp; BS Projections'!AS:AS)</f>
        <v>0</v>
      </c>
      <c r="AS84" s="143">
        <f>_xlfn.XLOOKUP($B84,'IS &amp; BS Projections'!$B:$B,'IS &amp; BS Projections'!AT:AT)</f>
        <v>0</v>
      </c>
      <c r="AT84" s="143">
        <f>_xlfn.XLOOKUP($B84,'IS &amp; BS Projections'!$B:$B,'IS &amp; BS Projections'!AU:AU)</f>
        <v>0</v>
      </c>
      <c r="AU84" s="143">
        <f>_xlfn.XLOOKUP($B84,'IS &amp; BS Projections'!$B:$B,'IS &amp; BS Projections'!AV:AV)</f>
        <v>0</v>
      </c>
      <c r="AV84" s="143">
        <f>_xlfn.XLOOKUP($B84,'IS &amp; BS Projections'!$B:$B,'IS &amp; BS Projections'!AW:AW)</f>
        <v>0</v>
      </c>
      <c r="AW84" s="143">
        <f>_xlfn.XLOOKUP($B84,'IS &amp; BS Projections'!$B:$B,'IS &amp; BS Projections'!AX:AX)</f>
        <v>0</v>
      </c>
      <c r="AX84" s="143">
        <f>_xlfn.XLOOKUP($B84,'IS &amp; BS Projections'!$B:$B,'IS &amp; BS Projections'!AY:AY)</f>
        <v>0</v>
      </c>
      <c r="AY84" s="143">
        <f>_xlfn.XLOOKUP($B84,'IS &amp; BS Projections'!$B:$B,'IS &amp; BS Projections'!AZ:AZ)</f>
        <v>0</v>
      </c>
      <c r="AZ84" s="143">
        <f>_xlfn.XLOOKUP($B84,'IS &amp; BS Projections'!$B:$B,'IS &amp; BS Projections'!BA:BA)</f>
        <v>0</v>
      </c>
      <c r="BA84" s="143">
        <f>_xlfn.XLOOKUP($B84,'IS &amp; BS Projections'!$B:$B,'IS &amp; BS Projections'!BB:BB)</f>
        <v>0</v>
      </c>
      <c r="BB84" s="143">
        <f>_xlfn.XLOOKUP($B84,'IS &amp; BS Projections'!$B:$B,'IS &amp; BS Projections'!BC:BC)</f>
        <v>0</v>
      </c>
      <c r="BC84" s="143">
        <f>_xlfn.XLOOKUP($B84,'IS &amp; BS Projections'!$B:$B,'IS &amp; BS Projections'!BD:BD)</f>
        <v>0</v>
      </c>
      <c r="BD84" s="139"/>
    </row>
    <row r="85" spans="2:57" x14ac:dyDescent="0.15">
      <c r="B85" s="1" t="s">
        <v>90</v>
      </c>
      <c r="D85" s="43" t="s">
        <v>33</v>
      </c>
      <c r="E85" s="50">
        <f t="shared" si="283"/>
        <v>0</v>
      </c>
      <c r="F85" s="50">
        <f t="shared" si="284"/>
        <v>1046791</v>
      </c>
      <c r="G85" s="50">
        <f t="shared" si="285"/>
        <v>1272233</v>
      </c>
      <c r="H85" s="50">
        <f t="shared" si="286"/>
        <v>941298</v>
      </c>
      <c r="I85" s="50">
        <f t="shared" si="287"/>
        <v>570819</v>
      </c>
      <c r="J85" s="50">
        <f t="shared" si="288"/>
        <v>720871.13128086086</v>
      </c>
      <c r="K85" s="50">
        <f t="shared" si="289"/>
        <v>814079.55555195024</v>
      </c>
      <c r="L85" s="50">
        <f t="shared" si="290"/>
        <v>911285.49631374876</v>
      </c>
      <c r="M85" s="50">
        <f t="shared" si="291"/>
        <v>1064361.7674180437</v>
      </c>
      <c r="N85" s="50">
        <f t="shared" si="292"/>
        <v>1310724.1555440784</v>
      </c>
      <c r="P85" s="51">
        <v>0</v>
      </c>
      <c r="Q85" s="51">
        <v>0</v>
      </c>
      <c r="R85" s="51">
        <v>0</v>
      </c>
      <c r="S85" s="51">
        <v>0</v>
      </c>
      <c r="T85" s="51">
        <v>0</v>
      </c>
      <c r="U85" s="51">
        <v>0</v>
      </c>
      <c r="V85" s="51">
        <v>0</v>
      </c>
      <c r="W85" s="51">
        <v>1046791</v>
      </c>
      <c r="X85" s="51">
        <v>0</v>
      </c>
      <c r="Y85" s="51">
        <v>0</v>
      </c>
      <c r="Z85" s="51">
        <v>0</v>
      </c>
      <c r="AA85" s="51">
        <v>1272233</v>
      </c>
      <c r="AB85" s="51">
        <v>879671</v>
      </c>
      <c r="AC85" s="51">
        <v>1010154</v>
      </c>
      <c r="AD85" s="51">
        <v>1032959</v>
      </c>
      <c r="AE85" s="51">
        <v>941298</v>
      </c>
      <c r="AF85" s="51">
        <v>995529</v>
      </c>
      <c r="AG85" s="51">
        <v>541354</v>
      </c>
      <c r="AH85" s="51">
        <v>324096</v>
      </c>
      <c r="AI85" s="51">
        <v>570819</v>
      </c>
      <c r="AJ85" s="143">
        <f>_xlfn.XLOOKUP($B85,'IS &amp; BS Projections'!$B:$B,'IS &amp; BS Projections'!AK:AK)</f>
        <v>0</v>
      </c>
      <c r="AK85" s="143">
        <f>_xlfn.XLOOKUP($B85,'IS &amp; BS Projections'!$B:$B,'IS &amp; BS Projections'!AL:AL)</f>
        <v>0</v>
      </c>
      <c r="AL85" s="143">
        <f>_xlfn.XLOOKUP($B85,'IS &amp; BS Projections'!$B:$B,'IS &amp; BS Projections'!AM:AM)</f>
        <v>0</v>
      </c>
      <c r="AM85" s="143">
        <f>_xlfn.XLOOKUP($B85,'IS &amp; BS Projections'!$B:$B,'IS &amp; BS Projections'!AN:AN)</f>
        <v>720871.13128086086</v>
      </c>
      <c r="AN85" s="143">
        <f>_xlfn.XLOOKUP($B85,'IS &amp; BS Projections'!$B:$B,'IS &amp; BS Projections'!AO:AO)</f>
        <v>0</v>
      </c>
      <c r="AO85" s="143">
        <f>_xlfn.XLOOKUP($B85,'IS &amp; BS Projections'!$B:$B,'IS &amp; BS Projections'!AP:AP)</f>
        <v>0</v>
      </c>
      <c r="AP85" s="143">
        <f>_xlfn.XLOOKUP($B85,'IS &amp; BS Projections'!$B:$B,'IS &amp; BS Projections'!AQ:AQ)</f>
        <v>0</v>
      </c>
      <c r="AQ85" s="143">
        <f>_xlfn.XLOOKUP($B85,'IS &amp; BS Projections'!$B:$B,'IS &amp; BS Projections'!AR:AR)</f>
        <v>814079.55555195024</v>
      </c>
      <c r="AR85" s="143">
        <f>_xlfn.XLOOKUP($B85,'IS &amp; BS Projections'!$B:$B,'IS &amp; BS Projections'!AS:AS)</f>
        <v>0</v>
      </c>
      <c r="AS85" s="143">
        <f>_xlfn.XLOOKUP($B85,'IS &amp; BS Projections'!$B:$B,'IS &amp; BS Projections'!AT:AT)</f>
        <v>0</v>
      </c>
      <c r="AT85" s="143">
        <f>_xlfn.XLOOKUP($B85,'IS &amp; BS Projections'!$B:$B,'IS &amp; BS Projections'!AU:AU)</f>
        <v>0</v>
      </c>
      <c r="AU85" s="143">
        <f>_xlfn.XLOOKUP($B85,'IS &amp; BS Projections'!$B:$B,'IS &amp; BS Projections'!AV:AV)</f>
        <v>911285.49631374876</v>
      </c>
      <c r="AV85" s="143">
        <f>_xlfn.XLOOKUP($B85,'IS &amp; BS Projections'!$B:$B,'IS &amp; BS Projections'!AW:AW)</f>
        <v>0</v>
      </c>
      <c r="AW85" s="143">
        <f>_xlfn.XLOOKUP($B85,'IS &amp; BS Projections'!$B:$B,'IS &amp; BS Projections'!AX:AX)</f>
        <v>0</v>
      </c>
      <c r="AX85" s="143">
        <f>_xlfn.XLOOKUP($B85,'IS &amp; BS Projections'!$B:$B,'IS &amp; BS Projections'!AY:AY)</f>
        <v>0</v>
      </c>
      <c r="AY85" s="143">
        <f>_xlfn.XLOOKUP($B85,'IS &amp; BS Projections'!$B:$B,'IS &amp; BS Projections'!AZ:AZ)</f>
        <v>1064361.7674180437</v>
      </c>
      <c r="AZ85" s="143">
        <f>_xlfn.XLOOKUP($B85,'IS &amp; BS Projections'!$B:$B,'IS &amp; BS Projections'!BA:BA)</f>
        <v>0</v>
      </c>
      <c r="BA85" s="143">
        <f>_xlfn.XLOOKUP($B85,'IS &amp; BS Projections'!$B:$B,'IS &amp; BS Projections'!BB:BB)</f>
        <v>0</v>
      </c>
      <c r="BB85" s="143">
        <f>_xlfn.XLOOKUP($B85,'IS &amp; BS Projections'!$B:$B,'IS &amp; BS Projections'!BC:BC)</f>
        <v>0</v>
      </c>
      <c r="BC85" s="143">
        <f>_xlfn.XLOOKUP($B85,'IS &amp; BS Projections'!$B:$B,'IS &amp; BS Projections'!BD:BD)</f>
        <v>1310724.1555440784</v>
      </c>
      <c r="BD85" s="139"/>
    </row>
    <row r="86" spans="2:57" x14ac:dyDescent="0.15">
      <c r="B86" s="1" t="s">
        <v>91</v>
      </c>
      <c r="D86" s="43" t="s">
        <v>33</v>
      </c>
      <c r="E86" s="50">
        <f t="shared" si="283"/>
        <v>625758</v>
      </c>
      <c r="F86" s="50">
        <f t="shared" si="284"/>
        <v>1073906</v>
      </c>
      <c r="G86" s="50">
        <f t="shared" si="285"/>
        <v>1139670</v>
      </c>
      <c r="H86" s="50">
        <f t="shared" si="286"/>
        <v>1139670</v>
      </c>
      <c r="I86" s="50">
        <f t="shared" si="287"/>
        <v>4168967</v>
      </c>
      <c r="J86" s="50">
        <f t="shared" si="288"/>
        <v>2078708.0906860565</v>
      </c>
      <c r="K86" s="50">
        <f t="shared" si="289"/>
        <v>2347484.4325935859</v>
      </c>
      <c r="L86" s="50">
        <f t="shared" si="290"/>
        <v>2627788.0357705783</v>
      </c>
      <c r="M86" s="50">
        <f t="shared" si="291"/>
        <v>3069199.6410198598</v>
      </c>
      <c r="N86" s="50">
        <f t="shared" si="292"/>
        <v>3779611.6234339536</v>
      </c>
      <c r="P86" s="51">
        <v>481379</v>
      </c>
      <c r="Q86" s="51">
        <v>501259</v>
      </c>
      <c r="R86" s="51">
        <v>567420</v>
      </c>
      <c r="S86" s="51">
        <v>625758</v>
      </c>
      <c r="T86" s="51">
        <v>1080176</v>
      </c>
      <c r="U86" s="51">
        <v>1073906</v>
      </c>
      <c r="V86" s="51">
        <v>1073906</v>
      </c>
      <c r="W86" s="51">
        <v>1073906</v>
      </c>
      <c r="X86" s="51">
        <v>1139670</v>
      </c>
      <c r="Y86" s="51">
        <v>1139670</v>
      </c>
      <c r="Z86" s="51">
        <v>1139670</v>
      </c>
      <c r="AA86" s="51">
        <v>1139670</v>
      </c>
      <c r="AB86" s="51">
        <v>1139670</v>
      </c>
      <c r="AC86" s="51">
        <v>1139670</v>
      </c>
      <c r="AD86" s="51">
        <v>1139670</v>
      </c>
      <c r="AE86" s="51">
        <v>1139670</v>
      </c>
      <c r="AF86" s="51">
        <v>1153621</v>
      </c>
      <c r="AG86" s="51">
        <v>1153621</v>
      </c>
      <c r="AH86" s="51">
        <v>4004112</v>
      </c>
      <c r="AI86" s="51">
        <v>4168967</v>
      </c>
      <c r="AJ86" s="143">
        <f>_xlfn.XLOOKUP($B86,'IS &amp; BS Projections'!$B:$B,'IS &amp; BS Projections'!AK:AK)</f>
        <v>1296926.0104076592</v>
      </c>
      <c r="AK86" s="143">
        <f>_xlfn.XLOOKUP($B86,'IS &amp; BS Projections'!$B:$B,'IS &amp; BS Projections'!AL:AL)</f>
        <v>1402140.2301622934</v>
      </c>
      <c r="AL86" s="143">
        <f>_xlfn.XLOOKUP($B86,'IS &amp; BS Projections'!$B:$B,'IS &amp; BS Projections'!AM:AM)</f>
        <v>4013037.8342944165</v>
      </c>
      <c r="AM86" s="143">
        <f>_xlfn.XLOOKUP($B86,'IS &amp; BS Projections'!$B:$B,'IS &amp; BS Projections'!AN:AN)</f>
        <v>2078708.0906860565</v>
      </c>
      <c r="AN86" s="143">
        <f>_xlfn.XLOOKUP($B86,'IS &amp; BS Projections'!$B:$B,'IS &amp; BS Projections'!AO:AO)</f>
        <v>1353432.1558379543</v>
      </c>
      <c r="AO86" s="143">
        <f>_xlfn.XLOOKUP($B86,'IS &amp; BS Projections'!$B:$B,'IS &amp; BS Projections'!AP:AP)</f>
        <v>1595187.9794702251</v>
      </c>
      <c r="AP86" s="143">
        <f>_xlfn.XLOOKUP($B86,'IS &amp; BS Projections'!$B:$B,'IS &amp; BS Projections'!AQ:AQ)</f>
        <v>4630858.8063806128</v>
      </c>
      <c r="AQ86" s="143">
        <f>_xlfn.XLOOKUP($B86,'IS &amp; BS Projections'!$B:$B,'IS &amp; BS Projections'!AR:AR)</f>
        <v>2347484.4325935859</v>
      </c>
      <c r="AR86" s="143">
        <f>_xlfn.XLOOKUP($B86,'IS &amp; BS Projections'!$B:$B,'IS &amp; BS Projections'!AS:AS)</f>
        <v>1473296.6150162048</v>
      </c>
      <c r="AS86" s="143">
        <f>_xlfn.XLOOKUP($B86,'IS &amp; BS Projections'!$B:$B,'IS &amp; BS Projections'!AT:AT)</f>
        <v>1825411.292584246</v>
      </c>
      <c r="AT86" s="143">
        <f>_xlfn.XLOOKUP($B86,'IS &amp; BS Projections'!$B:$B,'IS &amp; BS Projections'!AU:AU)</f>
        <v>5218393.6261294428</v>
      </c>
      <c r="AU86" s="143">
        <f>_xlfn.XLOOKUP($B86,'IS &amp; BS Projections'!$B:$B,'IS &amp; BS Projections'!AV:AV)</f>
        <v>2627788.0357705783</v>
      </c>
      <c r="AV86" s="143">
        <f>_xlfn.XLOOKUP($B86,'IS &amp; BS Projections'!$B:$B,'IS &amp; BS Projections'!AW:AW)</f>
        <v>1626701.8741046584</v>
      </c>
      <c r="AW86" s="143">
        <f>_xlfn.XLOOKUP($B86,'IS &amp; BS Projections'!$B:$B,'IS &amp; BS Projections'!AX:AX)</f>
        <v>2170992.016639912</v>
      </c>
      <c r="AX86" s="143">
        <f>_xlfn.XLOOKUP($B86,'IS &amp; BS Projections'!$B:$B,'IS &amp; BS Projections'!AY:AY)</f>
        <v>6131512.0562932193</v>
      </c>
      <c r="AY86" s="143">
        <f>_xlfn.XLOOKUP($B86,'IS &amp; BS Projections'!$B:$B,'IS &amp; BS Projections'!AZ:AZ)</f>
        <v>3069199.6410198598</v>
      </c>
      <c r="AZ86" s="143">
        <f>_xlfn.XLOOKUP($B86,'IS &amp; BS Projections'!$B:$B,'IS &amp; BS Projections'!BA:BA)</f>
        <v>1868975.9561361438</v>
      </c>
      <c r="BA86" s="143">
        <f>_xlfn.XLOOKUP($B86,'IS &amp; BS Projections'!$B:$B,'IS &amp; BS Projections'!BB:BB)</f>
        <v>2730057.004928234</v>
      </c>
      <c r="BB86" s="143">
        <f>_xlfn.XLOOKUP($B86,'IS &amp; BS Projections'!$B:$B,'IS &amp; BS Projections'!BC:BC)</f>
        <v>7640350.4028927106</v>
      </c>
      <c r="BC86" s="143">
        <f>_xlfn.XLOOKUP($B86,'IS &amp; BS Projections'!$B:$B,'IS &amp; BS Projections'!BD:BD)</f>
        <v>3779611.6234339536</v>
      </c>
      <c r="BD86" s="139"/>
    </row>
    <row r="87" spans="2:57" x14ac:dyDescent="0.15">
      <c r="B87" s="1" t="s">
        <v>92</v>
      </c>
      <c r="D87" s="43" t="s">
        <v>33</v>
      </c>
      <c r="E87" s="50">
        <f t="shared" si="283"/>
        <v>176689</v>
      </c>
      <c r="F87" s="50">
        <f t="shared" si="284"/>
        <v>135429</v>
      </c>
      <c r="G87" s="50">
        <f t="shared" si="285"/>
        <v>86422</v>
      </c>
      <c r="H87" s="50">
        <f t="shared" si="286"/>
        <v>46804</v>
      </c>
      <c r="I87" s="50">
        <f t="shared" si="287"/>
        <v>1397794</v>
      </c>
      <c r="J87" s="50">
        <f t="shared" si="288"/>
        <v>1280338.2320838133</v>
      </c>
      <c r="K87" s="50">
        <f t="shared" si="289"/>
        <v>1163446.4347371124</v>
      </c>
      <c r="L87" s="50">
        <f t="shared" si="290"/>
        <v>1047254.774348817</v>
      </c>
      <c r="M87" s="50">
        <f t="shared" si="291"/>
        <v>933118.1172435839</v>
      </c>
      <c r="N87" s="50">
        <f t="shared" si="292"/>
        <v>823689.06450463983</v>
      </c>
      <c r="P87" s="51">
        <v>93032</v>
      </c>
      <c r="Q87" s="51">
        <v>119889</v>
      </c>
      <c r="R87" s="51">
        <v>142183</v>
      </c>
      <c r="S87" s="51">
        <v>176689</v>
      </c>
      <c r="T87" s="51">
        <v>219128</v>
      </c>
      <c r="U87" s="51">
        <v>189508</v>
      </c>
      <c r="V87" s="51">
        <v>161669</v>
      </c>
      <c r="W87" s="51">
        <v>135429</v>
      </c>
      <c r="X87" s="51">
        <v>129692</v>
      </c>
      <c r="Y87" s="51">
        <v>108134</v>
      </c>
      <c r="Z87" s="51">
        <v>94935</v>
      </c>
      <c r="AA87" s="51">
        <v>86422</v>
      </c>
      <c r="AB87" s="51">
        <v>0</v>
      </c>
      <c r="AC87" s="51">
        <v>0</v>
      </c>
      <c r="AD87" s="51">
        <v>0</v>
      </c>
      <c r="AE87" s="51">
        <v>46804</v>
      </c>
      <c r="AF87" s="51">
        <v>0</v>
      </c>
      <c r="AG87" s="51">
        <v>0</v>
      </c>
      <c r="AH87" s="51">
        <v>1417823</v>
      </c>
      <c r="AI87" s="51">
        <v>1397794</v>
      </c>
      <c r="AJ87" s="143">
        <f>AI87-AJ188-AJ143</f>
        <v>1368430.0580209533</v>
      </c>
      <c r="AK87" s="143">
        <f t="shared" ref="AK87:BC87" si="296">AJ87-AK188-AK143</f>
        <v>1339066.1160419066</v>
      </c>
      <c r="AL87" s="143">
        <f t="shared" si="296"/>
        <v>1309702.17406286</v>
      </c>
      <c r="AM87" s="143">
        <f t="shared" si="296"/>
        <v>1280338.2320838133</v>
      </c>
      <c r="AN87" s="143">
        <f t="shared" si="296"/>
        <v>1251115.2827471381</v>
      </c>
      <c r="AO87" s="143">
        <f t="shared" si="296"/>
        <v>1221892.3334104628</v>
      </c>
      <c r="AP87" s="143">
        <f t="shared" si="296"/>
        <v>1192669.3840737876</v>
      </c>
      <c r="AQ87" s="143">
        <f t="shared" si="296"/>
        <v>1163446.4347371124</v>
      </c>
      <c r="AR87" s="143">
        <f t="shared" si="296"/>
        <v>1134398.5196400385</v>
      </c>
      <c r="AS87" s="143">
        <f t="shared" si="296"/>
        <v>1105350.6045429646</v>
      </c>
      <c r="AT87" s="143">
        <f t="shared" si="296"/>
        <v>1076302.6894458907</v>
      </c>
      <c r="AU87" s="143">
        <f t="shared" si="296"/>
        <v>1047254.774348817</v>
      </c>
      <c r="AV87" s="143">
        <f t="shared" si="296"/>
        <v>1018720.6100725087</v>
      </c>
      <c r="AW87" s="143">
        <f t="shared" si="296"/>
        <v>990186.44579620042</v>
      </c>
      <c r="AX87" s="143">
        <f t="shared" si="296"/>
        <v>961652.28151989216</v>
      </c>
      <c r="AY87" s="143">
        <f t="shared" si="296"/>
        <v>933118.1172435839</v>
      </c>
      <c r="AZ87" s="143">
        <f t="shared" si="296"/>
        <v>905760.85405884788</v>
      </c>
      <c r="BA87" s="143">
        <f t="shared" si="296"/>
        <v>878403.59087411186</v>
      </c>
      <c r="BB87" s="143">
        <f t="shared" si="296"/>
        <v>851046.32768937584</v>
      </c>
      <c r="BC87" s="143">
        <f t="shared" si="296"/>
        <v>823689.06450463983</v>
      </c>
      <c r="BD87" s="139"/>
    </row>
    <row r="88" spans="2:57" x14ac:dyDescent="0.15">
      <c r="B88" s="1" t="s">
        <v>93</v>
      </c>
      <c r="D88" s="43" t="s">
        <v>33</v>
      </c>
      <c r="E88" s="50">
        <f t="shared" si="283"/>
        <v>952307</v>
      </c>
      <c r="F88" s="50">
        <f t="shared" si="284"/>
        <v>354929</v>
      </c>
      <c r="G88" s="50">
        <f t="shared" si="285"/>
        <v>375622</v>
      </c>
      <c r="H88" s="50">
        <f t="shared" si="286"/>
        <v>174290</v>
      </c>
      <c r="I88" s="50">
        <f t="shared" si="287"/>
        <v>259378</v>
      </c>
      <c r="J88" s="50">
        <f t="shared" si="288"/>
        <v>663091.53821870941</v>
      </c>
      <c r="K88" s="50">
        <f t="shared" si="289"/>
        <v>748829.07817961869</v>
      </c>
      <c r="L88" s="50">
        <f t="shared" si="290"/>
        <v>838243.72385867371</v>
      </c>
      <c r="M88" s="50">
        <f t="shared" si="291"/>
        <v>979050.55557487404</v>
      </c>
      <c r="N88" s="50">
        <f t="shared" si="292"/>
        <v>1205666.3927377018</v>
      </c>
      <c r="P88" s="51">
        <v>141680</v>
      </c>
      <c r="Q88" s="51">
        <v>187688</v>
      </c>
      <c r="R88" s="51">
        <v>879973</v>
      </c>
      <c r="S88" s="51">
        <v>952307</v>
      </c>
      <c r="T88" s="51">
        <v>1164613</v>
      </c>
      <c r="U88" s="51">
        <v>1274715</v>
      </c>
      <c r="V88" s="51">
        <v>1382361</v>
      </c>
      <c r="W88" s="51">
        <v>354929</v>
      </c>
      <c r="X88" s="51">
        <v>1462343</v>
      </c>
      <c r="Y88" s="51">
        <v>1451197</v>
      </c>
      <c r="Z88" s="51">
        <v>1478096</v>
      </c>
      <c r="AA88" s="51">
        <v>375622</v>
      </c>
      <c r="AB88" s="51">
        <v>653862</v>
      </c>
      <c r="AC88" s="51">
        <v>688559</v>
      </c>
      <c r="AD88" s="51">
        <v>699694</v>
      </c>
      <c r="AE88" s="51">
        <v>174290</v>
      </c>
      <c r="AF88" s="51">
        <v>860067</v>
      </c>
      <c r="AG88" s="51">
        <v>517833</v>
      </c>
      <c r="AH88" s="51">
        <v>513142</v>
      </c>
      <c r="AI88" s="51">
        <v>259378</v>
      </c>
      <c r="AJ88" s="143">
        <f>_xlfn.XLOOKUP($B88,'IS &amp; BS Projections'!$B:$B,'IS &amp; BS Projections'!AK:AK)</f>
        <v>787869.53981666395</v>
      </c>
      <c r="AK88" s="143">
        <f>_xlfn.XLOOKUP($B88,'IS &amp; BS Projections'!$B:$B,'IS &amp; BS Projections'!AL:AL)</f>
        <v>847136.69284996414</v>
      </c>
      <c r="AL88" s="143">
        <f>_xlfn.XLOOKUP($B88,'IS &amp; BS Projections'!$B:$B,'IS &amp; BS Projections'!AM:AM)</f>
        <v>1592265.022266825</v>
      </c>
      <c r="AM88" s="143">
        <f>_xlfn.XLOOKUP($B88,'IS &amp; BS Projections'!$B:$B,'IS &amp; BS Projections'!AN:AN)</f>
        <v>663091.53821870941</v>
      </c>
      <c r="AN88" s="143">
        <f>_xlfn.XLOOKUP($B88,'IS &amp; BS Projections'!$B:$B,'IS &amp; BS Projections'!AO:AO)</f>
        <v>822196.4562634906</v>
      </c>
      <c r="AO88" s="143">
        <f>_xlfn.XLOOKUP($B88,'IS &amp; BS Projections'!$B:$B,'IS &amp; BS Projections'!AP:AP)</f>
        <v>963771.12669109367</v>
      </c>
      <c r="AP88" s="143">
        <f>_xlfn.XLOOKUP($B88,'IS &amp; BS Projections'!$B:$B,'IS &amp; BS Projections'!AQ:AQ)</f>
        <v>1837399.6969187779</v>
      </c>
      <c r="AQ88" s="143">
        <f>_xlfn.XLOOKUP($B88,'IS &amp; BS Projections'!$B:$B,'IS &amp; BS Projections'!AR:AR)</f>
        <v>748829.07817961869</v>
      </c>
      <c r="AR88" s="143">
        <f>_xlfn.XLOOKUP($B88,'IS &amp; BS Projections'!$B:$B,'IS &amp; BS Projections'!AS:AS)</f>
        <v>895012.91266523802</v>
      </c>
      <c r="AS88" s="143">
        <f>_xlfn.XLOOKUP($B88,'IS &amp; BS Projections'!$B:$B,'IS &amp; BS Projections'!AT:AT)</f>
        <v>1102866.0701874366</v>
      </c>
      <c r="AT88" s="143">
        <f>_xlfn.XLOOKUP($B88,'IS &amp; BS Projections'!$B:$B,'IS &amp; BS Projections'!AU:AU)</f>
        <v>2070517.6443388748</v>
      </c>
      <c r="AU88" s="143">
        <f>_xlfn.XLOOKUP($B88,'IS &amp; BS Projections'!$B:$B,'IS &amp; BS Projections'!AV:AV)</f>
        <v>838243.72385867371</v>
      </c>
      <c r="AV88" s="143">
        <f>_xlfn.XLOOKUP($B88,'IS &amp; BS Projections'!$B:$B,'IS &amp; BS Projections'!AW:AW)</f>
        <v>988205.0685118814</v>
      </c>
      <c r="AW88" s="143">
        <f>_xlfn.XLOOKUP($B88,'IS &amp; BS Projections'!$B:$B,'IS &amp; BS Projections'!AX:AX)</f>
        <v>1311656.9638452895</v>
      </c>
      <c r="AX88" s="143">
        <f>_xlfn.XLOOKUP($B88,'IS &amp; BS Projections'!$B:$B,'IS &amp; BS Projections'!AY:AY)</f>
        <v>2432818.3745019655</v>
      </c>
      <c r="AY88" s="143">
        <f>_xlfn.XLOOKUP($B88,'IS &amp; BS Projections'!$B:$B,'IS &amp; BS Projections'!AZ:AZ)</f>
        <v>979050.55557487404</v>
      </c>
      <c r="AZ88" s="143">
        <f>_xlfn.XLOOKUP($B88,'IS &amp; BS Projections'!$B:$B,'IS &amp; BS Projections'!BA:BA)</f>
        <v>1135384.1427133868</v>
      </c>
      <c r="BA88" s="143">
        <f>_xlfn.XLOOKUP($B88,'IS &amp; BS Projections'!$B:$B,'IS &amp; BS Projections'!BB:BB)</f>
        <v>1649429.5026247771</v>
      </c>
      <c r="BB88" s="143">
        <f>_xlfn.XLOOKUP($B88,'IS &amp; BS Projections'!$B:$B,'IS &amp; BS Projections'!BC:BC)</f>
        <v>3031484.6773746586</v>
      </c>
      <c r="BC88" s="143">
        <f>_xlfn.XLOOKUP($B88,'IS &amp; BS Projections'!$B:$B,'IS &amp; BS Projections'!BD:BD)</f>
        <v>1205666.3927377018</v>
      </c>
      <c r="BD88" s="139"/>
    </row>
    <row r="89" spans="2:57" x14ac:dyDescent="0.15">
      <c r="B89" s="1" t="s">
        <v>94</v>
      </c>
      <c r="D89" s="43" t="s">
        <v>33</v>
      </c>
      <c r="E89" s="50">
        <f t="shared" si="283"/>
        <v>0</v>
      </c>
      <c r="F89" s="50">
        <f t="shared" si="284"/>
        <v>0</v>
      </c>
      <c r="G89" s="50">
        <f t="shared" si="285"/>
        <v>0</v>
      </c>
      <c r="H89" s="50">
        <f t="shared" si="286"/>
        <v>0</v>
      </c>
      <c r="I89" s="50">
        <f t="shared" si="287"/>
        <v>0</v>
      </c>
      <c r="J89" s="50">
        <f t="shared" si="288"/>
        <v>0</v>
      </c>
      <c r="K89" s="50">
        <f t="shared" si="289"/>
        <v>0</v>
      </c>
      <c r="L89" s="50">
        <f t="shared" si="290"/>
        <v>0</v>
      </c>
      <c r="M89" s="50">
        <f t="shared" si="291"/>
        <v>0</v>
      </c>
      <c r="N89" s="50">
        <f t="shared" si="292"/>
        <v>0</v>
      </c>
      <c r="P89" s="51">
        <v>651356</v>
      </c>
      <c r="Q89" s="51">
        <v>585846</v>
      </c>
      <c r="R89" s="51">
        <v>833763</v>
      </c>
      <c r="S89" s="51">
        <v>0</v>
      </c>
      <c r="T89" s="51">
        <v>1333333</v>
      </c>
      <c r="U89" s="51">
        <v>539683</v>
      </c>
      <c r="V89" s="51">
        <v>623073</v>
      </c>
      <c r="W89" s="51">
        <v>0</v>
      </c>
      <c r="X89" s="51">
        <v>514502</v>
      </c>
      <c r="Y89" s="51">
        <v>485347</v>
      </c>
      <c r="Z89" s="51">
        <v>455986</v>
      </c>
      <c r="AA89" s="51">
        <v>0</v>
      </c>
      <c r="AB89" s="51">
        <v>0</v>
      </c>
      <c r="AC89" s="51">
        <v>0</v>
      </c>
      <c r="AD89" s="51">
        <v>0</v>
      </c>
      <c r="AE89" s="51">
        <v>0</v>
      </c>
      <c r="AF89" s="51">
        <v>0</v>
      </c>
      <c r="AG89" s="51">
        <v>0</v>
      </c>
      <c r="AH89" s="51">
        <v>0</v>
      </c>
      <c r="AI89" s="51">
        <v>0</v>
      </c>
      <c r="AJ89" s="143">
        <f>_xlfn.XLOOKUP($B89,'IS &amp; BS Projections'!$B:$B,'IS &amp; BS Projections'!AK:AK)</f>
        <v>673928.24086381809</v>
      </c>
      <c r="AK89" s="143">
        <f>_xlfn.XLOOKUP($B89,'IS &amp; BS Projections'!$B:$B,'IS &amp; BS Projections'!AL:AL)</f>
        <v>468969.49338410387</v>
      </c>
      <c r="AL89" s="143">
        <f>_xlfn.XLOOKUP($B89,'IS &amp; BS Projections'!$B:$B,'IS &amp; BS Projections'!AM:AM)</f>
        <v>1508650.4492299818</v>
      </c>
      <c r="AM89" s="143">
        <f>_xlfn.XLOOKUP($B89,'IS &amp; BS Projections'!$B:$B,'IS &amp; BS Projections'!AN:AN)</f>
        <v>0</v>
      </c>
      <c r="AN89" s="143">
        <f>_xlfn.XLOOKUP($B89,'IS &amp; BS Projections'!$B:$B,'IS &amp; BS Projections'!AO:AO)</f>
        <v>703290.81581584935</v>
      </c>
      <c r="AO89" s="143">
        <f>_xlfn.XLOOKUP($B89,'IS &amp; BS Projections'!$B:$B,'IS &amp; BS Projections'!AP:AP)</f>
        <v>533537.57526661525</v>
      </c>
      <c r="AP89" s="143">
        <f>_xlfn.XLOOKUP($B89,'IS &amp; BS Projections'!$B:$B,'IS &amp; BS Projections'!AQ:AQ)</f>
        <v>1740912.3728819988</v>
      </c>
      <c r="AQ89" s="143">
        <f>_xlfn.XLOOKUP($B89,'IS &amp; BS Projections'!$B:$B,'IS &amp; BS Projections'!AR:AR)</f>
        <v>0</v>
      </c>
      <c r="AR89" s="143">
        <f>_xlfn.XLOOKUP($B89,'IS &amp; BS Projections'!$B:$B,'IS &amp; BS Projections'!AS:AS)</f>
        <v>765576.59269736928</v>
      </c>
      <c r="AS89" s="143">
        <f>_xlfn.XLOOKUP($B89,'IS &amp; BS Projections'!$B:$B,'IS &amp; BS Projections'!AT:AT)</f>
        <v>610539.65265782981</v>
      </c>
      <c r="AT89" s="143">
        <f>_xlfn.XLOOKUP($B89,'IS &amp; BS Projections'!$B:$B,'IS &amp; BS Projections'!AU:AU)</f>
        <v>1961788.6033968239</v>
      </c>
      <c r="AU89" s="143">
        <f>_xlfn.XLOOKUP($B89,'IS &amp; BS Projections'!$B:$B,'IS &amp; BS Projections'!AV:AV)</f>
        <v>0</v>
      </c>
      <c r="AV89" s="143">
        <f>_xlfn.XLOOKUP($B89,'IS &amp; BS Projections'!$B:$B,'IS &amp; BS Projections'!AW:AW)</f>
        <v>845291.34555689699</v>
      </c>
      <c r="AW89" s="143">
        <f>_xlfn.XLOOKUP($B89,'IS &amp; BS Projections'!$B:$B,'IS &amp; BS Projections'!AX:AX)</f>
        <v>726124.9654513573</v>
      </c>
      <c r="AX89" s="143">
        <f>_xlfn.XLOOKUP($B89,'IS &amp; BS Projections'!$B:$B,'IS &amp; BS Projections'!AY:AY)</f>
        <v>2305063.844436002</v>
      </c>
      <c r="AY89" s="143">
        <f>_xlfn.XLOOKUP($B89,'IS &amp; BS Projections'!$B:$B,'IS &amp; BS Projections'!AZ:AZ)</f>
        <v>0</v>
      </c>
      <c r="AZ89" s="143">
        <f>_xlfn.XLOOKUP($B89,'IS &amp; BS Projections'!$B:$B,'IS &amp; BS Projections'!BA:BA)</f>
        <v>971185.45562957064</v>
      </c>
      <c r="BA89" s="143">
        <f>_xlfn.XLOOKUP($B89,'IS &amp; BS Projections'!$B:$B,'IS &amp; BS Projections'!BB:BB)</f>
        <v>913113.69788079301</v>
      </c>
      <c r="BB89" s="143">
        <f>_xlfn.XLOOKUP($B89,'IS &amp; BS Projections'!$B:$B,'IS &amp; BS Projections'!BC:BC)</f>
        <v>2872292.3988144267</v>
      </c>
      <c r="BC89" s="143">
        <f>_xlfn.XLOOKUP($B89,'IS &amp; BS Projections'!$B:$B,'IS &amp; BS Projections'!BD:BD)</f>
        <v>0</v>
      </c>
      <c r="BD89" s="139"/>
    </row>
    <row r="90" spans="2:57" x14ac:dyDescent="0.15">
      <c r="B90" s="1" t="s">
        <v>95</v>
      </c>
      <c r="D90" s="43" t="s">
        <v>33</v>
      </c>
      <c r="E90" s="50">
        <f t="shared" si="283"/>
        <v>988193</v>
      </c>
      <c r="F90" s="50">
        <f t="shared" si="284"/>
        <v>424393</v>
      </c>
      <c r="G90" s="50">
        <f t="shared" si="285"/>
        <v>330610</v>
      </c>
      <c r="H90" s="50">
        <f t="shared" si="286"/>
        <v>1552995</v>
      </c>
      <c r="I90" s="50">
        <f t="shared" si="287"/>
        <v>1998871</v>
      </c>
      <c r="J90" s="50">
        <f t="shared" si="288"/>
        <v>1173579.2863409768</v>
      </c>
      <c r="K90" s="50">
        <f t="shared" si="289"/>
        <v>1325322.7412948045</v>
      </c>
      <c r="L90" s="50">
        <f t="shared" si="290"/>
        <v>1483574.1591101312</v>
      </c>
      <c r="M90" s="50">
        <f t="shared" si="291"/>
        <v>1732782.5587850013</v>
      </c>
      <c r="N90" s="50">
        <f t="shared" si="292"/>
        <v>2133860.8973286534</v>
      </c>
      <c r="P90" s="51">
        <v>0</v>
      </c>
      <c r="Q90" s="51">
        <v>0</v>
      </c>
      <c r="R90" s="51">
        <v>0</v>
      </c>
      <c r="S90" s="51">
        <v>988193</v>
      </c>
      <c r="T90" s="51">
        <v>0</v>
      </c>
      <c r="U90" s="51">
        <v>0</v>
      </c>
      <c r="V90" s="51">
        <v>0</v>
      </c>
      <c r="W90" s="51">
        <v>424393</v>
      </c>
      <c r="X90" s="51">
        <v>0</v>
      </c>
      <c r="Y90" s="51">
        <v>0</v>
      </c>
      <c r="Z90" s="51">
        <v>0</v>
      </c>
      <c r="AA90" s="51">
        <v>330610</v>
      </c>
      <c r="AB90" s="51">
        <v>1522328</v>
      </c>
      <c r="AC90" s="51">
        <v>1234158</v>
      </c>
      <c r="AD90" s="51">
        <v>1260718</v>
      </c>
      <c r="AE90" s="51">
        <v>1552995</v>
      </c>
      <c r="AF90" s="51">
        <v>1268001</v>
      </c>
      <c r="AG90" s="51">
        <v>1838887</v>
      </c>
      <c r="AH90" s="51">
        <v>2597277</v>
      </c>
      <c r="AI90" s="51">
        <v>1998871</v>
      </c>
      <c r="AJ90" s="143">
        <f>_xlfn.XLOOKUP($B90,'IS &amp; BS Projections'!$B:$B,'IS &amp; BS Projections'!AK:AK)</f>
        <v>0</v>
      </c>
      <c r="AK90" s="143">
        <f>_xlfn.XLOOKUP($B90,'IS &amp; BS Projections'!$B:$B,'IS &amp; BS Projections'!AL:AL)</f>
        <v>0</v>
      </c>
      <c r="AL90" s="143">
        <f>_xlfn.XLOOKUP($B90,'IS &amp; BS Projections'!$B:$B,'IS &amp; BS Projections'!AM:AM)</f>
        <v>0</v>
      </c>
      <c r="AM90" s="143">
        <f>_xlfn.XLOOKUP($B90,'IS &amp; BS Projections'!$B:$B,'IS &amp; BS Projections'!AN:AN)</f>
        <v>1173579.2863409768</v>
      </c>
      <c r="AN90" s="143">
        <f>_xlfn.XLOOKUP($B90,'IS &amp; BS Projections'!$B:$B,'IS &amp; BS Projections'!AO:AO)</f>
        <v>0</v>
      </c>
      <c r="AO90" s="143">
        <f>_xlfn.XLOOKUP($B90,'IS &amp; BS Projections'!$B:$B,'IS &amp; BS Projections'!AP:AP)</f>
        <v>0</v>
      </c>
      <c r="AP90" s="143">
        <f>_xlfn.XLOOKUP($B90,'IS &amp; BS Projections'!$B:$B,'IS &amp; BS Projections'!AQ:AQ)</f>
        <v>0</v>
      </c>
      <c r="AQ90" s="143">
        <f>_xlfn.XLOOKUP($B90,'IS &amp; BS Projections'!$B:$B,'IS &amp; BS Projections'!AR:AR)</f>
        <v>1325322.7412948045</v>
      </c>
      <c r="AR90" s="143">
        <f>_xlfn.XLOOKUP($B90,'IS &amp; BS Projections'!$B:$B,'IS &amp; BS Projections'!AS:AS)</f>
        <v>0</v>
      </c>
      <c r="AS90" s="143">
        <f>_xlfn.XLOOKUP($B90,'IS &amp; BS Projections'!$B:$B,'IS &amp; BS Projections'!AT:AT)</f>
        <v>0</v>
      </c>
      <c r="AT90" s="143">
        <f>_xlfn.XLOOKUP($B90,'IS &amp; BS Projections'!$B:$B,'IS &amp; BS Projections'!AU:AU)</f>
        <v>0</v>
      </c>
      <c r="AU90" s="143">
        <f>_xlfn.XLOOKUP($B90,'IS &amp; BS Projections'!$B:$B,'IS &amp; BS Projections'!AV:AV)</f>
        <v>1483574.1591101312</v>
      </c>
      <c r="AV90" s="143">
        <f>_xlfn.XLOOKUP($B90,'IS &amp; BS Projections'!$B:$B,'IS &amp; BS Projections'!AW:AW)</f>
        <v>0</v>
      </c>
      <c r="AW90" s="143">
        <f>_xlfn.XLOOKUP($B90,'IS &amp; BS Projections'!$B:$B,'IS &amp; BS Projections'!AX:AX)</f>
        <v>0</v>
      </c>
      <c r="AX90" s="143">
        <f>_xlfn.XLOOKUP($B90,'IS &amp; BS Projections'!$B:$B,'IS &amp; BS Projections'!AY:AY)</f>
        <v>0</v>
      </c>
      <c r="AY90" s="143">
        <f>_xlfn.XLOOKUP($B90,'IS &amp; BS Projections'!$B:$B,'IS &amp; BS Projections'!AZ:AZ)</f>
        <v>1732782.5587850013</v>
      </c>
      <c r="AZ90" s="143">
        <f>_xlfn.XLOOKUP($B90,'IS &amp; BS Projections'!$B:$B,'IS &amp; BS Projections'!BA:BA)</f>
        <v>0</v>
      </c>
      <c r="BA90" s="143">
        <f>_xlfn.XLOOKUP($B90,'IS &amp; BS Projections'!$B:$B,'IS &amp; BS Projections'!BB:BB)</f>
        <v>0</v>
      </c>
      <c r="BB90" s="143">
        <f>_xlfn.XLOOKUP($B90,'IS &amp; BS Projections'!$B:$B,'IS &amp; BS Projections'!BC:BC)</f>
        <v>0</v>
      </c>
      <c r="BC90" s="143">
        <f>_xlfn.XLOOKUP($B90,'IS &amp; BS Projections'!$B:$B,'IS &amp; BS Projections'!BD:BD)</f>
        <v>2133860.8973286534</v>
      </c>
      <c r="BD90" s="139"/>
    </row>
    <row r="91" spans="2:57" x14ac:dyDescent="0.15">
      <c r="B91" s="67" t="s">
        <v>96</v>
      </c>
      <c r="C91" s="67"/>
      <c r="D91" s="68" t="s">
        <v>33</v>
      </c>
      <c r="E91" s="69">
        <f>SUM(E81:E90)</f>
        <v>2900562</v>
      </c>
      <c r="F91" s="69">
        <f t="shared" ref="F91:N91" si="297">SUM(F81:F90)</f>
        <v>3276658</v>
      </c>
      <c r="G91" s="69">
        <f t="shared" si="297"/>
        <v>3397107</v>
      </c>
      <c r="H91" s="69">
        <f t="shared" si="297"/>
        <v>4429298</v>
      </c>
      <c r="I91" s="69">
        <f t="shared" si="297"/>
        <v>9283387</v>
      </c>
      <c r="J91" s="69">
        <f t="shared" si="297"/>
        <v>6243337.7336307196</v>
      </c>
      <c r="K91" s="69">
        <f t="shared" si="297"/>
        <v>6775690.5985511914</v>
      </c>
      <c r="L91" s="69">
        <f t="shared" si="297"/>
        <v>7321013.8106980957</v>
      </c>
      <c r="M91" s="69">
        <f t="shared" si="297"/>
        <v>8220389.4250608757</v>
      </c>
      <c r="N91" s="69">
        <f t="shared" si="297"/>
        <v>9730049.9364146665</v>
      </c>
      <c r="O91" s="52"/>
      <c r="P91" s="69">
        <f t="shared" ref="P91" si="298">SUM(P81:P90)</f>
        <v>1528569</v>
      </c>
      <c r="Q91" s="69">
        <f t="shared" ref="Q91" si="299">SUM(Q81:Q90)</f>
        <v>1552153</v>
      </c>
      <c r="R91" s="69">
        <f t="shared" ref="R91" si="300">SUM(R81:R90)</f>
        <v>2584554</v>
      </c>
      <c r="S91" s="69">
        <f t="shared" ref="S91" si="301">SUM(S81:S90)</f>
        <v>2900562</v>
      </c>
      <c r="T91" s="69">
        <f t="shared" ref="T91" si="302">SUM(T81:T90)</f>
        <v>3954542</v>
      </c>
      <c r="U91" s="69">
        <f t="shared" ref="U91" si="303">SUM(U81:U90)</f>
        <v>3305993</v>
      </c>
      <c r="V91" s="69">
        <f t="shared" ref="V91" si="304">SUM(V81:V90)</f>
        <v>3488396</v>
      </c>
      <c r="W91" s="69">
        <f t="shared" ref="W91" si="305">SUM(W81:W90)</f>
        <v>3276658</v>
      </c>
      <c r="X91" s="69">
        <f t="shared" ref="X91" si="306">SUM(X81:X90)</f>
        <v>3457914</v>
      </c>
      <c r="Y91" s="69">
        <f t="shared" ref="Y91" si="307">SUM(Y81:Y90)</f>
        <v>3388604</v>
      </c>
      <c r="Z91" s="69">
        <f t="shared" ref="Z91" si="308">SUM(Z81:Z90)</f>
        <v>3386373</v>
      </c>
      <c r="AA91" s="69">
        <f t="shared" ref="AA91" si="309">SUM(AA81:AA90)</f>
        <v>3397107</v>
      </c>
      <c r="AB91" s="69">
        <f t="shared" ref="AB91" si="310">SUM(AB81:AB90)</f>
        <v>4195531</v>
      </c>
      <c r="AC91" s="69">
        <f t="shared" ref="AC91" si="311">SUM(AC81:AC90)</f>
        <v>4072541</v>
      </c>
      <c r="AD91" s="69">
        <f t="shared" ref="AD91" si="312">SUM(AD81:AD90)</f>
        <v>4133041</v>
      </c>
      <c r="AE91" s="69">
        <f t="shared" ref="AE91" si="313">SUM(AE81:AE90)</f>
        <v>4429298</v>
      </c>
      <c r="AF91" s="69">
        <f t="shared" ref="AF91" si="314">SUM(AF81:AF90)</f>
        <v>4277218</v>
      </c>
      <c r="AG91" s="69">
        <f t="shared" ref="AG91" si="315">SUM(AG81:AG90)</f>
        <v>5985538</v>
      </c>
      <c r="AH91" s="69">
        <f t="shared" ref="AH91" si="316">SUM(AH81:AH90)</f>
        <v>9258178</v>
      </c>
      <c r="AI91" s="69">
        <f t="shared" ref="AI91" si="317">SUM(AI81:AI90)</f>
        <v>9283387</v>
      </c>
      <c r="AJ91" s="69">
        <f t="shared" ref="AJ91" si="318">SUM(AJ81:AJ90)</f>
        <v>4501020.3988423795</v>
      </c>
      <c r="AK91" s="69">
        <f t="shared" ref="AK91" si="319">SUM(AK81:AK90)</f>
        <v>4398851.3068555575</v>
      </c>
      <c r="AL91" s="69">
        <f t="shared" ref="AL91" si="320">SUM(AL81:AL90)</f>
        <v>8789129.9859671555</v>
      </c>
      <c r="AM91" s="69">
        <f t="shared" ref="AM91" si="321">SUM(AM81:AM90)</f>
        <v>6243337.7336307196</v>
      </c>
      <c r="AN91" s="69">
        <f t="shared" ref="AN91" si="322">SUM(AN81:AN90)</f>
        <v>4567062.9233180108</v>
      </c>
      <c r="AO91" s="69">
        <f t="shared" ref="AO91" si="323">SUM(AO81:AO90)</f>
        <v>4718221.9234273052</v>
      </c>
      <c r="AP91" s="69">
        <f t="shared" ref="AP91" si="324">SUM(AP81:AP90)</f>
        <v>9828547.9805184975</v>
      </c>
      <c r="AQ91" s="69">
        <f t="shared" ref="AQ91" si="325">SUM(AQ81:AQ90)</f>
        <v>6775690.5985511914</v>
      </c>
      <c r="AR91" s="69">
        <f t="shared" ref="AR91" si="326">SUM(AR81:AR90)</f>
        <v>4760396.3525578193</v>
      </c>
      <c r="AS91" s="69">
        <f t="shared" ref="AS91" si="327">SUM(AS81:AS90)</f>
        <v>5098592.4394573998</v>
      </c>
      <c r="AT91" s="69">
        <f t="shared" ref="AT91" si="328">SUM(AT81:AT90)</f>
        <v>10801354.81612437</v>
      </c>
      <c r="AU91" s="69">
        <f t="shared" ref="AU91" si="329">SUM(AU81:AU90)</f>
        <v>7321013.8106980957</v>
      </c>
      <c r="AV91" s="69">
        <f t="shared" ref="AV91" si="330">SUM(AV81:AV90)</f>
        <v>5016626.3844580287</v>
      </c>
      <c r="AW91" s="69">
        <f t="shared" ref="AW91" si="331">SUM(AW81:AW90)</f>
        <v>5697366.7082666028</v>
      </c>
      <c r="AX91" s="69">
        <f t="shared" ref="AX91" si="332">SUM(AX81:AX90)</f>
        <v>12348588.79352982</v>
      </c>
      <c r="AY91" s="69">
        <f t="shared" ref="AY91" si="333">SUM(AY81:AY90)</f>
        <v>8220389.4250608757</v>
      </c>
      <c r="AZ91" s="69">
        <f t="shared" ref="AZ91" si="334">SUM(AZ81:AZ90)</f>
        <v>5466939.0168552389</v>
      </c>
      <c r="BA91" s="69">
        <f t="shared" ref="BA91" si="335">SUM(BA81:BA90)</f>
        <v>6719517.6180887669</v>
      </c>
      <c r="BB91" s="69">
        <f t="shared" ref="BB91" si="336">SUM(BB81:BB90)</f>
        <v>14966338.439997539</v>
      </c>
      <c r="BC91" s="69">
        <f t="shared" ref="BC91" si="337">SUM(BC81:BC90)</f>
        <v>9730049.9364146665</v>
      </c>
    </row>
    <row r="92" spans="2:57" ht="3" customHeight="1" thickBot="1" x14ac:dyDescent="0.2"/>
    <row r="93" spans="2:57" ht="15" thickBot="1" x14ac:dyDescent="0.2">
      <c r="B93" s="76" t="s">
        <v>97</v>
      </c>
      <c r="C93" s="77"/>
      <c r="D93" s="78" t="s">
        <v>33</v>
      </c>
      <c r="E93" s="79">
        <f>SUM(E91,E78)</f>
        <v>21274425</v>
      </c>
      <c r="F93" s="79">
        <f t="shared" ref="F93:BC93" si="338">SUM(F91,F78)</f>
        <v>89724873</v>
      </c>
      <c r="G93" s="79">
        <f t="shared" si="338"/>
        <v>14753901</v>
      </c>
      <c r="H93" s="79">
        <f t="shared" si="338"/>
        <v>22541951</v>
      </c>
      <c r="I93" s="79">
        <f t="shared" si="338"/>
        <v>29671832</v>
      </c>
      <c r="J93" s="79">
        <f t="shared" si="338"/>
        <v>31727850.775025193</v>
      </c>
      <c r="K93" s="79">
        <f t="shared" si="338"/>
        <v>35370426.887140319</v>
      </c>
      <c r="L93" s="79">
        <f t="shared" si="338"/>
        <v>38394743.382400028</v>
      </c>
      <c r="M93" s="79">
        <f t="shared" si="338"/>
        <v>42121291.689229608</v>
      </c>
      <c r="N93" s="80">
        <f t="shared" si="338"/>
        <v>48006261.477988452</v>
      </c>
      <c r="O93" s="52"/>
      <c r="P93" s="85">
        <f t="shared" si="338"/>
        <v>10201112</v>
      </c>
      <c r="Q93" s="79">
        <f t="shared" si="338"/>
        <v>15790208</v>
      </c>
      <c r="R93" s="79">
        <f t="shared" si="338"/>
        <v>18454271</v>
      </c>
      <c r="S93" s="79">
        <f t="shared" si="338"/>
        <v>21274425</v>
      </c>
      <c r="T93" s="79">
        <f t="shared" si="338"/>
        <v>20895194</v>
      </c>
      <c r="U93" s="79">
        <f t="shared" si="338"/>
        <v>105468243</v>
      </c>
      <c r="V93" s="79">
        <f t="shared" si="338"/>
        <v>111168363</v>
      </c>
      <c r="W93" s="79">
        <f t="shared" si="338"/>
        <v>89724873</v>
      </c>
      <c r="X93" s="79">
        <f t="shared" si="338"/>
        <v>139301859</v>
      </c>
      <c r="Y93" s="79">
        <f t="shared" si="338"/>
        <v>137650575</v>
      </c>
      <c r="Z93" s="79">
        <f t="shared" si="338"/>
        <v>127305595</v>
      </c>
      <c r="AA93" s="79">
        <f t="shared" si="338"/>
        <v>14753901</v>
      </c>
      <c r="AB93" s="79">
        <f t="shared" si="338"/>
        <v>348036477</v>
      </c>
      <c r="AC93" s="79">
        <f t="shared" si="338"/>
        <v>286959173</v>
      </c>
      <c r="AD93" s="79">
        <f t="shared" si="338"/>
        <v>290558608</v>
      </c>
      <c r="AE93" s="79">
        <f t="shared" si="338"/>
        <v>22541951</v>
      </c>
      <c r="AF93" s="79">
        <f t="shared" si="338"/>
        <v>21731006</v>
      </c>
      <c r="AG93" s="79">
        <f t="shared" si="338"/>
        <v>23476038</v>
      </c>
      <c r="AH93" s="79">
        <f t="shared" si="338"/>
        <v>31351367</v>
      </c>
      <c r="AI93" s="79">
        <f t="shared" si="338"/>
        <v>29671832</v>
      </c>
      <c r="AJ93" s="79">
        <f t="shared" si="338"/>
        <v>23868831.574112367</v>
      </c>
      <c r="AK93" s="79">
        <f t="shared" si="338"/>
        <v>29057123.932320721</v>
      </c>
      <c r="AL93" s="79">
        <f t="shared" si="338"/>
        <v>31953498.963268325</v>
      </c>
      <c r="AM93" s="79">
        <f t="shared" si="338"/>
        <v>31727850.775025193</v>
      </c>
      <c r="AN93" s="79">
        <f t="shared" si="338"/>
        <v>24916373.591580946</v>
      </c>
      <c r="AO93" s="79">
        <f t="shared" si="338"/>
        <v>32381242.495882098</v>
      </c>
      <c r="AP93" s="79">
        <f t="shared" si="338"/>
        <v>35851615.148732848</v>
      </c>
      <c r="AQ93" s="79">
        <f t="shared" si="338"/>
        <v>35370426.887140319</v>
      </c>
      <c r="AR93" s="79">
        <f t="shared" si="338"/>
        <v>27607263.492562987</v>
      </c>
      <c r="AS93" s="79">
        <f t="shared" si="338"/>
        <v>36222661.714647904</v>
      </c>
      <c r="AT93" s="79">
        <f t="shared" si="338"/>
        <v>40005758.831679828</v>
      </c>
      <c r="AU93" s="79">
        <f t="shared" si="338"/>
        <v>38394743.382400028</v>
      </c>
      <c r="AV93" s="79">
        <f t="shared" si="338"/>
        <v>29690909.757703565</v>
      </c>
      <c r="AW93" s="79">
        <f t="shared" si="338"/>
        <v>40063119.292132705</v>
      </c>
      <c r="AX93" s="79">
        <f t="shared" si="338"/>
        <v>44400808.308150038</v>
      </c>
      <c r="AY93" s="79">
        <f t="shared" si="338"/>
        <v>42121291.689229608</v>
      </c>
      <c r="AZ93" s="79">
        <f t="shared" si="338"/>
        <v>31922145.208038229</v>
      </c>
      <c r="BA93" s="79">
        <f t="shared" si="338"/>
        <v>43862188.063749187</v>
      </c>
      <c r="BB93" s="79">
        <f t="shared" si="338"/>
        <v>49163151.315545022</v>
      </c>
      <c r="BC93" s="80">
        <f t="shared" si="338"/>
        <v>48006261.477988452</v>
      </c>
    </row>
    <row r="94" spans="2:57" ht="3" customHeight="1" x14ac:dyDescent="0.15"/>
    <row r="95" spans="2:57" x14ac:dyDescent="0.15">
      <c r="B95" s="38" t="s">
        <v>98</v>
      </c>
      <c r="C95" s="39"/>
      <c r="D95" s="40"/>
      <c r="E95" s="39"/>
      <c r="F95" s="39"/>
      <c r="G95" s="39"/>
      <c r="H95" s="39"/>
      <c r="I95" s="39"/>
      <c r="J95" s="39"/>
      <c r="K95" s="39"/>
      <c r="L95" s="39"/>
      <c r="M95" s="39"/>
      <c r="N95" s="39"/>
      <c r="P95" s="42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</row>
    <row r="96" spans="2:57" ht="3" customHeight="1" x14ac:dyDescent="0.15"/>
    <row r="97" spans="2:56" x14ac:dyDescent="0.15">
      <c r="B97" s="75" t="s">
        <v>99</v>
      </c>
    </row>
    <row r="98" spans="2:56" x14ac:dyDescent="0.15">
      <c r="B98" s="1" t="s">
        <v>100</v>
      </c>
      <c r="D98" s="43" t="s">
        <v>33</v>
      </c>
      <c r="E98" s="50">
        <f t="shared" ref="E98:E111" si="339">S98</f>
        <v>39833</v>
      </c>
      <c r="F98" s="50">
        <f t="shared" ref="F98:F111" si="340">W98</f>
        <v>56043</v>
      </c>
      <c r="G98" s="50">
        <f t="shared" ref="G98:G111" si="341">AA98</f>
        <v>39294</v>
      </c>
      <c r="H98" s="50">
        <f t="shared" ref="H98:H111" si="342">AE98</f>
        <v>63316</v>
      </c>
      <c r="I98" s="50">
        <f t="shared" ref="I98:I111" si="343">AI98</f>
        <v>117605</v>
      </c>
      <c r="J98" s="50">
        <f t="shared" ref="J98:J111" si="344">AM98</f>
        <v>71670.532448356025</v>
      </c>
      <c r="K98" s="50">
        <f t="shared" ref="K98:K111" si="345">AQ98</f>
        <v>80937.511116667432</v>
      </c>
      <c r="L98" s="50">
        <f t="shared" ref="L98:L111" si="346">AU98</f>
        <v>90601.931328866354</v>
      </c>
      <c r="M98" s="50">
        <f t="shared" ref="M98:M111" si="347">AY98</f>
        <v>105821.09794434739</v>
      </c>
      <c r="N98" s="50">
        <f t="shared" ref="N98:N111" si="348">BC98</f>
        <v>130314.96760572252</v>
      </c>
      <c r="P98" s="51">
        <v>0</v>
      </c>
      <c r="Q98" s="51">
        <v>0</v>
      </c>
      <c r="R98" s="51">
        <v>0</v>
      </c>
      <c r="S98" s="51">
        <v>39833</v>
      </c>
      <c r="T98" s="51">
        <v>12650</v>
      </c>
      <c r="U98" s="51">
        <v>40745</v>
      </c>
      <c r="V98" s="51">
        <v>61514</v>
      </c>
      <c r="W98" s="51">
        <v>56043</v>
      </c>
      <c r="X98" s="51">
        <v>23694</v>
      </c>
      <c r="Y98" s="51">
        <v>27983</v>
      </c>
      <c r="Z98" s="51">
        <v>36744</v>
      </c>
      <c r="AA98" s="51">
        <v>39294</v>
      </c>
      <c r="AB98" s="51">
        <v>0</v>
      </c>
      <c r="AC98" s="51">
        <v>0</v>
      </c>
      <c r="AD98" s="51">
        <v>0</v>
      </c>
      <c r="AE98" s="51">
        <v>63316</v>
      </c>
      <c r="AF98" s="51">
        <v>0</v>
      </c>
      <c r="AG98" s="51">
        <v>0</v>
      </c>
      <c r="AH98" s="51">
        <v>0</v>
      </c>
      <c r="AI98" s="51">
        <v>117605</v>
      </c>
      <c r="AJ98" s="143">
        <f>'IS &amp; BS Projections'!AK211</f>
        <v>0</v>
      </c>
      <c r="AK98" s="143">
        <f>'IS &amp; BS Projections'!AL211</f>
        <v>0</v>
      </c>
      <c r="AL98" s="143">
        <f>'IS &amp; BS Projections'!AM211</f>
        <v>0</v>
      </c>
      <c r="AM98" s="143">
        <f>'IS &amp; BS Projections'!AN211</f>
        <v>71670.532448356025</v>
      </c>
      <c r="AN98" s="143">
        <f>'IS &amp; BS Projections'!AO211</f>
        <v>0</v>
      </c>
      <c r="AO98" s="143">
        <f>'IS &amp; BS Projections'!AP211</f>
        <v>0</v>
      </c>
      <c r="AP98" s="143">
        <f>'IS &amp; BS Projections'!AQ211</f>
        <v>0</v>
      </c>
      <c r="AQ98" s="143">
        <f>'IS &amp; BS Projections'!AR211</f>
        <v>80937.511116667432</v>
      </c>
      <c r="AR98" s="143">
        <f>'IS &amp; BS Projections'!AS211</f>
        <v>0</v>
      </c>
      <c r="AS98" s="143">
        <f>'IS &amp; BS Projections'!AT211</f>
        <v>0</v>
      </c>
      <c r="AT98" s="143">
        <f>'IS &amp; BS Projections'!AU211</f>
        <v>0</v>
      </c>
      <c r="AU98" s="143">
        <f>'IS &amp; BS Projections'!AV211</f>
        <v>90601.931328866354</v>
      </c>
      <c r="AV98" s="143">
        <f>'IS &amp; BS Projections'!AW211</f>
        <v>0</v>
      </c>
      <c r="AW98" s="143">
        <f>'IS &amp; BS Projections'!AX211</f>
        <v>0</v>
      </c>
      <c r="AX98" s="143">
        <f>'IS &amp; BS Projections'!AY211</f>
        <v>0</v>
      </c>
      <c r="AY98" s="143">
        <f>'IS &amp; BS Projections'!AZ211</f>
        <v>105821.09794434739</v>
      </c>
      <c r="AZ98" s="143">
        <f>'IS &amp; BS Projections'!BA211</f>
        <v>0</v>
      </c>
      <c r="BA98" s="143">
        <f>'IS &amp; BS Projections'!BB211</f>
        <v>0</v>
      </c>
      <c r="BB98" s="143">
        <f>'IS &amp; BS Projections'!BC211</f>
        <v>0</v>
      </c>
      <c r="BC98" s="143">
        <f>'IS &amp; BS Projections'!BD211</f>
        <v>130314.96760572252</v>
      </c>
      <c r="BD98" s="139"/>
    </row>
    <row r="99" spans="2:56" x14ac:dyDescent="0.15">
      <c r="B99" s="1" t="s">
        <v>101</v>
      </c>
      <c r="D99" s="43" t="s">
        <v>33</v>
      </c>
      <c r="E99" s="50">
        <f t="shared" si="339"/>
        <v>0</v>
      </c>
      <c r="F99" s="50">
        <f t="shared" si="340"/>
        <v>0</v>
      </c>
      <c r="G99" s="50">
        <f t="shared" si="341"/>
        <v>0</v>
      </c>
      <c r="H99" s="50">
        <f t="shared" si="342"/>
        <v>0</v>
      </c>
      <c r="I99" s="50">
        <f t="shared" si="343"/>
        <v>0</v>
      </c>
      <c r="J99" s="50">
        <f t="shared" si="344"/>
        <v>0</v>
      </c>
      <c r="K99" s="50">
        <f t="shared" si="345"/>
        <v>0</v>
      </c>
      <c r="L99" s="50">
        <f t="shared" si="346"/>
        <v>0</v>
      </c>
      <c r="M99" s="50">
        <f t="shared" si="347"/>
        <v>0</v>
      </c>
      <c r="N99" s="50">
        <f t="shared" si="348"/>
        <v>0</v>
      </c>
      <c r="P99" s="51">
        <v>373955</v>
      </c>
      <c r="Q99" s="51">
        <v>266655</v>
      </c>
      <c r="R99" s="51">
        <v>290471</v>
      </c>
      <c r="S99" s="51">
        <v>0</v>
      </c>
      <c r="T99" s="51">
        <v>0</v>
      </c>
      <c r="U99" s="51">
        <v>0</v>
      </c>
      <c r="V99" s="51">
        <v>0</v>
      </c>
      <c r="W99" s="51">
        <v>0</v>
      </c>
      <c r="X99" s="51">
        <v>0</v>
      </c>
      <c r="Y99" s="51">
        <v>0</v>
      </c>
      <c r="Z99" s="51">
        <v>0</v>
      </c>
      <c r="AA99" s="51">
        <v>0</v>
      </c>
      <c r="AB99" s="51">
        <v>0</v>
      </c>
      <c r="AC99" s="51">
        <v>0</v>
      </c>
      <c r="AD99" s="51">
        <v>0</v>
      </c>
      <c r="AE99" s="51">
        <v>0</v>
      </c>
      <c r="AF99" s="51">
        <v>0</v>
      </c>
      <c r="AG99" s="51">
        <v>0</v>
      </c>
      <c r="AH99" s="51">
        <v>0</v>
      </c>
      <c r="AI99" s="51">
        <v>0</v>
      </c>
      <c r="AJ99" s="143">
        <f>_xlfn.XLOOKUP($B99,'IS &amp; BS Projections'!$B:$B,'IS &amp; BS Projections'!AK:AK)</f>
        <v>0</v>
      </c>
      <c r="AK99" s="143">
        <f>_xlfn.XLOOKUP($B99,'IS &amp; BS Projections'!$B:$B,'IS &amp; BS Projections'!AL:AL)</f>
        <v>0</v>
      </c>
      <c r="AL99" s="143">
        <f>_xlfn.XLOOKUP($B99,'IS &amp; BS Projections'!$B:$B,'IS &amp; BS Projections'!AM:AM)</f>
        <v>0</v>
      </c>
      <c r="AM99" s="143">
        <f>_xlfn.XLOOKUP($B99,'IS &amp; BS Projections'!$B:$B,'IS &amp; BS Projections'!AN:AN)</f>
        <v>0</v>
      </c>
      <c r="AN99" s="143">
        <f>_xlfn.XLOOKUP($B99,'IS &amp; BS Projections'!$B:$B,'IS &amp; BS Projections'!AO:AO)</f>
        <v>0</v>
      </c>
      <c r="AO99" s="143">
        <f>_xlfn.XLOOKUP($B99,'IS &amp; BS Projections'!$B:$B,'IS &amp; BS Projections'!AP:AP)</f>
        <v>0</v>
      </c>
      <c r="AP99" s="143">
        <f>_xlfn.XLOOKUP($B99,'IS &amp; BS Projections'!$B:$B,'IS &amp; BS Projections'!AQ:AQ)</f>
        <v>0</v>
      </c>
      <c r="AQ99" s="143">
        <f>_xlfn.XLOOKUP($B99,'IS &amp; BS Projections'!$B:$B,'IS &amp; BS Projections'!AR:AR)</f>
        <v>0</v>
      </c>
      <c r="AR99" s="143">
        <f>_xlfn.XLOOKUP($B99,'IS &amp; BS Projections'!$B:$B,'IS &amp; BS Projections'!AS:AS)</f>
        <v>0</v>
      </c>
      <c r="AS99" s="143">
        <f>_xlfn.XLOOKUP($B99,'IS &amp; BS Projections'!$B:$B,'IS &amp; BS Projections'!AT:AT)</f>
        <v>0</v>
      </c>
      <c r="AT99" s="143">
        <f>_xlfn.XLOOKUP($B99,'IS &amp; BS Projections'!$B:$B,'IS &amp; BS Projections'!AU:AU)</f>
        <v>0</v>
      </c>
      <c r="AU99" s="143">
        <f>_xlfn.XLOOKUP($B99,'IS &amp; BS Projections'!$B:$B,'IS &amp; BS Projections'!AV:AV)</f>
        <v>0</v>
      </c>
      <c r="AV99" s="143">
        <f>_xlfn.XLOOKUP($B99,'IS &amp; BS Projections'!$B:$B,'IS &amp; BS Projections'!AW:AW)</f>
        <v>0</v>
      </c>
      <c r="AW99" s="143">
        <f>_xlfn.XLOOKUP($B99,'IS &amp; BS Projections'!$B:$B,'IS &amp; BS Projections'!AX:AX)</f>
        <v>0</v>
      </c>
      <c r="AX99" s="143">
        <f>_xlfn.XLOOKUP($B99,'IS &amp; BS Projections'!$B:$B,'IS &amp; BS Projections'!AY:AY)</f>
        <v>0</v>
      </c>
      <c r="AY99" s="143">
        <f>_xlfn.XLOOKUP($B99,'IS &amp; BS Projections'!$B:$B,'IS &amp; BS Projections'!AZ:AZ)</f>
        <v>0</v>
      </c>
      <c r="AZ99" s="143">
        <f>_xlfn.XLOOKUP($B99,'IS &amp; BS Projections'!$B:$B,'IS &amp; BS Projections'!BA:BA)</f>
        <v>0</v>
      </c>
      <c r="BA99" s="143">
        <f>_xlfn.XLOOKUP($B99,'IS &amp; BS Projections'!$B:$B,'IS &amp; BS Projections'!BB:BB)</f>
        <v>0</v>
      </c>
      <c r="BB99" s="143">
        <f>_xlfn.XLOOKUP($B99,'IS &amp; BS Projections'!$B:$B,'IS &amp; BS Projections'!BC:BC)</f>
        <v>0</v>
      </c>
      <c r="BC99" s="143">
        <f>_xlfn.XLOOKUP($B99,'IS &amp; BS Projections'!$B:$B,'IS &amp; BS Projections'!BD:BD)</f>
        <v>0</v>
      </c>
      <c r="BD99" s="139"/>
    </row>
    <row r="100" spans="2:56" x14ac:dyDescent="0.15">
      <c r="B100" s="1" t="s">
        <v>102</v>
      </c>
      <c r="D100" s="43" t="s">
        <v>33</v>
      </c>
      <c r="E100" s="50">
        <f t="shared" si="339"/>
        <v>439559</v>
      </c>
      <c r="F100" s="50">
        <f t="shared" si="340"/>
        <v>331236</v>
      </c>
      <c r="G100" s="50">
        <f t="shared" si="341"/>
        <v>456889</v>
      </c>
      <c r="H100" s="50">
        <f t="shared" si="342"/>
        <v>552662</v>
      </c>
      <c r="I100" s="50">
        <f t="shared" si="343"/>
        <v>687676</v>
      </c>
      <c r="J100" s="50">
        <f t="shared" si="344"/>
        <v>671673.05191128806</v>
      </c>
      <c r="K100" s="50">
        <f t="shared" si="345"/>
        <v>758520.17905697599</v>
      </c>
      <c r="L100" s="50">
        <f t="shared" si="346"/>
        <v>849091.99981969001</v>
      </c>
      <c r="M100" s="50">
        <f t="shared" si="347"/>
        <v>991721.10747327795</v>
      </c>
      <c r="N100" s="50">
        <f t="shared" si="348"/>
        <v>1221269.732641201</v>
      </c>
      <c r="P100" s="51">
        <v>0</v>
      </c>
      <c r="Q100" s="51">
        <v>0</v>
      </c>
      <c r="R100" s="51">
        <v>0</v>
      </c>
      <c r="S100" s="51">
        <v>439559</v>
      </c>
      <c r="T100" s="51">
        <v>647960</v>
      </c>
      <c r="U100" s="51">
        <v>457399</v>
      </c>
      <c r="V100" s="51">
        <v>298101</v>
      </c>
      <c r="W100" s="51">
        <v>331236</v>
      </c>
      <c r="X100" s="51">
        <v>274983</v>
      </c>
      <c r="Y100" s="51">
        <v>262251</v>
      </c>
      <c r="Z100" s="51">
        <v>374374</v>
      </c>
      <c r="AA100" s="51">
        <v>456889</v>
      </c>
      <c r="AB100" s="51">
        <v>438321</v>
      </c>
      <c r="AC100" s="51">
        <v>448170</v>
      </c>
      <c r="AD100" s="51">
        <v>500603</v>
      </c>
      <c r="AE100" s="51">
        <v>552662</v>
      </c>
      <c r="AF100" s="51">
        <v>662042</v>
      </c>
      <c r="AG100" s="51">
        <v>601354</v>
      </c>
      <c r="AH100" s="51">
        <v>835468</v>
      </c>
      <c r="AI100" s="51">
        <v>687676</v>
      </c>
      <c r="AJ100" s="143">
        <f>_xlfn.XLOOKUP($B100,'IS &amp; BS Projections'!$B:$B,'IS &amp; BS Projections'!AK:AK)</f>
        <v>606467.54948080063</v>
      </c>
      <c r="AK100" s="143">
        <f>_xlfn.XLOOKUP($B100,'IS &amp; BS Projections'!$B:$B,'IS &amp; BS Projections'!AL:AL)</f>
        <v>660704.69818472769</v>
      </c>
      <c r="AL100" s="143">
        <f>_xlfn.XLOOKUP($B100,'IS &amp; BS Projections'!$B:$B,'IS &amp; BS Projections'!AM:AM)</f>
        <v>1061307.5404010646</v>
      </c>
      <c r="AM100" s="143">
        <f>_xlfn.XLOOKUP($B100,'IS &amp; BS Projections'!$B:$B,'IS &amp; BS Projections'!AN:AN)</f>
        <v>671673.05191128806</v>
      </c>
      <c r="AN100" s="143">
        <f>_xlfn.XLOOKUP($B100,'IS &amp; BS Projections'!$B:$B,'IS &amp; BS Projections'!AO:AO)</f>
        <v>632890.91000770149</v>
      </c>
      <c r="AO100" s="143">
        <f>_xlfn.XLOOKUP($B100,'IS &amp; BS Projections'!$B:$B,'IS &amp; BS Projections'!AP:AP)</f>
        <v>751671.0310792448</v>
      </c>
      <c r="AP100" s="143">
        <f>_xlfn.XLOOKUP($B100,'IS &amp; BS Projections'!$B:$B,'IS &amp; BS Projections'!AQ:AQ)</f>
        <v>1224699.4851989842</v>
      </c>
      <c r="AQ100" s="143">
        <f>_xlfn.XLOOKUP($B100,'IS &amp; BS Projections'!$B:$B,'IS &amp; BS Projections'!AR:AR)</f>
        <v>758520.17905697599</v>
      </c>
      <c r="AR100" s="143">
        <f>_xlfn.XLOOKUP($B100,'IS &amp; BS Projections'!$B:$B,'IS &amp; BS Projections'!AS:AS)</f>
        <v>688941.83677169273</v>
      </c>
      <c r="AS100" s="143">
        <f>_xlfn.XLOOKUP($B100,'IS &amp; BS Projections'!$B:$B,'IS &amp; BS Projections'!AT:AT)</f>
        <v>860154.91973315005</v>
      </c>
      <c r="AT100" s="143">
        <f>_xlfn.XLOOKUP($B100,'IS &amp; BS Projections'!$B:$B,'IS &amp; BS Projections'!AU:AU)</f>
        <v>1380081.8065713041</v>
      </c>
      <c r="AU100" s="143">
        <f>_xlfn.XLOOKUP($B100,'IS &amp; BS Projections'!$B:$B,'IS &amp; BS Projections'!AV:AV)</f>
        <v>849091.99981969001</v>
      </c>
      <c r="AV100" s="143">
        <f>_xlfn.XLOOKUP($B100,'IS &amp; BS Projections'!$B:$B,'IS &amp; BS Projections'!AW:AW)</f>
        <v>760677.08674759406</v>
      </c>
      <c r="AW100" s="143">
        <f>_xlfn.XLOOKUP($B100,'IS &amp; BS Projections'!$B:$B,'IS &amp; BS Projections'!AX:AX)</f>
        <v>1022996.5550232453</v>
      </c>
      <c r="AX100" s="143">
        <f>_xlfn.XLOOKUP($B100,'IS &amp; BS Projections'!$B:$B,'IS &amp; BS Projections'!AY:AY)</f>
        <v>1621569.5560588164</v>
      </c>
      <c r="AY100" s="143">
        <f>_xlfn.XLOOKUP($B100,'IS &amp; BS Projections'!$B:$B,'IS &amp; BS Projections'!AZ:AZ)</f>
        <v>991721.10747327795</v>
      </c>
      <c r="AZ100" s="143">
        <f>_xlfn.XLOOKUP($B100,'IS &amp; BS Projections'!$B:$B,'IS &amp; BS Projections'!BA:BA)</f>
        <v>873969.1077674831</v>
      </c>
      <c r="BA100" s="143">
        <f>_xlfn.XLOOKUP($B100,'IS &amp; BS Projections'!$B:$B,'IS &amp; BS Projections'!BB:BB)</f>
        <v>1286434.44547585</v>
      </c>
      <c r="BB100" s="143">
        <f>_xlfn.XLOOKUP($B100,'IS &amp; BS Projections'!$B:$B,'IS &amp; BS Projections'!BC:BC)</f>
        <v>2020604.2974728271</v>
      </c>
      <c r="BC100" s="143">
        <f>_xlfn.XLOOKUP($B100,'IS &amp; BS Projections'!$B:$B,'IS &amp; BS Projections'!BD:BD)</f>
        <v>1221269.732641201</v>
      </c>
      <c r="BD100" s="139"/>
    </row>
    <row r="101" spans="2:56" x14ac:dyDescent="0.15">
      <c r="B101" s="1" t="s">
        <v>103</v>
      </c>
      <c r="D101" s="43" t="s">
        <v>33</v>
      </c>
      <c r="E101" s="50">
        <f t="shared" si="339"/>
        <v>0</v>
      </c>
      <c r="F101" s="50">
        <f t="shared" si="340"/>
        <v>0</v>
      </c>
      <c r="G101" s="50">
        <f t="shared" si="341"/>
        <v>0</v>
      </c>
      <c r="H101" s="50">
        <f t="shared" si="342"/>
        <v>374268</v>
      </c>
      <c r="I101" s="50">
        <f t="shared" si="343"/>
        <v>452105</v>
      </c>
      <c r="J101" s="50">
        <f t="shared" si="344"/>
        <v>0</v>
      </c>
      <c r="K101" s="50">
        <f t="shared" si="345"/>
        <v>0</v>
      </c>
      <c r="L101" s="50">
        <f t="shared" si="346"/>
        <v>0</v>
      </c>
      <c r="M101" s="50">
        <f t="shared" si="347"/>
        <v>0</v>
      </c>
      <c r="N101" s="50">
        <f t="shared" si="348"/>
        <v>0</v>
      </c>
      <c r="P101" s="51">
        <v>0</v>
      </c>
      <c r="Q101" s="51">
        <v>0</v>
      </c>
      <c r="R101" s="51">
        <v>0</v>
      </c>
      <c r="S101" s="51">
        <v>0</v>
      </c>
      <c r="T101" s="51">
        <v>0</v>
      </c>
      <c r="U101" s="51">
        <v>0</v>
      </c>
      <c r="V101" s="51">
        <v>0</v>
      </c>
      <c r="W101" s="51">
        <v>0</v>
      </c>
      <c r="X101" s="51">
        <v>0</v>
      </c>
      <c r="Y101" s="51">
        <v>0</v>
      </c>
      <c r="Z101" s="51">
        <v>0</v>
      </c>
      <c r="AA101" s="51">
        <v>0</v>
      </c>
      <c r="AB101" s="51">
        <v>0</v>
      </c>
      <c r="AC101" s="51">
        <v>0</v>
      </c>
      <c r="AD101" s="51">
        <v>0</v>
      </c>
      <c r="AE101" s="51">
        <v>374268</v>
      </c>
      <c r="AF101" s="51">
        <v>0</v>
      </c>
      <c r="AG101" s="51">
        <v>0</v>
      </c>
      <c r="AH101" s="51">
        <v>0</v>
      </c>
      <c r="AI101" s="51">
        <v>452105</v>
      </c>
      <c r="AJ101" s="143">
        <f>_xlfn.XLOOKUP($B101,'IS &amp; BS Projections'!$B:$B,'IS &amp; BS Projections'!AK:AK)</f>
        <v>0</v>
      </c>
      <c r="AK101" s="143">
        <f>_xlfn.XLOOKUP($B101,'IS &amp; BS Projections'!$B:$B,'IS &amp; BS Projections'!AL:AL)</f>
        <v>0</v>
      </c>
      <c r="AL101" s="143">
        <f>_xlfn.XLOOKUP($B101,'IS &amp; BS Projections'!$B:$B,'IS &amp; BS Projections'!AM:AM)</f>
        <v>0</v>
      </c>
      <c r="AM101" s="143">
        <f>_xlfn.XLOOKUP($B101,'IS &amp; BS Projections'!$B:$B,'IS &amp; BS Projections'!AN:AN)</f>
        <v>0</v>
      </c>
      <c r="AN101" s="143">
        <f>_xlfn.XLOOKUP($B101,'IS &amp; BS Projections'!$B:$B,'IS &amp; BS Projections'!AO:AO)</f>
        <v>0</v>
      </c>
      <c r="AO101" s="143">
        <f>_xlfn.XLOOKUP($B101,'IS &amp; BS Projections'!$B:$B,'IS &amp; BS Projections'!AP:AP)</f>
        <v>0</v>
      </c>
      <c r="AP101" s="143">
        <f>_xlfn.XLOOKUP($B101,'IS &amp; BS Projections'!$B:$B,'IS &amp; BS Projections'!AQ:AQ)</f>
        <v>0</v>
      </c>
      <c r="AQ101" s="143">
        <f>_xlfn.XLOOKUP($B101,'IS &amp; BS Projections'!$B:$B,'IS &amp; BS Projections'!AR:AR)</f>
        <v>0</v>
      </c>
      <c r="AR101" s="143">
        <f>_xlfn.XLOOKUP($B101,'IS &amp; BS Projections'!$B:$B,'IS &amp; BS Projections'!AS:AS)</f>
        <v>0</v>
      </c>
      <c r="AS101" s="143">
        <f>_xlfn.XLOOKUP($B101,'IS &amp; BS Projections'!$B:$B,'IS &amp; BS Projections'!AT:AT)</f>
        <v>0</v>
      </c>
      <c r="AT101" s="143">
        <f>_xlfn.XLOOKUP($B101,'IS &amp; BS Projections'!$B:$B,'IS &amp; BS Projections'!AU:AU)</f>
        <v>0</v>
      </c>
      <c r="AU101" s="143">
        <f>_xlfn.XLOOKUP($B101,'IS &amp; BS Projections'!$B:$B,'IS &amp; BS Projections'!AV:AV)</f>
        <v>0</v>
      </c>
      <c r="AV101" s="143">
        <f>_xlfn.XLOOKUP($B101,'IS &amp; BS Projections'!$B:$B,'IS &amp; BS Projections'!AW:AW)</f>
        <v>0</v>
      </c>
      <c r="AW101" s="143">
        <f>_xlfn.XLOOKUP($B101,'IS &amp; BS Projections'!$B:$B,'IS &amp; BS Projections'!AX:AX)</f>
        <v>0</v>
      </c>
      <c r="AX101" s="143">
        <f>_xlfn.XLOOKUP($B101,'IS &amp; BS Projections'!$B:$B,'IS &amp; BS Projections'!AY:AY)</f>
        <v>0</v>
      </c>
      <c r="AY101" s="143">
        <f>_xlfn.XLOOKUP($B101,'IS &amp; BS Projections'!$B:$B,'IS &amp; BS Projections'!AZ:AZ)</f>
        <v>0</v>
      </c>
      <c r="AZ101" s="143">
        <f>_xlfn.XLOOKUP($B101,'IS &amp; BS Projections'!$B:$B,'IS &amp; BS Projections'!BA:BA)</f>
        <v>0</v>
      </c>
      <c r="BA101" s="143">
        <f>_xlfn.XLOOKUP($B101,'IS &amp; BS Projections'!$B:$B,'IS &amp; BS Projections'!BB:BB)</f>
        <v>0</v>
      </c>
      <c r="BB101" s="143">
        <f>_xlfn.XLOOKUP($B101,'IS &amp; BS Projections'!$B:$B,'IS &amp; BS Projections'!BC:BC)</f>
        <v>0</v>
      </c>
      <c r="BC101" s="143">
        <f>_xlfn.XLOOKUP($B101,'IS &amp; BS Projections'!$B:$B,'IS &amp; BS Projections'!BD:BD)</f>
        <v>0</v>
      </c>
      <c r="BD101" s="139"/>
    </row>
    <row r="102" spans="2:56" x14ac:dyDescent="0.15">
      <c r="B102" s="1" t="s">
        <v>104</v>
      </c>
      <c r="D102" s="43" t="s">
        <v>33</v>
      </c>
      <c r="E102" s="50">
        <f t="shared" si="339"/>
        <v>426665</v>
      </c>
      <c r="F102" s="50">
        <f t="shared" si="340"/>
        <v>151505</v>
      </c>
      <c r="G102" s="50">
        <f t="shared" si="341"/>
        <v>62980</v>
      </c>
      <c r="H102" s="50">
        <f t="shared" si="342"/>
        <v>0</v>
      </c>
      <c r="I102" s="50">
        <f t="shared" si="343"/>
        <v>0</v>
      </c>
      <c r="J102" s="50">
        <f t="shared" si="344"/>
        <v>114872.75750998784</v>
      </c>
      <c r="K102" s="50">
        <f t="shared" si="345"/>
        <v>129725.77111334338</v>
      </c>
      <c r="L102" s="50">
        <f t="shared" si="346"/>
        <v>145215.79974275979</v>
      </c>
      <c r="M102" s="50">
        <f t="shared" si="347"/>
        <v>169608.91608222623</v>
      </c>
      <c r="N102" s="50">
        <f t="shared" si="348"/>
        <v>208867.42657424553</v>
      </c>
      <c r="P102" s="51">
        <v>543820</v>
      </c>
      <c r="Q102" s="51">
        <v>366991</v>
      </c>
      <c r="R102" s="51">
        <v>445172</v>
      </c>
      <c r="S102" s="51">
        <v>426665</v>
      </c>
      <c r="T102" s="51">
        <v>485564</v>
      </c>
      <c r="U102" s="51">
        <v>136548</v>
      </c>
      <c r="V102" s="51">
        <v>209678</v>
      </c>
      <c r="W102" s="51">
        <v>151505</v>
      </c>
      <c r="X102" s="51">
        <v>167823</v>
      </c>
      <c r="Y102" s="51">
        <v>144503</v>
      </c>
      <c r="Z102" s="51">
        <v>109255</v>
      </c>
      <c r="AA102" s="51">
        <v>62980</v>
      </c>
      <c r="AB102" s="51">
        <v>272805</v>
      </c>
      <c r="AC102" s="51">
        <v>237474</v>
      </c>
      <c r="AD102" s="51">
        <v>265259</v>
      </c>
      <c r="AE102" s="51">
        <v>0</v>
      </c>
      <c r="AF102" s="51">
        <v>272608</v>
      </c>
      <c r="AG102" s="51">
        <v>268550</v>
      </c>
      <c r="AH102" s="51">
        <v>386823</v>
      </c>
      <c r="AI102" s="51">
        <v>0</v>
      </c>
      <c r="AJ102" s="143">
        <f>_xlfn.XLOOKUP($B102,'IS &amp; BS Projections'!$B:$B,'IS &amp; BS Projections'!AK:AK)</f>
        <v>404829.96073926851</v>
      </c>
      <c r="AK102" s="143">
        <f>_xlfn.XLOOKUP($B102,'IS &amp; BS Projections'!$B:$B,'IS &amp; BS Projections'!AL:AL)</f>
        <v>301278.56590014318</v>
      </c>
      <c r="AL102" s="143">
        <f>_xlfn.XLOOKUP($B102,'IS &amp; BS Projections'!$B:$B,'IS &amp; BS Projections'!AM:AM)</f>
        <v>522471.87353327783</v>
      </c>
      <c r="AM102" s="143">
        <f>_xlfn.XLOOKUP($B102,'IS &amp; BS Projections'!$B:$B,'IS &amp; BS Projections'!AN:AN)</f>
        <v>114872.75750998784</v>
      </c>
      <c r="AN102" s="143">
        <f>_xlfn.XLOOKUP($B102,'IS &amp; BS Projections'!$B:$B,'IS &amp; BS Projections'!AO:AO)</f>
        <v>422468.11469138437</v>
      </c>
      <c r="AO102" s="143">
        <f>_xlfn.XLOOKUP($B102,'IS &amp; BS Projections'!$B:$B,'IS &amp; BS Projections'!AP:AP)</f>
        <v>342758.83143322187</v>
      </c>
      <c r="AP102" s="143">
        <f>_xlfn.XLOOKUP($B102,'IS &amp; BS Projections'!$B:$B,'IS &amp; BS Projections'!AQ:AQ)</f>
        <v>602908.21480958199</v>
      </c>
      <c r="AQ102" s="143">
        <f>_xlfn.XLOOKUP($B102,'IS &amp; BS Projections'!$B:$B,'IS &amp; BS Projections'!AR:AR)</f>
        <v>129725.77111334338</v>
      </c>
      <c r="AR102" s="143">
        <f>_xlfn.XLOOKUP($B102,'IS &amp; BS Projections'!$B:$B,'IS &amp; BS Projections'!AS:AS)</f>
        <v>459883.29791213892</v>
      </c>
      <c r="AS102" s="143">
        <f>_xlfn.XLOOKUP($B102,'IS &amp; BS Projections'!$B:$B,'IS &amp; BS Projections'!AT:AT)</f>
        <v>392227.02877874946</v>
      </c>
      <c r="AT102" s="143">
        <f>_xlfn.XLOOKUP($B102,'IS &amp; BS Projections'!$B:$B,'IS &amp; BS Projections'!AU:AU)</f>
        <v>679401.49264935602</v>
      </c>
      <c r="AU102" s="143">
        <f>_xlfn.XLOOKUP($B102,'IS &amp; BS Projections'!$B:$B,'IS &amp; BS Projections'!AV:AV)</f>
        <v>145215.79974275979</v>
      </c>
      <c r="AV102" s="143">
        <f>_xlfn.XLOOKUP($B102,'IS &amp; BS Projections'!$B:$B,'IS &amp; BS Projections'!AW:AW)</f>
        <v>507768.09975558054</v>
      </c>
      <c r="AW102" s="143">
        <f>_xlfn.XLOOKUP($B102,'IS &amp; BS Projections'!$B:$B,'IS &amp; BS Projections'!AX:AX)</f>
        <v>466482.13016341842</v>
      </c>
      <c r="AX102" s="143">
        <f>_xlfn.XLOOKUP($B102,'IS &amp; BS Projections'!$B:$B,'IS &amp; BS Projections'!AY:AY)</f>
        <v>798283.67534109112</v>
      </c>
      <c r="AY102" s="143">
        <f>_xlfn.XLOOKUP($B102,'IS &amp; BS Projections'!$B:$B,'IS &amp; BS Projections'!AZ:AZ)</f>
        <v>169608.91608222623</v>
      </c>
      <c r="AZ102" s="143">
        <f>_xlfn.XLOOKUP($B102,'IS &amp; BS Projections'!$B:$B,'IS &amp; BS Projections'!BA:BA)</f>
        <v>583392.92825764709</v>
      </c>
      <c r="BA102" s="143">
        <f>_xlfn.XLOOKUP($B102,'IS &amp; BS Projections'!$B:$B,'IS &amp; BS Projections'!BB:BB)</f>
        <v>586608.70116765401</v>
      </c>
      <c r="BB102" s="143">
        <f>_xlfn.XLOOKUP($B102,'IS &amp; BS Projections'!$B:$B,'IS &amp; BS Projections'!BC:BC)</f>
        <v>994724.78313974093</v>
      </c>
      <c r="BC102" s="143">
        <f>_xlfn.XLOOKUP($B102,'IS &amp; BS Projections'!$B:$B,'IS &amp; BS Projections'!BD:BD)</f>
        <v>208867.42657424553</v>
      </c>
      <c r="BD102" s="139"/>
    </row>
    <row r="103" spans="2:56" x14ac:dyDescent="0.15">
      <c r="B103" s="1" t="s">
        <v>105</v>
      </c>
      <c r="D103" s="43" t="s">
        <v>33</v>
      </c>
      <c r="E103" s="50">
        <f t="shared" si="339"/>
        <v>0</v>
      </c>
      <c r="F103" s="50">
        <f t="shared" si="340"/>
        <v>0</v>
      </c>
      <c r="G103" s="50">
        <f t="shared" si="341"/>
        <v>0</v>
      </c>
      <c r="H103" s="50">
        <f t="shared" si="342"/>
        <v>0</v>
      </c>
      <c r="I103" s="50">
        <f t="shared" si="343"/>
        <v>1269585</v>
      </c>
      <c r="J103" s="50">
        <f t="shared" si="344"/>
        <v>0</v>
      </c>
      <c r="K103" s="50">
        <f t="shared" si="345"/>
        <v>0</v>
      </c>
      <c r="L103" s="50">
        <f t="shared" si="346"/>
        <v>1000000</v>
      </c>
      <c r="M103" s="50">
        <f t="shared" si="347"/>
        <v>1500000</v>
      </c>
      <c r="N103" s="50">
        <f t="shared" si="348"/>
        <v>0</v>
      </c>
      <c r="P103" s="51">
        <v>0</v>
      </c>
      <c r="Q103" s="51">
        <v>0</v>
      </c>
      <c r="R103" s="51">
        <v>0</v>
      </c>
      <c r="S103" s="51">
        <v>0</v>
      </c>
      <c r="T103" s="51">
        <v>0</v>
      </c>
      <c r="U103" s="51">
        <v>0</v>
      </c>
      <c r="V103" s="51">
        <v>0</v>
      </c>
      <c r="W103" s="51">
        <v>0</v>
      </c>
      <c r="X103" s="51">
        <v>0</v>
      </c>
      <c r="Y103" s="51">
        <v>0</v>
      </c>
      <c r="Z103" s="51">
        <v>0</v>
      </c>
      <c r="AA103" s="51">
        <v>0</v>
      </c>
      <c r="AB103" s="51">
        <v>0</v>
      </c>
      <c r="AC103" s="51">
        <v>0</v>
      </c>
      <c r="AD103" s="51">
        <v>0</v>
      </c>
      <c r="AE103" s="51">
        <v>0</v>
      </c>
      <c r="AF103" s="51">
        <v>0</v>
      </c>
      <c r="AG103" s="51">
        <v>1266577</v>
      </c>
      <c r="AH103" s="51">
        <v>1268081</v>
      </c>
      <c r="AI103" s="51">
        <v>1269585</v>
      </c>
      <c r="AJ103" s="143">
        <f>'D&amp;E Schedule'!AC10</f>
        <v>0</v>
      </c>
      <c r="AK103" s="143">
        <f>'D&amp;E Schedule'!AD10</f>
        <v>1273013</v>
      </c>
      <c r="AL103" s="143">
        <f>'D&amp;E Schedule'!AE10</f>
        <v>0</v>
      </c>
      <c r="AM103" s="143">
        <f>'D&amp;E Schedule'!AF10</f>
        <v>0</v>
      </c>
      <c r="AN103" s="143">
        <f>'D&amp;E Schedule'!AG10</f>
        <v>0</v>
      </c>
      <c r="AO103" s="143">
        <f>'D&amp;E Schedule'!AH10</f>
        <v>0</v>
      </c>
      <c r="AP103" s="143">
        <f>'D&amp;E Schedule'!AI10</f>
        <v>0</v>
      </c>
      <c r="AQ103" s="143">
        <f>'D&amp;E Schedule'!AJ10</f>
        <v>0</v>
      </c>
      <c r="AR103" s="143">
        <f>'D&amp;E Schedule'!AK10</f>
        <v>0</v>
      </c>
      <c r="AS103" s="143">
        <f>'D&amp;E Schedule'!AL10</f>
        <v>0</v>
      </c>
      <c r="AT103" s="143">
        <f>'D&amp;E Schedule'!AM10</f>
        <v>0</v>
      </c>
      <c r="AU103" s="143">
        <f>'D&amp;E Schedule'!AN10</f>
        <v>1000000</v>
      </c>
      <c r="AV103" s="143">
        <f>'D&amp;E Schedule'!AO10</f>
        <v>0</v>
      </c>
      <c r="AW103" s="143">
        <f>'D&amp;E Schedule'!AP10</f>
        <v>0</v>
      </c>
      <c r="AX103" s="143">
        <f>'D&amp;E Schedule'!AQ10</f>
        <v>0</v>
      </c>
      <c r="AY103" s="143">
        <f>'D&amp;E Schedule'!AR10</f>
        <v>1500000</v>
      </c>
      <c r="AZ103" s="143">
        <f>'D&amp;E Schedule'!AS10</f>
        <v>0</v>
      </c>
      <c r="BA103" s="143">
        <f>'D&amp;E Schedule'!AT10</f>
        <v>1265000</v>
      </c>
      <c r="BB103" s="143">
        <f>'D&amp;E Schedule'!AU10</f>
        <v>0</v>
      </c>
      <c r="BC103" s="143">
        <f>'D&amp;E Schedule'!AV10</f>
        <v>0</v>
      </c>
      <c r="BD103" s="139"/>
    </row>
    <row r="104" spans="2:56" x14ac:dyDescent="0.15">
      <c r="B104" s="1" t="s">
        <v>106</v>
      </c>
      <c r="D104" s="43" t="s">
        <v>33</v>
      </c>
      <c r="E104" s="50">
        <f t="shared" si="339"/>
        <v>32366</v>
      </c>
      <c r="F104" s="50">
        <f t="shared" si="340"/>
        <v>33734</v>
      </c>
      <c r="G104" s="50">
        <f t="shared" si="341"/>
        <v>0</v>
      </c>
      <c r="H104" s="50">
        <f t="shared" si="342"/>
        <v>0</v>
      </c>
      <c r="I104" s="50">
        <f t="shared" si="343"/>
        <v>0</v>
      </c>
      <c r="J104" s="50">
        <f t="shared" si="344"/>
        <v>0</v>
      </c>
      <c r="K104" s="50">
        <f t="shared" si="345"/>
        <v>0</v>
      </c>
      <c r="L104" s="50">
        <f t="shared" si="346"/>
        <v>0</v>
      </c>
      <c r="M104" s="50">
        <f t="shared" si="347"/>
        <v>0</v>
      </c>
      <c r="N104" s="50">
        <f t="shared" si="348"/>
        <v>0</v>
      </c>
      <c r="P104" s="51">
        <v>29695</v>
      </c>
      <c r="Q104" s="51">
        <v>30933</v>
      </c>
      <c r="R104" s="51">
        <v>31854</v>
      </c>
      <c r="S104" s="51">
        <v>32366</v>
      </c>
      <c r="T104" s="51">
        <v>32688</v>
      </c>
      <c r="U104" s="51">
        <v>34174</v>
      </c>
      <c r="V104" s="51">
        <v>33025</v>
      </c>
      <c r="W104" s="51">
        <v>33734</v>
      </c>
      <c r="X104" s="51">
        <v>12776</v>
      </c>
      <c r="Y104" s="51">
        <v>12350</v>
      </c>
      <c r="Z104" s="51">
        <v>12015</v>
      </c>
      <c r="AA104" s="51">
        <v>0</v>
      </c>
      <c r="AB104" s="51">
        <v>0</v>
      </c>
      <c r="AC104" s="51">
        <v>0</v>
      </c>
      <c r="AD104" s="51">
        <v>0</v>
      </c>
      <c r="AE104" s="51">
        <v>0</v>
      </c>
      <c r="AF104" s="51">
        <v>0</v>
      </c>
      <c r="AG104" s="51">
        <v>0</v>
      </c>
      <c r="AH104" s="51">
        <v>0</v>
      </c>
      <c r="AI104" s="51">
        <v>0</v>
      </c>
      <c r="AJ104" s="143">
        <f>_xlfn.XLOOKUP($B104,'IS &amp; BS Projections'!$B:$B,'IS &amp; BS Projections'!AK:AK)</f>
        <v>30724.057370241586</v>
      </c>
      <c r="AK104" s="143">
        <f>_xlfn.XLOOKUP($B104,'IS &amp; BS Projections'!$B:$B,'IS &amp; BS Projections'!AL:AL)</f>
        <v>24761.854376150874</v>
      </c>
      <c r="AL104" s="143">
        <f>_xlfn.XLOOKUP($B104,'IS &amp; BS Projections'!$B:$B,'IS &amp; BS Projections'!AM:AM)</f>
        <v>42307.553571689539</v>
      </c>
      <c r="AM104" s="143">
        <f>_xlfn.XLOOKUP($B104,'IS &amp; BS Projections'!$B:$B,'IS &amp; BS Projections'!AN:AN)</f>
        <v>0</v>
      </c>
      <c r="AN104" s="143">
        <f>_xlfn.XLOOKUP($B104,'IS &amp; BS Projections'!$B:$B,'IS &amp; BS Projections'!AO:AO)</f>
        <v>32062.682735173461</v>
      </c>
      <c r="AO104" s="143">
        <f>_xlfn.XLOOKUP($B104,'IS &amp; BS Projections'!$B:$B,'IS &amp; BS Projections'!AP:AP)</f>
        <v>28171.085602226878</v>
      </c>
      <c r="AP104" s="143">
        <f>_xlfn.XLOOKUP($B104,'IS &amp; BS Projections'!$B:$B,'IS &amp; BS Projections'!AQ:AQ)</f>
        <v>48820.946904510136</v>
      </c>
      <c r="AQ104" s="143">
        <f>_xlfn.XLOOKUP($B104,'IS &amp; BS Projections'!$B:$B,'IS &amp; BS Projections'!AR:AR)</f>
        <v>0</v>
      </c>
      <c r="AR104" s="143">
        <f>_xlfn.XLOOKUP($B104,'IS &amp; BS Projections'!$B:$B,'IS &amp; BS Projections'!AS:AS)</f>
        <v>34902.260699446051</v>
      </c>
      <c r="AS104" s="143">
        <f>_xlfn.XLOOKUP($B104,'IS &amp; BS Projections'!$B:$B,'IS &amp; BS Projections'!AT:AT)</f>
        <v>32236.838820551216</v>
      </c>
      <c r="AT104" s="143">
        <f>_xlfn.XLOOKUP($B104,'IS &amp; BS Projections'!$B:$B,'IS &amp; BS Projections'!AU:AU)</f>
        <v>55015.047704989389</v>
      </c>
      <c r="AU104" s="143">
        <f>_xlfn.XLOOKUP($B104,'IS &amp; BS Projections'!$B:$B,'IS &amp; BS Projections'!AV:AV)</f>
        <v>0</v>
      </c>
      <c r="AV104" s="143">
        <f>_xlfn.XLOOKUP($B104,'IS &amp; BS Projections'!$B:$B,'IS &amp; BS Projections'!AW:AW)</f>
        <v>38536.417114929558</v>
      </c>
      <c r="AW104" s="143">
        <f>_xlfn.XLOOKUP($B104,'IS &amp; BS Projections'!$B:$B,'IS &amp; BS Projections'!AX:AX)</f>
        <v>38339.808680620568</v>
      </c>
      <c r="AX104" s="143">
        <f>_xlfn.XLOOKUP($B104,'IS &amp; BS Projections'!$B:$B,'IS &amp; BS Projections'!AY:AY)</f>
        <v>64641.622010198596</v>
      </c>
      <c r="AY104" s="143">
        <f>_xlfn.XLOOKUP($B104,'IS &amp; BS Projections'!$B:$B,'IS &amp; BS Projections'!AZ:AZ)</f>
        <v>0</v>
      </c>
      <c r="AZ104" s="143">
        <f>_xlfn.XLOOKUP($B104,'IS &amp; BS Projections'!$B:$B,'IS &amp; BS Projections'!BA:BA)</f>
        <v>44275.867735800544</v>
      </c>
      <c r="BA104" s="143">
        <f>_xlfn.XLOOKUP($B104,'IS &amp; BS Projections'!$B:$B,'IS &amp; BS Projections'!BB:BB)</f>
        <v>48212.919464409708</v>
      </c>
      <c r="BB104" s="143">
        <f>_xlfn.XLOOKUP($B104,'IS &amp; BS Projections'!$B:$B,'IS &amp; BS Projections'!BC:BC)</f>
        <v>80548.588706165741</v>
      </c>
      <c r="BC104" s="143">
        <f>_xlfn.XLOOKUP($B104,'IS &amp; BS Projections'!$B:$B,'IS &amp; BS Projections'!BD:BD)</f>
        <v>0</v>
      </c>
      <c r="BD104" s="139"/>
    </row>
    <row r="105" spans="2:56" x14ac:dyDescent="0.15">
      <c r="B105" s="1" t="s">
        <v>107</v>
      </c>
      <c r="D105" s="43" t="s">
        <v>33</v>
      </c>
      <c r="E105" s="50">
        <f t="shared" si="339"/>
        <v>0</v>
      </c>
      <c r="F105" s="50">
        <f t="shared" si="340"/>
        <v>0</v>
      </c>
      <c r="G105" s="50">
        <f t="shared" si="341"/>
        <v>0</v>
      </c>
      <c r="H105" s="50">
        <f t="shared" si="342"/>
        <v>0</v>
      </c>
      <c r="I105" s="50">
        <f t="shared" si="343"/>
        <v>0</v>
      </c>
      <c r="J105" s="50">
        <f t="shared" si="344"/>
        <v>0</v>
      </c>
      <c r="K105" s="50">
        <f t="shared" si="345"/>
        <v>0</v>
      </c>
      <c r="L105" s="50">
        <f t="shared" si="346"/>
        <v>0</v>
      </c>
      <c r="M105" s="50">
        <f t="shared" si="347"/>
        <v>0</v>
      </c>
      <c r="N105" s="50">
        <f t="shared" si="348"/>
        <v>0</v>
      </c>
      <c r="P105" s="51">
        <v>84832</v>
      </c>
      <c r="Q105" s="51">
        <v>44480</v>
      </c>
      <c r="R105" s="51">
        <v>39684</v>
      </c>
      <c r="S105" s="51">
        <v>0</v>
      </c>
      <c r="T105" s="51">
        <v>0</v>
      </c>
      <c r="U105" s="51">
        <v>0</v>
      </c>
      <c r="V105" s="51">
        <v>0</v>
      </c>
      <c r="W105" s="51">
        <v>0</v>
      </c>
      <c r="X105" s="51">
        <v>0</v>
      </c>
      <c r="Y105" s="51">
        <v>0</v>
      </c>
      <c r="Z105" s="51">
        <v>0</v>
      </c>
      <c r="AA105" s="51">
        <v>0</v>
      </c>
      <c r="AB105" s="51">
        <v>0</v>
      </c>
      <c r="AC105" s="51">
        <v>0</v>
      </c>
      <c r="AD105" s="51">
        <v>0</v>
      </c>
      <c r="AE105" s="51">
        <v>0</v>
      </c>
      <c r="AF105" s="51">
        <v>0</v>
      </c>
      <c r="AG105" s="51">
        <v>0</v>
      </c>
      <c r="AH105" s="51">
        <v>0</v>
      </c>
      <c r="AI105" s="51">
        <v>0</v>
      </c>
      <c r="AJ105" s="143">
        <f>_xlfn.XLOOKUP($B105,'IS &amp; BS Projections'!$B:$B,'IS &amp; BS Projections'!AK:AK)</f>
        <v>0</v>
      </c>
      <c r="AK105" s="143">
        <f>_xlfn.XLOOKUP($B105,'IS &amp; BS Projections'!$B:$B,'IS &amp; BS Projections'!AL:AL)</f>
        <v>0</v>
      </c>
      <c r="AL105" s="143">
        <f>_xlfn.XLOOKUP($B105,'IS &amp; BS Projections'!$B:$B,'IS &amp; BS Projections'!AM:AM)</f>
        <v>0</v>
      </c>
      <c r="AM105" s="143">
        <f>_xlfn.XLOOKUP($B105,'IS &amp; BS Projections'!$B:$B,'IS &amp; BS Projections'!AN:AN)</f>
        <v>0</v>
      </c>
      <c r="AN105" s="143">
        <f>_xlfn.XLOOKUP($B105,'IS &amp; BS Projections'!$B:$B,'IS &amp; BS Projections'!AO:AO)</f>
        <v>0</v>
      </c>
      <c r="AO105" s="143">
        <f>_xlfn.XLOOKUP($B105,'IS &amp; BS Projections'!$B:$B,'IS &amp; BS Projections'!AP:AP)</f>
        <v>0</v>
      </c>
      <c r="AP105" s="143">
        <f>_xlfn.XLOOKUP($B105,'IS &amp; BS Projections'!$B:$B,'IS &amp; BS Projections'!AQ:AQ)</f>
        <v>0</v>
      </c>
      <c r="AQ105" s="143">
        <f>_xlfn.XLOOKUP($B105,'IS &amp; BS Projections'!$B:$B,'IS &amp; BS Projections'!AR:AR)</f>
        <v>0</v>
      </c>
      <c r="AR105" s="143">
        <f>_xlfn.XLOOKUP($B105,'IS &amp; BS Projections'!$B:$B,'IS &amp; BS Projections'!AS:AS)</f>
        <v>0</v>
      </c>
      <c r="AS105" s="143">
        <f>_xlfn.XLOOKUP($B105,'IS &amp; BS Projections'!$B:$B,'IS &amp; BS Projections'!AT:AT)</f>
        <v>0</v>
      </c>
      <c r="AT105" s="143">
        <f>_xlfn.XLOOKUP($B105,'IS &amp; BS Projections'!$B:$B,'IS &amp; BS Projections'!AU:AU)</f>
        <v>0</v>
      </c>
      <c r="AU105" s="143">
        <f>_xlfn.XLOOKUP($B105,'IS &amp; BS Projections'!$B:$B,'IS &amp; BS Projections'!AV:AV)</f>
        <v>0</v>
      </c>
      <c r="AV105" s="143">
        <f>_xlfn.XLOOKUP($B105,'IS &amp; BS Projections'!$B:$B,'IS &amp; BS Projections'!AW:AW)</f>
        <v>0</v>
      </c>
      <c r="AW105" s="143">
        <f>_xlfn.XLOOKUP($B105,'IS &amp; BS Projections'!$B:$B,'IS &amp; BS Projections'!AX:AX)</f>
        <v>0</v>
      </c>
      <c r="AX105" s="143">
        <f>_xlfn.XLOOKUP($B105,'IS &amp; BS Projections'!$B:$B,'IS &amp; BS Projections'!AY:AY)</f>
        <v>0</v>
      </c>
      <c r="AY105" s="143">
        <f>_xlfn.XLOOKUP($B105,'IS &amp; BS Projections'!$B:$B,'IS &amp; BS Projections'!AZ:AZ)</f>
        <v>0</v>
      </c>
      <c r="AZ105" s="143">
        <f>_xlfn.XLOOKUP($B105,'IS &amp; BS Projections'!$B:$B,'IS &amp; BS Projections'!BA:BA)</f>
        <v>0</v>
      </c>
      <c r="BA105" s="143">
        <f>_xlfn.XLOOKUP($B105,'IS &amp; BS Projections'!$B:$B,'IS &amp; BS Projections'!BB:BB)</f>
        <v>0</v>
      </c>
      <c r="BB105" s="143">
        <f>_xlfn.XLOOKUP($B105,'IS &amp; BS Projections'!$B:$B,'IS &amp; BS Projections'!BC:BC)</f>
        <v>0</v>
      </c>
      <c r="BC105" s="143">
        <f>_xlfn.XLOOKUP($B105,'IS &amp; BS Projections'!$B:$B,'IS &amp; BS Projections'!BD:BD)</f>
        <v>0</v>
      </c>
      <c r="BD105" s="139"/>
    </row>
    <row r="106" spans="2:56" x14ac:dyDescent="0.15">
      <c r="B106" s="1" t="s">
        <v>108</v>
      </c>
      <c r="D106" s="43" t="s">
        <v>33</v>
      </c>
      <c r="E106" s="50">
        <f t="shared" si="339"/>
        <v>0</v>
      </c>
      <c r="F106" s="50">
        <f t="shared" si="340"/>
        <v>0</v>
      </c>
      <c r="G106" s="50">
        <f t="shared" si="341"/>
        <v>355071</v>
      </c>
      <c r="H106" s="50">
        <f t="shared" si="342"/>
        <v>792125</v>
      </c>
      <c r="I106" s="50">
        <f t="shared" si="343"/>
        <v>826883</v>
      </c>
      <c r="J106" s="50">
        <f t="shared" si="344"/>
        <v>606630.46651097946</v>
      </c>
      <c r="K106" s="50">
        <f t="shared" si="345"/>
        <v>685067.60658323776</v>
      </c>
      <c r="L106" s="50">
        <f t="shared" si="346"/>
        <v>766868.75332522567</v>
      </c>
      <c r="M106" s="50">
        <f t="shared" si="347"/>
        <v>895686.13235767838</v>
      </c>
      <c r="N106" s="50">
        <f t="shared" si="348"/>
        <v>1103006.0317883955</v>
      </c>
      <c r="P106" s="51">
        <v>0</v>
      </c>
      <c r="Q106" s="51">
        <v>0</v>
      </c>
      <c r="R106" s="51">
        <v>0</v>
      </c>
      <c r="S106" s="51">
        <v>0</v>
      </c>
      <c r="T106" s="51">
        <v>0</v>
      </c>
      <c r="U106" s="51">
        <v>0</v>
      </c>
      <c r="V106" s="51">
        <v>0</v>
      </c>
      <c r="W106" s="51">
        <v>0</v>
      </c>
      <c r="X106" s="51">
        <v>0</v>
      </c>
      <c r="Y106" s="51">
        <v>0</v>
      </c>
      <c r="Z106" s="51">
        <v>0</v>
      </c>
      <c r="AA106" s="51">
        <v>355071</v>
      </c>
      <c r="AB106" s="51">
        <v>315090</v>
      </c>
      <c r="AC106" s="51">
        <v>272171</v>
      </c>
      <c r="AD106" s="51">
        <v>118224</v>
      </c>
      <c r="AE106" s="51">
        <v>792125</v>
      </c>
      <c r="AF106" s="51">
        <v>628854</v>
      </c>
      <c r="AG106" s="51">
        <v>972661</v>
      </c>
      <c r="AH106" s="51">
        <v>1026945</v>
      </c>
      <c r="AI106" s="51">
        <v>826883</v>
      </c>
      <c r="AJ106" s="143">
        <f>_xlfn.XLOOKUP($B106,'IS &amp; BS Projections'!$B:$B,'IS &amp; BS Projections'!AK:AK)</f>
        <v>0</v>
      </c>
      <c r="AK106" s="143">
        <f>_xlfn.XLOOKUP($B106,'IS &amp; BS Projections'!$B:$B,'IS &amp; BS Projections'!AL:AL)</f>
        <v>0</v>
      </c>
      <c r="AL106" s="143">
        <f>_xlfn.XLOOKUP($B106,'IS &amp; BS Projections'!$B:$B,'IS &amp; BS Projections'!AM:AM)</f>
        <v>0</v>
      </c>
      <c r="AM106" s="143">
        <f>_xlfn.XLOOKUP($B106,'IS &amp; BS Projections'!$B:$B,'IS &amp; BS Projections'!AN:AN)</f>
        <v>606630.46651097946</v>
      </c>
      <c r="AN106" s="143">
        <f>_xlfn.XLOOKUP($B106,'IS &amp; BS Projections'!$B:$B,'IS &amp; BS Projections'!AO:AO)</f>
        <v>0</v>
      </c>
      <c r="AO106" s="143">
        <f>_xlfn.XLOOKUP($B106,'IS &amp; BS Projections'!$B:$B,'IS &amp; BS Projections'!AP:AP)</f>
        <v>0</v>
      </c>
      <c r="AP106" s="143">
        <f>_xlfn.XLOOKUP($B106,'IS &amp; BS Projections'!$B:$B,'IS &amp; BS Projections'!AQ:AQ)</f>
        <v>0</v>
      </c>
      <c r="AQ106" s="143">
        <f>_xlfn.XLOOKUP($B106,'IS &amp; BS Projections'!$B:$B,'IS &amp; BS Projections'!AR:AR)</f>
        <v>685067.60658323776</v>
      </c>
      <c r="AR106" s="143">
        <f>_xlfn.XLOOKUP($B106,'IS &amp; BS Projections'!$B:$B,'IS &amp; BS Projections'!AS:AS)</f>
        <v>0</v>
      </c>
      <c r="AS106" s="143">
        <f>_xlfn.XLOOKUP($B106,'IS &amp; BS Projections'!$B:$B,'IS &amp; BS Projections'!AT:AT)</f>
        <v>0</v>
      </c>
      <c r="AT106" s="143">
        <f>_xlfn.XLOOKUP($B106,'IS &amp; BS Projections'!$B:$B,'IS &amp; BS Projections'!AU:AU)</f>
        <v>0</v>
      </c>
      <c r="AU106" s="143">
        <f>_xlfn.XLOOKUP($B106,'IS &amp; BS Projections'!$B:$B,'IS &amp; BS Projections'!AV:AV)</f>
        <v>766868.75332522567</v>
      </c>
      <c r="AV106" s="143">
        <f>_xlfn.XLOOKUP($B106,'IS &amp; BS Projections'!$B:$B,'IS &amp; BS Projections'!AW:AW)</f>
        <v>0</v>
      </c>
      <c r="AW106" s="143">
        <f>_xlfn.XLOOKUP($B106,'IS &amp; BS Projections'!$B:$B,'IS &amp; BS Projections'!AX:AX)</f>
        <v>0</v>
      </c>
      <c r="AX106" s="143">
        <f>_xlfn.XLOOKUP($B106,'IS &amp; BS Projections'!$B:$B,'IS &amp; BS Projections'!AY:AY)</f>
        <v>0</v>
      </c>
      <c r="AY106" s="143">
        <f>_xlfn.XLOOKUP($B106,'IS &amp; BS Projections'!$B:$B,'IS &amp; BS Projections'!AZ:AZ)</f>
        <v>895686.13235767838</v>
      </c>
      <c r="AZ106" s="143">
        <f>_xlfn.XLOOKUP($B106,'IS &amp; BS Projections'!$B:$B,'IS &amp; BS Projections'!BA:BA)</f>
        <v>0</v>
      </c>
      <c r="BA106" s="143">
        <f>_xlfn.XLOOKUP($B106,'IS &amp; BS Projections'!$B:$B,'IS &amp; BS Projections'!BB:BB)</f>
        <v>0</v>
      </c>
      <c r="BB106" s="143">
        <f>_xlfn.XLOOKUP($B106,'IS &amp; BS Projections'!$B:$B,'IS &amp; BS Projections'!BC:BC)</f>
        <v>0</v>
      </c>
      <c r="BC106" s="143">
        <f>_xlfn.XLOOKUP($B106,'IS &amp; BS Projections'!$B:$B,'IS &amp; BS Projections'!BD:BD)</f>
        <v>1103006.0317883955</v>
      </c>
      <c r="BD106" s="139"/>
    </row>
    <row r="107" spans="2:56" x14ac:dyDescent="0.15">
      <c r="B107" s="1" t="s">
        <v>109</v>
      </c>
      <c r="D107" s="43" t="s">
        <v>33</v>
      </c>
      <c r="E107" s="50">
        <f t="shared" si="339"/>
        <v>10480612</v>
      </c>
      <c r="F107" s="50">
        <f t="shared" si="340"/>
        <v>4829587</v>
      </c>
      <c r="G107" s="50">
        <f t="shared" si="341"/>
        <v>4570845</v>
      </c>
      <c r="H107" s="50">
        <f t="shared" si="342"/>
        <v>6158949</v>
      </c>
      <c r="I107" s="50">
        <f t="shared" si="343"/>
        <v>0</v>
      </c>
      <c r="J107" s="50">
        <f t="shared" si="344"/>
        <v>7297652.0518629635</v>
      </c>
      <c r="K107" s="50">
        <f t="shared" si="345"/>
        <v>8241236.305853311</v>
      </c>
      <c r="L107" s="50">
        <f t="shared" si="346"/>
        <v>9225288.9364437107</v>
      </c>
      <c r="M107" s="50">
        <f t="shared" si="347"/>
        <v>10774938.125378361</v>
      </c>
      <c r="N107" s="50">
        <f t="shared" si="348"/>
        <v>13268958.081504673</v>
      </c>
      <c r="P107" s="51">
        <v>6223846</v>
      </c>
      <c r="Q107" s="51">
        <v>8968505</v>
      </c>
      <c r="R107" s="51">
        <v>8807978</v>
      </c>
      <c r="S107" s="51">
        <v>10480612</v>
      </c>
      <c r="T107" s="51">
        <v>9742961</v>
      </c>
      <c r="U107" s="51">
        <v>0</v>
      </c>
      <c r="V107" s="51">
        <v>0</v>
      </c>
      <c r="W107" s="51">
        <v>4829587</v>
      </c>
      <c r="X107" s="51">
        <v>0</v>
      </c>
      <c r="Y107" s="51">
        <v>0</v>
      </c>
      <c r="Z107" s="51">
        <v>0</v>
      </c>
      <c r="AA107" s="51">
        <v>4570845</v>
      </c>
      <c r="AB107" s="51">
        <v>0</v>
      </c>
      <c r="AC107" s="51">
        <v>0</v>
      </c>
      <c r="AD107" s="51">
        <v>0</v>
      </c>
      <c r="AE107" s="51">
        <v>6158949</v>
      </c>
      <c r="AF107" s="51">
        <v>0</v>
      </c>
      <c r="AG107" s="51">
        <v>0</v>
      </c>
      <c r="AH107" s="51">
        <v>0</v>
      </c>
      <c r="AI107" s="51">
        <v>0</v>
      </c>
      <c r="AJ107" s="143">
        <f>_xlfn.XLOOKUP($B107,'IS &amp; BS Projections'!$B:$B,'IS &amp; BS Projections'!AK:AK)</f>
        <v>0</v>
      </c>
      <c r="AK107" s="143">
        <f>_xlfn.XLOOKUP($B107,'IS &amp; BS Projections'!$B:$B,'IS &amp; BS Projections'!AL:AL)</f>
        <v>0</v>
      </c>
      <c r="AL107" s="143">
        <f>_xlfn.XLOOKUP($B107,'IS &amp; BS Projections'!$B:$B,'IS &amp; BS Projections'!AM:AM)</f>
        <v>0</v>
      </c>
      <c r="AM107" s="143">
        <f>_xlfn.XLOOKUP($B107,'IS &amp; BS Projections'!$B:$B,'IS &amp; BS Projections'!AN:AN)</f>
        <v>7297652.0518629635</v>
      </c>
      <c r="AN107" s="143">
        <f>_xlfn.XLOOKUP($B107,'IS &amp; BS Projections'!$B:$B,'IS &amp; BS Projections'!AO:AO)</f>
        <v>0</v>
      </c>
      <c r="AO107" s="143">
        <f>_xlfn.XLOOKUP($B107,'IS &amp; BS Projections'!$B:$B,'IS &amp; BS Projections'!AP:AP)</f>
        <v>0</v>
      </c>
      <c r="AP107" s="143">
        <f>_xlfn.XLOOKUP($B107,'IS &amp; BS Projections'!$B:$B,'IS &amp; BS Projections'!AQ:AQ)</f>
        <v>0</v>
      </c>
      <c r="AQ107" s="143">
        <f>_xlfn.XLOOKUP($B107,'IS &amp; BS Projections'!$B:$B,'IS &amp; BS Projections'!AR:AR)</f>
        <v>8241236.305853311</v>
      </c>
      <c r="AR107" s="143">
        <f>_xlfn.XLOOKUP($B107,'IS &amp; BS Projections'!$B:$B,'IS &amp; BS Projections'!AS:AS)</f>
        <v>0</v>
      </c>
      <c r="AS107" s="143">
        <f>_xlfn.XLOOKUP($B107,'IS &amp; BS Projections'!$B:$B,'IS &amp; BS Projections'!AT:AT)</f>
        <v>0</v>
      </c>
      <c r="AT107" s="143">
        <f>_xlfn.XLOOKUP($B107,'IS &amp; BS Projections'!$B:$B,'IS &amp; BS Projections'!AU:AU)</f>
        <v>0</v>
      </c>
      <c r="AU107" s="143">
        <f>_xlfn.XLOOKUP($B107,'IS &amp; BS Projections'!$B:$B,'IS &amp; BS Projections'!AV:AV)</f>
        <v>9225288.9364437107</v>
      </c>
      <c r="AV107" s="143">
        <f>_xlfn.XLOOKUP($B107,'IS &amp; BS Projections'!$B:$B,'IS &amp; BS Projections'!AW:AW)</f>
        <v>0</v>
      </c>
      <c r="AW107" s="143">
        <f>_xlfn.XLOOKUP($B107,'IS &amp; BS Projections'!$B:$B,'IS &amp; BS Projections'!AX:AX)</f>
        <v>0</v>
      </c>
      <c r="AX107" s="143">
        <f>_xlfn.XLOOKUP($B107,'IS &amp; BS Projections'!$B:$B,'IS &amp; BS Projections'!AY:AY)</f>
        <v>0</v>
      </c>
      <c r="AY107" s="143">
        <f>_xlfn.XLOOKUP($B107,'IS &amp; BS Projections'!$B:$B,'IS &amp; BS Projections'!AZ:AZ)</f>
        <v>10774938.125378361</v>
      </c>
      <c r="AZ107" s="143">
        <f>_xlfn.XLOOKUP($B107,'IS &amp; BS Projections'!$B:$B,'IS &amp; BS Projections'!BA:BA)</f>
        <v>0</v>
      </c>
      <c r="BA107" s="143">
        <f>_xlfn.XLOOKUP($B107,'IS &amp; BS Projections'!$B:$B,'IS &amp; BS Projections'!BB:BB)</f>
        <v>0</v>
      </c>
      <c r="BB107" s="143">
        <f>_xlfn.XLOOKUP($B107,'IS &amp; BS Projections'!$B:$B,'IS &amp; BS Projections'!BC:BC)</f>
        <v>0</v>
      </c>
      <c r="BC107" s="143">
        <f>_xlfn.XLOOKUP($B107,'IS &amp; BS Projections'!$B:$B,'IS &amp; BS Projections'!BD:BD)</f>
        <v>13268958.081504673</v>
      </c>
      <c r="BD107" s="139"/>
    </row>
    <row r="108" spans="2:56" x14ac:dyDescent="0.15">
      <c r="B108" s="1" t="s">
        <v>110</v>
      </c>
      <c r="D108" s="43" t="s">
        <v>33</v>
      </c>
      <c r="E108" s="50">
        <f t="shared" si="339"/>
        <v>0</v>
      </c>
      <c r="F108" s="50">
        <f t="shared" si="340"/>
        <v>0</v>
      </c>
      <c r="G108" s="50">
        <f t="shared" si="341"/>
        <v>0</v>
      </c>
      <c r="H108" s="50">
        <f t="shared" si="342"/>
        <v>0</v>
      </c>
      <c r="I108" s="50">
        <f t="shared" si="343"/>
        <v>0</v>
      </c>
      <c r="J108" s="50">
        <f t="shared" si="344"/>
        <v>0</v>
      </c>
      <c r="K108" s="50">
        <f t="shared" si="345"/>
        <v>0</v>
      </c>
      <c r="L108" s="50">
        <f t="shared" si="346"/>
        <v>0</v>
      </c>
      <c r="M108" s="50">
        <f t="shared" si="347"/>
        <v>0</v>
      </c>
      <c r="N108" s="50">
        <f t="shared" si="348"/>
        <v>0</v>
      </c>
      <c r="P108" s="51">
        <v>0</v>
      </c>
      <c r="Q108" s="51">
        <v>0</v>
      </c>
      <c r="R108" s="51">
        <v>0</v>
      </c>
      <c r="S108" s="51">
        <v>0</v>
      </c>
      <c r="T108" s="51">
        <v>0</v>
      </c>
      <c r="U108" s="51">
        <v>88453873</v>
      </c>
      <c r="V108" s="51">
        <v>95113124</v>
      </c>
      <c r="W108" s="51">
        <v>0</v>
      </c>
      <c r="X108" s="51">
        <v>124357889</v>
      </c>
      <c r="Y108" s="51">
        <v>124243587</v>
      </c>
      <c r="Z108" s="51">
        <v>0</v>
      </c>
      <c r="AA108" s="51">
        <v>0</v>
      </c>
      <c r="AB108" s="51">
        <v>0</v>
      </c>
      <c r="AC108" s="51">
        <v>0</v>
      </c>
      <c r="AD108" s="51">
        <v>0</v>
      </c>
      <c r="AE108" s="51">
        <v>0</v>
      </c>
      <c r="AF108" s="51">
        <v>0</v>
      </c>
      <c r="AG108" s="51">
        <v>0</v>
      </c>
      <c r="AH108" s="51">
        <v>0</v>
      </c>
      <c r="AI108" s="51">
        <v>0</v>
      </c>
      <c r="AJ108" s="143">
        <f>_xlfn.XLOOKUP($B108,'IS &amp; BS Projections'!$B:$B,'IS &amp; BS Projections'!AK:AK)</f>
        <v>0</v>
      </c>
      <c r="AK108" s="143">
        <f>_xlfn.XLOOKUP($B108,'IS &amp; BS Projections'!$B:$B,'IS &amp; BS Projections'!AL:AL)</f>
        <v>0</v>
      </c>
      <c r="AL108" s="143">
        <f>_xlfn.XLOOKUP($B108,'IS &amp; BS Projections'!$B:$B,'IS &amp; BS Projections'!AM:AM)</f>
        <v>0</v>
      </c>
      <c r="AM108" s="143">
        <f>_xlfn.XLOOKUP($B108,'IS &amp; BS Projections'!$B:$B,'IS &amp; BS Projections'!AN:AN)</f>
        <v>0</v>
      </c>
      <c r="AN108" s="143">
        <f>_xlfn.XLOOKUP($B108,'IS &amp; BS Projections'!$B:$B,'IS &amp; BS Projections'!AO:AO)</f>
        <v>0</v>
      </c>
      <c r="AO108" s="143">
        <f>_xlfn.XLOOKUP($B108,'IS &amp; BS Projections'!$B:$B,'IS &amp; BS Projections'!AP:AP)</f>
        <v>0</v>
      </c>
      <c r="AP108" s="143">
        <f>_xlfn.XLOOKUP($B108,'IS &amp; BS Projections'!$B:$B,'IS &amp; BS Projections'!AQ:AQ)</f>
        <v>0</v>
      </c>
      <c r="AQ108" s="143">
        <f>_xlfn.XLOOKUP($B108,'IS &amp; BS Projections'!$B:$B,'IS &amp; BS Projections'!AR:AR)</f>
        <v>0</v>
      </c>
      <c r="AR108" s="143">
        <f>_xlfn.XLOOKUP($B108,'IS &amp; BS Projections'!$B:$B,'IS &amp; BS Projections'!AS:AS)</f>
        <v>0</v>
      </c>
      <c r="AS108" s="143">
        <f>_xlfn.XLOOKUP($B108,'IS &amp; BS Projections'!$B:$B,'IS &amp; BS Projections'!AT:AT)</f>
        <v>0</v>
      </c>
      <c r="AT108" s="143">
        <f>_xlfn.XLOOKUP($B108,'IS &amp; BS Projections'!$B:$B,'IS &amp; BS Projections'!AU:AU)</f>
        <v>0</v>
      </c>
      <c r="AU108" s="143">
        <f>_xlfn.XLOOKUP($B108,'IS &amp; BS Projections'!$B:$B,'IS &amp; BS Projections'!AV:AV)</f>
        <v>0</v>
      </c>
      <c r="AV108" s="143">
        <f>_xlfn.XLOOKUP($B108,'IS &amp; BS Projections'!$B:$B,'IS &amp; BS Projections'!AW:AW)</f>
        <v>0</v>
      </c>
      <c r="AW108" s="143">
        <f>_xlfn.XLOOKUP($B108,'IS &amp; BS Projections'!$B:$B,'IS &amp; BS Projections'!AX:AX)</f>
        <v>0</v>
      </c>
      <c r="AX108" s="143">
        <f>_xlfn.XLOOKUP($B108,'IS &amp; BS Projections'!$B:$B,'IS &amp; BS Projections'!AY:AY)</f>
        <v>0</v>
      </c>
      <c r="AY108" s="143">
        <f>_xlfn.XLOOKUP($B108,'IS &amp; BS Projections'!$B:$B,'IS &amp; BS Projections'!AZ:AZ)</f>
        <v>0</v>
      </c>
      <c r="AZ108" s="143">
        <f>_xlfn.XLOOKUP($B108,'IS &amp; BS Projections'!$B:$B,'IS &amp; BS Projections'!BA:BA)</f>
        <v>0</v>
      </c>
      <c r="BA108" s="143">
        <f>_xlfn.XLOOKUP($B108,'IS &amp; BS Projections'!$B:$B,'IS &amp; BS Projections'!BB:BB)</f>
        <v>0</v>
      </c>
      <c r="BB108" s="143">
        <f>_xlfn.XLOOKUP($B108,'IS &amp; BS Projections'!$B:$B,'IS &amp; BS Projections'!BC:BC)</f>
        <v>0</v>
      </c>
      <c r="BC108" s="143">
        <f>_xlfn.XLOOKUP($B108,'IS &amp; BS Projections'!$B:$B,'IS &amp; BS Projections'!BD:BD)</f>
        <v>0</v>
      </c>
      <c r="BD108" s="139"/>
    </row>
    <row r="109" spans="2:56" x14ac:dyDescent="0.15">
      <c r="B109" s="1" t="s">
        <v>111</v>
      </c>
      <c r="D109" s="43" t="s">
        <v>33</v>
      </c>
      <c r="E109" s="50">
        <f t="shared" si="339"/>
        <v>0</v>
      </c>
      <c r="F109" s="50">
        <f t="shared" si="340"/>
        <v>0</v>
      </c>
      <c r="G109" s="50">
        <f t="shared" si="341"/>
        <v>0</v>
      </c>
      <c r="H109" s="50">
        <f t="shared" si="342"/>
        <v>0</v>
      </c>
      <c r="I109" s="50">
        <f t="shared" si="343"/>
        <v>0</v>
      </c>
      <c r="J109" s="50">
        <f t="shared" si="344"/>
        <v>0</v>
      </c>
      <c r="K109" s="50">
        <f t="shared" si="345"/>
        <v>0</v>
      </c>
      <c r="L109" s="50">
        <f t="shared" si="346"/>
        <v>0</v>
      </c>
      <c r="M109" s="50">
        <f t="shared" si="347"/>
        <v>0</v>
      </c>
      <c r="N109" s="50">
        <f t="shared" si="348"/>
        <v>0</v>
      </c>
      <c r="P109" s="51">
        <v>0</v>
      </c>
      <c r="Q109" s="51">
        <v>0</v>
      </c>
      <c r="R109" s="51">
        <v>0</v>
      </c>
      <c r="S109" s="51">
        <v>0</v>
      </c>
      <c r="T109" s="51">
        <v>0</v>
      </c>
      <c r="U109" s="51">
        <v>7071557</v>
      </c>
      <c r="V109" s="51">
        <v>6357657</v>
      </c>
      <c r="W109" s="51">
        <v>0</v>
      </c>
      <c r="X109" s="51">
        <v>5365658</v>
      </c>
      <c r="Y109" s="51">
        <v>3848078</v>
      </c>
      <c r="Z109" s="51">
        <v>3474489</v>
      </c>
      <c r="AA109" s="51">
        <v>0</v>
      </c>
      <c r="AB109" s="51">
        <v>5201906</v>
      </c>
      <c r="AC109" s="51">
        <v>4197837</v>
      </c>
      <c r="AD109" s="51">
        <v>4035045</v>
      </c>
      <c r="AE109" s="51">
        <v>0</v>
      </c>
      <c r="AF109" s="51">
        <v>0</v>
      </c>
      <c r="AG109" s="51">
        <v>5121640</v>
      </c>
      <c r="AH109" s="51">
        <v>5672037</v>
      </c>
      <c r="AI109" s="51">
        <v>0</v>
      </c>
      <c r="AJ109" s="143">
        <f>_xlfn.XLOOKUP($B109,'IS &amp; BS Projections'!$B:$B,'IS &amp; BS Projections'!AK:AK)</f>
        <v>0</v>
      </c>
      <c r="AK109" s="143">
        <f>_xlfn.XLOOKUP($B109,'IS &amp; BS Projections'!$B:$B,'IS &amp; BS Projections'!AL:AL)</f>
        <v>6100926.7753363065</v>
      </c>
      <c r="AL109" s="143">
        <f>_xlfn.XLOOKUP($B109,'IS &amp; BS Projections'!$B:$B,'IS &amp; BS Projections'!AM:AM)</f>
        <v>7947694.5963797085</v>
      </c>
      <c r="AM109" s="143">
        <f>_xlfn.XLOOKUP($B109,'IS &amp; BS Projections'!$B:$B,'IS &amp; BS Projections'!AN:AN)</f>
        <v>0</v>
      </c>
      <c r="AN109" s="143">
        <f>_xlfn.XLOOKUP($B109,'IS &amp; BS Projections'!$B:$B,'IS &amp; BS Projections'!AO:AO)</f>
        <v>0</v>
      </c>
      <c r="AO109" s="143">
        <f>_xlfn.XLOOKUP($B109,'IS &amp; BS Projections'!$B:$B,'IS &amp; BS Projections'!AP:AP)</f>
        <v>6940907.0835361853</v>
      </c>
      <c r="AP109" s="143">
        <f>_xlfn.XLOOKUP($B109,'IS &amp; BS Projections'!$B:$B,'IS &amp; BS Projections'!AQ:AQ)</f>
        <v>9171269.5049982462</v>
      </c>
      <c r="AQ109" s="143">
        <f>_xlfn.XLOOKUP($B109,'IS &amp; BS Projections'!$B:$B,'IS &amp; BS Projections'!AR:AR)</f>
        <v>0</v>
      </c>
      <c r="AR109" s="143">
        <f>_xlfn.XLOOKUP($B109,'IS &amp; BS Projections'!$B:$B,'IS &amp; BS Projections'!AS:AS)</f>
        <v>0</v>
      </c>
      <c r="AS109" s="143">
        <f>_xlfn.XLOOKUP($B109,'IS &amp; BS Projections'!$B:$B,'IS &amp; BS Projections'!AT:AT)</f>
        <v>7942643.960539842</v>
      </c>
      <c r="AT109" s="143">
        <f>_xlfn.XLOOKUP($B109,'IS &amp; BS Projections'!$B:$B,'IS &amp; BS Projections'!AU:AU)</f>
        <v>10334863.646124432</v>
      </c>
      <c r="AU109" s="143">
        <f>_xlfn.XLOOKUP($B109,'IS &amp; BS Projections'!$B:$B,'IS &amp; BS Projections'!AV:AV)</f>
        <v>0</v>
      </c>
      <c r="AV109" s="143">
        <f>_xlfn.XLOOKUP($B109,'IS &amp; BS Projections'!$B:$B,'IS &amp; BS Projections'!AW:AW)</f>
        <v>0</v>
      </c>
      <c r="AW109" s="143">
        <f>_xlfn.XLOOKUP($B109,'IS &amp; BS Projections'!$B:$B,'IS &amp; BS Projections'!AX:AX)</f>
        <v>9446318.5909919497</v>
      </c>
      <c r="AX109" s="143">
        <f>_xlfn.XLOOKUP($B109,'IS &amp; BS Projections'!$B:$B,'IS &amp; BS Projections'!AY:AY)</f>
        <v>12143265.83741435</v>
      </c>
      <c r="AY109" s="143">
        <f>_xlfn.XLOOKUP($B109,'IS &amp; BS Projections'!$B:$B,'IS &amp; BS Projections'!AZ:AZ)</f>
        <v>0</v>
      </c>
      <c r="AZ109" s="143">
        <f>_xlfn.XLOOKUP($B109,'IS &amp; BS Projections'!$B:$B,'IS &amp; BS Projections'!BA:BA)</f>
        <v>0</v>
      </c>
      <c r="BA109" s="143">
        <f>_xlfn.XLOOKUP($B109,'IS &amp; BS Projections'!$B:$B,'IS &amp; BS Projections'!BB:BB)</f>
        <v>11878895.934419654</v>
      </c>
      <c r="BB109" s="143">
        <f>_xlfn.XLOOKUP($B109,'IS &amp; BS Projections'!$B:$B,'IS &amp; BS Projections'!BC:BC)</f>
        <v>15131472.495123994</v>
      </c>
      <c r="BC109" s="143">
        <f>_xlfn.XLOOKUP($B109,'IS &amp; BS Projections'!$B:$B,'IS &amp; BS Projections'!BD:BD)</f>
        <v>0</v>
      </c>
      <c r="BD109" s="139"/>
    </row>
    <row r="110" spans="2:56" x14ac:dyDescent="0.15">
      <c r="B110" s="1" t="s">
        <v>112</v>
      </c>
      <c r="D110" s="43" t="s">
        <v>33</v>
      </c>
      <c r="E110" s="50">
        <f t="shared" si="339"/>
        <v>0</v>
      </c>
      <c r="F110" s="50">
        <f t="shared" si="340"/>
        <v>75413188</v>
      </c>
      <c r="G110" s="50">
        <f t="shared" si="341"/>
        <v>0</v>
      </c>
      <c r="H110" s="50">
        <f t="shared" si="342"/>
        <v>0</v>
      </c>
      <c r="I110" s="50">
        <f t="shared" si="343"/>
        <v>0</v>
      </c>
      <c r="J110" s="50">
        <f t="shared" si="344"/>
        <v>0</v>
      </c>
      <c r="K110" s="50">
        <f t="shared" si="345"/>
        <v>0</v>
      </c>
      <c r="L110" s="50">
        <f t="shared" si="346"/>
        <v>0</v>
      </c>
      <c r="M110" s="50">
        <f t="shared" si="347"/>
        <v>0</v>
      </c>
      <c r="N110" s="50">
        <f t="shared" si="348"/>
        <v>0</v>
      </c>
      <c r="P110" s="51">
        <v>0</v>
      </c>
      <c r="Q110" s="51">
        <v>0</v>
      </c>
      <c r="R110" s="51">
        <v>0</v>
      </c>
      <c r="S110" s="51">
        <v>0</v>
      </c>
      <c r="T110" s="51">
        <v>0</v>
      </c>
      <c r="U110" s="51">
        <v>0</v>
      </c>
      <c r="V110" s="51">
        <v>0</v>
      </c>
      <c r="W110" s="51">
        <v>75413188</v>
      </c>
      <c r="X110" s="51">
        <v>0</v>
      </c>
      <c r="Y110" s="51">
        <v>0</v>
      </c>
      <c r="Z110" s="51">
        <v>114291909</v>
      </c>
      <c r="AA110" s="51">
        <v>0</v>
      </c>
      <c r="AB110" s="51">
        <v>329506477</v>
      </c>
      <c r="AC110" s="51">
        <v>269198067</v>
      </c>
      <c r="AD110" s="51">
        <v>272669307</v>
      </c>
      <c r="AE110" s="51">
        <v>0</v>
      </c>
      <c r="AF110" s="51">
        <v>0</v>
      </c>
      <c r="AG110" s="51">
        <v>0</v>
      </c>
      <c r="AH110" s="51">
        <v>0</v>
      </c>
      <c r="AI110" s="51">
        <v>0</v>
      </c>
      <c r="AJ110" s="143">
        <f>_xlfn.XLOOKUP($B110,'IS &amp; BS Projections'!$B:$B,'IS &amp; BS Projections'!AK:AK)</f>
        <v>0</v>
      </c>
      <c r="AK110" s="143">
        <f>_xlfn.XLOOKUP($B110,'IS &amp; BS Projections'!$B:$B,'IS &amp; BS Projections'!AL:AL)</f>
        <v>0</v>
      </c>
      <c r="AL110" s="143">
        <f>_xlfn.XLOOKUP($B110,'IS &amp; BS Projections'!$B:$B,'IS &amp; BS Projections'!AM:AM)</f>
        <v>0</v>
      </c>
      <c r="AM110" s="143">
        <f>_xlfn.XLOOKUP($B110,'IS &amp; BS Projections'!$B:$B,'IS &amp; BS Projections'!AN:AN)</f>
        <v>0</v>
      </c>
      <c r="AN110" s="143">
        <f>_xlfn.XLOOKUP($B110,'IS &amp; BS Projections'!$B:$B,'IS &amp; BS Projections'!AO:AO)</f>
        <v>0</v>
      </c>
      <c r="AO110" s="143">
        <f>_xlfn.XLOOKUP($B110,'IS &amp; BS Projections'!$B:$B,'IS &amp; BS Projections'!AP:AP)</f>
        <v>0</v>
      </c>
      <c r="AP110" s="143">
        <f>_xlfn.XLOOKUP($B110,'IS &amp; BS Projections'!$B:$B,'IS &amp; BS Projections'!AQ:AQ)</f>
        <v>0</v>
      </c>
      <c r="AQ110" s="143">
        <f>_xlfn.XLOOKUP($B110,'IS &amp; BS Projections'!$B:$B,'IS &amp; BS Projections'!AR:AR)</f>
        <v>0</v>
      </c>
      <c r="AR110" s="143">
        <f>_xlfn.XLOOKUP($B110,'IS &amp; BS Projections'!$B:$B,'IS &amp; BS Projections'!AS:AS)</f>
        <v>0</v>
      </c>
      <c r="AS110" s="143">
        <f>_xlfn.XLOOKUP($B110,'IS &amp; BS Projections'!$B:$B,'IS &amp; BS Projections'!AT:AT)</f>
        <v>0</v>
      </c>
      <c r="AT110" s="143">
        <f>_xlfn.XLOOKUP($B110,'IS &amp; BS Projections'!$B:$B,'IS &amp; BS Projections'!AU:AU)</f>
        <v>0</v>
      </c>
      <c r="AU110" s="143">
        <f>_xlfn.XLOOKUP($B110,'IS &amp; BS Projections'!$B:$B,'IS &amp; BS Projections'!AV:AV)</f>
        <v>0</v>
      </c>
      <c r="AV110" s="143">
        <f>_xlfn.XLOOKUP($B110,'IS &amp; BS Projections'!$B:$B,'IS &amp; BS Projections'!AW:AW)</f>
        <v>0</v>
      </c>
      <c r="AW110" s="143">
        <f>_xlfn.XLOOKUP($B110,'IS &amp; BS Projections'!$B:$B,'IS &amp; BS Projections'!AX:AX)</f>
        <v>0</v>
      </c>
      <c r="AX110" s="143">
        <f>_xlfn.XLOOKUP($B110,'IS &amp; BS Projections'!$B:$B,'IS &amp; BS Projections'!AY:AY)</f>
        <v>0</v>
      </c>
      <c r="AY110" s="143">
        <f>_xlfn.XLOOKUP($B110,'IS &amp; BS Projections'!$B:$B,'IS &amp; BS Projections'!AZ:AZ)</f>
        <v>0</v>
      </c>
      <c r="AZ110" s="143">
        <f>_xlfn.XLOOKUP($B110,'IS &amp; BS Projections'!$B:$B,'IS &amp; BS Projections'!BA:BA)</f>
        <v>0</v>
      </c>
      <c r="BA110" s="143">
        <f>_xlfn.XLOOKUP($B110,'IS &amp; BS Projections'!$B:$B,'IS &amp; BS Projections'!BB:BB)</f>
        <v>0</v>
      </c>
      <c r="BB110" s="143">
        <f>_xlfn.XLOOKUP($B110,'IS &amp; BS Projections'!$B:$B,'IS &amp; BS Projections'!BC:BC)</f>
        <v>0</v>
      </c>
      <c r="BC110" s="143">
        <f>_xlfn.XLOOKUP($B110,'IS &amp; BS Projections'!$B:$B,'IS &amp; BS Projections'!BD:BD)</f>
        <v>0</v>
      </c>
      <c r="BD110" s="139"/>
    </row>
    <row r="111" spans="2:56" x14ac:dyDescent="0.15">
      <c r="B111" s="1" t="s">
        <v>113</v>
      </c>
      <c r="D111" s="43" t="s">
        <v>33</v>
      </c>
      <c r="E111" s="50">
        <f t="shared" si="339"/>
        <v>0</v>
      </c>
      <c r="F111" s="50">
        <f t="shared" si="340"/>
        <v>0</v>
      </c>
      <c r="G111" s="50">
        <f t="shared" si="341"/>
        <v>0</v>
      </c>
      <c r="H111" s="50">
        <f t="shared" si="342"/>
        <v>0</v>
      </c>
      <c r="I111" s="50">
        <f t="shared" si="343"/>
        <v>5347428</v>
      </c>
      <c r="J111" s="50">
        <f t="shared" si="344"/>
        <v>0</v>
      </c>
      <c r="K111" s="50">
        <f t="shared" si="345"/>
        <v>0</v>
      </c>
      <c r="L111" s="50">
        <f t="shared" si="346"/>
        <v>0</v>
      </c>
      <c r="M111" s="50">
        <f t="shared" si="347"/>
        <v>0</v>
      </c>
      <c r="N111" s="50">
        <f t="shared" si="348"/>
        <v>0</v>
      </c>
      <c r="P111" s="51">
        <v>0</v>
      </c>
      <c r="Q111" s="51">
        <v>0</v>
      </c>
      <c r="R111" s="51">
        <v>0</v>
      </c>
      <c r="S111" s="51">
        <v>0</v>
      </c>
      <c r="T111" s="51">
        <v>0</v>
      </c>
      <c r="U111" s="51">
        <v>0</v>
      </c>
      <c r="V111" s="51">
        <v>0</v>
      </c>
      <c r="W111" s="51">
        <v>0</v>
      </c>
      <c r="X111" s="51">
        <v>0</v>
      </c>
      <c r="Y111" s="51">
        <v>0</v>
      </c>
      <c r="Z111" s="51">
        <v>0</v>
      </c>
      <c r="AA111" s="51">
        <v>0</v>
      </c>
      <c r="AB111" s="51">
        <v>0</v>
      </c>
      <c r="AC111" s="51">
        <v>0</v>
      </c>
      <c r="AD111" s="51">
        <v>0</v>
      </c>
      <c r="AE111" s="51">
        <v>0</v>
      </c>
      <c r="AF111" s="51">
        <v>5369865</v>
      </c>
      <c r="AG111" s="51">
        <v>0</v>
      </c>
      <c r="AH111" s="51">
        <v>0</v>
      </c>
      <c r="AI111" s="51">
        <v>5347428</v>
      </c>
      <c r="AJ111" s="143">
        <f>_xlfn.XLOOKUP($B111,'IS &amp; BS Projections'!$B:$B,'IS &amp; BS Projections'!AK:AK)</f>
        <v>0</v>
      </c>
      <c r="AK111" s="143">
        <f>_xlfn.XLOOKUP($B111,'IS &amp; BS Projections'!$B:$B,'IS &amp; BS Projections'!AL:AL)</f>
        <v>0</v>
      </c>
      <c r="AL111" s="143">
        <f>_xlfn.XLOOKUP($B111,'IS &amp; BS Projections'!$B:$B,'IS &amp; BS Projections'!AM:AM)</f>
        <v>0</v>
      </c>
      <c r="AM111" s="143">
        <f>_xlfn.XLOOKUP($B111,'IS &amp; BS Projections'!$B:$B,'IS &amp; BS Projections'!AN:AN)</f>
        <v>0</v>
      </c>
      <c r="AN111" s="143">
        <f>_xlfn.XLOOKUP($B111,'IS &amp; BS Projections'!$B:$B,'IS &amp; BS Projections'!AO:AO)</f>
        <v>0</v>
      </c>
      <c r="AO111" s="143">
        <f>_xlfn.XLOOKUP($B111,'IS &amp; BS Projections'!$B:$B,'IS &amp; BS Projections'!AP:AP)</f>
        <v>0</v>
      </c>
      <c r="AP111" s="143">
        <f>_xlfn.XLOOKUP($B111,'IS &amp; BS Projections'!$B:$B,'IS &amp; BS Projections'!AQ:AQ)</f>
        <v>0</v>
      </c>
      <c r="AQ111" s="143">
        <f>_xlfn.XLOOKUP($B111,'IS &amp; BS Projections'!$B:$B,'IS &amp; BS Projections'!AR:AR)</f>
        <v>0</v>
      </c>
      <c r="AR111" s="143">
        <f>_xlfn.XLOOKUP($B111,'IS &amp; BS Projections'!$B:$B,'IS &amp; BS Projections'!AS:AS)</f>
        <v>0</v>
      </c>
      <c r="AS111" s="143">
        <f>_xlfn.XLOOKUP($B111,'IS &amp; BS Projections'!$B:$B,'IS &amp; BS Projections'!AT:AT)</f>
        <v>0</v>
      </c>
      <c r="AT111" s="143">
        <f>_xlfn.XLOOKUP($B111,'IS &amp; BS Projections'!$B:$B,'IS &amp; BS Projections'!AU:AU)</f>
        <v>0</v>
      </c>
      <c r="AU111" s="143">
        <f>_xlfn.XLOOKUP($B111,'IS &amp; BS Projections'!$B:$B,'IS &amp; BS Projections'!AV:AV)</f>
        <v>0</v>
      </c>
      <c r="AV111" s="143">
        <f>_xlfn.XLOOKUP($B111,'IS &amp; BS Projections'!$B:$B,'IS &amp; BS Projections'!AW:AW)</f>
        <v>0</v>
      </c>
      <c r="AW111" s="143">
        <f>_xlfn.XLOOKUP($B111,'IS &amp; BS Projections'!$B:$B,'IS &amp; BS Projections'!AX:AX)</f>
        <v>0</v>
      </c>
      <c r="AX111" s="143">
        <f>_xlfn.XLOOKUP($B111,'IS &amp; BS Projections'!$B:$B,'IS &amp; BS Projections'!AY:AY)</f>
        <v>0</v>
      </c>
      <c r="AY111" s="143">
        <f>_xlfn.XLOOKUP($B111,'IS &amp; BS Projections'!$B:$B,'IS &amp; BS Projections'!AZ:AZ)</f>
        <v>0</v>
      </c>
      <c r="AZ111" s="143">
        <f>_xlfn.XLOOKUP($B111,'IS &amp; BS Projections'!$B:$B,'IS &amp; BS Projections'!BA:BA)</f>
        <v>0</v>
      </c>
      <c r="BA111" s="143">
        <f>_xlfn.XLOOKUP($B111,'IS &amp; BS Projections'!$B:$B,'IS &amp; BS Projections'!BB:BB)</f>
        <v>0</v>
      </c>
      <c r="BB111" s="143">
        <f>_xlfn.XLOOKUP($B111,'IS &amp; BS Projections'!$B:$B,'IS &amp; BS Projections'!BC:BC)</f>
        <v>0</v>
      </c>
      <c r="BC111" s="143">
        <f>_xlfn.XLOOKUP($B111,'IS &amp; BS Projections'!$B:$B,'IS &amp; BS Projections'!BD:BD)</f>
        <v>0</v>
      </c>
      <c r="BD111" s="139"/>
    </row>
    <row r="112" spans="2:56" x14ac:dyDescent="0.15">
      <c r="B112" s="67" t="s">
        <v>114</v>
      </c>
      <c r="C112" s="67"/>
      <c r="D112" s="68" t="s">
        <v>33</v>
      </c>
      <c r="E112" s="69">
        <f>SUM(E98:E111)</f>
        <v>11419035</v>
      </c>
      <c r="F112" s="69">
        <f t="shared" ref="F112:N112" si="349">SUM(F98:F111)</f>
        <v>80815293</v>
      </c>
      <c r="G112" s="69">
        <f t="shared" si="349"/>
        <v>5485079</v>
      </c>
      <c r="H112" s="69">
        <f t="shared" si="349"/>
        <v>7941320</v>
      </c>
      <c r="I112" s="69">
        <f t="shared" si="349"/>
        <v>8701282</v>
      </c>
      <c r="J112" s="69">
        <f t="shared" si="349"/>
        <v>8762498.8602435738</v>
      </c>
      <c r="K112" s="69">
        <f t="shared" si="349"/>
        <v>9895487.3737235349</v>
      </c>
      <c r="L112" s="69">
        <f t="shared" si="349"/>
        <v>12077067.420660254</v>
      </c>
      <c r="M112" s="69">
        <f t="shared" si="349"/>
        <v>14437775.37923589</v>
      </c>
      <c r="N112" s="69">
        <f t="shared" si="349"/>
        <v>15932416.240114238</v>
      </c>
      <c r="O112" s="52"/>
      <c r="P112" s="69">
        <f t="shared" ref="P112" si="350">SUM(P98:P111)</f>
        <v>7256148</v>
      </c>
      <c r="Q112" s="69">
        <f t="shared" ref="Q112" si="351">SUM(Q98:Q111)</f>
        <v>9677564</v>
      </c>
      <c r="R112" s="69">
        <f t="shared" ref="R112" si="352">SUM(R98:R111)</f>
        <v>9615159</v>
      </c>
      <c r="S112" s="69">
        <f t="shared" ref="S112" si="353">SUM(S98:S111)</f>
        <v>11419035</v>
      </c>
      <c r="T112" s="69">
        <f t="shared" ref="T112" si="354">SUM(T98:T111)</f>
        <v>10921823</v>
      </c>
      <c r="U112" s="69">
        <f t="shared" ref="U112" si="355">SUM(U98:U111)</f>
        <v>96194296</v>
      </c>
      <c r="V112" s="69">
        <f t="shared" ref="V112" si="356">SUM(V98:V111)</f>
        <v>102073099</v>
      </c>
      <c r="W112" s="69">
        <f t="shared" ref="W112" si="357">SUM(W98:W111)</f>
        <v>80815293</v>
      </c>
      <c r="X112" s="69">
        <f t="shared" ref="X112" si="358">SUM(X98:X111)</f>
        <v>130202823</v>
      </c>
      <c r="Y112" s="69">
        <f t="shared" ref="Y112" si="359">SUM(Y98:Y111)</f>
        <v>128538752</v>
      </c>
      <c r="Z112" s="69">
        <f t="shared" ref="Z112" si="360">SUM(Z98:Z111)</f>
        <v>118298786</v>
      </c>
      <c r="AA112" s="69">
        <f t="shared" ref="AA112" si="361">SUM(AA98:AA111)</f>
        <v>5485079</v>
      </c>
      <c r="AB112" s="69">
        <f t="shared" ref="AB112" si="362">SUM(AB98:AB111)</f>
        <v>335734599</v>
      </c>
      <c r="AC112" s="69">
        <f t="shared" ref="AC112" si="363">SUM(AC98:AC111)</f>
        <v>274353719</v>
      </c>
      <c r="AD112" s="69">
        <f t="shared" ref="AD112" si="364">SUM(AD98:AD111)</f>
        <v>277588438</v>
      </c>
      <c r="AE112" s="69">
        <f t="shared" ref="AE112" si="365">SUM(AE98:AE111)</f>
        <v>7941320</v>
      </c>
      <c r="AF112" s="69">
        <f t="shared" ref="AF112" si="366">SUM(AF98:AF111)</f>
        <v>6933369</v>
      </c>
      <c r="AG112" s="69">
        <f t="shared" ref="AG112" si="367">SUM(AG98:AG111)</f>
        <v>8230782</v>
      </c>
      <c r="AH112" s="69">
        <f t="shared" ref="AH112" si="368">SUM(AH98:AH111)</f>
        <v>9189354</v>
      </c>
      <c r="AI112" s="69">
        <f t="shared" ref="AI112" si="369">SUM(AI98:AI111)</f>
        <v>8701282</v>
      </c>
      <c r="AJ112" s="69">
        <f t="shared" ref="AJ112" si="370">SUM(AJ98:AJ111)</f>
        <v>1042021.5675903108</v>
      </c>
      <c r="AK112" s="69">
        <f t="shared" ref="AK112" si="371">SUM(AK98:AK111)</f>
        <v>8360684.8937973287</v>
      </c>
      <c r="AL112" s="69">
        <f t="shared" ref="AL112" si="372">SUM(AL98:AL111)</f>
        <v>9573781.5638857409</v>
      </c>
      <c r="AM112" s="69">
        <f t="shared" ref="AM112" si="373">SUM(AM98:AM111)</f>
        <v>8762498.8602435738</v>
      </c>
      <c r="AN112" s="69">
        <f t="shared" ref="AN112" si="374">SUM(AN98:AN111)</f>
        <v>1087421.7074342594</v>
      </c>
      <c r="AO112" s="69">
        <f t="shared" ref="AO112" si="375">SUM(AO98:AO111)</f>
        <v>8063508.0316508785</v>
      </c>
      <c r="AP112" s="69">
        <f t="shared" ref="AP112" si="376">SUM(AP98:AP111)</f>
        <v>11047698.151911322</v>
      </c>
      <c r="AQ112" s="69">
        <f t="shared" ref="AQ112" si="377">SUM(AQ98:AQ111)</f>
        <v>9895487.3737235349</v>
      </c>
      <c r="AR112" s="69">
        <f t="shared" ref="AR112" si="378">SUM(AR98:AR111)</f>
        <v>1183727.3953832777</v>
      </c>
      <c r="AS112" s="69">
        <f t="shared" ref="AS112" si="379">SUM(AS98:AS111)</f>
        <v>9227262.747872293</v>
      </c>
      <c r="AT112" s="69">
        <f t="shared" ref="AT112" si="380">SUM(AT98:AT111)</f>
        <v>12449361.993050082</v>
      </c>
      <c r="AU112" s="69">
        <f t="shared" ref="AU112" si="381">SUM(AU98:AU111)</f>
        <v>12077067.420660254</v>
      </c>
      <c r="AV112" s="69">
        <f t="shared" ref="AV112" si="382">SUM(AV98:AV111)</f>
        <v>1306981.6036181042</v>
      </c>
      <c r="AW112" s="69">
        <f t="shared" ref="AW112" si="383">SUM(AW98:AW111)</f>
        <v>10974137.084859233</v>
      </c>
      <c r="AX112" s="69">
        <f t="shared" ref="AX112" si="384">SUM(AX98:AX111)</f>
        <v>14627760.690824457</v>
      </c>
      <c r="AY112" s="69">
        <f t="shared" ref="AY112" si="385">SUM(AY98:AY111)</f>
        <v>14437775.37923589</v>
      </c>
      <c r="AZ112" s="69">
        <f t="shared" ref="AZ112" si="386">SUM(AZ98:AZ111)</f>
        <v>1501637.9037609308</v>
      </c>
      <c r="BA112" s="69">
        <f t="shared" ref="BA112" si="387">SUM(BA98:BA111)</f>
        <v>15065152.000527568</v>
      </c>
      <c r="BB112" s="69">
        <f t="shared" ref="BB112" si="388">SUM(BB98:BB111)</f>
        <v>18227350.164442725</v>
      </c>
      <c r="BC112" s="69">
        <f t="shared" ref="BC112" si="389">SUM(BC98:BC111)</f>
        <v>15932416.240114238</v>
      </c>
    </row>
    <row r="114" spans="2:56" x14ac:dyDescent="0.15">
      <c r="B114" s="75" t="s">
        <v>115</v>
      </c>
    </row>
    <row r="115" spans="2:56" x14ac:dyDescent="0.15">
      <c r="B115" s="1" t="s">
        <v>116</v>
      </c>
      <c r="D115" s="43" t="s">
        <v>33</v>
      </c>
      <c r="E115" s="50">
        <f t="shared" ref="E115" si="390">S115</f>
        <v>3384795</v>
      </c>
      <c r="F115" s="50">
        <f t="shared" ref="F115" si="391">W115</f>
        <v>3393448</v>
      </c>
      <c r="G115" s="50">
        <f t="shared" ref="G115" si="392">AA115</f>
        <v>2979957</v>
      </c>
      <c r="H115" s="50">
        <f t="shared" ref="H115" si="393">AE115</f>
        <v>4234081</v>
      </c>
      <c r="I115" s="50">
        <f t="shared" ref="I115" si="394">AI115</f>
        <v>5937034</v>
      </c>
      <c r="J115" s="50">
        <f t="shared" ref="J115" si="395">AM115</f>
        <v>5933606</v>
      </c>
      <c r="K115" s="50">
        <f t="shared" ref="K115" si="396">AQ115</f>
        <v>5933606</v>
      </c>
      <c r="L115" s="50">
        <f t="shared" ref="L115" si="397">AU115</f>
        <v>3933606</v>
      </c>
      <c r="M115" s="50">
        <f t="shared" ref="M115" si="398">AY115</f>
        <v>1933606</v>
      </c>
      <c r="N115" s="50">
        <f t="shared" ref="N115" si="399">BC115</f>
        <v>2168606</v>
      </c>
      <c r="P115" s="51">
        <v>0</v>
      </c>
      <c r="Q115" s="51">
        <v>0</v>
      </c>
      <c r="R115" s="51">
        <v>3382185</v>
      </c>
      <c r="S115" s="51">
        <v>3384795</v>
      </c>
      <c r="T115" s="51">
        <v>3386865</v>
      </c>
      <c r="U115" s="51">
        <v>3389033</v>
      </c>
      <c r="V115" s="51">
        <v>3391237</v>
      </c>
      <c r="W115" s="51">
        <v>3393448</v>
      </c>
      <c r="X115" s="51">
        <v>3395613</v>
      </c>
      <c r="Y115" s="51">
        <v>3334257</v>
      </c>
      <c r="Z115" s="51">
        <v>3076599</v>
      </c>
      <c r="AA115" s="51">
        <v>2979957</v>
      </c>
      <c r="AB115" s="51">
        <v>4225014</v>
      </c>
      <c r="AC115" s="51">
        <v>4228019</v>
      </c>
      <c r="AD115" s="51">
        <v>4231047</v>
      </c>
      <c r="AE115" s="51">
        <v>4234081</v>
      </c>
      <c r="AF115" s="51">
        <v>4237090</v>
      </c>
      <c r="AG115" s="51">
        <v>2973545</v>
      </c>
      <c r="AH115" s="51">
        <v>5933447</v>
      </c>
      <c r="AI115" s="51">
        <v>5937034</v>
      </c>
      <c r="AJ115" s="143">
        <f>'D&amp;E Schedule'!AC11</f>
        <v>7206619</v>
      </c>
      <c r="AK115" s="143">
        <f>'D&amp;E Schedule'!AD11</f>
        <v>4660593</v>
      </c>
      <c r="AL115" s="143">
        <f>'D&amp;E Schedule'!AE11</f>
        <v>5933606</v>
      </c>
      <c r="AM115" s="143">
        <f>'D&amp;E Schedule'!AF11</f>
        <v>5933606</v>
      </c>
      <c r="AN115" s="143">
        <f>'D&amp;E Schedule'!AG11</f>
        <v>5933606</v>
      </c>
      <c r="AO115" s="143">
        <f>'D&amp;E Schedule'!AH11</f>
        <v>5933606</v>
      </c>
      <c r="AP115" s="143">
        <f>'D&amp;E Schedule'!AI11</f>
        <v>5933606</v>
      </c>
      <c r="AQ115" s="143">
        <f>'D&amp;E Schedule'!AJ11</f>
        <v>5933606</v>
      </c>
      <c r="AR115" s="143">
        <f>'D&amp;E Schedule'!AK11</f>
        <v>5933606</v>
      </c>
      <c r="AS115" s="143">
        <f>'D&amp;E Schedule'!AL11</f>
        <v>5933606</v>
      </c>
      <c r="AT115" s="143">
        <f>'D&amp;E Schedule'!AM11</f>
        <v>5933606</v>
      </c>
      <c r="AU115" s="143">
        <f>'D&amp;E Schedule'!AN11</f>
        <v>3933606</v>
      </c>
      <c r="AV115" s="143">
        <f>'D&amp;E Schedule'!AO11</f>
        <v>4933606</v>
      </c>
      <c r="AW115" s="143">
        <f>'D&amp;E Schedule'!AP11</f>
        <v>4933606</v>
      </c>
      <c r="AX115" s="143">
        <f>'D&amp;E Schedule'!AQ11</f>
        <v>4933606</v>
      </c>
      <c r="AY115" s="143">
        <f>'D&amp;E Schedule'!AR11</f>
        <v>1933606</v>
      </c>
      <c r="AZ115" s="143">
        <f>'D&amp;E Schedule'!AS11</f>
        <v>3433606</v>
      </c>
      <c r="BA115" s="143">
        <f>'D&amp;E Schedule'!AT11</f>
        <v>903606</v>
      </c>
      <c r="BB115" s="143">
        <f>'D&amp;E Schedule'!AU11</f>
        <v>2168606</v>
      </c>
      <c r="BC115" s="143">
        <f>'D&amp;E Schedule'!AV11</f>
        <v>2168606</v>
      </c>
      <c r="BD115" s="139"/>
    </row>
    <row r="116" spans="2:56" x14ac:dyDescent="0.15">
      <c r="B116" s="1" t="s">
        <v>117</v>
      </c>
      <c r="D116" s="43" t="s">
        <v>33</v>
      </c>
      <c r="E116" s="50">
        <f t="shared" ref="E116:E119" si="400">S116</f>
        <v>0</v>
      </c>
      <c r="F116" s="50">
        <f t="shared" ref="F116:F119" si="401">W116</f>
        <v>0</v>
      </c>
      <c r="G116" s="50">
        <f t="shared" ref="G116:G119" si="402">AA116</f>
        <v>0</v>
      </c>
      <c r="H116" s="50">
        <f t="shared" ref="H116:H119" si="403">AE116</f>
        <v>0</v>
      </c>
      <c r="I116" s="50">
        <f t="shared" ref="I116:I119" si="404">AI116</f>
        <v>0</v>
      </c>
      <c r="J116" s="50">
        <f t="shared" ref="J116:J119" si="405">AM116</f>
        <v>0</v>
      </c>
      <c r="K116" s="50">
        <f t="shared" ref="K116:K119" si="406">AQ116</f>
        <v>0</v>
      </c>
      <c r="L116" s="50">
        <f t="shared" ref="L116:L119" si="407">AU116</f>
        <v>0</v>
      </c>
      <c r="M116" s="50">
        <f t="shared" ref="M116:M119" si="408">AY116</f>
        <v>0</v>
      </c>
      <c r="N116" s="50">
        <f t="shared" ref="N116:N119" si="409">BC116</f>
        <v>0</v>
      </c>
      <c r="P116" s="51">
        <v>0</v>
      </c>
      <c r="Q116" s="51">
        <v>1406927</v>
      </c>
      <c r="R116" s="51">
        <v>0</v>
      </c>
      <c r="S116" s="51">
        <v>0</v>
      </c>
      <c r="T116" s="51">
        <v>0</v>
      </c>
      <c r="U116" s="51">
        <v>0</v>
      </c>
      <c r="V116" s="51">
        <v>0</v>
      </c>
      <c r="W116" s="51">
        <v>0</v>
      </c>
      <c r="X116" s="51">
        <v>0</v>
      </c>
      <c r="Y116" s="51">
        <v>0</v>
      </c>
      <c r="Z116" s="51">
        <v>0</v>
      </c>
      <c r="AA116" s="51">
        <v>0</v>
      </c>
      <c r="AB116" s="51">
        <v>0</v>
      </c>
      <c r="AC116" s="51">
        <v>0</v>
      </c>
      <c r="AD116" s="51">
        <v>0</v>
      </c>
      <c r="AE116" s="51">
        <v>0</v>
      </c>
      <c r="AF116" s="51">
        <v>0</v>
      </c>
      <c r="AG116" s="51">
        <v>0</v>
      </c>
      <c r="AH116" s="51">
        <v>0</v>
      </c>
      <c r="AI116" s="51">
        <v>0</v>
      </c>
      <c r="AJ116" s="143">
        <f>_xlfn.XLOOKUP($B116,'IS &amp; BS Projections'!$B:$B,'IS &amp; BS Projections'!AK:AK)</f>
        <v>0</v>
      </c>
      <c r="AK116" s="143">
        <f>_xlfn.XLOOKUP($B116,'IS &amp; BS Projections'!$B:$B,'IS &amp; BS Projections'!AL:AL)</f>
        <v>0</v>
      </c>
      <c r="AL116" s="143">
        <f>_xlfn.XLOOKUP($B116,'IS &amp; BS Projections'!$B:$B,'IS &amp; BS Projections'!AM:AM)</f>
        <v>0</v>
      </c>
      <c r="AM116" s="143">
        <f>_xlfn.XLOOKUP($B116,'IS &amp; BS Projections'!$B:$B,'IS &amp; BS Projections'!AN:AN)</f>
        <v>0</v>
      </c>
      <c r="AN116" s="143">
        <f>_xlfn.XLOOKUP($B116,'IS &amp; BS Projections'!$B:$B,'IS &amp; BS Projections'!AO:AO)</f>
        <v>0</v>
      </c>
      <c r="AO116" s="143">
        <f>_xlfn.XLOOKUP($B116,'IS &amp; BS Projections'!$B:$B,'IS &amp; BS Projections'!AP:AP)</f>
        <v>0</v>
      </c>
      <c r="AP116" s="143">
        <f>_xlfn.XLOOKUP($B116,'IS &amp; BS Projections'!$B:$B,'IS &amp; BS Projections'!AQ:AQ)</f>
        <v>0</v>
      </c>
      <c r="AQ116" s="143">
        <f>_xlfn.XLOOKUP($B116,'IS &amp; BS Projections'!$B:$B,'IS &amp; BS Projections'!AR:AR)</f>
        <v>0</v>
      </c>
      <c r="AR116" s="143">
        <f>_xlfn.XLOOKUP($B116,'IS &amp; BS Projections'!$B:$B,'IS &amp; BS Projections'!AS:AS)</f>
        <v>0</v>
      </c>
      <c r="AS116" s="143">
        <f>_xlfn.XLOOKUP($B116,'IS &amp; BS Projections'!$B:$B,'IS &amp; BS Projections'!AT:AT)</f>
        <v>0</v>
      </c>
      <c r="AT116" s="143">
        <f>_xlfn.XLOOKUP($B116,'IS &amp; BS Projections'!$B:$B,'IS &amp; BS Projections'!AU:AU)</f>
        <v>0</v>
      </c>
      <c r="AU116" s="143">
        <f>_xlfn.XLOOKUP($B116,'IS &amp; BS Projections'!$B:$B,'IS &amp; BS Projections'!AV:AV)</f>
        <v>0</v>
      </c>
      <c r="AV116" s="143">
        <f>_xlfn.XLOOKUP($B116,'IS &amp; BS Projections'!$B:$B,'IS &amp; BS Projections'!AW:AW)</f>
        <v>0</v>
      </c>
      <c r="AW116" s="143">
        <f>_xlfn.XLOOKUP($B116,'IS &amp; BS Projections'!$B:$B,'IS &amp; BS Projections'!AX:AX)</f>
        <v>0</v>
      </c>
      <c r="AX116" s="143">
        <f>_xlfn.XLOOKUP($B116,'IS &amp; BS Projections'!$B:$B,'IS &amp; BS Projections'!AY:AY)</f>
        <v>0</v>
      </c>
      <c r="AY116" s="143">
        <f>_xlfn.XLOOKUP($B116,'IS &amp; BS Projections'!$B:$B,'IS &amp; BS Projections'!AZ:AZ)</f>
        <v>0</v>
      </c>
      <c r="AZ116" s="143">
        <f>_xlfn.XLOOKUP($B116,'IS &amp; BS Projections'!$B:$B,'IS &amp; BS Projections'!BA:BA)</f>
        <v>0</v>
      </c>
      <c r="BA116" s="143">
        <f>_xlfn.XLOOKUP($B116,'IS &amp; BS Projections'!$B:$B,'IS &amp; BS Projections'!BB:BB)</f>
        <v>0</v>
      </c>
      <c r="BB116" s="143">
        <f>_xlfn.XLOOKUP($B116,'IS &amp; BS Projections'!$B:$B,'IS &amp; BS Projections'!BC:BC)</f>
        <v>0</v>
      </c>
      <c r="BC116" s="143">
        <f>_xlfn.XLOOKUP($B116,'IS &amp; BS Projections'!$B:$B,'IS &amp; BS Projections'!BD:BD)</f>
        <v>0</v>
      </c>
      <c r="BD116" s="139"/>
    </row>
    <row r="117" spans="2:56" x14ac:dyDescent="0.15">
      <c r="B117" s="1" t="s">
        <v>118</v>
      </c>
      <c r="D117" s="43" t="s">
        <v>33</v>
      </c>
      <c r="E117" s="50">
        <f t="shared" si="400"/>
        <v>74078</v>
      </c>
      <c r="F117" s="50">
        <f t="shared" si="401"/>
        <v>42044</v>
      </c>
      <c r="G117" s="50">
        <f t="shared" si="402"/>
        <v>0</v>
      </c>
      <c r="H117" s="50">
        <f t="shared" si="403"/>
        <v>0</v>
      </c>
      <c r="I117" s="50">
        <f t="shared" si="404"/>
        <v>0</v>
      </c>
      <c r="J117" s="50">
        <f t="shared" si="405"/>
        <v>0</v>
      </c>
      <c r="K117" s="50">
        <f t="shared" si="406"/>
        <v>0</v>
      </c>
      <c r="L117" s="50">
        <f t="shared" si="407"/>
        <v>0</v>
      </c>
      <c r="M117" s="50">
        <f t="shared" si="408"/>
        <v>0</v>
      </c>
      <c r="N117" s="50">
        <f t="shared" si="409"/>
        <v>0</v>
      </c>
      <c r="P117" s="51">
        <v>88519</v>
      </c>
      <c r="Q117" s="51">
        <v>82292</v>
      </c>
      <c r="R117" s="51">
        <v>81602</v>
      </c>
      <c r="S117" s="51">
        <v>74078</v>
      </c>
      <c r="T117" s="51">
        <v>66425</v>
      </c>
      <c r="U117" s="51">
        <v>59317</v>
      </c>
      <c r="V117" s="51">
        <v>50167</v>
      </c>
      <c r="W117" s="51">
        <v>42044</v>
      </c>
      <c r="X117" s="51">
        <v>11289</v>
      </c>
      <c r="Y117" s="51">
        <v>8611</v>
      </c>
      <c r="Z117" s="51">
        <v>5690</v>
      </c>
      <c r="AA117" s="51">
        <v>0</v>
      </c>
      <c r="AB117" s="51">
        <v>0</v>
      </c>
      <c r="AC117" s="51">
        <v>0</v>
      </c>
      <c r="AD117" s="51">
        <v>0</v>
      </c>
      <c r="AE117" s="51">
        <v>0</v>
      </c>
      <c r="AF117" s="51">
        <v>0</v>
      </c>
      <c r="AG117" s="51">
        <v>0</v>
      </c>
      <c r="AH117" s="51">
        <v>0</v>
      </c>
      <c r="AI117" s="51">
        <v>0</v>
      </c>
      <c r="AJ117" s="143">
        <f>_xlfn.XLOOKUP($B117,'IS &amp; BS Projections'!$B:$B,'IS &amp; BS Projections'!AK:AK)</f>
        <v>27231.818206000382</v>
      </c>
      <c r="AK117" s="143">
        <f>_xlfn.XLOOKUP($B117,'IS &amp; BS Projections'!$B:$B,'IS &amp; BS Projections'!AL:AL)</f>
        <v>21694.209578109101</v>
      </c>
      <c r="AL117" s="143">
        <f>_xlfn.XLOOKUP($B117,'IS &amp; BS Projections'!$B:$B,'IS &amp; BS Projections'!AM:AM)</f>
        <v>20035.786918261627</v>
      </c>
      <c r="AM117" s="143">
        <f>_xlfn.XLOOKUP($B117,'IS &amp; BS Projections'!$B:$B,'IS &amp; BS Projections'!AN:AN)</f>
        <v>0</v>
      </c>
      <c r="AN117" s="143">
        <f>_xlfn.XLOOKUP($B117,'IS &amp; BS Projections'!$B:$B,'IS &amp; BS Projections'!AO:AO)</f>
        <v>28418.289190105279</v>
      </c>
      <c r="AO117" s="143">
        <f>_xlfn.XLOOKUP($B117,'IS &amp; BS Projections'!$B:$B,'IS &amp; BS Projections'!AP:AP)</f>
        <v>24681.085100241282</v>
      </c>
      <c r="AP117" s="143">
        <f>_xlfn.XLOOKUP($B117,'IS &amp; BS Projections'!$B:$B,'IS &amp; BS Projections'!AQ:AQ)</f>
        <v>23120.365200720989</v>
      </c>
      <c r="AQ117" s="143">
        <f>_xlfn.XLOOKUP($B117,'IS &amp; BS Projections'!$B:$B,'IS &amp; BS Projections'!AR:AR)</f>
        <v>0</v>
      </c>
      <c r="AR117" s="143">
        <f>_xlfn.XLOOKUP($B117,'IS &amp; BS Projections'!$B:$B,'IS &amp; BS Projections'!AS:AS)</f>
        <v>30935.107524773935</v>
      </c>
      <c r="AS117" s="143">
        <f>_xlfn.XLOOKUP($B117,'IS &amp; BS Projections'!$B:$B,'IS &amp; BS Projections'!AT:AT)</f>
        <v>28243.148791890799</v>
      </c>
      <c r="AT117" s="143">
        <f>_xlfn.XLOOKUP($B117,'IS &amp; BS Projections'!$B:$B,'IS &amp; BS Projections'!AU:AU)</f>
        <v>26053.73461850933</v>
      </c>
      <c r="AU117" s="143">
        <f>_xlfn.XLOOKUP($B117,'IS &amp; BS Projections'!$B:$B,'IS &amp; BS Projections'!AV:AV)</f>
        <v>0</v>
      </c>
      <c r="AV117" s="143">
        <f>_xlfn.XLOOKUP($B117,'IS &amp; BS Projections'!$B:$B,'IS &amp; BS Projections'!AW:AW)</f>
        <v>34156.188830736835</v>
      </c>
      <c r="AW117" s="143">
        <f>_xlfn.XLOOKUP($B117,'IS &amp; BS Projections'!$B:$B,'IS &amp; BS Projections'!AX:AX)</f>
        <v>33590.046693073295</v>
      </c>
      <c r="AX117" s="143">
        <f>_xlfn.XLOOKUP($B117,'IS &amp; BS Projections'!$B:$B,'IS &amp; BS Projections'!AY:AY)</f>
        <v>30612.636640701621</v>
      </c>
      <c r="AY117" s="143">
        <f>_xlfn.XLOOKUP($B117,'IS &amp; BS Projections'!$B:$B,'IS &amp; BS Projections'!AZ:AZ)</f>
        <v>0</v>
      </c>
      <c r="AZ117" s="143">
        <f>_xlfn.XLOOKUP($B117,'IS &amp; BS Projections'!$B:$B,'IS &amp; BS Projections'!BA:BA)</f>
        <v>39243.26681742417</v>
      </c>
      <c r="BA117" s="143">
        <f>_xlfn.XLOOKUP($B117,'IS &amp; BS Projections'!$B:$B,'IS &amp; BS Projections'!BB:BB)</f>
        <v>42240.018188653397</v>
      </c>
      <c r="BB117" s="143">
        <f>_xlfn.XLOOKUP($B117,'IS &amp; BS Projections'!$B:$B,'IS &amp; BS Projections'!BC:BC)</f>
        <v>38145.773594513783</v>
      </c>
      <c r="BC117" s="143">
        <f>_xlfn.XLOOKUP($B117,'IS &amp; BS Projections'!$B:$B,'IS &amp; BS Projections'!BD:BD)</f>
        <v>0</v>
      </c>
      <c r="BD117" s="139"/>
    </row>
    <row r="118" spans="2:56" x14ac:dyDescent="0.15">
      <c r="B118" s="1" t="s">
        <v>119</v>
      </c>
      <c r="D118" s="43" t="s">
        <v>33</v>
      </c>
      <c r="E118" s="50">
        <f t="shared" si="400"/>
        <v>0</v>
      </c>
      <c r="F118" s="50">
        <f t="shared" si="401"/>
        <v>0</v>
      </c>
      <c r="G118" s="50">
        <f t="shared" si="402"/>
        <v>0</v>
      </c>
      <c r="H118" s="50">
        <f t="shared" si="403"/>
        <v>0</v>
      </c>
      <c r="I118" s="50">
        <f t="shared" si="404"/>
        <v>0</v>
      </c>
      <c r="J118" s="50">
        <f t="shared" si="405"/>
        <v>0</v>
      </c>
      <c r="K118" s="50">
        <f t="shared" si="406"/>
        <v>0</v>
      </c>
      <c r="L118" s="50">
        <f t="shared" si="407"/>
        <v>0</v>
      </c>
      <c r="M118" s="50">
        <f t="shared" si="408"/>
        <v>0</v>
      </c>
      <c r="N118" s="50">
        <f t="shared" si="409"/>
        <v>0</v>
      </c>
      <c r="P118" s="51">
        <v>552037</v>
      </c>
      <c r="Q118" s="51">
        <v>0</v>
      </c>
      <c r="R118" s="51">
        <v>0</v>
      </c>
      <c r="S118" s="51">
        <v>0</v>
      </c>
      <c r="T118" s="51">
        <v>0</v>
      </c>
      <c r="U118" s="51">
        <v>0</v>
      </c>
      <c r="V118" s="51">
        <v>0</v>
      </c>
      <c r="W118" s="51">
        <v>0</v>
      </c>
      <c r="X118" s="51">
        <v>0</v>
      </c>
      <c r="Y118" s="51">
        <v>0</v>
      </c>
      <c r="Z118" s="51">
        <v>0</v>
      </c>
      <c r="AA118" s="51">
        <v>0</v>
      </c>
      <c r="AB118" s="51">
        <v>0</v>
      </c>
      <c r="AC118" s="51">
        <v>0</v>
      </c>
      <c r="AD118" s="51">
        <v>0</v>
      </c>
      <c r="AE118" s="51">
        <v>0</v>
      </c>
      <c r="AF118" s="51">
        <v>0</v>
      </c>
      <c r="AG118" s="51">
        <v>0</v>
      </c>
      <c r="AH118" s="51">
        <v>0</v>
      </c>
      <c r="AI118" s="51">
        <v>0</v>
      </c>
      <c r="AJ118" s="143">
        <f>_xlfn.XLOOKUP($B118,'IS &amp; BS Projections'!$B:$B,'IS &amp; BS Projections'!AK:AK)</f>
        <v>0</v>
      </c>
      <c r="AK118" s="143">
        <f>_xlfn.XLOOKUP($B118,'IS &amp; BS Projections'!$B:$B,'IS &amp; BS Projections'!AL:AL)</f>
        <v>0</v>
      </c>
      <c r="AL118" s="143">
        <f>_xlfn.XLOOKUP($B118,'IS &amp; BS Projections'!$B:$B,'IS &amp; BS Projections'!AM:AM)</f>
        <v>0</v>
      </c>
      <c r="AM118" s="143">
        <f>_xlfn.XLOOKUP($B118,'IS &amp; BS Projections'!$B:$B,'IS &amp; BS Projections'!AN:AN)</f>
        <v>0</v>
      </c>
      <c r="AN118" s="143">
        <f>_xlfn.XLOOKUP($B118,'IS &amp; BS Projections'!$B:$B,'IS &amp; BS Projections'!AO:AO)</f>
        <v>0</v>
      </c>
      <c r="AO118" s="143">
        <f>_xlfn.XLOOKUP($B118,'IS &amp; BS Projections'!$B:$B,'IS &amp; BS Projections'!AP:AP)</f>
        <v>0</v>
      </c>
      <c r="AP118" s="143">
        <f>_xlfn.XLOOKUP($B118,'IS &amp; BS Projections'!$B:$B,'IS &amp; BS Projections'!AQ:AQ)</f>
        <v>0</v>
      </c>
      <c r="AQ118" s="143">
        <f>_xlfn.XLOOKUP($B118,'IS &amp; BS Projections'!$B:$B,'IS &amp; BS Projections'!AR:AR)</f>
        <v>0</v>
      </c>
      <c r="AR118" s="143">
        <f>_xlfn.XLOOKUP($B118,'IS &amp; BS Projections'!$B:$B,'IS &amp; BS Projections'!AS:AS)</f>
        <v>0</v>
      </c>
      <c r="AS118" s="143">
        <f>_xlfn.XLOOKUP($B118,'IS &amp; BS Projections'!$B:$B,'IS &amp; BS Projections'!AT:AT)</f>
        <v>0</v>
      </c>
      <c r="AT118" s="143">
        <f>_xlfn.XLOOKUP($B118,'IS &amp; BS Projections'!$B:$B,'IS &amp; BS Projections'!AU:AU)</f>
        <v>0</v>
      </c>
      <c r="AU118" s="143">
        <f>_xlfn.XLOOKUP($B118,'IS &amp; BS Projections'!$B:$B,'IS &amp; BS Projections'!AV:AV)</f>
        <v>0</v>
      </c>
      <c r="AV118" s="143">
        <f>_xlfn.XLOOKUP($B118,'IS &amp; BS Projections'!$B:$B,'IS &amp; BS Projections'!AW:AW)</f>
        <v>0</v>
      </c>
      <c r="AW118" s="143">
        <f>_xlfn.XLOOKUP($B118,'IS &amp; BS Projections'!$B:$B,'IS &amp; BS Projections'!AX:AX)</f>
        <v>0</v>
      </c>
      <c r="AX118" s="143">
        <f>_xlfn.XLOOKUP($B118,'IS &amp; BS Projections'!$B:$B,'IS &amp; BS Projections'!AY:AY)</f>
        <v>0</v>
      </c>
      <c r="AY118" s="143">
        <f>_xlfn.XLOOKUP($B118,'IS &amp; BS Projections'!$B:$B,'IS &amp; BS Projections'!AZ:AZ)</f>
        <v>0</v>
      </c>
      <c r="AZ118" s="143">
        <f>_xlfn.XLOOKUP($B118,'IS &amp; BS Projections'!$B:$B,'IS &amp; BS Projections'!BA:BA)</f>
        <v>0</v>
      </c>
      <c r="BA118" s="143">
        <f>_xlfn.XLOOKUP($B118,'IS &amp; BS Projections'!$B:$B,'IS &amp; BS Projections'!BB:BB)</f>
        <v>0</v>
      </c>
      <c r="BB118" s="143">
        <f>_xlfn.XLOOKUP($B118,'IS &amp; BS Projections'!$B:$B,'IS &amp; BS Projections'!BC:BC)</f>
        <v>0</v>
      </c>
      <c r="BC118" s="143">
        <f>_xlfn.XLOOKUP($B118,'IS &amp; BS Projections'!$B:$B,'IS &amp; BS Projections'!BD:BD)</f>
        <v>0</v>
      </c>
      <c r="BD118" s="139"/>
    </row>
    <row r="119" spans="2:56" x14ac:dyDescent="0.15">
      <c r="B119" s="1" t="s">
        <v>120</v>
      </c>
      <c r="D119" s="43" t="s">
        <v>33</v>
      </c>
      <c r="E119" s="50">
        <f t="shared" si="400"/>
        <v>14828</v>
      </c>
      <c r="F119" s="50">
        <f t="shared" si="401"/>
        <v>19531</v>
      </c>
      <c r="G119" s="50">
        <f t="shared" si="402"/>
        <v>7216</v>
      </c>
      <c r="H119" s="50">
        <f t="shared" si="403"/>
        <v>89708</v>
      </c>
      <c r="I119" s="50">
        <f t="shared" si="404"/>
        <v>240458</v>
      </c>
      <c r="J119" s="50">
        <f t="shared" si="405"/>
        <v>54009.319290199463</v>
      </c>
      <c r="K119" s="50">
        <f t="shared" si="406"/>
        <v>60992.708315709322</v>
      </c>
      <c r="L119" s="50">
        <f t="shared" si="407"/>
        <v>68275.600449536098</v>
      </c>
      <c r="M119" s="50">
        <f t="shared" si="408"/>
        <v>79744.425934522631</v>
      </c>
      <c r="N119" s="50">
        <f t="shared" si="409"/>
        <v>98202.461364174073</v>
      </c>
      <c r="P119" s="51">
        <v>0</v>
      </c>
      <c r="Q119" s="51">
        <v>0</v>
      </c>
      <c r="R119" s="51">
        <v>14828</v>
      </c>
      <c r="S119" s="51">
        <v>14828</v>
      </c>
      <c r="T119" s="51">
        <v>23988</v>
      </c>
      <c r="U119" s="51">
        <v>12208</v>
      </c>
      <c r="V119" s="51">
        <v>27545</v>
      </c>
      <c r="W119" s="51">
        <v>19531</v>
      </c>
      <c r="X119" s="51">
        <v>17188</v>
      </c>
      <c r="Y119" s="51">
        <v>14252</v>
      </c>
      <c r="Z119" s="51">
        <v>3395</v>
      </c>
      <c r="AA119" s="51">
        <v>7216</v>
      </c>
      <c r="AB119" s="51">
        <v>5870</v>
      </c>
      <c r="AC119" s="51">
        <v>6666</v>
      </c>
      <c r="AD119" s="51">
        <v>11001</v>
      </c>
      <c r="AE119" s="51">
        <v>89708</v>
      </c>
      <c r="AF119" s="51">
        <v>92307</v>
      </c>
      <c r="AG119" s="51">
        <v>176822</v>
      </c>
      <c r="AH119" s="51">
        <v>205342</v>
      </c>
      <c r="AI119" s="51">
        <v>240458</v>
      </c>
      <c r="AJ119" s="143">
        <f>_xlfn.XLOOKUP($B119,'IS &amp; BS Projections'!$B:$B,'IS &amp; BS Projections'!AK:AK)</f>
        <v>38323.845684988759</v>
      </c>
      <c r="AK119" s="143">
        <f>_xlfn.XLOOKUP($B119,'IS &amp; BS Projections'!$B:$B,'IS &amp; BS Projections'!AL:AL)</f>
        <v>26935.647043596007</v>
      </c>
      <c r="AL119" s="143">
        <f>_xlfn.XLOOKUP($B119,'IS &amp; BS Projections'!$B:$B,'IS &amp; BS Projections'!AM:AM)</f>
        <v>26830.488833376119</v>
      </c>
      <c r="AM119" s="143">
        <f>_xlfn.XLOOKUP($B119,'IS &amp; BS Projections'!$B:$B,'IS &amp; BS Projections'!AN:AN)</f>
        <v>54009.319290199463</v>
      </c>
      <c r="AN119" s="143">
        <f>_xlfn.XLOOKUP($B119,'IS &amp; BS Projections'!$B:$B,'IS &amp; BS Projections'!AO:AO)</f>
        <v>39993.588430793876</v>
      </c>
      <c r="AO119" s="143">
        <f>_xlfn.XLOOKUP($B119,'IS &amp; BS Projections'!$B:$B,'IS &amp; BS Projections'!AP:AP)</f>
        <v>30644.167722242528</v>
      </c>
      <c r="AP119" s="143">
        <f>_xlfn.XLOOKUP($B119,'IS &amp; BS Projections'!$B:$B,'IS &amp; BS Projections'!AQ:AQ)</f>
        <v>30961.134836991179</v>
      </c>
      <c r="AQ119" s="143">
        <f>_xlfn.XLOOKUP($B119,'IS &amp; BS Projections'!$B:$B,'IS &amp; BS Projections'!AR:AR)</f>
        <v>60992.708315709322</v>
      </c>
      <c r="AR119" s="143">
        <f>_xlfn.XLOOKUP($B119,'IS &amp; BS Projections'!$B:$B,'IS &amp; BS Projections'!AS:AS)</f>
        <v>43535.553816481523</v>
      </c>
      <c r="AS119" s="143">
        <f>_xlfn.XLOOKUP($B119,'IS &amp; BS Projections'!$B:$B,'IS &amp; BS Projections'!AT:AT)</f>
        <v>35066.84511915937</v>
      </c>
      <c r="AT119" s="143">
        <f>_xlfn.XLOOKUP($B119,'IS &amp; BS Projections'!$B:$B,'IS &amp; BS Projections'!AU:AU)</f>
        <v>34889.292774047426</v>
      </c>
      <c r="AU119" s="143">
        <f>_xlfn.XLOOKUP($B119,'IS &amp; BS Projections'!$B:$B,'IS &amp; BS Projections'!AV:AV)</f>
        <v>68275.600449536098</v>
      </c>
      <c r="AV119" s="143">
        <f>_xlfn.XLOOKUP($B119,'IS &amp; BS Projections'!$B:$B,'IS &amp; BS Projections'!AW:AW)</f>
        <v>48068.641617476169</v>
      </c>
      <c r="AW119" s="143">
        <f>_xlfn.XLOOKUP($B119,'IS &amp; BS Projections'!$B:$B,'IS &amp; BS Projections'!AX:AX)</f>
        <v>41705.582249721796</v>
      </c>
      <c r="AX119" s="143">
        <f>_xlfn.XLOOKUP($B119,'IS &amp; BS Projections'!$B:$B,'IS &amp; BS Projections'!AY:AY)</f>
        <v>40994.24738840299</v>
      </c>
      <c r="AY119" s="143">
        <f>_xlfn.XLOOKUP($B119,'IS &amp; BS Projections'!$B:$B,'IS &amp; BS Projections'!AZ:AZ)</f>
        <v>79744.425934522631</v>
      </c>
      <c r="AZ119" s="143">
        <f>_xlfn.XLOOKUP($B119,'IS &amp; BS Projections'!$B:$B,'IS &amp; BS Projections'!BA:BA)</f>
        <v>55227.781351537378</v>
      </c>
      <c r="BA119" s="143">
        <f>_xlfn.XLOOKUP($B119,'IS &amp; BS Projections'!$B:$B,'IS &amp; BS Projections'!BB:BB)</f>
        <v>52445.433282470047</v>
      </c>
      <c r="BB119" s="143">
        <f>_xlfn.XLOOKUP($B119,'IS &amp; BS Projections'!$B:$B,'IS &amp; BS Projections'!BC:BC)</f>
        <v>51082.084104979855</v>
      </c>
      <c r="BC119" s="143">
        <f>_xlfn.XLOOKUP($B119,'IS &amp; BS Projections'!$B:$B,'IS &amp; BS Projections'!BD:BD)</f>
        <v>98202.461364174073</v>
      </c>
      <c r="BD119" s="139"/>
    </row>
    <row r="120" spans="2:56" x14ac:dyDescent="0.15">
      <c r="B120" s="67" t="s">
        <v>121</v>
      </c>
      <c r="C120" s="67"/>
      <c r="D120" s="68" t="s">
        <v>33</v>
      </c>
      <c r="E120" s="69">
        <f>SUM(E115:E119)</f>
        <v>3473701</v>
      </c>
      <c r="F120" s="69">
        <f t="shared" ref="F120:N120" si="410">SUM(F115:F119)</f>
        <v>3455023</v>
      </c>
      <c r="G120" s="69">
        <f t="shared" si="410"/>
        <v>2987173</v>
      </c>
      <c r="H120" s="69">
        <f t="shared" si="410"/>
        <v>4323789</v>
      </c>
      <c r="I120" s="69">
        <f t="shared" si="410"/>
        <v>6177492</v>
      </c>
      <c r="J120" s="69">
        <f t="shared" si="410"/>
        <v>5987615.3192901993</v>
      </c>
      <c r="K120" s="69">
        <f t="shared" si="410"/>
        <v>5994598.7083157096</v>
      </c>
      <c r="L120" s="69">
        <f t="shared" si="410"/>
        <v>4001881.600449536</v>
      </c>
      <c r="M120" s="69">
        <f t="shared" si="410"/>
        <v>2013350.4259345226</v>
      </c>
      <c r="N120" s="69">
        <f t="shared" si="410"/>
        <v>2266808.4613641743</v>
      </c>
      <c r="O120" s="52"/>
      <c r="P120" s="69">
        <f t="shared" ref="P120" si="411">SUM(P115:P119)</f>
        <v>640556</v>
      </c>
      <c r="Q120" s="69">
        <f t="shared" ref="Q120" si="412">SUM(Q115:Q119)</f>
        <v>1489219</v>
      </c>
      <c r="R120" s="69">
        <f t="shared" ref="R120" si="413">SUM(R115:R119)</f>
        <v>3478615</v>
      </c>
      <c r="S120" s="69">
        <f t="shared" ref="S120" si="414">SUM(S115:S119)</f>
        <v>3473701</v>
      </c>
      <c r="T120" s="69">
        <f t="shared" ref="T120" si="415">SUM(T115:T119)</f>
        <v>3477278</v>
      </c>
      <c r="U120" s="69">
        <f t="shared" ref="U120" si="416">SUM(U115:U119)</f>
        <v>3460558</v>
      </c>
      <c r="V120" s="69">
        <f t="shared" ref="V120" si="417">SUM(V115:V119)</f>
        <v>3468949</v>
      </c>
      <c r="W120" s="69">
        <f t="shared" ref="W120" si="418">SUM(W115:W119)</f>
        <v>3455023</v>
      </c>
      <c r="X120" s="69">
        <f t="shared" ref="X120" si="419">SUM(X115:X119)</f>
        <v>3424090</v>
      </c>
      <c r="Y120" s="69">
        <f t="shared" ref="Y120" si="420">SUM(Y115:Y119)</f>
        <v>3357120</v>
      </c>
      <c r="Z120" s="69">
        <f t="shared" ref="Z120" si="421">SUM(Z115:Z119)</f>
        <v>3085684</v>
      </c>
      <c r="AA120" s="69">
        <f t="shared" ref="AA120" si="422">SUM(AA115:AA119)</f>
        <v>2987173</v>
      </c>
      <c r="AB120" s="69">
        <f t="shared" ref="AB120" si="423">SUM(AB115:AB119)</f>
        <v>4230884</v>
      </c>
      <c r="AC120" s="69">
        <f t="shared" ref="AC120" si="424">SUM(AC115:AC119)</f>
        <v>4234685</v>
      </c>
      <c r="AD120" s="69">
        <f t="shared" ref="AD120" si="425">SUM(AD115:AD119)</f>
        <v>4242048</v>
      </c>
      <c r="AE120" s="69">
        <f t="shared" ref="AE120" si="426">SUM(AE115:AE119)</f>
        <v>4323789</v>
      </c>
      <c r="AF120" s="69">
        <f t="shared" ref="AF120" si="427">SUM(AF115:AF119)</f>
        <v>4329397</v>
      </c>
      <c r="AG120" s="69">
        <f t="shared" ref="AG120" si="428">SUM(AG115:AG119)</f>
        <v>3150367</v>
      </c>
      <c r="AH120" s="69">
        <f t="shared" ref="AH120" si="429">SUM(AH115:AH119)</f>
        <v>6138789</v>
      </c>
      <c r="AI120" s="69">
        <f t="shared" ref="AI120" si="430">SUM(AI115:AI119)</f>
        <v>6177492</v>
      </c>
      <c r="AJ120" s="69">
        <f t="shared" ref="AJ120" si="431">SUM(AJ115:AJ119)</f>
        <v>7272174.6638909886</v>
      </c>
      <c r="AK120" s="69">
        <f t="shared" ref="AK120" si="432">SUM(AK115:AK119)</f>
        <v>4709222.856621705</v>
      </c>
      <c r="AL120" s="69">
        <f t="shared" ref="AL120" si="433">SUM(AL115:AL119)</f>
        <v>5980472.2757516382</v>
      </c>
      <c r="AM120" s="69">
        <f t="shared" ref="AM120" si="434">SUM(AM115:AM119)</f>
        <v>5987615.3192901993</v>
      </c>
      <c r="AN120" s="69">
        <f t="shared" ref="AN120" si="435">SUM(AN115:AN119)</f>
        <v>6002017.8776208991</v>
      </c>
      <c r="AO120" s="69">
        <f t="shared" ref="AO120" si="436">SUM(AO115:AO119)</f>
        <v>5988931.2528224839</v>
      </c>
      <c r="AP120" s="69">
        <f t="shared" ref="AP120" si="437">SUM(AP115:AP119)</f>
        <v>5987687.500037712</v>
      </c>
      <c r="AQ120" s="69">
        <f t="shared" ref="AQ120" si="438">SUM(AQ115:AQ119)</f>
        <v>5994598.7083157096</v>
      </c>
      <c r="AR120" s="69">
        <f t="shared" ref="AR120" si="439">SUM(AR115:AR119)</f>
        <v>6008076.6613412555</v>
      </c>
      <c r="AS120" s="69">
        <f t="shared" ref="AS120" si="440">SUM(AS115:AS119)</f>
        <v>5996915.9939110503</v>
      </c>
      <c r="AT120" s="69">
        <f t="shared" ref="AT120" si="441">SUM(AT115:AT119)</f>
        <v>5994549.0273925569</v>
      </c>
      <c r="AU120" s="69">
        <f t="shared" ref="AU120" si="442">SUM(AU115:AU119)</f>
        <v>4001881.600449536</v>
      </c>
      <c r="AV120" s="69">
        <f t="shared" ref="AV120" si="443">SUM(AV115:AV119)</f>
        <v>5015830.830448213</v>
      </c>
      <c r="AW120" s="69">
        <f t="shared" ref="AW120" si="444">SUM(AW115:AW119)</f>
        <v>5008901.6289427951</v>
      </c>
      <c r="AX120" s="69">
        <f t="shared" ref="AX120" si="445">SUM(AX115:AX119)</f>
        <v>5005212.8840291044</v>
      </c>
      <c r="AY120" s="69">
        <f t="shared" ref="AY120" si="446">SUM(AY115:AY119)</f>
        <v>2013350.4259345226</v>
      </c>
      <c r="AZ120" s="69">
        <f t="shared" ref="AZ120" si="447">SUM(AZ115:AZ119)</f>
        <v>3528077.0481689614</v>
      </c>
      <c r="BA120" s="69">
        <f t="shared" ref="BA120" si="448">SUM(BA115:BA119)</f>
        <v>998291.4514711235</v>
      </c>
      <c r="BB120" s="69">
        <f t="shared" ref="BB120" si="449">SUM(BB115:BB119)</f>
        <v>2257833.8576994939</v>
      </c>
      <c r="BC120" s="69">
        <f t="shared" ref="BC120" si="450">SUM(BC115:BC119)</f>
        <v>2266808.4613641743</v>
      </c>
    </row>
    <row r="121" spans="2:56" ht="3" customHeight="1" thickBot="1" x14ac:dyDescent="0.2"/>
    <row r="122" spans="2:56" ht="15" thickBot="1" x14ac:dyDescent="0.2">
      <c r="B122" s="76" t="s">
        <v>122</v>
      </c>
      <c r="C122" s="77"/>
      <c r="D122" s="78" t="s">
        <v>33</v>
      </c>
      <c r="E122" s="79">
        <f>SUM(E120,E112)</f>
        <v>14892736</v>
      </c>
      <c r="F122" s="79">
        <f t="shared" ref="F122:BC122" si="451">SUM(F120,F112)</f>
        <v>84270316</v>
      </c>
      <c r="G122" s="79">
        <f t="shared" si="451"/>
        <v>8472252</v>
      </c>
      <c r="H122" s="79">
        <f t="shared" si="451"/>
        <v>12265109</v>
      </c>
      <c r="I122" s="79">
        <f t="shared" si="451"/>
        <v>14878774</v>
      </c>
      <c r="J122" s="79">
        <f t="shared" si="451"/>
        <v>14750114.179533772</v>
      </c>
      <c r="K122" s="79">
        <f t="shared" si="451"/>
        <v>15890086.082039244</v>
      </c>
      <c r="L122" s="79">
        <f t="shared" si="451"/>
        <v>16078949.02110979</v>
      </c>
      <c r="M122" s="79">
        <f t="shared" si="451"/>
        <v>16451125.805170413</v>
      </c>
      <c r="N122" s="80">
        <f t="shared" si="451"/>
        <v>18199224.701478414</v>
      </c>
      <c r="O122" s="52"/>
      <c r="P122" s="85">
        <f t="shared" si="451"/>
        <v>7896704</v>
      </c>
      <c r="Q122" s="79">
        <f t="shared" si="451"/>
        <v>11166783</v>
      </c>
      <c r="R122" s="79">
        <f t="shared" si="451"/>
        <v>13093774</v>
      </c>
      <c r="S122" s="79">
        <f t="shared" si="451"/>
        <v>14892736</v>
      </c>
      <c r="T122" s="79">
        <f t="shared" si="451"/>
        <v>14399101</v>
      </c>
      <c r="U122" s="79">
        <f t="shared" si="451"/>
        <v>99654854</v>
      </c>
      <c r="V122" s="79">
        <f t="shared" si="451"/>
        <v>105542048</v>
      </c>
      <c r="W122" s="79">
        <f t="shared" si="451"/>
        <v>84270316</v>
      </c>
      <c r="X122" s="79">
        <f t="shared" si="451"/>
        <v>133626913</v>
      </c>
      <c r="Y122" s="79">
        <f t="shared" si="451"/>
        <v>131895872</v>
      </c>
      <c r="Z122" s="79">
        <f t="shared" si="451"/>
        <v>121384470</v>
      </c>
      <c r="AA122" s="79">
        <f t="shared" si="451"/>
        <v>8472252</v>
      </c>
      <c r="AB122" s="79">
        <f t="shared" si="451"/>
        <v>339965483</v>
      </c>
      <c r="AC122" s="79">
        <f t="shared" si="451"/>
        <v>278588404</v>
      </c>
      <c r="AD122" s="79">
        <f t="shared" si="451"/>
        <v>281830486</v>
      </c>
      <c r="AE122" s="79">
        <f t="shared" si="451"/>
        <v>12265109</v>
      </c>
      <c r="AF122" s="79">
        <f t="shared" si="451"/>
        <v>11262766</v>
      </c>
      <c r="AG122" s="79">
        <f t="shared" si="451"/>
        <v>11381149</v>
      </c>
      <c r="AH122" s="79">
        <f t="shared" si="451"/>
        <v>15328143</v>
      </c>
      <c r="AI122" s="79">
        <f t="shared" si="451"/>
        <v>14878774</v>
      </c>
      <c r="AJ122" s="79">
        <f t="shared" si="451"/>
        <v>8314196.2314812997</v>
      </c>
      <c r="AK122" s="79">
        <f t="shared" si="451"/>
        <v>13069907.750419034</v>
      </c>
      <c r="AL122" s="79">
        <f t="shared" si="451"/>
        <v>15554253.83963738</v>
      </c>
      <c r="AM122" s="79">
        <f t="shared" si="451"/>
        <v>14750114.179533772</v>
      </c>
      <c r="AN122" s="79">
        <f t="shared" si="451"/>
        <v>7089439.5850551585</v>
      </c>
      <c r="AO122" s="79">
        <f t="shared" si="451"/>
        <v>14052439.284473363</v>
      </c>
      <c r="AP122" s="79">
        <f t="shared" si="451"/>
        <v>17035385.651949033</v>
      </c>
      <c r="AQ122" s="79">
        <f t="shared" si="451"/>
        <v>15890086.082039244</v>
      </c>
      <c r="AR122" s="79">
        <f t="shared" si="451"/>
        <v>7191804.0567245334</v>
      </c>
      <c r="AS122" s="79">
        <f t="shared" si="451"/>
        <v>15224178.741783343</v>
      </c>
      <c r="AT122" s="79">
        <f t="shared" si="451"/>
        <v>18443911.020442639</v>
      </c>
      <c r="AU122" s="79">
        <f t="shared" si="451"/>
        <v>16078949.02110979</v>
      </c>
      <c r="AV122" s="79">
        <f t="shared" si="451"/>
        <v>6322812.434066317</v>
      </c>
      <c r="AW122" s="79">
        <f t="shared" si="451"/>
        <v>15983038.713802028</v>
      </c>
      <c r="AX122" s="79">
        <f t="shared" si="451"/>
        <v>19632973.574853562</v>
      </c>
      <c r="AY122" s="79">
        <f t="shared" si="451"/>
        <v>16451125.805170413</v>
      </c>
      <c r="AZ122" s="79">
        <f t="shared" si="451"/>
        <v>5029714.9519298924</v>
      </c>
      <c r="BA122" s="79">
        <f t="shared" si="451"/>
        <v>16063443.451998692</v>
      </c>
      <c r="BB122" s="79">
        <f t="shared" si="451"/>
        <v>20485184.02214222</v>
      </c>
      <c r="BC122" s="80">
        <f t="shared" si="451"/>
        <v>18199224.701478414</v>
      </c>
    </row>
    <row r="123" spans="2:56" ht="3" customHeight="1" x14ac:dyDescent="0.15"/>
    <row r="124" spans="2:56" x14ac:dyDescent="0.15">
      <c r="B124" s="38" t="s">
        <v>123</v>
      </c>
      <c r="C124" s="39"/>
      <c r="D124" s="40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P124" s="42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</row>
    <row r="125" spans="2:56" ht="3" customHeight="1" x14ac:dyDescent="0.15"/>
    <row r="126" spans="2:56" x14ac:dyDescent="0.15">
      <c r="B126" s="1" t="s">
        <v>124</v>
      </c>
      <c r="D126" s="43" t="s">
        <v>33</v>
      </c>
      <c r="E126" s="50">
        <f t="shared" ref="E126:E130" si="452">S126</f>
        <v>2</v>
      </c>
      <c r="F126" s="50">
        <f t="shared" ref="F126:F130" si="453">W126</f>
        <v>2</v>
      </c>
      <c r="G126" s="50">
        <f t="shared" ref="G126:G130" si="454">AA126</f>
        <v>2</v>
      </c>
      <c r="H126" s="50">
        <f t="shared" ref="H126:H130" si="455">AE126</f>
        <v>2</v>
      </c>
      <c r="I126" s="50">
        <f t="shared" ref="I126:I130" si="456">AI126</f>
        <v>3</v>
      </c>
      <c r="J126" s="50">
        <f t="shared" ref="J126:J130" si="457">AM126</f>
        <v>3</v>
      </c>
      <c r="K126" s="50">
        <f t="shared" ref="K126:K130" si="458">AQ126</f>
        <v>3</v>
      </c>
      <c r="L126" s="50">
        <f t="shared" ref="L126:L130" si="459">AU126</f>
        <v>3</v>
      </c>
      <c r="M126" s="50">
        <f t="shared" ref="M126:M130" si="460">AY126</f>
        <v>3</v>
      </c>
      <c r="N126" s="50">
        <f t="shared" ref="N126:N130" si="461">BC126</f>
        <v>3</v>
      </c>
      <c r="P126" s="51">
        <v>0</v>
      </c>
      <c r="Q126" s="51">
        <v>1</v>
      </c>
      <c r="R126" s="51">
        <v>1</v>
      </c>
      <c r="S126" s="51">
        <v>2</v>
      </c>
      <c r="T126" s="51">
        <v>2</v>
      </c>
      <c r="U126" s="51">
        <v>2</v>
      </c>
      <c r="V126" s="51">
        <v>2</v>
      </c>
      <c r="W126" s="51">
        <v>2</v>
      </c>
      <c r="X126" s="51">
        <v>2</v>
      </c>
      <c r="Y126" s="51">
        <v>2</v>
      </c>
      <c r="Z126" s="51">
        <v>2</v>
      </c>
      <c r="AA126" s="51">
        <v>2</v>
      </c>
      <c r="AB126" s="51">
        <v>2</v>
      </c>
      <c r="AC126" s="51">
        <v>2</v>
      </c>
      <c r="AD126" s="51">
        <v>2</v>
      </c>
      <c r="AE126" s="51">
        <v>2</v>
      </c>
      <c r="AF126" s="51">
        <v>2</v>
      </c>
      <c r="AG126" s="51">
        <v>2</v>
      </c>
      <c r="AH126" s="51">
        <v>3</v>
      </c>
      <c r="AI126" s="51">
        <v>3</v>
      </c>
      <c r="AJ126" s="147">
        <f>AI126</f>
        <v>3</v>
      </c>
      <c r="AK126" s="147">
        <f t="shared" ref="AK126:BC126" si="462">AJ126</f>
        <v>3</v>
      </c>
      <c r="AL126" s="147">
        <f t="shared" si="462"/>
        <v>3</v>
      </c>
      <c r="AM126" s="147">
        <f t="shared" si="462"/>
        <v>3</v>
      </c>
      <c r="AN126" s="147">
        <f t="shared" si="462"/>
        <v>3</v>
      </c>
      <c r="AO126" s="147">
        <f t="shared" si="462"/>
        <v>3</v>
      </c>
      <c r="AP126" s="147">
        <f t="shared" si="462"/>
        <v>3</v>
      </c>
      <c r="AQ126" s="147">
        <f t="shared" si="462"/>
        <v>3</v>
      </c>
      <c r="AR126" s="147">
        <f t="shared" si="462"/>
        <v>3</v>
      </c>
      <c r="AS126" s="147">
        <f t="shared" si="462"/>
        <v>3</v>
      </c>
      <c r="AT126" s="147">
        <f t="shared" si="462"/>
        <v>3</v>
      </c>
      <c r="AU126" s="147">
        <f t="shared" si="462"/>
        <v>3</v>
      </c>
      <c r="AV126" s="147">
        <f t="shared" si="462"/>
        <v>3</v>
      </c>
      <c r="AW126" s="147">
        <f t="shared" si="462"/>
        <v>3</v>
      </c>
      <c r="AX126" s="147">
        <f t="shared" si="462"/>
        <v>3</v>
      </c>
      <c r="AY126" s="147">
        <f t="shared" si="462"/>
        <v>3</v>
      </c>
      <c r="AZ126" s="147">
        <f t="shared" si="462"/>
        <v>3</v>
      </c>
      <c r="BA126" s="147">
        <f t="shared" si="462"/>
        <v>3</v>
      </c>
      <c r="BB126" s="147">
        <f t="shared" si="462"/>
        <v>3</v>
      </c>
      <c r="BC126" s="147">
        <f t="shared" si="462"/>
        <v>3</v>
      </c>
      <c r="BD126" s="139"/>
    </row>
    <row r="127" spans="2:56" x14ac:dyDescent="0.15">
      <c r="B127" s="1" t="s">
        <v>124</v>
      </c>
      <c r="D127" s="43" t="s">
        <v>33</v>
      </c>
      <c r="E127" s="50">
        <f t="shared" si="452"/>
        <v>0</v>
      </c>
      <c r="F127" s="50">
        <f t="shared" si="453"/>
        <v>0</v>
      </c>
      <c r="G127" s="50">
        <f t="shared" si="454"/>
        <v>0</v>
      </c>
      <c r="H127" s="50">
        <f t="shared" si="455"/>
        <v>0</v>
      </c>
      <c r="I127" s="50">
        <f t="shared" si="456"/>
        <v>0</v>
      </c>
      <c r="J127" s="50">
        <f t="shared" si="457"/>
        <v>0</v>
      </c>
      <c r="K127" s="50">
        <f t="shared" si="458"/>
        <v>0</v>
      </c>
      <c r="L127" s="50">
        <f t="shared" si="459"/>
        <v>0</v>
      </c>
      <c r="M127" s="50">
        <f t="shared" si="460"/>
        <v>0</v>
      </c>
      <c r="N127" s="50">
        <f t="shared" si="461"/>
        <v>0</v>
      </c>
      <c r="P127" s="51">
        <v>0</v>
      </c>
      <c r="Q127" s="51">
        <v>1</v>
      </c>
      <c r="R127" s="51">
        <v>1</v>
      </c>
      <c r="S127" s="51">
        <v>0</v>
      </c>
      <c r="T127" s="51">
        <v>0</v>
      </c>
      <c r="U127" s="51">
        <v>0</v>
      </c>
      <c r="V127" s="51">
        <v>0</v>
      </c>
      <c r="W127" s="51">
        <v>0</v>
      </c>
      <c r="X127" s="51">
        <v>0</v>
      </c>
      <c r="Y127" s="51">
        <v>0</v>
      </c>
      <c r="Z127" s="51">
        <v>0</v>
      </c>
      <c r="AA127" s="51">
        <v>0</v>
      </c>
      <c r="AB127" s="51">
        <v>0</v>
      </c>
      <c r="AC127" s="51">
        <v>0</v>
      </c>
      <c r="AD127" s="51">
        <v>0</v>
      </c>
      <c r="AE127" s="51">
        <v>0</v>
      </c>
      <c r="AF127" s="51">
        <v>0</v>
      </c>
      <c r="AG127" s="51">
        <v>0</v>
      </c>
      <c r="AH127" s="51">
        <v>0</v>
      </c>
      <c r="AI127" s="51">
        <v>0</v>
      </c>
      <c r="AJ127" s="147">
        <f>AI127</f>
        <v>0</v>
      </c>
      <c r="AK127" s="147">
        <f t="shared" ref="AK127:BC127" si="463">AJ127</f>
        <v>0</v>
      </c>
      <c r="AL127" s="147">
        <f t="shared" si="463"/>
        <v>0</v>
      </c>
      <c r="AM127" s="147">
        <f t="shared" si="463"/>
        <v>0</v>
      </c>
      <c r="AN127" s="147">
        <f t="shared" si="463"/>
        <v>0</v>
      </c>
      <c r="AO127" s="147">
        <f t="shared" si="463"/>
        <v>0</v>
      </c>
      <c r="AP127" s="147">
        <f t="shared" si="463"/>
        <v>0</v>
      </c>
      <c r="AQ127" s="147">
        <f t="shared" si="463"/>
        <v>0</v>
      </c>
      <c r="AR127" s="147">
        <f t="shared" si="463"/>
        <v>0</v>
      </c>
      <c r="AS127" s="147">
        <f t="shared" si="463"/>
        <v>0</v>
      </c>
      <c r="AT127" s="147">
        <f t="shared" si="463"/>
        <v>0</v>
      </c>
      <c r="AU127" s="147">
        <f t="shared" si="463"/>
        <v>0</v>
      </c>
      <c r="AV127" s="147">
        <f t="shared" si="463"/>
        <v>0</v>
      </c>
      <c r="AW127" s="147">
        <f t="shared" si="463"/>
        <v>0</v>
      </c>
      <c r="AX127" s="147">
        <f t="shared" si="463"/>
        <v>0</v>
      </c>
      <c r="AY127" s="147">
        <f t="shared" si="463"/>
        <v>0</v>
      </c>
      <c r="AZ127" s="147">
        <f t="shared" si="463"/>
        <v>0</v>
      </c>
      <c r="BA127" s="147">
        <f t="shared" si="463"/>
        <v>0</v>
      </c>
      <c r="BB127" s="147">
        <f t="shared" si="463"/>
        <v>0</v>
      </c>
      <c r="BC127" s="147">
        <f t="shared" si="463"/>
        <v>0</v>
      </c>
      <c r="BD127" s="139"/>
    </row>
    <row r="128" spans="2:56" x14ac:dyDescent="0.15">
      <c r="B128" s="1" t="s">
        <v>125</v>
      </c>
      <c r="D128" s="43" t="s">
        <v>33</v>
      </c>
      <c r="E128" s="50">
        <f t="shared" si="452"/>
        <v>2034658</v>
      </c>
      <c r="F128" s="50">
        <f t="shared" si="453"/>
        <v>3767686</v>
      </c>
      <c r="G128" s="50">
        <f t="shared" si="454"/>
        <v>4491571</v>
      </c>
      <c r="H128" s="50">
        <f t="shared" si="455"/>
        <v>5365990</v>
      </c>
      <c r="I128" s="50">
        <f t="shared" si="456"/>
        <v>8566854</v>
      </c>
      <c r="J128" s="50">
        <f t="shared" si="457"/>
        <v>8566854</v>
      </c>
      <c r="K128" s="50">
        <f t="shared" si="458"/>
        <v>8566854</v>
      </c>
      <c r="L128" s="50">
        <f t="shared" si="459"/>
        <v>8566854</v>
      </c>
      <c r="M128" s="50">
        <f t="shared" si="460"/>
        <v>8566854</v>
      </c>
      <c r="N128" s="50">
        <f t="shared" si="461"/>
        <v>8566854</v>
      </c>
      <c r="P128" s="51">
        <v>804523</v>
      </c>
      <c r="Q128" s="51">
        <v>1516533</v>
      </c>
      <c r="R128" s="51">
        <v>1850711</v>
      </c>
      <c r="S128" s="51">
        <v>2034658</v>
      </c>
      <c r="T128" s="51">
        <v>2579216</v>
      </c>
      <c r="U128" s="51">
        <v>3004459</v>
      </c>
      <c r="V128" s="51">
        <v>3380330</v>
      </c>
      <c r="W128" s="51">
        <v>3767686</v>
      </c>
      <c r="X128" s="51">
        <v>4056774</v>
      </c>
      <c r="Y128" s="51">
        <v>4239319</v>
      </c>
      <c r="Z128" s="51">
        <v>4418327</v>
      </c>
      <c r="AA128" s="51">
        <v>4491571</v>
      </c>
      <c r="AB128" s="51">
        <v>4550408</v>
      </c>
      <c r="AC128" s="51">
        <v>4816808</v>
      </c>
      <c r="AD128" s="51">
        <v>5087238</v>
      </c>
      <c r="AE128" s="51">
        <v>5365990</v>
      </c>
      <c r="AF128" s="51">
        <v>5483821</v>
      </c>
      <c r="AG128" s="51">
        <v>5639538</v>
      </c>
      <c r="AH128" s="51">
        <v>9131722</v>
      </c>
      <c r="AI128" s="51">
        <v>8566854</v>
      </c>
      <c r="AJ128" s="143">
        <f>'D&amp;E Schedule'!AC124</f>
        <v>8566854</v>
      </c>
      <c r="AK128" s="143">
        <f>'D&amp;E Schedule'!AD124</f>
        <v>8566854</v>
      </c>
      <c r="AL128" s="143">
        <f>'D&amp;E Schedule'!AE124</f>
        <v>8566854</v>
      </c>
      <c r="AM128" s="143">
        <f>'D&amp;E Schedule'!AF124</f>
        <v>8566854</v>
      </c>
      <c r="AN128" s="143">
        <f>'D&amp;E Schedule'!AG124</f>
        <v>8566854</v>
      </c>
      <c r="AO128" s="143">
        <f>'D&amp;E Schedule'!AH124</f>
        <v>8566854</v>
      </c>
      <c r="AP128" s="143">
        <f>'D&amp;E Schedule'!AI124</f>
        <v>8566854</v>
      </c>
      <c r="AQ128" s="143">
        <f>'D&amp;E Schedule'!AJ124</f>
        <v>8566854</v>
      </c>
      <c r="AR128" s="143">
        <f>'D&amp;E Schedule'!AK124</f>
        <v>8566854</v>
      </c>
      <c r="AS128" s="143">
        <f>'D&amp;E Schedule'!AL124</f>
        <v>8566854</v>
      </c>
      <c r="AT128" s="143">
        <f>'D&amp;E Schedule'!AM124</f>
        <v>8566854</v>
      </c>
      <c r="AU128" s="143">
        <f>'D&amp;E Schedule'!AN124</f>
        <v>8566854</v>
      </c>
      <c r="AV128" s="143">
        <f>'D&amp;E Schedule'!AO124</f>
        <v>8566854</v>
      </c>
      <c r="AW128" s="143">
        <f>'D&amp;E Schedule'!AP124</f>
        <v>8566854</v>
      </c>
      <c r="AX128" s="143">
        <f>'D&amp;E Schedule'!AQ124</f>
        <v>8566854</v>
      </c>
      <c r="AY128" s="143">
        <f>'D&amp;E Schedule'!AR124</f>
        <v>8566854</v>
      </c>
      <c r="AZ128" s="143">
        <f>'D&amp;E Schedule'!AS124</f>
        <v>8566854</v>
      </c>
      <c r="BA128" s="143">
        <f>'D&amp;E Schedule'!AT124</f>
        <v>8566854</v>
      </c>
      <c r="BB128" s="143">
        <f>'D&amp;E Schedule'!AU124</f>
        <v>8566854</v>
      </c>
      <c r="BC128" s="143">
        <f>'D&amp;E Schedule'!AV124</f>
        <v>8566854</v>
      </c>
      <c r="BD128" s="139"/>
    </row>
    <row r="129" spans="1:56" x14ac:dyDescent="0.15">
      <c r="B129" s="1" t="s">
        <v>126</v>
      </c>
      <c r="D129" s="43" t="s">
        <v>33</v>
      </c>
      <c r="E129" s="50">
        <f t="shared" si="452"/>
        <v>4350424</v>
      </c>
      <c r="F129" s="50">
        <f t="shared" si="453"/>
        <v>1725475</v>
      </c>
      <c r="G129" s="50">
        <f t="shared" si="454"/>
        <v>1820346</v>
      </c>
      <c r="H129" s="50">
        <f t="shared" si="455"/>
        <v>4960901</v>
      </c>
      <c r="I129" s="50">
        <f t="shared" si="456"/>
        <v>6221228</v>
      </c>
      <c r="J129" s="50">
        <f t="shared" si="457"/>
        <v>8449209.987133313</v>
      </c>
      <c r="K129" s="50">
        <f t="shared" si="458"/>
        <v>10956770.305056373</v>
      </c>
      <c r="L129" s="50">
        <f t="shared" si="459"/>
        <v>13797392.526791485</v>
      </c>
      <c r="M129" s="50">
        <f t="shared" si="460"/>
        <v>17159903.470280595</v>
      </c>
      <c r="N129" s="50">
        <f t="shared" si="461"/>
        <v>21309874.022868931</v>
      </c>
      <c r="P129" s="51">
        <v>1497767</v>
      </c>
      <c r="Q129" s="51">
        <v>3104116</v>
      </c>
      <c r="R129" s="51">
        <v>3510216</v>
      </c>
      <c r="S129" s="51">
        <v>4350424</v>
      </c>
      <c r="T129" s="51">
        <v>3920765</v>
      </c>
      <c r="U129" s="51">
        <v>2827111</v>
      </c>
      <c r="V129" s="51">
        <v>2282476</v>
      </c>
      <c r="W129" s="51">
        <v>1725475</v>
      </c>
      <c r="X129" s="51">
        <v>1646579</v>
      </c>
      <c r="Y129" s="51">
        <v>1549174</v>
      </c>
      <c r="Z129" s="51">
        <v>1546909</v>
      </c>
      <c r="AA129" s="51">
        <v>1820346</v>
      </c>
      <c r="AB129" s="51">
        <v>3558080</v>
      </c>
      <c r="AC129" s="51">
        <v>3594230</v>
      </c>
      <c r="AD129" s="51">
        <v>3669725</v>
      </c>
      <c r="AE129" s="51">
        <v>4960901</v>
      </c>
      <c r="AF129" s="51">
        <v>5026509</v>
      </c>
      <c r="AG129" s="51">
        <v>6455409</v>
      </c>
      <c r="AH129" s="51">
        <v>6887961</v>
      </c>
      <c r="AI129" s="51">
        <v>6221228</v>
      </c>
      <c r="AJ129" s="143">
        <f>'D&amp;E Schedule'!AC118</f>
        <v>7026336.9719819902</v>
      </c>
      <c r="AK129" s="143">
        <f>'D&amp;E Schedule'!AD118</f>
        <v>7460478.0277563436</v>
      </c>
      <c r="AL129" s="143">
        <f>'D&amp;E Schedule'!AE118</f>
        <v>7889199.2261696737</v>
      </c>
      <c r="AM129" s="143">
        <f>'D&amp;E Schedule'!AF118</f>
        <v>8449209.987133313</v>
      </c>
      <c r="AN129" s="143">
        <f>'D&amp;E Schedule'!AG118</f>
        <v>9300315.6079801433</v>
      </c>
      <c r="AO129" s="143">
        <f>'D&amp;E Schedule'!AH118</f>
        <v>9807588.6509314664</v>
      </c>
      <c r="AP129" s="143">
        <f>'D&amp;E Schedule'!AI118</f>
        <v>10314929.863884469</v>
      </c>
      <c r="AQ129" s="143">
        <f>'D&amp;E Schedule'!AJ118</f>
        <v>10956770.305056373</v>
      </c>
      <c r="AR129" s="143">
        <f>'D&amp;E Schedule'!AK118</f>
        <v>11892404.701847848</v>
      </c>
      <c r="AS129" s="143">
        <f>'D&amp;E Schedule'!AL118</f>
        <v>12483855.694751982</v>
      </c>
      <c r="AT129" s="143">
        <f>'D&amp;E Schedule'!AM118</f>
        <v>13068865.692965936</v>
      </c>
      <c r="AU129" s="143">
        <f>'D&amp;E Schedule'!AN118</f>
        <v>13797392.526791485</v>
      </c>
      <c r="AV129" s="143">
        <f>'D&amp;E Schedule'!AO118</f>
        <v>14849603.448537748</v>
      </c>
      <c r="AW129" s="143">
        <f>'D&amp;E Schedule'!AP118</f>
        <v>15575341.255431488</v>
      </c>
      <c r="AX129" s="143">
        <f>'D&amp;E Schedule'!AQ118</f>
        <v>16287779.29723159</v>
      </c>
      <c r="AY129" s="143">
        <f>'D&amp;E Schedule'!AR118</f>
        <v>17159903.470280595</v>
      </c>
      <c r="AZ129" s="143">
        <f>'D&amp;E Schedule'!AS118</f>
        <v>18381139.379834846</v>
      </c>
      <c r="BA129" s="143">
        <f>'D&amp;E Schedule'!AT118</f>
        <v>19310001.579097733</v>
      </c>
      <c r="BB129" s="143">
        <f>'D&amp;E Schedule'!AU118</f>
        <v>20219271.927579585</v>
      </c>
      <c r="BC129" s="143">
        <f>'D&amp;E Schedule'!AV118</f>
        <v>21309874.022868931</v>
      </c>
      <c r="BD129" s="139"/>
    </row>
    <row r="130" spans="1:56" x14ac:dyDescent="0.15">
      <c r="B130" s="1" t="s">
        <v>127</v>
      </c>
      <c r="D130" s="43" t="s">
        <v>33</v>
      </c>
      <c r="E130" s="50">
        <f t="shared" si="452"/>
        <v>-3395</v>
      </c>
      <c r="F130" s="50">
        <f t="shared" si="453"/>
        <v>-38606</v>
      </c>
      <c r="G130" s="50">
        <f t="shared" si="454"/>
        <v>-30270</v>
      </c>
      <c r="H130" s="50">
        <f t="shared" si="455"/>
        <v>-50051</v>
      </c>
      <c r="I130" s="50">
        <f t="shared" si="456"/>
        <v>4973</v>
      </c>
      <c r="J130" s="50">
        <f t="shared" si="457"/>
        <v>-38330.391641901253</v>
      </c>
      <c r="K130" s="50">
        <f t="shared" si="458"/>
        <v>-43286.499955307096</v>
      </c>
      <c r="L130" s="50">
        <f t="shared" si="459"/>
        <v>-48455.16550125405</v>
      </c>
      <c r="M130" s="50">
        <f t="shared" si="460"/>
        <v>-56594.5862214097</v>
      </c>
      <c r="N130" s="50">
        <f t="shared" si="461"/>
        <v>-69694.24635889662</v>
      </c>
      <c r="P130" s="51">
        <v>2118</v>
      </c>
      <c r="Q130" s="51">
        <v>2774</v>
      </c>
      <c r="R130" s="51">
        <v>-432</v>
      </c>
      <c r="S130" s="51">
        <v>-3395</v>
      </c>
      <c r="T130" s="51">
        <v>-3890</v>
      </c>
      <c r="U130" s="51">
        <v>-18183</v>
      </c>
      <c r="V130" s="51">
        <v>-36493</v>
      </c>
      <c r="W130" s="51">
        <v>-38606</v>
      </c>
      <c r="X130" s="51">
        <v>-28409</v>
      </c>
      <c r="Y130" s="51">
        <v>-33792</v>
      </c>
      <c r="Z130" s="51">
        <v>-44113</v>
      </c>
      <c r="AA130" s="51">
        <v>-30270</v>
      </c>
      <c r="AB130" s="51">
        <v>-37496</v>
      </c>
      <c r="AC130" s="51">
        <v>-40271</v>
      </c>
      <c r="AD130" s="51">
        <v>-28843</v>
      </c>
      <c r="AE130" s="51">
        <v>-50051</v>
      </c>
      <c r="AF130" s="51">
        <v>-42092</v>
      </c>
      <c r="AG130" s="51">
        <v>-60</v>
      </c>
      <c r="AH130" s="51">
        <v>3538</v>
      </c>
      <c r="AI130" s="51">
        <v>4973</v>
      </c>
      <c r="AJ130" s="143">
        <f>_xlfn.XLOOKUP($B130,'IS &amp; BS Projections'!$B:$B,'IS &amp; BS Projections'!AK:AK)</f>
        <v>-38558.629350926167</v>
      </c>
      <c r="AK130" s="143">
        <f>_xlfn.XLOOKUP($B130,'IS &amp; BS Projections'!$B:$B,'IS &amp; BS Projections'!AL:AL)</f>
        <v>-40118.845854661391</v>
      </c>
      <c r="AL130" s="143">
        <f>_xlfn.XLOOKUP($B130,'IS &amp; BS Projections'!$B:$B,'IS &amp; BS Projections'!AM:AM)</f>
        <v>-56811.102538727559</v>
      </c>
      <c r="AM130" s="143">
        <f>_xlfn.XLOOKUP($B130,'IS &amp; BS Projections'!$B:$B,'IS &amp; BS Projections'!AN:AN)</f>
        <v>-38330.391641901253</v>
      </c>
      <c r="AN130" s="143">
        <f>_xlfn.XLOOKUP($B130,'IS &amp; BS Projections'!$B:$B,'IS &amp; BS Projections'!AO:AO)</f>
        <v>-40238.601454355121</v>
      </c>
      <c r="AO130" s="143">
        <f>_xlfn.XLOOKUP($B130,'IS &amp; BS Projections'!$B:$B,'IS &amp; BS Projections'!AP:AP)</f>
        <v>-45642.439522733941</v>
      </c>
      <c r="AP130" s="143">
        <f>_xlfn.XLOOKUP($B130,'IS &amp; BS Projections'!$B:$B,'IS &amp; BS Projections'!AQ:AQ)</f>
        <v>-65557.36710065548</v>
      </c>
      <c r="AQ130" s="143">
        <f>_xlfn.XLOOKUP($B130,'IS &amp; BS Projections'!$B:$B,'IS &amp; BS Projections'!AR:AR)</f>
        <v>-43286.499955307096</v>
      </c>
      <c r="AR130" s="143">
        <f>_xlfn.XLOOKUP($B130,'IS &amp; BS Projections'!$B:$B,'IS &amp; BS Projections'!AS:AS)</f>
        <v>-43802.266009398336</v>
      </c>
      <c r="AS130" s="143">
        <f>_xlfn.XLOOKUP($B130,'IS &amp; BS Projections'!$B:$B,'IS &amp; BS Projections'!AT:AT)</f>
        <v>-52229.721887424217</v>
      </c>
      <c r="AT130" s="143">
        <f>_xlfn.XLOOKUP($B130,'IS &amp; BS Projections'!$B:$B,'IS &amp; BS Projections'!AU:AU)</f>
        <v>-73874.881728745779</v>
      </c>
      <c r="AU130" s="143">
        <f>_xlfn.XLOOKUP($B130,'IS &amp; BS Projections'!$B:$B,'IS &amp; BS Projections'!AV:AV)</f>
        <v>-48455.16550125405</v>
      </c>
      <c r="AV130" s="143">
        <f>_xlfn.XLOOKUP($B130,'IS &amp; BS Projections'!$B:$B,'IS &amp; BS Projections'!AW:AW)</f>
        <v>-48363.124900504394</v>
      </c>
      <c r="AW130" s="143">
        <f>_xlfn.XLOOKUP($B130,'IS &amp; BS Projections'!$B:$B,'IS &amp; BS Projections'!AX:AX)</f>
        <v>-62117.677100810251</v>
      </c>
      <c r="AX130" s="143">
        <f>_xlfn.XLOOKUP($B130,'IS &amp; BS Projections'!$B:$B,'IS &amp; BS Projections'!AY:AY)</f>
        <v>-86801.56393510905</v>
      </c>
      <c r="AY130" s="143">
        <f>_xlfn.XLOOKUP($B130,'IS &amp; BS Projections'!$B:$B,'IS &amp; BS Projections'!AZ:AZ)</f>
        <v>-56594.5862214097</v>
      </c>
      <c r="AZ130" s="143">
        <f>_xlfn.XLOOKUP($B130,'IS &amp; BS Projections'!$B:$B,'IS &amp; BS Projections'!BA:BA)</f>
        <v>-55566.123726514183</v>
      </c>
      <c r="BA130" s="143">
        <f>_xlfn.XLOOKUP($B130,'IS &amp; BS Projections'!$B:$B,'IS &amp; BS Projections'!BB:BB)</f>
        <v>-78113.967347243859</v>
      </c>
      <c r="BB130" s="143">
        <f>_xlfn.XLOOKUP($B130,'IS &amp; BS Projections'!$B:$B,'IS &amp; BS Projections'!BC:BC)</f>
        <v>-108161.63417678399</v>
      </c>
      <c r="BC130" s="143">
        <f>_xlfn.XLOOKUP($B130,'IS &amp; BS Projections'!$B:$B,'IS &amp; BS Projections'!BD:BD)</f>
        <v>-69694.24635889662</v>
      </c>
      <c r="BD130" s="139"/>
    </row>
    <row r="131" spans="1:56" x14ac:dyDescent="0.15">
      <c r="B131" s="67" t="s">
        <v>128</v>
      </c>
      <c r="C131" s="67"/>
      <c r="D131" s="68" t="s">
        <v>33</v>
      </c>
      <c r="E131" s="69">
        <f>SUM(E126:E130)</f>
        <v>6381689</v>
      </c>
      <c r="F131" s="69">
        <f t="shared" ref="F131:N131" si="464">SUM(F126:F130)</f>
        <v>5454557</v>
      </c>
      <c r="G131" s="69">
        <f t="shared" si="464"/>
        <v>6281649</v>
      </c>
      <c r="H131" s="69">
        <f t="shared" si="464"/>
        <v>10276842</v>
      </c>
      <c r="I131" s="69">
        <f t="shared" si="464"/>
        <v>14793058</v>
      </c>
      <c r="J131" s="69">
        <f t="shared" si="464"/>
        <v>16977736.595491413</v>
      </c>
      <c r="K131" s="69">
        <f t="shared" si="464"/>
        <v>19480340.805101063</v>
      </c>
      <c r="L131" s="69">
        <f t="shared" si="464"/>
        <v>22315794.361290228</v>
      </c>
      <c r="M131" s="69">
        <f t="shared" si="464"/>
        <v>25670165.884059187</v>
      </c>
      <c r="N131" s="69">
        <f t="shared" si="464"/>
        <v>29807036.776510034</v>
      </c>
      <c r="O131" s="52"/>
      <c r="P131" s="69">
        <f t="shared" ref="P131" si="465">SUM(P126:P130)</f>
        <v>2304408</v>
      </c>
      <c r="Q131" s="69">
        <f t="shared" ref="Q131" si="466">SUM(Q126:Q130)</f>
        <v>4623425</v>
      </c>
      <c r="R131" s="69">
        <f t="shared" ref="R131" si="467">SUM(R126:R130)</f>
        <v>5360497</v>
      </c>
      <c r="S131" s="69">
        <f t="shared" ref="S131" si="468">SUM(S126:S130)</f>
        <v>6381689</v>
      </c>
      <c r="T131" s="69">
        <f t="shared" ref="T131" si="469">SUM(T126:T130)</f>
        <v>6496093</v>
      </c>
      <c r="U131" s="69">
        <f t="shared" ref="U131" si="470">SUM(U126:U130)</f>
        <v>5813389</v>
      </c>
      <c r="V131" s="69">
        <f t="shared" ref="V131" si="471">SUM(V126:V130)</f>
        <v>5626315</v>
      </c>
      <c r="W131" s="69">
        <f t="shared" ref="W131" si="472">SUM(W126:W130)</f>
        <v>5454557</v>
      </c>
      <c r="X131" s="69">
        <f t="shared" ref="X131" si="473">SUM(X126:X130)</f>
        <v>5674946</v>
      </c>
      <c r="Y131" s="69">
        <f t="shared" ref="Y131" si="474">SUM(Y126:Y130)</f>
        <v>5754703</v>
      </c>
      <c r="Z131" s="69">
        <f t="shared" ref="Z131" si="475">SUM(Z126:Z130)</f>
        <v>5921125</v>
      </c>
      <c r="AA131" s="69">
        <f t="shared" ref="AA131" si="476">SUM(AA126:AA130)</f>
        <v>6281649</v>
      </c>
      <c r="AB131" s="69">
        <f t="shared" ref="AB131" si="477">SUM(AB126:AB130)</f>
        <v>8070994</v>
      </c>
      <c r="AC131" s="69">
        <f t="shared" ref="AC131" si="478">SUM(AC126:AC130)</f>
        <v>8370769</v>
      </c>
      <c r="AD131" s="69">
        <f t="shared" ref="AD131" si="479">SUM(AD126:AD130)</f>
        <v>8728122</v>
      </c>
      <c r="AE131" s="69">
        <f t="shared" ref="AE131" si="480">SUM(AE126:AE130)</f>
        <v>10276842</v>
      </c>
      <c r="AF131" s="69">
        <f t="shared" ref="AF131" si="481">SUM(AF126:AF130)</f>
        <v>10468240</v>
      </c>
      <c r="AG131" s="69">
        <f t="shared" ref="AG131" si="482">SUM(AG126:AG130)</f>
        <v>12094889</v>
      </c>
      <c r="AH131" s="69">
        <f t="shared" ref="AH131" si="483">SUM(AH126:AH130)</f>
        <v>16023224</v>
      </c>
      <c r="AI131" s="69">
        <f t="shared" ref="AI131" si="484">SUM(AI126:AI130)</f>
        <v>14793058</v>
      </c>
      <c r="AJ131" s="69">
        <f t="shared" ref="AJ131" si="485">SUM(AJ126:AJ130)</f>
        <v>15554635.342631064</v>
      </c>
      <c r="AK131" s="69">
        <f t="shared" ref="AK131" si="486">SUM(AK126:AK130)</f>
        <v>15987216.181901684</v>
      </c>
      <c r="AL131" s="69">
        <f t="shared" ref="AL131" si="487">SUM(AL126:AL130)</f>
        <v>16399245.123630947</v>
      </c>
      <c r="AM131" s="69">
        <f t="shared" ref="AM131" si="488">SUM(AM126:AM130)</f>
        <v>16977736.595491413</v>
      </c>
      <c r="AN131" s="69">
        <f t="shared" ref="AN131" si="489">SUM(AN126:AN130)</f>
        <v>17826934.006525788</v>
      </c>
      <c r="AO131" s="69">
        <f t="shared" ref="AO131" si="490">SUM(AO126:AO130)</f>
        <v>18328803.211408731</v>
      </c>
      <c r="AP131" s="69">
        <f t="shared" ref="AP131" si="491">SUM(AP126:AP130)</f>
        <v>18816229.496783815</v>
      </c>
      <c r="AQ131" s="69">
        <f t="shared" ref="AQ131" si="492">SUM(AQ126:AQ130)</f>
        <v>19480340.805101063</v>
      </c>
      <c r="AR131" s="69">
        <f t="shared" ref="AR131" si="493">SUM(AR126:AR130)</f>
        <v>20415459.43583845</v>
      </c>
      <c r="AS131" s="69">
        <f t="shared" ref="AS131" si="494">SUM(AS126:AS130)</f>
        <v>20998482.972864557</v>
      </c>
      <c r="AT131" s="69">
        <f t="shared" ref="AT131" si="495">SUM(AT126:AT130)</f>
        <v>21561847.81123719</v>
      </c>
      <c r="AU131" s="69">
        <f t="shared" ref="AU131" si="496">SUM(AU126:AU130)</f>
        <v>22315794.361290228</v>
      </c>
      <c r="AV131" s="69">
        <f t="shared" ref="AV131" si="497">SUM(AV126:AV130)</f>
        <v>23368097.323637243</v>
      </c>
      <c r="AW131" s="69">
        <f t="shared" ref="AW131" si="498">SUM(AW126:AW130)</f>
        <v>24080080.578330677</v>
      </c>
      <c r="AX131" s="69">
        <f t="shared" ref="AX131" si="499">SUM(AX126:AX130)</f>
        <v>24767834.733296484</v>
      </c>
      <c r="AY131" s="69">
        <f t="shared" ref="AY131" si="500">SUM(AY126:AY130)</f>
        <v>25670165.884059187</v>
      </c>
      <c r="AZ131" s="69">
        <f t="shared" ref="AZ131" si="501">SUM(AZ126:AZ130)</f>
        <v>26892430.256108332</v>
      </c>
      <c r="BA131" s="69">
        <f t="shared" ref="BA131" si="502">SUM(BA126:BA130)</f>
        <v>27798744.611750487</v>
      </c>
      <c r="BB131" s="69">
        <f t="shared" ref="BB131" si="503">SUM(BB126:BB130)</f>
        <v>28677967.293402802</v>
      </c>
      <c r="BC131" s="69">
        <f t="shared" ref="BC131" si="504">SUM(BC126:BC130)</f>
        <v>29807036.776510034</v>
      </c>
    </row>
    <row r="132" spans="1:56" ht="3" customHeight="1" thickBot="1" x14ac:dyDescent="0.2"/>
    <row r="133" spans="1:56" ht="15" thickBot="1" x14ac:dyDescent="0.2">
      <c r="B133" s="76" t="s">
        <v>129</v>
      </c>
      <c r="C133" s="77"/>
      <c r="D133" s="78" t="s">
        <v>33</v>
      </c>
      <c r="E133" s="79">
        <f>SUM(E131,E122)</f>
        <v>21274425</v>
      </c>
      <c r="F133" s="79">
        <f t="shared" ref="F133:BC133" si="505">SUM(F131,F122)</f>
        <v>89724873</v>
      </c>
      <c r="G133" s="79">
        <f t="shared" si="505"/>
        <v>14753901</v>
      </c>
      <c r="H133" s="79">
        <f t="shared" si="505"/>
        <v>22541951</v>
      </c>
      <c r="I133" s="79">
        <f t="shared" si="505"/>
        <v>29671832</v>
      </c>
      <c r="J133" s="79">
        <f t="shared" si="505"/>
        <v>31727850.775025185</v>
      </c>
      <c r="K133" s="79">
        <f t="shared" si="505"/>
        <v>35370426.887140304</v>
      </c>
      <c r="L133" s="79">
        <f t="shared" si="505"/>
        <v>38394743.382400021</v>
      </c>
      <c r="M133" s="79">
        <f t="shared" si="505"/>
        <v>42121291.6892296</v>
      </c>
      <c r="N133" s="80">
        <f t="shared" si="505"/>
        <v>48006261.477988452</v>
      </c>
      <c r="O133" s="52"/>
      <c r="P133" s="85">
        <f t="shared" si="505"/>
        <v>10201112</v>
      </c>
      <c r="Q133" s="79">
        <f t="shared" si="505"/>
        <v>15790208</v>
      </c>
      <c r="R133" s="79">
        <f t="shared" si="505"/>
        <v>18454271</v>
      </c>
      <c r="S133" s="79">
        <f t="shared" si="505"/>
        <v>21274425</v>
      </c>
      <c r="T133" s="79">
        <f t="shared" si="505"/>
        <v>20895194</v>
      </c>
      <c r="U133" s="79">
        <f t="shared" si="505"/>
        <v>105468243</v>
      </c>
      <c r="V133" s="79">
        <f t="shared" si="505"/>
        <v>111168363</v>
      </c>
      <c r="W133" s="79">
        <f t="shared" si="505"/>
        <v>89724873</v>
      </c>
      <c r="X133" s="79">
        <f t="shared" si="505"/>
        <v>139301859</v>
      </c>
      <c r="Y133" s="79">
        <f t="shared" si="505"/>
        <v>137650575</v>
      </c>
      <c r="Z133" s="79">
        <f t="shared" si="505"/>
        <v>127305595</v>
      </c>
      <c r="AA133" s="79">
        <f t="shared" si="505"/>
        <v>14753901</v>
      </c>
      <c r="AB133" s="79">
        <f t="shared" si="505"/>
        <v>348036477</v>
      </c>
      <c r="AC133" s="79">
        <f t="shared" si="505"/>
        <v>286959173</v>
      </c>
      <c r="AD133" s="79">
        <f t="shared" si="505"/>
        <v>290558608</v>
      </c>
      <c r="AE133" s="79">
        <f t="shared" si="505"/>
        <v>22541951</v>
      </c>
      <c r="AF133" s="79">
        <f t="shared" si="505"/>
        <v>21731006</v>
      </c>
      <c r="AG133" s="79">
        <f t="shared" si="505"/>
        <v>23476038</v>
      </c>
      <c r="AH133" s="79">
        <f t="shared" si="505"/>
        <v>31351367</v>
      </c>
      <c r="AI133" s="79">
        <f t="shared" si="505"/>
        <v>29671832</v>
      </c>
      <c r="AJ133" s="79">
        <f t="shared" si="505"/>
        <v>23868831.574112363</v>
      </c>
      <c r="AK133" s="79">
        <f t="shared" si="505"/>
        <v>29057123.932320718</v>
      </c>
      <c r="AL133" s="79">
        <f t="shared" si="505"/>
        <v>31953498.963268325</v>
      </c>
      <c r="AM133" s="79">
        <f t="shared" si="505"/>
        <v>31727850.775025185</v>
      </c>
      <c r="AN133" s="79">
        <f t="shared" si="505"/>
        <v>24916373.591580946</v>
      </c>
      <c r="AO133" s="79">
        <f t="shared" si="505"/>
        <v>32381242.495882094</v>
      </c>
      <c r="AP133" s="79">
        <f t="shared" si="505"/>
        <v>35851615.148732848</v>
      </c>
      <c r="AQ133" s="79">
        <f t="shared" si="505"/>
        <v>35370426.887140304</v>
      </c>
      <c r="AR133" s="79">
        <f t="shared" si="505"/>
        <v>27607263.492562983</v>
      </c>
      <c r="AS133" s="79">
        <f t="shared" si="505"/>
        <v>36222661.714647904</v>
      </c>
      <c r="AT133" s="79">
        <f t="shared" si="505"/>
        <v>40005758.831679828</v>
      </c>
      <c r="AU133" s="79">
        <f t="shared" si="505"/>
        <v>38394743.382400021</v>
      </c>
      <c r="AV133" s="79">
        <f t="shared" si="505"/>
        <v>29690909.757703561</v>
      </c>
      <c r="AW133" s="79">
        <f t="shared" si="505"/>
        <v>40063119.292132705</v>
      </c>
      <c r="AX133" s="79">
        <f t="shared" si="505"/>
        <v>44400808.308150046</v>
      </c>
      <c r="AY133" s="79">
        <f t="shared" si="505"/>
        <v>42121291.6892296</v>
      </c>
      <c r="AZ133" s="79">
        <f t="shared" si="505"/>
        <v>31922145.208038226</v>
      </c>
      <c r="BA133" s="79">
        <f t="shared" si="505"/>
        <v>43862188.063749179</v>
      </c>
      <c r="BB133" s="79">
        <f t="shared" si="505"/>
        <v>49163151.315545022</v>
      </c>
      <c r="BC133" s="80">
        <f t="shared" si="505"/>
        <v>48006261.477988452</v>
      </c>
    </row>
    <row r="134" spans="1:56" x14ac:dyDescent="0.15">
      <c r="B134" s="86" t="s">
        <v>130</v>
      </c>
      <c r="C134" s="86"/>
      <c r="D134" s="86"/>
      <c r="E134" s="87" t="str">
        <f>IF(ROUND(E133-E93,5)=0,"Balanced",E133-E93)</f>
        <v>Balanced</v>
      </c>
      <c r="F134" s="87" t="str">
        <f t="shared" ref="F134:P134" si="506">IF(ROUND(F133-F93,5)=0,"Balanced",F133-F93)</f>
        <v>Balanced</v>
      </c>
      <c r="G134" s="87" t="str">
        <f t="shared" si="506"/>
        <v>Balanced</v>
      </c>
      <c r="H134" s="87" t="str">
        <f t="shared" si="506"/>
        <v>Balanced</v>
      </c>
      <c r="I134" s="87" t="str">
        <f t="shared" si="506"/>
        <v>Balanced</v>
      </c>
      <c r="J134" s="87" t="str">
        <f t="shared" si="506"/>
        <v>Balanced</v>
      </c>
      <c r="K134" s="87" t="str">
        <f t="shared" si="506"/>
        <v>Balanced</v>
      </c>
      <c r="L134" s="87" t="str">
        <f t="shared" si="506"/>
        <v>Balanced</v>
      </c>
      <c r="M134" s="87" t="str">
        <f t="shared" si="506"/>
        <v>Balanced</v>
      </c>
      <c r="N134" s="87" t="str">
        <f t="shared" si="506"/>
        <v>Balanced</v>
      </c>
      <c r="O134" s="88"/>
      <c r="P134" s="87" t="str">
        <f t="shared" si="506"/>
        <v>Balanced</v>
      </c>
      <c r="Q134" s="87" t="str">
        <f t="shared" ref="Q134" si="507">IF(ROUND(Q133-Q93,5)=0,"Balanced",Q133-Q93)</f>
        <v>Balanced</v>
      </c>
      <c r="R134" s="87" t="str">
        <f t="shared" ref="R134" si="508">IF(ROUND(R133-R93,5)=0,"Balanced",R133-R93)</f>
        <v>Balanced</v>
      </c>
      <c r="S134" s="87" t="str">
        <f t="shared" ref="S134" si="509">IF(ROUND(S133-S93,5)=0,"Balanced",S133-S93)</f>
        <v>Balanced</v>
      </c>
      <c r="T134" s="87" t="str">
        <f t="shared" ref="T134" si="510">IF(ROUND(T133-T93,5)=0,"Balanced",T133-T93)</f>
        <v>Balanced</v>
      </c>
      <c r="U134" s="87" t="str">
        <f t="shared" ref="U134" si="511">IF(ROUND(U133-U93,5)=0,"Balanced",U133-U93)</f>
        <v>Balanced</v>
      </c>
      <c r="V134" s="87" t="str">
        <f t="shared" ref="V134" si="512">IF(ROUND(V133-V93,5)=0,"Balanced",V133-V93)</f>
        <v>Balanced</v>
      </c>
      <c r="W134" s="87" t="str">
        <f t="shared" ref="W134" si="513">IF(ROUND(W133-W93,5)=0,"Balanced",W133-W93)</f>
        <v>Balanced</v>
      </c>
      <c r="X134" s="87" t="str">
        <f t="shared" ref="X134" si="514">IF(ROUND(X133-X93,5)=0,"Balanced",X133-X93)</f>
        <v>Balanced</v>
      </c>
      <c r="Y134" s="87" t="str">
        <f t="shared" ref="Y134" si="515">IF(ROUND(Y133-Y93,5)=0,"Balanced",Y133-Y93)</f>
        <v>Balanced</v>
      </c>
      <c r="Z134" s="87" t="str">
        <f t="shared" ref="Z134" si="516">IF(ROUND(Z133-Z93,5)=0,"Balanced",Z133-Z93)</f>
        <v>Balanced</v>
      </c>
      <c r="AA134" s="87" t="str">
        <f t="shared" ref="AA134" si="517">IF(ROUND(AA133-AA93,5)=0,"Balanced",AA133-AA93)</f>
        <v>Balanced</v>
      </c>
      <c r="AB134" s="87" t="str">
        <f t="shared" ref="AB134" si="518">IF(ROUND(AB133-AB93,5)=0,"Balanced",AB133-AB93)</f>
        <v>Balanced</v>
      </c>
      <c r="AC134" s="87" t="str">
        <f t="shared" ref="AC134" si="519">IF(ROUND(AC133-AC93,5)=0,"Balanced",AC133-AC93)</f>
        <v>Balanced</v>
      </c>
      <c r="AD134" s="87" t="str">
        <f t="shared" ref="AD134" si="520">IF(ROUND(AD133-AD93,5)=0,"Balanced",AD133-AD93)</f>
        <v>Balanced</v>
      </c>
      <c r="AE134" s="87" t="str">
        <f t="shared" ref="AE134" si="521">IF(ROUND(AE133-AE93,5)=0,"Balanced",AE133-AE93)</f>
        <v>Balanced</v>
      </c>
      <c r="AF134" s="87" t="str">
        <f t="shared" ref="AF134" si="522">IF(ROUND(AF133-AF93,5)=0,"Balanced",AF133-AF93)</f>
        <v>Balanced</v>
      </c>
      <c r="AG134" s="87" t="str">
        <f t="shared" ref="AG134" si="523">IF(ROUND(AG133-AG93,5)=0,"Balanced",AG133-AG93)</f>
        <v>Balanced</v>
      </c>
      <c r="AH134" s="87" t="str">
        <f t="shared" ref="AH134" si="524">IF(ROUND(AH133-AH93,5)=0,"Balanced",AH133-AH93)</f>
        <v>Balanced</v>
      </c>
      <c r="AI134" s="87" t="str">
        <f t="shared" ref="AI134" si="525">IF(ROUND(AI133-AI93,5)=0,"Balanced",AI133-AI93)</f>
        <v>Balanced</v>
      </c>
      <c r="AJ134" s="87" t="str">
        <f t="shared" ref="AJ134" si="526">IF(ROUND(AJ133-AJ93,5)=0,"Balanced",AJ133-AJ93)</f>
        <v>Balanced</v>
      </c>
      <c r="AK134" s="87" t="str">
        <f t="shared" ref="AK134" si="527">IF(ROUND(AK133-AK93,5)=0,"Balanced",AK133-AK93)</f>
        <v>Balanced</v>
      </c>
      <c r="AL134" s="87" t="str">
        <f t="shared" ref="AL134" si="528">IF(ROUND(AL133-AL93,5)=0,"Balanced",AL133-AL93)</f>
        <v>Balanced</v>
      </c>
      <c r="AM134" s="87" t="str">
        <f t="shared" ref="AM134" si="529">IF(ROUND(AM133-AM93,5)=0,"Balanced",AM133-AM93)</f>
        <v>Balanced</v>
      </c>
      <c r="AN134" s="87" t="str">
        <f t="shared" ref="AN134" si="530">IF(ROUND(AN133-AN93,5)=0,"Balanced",AN133-AN93)</f>
        <v>Balanced</v>
      </c>
      <c r="AO134" s="87" t="str">
        <f t="shared" ref="AO134" si="531">IF(ROUND(AO133-AO93,5)=0,"Balanced",AO133-AO93)</f>
        <v>Balanced</v>
      </c>
      <c r="AP134" s="87" t="str">
        <f t="shared" ref="AP134" si="532">IF(ROUND(AP133-AP93,5)=0,"Balanced",AP133-AP93)</f>
        <v>Balanced</v>
      </c>
      <c r="AQ134" s="87" t="str">
        <f t="shared" ref="AQ134" si="533">IF(ROUND(AQ133-AQ93,5)=0,"Balanced",AQ133-AQ93)</f>
        <v>Balanced</v>
      </c>
      <c r="AR134" s="87" t="str">
        <f t="shared" ref="AR134" si="534">IF(ROUND(AR133-AR93,5)=0,"Balanced",AR133-AR93)</f>
        <v>Balanced</v>
      </c>
      <c r="AS134" s="87" t="str">
        <f t="shared" ref="AS134" si="535">IF(ROUND(AS133-AS93,5)=0,"Balanced",AS133-AS93)</f>
        <v>Balanced</v>
      </c>
      <c r="AT134" s="87" t="str">
        <f t="shared" ref="AT134" si="536">IF(ROUND(AT133-AT93,5)=0,"Balanced",AT133-AT93)</f>
        <v>Balanced</v>
      </c>
      <c r="AU134" s="87" t="str">
        <f t="shared" ref="AU134" si="537">IF(ROUND(AU133-AU93,5)=0,"Balanced",AU133-AU93)</f>
        <v>Balanced</v>
      </c>
      <c r="AV134" s="87" t="str">
        <f t="shared" ref="AV134" si="538">IF(ROUND(AV133-AV93,5)=0,"Balanced",AV133-AV93)</f>
        <v>Balanced</v>
      </c>
      <c r="AW134" s="87" t="str">
        <f t="shared" ref="AW134" si="539">IF(ROUND(AW133-AW93,5)=0,"Balanced",AW133-AW93)</f>
        <v>Balanced</v>
      </c>
      <c r="AX134" s="87" t="str">
        <f t="shared" ref="AX134" si="540">IF(ROUND(AX133-AX93,5)=0,"Balanced",AX133-AX93)</f>
        <v>Balanced</v>
      </c>
      <c r="AY134" s="87" t="str">
        <f t="shared" ref="AY134" si="541">IF(ROUND(AY133-AY93,5)=0,"Balanced",AY133-AY93)</f>
        <v>Balanced</v>
      </c>
      <c r="AZ134" s="87" t="str">
        <f t="shared" ref="AZ134" si="542">IF(ROUND(AZ133-AZ93,5)=0,"Balanced",AZ133-AZ93)</f>
        <v>Balanced</v>
      </c>
      <c r="BA134" s="87" t="str">
        <f t="shared" ref="BA134" si="543">IF(ROUND(BA133-BA93,5)=0,"Balanced",BA133-BA93)</f>
        <v>Balanced</v>
      </c>
      <c r="BB134" s="87" t="str">
        <f t="shared" ref="BB134" si="544">IF(ROUND(BB133-BB93,5)=0,"Balanced",BB133-BB93)</f>
        <v>Balanced</v>
      </c>
      <c r="BC134" s="87" t="str">
        <f t="shared" ref="BC134" si="545">IF(ROUND(BC133-BC93,5)=0,"Balanced",BC133-BC93)</f>
        <v>Balanced</v>
      </c>
    </row>
    <row r="136" spans="1:56" x14ac:dyDescent="0.15">
      <c r="A136" s="1" t="s">
        <v>27</v>
      </c>
      <c r="B136" s="33" t="s">
        <v>131</v>
      </c>
      <c r="C136" s="33"/>
      <c r="D136" s="34" t="s">
        <v>29</v>
      </c>
      <c r="E136" s="35">
        <v>21</v>
      </c>
      <c r="F136" s="35">
        <f>E136+1</f>
        <v>22</v>
      </c>
      <c r="G136" s="35">
        <f t="shared" ref="G136" si="546">F136+1</f>
        <v>23</v>
      </c>
      <c r="H136" s="35">
        <f t="shared" ref="H136" si="547">G136+1</f>
        <v>24</v>
      </c>
      <c r="I136" s="36">
        <f t="shared" ref="I136" si="548">H136+1</f>
        <v>25</v>
      </c>
      <c r="J136" s="36">
        <f t="shared" ref="J136" si="549">I136+1</f>
        <v>26</v>
      </c>
      <c r="K136" s="36">
        <f t="shared" ref="K136" si="550">J136+1</f>
        <v>27</v>
      </c>
      <c r="L136" s="36">
        <f t="shared" ref="L136" si="551">K136+1</f>
        <v>28</v>
      </c>
      <c r="M136" s="36">
        <f t="shared" ref="M136" si="552">L136+1</f>
        <v>29</v>
      </c>
      <c r="N136" s="36">
        <f t="shared" ref="N136" si="553">M136+1</f>
        <v>30</v>
      </c>
      <c r="P136" s="41">
        <v>44286</v>
      </c>
      <c r="Q136" s="41">
        <v>44377</v>
      </c>
      <c r="R136" s="41">
        <v>44469</v>
      </c>
      <c r="S136" s="41">
        <v>44561</v>
      </c>
      <c r="T136" s="41">
        <v>44651</v>
      </c>
      <c r="U136" s="41">
        <v>44742</v>
      </c>
      <c r="V136" s="41">
        <v>44834</v>
      </c>
      <c r="W136" s="41">
        <v>44926</v>
      </c>
      <c r="X136" s="41">
        <v>45016</v>
      </c>
      <c r="Y136" s="41">
        <v>45107</v>
      </c>
      <c r="Z136" s="41">
        <v>45199</v>
      </c>
      <c r="AA136" s="41">
        <v>45291</v>
      </c>
      <c r="AB136" s="41">
        <v>45382</v>
      </c>
      <c r="AC136" s="41">
        <v>45473</v>
      </c>
      <c r="AD136" s="41">
        <v>45565</v>
      </c>
      <c r="AE136" s="41">
        <v>45657</v>
      </c>
      <c r="AF136" s="41">
        <v>45747</v>
      </c>
      <c r="AG136" s="41">
        <v>45838</v>
      </c>
      <c r="AH136" s="41">
        <v>45930</v>
      </c>
      <c r="AI136" s="41">
        <v>46022</v>
      </c>
      <c r="AJ136" s="41">
        <v>46112</v>
      </c>
      <c r="AK136" s="41">
        <v>46203</v>
      </c>
      <c r="AL136" s="41">
        <v>46295</v>
      </c>
      <c r="AM136" s="41">
        <v>46387</v>
      </c>
      <c r="AN136" s="41">
        <v>46477</v>
      </c>
      <c r="AO136" s="41">
        <v>46568</v>
      </c>
      <c r="AP136" s="41">
        <v>46660</v>
      </c>
      <c r="AQ136" s="41">
        <v>46752</v>
      </c>
      <c r="AR136" s="41">
        <v>46843</v>
      </c>
      <c r="AS136" s="41">
        <v>46934</v>
      </c>
      <c r="AT136" s="41">
        <v>47026</v>
      </c>
      <c r="AU136" s="41">
        <v>47118</v>
      </c>
      <c r="AV136" s="41">
        <v>47208</v>
      </c>
      <c r="AW136" s="41">
        <v>47299</v>
      </c>
      <c r="AX136" s="41">
        <v>47391</v>
      </c>
      <c r="AY136" s="41">
        <v>47483</v>
      </c>
      <c r="AZ136" s="41">
        <v>47573</v>
      </c>
      <c r="BA136" s="41">
        <v>47664</v>
      </c>
      <c r="BB136" s="41">
        <v>47756</v>
      </c>
      <c r="BC136" s="41">
        <v>47848</v>
      </c>
    </row>
    <row r="137" spans="1:56" ht="3" customHeight="1" x14ac:dyDescent="0.15">
      <c r="D137" s="37"/>
    </row>
    <row r="138" spans="1:56" x14ac:dyDescent="0.15">
      <c r="B138" s="38" t="s">
        <v>132</v>
      </c>
      <c r="C138" s="39"/>
      <c r="D138" s="40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P138" s="42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39"/>
      <c r="BC138" s="39"/>
    </row>
    <row r="139" spans="1:56" ht="3" customHeight="1" x14ac:dyDescent="0.15"/>
    <row r="140" spans="1:56" x14ac:dyDescent="0.15">
      <c r="B140" s="1" t="s">
        <v>60</v>
      </c>
      <c r="D140" s="43" t="s">
        <v>33</v>
      </c>
      <c r="E140" s="50">
        <f>E51</f>
        <v>3624120</v>
      </c>
      <c r="F140" s="50">
        <f t="shared" ref="F140:BC140" si="554">F51</f>
        <v>-2624949</v>
      </c>
      <c r="G140" s="50">
        <f t="shared" si="554"/>
        <v>94871</v>
      </c>
      <c r="H140" s="50">
        <f t="shared" si="554"/>
        <v>2507341</v>
      </c>
      <c r="I140" s="50">
        <f t="shared" si="554"/>
        <v>1281031</v>
      </c>
      <c r="J140" s="50">
        <f t="shared" si="554"/>
        <v>2227981.9871333139</v>
      </c>
      <c r="K140" s="50">
        <f t="shared" si="554"/>
        <v>2507560.3179230574</v>
      </c>
      <c r="L140" s="50">
        <f t="shared" si="554"/>
        <v>2840622.221735111</v>
      </c>
      <c r="M140" s="50">
        <f t="shared" si="554"/>
        <v>3362510.9434891106</v>
      </c>
      <c r="N140" s="50">
        <f t="shared" si="554"/>
        <v>4149970.552588339</v>
      </c>
      <c r="P140" s="50">
        <f t="shared" si="554"/>
        <v>771463</v>
      </c>
      <c r="Q140" s="50">
        <f t="shared" si="554"/>
        <v>1606349</v>
      </c>
      <c r="R140" s="50">
        <f t="shared" si="554"/>
        <v>406100</v>
      </c>
      <c r="S140" s="50">
        <f t="shared" si="554"/>
        <v>840208</v>
      </c>
      <c r="T140" s="50">
        <f t="shared" si="554"/>
        <v>-429659</v>
      </c>
      <c r="U140" s="50">
        <f t="shared" si="554"/>
        <v>-1093654</v>
      </c>
      <c r="V140" s="50">
        <f t="shared" si="554"/>
        <v>-544635</v>
      </c>
      <c r="W140" s="50">
        <f t="shared" si="554"/>
        <v>-557001</v>
      </c>
      <c r="X140" s="50">
        <f t="shared" si="554"/>
        <v>-78896</v>
      </c>
      <c r="Y140" s="50">
        <f t="shared" si="554"/>
        <v>-97405</v>
      </c>
      <c r="Z140" s="50">
        <f t="shared" si="554"/>
        <v>-2265</v>
      </c>
      <c r="AA140" s="50">
        <f t="shared" si="554"/>
        <v>273437</v>
      </c>
      <c r="AB140" s="50">
        <f t="shared" si="554"/>
        <v>1089887</v>
      </c>
      <c r="AC140" s="50">
        <f t="shared" si="554"/>
        <v>67166</v>
      </c>
      <c r="AD140" s="50">
        <f t="shared" si="554"/>
        <v>75353</v>
      </c>
      <c r="AE140" s="50">
        <f t="shared" si="554"/>
        <v>1274935</v>
      </c>
      <c r="AF140" s="50">
        <f t="shared" si="554"/>
        <v>99973</v>
      </c>
      <c r="AG140" s="50">
        <f t="shared" si="554"/>
        <v>1420198</v>
      </c>
      <c r="AH140" s="50">
        <f t="shared" si="554"/>
        <v>396812</v>
      </c>
      <c r="AI140" s="50">
        <f t="shared" si="554"/>
        <v>-635952</v>
      </c>
      <c r="AJ140" s="50">
        <f t="shared" si="554"/>
        <v>805108.97198199027</v>
      </c>
      <c r="AK140" s="50">
        <f t="shared" si="554"/>
        <v>434141.05577435344</v>
      </c>
      <c r="AL140" s="50">
        <f t="shared" si="554"/>
        <v>428721.19841332984</v>
      </c>
      <c r="AM140" s="50">
        <f t="shared" si="554"/>
        <v>560010.76096363983</v>
      </c>
      <c r="AN140" s="50">
        <f t="shared" si="554"/>
        <v>851105.62084682996</v>
      </c>
      <c r="AO140" s="50">
        <f t="shared" si="554"/>
        <v>507273.04295132298</v>
      </c>
      <c r="AP140" s="50">
        <f t="shared" si="554"/>
        <v>507341.21295300272</v>
      </c>
      <c r="AQ140" s="50">
        <f t="shared" si="554"/>
        <v>641840.44117190246</v>
      </c>
      <c r="AR140" s="50">
        <f t="shared" si="554"/>
        <v>935634.39679147478</v>
      </c>
      <c r="AS140" s="50">
        <f t="shared" si="554"/>
        <v>591450.99290413351</v>
      </c>
      <c r="AT140" s="50">
        <f t="shared" si="554"/>
        <v>585009.99821395427</v>
      </c>
      <c r="AU140" s="50">
        <f t="shared" si="554"/>
        <v>728526.83382554841</v>
      </c>
      <c r="AV140" s="50">
        <f t="shared" si="554"/>
        <v>1052210.9217462642</v>
      </c>
      <c r="AW140" s="50">
        <f t="shared" si="554"/>
        <v>725737.80689373903</v>
      </c>
      <c r="AX140" s="50">
        <f t="shared" si="554"/>
        <v>712438.04180010222</v>
      </c>
      <c r="AY140" s="50">
        <f t="shared" si="554"/>
        <v>872124.17304900486</v>
      </c>
      <c r="AZ140" s="50">
        <f t="shared" si="554"/>
        <v>1221235.9095542498</v>
      </c>
      <c r="BA140" s="50">
        <f t="shared" si="554"/>
        <v>928862.19926288712</v>
      </c>
      <c r="BB140" s="50">
        <f t="shared" si="554"/>
        <v>909270.34848185349</v>
      </c>
      <c r="BC140" s="50">
        <f t="shared" si="554"/>
        <v>1090602.0952893465</v>
      </c>
    </row>
    <row r="141" spans="1:56" x14ac:dyDescent="0.15">
      <c r="B141" s="75" t="s">
        <v>133</v>
      </c>
    </row>
    <row r="142" spans="1:56" x14ac:dyDescent="0.15">
      <c r="B142" s="1" t="s">
        <v>134</v>
      </c>
      <c r="D142" s="43" t="s">
        <v>33</v>
      </c>
      <c r="E142" s="50">
        <f t="shared" ref="E142:I143" si="555">SUMIF($P$1:$AI$1,E$1,$P142:$AI142)</f>
        <v>18351</v>
      </c>
      <c r="F142" s="50">
        <f t="shared" si="555"/>
        <v>47969</v>
      </c>
      <c r="G142" s="50">
        <f t="shared" si="555"/>
        <v>51031</v>
      </c>
      <c r="H142" s="50">
        <f t="shared" si="555"/>
        <v>100476</v>
      </c>
      <c r="I142" s="50">
        <f t="shared" si="555"/>
        <v>121302</v>
      </c>
      <c r="J142" s="50">
        <f t="shared" ref="J142:N157" si="556">SUMIFS($AJ142:$BC142,$AJ$1:$BC$1,J$1)</f>
        <v>119651.69100406047</v>
      </c>
      <c r="K142" s="50">
        <f t="shared" si="556"/>
        <v>153537.80943963595</v>
      </c>
      <c r="L142" s="50">
        <f t="shared" si="556"/>
        <v>191513.22434796835</v>
      </c>
      <c r="M142" s="50">
        <f t="shared" si="556"/>
        <v>235617.70196223544</v>
      </c>
      <c r="N142" s="50">
        <f t="shared" si="556"/>
        <v>289665.44592390792</v>
      </c>
      <c r="P142" s="51">
        <v>4022</v>
      </c>
      <c r="Q142" s="51">
        <v>4312</v>
      </c>
      <c r="R142" s="51">
        <v>4799</v>
      </c>
      <c r="S142" s="51">
        <v>5218</v>
      </c>
      <c r="T142" s="51">
        <v>5680</v>
      </c>
      <c r="U142" s="51">
        <v>15627</v>
      </c>
      <c r="V142" s="51">
        <v>12414</v>
      </c>
      <c r="W142" s="51">
        <v>14248</v>
      </c>
      <c r="X142" s="51">
        <v>7600</v>
      </c>
      <c r="Y142" s="51">
        <v>6837</v>
      </c>
      <c r="Z142" s="51">
        <v>7109</v>
      </c>
      <c r="AA142" s="51">
        <v>29485</v>
      </c>
      <c r="AB142" s="51">
        <v>29327</v>
      </c>
      <c r="AC142" s="51">
        <v>34501</v>
      </c>
      <c r="AD142" s="51">
        <v>8909</v>
      </c>
      <c r="AE142" s="51">
        <v>27739</v>
      </c>
      <c r="AF142" s="51">
        <v>33333</v>
      </c>
      <c r="AG142" s="51">
        <v>33901</v>
      </c>
      <c r="AH142" s="51">
        <v>18847</v>
      </c>
      <c r="AI142" s="51">
        <v>35221</v>
      </c>
      <c r="AJ142" s="50">
        <f>-INDEX(PPE!$K$35:$O$35,MATCH('3FS'!AJ$1,PPE!$K$1:$O$1,0))/4</f>
        <v>29912.922751015118</v>
      </c>
      <c r="AK142" s="50">
        <f>-INDEX(PPE!$K$35:$O$35,MATCH('3FS'!AK$1,PPE!$K$1:$O$1,0))/4</f>
        <v>29912.922751015118</v>
      </c>
      <c r="AL142" s="50">
        <f>-INDEX(PPE!$K$35:$O$35,MATCH('3FS'!AL$1,PPE!$K$1:$O$1,0))/4</f>
        <v>29912.922751015118</v>
      </c>
      <c r="AM142" s="50">
        <f>-INDEX(PPE!$K$35:$O$35,MATCH('3FS'!AM$1,PPE!$K$1:$O$1,0))/4</f>
        <v>29912.922751015118</v>
      </c>
      <c r="AN142" s="50">
        <f>-INDEX(PPE!$K$35:$O$35,MATCH('3FS'!AN$1,PPE!$K$1:$O$1,0))/4</f>
        <v>38384.452359908988</v>
      </c>
      <c r="AO142" s="50">
        <f>-INDEX(PPE!$K$35:$O$35,MATCH('3FS'!AO$1,PPE!$K$1:$O$1,0))/4</f>
        <v>38384.452359908988</v>
      </c>
      <c r="AP142" s="50">
        <f>-INDEX(PPE!$K$35:$O$35,MATCH('3FS'!AP$1,PPE!$K$1:$O$1,0))/4</f>
        <v>38384.452359908988</v>
      </c>
      <c r="AQ142" s="50">
        <f>-INDEX(PPE!$K$35:$O$35,MATCH('3FS'!AQ$1,PPE!$K$1:$O$1,0))/4</f>
        <v>38384.452359908988</v>
      </c>
      <c r="AR142" s="50">
        <f>-INDEX(PPE!$K$35:$O$35,MATCH('3FS'!AR$1,PPE!$K$1:$O$1,0))/4</f>
        <v>47878.306086992088</v>
      </c>
      <c r="AS142" s="50">
        <f>-INDEX(PPE!$K$35:$O$35,MATCH('3FS'!AS$1,PPE!$K$1:$O$1,0))/4</f>
        <v>47878.306086992088</v>
      </c>
      <c r="AT142" s="50">
        <f>-INDEX(PPE!$K$35:$O$35,MATCH('3FS'!AT$1,PPE!$K$1:$O$1,0))/4</f>
        <v>47878.306086992088</v>
      </c>
      <c r="AU142" s="50">
        <f>-INDEX(PPE!$K$35:$O$35,MATCH('3FS'!AU$1,PPE!$K$1:$O$1,0))/4</f>
        <v>47878.306086992088</v>
      </c>
      <c r="AV142" s="50">
        <f>-INDEX(PPE!$K$35:$O$35,MATCH('3FS'!AV$1,PPE!$K$1:$O$1,0))/4</f>
        <v>58904.42549055886</v>
      </c>
      <c r="AW142" s="50">
        <f>-INDEX(PPE!$K$35:$O$35,MATCH('3FS'!AW$1,PPE!$K$1:$O$1,0))/4</f>
        <v>58904.42549055886</v>
      </c>
      <c r="AX142" s="50">
        <f>-INDEX(PPE!$K$35:$O$35,MATCH('3FS'!AX$1,PPE!$K$1:$O$1,0))/4</f>
        <v>58904.42549055886</v>
      </c>
      <c r="AY142" s="50">
        <f>-INDEX(PPE!$K$35:$O$35,MATCH('3FS'!AY$1,PPE!$K$1:$O$1,0))/4</f>
        <v>58904.42549055886</v>
      </c>
      <c r="AZ142" s="50">
        <f>-INDEX(PPE!$K$35:$O$35,MATCH('3FS'!AZ$1,PPE!$K$1:$O$1,0))/4</f>
        <v>72416.361480976979</v>
      </c>
      <c r="BA142" s="50">
        <f>-INDEX(PPE!$K$35:$O$35,MATCH('3FS'!BA$1,PPE!$K$1:$O$1,0))/4</f>
        <v>72416.361480976979</v>
      </c>
      <c r="BB142" s="50">
        <f>-INDEX(PPE!$K$35:$O$35,MATCH('3FS'!BB$1,PPE!$K$1:$O$1,0))/4</f>
        <v>72416.361480976979</v>
      </c>
      <c r="BC142" s="50">
        <f>-INDEX(PPE!$K$35:$O$35,MATCH('3FS'!BC$1,PPE!$K$1:$O$1,0))/4</f>
        <v>72416.361480976979</v>
      </c>
    </row>
    <row r="143" spans="1:56" x14ac:dyDescent="0.15">
      <c r="B143" s="1" t="s">
        <v>135</v>
      </c>
      <c r="D143" s="43" t="s">
        <v>33</v>
      </c>
      <c r="E143" s="50">
        <f t="shared" si="555"/>
        <v>45300</v>
      </c>
      <c r="F143" s="50">
        <f t="shared" si="555"/>
        <v>106100</v>
      </c>
      <c r="G143" s="50">
        <f t="shared" si="555"/>
        <v>88611</v>
      </c>
      <c r="H143" s="50">
        <f t="shared" si="555"/>
        <v>27042</v>
      </c>
      <c r="I143" s="50">
        <f t="shared" si="555"/>
        <v>67126</v>
      </c>
      <c r="J143" s="50">
        <f t="shared" si="556"/>
        <v>144731.58288345428</v>
      </c>
      <c r="K143" s="50">
        <f t="shared" si="556"/>
        <v>147391.08527159118</v>
      </c>
      <c r="L143" s="50">
        <f t="shared" si="556"/>
        <v>150371.5301056967</v>
      </c>
      <c r="M143" s="50">
        <f t="shared" si="556"/>
        <v>153833.0054518824</v>
      </c>
      <c r="N143" s="50">
        <f t="shared" si="556"/>
        <v>158074.86349805427</v>
      </c>
      <c r="P143" s="51">
        <v>6900</v>
      </c>
      <c r="Q143" s="51">
        <v>8300</v>
      </c>
      <c r="R143" s="51">
        <v>12300</v>
      </c>
      <c r="S143" s="51">
        <v>17800</v>
      </c>
      <c r="T143" s="51">
        <v>25900</v>
      </c>
      <c r="U143" s="51">
        <v>26400</v>
      </c>
      <c r="V143" s="51">
        <v>27700</v>
      </c>
      <c r="W143" s="51">
        <v>26100</v>
      </c>
      <c r="X143" s="51">
        <v>33608</v>
      </c>
      <c r="Y143" s="51">
        <v>30145</v>
      </c>
      <c r="Z143" s="51">
        <v>24858</v>
      </c>
      <c r="AA143" s="51">
        <v>0</v>
      </c>
      <c r="AB143" s="51">
        <v>0</v>
      </c>
      <c r="AC143" s="51">
        <v>0</v>
      </c>
      <c r="AD143" s="51">
        <v>21786</v>
      </c>
      <c r="AE143" s="51">
        <v>5256</v>
      </c>
      <c r="AF143" s="51">
        <v>0</v>
      </c>
      <c r="AG143" s="51">
        <v>0</v>
      </c>
      <c r="AH143" s="51">
        <v>31231</v>
      </c>
      <c r="AI143" s="51">
        <v>35895</v>
      </c>
      <c r="AJ143" s="50">
        <f>-INDEX(Intangibles!$K$58:$O$58,MATCH('3FS'!AJ$1,Intangibles!$K$1:$O$1,0))/4</f>
        <v>36182.895720863569</v>
      </c>
      <c r="AK143" s="50">
        <f>-INDEX(Intangibles!$K$58:$O$58,MATCH('3FS'!AK$1,Intangibles!$K$1:$O$1,0))/4</f>
        <v>36182.895720863569</v>
      </c>
      <c r="AL143" s="50">
        <f>-INDEX(Intangibles!$K$58:$O$58,MATCH('3FS'!AL$1,Intangibles!$K$1:$O$1,0))/4</f>
        <v>36182.895720863569</v>
      </c>
      <c r="AM143" s="50">
        <f>-INDEX(Intangibles!$K$58:$O$58,MATCH('3FS'!AM$1,Intangibles!$K$1:$O$1,0))/4</f>
        <v>36182.895720863569</v>
      </c>
      <c r="AN143" s="50">
        <f>-INDEX(Intangibles!$K$58:$O$58,MATCH('3FS'!AN$1,Intangibles!$K$1:$O$1,0))/4</f>
        <v>36847.771317897794</v>
      </c>
      <c r="AO143" s="50">
        <f>-INDEX(Intangibles!$K$58:$O$58,MATCH('3FS'!AO$1,Intangibles!$K$1:$O$1,0))/4</f>
        <v>36847.771317897794</v>
      </c>
      <c r="AP143" s="50">
        <f>-INDEX(Intangibles!$K$58:$O$58,MATCH('3FS'!AP$1,Intangibles!$K$1:$O$1,0))/4</f>
        <v>36847.771317897794</v>
      </c>
      <c r="AQ143" s="50">
        <f>-INDEX(Intangibles!$K$58:$O$58,MATCH('3FS'!AQ$1,Intangibles!$K$1:$O$1,0))/4</f>
        <v>36847.771317897794</v>
      </c>
      <c r="AR143" s="50">
        <f>-INDEX(Intangibles!$K$58:$O$58,MATCH('3FS'!AR$1,Intangibles!$K$1:$O$1,0))/4</f>
        <v>37592.882526424175</v>
      </c>
      <c r="AS143" s="50">
        <f>-INDEX(Intangibles!$K$58:$O$58,MATCH('3FS'!AS$1,Intangibles!$K$1:$O$1,0))/4</f>
        <v>37592.882526424175</v>
      </c>
      <c r="AT143" s="50">
        <f>-INDEX(Intangibles!$K$58:$O$58,MATCH('3FS'!AT$1,Intangibles!$K$1:$O$1,0))/4</f>
        <v>37592.882526424175</v>
      </c>
      <c r="AU143" s="50">
        <f>-INDEX(Intangibles!$K$58:$O$58,MATCH('3FS'!AU$1,Intangibles!$K$1:$O$1,0))/4</f>
        <v>37592.882526424175</v>
      </c>
      <c r="AV143" s="50">
        <f>-INDEX(Intangibles!$K$58:$O$58,MATCH('3FS'!AV$1,Intangibles!$K$1:$O$1,0))/4</f>
        <v>38458.251362970601</v>
      </c>
      <c r="AW143" s="50">
        <f>-INDEX(Intangibles!$K$58:$O$58,MATCH('3FS'!AW$1,Intangibles!$K$1:$O$1,0))/4</f>
        <v>38458.251362970601</v>
      </c>
      <c r="AX143" s="50">
        <f>-INDEX(Intangibles!$K$58:$O$58,MATCH('3FS'!AX$1,Intangibles!$K$1:$O$1,0))/4</f>
        <v>38458.251362970601</v>
      </c>
      <c r="AY143" s="50">
        <f>-INDEX(Intangibles!$K$58:$O$58,MATCH('3FS'!AY$1,Intangibles!$K$1:$O$1,0))/4</f>
        <v>38458.251362970601</v>
      </c>
      <c r="AZ143" s="50">
        <f>-INDEX(Intangibles!$K$58:$O$58,MATCH('3FS'!AZ$1,Intangibles!$K$1:$O$1,0))/4</f>
        <v>39518.715874513568</v>
      </c>
      <c r="BA143" s="50">
        <f>-INDEX(Intangibles!$K$58:$O$58,MATCH('3FS'!BA$1,Intangibles!$K$1:$O$1,0))/4</f>
        <v>39518.715874513568</v>
      </c>
      <c r="BB143" s="50">
        <f>-INDEX(Intangibles!$K$58:$O$58,MATCH('3FS'!BB$1,Intangibles!$K$1:$O$1,0))/4</f>
        <v>39518.715874513568</v>
      </c>
      <c r="BC143" s="50">
        <f>-INDEX(Intangibles!$K$58:$O$58,MATCH('3FS'!BC$1,Intangibles!$K$1:$O$1,0))/4</f>
        <v>39518.715874513568</v>
      </c>
    </row>
    <row r="144" spans="1:56" x14ac:dyDescent="0.15">
      <c r="B144" s="75" t="s">
        <v>136</v>
      </c>
    </row>
    <row r="145" spans="2:55" x14ac:dyDescent="0.15">
      <c r="B145" s="192" t="str">
        <f>"Increase/(Decrease) in " &amp;B61</f>
        <v>Increase/(Decrease) in Accounts Receivable, Net of Allowance</v>
      </c>
      <c r="D145" s="43" t="s">
        <v>33</v>
      </c>
      <c r="E145" s="119"/>
      <c r="F145" s="119"/>
      <c r="G145" s="119"/>
      <c r="H145" s="119"/>
      <c r="I145" s="119"/>
      <c r="J145" s="50">
        <f t="shared" si="556"/>
        <v>0</v>
      </c>
      <c r="K145" s="50">
        <f t="shared" si="556"/>
        <v>0</v>
      </c>
      <c r="L145" s="50">
        <f t="shared" si="556"/>
        <v>0</v>
      </c>
      <c r="M145" s="50">
        <f t="shared" si="556"/>
        <v>0</v>
      </c>
      <c r="N145" s="50">
        <f t="shared" si="556"/>
        <v>0</v>
      </c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  <c r="AC145" s="119"/>
      <c r="AD145" s="119"/>
      <c r="AE145" s="119"/>
      <c r="AF145" s="119"/>
      <c r="AG145" s="119"/>
      <c r="AH145" s="119"/>
      <c r="AI145" s="119"/>
      <c r="AJ145" s="50">
        <f>AI61-AJ61</f>
        <v>0</v>
      </c>
      <c r="AK145" s="50">
        <f t="shared" ref="AK145:BC145" si="557">AJ61-AK61</f>
        <v>0</v>
      </c>
      <c r="AL145" s="50">
        <f t="shared" si="557"/>
        <v>0</v>
      </c>
      <c r="AM145" s="50">
        <f t="shared" si="557"/>
        <v>0</v>
      </c>
      <c r="AN145" s="50">
        <f t="shared" si="557"/>
        <v>0</v>
      </c>
      <c r="AO145" s="50">
        <f t="shared" si="557"/>
        <v>0</v>
      </c>
      <c r="AP145" s="50">
        <f t="shared" si="557"/>
        <v>0</v>
      </c>
      <c r="AQ145" s="50">
        <f t="shared" si="557"/>
        <v>0</v>
      </c>
      <c r="AR145" s="50">
        <f t="shared" si="557"/>
        <v>0</v>
      </c>
      <c r="AS145" s="50">
        <f t="shared" si="557"/>
        <v>0</v>
      </c>
      <c r="AT145" s="50">
        <f t="shared" si="557"/>
        <v>0</v>
      </c>
      <c r="AU145" s="50">
        <f t="shared" si="557"/>
        <v>0</v>
      </c>
      <c r="AV145" s="50">
        <f t="shared" si="557"/>
        <v>0</v>
      </c>
      <c r="AW145" s="50">
        <f t="shared" si="557"/>
        <v>0</v>
      </c>
      <c r="AX145" s="50">
        <f t="shared" si="557"/>
        <v>0</v>
      </c>
      <c r="AY145" s="50">
        <f t="shared" si="557"/>
        <v>0</v>
      </c>
      <c r="AZ145" s="50">
        <f t="shared" si="557"/>
        <v>0</v>
      </c>
      <c r="BA145" s="50">
        <f t="shared" si="557"/>
        <v>0</v>
      </c>
      <c r="BB145" s="50">
        <f t="shared" si="557"/>
        <v>0</v>
      </c>
      <c r="BC145" s="50">
        <f t="shared" si="557"/>
        <v>0</v>
      </c>
    </row>
    <row r="146" spans="2:55" x14ac:dyDescent="0.15">
      <c r="B146" s="192" t="str">
        <f t="shared" ref="B146:B147" si="558">"Increase/(Decrease) in " &amp;B62</f>
        <v>Increase/(Decrease) in Accounts Receivable, Net</v>
      </c>
      <c r="D146" s="43" t="s">
        <v>33</v>
      </c>
      <c r="E146" s="119"/>
      <c r="F146" s="119"/>
      <c r="G146" s="119"/>
      <c r="H146" s="119"/>
      <c r="I146" s="119"/>
      <c r="J146" s="50">
        <f>SUMIFS($AJ146:$BC146,$AJ$1:$BC$1,J$1)</f>
        <v>103982.70475303294</v>
      </c>
      <c r="K146" s="50">
        <f t="shared" si="556"/>
        <v>-26265.462952572649</v>
      </c>
      <c r="L146" s="50">
        <f t="shared" si="556"/>
        <v>-27391.934321551525</v>
      </c>
      <c r="M146" s="50">
        <f t="shared" si="556"/>
        <v>-43135.791201814223</v>
      </c>
      <c r="N146" s="50">
        <f t="shared" si="556"/>
        <v>-69423.147412210412</v>
      </c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  <c r="AC146" s="119"/>
      <c r="AD146" s="119"/>
      <c r="AE146" s="119"/>
      <c r="AF146" s="119"/>
      <c r="AG146" s="119"/>
      <c r="AH146" s="119"/>
      <c r="AI146" s="119"/>
      <c r="AJ146" s="50">
        <f t="shared" ref="AJ146:BC146" si="559">AI62-AJ62</f>
        <v>307119</v>
      </c>
      <c r="AK146" s="50">
        <f t="shared" si="559"/>
        <v>0</v>
      </c>
      <c r="AL146" s="50">
        <f t="shared" si="559"/>
        <v>0</v>
      </c>
      <c r="AM146" s="50">
        <f t="shared" si="559"/>
        <v>-203136.29524696706</v>
      </c>
      <c r="AN146" s="50">
        <f t="shared" si="559"/>
        <v>203136.29524696706</v>
      </c>
      <c r="AO146" s="50">
        <f t="shared" si="559"/>
        <v>0</v>
      </c>
      <c r="AP146" s="50">
        <f t="shared" si="559"/>
        <v>0</v>
      </c>
      <c r="AQ146" s="50">
        <f t="shared" si="559"/>
        <v>-229401.7581995397</v>
      </c>
      <c r="AR146" s="50">
        <f t="shared" si="559"/>
        <v>229401.7581995397</v>
      </c>
      <c r="AS146" s="50">
        <f t="shared" si="559"/>
        <v>0</v>
      </c>
      <c r="AT146" s="50">
        <f t="shared" si="559"/>
        <v>0</v>
      </c>
      <c r="AU146" s="50">
        <f t="shared" si="559"/>
        <v>-256793.69252109123</v>
      </c>
      <c r="AV146" s="50">
        <f t="shared" si="559"/>
        <v>256793.69252109123</v>
      </c>
      <c r="AW146" s="50">
        <f t="shared" si="559"/>
        <v>0</v>
      </c>
      <c r="AX146" s="50">
        <f t="shared" si="559"/>
        <v>0</v>
      </c>
      <c r="AY146" s="50">
        <f t="shared" si="559"/>
        <v>-299929.48372290545</v>
      </c>
      <c r="AZ146" s="50">
        <f t="shared" si="559"/>
        <v>299929.48372290545</v>
      </c>
      <c r="BA146" s="50">
        <f t="shared" si="559"/>
        <v>0</v>
      </c>
      <c r="BB146" s="50">
        <f t="shared" si="559"/>
        <v>0</v>
      </c>
      <c r="BC146" s="50">
        <f t="shared" si="559"/>
        <v>-369352.63113511587</v>
      </c>
    </row>
    <row r="147" spans="2:55" x14ac:dyDescent="0.15">
      <c r="B147" s="192" t="str">
        <f t="shared" si="558"/>
        <v>Increase/(Decrease) in Accounts and Loans Receivable, Net of Allowance</v>
      </c>
      <c r="D147" s="43" t="s">
        <v>33</v>
      </c>
      <c r="E147" s="119"/>
      <c r="F147" s="119"/>
      <c r="G147" s="119"/>
      <c r="H147" s="119"/>
      <c r="I147" s="119"/>
      <c r="J147" s="50">
        <f t="shared" si="556"/>
        <v>0</v>
      </c>
      <c r="K147" s="50">
        <f t="shared" si="556"/>
        <v>0</v>
      </c>
      <c r="L147" s="50">
        <f t="shared" si="556"/>
        <v>0</v>
      </c>
      <c r="M147" s="50">
        <f t="shared" si="556"/>
        <v>0</v>
      </c>
      <c r="N147" s="50">
        <f t="shared" si="556"/>
        <v>1.1641532182693481E-10</v>
      </c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 s="119"/>
      <c r="AD147" s="119"/>
      <c r="AE147" s="119"/>
      <c r="AF147" s="119"/>
      <c r="AG147" s="119"/>
      <c r="AH147" s="119"/>
      <c r="AI147" s="119"/>
      <c r="AJ147" s="50">
        <f>AI63-AJ63</f>
        <v>-216064.77361551806</v>
      </c>
      <c r="AK147" s="50">
        <f t="shared" ref="AK147:BC147" si="560">AJ63-AK63</f>
        <v>68309.356459226983</v>
      </c>
      <c r="AL147" s="50">
        <f t="shared" si="560"/>
        <v>-281320.69880994258</v>
      </c>
      <c r="AM147" s="50">
        <f t="shared" si="560"/>
        <v>429076.11596623366</v>
      </c>
      <c r="AN147" s="50">
        <f t="shared" si="560"/>
        <v>-225478.56239167546</v>
      </c>
      <c r="AO147" s="50">
        <f t="shared" si="560"/>
        <v>57380.065337609092</v>
      </c>
      <c r="AP147" s="50">
        <f t="shared" si="560"/>
        <v>-327035.36220075935</v>
      </c>
      <c r="AQ147" s="50">
        <f t="shared" si="560"/>
        <v>495133.85925482574</v>
      </c>
      <c r="AR147" s="50">
        <f t="shared" si="560"/>
        <v>-242750.46739320553</v>
      </c>
      <c r="AS147" s="50">
        <f t="shared" si="560"/>
        <v>50391.385743882071</v>
      </c>
      <c r="AT147" s="50">
        <f t="shared" si="560"/>
        <v>-365594.30955668143</v>
      </c>
      <c r="AU147" s="50">
        <f t="shared" si="560"/>
        <v>557953.39120600489</v>
      </c>
      <c r="AV147" s="50">
        <f t="shared" si="560"/>
        <v>-271004.64432653674</v>
      </c>
      <c r="AW147" s="50">
        <f t="shared" si="560"/>
        <v>42228.788558901433</v>
      </c>
      <c r="AX147" s="50">
        <f t="shared" si="560"/>
        <v>-426808.63826118782</v>
      </c>
      <c r="AY147" s="50">
        <f t="shared" si="560"/>
        <v>655584.4940288231</v>
      </c>
      <c r="AZ147" s="50">
        <f t="shared" si="560"/>
        <v>-311366.9273457402</v>
      </c>
      <c r="BA147" s="50">
        <f t="shared" si="560"/>
        <v>23677.648523082258</v>
      </c>
      <c r="BB147" s="50">
        <f t="shared" si="560"/>
        <v>-529221.00482301088</v>
      </c>
      <c r="BC147" s="50">
        <f t="shared" si="560"/>
        <v>816910.28364566888</v>
      </c>
    </row>
    <row r="148" spans="2:55" x14ac:dyDescent="0.15">
      <c r="B148" s="192" t="str">
        <f>"Increase/(Decrease) in " &amp;B98</f>
        <v>Increase/(Decrease) in Accounts Payable</v>
      </c>
      <c r="D148" s="43" t="s">
        <v>33</v>
      </c>
      <c r="E148" s="119"/>
      <c r="F148" s="119"/>
      <c r="G148" s="119"/>
      <c r="H148" s="119"/>
      <c r="I148" s="119"/>
      <c r="J148" s="50">
        <f t="shared" si="556"/>
        <v>-45934.467551643975</v>
      </c>
      <c r="K148" s="50">
        <f t="shared" si="556"/>
        <v>9266.9786683114071</v>
      </c>
      <c r="L148" s="50">
        <f t="shared" si="556"/>
        <v>9664.4202121989219</v>
      </c>
      <c r="M148" s="50">
        <f t="shared" si="556"/>
        <v>15219.166615481037</v>
      </c>
      <c r="N148" s="50">
        <f t="shared" si="556"/>
        <v>24493.869661375124</v>
      </c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  <c r="AE148" s="119"/>
      <c r="AF148" s="119"/>
      <c r="AG148" s="119"/>
      <c r="AH148" s="119"/>
      <c r="AI148" s="119"/>
      <c r="AJ148" s="50">
        <f>AJ98-AI98</f>
        <v>-117605</v>
      </c>
      <c r="AK148" s="50">
        <f t="shared" ref="AK148:BC150" si="561">AK98-AJ98</f>
        <v>0</v>
      </c>
      <c r="AL148" s="50">
        <f t="shared" si="561"/>
        <v>0</v>
      </c>
      <c r="AM148" s="50">
        <f t="shared" si="561"/>
        <v>71670.532448356025</v>
      </c>
      <c r="AN148" s="50">
        <f t="shared" si="561"/>
        <v>-71670.532448356025</v>
      </c>
      <c r="AO148" s="50">
        <f t="shared" si="561"/>
        <v>0</v>
      </c>
      <c r="AP148" s="50">
        <f t="shared" si="561"/>
        <v>0</v>
      </c>
      <c r="AQ148" s="50">
        <f t="shared" si="561"/>
        <v>80937.511116667432</v>
      </c>
      <c r="AR148" s="50">
        <f t="shared" si="561"/>
        <v>-80937.511116667432</v>
      </c>
      <c r="AS148" s="50">
        <f t="shared" si="561"/>
        <v>0</v>
      </c>
      <c r="AT148" s="50">
        <f t="shared" si="561"/>
        <v>0</v>
      </c>
      <c r="AU148" s="50">
        <f t="shared" si="561"/>
        <v>90601.931328866354</v>
      </c>
      <c r="AV148" s="50">
        <f t="shared" si="561"/>
        <v>-90601.931328866354</v>
      </c>
      <c r="AW148" s="50">
        <f t="shared" si="561"/>
        <v>0</v>
      </c>
      <c r="AX148" s="50">
        <f t="shared" si="561"/>
        <v>0</v>
      </c>
      <c r="AY148" s="50">
        <f t="shared" si="561"/>
        <v>105821.09794434739</v>
      </c>
      <c r="AZ148" s="50">
        <f t="shared" si="561"/>
        <v>-105821.09794434739</v>
      </c>
      <c r="BA148" s="50">
        <f t="shared" si="561"/>
        <v>0</v>
      </c>
      <c r="BB148" s="50">
        <f t="shared" si="561"/>
        <v>0</v>
      </c>
      <c r="BC148" s="50">
        <f t="shared" si="561"/>
        <v>130314.96760572252</v>
      </c>
    </row>
    <row r="149" spans="2:55" x14ac:dyDescent="0.15">
      <c r="B149" s="192" t="str">
        <f t="shared" ref="B149:B150" si="562">"Increase/(Decrease) in " &amp;B99</f>
        <v>Increase/(Decrease) in Accounts Payable and Accrued Expenses</v>
      </c>
      <c r="D149" s="43" t="s">
        <v>33</v>
      </c>
      <c r="E149" s="119"/>
      <c r="F149" s="119"/>
      <c r="G149" s="119"/>
      <c r="H149" s="119"/>
      <c r="I149" s="119"/>
      <c r="J149" s="50">
        <f t="shared" si="556"/>
        <v>0</v>
      </c>
      <c r="K149" s="50">
        <f t="shared" si="556"/>
        <v>0</v>
      </c>
      <c r="L149" s="50">
        <f t="shared" si="556"/>
        <v>0</v>
      </c>
      <c r="M149" s="50">
        <f t="shared" si="556"/>
        <v>0</v>
      </c>
      <c r="N149" s="50">
        <f t="shared" si="556"/>
        <v>0</v>
      </c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19"/>
      <c r="AE149" s="119"/>
      <c r="AF149" s="119"/>
      <c r="AG149" s="119"/>
      <c r="AH149" s="119"/>
      <c r="AI149" s="119"/>
      <c r="AJ149" s="50">
        <f t="shared" ref="AJ149:AY150" si="563">AJ99-AI99</f>
        <v>0</v>
      </c>
      <c r="AK149" s="50">
        <f t="shared" si="563"/>
        <v>0</v>
      </c>
      <c r="AL149" s="50">
        <f t="shared" si="563"/>
        <v>0</v>
      </c>
      <c r="AM149" s="50">
        <f t="shared" si="563"/>
        <v>0</v>
      </c>
      <c r="AN149" s="50">
        <f t="shared" si="563"/>
        <v>0</v>
      </c>
      <c r="AO149" s="50">
        <f t="shared" si="563"/>
        <v>0</v>
      </c>
      <c r="AP149" s="50">
        <f t="shared" si="563"/>
        <v>0</v>
      </c>
      <c r="AQ149" s="50">
        <f t="shared" si="563"/>
        <v>0</v>
      </c>
      <c r="AR149" s="50">
        <f t="shared" si="563"/>
        <v>0</v>
      </c>
      <c r="AS149" s="50">
        <f t="shared" si="563"/>
        <v>0</v>
      </c>
      <c r="AT149" s="50">
        <f t="shared" si="563"/>
        <v>0</v>
      </c>
      <c r="AU149" s="50">
        <f t="shared" si="563"/>
        <v>0</v>
      </c>
      <c r="AV149" s="50">
        <f t="shared" si="563"/>
        <v>0</v>
      </c>
      <c r="AW149" s="50">
        <f t="shared" si="563"/>
        <v>0</v>
      </c>
      <c r="AX149" s="50">
        <f t="shared" si="563"/>
        <v>0</v>
      </c>
      <c r="AY149" s="50">
        <f t="shared" si="563"/>
        <v>0</v>
      </c>
      <c r="AZ149" s="50">
        <f t="shared" si="561"/>
        <v>0</v>
      </c>
      <c r="BA149" s="50">
        <f t="shared" si="561"/>
        <v>0</v>
      </c>
      <c r="BB149" s="50">
        <f t="shared" si="561"/>
        <v>0</v>
      </c>
      <c r="BC149" s="50">
        <f t="shared" si="561"/>
        <v>0</v>
      </c>
    </row>
    <row r="150" spans="2:55" x14ac:dyDescent="0.15">
      <c r="B150" s="192" t="str">
        <f t="shared" si="562"/>
        <v>Increase/(Decrease) in Accrued Expenses and Other Current Liabilities</v>
      </c>
      <c r="D150" s="43" t="s">
        <v>33</v>
      </c>
      <c r="E150" s="119"/>
      <c r="F150" s="119"/>
      <c r="G150" s="119"/>
      <c r="H150" s="119"/>
      <c r="I150" s="119"/>
      <c r="J150" s="50">
        <f t="shared" si="556"/>
        <v>-16002.948088711943</v>
      </c>
      <c r="K150" s="50">
        <f t="shared" si="556"/>
        <v>86847.127145687933</v>
      </c>
      <c r="L150" s="50">
        <f t="shared" si="556"/>
        <v>90571.820762714022</v>
      </c>
      <c r="M150" s="50">
        <f t="shared" si="556"/>
        <v>142629.10765358794</v>
      </c>
      <c r="N150" s="50">
        <f t="shared" si="556"/>
        <v>229548.62516792305</v>
      </c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  <c r="AH150" s="119"/>
      <c r="AI150" s="119"/>
      <c r="AJ150" s="50">
        <f t="shared" si="563"/>
        <v>-81208.450519199367</v>
      </c>
      <c r="AK150" s="50">
        <f t="shared" si="561"/>
        <v>54237.148703927058</v>
      </c>
      <c r="AL150" s="50">
        <f t="shared" si="561"/>
        <v>400602.84221633687</v>
      </c>
      <c r="AM150" s="50">
        <f t="shared" si="561"/>
        <v>-389634.4884897765</v>
      </c>
      <c r="AN150" s="50">
        <f t="shared" si="561"/>
        <v>-38782.141903586569</v>
      </c>
      <c r="AO150" s="50">
        <f t="shared" si="561"/>
        <v>118780.12107154331</v>
      </c>
      <c r="AP150" s="50">
        <f t="shared" si="561"/>
        <v>473028.45411973936</v>
      </c>
      <c r="AQ150" s="50">
        <f t="shared" si="561"/>
        <v>-466179.30614200816</v>
      </c>
      <c r="AR150" s="50">
        <f t="shared" si="561"/>
        <v>-69578.342285283259</v>
      </c>
      <c r="AS150" s="50">
        <f t="shared" si="561"/>
        <v>171213.08296145732</v>
      </c>
      <c r="AT150" s="50">
        <f t="shared" si="561"/>
        <v>519926.88683815405</v>
      </c>
      <c r="AU150" s="50">
        <f t="shared" si="561"/>
        <v>-530989.80675161409</v>
      </c>
      <c r="AV150" s="50">
        <f t="shared" si="561"/>
        <v>-88414.913072095951</v>
      </c>
      <c r="AW150" s="50">
        <f t="shared" si="561"/>
        <v>262319.46827565122</v>
      </c>
      <c r="AX150" s="50">
        <f t="shared" si="561"/>
        <v>598573.0010355711</v>
      </c>
      <c r="AY150" s="50">
        <f t="shared" si="561"/>
        <v>-629848.44858553843</v>
      </c>
      <c r="AZ150" s="50">
        <f t="shared" si="561"/>
        <v>-117751.99970579485</v>
      </c>
      <c r="BA150" s="50">
        <f t="shared" si="561"/>
        <v>412465.33770836692</v>
      </c>
      <c r="BB150" s="50">
        <f t="shared" si="561"/>
        <v>734169.85199697712</v>
      </c>
      <c r="BC150" s="50">
        <f t="shared" si="561"/>
        <v>-799334.56483162614</v>
      </c>
    </row>
    <row r="151" spans="2:55" x14ac:dyDescent="0.15">
      <c r="B151" s="75" t="s">
        <v>137</v>
      </c>
    </row>
    <row r="152" spans="2:55" x14ac:dyDescent="0.15">
      <c r="B152" s="192" t="str">
        <f>"Increase/(Decrease) in " &amp;B60</f>
        <v>Increase/(Decrease) in Marketable Investments</v>
      </c>
      <c r="D152" s="43" t="s">
        <v>33</v>
      </c>
      <c r="E152" s="119"/>
      <c r="F152" s="119"/>
      <c r="G152" s="119"/>
      <c r="H152" s="119"/>
      <c r="I152" s="119"/>
      <c r="J152" s="50">
        <f t="shared" si="556"/>
        <v>309765</v>
      </c>
      <c r="K152" s="50">
        <f t="shared" si="556"/>
        <v>0</v>
      </c>
      <c r="L152" s="50">
        <f t="shared" si="556"/>
        <v>0</v>
      </c>
      <c r="M152" s="50">
        <f t="shared" si="556"/>
        <v>0</v>
      </c>
      <c r="N152" s="50">
        <f t="shared" si="556"/>
        <v>0</v>
      </c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19"/>
      <c r="AG152" s="119"/>
      <c r="AH152" s="119"/>
      <c r="AI152" s="119"/>
      <c r="AJ152" s="50">
        <f>AI60-AJ60</f>
        <v>309765</v>
      </c>
      <c r="AK152" s="50">
        <f t="shared" ref="AK152:BC152" si="564">AJ60-AK60</f>
        <v>0</v>
      </c>
      <c r="AL152" s="50">
        <f t="shared" si="564"/>
        <v>0</v>
      </c>
      <c r="AM152" s="50">
        <f t="shared" si="564"/>
        <v>0</v>
      </c>
      <c r="AN152" s="50">
        <f t="shared" si="564"/>
        <v>0</v>
      </c>
      <c r="AO152" s="50">
        <f t="shared" si="564"/>
        <v>0</v>
      </c>
      <c r="AP152" s="50">
        <f t="shared" si="564"/>
        <v>0</v>
      </c>
      <c r="AQ152" s="50">
        <f t="shared" si="564"/>
        <v>0</v>
      </c>
      <c r="AR152" s="50">
        <f t="shared" si="564"/>
        <v>0</v>
      </c>
      <c r="AS152" s="50">
        <f t="shared" si="564"/>
        <v>0</v>
      </c>
      <c r="AT152" s="50">
        <f t="shared" si="564"/>
        <v>0</v>
      </c>
      <c r="AU152" s="50">
        <f t="shared" si="564"/>
        <v>0</v>
      </c>
      <c r="AV152" s="50">
        <f t="shared" si="564"/>
        <v>0</v>
      </c>
      <c r="AW152" s="50">
        <f t="shared" si="564"/>
        <v>0</v>
      </c>
      <c r="AX152" s="50">
        <f t="shared" si="564"/>
        <v>0</v>
      </c>
      <c r="AY152" s="50">
        <f t="shared" si="564"/>
        <v>0</v>
      </c>
      <c r="AZ152" s="50">
        <f t="shared" si="564"/>
        <v>0</v>
      </c>
      <c r="BA152" s="50">
        <f t="shared" si="564"/>
        <v>0</v>
      </c>
      <c r="BB152" s="50">
        <f t="shared" si="564"/>
        <v>0</v>
      </c>
      <c r="BC152" s="50">
        <f t="shared" si="564"/>
        <v>0</v>
      </c>
    </row>
    <row r="153" spans="2:55" x14ac:dyDescent="0.15">
      <c r="B153" s="192" t="str">
        <f>"Increase/(Decrease) in " &amp;B64</f>
        <v>Increase/(Decrease) in Income Tax Receivable</v>
      </c>
      <c r="D153" s="43" t="s">
        <v>33</v>
      </c>
      <c r="E153" s="119"/>
      <c r="F153" s="119"/>
      <c r="G153" s="119"/>
      <c r="H153" s="119"/>
      <c r="I153" s="119"/>
      <c r="J153" s="50">
        <f t="shared" si="556"/>
        <v>0</v>
      </c>
      <c r="K153" s="50">
        <f t="shared" si="556"/>
        <v>0</v>
      </c>
      <c r="L153" s="50">
        <f t="shared" si="556"/>
        <v>0</v>
      </c>
      <c r="M153" s="50">
        <f t="shared" si="556"/>
        <v>0</v>
      </c>
      <c r="N153" s="50">
        <f t="shared" si="556"/>
        <v>0</v>
      </c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  <c r="AC153" s="119"/>
      <c r="AD153" s="119"/>
      <c r="AE153" s="119"/>
      <c r="AF153" s="119"/>
      <c r="AG153" s="119"/>
      <c r="AH153" s="119"/>
      <c r="AI153" s="119"/>
      <c r="AJ153" s="50">
        <f>AI64-AJ64</f>
        <v>0</v>
      </c>
      <c r="AK153" s="50">
        <f t="shared" ref="AK153:BC153" si="565">AJ64-AK64</f>
        <v>-137692.16820139685</v>
      </c>
      <c r="AL153" s="50">
        <f t="shared" si="565"/>
        <v>-33642.614449233806</v>
      </c>
      <c r="AM153" s="50">
        <f t="shared" si="565"/>
        <v>171334.78265063066</v>
      </c>
      <c r="AN153" s="50">
        <f t="shared" si="565"/>
        <v>0</v>
      </c>
      <c r="AO153" s="50">
        <f t="shared" si="565"/>
        <v>-156649.73221447144</v>
      </c>
      <c r="AP153" s="50">
        <f t="shared" si="565"/>
        <v>-41062.629302918504</v>
      </c>
      <c r="AQ153" s="50">
        <f t="shared" si="565"/>
        <v>197712.36151738995</v>
      </c>
      <c r="AR153" s="50">
        <f t="shared" si="565"/>
        <v>0</v>
      </c>
      <c r="AS153" s="50">
        <f t="shared" si="565"/>
        <v>-179257.98955654161</v>
      </c>
      <c r="AT153" s="50">
        <f t="shared" si="565"/>
        <v>-43538.897648865561</v>
      </c>
      <c r="AU153" s="50">
        <f t="shared" si="565"/>
        <v>222796.88720540717</v>
      </c>
      <c r="AV153" s="50">
        <f t="shared" si="565"/>
        <v>0</v>
      </c>
      <c r="AW153" s="50">
        <f t="shared" si="565"/>
        <v>-213194.50900033902</v>
      </c>
      <c r="AX153" s="50">
        <f t="shared" si="565"/>
        <v>-48587.544611779333</v>
      </c>
      <c r="AY153" s="50">
        <f t="shared" si="565"/>
        <v>261782.05361211835</v>
      </c>
      <c r="AZ153" s="50">
        <f t="shared" si="565"/>
        <v>0</v>
      </c>
      <c r="BA153" s="50">
        <f t="shared" si="565"/>
        <v>-268095.48733828851</v>
      </c>
      <c r="BB153" s="50">
        <f t="shared" si="565"/>
        <v>-58105.717262226564</v>
      </c>
      <c r="BC153" s="50">
        <f t="shared" si="565"/>
        <v>326201.20460051508</v>
      </c>
    </row>
    <row r="154" spans="2:55" x14ac:dyDescent="0.15">
      <c r="B154" s="192" t="str">
        <f t="shared" ref="B154:B166" si="566">"Increase/(Decrease) in " &amp;B65</f>
        <v>Increase/(Decrease) in Loans Receivable</v>
      </c>
      <c r="D154" s="43" t="s">
        <v>33</v>
      </c>
      <c r="E154" s="119"/>
      <c r="F154" s="119"/>
      <c r="G154" s="119"/>
      <c r="H154" s="119"/>
      <c r="I154" s="119"/>
      <c r="J154" s="50">
        <f t="shared" si="556"/>
        <v>1001893.2841954684</v>
      </c>
      <c r="K154" s="50">
        <f t="shared" si="556"/>
        <v>-45616.769708304957</v>
      </c>
      <c r="L154" s="50">
        <f t="shared" si="556"/>
        <v>-47573.17859074095</v>
      </c>
      <c r="M154" s="50">
        <f t="shared" si="556"/>
        <v>-74916.458049560199</v>
      </c>
      <c r="N154" s="50">
        <f t="shared" si="556"/>
        <v>-120571.25106254104</v>
      </c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  <c r="AC154" s="119"/>
      <c r="AD154" s="119"/>
      <c r="AE154" s="119"/>
      <c r="AF154" s="119"/>
      <c r="AG154" s="119"/>
      <c r="AH154" s="119"/>
      <c r="AI154" s="119"/>
      <c r="AJ154" s="50">
        <f t="shared" ref="AJ154:BC154" si="567">AI65-AJ65</f>
        <v>1354692</v>
      </c>
      <c r="AK154" s="50">
        <f t="shared" si="567"/>
        <v>0</v>
      </c>
      <c r="AL154" s="50">
        <f t="shared" si="567"/>
        <v>0</v>
      </c>
      <c r="AM154" s="50">
        <f t="shared" si="567"/>
        <v>-352798.71580453159</v>
      </c>
      <c r="AN154" s="50">
        <f t="shared" si="567"/>
        <v>352798.71580453159</v>
      </c>
      <c r="AO154" s="50">
        <f t="shared" si="567"/>
        <v>0</v>
      </c>
      <c r="AP154" s="50">
        <f t="shared" si="567"/>
        <v>0</v>
      </c>
      <c r="AQ154" s="50">
        <f t="shared" si="567"/>
        <v>-398415.48551283655</v>
      </c>
      <c r="AR154" s="50">
        <f t="shared" si="567"/>
        <v>398415.48551283655</v>
      </c>
      <c r="AS154" s="50">
        <f t="shared" si="567"/>
        <v>0</v>
      </c>
      <c r="AT154" s="50">
        <f t="shared" si="567"/>
        <v>0</v>
      </c>
      <c r="AU154" s="50">
        <f t="shared" si="567"/>
        <v>-445988.6641035775</v>
      </c>
      <c r="AV154" s="50">
        <f t="shared" si="567"/>
        <v>445988.6641035775</v>
      </c>
      <c r="AW154" s="50">
        <f t="shared" si="567"/>
        <v>0</v>
      </c>
      <c r="AX154" s="50">
        <f t="shared" si="567"/>
        <v>0</v>
      </c>
      <c r="AY154" s="50">
        <f t="shared" si="567"/>
        <v>-520905.12215313769</v>
      </c>
      <c r="AZ154" s="50">
        <f t="shared" si="567"/>
        <v>520905.12215313769</v>
      </c>
      <c r="BA154" s="50">
        <f t="shared" si="567"/>
        <v>0</v>
      </c>
      <c r="BB154" s="50">
        <f t="shared" si="567"/>
        <v>0</v>
      </c>
      <c r="BC154" s="50">
        <f t="shared" si="567"/>
        <v>-641476.37321567873</v>
      </c>
    </row>
    <row r="155" spans="2:55" x14ac:dyDescent="0.15">
      <c r="B155" s="192" t="str">
        <f t="shared" si="566"/>
        <v>Increase/(Decrease) in Prepaid Expenses and Other Current Assets</v>
      </c>
      <c r="D155" s="43" t="s">
        <v>33</v>
      </c>
      <c r="E155" s="119"/>
      <c r="F155" s="119"/>
      <c r="G155" s="119"/>
      <c r="H155" s="119"/>
      <c r="I155" s="119"/>
      <c r="J155" s="50">
        <f t="shared" si="556"/>
        <v>0</v>
      </c>
      <c r="K155" s="50">
        <f t="shared" si="556"/>
        <v>0</v>
      </c>
      <c r="L155" s="50">
        <f t="shared" si="556"/>
        <v>0</v>
      </c>
      <c r="M155" s="50">
        <f t="shared" si="556"/>
        <v>0</v>
      </c>
      <c r="N155" s="50">
        <f t="shared" si="556"/>
        <v>0</v>
      </c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19"/>
      <c r="AD155" s="119"/>
      <c r="AE155" s="119"/>
      <c r="AF155" s="119"/>
      <c r="AG155" s="119"/>
      <c r="AH155" s="119"/>
      <c r="AI155" s="119"/>
      <c r="AJ155" s="50">
        <f t="shared" ref="AJ155:BC155" si="568">AI66-AJ66</f>
        <v>-57590.923769738583</v>
      </c>
      <c r="AK155" s="50">
        <f t="shared" si="568"/>
        <v>-34267.206754869083</v>
      </c>
      <c r="AL155" s="50">
        <f t="shared" si="568"/>
        <v>-98432.425056859793</v>
      </c>
      <c r="AM155" s="50">
        <f t="shared" si="568"/>
        <v>190290.55558146746</v>
      </c>
      <c r="AN155" s="50">
        <f t="shared" si="568"/>
        <v>-60100.119427689016</v>
      </c>
      <c r="AO155" s="50">
        <f t="shared" si="568"/>
        <v>-44405.109419856861</v>
      </c>
      <c r="AP155" s="50">
        <f t="shared" si="568"/>
        <v>-115081.2120165071</v>
      </c>
      <c r="AQ155" s="50">
        <f t="shared" si="568"/>
        <v>219586.44086405297</v>
      </c>
      <c r="AR155" s="50">
        <f t="shared" si="568"/>
        <v>-65422.786161056276</v>
      </c>
      <c r="AS155" s="50">
        <f t="shared" si="568"/>
        <v>-54165.01623434903</v>
      </c>
      <c r="AT155" s="50">
        <f t="shared" si="568"/>
        <v>-127858.41250766307</v>
      </c>
      <c r="AU155" s="50">
        <f t="shared" si="568"/>
        <v>247446.21490306838</v>
      </c>
      <c r="AV155" s="50">
        <f t="shared" si="568"/>
        <v>-72234.856017888829</v>
      </c>
      <c r="AW155" s="50">
        <f t="shared" si="568"/>
        <v>-69992.906756814264</v>
      </c>
      <c r="AX155" s="50">
        <f t="shared" si="568"/>
        <v>-148516.77638104279</v>
      </c>
      <c r="AY155" s="50">
        <f t="shared" si="568"/>
        <v>290744.53915574588</v>
      </c>
      <c r="AZ155" s="50">
        <f t="shared" si="568"/>
        <v>-82993.209291467589</v>
      </c>
      <c r="BA155" s="50">
        <f t="shared" si="568"/>
        <v>-95860.465472069016</v>
      </c>
      <c r="BB155" s="50">
        <f t="shared" si="568"/>
        <v>-183437.08426669042</v>
      </c>
      <c r="BC155" s="50">
        <f t="shared" si="568"/>
        <v>362290.75903022703</v>
      </c>
    </row>
    <row r="156" spans="2:55" x14ac:dyDescent="0.15">
      <c r="B156" s="192" t="str">
        <f t="shared" si="566"/>
        <v>Increase/(Decrease) in Restricted Cash</v>
      </c>
      <c r="D156" s="43" t="s">
        <v>33</v>
      </c>
      <c r="E156" s="119"/>
      <c r="F156" s="119"/>
      <c r="G156" s="119"/>
      <c r="H156" s="119"/>
      <c r="I156" s="119"/>
      <c r="J156" s="50">
        <f t="shared" si="556"/>
        <v>0</v>
      </c>
      <c r="K156" s="50">
        <f t="shared" si="556"/>
        <v>0</v>
      </c>
      <c r="L156" s="50">
        <f t="shared" si="556"/>
        <v>0</v>
      </c>
      <c r="M156" s="50">
        <f t="shared" si="556"/>
        <v>0</v>
      </c>
      <c r="N156" s="50">
        <f t="shared" si="556"/>
        <v>0</v>
      </c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  <c r="AH156" s="119"/>
      <c r="AI156" s="119"/>
      <c r="AJ156" s="50">
        <f t="shared" ref="AJ156:BC156" si="569">AI67-AJ67</f>
        <v>-43313.230797304081</v>
      </c>
      <c r="AK156" s="50">
        <f t="shared" si="569"/>
        <v>-8829.9646083542757</v>
      </c>
      <c r="AL156" s="50">
        <f t="shared" si="569"/>
        <v>-40532.002468107508</v>
      </c>
      <c r="AM156" s="50">
        <f t="shared" si="569"/>
        <v>92675.197873765865</v>
      </c>
      <c r="AN156" s="50">
        <f t="shared" si="569"/>
        <v>-45200.357509890469</v>
      </c>
      <c r="AO156" s="50">
        <f t="shared" si="569"/>
        <v>-14121.953292535945</v>
      </c>
      <c r="AP156" s="50">
        <f t="shared" si="569"/>
        <v>-47620.552416866332</v>
      </c>
      <c r="AQ156" s="50">
        <f t="shared" si="569"/>
        <v>106942.86321929275</v>
      </c>
      <c r="AR156" s="50">
        <f t="shared" si="569"/>
        <v>-49203.451705795836</v>
      </c>
      <c r="AS156" s="50">
        <f t="shared" si="569"/>
        <v>-18680.470085606321</v>
      </c>
      <c r="AT156" s="50">
        <f t="shared" si="569"/>
        <v>-52627.192694458499</v>
      </c>
      <c r="AU156" s="50">
        <f t="shared" si="569"/>
        <v>120511.11448586066</v>
      </c>
      <c r="AV156" s="50">
        <f t="shared" si="569"/>
        <v>-54326.702638460745</v>
      </c>
      <c r="AW156" s="50">
        <f t="shared" si="569"/>
        <v>-26408.774821362502</v>
      </c>
      <c r="AX156" s="50">
        <f t="shared" si="569"/>
        <v>-60862.76221445197</v>
      </c>
      <c r="AY156" s="50">
        <f t="shared" si="569"/>
        <v>141598.23967427522</v>
      </c>
      <c r="AZ156" s="50">
        <f t="shared" si="569"/>
        <v>-62417.891454957884</v>
      </c>
      <c r="BA156" s="50">
        <f t="shared" si="569"/>
        <v>-39108.256083139837</v>
      </c>
      <c r="BB156" s="50">
        <f t="shared" si="569"/>
        <v>-74916.491343098809</v>
      </c>
      <c r="BC156" s="50">
        <f t="shared" si="569"/>
        <v>176442.63888119653</v>
      </c>
    </row>
    <row r="157" spans="2:55" x14ac:dyDescent="0.15">
      <c r="B157" s="192" t="str">
        <f t="shared" si="566"/>
        <v>Increase/(Decrease) in Restricted: Cash and Cash Equivalents</v>
      </c>
      <c r="D157" s="43" t="s">
        <v>33</v>
      </c>
      <c r="E157" s="119"/>
      <c r="F157" s="119"/>
      <c r="G157" s="119"/>
      <c r="H157" s="119"/>
      <c r="I157" s="119"/>
      <c r="J157" s="50">
        <f t="shared" si="556"/>
        <v>292381.60049746523</v>
      </c>
      <c r="K157" s="50">
        <f t="shared" si="556"/>
        <v>-5422.3640642799364</v>
      </c>
      <c r="L157" s="50">
        <f t="shared" si="556"/>
        <v>-5654.9180414026923</v>
      </c>
      <c r="M157" s="50">
        <f t="shared" si="556"/>
        <v>-8905.1529196096089</v>
      </c>
      <c r="N157" s="50">
        <f t="shared" si="556"/>
        <v>-14332.036729636508</v>
      </c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  <c r="AC157" s="119"/>
      <c r="AD157" s="119"/>
      <c r="AE157" s="119"/>
      <c r="AF157" s="119"/>
      <c r="AG157" s="119"/>
      <c r="AH157" s="119"/>
      <c r="AI157" s="119"/>
      <c r="AJ157" s="50">
        <f t="shared" ref="AJ157:BC157" si="570">AI68-AJ68</f>
        <v>334318</v>
      </c>
      <c r="AK157" s="50">
        <f t="shared" si="570"/>
        <v>0</v>
      </c>
      <c r="AL157" s="50">
        <f t="shared" si="570"/>
        <v>0</v>
      </c>
      <c r="AM157" s="50">
        <f t="shared" si="570"/>
        <v>-41936.399502534783</v>
      </c>
      <c r="AN157" s="50">
        <f t="shared" si="570"/>
        <v>41936.399502534783</v>
      </c>
      <c r="AO157" s="50">
        <f t="shared" si="570"/>
        <v>0</v>
      </c>
      <c r="AP157" s="50">
        <f t="shared" si="570"/>
        <v>0</v>
      </c>
      <c r="AQ157" s="50">
        <f t="shared" si="570"/>
        <v>-47358.76356681472</v>
      </c>
      <c r="AR157" s="50">
        <f t="shared" si="570"/>
        <v>47358.76356681472</v>
      </c>
      <c r="AS157" s="50">
        <f t="shared" si="570"/>
        <v>0</v>
      </c>
      <c r="AT157" s="50">
        <f t="shared" si="570"/>
        <v>0</v>
      </c>
      <c r="AU157" s="50">
        <f t="shared" si="570"/>
        <v>-53013.681608217412</v>
      </c>
      <c r="AV157" s="50">
        <f t="shared" si="570"/>
        <v>53013.681608217412</v>
      </c>
      <c r="AW157" s="50">
        <f t="shared" si="570"/>
        <v>0</v>
      </c>
      <c r="AX157" s="50">
        <f t="shared" si="570"/>
        <v>0</v>
      </c>
      <c r="AY157" s="50">
        <f t="shared" si="570"/>
        <v>-61918.834527827021</v>
      </c>
      <c r="AZ157" s="50">
        <f t="shared" si="570"/>
        <v>61918.834527827021</v>
      </c>
      <c r="BA157" s="50">
        <f t="shared" si="570"/>
        <v>0</v>
      </c>
      <c r="BB157" s="50">
        <f t="shared" si="570"/>
        <v>0</v>
      </c>
      <c r="BC157" s="50">
        <f t="shared" si="570"/>
        <v>-76250.871257463528</v>
      </c>
    </row>
    <row r="158" spans="2:55" x14ac:dyDescent="0.15">
      <c r="B158" s="192" t="str">
        <f t="shared" si="566"/>
        <v>Increase/(Decrease) in Other Current Assets</v>
      </c>
      <c r="D158" s="43" t="s">
        <v>33</v>
      </c>
      <c r="E158" s="119"/>
      <c r="F158" s="119"/>
      <c r="G158" s="119"/>
      <c r="H158" s="119"/>
      <c r="I158" s="119"/>
      <c r="J158" s="50">
        <f t="shared" ref="J158:N173" si="571">SUMIFS($AJ158:$BC158,$AJ$1:$BC$1,J$1)</f>
        <v>4355.5043015543197</v>
      </c>
      <c r="K158" s="50">
        <f t="shared" si="571"/>
        <v>-23637.084477421799</v>
      </c>
      <c r="L158" s="50">
        <f t="shared" si="571"/>
        <v>-24650.830131097522</v>
      </c>
      <c r="M158" s="50">
        <f t="shared" si="571"/>
        <v>-38819.203091101255</v>
      </c>
      <c r="N158" s="50">
        <f t="shared" si="571"/>
        <v>-62475.989973372838</v>
      </c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  <c r="AC158" s="119"/>
      <c r="AD158" s="119"/>
      <c r="AE158" s="119"/>
      <c r="AF158" s="119"/>
      <c r="AG158" s="119"/>
      <c r="AH158" s="119"/>
      <c r="AI158" s="119"/>
      <c r="AJ158" s="50">
        <f t="shared" ref="AJ158:BC158" si="572">AI69-AJ69</f>
        <v>187164</v>
      </c>
      <c r="AK158" s="50">
        <f t="shared" si="572"/>
        <v>0</v>
      </c>
      <c r="AL158" s="50">
        <f t="shared" si="572"/>
        <v>0</v>
      </c>
      <c r="AM158" s="50">
        <f t="shared" si="572"/>
        <v>-182808.49569844568</v>
      </c>
      <c r="AN158" s="50">
        <f t="shared" si="572"/>
        <v>182808.49569844568</v>
      </c>
      <c r="AO158" s="50">
        <f t="shared" si="572"/>
        <v>0</v>
      </c>
      <c r="AP158" s="50">
        <f t="shared" si="572"/>
        <v>0</v>
      </c>
      <c r="AQ158" s="50">
        <f t="shared" si="572"/>
        <v>-206445.58017586748</v>
      </c>
      <c r="AR158" s="50">
        <f t="shared" si="572"/>
        <v>206445.58017586748</v>
      </c>
      <c r="AS158" s="50">
        <f t="shared" si="572"/>
        <v>0</v>
      </c>
      <c r="AT158" s="50">
        <f t="shared" si="572"/>
        <v>0</v>
      </c>
      <c r="AU158" s="50">
        <f t="shared" si="572"/>
        <v>-231096.410306965</v>
      </c>
      <c r="AV158" s="50">
        <f t="shared" si="572"/>
        <v>231096.410306965</v>
      </c>
      <c r="AW158" s="50">
        <f t="shared" si="572"/>
        <v>0</v>
      </c>
      <c r="AX158" s="50">
        <f t="shared" si="572"/>
        <v>0</v>
      </c>
      <c r="AY158" s="50">
        <f t="shared" si="572"/>
        <v>-269915.61339806626</v>
      </c>
      <c r="AZ158" s="50">
        <f t="shared" si="572"/>
        <v>269915.61339806626</v>
      </c>
      <c r="BA158" s="50">
        <f t="shared" si="572"/>
        <v>0</v>
      </c>
      <c r="BB158" s="50">
        <f t="shared" si="572"/>
        <v>0</v>
      </c>
      <c r="BC158" s="50">
        <f t="shared" si="572"/>
        <v>-332391.60337143909</v>
      </c>
    </row>
    <row r="159" spans="2:55" x14ac:dyDescent="0.15">
      <c r="B159" s="192" t="str">
        <f t="shared" si="566"/>
        <v>Increase/(Decrease) in Customer Custodial Funds</v>
      </c>
      <c r="D159" s="43" t="s">
        <v>33</v>
      </c>
      <c r="E159" s="119"/>
      <c r="F159" s="119"/>
      <c r="G159" s="119"/>
      <c r="H159" s="119"/>
      <c r="I159" s="119"/>
      <c r="J159" s="50">
        <f t="shared" si="571"/>
        <v>-2045575.398900914</v>
      </c>
      <c r="K159" s="50">
        <f t="shared" si="571"/>
        <v>-955913.15498786978</v>
      </c>
      <c r="L159" s="50">
        <f t="shared" si="571"/>
        <v>-996910.29264611285</v>
      </c>
      <c r="M159" s="50">
        <f t="shared" si="571"/>
        <v>-1569896.9530855138</v>
      </c>
      <c r="N159" s="50">
        <f t="shared" si="571"/>
        <v>-2526606.8978804685</v>
      </c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  <c r="AC159" s="119"/>
      <c r="AD159" s="119"/>
      <c r="AE159" s="119"/>
      <c r="AF159" s="119"/>
      <c r="AG159" s="119"/>
      <c r="AH159" s="119"/>
      <c r="AI159" s="119"/>
      <c r="AJ159" s="50">
        <f t="shared" ref="AJ159:BC159" si="573">AI70-AJ70</f>
        <v>-1162384.6548142489</v>
      </c>
      <c r="AK159" s="50">
        <f t="shared" si="573"/>
        <v>408885.87947794236</v>
      </c>
      <c r="AL159" s="50">
        <f t="shared" si="573"/>
        <v>-1846767.821043402</v>
      </c>
      <c r="AM159" s="50">
        <f t="shared" si="573"/>
        <v>554691.19747879449</v>
      </c>
      <c r="AN159" s="50">
        <f t="shared" si="573"/>
        <v>599562.8288123887</v>
      </c>
      <c r="AO159" s="50">
        <f t="shared" si="573"/>
        <v>-147466.51344766002</v>
      </c>
      <c r="AP159" s="50">
        <f t="shared" si="573"/>
        <v>-2230362.4214620609</v>
      </c>
      <c r="AQ159" s="50">
        <f t="shared" si="573"/>
        <v>822352.95110946242</v>
      </c>
      <c r="AR159" s="50">
        <f t="shared" si="573"/>
        <v>953826.26210505329</v>
      </c>
      <c r="AS159" s="50">
        <f t="shared" si="573"/>
        <v>-547553.66875611152</v>
      </c>
      <c r="AT159" s="50">
        <f t="shared" si="573"/>
        <v>-2392219.6855845898</v>
      </c>
      <c r="AU159" s="50">
        <f t="shared" si="573"/>
        <v>989036.79958953522</v>
      </c>
      <c r="AV159" s="50">
        <f t="shared" si="573"/>
        <v>1180731.5668681841</v>
      </c>
      <c r="AW159" s="50">
        <f t="shared" si="573"/>
        <v>-1281223.3113252372</v>
      </c>
      <c r="AX159" s="50">
        <f t="shared" si="573"/>
        <v>-2696947.2464224007</v>
      </c>
      <c r="AY159" s="50">
        <f t="shared" si="573"/>
        <v>1227542.0377939399</v>
      </c>
      <c r="AZ159" s="50">
        <f t="shared" si="573"/>
        <v>1534553.838371573</v>
      </c>
      <c r="BA159" s="50">
        <f t="shared" si="573"/>
        <v>-2497725.9731708169</v>
      </c>
      <c r="BB159" s="50">
        <f t="shared" si="573"/>
        <v>-3252576.5607043393</v>
      </c>
      <c r="BC159" s="50">
        <f t="shared" si="573"/>
        <v>1689141.7976231147</v>
      </c>
    </row>
    <row r="160" spans="2:55" x14ac:dyDescent="0.15">
      <c r="B160" s="192" t="str">
        <f t="shared" si="566"/>
        <v>Increase/(Decrease) in Usdc</v>
      </c>
      <c r="D160" s="43" t="s">
        <v>33</v>
      </c>
      <c r="E160" s="119"/>
      <c r="F160" s="119"/>
      <c r="G160" s="119"/>
      <c r="H160" s="119"/>
      <c r="I160" s="119"/>
      <c r="J160" s="50">
        <f t="shared" si="571"/>
        <v>-69696.863101436757</v>
      </c>
      <c r="K160" s="50">
        <f t="shared" si="571"/>
        <v>-9011.7838049361017</v>
      </c>
      <c r="L160" s="50">
        <f t="shared" si="571"/>
        <v>-9398.2805690714158</v>
      </c>
      <c r="M160" s="50">
        <f t="shared" si="571"/>
        <v>-14800.059883487411</v>
      </c>
      <c r="N160" s="50">
        <f t="shared" si="571"/>
        <v>-23819.355351426173</v>
      </c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  <c r="AC160" s="119"/>
      <c r="AD160" s="119"/>
      <c r="AE160" s="119"/>
      <c r="AF160" s="119"/>
      <c r="AG160" s="119"/>
      <c r="AH160" s="119"/>
      <c r="AI160" s="119"/>
      <c r="AJ160" s="50">
        <f t="shared" ref="AJ160:BC160" si="574">AI71-AJ71</f>
        <v>-730550.39201925963</v>
      </c>
      <c r="AK160" s="50">
        <f t="shared" si="574"/>
        <v>-67532.884088807739</v>
      </c>
      <c r="AL160" s="50">
        <f t="shared" si="574"/>
        <v>-682178.4366070485</v>
      </c>
      <c r="AM160" s="50">
        <f t="shared" si="574"/>
        <v>1410564.8496136791</v>
      </c>
      <c r="AN160" s="50">
        <f t="shared" si="574"/>
        <v>-692683.09079284733</v>
      </c>
      <c r="AO160" s="50">
        <f t="shared" si="574"/>
        <v>-145584.04376980779</v>
      </c>
      <c r="AP160" s="50">
        <f t="shared" si="574"/>
        <v>-800189.09511134378</v>
      </c>
      <c r="AQ160" s="50">
        <f t="shared" si="574"/>
        <v>1629444.4458690628</v>
      </c>
      <c r="AR160" s="50">
        <f t="shared" si="574"/>
        <v>-751190.2147275462</v>
      </c>
      <c r="AS160" s="50">
        <f t="shared" si="574"/>
        <v>-209105.79231690115</v>
      </c>
      <c r="AT160" s="50">
        <f t="shared" si="574"/>
        <v>-885868.37381473335</v>
      </c>
      <c r="AU160" s="50">
        <f t="shared" si="574"/>
        <v>1836766.1002901094</v>
      </c>
      <c r="AV160" s="50">
        <f t="shared" si="574"/>
        <v>-828204.16682675108</v>
      </c>
      <c r="AW160" s="50">
        <f t="shared" si="574"/>
        <v>-319394.4248553958</v>
      </c>
      <c r="AX160" s="50">
        <f t="shared" si="574"/>
        <v>-1025983.2345388446</v>
      </c>
      <c r="AY160" s="50">
        <f t="shared" si="574"/>
        <v>2158781.7663375037</v>
      </c>
      <c r="AZ160" s="50">
        <f t="shared" si="574"/>
        <v>-949875.59736280842</v>
      </c>
      <c r="BA160" s="50">
        <f t="shared" si="574"/>
        <v>-501136.76769760507</v>
      </c>
      <c r="BB160" s="50">
        <f t="shared" si="574"/>
        <v>-1264324.242614713</v>
      </c>
      <c r="BC160" s="50">
        <f t="shared" si="574"/>
        <v>2691517.2523237006</v>
      </c>
    </row>
    <row r="161" spans="2:55" x14ac:dyDescent="0.15">
      <c r="B161" s="192" t="str">
        <f t="shared" si="566"/>
        <v>Increase/(Decrease) in Crypto Assets Borrowed</v>
      </c>
      <c r="D161" s="43" t="s">
        <v>33</v>
      </c>
      <c r="E161" s="119"/>
      <c r="F161" s="119"/>
      <c r="G161" s="119"/>
      <c r="H161" s="119"/>
      <c r="I161" s="119"/>
      <c r="J161" s="50">
        <f t="shared" si="571"/>
        <v>236384.2951327156</v>
      </c>
      <c r="K161" s="50">
        <f t="shared" si="571"/>
        <v>-10662.661972608927</v>
      </c>
      <c r="L161" s="50">
        <f t="shared" si="571"/>
        <v>-11119.961486077707</v>
      </c>
      <c r="M161" s="50">
        <f t="shared" si="571"/>
        <v>-17511.298442997111</v>
      </c>
      <c r="N161" s="50">
        <f t="shared" si="571"/>
        <v>-28182.848148065663</v>
      </c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  <c r="AC161" s="119"/>
      <c r="AD161" s="119"/>
      <c r="AE161" s="119"/>
      <c r="AF161" s="119"/>
      <c r="AG161" s="119"/>
      <c r="AH161" s="119"/>
      <c r="AI161" s="119"/>
      <c r="AJ161" s="50">
        <f t="shared" ref="AJ161:BC161" si="575">AI72-AJ72</f>
        <v>318849</v>
      </c>
      <c r="AK161" s="50">
        <f t="shared" si="575"/>
        <v>0</v>
      </c>
      <c r="AL161" s="50">
        <f t="shared" si="575"/>
        <v>0</v>
      </c>
      <c r="AM161" s="50">
        <f t="shared" si="575"/>
        <v>-82464.704867284396</v>
      </c>
      <c r="AN161" s="50">
        <f t="shared" si="575"/>
        <v>82464.704867284396</v>
      </c>
      <c r="AO161" s="50">
        <f t="shared" si="575"/>
        <v>0</v>
      </c>
      <c r="AP161" s="50">
        <f t="shared" si="575"/>
        <v>0</v>
      </c>
      <c r="AQ161" s="50">
        <f t="shared" si="575"/>
        <v>-93127.366839893322</v>
      </c>
      <c r="AR161" s="50">
        <f t="shared" si="575"/>
        <v>93127.366839893322</v>
      </c>
      <c r="AS161" s="50">
        <f t="shared" si="575"/>
        <v>0</v>
      </c>
      <c r="AT161" s="50">
        <f t="shared" si="575"/>
        <v>0</v>
      </c>
      <c r="AU161" s="50">
        <f t="shared" si="575"/>
        <v>-104247.32832597103</v>
      </c>
      <c r="AV161" s="50">
        <f t="shared" si="575"/>
        <v>104247.32832597103</v>
      </c>
      <c r="AW161" s="50">
        <f t="shared" si="575"/>
        <v>0</v>
      </c>
      <c r="AX161" s="50">
        <f t="shared" si="575"/>
        <v>0</v>
      </c>
      <c r="AY161" s="50">
        <f t="shared" si="575"/>
        <v>-121758.62676896814</v>
      </c>
      <c r="AZ161" s="50">
        <f t="shared" si="575"/>
        <v>121758.62676896814</v>
      </c>
      <c r="BA161" s="50">
        <f t="shared" si="575"/>
        <v>0</v>
      </c>
      <c r="BB161" s="50">
        <f t="shared" si="575"/>
        <v>0</v>
      </c>
      <c r="BC161" s="50">
        <f t="shared" si="575"/>
        <v>-149941.4749170338</v>
      </c>
    </row>
    <row r="162" spans="2:55" x14ac:dyDescent="0.15">
      <c r="B162" s="192" t="str">
        <f t="shared" si="566"/>
        <v>Increase/(Decrease) in Customer Crypto assets</v>
      </c>
      <c r="D162" s="43" t="s">
        <v>33</v>
      </c>
      <c r="E162" s="119"/>
      <c r="F162" s="119"/>
      <c r="G162" s="119"/>
      <c r="H162" s="119"/>
      <c r="I162" s="119"/>
      <c r="J162" s="50">
        <f t="shared" si="571"/>
        <v>0</v>
      </c>
      <c r="K162" s="50">
        <f t="shared" si="571"/>
        <v>0</v>
      </c>
      <c r="L162" s="50">
        <f t="shared" si="571"/>
        <v>0</v>
      </c>
      <c r="M162" s="50">
        <f t="shared" si="571"/>
        <v>0</v>
      </c>
      <c r="N162" s="50">
        <f t="shared" si="571"/>
        <v>0</v>
      </c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  <c r="AC162" s="119"/>
      <c r="AD162" s="119"/>
      <c r="AE162" s="119"/>
      <c r="AF162" s="119"/>
      <c r="AG162" s="119"/>
      <c r="AH162" s="119"/>
      <c r="AI162" s="119"/>
      <c r="AJ162" s="50">
        <f t="shared" ref="AJ162:BC162" si="576">AI73-AJ73</f>
        <v>0</v>
      </c>
      <c r="AK162" s="50">
        <f t="shared" si="576"/>
        <v>0</v>
      </c>
      <c r="AL162" s="50">
        <f t="shared" si="576"/>
        <v>0</v>
      </c>
      <c r="AM162" s="50">
        <f t="shared" si="576"/>
        <v>0</v>
      </c>
      <c r="AN162" s="50">
        <f t="shared" si="576"/>
        <v>0</v>
      </c>
      <c r="AO162" s="50">
        <f t="shared" si="576"/>
        <v>0</v>
      </c>
      <c r="AP162" s="50">
        <f t="shared" si="576"/>
        <v>0</v>
      </c>
      <c r="AQ162" s="50">
        <f t="shared" si="576"/>
        <v>0</v>
      </c>
      <c r="AR162" s="50">
        <f t="shared" si="576"/>
        <v>0</v>
      </c>
      <c r="AS162" s="50">
        <f t="shared" si="576"/>
        <v>0</v>
      </c>
      <c r="AT162" s="50">
        <f t="shared" si="576"/>
        <v>0</v>
      </c>
      <c r="AU162" s="50">
        <f t="shared" si="576"/>
        <v>0</v>
      </c>
      <c r="AV162" s="50">
        <f t="shared" si="576"/>
        <v>0</v>
      </c>
      <c r="AW162" s="50">
        <f t="shared" si="576"/>
        <v>0</v>
      </c>
      <c r="AX162" s="50">
        <f t="shared" si="576"/>
        <v>0</v>
      </c>
      <c r="AY162" s="50">
        <f t="shared" si="576"/>
        <v>0</v>
      </c>
      <c r="AZ162" s="50">
        <f t="shared" si="576"/>
        <v>0</v>
      </c>
      <c r="BA162" s="50">
        <f t="shared" si="576"/>
        <v>0</v>
      </c>
      <c r="BB162" s="50">
        <f t="shared" si="576"/>
        <v>0</v>
      </c>
      <c r="BC162" s="50">
        <f t="shared" si="576"/>
        <v>0</v>
      </c>
    </row>
    <row r="163" spans="2:55" x14ac:dyDescent="0.15">
      <c r="B163" s="192" t="str">
        <f t="shared" si="566"/>
        <v>Increase/(Decrease) in Customer Custodial Cash</v>
      </c>
      <c r="D163" s="43" t="s">
        <v>33</v>
      </c>
      <c r="E163" s="119"/>
      <c r="F163" s="119"/>
      <c r="G163" s="119"/>
      <c r="H163" s="119"/>
      <c r="I163" s="119"/>
      <c r="J163" s="50">
        <f t="shared" si="571"/>
        <v>0</v>
      </c>
      <c r="K163" s="50">
        <f t="shared" si="571"/>
        <v>0</v>
      </c>
      <c r="L163" s="50">
        <f t="shared" si="571"/>
        <v>0</v>
      </c>
      <c r="M163" s="50">
        <f t="shared" si="571"/>
        <v>0</v>
      </c>
      <c r="N163" s="50">
        <f t="shared" si="571"/>
        <v>0</v>
      </c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  <c r="AC163" s="119"/>
      <c r="AD163" s="119"/>
      <c r="AE163" s="119"/>
      <c r="AF163" s="119"/>
      <c r="AG163" s="119"/>
      <c r="AH163" s="119"/>
      <c r="AI163" s="119"/>
      <c r="AJ163" s="50">
        <f t="shared" ref="AJ163:BC163" si="577">AI74-AJ74</f>
        <v>0</v>
      </c>
      <c r="AK163" s="50">
        <f t="shared" si="577"/>
        <v>0</v>
      </c>
      <c r="AL163" s="50">
        <f t="shared" si="577"/>
        <v>0</v>
      </c>
      <c r="AM163" s="50">
        <f t="shared" si="577"/>
        <v>0</v>
      </c>
      <c r="AN163" s="50">
        <f t="shared" si="577"/>
        <v>0</v>
      </c>
      <c r="AO163" s="50">
        <f t="shared" si="577"/>
        <v>0</v>
      </c>
      <c r="AP163" s="50">
        <f t="shared" si="577"/>
        <v>0</v>
      </c>
      <c r="AQ163" s="50">
        <f t="shared" si="577"/>
        <v>0</v>
      </c>
      <c r="AR163" s="50">
        <f t="shared" si="577"/>
        <v>0</v>
      </c>
      <c r="AS163" s="50">
        <f t="shared" si="577"/>
        <v>0</v>
      </c>
      <c r="AT163" s="50">
        <f t="shared" si="577"/>
        <v>0</v>
      </c>
      <c r="AU163" s="50">
        <f t="shared" si="577"/>
        <v>0</v>
      </c>
      <c r="AV163" s="50">
        <f t="shared" si="577"/>
        <v>0</v>
      </c>
      <c r="AW163" s="50">
        <f t="shared" si="577"/>
        <v>0</v>
      </c>
      <c r="AX163" s="50">
        <f t="shared" si="577"/>
        <v>0</v>
      </c>
      <c r="AY163" s="50">
        <f t="shared" si="577"/>
        <v>0</v>
      </c>
      <c r="AZ163" s="50">
        <f t="shared" si="577"/>
        <v>0</v>
      </c>
      <c r="BA163" s="50">
        <f t="shared" si="577"/>
        <v>0</v>
      </c>
      <c r="BB163" s="50">
        <f t="shared" si="577"/>
        <v>0</v>
      </c>
      <c r="BC163" s="50">
        <f t="shared" si="577"/>
        <v>0</v>
      </c>
    </row>
    <row r="164" spans="2:55" x14ac:dyDescent="0.15">
      <c r="B164" s="192" t="str">
        <f t="shared" si="566"/>
        <v>Increase/(Decrease) in Safeguarding Customer Crypto assets</v>
      </c>
      <c r="D164" s="43" t="s">
        <v>33</v>
      </c>
      <c r="E164" s="119"/>
      <c r="F164" s="119"/>
      <c r="G164" s="119"/>
      <c r="H164" s="119"/>
      <c r="I164" s="119"/>
      <c r="J164" s="50">
        <f t="shared" si="571"/>
        <v>0</v>
      </c>
      <c r="K164" s="50">
        <f t="shared" si="571"/>
        <v>0</v>
      </c>
      <c r="L164" s="50">
        <f t="shared" si="571"/>
        <v>0</v>
      </c>
      <c r="M164" s="50">
        <f t="shared" si="571"/>
        <v>0</v>
      </c>
      <c r="N164" s="50">
        <f t="shared" si="571"/>
        <v>0</v>
      </c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  <c r="AE164" s="119"/>
      <c r="AF164" s="119"/>
      <c r="AG164" s="119"/>
      <c r="AH164" s="119"/>
      <c r="AI164" s="119"/>
      <c r="AJ164" s="50">
        <f t="shared" ref="AJ164:BC164" si="578">AI75-AJ75</f>
        <v>0</v>
      </c>
      <c r="AK164" s="50">
        <f t="shared" si="578"/>
        <v>0</v>
      </c>
      <c r="AL164" s="50">
        <f t="shared" si="578"/>
        <v>0</v>
      </c>
      <c r="AM164" s="50">
        <f t="shared" si="578"/>
        <v>0</v>
      </c>
      <c r="AN164" s="50">
        <f t="shared" si="578"/>
        <v>0</v>
      </c>
      <c r="AO164" s="50">
        <f t="shared" si="578"/>
        <v>0</v>
      </c>
      <c r="AP164" s="50">
        <f t="shared" si="578"/>
        <v>0</v>
      </c>
      <c r="AQ164" s="50">
        <f t="shared" si="578"/>
        <v>0</v>
      </c>
      <c r="AR164" s="50">
        <f t="shared" si="578"/>
        <v>0</v>
      </c>
      <c r="AS164" s="50">
        <f t="shared" si="578"/>
        <v>0</v>
      </c>
      <c r="AT164" s="50">
        <f t="shared" si="578"/>
        <v>0</v>
      </c>
      <c r="AU164" s="50">
        <f t="shared" si="578"/>
        <v>0</v>
      </c>
      <c r="AV164" s="50">
        <f t="shared" si="578"/>
        <v>0</v>
      </c>
      <c r="AW164" s="50">
        <f t="shared" si="578"/>
        <v>0</v>
      </c>
      <c r="AX164" s="50">
        <f t="shared" si="578"/>
        <v>0</v>
      </c>
      <c r="AY164" s="50">
        <f t="shared" si="578"/>
        <v>0</v>
      </c>
      <c r="AZ164" s="50">
        <f t="shared" si="578"/>
        <v>0</v>
      </c>
      <c r="BA164" s="50">
        <f t="shared" si="578"/>
        <v>0</v>
      </c>
      <c r="BB164" s="50">
        <f t="shared" si="578"/>
        <v>0</v>
      </c>
      <c r="BC164" s="50">
        <f t="shared" si="578"/>
        <v>0</v>
      </c>
    </row>
    <row r="165" spans="2:55" x14ac:dyDescent="0.15">
      <c r="B165" s="192" t="str">
        <f t="shared" si="566"/>
        <v>Increase/(Decrease) in Crypto assets held as Collateral</v>
      </c>
      <c r="D165" s="43" t="s">
        <v>33</v>
      </c>
      <c r="E165" s="119"/>
      <c r="F165" s="119"/>
      <c r="G165" s="119"/>
      <c r="H165" s="119"/>
      <c r="I165" s="119"/>
      <c r="J165" s="50">
        <f t="shared" si="571"/>
        <v>235067.26894781436</v>
      </c>
      <c r="K165" s="50">
        <f t="shared" si="571"/>
        <v>-75997.159553374979</v>
      </c>
      <c r="L165" s="50">
        <f t="shared" si="571"/>
        <v>-79256.520506394561</v>
      </c>
      <c r="M165" s="50">
        <f t="shared" si="571"/>
        <v>-124810.19703877915</v>
      </c>
      <c r="N165" s="50">
        <f t="shared" si="571"/>
        <v>-200870.70310201612</v>
      </c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  <c r="AA165" s="119"/>
      <c r="AB165" s="119"/>
      <c r="AC165" s="119"/>
      <c r="AD165" s="119"/>
      <c r="AE165" s="119"/>
      <c r="AF165" s="119"/>
      <c r="AG165" s="119"/>
      <c r="AH165" s="119"/>
      <c r="AI165" s="119"/>
      <c r="AJ165" s="50">
        <f t="shared" ref="AJ165:BC165" si="579">AI76-AJ76</f>
        <v>822827</v>
      </c>
      <c r="AK165" s="50">
        <f t="shared" si="579"/>
        <v>0</v>
      </c>
      <c r="AL165" s="50">
        <f t="shared" si="579"/>
        <v>0</v>
      </c>
      <c r="AM165" s="50">
        <f t="shared" si="579"/>
        <v>-587759.73105218564</v>
      </c>
      <c r="AN165" s="50">
        <f t="shared" si="579"/>
        <v>587759.73105218564</v>
      </c>
      <c r="AO165" s="50">
        <f t="shared" si="579"/>
        <v>0</v>
      </c>
      <c r="AP165" s="50">
        <f t="shared" si="579"/>
        <v>0</v>
      </c>
      <c r="AQ165" s="50">
        <f t="shared" si="579"/>
        <v>-663756.89060556062</v>
      </c>
      <c r="AR165" s="50">
        <f t="shared" si="579"/>
        <v>663756.89060556062</v>
      </c>
      <c r="AS165" s="50">
        <f t="shared" si="579"/>
        <v>0</v>
      </c>
      <c r="AT165" s="50">
        <f t="shared" si="579"/>
        <v>0</v>
      </c>
      <c r="AU165" s="50">
        <f t="shared" si="579"/>
        <v>-743013.41111195518</v>
      </c>
      <c r="AV165" s="50">
        <f t="shared" si="579"/>
        <v>743013.41111195518</v>
      </c>
      <c r="AW165" s="50">
        <f t="shared" si="579"/>
        <v>0</v>
      </c>
      <c r="AX165" s="50">
        <f t="shared" si="579"/>
        <v>0</v>
      </c>
      <c r="AY165" s="50">
        <f t="shared" si="579"/>
        <v>-867823.60815073433</v>
      </c>
      <c r="AZ165" s="50">
        <f t="shared" si="579"/>
        <v>867823.60815073433</v>
      </c>
      <c r="BA165" s="50">
        <f t="shared" si="579"/>
        <v>0</v>
      </c>
      <c r="BB165" s="50">
        <f t="shared" si="579"/>
        <v>0</v>
      </c>
      <c r="BC165" s="50">
        <f t="shared" si="579"/>
        <v>-1068694.3112527505</v>
      </c>
    </row>
    <row r="166" spans="2:55" x14ac:dyDescent="0.15">
      <c r="B166" s="192" t="str">
        <f t="shared" si="566"/>
        <v>Increase/(Decrease) in Crypto assets held for operations</v>
      </c>
      <c r="D166" s="43" t="s">
        <v>33</v>
      </c>
      <c r="E166" s="119"/>
      <c r="F166" s="119"/>
      <c r="G166" s="119"/>
      <c r="H166" s="119"/>
      <c r="I166" s="119"/>
      <c r="J166" s="50">
        <f t="shared" si="571"/>
        <v>57435.100807012292</v>
      </c>
      <c r="K166" s="50">
        <f t="shared" si="571"/>
        <v>-8197.071033386921</v>
      </c>
      <c r="L166" s="50">
        <f t="shared" si="571"/>
        <v>-8548.6264521994599</v>
      </c>
      <c r="M166" s="50">
        <f t="shared" si="571"/>
        <v>-13462.056435140257</v>
      </c>
      <c r="N166" s="50">
        <f t="shared" si="571"/>
        <v>-21665.960037587734</v>
      </c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  <c r="AC166" s="119"/>
      <c r="AD166" s="119"/>
      <c r="AE166" s="119"/>
      <c r="AF166" s="119"/>
      <c r="AG166" s="119"/>
      <c r="AH166" s="119"/>
      <c r="AI166" s="119"/>
      <c r="AJ166" s="50">
        <f t="shared" ref="AJ166:BC166" si="580">AI77-AJ77</f>
        <v>120831</v>
      </c>
      <c r="AK166" s="50">
        <f t="shared" si="580"/>
        <v>0</v>
      </c>
      <c r="AL166" s="50">
        <f t="shared" si="580"/>
        <v>0</v>
      </c>
      <c r="AM166" s="50">
        <f t="shared" si="580"/>
        <v>-63395.899192987708</v>
      </c>
      <c r="AN166" s="50">
        <f t="shared" si="580"/>
        <v>63395.899192987708</v>
      </c>
      <c r="AO166" s="50">
        <f t="shared" si="580"/>
        <v>0</v>
      </c>
      <c r="AP166" s="50">
        <f t="shared" si="580"/>
        <v>0</v>
      </c>
      <c r="AQ166" s="50">
        <f t="shared" si="580"/>
        <v>-71592.970226374629</v>
      </c>
      <c r="AR166" s="50">
        <f t="shared" si="580"/>
        <v>71592.970226374629</v>
      </c>
      <c r="AS166" s="50">
        <f t="shared" si="580"/>
        <v>0</v>
      </c>
      <c r="AT166" s="50">
        <f t="shared" si="580"/>
        <v>0</v>
      </c>
      <c r="AU166" s="50">
        <f t="shared" si="580"/>
        <v>-80141.596678574089</v>
      </c>
      <c r="AV166" s="50">
        <f t="shared" si="580"/>
        <v>80141.596678574089</v>
      </c>
      <c r="AW166" s="50">
        <f t="shared" si="580"/>
        <v>0</v>
      </c>
      <c r="AX166" s="50">
        <f t="shared" si="580"/>
        <v>0</v>
      </c>
      <c r="AY166" s="50">
        <f t="shared" si="580"/>
        <v>-93603.653113714347</v>
      </c>
      <c r="AZ166" s="50">
        <f t="shared" si="580"/>
        <v>93603.653113714347</v>
      </c>
      <c r="BA166" s="50">
        <f t="shared" si="580"/>
        <v>0</v>
      </c>
      <c r="BB166" s="50">
        <f t="shared" si="580"/>
        <v>0</v>
      </c>
      <c r="BC166" s="50">
        <f t="shared" si="580"/>
        <v>-115269.61315130208</v>
      </c>
    </row>
    <row r="167" spans="2:55" x14ac:dyDescent="0.15">
      <c r="B167" s="192" t="str">
        <f>"Increase/(Decrease) in " &amp;B81</f>
        <v>Increase/(Decrease) in Lease Right-of-use Assets</v>
      </c>
      <c r="D167" s="43" t="s">
        <v>33</v>
      </c>
      <c r="E167" s="119"/>
      <c r="F167" s="119"/>
      <c r="G167" s="119"/>
      <c r="H167" s="119"/>
      <c r="I167" s="119"/>
      <c r="J167" s="50">
        <f t="shared" si="571"/>
        <v>0</v>
      </c>
      <c r="K167" s="50">
        <f t="shared" si="571"/>
        <v>0</v>
      </c>
      <c r="L167" s="50">
        <f t="shared" si="571"/>
        <v>0</v>
      </c>
      <c r="M167" s="50">
        <f t="shared" si="571"/>
        <v>0</v>
      </c>
      <c r="N167" s="50">
        <f t="shared" si="571"/>
        <v>0</v>
      </c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  <c r="AC167" s="119"/>
      <c r="AD167" s="119"/>
      <c r="AE167" s="119"/>
      <c r="AF167" s="119"/>
      <c r="AG167" s="119"/>
      <c r="AH167" s="119"/>
      <c r="AI167" s="119"/>
      <c r="AJ167" s="50">
        <f>AI81-AJ81</f>
        <v>-93749.435978208785</v>
      </c>
      <c r="AK167" s="50">
        <f t="shared" ref="AK167:BC167" si="581">AJ81-AK81</f>
        <v>47871.889071070618</v>
      </c>
      <c r="AL167" s="50">
        <f t="shared" si="581"/>
        <v>-8391.6179407086165</v>
      </c>
      <c r="AM167" s="50">
        <f t="shared" si="581"/>
        <v>54269.164847846783</v>
      </c>
      <c r="AN167" s="50">
        <f t="shared" si="581"/>
        <v>-97834.032339822093</v>
      </c>
      <c r="AO167" s="50">
        <f t="shared" si="581"/>
        <v>45640.029358124986</v>
      </c>
      <c r="AP167" s="50">
        <f t="shared" si="581"/>
        <v>-10430.086380958761</v>
      </c>
      <c r="AQ167" s="50">
        <f t="shared" si="581"/>
        <v>62624.089362655868</v>
      </c>
      <c r="AR167" s="50">
        <f t="shared" si="581"/>
        <v>-106498.5400693431</v>
      </c>
      <c r="AS167" s="50">
        <f t="shared" si="581"/>
        <v>46771.709329553123</v>
      </c>
      <c r="AT167" s="50">
        <f t="shared" si="581"/>
        <v>-10842.617052910515</v>
      </c>
      <c r="AU167" s="50">
        <f t="shared" si="581"/>
        <v>70569.447792700492</v>
      </c>
      <c r="AV167" s="50">
        <f t="shared" si="581"/>
        <v>-117587.57398509668</v>
      </c>
      <c r="AW167" s="50">
        <f t="shared" si="581"/>
        <v>46553.460609081725</v>
      </c>
      <c r="AX167" s="50">
        <f t="shared" si="581"/>
        <v>-11883.629314054197</v>
      </c>
      <c r="AY167" s="50">
        <f t="shared" si="581"/>
        <v>82917.74269006915</v>
      </c>
      <c r="AZ167" s="50">
        <f t="shared" si="581"/>
        <v>-135100.56883624531</v>
      </c>
      <c r="BA167" s="50">
        <f t="shared" si="581"/>
        <v>45774.040997971184</v>
      </c>
      <c r="BB167" s="50">
        <f t="shared" si="581"/>
        <v>-13995.556983983595</v>
      </c>
      <c r="BC167" s="50">
        <f t="shared" si="581"/>
        <v>103322.08482225772</v>
      </c>
    </row>
    <row r="168" spans="2:55" x14ac:dyDescent="0.15">
      <c r="B168" s="192" t="str">
        <f>"Increase/(Decrease) in " &amp;B85</f>
        <v>Increase/(Decrease) in Deferred Tax Assets</v>
      </c>
      <c r="D168" s="43" t="s">
        <v>33</v>
      </c>
      <c r="E168" s="119"/>
      <c r="F168" s="119"/>
      <c r="G168" s="119"/>
      <c r="H168" s="119"/>
      <c r="I168" s="119"/>
      <c r="J168" s="50">
        <f t="shared" si="571"/>
        <v>-150052.13128086086</v>
      </c>
      <c r="K168" s="50">
        <f t="shared" si="571"/>
        <v>-93208.424271089374</v>
      </c>
      <c r="L168" s="50">
        <f t="shared" si="571"/>
        <v>-97205.940761798527</v>
      </c>
      <c r="M168" s="50">
        <f t="shared" si="571"/>
        <v>-153076.27110429492</v>
      </c>
      <c r="N168" s="50">
        <f t="shared" si="571"/>
        <v>-246362.38812603476</v>
      </c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19"/>
      <c r="AG168" s="119"/>
      <c r="AH168" s="119"/>
      <c r="AI168" s="119"/>
      <c r="AJ168" s="50">
        <f>AI85-AJ85</f>
        <v>570819</v>
      </c>
      <c r="AK168" s="50">
        <f t="shared" ref="AK168:BC168" si="582">AJ85-AK85</f>
        <v>0</v>
      </c>
      <c r="AL168" s="50">
        <f t="shared" si="582"/>
        <v>0</v>
      </c>
      <c r="AM168" s="50">
        <f t="shared" si="582"/>
        <v>-720871.13128086086</v>
      </c>
      <c r="AN168" s="50">
        <f t="shared" si="582"/>
        <v>720871.13128086086</v>
      </c>
      <c r="AO168" s="50">
        <f t="shared" si="582"/>
        <v>0</v>
      </c>
      <c r="AP168" s="50">
        <f t="shared" si="582"/>
        <v>0</v>
      </c>
      <c r="AQ168" s="50">
        <f t="shared" si="582"/>
        <v>-814079.55555195024</v>
      </c>
      <c r="AR168" s="50">
        <f t="shared" si="582"/>
        <v>814079.55555195024</v>
      </c>
      <c r="AS168" s="50">
        <f t="shared" si="582"/>
        <v>0</v>
      </c>
      <c r="AT168" s="50">
        <f t="shared" si="582"/>
        <v>0</v>
      </c>
      <c r="AU168" s="50">
        <f t="shared" si="582"/>
        <v>-911285.49631374876</v>
      </c>
      <c r="AV168" s="50">
        <f t="shared" si="582"/>
        <v>911285.49631374876</v>
      </c>
      <c r="AW168" s="50">
        <f t="shared" si="582"/>
        <v>0</v>
      </c>
      <c r="AX168" s="50">
        <f t="shared" si="582"/>
        <v>0</v>
      </c>
      <c r="AY168" s="50">
        <f t="shared" si="582"/>
        <v>-1064361.7674180437</v>
      </c>
      <c r="AZ168" s="50">
        <f t="shared" si="582"/>
        <v>1064361.7674180437</v>
      </c>
      <c r="BA168" s="50">
        <f t="shared" si="582"/>
        <v>0</v>
      </c>
      <c r="BB168" s="50">
        <f t="shared" si="582"/>
        <v>0</v>
      </c>
      <c r="BC168" s="50">
        <f t="shared" si="582"/>
        <v>-1310724.1555440784</v>
      </c>
    </row>
    <row r="169" spans="2:55" x14ac:dyDescent="0.15">
      <c r="B169" s="192" t="str">
        <f>"Increase/(Decrease) in " &amp;B86</f>
        <v>Increase/(Decrease) in Goodwill</v>
      </c>
      <c r="D169" s="43" t="s">
        <v>33</v>
      </c>
      <c r="E169" s="119"/>
      <c r="F169" s="119"/>
      <c r="G169" s="119"/>
      <c r="H169" s="119"/>
      <c r="I169" s="119"/>
      <c r="J169" s="50">
        <f t="shared" si="571"/>
        <v>2090258.909313943</v>
      </c>
      <c r="K169" s="50">
        <f t="shared" si="571"/>
        <v>-268776.34190752916</v>
      </c>
      <c r="L169" s="50">
        <f t="shared" si="571"/>
        <v>-280303.60317699239</v>
      </c>
      <c r="M169" s="50">
        <f t="shared" si="571"/>
        <v>-441411.60524928151</v>
      </c>
      <c r="N169" s="50">
        <f t="shared" si="571"/>
        <v>-710411.98241409333</v>
      </c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  <c r="AA169" s="119"/>
      <c r="AB169" s="119"/>
      <c r="AC169" s="119"/>
      <c r="AD169" s="119"/>
      <c r="AE169" s="119"/>
      <c r="AF169" s="119"/>
      <c r="AG169" s="119"/>
      <c r="AH169" s="119"/>
      <c r="AI169" s="119"/>
      <c r="AJ169" s="50">
        <f>AI86-AJ86</f>
        <v>2872040.9895923408</v>
      </c>
      <c r="AK169" s="50">
        <f t="shared" ref="AK169:BC169" si="583">AJ86-AK86</f>
        <v>-105214.21975463419</v>
      </c>
      <c r="AL169" s="50">
        <f t="shared" si="583"/>
        <v>-2610897.6041321233</v>
      </c>
      <c r="AM169" s="50">
        <f t="shared" si="583"/>
        <v>1934329.7436083599</v>
      </c>
      <c r="AN169" s="50">
        <f t="shared" si="583"/>
        <v>725275.93484810228</v>
      </c>
      <c r="AO169" s="50">
        <f t="shared" si="583"/>
        <v>-241755.8236322708</v>
      </c>
      <c r="AP169" s="50">
        <f t="shared" si="583"/>
        <v>-3035670.8269103877</v>
      </c>
      <c r="AQ169" s="50">
        <f t="shared" si="583"/>
        <v>2283374.3737870269</v>
      </c>
      <c r="AR169" s="50">
        <f t="shared" si="583"/>
        <v>874187.81757738115</v>
      </c>
      <c r="AS169" s="50">
        <f t="shared" si="583"/>
        <v>-352114.67756804125</v>
      </c>
      <c r="AT169" s="50">
        <f t="shared" si="583"/>
        <v>-3392982.3335451968</v>
      </c>
      <c r="AU169" s="50">
        <f t="shared" si="583"/>
        <v>2590605.5903588645</v>
      </c>
      <c r="AV169" s="50">
        <f t="shared" si="583"/>
        <v>1001086.1616659199</v>
      </c>
      <c r="AW169" s="50">
        <f t="shared" si="583"/>
        <v>-544290.14253525366</v>
      </c>
      <c r="AX169" s="50">
        <f t="shared" si="583"/>
        <v>-3960520.0396533073</v>
      </c>
      <c r="AY169" s="50">
        <f t="shared" si="583"/>
        <v>3062312.4152733595</v>
      </c>
      <c r="AZ169" s="50">
        <f t="shared" si="583"/>
        <v>1200223.6848837161</v>
      </c>
      <c r="BA169" s="50">
        <f t="shared" si="583"/>
        <v>-861081.04879209027</v>
      </c>
      <c r="BB169" s="50">
        <f t="shared" si="583"/>
        <v>-4910293.3979644766</v>
      </c>
      <c r="BC169" s="50">
        <f t="shared" si="583"/>
        <v>3860738.779458757</v>
      </c>
    </row>
    <row r="170" spans="2:55" x14ac:dyDescent="0.15">
      <c r="B170" s="192" t="str">
        <f>"Increase/(Decrease) in " &amp;B88</f>
        <v>Increase/(Decrease) in Other Non-current Assets</v>
      </c>
      <c r="D170" s="43" t="s">
        <v>33</v>
      </c>
      <c r="E170" s="119"/>
      <c r="F170" s="119"/>
      <c r="G170" s="119"/>
      <c r="H170" s="119"/>
      <c r="I170" s="119"/>
      <c r="J170" s="50">
        <f t="shared" si="571"/>
        <v>-403713.53821870941</v>
      </c>
      <c r="K170" s="50">
        <f t="shared" si="571"/>
        <v>-85737.539960909169</v>
      </c>
      <c r="L170" s="50">
        <f t="shared" si="571"/>
        <v>-89414.645679055247</v>
      </c>
      <c r="M170" s="50">
        <f t="shared" si="571"/>
        <v>-140806.83171620034</v>
      </c>
      <c r="N170" s="50">
        <f t="shared" si="571"/>
        <v>-226615.83716282784</v>
      </c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  <c r="AA170" s="119"/>
      <c r="AB170" s="119"/>
      <c r="AC170" s="119"/>
      <c r="AD170" s="119"/>
      <c r="AE170" s="119"/>
      <c r="AF170" s="119"/>
      <c r="AG170" s="119"/>
      <c r="AH170" s="119"/>
      <c r="AI170" s="119"/>
      <c r="AJ170" s="50">
        <f>AI88-AJ88</f>
        <v>-528491.53981666395</v>
      </c>
      <c r="AK170" s="50">
        <f t="shared" ref="AK170:BC170" si="584">AJ88-AK88</f>
        <v>-59267.153033300187</v>
      </c>
      <c r="AL170" s="50">
        <f t="shared" si="584"/>
        <v>-745128.32941686083</v>
      </c>
      <c r="AM170" s="50">
        <f t="shared" si="584"/>
        <v>929173.48404811556</v>
      </c>
      <c r="AN170" s="50">
        <f t="shared" si="584"/>
        <v>-159104.9180447812</v>
      </c>
      <c r="AO170" s="50">
        <f t="shared" si="584"/>
        <v>-141574.67042760307</v>
      </c>
      <c r="AP170" s="50">
        <f t="shared" si="584"/>
        <v>-873628.57022768422</v>
      </c>
      <c r="AQ170" s="50">
        <f t="shared" si="584"/>
        <v>1088570.6187391593</v>
      </c>
      <c r="AR170" s="50">
        <f t="shared" si="584"/>
        <v>-146183.83448561933</v>
      </c>
      <c r="AS170" s="50">
        <f t="shared" si="584"/>
        <v>-207853.15752219863</v>
      </c>
      <c r="AT170" s="50">
        <f t="shared" si="584"/>
        <v>-967651.5741514382</v>
      </c>
      <c r="AU170" s="50">
        <f t="shared" si="584"/>
        <v>1232273.920480201</v>
      </c>
      <c r="AV170" s="50">
        <f t="shared" si="584"/>
        <v>-149961.34465320769</v>
      </c>
      <c r="AW170" s="50">
        <f t="shared" si="584"/>
        <v>-323451.89533340815</v>
      </c>
      <c r="AX170" s="50">
        <f t="shared" si="584"/>
        <v>-1121161.4106566759</v>
      </c>
      <c r="AY170" s="50">
        <f t="shared" si="584"/>
        <v>1453767.8189270915</v>
      </c>
      <c r="AZ170" s="50">
        <f t="shared" si="584"/>
        <v>-156333.58713851275</v>
      </c>
      <c r="BA170" s="50">
        <f t="shared" si="584"/>
        <v>-514045.35991139035</v>
      </c>
      <c r="BB170" s="50">
        <f t="shared" si="584"/>
        <v>-1382055.1747498815</v>
      </c>
      <c r="BC170" s="50">
        <f t="shared" si="584"/>
        <v>1825818.2846369569</v>
      </c>
    </row>
    <row r="171" spans="2:55" x14ac:dyDescent="0.15">
      <c r="B171" s="192" t="str">
        <f>"Increase/(Decrease) in " &amp;B104</f>
        <v>Increase/(Decrease) in Lease Liabilities, Current</v>
      </c>
      <c r="D171" s="43" t="s">
        <v>33</v>
      </c>
      <c r="E171" s="119"/>
      <c r="F171" s="119"/>
      <c r="G171" s="119"/>
      <c r="H171" s="119"/>
      <c r="I171" s="119"/>
      <c r="J171" s="50">
        <f t="shared" si="571"/>
        <v>0</v>
      </c>
      <c r="K171" s="50">
        <f t="shared" si="571"/>
        <v>0</v>
      </c>
      <c r="L171" s="50">
        <f t="shared" si="571"/>
        <v>0</v>
      </c>
      <c r="M171" s="50">
        <f t="shared" si="571"/>
        <v>0</v>
      </c>
      <c r="N171" s="50">
        <f t="shared" si="571"/>
        <v>0</v>
      </c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  <c r="AC171" s="119"/>
      <c r="AD171" s="119"/>
      <c r="AE171" s="119"/>
      <c r="AF171" s="119"/>
      <c r="AG171" s="119"/>
      <c r="AH171" s="119"/>
      <c r="AI171" s="119"/>
      <c r="AJ171" s="50">
        <f>AJ104-AI104</f>
        <v>30724.057370241586</v>
      </c>
      <c r="AK171" s="50">
        <f t="shared" ref="AK171:BC171" si="585">AK104-AJ104</f>
        <v>-5962.2029940907123</v>
      </c>
      <c r="AL171" s="50">
        <f t="shared" si="585"/>
        <v>17545.699195538666</v>
      </c>
      <c r="AM171" s="50">
        <f t="shared" si="585"/>
        <v>-42307.553571689539</v>
      </c>
      <c r="AN171" s="50">
        <f t="shared" si="585"/>
        <v>32062.682735173461</v>
      </c>
      <c r="AO171" s="50">
        <f t="shared" si="585"/>
        <v>-3891.5971329465829</v>
      </c>
      <c r="AP171" s="50">
        <f t="shared" si="585"/>
        <v>20649.861302283258</v>
      </c>
      <c r="AQ171" s="50">
        <f t="shared" si="585"/>
        <v>-48820.946904510136</v>
      </c>
      <c r="AR171" s="50">
        <f t="shared" si="585"/>
        <v>34902.260699446051</v>
      </c>
      <c r="AS171" s="50">
        <f t="shared" si="585"/>
        <v>-2665.4218788948347</v>
      </c>
      <c r="AT171" s="50">
        <f t="shared" si="585"/>
        <v>22778.208884438172</v>
      </c>
      <c r="AU171" s="50">
        <f t="shared" si="585"/>
        <v>-55015.047704989389</v>
      </c>
      <c r="AV171" s="50">
        <f t="shared" si="585"/>
        <v>38536.417114929558</v>
      </c>
      <c r="AW171" s="50">
        <f t="shared" si="585"/>
        <v>-196.60843430898967</v>
      </c>
      <c r="AX171" s="50">
        <f t="shared" si="585"/>
        <v>26301.813329578028</v>
      </c>
      <c r="AY171" s="50">
        <f t="shared" si="585"/>
        <v>-64641.622010198596</v>
      </c>
      <c r="AZ171" s="50">
        <f t="shared" si="585"/>
        <v>44275.867735800544</v>
      </c>
      <c r="BA171" s="50">
        <f t="shared" si="585"/>
        <v>3937.0517286091635</v>
      </c>
      <c r="BB171" s="50">
        <f t="shared" si="585"/>
        <v>32335.669241756033</v>
      </c>
      <c r="BC171" s="50">
        <f t="shared" si="585"/>
        <v>-80548.588706165741</v>
      </c>
    </row>
    <row r="172" spans="2:55" x14ac:dyDescent="0.15">
      <c r="B172" s="192" t="str">
        <f t="shared" ref="B172:B178" si="586">"Increase/(Decrease) in " &amp;B105</f>
        <v>Increase/(Decrease) in Other Current Liabilities</v>
      </c>
      <c r="D172" s="43" t="s">
        <v>33</v>
      </c>
      <c r="E172" s="119"/>
      <c r="F172" s="119"/>
      <c r="G172" s="119"/>
      <c r="H172" s="119"/>
      <c r="I172" s="119"/>
      <c r="J172" s="50">
        <f t="shared" si="571"/>
        <v>0</v>
      </c>
      <c r="K172" s="50">
        <f t="shared" si="571"/>
        <v>0</v>
      </c>
      <c r="L172" s="50">
        <f t="shared" si="571"/>
        <v>0</v>
      </c>
      <c r="M172" s="50">
        <f t="shared" si="571"/>
        <v>0</v>
      </c>
      <c r="N172" s="50">
        <f t="shared" si="571"/>
        <v>0</v>
      </c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  <c r="AC172" s="119"/>
      <c r="AD172" s="119"/>
      <c r="AE172" s="119"/>
      <c r="AF172" s="119"/>
      <c r="AG172" s="119"/>
      <c r="AH172" s="119"/>
      <c r="AI172" s="119"/>
      <c r="AJ172" s="50">
        <f t="shared" ref="AJ172:BC172" si="587">AJ105-AI105</f>
        <v>0</v>
      </c>
      <c r="AK172" s="50">
        <f t="shared" si="587"/>
        <v>0</v>
      </c>
      <c r="AL172" s="50">
        <f t="shared" si="587"/>
        <v>0</v>
      </c>
      <c r="AM172" s="50">
        <f t="shared" si="587"/>
        <v>0</v>
      </c>
      <c r="AN172" s="50">
        <f t="shared" si="587"/>
        <v>0</v>
      </c>
      <c r="AO172" s="50">
        <f t="shared" si="587"/>
        <v>0</v>
      </c>
      <c r="AP172" s="50">
        <f t="shared" si="587"/>
        <v>0</v>
      </c>
      <c r="AQ172" s="50">
        <f t="shared" si="587"/>
        <v>0</v>
      </c>
      <c r="AR172" s="50">
        <f t="shared" si="587"/>
        <v>0</v>
      </c>
      <c r="AS172" s="50">
        <f t="shared" si="587"/>
        <v>0</v>
      </c>
      <c r="AT172" s="50">
        <f t="shared" si="587"/>
        <v>0</v>
      </c>
      <c r="AU172" s="50">
        <f t="shared" si="587"/>
        <v>0</v>
      </c>
      <c r="AV172" s="50">
        <f t="shared" si="587"/>
        <v>0</v>
      </c>
      <c r="AW172" s="50">
        <f t="shared" si="587"/>
        <v>0</v>
      </c>
      <c r="AX172" s="50">
        <f t="shared" si="587"/>
        <v>0</v>
      </c>
      <c r="AY172" s="50">
        <f t="shared" si="587"/>
        <v>0</v>
      </c>
      <c r="AZ172" s="50">
        <f t="shared" si="587"/>
        <v>0</v>
      </c>
      <c r="BA172" s="50">
        <f t="shared" si="587"/>
        <v>0</v>
      </c>
      <c r="BB172" s="50">
        <f t="shared" si="587"/>
        <v>0</v>
      </c>
      <c r="BC172" s="50">
        <f t="shared" si="587"/>
        <v>0</v>
      </c>
    </row>
    <row r="173" spans="2:55" x14ac:dyDescent="0.15">
      <c r="B173" s="192" t="str">
        <f t="shared" si="586"/>
        <v>Increase/(Decrease) in Obligation to Return Collateral</v>
      </c>
      <c r="D173" s="43" t="s">
        <v>33</v>
      </c>
      <c r="E173" s="119"/>
      <c r="F173" s="119"/>
      <c r="G173" s="119"/>
      <c r="H173" s="119"/>
      <c r="I173" s="119"/>
      <c r="J173" s="50">
        <f t="shared" si="571"/>
        <v>-220252.53348902054</v>
      </c>
      <c r="K173" s="50">
        <f t="shared" si="571"/>
        <v>78437.140072258306</v>
      </c>
      <c r="L173" s="50">
        <f t="shared" si="571"/>
        <v>81801.146741987905</v>
      </c>
      <c r="M173" s="50">
        <f t="shared" si="571"/>
        <v>128817.37903245271</v>
      </c>
      <c r="N173" s="50">
        <f t="shared" si="571"/>
        <v>207319.89943071711</v>
      </c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  <c r="AC173" s="119"/>
      <c r="AD173" s="119"/>
      <c r="AE173" s="119"/>
      <c r="AF173" s="119"/>
      <c r="AG173" s="119"/>
      <c r="AH173" s="119"/>
      <c r="AI173" s="119"/>
      <c r="AJ173" s="50">
        <f t="shared" ref="AJ173:BC173" si="588">AJ106-AI106</f>
        <v>-826883</v>
      </c>
      <c r="AK173" s="50">
        <f t="shared" si="588"/>
        <v>0</v>
      </c>
      <c r="AL173" s="50">
        <f t="shared" si="588"/>
        <v>0</v>
      </c>
      <c r="AM173" s="50">
        <f t="shared" si="588"/>
        <v>606630.46651097946</v>
      </c>
      <c r="AN173" s="50">
        <f t="shared" si="588"/>
        <v>-606630.46651097946</v>
      </c>
      <c r="AO173" s="50">
        <f t="shared" si="588"/>
        <v>0</v>
      </c>
      <c r="AP173" s="50">
        <f t="shared" si="588"/>
        <v>0</v>
      </c>
      <c r="AQ173" s="50">
        <f t="shared" si="588"/>
        <v>685067.60658323776</v>
      </c>
      <c r="AR173" s="50">
        <f t="shared" si="588"/>
        <v>-685067.60658323776</v>
      </c>
      <c r="AS173" s="50">
        <f t="shared" si="588"/>
        <v>0</v>
      </c>
      <c r="AT173" s="50">
        <f t="shared" si="588"/>
        <v>0</v>
      </c>
      <c r="AU173" s="50">
        <f t="shared" si="588"/>
        <v>766868.75332522567</v>
      </c>
      <c r="AV173" s="50">
        <f t="shared" si="588"/>
        <v>-766868.75332522567</v>
      </c>
      <c r="AW173" s="50">
        <f t="shared" si="588"/>
        <v>0</v>
      </c>
      <c r="AX173" s="50">
        <f t="shared" si="588"/>
        <v>0</v>
      </c>
      <c r="AY173" s="50">
        <f t="shared" si="588"/>
        <v>895686.13235767838</v>
      </c>
      <c r="AZ173" s="50">
        <f t="shared" si="588"/>
        <v>-895686.13235767838</v>
      </c>
      <c r="BA173" s="50">
        <f t="shared" si="588"/>
        <v>0</v>
      </c>
      <c r="BB173" s="50">
        <f t="shared" si="588"/>
        <v>0</v>
      </c>
      <c r="BC173" s="50">
        <f t="shared" si="588"/>
        <v>1103006.0317883955</v>
      </c>
    </row>
    <row r="174" spans="2:55" x14ac:dyDescent="0.15">
      <c r="B174" s="192" t="str">
        <f t="shared" si="586"/>
        <v>Increase/(Decrease) in Custodial Funds Due to Customers</v>
      </c>
      <c r="D174" s="43" t="s">
        <v>33</v>
      </c>
      <c r="E174" s="119"/>
      <c r="F174" s="119"/>
      <c r="G174" s="119"/>
      <c r="H174" s="119"/>
      <c r="I174" s="119"/>
      <c r="J174" s="50">
        <f t="shared" ref="J174:N182" si="589">SUMIFS($AJ174:$BC174,$AJ$1:$BC$1,J$1)</f>
        <v>7297652.0518629635</v>
      </c>
      <c r="K174" s="50">
        <f t="shared" si="589"/>
        <v>943584.2539903475</v>
      </c>
      <c r="L174" s="50">
        <f t="shared" si="589"/>
        <v>984052.63059039973</v>
      </c>
      <c r="M174" s="50">
        <f t="shared" si="589"/>
        <v>1549649.1889346503</v>
      </c>
      <c r="N174" s="50">
        <f t="shared" si="589"/>
        <v>2494019.9561263118</v>
      </c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  <c r="AC174" s="119"/>
      <c r="AD174" s="119"/>
      <c r="AE174" s="119"/>
      <c r="AF174" s="119"/>
      <c r="AG174" s="119"/>
      <c r="AH174" s="119"/>
      <c r="AI174" s="119"/>
      <c r="AJ174" s="50">
        <f t="shared" ref="AJ174:BC174" si="590">AJ107-AI107</f>
        <v>0</v>
      </c>
      <c r="AK174" s="50">
        <f t="shared" si="590"/>
        <v>0</v>
      </c>
      <c r="AL174" s="50">
        <f t="shared" si="590"/>
        <v>0</v>
      </c>
      <c r="AM174" s="50">
        <f t="shared" si="590"/>
        <v>7297652.0518629635</v>
      </c>
      <c r="AN174" s="50">
        <f t="shared" si="590"/>
        <v>-7297652.0518629635</v>
      </c>
      <c r="AO174" s="50">
        <f t="shared" si="590"/>
        <v>0</v>
      </c>
      <c r="AP174" s="50">
        <f t="shared" si="590"/>
        <v>0</v>
      </c>
      <c r="AQ174" s="50">
        <f t="shared" si="590"/>
        <v>8241236.305853311</v>
      </c>
      <c r="AR174" s="50">
        <f t="shared" si="590"/>
        <v>-8241236.305853311</v>
      </c>
      <c r="AS174" s="50">
        <f t="shared" si="590"/>
        <v>0</v>
      </c>
      <c r="AT174" s="50">
        <f t="shared" si="590"/>
        <v>0</v>
      </c>
      <c r="AU174" s="50">
        <f t="shared" si="590"/>
        <v>9225288.9364437107</v>
      </c>
      <c r="AV174" s="50">
        <f t="shared" si="590"/>
        <v>-9225288.9364437107</v>
      </c>
      <c r="AW174" s="50">
        <f t="shared" si="590"/>
        <v>0</v>
      </c>
      <c r="AX174" s="50">
        <f t="shared" si="590"/>
        <v>0</v>
      </c>
      <c r="AY174" s="50">
        <f t="shared" si="590"/>
        <v>10774938.125378361</v>
      </c>
      <c r="AZ174" s="50">
        <f t="shared" si="590"/>
        <v>-10774938.125378361</v>
      </c>
      <c r="BA174" s="50">
        <f t="shared" si="590"/>
        <v>0</v>
      </c>
      <c r="BB174" s="50">
        <f t="shared" si="590"/>
        <v>0</v>
      </c>
      <c r="BC174" s="50">
        <f t="shared" si="590"/>
        <v>13268958.081504673</v>
      </c>
    </row>
    <row r="175" spans="2:55" x14ac:dyDescent="0.15">
      <c r="B175" s="192" t="str">
        <f t="shared" si="586"/>
        <v>Increase/(Decrease) in Customer Crypto liabilities</v>
      </c>
      <c r="D175" s="43" t="s">
        <v>33</v>
      </c>
      <c r="E175" s="119"/>
      <c r="F175" s="119"/>
      <c r="G175" s="119"/>
      <c r="H175" s="119"/>
      <c r="I175" s="119"/>
      <c r="J175" s="50">
        <f t="shared" si="589"/>
        <v>0</v>
      </c>
      <c r="K175" s="50">
        <f t="shared" si="589"/>
        <v>0</v>
      </c>
      <c r="L175" s="50">
        <f t="shared" si="589"/>
        <v>0</v>
      </c>
      <c r="M175" s="50">
        <f t="shared" si="589"/>
        <v>0</v>
      </c>
      <c r="N175" s="50">
        <f t="shared" si="589"/>
        <v>0</v>
      </c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  <c r="AA175" s="119"/>
      <c r="AB175" s="119"/>
      <c r="AC175" s="119"/>
      <c r="AD175" s="119"/>
      <c r="AE175" s="119"/>
      <c r="AF175" s="119"/>
      <c r="AG175" s="119"/>
      <c r="AH175" s="119"/>
      <c r="AI175" s="119"/>
      <c r="AJ175" s="50">
        <f t="shared" ref="AJ175:BC175" si="591">AJ108-AI108</f>
        <v>0</v>
      </c>
      <c r="AK175" s="50">
        <f t="shared" si="591"/>
        <v>0</v>
      </c>
      <c r="AL175" s="50">
        <f t="shared" si="591"/>
        <v>0</v>
      </c>
      <c r="AM175" s="50">
        <f t="shared" si="591"/>
        <v>0</v>
      </c>
      <c r="AN175" s="50">
        <f t="shared" si="591"/>
        <v>0</v>
      </c>
      <c r="AO175" s="50">
        <f t="shared" si="591"/>
        <v>0</v>
      </c>
      <c r="AP175" s="50">
        <f t="shared" si="591"/>
        <v>0</v>
      </c>
      <c r="AQ175" s="50">
        <f t="shared" si="591"/>
        <v>0</v>
      </c>
      <c r="AR175" s="50">
        <f t="shared" si="591"/>
        <v>0</v>
      </c>
      <c r="AS175" s="50">
        <f t="shared" si="591"/>
        <v>0</v>
      </c>
      <c r="AT175" s="50">
        <f t="shared" si="591"/>
        <v>0</v>
      </c>
      <c r="AU175" s="50">
        <f t="shared" si="591"/>
        <v>0</v>
      </c>
      <c r="AV175" s="50">
        <f t="shared" si="591"/>
        <v>0</v>
      </c>
      <c r="AW175" s="50">
        <f t="shared" si="591"/>
        <v>0</v>
      </c>
      <c r="AX175" s="50">
        <f t="shared" si="591"/>
        <v>0</v>
      </c>
      <c r="AY175" s="50">
        <f t="shared" si="591"/>
        <v>0</v>
      </c>
      <c r="AZ175" s="50">
        <f t="shared" si="591"/>
        <v>0</v>
      </c>
      <c r="BA175" s="50">
        <f t="shared" si="591"/>
        <v>0</v>
      </c>
      <c r="BB175" s="50">
        <f t="shared" si="591"/>
        <v>0</v>
      </c>
      <c r="BC175" s="50">
        <f t="shared" si="591"/>
        <v>0</v>
      </c>
    </row>
    <row r="176" spans="2:55" x14ac:dyDescent="0.15">
      <c r="B176" s="192" t="str">
        <f t="shared" si="586"/>
        <v>Increase/(Decrease) in Customer Custodial Cash liabilities</v>
      </c>
      <c r="D176" s="43" t="s">
        <v>33</v>
      </c>
      <c r="E176" s="119"/>
      <c r="F176" s="119"/>
      <c r="G176" s="119"/>
      <c r="H176" s="119"/>
      <c r="I176" s="119"/>
      <c r="J176" s="50">
        <f t="shared" si="589"/>
        <v>0</v>
      </c>
      <c r="K176" s="50">
        <f t="shared" si="589"/>
        <v>0</v>
      </c>
      <c r="L176" s="50">
        <f t="shared" si="589"/>
        <v>0</v>
      </c>
      <c r="M176" s="50">
        <f t="shared" si="589"/>
        <v>0</v>
      </c>
      <c r="N176" s="50">
        <f t="shared" si="589"/>
        <v>0</v>
      </c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  <c r="AA176" s="119"/>
      <c r="AB176" s="119"/>
      <c r="AC176" s="119"/>
      <c r="AD176" s="119"/>
      <c r="AE176" s="119"/>
      <c r="AF176" s="119"/>
      <c r="AG176" s="119"/>
      <c r="AH176" s="119"/>
      <c r="AI176" s="119"/>
      <c r="AJ176" s="50">
        <f t="shared" ref="AJ176:BC176" si="592">AJ109-AI109</f>
        <v>0</v>
      </c>
      <c r="AK176" s="50">
        <f t="shared" si="592"/>
        <v>6100926.7753363065</v>
      </c>
      <c r="AL176" s="50">
        <f t="shared" si="592"/>
        <v>1846767.821043402</v>
      </c>
      <c r="AM176" s="50">
        <f t="shared" si="592"/>
        <v>-7947694.5963797085</v>
      </c>
      <c r="AN176" s="50">
        <f t="shared" si="592"/>
        <v>0</v>
      </c>
      <c r="AO176" s="50">
        <f t="shared" si="592"/>
        <v>6940907.0835361853</v>
      </c>
      <c r="AP176" s="50">
        <f t="shared" si="592"/>
        <v>2230362.4214620609</v>
      </c>
      <c r="AQ176" s="50">
        <f t="shared" si="592"/>
        <v>-9171269.5049982462</v>
      </c>
      <c r="AR176" s="50">
        <f t="shared" si="592"/>
        <v>0</v>
      </c>
      <c r="AS176" s="50">
        <f t="shared" si="592"/>
        <v>7942643.960539842</v>
      </c>
      <c r="AT176" s="50">
        <f t="shared" si="592"/>
        <v>2392219.6855845898</v>
      </c>
      <c r="AU176" s="50">
        <f t="shared" si="592"/>
        <v>-10334863.646124432</v>
      </c>
      <c r="AV176" s="50">
        <f t="shared" si="592"/>
        <v>0</v>
      </c>
      <c r="AW176" s="50">
        <f t="shared" si="592"/>
        <v>9446318.5909919497</v>
      </c>
      <c r="AX176" s="50">
        <f t="shared" si="592"/>
        <v>2696947.2464224007</v>
      </c>
      <c r="AY176" s="50">
        <f t="shared" si="592"/>
        <v>-12143265.83741435</v>
      </c>
      <c r="AZ176" s="50">
        <f t="shared" si="592"/>
        <v>0</v>
      </c>
      <c r="BA176" s="50">
        <f t="shared" si="592"/>
        <v>11878895.934419654</v>
      </c>
      <c r="BB176" s="50">
        <f t="shared" si="592"/>
        <v>3252576.5607043393</v>
      </c>
      <c r="BC176" s="50">
        <f t="shared" si="592"/>
        <v>-15131472.495123994</v>
      </c>
    </row>
    <row r="177" spans="2:55" x14ac:dyDescent="0.15">
      <c r="B177" s="192" t="str">
        <f t="shared" si="586"/>
        <v>Increase/(Decrease) in Safeguarding Customer Crypto liabilities</v>
      </c>
      <c r="D177" s="43" t="s">
        <v>33</v>
      </c>
      <c r="E177" s="119"/>
      <c r="F177" s="119"/>
      <c r="G177" s="119"/>
      <c r="H177" s="119"/>
      <c r="I177" s="119"/>
      <c r="J177" s="50">
        <f t="shared" si="589"/>
        <v>0</v>
      </c>
      <c r="K177" s="50">
        <f t="shared" si="589"/>
        <v>0</v>
      </c>
      <c r="L177" s="50">
        <f t="shared" si="589"/>
        <v>0</v>
      </c>
      <c r="M177" s="50">
        <f t="shared" si="589"/>
        <v>0</v>
      </c>
      <c r="N177" s="50">
        <f t="shared" si="589"/>
        <v>0</v>
      </c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  <c r="AA177" s="119"/>
      <c r="AB177" s="119"/>
      <c r="AC177" s="119"/>
      <c r="AD177" s="119"/>
      <c r="AE177" s="119"/>
      <c r="AF177" s="119"/>
      <c r="AG177" s="119"/>
      <c r="AH177" s="119"/>
      <c r="AI177" s="119"/>
      <c r="AJ177" s="50">
        <f t="shared" ref="AJ177:BC177" si="593">AJ110-AI110</f>
        <v>0</v>
      </c>
      <c r="AK177" s="50">
        <f t="shared" si="593"/>
        <v>0</v>
      </c>
      <c r="AL177" s="50">
        <f t="shared" si="593"/>
        <v>0</v>
      </c>
      <c r="AM177" s="50">
        <f t="shared" si="593"/>
        <v>0</v>
      </c>
      <c r="AN177" s="50">
        <f t="shared" si="593"/>
        <v>0</v>
      </c>
      <c r="AO177" s="50">
        <f t="shared" si="593"/>
        <v>0</v>
      </c>
      <c r="AP177" s="50">
        <f t="shared" si="593"/>
        <v>0</v>
      </c>
      <c r="AQ177" s="50">
        <f t="shared" si="593"/>
        <v>0</v>
      </c>
      <c r="AR177" s="50">
        <f t="shared" si="593"/>
        <v>0</v>
      </c>
      <c r="AS177" s="50">
        <f t="shared" si="593"/>
        <v>0</v>
      </c>
      <c r="AT177" s="50">
        <f t="shared" si="593"/>
        <v>0</v>
      </c>
      <c r="AU177" s="50">
        <f t="shared" si="593"/>
        <v>0</v>
      </c>
      <c r="AV177" s="50">
        <f t="shared" si="593"/>
        <v>0</v>
      </c>
      <c r="AW177" s="50">
        <f t="shared" si="593"/>
        <v>0</v>
      </c>
      <c r="AX177" s="50">
        <f t="shared" si="593"/>
        <v>0</v>
      </c>
      <c r="AY177" s="50">
        <f t="shared" si="593"/>
        <v>0</v>
      </c>
      <c r="AZ177" s="50">
        <f t="shared" si="593"/>
        <v>0</v>
      </c>
      <c r="BA177" s="50">
        <f t="shared" si="593"/>
        <v>0</v>
      </c>
      <c r="BB177" s="50">
        <f t="shared" si="593"/>
        <v>0</v>
      </c>
      <c r="BC177" s="50">
        <f t="shared" si="593"/>
        <v>0</v>
      </c>
    </row>
    <row r="178" spans="2:55" x14ac:dyDescent="0.15">
      <c r="B178" s="192" t="str">
        <f t="shared" si="586"/>
        <v>Increase/(Decrease) in Customer Custodial fund liabilities</v>
      </c>
      <c r="D178" s="43" t="s">
        <v>33</v>
      </c>
      <c r="E178" s="119"/>
      <c r="F178" s="119"/>
      <c r="G178" s="119"/>
      <c r="H178" s="119"/>
      <c r="I178" s="119"/>
      <c r="J178" s="50">
        <f t="shared" si="589"/>
        <v>-5347428</v>
      </c>
      <c r="K178" s="50">
        <f t="shared" si="589"/>
        <v>0</v>
      </c>
      <c r="L178" s="50">
        <f t="shared" si="589"/>
        <v>0</v>
      </c>
      <c r="M178" s="50">
        <f t="shared" si="589"/>
        <v>0</v>
      </c>
      <c r="N178" s="50">
        <f t="shared" si="589"/>
        <v>0</v>
      </c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  <c r="AA178" s="119"/>
      <c r="AB178" s="119"/>
      <c r="AC178" s="119"/>
      <c r="AD178" s="119"/>
      <c r="AE178" s="119"/>
      <c r="AF178" s="119"/>
      <c r="AG178" s="119"/>
      <c r="AH178" s="119"/>
      <c r="AI178" s="119"/>
      <c r="AJ178" s="50">
        <f t="shared" ref="AJ178:BC178" si="594">AJ111-AI111</f>
        <v>-5347428</v>
      </c>
      <c r="AK178" s="50">
        <f t="shared" si="594"/>
        <v>0</v>
      </c>
      <c r="AL178" s="50">
        <f t="shared" si="594"/>
        <v>0</v>
      </c>
      <c r="AM178" s="50">
        <f t="shared" si="594"/>
        <v>0</v>
      </c>
      <c r="AN178" s="50">
        <f t="shared" si="594"/>
        <v>0</v>
      </c>
      <c r="AO178" s="50">
        <f t="shared" si="594"/>
        <v>0</v>
      </c>
      <c r="AP178" s="50">
        <f t="shared" si="594"/>
        <v>0</v>
      </c>
      <c r="AQ178" s="50">
        <f t="shared" si="594"/>
        <v>0</v>
      </c>
      <c r="AR178" s="50">
        <f t="shared" si="594"/>
        <v>0</v>
      </c>
      <c r="AS178" s="50">
        <f t="shared" si="594"/>
        <v>0</v>
      </c>
      <c r="AT178" s="50">
        <f t="shared" si="594"/>
        <v>0</v>
      </c>
      <c r="AU178" s="50">
        <f t="shared" si="594"/>
        <v>0</v>
      </c>
      <c r="AV178" s="50">
        <f t="shared" si="594"/>
        <v>0</v>
      </c>
      <c r="AW178" s="50">
        <f t="shared" si="594"/>
        <v>0</v>
      </c>
      <c r="AX178" s="50">
        <f t="shared" si="594"/>
        <v>0</v>
      </c>
      <c r="AY178" s="50">
        <f t="shared" si="594"/>
        <v>0</v>
      </c>
      <c r="AZ178" s="50">
        <f t="shared" si="594"/>
        <v>0</v>
      </c>
      <c r="BA178" s="50">
        <f t="shared" si="594"/>
        <v>0</v>
      </c>
      <c r="BB178" s="50">
        <f t="shared" si="594"/>
        <v>0</v>
      </c>
      <c r="BC178" s="50">
        <f t="shared" si="594"/>
        <v>0</v>
      </c>
    </row>
    <row r="179" spans="2:55" x14ac:dyDescent="0.15">
      <c r="B179" s="192" t="str">
        <f>"Increase/(Decrease) in " &amp;B117</f>
        <v>Increase/(Decrease) in Lease Liabilities (non-current)</v>
      </c>
      <c r="D179" s="43" t="s">
        <v>33</v>
      </c>
      <c r="E179" s="119"/>
      <c r="F179" s="119"/>
      <c r="G179" s="119"/>
      <c r="H179" s="119"/>
      <c r="I179" s="119"/>
      <c r="J179" s="50">
        <f t="shared" si="589"/>
        <v>0</v>
      </c>
      <c r="K179" s="50">
        <f t="shared" si="589"/>
        <v>0</v>
      </c>
      <c r="L179" s="50">
        <f t="shared" si="589"/>
        <v>0</v>
      </c>
      <c r="M179" s="50">
        <f t="shared" si="589"/>
        <v>0</v>
      </c>
      <c r="N179" s="50">
        <f t="shared" si="589"/>
        <v>0</v>
      </c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  <c r="AA179" s="119"/>
      <c r="AB179" s="119"/>
      <c r="AC179" s="119"/>
      <c r="AD179" s="119"/>
      <c r="AE179" s="119"/>
      <c r="AF179" s="119"/>
      <c r="AG179" s="119"/>
      <c r="AH179" s="119"/>
      <c r="AI179" s="119"/>
      <c r="AJ179" s="50">
        <f>AJ117-AI117</f>
        <v>27231.818206000382</v>
      </c>
      <c r="AK179" s="50">
        <f t="shared" ref="AK179:BC181" si="595">AK117-AJ117</f>
        <v>-5537.6086278912808</v>
      </c>
      <c r="AL179" s="50">
        <f t="shared" si="595"/>
        <v>-1658.4226598474743</v>
      </c>
      <c r="AM179" s="50">
        <f t="shared" si="595"/>
        <v>-20035.786918261627</v>
      </c>
      <c r="AN179" s="50">
        <f t="shared" si="595"/>
        <v>28418.289190105279</v>
      </c>
      <c r="AO179" s="50">
        <f t="shared" si="595"/>
        <v>-3737.2040898639971</v>
      </c>
      <c r="AP179" s="50">
        <f t="shared" si="595"/>
        <v>-1560.7198995202925</v>
      </c>
      <c r="AQ179" s="50">
        <f t="shared" si="595"/>
        <v>-23120.365200720989</v>
      </c>
      <c r="AR179" s="50">
        <f t="shared" si="595"/>
        <v>30935.107524773935</v>
      </c>
      <c r="AS179" s="50">
        <f t="shared" si="595"/>
        <v>-2691.9587328831367</v>
      </c>
      <c r="AT179" s="50">
        <f t="shared" si="595"/>
        <v>-2189.4141733814686</v>
      </c>
      <c r="AU179" s="50">
        <f t="shared" si="595"/>
        <v>-26053.73461850933</v>
      </c>
      <c r="AV179" s="50">
        <f t="shared" si="595"/>
        <v>34156.188830736835</v>
      </c>
      <c r="AW179" s="50">
        <f t="shared" si="595"/>
        <v>-566.14213766354078</v>
      </c>
      <c r="AX179" s="50">
        <f t="shared" si="595"/>
        <v>-2977.4100523716734</v>
      </c>
      <c r="AY179" s="50">
        <f t="shared" si="595"/>
        <v>-30612.636640701621</v>
      </c>
      <c r="AZ179" s="50">
        <f t="shared" si="595"/>
        <v>39243.26681742417</v>
      </c>
      <c r="BA179" s="50">
        <f t="shared" si="595"/>
        <v>2996.7513712292275</v>
      </c>
      <c r="BB179" s="50">
        <f t="shared" si="595"/>
        <v>-4094.2445941396145</v>
      </c>
      <c r="BC179" s="50">
        <f t="shared" si="595"/>
        <v>-38145.773594513783</v>
      </c>
    </row>
    <row r="180" spans="2:55" x14ac:dyDescent="0.15">
      <c r="B180" s="192" t="str">
        <f t="shared" ref="B180:B181" si="596">"Increase/(Decrease) in " &amp;B118</f>
        <v>Increase/(Decrease) in Preferred Stock Convertible</v>
      </c>
      <c r="D180" s="43" t="s">
        <v>33</v>
      </c>
      <c r="E180" s="119"/>
      <c r="F180" s="119"/>
      <c r="G180" s="119"/>
      <c r="H180" s="119"/>
      <c r="I180" s="119"/>
      <c r="J180" s="50">
        <f t="shared" si="589"/>
        <v>0</v>
      </c>
      <c r="K180" s="50">
        <f t="shared" si="589"/>
        <v>0</v>
      </c>
      <c r="L180" s="50">
        <f t="shared" si="589"/>
        <v>0</v>
      </c>
      <c r="M180" s="50">
        <f t="shared" si="589"/>
        <v>0</v>
      </c>
      <c r="N180" s="50">
        <f t="shared" si="589"/>
        <v>0</v>
      </c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19"/>
      <c r="AC180" s="119"/>
      <c r="AD180" s="119"/>
      <c r="AE180" s="119"/>
      <c r="AF180" s="119"/>
      <c r="AG180" s="119"/>
      <c r="AH180" s="119"/>
      <c r="AI180" s="119"/>
      <c r="AJ180" s="50">
        <f t="shared" ref="AJ180:AY181" si="597">AJ118-AI118</f>
        <v>0</v>
      </c>
      <c r="AK180" s="50">
        <f t="shared" si="597"/>
        <v>0</v>
      </c>
      <c r="AL180" s="50">
        <f t="shared" si="597"/>
        <v>0</v>
      </c>
      <c r="AM180" s="50">
        <f t="shared" si="597"/>
        <v>0</v>
      </c>
      <c r="AN180" s="50">
        <f t="shared" si="597"/>
        <v>0</v>
      </c>
      <c r="AO180" s="50">
        <f t="shared" si="597"/>
        <v>0</v>
      </c>
      <c r="AP180" s="50">
        <f t="shared" si="597"/>
        <v>0</v>
      </c>
      <c r="AQ180" s="50">
        <f t="shared" si="597"/>
        <v>0</v>
      </c>
      <c r="AR180" s="50">
        <f t="shared" si="597"/>
        <v>0</v>
      </c>
      <c r="AS180" s="50">
        <f t="shared" si="597"/>
        <v>0</v>
      </c>
      <c r="AT180" s="50">
        <f t="shared" si="597"/>
        <v>0</v>
      </c>
      <c r="AU180" s="50">
        <f t="shared" si="597"/>
        <v>0</v>
      </c>
      <c r="AV180" s="50">
        <f t="shared" si="597"/>
        <v>0</v>
      </c>
      <c r="AW180" s="50">
        <f t="shared" si="597"/>
        <v>0</v>
      </c>
      <c r="AX180" s="50">
        <f t="shared" si="597"/>
        <v>0</v>
      </c>
      <c r="AY180" s="50">
        <f t="shared" si="597"/>
        <v>0</v>
      </c>
      <c r="AZ180" s="50">
        <f t="shared" si="595"/>
        <v>0</v>
      </c>
      <c r="BA180" s="50">
        <f t="shared" si="595"/>
        <v>0</v>
      </c>
      <c r="BB180" s="50">
        <f t="shared" si="595"/>
        <v>0</v>
      </c>
      <c r="BC180" s="50">
        <f t="shared" si="595"/>
        <v>0</v>
      </c>
    </row>
    <row r="181" spans="2:55" x14ac:dyDescent="0.15">
      <c r="B181" s="192" t="str">
        <f t="shared" si="596"/>
        <v>Increase/(Decrease) in Other Non-current Liabilities</v>
      </c>
      <c r="D181" s="43" t="s">
        <v>33</v>
      </c>
      <c r="E181" s="119"/>
      <c r="F181" s="119"/>
      <c r="G181" s="119"/>
      <c r="H181" s="119"/>
      <c r="I181" s="119"/>
      <c r="J181" s="50">
        <f t="shared" si="589"/>
        <v>-186448.68070980051</v>
      </c>
      <c r="K181" s="50">
        <f t="shared" si="589"/>
        <v>6983.3890255098595</v>
      </c>
      <c r="L181" s="50">
        <f t="shared" si="589"/>
        <v>7282.8921338267755</v>
      </c>
      <c r="M181" s="50">
        <f t="shared" si="589"/>
        <v>11468.825484986533</v>
      </c>
      <c r="N181" s="50">
        <f t="shared" si="589"/>
        <v>18458.035429651442</v>
      </c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  <c r="AA181" s="119"/>
      <c r="AB181" s="119"/>
      <c r="AC181" s="119"/>
      <c r="AD181" s="119"/>
      <c r="AE181" s="119"/>
      <c r="AF181" s="119"/>
      <c r="AG181" s="119"/>
      <c r="AH181" s="119"/>
      <c r="AI181" s="119"/>
      <c r="AJ181" s="50">
        <f t="shared" si="597"/>
        <v>-202134.15431501123</v>
      </c>
      <c r="AK181" s="50">
        <f t="shared" si="595"/>
        <v>-11388.198641392752</v>
      </c>
      <c r="AL181" s="50">
        <f t="shared" si="595"/>
        <v>-105.15821021988813</v>
      </c>
      <c r="AM181" s="50">
        <f t="shared" si="595"/>
        <v>27178.830456823343</v>
      </c>
      <c r="AN181" s="50">
        <f t="shared" si="595"/>
        <v>-14015.730859405587</v>
      </c>
      <c r="AO181" s="50">
        <f t="shared" si="595"/>
        <v>-9349.4207085513481</v>
      </c>
      <c r="AP181" s="50">
        <f t="shared" si="595"/>
        <v>316.96711474865151</v>
      </c>
      <c r="AQ181" s="50">
        <f t="shared" si="595"/>
        <v>30031.573478718143</v>
      </c>
      <c r="AR181" s="50">
        <f t="shared" si="595"/>
        <v>-17457.1544992278</v>
      </c>
      <c r="AS181" s="50">
        <f t="shared" si="595"/>
        <v>-8468.7086973221521</v>
      </c>
      <c r="AT181" s="50">
        <f t="shared" si="595"/>
        <v>-177.55234511194431</v>
      </c>
      <c r="AU181" s="50">
        <f t="shared" si="595"/>
        <v>33386.307675488672</v>
      </c>
      <c r="AV181" s="50">
        <f t="shared" si="595"/>
        <v>-20206.958832059929</v>
      </c>
      <c r="AW181" s="50">
        <f t="shared" si="595"/>
        <v>-6363.0593677543729</v>
      </c>
      <c r="AX181" s="50">
        <f t="shared" si="595"/>
        <v>-711.33486131880636</v>
      </c>
      <c r="AY181" s="50">
        <f t="shared" si="595"/>
        <v>38750.178546119641</v>
      </c>
      <c r="AZ181" s="50">
        <f t="shared" si="595"/>
        <v>-24516.644582985253</v>
      </c>
      <c r="BA181" s="50">
        <f t="shared" si="595"/>
        <v>-2782.3480690673314</v>
      </c>
      <c r="BB181" s="50">
        <f t="shared" si="595"/>
        <v>-1363.3491774901922</v>
      </c>
      <c r="BC181" s="50">
        <f t="shared" si="595"/>
        <v>47120.377259194218</v>
      </c>
    </row>
    <row r="182" spans="2:55" ht="15" thickBot="1" x14ac:dyDescent="0.2">
      <c r="B182" s="192" t="str">
        <f>"Increase/(Decrease) in " &amp;B130</f>
        <v>Increase/(Decrease) in Accumulated Other Comprehensive Income (Loss)</v>
      </c>
      <c r="D182" s="43" t="s">
        <v>33</v>
      </c>
      <c r="E182" s="119"/>
      <c r="F182" s="119"/>
      <c r="G182" s="119"/>
      <c r="H182" s="119"/>
      <c r="I182" s="119"/>
      <c r="J182" s="50">
        <f t="shared" si="589"/>
        <v>-43303.391641901253</v>
      </c>
      <c r="K182" s="50">
        <f t="shared" si="589"/>
        <v>-4956.1083134058426</v>
      </c>
      <c r="L182" s="50">
        <f t="shared" si="589"/>
        <v>-5168.6655459469548</v>
      </c>
      <c r="M182" s="50">
        <f t="shared" si="589"/>
        <v>-8139.4207201556492</v>
      </c>
      <c r="N182" s="50">
        <f t="shared" si="589"/>
        <v>-13099.660137486921</v>
      </c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19"/>
      <c r="AC182" s="119"/>
      <c r="AD182" s="119"/>
      <c r="AE182" s="119"/>
      <c r="AF182" s="119"/>
      <c r="AG182" s="119"/>
      <c r="AH182" s="119"/>
      <c r="AI182" s="119"/>
      <c r="AJ182" s="50">
        <f>AJ130-AI130</f>
        <v>-43531.629350926167</v>
      </c>
      <c r="AK182" s="50">
        <f t="shared" ref="AK182:BC182" si="598">AK130-AJ130</f>
        <v>-1560.2165037352243</v>
      </c>
      <c r="AL182" s="50">
        <f t="shared" si="598"/>
        <v>-16692.256684066168</v>
      </c>
      <c r="AM182" s="50">
        <f t="shared" si="598"/>
        <v>18480.710896826306</v>
      </c>
      <c r="AN182" s="50">
        <f t="shared" si="598"/>
        <v>-1908.2098124538679</v>
      </c>
      <c r="AO182" s="50">
        <f t="shared" si="598"/>
        <v>-5403.83806837882</v>
      </c>
      <c r="AP182" s="50">
        <f t="shared" si="598"/>
        <v>-19914.927577921539</v>
      </c>
      <c r="AQ182" s="50">
        <f t="shared" si="598"/>
        <v>22270.867145348384</v>
      </c>
      <c r="AR182" s="50">
        <f t="shared" si="598"/>
        <v>-515.76605409124022</v>
      </c>
      <c r="AS182" s="50">
        <f t="shared" si="598"/>
        <v>-8427.4558780258812</v>
      </c>
      <c r="AT182" s="50">
        <f t="shared" si="598"/>
        <v>-21645.159841321562</v>
      </c>
      <c r="AU182" s="50">
        <f t="shared" si="598"/>
        <v>25419.716227491728</v>
      </c>
      <c r="AV182" s="50">
        <f t="shared" si="598"/>
        <v>92.040600749656733</v>
      </c>
      <c r="AW182" s="50">
        <f t="shared" si="598"/>
        <v>-13754.552200305858</v>
      </c>
      <c r="AX182" s="50">
        <f t="shared" si="598"/>
        <v>-24683.886834298799</v>
      </c>
      <c r="AY182" s="50">
        <f t="shared" si="598"/>
        <v>30206.977713699351</v>
      </c>
      <c r="AZ182" s="50">
        <f t="shared" si="598"/>
        <v>1028.462494895517</v>
      </c>
      <c r="BA182" s="50">
        <f t="shared" si="598"/>
        <v>-22547.843620729676</v>
      </c>
      <c r="BB182" s="50">
        <f t="shared" si="598"/>
        <v>-30047.666829540132</v>
      </c>
      <c r="BC182" s="50">
        <f t="shared" si="598"/>
        <v>38467.387817887371</v>
      </c>
    </row>
    <row r="183" spans="2:55" ht="15" thickBot="1" x14ac:dyDescent="0.2">
      <c r="B183" s="76" t="s">
        <v>132</v>
      </c>
      <c r="C183" s="77"/>
      <c r="D183" s="78" t="s">
        <v>33</v>
      </c>
      <c r="E183" s="79">
        <f t="shared" ref="E183:I183" si="599">SUMIF($P$1:$AI$1,E$1,$P183:$AI183)</f>
        <v>4038172</v>
      </c>
      <c r="F183" s="79">
        <f t="shared" si="599"/>
        <v>-1585419</v>
      </c>
      <c r="G183" s="79">
        <f t="shared" si="599"/>
        <v>922951</v>
      </c>
      <c r="H183" s="79">
        <f t="shared" si="599"/>
        <v>3103935</v>
      </c>
      <c r="I183" s="79">
        <f t="shared" si="599"/>
        <v>2426383</v>
      </c>
      <c r="J183" s="79">
        <f>SUM(J139:J182)</f>
        <v>5593133.027849799</v>
      </c>
      <c r="K183" s="79">
        <f t="shared" ref="K183:N183" si="600">SUM(K139:K182)</f>
        <v>2320206.1745287096</v>
      </c>
      <c r="L183" s="79">
        <f t="shared" si="600"/>
        <v>2673282.488721461</v>
      </c>
      <c r="M183" s="79">
        <f t="shared" si="600"/>
        <v>2950054.0196864516</v>
      </c>
      <c r="N183" s="80">
        <f t="shared" si="600"/>
        <v>3307113.1902885111</v>
      </c>
      <c r="O183" s="52"/>
      <c r="P183" s="89">
        <v>3411765</v>
      </c>
      <c r="Q183" s="90">
        <v>3982899</v>
      </c>
      <c r="R183" s="90">
        <v>342047</v>
      </c>
      <c r="S183" s="90">
        <v>-3698539</v>
      </c>
      <c r="T183" s="90">
        <v>-91356</v>
      </c>
      <c r="U183" s="90">
        <v>-351132</v>
      </c>
      <c r="V183" s="90">
        <v>-397495</v>
      </c>
      <c r="W183" s="90">
        <v>-745436</v>
      </c>
      <c r="X183" s="90">
        <v>463078</v>
      </c>
      <c r="Y183" s="90">
        <v>151124</v>
      </c>
      <c r="Z183" s="90">
        <v>313935</v>
      </c>
      <c r="AA183" s="90">
        <v>-5186</v>
      </c>
      <c r="AB183" s="90">
        <v>411485</v>
      </c>
      <c r="AC183" s="90">
        <v>484197</v>
      </c>
      <c r="AD183" s="90">
        <v>696544</v>
      </c>
      <c r="AE183" s="90">
        <v>1511709</v>
      </c>
      <c r="AF183" s="90">
        <v>-182727</v>
      </c>
      <c r="AG183" s="90">
        <v>328474</v>
      </c>
      <c r="AH183" s="90">
        <v>-784515</v>
      </c>
      <c r="AI183" s="90">
        <v>3065151</v>
      </c>
      <c r="AJ183" s="79">
        <f>SUM(AJ139:AJ182)</f>
        <v>-1323349.5293736272</v>
      </c>
      <c r="AK183" s="79">
        <f t="shared" ref="AK183:BC183" si="601">SUM(AK139:AK182)</f>
        <v>6743216.1000862336</v>
      </c>
      <c r="AL183" s="79">
        <f t="shared" si="601"/>
        <v>-3606014.0081379348</v>
      </c>
      <c r="AM183" s="79">
        <f t="shared" si="601"/>
        <v>3779280.4652751274</v>
      </c>
      <c r="AN183" s="79">
        <f t="shared" si="601"/>
        <v>-4764231.2611482469</v>
      </c>
      <c r="AO183" s="79">
        <f t="shared" si="601"/>
        <v>6831272.6597286453</v>
      </c>
      <c r="AP183" s="79">
        <f t="shared" si="601"/>
        <v>-4195625.2628772864</v>
      </c>
      <c r="AQ183" s="79">
        <f t="shared" si="601"/>
        <v>4448790.0388255985</v>
      </c>
      <c r="AR183" s="79">
        <f t="shared" si="601"/>
        <v>-5016906.576944002</v>
      </c>
      <c r="AS183" s="79">
        <f t="shared" si="601"/>
        <v>7296958.0028654085</v>
      </c>
      <c r="AT183" s="79">
        <f t="shared" si="601"/>
        <v>-4657789.5547817983</v>
      </c>
      <c r="AU183" s="79">
        <f t="shared" si="601"/>
        <v>5051020.6175818546</v>
      </c>
      <c r="AV183" s="79">
        <f t="shared" si="601"/>
        <v>-5454944.526799487</v>
      </c>
      <c r="AW183" s="79">
        <f t="shared" si="601"/>
        <v>7821684.4654150093</v>
      </c>
      <c r="AX183" s="79">
        <f t="shared" si="601"/>
        <v>-5398021.1343605518</v>
      </c>
      <c r="AY183" s="79">
        <f t="shared" si="601"/>
        <v>5981335.2154314807</v>
      </c>
      <c r="AZ183" s="79">
        <f t="shared" si="601"/>
        <v>-6164088.9649323532</v>
      </c>
      <c r="BA183" s="79">
        <f t="shared" si="601"/>
        <v>8606160.4912120923</v>
      </c>
      <c r="BB183" s="79">
        <f t="shared" si="601"/>
        <v>-6664142.9835331738</v>
      </c>
      <c r="BC183" s="80">
        <f t="shared" si="601"/>
        <v>7529184.6475419411</v>
      </c>
    </row>
    <row r="184" spans="2:55" ht="3" customHeight="1" x14ac:dyDescent="0.15"/>
    <row r="185" spans="2:55" x14ac:dyDescent="0.15">
      <c r="B185" s="38" t="s">
        <v>138</v>
      </c>
      <c r="C185" s="39"/>
      <c r="D185" s="40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P185" s="42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</row>
    <row r="186" spans="2:55" ht="3" customHeight="1" x14ac:dyDescent="0.15"/>
    <row r="187" spans="2:55" x14ac:dyDescent="0.15">
      <c r="B187" s="1" t="s">
        <v>139</v>
      </c>
      <c r="D187" s="43" t="s">
        <v>33</v>
      </c>
      <c r="E187" s="51">
        <v>-387313</v>
      </c>
      <c r="F187" s="51">
        <v>0</v>
      </c>
      <c r="G187" s="51">
        <v>-18835</v>
      </c>
      <c r="H187" s="51">
        <v>-59915</v>
      </c>
      <c r="I187" s="51">
        <v>-377426</v>
      </c>
      <c r="J187" s="50">
        <f t="shared" ref="J187:N191" si="602">SUMIFS($AJ187:$BC187,$AJ$1:$BC$1,J$1)</f>
        <v>-181828.14602436282</v>
      </c>
      <c r="K187" s="50">
        <f t="shared" si="602"/>
        <v>-203316.71061345292</v>
      </c>
      <c r="L187" s="50">
        <f t="shared" si="602"/>
        <v>-227852.48944999449</v>
      </c>
      <c r="M187" s="50">
        <f t="shared" si="602"/>
        <v>-264626.86568560253</v>
      </c>
      <c r="N187" s="50">
        <f t="shared" si="602"/>
        <v>-324286.46377003501</v>
      </c>
      <c r="P187" s="91">
        <f>$E$187/4</f>
        <v>-96828.25</v>
      </c>
      <c r="Q187" s="91">
        <f t="shared" ref="Q187:S187" si="603">$E$187/4</f>
        <v>-96828.25</v>
      </c>
      <c r="R187" s="91">
        <f t="shared" si="603"/>
        <v>-96828.25</v>
      </c>
      <c r="S187" s="91">
        <f t="shared" si="603"/>
        <v>-96828.25</v>
      </c>
      <c r="T187" s="91">
        <f>$F$187/4</f>
        <v>0</v>
      </c>
      <c r="U187" s="91">
        <f t="shared" ref="U187:W187" si="604">$F$187/4</f>
        <v>0</v>
      </c>
      <c r="V187" s="91">
        <f t="shared" si="604"/>
        <v>0</v>
      </c>
      <c r="W187" s="91">
        <f t="shared" si="604"/>
        <v>0</v>
      </c>
      <c r="X187" s="91">
        <f>$G$187/4</f>
        <v>-4708.75</v>
      </c>
      <c r="Y187" s="91">
        <f t="shared" ref="Y187:AA187" si="605">$G$187/4</f>
        <v>-4708.75</v>
      </c>
      <c r="Z187" s="91">
        <f t="shared" si="605"/>
        <v>-4708.75</v>
      </c>
      <c r="AA187" s="91">
        <f t="shared" si="605"/>
        <v>-4708.75</v>
      </c>
      <c r="AB187" s="91">
        <f>$H$187/4</f>
        <v>-14978.75</v>
      </c>
      <c r="AC187" s="91">
        <f t="shared" ref="AC187:AE187" si="606">$H$187/4</f>
        <v>-14978.75</v>
      </c>
      <c r="AD187" s="91">
        <f t="shared" si="606"/>
        <v>-14978.75</v>
      </c>
      <c r="AE187" s="91">
        <f t="shared" si="606"/>
        <v>-14978.75</v>
      </c>
      <c r="AF187" s="91">
        <f>$I$187/4</f>
        <v>-94356.5</v>
      </c>
      <c r="AG187" s="91">
        <f t="shared" ref="AG187:AI187" si="607">$I$187/4</f>
        <v>-94356.5</v>
      </c>
      <c r="AH187" s="91">
        <f t="shared" si="607"/>
        <v>-94356.5</v>
      </c>
      <c r="AI187" s="91">
        <f t="shared" si="607"/>
        <v>-94356.5</v>
      </c>
      <c r="AJ187" s="50">
        <f>INDEX(PPE!$K$20:$O$20,MATCH('3FS'!AJ$1,Intangibles!$K$1:$O$1,0))/4</f>
        <v>-45457.036506090706</v>
      </c>
      <c r="AK187" s="50">
        <f>INDEX(PPE!$K$20:$O$20,MATCH('3FS'!AK$1,Intangibles!$K$1:$O$1,0))/4</f>
        <v>-45457.036506090706</v>
      </c>
      <c r="AL187" s="50">
        <f>INDEX(PPE!$K$20:$O$20,MATCH('3FS'!AL$1,Intangibles!$K$1:$O$1,0))/4</f>
        <v>-45457.036506090706</v>
      </c>
      <c r="AM187" s="50">
        <f>INDEX(PPE!$K$20:$O$20,MATCH('3FS'!AM$1,Intangibles!$K$1:$O$1,0))/4</f>
        <v>-45457.036506090706</v>
      </c>
      <c r="AN187" s="50">
        <f>INDEX(PPE!$K$20:$O$20,MATCH('3FS'!AN$1,Intangibles!$K$1:$O$1,0))/4</f>
        <v>-50829.177653363229</v>
      </c>
      <c r="AO187" s="50">
        <f>INDEX(PPE!$K$20:$O$20,MATCH('3FS'!AO$1,Intangibles!$K$1:$O$1,0))/4</f>
        <v>-50829.177653363229</v>
      </c>
      <c r="AP187" s="50">
        <f>INDEX(PPE!$K$20:$O$20,MATCH('3FS'!AP$1,Intangibles!$K$1:$O$1,0))/4</f>
        <v>-50829.177653363229</v>
      </c>
      <c r="AQ187" s="50">
        <f>INDEX(PPE!$K$20:$O$20,MATCH('3FS'!AQ$1,Intangibles!$K$1:$O$1,0))/4</f>
        <v>-50829.177653363229</v>
      </c>
      <c r="AR187" s="50">
        <f>INDEX(PPE!$K$20:$O$20,MATCH('3FS'!AR$1,Intangibles!$K$1:$O$1,0))/4</f>
        <v>-56963.122362498623</v>
      </c>
      <c r="AS187" s="50">
        <f>INDEX(PPE!$K$20:$O$20,MATCH('3FS'!AS$1,Intangibles!$K$1:$O$1,0))/4</f>
        <v>-56963.122362498623</v>
      </c>
      <c r="AT187" s="50">
        <f>INDEX(PPE!$K$20:$O$20,MATCH('3FS'!AT$1,Intangibles!$K$1:$O$1,0))/4</f>
        <v>-56963.122362498623</v>
      </c>
      <c r="AU187" s="50">
        <f>INDEX(PPE!$K$20:$O$20,MATCH('3FS'!AU$1,Intangibles!$K$1:$O$1,0))/4</f>
        <v>-56963.122362498623</v>
      </c>
      <c r="AV187" s="50">
        <f>INDEX(PPE!$K$20:$O$20,MATCH('3FS'!AV$1,Intangibles!$K$1:$O$1,0))/4</f>
        <v>-66156.716421400633</v>
      </c>
      <c r="AW187" s="50">
        <f>INDEX(PPE!$K$20:$O$20,MATCH('3FS'!AW$1,Intangibles!$K$1:$O$1,0))/4</f>
        <v>-66156.716421400633</v>
      </c>
      <c r="AX187" s="50">
        <f>INDEX(PPE!$K$20:$O$20,MATCH('3FS'!AX$1,Intangibles!$K$1:$O$1,0))/4</f>
        <v>-66156.716421400633</v>
      </c>
      <c r="AY187" s="50">
        <f>INDEX(PPE!$K$20:$O$20,MATCH('3FS'!AY$1,Intangibles!$K$1:$O$1,0))/4</f>
        <v>-66156.716421400633</v>
      </c>
      <c r="AZ187" s="50">
        <f>INDEX(PPE!$K$20:$O$20,MATCH('3FS'!AZ$1,Intangibles!$K$1:$O$1,0))/4</f>
        <v>-81071.615942508754</v>
      </c>
      <c r="BA187" s="50">
        <f>INDEX(PPE!$K$20:$O$20,MATCH('3FS'!BA$1,Intangibles!$K$1:$O$1,0))/4</f>
        <v>-81071.615942508754</v>
      </c>
      <c r="BB187" s="50">
        <f>INDEX(PPE!$K$20:$O$20,MATCH('3FS'!BB$1,Intangibles!$K$1:$O$1,0))/4</f>
        <v>-81071.615942508754</v>
      </c>
      <c r="BC187" s="50">
        <f>INDEX(PPE!$K$20:$O$20,MATCH('3FS'!BC$1,Intangibles!$K$1:$O$1,0))/4</f>
        <v>-81071.615942508754</v>
      </c>
    </row>
    <row r="188" spans="2:55" x14ac:dyDescent="0.15">
      <c r="B188" s="1" t="s">
        <v>140</v>
      </c>
      <c r="D188" s="43" t="s">
        <v>33</v>
      </c>
      <c r="E188" s="119"/>
      <c r="F188" s="119"/>
      <c r="G188" s="119"/>
      <c r="H188" s="119"/>
      <c r="I188" s="119"/>
      <c r="J188" s="50">
        <f t="shared" si="602"/>
        <v>-27275.814967267641</v>
      </c>
      <c r="K188" s="50">
        <f t="shared" si="602"/>
        <v>-30499.287924890315</v>
      </c>
      <c r="L188" s="50">
        <f t="shared" si="602"/>
        <v>-34179.869717401358</v>
      </c>
      <c r="M188" s="50">
        <f t="shared" si="602"/>
        <v>-39696.348346649065</v>
      </c>
      <c r="N188" s="50">
        <f t="shared" si="602"/>
        <v>-48645.810759110231</v>
      </c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  <c r="AA188" s="119"/>
      <c r="AB188" s="119"/>
      <c r="AC188" s="119"/>
      <c r="AD188" s="119"/>
      <c r="AE188" s="119"/>
      <c r="AF188" s="119"/>
      <c r="AG188" s="119"/>
      <c r="AH188" s="119"/>
      <c r="AI188" s="119"/>
      <c r="AJ188" s="50">
        <f>-INDEX(Intangibles!$K$22:$O$22,MATCH('3FS'!AJ$1,Intangibles!$K$1:$O$1,0))/4</f>
        <v>-6818.9537418169102</v>
      </c>
      <c r="AK188" s="50">
        <f>-INDEX(Intangibles!$K$22:$O$22,MATCH('3FS'!AK$1,Intangibles!$K$1:$O$1,0))/4</f>
        <v>-6818.9537418169102</v>
      </c>
      <c r="AL188" s="50">
        <f>-INDEX(Intangibles!$K$22:$O$22,MATCH('3FS'!AL$1,Intangibles!$K$1:$O$1,0))/4</f>
        <v>-6818.9537418169102</v>
      </c>
      <c r="AM188" s="50">
        <f>-INDEX(Intangibles!$K$22:$O$22,MATCH('3FS'!AM$1,Intangibles!$K$1:$O$1,0))/4</f>
        <v>-6818.9537418169102</v>
      </c>
      <c r="AN188" s="50">
        <f>-INDEX(Intangibles!$K$22:$O$22,MATCH('3FS'!AN$1,Intangibles!$K$1:$O$1,0))/4</f>
        <v>-7624.8219812225789</v>
      </c>
      <c r="AO188" s="50">
        <f>-INDEX(Intangibles!$K$22:$O$22,MATCH('3FS'!AO$1,Intangibles!$K$1:$O$1,0))/4</f>
        <v>-7624.8219812225789</v>
      </c>
      <c r="AP188" s="50">
        <f>-INDEX(Intangibles!$K$22:$O$22,MATCH('3FS'!AP$1,Intangibles!$K$1:$O$1,0))/4</f>
        <v>-7624.8219812225789</v>
      </c>
      <c r="AQ188" s="50">
        <f>-INDEX(Intangibles!$K$22:$O$22,MATCH('3FS'!AQ$1,Intangibles!$K$1:$O$1,0))/4</f>
        <v>-7624.8219812225789</v>
      </c>
      <c r="AR188" s="50">
        <f>-INDEX(Intangibles!$K$22:$O$22,MATCH('3FS'!AR$1,Intangibles!$K$1:$O$1,0))/4</f>
        <v>-8544.9674293503394</v>
      </c>
      <c r="AS188" s="50">
        <f>-INDEX(Intangibles!$K$22:$O$22,MATCH('3FS'!AS$1,Intangibles!$K$1:$O$1,0))/4</f>
        <v>-8544.9674293503394</v>
      </c>
      <c r="AT188" s="50">
        <f>-INDEX(Intangibles!$K$22:$O$22,MATCH('3FS'!AT$1,Intangibles!$K$1:$O$1,0))/4</f>
        <v>-8544.9674293503394</v>
      </c>
      <c r="AU188" s="50">
        <f>-INDEX(Intangibles!$K$22:$O$22,MATCH('3FS'!AU$1,Intangibles!$K$1:$O$1,0))/4</f>
        <v>-8544.9674293503394</v>
      </c>
      <c r="AV188" s="50">
        <f>-INDEX(Intangibles!$K$22:$O$22,MATCH('3FS'!AV$1,Intangibles!$K$1:$O$1,0))/4</f>
        <v>-9924.0870866622663</v>
      </c>
      <c r="AW188" s="50">
        <f>-INDEX(Intangibles!$K$22:$O$22,MATCH('3FS'!AW$1,Intangibles!$K$1:$O$1,0))/4</f>
        <v>-9924.0870866622663</v>
      </c>
      <c r="AX188" s="50">
        <f>-INDEX(Intangibles!$K$22:$O$22,MATCH('3FS'!AX$1,Intangibles!$K$1:$O$1,0))/4</f>
        <v>-9924.0870866622663</v>
      </c>
      <c r="AY188" s="50">
        <f>-INDEX(Intangibles!$K$22:$O$22,MATCH('3FS'!AY$1,Intangibles!$K$1:$O$1,0))/4</f>
        <v>-9924.0870866622663</v>
      </c>
      <c r="AZ188" s="50">
        <f>-INDEX(Intangibles!$K$22:$O$22,MATCH('3FS'!AZ$1,Intangibles!$K$1:$O$1,0))/4</f>
        <v>-12161.452689777558</v>
      </c>
      <c r="BA188" s="50">
        <f>-INDEX(Intangibles!$K$22:$O$22,MATCH('3FS'!BA$1,Intangibles!$K$1:$O$1,0))/4</f>
        <v>-12161.452689777558</v>
      </c>
      <c r="BB188" s="50">
        <f>-INDEX(Intangibles!$K$22:$O$22,MATCH('3FS'!BB$1,Intangibles!$K$1:$O$1,0))/4</f>
        <v>-12161.452689777558</v>
      </c>
      <c r="BC188" s="50">
        <f>-INDEX(Intangibles!$K$22:$O$22,MATCH('3FS'!BC$1,Intangibles!$K$1:$O$1,0))/4</f>
        <v>-12161.452689777558</v>
      </c>
    </row>
    <row r="189" spans="2:55" x14ac:dyDescent="0.15">
      <c r="B189" s="192" t="str">
        <f>"Increase/(Decrease) in " &amp;B84</f>
        <v>Increase/(Decrease) in Strategic Investments</v>
      </c>
      <c r="D189" s="43" t="s">
        <v>33</v>
      </c>
      <c r="E189" s="119"/>
      <c r="F189" s="119"/>
      <c r="G189" s="119"/>
      <c r="H189" s="119"/>
      <c r="I189" s="119"/>
      <c r="J189" s="50">
        <f t="shared" si="602"/>
        <v>622985</v>
      </c>
      <c r="K189" s="50">
        <f t="shared" si="602"/>
        <v>0</v>
      </c>
      <c r="L189" s="50">
        <f t="shared" si="602"/>
        <v>0</v>
      </c>
      <c r="M189" s="50">
        <f t="shared" si="602"/>
        <v>0</v>
      </c>
      <c r="N189" s="50">
        <f t="shared" si="602"/>
        <v>0</v>
      </c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19"/>
      <c r="AC189" s="119"/>
      <c r="AD189" s="119"/>
      <c r="AE189" s="119"/>
      <c r="AF189" s="119"/>
      <c r="AG189" s="119"/>
      <c r="AH189" s="119"/>
      <c r="AI189" s="119"/>
      <c r="AJ189" s="50">
        <f>AI84-AJ84</f>
        <v>622985</v>
      </c>
      <c r="AK189" s="50">
        <f t="shared" ref="AK189:BC189" si="608">AJ84-AK84</f>
        <v>0</v>
      </c>
      <c r="AL189" s="50">
        <f t="shared" si="608"/>
        <v>0</v>
      </c>
      <c r="AM189" s="50">
        <f t="shared" si="608"/>
        <v>0</v>
      </c>
      <c r="AN189" s="50">
        <f t="shared" si="608"/>
        <v>0</v>
      </c>
      <c r="AO189" s="50">
        <f t="shared" si="608"/>
        <v>0</v>
      </c>
      <c r="AP189" s="50">
        <f t="shared" si="608"/>
        <v>0</v>
      </c>
      <c r="AQ189" s="50">
        <f t="shared" si="608"/>
        <v>0</v>
      </c>
      <c r="AR189" s="50">
        <f t="shared" si="608"/>
        <v>0</v>
      </c>
      <c r="AS189" s="50">
        <f t="shared" si="608"/>
        <v>0</v>
      </c>
      <c r="AT189" s="50">
        <f t="shared" si="608"/>
        <v>0</v>
      </c>
      <c r="AU189" s="50">
        <f t="shared" si="608"/>
        <v>0</v>
      </c>
      <c r="AV189" s="50">
        <f t="shared" si="608"/>
        <v>0</v>
      </c>
      <c r="AW189" s="50">
        <f t="shared" si="608"/>
        <v>0</v>
      </c>
      <c r="AX189" s="50">
        <f t="shared" si="608"/>
        <v>0</v>
      </c>
      <c r="AY189" s="50">
        <f t="shared" si="608"/>
        <v>0</v>
      </c>
      <c r="AZ189" s="50">
        <f t="shared" si="608"/>
        <v>0</v>
      </c>
      <c r="BA189" s="50">
        <f t="shared" si="608"/>
        <v>0</v>
      </c>
      <c r="BB189" s="50">
        <f t="shared" si="608"/>
        <v>0</v>
      </c>
      <c r="BC189" s="50">
        <f t="shared" si="608"/>
        <v>0</v>
      </c>
    </row>
    <row r="190" spans="2:55" x14ac:dyDescent="0.15">
      <c r="B190" s="192" t="str">
        <f>"Increase/(Decrease) in " &amp;B89</f>
        <v>Increase/(Decrease) in Crypto Assets Held</v>
      </c>
      <c r="D190" s="43" t="s">
        <v>33</v>
      </c>
      <c r="E190" s="119"/>
      <c r="F190" s="119"/>
      <c r="G190" s="119"/>
      <c r="H190" s="119"/>
      <c r="I190" s="119"/>
      <c r="J190" s="50">
        <f t="shared" si="602"/>
        <v>0</v>
      </c>
      <c r="K190" s="50">
        <f t="shared" si="602"/>
        <v>0</v>
      </c>
      <c r="L190" s="50">
        <f t="shared" si="602"/>
        <v>2.3283064365386963E-10</v>
      </c>
      <c r="M190" s="50">
        <f t="shared" si="602"/>
        <v>0</v>
      </c>
      <c r="N190" s="50">
        <f t="shared" si="602"/>
        <v>0</v>
      </c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  <c r="AA190" s="119"/>
      <c r="AB190" s="119"/>
      <c r="AC190" s="119"/>
      <c r="AD190" s="119"/>
      <c r="AE190" s="119"/>
      <c r="AF190" s="119"/>
      <c r="AG190" s="119"/>
      <c r="AH190" s="119"/>
      <c r="AI190" s="119"/>
      <c r="AJ190" s="50">
        <f>AI89-AJ89</f>
        <v>-673928.24086381809</v>
      </c>
      <c r="AK190" s="50">
        <f t="shared" ref="AK190:BC190" si="609">AJ89-AK89</f>
        <v>204958.74747971422</v>
      </c>
      <c r="AL190" s="50">
        <f t="shared" si="609"/>
        <v>-1039680.9558458779</v>
      </c>
      <c r="AM190" s="50">
        <f t="shared" si="609"/>
        <v>1508650.4492299818</v>
      </c>
      <c r="AN190" s="50">
        <f t="shared" si="609"/>
        <v>-703290.81581584935</v>
      </c>
      <c r="AO190" s="50">
        <f t="shared" si="609"/>
        <v>169753.24054923409</v>
      </c>
      <c r="AP190" s="50">
        <f t="shared" si="609"/>
        <v>-1207374.7976153835</v>
      </c>
      <c r="AQ190" s="50">
        <f t="shared" si="609"/>
        <v>1740912.3728819988</v>
      </c>
      <c r="AR190" s="50">
        <f t="shared" si="609"/>
        <v>-765576.59269736928</v>
      </c>
      <c r="AS190" s="50">
        <f t="shared" si="609"/>
        <v>155036.94003953948</v>
      </c>
      <c r="AT190" s="50">
        <f t="shared" si="609"/>
        <v>-1351248.9507389939</v>
      </c>
      <c r="AU190" s="50">
        <f t="shared" si="609"/>
        <v>1961788.6033968239</v>
      </c>
      <c r="AV190" s="50">
        <f t="shared" si="609"/>
        <v>-845291.34555689699</v>
      </c>
      <c r="AW190" s="50">
        <f t="shared" si="609"/>
        <v>119166.38010553969</v>
      </c>
      <c r="AX190" s="50">
        <f t="shared" si="609"/>
        <v>-1578938.8789846445</v>
      </c>
      <c r="AY190" s="50">
        <f t="shared" si="609"/>
        <v>2305063.844436002</v>
      </c>
      <c r="AZ190" s="50">
        <f t="shared" si="609"/>
        <v>-971185.45562957064</v>
      </c>
      <c r="BA190" s="50">
        <f t="shared" si="609"/>
        <v>58071.757748777629</v>
      </c>
      <c r="BB190" s="50">
        <f t="shared" si="609"/>
        <v>-1959178.7009336338</v>
      </c>
      <c r="BC190" s="50">
        <f t="shared" si="609"/>
        <v>2872292.3988144267</v>
      </c>
    </row>
    <row r="191" spans="2:55" ht="15" thickBot="1" x14ac:dyDescent="0.2">
      <c r="B191" s="192" t="str">
        <f>"Increase/(Decrease) in " &amp;B90</f>
        <v>Increase/(Decrease) in Crypto assets held for investment</v>
      </c>
      <c r="D191" s="43" t="s">
        <v>33</v>
      </c>
      <c r="E191" s="119"/>
      <c r="F191" s="119"/>
      <c r="G191" s="119"/>
      <c r="H191" s="119"/>
      <c r="I191" s="119"/>
      <c r="J191" s="50">
        <f t="shared" si="602"/>
        <v>825291.71365902317</v>
      </c>
      <c r="K191" s="50">
        <f t="shared" si="602"/>
        <v>-151743.45495382766</v>
      </c>
      <c r="L191" s="50">
        <f t="shared" si="602"/>
        <v>-158251.41781532671</v>
      </c>
      <c r="M191" s="50">
        <f t="shared" si="602"/>
        <v>-249208.39967487007</v>
      </c>
      <c r="N191" s="50">
        <f t="shared" si="602"/>
        <v>-401078.33854365209</v>
      </c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  <c r="AA191" s="119"/>
      <c r="AB191" s="119"/>
      <c r="AC191" s="119"/>
      <c r="AD191" s="119"/>
      <c r="AE191" s="119"/>
      <c r="AF191" s="119"/>
      <c r="AG191" s="119"/>
      <c r="AH191" s="119"/>
      <c r="AI191" s="119"/>
      <c r="AJ191" s="50">
        <f>AI90-AJ90</f>
        <v>1998871</v>
      </c>
      <c r="AK191" s="50">
        <f t="shared" ref="AK191:BC191" si="610">AJ90-AK90</f>
        <v>0</v>
      </c>
      <c r="AL191" s="50">
        <f t="shared" si="610"/>
        <v>0</v>
      </c>
      <c r="AM191" s="50">
        <f t="shared" si="610"/>
        <v>-1173579.2863409768</v>
      </c>
      <c r="AN191" s="50">
        <f t="shared" si="610"/>
        <v>1173579.2863409768</v>
      </c>
      <c r="AO191" s="50">
        <f t="shared" si="610"/>
        <v>0</v>
      </c>
      <c r="AP191" s="50">
        <f t="shared" si="610"/>
        <v>0</v>
      </c>
      <c r="AQ191" s="50">
        <f t="shared" si="610"/>
        <v>-1325322.7412948045</v>
      </c>
      <c r="AR191" s="50">
        <f t="shared" si="610"/>
        <v>1325322.7412948045</v>
      </c>
      <c r="AS191" s="50">
        <f t="shared" si="610"/>
        <v>0</v>
      </c>
      <c r="AT191" s="50">
        <f t="shared" si="610"/>
        <v>0</v>
      </c>
      <c r="AU191" s="50">
        <f t="shared" si="610"/>
        <v>-1483574.1591101312</v>
      </c>
      <c r="AV191" s="50">
        <f t="shared" si="610"/>
        <v>1483574.1591101312</v>
      </c>
      <c r="AW191" s="50">
        <f t="shared" si="610"/>
        <v>0</v>
      </c>
      <c r="AX191" s="50">
        <f t="shared" si="610"/>
        <v>0</v>
      </c>
      <c r="AY191" s="50">
        <f t="shared" si="610"/>
        <v>-1732782.5587850013</v>
      </c>
      <c r="AZ191" s="50">
        <f t="shared" si="610"/>
        <v>1732782.5587850013</v>
      </c>
      <c r="BA191" s="50">
        <f t="shared" si="610"/>
        <v>0</v>
      </c>
      <c r="BB191" s="50">
        <f t="shared" si="610"/>
        <v>0</v>
      </c>
      <c r="BC191" s="50">
        <f t="shared" si="610"/>
        <v>-2133860.8973286534</v>
      </c>
    </row>
    <row r="192" spans="2:55" ht="15" thickBot="1" x14ac:dyDescent="0.2">
      <c r="B192" s="76" t="s">
        <v>138</v>
      </c>
      <c r="C192" s="77"/>
      <c r="D192" s="78" t="s">
        <v>33</v>
      </c>
      <c r="E192" s="79">
        <f t="shared" ref="E192:I192" si="611">SUMIF($P$1:$AI$1,E$1,$P192:$AI192)</f>
        <v>-1124740</v>
      </c>
      <c r="F192" s="79">
        <f t="shared" si="611"/>
        <v>-663822</v>
      </c>
      <c r="G192" s="79">
        <f t="shared" si="611"/>
        <v>5392</v>
      </c>
      <c r="H192" s="79">
        <f t="shared" si="611"/>
        <v>-201003</v>
      </c>
      <c r="I192" s="79">
        <f t="shared" si="611"/>
        <v>-2049550</v>
      </c>
      <c r="J192" s="79">
        <f>SUMIFS($AJ192:$BC192,$AJ$1:$BC$1,J$1)</f>
        <v>1239172.7526673926</v>
      </c>
      <c r="K192" s="79">
        <f t="shared" ref="K192:N192" si="612">SUMIFS($AJ192:$BC192,$AJ$1:$BC$1,K$1)</f>
        <v>-385559.4534921709</v>
      </c>
      <c r="L192" s="79">
        <f t="shared" si="612"/>
        <v>-420283.77698272257</v>
      </c>
      <c r="M192" s="79">
        <f t="shared" si="612"/>
        <v>-553531.61370712146</v>
      </c>
      <c r="N192" s="80">
        <f t="shared" si="612"/>
        <v>-774010.61307279766</v>
      </c>
      <c r="O192" s="52"/>
      <c r="P192" s="89">
        <v>-37910</v>
      </c>
      <c r="Q192" s="90">
        <v>-299838</v>
      </c>
      <c r="R192" s="90">
        <v>-306667</v>
      </c>
      <c r="S192" s="90">
        <v>-480325</v>
      </c>
      <c r="T192" s="90">
        <v>-691591</v>
      </c>
      <c r="U192" s="90">
        <v>72971</v>
      </c>
      <c r="V192" s="90">
        <v>-19078</v>
      </c>
      <c r="W192" s="90">
        <v>-26124</v>
      </c>
      <c r="X192" s="90">
        <v>-26080</v>
      </c>
      <c r="Y192" s="90">
        <v>13326</v>
      </c>
      <c r="Z192" s="90">
        <v>-72363</v>
      </c>
      <c r="AA192" s="90">
        <v>90509</v>
      </c>
      <c r="AB192" s="90">
        <v>-125681</v>
      </c>
      <c r="AC192" s="90">
        <v>-18611</v>
      </c>
      <c r="AD192" s="90">
        <v>-88677</v>
      </c>
      <c r="AE192" s="90">
        <v>31966</v>
      </c>
      <c r="AF192" s="90">
        <v>-231653</v>
      </c>
      <c r="AG192" s="90">
        <v>-685156</v>
      </c>
      <c r="AH192" s="90">
        <v>-735574</v>
      </c>
      <c r="AI192" s="90">
        <v>-397167</v>
      </c>
      <c r="AJ192" s="79">
        <f>SUM(AJ187:AJ191)</f>
        <v>1895651.7688882742</v>
      </c>
      <c r="AK192" s="79">
        <f t="shared" ref="AK192:BC192" si="613">SUM(AK187:AK191)</f>
        <v>152682.75723180661</v>
      </c>
      <c r="AL192" s="79">
        <f t="shared" si="613"/>
        <v>-1091956.9460937856</v>
      </c>
      <c r="AM192" s="79">
        <f t="shared" si="613"/>
        <v>282795.17264109734</v>
      </c>
      <c r="AN192" s="79">
        <f t="shared" si="613"/>
        <v>411834.47089054168</v>
      </c>
      <c r="AO192" s="79">
        <f t="shared" si="613"/>
        <v>111299.24091464828</v>
      </c>
      <c r="AP192" s="79">
        <f t="shared" si="613"/>
        <v>-1265828.7972499693</v>
      </c>
      <c r="AQ192" s="79">
        <f t="shared" si="613"/>
        <v>357135.63195260847</v>
      </c>
      <c r="AR192" s="79">
        <f t="shared" si="613"/>
        <v>494238.0588055863</v>
      </c>
      <c r="AS192" s="79">
        <f t="shared" si="613"/>
        <v>89528.850247690512</v>
      </c>
      <c r="AT192" s="79">
        <f t="shared" si="613"/>
        <v>-1416757.040530843</v>
      </c>
      <c r="AU192" s="79">
        <f t="shared" si="613"/>
        <v>412706.35449484363</v>
      </c>
      <c r="AV192" s="79">
        <f t="shared" si="613"/>
        <v>562202.01004517125</v>
      </c>
      <c r="AW192" s="79">
        <f t="shared" si="613"/>
        <v>43085.576597476786</v>
      </c>
      <c r="AX192" s="79">
        <f t="shared" si="613"/>
        <v>-1655019.6824927074</v>
      </c>
      <c r="AY192" s="79">
        <f t="shared" si="613"/>
        <v>496200.48214293784</v>
      </c>
      <c r="AZ192" s="79">
        <f t="shared" si="613"/>
        <v>668364.03452314436</v>
      </c>
      <c r="BA192" s="79">
        <f t="shared" si="613"/>
        <v>-35161.310883508675</v>
      </c>
      <c r="BB192" s="79">
        <f t="shared" si="613"/>
        <v>-2052411.7695659201</v>
      </c>
      <c r="BC192" s="80">
        <f t="shared" si="613"/>
        <v>645198.43285348685</v>
      </c>
    </row>
    <row r="193" spans="2:55" ht="3" customHeight="1" x14ac:dyDescent="0.15"/>
    <row r="194" spans="2:55" x14ac:dyDescent="0.15">
      <c r="B194" s="38" t="s">
        <v>141</v>
      </c>
      <c r="C194" s="39"/>
      <c r="D194" s="40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P194" s="42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  <c r="AV194" s="39"/>
      <c r="AW194" s="39"/>
      <c r="AX194" s="39"/>
      <c r="AY194" s="39"/>
      <c r="AZ194" s="39"/>
      <c r="BA194" s="39"/>
      <c r="BB194" s="39"/>
      <c r="BC194" s="39"/>
    </row>
    <row r="195" spans="2:55" ht="3" customHeight="1" x14ac:dyDescent="0.15"/>
    <row r="196" spans="2:55" x14ac:dyDescent="0.15">
      <c r="B196" s="1" t="s">
        <v>142</v>
      </c>
      <c r="D196" s="43" t="s">
        <v>33</v>
      </c>
      <c r="E196" s="119"/>
      <c r="F196" s="119"/>
      <c r="G196" s="119"/>
      <c r="H196" s="119"/>
      <c r="I196" s="119"/>
      <c r="J196" s="50">
        <f t="shared" ref="J196:N200" si="614">SUMIFS($AJ196:$BC196,$AJ$1:$BC$1,J$1)</f>
        <v>-1273013</v>
      </c>
      <c r="K196" s="50">
        <f t="shared" si="614"/>
        <v>0</v>
      </c>
      <c r="L196" s="50">
        <f t="shared" si="614"/>
        <v>-1000000</v>
      </c>
      <c r="M196" s="50">
        <f t="shared" si="614"/>
        <v>-1500000</v>
      </c>
      <c r="N196" s="50">
        <f t="shared" si="614"/>
        <v>-1265000</v>
      </c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  <c r="AA196" s="119"/>
      <c r="AB196" s="119"/>
      <c r="AC196" s="119"/>
      <c r="AD196" s="119"/>
      <c r="AE196" s="119"/>
      <c r="AF196" s="119"/>
      <c r="AG196" s="119"/>
      <c r="AH196" s="119"/>
      <c r="AI196" s="119"/>
      <c r="AJ196" s="143">
        <f>'D&amp;E Schedule'!AC38</f>
        <v>0</v>
      </c>
      <c r="AK196" s="143">
        <f>'D&amp;E Schedule'!AD38</f>
        <v>-1273013</v>
      </c>
      <c r="AL196" s="143">
        <f>'D&amp;E Schedule'!AE38</f>
        <v>0</v>
      </c>
      <c r="AM196" s="143">
        <f>'D&amp;E Schedule'!AF38</f>
        <v>0</v>
      </c>
      <c r="AN196" s="143">
        <f>'D&amp;E Schedule'!AG38</f>
        <v>0</v>
      </c>
      <c r="AO196" s="143">
        <f>'D&amp;E Schedule'!AH38</f>
        <v>0</v>
      </c>
      <c r="AP196" s="143">
        <f>'D&amp;E Schedule'!AI38</f>
        <v>0</v>
      </c>
      <c r="AQ196" s="143">
        <f>'D&amp;E Schedule'!AJ38</f>
        <v>0</v>
      </c>
      <c r="AR196" s="143">
        <f>'D&amp;E Schedule'!AK38</f>
        <v>0</v>
      </c>
      <c r="AS196" s="143">
        <f>'D&amp;E Schedule'!AL38</f>
        <v>0</v>
      </c>
      <c r="AT196" s="143">
        <f>'D&amp;E Schedule'!AM38</f>
        <v>0</v>
      </c>
      <c r="AU196" s="143">
        <f>'D&amp;E Schedule'!AN38</f>
        <v>-1000000</v>
      </c>
      <c r="AV196" s="143">
        <f>'D&amp;E Schedule'!AO38</f>
        <v>0</v>
      </c>
      <c r="AW196" s="143">
        <f>'D&amp;E Schedule'!AP38</f>
        <v>0</v>
      </c>
      <c r="AX196" s="143">
        <f>'D&amp;E Schedule'!AQ38</f>
        <v>0</v>
      </c>
      <c r="AY196" s="143">
        <f>'D&amp;E Schedule'!AR38</f>
        <v>-1500000</v>
      </c>
      <c r="AZ196" s="143">
        <f>'D&amp;E Schedule'!AS38</f>
        <v>0</v>
      </c>
      <c r="BA196" s="143">
        <f>'D&amp;E Schedule'!AT38</f>
        <v>-1265000</v>
      </c>
      <c r="BB196" s="143">
        <f>'D&amp;E Schedule'!AU38</f>
        <v>0</v>
      </c>
      <c r="BC196" s="143">
        <f>'D&amp;E Schedule'!AV38</f>
        <v>0</v>
      </c>
    </row>
    <row r="197" spans="2:55" x14ac:dyDescent="0.15">
      <c r="B197" s="1" t="s">
        <v>143</v>
      </c>
      <c r="D197" s="43" t="s">
        <v>33</v>
      </c>
      <c r="E197" s="119"/>
      <c r="F197" s="119"/>
      <c r="G197" s="119"/>
      <c r="H197" s="119"/>
      <c r="I197" s="119"/>
      <c r="J197" s="50">
        <f t="shared" si="614"/>
        <v>0</v>
      </c>
      <c r="K197" s="50">
        <f t="shared" si="614"/>
        <v>0</v>
      </c>
      <c r="L197" s="50">
        <f t="shared" si="614"/>
        <v>0</v>
      </c>
      <c r="M197" s="50">
        <f t="shared" si="614"/>
        <v>0</v>
      </c>
      <c r="N197" s="50">
        <f t="shared" si="614"/>
        <v>0</v>
      </c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  <c r="AA197" s="119"/>
      <c r="AB197" s="119"/>
      <c r="AC197" s="119"/>
      <c r="AD197" s="119"/>
      <c r="AE197" s="119"/>
      <c r="AF197" s="119"/>
      <c r="AG197" s="119"/>
      <c r="AH197" s="119"/>
      <c r="AI197" s="119"/>
      <c r="AJ197" s="143">
        <f>'D&amp;E Schedule'!AC31</f>
        <v>0</v>
      </c>
      <c r="AK197" s="143">
        <f>'D&amp;E Schedule'!AD31</f>
        <v>0</v>
      </c>
      <c r="AL197" s="143">
        <f>'D&amp;E Schedule'!AE31</f>
        <v>0</v>
      </c>
      <c r="AM197" s="143">
        <f>'D&amp;E Schedule'!AF31</f>
        <v>0</v>
      </c>
      <c r="AN197" s="143">
        <f>'D&amp;E Schedule'!AG31</f>
        <v>0</v>
      </c>
      <c r="AO197" s="143">
        <f>'D&amp;E Schedule'!AH31</f>
        <v>0</v>
      </c>
      <c r="AP197" s="143">
        <f>'D&amp;E Schedule'!AI31</f>
        <v>0</v>
      </c>
      <c r="AQ197" s="143">
        <f>'D&amp;E Schedule'!AJ31</f>
        <v>0</v>
      </c>
      <c r="AR197" s="143">
        <f>'D&amp;E Schedule'!AK31</f>
        <v>0</v>
      </c>
      <c r="AS197" s="143">
        <f>'D&amp;E Schedule'!AL31</f>
        <v>0</v>
      </c>
      <c r="AT197" s="143">
        <f>'D&amp;E Schedule'!AM31</f>
        <v>0</v>
      </c>
      <c r="AU197" s="143">
        <f>'D&amp;E Schedule'!AN31</f>
        <v>0</v>
      </c>
      <c r="AV197" s="143">
        <f>'D&amp;E Schedule'!AO31</f>
        <v>0</v>
      </c>
      <c r="AW197" s="143">
        <f>'D&amp;E Schedule'!AP31</f>
        <v>0</v>
      </c>
      <c r="AX197" s="143">
        <f>'D&amp;E Schedule'!AQ31</f>
        <v>0</v>
      </c>
      <c r="AY197" s="143">
        <f>'D&amp;E Schedule'!AR31</f>
        <v>0</v>
      </c>
      <c r="AZ197" s="143">
        <f>'D&amp;E Schedule'!AS31</f>
        <v>0</v>
      </c>
      <c r="BA197" s="143">
        <f>'D&amp;E Schedule'!AT31</f>
        <v>0</v>
      </c>
      <c r="BB197" s="143">
        <f>'D&amp;E Schedule'!AU31</f>
        <v>0</v>
      </c>
      <c r="BC197" s="143">
        <f>'D&amp;E Schedule'!AV31</f>
        <v>0</v>
      </c>
    </row>
    <row r="198" spans="2:55" x14ac:dyDescent="0.15">
      <c r="B198" s="1" t="s">
        <v>144</v>
      </c>
      <c r="D198" s="43" t="s">
        <v>33</v>
      </c>
      <c r="E198" s="119"/>
      <c r="F198" s="119"/>
      <c r="G198" s="119"/>
      <c r="H198" s="119"/>
      <c r="I198" s="119"/>
      <c r="J198" s="50">
        <f t="shared" si="614"/>
        <v>0</v>
      </c>
      <c r="K198" s="50">
        <f t="shared" si="614"/>
        <v>0</v>
      </c>
      <c r="L198" s="50">
        <f t="shared" si="614"/>
        <v>0</v>
      </c>
      <c r="M198" s="50">
        <f t="shared" si="614"/>
        <v>0</v>
      </c>
      <c r="N198" s="50">
        <f t="shared" si="614"/>
        <v>0</v>
      </c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  <c r="AA198" s="119"/>
      <c r="AB198" s="119"/>
      <c r="AC198" s="119"/>
      <c r="AD198" s="119"/>
      <c r="AE198" s="119"/>
      <c r="AF198" s="119"/>
      <c r="AG198" s="119"/>
      <c r="AH198" s="119"/>
      <c r="AI198" s="119"/>
      <c r="AJ198" s="143">
        <f>'D&amp;E Schedule'!AC32</f>
        <v>0</v>
      </c>
      <c r="AK198" s="143">
        <f>'D&amp;E Schedule'!AD32</f>
        <v>0</v>
      </c>
      <c r="AL198" s="143">
        <f>'D&amp;E Schedule'!AE32</f>
        <v>0</v>
      </c>
      <c r="AM198" s="143">
        <f>'D&amp;E Schedule'!AF32</f>
        <v>0</v>
      </c>
      <c r="AN198" s="143">
        <f>'D&amp;E Schedule'!AG32</f>
        <v>0</v>
      </c>
      <c r="AO198" s="143">
        <f>'D&amp;E Schedule'!AH32</f>
        <v>0</v>
      </c>
      <c r="AP198" s="143">
        <f>'D&amp;E Schedule'!AI32</f>
        <v>0</v>
      </c>
      <c r="AQ198" s="143">
        <f>'D&amp;E Schedule'!AJ32</f>
        <v>0</v>
      </c>
      <c r="AR198" s="143">
        <f>'D&amp;E Schedule'!AK32</f>
        <v>0</v>
      </c>
      <c r="AS198" s="143">
        <f>'D&amp;E Schedule'!AL32</f>
        <v>0</v>
      </c>
      <c r="AT198" s="143">
        <f>'D&amp;E Schedule'!AM32</f>
        <v>0</v>
      </c>
      <c r="AU198" s="143">
        <f>'D&amp;E Schedule'!AN32</f>
        <v>0</v>
      </c>
      <c r="AV198" s="143">
        <f>'D&amp;E Schedule'!AO32</f>
        <v>0</v>
      </c>
      <c r="AW198" s="143">
        <f>'D&amp;E Schedule'!AP32</f>
        <v>0</v>
      </c>
      <c r="AX198" s="143">
        <f>'D&amp;E Schedule'!AQ32</f>
        <v>0</v>
      </c>
      <c r="AY198" s="143">
        <f>'D&amp;E Schedule'!AR32</f>
        <v>0</v>
      </c>
      <c r="AZ198" s="143">
        <f>'D&amp;E Schedule'!AS32</f>
        <v>0</v>
      </c>
      <c r="BA198" s="143">
        <f>'D&amp;E Schedule'!AT32</f>
        <v>0</v>
      </c>
      <c r="BB198" s="143">
        <f>'D&amp;E Schedule'!AU32</f>
        <v>0</v>
      </c>
      <c r="BC198" s="143">
        <f>'D&amp;E Schedule'!AV32</f>
        <v>0</v>
      </c>
    </row>
    <row r="199" spans="2:55" x14ac:dyDescent="0.15">
      <c r="B199" s="192" t="str">
        <f>"Increase/(Decrease) in " &amp;B101</f>
        <v>Increase/(Decrease) in Short-term Borrowings</v>
      </c>
      <c r="D199" s="43" t="s">
        <v>33</v>
      </c>
      <c r="E199" s="119"/>
      <c r="F199" s="119"/>
      <c r="G199" s="119"/>
      <c r="H199" s="119"/>
      <c r="I199" s="119"/>
      <c r="J199" s="50">
        <f t="shared" si="614"/>
        <v>-452105</v>
      </c>
      <c r="K199" s="50">
        <f t="shared" si="614"/>
        <v>0</v>
      </c>
      <c r="L199" s="50">
        <f t="shared" si="614"/>
        <v>0</v>
      </c>
      <c r="M199" s="50">
        <f t="shared" si="614"/>
        <v>0</v>
      </c>
      <c r="N199" s="50">
        <f t="shared" si="614"/>
        <v>0</v>
      </c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  <c r="AA199" s="119"/>
      <c r="AB199" s="119"/>
      <c r="AC199" s="119"/>
      <c r="AD199" s="119"/>
      <c r="AE199" s="119"/>
      <c r="AF199" s="119"/>
      <c r="AG199" s="119"/>
      <c r="AH199" s="119"/>
      <c r="AI199" s="119"/>
      <c r="AJ199" s="50">
        <f t="shared" ref="AJ199:BC199" si="615">AJ101-AI101</f>
        <v>-452105</v>
      </c>
      <c r="AK199" s="50">
        <f t="shared" si="615"/>
        <v>0</v>
      </c>
      <c r="AL199" s="50">
        <f t="shared" si="615"/>
        <v>0</v>
      </c>
      <c r="AM199" s="50">
        <f t="shared" si="615"/>
        <v>0</v>
      </c>
      <c r="AN199" s="50">
        <f t="shared" si="615"/>
        <v>0</v>
      </c>
      <c r="AO199" s="50">
        <f t="shared" si="615"/>
        <v>0</v>
      </c>
      <c r="AP199" s="50">
        <f t="shared" si="615"/>
        <v>0</v>
      </c>
      <c r="AQ199" s="50">
        <f t="shared" si="615"/>
        <v>0</v>
      </c>
      <c r="AR199" s="50">
        <f t="shared" si="615"/>
        <v>0</v>
      </c>
      <c r="AS199" s="50">
        <f t="shared" si="615"/>
        <v>0</v>
      </c>
      <c r="AT199" s="50">
        <f t="shared" si="615"/>
        <v>0</v>
      </c>
      <c r="AU199" s="50">
        <f t="shared" si="615"/>
        <v>0</v>
      </c>
      <c r="AV199" s="50">
        <f t="shared" si="615"/>
        <v>0</v>
      </c>
      <c r="AW199" s="50">
        <f t="shared" si="615"/>
        <v>0</v>
      </c>
      <c r="AX199" s="50">
        <f t="shared" si="615"/>
        <v>0</v>
      </c>
      <c r="AY199" s="50">
        <f t="shared" si="615"/>
        <v>0</v>
      </c>
      <c r="AZ199" s="50">
        <f t="shared" si="615"/>
        <v>0</v>
      </c>
      <c r="BA199" s="50">
        <f t="shared" si="615"/>
        <v>0</v>
      </c>
      <c r="BB199" s="50">
        <f t="shared" si="615"/>
        <v>0</v>
      </c>
      <c r="BC199" s="50">
        <f t="shared" si="615"/>
        <v>0</v>
      </c>
    </row>
    <row r="200" spans="2:55" ht="15" thickBot="1" x14ac:dyDescent="0.2">
      <c r="B200" s="192" t="str">
        <f>"Increase/(Decrease) in " &amp;B102</f>
        <v>Increase/(Decrease) in Crypto Asset Borrowings</v>
      </c>
      <c r="D200" s="43" t="s">
        <v>33</v>
      </c>
      <c r="E200" s="119"/>
      <c r="F200" s="119"/>
      <c r="G200" s="119"/>
      <c r="H200" s="119"/>
      <c r="I200" s="119"/>
      <c r="J200" s="50">
        <f t="shared" si="614"/>
        <v>114872.75750998786</v>
      </c>
      <c r="K200" s="50">
        <f t="shared" si="614"/>
        <v>14853.013603355503</v>
      </c>
      <c r="L200" s="50">
        <f t="shared" si="614"/>
        <v>15490.028629416367</v>
      </c>
      <c r="M200" s="50">
        <f t="shared" si="614"/>
        <v>24393.116339466418</v>
      </c>
      <c r="N200" s="50">
        <f t="shared" si="614"/>
        <v>39258.510492019355</v>
      </c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  <c r="AA200" s="119"/>
      <c r="AB200" s="119"/>
      <c r="AC200" s="119"/>
      <c r="AD200" s="119"/>
      <c r="AE200" s="119"/>
      <c r="AF200" s="119"/>
      <c r="AG200" s="119"/>
      <c r="AH200" s="119"/>
      <c r="AI200" s="119"/>
      <c r="AJ200" s="50">
        <f t="shared" ref="AJ200:BC200" si="616">AJ102-AI102</f>
        <v>404829.96073926851</v>
      </c>
      <c r="AK200" s="50">
        <f t="shared" si="616"/>
        <v>-103551.39483912534</v>
      </c>
      <c r="AL200" s="50">
        <f t="shared" si="616"/>
        <v>221193.30763313465</v>
      </c>
      <c r="AM200" s="50">
        <f t="shared" si="616"/>
        <v>-407599.11602328997</v>
      </c>
      <c r="AN200" s="50">
        <f t="shared" si="616"/>
        <v>307595.35718139651</v>
      </c>
      <c r="AO200" s="50">
        <f t="shared" si="616"/>
        <v>-79709.283258162497</v>
      </c>
      <c r="AP200" s="50">
        <f t="shared" si="616"/>
        <v>260149.38337636011</v>
      </c>
      <c r="AQ200" s="50">
        <f t="shared" si="616"/>
        <v>-473182.44369623862</v>
      </c>
      <c r="AR200" s="50">
        <f t="shared" si="616"/>
        <v>330157.52679879556</v>
      </c>
      <c r="AS200" s="50">
        <f t="shared" si="616"/>
        <v>-67656.269133389462</v>
      </c>
      <c r="AT200" s="50">
        <f t="shared" si="616"/>
        <v>287174.46387060656</v>
      </c>
      <c r="AU200" s="50">
        <f t="shared" si="616"/>
        <v>-534185.69290659623</v>
      </c>
      <c r="AV200" s="50">
        <f t="shared" si="616"/>
        <v>362552.30001282075</v>
      </c>
      <c r="AW200" s="50">
        <f t="shared" si="616"/>
        <v>-41285.969592162117</v>
      </c>
      <c r="AX200" s="50">
        <f t="shared" si="616"/>
        <v>331801.5451776727</v>
      </c>
      <c r="AY200" s="50">
        <f t="shared" si="616"/>
        <v>-628674.75925886491</v>
      </c>
      <c r="AZ200" s="50">
        <f t="shared" si="616"/>
        <v>413784.01217542088</v>
      </c>
      <c r="BA200" s="50">
        <f t="shared" si="616"/>
        <v>3215.7729100069264</v>
      </c>
      <c r="BB200" s="50">
        <f t="shared" si="616"/>
        <v>408116.08197208692</v>
      </c>
      <c r="BC200" s="50">
        <f t="shared" si="616"/>
        <v>-785857.35656549537</v>
      </c>
    </row>
    <row r="201" spans="2:55" ht="15" thickBot="1" x14ac:dyDescent="0.2">
      <c r="B201" s="76" t="s">
        <v>141</v>
      </c>
      <c r="C201" s="77"/>
      <c r="D201" s="78" t="s">
        <v>33</v>
      </c>
      <c r="E201" s="79">
        <f t="shared" ref="E201:I201" si="617">SUMIF($P$1:$AI$1,E$1,$P201:$AI201)</f>
        <v>9976084</v>
      </c>
      <c r="F201" s="79">
        <f t="shared" si="617"/>
        <v>-5838518</v>
      </c>
      <c r="G201" s="79">
        <f t="shared" si="617"/>
        <v>-811332</v>
      </c>
      <c r="H201" s="79">
        <f t="shared" si="617"/>
        <v>2903078</v>
      </c>
      <c r="I201" s="79">
        <f t="shared" si="617"/>
        <v>740282</v>
      </c>
      <c r="J201" s="79">
        <f>SUMIFS($AJ201:$BC201,$AJ$1:$BC$1,J$1)</f>
        <v>-1610245.2424900122</v>
      </c>
      <c r="K201" s="79">
        <f t="shared" ref="K201:N201" si="618">SUMIFS($AJ201:$BC201,$AJ$1:$BC$1,K$1)</f>
        <v>14853.013603355503</v>
      </c>
      <c r="L201" s="79">
        <f t="shared" si="618"/>
        <v>-984509.97137058363</v>
      </c>
      <c r="M201" s="79">
        <f t="shared" si="618"/>
        <v>-1475606.8836605335</v>
      </c>
      <c r="N201" s="80">
        <f t="shared" si="618"/>
        <v>-1225741.4895079806</v>
      </c>
      <c r="O201" s="52"/>
      <c r="P201" s="89">
        <v>59820</v>
      </c>
      <c r="Q201" s="90">
        <v>1374856</v>
      </c>
      <c r="R201" s="90">
        <v>1958735</v>
      </c>
      <c r="S201" s="90">
        <v>6582673</v>
      </c>
      <c r="T201" s="90">
        <v>-725324</v>
      </c>
      <c r="U201" s="90">
        <v>-2882120</v>
      </c>
      <c r="V201" s="90">
        <v>-598474</v>
      </c>
      <c r="W201" s="90">
        <v>-1632600</v>
      </c>
      <c r="X201" s="90">
        <v>460129</v>
      </c>
      <c r="Y201" s="90">
        <v>-1602392</v>
      </c>
      <c r="Z201" s="90">
        <v>-591865</v>
      </c>
      <c r="AA201" s="90">
        <v>922796</v>
      </c>
      <c r="AB201" s="90">
        <v>1927721</v>
      </c>
      <c r="AC201" s="90">
        <v>-933733</v>
      </c>
      <c r="AD201" s="90">
        <v>-311325</v>
      </c>
      <c r="AE201" s="90">
        <v>2220415</v>
      </c>
      <c r="AF201" s="90">
        <v>-893802</v>
      </c>
      <c r="AG201" s="90">
        <v>-391137</v>
      </c>
      <c r="AH201" s="90">
        <v>3181035</v>
      </c>
      <c r="AI201" s="90">
        <v>-1155814</v>
      </c>
      <c r="AJ201" s="79">
        <f>SUM(AJ196:AJ200)</f>
        <v>-47275.039260731486</v>
      </c>
      <c r="AK201" s="79">
        <f t="shared" ref="AK201:BC201" si="619">SUM(AK196:AK200)</f>
        <v>-1376564.3948391252</v>
      </c>
      <c r="AL201" s="79">
        <f t="shared" si="619"/>
        <v>221193.30763313465</v>
      </c>
      <c r="AM201" s="79">
        <f t="shared" si="619"/>
        <v>-407599.11602328997</v>
      </c>
      <c r="AN201" s="79">
        <f t="shared" si="619"/>
        <v>307595.35718139651</v>
      </c>
      <c r="AO201" s="79">
        <f t="shared" si="619"/>
        <v>-79709.283258162497</v>
      </c>
      <c r="AP201" s="79">
        <f t="shared" si="619"/>
        <v>260149.38337636011</v>
      </c>
      <c r="AQ201" s="79">
        <f t="shared" si="619"/>
        <v>-473182.44369623862</v>
      </c>
      <c r="AR201" s="79">
        <f t="shared" si="619"/>
        <v>330157.52679879556</v>
      </c>
      <c r="AS201" s="79">
        <f t="shared" si="619"/>
        <v>-67656.269133389462</v>
      </c>
      <c r="AT201" s="79">
        <f t="shared" si="619"/>
        <v>287174.46387060656</v>
      </c>
      <c r="AU201" s="79">
        <f t="shared" si="619"/>
        <v>-1534185.6929065962</v>
      </c>
      <c r="AV201" s="79">
        <f t="shared" si="619"/>
        <v>362552.30001282075</v>
      </c>
      <c r="AW201" s="79">
        <f t="shared" si="619"/>
        <v>-41285.969592162117</v>
      </c>
      <c r="AX201" s="79">
        <f t="shared" si="619"/>
        <v>331801.5451776727</v>
      </c>
      <c r="AY201" s="79">
        <f t="shared" si="619"/>
        <v>-2128674.7592588649</v>
      </c>
      <c r="AZ201" s="79">
        <f t="shared" si="619"/>
        <v>413784.01217542088</v>
      </c>
      <c r="BA201" s="79">
        <f t="shared" si="619"/>
        <v>-1261784.2270899932</v>
      </c>
      <c r="BB201" s="79">
        <f t="shared" si="619"/>
        <v>408116.08197208692</v>
      </c>
      <c r="BC201" s="80">
        <f t="shared" si="619"/>
        <v>-785857.35656549537</v>
      </c>
    </row>
    <row r="202" spans="2:55" ht="3" customHeight="1" x14ac:dyDescent="0.15"/>
    <row r="203" spans="2:55" x14ac:dyDescent="0.15">
      <c r="B203" s="38" t="s">
        <v>145</v>
      </c>
      <c r="C203" s="39"/>
      <c r="D203" s="40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P203" s="42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  <c r="BB203" s="39"/>
      <c r="BC203" s="39"/>
    </row>
    <row r="204" spans="2:55" ht="3" customHeight="1" x14ac:dyDescent="0.15"/>
    <row r="205" spans="2:55" x14ac:dyDescent="0.15">
      <c r="B205" s="1" t="s">
        <v>146</v>
      </c>
      <c r="D205" s="43" t="s">
        <v>33</v>
      </c>
      <c r="E205" s="50">
        <f t="shared" ref="E205:I205" si="620">SUMIF($P$1:$AI$1,E$1,$P205:$AI205)</f>
        <v>-64883</v>
      </c>
      <c r="F205" s="50">
        <f t="shared" si="620"/>
        <v>-163257</v>
      </c>
      <c r="G205" s="50">
        <f t="shared" si="620"/>
        <v>8772</v>
      </c>
      <c r="H205" s="50">
        <f t="shared" si="620"/>
        <v>-48367</v>
      </c>
      <c r="I205" s="50">
        <f t="shared" si="620"/>
        <v>92850</v>
      </c>
      <c r="J205" s="50">
        <f>SUMIFS($AJ205:$BC205,$AJ$1:$BC$1,J$1)</f>
        <v>0</v>
      </c>
      <c r="K205" s="50">
        <f t="shared" ref="K205:N205" si="621">SUMIFS($AJ205:$BC205,$AJ$1:$BC$1,K$1)</f>
        <v>0</v>
      </c>
      <c r="L205" s="50">
        <f t="shared" si="621"/>
        <v>0</v>
      </c>
      <c r="M205" s="50">
        <f t="shared" si="621"/>
        <v>0</v>
      </c>
      <c r="N205" s="50">
        <f t="shared" si="621"/>
        <v>0</v>
      </c>
      <c r="P205" s="51">
        <v>16231</v>
      </c>
      <c r="Q205" s="51">
        <v>-5216</v>
      </c>
      <c r="R205" s="51">
        <v>-12126</v>
      </c>
      <c r="S205" s="51">
        <v>-63772</v>
      </c>
      <c r="T205" s="51">
        <v>-5507</v>
      </c>
      <c r="U205" s="51">
        <v>-114425</v>
      </c>
      <c r="V205" s="51">
        <v>-256329</v>
      </c>
      <c r="W205" s="51">
        <v>213004</v>
      </c>
      <c r="X205" s="51">
        <v>11377</v>
      </c>
      <c r="Y205" s="51">
        <v>-15747</v>
      </c>
      <c r="Z205" s="51">
        <v>-22983</v>
      </c>
      <c r="AA205" s="51">
        <v>36125</v>
      </c>
      <c r="AB205" s="51">
        <v>-21186</v>
      </c>
      <c r="AC205" s="51">
        <v>-4737</v>
      </c>
      <c r="AD205" s="51">
        <v>45587</v>
      </c>
      <c r="AE205" s="51">
        <v>-68031</v>
      </c>
      <c r="AF205" s="51">
        <v>1655</v>
      </c>
      <c r="AG205" s="51">
        <v>78190</v>
      </c>
      <c r="AH205" s="51">
        <v>10023</v>
      </c>
      <c r="AI205" s="51">
        <v>2982</v>
      </c>
      <c r="AJ205" s="188">
        <v>0</v>
      </c>
      <c r="AK205" s="188">
        <v>0</v>
      </c>
      <c r="AL205" s="188">
        <v>0</v>
      </c>
      <c r="AM205" s="188">
        <v>0</v>
      </c>
      <c r="AN205" s="188">
        <v>0</v>
      </c>
      <c r="AO205" s="188">
        <v>0</v>
      </c>
      <c r="AP205" s="188">
        <v>0</v>
      </c>
      <c r="AQ205" s="188">
        <v>0</v>
      </c>
      <c r="AR205" s="188">
        <v>0</v>
      </c>
      <c r="AS205" s="188">
        <v>0</v>
      </c>
      <c r="AT205" s="188">
        <v>0</v>
      </c>
      <c r="AU205" s="188">
        <v>0</v>
      </c>
      <c r="AV205" s="188">
        <v>0</v>
      </c>
      <c r="AW205" s="188">
        <v>0</v>
      </c>
      <c r="AX205" s="188">
        <v>0</v>
      </c>
      <c r="AY205" s="188">
        <v>0</v>
      </c>
      <c r="AZ205" s="188">
        <v>0</v>
      </c>
      <c r="BA205" s="188">
        <v>0</v>
      </c>
      <c r="BB205" s="188">
        <v>0</v>
      </c>
      <c r="BC205" s="188">
        <v>0</v>
      </c>
    </row>
    <row r="206" spans="2:55" s="52" customFormat="1" x14ac:dyDescent="0.15">
      <c r="B206" s="168" t="s">
        <v>147</v>
      </c>
      <c r="C206" s="168"/>
      <c r="D206" s="169" t="s">
        <v>33</v>
      </c>
      <c r="E206" s="172">
        <f t="shared" ref="E206:N206" si="622">SUM(E205,E201,E192,E183)</f>
        <v>12824633</v>
      </c>
      <c r="F206" s="172">
        <f t="shared" si="622"/>
        <v>-8251016</v>
      </c>
      <c r="G206" s="172">
        <f t="shared" si="622"/>
        <v>125783</v>
      </c>
      <c r="H206" s="172">
        <f t="shared" si="622"/>
        <v>5757643</v>
      </c>
      <c r="I206" s="172">
        <f t="shared" si="622"/>
        <v>1209965</v>
      </c>
      <c r="J206" s="172">
        <f t="shared" si="622"/>
        <v>5222060.5380271794</v>
      </c>
      <c r="K206" s="172">
        <f t="shared" si="622"/>
        <v>1949499.7346398942</v>
      </c>
      <c r="L206" s="172">
        <f t="shared" si="622"/>
        <v>1268488.7403681548</v>
      </c>
      <c r="M206" s="172">
        <f t="shared" si="622"/>
        <v>920915.52231879672</v>
      </c>
      <c r="N206" s="172">
        <f t="shared" si="622"/>
        <v>1307361.0877077328</v>
      </c>
      <c r="P206" s="172">
        <f t="shared" ref="P206:BC206" si="623">SUM(P205,P201,P192,P183)</f>
        <v>3449906</v>
      </c>
      <c r="Q206" s="172">
        <f t="shared" si="623"/>
        <v>5052701</v>
      </c>
      <c r="R206" s="172">
        <f t="shared" si="623"/>
        <v>1981989</v>
      </c>
      <c r="S206" s="172">
        <f t="shared" si="623"/>
        <v>2340037</v>
      </c>
      <c r="T206" s="172">
        <f t="shared" si="623"/>
        <v>-1513778</v>
      </c>
      <c r="U206" s="172">
        <f t="shared" si="623"/>
        <v>-3274706</v>
      </c>
      <c r="V206" s="172">
        <f t="shared" si="623"/>
        <v>-1271376</v>
      </c>
      <c r="W206" s="172">
        <f t="shared" si="623"/>
        <v>-2191156</v>
      </c>
      <c r="X206" s="172">
        <f t="shared" si="623"/>
        <v>908504</v>
      </c>
      <c r="Y206" s="172">
        <f t="shared" si="623"/>
        <v>-1453689</v>
      </c>
      <c r="Z206" s="172">
        <f t="shared" si="623"/>
        <v>-373276</v>
      </c>
      <c r="AA206" s="172">
        <f t="shared" si="623"/>
        <v>1044244</v>
      </c>
      <c r="AB206" s="172">
        <f t="shared" si="623"/>
        <v>2192339</v>
      </c>
      <c r="AC206" s="172">
        <f t="shared" si="623"/>
        <v>-472884</v>
      </c>
      <c r="AD206" s="172">
        <f t="shared" si="623"/>
        <v>342129</v>
      </c>
      <c r="AE206" s="172">
        <f t="shared" si="623"/>
        <v>3696059</v>
      </c>
      <c r="AF206" s="172">
        <f t="shared" si="623"/>
        <v>-1306527</v>
      </c>
      <c r="AG206" s="172">
        <f t="shared" si="623"/>
        <v>-669629</v>
      </c>
      <c r="AH206" s="172">
        <f t="shared" si="623"/>
        <v>1670969</v>
      </c>
      <c r="AI206" s="172">
        <f t="shared" si="623"/>
        <v>1515152</v>
      </c>
      <c r="AJ206" s="172">
        <f t="shared" si="623"/>
        <v>525027.20025391551</v>
      </c>
      <c r="AK206" s="172">
        <f t="shared" si="623"/>
        <v>5519334.4624789152</v>
      </c>
      <c r="AL206" s="172">
        <f t="shared" si="623"/>
        <v>-4476777.6465985859</v>
      </c>
      <c r="AM206" s="172">
        <f t="shared" si="623"/>
        <v>3654476.521892935</v>
      </c>
      <c r="AN206" s="172">
        <f t="shared" si="623"/>
        <v>-4044801.433076309</v>
      </c>
      <c r="AO206" s="172">
        <f t="shared" si="623"/>
        <v>6862862.6173851313</v>
      </c>
      <c r="AP206" s="172">
        <f t="shared" si="623"/>
        <v>-5201304.6767508956</v>
      </c>
      <c r="AQ206" s="172">
        <f t="shared" si="623"/>
        <v>4332743.2270819684</v>
      </c>
      <c r="AR206" s="172">
        <f t="shared" si="623"/>
        <v>-4192510.9913396202</v>
      </c>
      <c r="AS206" s="172">
        <f t="shared" si="623"/>
        <v>7318830.58397971</v>
      </c>
      <c r="AT206" s="172">
        <f t="shared" si="623"/>
        <v>-5787372.1314420346</v>
      </c>
      <c r="AU206" s="172">
        <f t="shared" si="623"/>
        <v>3929541.279170102</v>
      </c>
      <c r="AV206" s="172">
        <f t="shared" si="623"/>
        <v>-4530190.2167414948</v>
      </c>
      <c r="AW206" s="172">
        <f t="shared" si="623"/>
        <v>7823484.0724203242</v>
      </c>
      <c r="AX206" s="172">
        <f t="shared" si="623"/>
        <v>-6721239.2716755867</v>
      </c>
      <c r="AY206" s="172">
        <f t="shared" si="623"/>
        <v>4348860.9383155536</v>
      </c>
      <c r="AZ206" s="172">
        <f t="shared" si="623"/>
        <v>-5081940.9182337876</v>
      </c>
      <c r="BA206" s="172">
        <f t="shared" si="623"/>
        <v>7309214.9532385906</v>
      </c>
      <c r="BB206" s="172">
        <f t="shared" si="623"/>
        <v>-8308438.6711270064</v>
      </c>
      <c r="BC206" s="172">
        <f t="shared" si="623"/>
        <v>7388525.7238299325</v>
      </c>
    </row>
    <row r="207" spans="2:55" ht="15" thickBot="1" x14ac:dyDescent="0.2">
      <c r="B207" s="1" t="s">
        <v>148</v>
      </c>
      <c r="D207" s="43" t="s">
        <v>33</v>
      </c>
      <c r="E207" s="119"/>
      <c r="F207" s="119"/>
      <c r="G207" s="119"/>
      <c r="H207" s="119"/>
      <c r="I207" s="119"/>
      <c r="J207" s="50">
        <f>I208</f>
        <v>11285452</v>
      </c>
      <c r="K207" s="50">
        <f t="shared" ref="K207:N207" si="624">J208</f>
        <v>16507512.538027178</v>
      </c>
      <c r="L207" s="50">
        <f t="shared" si="624"/>
        <v>18457012.272667073</v>
      </c>
      <c r="M207" s="50">
        <f t="shared" si="624"/>
        <v>19725501.013035227</v>
      </c>
      <c r="N207" s="50">
        <f t="shared" si="624"/>
        <v>20646416.535354022</v>
      </c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  <c r="AA207" s="119"/>
      <c r="AB207" s="119"/>
      <c r="AC207" s="119"/>
      <c r="AD207" s="119"/>
      <c r="AE207" s="119"/>
      <c r="AF207" s="119"/>
      <c r="AG207" s="119"/>
      <c r="AH207" s="119"/>
      <c r="AI207" s="119"/>
      <c r="AJ207" s="50">
        <f>AI208</f>
        <v>11285452</v>
      </c>
      <c r="AK207" s="50">
        <f t="shared" ref="AK207:BC207" si="625">AJ208</f>
        <v>11810479.200253915</v>
      </c>
      <c r="AL207" s="50">
        <f t="shared" si="625"/>
        <v>17329813.662732832</v>
      </c>
      <c r="AM207" s="50">
        <f t="shared" si="625"/>
        <v>12853036.016134247</v>
      </c>
      <c r="AN207" s="50">
        <f t="shared" si="625"/>
        <v>16507512.538027182</v>
      </c>
      <c r="AO207" s="50">
        <f t="shared" si="625"/>
        <v>12462711.104950873</v>
      </c>
      <c r="AP207" s="50">
        <f t="shared" si="625"/>
        <v>19325573.722336005</v>
      </c>
      <c r="AQ207" s="50">
        <f t="shared" si="625"/>
        <v>14124269.045585111</v>
      </c>
      <c r="AR207" s="50">
        <f t="shared" si="625"/>
        <v>18457012.27266708</v>
      </c>
      <c r="AS207" s="50">
        <f t="shared" si="625"/>
        <v>14264501.28132746</v>
      </c>
      <c r="AT207" s="50">
        <f t="shared" si="625"/>
        <v>21583331.865307171</v>
      </c>
      <c r="AU207" s="50">
        <f t="shared" si="625"/>
        <v>15795959.733865136</v>
      </c>
      <c r="AV207" s="50">
        <f t="shared" si="625"/>
        <v>19725501.013035238</v>
      </c>
      <c r="AW207" s="50">
        <f t="shared" si="625"/>
        <v>15195310.796293743</v>
      </c>
      <c r="AX207" s="50">
        <f t="shared" si="625"/>
        <v>23018794.868714068</v>
      </c>
      <c r="AY207" s="50">
        <f t="shared" si="625"/>
        <v>16297555.597038481</v>
      </c>
      <c r="AZ207" s="50">
        <f t="shared" si="625"/>
        <v>20646416.535354033</v>
      </c>
      <c r="BA207" s="50">
        <f t="shared" si="625"/>
        <v>15564475.617120245</v>
      </c>
      <c r="BB207" s="50">
        <f t="shared" si="625"/>
        <v>22873690.570358835</v>
      </c>
      <c r="BC207" s="50">
        <f t="shared" si="625"/>
        <v>14565251.899231829</v>
      </c>
    </row>
    <row r="208" spans="2:55" ht="15" thickBot="1" x14ac:dyDescent="0.2">
      <c r="B208" s="153" t="s">
        <v>149</v>
      </c>
      <c r="C208" s="154"/>
      <c r="D208" s="155" t="s">
        <v>33</v>
      </c>
      <c r="E208" s="189"/>
      <c r="F208" s="189"/>
      <c r="G208" s="189"/>
      <c r="H208" s="189"/>
      <c r="I208" s="156">
        <f>I59</f>
        <v>11285452</v>
      </c>
      <c r="J208" s="156">
        <f>SUM(J206:J207)</f>
        <v>16507512.538027178</v>
      </c>
      <c r="K208" s="156">
        <f t="shared" ref="K208:N208" si="626">SUM(K206:K207)</f>
        <v>18457012.272667073</v>
      </c>
      <c r="L208" s="156">
        <f t="shared" si="626"/>
        <v>19725501.013035227</v>
      </c>
      <c r="M208" s="156">
        <f t="shared" si="626"/>
        <v>20646416.535354022</v>
      </c>
      <c r="N208" s="190">
        <f t="shared" si="626"/>
        <v>21953777.623061754</v>
      </c>
      <c r="P208" s="191"/>
      <c r="Q208" s="189"/>
      <c r="R208" s="189"/>
      <c r="S208" s="189"/>
      <c r="T208" s="189"/>
      <c r="U208" s="189"/>
      <c r="V208" s="189"/>
      <c r="W208" s="189"/>
      <c r="X208" s="189"/>
      <c r="Y208" s="189"/>
      <c r="Z208" s="189"/>
      <c r="AA208" s="189"/>
      <c r="AB208" s="189"/>
      <c r="AC208" s="189"/>
      <c r="AD208" s="189"/>
      <c r="AE208" s="189"/>
      <c r="AF208" s="189"/>
      <c r="AG208" s="189"/>
      <c r="AH208" s="189"/>
      <c r="AI208" s="156">
        <f>AI59</f>
        <v>11285452</v>
      </c>
      <c r="AJ208" s="156">
        <f>SUM(AJ206:AJ207)</f>
        <v>11810479.200253915</v>
      </c>
      <c r="AK208" s="156">
        <f t="shared" ref="AK208:BC208" si="627">SUM(AK206:AK207)</f>
        <v>17329813.662732832</v>
      </c>
      <c r="AL208" s="156">
        <f t="shared" si="627"/>
        <v>12853036.016134247</v>
      </c>
      <c r="AM208" s="156">
        <f t="shared" si="627"/>
        <v>16507512.538027182</v>
      </c>
      <c r="AN208" s="156">
        <f t="shared" si="627"/>
        <v>12462711.104950873</v>
      </c>
      <c r="AO208" s="156">
        <f t="shared" si="627"/>
        <v>19325573.722336005</v>
      </c>
      <c r="AP208" s="156">
        <f t="shared" si="627"/>
        <v>14124269.045585111</v>
      </c>
      <c r="AQ208" s="156">
        <f t="shared" si="627"/>
        <v>18457012.27266708</v>
      </c>
      <c r="AR208" s="156">
        <f t="shared" si="627"/>
        <v>14264501.28132746</v>
      </c>
      <c r="AS208" s="156">
        <f t="shared" si="627"/>
        <v>21583331.865307171</v>
      </c>
      <c r="AT208" s="156">
        <f t="shared" si="627"/>
        <v>15795959.733865136</v>
      </c>
      <c r="AU208" s="156">
        <f t="shared" si="627"/>
        <v>19725501.013035238</v>
      </c>
      <c r="AV208" s="156">
        <f t="shared" si="627"/>
        <v>15195310.796293743</v>
      </c>
      <c r="AW208" s="156">
        <f t="shared" si="627"/>
        <v>23018794.868714068</v>
      </c>
      <c r="AX208" s="156">
        <f t="shared" si="627"/>
        <v>16297555.597038481</v>
      </c>
      <c r="AY208" s="156">
        <f t="shared" si="627"/>
        <v>20646416.535354033</v>
      </c>
      <c r="AZ208" s="156">
        <f t="shared" si="627"/>
        <v>15564475.617120245</v>
      </c>
      <c r="BA208" s="156">
        <f t="shared" si="627"/>
        <v>22873690.570358835</v>
      </c>
      <c r="BB208" s="156">
        <f t="shared" si="627"/>
        <v>14565251.899231829</v>
      </c>
      <c r="BC208" s="190">
        <f t="shared" si="627"/>
        <v>21953777.623061761</v>
      </c>
    </row>
    <row r="211" spans="36:36" x14ac:dyDescent="0.15">
      <c r="AJ211" s="50"/>
    </row>
  </sheetData>
  <pageMargins left="0.7" right="0.7" top="0.75" bottom="0.75" header="0.3" footer="0.3"/>
  <pageSetup scale="13" orientation="portrait" r:id="rId1"/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344E-BFCB-48F6-BC93-86B220B04A83}">
  <sheetPr>
    <tabColor theme="3" tint="0.749992370372631"/>
  </sheetPr>
  <dimension ref="A1:O17"/>
  <sheetViews>
    <sheetView showGridLines="0" zoomScale="79" workbookViewId="0">
      <selection activeCell="F17" sqref="F17"/>
    </sheetView>
  </sheetViews>
  <sheetFormatPr baseColWidth="10" defaultColWidth="0" defaultRowHeight="15" x14ac:dyDescent="0.2"/>
  <cols>
    <col min="1" max="1" width="2.1640625" style="1" customWidth="1"/>
    <col min="2" max="2" width="8.6640625" style="1" customWidth="1"/>
    <col min="3" max="3" width="80.5" style="1" customWidth="1"/>
    <col min="4" max="5" width="12.5" style="1" customWidth="1"/>
    <col min="6" max="15" width="15.5" style="1" customWidth="1"/>
    <col min="16" max="16384" width="8.6640625" hidden="1"/>
  </cols>
  <sheetData>
    <row r="1" spans="1:15" ht="23" x14ac:dyDescent="0.25">
      <c r="A1" s="27" t="str">
        <f>'Cover Page'!$C$3</f>
        <v>Coinbase Global Inc., (NASDAQ: COIN)</v>
      </c>
      <c r="F1" s="28">
        <v>2021</v>
      </c>
      <c r="G1" s="28">
        <f>F1+1</f>
        <v>2022</v>
      </c>
      <c r="H1" s="28">
        <f t="shared" ref="H1:O1" si="0">G1+1</f>
        <v>2023</v>
      </c>
      <c r="I1" s="28">
        <f t="shared" si="0"/>
        <v>2024</v>
      </c>
      <c r="J1" s="28">
        <f t="shared" si="0"/>
        <v>2025</v>
      </c>
      <c r="K1" s="28">
        <f t="shared" si="0"/>
        <v>2026</v>
      </c>
      <c r="L1" s="28">
        <f t="shared" si="0"/>
        <v>2027</v>
      </c>
      <c r="M1" s="28">
        <f t="shared" si="0"/>
        <v>2028</v>
      </c>
      <c r="N1" s="28">
        <f t="shared" si="0"/>
        <v>2029</v>
      </c>
      <c r="O1" s="28">
        <f t="shared" si="0"/>
        <v>2030</v>
      </c>
    </row>
    <row r="2" spans="1:15" x14ac:dyDescent="0.2">
      <c r="A2" s="1" t="s">
        <v>150</v>
      </c>
      <c r="F2" s="29" t="s">
        <v>20</v>
      </c>
      <c r="G2" s="29" t="s">
        <v>20</v>
      </c>
      <c r="H2" s="29" t="s">
        <v>20</v>
      </c>
      <c r="I2" s="29" t="s">
        <v>20</v>
      </c>
      <c r="J2" s="29" t="s">
        <v>20</v>
      </c>
      <c r="K2" s="29" t="s">
        <v>20</v>
      </c>
      <c r="L2" s="29" t="s">
        <v>20</v>
      </c>
      <c r="M2" s="29" t="s">
        <v>20</v>
      </c>
      <c r="N2" s="29" t="s">
        <v>20</v>
      </c>
      <c r="O2" s="29" t="s">
        <v>20</v>
      </c>
    </row>
    <row r="3" spans="1:15" x14ac:dyDescent="0.2">
      <c r="F3" s="29">
        <v>12</v>
      </c>
      <c r="G3" s="29">
        <v>12</v>
      </c>
      <c r="H3" s="29">
        <v>12</v>
      </c>
      <c r="I3" s="29">
        <v>12</v>
      </c>
      <c r="J3" s="29">
        <v>12</v>
      </c>
      <c r="K3" s="29">
        <v>12</v>
      </c>
      <c r="L3" s="29">
        <v>12</v>
      </c>
      <c r="M3" s="29">
        <v>12</v>
      </c>
      <c r="N3" s="29">
        <v>12</v>
      </c>
      <c r="O3" s="29">
        <v>12</v>
      </c>
    </row>
    <row r="4" spans="1:15" x14ac:dyDescent="0.2">
      <c r="F4" s="29">
        <v>365</v>
      </c>
      <c r="G4" s="29">
        <v>365</v>
      </c>
      <c r="H4" s="29">
        <v>365</v>
      </c>
      <c r="I4" s="29">
        <v>366</v>
      </c>
      <c r="J4" s="29">
        <v>365</v>
      </c>
      <c r="K4" s="29">
        <v>365</v>
      </c>
      <c r="L4" s="29">
        <v>365</v>
      </c>
      <c r="M4" s="29">
        <v>366</v>
      </c>
      <c r="N4" s="29">
        <v>365</v>
      </c>
      <c r="O4" s="29">
        <v>365</v>
      </c>
    </row>
    <row r="5" spans="1:15" x14ac:dyDescent="0.2">
      <c r="F5" s="29" t="s">
        <v>24</v>
      </c>
      <c r="G5" s="29" t="s">
        <v>24</v>
      </c>
      <c r="H5" s="29" t="s">
        <v>24</v>
      </c>
      <c r="I5" s="29" t="s">
        <v>24</v>
      </c>
      <c r="J5" s="29" t="s">
        <v>24</v>
      </c>
      <c r="K5" s="29" t="s">
        <v>25</v>
      </c>
      <c r="L5" s="29" t="s">
        <v>25</v>
      </c>
      <c r="M5" s="29" t="s">
        <v>25</v>
      </c>
      <c r="N5" s="29" t="s">
        <v>25</v>
      </c>
      <c r="O5" s="29" t="s">
        <v>25</v>
      </c>
    </row>
    <row r="6" spans="1:15" x14ac:dyDescent="0.2">
      <c r="A6" s="30" t="s">
        <v>26</v>
      </c>
      <c r="F6" s="31">
        <v>44561</v>
      </c>
      <c r="G6" s="32">
        <f>EOMONTH(F6,12)</f>
        <v>44926</v>
      </c>
      <c r="H6" s="32">
        <f t="shared" ref="H6:O6" si="1">EOMONTH(G6,12)</f>
        <v>45291</v>
      </c>
      <c r="I6" s="32">
        <f t="shared" si="1"/>
        <v>45657</v>
      </c>
      <c r="J6" s="32">
        <f t="shared" si="1"/>
        <v>46022</v>
      </c>
      <c r="K6" s="32">
        <f t="shared" si="1"/>
        <v>46387</v>
      </c>
      <c r="L6" s="32">
        <f t="shared" si="1"/>
        <v>46752</v>
      </c>
      <c r="M6" s="32">
        <f t="shared" si="1"/>
        <v>47118</v>
      </c>
      <c r="N6" s="32">
        <f t="shared" si="1"/>
        <v>47483</v>
      </c>
      <c r="O6" s="32">
        <f t="shared" si="1"/>
        <v>47848</v>
      </c>
    </row>
    <row r="7" spans="1:15" ht="3" customHeight="1" x14ac:dyDescent="0.2">
      <c r="A7"/>
      <c r="B7"/>
      <c r="C7"/>
      <c r="D7"/>
      <c r="E7"/>
      <c r="F7"/>
      <c r="G7"/>
      <c r="H7"/>
      <c r="I7"/>
      <c r="J7"/>
      <c r="K7"/>
      <c r="L7"/>
      <c r="M7"/>
      <c r="N7"/>
      <c r="O7"/>
    </row>
    <row r="8" spans="1:15" x14ac:dyDescent="0.2">
      <c r="A8" s="513" t="s">
        <v>27</v>
      </c>
      <c r="B8" s="33" t="s">
        <v>151</v>
      </c>
      <c r="C8" s="226"/>
      <c r="D8" s="226"/>
      <c r="E8" s="34" t="s">
        <v>29</v>
      </c>
      <c r="F8" s="35">
        <v>21</v>
      </c>
      <c r="G8" s="35">
        <f>F8+1</f>
        <v>22</v>
      </c>
      <c r="H8" s="35">
        <f t="shared" ref="H8:O8" si="2">G8+1</f>
        <v>23</v>
      </c>
      <c r="I8" s="35">
        <f t="shared" si="2"/>
        <v>24</v>
      </c>
      <c r="J8" s="35">
        <f t="shared" si="2"/>
        <v>25</v>
      </c>
      <c r="K8" s="36">
        <f t="shared" si="2"/>
        <v>26</v>
      </c>
      <c r="L8" s="36">
        <f t="shared" si="2"/>
        <v>27</v>
      </c>
      <c r="M8" s="36">
        <f t="shared" si="2"/>
        <v>28</v>
      </c>
      <c r="N8" s="36">
        <f t="shared" si="2"/>
        <v>29</v>
      </c>
      <c r="O8" s="36">
        <f t="shared" si="2"/>
        <v>30</v>
      </c>
    </row>
    <row r="9" spans="1:15" ht="3" customHeight="1" x14ac:dyDescent="0.2"/>
    <row r="10" spans="1:15" x14ac:dyDescent="0.2">
      <c r="B10" s="1" t="s">
        <v>152</v>
      </c>
      <c r="E10" s="43" t="s">
        <v>33</v>
      </c>
      <c r="F10" s="514"/>
      <c r="G10" s="514"/>
      <c r="H10" s="514"/>
      <c r="I10" s="514"/>
      <c r="J10" s="514"/>
      <c r="K10" s="515">
        <f>'3FS'!J207</f>
        <v>11285452</v>
      </c>
      <c r="L10" s="515">
        <f>'3FS'!K207</f>
        <v>16507512.538027178</v>
      </c>
      <c r="M10" s="515">
        <f>'3FS'!L207</f>
        <v>18457012.272667073</v>
      </c>
      <c r="N10" s="515">
        <f>'3FS'!M207</f>
        <v>19725501.013035227</v>
      </c>
      <c r="O10" s="515">
        <f>'3FS'!N207</f>
        <v>20646416.535354022</v>
      </c>
    </row>
    <row r="11" spans="1:15" ht="16" thickBot="1" x14ac:dyDescent="0.25">
      <c r="B11" s="1" t="s">
        <v>153</v>
      </c>
      <c r="E11" s="43" t="s">
        <v>33</v>
      </c>
      <c r="F11" s="514"/>
      <c r="G11" s="514"/>
      <c r="H11" s="514"/>
      <c r="I11" s="514"/>
      <c r="J11" s="514"/>
      <c r="K11" s="515">
        <f>'3FS'!J183+'3FS'!J187+'3FS'!J188</f>
        <v>5384029.0668581687</v>
      </c>
      <c r="L11" s="515">
        <f>'3FS'!K183+'3FS'!K187+'3FS'!K188</f>
        <v>2086390.1759903664</v>
      </c>
      <c r="M11" s="515">
        <f>'3FS'!L183+'3FS'!L187+'3FS'!L188</f>
        <v>2411250.1295540649</v>
      </c>
      <c r="N11" s="515">
        <f>'3FS'!M183+'3FS'!M187+'3FS'!M188</f>
        <v>2645730.8056541998</v>
      </c>
      <c r="O11" s="515">
        <f>'3FS'!N183+'3FS'!N187+'3FS'!N188</f>
        <v>2934180.9157593655</v>
      </c>
    </row>
    <row r="12" spans="1:15" ht="16" thickBot="1" x14ac:dyDescent="0.25">
      <c r="B12" s="153" t="s">
        <v>151</v>
      </c>
      <c r="C12" s="154"/>
      <c r="D12" s="154"/>
      <c r="E12" s="155" t="s">
        <v>33</v>
      </c>
      <c r="F12" s="516"/>
      <c r="G12" s="516"/>
      <c r="H12" s="516"/>
      <c r="I12" s="516"/>
      <c r="J12" s="516"/>
      <c r="K12" s="517">
        <f>SUM(K10:K11)</f>
        <v>16669481.066858169</v>
      </c>
      <c r="L12" s="517">
        <f t="shared" ref="L12:O12" si="3">SUM(L10:L11)</f>
        <v>18593902.714017544</v>
      </c>
      <c r="M12" s="517">
        <f t="shared" si="3"/>
        <v>20868262.402221136</v>
      </c>
      <c r="N12" s="517">
        <f t="shared" si="3"/>
        <v>22371231.818689428</v>
      </c>
      <c r="O12" s="518">
        <f t="shared" si="3"/>
        <v>23580597.451113388</v>
      </c>
    </row>
    <row r="14" spans="1:15" x14ac:dyDescent="0.2">
      <c r="A14" s="513" t="s">
        <v>27</v>
      </c>
      <c r="B14" s="33" t="s">
        <v>154</v>
      </c>
      <c r="C14" s="226"/>
      <c r="D14" s="226"/>
      <c r="E14" s="34" t="s">
        <v>29</v>
      </c>
      <c r="F14" s="35">
        <v>21</v>
      </c>
      <c r="G14" s="35">
        <f>F14+1</f>
        <v>22</v>
      </c>
      <c r="H14" s="35">
        <f t="shared" ref="H14" si="4">G14+1</f>
        <v>23</v>
      </c>
      <c r="I14" s="35">
        <f t="shared" ref="I14" si="5">H14+1</f>
        <v>24</v>
      </c>
      <c r="J14" s="35">
        <f t="shared" ref="J14" si="6">I14+1</f>
        <v>25</v>
      </c>
      <c r="K14" s="36">
        <f t="shared" ref="K14" si="7">J14+1</f>
        <v>26</v>
      </c>
      <c r="L14" s="36">
        <f t="shared" ref="L14" si="8">K14+1</f>
        <v>27</v>
      </c>
      <c r="M14" s="36">
        <f t="shared" ref="M14" si="9">L14+1</f>
        <v>28</v>
      </c>
      <c r="N14" s="36">
        <f t="shared" ref="N14" si="10">M14+1</f>
        <v>29</v>
      </c>
      <c r="O14" s="36">
        <f t="shared" ref="O14" si="11">N14+1</f>
        <v>30</v>
      </c>
    </row>
    <row r="15" spans="1:15" ht="3" customHeight="1" x14ac:dyDescent="0.2"/>
    <row r="16" spans="1:15" x14ac:dyDescent="0.2">
      <c r="B16" s="1" t="s">
        <v>155</v>
      </c>
      <c r="E16" s="43" t="s">
        <v>33</v>
      </c>
      <c r="F16" s="514"/>
      <c r="G16" s="514"/>
      <c r="H16" s="514"/>
      <c r="I16" s="514"/>
      <c r="J16" s="514"/>
    </row>
    <row r="17" spans="2:10" x14ac:dyDescent="0.2">
      <c r="B17" s="1" t="s">
        <v>156</v>
      </c>
      <c r="E17" s="43" t="s">
        <v>33</v>
      </c>
      <c r="F17" s="514"/>
      <c r="G17" s="514"/>
      <c r="H17" s="514"/>
      <c r="I17" s="514"/>
      <c r="J17" s="5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A5017-387B-4EA8-BABA-3F061F1069F2}">
  <sheetPr>
    <tabColor theme="3" tint="0.749992370372631"/>
  </sheetPr>
  <dimension ref="A1:O61"/>
  <sheetViews>
    <sheetView showGridLines="0" topLeftCell="C28" zoomScale="57" workbookViewId="0">
      <selection activeCell="O33" sqref="O33"/>
    </sheetView>
  </sheetViews>
  <sheetFormatPr baseColWidth="10" defaultColWidth="8.83203125" defaultRowHeight="15" x14ac:dyDescent="0.2"/>
  <cols>
    <col min="1" max="1" width="2.1640625" customWidth="1"/>
    <col min="2" max="2" width="9.33203125" bestFit="1" customWidth="1"/>
    <col min="3" max="3" width="80.5" customWidth="1"/>
    <col min="4" max="5" width="12.5" customWidth="1"/>
    <col min="6" max="15" width="15.5" customWidth="1"/>
  </cols>
  <sheetData>
    <row r="1" spans="1:15" ht="23" x14ac:dyDescent="0.25">
      <c r="A1" s="27" t="str">
        <f>'Cover Page'!$C$3</f>
        <v>Coinbase Global Inc., (NASDAQ: COIN)</v>
      </c>
      <c r="B1" s="1"/>
      <c r="C1" s="1"/>
      <c r="D1" s="1"/>
      <c r="E1" s="1"/>
      <c r="F1" s="28">
        <v>2021</v>
      </c>
      <c r="G1" s="28">
        <f>F1+1</f>
        <v>2022</v>
      </c>
      <c r="H1" s="28">
        <f t="shared" ref="H1:O1" si="0">G1+1</f>
        <v>2023</v>
      </c>
      <c r="I1" s="28">
        <f t="shared" si="0"/>
        <v>2024</v>
      </c>
      <c r="J1" s="28">
        <f t="shared" si="0"/>
        <v>2025</v>
      </c>
      <c r="K1" s="28">
        <f t="shared" si="0"/>
        <v>2026</v>
      </c>
      <c r="L1" s="28">
        <f t="shared" si="0"/>
        <v>2027</v>
      </c>
      <c r="M1" s="28">
        <f t="shared" si="0"/>
        <v>2028</v>
      </c>
      <c r="N1" s="28">
        <f t="shared" si="0"/>
        <v>2029</v>
      </c>
      <c r="O1" s="28">
        <f t="shared" si="0"/>
        <v>2030</v>
      </c>
    </row>
    <row r="2" spans="1:15" x14ac:dyDescent="0.2">
      <c r="A2" s="1" t="s">
        <v>150</v>
      </c>
      <c r="B2" s="1"/>
      <c r="C2" s="1"/>
      <c r="D2" s="1"/>
      <c r="E2" s="1"/>
      <c r="F2" s="29" t="s">
        <v>20</v>
      </c>
      <c r="G2" s="29" t="s">
        <v>20</v>
      </c>
      <c r="H2" s="29" t="s">
        <v>20</v>
      </c>
      <c r="I2" s="29" t="s">
        <v>20</v>
      </c>
      <c r="J2" s="29" t="s">
        <v>20</v>
      </c>
      <c r="K2" s="29" t="s">
        <v>20</v>
      </c>
      <c r="L2" s="29" t="s">
        <v>20</v>
      </c>
      <c r="M2" s="29" t="s">
        <v>20</v>
      </c>
      <c r="N2" s="29" t="s">
        <v>20</v>
      </c>
      <c r="O2" s="29" t="s">
        <v>20</v>
      </c>
    </row>
    <row r="3" spans="1:15" x14ac:dyDescent="0.2">
      <c r="A3" s="1"/>
      <c r="B3" s="1"/>
      <c r="C3" s="1"/>
      <c r="D3" s="1"/>
      <c r="E3" s="1"/>
      <c r="F3" s="29">
        <v>12</v>
      </c>
      <c r="G3" s="29">
        <v>12</v>
      </c>
      <c r="H3" s="29">
        <v>12</v>
      </c>
      <c r="I3" s="29">
        <v>12</v>
      </c>
      <c r="J3" s="29">
        <v>12</v>
      </c>
      <c r="K3" s="29">
        <v>12</v>
      </c>
      <c r="L3" s="29">
        <v>12</v>
      </c>
      <c r="M3" s="29">
        <v>12</v>
      </c>
      <c r="N3" s="29">
        <v>12</v>
      </c>
      <c r="O3" s="29">
        <v>12</v>
      </c>
    </row>
    <row r="4" spans="1:15" x14ac:dyDescent="0.2">
      <c r="A4" s="1"/>
      <c r="B4" s="1"/>
      <c r="C4" s="1"/>
      <c r="D4" s="1"/>
      <c r="E4" s="1"/>
      <c r="F4" s="29">
        <v>365</v>
      </c>
      <c r="G4" s="29">
        <v>365</v>
      </c>
      <c r="H4" s="29">
        <v>365</v>
      </c>
      <c r="I4" s="29">
        <v>366</v>
      </c>
      <c r="J4" s="29">
        <v>365</v>
      </c>
      <c r="K4" s="29">
        <v>365</v>
      </c>
      <c r="L4" s="29">
        <v>365</v>
      </c>
      <c r="M4" s="29">
        <v>366</v>
      </c>
      <c r="N4" s="29">
        <v>365</v>
      </c>
      <c r="O4" s="29">
        <v>365</v>
      </c>
    </row>
    <row r="5" spans="1:15" x14ac:dyDescent="0.2">
      <c r="A5" s="1"/>
      <c r="B5" s="1"/>
      <c r="C5" s="1"/>
      <c r="D5" s="1"/>
      <c r="E5" s="1"/>
      <c r="F5" s="29" t="s">
        <v>24</v>
      </c>
      <c r="G5" s="29" t="s">
        <v>24</v>
      </c>
      <c r="H5" s="29" t="s">
        <v>24</v>
      </c>
      <c r="I5" s="29" t="s">
        <v>24</v>
      </c>
      <c r="J5" s="29" t="s">
        <v>24</v>
      </c>
      <c r="K5" s="29" t="s">
        <v>25</v>
      </c>
      <c r="L5" s="29" t="s">
        <v>25</v>
      </c>
      <c r="M5" s="29" t="s">
        <v>25</v>
      </c>
      <c r="N5" s="29" t="s">
        <v>25</v>
      </c>
      <c r="O5" s="29" t="s">
        <v>25</v>
      </c>
    </row>
    <row r="6" spans="1:15" x14ac:dyDescent="0.2">
      <c r="A6" s="30" t="s">
        <v>26</v>
      </c>
      <c r="B6" s="1"/>
      <c r="C6" s="1"/>
      <c r="D6" s="1"/>
      <c r="E6" s="1"/>
      <c r="F6" s="31">
        <v>44561</v>
      </c>
      <c r="G6" s="32">
        <f>EOMONTH(F6,12)</f>
        <v>44926</v>
      </c>
      <c r="H6" s="32">
        <f t="shared" ref="H6:O6" si="1">EOMONTH(G6,12)</f>
        <v>45291</v>
      </c>
      <c r="I6" s="32">
        <f t="shared" si="1"/>
        <v>45657</v>
      </c>
      <c r="J6" s="32">
        <f t="shared" si="1"/>
        <v>46022</v>
      </c>
      <c r="K6" s="32">
        <f t="shared" si="1"/>
        <v>46387</v>
      </c>
      <c r="L6" s="32">
        <f t="shared" si="1"/>
        <v>46752</v>
      </c>
      <c r="M6" s="32">
        <f t="shared" si="1"/>
        <v>47118</v>
      </c>
      <c r="N6" s="32">
        <f t="shared" si="1"/>
        <v>47483</v>
      </c>
      <c r="O6" s="32">
        <f t="shared" si="1"/>
        <v>47848</v>
      </c>
    </row>
    <row r="8" spans="1:15" x14ac:dyDescent="0.2">
      <c r="A8" s="609" t="s">
        <v>27</v>
      </c>
      <c r="B8" s="611" t="s">
        <v>180</v>
      </c>
      <c r="C8" s="610"/>
      <c r="D8" s="610"/>
      <c r="E8" s="610"/>
      <c r="F8" s="610"/>
      <c r="G8" s="610"/>
      <c r="H8" s="610"/>
      <c r="I8" s="610"/>
      <c r="J8" s="610"/>
      <c r="K8" s="610"/>
      <c r="L8" s="610"/>
      <c r="M8" s="610"/>
      <c r="N8" s="610"/>
      <c r="O8" s="610"/>
    </row>
    <row r="9" spans="1:15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2">
      <c r="B10" s="613" t="s">
        <v>181</v>
      </c>
      <c r="C10" s="612"/>
      <c r="D10" s="612"/>
      <c r="E10" s="612"/>
      <c r="F10" s="612"/>
      <c r="G10" s="612"/>
      <c r="H10" s="612"/>
      <c r="I10" s="612"/>
      <c r="J10" s="612"/>
      <c r="K10" s="612"/>
      <c r="L10" s="612"/>
      <c r="M10" s="612"/>
      <c r="N10" s="612"/>
      <c r="O10" s="612"/>
    </row>
    <row r="11" spans="1:15" x14ac:dyDescent="0.2">
      <c r="B11" s="49" t="s">
        <v>182</v>
      </c>
      <c r="C11" s="49"/>
      <c r="D11" s="565">
        <v>4.3499999999999997E-2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">
      <c r="B12" s="49" t="s">
        <v>183</v>
      </c>
      <c r="C12" s="49"/>
      <c r="D12" s="566">
        <f>O39</f>
        <v>2.7506393984895077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">
      <c r="B13" s="49" t="s">
        <v>184</v>
      </c>
      <c r="C13" s="49"/>
      <c r="D13" s="565">
        <f>O47</f>
        <v>5.5134433509384455E-2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2">
      <c r="B14" s="49" t="s">
        <v>185</v>
      </c>
      <c r="C14" s="49"/>
      <c r="D14" s="565">
        <f>O55</f>
        <v>1.3034433509384472E-2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">
      <c r="B15" s="567" t="s">
        <v>180</v>
      </c>
      <c r="C15" s="567"/>
      <c r="D15" s="568">
        <f>D11+D12*D13+D14</f>
        <v>0.20818937853369748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2:15" x14ac:dyDescent="0.2">
      <c r="B17" s="615" t="s">
        <v>183</v>
      </c>
      <c r="C17" s="614"/>
      <c r="D17" s="614"/>
      <c r="E17" s="614"/>
      <c r="F17" s="614"/>
      <c r="G17" s="614"/>
      <c r="H17" s="614"/>
      <c r="I17" s="614"/>
      <c r="J17" s="614"/>
      <c r="K17" s="614"/>
      <c r="L17" s="614"/>
      <c r="M17" s="614"/>
      <c r="N17" s="614"/>
      <c r="O17" s="614"/>
    </row>
    <row r="18" spans="2:15" x14ac:dyDescent="0.2">
      <c r="B18" s="569">
        <v>2</v>
      </c>
      <c r="C18" s="569">
        <v>6</v>
      </c>
      <c r="D18" s="569"/>
      <c r="E18" s="569"/>
      <c r="F18" s="29">
        <v>161</v>
      </c>
      <c r="G18" s="29">
        <v>155</v>
      </c>
      <c r="H18" s="29"/>
      <c r="I18" s="29"/>
      <c r="J18" s="29"/>
      <c r="K18" s="29"/>
      <c r="L18" s="29">
        <v>16</v>
      </c>
      <c r="M18" s="29">
        <v>8</v>
      </c>
      <c r="N18" s="29">
        <v>9</v>
      </c>
      <c r="O18" s="29">
        <v>9</v>
      </c>
    </row>
    <row r="19" spans="2:15" x14ac:dyDescent="0.2">
      <c r="B19" s="613" t="s">
        <v>186</v>
      </c>
      <c r="C19" s="616"/>
      <c r="D19" s="612"/>
      <c r="E19" s="612"/>
      <c r="F19" s="612"/>
      <c r="G19" s="612"/>
      <c r="H19" s="612"/>
      <c r="I19" s="612"/>
      <c r="J19" s="612"/>
      <c r="K19" s="612"/>
      <c r="L19" s="612"/>
      <c r="M19" s="612"/>
      <c r="N19" s="612"/>
      <c r="O19" s="612"/>
    </row>
    <row r="20" spans="2:15" x14ac:dyDescent="0.2">
      <c r="B20" s="570"/>
      <c r="C20" s="571"/>
      <c r="D20" s="570"/>
      <c r="E20" s="570"/>
      <c r="F20" s="570"/>
      <c r="G20" s="570"/>
      <c r="H20" s="570"/>
      <c r="I20" s="570"/>
      <c r="J20" s="570"/>
      <c r="K20" s="570"/>
      <c r="L20" s="570"/>
      <c r="M20" s="570"/>
      <c r="N20" s="570"/>
      <c r="O20" s="570"/>
    </row>
    <row r="21" spans="2:15" x14ac:dyDescent="0.2">
      <c r="B21" s="632"/>
      <c r="C21" s="632"/>
      <c r="D21" s="632"/>
      <c r="E21" s="632"/>
      <c r="F21" s="633" t="s">
        <v>187</v>
      </c>
      <c r="G21" s="633" t="s">
        <v>188</v>
      </c>
      <c r="H21" s="634" t="s">
        <v>189</v>
      </c>
      <c r="I21" s="634" t="s">
        <v>190</v>
      </c>
      <c r="J21" s="634" t="s">
        <v>191</v>
      </c>
      <c r="K21" s="634" t="s">
        <v>192</v>
      </c>
      <c r="L21" s="633" t="s">
        <v>193</v>
      </c>
      <c r="M21" s="633" t="s">
        <v>194</v>
      </c>
      <c r="N21" s="633" t="s">
        <v>195</v>
      </c>
      <c r="O21" s="633" t="s">
        <v>196</v>
      </c>
    </row>
    <row r="22" spans="2:15" x14ac:dyDescent="0.2">
      <c r="B22" s="632" t="s">
        <v>197</v>
      </c>
      <c r="C22" s="632" t="s">
        <v>198</v>
      </c>
      <c r="D22" s="632"/>
      <c r="E22" s="632" t="s">
        <v>199</v>
      </c>
      <c r="F22" s="633" t="s">
        <v>200</v>
      </c>
      <c r="G22" s="633" t="s">
        <v>190</v>
      </c>
      <c r="H22" s="634" t="s">
        <v>190</v>
      </c>
      <c r="I22" s="634" t="s">
        <v>201</v>
      </c>
      <c r="J22" s="634" t="s">
        <v>202</v>
      </c>
      <c r="K22" s="634" t="s">
        <v>190</v>
      </c>
      <c r="L22" s="633" t="s">
        <v>203</v>
      </c>
      <c r="M22" s="633" t="s">
        <v>204</v>
      </c>
      <c r="N22" s="633" t="s">
        <v>205</v>
      </c>
      <c r="O22" s="633" t="s">
        <v>200</v>
      </c>
    </row>
    <row r="23" spans="2:15" x14ac:dyDescent="0.2">
      <c r="B23" s="572" t="str">
        <f>_xlfn.XLOOKUP($E23,'Trading Comps_Raw'!$B$20:$B$26,'Trading Comps_Raw'!$I$20:$I$26)</f>
        <v>United States</v>
      </c>
      <c r="C23" s="572" t="str">
        <f>_xlfn.XLOOKUP($E23,'Trading Comps_Raw'!$B$20:$B$26,'Trading Comps_Raw'!$E$20:$E$26)</f>
        <v>Gemini Space Station, Inc.</v>
      </c>
      <c r="D23" s="572"/>
      <c r="E23" s="573" t="s">
        <v>206</v>
      </c>
      <c r="F23" s="574">
        <v>0.80987929477174603</v>
      </c>
      <c r="G23" s="574">
        <f>_xlfn.XLOOKUP($E23,'Trading Comps_Raw'!$B$20:$B$26,'Trading Comps_Raw'!$EC$20:$EC$26)</f>
        <v>654.02599999999995</v>
      </c>
      <c r="H23" s="575"/>
      <c r="I23" s="575"/>
      <c r="J23" s="575"/>
      <c r="K23" s="575"/>
      <c r="L23" s="574">
        <f>_xlfn.XLOOKUP($E23,'Trading Comps_Raw'!$B$20:$B$26,'Trading Comps_Raw'!$S$20:$S$26)</f>
        <v>519.15456527999993</v>
      </c>
      <c r="M23" s="576">
        <f t="shared" ref="M23:M29" si="2">G23/L23</f>
        <v>1.2597905204729514</v>
      </c>
      <c r="N23" s="577">
        <f>Damodaran!$H$59</f>
        <v>0.25</v>
      </c>
      <c r="O23" s="578">
        <f t="shared" ref="O23:O29" si="3">F23/(1+M23*(1-N23))</f>
        <v>0.4164240200523523</v>
      </c>
    </row>
    <row r="24" spans="2:15" x14ac:dyDescent="0.2">
      <c r="B24" s="572" t="str">
        <f>_xlfn.XLOOKUP($E24,'Trading Comps_Raw'!$B$20:$B$26,'Trading Comps_Raw'!$I$20:$I$26)</f>
        <v>Cayman Islands</v>
      </c>
      <c r="C24" s="572" t="str">
        <f>_xlfn.XLOOKUP($E24,'Trading Comps_Raw'!$B$20:$B$26,'Trading Comps_Raw'!$E$20:$E$26)</f>
        <v>Bullish</v>
      </c>
      <c r="D24" s="572"/>
      <c r="E24" s="573" t="s">
        <v>207</v>
      </c>
      <c r="F24" s="574">
        <v>-2.4793146094240002</v>
      </c>
      <c r="G24" s="574">
        <f>_xlfn.XLOOKUP($E24,'Trading Comps_Raw'!$B$20:$B$26,'Trading Comps_Raw'!$EC$20:$EC$26)</f>
        <v>581.08500000000004</v>
      </c>
      <c r="H24" s="575"/>
      <c r="I24" s="575"/>
      <c r="J24" s="575"/>
      <c r="K24" s="575"/>
      <c r="L24" s="574">
        <f>_xlfn.XLOOKUP($E24,'Trading Comps_Raw'!$B$20:$B$26,'Trading Comps_Raw'!$S$20:$S$26)</f>
        <v>5370.2978918399995</v>
      </c>
      <c r="M24" s="576">
        <f t="shared" si="2"/>
        <v>0.10820349479736321</v>
      </c>
      <c r="N24" s="577">
        <f>Damodaran!$H$59</f>
        <v>0.25</v>
      </c>
      <c r="O24" s="578">
        <f t="shared" si="3"/>
        <v>-2.2932142613741244</v>
      </c>
    </row>
    <row r="25" spans="2:15" x14ac:dyDescent="0.2">
      <c r="B25" s="572" t="str">
        <f>_xlfn.XLOOKUP($E25,'Trading Comps_Raw'!$B$20:$B$26,'Trading Comps_Raw'!$I$20:$I$26)</f>
        <v>United States</v>
      </c>
      <c r="C25" s="572" t="str">
        <f>_xlfn.XLOOKUP($E25,'Trading Comps_Raw'!$B$20:$B$26,'Trading Comps_Raw'!$E$20:$E$26)</f>
        <v>Circle Internet Group, Inc.</v>
      </c>
      <c r="D25" s="572"/>
      <c r="E25" s="573" t="s">
        <v>208</v>
      </c>
      <c r="F25" s="574">
        <v>-3.19502656644275</v>
      </c>
      <c r="G25" s="574">
        <f>_xlfn.XLOOKUP($E25,'Trading Comps_Raw'!$B$20:$B$26,'Trading Comps_Raw'!$EC$20:$EC$26)</f>
        <v>51.484999999999999</v>
      </c>
      <c r="H25" s="575"/>
      <c r="I25" s="575"/>
      <c r="J25" s="575"/>
      <c r="K25" s="575"/>
      <c r="L25" s="574">
        <f>_xlfn.XLOOKUP($E25,'Trading Comps_Raw'!$B$20:$B$26,'Trading Comps_Raw'!$S$20:$S$26)</f>
        <v>23101.01324846</v>
      </c>
      <c r="M25" s="576">
        <f t="shared" si="2"/>
        <v>2.2286901204834459E-3</v>
      </c>
      <c r="N25" s="577">
        <f>Damodaran!$H$59</f>
        <v>0.25</v>
      </c>
      <c r="O25" s="578">
        <f t="shared" si="3"/>
        <v>-3.1896949352505883</v>
      </c>
    </row>
    <row r="26" spans="2:15" x14ac:dyDescent="0.2">
      <c r="B26" s="572" t="str">
        <f>_xlfn.XLOOKUP($E26,'Trading Comps_Raw'!$B$20:$B$26,'Trading Comps_Raw'!$I$20:$I$26)</f>
        <v>United States</v>
      </c>
      <c r="C26" s="572" t="str">
        <f>_xlfn.XLOOKUP($E26,'Trading Comps_Raw'!$B$20:$B$26,'Trading Comps_Raw'!$E$20:$E$26)</f>
        <v>Robinhood Markets, Inc.</v>
      </c>
      <c r="D26" s="572"/>
      <c r="E26" s="573" t="s">
        <v>209</v>
      </c>
      <c r="F26" s="574">
        <v>4.2087776734161304</v>
      </c>
      <c r="G26" s="574">
        <f>_xlfn.XLOOKUP($E26,'Trading Comps_Raw'!$B$20:$B$26,'Trading Comps_Raw'!$EC$20:$EC$26)</f>
        <v>12449</v>
      </c>
      <c r="H26" s="575"/>
      <c r="I26" s="575"/>
      <c r="J26" s="575"/>
      <c r="K26" s="575"/>
      <c r="L26" s="574">
        <f>_xlfn.XLOOKUP($E26,'Trading Comps_Raw'!$B$20:$B$26,'Trading Comps_Raw'!$S$20:$S$26)</f>
        <v>62391.371426999998</v>
      </c>
      <c r="M26" s="576">
        <f t="shared" si="2"/>
        <v>0.19953079593010306</v>
      </c>
      <c r="N26" s="577">
        <f>Damodaran!$H$59</f>
        <v>0.25</v>
      </c>
      <c r="O26" s="578">
        <f t="shared" si="3"/>
        <v>3.6609269258922161</v>
      </c>
    </row>
    <row r="27" spans="2:15" x14ac:dyDescent="0.2">
      <c r="B27" s="572" t="str">
        <f>_xlfn.XLOOKUP($E27,'Trading Comps_Raw'!$B$20:$B$26,'Trading Comps_Raw'!$I$20:$I$26)</f>
        <v>United States</v>
      </c>
      <c r="C27" s="572" t="str">
        <f>_xlfn.XLOOKUP($E27,'Trading Comps_Raw'!$B$20:$B$26,'Trading Comps_Raw'!$E$20:$E$26)</f>
        <v>Galaxy Digital Inc.</v>
      </c>
      <c r="D27" s="572"/>
      <c r="E27" s="573" t="s">
        <v>210</v>
      </c>
      <c r="F27" s="574">
        <v>3.7874678985251302</v>
      </c>
      <c r="G27" s="574">
        <f>_xlfn.XLOOKUP($E27,'Trading Comps_Raw'!$B$20:$B$26,'Trading Comps_Raw'!$EC$20:$EC$26)</f>
        <v>5343.4279999999999</v>
      </c>
      <c r="H27" s="575"/>
      <c r="I27" s="575"/>
      <c r="J27" s="575"/>
      <c r="K27" s="575"/>
      <c r="L27" s="574">
        <f>_xlfn.XLOOKUP($E27,'Trading Comps_Raw'!$B$20:$B$26,'Trading Comps_Raw'!$S$20:$S$26)</f>
        <v>3555.33464925</v>
      </c>
      <c r="M27" s="576">
        <f t="shared" si="2"/>
        <v>1.5029325020437103</v>
      </c>
      <c r="N27" s="577">
        <f>Damodaran!$H$59</f>
        <v>0.25</v>
      </c>
      <c r="O27" s="578">
        <f t="shared" si="3"/>
        <v>1.7804950209690702</v>
      </c>
    </row>
    <row r="28" spans="2:15" x14ac:dyDescent="0.2">
      <c r="B28" s="572" t="str">
        <f>_xlfn.XLOOKUP($E28,'Trading Comps_Raw'!$B$20:$B$26,'Trading Comps_Raw'!$I$20:$I$26)</f>
        <v>Israel</v>
      </c>
      <c r="C28" s="572" t="str">
        <f>_xlfn.XLOOKUP($E28,'Trading Comps_Raw'!$B$20:$B$26,'Trading Comps_Raw'!$E$20:$E$26)</f>
        <v>eToro Group Ltd.</v>
      </c>
      <c r="D28" s="572"/>
      <c r="E28" s="573" t="s">
        <v>211</v>
      </c>
      <c r="F28" s="574">
        <v>-0.15111892293836701</v>
      </c>
      <c r="G28" s="574">
        <f>_xlfn.XLOOKUP($E28,'Trading Comps_Raw'!$B$20:$B$26,'Trading Comps_Raw'!$EC$20:$EC$26)</f>
        <v>54.463000000000001</v>
      </c>
      <c r="H28" s="575"/>
      <c r="I28" s="575"/>
      <c r="J28" s="575"/>
      <c r="K28" s="575"/>
      <c r="L28" s="574">
        <f>_xlfn.XLOOKUP($E28,'Trading Comps_Raw'!$B$20:$B$26,'Trading Comps_Raw'!$S$20:$S$26)</f>
        <v>2488.0282026600003</v>
      </c>
      <c r="M28" s="576">
        <f t="shared" ref="M28" si="4">G28/L28</f>
        <v>2.1890025178079784E-2</v>
      </c>
      <c r="N28" s="577">
        <f>Damodaran!$H$59</f>
        <v>0.25</v>
      </c>
      <c r="O28" s="578">
        <f t="shared" ref="O28" si="5">F28/(1+M28*(1-N28))</f>
        <v>-0.14867799908088666</v>
      </c>
    </row>
    <row r="29" spans="2:15" x14ac:dyDescent="0.2">
      <c r="B29" s="572" t="str">
        <f>_xlfn.XLOOKUP($E29,'Trading Comps_Raw'!$B$20:$B$26,'Trading Comps_Raw'!$I$20:$I$26)</f>
        <v>United States</v>
      </c>
      <c r="C29" s="572" t="str">
        <f>_xlfn.XLOOKUP($E29,'Trading Comps_Raw'!$B$20:$B$26,'Trading Comps_Raw'!$E$20:$E$26)</f>
        <v>Interactive Brokers Group, Inc.</v>
      </c>
      <c r="D29" s="572"/>
      <c r="E29" s="573" t="s">
        <v>212</v>
      </c>
      <c r="F29" s="574">
        <v>1.71740070060029</v>
      </c>
      <c r="G29" s="574">
        <f>_xlfn.XLOOKUP($E29,'Trading Comps_Raw'!$B$20:$B$26,'Trading Comps_Raw'!$EC$20:$EC$26)</f>
        <v>25453</v>
      </c>
      <c r="H29" s="575"/>
      <c r="I29" s="575"/>
      <c r="J29" s="575"/>
      <c r="K29" s="575"/>
      <c r="L29" s="574">
        <f>_xlfn.XLOOKUP($E29,'Trading Comps_Raw'!$B$20:$B$26,'Trading Comps_Raw'!$S$20:$S$26)</f>
        <v>29887.523940389998</v>
      </c>
      <c r="M29" s="576">
        <f t="shared" si="2"/>
        <v>0.85162625217015109</v>
      </c>
      <c r="N29" s="577">
        <f>Damodaran!$H$59</f>
        <v>0.25</v>
      </c>
      <c r="O29" s="578">
        <f t="shared" si="3"/>
        <v>1.048013709723939</v>
      </c>
    </row>
    <row r="30" spans="2:15" x14ac:dyDescent="0.2">
      <c r="B30" s="624" t="s">
        <v>213</v>
      </c>
      <c r="C30" s="624"/>
      <c r="D30" s="624"/>
      <c r="E30" s="625"/>
      <c r="F30" s="626">
        <f>AVERAGE(F23:F29)</f>
        <v>0.67115220978688295</v>
      </c>
      <c r="G30" s="626"/>
      <c r="H30" s="627"/>
      <c r="I30" s="628"/>
      <c r="J30" s="627"/>
      <c r="K30" s="628"/>
      <c r="L30" s="629"/>
      <c r="M30" s="630">
        <f>AVERAGE(M23:M29)</f>
        <v>0.56374318295897752</v>
      </c>
      <c r="N30" s="631"/>
      <c r="O30" s="626">
        <f>AVERAGE(O23:O29)</f>
        <v>0.18203892584742548</v>
      </c>
    </row>
    <row r="31" spans="2:15" x14ac:dyDescent="0.2">
      <c r="B31" s="624" t="s">
        <v>214</v>
      </c>
      <c r="C31" s="624"/>
      <c r="D31" s="624"/>
      <c r="E31" s="625"/>
      <c r="F31" s="626">
        <f>MEDIAN(F23:F29)</f>
        <v>0.80987929477174603</v>
      </c>
      <c r="G31" s="626"/>
      <c r="H31" s="627"/>
      <c r="I31" s="628"/>
      <c r="J31" s="627"/>
      <c r="K31" s="628"/>
      <c r="L31" s="629"/>
      <c r="M31" s="630">
        <f>MEDIAN(M23:M29)</f>
        <v>0.19953079593010306</v>
      </c>
      <c r="N31" s="631"/>
      <c r="O31" s="626">
        <f>MEDIAN(O23:O29)</f>
        <v>0.4164240200523523</v>
      </c>
    </row>
    <row r="32" spans="2:15" x14ac:dyDescent="0.2">
      <c r="B32" s="579"/>
      <c r="C32" s="579"/>
      <c r="D32" s="579"/>
      <c r="E32" s="579"/>
      <c r="F32" s="580"/>
      <c r="G32" s="580"/>
      <c r="H32" s="581"/>
      <c r="I32" s="582"/>
      <c r="J32" s="581"/>
      <c r="K32" s="582"/>
      <c r="L32" s="581"/>
      <c r="M32" s="582"/>
      <c r="N32" s="583"/>
      <c r="O32" s="584"/>
    </row>
    <row r="33" spans="2:15" x14ac:dyDescent="0.2">
      <c r="B33" s="585" t="str">
        <f>_xlfn.XLOOKUP($E33,'Trading Comps_Raw'!$B$20:$B$27,'Trading Comps_Raw'!$I$20:$I$27)</f>
        <v>United States</v>
      </c>
      <c r="C33" s="586" t="str">
        <f>_xlfn.XLOOKUP($E33,'Trading Comps_Raw'!$B$20:$B$27,'Trading Comps_Raw'!$E$20:$E$27)</f>
        <v>Coinbase Global, Inc.</v>
      </c>
      <c r="D33" s="586"/>
      <c r="E33" s="587" t="s">
        <v>215</v>
      </c>
      <c r="F33" s="588">
        <f>_xlfn.XLOOKUP(E$33,'Trading Comps_Raw'!$B$20:$B$27,'Trading Comps_Raw'!$O$20:$O$27)</f>
        <v>5.0225377148025698</v>
      </c>
      <c r="G33" s="589">
        <f>'Trading Comps_Raw'!EC27</f>
        <v>7857.9889999999996</v>
      </c>
      <c r="H33" s="590">
        <f>D4</f>
        <v>0</v>
      </c>
      <c r="I33" s="591">
        <v>2</v>
      </c>
      <c r="J33" s="589">
        <f>'3FS'!I36/1000</f>
        <v>-85.412999999999997</v>
      </c>
      <c r="K33" s="589">
        <f>PV(H33,I33,J33,-G33)</f>
        <v>8028.8149999999996</v>
      </c>
      <c r="L33" s="589">
        <f>'Trading Comps_Raw'!S27</f>
        <v>46110.165259090005</v>
      </c>
      <c r="M33" s="592">
        <f>K33/L33</f>
        <v>0.17412245119675049</v>
      </c>
      <c r="N33" s="593">
        <v>0.25</v>
      </c>
      <c r="O33" s="594">
        <f>F33/(1+M33*(1-N33))</f>
        <v>4.4423969324961972</v>
      </c>
    </row>
    <row r="34" spans="2:15" x14ac:dyDescent="0.2">
      <c r="B34" s="595"/>
      <c r="C34" s="595"/>
      <c r="D34" s="595"/>
      <c r="E34" s="595"/>
      <c r="F34" s="596"/>
      <c r="G34" s="595"/>
      <c r="H34" s="597"/>
      <c r="I34" s="598"/>
      <c r="J34" s="597"/>
      <c r="K34" s="598"/>
      <c r="L34" s="597"/>
      <c r="M34" s="598"/>
      <c r="N34" s="599">
        <f>N65</f>
        <v>0</v>
      </c>
      <c r="O34" s="600"/>
    </row>
    <row r="35" spans="2:15" x14ac:dyDescent="0.2">
      <c r="B35" s="618"/>
      <c r="C35" s="618"/>
      <c r="D35" s="618"/>
      <c r="E35" s="619"/>
      <c r="F35" s="619"/>
      <c r="G35" s="619"/>
      <c r="H35" s="619"/>
      <c r="I35" s="619"/>
      <c r="J35" s="619"/>
      <c r="K35" s="617" t="s">
        <v>216</v>
      </c>
      <c r="L35" s="617" t="s">
        <v>196</v>
      </c>
      <c r="M35" s="617" t="s">
        <v>194</v>
      </c>
      <c r="N35" s="617" t="s">
        <v>217</v>
      </c>
      <c r="O35" s="617" t="s">
        <v>187</v>
      </c>
    </row>
    <row r="36" spans="2:15" x14ac:dyDescent="0.2">
      <c r="B36" s="624" t="s">
        <v>218</v>
      </c>
      <c r="C36" s="618"/>
      <c r="D36" s="618"/>
      <c r="E36" s="619"/>
      <c r="F36" s="619"/>
      <c r="G36" s="619"/>
      <c r="H36" s="619"/>
      <c r="I36" s="619"/>
      <c r="J36" s="619"/>
      <c r="K36" s="617" t="s">
        <v>219</v>
      </c>
      <c r="L36" s="617" t="s">
        <v>200</v>
      </c>
      <c r="M36" s="617" t="s">
        <v>204</v>
      </c>
      <c r="N36" s="617" t="s">
        <v>219</v>
      </c>
      <c r="O36" s="617" t="s">
        <v>200</v>
      </c>
    </row>
    <row r="37" spans="2:15" x14ac:dyDescent="0.2">
      <c r="B37" s="601" t="s">
        <v>220</v>
      </c>
      <c r="C37" s="579"/>
      <c r="D37" s="579"/>
      <c r="E37" s="37"/>
      <c r="F37" s="602"/>
      <c r="G37" s="1"/>
      <c r="H37" s="1"/>
      <c r="I37" s="1"/>
      <c r="J37" s="1"/>
      <c r="K37" s="577">
        <v>0.5</v>
      </c>
      <c r="L37" s="578">
        <f>O33</f>
        <v>4.4423969324961972</v>
      </c>
      <c r="M37" s="603">
        <f>M33</f>
        <v>0.17412245119675049</v>
      </c>
      <c r="N37" s="604">
        <f>N33</f>
        <v>0.25</v>
      </c>
      <c r="O37" s="605">
        <f>L37*(1+M37*(1-N37))</f>
        <v>5.0225377148025689</v>
      </c>
    </row>
    <row r="38" spans="2:15" x14ac:dyDescent="0.2">
      <c r="B38" s="601" t="s">
        <v>221</v>
      </c>
      <c r="C38" s="579"/>
      <c r="D38" s="579"/>
      <c r="E38" s="37"/>
      <c r="F38" s="602"/>
      <c r="G38" s="1"/>
      <c r="H38" s="1"/>
      <c r="I38" s="1"/>
      <c r="J38" s="1"/>
      <c r="K38" s="577">
        <v>0.5</v>
      </c>
      <c r="L38" s="578">
        <f>O31</f>
        <v>0.4164240200523523</v>
      </c>
      <c r="M38" s="603">
        <f>M31</f>
        <v>0.19953079593010306</v>
      </c>
      <c r="N38" s="604">
        <f>N29</f>
        <v>0.25</v>
      </c>
      <c r="O38" s="605">
        <f>L38*(1+M38*(1-N38))</f>
        <v>0.47874108217644656</v>
      </c>
    </row>
    <row r="39" spans="2:15" x14ac:dyDescent="0.2">
      <c r="B39" s="623" t="s">
        <v>183</v>
      </c>
      <c r="C39" s="620"/>
      <c r="D39" s="620"/>
      <c r="E39" s="620"/>
      <c r="F39" s="620"/>
      <c r="G39" s="620"/>
      <c r="H39" s="620"/>
      <c r="I39" s="620"/>
      <c r="J39" s="620"/>
      <c r="K39" s="621"/>
      <c r="L39" s="621"/>
      <c r="M39" s="621"/>
      <c r="N39" s="621"/>
      <c r="O39" s="622">
        <f>SUMPRODUCT(O37:O38,K37:K38)</f>
        <v>2.7506393984895077</v>
      </c>
    </row>
    <row r="40" spans="2:15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x14ac:dyDescent="0.2">
      <c r="B41" s="615" t="s">
        <v>222</v>
      </c>
      <c r="C41" s="614"/>
      <c r="D41" s="614"/>
      <c r="E41" s="614"/>
      <c r="F41" s="614"/>
      <c r="G41" s="614"/>
      <c r="H41" s="614"/>
      <c r="I41" s="614"/>
      <c r="J41" s="614"/>
      <c r="K41" s="614"/>
      <c r="L41" s="614"/>
      <c r="M41" s="614"/>
      <c r="N41" s="614"/>
      <c r="O41" s="614"/>
    </row>
    <row r="42" spans="2:15" x14ac:dyDescent="0.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x14ac:dyDescent="0.2">
      <c r="B43" s="624"/>
      <c r="C43" s="624"/>
      <c r="D43" s="624"/>
      <c r="E43" s="625"/>
      <c r="F43" s="625"/>
      <c r="G43" s="625"/>
      <c r="H43" s="625"/>
      <c r="I43" s="625"/>
      <c r="J43" s="625"/>
      <c r="K43" s="633"/>
      <c r="L43" s="633"/>
      <c r="M43" s="633" t="s">
        <v>223</v>
      </c>
      <c r="N43" s="633" t="s">
        <v>216</v>
      </c>
      <c r="O43" s="633" t="s">
        <v>224</v>
      </c>
    </row>
    <row r="44" spans="2:15" x14ac:dyDescent="0.2">
      <c r="B44" s="624" t="s">
        <v>225</v>
      </c>
      <c r="C44" s="624"/>
      <c r="D44" s="624"/>
      <c r="E44" s="625"/>
      <c r="F44" s="625"/>
      <c r="G44" s="625"/>
      <c r="H44" s="625"/>
      <c r="I44" s="625"/>
      <c r="J44" s="625"/>
      <c r="K44" s="633"/>
      <c r="L44" s="633"/>
      <c r="M44" s="635" t="s">
        <v>226</v>
      </c>
      <c r="N44" s="633" t="s">
        <v>219</v>
      </c>
      <c r="O44" s="633" t="s">
        <v>219</v>
      </c>
    </row>
    <row r="45" spans="2:15" x14ac:dyDescent="0.2">
      <c r="B45" s="601" t="s">
        <v>227</v>
      </c>
      <c r="C45" s="579"/>
      <c r="D45" s="579"/>
      <c r="E45" s="37"/>
      <c r="F45" s="602"/>
      <c r="G45" s="1"/>
      <c r="H45" s="1"/>
      <c r="I45" s="1"/>
      <c r="J45" s="1"/>
      <c r="K45" s="577"/>
      <c r="L45" s="1"/>
      <c r="M45" s="606">
        <v>5.46</v>
      </c>
      <c r="N45" s="607">
        <f>M45/$M$47</f>
        <v>0.83231707317073167</v>
      </c>
      <c r="O45" s="608">
        <f>Damodaran!F59</f>
        <v>4.6132886484628086E-2</v>
      </c>
    </row>
    <row r="46" spans="2:15" x14ac:dyDescent="0.2">
      <c r="B46" s="601" t="s">
        <v>228</v>
      </c>
      <c r="C46" s="579"/>
      <c r="D46" s="579"/>
      <c r="E46" s="37"/>
      <c r="F46" s="602"/>
      <c r="G46" s="1"/>
      <c r="H46" s="1"/>
      <c r="I46" s="1"/>
      <c r="J46" s="1"/>
      <c r="K46" s="577"/>
      <c r="L46" s="1"/>
      <c r="M46" s="606">
        <v>1.1000000000000001</v>
      </c>
      <c r="N46" s="607">
        <f>M46/$M$47</f>
        <v>0.1676829268292683</v>
      </c>
      <c r="O46" s="608">
        <f>AVERAGE(Damodaran!F58,Damodaran!F60:F214)</f>
        <v>9.9814839650447906E-2</v>
      </c>
    </row>
    <row r="47" spans="2:15" x14ac:dyDescent="0.2">
      <c r="B47" s="623" t="s">
        <v>222</v>
      </c>
      <c r="C47" s="636"/>
      <c r="D47" s="636"/>
      <c r="E47" s="636"/>
      <c r="F47" s="636"/>
      <c r="G47" s="636"/>
      <c r="H47" s="636"/>
      <c r="I47" s="636"/>
      <c r="J47" s="636"/>
      <c r="K47" s="637"/>
      <c r="L47" s="637"/>
      <c r="M47" s="638">
        <f>SUM(M45:M46)</f>
        <v>6.5600000000000005</v>
      </c>
      <c r="N47" s="639">
        <f>SUM(N45:N46)</f>
        <v>1</v>
      </c>
      <c r="O47" s="640">
        <f>SUMPRODUCT(O45:O46,N45:N46)</f>
        <v>5.5134433509384455E-2</v>
      </c>
    </row>
    <row r="48" spans="2:15" x14ac:dyDescent="0.2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x14ac:dyDescent="0.2">
      <c r="B49" s="615" t="s">
        <v>185</v>
      </c>
      <c r="C49" s="614"/>
      <c r="D49" s="614"/>
      <c r="E49" s="614"/>
      <c r="F49" s="614"/>
      <c r="G49" s="614"/>
      <c r="H49" s="614"/>
      <c r="I49" s="614"/>
      <c r="J49" s="614"/>
      <c r="K49" s="614"/>
      <c r="L49" s="614"/>
      <c r="M49" s="614"/>
      <c r="N49" s="614"/>
      <c r="O49" s="614"/>
    </row>
    <row r="50" spans="2:15" x14ac:dyDescent="0.2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x14ac:dyDescent="0.2">
      <c r="B51" s="624"/>
      <c r="C51" s="624"/>
      <c r="D51" s="624"/>
      <c r="E51" s="625"/>
      <c r="F51" s="625"/>
      <c r="G51" s="625"/>
      <c r="H51" s="625"/>
      <c r="I51" s="625"/>
      <c r="J51" s="625"/>
      <c r="K51" s="633"/>
      <c r="L51" s="633"/>
      <c r="M51" s="633" t="s">
        <v>223</v>
      </c>
      <c r="N51" s="633" t="s">
        <v>216</v>
      </c>
      <c r="O51" s="633" t="s">
        <v>229</v>
      </c>
    </row>
    <row r="52" spans="2:15" x14ac:dyDescent="0.2">
      <c r="B52" s="624" t="s">
        <v>197</v>
      </c>
      <c r="C52" s="624"/>
      <c r="D52" s="624"/>
      <c r="E52" s="625"/>
      <c r="F52" s="625"/>
      <c r="G52" s="625"/>
      <c r="H52" s="625"/>
      <c r="I52" s="625"/>
      <c r="J52" s="625"/>
      <c r="K52" s="633"/>
      <c r="L52" s="633"/>
      <c r="M52" s="635" t="s">
        <v>230</v>
      </c>
      <c r="N52" s="633" t="s">
        <v>219</v>
      </c>
      <c r="O52" s="633" t="s">
        <v>219</v>
      </c>
    </row>
    <row r="53" spans="2:15" x14ac:dyDescent="0.2">
      <c r="B53" s="601" t="s">
        <v>227</v>
      </c>
      <c r="C53" s="579"/>
      <c r="D53" s="579"/>
      <c r="E53" s="37"/>
      <c r="F53" s="602"/>
      <c r="G53" s="1"/>
      <c r="H53" s="1"/>
      <c r="I53" s="1"/>
      <c r="J53" s="1"/>
      <c r="K53" s="577"/>
      <c r="L53" s="1"/>
      <c r="M53" s="606">
        <f>M45</f>
        <v>5.46</v>
      </c>
      <c r="N53" s="607">
        <f>N45</f>
        <v>0.83231707317073167</v>
      </c>
      <c r="O53" s="608">
        <f>Damodaran!G59</f>
        <v>4.0328864846280845E-3</v>
      </c>
    </row>
    <row r="54" spans="2:15" x14ac:dyDescent="0.2">
      <c r="B54" s="601" t="s">
        <v>228</v>
      </c>
      <c r="C54" s="579"/>
      <c r="D54" s="579"/>
      <c r="E54" s="37"/>
      <c r="F54" s="602"/>
      <c r="G54" s="1"/>
      <c r="H54" s="1"/>
      <c r="I54" s="1"/>
      <c r="J54" s="1"/>
      <c r="K54" s="577"/>
      <c r="L54" s="1"/>
      <c r="M54" s="606">
        <f>M46</f>
        <v>1.1000000000000001</v>
      </c>
      <c r="N54" s="607">
        <f>N46</f>
        <v>0.1676829268292683</v>
      </c>
      <c r="O54" s="608">
        <f>AVERAGE(Damodaran!G58,Damodaran!G60:G214)</f>
        <v>5.7714839650447991E-2</v>
      </c>
    </row>
    <row r="55" spans="2:15" x14ac:dyDescent="0.2">
      <c r="B55" s="623" t="s">
        <v>185</v>
      </c>
      <c r="C55" s="636"/>
      <c r="D55" s="636"/>
      <c r="E55" s="636"/>
      <c r="F55" s="636"/>
      <c r="G55" s="636"/>
      <c r="H55" s="636"/>
      <c r="I55" s="636"/>
      <c r="J55" s="636"/>
      <c r="K55" s="637"/>
      <c r="L55" s="637"/>
      <c r="M55" s="638">
        <f>SUM(M53:M54)</f>
        <v>6.5600000000000005</v>
      </c>
      <c r="N55" s="639">
        <f>SUM(N53:N54)</f>
        <v>1</v>
      </c>
      <c r="O55" s="640">
        <f>SUMPRODUCT(O53:O54,N53:N54)</f>
        <v>1.3034433509384472E-2</v>
      </c>
    </row>
    <row r="56" spans="2:15" x14ac:dyDescent="0.2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x14ac:dyDescent="0.2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x14ac:dyDescent="0.2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x14ac:dyDescent="0.2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x14ac:dyDescent="0.2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x14ac:dyDescent="0.2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29597-64C0-4602-9C2D-DB01522F48C8}">
  <sheetPr>
    <tabColor theme="3" tint="0.749992370372631"/>
  </sheetPr>
  <dimension ref="A1:O42"/>
  <sheetViews>
    <sheetView showGridLines="0" topLeftCell="C6" zoomScale="77" workbookViewId="0">
      <selection activeCell="F10" sqref="F10"/>
    </sheetView>
  </sheetViews>
  <sheetFormatPr baseColWidth="10" defaultColWidth="0" defaultRowHeight="14" x14ac:dyDescent="0.15"/>
  <cols>
    <col min="1" max="1" width="2.1640625" style="1" customWidth="1"/>
    <col min="2" max="2" width="8.6640625" style="1" customWidth="1"/>
    <col min="3" max="3" width="80.5" style="1" customWidth="1"/>
    <col min="4" max="4" width="12.5" style="1" customWidth="1"/>
    <col min="5" max="5" width="15" style="1" bestFit="1" customWidth="1"/>
    <col min="6" max="15" width="15.5" style="1" customWidth="1"/>
    <col min="16" max="16384" width="8.6640625" style="1" hidden="1"/>
  </cols>
  <sheetData>
    <row r="1" spans="1:15" customFormat="1" ht="23" x14ac:dyDescent="0.25">
      <c r="A1" s="27" t="str">
        <f>'Cover Page'!$C$3</f>
        <v>Coinbase Global Inc., (NASDAQ: COIN)</v>
      </c>
      <c r="B1" s="1"/>
      <c r="C1" s="1"/>
      <c r="D1" s="1"/>
      <c r="E1" s="1"/>
      <c r="F1" s="28">
        <v>2021</v>
      </c>
      <c r="G1" s="28">
        <f>F1+1</f>
        <v>2022</v>
      </c>
      <c r="H1" s="28">
        <f t="shared" ref="H1:O1" si="0">G1+1</f>
        <v>2023</v>
      </c>
      <c r="I1" s="28">
        <f t="shared" si="0"/>
        <v>2024</v>
      </c>
      <c r="J1" s="28">
        <f t="shared" si="0"/>
        <v>2025</v>
      </c>
      <c r="K1" s="28">
        <f t="shared" si="0"/>
        <v>2026</v>
      </c>
      <c r="L1" s="28">
        <f t="shared" si="0"/>
        <v>2027</v>
      </c>
      <c r="M1" s="28">
        <f t="shared" si="0"/>
        <v>2028</v>
      </c>
      <c r="N1" s="28">
        <f t="shared" si="0"/>
        <v>2029</v>
      </c>
      <c r="O1" s="28">
        <f t="shared" si="0"/>
        <v>2030</v>
      </c>
    </row>
    <row r="2" spans="1:15" customFormat="1" ht="15" x14ac:dyDescent="0.2">
      <c r="A2" s="1" t="s">
        <v>150</v>
      </c>
      <c r="B2" s="1"/>
      <c r="C2" s="1"/>
      <c r="D2" s="1"/>
      <c r="E2" s="1"/>
      <c r="F2" s="29" t="s">
        <v>20</v>
      </c>
      <c r="G2" s="29" t="s">
        <v>20</v>
      </c>
      <c r="H2" s="29" t="s">
        <v>20</v>
      </c>
      <c r="I2" s="29" t="s">
        <v>20</v>
      </c>
      <c r="J2" s="29" t="s">
        <v>20</v>
      </c>
      <c r="K2" s="29" t="s">
        <v>20</v>
      </c>
      <c r="L2" s="29" t="s">
        <v>20</v>
      </c>
      <c r="M2" s="29" t="s">
        <v>20</v>
      </c>
      <c r="N2" s="29" t="s">
        <v>20</v>
      </c>
      <c r="O2" s="29" t="s">
        <v>20</v>
      </c>
    </row>
    <row r="3" spans="1:15" customFormat="1" ht="15" x14ac:dyDescent="0.2">
      <c r="A3" s="1"/>
      <c r="B3" s="1"/>
      <c r="C3" s="1"/>
      <c r="D3" s="1"/>
      <c r="E3" s="1"/>
      <c r="F3" s="29">
        <v>12</v>
      </c>
      <c r="G3" s="29">
        <v>12</v>
      </c>
      <c r="H3" s="29">
        <v>12</v>
      </c>
      <c r="I3" s="29">
        <v>12</v>
      </c>
      <c r="J3" s="29">
        <v>12</v>
      </c>
      <c r="K3" s="29">
        <v>12</v>
      </c>
      <c r="L3" s="29">
        <v>12</v>
      </c>
      <c r="M3" s="29">
        <v>12</v>
      </c>
      <c r="N3" s="29">
        <v>12</v>
      </c>
      <c r="O3" s="29">
        <v>12</v>
      </c>
    </row>
    <row r="4" spans="1:15" customFormat="1" ht="15" x14ac:dyDescent="0.2">
      <c r="A4" s="1"/>
      <c r="B4" s="1"/>
      <c r="C4" s="1"/>
      <c r="D4" s="1"/>
      <c r="E4" s="1"/>
      <c r="F4" s="29">
        <v>365</v>
      </c>
      <c r="G4" s="29">
        <v>365</v>
      </c>
      <c r="H4" s="29">
        <v>365</v>
      </c>
      <c r="I4" s="29">
        <v>366</v>
      </c>
      <c r="J4" s="29">
        <v>365</v>
      </c>
      <c r="K4" s="29">
        <v>365</v>
      </c>
      <c r="L4" s="29">
        <v>365</v>
      </c>
      <c r="M4" s="29">
        <v>366</v>
      </c>
      <c r="N4" s="29">
        <v>365</v>
      </c>
      <c r="O4" s="29">
        <v>365</v>
      </c>
    </row>
    <row r="5" spans="1:15" customFormat="1" ht="15" x14ac:dyDescent="0.2">
      <c r="A5" s="1"/>
      <c r="B5" s="1"/>
      <c r="C5" s="1"/>
      <c r="D5" s="1"/>
      <c r="E5" s="1"/>
      <c r="F5" s="29" t="s">
        <v>24</v>
      </c>
      <c r="G5" s="29" t="s">
        <v>24</v>
      </c>
      <c r="H5" s="29" t="s">
        <v>24</v>
      </c>
      <c r="I5" s="29" t="s">
        <v>24</v>
      </c>
      <c r="J5" s="29" t="s">
        <v>24</v>
      </c>
      <c r="K5" s="29" t="s">
        <v>25</v>
      </c>
      <c r="L5" s="29" t="s">
        <v>25</v>
      </c>
      <c r="M5" s="29" t="s">
        <v>25</v>
      </c>
      <c r="N5" s="29" t="s">
        <v>25</v>
      </c>
      <c r="O5" s="29" t="s">
        <v>25</v>
      </c>
    </row>
    <row r="6" spans="1:15" customFormat="1" ht="15" x14ac:dyDescent="0.2">
      <c r="A6" s="30" t="s">
        <v>26</v>
      </c>
      <c r="B6" s="1"/>
      <c r="C6" s="1"/>
      <c r="D6" s="1"/>
      <c r="E6" s="1"/>
      <c r="F6" s="31">
        <v>44561</v>
      </c>
      <c r="G6" s="32">
        <f>EOMONTH(F6,12)</f>
        <v>44926</v>
      </c>
      <c r="H6" s="32">
        <f t="shared" ref="H6:O6" si="1">EOMONTH(G6,12)</f>
        <v>45291</v>
      </c>
      <c r="I6" s="32">
        <f t="shared" si="1"/>
        <v>45657</v>
      </c>
      <c r="J6" s="32">
        <f t="shared" si="1"/>
        <v>46022</v>
      </c>
      <c r="K6" s="32">
        <f t="shared" si="1"/>
        <v>46387</v>
      </c>
      <c r="L6" s="32">
        <f t="shared" si="1"/>
        <v>46752</v>
      </c>
      <c r="M6" s="32">
        <f t="shared" si="1"/>
        <v>47118</v>
      </c>
      <c r="N6" s="32">
        <f t="shared" si="1"/>
        <v>47483</v>
      </c>
      <c r="O6" s="32">
        <f t="shared" si="1"/>
        <v>47848</v>
      </c>
    </row>
    <row r="7" spans="1:15" customFormat="1" ht="3" customHeight="1" x14ac:dyDescent="0.2"/>
    <row r="8" spans="1:15" x14ac:dyDescent="0.15">
      <c r="A8" s="1" t="s">
        <v>27</v>
      </c>
      <c r="B8" s="33" t="s">
        <v>157</v>
      </c>
      <c r="C8" s="226"/>
      <c r="D8" s="226"/>
      <c r="E8" s="34" t="s">
        <v>29</v>
      </c>
      <c r="F8" s="35">
        <v>21</v>
      </c>
      <c r="G8" s="35">
        <f>F8+1</f>
        <v>22</v>
      </c>
      <c r="H8" s="35">
        <f t="shared" ref="H8" si="2">G8+1</f>
        <v>23</v>
      </c>
      <c r="I8" s="35">
        <f t="shared" ref="I8" si="3">H8+1</f>
        <v>24</v>
      </c>
      <c r="J8" s="35">
        <f t="shared" ref="J8" si="4">I8+1</f>
        <v>25</v>
      </c>
      <c r="K8" s="36">
        <f t="shared" ref="K8" si="5">J8+1</f>
        <v>26</v>
      </c>
      <c r="L8" s="36">
        <f t="shared" ref="L8" si="6">K8+1</f>
        <v>27</v>
      </c>
      <c r="M8" s="36">
        <f t="shared" ref="M8" si="7">L8+1</f>
        <v>28</v>
      </c>
      <c r="N8" s="36">
        <f t="shared" ref="N8" si="8">M8+1</f>
        <v>29</v>
      </c>
      <c r="O8" s="36">
        <f t="shared" ref="O8" si="9">N8+1</f>
        <v>30</v>
      </c>
    </row>
    <row r="9" spans="1:15" customFormat="1" ht="3" customHeight="1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customFormat="1" ht="14.25" customHeight="1" x14ac:dyDescent="0.2">
      <c r="B10" s="1" t="s">
        <v>158</v>
      </c>
      <c r="C10" s="1"/>
      <c r="D10" s="1"/>
      <c r="E10" s="43" t="s">
        <v>33</v>
      </c>
      <c r="F10" s="187">
        <f>'3FS'!E43</f>
        <v>3056107</v>
      </c>
      <c r="G10" s="187">
        <f>'3FS'!F43</f>
        <v>-2975681</v>
      </c>
      <c r="H10" s="187">
        <f>'3FS'!G43</f>
        <v>5921</v>
      </c>
      <c r="I10" s="187">
        <f>'3FS'!H43</f>
        <v>2951564</v>
      </c>
      <c r="J10" s="187">
        <f>'3FS'!I43</f>
        <v>1628182</v>
      </c>
      <c r="K10" s="187">
        <f>'3FS'!J43</f>
        <v>2157785.288372728</v>
      </c>
      <c r="L10" s="187">
        <f>'3FS'!K43</f>
        <v>2408413.0191648602</v>
      </c>
      <c r="M10" s="187">
        <f>'3FS'!L43</f>
        <v>2716261.9367314084</v>
      </c>
      <c r="N10" s="187">
        <f>'3FS'!M43</f>
        <v>3163801.497598337</v>
      </c>
      <c r="O10" s="187">
        <f>'3FS'!N43</f>
        <v>3879897.93928196</v>
      </c>
    </row>
    <row r="11" spans="1:15" customFormat="1" ht="14.25" customHeight="1" x14ac:dyDescent="0.2">
      <c r="B11" s="1" t="s">
        <v>159</v>
      </c>
      <c r="C11" s="1"/>
      <c r="D11" s="1"/>
      <c r="E11" s="43" t="s">
        <v>33</v>
      </c>
      <c r="F11" s="143">
        <f>F10*Damodaran!$H$59</f>
        <v>764026.75</v>
      </c>
      <c r="G11" s="143">
        <f>G10*Damodaran!$H$59</f>
        <v>-743920.25</v>
      </c>
      <c r="H11" s="143">
        <f>H10*Damodaran!$H$59</f>
        <v>1480.25</v>
      </c>
      <c r="I11" s="143">
        <f>I10*Damodaran!$H$59</f>
        <v>737891</v>
      </c>
      <c r="J11" s="143">
        <f>J10*Damodaran!$H$59</f>
        <v>407045.5</v>
      </c>
      <c r="K11" s="143">
        <f>K10*Damodaran!$H$59</f>
        <v>539446.32209318201</v>
      </c>
      <c r="L11" s="143">
        <f>L10*Damodaran!$H$59</f>
        <v>602103.25479121506</v>
      </c>
      <c r="M11" s="143">
        <f>M10*Damodaran!$H$59</f>
        <v>679065.48418285209</v>
      </c>
      <c r="N11" s="143">
        <f>N10*Damodaran!$H$59</f>
        <v>790950.37439958425</v>
      </c>
      <c r="O11" s="143">
        <f>O10*Damodaran!$H$59</f>
        <v>969974.48482049</v>
      </c>
    </row>
    <row r="12" spans="1:15" s="562" customFormat="1" ht="14.25" customHeight="1" x14ac:dyDescent="0.2">
      <c r="B12" s="52" t="s">
        <v>160</v>
      </c>
      <c r="C12" s="52"/>
      <c r="D12" s="52"/>
      <c r="E12" s="152" t="s">
        <v>33</v>
      </c>
      <c r="F12" s="181">
        <f>SUM(F10:F11)</f>
        <v>3820133.75</v>
      </c>
      <c r="G12" s="181">
        <f t="shared" ref="G12:O12" si="10">SUM(G10:G11)</f>
        <v>-3719601.25</v>
      </c>
      <c r="H12" s="181">
        <f t="shared" si="10"/>
        <v>7401.25</v>
      </c>
      <c r="I12" s="181">
        <f t="shared" si="10"/>
        <v>3689455</v>
      </c>
      <c r="J12" s="181">
        <f t="shared" si="10"/>
        <v>2035227.5</v>
      </c>
      <c r="K12" s="181">
        <f t="shared" si="10"/>
        <v>2697231.6104659103</v>
      </c>
      <c r="L12" s="181">
        <f t="shared" si="10"/>
        <v>3010516.2739560753</v>
      </c>
      <c r="M12" s="181">
        <f t="shared" si="10"/>
        <v>3395327.4209142607</v>
      </c>
      <c r="N12" s="181">
        <f t="shared" si="10"/>
        <v>3954751.8719979213</v>
      </c>
      <c r="O12" s="181">
        <f t="shared" si="10"/>
        <v>4849872.4241024498</v>
      </c>
    </row>
    <row r="13" spans="1:15" customFormat="1" ht="14.25" customHeight="1" x14ac:dyDescent="0.2">
      <c r="B13" s="1" t="s">
        <v>161</v>
      </c>
      <c r="C13" s="1"/>
      <c r="D13" s="1"/>
      <c r="E13" s="43" t="s">
        <v>33</v>
      </c>
      <c r="F13" s="143">
        <f>'3FS'!E142+'3FS'!E143</f>
        <v>63651</v>
      </c>
      <c r="G13" s="143">
        <f>'3FS'!F142+'3FS'!F143</f>
        <v>154069</v>
      </c>
      <c r="H13" s="143">
        <f>'3FS'!G142+'3FS'!G143</f>
        <v>139642</v>
      </c>
      <c r="I13" s="143">
        <f>'3FS'!H142+'3FS'!H143</f>
        <v>127518</v>
      </c>
      <c r="J13" s="143">
        <f>'3FS'!I142+'3FS'!I143</f>
        <v>188428</v>
      </c>
      <c r="K13" s="143">
        <f>'3FS'!J142+'3FS'!J143</f>
        <v>264383.27388751472</v>
      </c>
      <c r="L13" s="143">
        <f>'3FS'!K142+'3FS'!K143</f>
        <v>300928.89471122716</v>
      </c>
      <c r="M13" s="143">
        <f>'3FS'!L142+'3FS'!L143</f>
        <v>341884.75445366505</v>
      </c>
      <c r="N13" s="143">
        <f>'3FS'!M142+'3FS'!M143</f>
        <v>389450.70741411787</v>
      </c>
      <c r="O13" s="143">
        <f>'3FS'!N142+'3FS'!N143</f>
        <v>447740.30942196219</v>
      </c>
    </row>
    <row r="14" spans="1:15" customFormat="1" ht="14.25" customHeight="1" x14ac:dyDescent="0.2">
      <c r="B14" s="1" t="s">
        <v>162</v>
      </c>
      <c r="C14" s="1"/>
      <c r="D14" s="1"/>
      <c r="E14" s="43" t="s">
        <v>33</v>
      </c>
      <c r="F14" s="143">
        <f>'3FS'!E187</f>
        <v>-387313</v>
      </c>
      <c r="G14" s="143">
        <f>'3FS'!F187</f>
        <v>0</v>
      </c>
      <c r="H14" s="143">
        <f>'3FS'!G187</f>
        <v>-18835</v>
      </c>
      <c r="I14" s="143">
        <f>'3FS'!H187</f>
        <v>-59915</v>
      </c>
      <c r="J14" s="143">
        <f>'3FS'!I187</f>
        <v>-377426</v>
      </c>
      <c r="K14" s="143">
        <f>'3FS'!J187</f>
        <v>-181828.14602436282</v>
      </c>
      <c r="L14" s="143">
        <f>'3FS'!K187</f>
        <v>-203316.71061345292</v>
      </c>
      <c r="M14" s="143">
        <f>'3FS'!L187</f>
        <v>-227852.48944999449</v>
      </c>
      <c r="N14" s="143">
        <f>'3FS'!M187</f>
        <v>-264626.86568560253</v>
      </c>
      <c r="O14" s="143">
        <f>'3FS'!N187</f>
        <v>-324286.46377003501</v>
      </c>
    </row>
    <row r="15" spans="1:15" customFormat="1" ht="14.25" customHeight="1" x14ac:dyDescent="0.2">
      <c r="B15" s="1" t="s">
        <v>163</v>
      </c>
      <c r="C15" s="1"/>
      <c r="D15" s="1"/>
      <c r="E15" s="43" t="s">
        <v>33</v>
      </c>
      <c r="F15" s="563"/>
      <c r="G15" s="563"/>
      <c r="H15" s="563"/>
      <c r="I15" s="563"/>
      <c r="J15" s="563"/>
      <c r="K15" s="143">
        <f>SUM('3FS'!J145:J150)</f>
        <v>42045.289112677026</v>
      </c>
      <c r="L15" s="143">
        <f>SUM('3FS'!K145:K150)</f>
        <v>69848.642861426692</v>
      </c>
      <c r="M15" s="143">
        <f>SUM('3FS'!L145:L150)</f>
        <v>72844.306653361418</v>
      </c>
      <c r="N15" s="143">
        <f>SUM('3FS'!M145:M150)</f>
        <v>114712.48306725475</v>
      </c>
      <c r="O15" s="143">
        <f>SUM('3FS'!N145:N150)</f>
        <v>184619.34741708788</v>
      </c>
    </row>
    <row r="16" spans="1:15" customFormat="1" ht="14.25" customHeight="1" x14ac:dyDescent="0.2">
      <c r="B16" s="52" t="s">
        <v>157</v>
      </c>
      <c r="C16" s="52"/>
      <c r="D16" s="52"/>
      <c r="E16" s="152" t="s">
        <v>33</v>
      </c>
      <c r="F16" s="563"/>
      <c r="G16" s="563"/>
      <c r="H16" s="563"/>
      <c r="I16" s="563"/>
      <c r="J16" s="563"/>
      <c r="K16" s="181">
        <f t="shared" ref="K16:O16" si="11">SUM(K12:K15)</f>
        <v>2821832.0274417391</v>
      </c>
      <c r="L16" s="181">
        <f t="shared" si="11"/>
        <v>3177977.1009152764</v>
      </c>
      <c r="M16" s="181">
        <f t="shared" si="11"/>
        <v>3582203.9925712924</v>
      </c>
      <c r="N16" s="181">
        <f t="shared" si="11"/>
        <v>4194288.1967936913</v>
      </c>
      <c r="O16" s="181">
        <f t="shared" si="11"/>
        <v>5157945.6171714654</v>
      </c>
    </row>
    <row r="17" spans="1:15" customFormat="1" ht="3" customHeight="1" x14ac:dyDescent="0.2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15">
      <c r="A18" s="1" t="s">
        <v>27</v>
      </c>
      <c r="B18" s="33" t="s">
        <v>164</v>
      </c>
      <c r="C18" s="226"/>
      <c r="D18" s="226"/>
      <c r="E18" s="34" t="s">
        <v>29</v>
      </c>
      <c r="F18" s="35">
        <v>21</v>
      </c>
      <c r="G18" s="35">
        <f>F18+1</f>
        <v>22</v>
      </c>
      <c r="H18" s="35">
        <f t="shared" ref="H18" si="12">G18+1</f>
        <v>23</v>
      </c>
      <c r="I18" s="35">
        <f t="shared" ref="I18" si="13">H18+1</f>
        <v>24</v>
      </c>
      <c r="J18" s="35">
        <f t="shared" ref="J18" si="14">I18+1</f>
        <v>25</v>
      </c>
      <c r="K18" s="36">
        <f t="shared" ref="K18" si="15">J18+1</f>
        <v>26</v>
      </c>
      <c r="L18" s="36">
        <f t="shared" ref="L18" si="16">K18+1</f>
        <v>27</v>
      </c>
      <c r="M18" s="36">
        <f t="shared" ref="M18" si="17">L18+1</f>
        <v>28</v>
      </c>
      <c r="N18" s="36">
        <f t="shared" ref="N18" si="18">M18+1</f>
        <v>29</v>
      </c>
      <c r="O18" s="36">
        <f t="shared" ref="O18" si="19">N18+1</f>
        <v>30</v>
      </c>
    </row>
    <row r="19" spans="1:15" customFormat="1" ht="3" customHeight="1" x14ac:dyDescent="0.2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customFormat="1" ht="14.25" customHeight="1" x14ac:dyDescent="0.2">
      <c r="B20" s="1" t="s">
        <v>165</v>
      </c>
      <c r="C20" s="1"/>
      <c r="D20" s="641">
        <f>WACC!D15</f>
        <v>0.20818937853369748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customFormat="1" ht="14.25" customHeight="1" x14ac:dyDescent="0.2">
      <c r="B21" s="1" t="s">
        <v>166</v>
      </c>
      <c r="C21" s="1"/>
      <c r="D21" s="564">
        <v>30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customFormat="1" ht="14.25" customHeight="1" x14ac:dyDescent="0.2">
      <c r="B22" s="1" t="s">
        <v>164</v>
      </c>
      <c r="C22" s="1"/>
      <c r="D22" s="1"/>
      <c r="E22" s="43" t="s">
        <v>33</v>
      </c>
      <c r="F22" s="1"/>
      <c r="G22" s="1"/>
      <c r="H22" s="1"/>
      <c r="I22" s="1"/>
      <c r="J22" s="1"/>
      <c r="K22" s="1"/>
      <c r="L22" s="1"/>
      <c r="M22" s="1"/>
      <c r="N22" s="1"/>
      <c r="O22" s="91">
        <f>D21*SUM(O10,O13)</f>
        <v>129829147.46111767</v>
      </c>
    </row>
    <row r="23" spans="1:15" customFormat="1" ht="14.25" customHeight="1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s="562" customFormat="1" ht="14.25" customHeight="1" x14ac:dyDescent="0.2">
      <c r="B24" s="52" t="s">
        <v>167</v>
      </c>
      <c r="C24" s="52"/>
      <c r="D24" s="52"/>
      <c r="E24" s="152" t="s">
        <v>33</v>
      </c>
      <c r="F24" s="563"/>
      <c r="G24" s="563"/>
      <c r="H24" s="563"/>
      <c r="I24" s="563"/>
      <c r="J24" s="563"/>
      <c r="K24" s="181">
        <f t="shared" ref="K24:O24" si="20">SUM(K16,K22)</f>
        <v>2821832.0274417391</v>
      </c>
      <c r="L24" s="181">
        <f t="shared" si="20"/>
        <v>3177977.1009152764</v>
      </c>
      <c r="M24" s="181">
        <f t="shared" si="20"/>
        <v>3582203.9925712924</v>
      </c>
      <c r="N24" s="181">
        <f t="shared" si="20"/>
        <v>4194288.1967936913</v>
      </c>
      <c r="O24" s="181">
        <f t="shared" si="20"/>
        <v>134987093.07828912</v>
      </c>
    </row>
    <row r="25" spans="1:15" customFormat="1" ht="3" customHeight="1" x14ac:dyDescent="0.2"/>
    <row r="26" spans="1:15" x14ac:dyDescent="0.15">
      <c r="A26" s="1" t="s">
        <v>27</v>
      </c>
      <c r="B26" s="33" t="s">
        <v>168</v>
      </c>
      <c r="C26" s="226"/>
      <c r="D26" s="226"/>
      <c r="E26" s="34" t="s">
        <v>29</v>
      </c>
      <c r="F26" s="35">
        <v>21</v>
      </c>
      <c r="G26" s="35">
        <f>F26+1</f>
        <v>22</v>
      </c>
      <c r="H26" s="35">
        <f t="shared" ref="H26:O26" si="21">G26+1</f>
        <v>23</v>
      </c>
      <c r="I26" s="35">
        <f t="shared" si="21"/>
        <v>24</v>
      </c>
      <c r="J26" s="35">
        <f t="shared" si="21"/>
        <v>25</v>
      </c>
      <c r="K26" s="36">
        <f t="shared" si="21"/>
        <v>26</v>
      </c>
      <c r="L26" s="36">
        <f t="shared" si="21"/>
        <v>27</v>
      </c>
      <c r="M26" s="36">
        <f t="shared" si="21"/>
        <v>28</v>
      </c>
      <c r="N26" s="36">
        <f t="shared" si="21"/>
        <v>29</v>
      </c>
      <c r="O26" s="36">
        <f t="shared" si="21"/>
        <v>30</v>
      </c>
    </row>
    <row r="27" spans="1:15" ht="3" customHeight="1" x14ac:dyDescent="0.15"/>
    <row r="28" spans="1:15" x14ac:dyDescent="0.15">
      <c r="B28" s="1" t="s">
        <v>169</v>
      </c>
      <c r="E28" s="43" t="s">
        <v>170</v>
      </c>
      <c r="F28" s="119"/>
      <c r="G28" s="119"/>
      <c r="H28" s="119"/>
      <c r="I28" s="119"/>
      <c r="J28" s="119"/>
      <c r="K28" s="147">
        <v>1</v>
      </c>
      <c r="L28" s="139">
        <f>K28+1</f>
        <v>2</v>
      </c>
      <c r="M28" s="139">
        <f t="shared" ref="M28:O28" si="22">L28+1</f>
        <v>3</v>
      </c>
      <c r="N28" s="139">
        <f t="shared" si="22"/>
        <v>4</v>
      </c>
      <c r="O28" s="139">
        <f t="shared" si="22"/>
        <v>5</v>
      </c>
    </row>
    <row r="29" spans="1:15" x14ac:dyDescent="0.15">
      <c r="B29" s="1" t="s">
        <v>171</v>
      </c>
      <c r="E29" s="43" t="s">
        <v>36</v>
      </c>
      <c r="F29" s="119"/>
      <c r="G29" s="119"/>
      <c r="H29" s="119"/>
      <c r="I29" s="119"/>
      <c r="J29" s="119"/>
      <c r="K29" s="105">
        <f>1/(1+$D$20)^K28</f>
        <v>0.82768481313222297</v>
      </c>
      <c r="L29" s="105">
        <f t="shared" ref="L29:O29" si="23">1/(1+$D$20)^L28</f>
        <v>0.68506214988972292</v>
      </c>
      <c r="M29" s="105">
        <f t="shared" si="23"/>
        <v>0.56701553751543421</v>
      </c>
      <c r="N29" s="105">
        <f t="shared" si="23"/>
        <v>0.46931014921152908</v>
      </c>
      <c r="O29" s="105">
        <f t="shared" si="23"/>
        <v>0.38844088315120018</v>
      </c>
    </row>
    <row r="30" spans="1:15" s="52" customFormat="1" x14ac:dyDescent="0.15">
      <c r="B30" s="52" t="s">
        <v>172</v>
      </c>
      <c r="E30" s="152" t="s">
        <v>33</v>
      </c>
      <c r="F30" s="119"/>
      <c r="G30" s="119"/>
      <c r="H30" s="119"/>
      <c r="I30" s="119"/>
      <c r="J30" s="119"/>
      <c r="K30" s="181">
        <f>K29*K16</f>
        <v>2335587.5143236378</v>
      </c>
      <c r="L30" s="181">
        <f t="shared" ref="L30:O30" si="24">L29*L16</f>
        <v>2177111.8250533282</v>
      </c>
      <c r="M30" s="181">
        <f t="shared" si="24"/>
        <v>2031165.3223377459</v>
      </c>
      <c r="N30" s="181">
        <f t="shared" si="24"/>
        <v>1968422.0194734025</v>
      </c>
      <c r="O30" s="181">
        <f t="shared" si="24"/>
        <v>2003556.9507799463</v>
      </c>
    </row>
    <row r="31" spans="1:15" ht="3" customHeight="1" x14ac:dyDescent="0.15"/>
    <row r="32" spans="1:15" x14ac:dyDescent="0.15">
      <c r="A32" s="1" t="s">
        <v>27</v>
      </c>
      <c r="B32" s="33" t="s">
        <v>173</v>
      </c>
      <c r="C32" s="226"/>
      <c r="D32" s="226"/>
      <c r="E32" s="34" t="s">
        <v>174</v>
      </c>
      <c r="F32" s="642" t="s">
        <v>175</v>
      </c>
      <c r="G32" s="35"/>
      <c r="H32" s="35"/>
      <c r="I32" s="35"/>
      <c r="J32" s="35"/>
      <c r="K32" s="36"/>
      <c r="L32" s="36"/>
      <c r="M32" s="36"/>
      <c r="N32" s="36"/>
      <c r="O32" s="36"/>
    </row>
    <row r="33" spans="1:15" ht="3" customHeight="1" x14ac:dyDescent="0.15"/>
    <row r="34" spans="1:15" x14ac:dyDescent="0.15">
      <c r="B34" s="1" t="s">
        <v>176</v>
      </c>
      <c r="E34" s="50">
        <f>SUM(K30:O30)</f>
        <v>10515843.631968061</v>
      </c>
      <c r="F34" s="643">
        <f>E34/$E$36</f>
        <v>0.1725413796174475</v>
      </c>
    </row>
    <row r="35" spans="1:15" x14ac:dyDescent="0.15">
      <c r="B35" s="1" t="s">
        <v>177</v>
      </c>
      <c r="E35" s="50">
        <f>O29*O22</f>
        <v>50430948.698563948</v>
      </c>
      <c r="F35" s="643">
        <f>E35/$E$36</f>
        <v>0.82745862038255258</v>
      </c>
    </row>
    <row r="36" spans="1:15" s="52" customFormat="1" x14ac:dyDescent="0.15">
      <c r="B36" s="52" t="s">
        <v>173</v>
      </c>
      <c r="E36" s="181">
        <f>SUM(E34:E35)</f>
        <v>60946792.330532007</v>
      </c>
    </row>
    <row r="37" spans="1:15" ht="3" customHeight="1" x14ac:dyDescent="0.15"/>
    <row r="38" spans="1:15" x14ac:dyDescent="0.15">
      <c r="A38" s="1" t="s">
        <v>27</v>
      </c>
      <c r="B38" s="33" t="s">
        <v>178</v>
      </c>
      <c r="C38" s="226"/>
      <c r="D38" s="226"/>
      <c r="E38" s="34" t="s">
        <v>174</v>
      </c>
      <c r="F38" s="642" t="s">
        <v>175</v>
      </c>
      <c r="G38" s="35"/>
      <c r="H38" s="35"/>
      <c r="I38" s="35"/>
      <c r="J38" s="35"/>
      <c r="K38" s="36"/>
      <c r="L38" s="36"/>
      <c r="M38" s="36"/>
      <c r="N38" s="36"/>
      <c r="O38" s="36"/>
    </row>
    <row r="39" spans="1:15" ht="3" customHeight="1" x14ac:dyDescent="0.15"/>
    <row r="40" spans="1:15" x14ac:dyDescent="0.15">
      <c r="B40" s="1" t="s">
        <v>176</v>
      </c>
    </row>
    <row r="41" spans="1:15" x14ac:dyDescent="0.15">
      <c r="B41" s="1" t="s">
        <v>177</v>
      </c>
    </row>
    <row r="42" spans="1:15" x14ac:dyDescent="0.15">
      <c r="B42" s="1" t="s">
        <v>179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69733-79D8-47C6-896C-8950D02B6C4D}">
  <sheetPr>
    <pageSetUpPr autoPageBreaks="0"/>
  </sheetPr>
  <dimension ref="A1:X177"/>
  <sheetViews>
    <sheetView showGridLines="0" topLeftCell="A72" zoomScaleNormal="87" workbookViewId="0">
      <pane xSplit="4" topLeftCell="E1" activePane="topRight" state="frozen"/>
      <selection pane="topRight" activeCell="N128" sqref="N128"/>
    </sheetView>
  </sheetViews>
  <sheetFormatPr baseColWidth="10" defaultColWidth="9.1640625" defaultRowHeight="12" outlineLevelRow="1" outlineLevelCol="1" x14ac:dyDescent="0.15"/>
  <cols>
    <col min="1" max="2" width="2.6640625" style="647" customWidth="1"/>
    <col min="3" max="3" width="40.83203125" style="647" customWidth="1"/>
    <col min="4" max="4" width="12.6640625" style="647" customWidth="1"/>
    <col min="5" max="7" width="12.6640625" style="647" customWidth="1" outlineLevel="1"/>
    <col min="8" max="8" width="13.6640625" style="647" customWidth="1" outlineLevel="1"/>
    <col min="9" max="9" width="12.6640625" style="647" customWidth="1" outlineLevel="1"/>
    <col min="10" max="14" width="12.6640625" style="647" customWidth="1"/>
    <col min="15" max="16" width="1.5" style="647" customWidth="1"/>
    <col min="17" max="17" width="139.83203125" style="647" customWidth="1"/>
    <col min="18" max="25" width="12.6640625" style="647" customWidth="1"/>
    <col min="26" max="16384" width="9.1640625" style="647"/>
  </cols>
  <sheetData>
    <row r="1" spans="1:17" ht="23" x14ac:dyDescent="0.25">
      <c r="A1" s="93" t="s">
        <v>4</v>
      </c>
      <c r="B1" s="1"/>
      <c r="C1" s="1"/>
    </row>
    <row r="2" spans="1:17" ht="14" x14ac:dyDescent="0.15">
      <c r="A2" s="1" t="s">
        <v>1200</v>
      </c>
      <c r="B2" s="1"/>
      <c r="C2" s="1"/>
    </row>
    <row r="3" spans="1:17" ht="14" x14ac:dyDescent="0.15">
      <c r="A3" s="1" t="s">
        <v>26</v>
      </c>
      <c r="B3" s="1"/>
      <c r="C3" s="1"/>
    </row>
    <row r="5" spans="1:17" ht="15" x14ac:dyDescent="0.2">
      <c r="B5" s="33" t="s">
        <v>1199</v>
      </c>
      <c r="C5" s="226"/>
      <c r="D5" s="33" t="s">
        <v>1190</v>
      </c>
      <c r="E5" s="226"/>
      <c r="F5" s="226"/>
      <c r="G5" s="226"/>
      <c r="H5" s="226"/>
      <c r="I5" s="226"/>
      <c r="J5" s="226"/>
      <c r="K5" s="226"/>
      <c r="L5" s="226"/>
      <c r="M5" s="226"/>
      <c r="O5"/>
      <c r="P5"/>
      <c r="Q5"/>
    </row>
    <row r="6" spans="1:17" customFormat="1" ht="15" x14ac:dyDescent="0.2">
      <c r="C6" s="727" t="s">
        <v>1220</v>
      </c>
    </row>
    <row r="7" spans="1:17" customFormat="1" ht="15" x14ac:dyDescent="0.2">
      <c r="C7" s="647" t="s">
        <v>1218</v>
      </c>
      <c r="D7" s="653" t="s">
        <v>27</v>
      </c>
      <c r="E7" s="728">
        <f>'[2]Precedent Transactions Export'!K12</f>
        <v>15</v>
      </c>
      <c r="G7" s="662" t="s">
        <v>1195</v>
      </c>
      <c r="H7" s="703"/>
      <c r="I7" s="703"/>
      <c r="J7" s="713" t="s">
        <v>1234</v>
      </c>
      <c r="K7" s="729">
        <f>E13</f>
        <v>46796370</v>
      </c>
    </row>
    <row r="8" spans="1:17" customFormat="1" ht="15" x14ac:dyDescent="0.2">
      <c r="C8" s="647" t="s">
        <v>1219</v>
      </c>
      <c r="D8" s="653" t="s">
        <v>27</v>
      </c>
      <c r="E8" s="728">
        <f>E7</f>
        <v>15</v>
      </c>
      <c r="G8" s="658" t="s">
        <v>1222</v>
      </c>
      <c r="H8" s="647"/>
      <c r="I8" s="647"/>
      <c r="J8" s="653" t="s">
        <v>1234</v>
      </c>
      <c r="K8" s="661">
        <f>'[2]Reference (Capital Structure)'!U20*1000</f>
        <v>11929535</v>
      </c>
    </row>
    <row r="9" spans="1:17" customFormat="1" ht="15" x14ac:dyDescent="0.2">
      <c r="G9" s="658" t="s">
        <v>1223</v>
      </c>
      <c r="H9" s="647"/>
      <c r="I9" s="647"/>
      <c r="J9" s="653" t="s">
        <v>1234</v>
      </c>
      <c r="K9" s="661">
        <f>-'[2]Reference (Capital Structure)'!U19*1000</f>
        <v>-7658724</v>
      </c>
    </row>
    <row r="10" spans="1:17" customFormat="1" ht="15" x14ac:dyDescent="0.2">
      <c r="C10" s="726" t="s">
        <v>1221</v>
      </c>
      <c r="G10" s="658" t="s">
        <v>1224</v>
      </c>
      <c r="H10" s="647"/>
      <c r="I10" s="647"/>
      <c r="J10" s="653" t="s">
        <v>1234</v>
      </c>
      <c r="K10" s="661">
        <f>-'[2]Reference (Capital Structure)'!U21*1000</f>
        <v>0</v>
      </c>
    </row>
    <row r="11" spans="1:17" customFormat="1" ht="15" x14ac:dyDescent="0.2">
      <c r="C11" s="647" t="s">
        <v>1218</v>
      </c>
      <c r="D11" s="653" t="s">
        <v>27</v>
      </c>
      <c r="E11" s="728">
        <f>E7</f>
        <v>15</v>
      </c>
      <c r="G11" s="658" t="s">
        <v>1214</v>
      </c>
      <c r="H11" s="647"/>
      <c r="I11" s="647"/>
      <c r="J11" s="653" t="s">
        <v>1234</v>
      </c>
      <c r="K11" s="661">
        <f>'[2]Reference (Capital Structure)'!U22*1000</f>
        <v>0</v>
      </c>
    </row>
    <row r="12" spans="1:17" customFormat="1" ht="15" x14ac:dyDescent="0.2">
      <c r="C12" s="647" t="s">
        <v>1192</v>
      </c>
      <c r="D12" s="653" t="s">
        <v>1234</v>
      </c>
      <c r="E12" s="730">
        <f>'[2]3FS'!E46</f>
        <v>3119758</v>
      </c>
      <c r="F12" s="647"/>
      <c r="G12" s="658" t="s">
        <v>1225</v>
      </c>
      <c r="H12" s="647"/>
      <c r="I12" s="647"/>
      <c r="J12" s="653" t="s">
        <v>1234</v>
      </c>
      <c r="K12" s="661">
        <f>'[2]Reference (Capital Structure)'!U23*1000</f>
        <v>622985</v>
      </c>
    </row>
    <row r="13" spans="1:17" customFormat="1" ht="15" x14ac:dyDescent="0.2">
      <c r="C13" s="647" t="s">
        <v>1221</v>
      </c>
      <c r="D13" s="653" t="s">
        <v>1234</v>
      </c>
      <c r="E13" s="730">
        <f>E11*LTM_EBITDA</f>
        <v>46796370</v>
      </c>
      <c r="G13" s="658" t="s">
        <v>1226</v>
      </c>
      <c r="H13" s="647"/>
      <c r="I13" s="647"/>
      <c r="J13" s="653" t="s">
        <v>1234</v>
      </c>
      <c r="K13" s="661">
        <f>-'[2]Reference (Capital Structure)'!U24*1000</f>
        <v>0</v>
      </c>
    </row>
    <row r="14" spans="1:17" customFormat="1" ht="15" x14ac:dyDescent="0.2">
      <c r="G14" s="658" t="s">
        <v>1227</v>
      </c>
      <c r="H14" s="647"/>
      <c r="I14" s="647"/>
      <c r="J14" s="653" t="s">
        <v>1234</v>
      </c>
      <c r="K14" s="661">
        <f>-'[2]Reference (Capital Structure)'!U25*1000</f>
        <v>0</v>
      </c>
    </row>
    <row r="15" spans="1:17" ht="15" outlineLevel="1" x14ac:dyDescent="0.2">
      <c r="G15" s="710" t="s">
        <v>1179</v>
      </c>
      <c r="H15" s="709"/>
      <c r="I15" s="709"/>
      <c r="J15" s="708" t="s">
        <v>1234</v>
      </c>
      <c r="K15" s="707">
        <f>SUM(K7:K14)</f>
        <v>51690166</v>
      </c>
      <c r="O15"/>
      <c r="P15"/>
      <c r="Q15"/>
    </row>
    <row r="16" spans="1:17" ht="15" outlineLevel="1" x14ac:dyDescent="0.2">
      <c r="C16" s="647" t="s">
        <v>1198</v>
      </c>
      <c r="D16" s="653" t="s">
        <v>1201</v>
      </c>
      <c r="E16" s="721">
        <f>'[2]Reference (Capital Structure)'!U17/'[2]Reference (Capital Structure)'!U15</f>
        <v>161.1400000000001</v>
      </c>
      <c r="G16"/>
      <c r="H16"/>
      <c r="I16"/>
      <c r="J16"/>
      <c r="K16"/>
      <c r="O16"/>
      <c r="P16"/>
      <c r="Q16"/>
    </row>
    <row r="17" spans="3:17" ht="15" outlineLevel="1" x14ac:dyDescent="0.2">
      <c r="C17" s="658" t="s">
        <v>1197</v>
      </c>
      <c r="D17" s="653" t="s">
        <v>36</v>
      </c>
      <c r="E17" s="679">
        <f>E18/E16-1</f>
        <v>0.13039190210383467</v>
      </c>
      <c r="F17" s="712"/>
      <c r="G17" s="647" t="s">
        <v>1343</v>
      </c>
      <c r="J17" s="653" t="s">
        <v>27</v>
      </c>
      <c r="K17" s="704">
        <f>K21/LTM_EBITDA</f>
        <v>0</v>
      </c>
      <c r="O17"/>
      <c r="P17"/>
      <c r="Q17"/>
    </row>
    <row r="18" spans="3:17" ht="15" outlineLevel="1" x14ac:dyDescent="0.2">
      <c r="C18" s="647" t="s">
        <v>1196</v>
      </c>
      <c r="D18" s="653" t="s">
        <v>1201</v>
      </c>
      <c r="E18" s="721">
        <f>K15/E19</f>
        <v>182.15135110501203</v>
      </c>
      <c r="F18" s="711"/>
      <c r="G18"/>
      <c r="H18"/>
      <c r="I18"/>
      <c r="J18"/>
      <c r="K18"/>
      <c r="O18"/>
      <c r="P18"/>
      <c r="Q18"/>
    </row>
    <row r="19" spans="3:17" ht="15" outlineLevel="1" x14ac:dyDescent="0.2">
      <c r="C19" s="647" t="s">
        <v>1194</v>
      </c>
      <c r="D19" s="653" t="s">
        <v>1342</v>
      </c>
      <c r="E19" s="706">
        <f>'[2]Reference (Capital Structure)'!U15*1000</f>
        <v>283775.91319759202</v>
      </c>
      <c r="G19"/>
      <c r="H19"/>
      <c r="I19"/>
      <c r="J19"/>
      <c r="K19"/>
      <c r="O19"/>
      <c r="P19"/>
      <c r="Q19"/>
    </row>
    <row r="20" spans="3:17" ht="15" outlineLevel="1" x14ac:dyDescent="0.2">
      <c r="C20" s="647" t="s">
        <v>1191</v>
      </c>
      <c r="D20" s="653" t="s">
        <v>782</v>
      </c>
      <c r="E20" s="705">
        <f>'[2]Reference (Capital Structure)'!N2</f>
        <v>46022</v>
      </c>
      <c r="G20"/>
      <c r="H20"/>
      <c r="I20"/>
      <c r="J20"/>
      <c r="K20"/>
      <c r="O20"/>
      <c r="P20"/>
      <c r="Q20"/>
    </row>
    <row r="21" spans="3:17" ht="15" outlineLevel="1" x14ac:dyDescent="0.2">
      <c r="G21"/>
      <c r="H21"/>
      <c r="I21"/>
      <c r="J21"/>
      <c r="K21"/>
      <c r="O21"/>
      <c r="P21"/>
      <c r="Q21"/>
    </row>
    <row r="22" spans="3:17" ht="15" outlineLevel="1" x14ac:dyDescent="0.2">
      <c r="C22" s="647" t="s">
        <v>1188</v>
      </c>
      <c r="D22" s="653" t="s">
        <v>36</v>
      </c>
      <c r="E22" s="679">
        <v>0.01</v>
      </c>
      <c r="G22"/>
      <c r="H22"/>
      <c r="I22"/>
      <c r="J22"/>
      <c r="K22"/>
      <c r="O22"/>
      <c r="P22"/>
      <c r="Q22"/>
    </row>
    <row r="23" spans="3:17" ht="15" outlineLevel="1" x14ac:dyDescent="0.2">
      <c r="C23" s="647" t="s">
        <v>1213</v>
      </c>
      <c r="D23" s="653" t="s">
        <v>36</v>
      </c>
      <c r="E23" s="679">
        <v>0.03</v>
      </c>
      <c r="O23"/>
      <c r="P23"/>
      <c r="Q23"/>
    </row>
    <row r="24" spans="3:17" ht="15" outlineLevel="1" x14ac:dyDescent="0.2">
      <c r="C24" s="647" t="s">
        <v>1250</v>
      </c>
      <c r="D24" s="653"/>
      <c r="E24" s="679">
        <v>0.02</v>
      </c>
      <c r="O24"/>
      <c r="P24"/>
      <c r="Q24"/>
    </row>
    <row r="25" spans="3:17" ht="15" outlineLevel="1" x14ac:dyDescent="0.2">
      <c r="C25" s="647" t="s">
        <v>1251</v>
      </c>
      <c r="D25" s="653"/>
      <c r="E25" s="679">
        <v>0.03</v>
      </c>
      <c r="O25"/>
      <c r="P25"/>
      <c r="Q25"/>
    </row>
    <row r="26" spans="3:17" ht="15" x14ac:dyDescent="0.2">
      <c r="C26" s="647" t="s">
        <v>1252</v>
      </c>
      <c r="E26" s="679">
        <v>0.04</v>
      </c>
      <c r="O26"/>
      <c r="P26"/>
      <c r="Q26"/>
    </row>
    <row r="27" spans="3:17" ht="15" outlineLevel="1" x14ac:dyDescent="0.2">
      <c r="C27" s="647" t="s">
        <v>1186</v>
      </c>
      <c r="D27" s="653" t="s">
        <v>36</v>
      </c>
      <c r="E27" s="679">
        <v>0.02</v>
      </c>
      <c r="O27"/>
      <c r="P27"/>
      <c r="Q27"/>
    </row>
    <row r="28" spans="3:17" ht="15" outlineLevel="1" x14ac:dyDescent="0.2">
      <c r="D28" s="653"/>
      <c r="E28"/>
      <c r="O28"/>
      <c r="P28"/>
      <c r="Q28"/>
    </row>
    <row r="29" spans="3:17" customFormat="1" ht="12.75" customHeight="1" outlineLevel="1" x14ac:dyDescent="0.2">
      <c r="C29" s="647" t="s">
        <v>1187</v>
      </c>
      <c r="D29" s="653" t="s">
        <v>36</v>
      </c>
      <c r="E29" s="679">
        <v>0.05</v>
      </c>
      <c r="F29" s="647"/>
      <c r="G29" s="647"/>
      <c r="H29" s="647"/>
      <c r="I29" s="647"/>
      <c r="J29" s="647"/>
      <c r="K29" s="647"/>
    </row>
    <row r="30" spans="3:17" customFormat="1" ht="12.75" customHeight="1" outlineLevel="1" x14ac:dyDescent="0.2">
      <c r="C30" s="647" t="s">
        <v>1217</v>
      </c>
      <c r="D30" s="653" t="s">
        <v>1193</v>
      </c>
      <c r="E30" s="723">
        <f>K8*Min_Cash</f>
        <v>596476.75</v>
      </c>
      <c r="F30" s="647"/>
      <c r="G30" s="647"/>
      <c r="H30" s="647"/>
      <c r="I30" s="647"/>
      <c r="J30" s="653"/>
      <c r="K30" s="704"/>
    </row>
    <row r="31" spans="3:17" customFormat="1" ht="12.75" customHeight="1" outlineLevel="1" x14ac:dyDescent="0.2">
      <c r="C31" s="647" t="s">
        <v>1216</v>
      </c>
      <c r="D31" s="653" t="s">
        <v>36</v>
      </c>
      <c r="E31" s="679">
        <v>0.2</v>
      </c>
      <c r="F31" s="647"/>
      <c r="G31" s="647"/>
      <c r="H31" s="647"/>
      <c r="I31" s="647"/>
      <c r="J31" s="653"/>
      <c r="K31" s="704"/>
    </row>
    <row r="32" spans="3:17" customFormat="1" ht="12.75" customHeight="1" outlineLevel="1" x14ac:dyDescent="0.2">
      <c r="C32" s="647" t="s">
        <v>1245</v>
      </c>
      <c r="D32" s="653" t="s">
        <v>36</v>
      </c>
      <c r="E32" s="679">
        <v>0.5</v>
      </c>
    </row>
    <row r="33" spans="2:16" customFormat="1" ht="12.75" customHeight="1" outlineLevel="1" x14ac:dyDescent="0.2">
      <c r="C33" s="647" t="s">
        <v>223</v>
      </c>
      <c r="D33" s="653" t="s">
        <v>1234</v>
      </c>
      <c r="E33" s="739">
        <f>'[2]3FS'!I15</f>
        <v>7181325</v>
      </c>
    </row>
    <row r="34" spans="2:16" customFormat="1" ht="12.75" customHeight="1" outlineLevel="1" x14ac:dyDescent="0.2">
      <c r="C34" s="647" t="s">
        <v>1245</v>
      </c>
      <c r="D34" s="653" t="s">
        <v>1234</v>
      </c>
      <c r="E34" s="739">
        <f>E32*E33</f>
        <v>3590662.5</v>
      </c>
    </row>
    <row r="35" spans="2:16" customFormat="1" ht="15" outlineLevel="1" x14ac:dyDescent="0.2"/>
    <row r="36" spans="2:16" ht="15" x14ac:dyDescent="0.2">
      <c r="B36" s="33" t="s">
        <v>1185</v>
      </c>
      <c r="C36" s="226"/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O36"/>
      <c r="P36"/>
    </row>
    <row r="37" spans="2:16" ht="15" outlineLevel="1" x14ac:dyDescent="0.2">
      <c r="D37" s="674"/>
      <c r="O37"/>
      <c r="P37"/>
    </row>
    <row r="38" spans="2:16" ht="15" outlineLevel="1" x14ac:dyDescent="0.2">
      <c r="C38" s="662" t="s">
        <v>1184</v>
      </c>
      <c r="D38" s="686" t="s">
        <v>1129</v>
      </c>
      <c r="E38" s="686" t="s">
        <v>1181</v>
      </c>
      <c r="F38" s="687" t="s">
        <v>1183</v>
      </c>
      <c r="H38" s="662" t="s">
        <v>1182</v>
      </c>
      <c r="I38" s="703"/>
      <c r="J38" s="703"/>
      <c r="K38" s="686" t="s">
        <v>1129</v>
      </c>
      <c r="L38" s="686" t="s">
        <v>1181</v>
      </c>
      <c r="O38"/>
      <c r="P38"/>
    </row>
    <row r="39" spans="2:16" ht="15" outlineLevel="1" x14ac:dyDescent="0.2">
      <c r="C39" s="658" t="s">
        <v>1180</v>
      </c>
      <c r="D39" s="732">
        <f>E39*LTM_EBITDA</f>
        <v>1559879</v>
      </c>
      <c r="E39" s="700">
        <v>0.5</v>
      </c>
      <c r="F39" s="702">
        <f t="shared" ref="F39:F44" si="0">D39/$D$45</f>
        <v>2.5386942509233595E-2</v>
      </c>
      <c r="H39" s="658" t="s">
        <v>1179</v>
      </c>
      <c r="K39" s="698">
        <f>K15</f>
        <v>51690166</v>
      </c>
      <c r="L39" s="701">
        <f>K39/LTM_EBITDA</f>
        <v>16.568646029595886</v>
      </c>
      <c r="O39"/>
      <c r="P39"/>
    </row>
    <row r="40" spans="2:16" ht="15" outlineLevel="1" x14ac:dyDescent="0.2">
      <c r="C40" s="658" t="s">
        <v>1205</v>
      </c>
      <c r="D40" s="659">
        <f>E40*LTM_EBITDA</f>
        <v>3119758</v>
      </c>
      <c r="E40" s="700">
        <v>1</v>
      </c>
      <c r="F40" s="699">
        <f t="shared" si="0"/>
        <v>5.0773885018467191E-2</v>
      </c>
      <c r="H40" s="658" t="s">
        <v>1178</v>
      </c>
      <c r="K40" s="698">
        <f>-K9</f>
        <v>7658724</v>
      </c>
      <c r="L40" s="697">
        <f>K40/LTM_EBITDA</f>
        <v>2.454909643632615</v>
      </c>
      <c r="O40"/>
      <c r="P40"/>
    </row>
    <row r="41" spans="2:16" ht="15" outlineLevel="1" x14ac:dyDescent="0.2">
      <c r="C41" s="658" t="s">
        <v>1206</v>
      </c>
      <c r="D41" s="659">
        <f>E41*LTM_EBITDA</f>
        <v>9359274</v>
      </c>
      <c r="E41" s="700">
        <v>3</v>
      </c>
      <c r="F41" s="699">
        <f t="shared" si="0"/>
        <v>0.15232165505540157</v>
      </c>
      <c r="H41" s="658" t="s">
        <v>1177</v>
      </c>
      <c r="K41" s="655">
        <f>-E22*K9</f>
        <v>76587.240000000005</v>
      </c>
      <c r="L41" s="697">
        <f>K41/LTM_EBITDA</f>
        <v>2.4549096436326152E-2</v>
      </c>
      <c r="O41"/>
      <c r="P41"/>
    </row>
    <row r="42" spans="2:16" ht="15" outlineLevel="1" x14ac:dyDescent="0.2">
      <c r="C42" s="658" t="s">
        <v>1148</v>
      </c>
      <c r="D42" s="659">
        <f>E42*LTM_EBITDA</f>
        <v>3119758</v>
      </c>
      <c r="E42" s="700">
        <v>1</v>
      </c>
      <c r="F42" s="699">
        <f t="shared" si="0"/>
        <v>5.0773885018467191E-2</v>
      </c>
      <c r="H42" s="658" t="s">
        <v>1176</v>
      </c>
      <c r="K42" s="655">
        <f>E24*D40+E25*D41+E26*D42</f>
        <v>467963.7</v>
      </c>
      <c r="L42" s="697">
        <f>K42/LTM_EBITDA</f>
        <v>0.15</v>
      </c>
      <c r="O42"/>
      <c r="P42"/>
    </row>
    <row r="43" spans="2:16" ht="15" outlineLevel="1" x14ac:dyDescent="0.2">
      <c r="C43" s="658" t="s">
        <v>1175</v>
      </c>
      <c r="D43" s="659">
        <f>K8-E30</f>
        <v>11333058.25</v>
      </c>
      <c r="E43" s="697">
        <f>D43/LTM_EBITDA</f>
        <v>3.6326722297049963</v>
      </c>
      <c r="F43" s="699">
        <f t="shared" si="0"/>
        <v>0.18444488210082033</v>
      </c>
      <c r="H43" s="658" t="s">
        <v>1174</v>
      </c>
      <c r="K43" s="698">
        <f>E23*K15</f>
        <v>1550704.98</v>
      </c>
      <c r="L43" s="697">
        <f>K43/LTM_EBITDA</f>
        <v>0.49705938088787655</v>
      </c>
      <c r="O43"/>
      <c r="P43"/>
    </row>
    <row r="44" spans="2:16" ht="15" outlineLevel="1" x14ac:dyDescent="0.2">
      <c r="C44" s="658" t="s">
        <v>1173</v>
      </c>
      <c r="D44" s="696">
        <f>K44-SUM(D39:D43)</f>
        <v>32952418.670000002</v>
      </c>
      <c r="E44" s="695">
        <f>D44/LTM_EBITDA</f>
        <v>10.562491920847707</v>
      </c>
      <c r="F44" s="694">
        <f t="shared" si="0"/>
        <v>0.53629875029761009</v>
      </c>
      <c r="H44" s="692" t="s">
        <v>1172</v>
      </c>
      <c r="I44" s="665"/>
      <c r="J44" s="665"/>
      <c r="K44" s="691">
        <f>SUM(K39:K43)</f>
        <v>61444145.920000002</v>
      </c>
      <c r="L44" s="693">
        <f>SUM(L39:L43)</f>
        <v>19.695164150552703</v>
      </c>
      <c r="O44"/>
      <c r="P44"/>
    </row>
    <row r="45" spans="2:16" ht="15" outlineLevel="1" x14ac:dyDescent="0.2">
      <c r="C45" s="692" t="s">
        <v>1171</v>
      </c>
      <c r="D45" s="821">
        <f>SUM(D39:D44)</f>
        <v>61444145.920000002</v>
      </c>
      <c r="E45" s="690">
        <f>SUM(E39:E44)</f>
        <v>19.695164150552703</v>
      </c>
      <c r="F45" s="689">
        <f>SUM(F39:F44)</f>
        <v>1</v>
      </c>
      <c r="O45"/>
      <c r="P45"/>
    </row>
    <row r="46" spans="2:16" ht="15" x14ac:dyDescent="0.2">
      <c r="F46" s="724"/>
      <c r="K46" s="674"/>
      <c r="O46"/>
      <c r="P46"/>
    </row>
    <row r="47" spans="2:16" ht="15" x14ac:dyDescent="0.2">
      <c r="E47" s="722">
        <f>SUM(E39:E42)</f>
        <v>5.5</v>
      </c>
      <c r="K47" s="674"/>
      <c r="O47"/>
      <c r="P47"/>
    </row>
    <row r="48" spans="2:16" ht="15" x14ac:dyDescent="0.2">
      <c r="B48" s="33" t="s">
        <v>1170</v>
      </c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226"/>
      <c r="O48"/>
      <c r="P48"/>
    </row>
    <row r="49" spans="2:17" ht="15" outlineLevel="1" x14ac:dyDescent="0.2">
      <c r="O49"/>
      <c r="P49"/>
    </row>
    <row r="50" spans="2:17" ht="15" outlineLevel="1" x14ac:dyDescent="0.2">
      <c r="C50" s="688"/>
      <c r="D50" s="687"/>
      <c r="E50" s="687" t="s">
        <v>1207</v>
      </c>
      <c r="F50" s="687" t="s">
        <v>1169</v>
      </c>
      <c r="G50" s="687" t="s">
        <v>1111</v>
      </c>
      <c r="H50" s="687" t="s">
        <v>1211</v>
      </c>
      <c r="I50" s="687" t="s">
        <v>1168</v>
      </c>
      <c r="O50"/>
      <c r="P50"/>
    </row>
    <row r="51" spans="2:17" ht="15" outlineLevel="1" x14ac:dyDescent="0.2">
      <c r="C51" s="662" t="s">
        <v>1167</v>
      </c>
      <c r="D51" s="686"/>
      <c r="E51" s="686" t="s">
        <v>1208</v>
      </c>
      <c r="F51" s="686" t="s">
        <v>1166</v>
      </c>
      <c r="G51" s="686" t="s">
        <v>1165</v>
      </c>
      <c r="H51" s="686" t="s">
        <v>1212</v>
      </c>
      <c r="I51" s="686" t="s">
        <v>1164</v>
      </c>
      <c r="O51"/>
      <c r="P51"/>
    </row>
    <row r="52" spans="2:17" customFormat="1" ht="15" outlineLevel="1" x14ac:dyDescent="0.2">
      <c r="C52" s="658" t="s">
        <v>1204</v>
      </c>
      <c r="H52" s="684">
        <v>0.01</v>
      </c>
      <c r="N52" s="647"/>
      <c r="O52" s="647"/>
      <c r="P52" s="762" t="s">
        <v>1163</v>
      </c>
    </row>
    <row r="53" spans="2:17" ht="13" outlineLevel="1" x14ac:dyDescent="0.2">
      <c r="C53" s="658" t="str">
        <f>C40</f>
        <v xml:space="preserve">Term Loan A </v>
      </c>
      <c r="D53" s="683"/>
      <c r="F53" s="685"/>
      <c r="G53" s="684">
        <v>0.2</v>
      </c>
      <c r="I53" s="684">
        <v>0.5</v>
      </c>
      <c r="P53" s="762" t="s">
        <v>1210</v>
      </c>
    </row>
    <row r="54" spans="2:17" ht="13" outlineLevel="1" x14ac:dyDescent="0.2">
      <c r="C54" s="658" t="str">
        <f>C41</f>
        <v>Term Loan B</v>
      </c>
      <c r="D54" s="683"/>
      <c r="F54" s="685"/>
      <c r="G54" s="684">
        <v>0.05</v>
      </c>
      <c r="I54" s="684">
        <v>0.5</v>
      </c>
      <c r="P54" s="762" t="s">
        <v>1209</v>
      </c>
    </row>
    <row r="55" spans="2:17" ht="13" outlineLevel="1" x14ac:dyDescent="0.2">
      <c r="C55" s="658" t="str">
        <f>+$C$42</f>
        <v>Subordinated Notes:</v>
      </c>
      <c r="D55" s="683"/>
      <c r="E55" s="684">
        <v>0.04</v>
      </c>
      <c r="F55" s="684">
        <v>0.03</v>
      </c>
      <c r="G55" s="683"/>
      <c r="P55" s="762" t="s">
        <v>1215</v>
      </c>
    </row>
    <row r="56" spans="2:17" ht="13" x14ac:dyDescent="0.2">
      <c r="P56" s="762"/>
    </row>
    <row r="57" spans="2:17" ht="15" x14ac:dyDescent="0.2">
      <c r="B57" s="33"/>
      <c r="C57" s="226"/>
      <c r="D57" s="226"/>
      <c r="E57" s="714" t="s">
        <v>1139</v>
      </c>
      <c r="F57" s="714"/>
      <c r="G57" s="714"/>
      <c r="H57" s="715"/>
      <c r="I57" s="715"/>
      <c r="J57" s="716" t="s">
        <v>1138</v>
      </c>
      <c r="K57" s="717"/>
      <c r="L57" s="715"/>
      <c r="M57" s="715"/>
      <c r="N57" s="715"/>
      <c r="P57"/>
      <c r="Q57"/>
    </row>
    <row r="58" spans="2:17" ht="15" x14ac:dyDescent="0.2">
      <c r="B58" s="33" t="s">
        <v>1162</v>
      </c>
      <c r="C58" s="226"/>
      <c r="D58" s="33" t="str">
        <f>$D$5</f>
        <v>Units:</v>
      </c>
      <c r="E58" s="718">
        <v>21</v>
      </c>
      <c r="F58" s="718">
        <f t="shared" ref="F58:N58" si="1">E58+1</f>
        <v>22</v>
      </c>
      <c r="G58" s="718">
        <f t="shared" si="1"/>
        <v>23</v>
      </c>
      <c r="H58" s="718">
        <f t="shared" si="1"/>
        <v>24</v>
      </c>
      <c r="I58" s="718">
        <f t="shared" si="1"/>
        <v>25</v>
      </c>
      <c r="J58" s="719">
        <f t="shared" si="1"/>
        <v>26</v>
      </c>
      <c r="K58" s="720">
        <f t="shared" si="1"/>
        <v>27</v>
      </c>
      <c r="L58" s="720">
        <f t="shared" si="1"/>
        <v>28</v>
      </c>
      <c r="M58" s="720">
        <f t="shared" si="1"/>
        <v>29</v>
      </c>
      <c r="N58" s="720">
        <f t="shared" si="1"/>
        <v>30</v>
      </c>
      <c r="P58"/>
      <c r="Q58"/>
    </row>
    <row r="59" spans="2:17" ht="15" outlineLevel="1" x14ac:dyDescent="0.2">
      <c r="B59" s="678"/>
      <c r="C59" s="677"/>
      <c r="D59" s="676"/>
      <c r="E59" s="749">
        <v>0</v>
      </c>
      <c r="F59" s="675" t="s">
        <v>1239</v>
      </c>
      <c r="G59" s="675"/>
      <c r="H59" s="675"/>
      <c r="I59" s="675"/>
      <c r="J59" s="675"/>
      <c r="K59" s="675"/>
      <c r="L59" s="675"/>
      <c r="M59" s="675"/>
      <c r="N59" s="675"/>
      <c r="P59"/>
      <c r="Q59"/>
    </row>
    <row r="60" spans="2:17" s="681" customFormat="1" ht="15" outlineLevel="1" x14ac:dyDescent="0.2">
      <c r="C60" s="681" t="s">
        <v>1161</v>
      </c>
      <c r="D60" s="748">
        <v>0</v>
      </c>
      <c r="E60" s="749">
        <v>1</v>
      </c>
      <c r="F60" s="675" t="s">
        <v>1240</v>
      </c>
      <c r="G60" s="682"/>
      <c r="H60" s="682"/>
      <c r="I60" s="682"/>
      <c r="J60" s="682"/>
      <c r="K60" s="682"/>
      <c r="L60" s="682"/>
      <c r="M60" s="682"/>
      <c r="N60" s="682"/>
      <c r="P60"/>
      <c r="Q60"/>
    </row>
    <row r="61" spans="2:17" ht="15" outlineLevel="1" x14ac:dyDescent="0.2">
      <c r="B61" s="678"/>
      <c r="C61" s="677"/>
      <c r="D61" s="676"/>
      <c r="E61" s="676"/>
      <c r="F61" s="675"/>
      <c r="G61" s="675"/>
      <c r="H61" s="675"/>
      <c r="I61" s="675"/>
      <c r="J61" s="675"/>
      <c r="K61" s="675"/>
      <c r="L61" s="675"/>
      <c r="M61" s="675"/>
      <c r="N61" s="675"/>
      <c r="P61"/>
      <c r="Q61"/>
    </row>
    <row r="62" spans="2:17" ht="15" outlineLevel="1" x14ac:dyDescent="0.2">
      <c r="B62" s="678"/>
      <c r="C62" s="662" t="s">
        <v>1160</v>
      </c>
      <c r="D62" s="662"/>
      <c r="E62" s="662"/>
      <c r="F62" s="662"/>
      <c r="G62" s="662"/>
      <c r="H62" s="662"/>
      <c r="I62" s="662"/>
      <c r="J62" s="662"/>
      <c r="K62" s="662"/>
      <c r="L62" s="662"/>
      <c r="M62" s="662"/>
      <c r="N62" s="662"/>
      <c r="P62"/>
      <c r="Q62"/>
    </row>
    <row r="63" spans="2:17" customFormat="1" ht="15" outlineLevel="1" x14ac:dyDescent="0.2">
      <c r="C63" s="658" t="s">
        <v>1203</v>
      </c>
      <c r="J63" s="679">
        <v>3.4999999999999996E-2</v>
      </c>
      <c r="K63" s="679">
        <v>3.4999999999999996E-2</v>
      </c>
      <c r="L63" s="679">
        <v>3.7499999999999999E-2</v>
      </c>
      <c r="M63" s="679">
        <v>0.04</v>
      </c>
      <c r="N63" s="679">
        <v>4.2499999999999996E-2</v>
      </c>
    </row>
    <row r="64" spans="2:17" customFormat="1" ht="15" outlineLevel="1" x14ac:dyDescent="0.2">
      <c r="C64" s="658" t="str">
        <f>+$C$39</f>
        <v>Revolver:</v>
      </c>
      <c r="D64" s="680" t="s">
        <v>36</v>
      </c>
      <c r="E64" s="676"/>
      <c r="F64" s="675"/>
      <c r="G64" s="675"/>
      <c r="H64" s="675"/>
      <c r="I64" s="675"/>
      <c r="J64" s="679">
        <f>MAX(J63,1%)+1%</f>
        <v>4.4999999999999998E-2</v>
      </c>
      <c r="K64" s="679">
        <f>MAX(K63,1%)+1%</f>
        <v>4.4999999999999998E-2</v>
      </c>
      <c r="L64" s="679">
        <f>MAX(L63,1%)+1%</f>
        <v>4.7500000000000001E-2</v>
      </c>
      <c r="M64" s="679">
        <f>MAX(M63,1%)+1%</f>
        <v>0.05</v>
      </c>
      <c r="N64" s="679">
        <f>MAX(N63,1%)+1%</f>
        <v>5.2499999999999998E-2</v>
      </c>
    </row>
    <row r="65" spans="2:17" ht="15" outlineLevel="1" x14ac:dyDescent="0.2">
      <c r="B65" s="678"/>
      <c r="C65" s="658" t="str">
        <f>+$C$40</f>
        <v xml:space="preserve">Term Loan A </v>
      </c>
      <c r="D65" s="680" t="s">
        <v>36</v>
      </c>
      <c r="E65" s="676"/>
      <c r="F65" s="675"/>
      <c r="G65" s="675"/>
      <c r="H65" s="675"/>
      <c r="I65" s="675"/>
      <c r="J65" s="679">
        <v>0.05</v>
      </c>
      <c r="K65" s="679">
        <v>0.05</v>
      </c>
      <c r="L65" s="679">
        <v>0.05</v>
      </c>
      <c r="M65" s="679">
        <v>0.05</v>
      </c>
      <c r="N65" s="679">
        <v>5.2500000000000005E-2</v>
      </c>
      <c r="P65"/>
      <c r="Q65"/>
    </row>
    <row r="66" spans="2:17" ht="15" outlineLevel="1" x14ac:dyDescent="0.2">
      <c r="B66" s="678"/>
      <c r="C66" s="658" t="str">
        <f>+C54</f>
        <v>Term Loan B</v>
      </c>
      <c r="D66" s="680" t="s">
        <v>36</v>
      </c>
      <c r="E66" s="676"/>
      <c r="F66" s="675"/>
      <c r="G66" s="675"/>
      <c r="H66" s="675"/>
      <c r="I66" s="675"/>
      <c r="J66" s="679">
        <f>J63+3%</f>
        <v>6.5000000000000002E-2</v>
      </c>
      <c r="K66" s="679">
        <f>K63+3%</f>
        <v>6.5000000000000002E-2</v>
      </c>
      <c r="L66" s="679">
        <f>L63+3%</f>
        <v>6.7500000000000004E-2</v>
      </c>
      <c r="M66" s="679">
        <f>M63+3%</f>
        <v>7.0000000000000007E-2</v>
      </c>
      <c r="N66" s="679">
        <f>N63+3%</f>
        <v>7.2499999999999995E-2</v>
      </c>
      <c r="P66"/>
      <c r="Q66"/>
    </row>
    <row r="67" spans="2:17" ht="15" outlineLevel="1" x14ac:dyDescent="0.2">
      <c r="B67" s="678"/>
      <c r="C67" s="658" t="str">
        <f>+$C$42</f>
        <v>Subordinated Notes:</v>
      </c>
      <c r="D67" s="680" t="s">
        <v>36</v>
      </c>
      <c r="E67" s="676"/>
      <c r="F67" s="675"/>
      <c r="G67" s="675"/>
      <c r="H67" s="675"/>
      <c r="I67" s="675"/>
      <c r="J67" s="679">
        <f>J63+5%</f>
        <v>8.4999999999999992E-2</v>
      </c>
      <c r="K67" s="679">
        <f>K63+5%</f>
        <v>8.4999999999999992E-2</v>
      </c>
      <c r="L67" s="679">
        <f>L63+5%</f>
        <v>8.7499999999999994E-2</v>
      </c>
      <c r="M67" s="679">
        <f>M63+5%</f>
        <v>0.09</v>
      </c>
      <c r="N67" s="679">
        <f>N63+5%</f>
        <v>9.2499999999999999E-2</v>
      </c>
      <c r="P67"/>
      <c r="Q67"/>
    </row>
    <row r="68" spans="2:17" ht="15" outlineLevel="1" x14ac:dyDescent="0.2">
      <c r="B68" s="678"/>
      <c r="C68" s="658" t="s">
        <v>1159</v>
      </c>
      <c r="D68" s="680" t="s">
        <v>36</v>
      </c>
      <c r="E68" s="676"/>
      <c r="F68" s="675"/>
      <c r="G68" s="675"/>
      <c r="H68" s="675"/>
      <c r="I68" s="675"/>
      <c r="J68" s="679">
        <v>5.0000000000000001E-3</v>
      </c>
      <c r="K68" s="679">
        <v>5.0000000000000001E-3</v>
      </c>
      <c r="L68" s="679">
        <v>5.0000000000000001E-3</v>
      </c>
      <c r="M68" s="679">
        <v>5.0000000000000001E-3</v>
      </c>
      <c r="N68" s="679">
        <v>5.0000000000000001E-3</v>
      </c>
      <c r="P68"/>
      <c r="Q68"/>
    </row>
    <row r="69" spans="2:17" ht="15" outlineLevel="1" x14ac:dyDescent="0.2">
      <c r="B69" s="678"/>
      <c r="C69" s="677"/>
      <c r="D69" s="676"/>
      <c r="E69" s="676"/>
      <c r="F69" s="675"/>
      <c r="G69" s="675"/>
      <c r="H69" s="675"/>
      <c r="I69" s="675"/>
      <c r="J69" s="675"/>
      <c r="K69" s="675"/>
      <c r="L69" s="675"/>
      <c r="M69" s="675"/>
      <c r="N69" s="675"/>
      <c r="P69"/>
      <c r="Q69"/>
    </row>
    <row r="70" spans="2:17" ht="15" outlineLevel="1" x14ac:dyDescent="0.2">
      <c r="C70" s="662" t="s">
        <v>1158</v>
      </c>
      <c r="D70" s="662"/>
      <c r="E70" s="662"/>
      <c r="F70" s="662"/>
      <c r="G70" s="662"/>
      <c r="H70" s="662"/>
      <c r="I70" s="662"/>
      <c r="J70" s="662"/>
      <c r="K70" s="662"/>
      <c r="L70" s="662"/>
      <c r="M70" s="662"/>
      <c r="N70" s="662"/>
      <c r="P70"/>
      <c r="Q70"/>
    </row>
    <row r="71" spans="2:17" ht="15" outlineLevel="1" x14ac:dyDescent="0.2">
      <c r="C71" s="658" t="s">
        <v>1133</v>
      </c>
      <c r="D71" s="653" t="s">
        <v>1234</v>
      </c>
      <c r="E71" s="653"/>
      <c r="J71" s="733">
        <f>J135</f>
        <v>596476.75</v>
      </c>
      <c r="K71" s="733">
        <f>K135</f>
        <v>128513.05000000005</v>
      </c>
      <c r="L71" s="733">
        <f>L135</f>
        <v>826622.16936411918</v>
      </c>
      <c r="M71" s="733">
        <f>M135</f>
        <v>2048408.0186357279</v>
      </c>
      <c r="N71" s="733">
        <f>N135</f>
        <v>5255266.7792123342</v>
      </c>
      <c r="P71"/>
      <c r="Q71"/>
    </row>
    <row r="72" spans="2:17" ht="15" outlineLevel="1" x14ac:dyDescent="0.2">
      <c r="C72" s="667" t="s">
        <v>1132</v>
      </c>
      <c r="D72" s="653" t="s">
        <v>1234</v>
      </c>
      <c r="E72" s="653"/>
      <c r="J72" s="659">
        <f>J133</f>
        <v>1514134.6033732034</v>
      </c>
      <c r="K72" s="659">
        <f>K133</f>
        <v>1912483.9557789552</v>
      </c>
      <c r="L72" s="659">
        <f>L133</f>
        <v>2173726.6388168512</v>
      </c>
      <c r="M72" s="659">
        <f>M133</f>
        <v>2560386.9921725974</v>
      </c>
      <c r="N72" s="659">
        <f>N133</f>
        <v>3163214.3506530263</v>
      </c>
      <c r="P72"/>
      <c r="Q72"/>
    </row>
    <row r="73" spans="2:17" ht="15" outlineLevel="1" x14ac:dyDescent="0.2">
      <c r="C73" s="667" t="s">
        <v>1151</v>
      </c>
      <c r="D73" s="653" t="s">
        <v>1234</v>
      </c>
      <c r="E73" s="653"/>
      <c r="J73" s="659">
        <f>J95</f>
        <v>-623951.6</v>
      </c>
      <c r="K73" s="659">
        <f>K95</f>
        <v>-155987.9</v>
      </c>
      <c r="L73" s="659">
        <f>L95</f>
        <v>-155987.9</v>
      </c>
      <c r="M73" s="659">
        <f>M95</f>
        <v>-155987.9</v>
      </c>
      <c r="N73" s="659">
        <f>N95</f>
        <v>0</v>
      </c>
      <c r="P73"/>
      <c r="Q73"/>
    </row>
    <row r="74" spans="2:17" ht="15" outlineLevel="1" x14ac:dyDescent="0.2">
      <c r="C74" s="667" t="s">
        <v>1157</v>
      </c>
      <c r="D74" s="657" t="s">
        <v>1234</v>
      </c>
      <c r="E74" s="657"/>
      <c r="J74" s="669">
        <f>-$E$30</f>
        <v>-596476.75</v>
      </c>
      <c r="K74" s="669">
        <f>-$E$30</f>
        <v>-596476.75</v>
      </c>
      <c r="L74" s="669">
        <f>-$E$30</f>
        <v>-596476.75</v>
      </c>
      <c r="M74" s="669">
        <f>-$E$30</f>
        <v>-596476.75</v>
      </c>
      <c r="N74" s="669">
        <f>-$E$30</f>
        <v>-596476.75</v>
      </c>
      <c r="P74"/>
      <c r="Q74"/>
    </row>
    <row r="75" spans="2:17" ht="15" outlineLevel="1" x14ac:dyDescent="0.2">
      <c r="C75" s="666" t="s">
        <v>1156</v>
      </c>
      <c r="D75" s="653" t="s">
        <v>1234</v>
      </c>
      <c r="E75" s="653"/>
      <c r="F75" s="665"/>
      <c r="G75" s="665"/>
      <c r="H75" s="665"/>
      <c r="I75" s="665"/>
      <c r="J75" s="663">
        <f>IF($D$60="ON",0,SUM(J71:J74))</f>
        <v>890183.00337320333</v>
      </c>
      <c r="K75" s="663">
        <f>IF($D$60="ON",0,SUM(K71:K74))</f>
        <v>1288532.3557789554</v>
      </c>
      <c r="L75" s="663">
        <f>IF($D$60="ON",0,SUM(L71:L74))</f>
        <v>2247884.1581809702</v>
      </c>
      <c r="M75" s="663">
        <f>IF($D$60="ON",0,SUM(M71:M74))</f>
        <v>3856330.360808325</v>
      </c>
      <c r="N75" s="663">
        <f>IF($D$60="ON",0,SUM(N71:N74))</f>
        <v>7822004.3798653595</v>
      </c>
      <c r="P75"/>
      <c r="Q75"/>
    </row>
    <row r="76" spans="2:17" ht="15" outlineLevel="1" x14ac:dyDescent="0.2">
      <c r="C76" s="658"/>
      <c r="P76"/>
      <c r="Q76"/>
    </row>
    <row r="77" spans="2:17" ht="15" outlineLevel="1" x14ac:dyDescent="0.2">
      <c r="C77" s="737" t="s">
        <v>1246</v>
      </c>
      <c r="P77"/>
      <c r="Q77"/>
    </row>
    <row r="78" spans="2:17" ht="15" outlineLevel="1" x14ac:dyDescent="0.2">
      <c r="C78" s="667" t="s">
        <v>1155</v>
      </c>
      <c r="D78" s="653" t="s">
        <v>1234</v>
      </c>
      <c r="E78" s="653"/>
      <c r="J78" s="659">
        <f>I80</f>
        <v>1559879</v>
      </c>
      <c r="K78" s="659">
        <f>J80</f>
        <v>669695.99662679667</v>
      </c>
      <c r="L78" s="659">
        <f>K80</f>
        <v>0</v>
      </c>
      <c r="M78" s="659">
        <f>L80</f>
        <v>0</v>
      </c>
      <c r="N78" s="659">
        <f>M80</f>
        <v>0</v>
      </c>
      <c r="P78"/>
      <c r="Q78"/>
    </row>
    <row r="79" spans="2:17" ht="15" outlineLevel="1" x14ac:dyDescent="0.2">
      <c r="C79" s="673" t="s">
        <v>1154</v>
      </c>
      <c r="D79" s="657" t="s">
        <v>1234</v>
      </c>
      <c r="E79" s="657"/>
      <c r="F79" s="672"/>
      <c r="G79" s="672"/>
      <c r="H79" s="672"/>
      <c r="I79" s="672"/>
      <c r="J79" s="669">
        <f>IF(J75&gt;0,-MIN(J75,J78),-J75)</f>
        <v>-890183.00337320333</v>
      </c>
      <c r="K79" s="669">
        <f>IF(K75&gt;0,-MIN(K75,K78),-K75)</f>
        <v>-669695.99662679667</v>
      </c>
      <c r="L79" s="669">
        <f>IF(L75&gt;0,-MIN(L75,L78),-L75)</f>
        <v>0</v>
      </c>
      <c r="M79" s="669">
        <f>IF(M75&gt;0,-MIN(M75,M78),-M75)</f>
        <v>0</v>
      </c>
      <c r="N79" s="669">
        <f>IF(N75&gt;0,-MIN(N75,N78),-N75)</f>
        <v>0</v>
      </c>
      <c r="P79"/>
      <c r="Q79"/>
    </row>
    <row r="80" spans="2:17" ht="15" outlineLevel="1" x14ac:dyDescent="0.2">
      <c r="C80" s="671" t="s">
        <v>1153</v>
      </c>
      <c r="D80" s="653" t="s">
        <v>1234</v>
      </c>
      <c r="E80" s="653"/>
      <c r="I80" s="670">
        <f>D39</f>
        <v>1559879</v>
      </c>
      <c r="J80" s="663">
        <f>SUM(J78:J79)</f>
        <v>669695.99662679667</v>
      </c>
      <c r="K80" s="663">
        <f>SUM(K78:K79)</f>
        <v>0</v>
      </c>
      <c r="L80" s="663">
        <f>SUM(L78:L79)</f>
        <v>0</v>
      </c>
      <c r="M80" s="663">
        <f>SUM(M78:M79)</f>
        <v>0</v>
      </c>
      <c r="N80" s="663">
        <f>SUM(N78:N79)</f>
        <v>0</v>
      </c>
      <c r="P80"/>
      <c r="Q80"/>
    </row>
    <row r="81" spans="3:17" customFormat="1" ht="15" outlineLevel="1" x14ac:dyDescent="0.2"/>
    <row r="82" spans="3:17" ht="15" outlineLevel="1" x14ac:dyDescent="0.2">
      <c r="C82" s="741" t="s">
        <v>1247</v>
      </c>
      <c r="D82" s="734" t="s">
        <v>36</v>
      </c>
      <c r="E82" s="734"/>
      <c r="F82" s="665"/>
      <c r="G82" s="665"/>
      <c r="H82" s="665"/>
      <c r="I82" s="665"/>
      <c r="J82" s="742">
        <f t="shared" ref="J82:O82" si="2">J64</f>
        <v>4.4999999999999998E-2</v>
      </c>
      <c r="K82" s="742">
        <f t="shared" si="2"/>
        <v>4.4999999999999998E-2</v>
      </c>
      <c r="L82" s="742">
        <f t="shared" si="2"/>
        <v>4.7500000000000001E-2</v>
      </c>
      <c r="M82" s="742">
        <f t="shared" si="2"/>
        <v>0.05</v>
      </c>
      <c r="N82" s="742">
        <f t="shared" si="2"/>
        <v>5.2499999999999998E-2</v>
      </c>
      <c r="O82" s="743">
        <f t="shared" si="2"/>
        <v>0</v>
      </c>
      <c r="P82"/>
      <c r="Q82"/>
    </row>
    <row r="83" spans="3:17" ht="15" outlineLevel="1" x14ac:dyDescent="0.2">
      <c r="C83" s="744" t="s">
        <v>1142</v>
      </c>
      <c r="D83" s="657" t="s">
        <v>1234</v>
      </c>
      <c r="E83" s="657"/>
      <c r="F83" s="672"/>
      <c r="G83" s="672"/>
      <c r="H83" s="672"/>
      <c r="I83" s="672"/>
      <c r="J83" s="669">
        <f>J78*J64</f>
        <v>70194.554999999993</v>
      </c>
      <c r="K83" s="669">
        <f>K78*K64</f>
        <v>30136.319848205851</v>
      </c>
      <c r="L83" s="669">
        <f>L78*L64</f>
        <v>0</v>
      </c>
      <c r="M83" s="669">
        <f>M78*M64</f>
        <v>0</v>
      </c>
      <c r="N83" s="669">
        <f>N78*N64</f>
        <v>0</v>
      </c>
      <c r="O83" s="745"/>
      <c r="P83"/>
      <c r="Q83"/>
    </row>
    <row r="84" spans="3:17" ht="15" outlineLevel="1" x14ac:dyDescent="0.2">
      <c r="C84" s="658"/>
      <c r="D84" s="653"/>
      <c r="E84" s="653"/>
      <c r="J84" s="659"/>
      <c r="K84" s="659"/>
      <c r="L84" s="659"/>
      <c r="M84" s="659"/>
      <c r="N84" s="659"/>
      <c r="P84"/>
      <c r="Q84"/>
    </row>
    <row r="85" spans="3:17" ht="15" outlineLevel="1" x14ac:dyDescent="0.2">
      <c r="C85" s="737" t="s">
        <v>1243</v>
      </c>
      <c r="D85" s="653"/>
      <c r="E85" s="653"/>
      <c r="G85" s="738" t="s">
        <v>1244</v>
      </c>
      <c r="J85" s="659"/>
      <c r="K85" s="659"/>
      <c r="L85" s="659"/>
      <c r="M85" s="659"/>
      <c r="N85" s="659"/>
      <c r="P85"/>
      <c r="Q85"/>
    </row>
    <row r="86" spans="3:17" ht="15" outlineLevel="1" x14ac:dyDescent="0.2">
      <c r="C86" s="667" t="s">
        <v>1155</v>
      </c>
      <c r="D86" s="653" t="s">
        <v>1234</v>
      </c>
      <c r="E86" s="653"/>
      <c r="G86" s="670">
        <f>E34</f>
        <v>3590662.5</v>
      </c>
      <c r="J86" s="659">
        <f>I88</f>
        <v>2030783.5</v>
      </c>
      <c r="K86" s="659">
        <f>J88</f>
        <v>2920966.5033732033</v>
      </c>
      <c r="L86" s="659">
        <f>K88</f>
        <v>3590662.5</v>
      </c>
      <c r="M86" s="659">
        <f>L88</f>
        <v>3590662.5</v>
      </c>
      <c r="N86" s="659">
        <f>M88</f>
        <v>3590662.5</v>
      </c>
      <c r="P86"/>
      <c r="Q86"/>
    </row>
    <row r="87" spans="3:17" ht="15" outlineLevel="1" x14ac:dyDescent="0.2">
      <c r="C87" s="673" t="s">
        <v>1154</v>
      </c>
      <c r="D87" s="657" t="s">
        <v>1234</v>
      </c>
      <c r="E87" s="657"/>
      <c r="F87" s="672"/>
      <c r="G87" s="672"/>
      <c r="H87" s="672"/>
      <c r="I87" s="672"/>
      <c r="J87" s="669">
        <f>-J79</f>
        <v>890183.00337320333</v>
      </c>
      <c r="K87" s="669">
        <f>-K79</f>
        <v>669695.99662679667</v>
      </c>
      <c r="L87" s="669">
        <f>-L79</f>
        <v>0</v>
      </c>
      <c r="M87" s="669">
        <f>-M79</f>
        <v>0</v>
      </c>
      <c r="N87" s="669">
        <f>-N79</f>
        <v>0</v>
      </c>
      <c r="P87"/>
      <c r="Q87"/>
    </row>
    <row r="88" spans="3:17" ht="15" outlineLevel="1" x14ac:dyDescent="0.2">
      <c r="C88" s="671" t="s">
        <v>1153</v>
      </c>
      <c r="D88" s="653" t="s">
        <v>1234</v>
      </c>
      <c r="E88" s="653"/>
      <c r="I88" s="670">
        <f>G86-I80</f>
        <v>2030783.5</v>
      </c>
      <c r="J88" s="663">
        <f>SUM(J86:J87)</f>
        <v>2920966.5033732033</v>
      </c>
      <c r="K88" s="663">
        <f>SUM(K86:K87)</f>
        <v>3590662.5</v>
      </c>
      <c r="L88" s="663">
        <f>SUM(L86:L87)</f>
        <v>3590662.5</v>
      </c>
      <c r="M88" s="663">
        <f>SUM(M86:M87)</f>
        <v>3590662.5</v>
      </c>
      <c r="N88" s="663">
        <f>SUM(N86:N87)</f>
        <v>3590662.5</v>
      </c>
      <c r="P88"/>
      <c r="Q88"/>
    </row>
    <row r="89" spans="3:17" customFormat="1" ht="15" outlineLevel="1" x14ac:dyDescent="0.2"/>
    <row r="90" spans="3:17" ht="15" outlineLevel="1" x14ac:dyDescent="0.2">
      <c r="C90" s="741" t="s">
        <v>1248</v>
      </c>
      <c r="D90" s="734" t="s">
        <v>36</v>
      </c>
      <c r="E90" s="734"/>
      <c r="F90" s="665"/>
      <c r="G90" s="665"/>
      <c r="H90" s="665"/>
      <c r="I90" s="665"/>
      <c r="J90" s="742">
        <f t="shared" ref="J90:O90" si="3">$H$52</f>
        <v>0.01</v>
      </c>
      <c r="K90" s="742">
        <f t="shared" si="3"/>
        <v>0.01</v>
      </c>
      <c r="L90" s="742">
        <f t="shared" si="3"/>
        <v>0.01</v>
      </c>
      <c r="M90" s="742">
        <f t="shared" si="3"/>
        <v>0.01</v>
      </c>
      <c r="N90" s="746">
        <f t="shared" si="3"/>
        <v>0.01</v>
      </c>
      <c r="O90" s="740">
        <f t="shared" si="3"/>
        <v>0.01</v>
      </c>
      <c r="P90"/>
      <c r="Q90"/>
    </row>
    <row r="91" spans="3:17" ht="15" outlineLevel="1" x14ac:dyDescent="0.2">
      <c r="C91" s="744" t="s">
        <v>1249</v>
      </c>
      <c r="D91" s="657" t="s">
        <v>1234</v>
      </c>
      <c r="E91" s="657"/>
      <c r="F91" s="672"/>
      <c r="G91" s="672"/>
      <c r="H91" s="672"/>
      <c r="I91" s="672"/>
      <c r="J91" s="669">
        <f t="shared" ref="J91:O91" si="4">J88*J90</f>
        <v>29209.665033732035</v>
      </c>
      <c r="K91" s="669">
        <f t="shared" si="4"/>
        <v>35906.625</v>
      </c>
      <c r="L91" s="669">
        <f t="shared" si="4"/>
        <v>35906.625</v>
      </c>
      <c r="M91" s="669">
        <f t="shared" si="4"/>
        <v>35906.625</v>
      </c>
      <c r="N91" s="747">
        <f t="shared" si="4"/>
        <v>35906.625</v>
      </c>
      <c r="O91" s="659">
        <f t="shared" si="4"/>
        <v>0</v>
      </c>
      <c r="P91"/>
      <c r="Q91"/>
    </row>
    <row r="92" spans="3:17" ht="15" outlineLevel="1" x14ac:dyDescent="0.2">
      <c r="C92" s="658"/>
      <c r="D92" s="653"/>
      <c r="E92" s="653"/>
      <c r="J92" s="659"/>
      <c r="K92" s="659"/>
      <c r="L92" s="659"/>
      <c r="M92" s="659"/>
      <c r="N92" s="659"/>
      <c r="P92"/>
      <c r="Q92"/>
    </row>
    <row r="93" spans="3:17" ht="15" outlineLevel="1" x14ac:dyDescent="0.2">
      <c r="C93" s="662" t="s">
        <v>1241</v>
      </c>
      <c r="D93" s="662"/>
      <c r="E93" s="662"/>
      <c r="F93" s="662"/>
      <c r="G93" s="662"/>
      <c r="H93" s="662"/>
      <c r="I93" s="662"/>
      <c r="J93" s="662"/>
      <c r="K93" s="662"/>
      <c r="L93" s="662"/>
      <c r="M93" s="662"/>
      <c r="N93" s="662"/>
      <c r="P93"/>
      <c r="Q93"/>
    </row>
    <row r="94" spans="3:17" ht="15" outlineLevel="1" x14ac:dyDescent="0.2">
      <c r="C94" s="658" t="s">
        <v>1152</v>
      </c>
      <c r="D94" s="653" t="s">
        <v>1234</v>
      </c>
      <c r="E94" s="653"/>
      <c r="J94" s="659">
        <f>I97</f>
        <v>3119758</v>
      </c>
      <c r="K94" s="659">
        <f>J97</f>
        <v>2495806.4</v>
      </c>
      <c r="L94" s="659">
        <f>K97</f>
        <v>2030400.3204239206</v>
      </c>
      <c r="M94" s="659">
        <f>L97</f>
        <v>750470.34133343562</v>
      </c>
      <c r="N94" s="659">
        <f>M97</f>
        <v>0</v>
      </c>
      <c r="P94"/>
      <c r="Q94"/>
    </row>
    <row r="95" spans="3:17" ht="15" outlineLevel="1" x14ac:dyDescent="0.2">
      <c r="C95" s="667" t="s">
        <v>1151</v>
      </c>
      <c r="D95" s="653" t="s">
        <v>1234</v>
      </c>
      <c r="E95" s="653"/>
      <c r="J95" s="659">
        <f>-MIN(J94,$I$97*$G$53)</f>
        <v>-623951.6</v>
      </c>
      <c r="K95" s="659">
        <f>-MIN(K94,$I$97*$G$54)</f>
        <v>-155987.9</v>
      </c>
      <c r="L95" s="659">
        <f>-MIN(L94,$I$97*$G$54)</f>
        <v>-155987.9</v>
      </c>
      <c r="M95" s="659">
        <f>-MIN(M94,$I$97*$G$54)</f>
        <v>-155987.9</v>
      </c>
      <c r="N95" s="659">
        <f>-MIN(N94,$I$97*$G$54)</f>
        <v>0</v>
      </c>
      <c r="P95"/>
      <c r="Q95"/>
    </row>
    <row r="96" spans="3:17" ht="15" outlineLevel="1" x14ac:dyDescent="0.2">
      <c r="C96" s="667" t="s">
        <v>1150</v>
      </c>
      <c r="D96" s="657" t="s">
        <v>1234</v>
      </c>
      <c r="E96" s="657"/>
      <c r="J96" s="669">
        <f>IF(J75+J79&gt;0,-MIN((J75+J79)*$I$54,SUM(J94:J95)),0)</f>
        <v>0</v>
      </c>
      <c r="K96" s="669">
        <f>IF(K75+K79&gt;0,-MIN((K75+K79)*$I$54,SUM(K94:K95)),0)</f>
        <v>-309418.17957607936</v>
      </c>
      <c r="L96" s="669">
        <f>IF(L75+L79&gt;0,-MIN((L75+L79)*$I$54,SUM(L94:L95)),0)</f>
        <v>-1123942.0790904851</v>
      </c>
      <c r="M96" s="669">
        <f>IF(M75+M79&gt;0,-MIN((M75+M79)*$I$54,SUM(M94:M95)),0)</f>
        <v>-594482.44133343559</v>
      </c>
      <c r="N96" s="669">
        <f>IF(N75+N79&gt;0,-MIN((N75+N79)*$I$54,SUM(N94:N95)),0)</f>
        <v>0</v>
      </c>
      <c r="P96"/>
      <c r="Q96"/>
    </row>
    <row r="97" spans="3:17" ht="15" outlineLevel="1" x14ac:dyDescent="0.2">
      <c r="C97" s="666" t="s">
        <v>1149</v>
      </c>
      <c r="D97" s="653" t="s">
        <v>1234</v>
      </c>
      <c r="E97" s="653"/>
      <c r="F97" s="665"/>
      <c r="G97" s="665"/>
      <c r="H97" s="665"/>
      <c r="I97" s="664">
        <f>D40</f>
        <v>3119758</v>
      </c>
      <c r="J97" s="663">
        <f>SUM(J94:J96)</f>
        <v>2495806.4</v>
      </c>
      <c r="K97" s="663">
        <f>SUM(K94:K96)</f>
        <v>2030400.3204239206</v>
      </c>
      <c r="L97" s="663">
        <f>SUM(L94:L96)</f>
        <v>750470.34133343562</v>
      </c>
      <c r="M97" s="663">
        <f>SUM(M94:M96)</f>
        <v>0</v>
      </c>
      <c r="N97" s="663">
        <f>SUM(N94:N96)</f>
        <v>0</v>
      </c>
      <c r="P97"/>
      <c r="Q97"/>
    </row>
    <row r="98" spans="3:17" ht="15" outlineLevel="1" x14ac:dyDescent="0.2">
      <c r="C98" s="671"/>
      <c r="D98" s="653"/>
      <c r="E98" s="653"/>
      <c r="I98"/>
      <c r="J98" s="663"/>
      <c r="K98" s="663"/>
      <c r="L98" s="663"/>
      <c r="M98" s="663"/>
      <c r="N98" s="663"/>
      <c r="P98"/>
      <c r="Q98"/>
    </row>
    <row r="99" spans="3:17" ht="15" outlineLevel="1" x14ac:dyDescent="0.2">
      <c r="C99" s="741" t="s">
        <v>1160</v>
      </c>
      <c r="D99" s="734" t="s">
        <v>1234</v>
      </c>
      <c r="E99" s="734"/>
      <c r="F99" s="665"/>
      <c r="G99" s="665"/>
      <c r="H99" s="665"/>
      <c r="I99" s="665"/>
      <c r="J99" s="742">
        <f>J65</f>
        <v>0.05</v>
      </c>
      <c r="K99" s="742">
        <f>K65</f>
        <v>0.05</v>
      </c>
      <c r="L99" s="742">
        <f>L65</f>
        <v>0.05</v>
      </c>
      <c r="M99" s="742">
        <f>M65</f>
        <v>0.05</v>
      </c>
      <c r="N99" s="742">
        <f>N65</f>
        <v>5.2500000000000005E-2</v>
      </c>
      <c r="P99"/>
      <c r="Q99"/>
    </row>
    <row r="100" spans="3:17" ht="15" outlineLevel="1" x14ac:dyDescent="0.2">
      <c r="C100" s="744" t="s">
        <v>1142</v>
      </c>
      <c r="D100" s="657" t="s">
        <v>1234</v>
      </c>
      <c r="E100" s="657"/>
      <c r="F100" s="672"/>
      <c r="G100" s="672"/>
      <c r="H100" s="672"/>
      <c r="I100" s="672"/>
      <c r="J100" s="669">
        <f>IF($D$60=0,AVERAGE(J94,J97)*J99,J94*J99)</f>
        <v>140389.11000000002</v>
      </c>
      <c r="K100" s="669">
        <f>IF($D$60=0,AVERAGE(K94,K97)*K99,K94*K99)</f>
        <v>113155.168010598</v>
      </c>
      <c r="L100" s="669">
        <f>IF($D$60=0,AVERAGE(L94,L97)*L99,L94*L99)</f>
        <v>69521.766543933918</v>
      </c>
      <c r="M100" s="669">
        <f>IF($D$60=0,AVERAGE(M94,M97)*M99,M94*M99)</f>
        <v>18761.758533335891</v>
      </c>
      <c r="N100" s="747">
        <f>IF($D$60=0,AVERAGE(N94,N97)*N99,N94*N99)</f>
        <v>0</v>
      </c>
      <c r="P100"/>
      <c r="Q100"/>
    </row>
    <row r="101" spans="3:17" ht="15" outlineLevel="1" x14ac:dyDescent="0.2">
      <c r="C101" s="658"/>
      <c r="D101" s="653"/>
      <c r="E101" s="653"/>
      <c r="J101" s="659"/>
      <c r="K101" s="659"/>
      <c r="L101" s="659"/>
      <c r="M101" s="659"/>
      <c r="N101" s="659"/>
      <c r="P101"/>
      <c r="Q101"/>
    </row>
    <row r="102" spans="3:17" ht="15" outlineLevel="1" x14ac:dyDescent="0.2">
      <c r="C102" s="662" t="s">
        <v>1242</v>
      </c>
      <c r="D102" s="662"/>
      <c r="E102" s="662"/>
      <c r="F102" s="662"/>
      <c r="G102" s="662"/>
      <c r="H102" s="662"/>
      <c r="I102" s="662"/>
      <c r="J102" s="662"/>
      <c r="K102" s="662"/>
      <c r="L102" s="662"/>
      <c r="M102" s="662"/>
      <c r="N102" s="662"/>
      <c r="P102"/>
      <c r="Q102"/>
    </row>
    <row r="103" spans="3:17" ht="15" outlineLevel="1" x14ac:dyDescent="0.2">
      <c r="C103" s="658" t="s">
        <v>1152</v>
      </c>
      <c r="D103" s="653" t="s">
        <v>1234</v>
      </c>
      <c r="E103" s="653"/>
      <c r="J103" s="659">
        <f>I106</f>
        <v>9359274</v>
      </c>
      <c r="K103" s="659">
        <f>J106</f>
        <v>8891310.3000000007</v>
      </c>
      <c r="L103" s="659">
        <f>K106</f>
        <v>8812037.5397880394</v>
      </c>
      <c r="M103" s="659">
        <f>L106</f>
        <v>9140026.7293332815</v>
      </c>
      <c r="N103" s="659">
        <f>M106</f>
        <v>10536968.839070726</v>
      </c>
      <c r="P103"/>
      <c r="Q103"/>
    </row>
    <row r="104" spans="3:17" ht="15" outlineLevel="1" x14ac:dyDescent="0.2">
      <c r="C104" s="667" t="s">
        <v>1151</v>
      </c>
      <c r="D104" s="653" t="s">
        <v>1234</v>
      </c>
      <c r="E104" s="653"/>
      <c r="J104" s="659">
        <f>-MIN(J103,$I$106*$G$54)</f>
        <v>-467963.7</v>
      </c>
      <c r="K104" s="659">
        <f>-MIN(K103,$I$97*$G$54)</f>
        <v>-155987.9</v>
      </c>
      <c r="L104" s="659">
        <f>-MIN(L103,$I$97*$G$54)</f>
        <v>-155987.9</v>
      </c>
      <c r="M104" s="659">
        <f>-MIN(M103,$I$97*$G$54)</f>
        <v>-155987.9</v>
      </c>
      <c r="N104" s="659">
        <f>-MIN(N103,$I$97*$G$54)</f>
        <v>-155987.9</v>
      </c>
      <c r="P104"/>
      <c r="Q104"/>
    </row>
    <row r="105" spans="3:17" ht="15" outlineLevel="1" x14ac:dyDescent="0.2">
      <c r="C105" s="667" t="s">
        <v>1150</v>
      </c>
      <c r="D105" s="657" t="s">
        <v>1234</v>
      </c>
      <c r="E105" s="657"/>
      <c r="J105" s="669">
        <f>IF(J75+J79+J95+J96&gt;0,-MIN((J75+J79+J95+J96)*$I$54,SUM(J103:J104)),0)</f>
        <v>0</v>
      </c>
      <c r="K105" s="669">
        <f>IF(K75+K79+K95+K96&gt;0,MIN((K75+K79+K95+K96)*$I$54,SUM(K103:K104)),0)</f>
        <v>76715.139788039669</v>
      </c>
      <c r="L105" s="669">
        <f>IF(L75+L79+L95+L96&gt;0,MIN((L75+L79+L95+L96)*$I$54,SUM(L103:L104)),0)</f>
        <v>483977.0895452426</v>
      </c>
      <c r="M105" s="669">
        <f>IF(M75+M79+M95+M96&gt;0,MIN((M75+M79+M95+M96)*$I$54,SUM(M103:M104)),0)</f>
        <v>1552930.0097374448</v>
      </c>
      <c r="N105" s="669">
        <f>IF(N75+N79+N95+N96&gt;0,MIN((N75+N79+N95+N96)*$I$54,SUM(N103:N104)),0)</f>
        <v>3911002.1899326798</v>
      </c>
      <c r="P105"/>
      <c r="Q105"/>
    </row>
    <row r="106" spans="3:17" ht="15" outlineLevel="1" x14ac:dyDescent="0.2">
      <c r="C106" s="666" t="s">
        <v>1149</v>
      </c>
      <c r="D106" s="653" t="s">
        <v>1234</v>
      </c>
      <c r="E106" s="653"/>
      <c r="F106" s="665"/>
      <c r="G106" s="665"/>
      <c r="H106" s="665"/>
      <c r="I106" s="664">
        <f>D41</f>
        <v>9359274</v>
      </c>
      <c r="J106" s="663">
        <f>SUM(J103:J105)</f>
        <v>8891310.3000000007</v>
      </c>
      <c r="K106" s="663">
        <f>SUM(K103:K105)</f>
        <v>8812037.5397880394</v>
      </c>
      <c r="L106" s="663">
        <f>SUM(L103:L105)</f>
        <v>9140026.7293332815</v>
      </c>
      <c r="M106" s="663">
        <f>SUM(M103:M105)</f>
        <v>10536968.839070726</v>
      </c>
      <c r="N106" s="663">
        <f>SUM(N103:N105)</f>
        <v>14291983.129003406</v>
      </c>
      <c r="P106"/>
      <c r="Q106"/>
    </row>
    <row r="107" spans="3:17" ht="15" outlineLevel="1" x14ac:dyDescent="0.2">
      <c r="C107" s="671"/>
      <c r="D107" s="653"/>
      <c r="E107" s="653"/>
      <c r="I107"/>
      <c r="J107" s="663"/>
      <c r="K107" s="663"/>
      <c r="L107" s="663"/>
      <c r="M107" s="663"/>
      <c r="N107" s="663"/>
      <c r="P107"/>
      <c r="Q107"/>
    </row>
    <row r="108" spans="3:17" customFormat="1" ht="15" outlineLevel="1" x14ac:dyDescent="0.2">
      <c r="C108" s="741" t="s">
        <v>1160</v>
      </c>
      <c r="D108" s="734" t="s">
        <v>36</v>
      </c>
      <c r="E108" s="734"/>
      <c r="F108" s="665"/>
      <c r="G108" s="665"/>
      <c r="H108" s="665"/>
      <c r="I108" s="665"/>
      <c r="J108" s="742">
        <f>J66</f>
        <v>6.5000000000000002E-2</v>
      </c>
      <c r="K108" s="742">
        <f>K66</f>
        <v>6.5000000000000002E-2</v>
      </c>
      <c r="L108" s="742">
        <f>L66</f>
        <v>6.7500000000000004E-2</v>
      </c>
      <c r="M108" s="742">
        <f>M66</f>
        <v>7.0000000000000007E-2</v>
      </c>
      <c r="N108" s="746">
        <f>N66</f>
        <v>7.2499999999999995E-2</v>
      </c>
    </row>
    <row r="109" spans="3:17" ht="15" outlineLevel="1" x14ac:dyDescent="0.2">
      <c r="C109" s="744" t="s">
        <v>1142</v>
      </c>
      <c r="D109" s="657" t="s">
        <v>1234</v>
      </c>
      <c r="E109" s="657"/>
      <c r="F109" s="672"/>
      <c r="G109" s="672"/>
      <c r="H109" s="672"/>
      <c r="I109" s="672"/>
      <c r="J109" s="669">
        <f>IF($D$60=0,AVERAGE(J103,J106)*J108,J103*J108)</f>
        <v>593143.98975000007</v>
      </c>
      <c r="K109" s="669">
        <f>IF($D$60=0,AVERAGE(K103,K106)*K108,K103*K108)</f>
        <v>575358.8047931114</v>
      </c>
      <c r="L109" s="669">
        <f>IF($D$60=0,AVERAGE(L103,L106)*L108,L103*L108)</f>
        <v>605882.16908284451</v>
      </c>
      <c r="M109" s="669">
        <f>IF($D$60=0,AVERAGE(M103,M106)*M108,M103*M108)</f>
        <v>688694.84489414038</v>
      </c>
      <c r="N109" s="747">
        <f>IF($D$60=0,AVERAGE(N103,N106)*N108,N103*N108)</f>
        <v>900049.50884268724</v>
      </c>
      <c r="P109"/>
      <c r="Q109"/>
    </row>
    <row r="110" spans="3:17" ht="15" outlineLevel="1" x14ac:dyDescent="0.2">
      <c r="C110" s="658"/>
      <c r="J110" s="668"/>
      <c r="K110" s="668"/>
      <c r="L110" s="668"/>
      <c r="M110" s="668"/>
      <c r="N110" s="668"/>
      <c r="P110"/>
      <c r="Q110"/>
    </row>
    <row r="111" spans="3:17" ht="15" outlineLevel="1" x14ac:dyDescent="0.2">
      <c r="C111" s="662" t="s">
        <v>1148</v>
      </c>
      <c r="D111" s="662"/>
      <c r="E111" s="662"/>
      <c r="F111" s="662"/>
      <c r="G111" s="662"/>
      <c r="H111" s="662"/>
      <c r="I111" s="662"/>
      <c r="J111" s="662"/>
      <c r="K111" s="662"/>
      <c r="L111" s="662"/>
      <c r="M111" s="662"/>
      <c r="N111" s="662"/>
      <c r="P111"/>
      <c r="Q111"/>
    </row>
    <row r="112" spans="3:17" ht="15" outlineLevel="1" x14ac:dyDescent="0.2">
      <c r="C112" s="658" t="s">
        <v>1147</v>
      </c>
      <c r="D112" s="653" t="s">
        <v>1234</v>
      </c>
      <c r="E112" s="653"/>
      <c r="J112" s="659">
        <f>I114</f>
        <v>3119758</v>
      </c>
      <c r="K112" s="659">
        <f>J114</f>
        <v>3213350.74</v>
      </c>
      <c r="L112" s="659">
        <f>K114</f>
        <v>3309751.2622000002</v>
      </c>
      <c r="M112" s="659">
        <f>L114</f>
        <v>3409043.8000660003</v>
      </c>
      <c r="N112" s="659">
        <f>M114</f>
        <v>3511315.1140679801</v>
      </c>
      <c r="P112"/>
      <c r="Q112"/>
    </row>
    <row r="113" spans="2:20" ht="15" outlineLevel="1" x14ac:dyDescent="0.2">
      <c r="C113" s="667" t="s">
        <v>1145</v>
      </c>
      <c r="D113" s="657" t="s">
        <v>1234</v>
      </c>
      <c r="E113" s="657"/>
      <c r="J113" s="655">
        <f>J112*$F$55</f>
        <v>93592.739999999991</v>
      </c>
      <c r="K113" s="655">
        <f>K112*$F$55</f>
        <v>96400.522200000007</v>
      </c>
      <c r="L113" s="655">
        <f>L112*$F$55</f>
        <v>99292.537865999999</v>
      </c>
      <c r="M113" s="655">
        <f>M112*$F$55</f>
        <v>102271.31400198</v>
      </c>
      <c r="N113" s="655">
        <f>N112*$F$55</f>
        <v>105339.4534220394</v>
      </c>
      <c r="P113"/>
      <c r="Q113"/>
    </row>
    <row r="114" spans="2:20" ht="15" outlineLevel="1" x14ac:dyDescent="0.2">
      <c r="C114" s="666" t="s">
        <v>1146</v>
      </c>
      <c r="D114" s="653" t="s">
        <v>1234</v>
      </c>
      <c r="E114" s="653"/>
      <c r="F114" s="665"/>
      <c r="G114" s="665"/>
      <c r="H114" s="665"/>
      <c r="I114" s="664">
        <f>D42</f>
        <v>3119758</v>
      </c>
      <c r="J114" s="659">
        <f>SUM(J112:J113)</f>
        <v>3213350.74</v>
      </c>
      <c r="K114" s="659">
        <f>SUM(K112:K113)</f>
        <v>3309751.2622000002</v>
      </c>
      <c r="L114" s="659">
        <f>SUM(L112:L113)</f>
        <v>3409043.8000660003</v>
      </c>
      <c r="M114" s="659">
        <f>SUM(M112:M113)</f>
        <v>3511315.1140679801</v>
      </c>
      <c r="N114" s="659">
        <f>SUM(N112:N113)</f>
        <v>3616654.5674900194</v>
      </c>
      <c r="P114"/>
      <c r="Q114"/>
    </row>
    <row r="115" spans="2:20" ht="15" outlineLevel="1" x14ac:dyDescent="0.2">
      <c r="C115" s="671"/>
      <c r="D115" s="653"/>
      <c r="E115" s="653"/>
      <c r="I115"/>
      <c r="J115" s="659"/>
      <c r="K115" s="659"/>
      <c r="L115" s="659"/>
      <c r="M115" s="659"/>
      <c r="N115" s="659"/>
      <c r="P115"/>
      <c r="Q115"/>
    </row>
    <row r="116" spans="2:20" ht="15" outlineLevel="1" x14ac:dyDescent="0.2">
      <c r="C116" s="741" t="s">
        <v>1160</v>
      </c>
      <c r="D116" s="734" t="s">
        <v>36</v>
      </c>
      <c r="E116" s="734"/>
      <c r="F116" s="665"/>
      <c r="G116" s="665"/>
      <c r="H116" s="665"/>
      <c r="I116" s="751"/>
      <c r="J116" s="742">
        <f>J67</f>
        <v>8.4999999999999992E-2</v>
      </c>
      <c r="K116" s="742">
        <f>K67</f>
        <v>8.4999999999999992E-2</v>
      </c>
      <c r="L116" s="742">
        <f>L67</f>
        <v>8.7499999999999994E-2</v>
      </c>
      <c r="M116" s="742">
        <f>M67</f>
        <v>0.09</v>
      </c>
      <c r="N116" s="746">
        <f>N67</f>
        <v>9.2499999999999999E-2</v>
      </c>
      <c r="P116"/>
      <c r="Q116"/>
    </row>
    <row r="117" spans="2:20" ht="15" outlineLevel="1" x14ac:dyDescent="0.2">
      <c r="C117" s="744" t="s">
        <v>1142</v>
      </c>
      <c r="D117" s="657" t="s">
        <v>1234</v>
      </c>
      <c r="E117" s="657"/>
      <c r="F117" s="672"/>
      <c r="G117" s="672"/>
      <c r="H117" s="672"/>
      <c r="I117" s="672"/>
      <c r="J117" s="669">
        <f>IF($D$60=0,AVERAGE(J112,J114)*J116,J112*J116)</f>
        <v>269157.12144999998</v>
      </c>
      <c r="K117" s="669">
        <f>IF($D$60=0,AVERAGE(K112,K114)*K116,K112*K116)</f>
        <v>277231.83509349998</v>
      </c>
      <c r="L117" s="669">
        <f>IF($D$60=0,AVERAGE(L112,L114)*L116,L112*L116)</f>
        <v>293947.28397413751</v>
      </c>
      <c r="M117" s="669">
        <f>IF($D$60=0,AVERAGE(M112,M114)*M116,M112*M116)</f>
        <v>311416.1511360291</v>
      </c>
      <c r="N117" s="747">
        <f>IF($D$60=0,AVERAGE(N112,N114)*N116,N112*N116)</f>
        <v>329668.59777205752</v>
      </c>
      <c r="P117"/>
      <c r="Q117"/>
    </row>
    <row r="118" spans="2:20" ht="15" outlineLevel="1" x14ac:dyDescent="0.2">
      <c r="C118" s="658"/>
      <c r="J118" s="649"/>
      <c r="K118" s="649"/>
      <c r="L118" s="649"/>
      <c r="M118" s="649"/>
      <c r="N118" s="649"/>
      <c r="P118"/>
      <c r="Q118"/>
    </row>
    <row r="119" spans="2:20" ht="15" outlineLevel="1" x14ac:dyDescent="0.2">
      <c r="C119" s="662" t="s">
        <v>1144</v>
      </c>
      <c r="D119" s="662"/>
      <c r="E119" s="662"/>
      <c r="F119" s="662"/>
      <c r="G119" s="662"/>
      <c r="H119" s="662"/>
      <c r="I119" s="662"/>
      <c r="J119" s="662"/>
      <c r="K119" s="662"/>
      <c r="L119" s="662"/>
      <c r="M119" s="662"/>
      <c r="N119" s="662"/>
      <c r="P119"/>
      <c r="Q119"/>
    </row>
    <row r="120" spans="2:20" ht="15" outlineLevel="1" x14ac:dyDescent="0.2">
      <c r="C120" s="658" t="s">
        <v>1143</v>
      </c>
      <c r="D120" s="653" t="s">
        <v>1234</v>
      </c>
      <c r="E120" s="653"/>
      <c r="J120" s="659">
        <f>J79+J95+J96+J104+J105</f>
        <v>-1982098.3033732034</v>
      </c>
      <c r="K120" s="659">
        <f>K79+K95+K96+K104+K105</f>
        <v>-1214374.8364148361</v>
      </c>
      <c r="L120" s="659">
        <f>L79+L95+L96+L104+L105</f>
        <v>-951940.78954524233</v>
      </c>
      <c r="M120" s="659">
        <f>M79+M95+M96+M104+M105</f>
        <v>646471.76840400917</v>
      </c>
      <c r="N120" s="659">
        <f>N79+N95+N96+N104+N105</f>
        <v>3755014.2899326799</v>
      </c>
      <c r="P120"/>
      <c r="Q120"/>
    </row>
    <row r="121" spans="2:20" ht="15" outlineLevel="1" x14ac:dyDescent="0.2">
      <c r="C121" s="658" t="s">
        <v>1142</v>
      </c>
      <c r="D121" s="653" t="s">
        <v>1234</v>
      </c>
      <c r="E121" s="653"/>
      <c r="J121" s="655">
        <f>-(J83+J91+J100+J109)</f>
        <v>-832937.31978373206</v>
      </c>
      <c r="K121" s="655">
        <f>K83+K91+K100+K109</f>
        <v>754556.91765191522</v>
      </c>
      <c r="L121" s="655">
        <f>L83+L91+L100+L109</f>
        <v>711310.5606267784</v>
      </c>
      <c r="M121" s="655">
        <f>M83+M91+M100+M109</f>
        <v>743363.22842747625</v>
      </c>
      <c r="N121" s="655">
        <f>N83+N91+N100+N109</f>
        <v>935956.13384268724</v>
      </c>
      <c r="P121"/>
      <c r="Q121"/>
    </row>
    <row r="122" spans="2:20" ht="15" outlineLevel="1" x14ac:dyDescent="0.2">
      <c r="C122" s="658" t="s">
        <v>1141</v>
      </c>
      <c r="D122" s="653" t="s">
        <v>1234</v>
      </c>
      <c r="E122" s="653"/>
      <c r="J122" s="655">
        <f>J121-J113</f>
        <v>-926530.05978373205</v>
      </c>
      <c r="K122" s="655">
        <f>K121+K113</f>
        <v>850957.43985191523</v>
      </c>
      <c r="L122" s="655">
        <f>L121+L113</f>
        <v>810603.09849277837</v>
      </c>
      <c r="M122" s="655">
        <f>M121+M113</f>
        <v>845634.54242945625</v>
      </c>
      <c r="N122" s="655">
        <f>N121+N113</f>
        <v>1041295.5872647266</v>
      </c>
      <c r="P122"/>
      <c r="Q122"/>
    </row>
    <row r="123" spans="2:20" ht="15" outlineLevel="1" x14ac:dyDescent="0.2">
      <c r="C123" s="658" t="s">
        <v>1140</v>
      </c>
      <c r="D123" s="653" t="s">
        <v>1234</v>
      </c>
      <c r="E123" s="653"/>
      <c r="J123" s="655">
        <f>IF($D$60=0,AVERAGE(J135,J138)*J68,J135*J68)</f>
        <v>1812.4745000000003</v>
      </c>
      <c r="K123" s="655">
        <f>IF($D$60=0,AVERAGE(K135,K138)*K68,K135*K68)</f>
        <v>2387.8380484102981</v>
      </c>
      <c r="L123" s="655">
        <f>IF($D$60=0,AVERAGE(L135,L138)*L68,L135*L68)</f>
        <v>7187.5754699996187</v>
      </c>
      <c r="M123" s="655">
        <f>IF($D$60=0,AVERAGE(M135,M138)*M68,M135*M68)</f>
        <v>18259.186994620159</v>
      </c>
      <c r="N123" s="655">
        <f>IF($D$60=0,AVERAGE(N135,N138)*N68,N135*N68)</f>
        <v>43571.905497525928</v>
      </c>
      <c r="P123"/>
      <c r="Q123"/>
    </row>
    <row r="124" spans="2:20" ht="15" x14ac:dyDescent="0.2">
      <c r="P124"/>
      <c r="Q124"/>
    </row>
    <row r="125" spans="2:20" ht="15" x14ac:dyDescent="0.2">
      <c r="B125" s="33"/>
      <c r="C125" s="226"/>
      <c r="D125" s="226"/>
      <c r="E125" s="714" t="s">
        <v>1139</v>
      </c>
      <c r="F125" s="714"/>
      <c r="G125" s="714"/>
      <c r="H125" s="715"/>
      <c r="I125" s="715"/>
      <c r="J125" s="716" t="s">
        <v>1138</v>
      </c>
      <c r="K125" s="717"/>
      <c r="L125" s="715"/>
      <c r="M125" s="715"/>
      <c r="N125" s="715"/>
      <c r="P125"/>
      <c r="Q125"/>
      <c r="T125" s="658"/>
    </row>
    <row r="126" spans="2:20" ht="15" x14ac:dyDescent="0.2">
      <c r="B126" s="33" t="s">
        <v>1137</v>
      </c>
      <c r="C126" s="226"/>
      <c r="D126" s="33" t="str">
        <f>$D$5</f>
        <v>Units:</v>
      </c>
      <c r="E126" s="718">
        <v>21</v>
      </c>
      <c r="F126" s="718">
        <f>E126+1</f>
        <v>22</v>
      </c>
      <c r="G126" s="718">
        <f>E126+1</f>
        <v>22</v>
      </c>
      <c r="H126" s="718">
        <f>F126+1</f>
        <v>23</v>
      </c>
      <c r="I126" s="718">
        <f t="shared" ref="I126:N126" si="5">H126+1</f>
        <v>24</v>
      </c>
      <c r="J126" s="719">
        <f t="shared" si="5"/>
        <v>25</v>
      </c>
      <c r="K126" s="720">
        <f t="shared" si="5"/>
        <v>26</v>
      </c>
      <c r="L126" s="720">
        <f t="shared" si="5"/>
        <v>27</v>
      </c>
      <c r="M126" s="720">
        <f t="shared" si="5"/>
        <v>28</v>
      </c>
      <c r="N126" s="720">
        <f t="shared" si="5"/>
        <v>29</v>
      </c>
      <c r="P126"/>
      <c r="Q126"/>
      <c r="T126" s="658"/>
    </row>
    <row r="127" spans="2:20" ht="15" outlineLevel="1" x14ac:dyDescent="0.2">
      <c r="C127" s="648"/>
      <c r="F127" s="656"/>
      <c r="G127" s="656"/>
      <c r="H127" s="656"/>
      <c r="I127" s="656"/>
      <c r="J127" s="656"/>
      <c r="K127" s="656"/>
      <c r="L127" s="656"/>
      <c r="M127" s="656"/>
      <c r="N127" s="656"/>
      <c r="P127"/>
      <c r="Q127"/>
      <c r="T127" s="658"/>
    </row>
    <row r="128" spans="2:20" ht="15" outlineLevel="1" x14ac:dyDescent="0.2">
      <c r="C128" s="648" t="s">
        <v>1235</v>
      </c>
      <c r="D128" s="653" t="s">
        <v>1234</v>
      </c>
      <c r="E128" s="731">
        <f>'[2]3FS'!E43</f>
        <v>3056107</v>
      </c>
      <c r="F128" s="731">
        <f>'[2]3FS'!F43</f>
        <v>-2975681</v>
      </c>
      <c r="G128" s="731">
        <f>'[2]3FS'!G43</f>
        <v>5921</v>
      </c>
      <c r="H128" s="731">
        <f>'[2]3FS'!H43</f>
        <v>2951564</v>
      </c>
      <c r="I128" s="731">
        <f>'[2]3FS'!I43</f>
        <v>1628182</v>
      </c>
      <c r="J128" s="731">
        <f>'[2]3FS'!J43</f>
        <v>2157785.288372728</v>
      </c>
      <c r="K128" s="731">
        <f>'[2]3FS'!K43</f>
        <v>2408413.0191648602</v>
      </c>
      <c r="L128" s="731">
        <f>'[2]3FS'!L43</f>
        <v>2716261.9367314084</v>
      </c>
      <c r="M128" s="731">
        <f>'[2]3FS'!M43</f>
        <v>3163801.497598337</v>
      </c>
      <c r="N128" s="731">
        <f>'[2]3FS'!N43</f>
        <v>3879897.93928196</v>
      </c>
      <c r="P128"/>
      <c r="Q128"/>
      <c r="T128" s="658"/>
    </row>
    <row r="129" spans="2:17" ht="15" outlineLevel="1" x14ac:dyDescent="0.2">
      <c r="C129" s="658" t="s">
        <v>1236</v>
      </c>
      <c r="D129" s="653" t="s">
        <v>1234</v>
      </c>
      <c r="E129" s="660">
        <f>'[2]3FS'!E142</f>
        <v>18351</v>
      </c>
      <c r="F129" s="660">
        <f>'[2]3FS'!F142</f>
        <v>47969</v>
      </c>
      <c r="G129" s="660">
        <f>'[2]3FS'!G142</f>
        <v>51031</v>
      </c>
      <c r="H129" s="660">
        <f>'[2]3FS'!H142</f>
        <v>100476</v>
      </c>
      <c r="I129" s="660">
        <f>'[2]3FS'!I142</f>
        <v>121302</v>
      </c>
      <c r="J129" s="660">
        <f>'[2]3FS'!J142</f>
        <v>119651.69100406047</v>
      </c>
      <c r="K129" s="660">
        <f>'[2]3FS'!K142</f>
        <v>153537.80943963595</v>
      </c>
      <c r="L129" s="660">
        <f>'[2]3FS'!L142</f>
        <v>191513.22434796835</v>
      </c>
      <c r="M129" s="660">
        <f>'[2]3FS'!M142</f>
        <v>235617.70196223544</v>
      </c>
      <c r="N129" s="660">
        <f>'[2]3FS'!N142</f>
        <v>289665.44592390792</v>
      </c>
      <c r="P129"/>
      <c r="Q129"/>
    </row>
    <row r="130" spans="2:17" ht="15" outlineLevel="1" x14ac:dyDescent="0.2">
      <c r="C130" s="658" t="s">
        <v>1237</v>
      </c>
      <c r="D130" s="653" t="s">
        <v>1234</v>
      </c>
      <c r="E130" s="514"/>
      <c r="F130" s="660">
        <f>-('[2]3FS'!F62-'[2]3FS'!E62-('[2]3FS'!F98-'[2]3FS'!E98))</f>
        <v>16210</v>
      </c>
      <c r="G130" s="660">
        <f>-('[2]3FS'!G62-'[2]3FS'!F62-('[2]3FS'!G98-'[2]3FS'!F98))</f>
        <v>-185039</v>
      </c>
      <c r="H130" s="660">
        <f>-('[2]3FS'!H62-'[2]3FS'!G62-('[2]3FS'!H98-'[2]3FS'!G98))</f>
        <v>-72939</v>
      </c>
      <c r="I130" s="660">
        <f>-('[2]3FS'!I62-'[2]3FS'!H62-('[2]3FS'!I98-'[2]3FS'!H98))</f>
        <v>12421</v>
      </c>
      <c r="J130" s="660">
        <f>-('[2]3FS'!J146-'[2]3FS'!J148)</f>
        <v>-149917.1723046769</v>
      </c>
      <c r="K130" s="660">
        <f>-('[2]3FS'!K146-'[2]3FS'!K148)</f>
        <v>35532.441620884056</v>
      </c>
      <c r="L130" s="660">
        <f>-('[2]3FS'!L146-'[2]3FS'!L148)</f>
        <v>37056.354533750447</v>
      </c>
      <c r="M130" s="660">
        <f>-('[2]3FS'!M146-'[2]3FS'!M148)</f>
        <v>58354.957817295261</v>
      </c>
      <c r="N130" s="660">
        <f>-('[2]3FS'!N146-'[2]3FS'!N148)</f>
        <v>93917.017073585535</v>
      </c>
      <c r="P130"/>
      <c r="Q130"/>
    </row>
    <row r="131" spans="2:17" ht="15" outlineLevel="1" x14ac:dyDescent="0.2">
      <c r="C131" s="658" t="s">
        <v>1238</v>
      </c>
      <c r="D131" s="653" t="s">
        <v>1234</v>
      </c>
      <c r="E131" s="660">
        <f>'[2]3FS'!E187</f>
        <v>-387313</v>
      </c>
      <c r="F131" s="660">
        <f>'[2]3FS'!F187</f>
        <v>0</v>
      </c>
      <c r="G131" s="660">
        <f>'[2]3FS'!G187</f>
        <v>-18835</v>
      </c>
      <c r="H131" s="660">
        <f>'[2]3FS'!H187</f>
        <v>-59915</v>
      </c>
      <c r="I131" s="660">
        <f>'[2]3FS'!I187</f>
        <v>-377426</v>
      </c>
      <c r="J131" s="660">
        <f>'[2]3FS'!J187</f>
        <v>-181828.14602436282</v>
      </c>
      <c r="K131" s="660">
        <f>'[2]3FS'!K187</f>
        <v>-203316.71061345292</v>
      </c>
      <c r="L131" s="660">
        <f>'[2]3FS'!L187</f>
        <v>-227852.48944999449</v>
      </c>
      <c r="M131" s="660">
        <f>'[2]3FS'!M187</f>
        <v>-264626.86568560253</v>
      </c>
      <c r="N131" s="660">
        <f>'[2]3FS'!N187</f>
        <v>-324286.46377003501</v>
      </c>
      <c r="P131"/>
      <c r="Q131"/>
    </row>
    <row r="132" spans="2:17" ht="15" outlineLevel="1" x14ac:dyDescent="0.2">
      <c r="C132" s="658" t="s">
        <v>1135</v>
      </c>
      <c r="D132" s="653" t="s">
        <v>1234</v>
      </c>
      <c r="E132" s="660">
        <f t="shared" ref="E132:N132" si="6">-E128*$E$31</f>
        <v>-611221.4</v>
      </c>
      <c r="F132" s="660">
        <f t="shared" si="6"/>
        <v>595136.20000000007</v>
      </c>
      <c r="G132" s="660">
        <f t="shared" si="6"/>
        <v>-1184.2</v>
      </c>
      <c r="H132" s="660">
        <f t="shared" si="6"/>
        <v>-590312.80000000005</v>
      </c>
      <c r="I132" s="660">
        <f t="shared" si="6"/>
        <v>-325636.40000000002</v>
      </c>
      <c r="J132" s="660">
        <f t="shared" si="6"/>
        <v>-431557.05767454562</v>
      </c>
      <c r="K132" s="660">
        <f t="shared" si="6"/>
        <v>-481682.60383297206</v>
      </c>
      <c r="L132" s="660">
        <f t="shared" si="6"/>
        <v>-543252.38734628167</v>
      </c>
      <c r="M132" s="660">
        <f t="shared" si="6"/>
        <v>-632760.2995196674</v>
      </c>
      <c r="N132" s="660">
        <f t="shared" si="6"/>
        <v>-775979.58785639203</v>
      </c>
      <c r="P132"/>
      <c r="Q132"/>
    </row>
    <row r="133" spans="2:17" ht="15" outlineLevel="1" x14ac:dyDescent="0.2">
      <c r="C133" s="654" t="s">
        <v>1134</v>
      </c>
      <c r="D133" s="734" t="s">
        <v>1234</v>
      </c>
      <c r="E133" s="736"/>
      <c r="F133" s="735">
        <f t="shared" ref="F133:N133" si="7">SUM(F128:F132)</f>
        <v>-2316365.7999999998</v>
      </c>
      <c r="G133" s="735">
        <f t="shared" si="7"/>
        <v>-148106.20000000001</v>
      </c>
      <c r="H133" s="735">
        <f t="shared" si="7"/>
        <v>2328873.2000000002</v>
      </c>
      <c r="I133" s="735">
        <f t="shared" si="7"/>
        <v>1058842.6000000001</v>
      </c>
      <c r="J133" s="735">
        <f t="shared" si="7"/>
        <v>1514134.6033732034</v>
      </c>
      <c r="K133" s="735">
        <f t="shared" si="7"/>
        <v>1912483.9557789552</v>
      </c>
      <c r="L133" s="735">
        <f t="shared" si="7"/>
        <v>2173726.6388168512</v>
      </c>
      <c r="M133" s="735">
        <f t="shared" si="7"/>
        <v>2560386.9921725974</v>
      </c>
      <c r="N133" s="735">
        <f t="shared" si="7"/>
        <v>3163214.3506530263</v>
      </c>
      <c r="P133"/>
      <c r="Q133"/>
    </row>
    <row r="134" spans="2:17" ht="15" outlineLevel="1" x14ac:dyDescent="0.2">
      <c r="C134" s="648"/>
      <c r="F134" s="656"/>
      <c r="G134" s="656"/>
      <c r="H134" s="656"/>
      <c r="I134" s="656"/>
      <c r="J134" s="656"/>
      <c r="K134" s="656"/>
      <c r="L134" s="656"/>
      <c r="M134" s="656"/>
      <c r="N134" s="656"/>
      <c r="P134"/>
      <c r="Q134"/>
    </row>
    <row r="135" spans="2:17" ht="15" outlineLevel="1" x14ac:dyDescent="0.2">
      <c r="C135" s="647" t="s">
        <v>1133</v>
      </c>
      <c r="D135" s="653" t="s">
        <v>1234</v>
      </c>
      <c r="E135" s="653"/>
      <c r="F135" s="656"/>
      <c r="G135" s="656"/>
      <c r="H135" s="656"/>
      <c r="I135" s="656"/>
      <c r="J135" s="659">
        <f>I138</f>
        <v>596476.75</v>
      </c>
      <c r="K135" s="659">
        <f>J138</f>
        <v>128513.05000000005</v>
      </c>
      <c r="L135" s="659">
        <f>K138</f>
        <v>826622.16936411918</v>
      </c>
      <c r="M135" s="659">
        <f>L138</f>
        <v>2048408.0186357279</v>
      </c>
      <c r="N135" s="659">
        <f>M138</f>
        <v>5255266.7792123342</v>
      </c>
      <c r="P135"/>
      <c r="Q135"/>
    </row>
    <row r="136" spans="2:17" ht="15" outlineLevel="1" x14ac:dyDescent="0.2">
      <c r="C136" s="658" t="s">
        <v>1132</v>
      </c>
      <c r="D136" s="653" t="s">
        <v>1234</v>
      </c>
      <c r="E136" s="653"/>
      <c r="F136" s="656"/>
      <c r="G136" s="656"/>
      <c r="H136" s="656"/>
      <c r="I136" s="656"/>
      <c r="J136" s="655">
        <f>J133</f>
        <v>1514134.6033732034</v>
      </c>
      <c r="K136" s="655">
        <f>K133</f>
        <v>1912483.9557789552</v>
      </c>
      <c r="L136" s="655">
        <f>L133</f>
        <v>2173726.6388168512</v>
      </c>
      <c r="M136" s="655">
        <f>M133</f>
        <v>2560386.9921725974</v>
      </c>
      <c r="N136" s="655">
        <f>N133</f>
        <v>3163214.3506530263</v>
      </c>
      <c r="P136"/>
      <c r="Q136"/>
    </row>
    <row r="137" spans="2:17" ht="15" outlineLevel="1" x14ac:dyDescent="0.2">
      <c r="C137" s="658" t="s">
        <v>1131</v>
      </c>
      <c r="D137" s="657" t="s">
        <v>1234</v>
      </c>
      <c r="E137" s="657"/>
      <c r="F137" s="656"/>
      <c r="G137" s="656"/>
      <c r="H137" s="656"/>
      <c r="I137" s="656"/>
      <c r="J137" s="655">
        <f>J120</f>
        <v>-1982098.3033732034</v>
      </c>
      <c r="K137" s="655">
        <f>K120</f>
        <v>-1214374.8364148361</v>
      </c>
      <c r="L137" s="655">
        <f>L120</f>
        <v>-951940.78954524233</v>
      </c>
      <c r="M137" s="655">
        <f>M120</f>
        <v>646471.76840400917</v>
      </c>
      <c r="N137" s="655">
        <f>N120</f>
        <v>3755014.2899326799</v>
      </c>
      <c r="P137"/>
      <c r="Q137"/>
    </row>
    <row r="138" spans="2:17" ht="15" outlineLevel="1" x14ac:dyDescent="0.2">
      <c r="C138" s="654" t="s">
        <v>1130</v>
      </c>
      <c r="D138" s="653" t="s">
        <v>1234</v>
      </c>
      <c r="E138" s="652"/>
      <c r="F138" s="650"/>
      <c r="G138" s="650"/>
      <c r="H138" s="650"/>
      <c r="I138" s="651">
        <f>E30</f>
        <v>596476.75</v>
      </c>
      <c r="J138" s="650">
        <f>SUM(J135:J137)</f>
        <v>128513.05000000005</v>
      </c>
      <c r="K138" s="650">
        <f>SUM(K135:K137)</f>
        <v>826622.16936411918</v>
      </c>
      <c r="L138" s="650">
        <f>SUM(L135:L137)</f>
        <v>2048408.0186357279</v>
      </c>
      <c r="M138" s="650">
        <f>SUM(M135:M137)</f>
        <v>5255266.7792123342</v>
      </c>
      <c r="N138" s="650">
        <f>SUM(N135:N137)</f>
        <v>12173495.419798039</v>
      </c>
      <c r="P138"/>
      <c r="Q138"/>
    </row>
    <row r="139" spans="2:17" ht="15" x14ac:dyDescent="0.2">
      <c r="C139" s="648"/>
      <c r="J139" s="649"/>
      <c r="K139" s="649"/>
      <c r="L139" s="649"/>
      <c r="M139" s="649"/>
      <c r="N139" s="649"/>
      <c r="P139"/>
      <c r="Q139"/>
    </row>
    <row r="140" spans="2:17" ht="15" x14ac:dyDescent="0.2">
      <c r="B140" s="33" t="s">
        <v>1128</v>
      </c>
      <c r="C140" s="226"/>
      <c r="D140" s="33" t="str">
        <f>$D$5</f>
        <v>Units:</v>
      </c>
      <c r="E140" s="718">
        <v>21</v>
      </c>
      <c r="F140" s="718">
        <f t="shared" ref="F140:N140" si="8">E140+1</f>
        <v>22</v>
      </c>
      <c r="G140" s="718">
        <f t="shared" si="8"/>
        <v>23</v>
      </c>
      <c r="H140" s="718">
        <f t="shared" si="8"/>
        <v>24</v>
      </c>
      <c r="I140" s="718">
        <f t="shared" si="8"/>
        <v>25</v>
      </c>
      <c r="J140" s="718">
        <f t="shared" si="8"/>
        <v>26</v>
      </c>
      <c r="K140" s="718">
        <f t="shared" si="8"/>
        <v>27</v>
      </c>
      <c r="L140" s="718">
        <f t="shared" si="8"/>
        <v>28</v>
      </c>
      <c r="M140" s="718">
        <f t="shared" si="8"/>
        <v>29</v>
      </c>
      <c r="N140" s="718">
        <f t="shared" si="8"/>
        <v>30</v>
      </c>
      <c r="P140"/>
      <c r="Q140"/>
    </row>
    <row r="141" spans="2:17" ht="15" x14ac:dyDescent="0.2">
      <c r="P141"/>
      <c r="Q141"/>
    </row>
    <row r="142" spans="2:17" outlineLevel="1" x14ac:dyDescent="0.15">
      <c r="C142" s="647" t="s">
        <v>1253</v>
      </c>
      <c r="D142" s="653" t="s">
        <v>1189</v>
      </c>
      <c r="E142" s="653"/>
      <c r="J142" s="752">
        <v>1</v>
      </c>
      <c r="K142" s="753">
        <f>J142+1</f>
        <v>2</v>
      </c>
      <c r="L142" s="753">
        <f>K142+1</f>
        <v>3</v>
      </c>
      <c r="M142" s="753">
        <f>L142+1</f>
        <v>4</v>
      </c>
      <c r="N142" s="753">
        <f>M142+1</f>
        <v>5</v>
      </c>
    </row>
    <row r="143" spans="2:17" outlineLevel="1" x14ac:dyDescent="0.15"/>
    <row r="144" spans="2:17" outlineLevel="1" x14ac:dyDescent="0.15">
      <c r="C144" s="648" t="s">
        <v>1136</v>
      </c>
      <c r="D144" s="653" t="s">
        <v>1234</v>
      </c>
      <c r="E144" s="653"/>
      <c r="J144" s="761">
        <f>'[2]3FS'!J46</f>
        <v>2422168.5622602426</v>
      </c>
      <c r="K144" s="761">
        <f>'[2]3FS'!K46</f>
        <v>2709341.9138760874</v>
      </c>
      <c r="L144" s="761">
        <f>'[2]3FS'!L46</f>
        <v>3058146.6911850735</v>
      </c>
      <c r="M144" s="761">
        <f>'[2]3FS'!M46</f>
        <v>3553252.2050124547</v>
      </c>
      <c r="N144" s="761">
        <f>'[2]3FS'!N46</f>
        <v>4327638.2487039221</v>
      </c>
    </row>
    <row r="145" spans="3:24" outlineLevel="1" x14ac:dyDescent="0.15">
      <c r="C145" s="658" t="s">
        <v>1254</v>
      </c>
      <c r="D145" s="657" t="s">
        <v>27</v>
      </c>
      <c r="E145" s="657"/>
      <c r="J145" s="754">
        <v>15</v>
      </c>
      <c r="K145" s="754">
        <v>15</v>
      </c>
      <c r="L145" s="754">
        <v>15</v>
      </c>
      <c r="M145" s="754">
        <v>15</v>
      </c>
      <c r="N145" s="754">
        <v>15</v>
      </c>
    </row>
    <row r="146" spans="3:24" outlineLevel="1" x14ac:dyDescent="0.15">
      <c r="C146" s="654" t="s">
        <v>1255</v>
      </c>
      <c r="D146" s="653" t="s">
        <v>1234</v>
      </c>
      <c r="E146" s="653"/>
      <c r="F146" s="665"/>
      <c r="G146" s="665"/>
      <c r="H146" s="665"/>
      <c r="I146" s="665"/>
      <c r="J146" s="750">
        <f>J144*J145</f>
        <v>36332528.433903642</v>
      </c>
      <c r="K146" s="750">
        <f>K144*K145</f>
        <v>40640128.708141312</v>
      </c>
      <c r="L146" s="750">
        <f>L144*L145</f>
        <v>45872200.367776103</v>
      </c>
      <c r="M146" s="750">
        <f>M144*M145</f>
        <v>53298783.075186819</v>
      </c>
      <c r="N146" s="750">
        <f>N144*N145</f>
        <v>64914573.730558835</v>
      </c>
    </row>
    <row r="147" spans="3:24" outlineLevel="1" x14ac:dyDescent="0.15">
      <c r="C147" s="658" t="s">
        <v>1341</v>
      </c>
      <c r="D147" s="653" t="s">
        <v>1234</v>
      </c>
      <c r="E147" s="653"/>
      <c r="J147" s="663">
        <f>'[2]3FS'!J59</f>
        <v>11810479.200253915</v>
      </c>
      <c r="K147" s="663">
        <f>'[2]3FS'!K59</f>
        <v>18457012.27266708</v>
      </c>
      <c r="L147" s="663">
        <f>'[2]3FS'!L59</f>
        <v>19725501.013035238</v>
      </c>
      <c r="M147" s="663">
        <f>'[2]3FS'!M59</f>
        <v>20646416.535354033</v>
      </c>
      <c r="N147" s="663">
        <f>'[2]3FS'!N59</f>
        <v>21953777.623061761</v>
      </c>
    </row>
    <row r="148" spans="3:24" outlineLevel="1" x14ac:dyDescent="0.15">
      <c r="C148" s="658" t="s">
        <v>1223</v>
      </c>
      <c r="D148" s="653" t="s">
        <v>1234</v>
      </c>
      <c r="E148" s="653"/>
      <c r="I148" s="659"/>
      <c r="J148" s="659">
        <f>-'[2]3FS'!J115-'[2]3FS'!J116</f>
        <v>-5933606</v>
      </c>
      <c r="K148" s="659">
        <f>-'[2]3FS'!K115-'[2]3FS'!K116</f>
        <v>-5933606</v>
      </c>
      <c r="L148" s="659">
        <f>-'[2]3FS'!L115-'[2]3FS'!L116</f>
        <v>-3933606</v>
      </c>
      <c r="M148" s="659">
        <f>-'[2]3FS'!M115-'[2]3FS'!M116</f>
        <v>-1933606</v>
      </c>
      <c r="N148" s="659">
        <f>-'[2]3FS'!N115-'[2]3FS'!N116</f>
        <v>-2168606</v>
      </c>
    </row>
    <row r="149" spans="3:24" outlineLevel="1" x14ac:dyDescent="0.15">
      <c r="C149" s="658" t="s">
        <v>1224</v>
      </c>
      <c r="D149" s="653" t="s">
        <v>1234</v>
      </c>
      <c r="E149" s="653"/>
      <c r="I149" s="659"/>
      <c r="J149" s="655">
        <f>K10</f>
        <v>0</v>
      </c>
      <c r="K149" s="655">
        <f>L10</f>
        <v>0</v>
      </c>
      <c r="L149" s="655">
        <f>M10</f>
        <v>0</v>
      </c>
      <c r="M149" s="655">
        <f>N10</f>
        <v>0</v>
      </c>
      <c r="N149" s="655">
        <f>O10</f>
        <v>0</v>
      </c>
    </row>
    <row r="150" spans="3:24" outlineLevel="1" x14ac:dyDescent="0.15">
      <c r="C150" s="658" t="s">
        <v>1214</v>
      </c>
      <c r="D150" s="653" t="s">
        <v>1234</v>
      </c>
      <c r="E150" s="653"/>
      <c r="I150" s="659"/>
      <c r="J150" s="655">
        <f>K11</f>
        <v>0</v>
      </c>
      <c r="K150" s="655">
        <f t="shared" ref="K150:N151" si="9">J150</f>
        <v>0</v>
      </c>
      <c r="L150" s="655">
        <f t="shared" si="9"/>
        <v>0</v>
      </c>
      <c r="M150" s="655">
        <f t="shared" si="9"/>
        <v>0</v>
      </c>
      <c r="N150" s="655">
        <f t="shared" si="9"/>
        <v>0</v>
      </c>
    </row>
    <row r="151" spans="3:24" outlineLevel="1" x14ac:dyDescent="0.15">
      <c r="C151" s="658" t="s">
        <v>1225</v>
      </c>
      <c r="D151" s="653" t="s">
        <v>1234</v>
      </c>
      <c r="E151" s="653"/>
      <c r="I151" s="659"/>
      <c r="J151" s="655">
        <f>K12</f>
        <v>622985</v>
      </c>
      <c r="K151" s="655">
        <f t="shared" si="9"/>
        <v>622985</v>
      </c>
      <c r="L151" s="655">
        <f t="shared" si="9"/>
        <v>622985</v>
      </c>
      <c r="M151" s="655">
        <f t="shared" si="9"/>
        <v>622985</v>
      </c>
      <c r="N151" s="655">
        <f t="shared" si="9"/>
        <v>622985</v>
      </c>
    </row>
    <row r="152" spans="3:24" outlineLevel="1" x14ac:dyDescent="0.15">
      <c r="C152" s="658" t="s">
        <v>1226</v>
      </c>
      <c r="D152" s="653" t="s">
        <v>1234</v>
      </c>
      <c r="E152" s="653"/>
      <c r="I152" s="659"/>
      <c r="J152" s="655">
        <f>K13</f>
        <v>0</v>
      </c>
      <c r="K152" s="655">
        <f t="shared" ref="K152:N153" si="10">L13</f>
        <v>0</v>
      </c>
      <c r="L152" s="655">
        <f t="shared" si="10"/>
        <v>0</v>
      </c>
      <c r="M152" s="655">
        <f t="shared" si="10"/>
        <v>0</v>
      </c>
      <c r="N152" s="655">
        <f t="shared" si="10"/>
        <v>0</v>
      </c>
    </row>
    <row r="153" spans="3:24" x14ac:dyDescent="0.15">
      <c r="C153" s="658" t="s">
        <v>1227</v>
      </c>
      <c r="D153" s="653" t="s">
        <v>1234</v>
      </c>
      <c r="F153" s="653"/>
      <c r="G153" s="661"/>
      <c r="I153" s="659"/>
      <c r="J153" s="655">
        <f>K14</f>
        <v>0</v>
      </c>
      <c r="K153" s="655">
        <f t="shared" si="10"/>
        <v>0</v>
      </c>
      <c r="L153" s="655">
        <f t="shared" si="10"/>
        <v>0</v>
      </c>
      <c r="M153" s="655">
        <f t="shared" si="10"/>
        <v>0</v>
      </c>
      <c r="N153" s="655">
        <f t="shared" si="10"/>
        <v>0</v>
      </c>
    </row>
    <row r="154" spans="3:24" outlineLevel="1" x14ac:dyDescent="0.15">
      <c r="C154" s="755"/>
      <c r="D154" s="756"/>
      <c r="E154" s="756"/>
      <c r="F154" s="757"/>
      <c r="G154" s="757"/>
      <c r="H154" s="757"/>
      <c r="I154" s="757"/>
      <c r="J154" s="758"/>
      <c r="K154" s="758"/>
      <c r="L154" s="758"/>
      <c r="M154" s="758"/>
      <c r="N154" s="758"/>
    </row>
    <row r="155" spans="3:24" ht="13" outlineLevel="1" x14ac:dyDescent="0.15">
      <c r="C155" s="648" t="s">
        <v>1256</v>
      </c>
      <c r="D155" s="653" t="s">
        <v>1234</v>
      </c>
      <c r="E155" s="653"/>
      <c r="J155" s="663">
        <f>SUM(J146:J154)</f>
        <v>42832386.634157553</v>
      </c>
      <c r="K155" s="663">
        <f>SUM(K146:K154)</f>
        <v>53786519.980808392</v>
      </c>
      <c r="L155" s="663">
        <f>SUM(L146:L154)</f>
        <v>62287080.380811341</v>
      </c>
      <c r="M155" s="663">
        <f>SUM(M146:M154)</f>
        <v>72634578.610540852</v>
      </c>
      <c r="N155" s="663">
        <f>SUM(N146:N154)</f>
        <v>85322730.353620589</v>
      </c>
      <c r="S155" s="803" t="s">
        <v>1307</v>
      </c>
      <c r="T155" s="802" t="s">
        <v>1306</v>
      </c>
      <c r="U155" s="802" t="s">
        <v>1305</v>
      </c>
      <c r="V155" s="802" t="s">
        <v>1304</v>
      </c>
      <c r="W155" s="802" t="s">
        <v>1303</v>
      </c>
      <c r="X155" s="802" t="s">
        <v>1276</v>
      </c>
    </row>
    <row r="156" spans="3:24" ht="15" outlineLevel="1" x14ac:dyDescent="0.2">
      <c r="S156" s="801" t="s">
        <v>1302</v>
      </c>
      <c r="T156" s="800">
        <f>J155</f>
        <v>42832386.634157553</v>
      </c>
      <c r="U156" s="800">
        <f>K155</f>
        <v>53786519.980808392</v>
      </c>
      <c r="V156" s="800">
        <f>L155</f>
        <v>62287080.380811341</v>
      </c>
      <c r="W156" s="800">
        <f>M155</f>
        <v>72634578.610540852</v>
      </c>
      <c r="X156" s="800">
        <f>N155</f>
        <v>85322730.353620589</v>
      </c>
    </row>
    <row r="157" spans="3:24" ht="15" outlineLevel="1" x14ac:dyDescent="0.2">
      <c r="C157" s="662" t="s">
        <v>1257</v>
      </c>
      <c r="D157" s="703"/>
      <c r="E157" s="703"/>
      <c r="F157" s="703"/>
      <c r="G157" s="703"/>
      <c r="H157" s="703"/>
      <c r="I157" s="703"/>
      <c r="J157" s="703"/>
      <c r="K157" s="703"/>
      <c r="L157" s="703"/>
      <c r="M157" s="703"/>
      <c r="N157" s="703"/>
      <c r="S157" s="801" t="s">
        <v>1301</v>
      </c>
      <c r="T157" s="799">
        <f t="shared" ref="T157:X158" si="11">J158</f>
        <v>1.2998252742264502</v>
      </c>
      <c r="U157" s="799">
        <f t="shared" si="11"/>
        <v>1.6322480155235413</v>
      </c>
      <c r="V157" s="799">
        <f t="shared" si="11"/>
        <v>1.8902127034917082</v>
      </c>
      <c r="W157" s="799">
        <f t="shared" si="11"/>
        <v>2.2042260186706</v>
      </c>
      <c r="X157" s="799">
        <f t="shared" si="11"/>
        <v>2.5892706452925323</v>
      </c>
    </row>
    <row r="158" spans="3:24" ht="15" outlineLevel="1" x14ac:dyDescent="0.2">
      <c r="C158" s="658" t="s">
        <v>1258</v>
      </c>
      <c r="D158" s="653" t="s">
        <v>27</v>
      </c>
      <c r="E158" s="653"/>
      <c r="J158" s="722">
        <f>J155/Sponsor_Equity</f>
        <v>1.2998252742264502</v>
      </c>
      <c r="K158" s="722">
        <f>K155/Sponsor_Equity</f>
        <v>1.6322480155235413</v>
      </c>
      <c r="L158" s="722">
        <f>L155/Sponsor_Equity</f>
        <v>1.8902127034917082</v>
      </c>
      <c r="M158" s="722">
        <f>M155/Sponsor_Equity</f>
        <v>2.2042260186706</v>
      </c>
      <c r="N158" s="722">
        <f>N155/Sponsor_Equity</f>
        <v>2.5892706452925323</v>
      </c>
      <c r="S158" s="792" t="s">
        <v>1300</v>
      </c>
      <c r="T158" s="816">
        <f t="shared" si="11"/>
        <v>0.29982527422645022</v>
      </c>
      <c r="U158" s="816">
        <f t="shared" si="11"/>
        <v>0.2775946209668938</v>
      </c>
      <c r="V158" s="816">
        <f t="shared" si="11"/>
        <v>0.23643196977804726</v>
      </c>
      <c r="W158" s="816">
        <f t="shared" si="11"/>
        <v>0.21846772815220006</v>
      </c>
      <c r="X158" s="816">
        <f t="shared" si="11"/>
        <v>0.20958248504713839</v>
      </c>
    </row>
    <row r="159" spans="3:24" outlineLevel="1" x14ac:dyDescent="0.15">
      <c r="C159" s="658" t="s">
        <v>1259</v>
      </c>
      <c r="D159" s="653" t="s">
        <v>36</v>
      </c>
      <c r="E159" s="653"/>
      <c r="J159" s="759">
        <f>(J155/Sponsor_Equity)^(1/J142)-1</f>
        <v>0.29982527422645022</v>
      </c>
      <c r="K159" s="759">
        <f>(K155/Sponsor_Equity)^(1/K142)-1</f>
        <v>0.2775946209668938</v>
      </c>
      <c r="L159" s="759">
        <f>(L155/Sponsor_Equity)^(1/L142)-1</f>
        <v>0.23643196977804726</v>
      </c>
      <c r="M159" s="759">
        <f>(M155/Sponsor_Equity)^(1/M142)-1</f>
        <v>0.21846772815220006</v>
      </c>
      <c r="N159" s="760">
        <f>(N155/Sponsor_Equity)^(1/N142)-1</f>
        <v>0.20958248504713839</v>
      </c>
    </row>
    <row r="160" spans="3:24" ht="15" x14ac:dyDescent="0.2">
      <c r="C160" s="658" t="s">
        <v>1340</v>
      </c>
      <c r="D160" s="653" t="s">
        <v>1339</v>
      </c>
      <c r="N160" s="732">
        <f>N155/E19</f>
        <v>300.66938871661995</v>
      </c>
      <c r="O160"/>
      <c r="P160"/>
    </row>
    <row r="161" spans="2:16" ht="15" x14ac:dyDescent="0.2">
      <c r="C161" s="658" t="s">
        <v>1338</v>
      </c>
      <c r="D161" s="653" t="s">
        <v>27</v>
      </c>
      <c r="N161" s="820">
        <f>N155/K15-1</f>
        <v>0.65065692289749255</v>
      </c>
      <c r="O161"/>
      <c r="P161"/>
    </row>
    <row r="162" spans="2:16" ht="15" x14ac:dyDescent="0.2">
      <c r="B162" s="819" t="s">
        <v>1260</v>
      </c>
      <c r="C162" s="817"/>
      <c r="D162" s="818"/>
      <c r="E162" s="818"/>
      <c r="F162" s="817"/>
      <c r="G162" s="817"/>
      <c r="H162" s="817"/>
      <c r="I162" s="817"/>
      <c r="J162" s="818"/>
      <c r="K162" s="817"/>
      <c r="L162" s="817"/>
      <c r="M162" s="817"/>
      <c r="O162"/>
      <c r="P162"/>
    </row>
    <row r="163" spans="2:16" ht="15" outlineLevel="1" x14ac:dyDescent="0.2">
      <c r="O163"/>
      <c r="P163"/>
    </row>
    <row r="164" spans="2:16" ht="15" outlineLevel="1" x14ac:dyDescent="0.2">
      <c r="C164" s="763"/>
      <c r="D164" s="764"/>
      <c r="E164" s="765" t="str">
        <f>TEXT($M$49,"YYYY")&amp;" Exit EV / EBITDA Multiple:"</f>
        <v>1900 Exit EV / EBITDA Multiple:</v>
      </c>
      <c r="F164" s="765"/>
      <c r="G164" s="766"/>
      <c r="H164" s="766"/>
      <c r="I164" s="766"/>
      <c r="J164" s="766"/>
      <c r="K164" s="766"/>
      <c r="L164" s="766"/>
      <c r="M164" s="767"/>
      <c r="O164"/>
      <c r="P164"/>
    </row>
    <row r="165" spans="2:16" ht="15" outlineLevel="1" x14ac:dyDescent="0.2">
      <c r="C165" s="768"/>
      <c r="D165" s="769">
        <f>M159</f>
        <v>0.21846772815220006</v>
      </c>
      <c r="E165" s="770">
        <v>4.5</v>
      </c>
      <c r="F165" s="771">
        <f t="shared" ref="F165:M165" si="12">E165+0.5</f>
        <v>5</v>
      </c>
      <c r="G165" s="771">
        <f t="shared" si="12"/>
        <v>5.5</v>
      </c>
      <c r="H165" s="771">
        <f t="shared" si="12"/>
        <v>6</v>
      </c>
      <c r="I165" s="771">
        <f t="shared" si="12"/>
        <v>6.5</v>
      </c>
      <c r="J165" s="771">
        <f t="shared" si="12"/>
        <v>7</v>
      </c>
      <c r="K165" s="772">
        <f t="shared" si="12"/>
        <v>7.5</v>
      </c>
      <c r="L165" s="771">
        <f t="shared" si="12"/>
        <v>8</v>
      </c>
      <c r="M165" s="773">
        <f t="shared" si="12"/>
        <v>8.5</v>
      </c>
      <c r="O165"/>
      <c r="P165"/>
    </row>
    <row r="166" spans="2:16" ht="15" outlineLevel="1" x14ac:dyDescent="0.2">
      <c r="C166" s="822" t="s">
        <v>1261</v>
      </c>
      <c r="D166" s="774">
        <v>0.58499999999999996</v>
      </c>
      <c r="E166" s="759">
        <v>6.6945241145986545E-2</v>
      </c>
      <c r="F166" s="759">
        <v>0.10129197599085504</v>
      </c>
      <c r="G166" s="759">
        <v>0.13182183477497356</v>
      </c>
      <c r="H166" s="759">
        <v>0.15937402290660341</v>
      </c>
      <c r="I166" s="759">
        <v>0.18453166641972341</v>
      </c>
      <c r="J166" s="759">
        <v>0.20771753068714061</v>
      </c>
      <c r="K166" s="775">
        <v>0.22924856046127351</v>
      </c>
      <c r="L166" s="759">
        <v>0.24936889945621066</v>
      </c>
      <c r="M166" s="759">
        <v>0.26827087607877753</v>
      </c>
      <c r="N166" s="776"/>
      <c r="O166"/>
      <c r="P166"/>
    </row>
    <row r="167" spans="2:16" ht="15" outlineLevel="1" x14ac:dyDescent="0.2">
      <c r="C167" s="823"/>
      <c r="D167" s="777">
        <f t="shared" ref="D167:D174" si="13">D166-7.5%</f>
        <v>0.51</v>
      </c>
      <c r="E167" s="759">
        <v>8.7515687695264521E-2</v>
      </c>
      <c r="F167" s="759">
        <v>0.12252461929215142</v>
      </c>
      <c r="G167" s="759">
        <v>0.15364308637973001</v>
      </c>
      <c r="H167" s="759">
        <v>0.18172647404383868</v>
      </c>
      <c r="I167" s="759">
        <v>0.20736915084754881</v>
      </c>
      <c r="J167" s="759">
        <v>0.23100203297794408</v>
      </c>
      <c r="K167" s="775">
        <v>0.25294817580571793</v>
      </c>
      <c r="L167" s="759">
        <v>0.2734564300767981</v>
      </c>
      <c r="M167" s="759">
        <v>0.29272283224324069</v>
      </c>
      <c r="N167" s="776"/>
      <c r="O167"/>
      <c r="P167"/>
    </row>
    <row r="168" spans="2:16" ht="15" outlineLevel="1" x14ac:dyDescent="0.2">
      <c r="C168" s="823"/>
      <c r="D168" s="777">
        <f t="shared" si="13"/>
        <v>0.435</v>
      </c>
      <c r="E168" s="759">
        <v>0.11072154897296982</v>
      </c>
      <c r="F168" s="759">
        <v>0.14647751568788792</v>
      </c>
      <c r="G168" s="759">
        <v>0.17826000154648725</v>
      </c>
      <c r="H168" s="759">
        <v>0.2069426441967217</v>
      </c>
      <c r="I168" s="759">
        <v>0.23313249508484168</v>
      </c>
      <c r="J168" s="759">
        <v>0.25726966546644592</v>
      </c>
      <c r="K168" s="775">
        <v>0.27968410420185985</v>
      </c>
      <c r="L168" s="759">
        <v>0.3006299721175496</v>
      </c>
      <c r="M168" s="759">
        <v>0.3203074887727797</v>
      </c>
      <c r="N168" s="776"/>
      <c r="O168"/>
      <c r="P168"/>
    </row>
    <row r="169" spans="2:16" ht="15" outlineLevel="1" x14ac:dyDescent="0.2">
      <c r="C169" s="823"/>
      <c r="D169" s="777">
        <f t="shared" si="13"/>
        <v>0.36</v>
      </c>
      <c r="E169" s="759">
        <v>0.13725647660792251</v>
      </c>
      <c r="F169" s="759">
        <v>0.17386664660193896</v>
      </c>
      <c r="G169" s="759">
        <v>0.20640841003383903</v>
      </c>
      <c r="H169" s="759">
        <v>0.2357762755896764</v>
      </c>
      <c r="I169" s="759">
        <v>0.262591797059887</v>
      </c>
      <c r="J169" s="759">
        <v>0.28730559987468807</v>
      </c>
      <c r="K169" s="775">
        <v>0.31025551531024531</v>
      </c>
      <c r="L169" s="759">
        <v>0.33170177604707751</v>
      </c>
      <c r="M169" s="759">
        <v>0.35184938485183404</v>
      </c>
      <c r="N169" s="776"/>
      <c r="O169"/>
      <c r="P169"/>
    </row>
    <row r="170" spans="2:16" ht="15" outlineLevel="1" x14ac:dyDescent="0.2">
      <c r="C170" s="823"/>
      <c r="D170" s="777">
        <f t="shared" si="13"/>
        <v>0.28499999999999998</v>
      </c>
      <c r="E170" s="759">
        <v>0.16811613832619932</v>
      </c>
      <c r="F170" s="759">
        <v>0.20571973195393634</v>
      </c>
      <c r="G170" s="759">
        <v>0.23914452206616765</v>
      </c>
      <c r="H170" s="759">
        <v>0.26930929000513704</v>
      </c>
      <c r="I170" s="759">
        <v>0.29685245553663964</v>
      </c>
      <c r="J170" s="759">
        <v>0.32223687189405337</v>
      </c>
      <c r="K170" s="775">
        <v>0.34580953746678</v>
      </c>
      <c r="L170" s="759">
        <v>0.36783774639654276</v>
      </c>
      <c r="M170" s="759">
        <v>0.3885320642374186</v>
      </c>
      <c r="N170" s="778"/>
      <c r="O170"/>
      <c r="P170"/>
    </row>
    <row r="171" spans="2:16" ht="15" outlineLevel="1" x14ac:dyDescent="0.2">
      <c r="C171" s="823"/>
      <c r="D171" s="777">
        <f t="shared" si="13"/>
        <v>0.20999999999999996</v>
      </c>
      <c r="E171" s="759">
        <v>0.20479831580154051</v>
      </c>
      <c r="F171" s="759">
        <v>0.24358276949096602</v>
      </c>
      <c r="G171" s="759">
        <v>0.27805719331918222</v>
      </c>
      <c r="H171" s="759">
        <v>0.30916922098236443</v>
      </c>
      <c r="I171" s="759">
        <v>0.33757732044732625</v>
      </c>
      <c r="J171" s="759">
        <v>0.36375887985873856</v>
      </c>
      <c r="K171" s="775">
        <v>0.38807179434485217</v>
      </c>
      <c r="L171" s="759">
        <v>0.41079175184559458</v>
      </c>
      <c r="M171" s="759">
        <v>0.43213593027384145</v>
      </c>
      <c r="N171" s="776"/>
      <c r="O171"/>
      <c r="P171"/>
    </row>
    <row r="172" spans="2:16" ht="15" outlineLevel="1" x14ac:dyDescent="0.2">
      <c r="C172" s="823"/>
      <c r="D172" s="779">
        <f t="shared" si="13"/>
        <v>0.13499999999999995</v>
      </c>
      <c r="E172" s="775">
        <v>0.24969832589979268</v>
      </c>
      <c r="F172" s="775">
        <v>0.28992818529693754</v>
      </c>
      <c r="G172" s="780">
        <f>N159</f>
        <v>0.20958248504713839</v>
      </c>
      <c r="H172" s="775">
        <v>0.35795889015062032</v>
      </c>
      <c r="I172" s="775">
        <v>0.38742569291564455</v>
      </c>
      <c r="J172" s="775">
        <v>0.41458297769664143</v>
      </c>
      <c r="K172" s="775">
        <v>0.43980197753465755</v>
      </c>
      <c r="L172" s="775">
        <v>0.46336865461313814</v>
      </c>
      <c r="M172" s="775">
        <v>0.48550828055687201</v>
      </c>
      <c r="N172" s="776"/>
      <c r="O172"/>
      <c r="P172"/>
    </row>
    <row r="173" spans="2:16" ht="15" outlineLevel="1" x14ac:dyDescent="0.2">
      <c r="C173" s="823"/>
      <c r="D173" s="777">
        <f t="shared" si="13"/>
        <v>5.9999999999999956E-2</v>
      </c>
      <c r="E173" s="759">
        <v>0.30698058315689081</v>
      </c>
      <c r="F173" s="759">
        <v>0.34905445331058771</v>
      </c>
      <c r="G173" s="759">
        <v>0.38645274808577867</v>
      </c>
      <c r="H173" s="759">
        <v>0.42020347260548152</v>
      </c>
      <c r="I173" s="759">
        <v>0.45102094132047799</v>
      </c>
      <c r="J173" s="759">
        <v>0.47942303098037176</v>
      </c>
      <c r="K173" s="775">
        <v>0.50579799078612475</v>
      </c>
      <c r="L173" s="759">
        <v>0.53044489053205002</v>
      </c>
      <c r="M173" s="759">
        <v>0.55359932758867503</v>
      </c>
      <c r="N173" s="776"/>
      <c r="O173"/>
      <c r="P173"/>
    </row>
    <row r="174" spans="2:16" ht="15" outlineLevel="1" x14ac:dyDescent="0.2">
      <c r="C174" s="824"/>
      <c r="D174" s="781">
        <f t="shared" si="13"/>
        <v>-1.5000000000000041E-2</v>
      </c>
      <c r="E174" s="759">
        <v>0.38482096569888191</v>
      </c>
      <c r="F174" s="759">
        <v>0.42940064671923706</v>
      </c>
      <c r="G174" s="759">
        <v>0.46902628718665529</v>
      </c>
      <c r="H174" s="759">
        <v>0.50478711754996364</v>
      </c>
      <c r="I174" s="759">
        <v>0.53743999498079376</v>
      </c>
      <c r="J174" s="759">
        <v>0.56753363962827419</v>
      </c>
      <c r="K174" s="775">
        <v>0.59547942381142582</v>
      </c>
      <c r="L174" s="759">
        <v>0.62159422914785534</v>
      </c>
      <c r="M174" s="759">
        <v>0.64612768457801972</v>
      </c>
      <c r="N174" s="776"/>
      <c r="O174"/>
      <c r="P174"/>
    </row>
    <row r="175" spans="2:16" ht="15" x14ac:dyDescent="0.2">
      <c r="O175"/>
      <c r="P175"/>
    </row>
    <row r="177" spans="4:4" x14ac:dyDescent="0.15">
      <c r="D177" s="782"/>
    </row>
  </sheetData>
  <mergeCells count="1">
    <mergeCell ref="C166:C174"/>
  </mergeCells>
  <conditionalFormatting sqref="A53:G54">
    <cfRule type="expression" dxfId="60" priority="33">
      <formula>AND(NOT(_xlfn.ISFORMULA(A53)), ISNUMBER(A53))</formula>
    </cfRule>
    <cfRule type="expression" dxfId="59" priority="32">
      <formula>AND(_xlfn.ISFORMULA(A53), ISNUMBER(SEARCH("!", _xlfn.FORMULATEXT(A53))))</formula>
    </cfRule>
    <cfRule type="expression" dxfId="58" priority="31">
      <formula>AND(_xlfn.ISFORMULA(A53), NOT(ISNUMBER(SEARCH("!", _xlfn.FORMULATEXT(A53)))))</formula>
    </cfRule>
  </conditionalFormatting>
  <conditionalFormatting sqref="A115:H116">
    <cfRule type="expression" dxfId="57" priority="4">
      <formula>AND(_xlfn.ISFORMULA(A115), NOT(ISNUMBER(SEARCH("!", _xlfn.FORMULATEXT(A115)))))</formula>
    </cfRule>
    <cfRule type="expression" dxfId="56" priority="5">
      <formula>AND(_xlfn.ISFORMULA(A115), ISNUMBER(SEARCH("!", _xlfn.FORMULATEXT(A115))))</formula>
    </cfRule>
    <cfRule type="expression" dxfId="55" priority="6">
      <formula>AND(NOT(_xlfn.ISFORMULA(A115)), ISNUMBER(A115))</formula>
    </cfRule>
  </conditionalFormatting>
  <conditionalFormatting sqref="A82:O83 R82:XFD88">
    <cfRule type="expression" dxfId="54" priority="16">
      <formula>AND(_xlfn.ISFORMULA(A82), NOT(ISNUMBER(SEARCH("!", _xlfn.FORMULATEXT(A82)))))</formula>
    </cfRule>
    <cfRule type="expression" dxfId="53" priority="17">
      <formula>AND(_xlfn.ISFORMULA(A82), ISNUMBER(SEARCH("!", _xlfn.FORMULATEXT(A82))))</formula>
    </cfRule>
    <cfRule type="expression" dxfId="52" priority="18">
      <formula>AND(NOT(_xlfn.ISFORMULA(A82)), ISNUMBER(A82))</formula>
    </cfRule>
  </conditionalFormatting>
  <conditionalFormatting sqref="A90:O97">
    <cfRule type="expression" dxfId="51" priority="13">
      <formula>AND(_xlfn.ISFORMULA(A90), NOT(ISNUMBER(SEARCH("!", _xlfn.FORMULATEXT(A90)))))</formula>
    </cfRule>
    <cfRule type="expression" dxfId="50" priority="14">
      <formula>AND(_xlfn.ISFORMULA(A90), ISNUMBER(SEARCH("!", _xlfn.FORMULATEXT(A90))))</formula>
    </cfRule>
    <cfRule type="expression" dxfId="49" priority="15">
      <formula>AND(NOT(_xlfn.ISFORMULA(A90)), ISNUMBER(A90))</formula>
    </cfRule>
  </conditionalFormatting>
  <conditionalFormatting sqref="A1:XFD4 A5:N5 R5:XFD5 C6:C8 G7:K8 G9:J11 K9:K14 G12:G14 J12:J14 A15:N15 R15:XFD25 A16:F25 L16:N25 G17:K17 G23:K25 E26 A27:F27 L27:N28 R27:XFD28 A28:D28 F28 H30:K31 A36:N42 Q36:XFD51 C43:F45 A43:B46 G43:N46 A47:N51 H52 I53:M54 Q53:XFD56 A55:H55 J55:O55 A56:O57 R57:XFD62 A58:C58 O58 A59:D60 F59:O60 A61:O62 C64:N65 A65:B65 O65 R65:XFD80 A66:O80 A84:F84 H84:O84 A85:O88 A98:H98 J98:O98 A107:H107 J107:O107 A109:O114 A117:O125 A126:C126 O126 A127:O139 A140:C140 O140 A141:O141 A142:XFD159 C160:N162 A160:B168 Q160:XFD168 C163:G165 H163:N168 C166:F166 G166:G168 C167:C168 F167:F168 A170:N175 Q170:XFD175 A176:XFD1048576">
    <cfRule type="expression" dxfId="48" priority="45">
      <formula>AND(NOT(_xlfn.ISFORMULA(A1)), ISNUMBER(A1))</formula>
    </cfRule>
    <cfRule type="expression" dxfId="47" priority="44">
      <formula>AND(_xlfn.ISFORMULA(A1), ISNUMBER(SEARCH("!", _xlfn.FORMULATEXT(A1))))</formula>
    </cfRule>
  </conditionalFormatting>
  <conditionalFormatting sqref="C52">
    <cfRule type="expression" dxfId="46" priority="36">
      <formula>AND(NOT(_xlfn.ISFORMULA(C52)), ISNUMBER(C52))</formula>
    </cfRule>
    <cfRule type="expression" dxfId="45" priority="35">
      <formula>AND(_xlfn.ISFORMULA(C52), ISNUMBER(SEARCH("!", _xlfn.FORMULATEXT(C52))))</formula>
    </cfRule>
    <cfRule type="expression" dxfId="44" priority="34">
      <formula>AND(_xlfn.ISFORMULA(C52), NOT(ISNUMBER(SEARCH("!", _xlfn.FORMULATEXT(C52)))))</formula>
    </cfRule>
  </conditionalFormatting>
  <conditionalFormatting sqref="C63:C64">
    <cfRule type="expression" dxfId="43" priority="42">
      <formula>AND(NOT(_xlfn.ISFORMULA(C63)), ISNUMBER(C63))</formula>
    </cfRule>
    <cfRule type="expression" dxfId="42" priority="41">
      <formula>AND(_xlfn.ISFORMULA(C63), ISNUMBER(SEARCH("!", _xlfn.FORMULATEXT(C63))))</formula>
    </cfRule>
    <cfRule type="expression" dxfId="41" priority="40">
      <formula>AND(_xlfn.ISFORMULA(C63), NOT(ISNUMBER(SEARCH("!", _xlfn.FORMULATEXT(C63)))))</formula>
    </cfRule>
  </conditionalFormatting>
  <conditionalFormatting sqref="C11:E13">
    <cfRule type="expression" dxfId="40" priority="23">
      <formula>AND(_xlfn.ISFORMULA(C11), ISNUMBER(SEARCH("!", _xlfn.FORMULATEXT(C11))))</formula>
    </cfRule>
    <cfRule type="expression" dxfId="39" priority="24">
      <formula>AND(NOT(_xlfn.ISFORMULA(C11)), ISNUMBER(C11))</formula>
    </cfRule>
    <cfRule type="expression" dxfId="38" priority="22">
      <formula>AND(_xlfn.ISFORMULA(C11), NOT(ISNUMBER(SEARCH("!", _xlfn.FORMULATEXT(C11)))))</formula>
    </cfRule>
  </conditionalFormatting>
  <conditionalFormatting sqref="C29:E34">
    <cfRule type="expression" dxfId="37" priority="21">
      <formula>AND(NOT(_xlfn.ISFORMULA(C29)), ISNUMBER(C29))</formula>
    </cfRule>
    <cfRule type="expression" dxfId="36" priority="20">
      <formula>AND(_xlfn.ISFORMULA(C29), ISNUMBER(SEARCH("!", _xlfn.FORMULATEXT(C29))))</formula>
    </cfRule>
    <cfRule type="expression" dxfId="35" priority="19">
      <formula>AND(_xlfn.ISFORMULA(C29), NOT(ISNUMBER(SEARCH("!", _xlfn.FORMULATEXT(C29)))))</formula>
    </cfRule>
  </conditionalFormatting>
  <conditionalFormatting sqref="C64:N65 A1:XFD4 A5:N5 R5:XFD5 C6:C8 G7:K8 G9:J11 K9:K14 G12:G14 J12:J14 A15:N15 R15:XFD25 A16:F25 L16:N25 G17:K17 G23:K25 E26 A27:F27 L27:N28 R27:XFD28 A28:D28 F28 H30:K31 A36:N42 Q36:XFD51 C43:F45 A43:B46 G43:N46 A47:N51 H52 I53:M54 Q53:XFD56 A55:H55 J55:O55 A56:O57 R57:XFD62 A58:C58 O58 A59:D60 F59:O60 A61:O62 A65:B65 O65 R65:XFD80 A66:O80 A84:F84 H84:O84 A85:O88 A98:H98 J98:O98 A107:H107 J107:O107 A109:O114 A117:O125 A126:C126 O126 A127:O139 A140:C140 O140 A141:O141 A142:XFD159 C160:N162 A160:B168 Q160:XFD168 C163:G165 H163:N168 C166:F166 G166:G168 C167:C168 F167:F168 A170:N175 Q170:XFD175 A176:XFD1048576">
    <cfRule type="expression" dxfId="34" priority="43">
      <formula>AND(_xlfn.ISFORMULA(A1), NOT(ISNUMBER(SEARCH("!", _xlfn.FORMULATEXT(A1)))))</formula>
    </cfRule>
  </conditionalFormatting>
  <conditionalFormatting sqref="C108:N108">
    <cfRule type="expression" dxfId="33" priority="8">
      <formula>AND(_xlfn.ISFORMULA(C108), ISNUMBER(SEARCH("!", _xlfn.FORMULATEXT(C108))))</formula>
    </cfRule>
    <cfRule type="expression" dxfId="32" priority="7">
      <formula>AND(_xlfn.ISFORMULA(C108), NOT(ISNUMBER(SEARCH("!", _xlfn.FORMULATEXT(C108)))))</formula>
    </cfRule>
    <cfRule type="expression" dxfId="31" priority="9">
      <formula>AND(NOT(_xlfn.ISFORMULA(C108)), ISNUMBER(C108))</formula>
    </cfRule>
  </conditionalFormatting>
  <conditionalFormatting sqref="D7:E8">
    <cfRule type="expression" dxfId="30" priority="25">
      <formula>AND(_xlfn.ISFORMULA(D7), NOT(ISNUMBER(SEARCH("!", _xlfn.FORMULATEXT(D7)))))</formula>
    </cfRule>
    <cfRule type="expression" dxfId="29" priority="26">
      <formula>AND(_xlfn.ISFORMULA(D7), ISNUMBER(SEARCH("!", _xlfn.FORMULATEXT(D7))))</formula>
    </cfRule>
    <cfRule type="expression" dxfId="28" priority="27">
      <formula>AND(NOT(_xlfn.ISFORMULA(D7)), ISNUMBER(D7))</formula>
    </cfRule>
  </conditionalFormatting>
  <conditionalFormatting sqref="J63:N64">
    <cfRule type="expression" dxfId="27" priority="37">
      <formula>AND(_xlfn.ISFORMULA(J63), NOT(ISNUMBER(SEARCH("!", _xlfn.FORMULATEXT(J63)))))</formula>
    </cfRule>
    <cfRule type="expression" dxfId="26" priority="38">
      <formula>AND(_xlfn.ISFORMULA(J63), ISNUMBER(SEARCH("!", _xlfn.FORMULATEXT(J63))))</formula>
    </cfRule>
    <cfRule type="expression" dxfId="25" priority="39">
      <formula>AND(NOT(_xlfn.ISFORMULA(J63)), ISNUMBER(J63))</formula>
    </cfRule>
  </conditionalFormatting>
  <conditionalFormatting sqref="O52:O54">
    <cfRule type="expression" dxfId="24" priority="28">
      <formula>AND(_xlfn.ISFORMULA(O52), NOT(ISNUMBER(SEARCH("!", _xlfn.FORMULATEXT(O52)))))</formula>
    </cfRule>
    <cfRule type="expression" dxfId="23" priority="29">
      <formula>AND(_xlfn.ISFORMULA(O52), ISNUMBER(SEARCH("!", _xlfn.FORMULATEXT(O52))))</formula>
    </cfRule>
    <cfRule type="expression" dxfId="22" priority="30">
      <formula>AND(NOT(_xlfn.ISFORMULA(O52)), ISNUMBER(O52))</formula>
    </cfRule>
  </conditionalFormatting>
  <conditionalFormatting sqref="R90:XFD107 A99:O106">
    <cfRule type="expression" dxfId="21" priority="11">
      <formula>AND(_xlfn.ISFORMULA(A90), ISNUMBER(SEARCH("!", _xlfn.FORMULATEXT(A90))))</formula>
    </cfRule>
    <cfRule type="expression" dxfId="20" priority="10">
      <formula>AND(_xlfn.ISFORMULA(A90), NOT(ISNUMBER(SEARCH("!", _xlfn.FORMULATEXT(A90)))))</formula>
    </cfRule>
    <cfRule type="expression" dxfId="19" priority="12">
      <formula>AND(NOT(_xlfn.ISFORMULA(A90)), ISNUMBER(A90))</formula>
    </cfRule>
  </conditionalFormatting>
  <conditionalFormatting sqref="R109:XFD141 J115:O116">
    <cfRule type="expression" dxfId="18" priority="3">
      <formula>AND(NOT(_xlfn.ISFORMULA(J109)), ISNUMBER(J109))</formula>
    </cfRule>
    <cfRule type="expression" dxfId="17" priority="2">
      <formula>AND(_xlfn.ISFORMULA(J109), ISNUMBER(SEARCH("!", _xlfn.FORMULATEXT(J109))))</formula>
    </cfRule>
    <cfRule type="expression" dxfId="16" priority="1">
      <formula>AND(_xlfn.ISFORMULA(J109), NOT(ISNUMBER(SEARCH("!", _xlfn.FORMULATEXT(J109)))))</formula>
    </cfRule>
  </conditionalFormatting>
  <dataValidations count="1">
    <dataValidation type="list" allowBlank="1" showInputMessage="1" showErrorMessage="1" sqref="D60" xr:uid="{0E8F3F96-5AF8-41DC-8370-90BD9DE66522}">
      <formula1>$E$59:$E$60</formula1>
    </dataValidation>
  </dataValidations>
  <pageMargins left="0.7" right="0.7" top="0.75" bottom="0.75" header="0.3" footer="0.3"/>
  <pageSetup scale="47" orientation="portrait" horizontalDpi="1200" verticalDpi="1200" r:id="rId1"/>
  <rowBreaks count="1" manualBreakCount="1">
    <brk id="56" max="1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0990F-80E7-4EEC-A5A7-ADD316260546}">
  <sheetPr>
    <tabColor rgb="FFC9A227"/>
  </sheetPr>
  <dimension ref="A1"/>
  <sheetViews>
    <sheetView showGridLines="0" view="pageBreakPreview" zoomScale="60" zoomScaleNormal="100" workbookViewId="0">
      <selection activeCell="L24" sqref="L24"/>
    </sheetView>
  </sheetViews>
  <sheetFormatPr baseColWidth="10" defaultColWidth="8.83203125" defaultRowHeight="15" x14ac:dyDescent="0.2"/>
  <sheetData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AD258-A4BC-40D7-A706-5942C8FEA2A1}">
  <sheetPr>
    <tabColor rgb="FFFFFF99"/>
  </sheetPr>
  <dimension ref="A1:BD149"/>
  <sheetViews>
    <sheetView showGridLines="0" tabSelected="1" view="pageBreakPreview" zoomScale="125" zoomScaleNormal="51" workbookViewId="0">
      <selection activeCell="B15" sqref="B15"/>
    </sheetView>
  </sheetViews>
  <sheetFormatPr baseColWidth="10" defaultColWidth="8.6640625" defaultRowHeight="14" outlineLevelRow="1" x14ac:dyDescent="0.15"/>
  <cols>
    <col min="1" max="1" width="2.1640625" style="1" customWidth="1"/>
    <col min="2" max="2" width="8.6640625" style="1" customWidth="1"/>
    <col min="3" max="3" width="80.5" style="1" customWidth="1"/>
    <col min="4" max="5" width="12.5" style="1" customWidth="1"/>
    <col min="6" max="15" width="15.5" style="1" customWidth="1"/>
    <col min="16" max="16" width="1.6640625" style="1" customWidth="1"/>
    <col min="17" max="56" width="15.5" style="1" customWidth="1"/>
    <col min="57" max="16383" width="8.6640625" style="1" customWidth="1"/>
    <col min="16384" max="16384" width="8.6640625" style="1"/>
  </cols>
  <sheetData>
    <row r="1" spans="1:56" customFormat="1" ht="23" x14ac:dyDescent="0.25">
      <c r="A1" s="27" t="str">
        <f>'Cover Page'!$C$3</f>
        <v>Coinbase Global Inc., (NASDAQ: COIN)</v>
      </c>
      <c r="B1" s="1"/>
      <c r="C1" s="1"/>
      <c r="D1" s="1"/>
      <c r="E1" s="1"/>
      <c r="F1" s="28">
        <v>2021</v>
      </c>
      <c r="G1" s="28">
        <f>F1+1</f>
        <v>2022</v>
      </c>
      <c r="H1" s="28">
        <f t="shared" ref="H1:O1" si="0">G1+1</f>
        <v>2023</v>
      </c>
      <c r="I1" s="28">
        <f t="shared" si="0"/>
        <v>2024</v>
      </c>
      <c r="J1" s="28">
        <f t="shared" si="0"/>
        <v>2025</v>
      </c>
      <c r="K1" s="28">
        <f t="shared" si="0"/>
        <v>2026</v>
      </c>
      <c r="L1" s="28">
        <f t="shared" si="0"/>
        <v>2027</v>
      </c>
      <c r="M1" s="28">
        <f t="shared" si="0"/>
        <v>2028</v>
      </c>
      <c r="N1" s="28">
        <f t="shared" si="0"/>
        <v>2029</v>
      </c>
      <c r="O1" s="28">
        <f t="shared" si="0"/>
        <v>2030</v>
      </c>
      <c r="Q1" s="1">
        <v>2021</v>
      </c>
      <c r="R1" s="1">
        <f>Q1</f>
        <v>2021</v>
      </c>
      <c r="S1" s="1">
        <f t="shared" ref="S1:T1" si="1">R1</f>
        <v>2021</v>
      </c>
      <c r="T1" s="1">
        <f t="shared" si="1"/>
        <v>2021</v>
      </c>
      <c r="U1" s="1">
        <f>T1+1</f>
        <v>2022</v>
      </c>
      <c r="V1" s="1">
        <f>U1</f>
        <v>2022</v>
      </c>
      <c r="W1" s="1">
        <f t="shared" ref="W1:X1" si="2">V1</f>
        <v>2022</v>
      </c>
      <c r="X1" s="1">
        <f t="shared" si="2"/>
        <v>2022</v>
      </c>
      <c r="Y1" s="1">
        <f>X1+1</f>
        <v>2023</v>
      </c>
      <c r="Z1" s="1">
        <f>Y1</f>
        <v>2023</v>
      </c>
      <c r="AA1" s="1">
        <f t="shared" ref="AA1:AB1" si="3">Z1</f>
        <v>2023</v>
      </c>
      <c r="AB1" s="1">
        <f t="shared" si="3"/>
        <v>2023</v>
      </c>
      <c r="AC1" s="1">
        <f>AB1+1</f>
        <v>2024</v>
      </c>
      <c r="AD1" s="1">
        <f>AC1</f>
        <v>2024</v>
      </c>
      <c r="AE1" s="1">
        <f t="shared" ref="AE1:AF1" si="4">AD1</f>
        <v>2024</v>
      </c>
      <c r="AF1" s="1">
        <f t="shared" si="4"/>
        <v>2024</v>
      </c>
      <c r="AG1" s="1">
        <f>AF1+1</f>
        <v>2025</v>
      </c>
      <c r="AH1" s="1">
        <f>AG1</f>
        <v>2025</v>
      </c>
      <c r="AI1" s="1">
        <f t="shared" ref="AI1:AJ1" si="5">AH1</f>
        <v>2025</v>
      </c>
      <c r="AJ1" s="1">
        <f t="shared" si="5"/>
        <v>2025</v>
      </c>
      <c r="AK1" s="1">
        <f>AJ1+1</f>
        <v>2026</v>
      </c>
      <c r="AL1" s="1">
        <f>AK1</f>
        <v>2026</v>
      </c>
      <c r="AM1" s="1">
        <f t="shared" ref="AM1:AN1" si="6">AL1</f>
        <v>2026</v>
      </c>
      <c r="AN1" s="1">
        <f t="shared" si="6"/>
        <v>2026</v>
      </c>
      <c r="AO1" s="1">
        <f>AN1+1</f>
        <v>2027</v>
      </c>
      <c r="AP1" s="1">
        <f>AO1</f>
        <v>2027</v>
      </c>
      <c r="AQ1" s="1">
        <f t="shared" ref="AQ1:AR1" si="7">AP1</f>
        <v>2027</v>
      </c>
      <c r="AR1" s="1">
        <f t="shared" si="7"/>
        <v>2027</v>
      </c>
      <c r="AS1" s="1">
        <f>AR1+1</f>
        <v>2028</v>
      </c>
      <c r="AT1" s="1">
        <f>AS1</f>
        <v>2028</v>
      </c>
      <c r="AU1" s="1">
        <f t="shared" ref="AU1:AV1" si="8">AT1</f>
        <v>2028</v>
      </c>
      <c r="AV1" s="1">
        <f t="shared" si="8"/>
        <v>2028</v>
      </c>
      <c r="AW1" s="1">
        <f>AV1+1</f>
        <v>2029</v>
      </c>
      <c r="AX1" s="1">
        <f>AW1</f>
        <v>2029</v>
      </c>
      <c r="AY1" s="1">
        <f t="shared" ref="AY1:AZ1" si="9">AX1</f>
        <v>2029</v>
      </c>
      <c r="AZ1" s="1">
        <f t="shared" si="9"/>
        <v>2029</v>
      </c>
      <c r="BA1" s="1">
        <f>AZ1+1</f>
        <v>2030</v>
      </c>
      <c r="BB1" s="1">
        <f>BA1</f>
        <v>2030</v>
      </c>
      <c r="BC1" s="1">
        <f t="shared" ref="BC1:BD1" si="10">BB1</f>
        <v>2030</v>
      </c>
      <c r="BD1" s="1">
        <f t="shared" si="10"/>
        <v>2030</v>
      </c>
    </row>
    <row r="2" spans="1:56" customFormat="1" ht="15" x14ac:dyDescent="0.2">
      <c r="A2" s="1" t="s">
        <v>231</v>
      </c>
      <c r="B2" s="1"/>
      <c r="C2" s="1"/>
      <c r="D2" s="1"/>
      <c r="E2" s="1"/>
      <c r="F2" s="29" t="s">
        <v>20</v>
      </c>
      <c r="G2" s="29" t="s">
        <v>20</v>
      </c>
      <c r="H2" s="29" t="s">
        <v>20</v>
      </c>
      <c r="I2" s="29" t="s">
        <v>20</v>
      </c>
      <c r="J2" s="29" t="s">
        <v>20</v>
      </c>
      <c r="K2" s="29" t="s">
        <v>20</v>
      </c>
      <c r="L2" s="29" t="s">
        <v>20</v>
      </c>
      <c r="M2" s="29" t="s">
        <v>20</v>
      </c>
      <c r="N2" s="29" t="s">
        <v>20</v>
      </c>
      <c r="O2" s="29" t="s">
        <v>20</v>
      </c>
      <c r="Q2" s="29" t="s">
        <v>21</v>
      </c>
      <c r="R2" s="29" t="s">
        <v>22</v>
      </c>
      <c r="S2" s="29" t="s">
        <v>23</v>
      </c>
      <c r="T2" s="29" t="s">
        <v>20</v>
      </c>
      <c r="U2" s="29" t="s">
        <v>21</v>
      </c>
      <c r="V2" s="29" t="s">
        <v>22</v>
      </c>
      <c r="W2" s="29" t="s">
        <v>23</v>
      </c>
      <c r="X2" s="29" t="s">
        <v>20</v>
      </c>
      <c r="Y2" s="29" t="s">
        <v>21</v>
      </c>
      <c r="Z2" s="29" t="s">
        <v>22</v>
      </c>
      <c r="AA2" s="29" t="s">
        <v>23</v>
      </c>
      <c r="AB2" s="29" t="s">
        <v>20</v>
      </c>
      <c r="AC2" s="29" t="s">
        <v>21</v>
      </c>
      <c r="AD2" s="29" t="s">
        <v>22</v>
      </c>
      <c r="AE2" s="29" t="s">
        <v>23</v>
      </c>
      <c r="AF2" s="29" t="s">
        <v>20</v>
      </c>
      <c r="AG2" s="29" t="s">
        <v>21</v>
      </c>
      <c r="AH2" s="29" t="s">
        <v>22</v>
      </c>
      <c r="AI2" s="29" t="s">
        <v>23</v>
      </c>
      <c r="AJ2" s="29" t="s">
        <v>20</v>
      </c>
      <c r="AK2" s="29" t="s">
        <v>21</v>
      </c>
      <c r="AL2" s="29" t="s">
        <v>22</v>
      </c>
      <c r="AM2" s="29" t="s">
        <v>23</v>
      </c>
      <c r="AN2" s="29" t="s">
        <v>20</v>
      </c>
      <c r="AO2" s="29" t="s">
        <v>21</v>
      </c>
      <c r="AP2" s="29" t="s">
        <v>22</v>
      </c>
      <c r="AQ2" s="29" t="s">
        <v>23</v>
      </c>
      <c r="AR2" s="29" t="s">
        <v>20</v>
      </c>
      <c r="AS2" s="29" t="s">
        <v>21</v>
      </c>
      <c r="AT2" s="29" t="s">
        <v>22</v>
      </c>
      <c r="AU2" s="29" t="s">
        <v>23</v>
      </c>
      <c r="AV2" s="29" t="s">
        <v>20</v>
      </c>
      <c r="AW2" s="29" t="s">
        <v>21</v>
      </c>
      <c r="AX2" s="29" t="s">
        <v>22</v>
      </c>
      <c r="AY2" s="29" t="s">
        <v>23</v>
      </c>
      <c r="AZ2" s="29" t="s">
        <v>20</v>
      </c>
      <c r="BA2" s="29" t="s">
        <v>21</v>
      </c>
      <c r="BB2" s="29" t="s">
        <v>22</v>
      </c>
      <c r="BC2" s="29" t="s">
        <v>23</v>
      </c>
      <c r="BD2" s="29" t="s">
        <v>20</v>
      </c>
    </row>
    <row r="3" spans="1:56" customFormat="1" ht="15" x14ac:dyDescent="0.2">
      <c r="A3" s="1"/>
      <c r="B3" s="1"/>
      <c r="C3" s="1"/>
      <c r="D3" s="1"/>
      <c r="E3" s="1"/>
      <c r="F3" s="29">
        <v>12</v>
      </c>
      <c r="G3" s="29">
        <v>12</v>
      </c>
      <c r="H3" s="29">
        <v>12</v>
      </c>
      <c r="I3" s="29">
        <v>12</v>
      </c>
      <c r="J3" s="29">
        <v>12</v>
      </c>
      <c r="K3" s="29">
        <v>12</v>
      </c>
      <c r="L3" s="29">
        <v>12</v>
      </c>
      <c r="M3" s="29">
        <v>12</v>
      </c>
      <c r="N3" s="29">
        <v>12</v>
      </c>
      <c r="O3" s="29">
        <v>12</v>
      </c>
      <c r="Q3" s="19">
        <v>3</v>
      </c>
      <c r="R3" s="19">
        <v>3</v>
      </c>
      <c r="S3" s="19">
        <v>3</v>
      </c>
      <c r="T3" s="19">
        <v>3</v>
      </c>
      <c r="U3" s="19">
        <v>3</v>
      </c>
      <c r="V3" s="19">
        <v>3</v>
      </c>
      <c r="W3" s="19">
        <v>3</v>
      </c>
      <c r="X3" s="19">
        <v>3</v>
      </c>
      <c r="Y3" s="19">
        <v>3</v>
      </c>
      <c r="Z3" s="19">
        <v>3</v>
      </c>
      <c r="AA3" s="19">
        <v>3</v>
      </c>
      <c r="AB3" s="19">
        <v>3</v>
      </c>
      <c r="AC3" s="19">
        <v>3</v>
      </c>
      <c r="AD3" s="19">
        <v>3</v>
      </c>
      <c r="AE3" s="19">
        <v>3</v>
      </c>
      <c r="AF3" s="19">
        <v>3</v>
      </c>
      <c r="AG3" s="19">
        <v>3</v>
      </c>
      <c r="AH3" s="19">
        <v>3</v>
      </c>
      <c r="AI3" s="19">
        <v>3</v>
      </c>
      <c r="AJ3" s="19">
        <v>3</v>
      </c>
      <c r="AK3" s="19">
        <v>3</v>
      </c>
      <c r="AL3" s="19">
        <v>3</v>
      </c>
      <c r="AM3" s="19">
        <v>3</v>
      </c>
      <c r="AN3" s="19">
        <v>3</v>
      </c>
      <c r="AO3" s="19">
        <v>3</v>
      </c>
      <c r="AP3" s="19">
        <v>3</v>
      </c>
      <c r="AQ3" s="19">
        <v>3</v>
      </c>
      <c r="AR3" s="19">
        <v>3</v>
      </c>
      <c r="AS3" s="19">
        <v>3</v>
      </c>
      <c r="AT3" s="19">
        <v>3</v>
      </c>
      <c r="AU3" s="19">
        <v>3</v>
      </c>
      <c r="AV3" s="19">
        <v>3</v>
      </c>
      <c r="AW3" s="19">
        <v>3</v>
      </c>
      <c r="AX3" s="19">
        <v>3</v>
      </c>
      <c r="AY3" s="19">
        <v>3</v>
      </c>
      <c r="AZ3" s="19">
        <v>3</v>
      </c>
      <c r="BA3" s="19">
        <v>3</v>
      </c>
      <c r="BB3" s="19">
        <v>3</v>
      </c>
      <c r="BC3" s="19">
        <v>3</v>
      </c>
      <c r="BD3" s="19">
        <v>3</v>
      </c>
    </row>
    <row r="4" spans="1:56" customFormat="1" ht="15" x14ac:dyDescent="0.2">
      <c r="A4" s="1"/>
      <c r="B4" s="1"/>
      <c r="C4" s="1"/>
      <c r="D4" s="1"/>
      <c r="E4" s="1"/>
      <c r="F4" s="29">
        <v>365</v>
      </c>
      <c r="G4" s="29">
        <v>365</v>
      </c>
      <c r="H4" s="29">
        <v>365</v>
      </c>
      <c r="I4" s="29">
        <v>366</v>
      </c>
      <c r="J4" s="29">
        <v>365</v>
      </c>
      <c r="K4" s="29">
        <v>365</v>
      </c>
      <c r="L4" s="29">
        <v>365</v>
      </c>
      <c r="M4" s="29">
        <v>366</v>
      </c>
      <c r="N4" s="29">
        <v>365</v>
      </c>
      <c r="O4" s="29">
        <v>365</v>
      </c>
      <c r="Q4" s="19">
        <v>90</v>
      </c>
      <c r="R4" s="19">
        <f>R6-Q6</f>
        <v>91</v>
      </c>
      <c r="S4" s="19">
        <f t="shared" ref="S4:BD4" si="11">S6-R6</f>
        <v>92</v>
      </c>
      <c r="T4" s="19">
        <f t="shared" si="11"/>
        <v>92</v>
      </c>
      <c r="U4" s="19">
        <f t="shared" si="11"/>
        <v>90</v>
      </c>
      <c r="V4" s="19">
        <f t="shared" si="11"/>
        <v>91</v>
      </c>
      <c r="W4" s="19">
        <f t="shared" si="11"/>
        <v>92</v>
      </c>
      <c r="X4" s="19">
        <f t="shared" si="11"/>
        <v>92</v>
      </c>
      <c r="Y4" s="19">
        <f t="shared" si="11"/>
        <v>90</v>
      </c>
      <c r="Z4" s="19">
        <f t="shared" si="11"/>
        <v>91</v>
      </c>
      <c r="AA4" s="19">
        <f t="shared" si="11"/>
        <v>92</v>
      </c>
      <c r="AB4" s="19">
        <f t="shared" si="11"/>
        <v>92</v>
      </c>
      <c r="AC4" s="19">
        <f t="shared" si="11"/>
        <v>91</v>
      </c>
      <c r="AD4" s="19">
        <f t="shared" si="11"/>
        <v>91</v>
      </c>
      <c r="AE4" s="19">
        <f t="shared" si="11"/>
        <v>92</v>
      </c>
      <c r="AF4" s="19">
        <f t="shared" si="11"/>
        <v>92</v>
      </c>
      <c r="AG4" s="19">
        <f t="shared" si="11"/>
        <v>90</v>
      </c>
      <c r="AH4" s="19">
        <f t="shared" si="11"/>
        <v>91</v>
      </c>
      <c r="AI4" s="19">
        <f t="shared" si="11"/>
        <v>92</v>
      </c>
      <c r="AJ4" s="19">
        <f t="shared" si="11"/>
        <v>92</v>
      </c>
      <c r="AK4" s="19">
        <f t="shared" si="11"/>
        <v>90</v>
      </c>
      <c r="AL4" s="19">
        <f t="shared" si="11"/>
        <v>91</v>
      </c>
      <c r="AM4" s="19">
        <f t="shared" si="11"/>
        <v>92</v>
      </c>
      <c r="AN4" s="19">
        <f t="shared" si="11"/>
        <v>92</v>
      </c>
      <c r="AO4" s="19">
        <f t="shared" si="11"/>
        <v>90</v>
      </c>
      <c r="AP4" s="19">
        <f t="shared" si="11"/>
        <v>91</v>
      </c>
      <c r="AQ4" s="19">
        <f t="shared" si="11"/>
        <v>92</v>
      </c>
      <c r="AR4" s="19">
        <f t="shared" si="11"/>
        <v>92</v>
      </c>
      <c r="AS4" s="19">
        <f t="shared" si="11"/>
        <v>91</v>
      </c>
      <c r="AT4" s="19">
        <f t="shared" si="11"/>
        <v>91</v>
      </c>
      <c r="AU4" s="19">
        <f t="shared" si="11"/>
        <v>92</v>
      </c>
      <c r="AV4" s="19">
        <f t="shared" si="11"/>
        <v>92</v>
      </c>
      <c r="AW4" s="19">
        <f t="shared" si="11"/>
        <v>90</v>
      </c>
      <c r="AX4" s="19">
        <f t="shared" si="11"/>
        <v>91</v>
      </c>
      <c r="AY4" s="19">
        <f t="shared" si="11"/>
        <v>92</v>
      </c>
      <c r="AZ4" s="19">
        <f t="shared" si="11"/>
        <v>92</v>
      </c>
      <c r="BA4" s="19">
        <f t="shared" si="11"/>
        <v>90</v>
      </c>
      <c r="BB4" s="19">
        <f t="shared" si="11"/>
        <v>91</v>
      </c>
      <c r="BC4" s="19">
        <f t="shared" si="11"/>
        <v>92</v>
      </c>
      <c r="BD4" s="19">
        <f t="shared" si="11"/>
        <v>92</v>
      </c>
    </row>
    <row r="5" spans="1:56" customFormat="1" ht="15" x14ac:dyDescent="0.2">
      <c r="A5" s="1"/>
      <c r="B5" s="1"/>
      <c r="C5" s="1"/>
      <c r="D5" s="1"/>
      <c r="E5" s="1"/>
      <c r="F5" s="29" t="s">
        <v>24</v>
      </c>
      <c r="G5" s="29" t="s">
        <v>24</v>
      </c>
      <c r="H5" s="29" t="s">
        <v>24</v>
      </c>
      <c r="I5" s="29" t="s">
        <v>24</v>
      </c>
      <c r="J5" s="29" t="s">
        <v>24</v>
      </c>
      <c r="K5" s="29" t="s">
        <v>25</v>
      </c>
      <c r="L5" s="29" t="s">
        <v>25</v>
      </c>
      <c r="M5" s="29" t="s">
        <v>25</v>
      </c>
      <c r="N5" s="29" t="s">
        <v>25</v>
      </c>
      <c r="O5" s="29" t="s">
        <v>25</v>
      </c>
      <c r="Q5" s="29" t="s">
        <v>24</v>
      </c>
      <c r="R5" s="29" t="s">
        <v>24</v>
      </c>
      <c r="S5" s="29" t="s">
        <v>24</v>
      </c>
      <c r="T5" s="29" t="s">
        <v>24</v>
      </c>
      <c r="U5" s="29" t="s">
        <v>24</v>
      </c>
      <c r="V5" s="29" t="s">
        <v>24</v>
      </c>
      <c r="W5" s="29" t="s">
        <v>24</v>
      </c>
      <c r="X5" s="29" t="s">
        <v>24</v>
      </c>
      <c r="Y5" s="29" t="s">
        <v>24</v>
      </c>
      <c r="Z5" s="29" t="s">
        <v>24</v>
      </c>
      <c r="AA5" s="29" t="s">
        <v>24</v>
      </c>
      <c r="AB5" s="29" t="s">
        <v>24</v>
      </c>
      <c r="AC5" s="29" t="s">
        <v>24</v>
      </c>
      <c r="AD5" s="29" t="s">
        <v>24</v>
      </c>
      <c r="AE5" s="29" t="s">
        <v>24</v>
      </c>
      <c r="AF5" s="29" t="s">
        <v>24</v>
      </c>
      <c r="AG5" s="29" t="s">
        <v>24</v>
      </c>
      <c r="AH5" s="29" t="s">
        <v>24</v>
      </c>
      <c r="AI5" s="29" t="s">
        <v>24</v>
      </c>
      <c r="AJ5" s="29" t="s">
        <v>24</v>
      </c>
      <c r="AK5" s="29" t="s">
        <v>25</v>
      </c>
      <c r="AL5" s="29" t="s">
        <v>25</v>
      </c>
      <c r="AM5" s="29" t="s">
        <v>25</v>
      </c>
      <c r="AN5" s="29" t="s">
        <v>25</v>
      </c>
      <c r="AO5" s="29" t="s">
        <v>25</v>
      </c>
      <c r="AP5" s="29" t="s">
        <v>25</v>
      </c>
      <c r="AQ5" s="29" t="s">
        <v>25</v>
      </c>
      <c r="AR5" s="29" t="s">
        <v>25</v>
      </c>
      <c r="AS5" s="29" t="s">
        <v>25</v>
      </c>
      <c r="AT5" s="29" t="s">
        <v>25</v>
      </c>
      <c r="AU5" s="29" t="s">
        <v>25</v>
      </c>
      <c r="AV5" s="29" t="s">
        <v>25</v>
      </c>
      <c r="AW5" s="29" t="s">
        <v>25</v>
      </c>
      <c r="AX5" s="29" t="s">
        <v>25</v>
      </c>
      <c r="AY5" s="29" t="s">
        <v>25</v>
      </c>
      <c r="AZ5" s="29" t="s">
        <v>25</v>
      </c>
      <c r="BA5" s="29" t="s">
        <v>25</v>
      </c>
      <c r="BB5" s="29" t="s">
        <v>25</v>
      </c>
      <c r="BC5" s="29" t="s">
        <v>25</v>
      </c>
      <c r="BD5" s="29" t="s">
        <v>25</v>
      </c>
    </row>
    <row r="6" spans="1:56" customFormat="1" ht="15" x14ac:dyDescent="0.2">
      <c r="A6" s="30" t="s">
        <v>26</v>
      </c>
      <c r="B6" s="1"/>
      <c r="C6" s="1"/>
      <c r="D6" s="1"/>
      <c r="E6" s="1"/>
      <c r="F6" s="31">
        <v>44561</v>
      </c>
      <c r="G6" s="32">
        <f>EOMONTH(F6,12)</f>
        <v>44926</v>
      </c>
      <c r="H6" s="32">
        <f t="shared" ref="H6:O6" si="12">EOMONTH(G6,12)</f>
        <v>45291</v>
      </c>
      <c r="I6" s="32">
        <f t="shared" si="12"/>
        <v>45657</v>
      </c>
      <c r="J6" s="32">
        <f t="shared" si="12"/>
        <v>46022</v>
      </c>
      <c r="K6" s="32">
        <f t="shared" si="12"/>
        <v>46387</v>
      </c>
      <c r="L6" s="32">
        <f t="shared" si="12"/>
        <v>46752</v>
      </c>
      <c r="M6" s="32">
        <f t="shared" si="12"/>
        <v>47118</v>
      </c>
      <c r="N6" s="32">
        <f t="shared" si="12"/>
        <v>47483</v>
      </c>
      <c r="O6" s="32">
        <f t="shared" si="12"/>
        <v>47848</v>
      </c>
      <c r="Q6" s="32">
        <v>44286</v>
      </c>
      <c r="R6" s="32">
        <f>EOMONTH(Q6,3)</f>
        <v>44377</v>
      </c>
      <c r="S6" s="32">
        <f t="shared" ref="S6:BD6" si="13">EOMONTH(R6,3)</f>
        <v>44469</v>
      </c>
      <c r="T6" s="32">
        <f t="shared" si="13"/>
        <v>44561</v>
      </c>
      <c r="U6" s="32">
        <f t="shared" si="13"/>
        <v>44651</v>
      </c>
      <c r="V6" s="32">
        <f t="shared" si="13"/>
        <v>44742</v>
      </c>
      <c r="W6" s="32">
        <f t="shared" si="13"/>
        <v>44834</v>
      </c>
      <c r="X6" s="32">
        <f t="shared" si="13"/>
        <v>44926</v>
      </c>
      <c r="Y6" s="32">
        <f t="shared" si="13"/>
        <v>45016</v>
      </c>
      <c r="Z6" s="32">
        <f t="shared" si="13"/>
        <v>45107</v>
      </c>
      <c r="AA6" s="32">
        <f t="shared" si="13"/>
        <v>45199</v>
      </c>
      <c r="AB6" s="32">
        <f t="shared" si="13"/>
        <v>45291</v>
      </c>
      <c r="AC6" s="32">
        <f t="shared" si="13"/>
        <v>45382</v>
      </c>
      <c r="AD6" s="32">
        <f t="shared" si="13"/>
        <v>45473</v>
      </c>
      <c r="AE6" s="32">
        <f t="shared" si="13"/>
        <v>45565</v>
      </c>
      <c r="AF6" s="32">
        <f t="shared" si="13"/>
        <v>45657</v>
      </c>
      <c r="AG6" s="32">
        <f t="shared" si="13"/>
        <v>45747</v>
      </c>
      <c r="AH6" s="32">
        <f t="shared" si="13"/>
        <v>45838</v>
      </c>
      <c r="AI6" s="32">
        <f t="shared" si="13"/>
        <v>45930</v>
      </c>
      <c r="AJ6" s="32">
        <f t="shared" si="13"/>
        <v>46022</v>
      </c>
      <c r="AK6" s="32">
        <f t="shared" si="13"/>
        <v>46112</v>
      </c>
      <c r="AL6" s="32">
        <f t="shared" si="13"/>
        <v>46203</v>
      </c>
      <c r="AM6" s="32">
        <f t="shared" si="13"/>
        <v>46295</v>
      </c>
      <c r="AN6" s="32">
        <f t="shared" si="13"/>
        <v>46387</v>
      </c>
      <c r="AO6" s="32">
        <f t="shared" si="13"/>
        <v>46477</v>
      </c>
      <c r="AP6" s="32">
        <f t="shared" si="13"/>
        <v>46568</v>
      </c>
      <c r="AQ6" s="32">
        <f t="shared" si="13"/>
        <v>46660</v>
      </c>
      <c r="AR6" s="32">
        <f t="shared" si="13"/>
        <v>46752</v>
      </c>
      <c r="AS6" s="32">
        <f t="shared" si="13"/>
        <v>46843</v>
      </c>
      <c r="AT6" s="32">
        <f t="shared" si="13"/>
        <v>46934</v>
      </c>
      <c r="AU6" s="32">
        <f t="shared" si="13"/>
        <v>47026</v>
      </c>
      <c r="AV6" s="32">
        <f t="shared" si="13"/>
        <v>47118</v>
      </c>
      <c r="AW6" s="32">
        <f t="shared" si="13"/>
        <v>47208</v>
      </c>
      <c r="AX6" s="32">
        <f t="shared" si="13"/>
        <v>47299</v>
      </c>
      <c r="AY6" s="32">
        <f t="shared" si="13"/>
        <v>47391</v>
      </c>
      <c r="AZ6" s="32">
        <f t="shared" si="13"/>
        <v>47483</v>
      </c>
      <c r="BA6" s="32">
        <f t="shared" si="13"/>
        <v>47573</v>
      </c>
      <c r="BB6" s="32">
        <f t="shared" si="13"/>
        <v>47664</v>
      </c>
      <c r="BC6" s="32">
        <f t="shared" si="13"/>
        <v>47756</v>
      </c>
      <c r="BD6" s="32">
        <f t="shared" si="13"/>
        <v>47848</v>
      </c>
    </row>
    <row r="7" spans="1:56" customFormat="1" ht="3" customHeight="1" x14ac:dyDescent="0.2"/>
    <row r="8" spans="1:56" x14ac:dyDescent="0.15">
      <c r="A8" s="1" t="s">
        <v>27</v>
      </c>
      <c r="B8" s="33" t="s">
        <v>232</v>
      </c>
      <c r="C8" s="33"/>
      <c r="D8" s="33"/>
      <c r="E8" s="34" t="s">
        <v>29</v>
      </c>
      <c r="F8" s="35">
        <v>21</v>
      </c>
      <c r="G8" s="35">
        <f>F8+1</f>
        <v>22</v>
      </c>
      <c r="H8" s="35">
        <f t="shared" ref="H8:O8" si="14">G8+1</f>
        <v>23</v>
      </c>
      <c r="I8" s="35">
        <f t="shared" si="14"/>
        <v>24</v>
      </c>
      <c r="J8" s="35">
        <f t="shared" si="14"/>
        <v>25</v>
      </c>
      <c r="K8" s="36">
        <f t="shared" si="14"/>
        <v>26</v>
      </c>
      <c r="L8" s="36">
        <f t="shared" si="14"/>
        <v>27</v>
      </c>
      <c r="M8" s="36">
        <f t="shared" si="14"/>
        <v>28</v>
      </c>
      <c r="N8" s="36">
        <f t="shared" si="14"/>
        <v>29</v>
      </c>
      <c r="O8" s="36">
        <f t="shared" si="14"/>
        <v>30</v>
      </c>
      <c r="Q8" s="41">
        <v>44286</v>
      </c>
      <c r="R8" s="41">
        <v>44377</v>
      </c>
      <c r="S8" s="41">
        <v>44469</v>
      </c>
      <c r="T8" s="41">
        <v>44561</v>
      </c>
      <c r="U8" s="41">
        <v>44651</v>
      </c>
      <c r="V8" s="41">
        <v>44742</v>
      </c>
      <c r="W8" s="41">
        <v>44834</v>
      </c>
      <c r="X8" s="41">
        <v>44926</v>
      </c>
      <c r="Y8" s="41">
        <v>45016</v>
      </c>
      <c r="Z8" s="41">
        <v>45107</v>
      </c>
      <c r="AA8" s="41">
        <v>45199</v>
      </c>
      <c r="AB8" s="41">
        <v>45291</v>
      </c>
      <c r="AC8" s="41">
        <v>45382</v>
      </c>
      <c r="AD8" s="41">
        <v>45473</v>
      </c>
      <c r="AE8" s="41">
        <v>45565</v>
      </c>
      <c r="AF8" s="41">
        <v>45657</v>
      </c>
      <c r="AG8" s="41">
        <v>45747</v>
      </c>
      <c r="AH8" s="41">
        <v>45838</v>
      </c>
      <c r="AI8" s="41">
        <v>45930</v>
      </c>
      <c r="AJ8" s="41">
        <v>46022</v>
      </c>
      <c r="AK8" s="41">
        <v>46112</v>
      </c>
      <c r="AL8" s="41">
        <v>46203</v>
      </c>
      <c r="AM8" s="41">
        <v>46295</v>
      </c>
      <c r="AN8" s="41">
        <v>46387</v>
      </c>
      <c r="AO8" s="41">
        <v>46477</v>
      </c>
      <c r="AP8" s="41">
        <v>46568</v>
      </c>
      <c r="AQ8" s="41">
        <v>46660</v>
      </c>
      <c r="AR8" s="41">
        <v>46752</v>
      </c>
      <c r="AS8" s="41">
        <v>46843</v>
      </c>
      <c r="AT8" s="41">
        <v>46934</v>
      </c>
      <c r="AU8" s="41">
        <v>47026</v>
      </c>
      <c r="AV8" s="41">
        <v>47118</v>
      </c>
      <c r="AW8" s="41">
        <v>47208</v>
      </c>
      <c r="AX8" s="41">
        <v>47299</v>
      </c>
      <c r="AY8" s="41">
        <v>47391</v>
      </c>
      <c r="AZ8" s="41">
        <v>47483</v>
      </c>
      <c r="BA8" s="41">
        <v>47573</v>
      </c>
      <c r="BB8" s="41">
        <v>47664</v>
      </c>
      <c r="BC8" s="41">
        <v>47756</v>
      </c>
      <c r="BD8" s="41">
        <v>47848</v>
      </c>
    </row>
    <row r="9" spans="1:56" customFormat="1" ht="3" customHeight="1" x14ac:dyDescent="0.2"/>
    <row r="10" spans="1:56" x14ac:dyDescent="0.15">
      <c r="B10" s="52" t="s">
        <v>233</v>
      </c>
    </row>
    <row r="11" spans="1:56" x14ac:dyDescent="0.15">
      <c r="B11" s="95" t="s">
        <v>234</v>
      </c>
      <c r="C11" s="94"/>
      <c r="D11" s="94"/>
      <c r="E11" s="96" t="s">
        <v>33</v>
      </c>
      <c r="F11" s="94">
        <f>SUMIFS($Q11:$BD11,$Q$1:$BD$1,F$1)</f>
        <v>6533700</v>
      </c>
      <c r="G11" s="94">
        <f t="shared" ref="G11:O13" si="15">SUMIFS($Q11:$BD11,$Q$1:$BD$1,G$1)</f>
        <v>2236900</v>
      </c>
      <c r="H11" s="94">
        <f t="shared" si="15"/>
        <v>1457500</v>
      </c>
      <c r="I11" s="94">
        <f t="shared" si="15"/>
        <v>3430400</v>
      </c>
      <c r="J11" s="94">
        <f t="shared" si="15"/>
        <v>3322800</v>
      </c>
      <c r="K11" s="94">
        <f t="shared" si="15"/>
        <v>3356914.381188707</v>
      </c>
      <c r="L11" s="94">
        <f t="shared" si="15"/>
        <v>3774086.2649983908</v>
      </c>
      <c r="M11" s="94">
        <f t="shared" si="15"/>
        <v>4671798.4195604352</v>
      </c>
      <c r="N11" s="94">
        <f t="shared" si="15"/>
        <v>6261933.7810055558</v>
      </c>
      <c r="O11" s="94">
        <f t="shared" si="15"/>
        <v>8996525.8562381584</v>
      </c>
      <c r="P11" s="50"/>
      <c r="Q11" s="97">
        <v>1497900</v>
      </c>
      <c r="R11" s="97">
        <v>1828000</v>
      </c>
      <c r="S11" s="97">
        <v>1022000</v>
      </c>
      <c r="T11" s="97">
        <v>2185800</v>
      </c>
      <c r="U11" s="97">
        <v>965800</v>
      </c>
      <c r="V11" s="97">
        <v>616200</v>
      </c>
      <c r="W11" s="97">
        <v>346100</v>
      </c>
      <c r="X11" s="97">
        <v>308800</v>
      </c>
      <c r="Y11" s="97">
        <v>361700</v>
      </c>
      <c r="Z11" s="97">
        <v>352400</v>
      </c>
      <c r="AA11" s="97">
        <v>274500</v>
      </c>
      <c r="AB11" s="97">
        <v>468900</v>
      </c>
      <c r="AC11" s="97">
        <v>935200</v>
      </c>
      <c r="AD11" s="97">
        <v>664800</v>
      </c>
      <c r="AE11" s="97">
        <v>483300</v>
      </c>
      <c r="AF11" s="97">
        <v>1347100</v>
      </c>
      <c r="AG11" s="97">
        <v>1095500</v>
      </c>
      <c r="AH11" s="97">
        <v>649900</v>
      </c>
      <c r="AI11" s="97">
        <v>843500</v>
      </c>
      <c r="AJ11" s="97">
        <v>733900</v>
      </c>
      <c r="AK11" s="94">
        <f>AK65</f>
        <v>1054697.7530422374</v>
      </c>
      <c r="AL11" s="94">
        <f t="shared" ref="AL11:BD11" si="16">AL65</f>
        <v>664409.28798380354</v>
      </c>
      <c r="AM11" s="94">
        <f t="shared" si="16"/>
        <v>810889.83427987515</v>
      </c>
      <c r="AN11" s="94">
        <f t="shared" si="16"/>
        <v>826917.50588279078</v>
      </c>
      <c r="AO11" s="94">
        <f t="shared" si="16"/>
        <v>1166110.3313876488</v>
      </c>
      <c r="AP11" s="94">
        <f t="shared" si="16"/>
        <v>743945.17710111151</v>
      </c>
      <c r="AQ11" s="94">
        <f t="shared" si="16"/>
        <v>852158.07526506635</v>
      </c>
      <c r="AR11" s="94">
        <f t="shared" si="16"/>
        <v>1011872.6812445644</v>
      </c>
      <c r="AS11" s="94">
        <f t="shared" si="16"/>
        <v>1421706.8043917718</v>
      </c>
      <c r="AT11" s="94">
        <f t="shared" si="16"/>
        <v>915505.0160119622</v>
      </c>
      <c r="AU11" s="94">
        <f t="shared" si="16"/>
        <v>983553.8033305821</v>
      </c>
      <c r="AV11" s="94">
        <f t="shared" si="16"/>
        <v>1351032.7958261191</v>
      </c>
      <c r="AW11" s="94">
        <f t="shared" si="16"/>
        <v>1879823.4976843055</v>
      </c>
      <c r="AX11" s="94">
        <f t="shared" si="16"/>
        <v>1218077.208783099</v>
      </c>
      <c r="AY11" s="94">
        <f t="shared" si="16"/>
        <v>1225593.8429335423</v>
      </c>
      <c r="AZ11" s="94">
        <f t="shared" si="16"/>
        <v>1938439.2316046089</v>
      </c>
      <c r="BA11" s="94">
        <f t="shared" si="16"/>
        <v>2668432.5023979926</v>
      </c>
      <c r="BB11" s="94">
        <f t="shared" si="16"/>
        <v>1734865.977933926</v>
      </c>
      <c r="BC11" s="94">
        <f t="shared" si="16"/>
        <v>1632016.1440843104</v>
      </c>
      <c r="BD11" s="94">
        <f t="shared" si="16"/>
        <v>2961211.2318219296</v>
      </c>
    </row>
    <row r="12" spans="1:56" x14ac:dyDescent="0.15">
      <c r="B12" s="1" t="s">
        <v>235</v>
      </c>
      <c r="E12" s="43" t="s">
        <v>33</v>
      </c>
      <c r="F12" s="50">
        <f t="shared" ref="F12:F13" si="17">SUMIFS($Q12:$BD12,$Q$1:$BD$1,F$1)</f>
        <v>346300</v>
      </c>
      <c r="G12" s="50">
        <f t="shared" si="15"/>
        <v>119400</v>
      </c>
      <c r="H12" s="50">
        <f t="shared" si="15"/>
        <v>96000</v>
      </c>
      <c r="I12" s="50">
        <f t="shared" si="15"/>
        <v>345600</v>
      </c>
      <c r="J12" s="50">
        <f t="shared" si="15"/>
        <v>479700</v>
      </c>
      <c r="K12" s="50">
        <f t="shared" si="15"/>
        <v>519600.78864324419</v>
      </c>
      <c r="L12" s="50">
        <f t="shared" si="15"/>
        <v>562932.71472782851</v>
      </c>
      <c r="M12" s="50">
        <f t="shared" si="15"/>
        <v>614614.99940719537</v>
      </c>
      <c r="N12" s="50">
        <f t="shared" si="15"/>
        <v>676099.67525163235</v>
      </c>
      <c r="O12" s="50">
        <f t="shared" si="15"/>
        <v>749104.36763286148</v>
      </c>
      <c r="Q12" s="51">
        <v>85400</v>
      </c>
      <c r="R12" s="51">
        <v>102400</v>
      </c>
      <c r="S12" s="51">
        <v>67700</v>
      </c>
      <c r="T12" s="51">
        <v>90800</v>
      </c>
      <c r="U12" s="51">
        <v>47200</v>
      </c>
      <c r="V12" s="51">
        <v>39000</v>
      </c>
      <c r="W12" s="51">
        <v>19800</v>
      </c>
      <c r="X12" s="51">
        <v>13400</v>
      </c>
      <c r="Y12" s="51">
        <v>22300</v>
      </c>
      <c r="Z12" s="51">
        <v>23000</v>
      </c>
      <c r="AA12" s="51">
        <v>14000</v>
      </c>
      <c r="AB12" s="51">
        <v>36700</v>
      </c>
      <c r="AC12" s="51">
        <v>85400</v>
      </c>
      <c r="AD12" s="51">
        <v>63600</v>
      </c>
      <c r="AE12" s="51">
        <v>55300</v>
      </c>
      <c r="AF12" s="51">
        <v>141300</v>
      </c>
      <c r="AG12" s="51">
        <v>98900</v>
      </c>
      <c r="AH12" s="51">
        <v>60800</v>
      </c>
      <c r="AI12" s="51">
        <v>135000</v>
      </c>
      <c r="AJ12" s="51">
        <v>185000</v>
      </c>
      <c r="AK12" s="50">
        <f>AK90</f>
        <v>98007.873372193892</v>
      </c>
      <c r="AL12" s="50">
        <f t="shared" ref="AL12:BD12" si="18">AL90</f>
        <v>63069.619822875793</v>
      </c>
      <c r="AM12" s="50">
        <f t="shared" si="18"/>
        <v>114086.35616518742</v>
      </c>
      <c r="AN12" s="50">
        <f t="shared" si="18"/>
        <v>244436.93928298706</v>
      </c>
      <c r="AO12" s="50">
        <f t="shared" si="18"/>
        <v>93354.629992957562</v>
      </c>
      <c r="AP12" s="50">
        <f t="shared" si="18"/>
        <v>64857.385985322435</v>
      </c>
      <c r="AQ12" s="50">
        <f t="shared" si="18"/>
        <v>115927.43228319706</v>
      </c>
      <c r="AR12" s="50">
        <f t="shared" si="18"/>
        <v>288793.26646635146</v>
      </c>
      <c r="AS12" s="50">
        <f t="shared" si="18"/>
        <v>88922.314516770188</v>
      </c>
      <c r="AT12" s="50">
        <f t="shared" si="18"/>
        <v>66695.828017713517</v>
      </c>
      <c r="AU12" s="50">
        <f t="shared" si="18"/>
        <v>117798.21888882539</v>
      </c>
      <c r="AV12" s="50">
        <f t="shared" si="18"/>
        <v>341198.63798388629</v>
      </c>
      <c r="AW12" s="50">
        <f t="shared" si="18"/>
        <v>84700.437671017455</v>
      </c>
      <c r="AX12" s="50">
        <f t="shared" si="18"/>
        <v>68586.3823740152</v>
      </c>
      <c r="AY12" s="50">
        <f t="shared" si="18"/>
        <v>119699.19543703132</v>
      </c>
      <c r="AZ12" s="50">
        <f t="shared" si="18"/>
        <v>403113.65976956836</v>
      </c>
      <c r="BA12" s="50">
        <f t="shared" si="18"/>
        <v>80679.00819550654</v>
      </c>
      <c r="BB12" s="50">
        <f t="shared" si="18"/>
        <v>70530.526225797497</v>
      </c>
      <c r="BC12" s="50">
        <f t="shared" si="18"/>
        <v>121630.84912000987</v>
      </c>
      <c r="BD12" s="50">
        <f t="shared" si="18"/>
        <v>476263.98409154755</v>
      </c>
    </row>
    <row r="13" spans="1:56" x14ac:dyDescent="0.15">
      <c r="B13" s="1" t="s">
        <v>236</v>
      </c>
      <c r="E13" s="43" t="s">
        <v>33</v>
      </c>
      <c r="F13" s="50">
        <f t="shared" si="17"/>
        <v>0</v>
      </c>
      <c r="G13" s="50">
        <f t="shared" si="15"/>
        <v>0</v>
      </c>
      <c r="H13" s="50">
        <f t="shared" si="15"/>
        <v>23600</v>
      </c>
      <c r="I13" s="50">
        <f t="shared" si="15"/>
        <v>210200</v>
      </c>
      <c r="J13" s="50">
        <f t="shared" si="15"/>
        <v>252800</v>
      </c>
      <c r="K13" s="50">
        <f t="shared" si="15"/>
        <v>256010.30802616157</v>
      </c>
      <c r="L13" s="50">
        <f t="shared" si="15"/>
        <v>266582.21186081594</v>
      </c>
      <c r="M13" s="50">
        <f t="shared" si="15"/>
        <v>285267.43157572049</v>
      </c>
      <c r="N13" s="50">
        <f t="shared" si="15"/>
        <v>313260.25183432101</v>
      </c>
      <c r="O13" s="50">
        <f t="shared" si="15"/>
        <v>352264.33035172976</v>
      </c>
      <c r="Q13" s="51">
        <v>0</v>
      </c>
      <c r="R13" s="51">
        <v>0</v>
      </c>
      <c r="S13" s="51">
        <v>0</v>
      </c>
      <c r="T13" s="51">
        <v>0</v>
      </c>
      <c r="U13" s="51">
        <v>0</v>
      </c>
      <c r="V13" s="51">
        <v>0</v>
      </c>
      <c r="W13" s="51">
        <v>0</v>
      </c>
      <c r="X13" s="51">
        <v>0</v>
      </c>
      <c r="Y13" s="51">
        <v>0</v>
      </c>
      <c r="Z13" s="51">
        <v>0</v>
      </c>
      <c r="AA13" s="51">
        <v>0</v>
      </c>
      <c r="AB13" s="51">
        <v>23600</v>
      </c>
      <c r="AC13" s="51">
        <v>56100</v>
      </c>
      <c r="AD13" s="51">
        <v>52500</v>
      </c>
      <c r="AE13" s="51">
        <v>34000</v>
      </c>
      <c r="AF13" s="51">
        <v>67600</v>
      </c>
      <c r="AG13" s="51">
        <v>67800</v>
      </c>
      <c r="AH13" s="51">
        <v>53500</v>
      </c>
      <c r="AI13" s="51">
        <v>67700</v>
      </c>
      <c r="AJ13" s="51">
        <v>63800</v>
      </c>
      <c r="AK13" s="50">
        <f>AK104</f>
        <v>68000.591715976319</v>
      </c>
      <c r="AL13" s="50">
        <f t="shared" ref="AL13:BD13" si="19">AL104</f>
        <v>42216.07669616519</v>
      </c>
      <c r="AM13" s="50">
        <f t="shared" si="19"/>
        <v>85668.971962616823</v>
      </c>
      <c r="AN13" s="50">
        <f t="shared" si="19"/>
        <v>60124.667651403244</v>
      </c>
      <c r="AO13" s="50">
        <f t="shared" si="19"/>
        <v>68201.776898567958</v>
      </c>
      <c r="AP13" s="50">
        <f t="shared" si="19"/>
        <v>33312.095918065454</v>
      </c>
      <c r="AQ13" s="50">
        <f t="shared" si="19"/>
        <v>108407.27853961046</v>
      </c>
      <c r="AR13" s="50">
        <f t="shared" si="19"/>
        <v>56661.060504572037</v>
      </c>
      <c r="AS13" s="50">
        <f t="shared" si="19"/>
        <v>68403.557303593305</v>
      </c>
      <c r="AT13" s="50">
        <f t="shared" si="19"/>
        <v>26286.093386674067</v>
      </c>
      <c r="AU13" s="50">
        <f t="shared" si="19"/>
        <v>137180.79919872203</v>
      </c>
      <c r="AV13" s="50">
        <f t="shared" si="19"/>
        <v>53396.981686731102</v>
      </c>
      <c r="AW13" s="50">
        <f t="shared" si="19"/>
        <v>68605.934692065464</v>
      </c>
      <c r="AX13" s="50">
        <f t="shared" si="19"/>
        <v>20741.976344941926</v>
      </c>
      <c r="AY13" s="50">
        <f t="shared" si="19"/>
        <v>173591.40384585949</v>
      </c>
      <c r="AZ13" s="50">
        <f t="shared" si="19"/>
        <v>50320.936951454125</v>
      </c>
      <c r="BA13" s="50">
        <f t="shared" si="19"/>
        <v>68808.910830207664</v>
      </c>
      <c r="BB13" s="50">
        <f t="shared" si="19"/>
        <v>16367.19372351612</v>
      </c>
      <c r="BC13" s="50">
        <f t="shared" si="19"/>
        <v>219666.13159560165</v>
      </c>
      <c r="BD13" s="50">
        <f t="shared" si="19"/>
        <v>47422.094202404325</v>
      </c>
    </row>
    <row r="14" spans="1:56" x14ac:dyDescent="0.15">
      <c r="B14" s="67" t="s">
        <v>237</v>
      </c>
      <c r="C14" s="67"/>
      <c r="D14" s="67"/>
      <c r="E14" s="68" t="s">
        <v>33</v>
      </c>
      <c r="F14" s="69">
        <f>SUM(F11:F13)</f>
        <v>6880000</v>
      </c>
      <c r="G14" s="69">
        <f t="shared" ref="G14:Q14" si="20">SUM(G11:G13)</f>
        <v>2356300</v>
      </c>
      <c r="H14" s="69">
        <f t="shared" si="20"/>
        <v>1577100</v>
      </c>
      <c r="I14" s="69">
        <f t="shared" si="20"/>
        <v>3986200</v>
      </c>
      <c r="J14" s="69">
        <f t="shared" si="20"/>
        <v>4055300</v>
      </c>
      <c r="K14" s="69">
        <f t="shared" si="20"/>
        <v>4132525.4778581127</v>
      </c>
      <c r="L14" s="69">
        <f t="shared" si="20"/>
        <v>4603601.1915870355</v>
      </c>
      <c r="M14" s="69">
        <f t="shared" si="20"/>
        <v>5571680.8505433509</v>
      </c>
      <c r="N14" s="69">
        <f t="shared" si="20"/>
        <v>7251293.7080915086</v>
      </c>
      <c r="O14" s="69">
        <f t="shared" si="20"/>
        <v>10097894.55422275</v>
      </c>
      <c r="P14" s="52"/>
      <c r="Q14" s="69">
        <f t="shared" si="20"/>
        <v>1583300</v>
      </c>
      <c r="R14" s="69">
        <f t="shared" ref="R14" si="21">SUM(R11:R13)</f>
        <v>1930400</v>
      </c>
      <c r="S14" s="69">
        <f t="shared" ref="S14" si="22">SUM(S11:S13)</f>
        <v>1089700</v>
      </c>
      <c r="T14" s="69">
        <f t="shared" ref="T14" si="23">SUM(T11:T13)</f>
        <v>2276600</v>
      </c>
      <c r="U14" s="69">
        <f t="shared" ref="U14" si="24">SUM(U11:U13)</f>
        <v>1013000</v>
      </c>
      <c r="V14" s="69">
        <f t="shared" ref="V14" si="25">SUM(V11:V13)</f>
        <v>655200</v>
      </c>
      <c r="W14" s="69">
        <f t="shared" ref="W14" si="26">SUM(W11:W13)</f>
        <v>365900</v>
      </c>
      <c r="X14" s="69">
        <f t="shared" ref="X14" si="27">SUM(X11:X13)</f>
        <v>322200</v>
      </c>
      <c r="Y14" s="69">
        <f t="shared" ref="Y14" si="28">SUM(Y11:Y13)</f>
        <v>384000</v>
      </c>
      <c r="Z14" s="69">
        <f t="shared" ref="Z14" si="29">SUM(Z11:Z13)</f>
        <v>375400</v>
      </c>
      <c r="AA14" s="69">
        <f t="shared" ref="AA14" si="30">SUM(AA11:AA13)</f>
        <v>288500</v>
      </c>
      <c r="AB14" s="69">
        <f t="shared" ref="AB14" si="31">SUM(AB11:AB13)</f>
        <v>529200</v>
      </c>
      <c r="AC14" s="69">
        <f t="shared" ref="AC14" si="32">SUM(AC11:AC13)</f>
        <v>1076700</v>
      </c>
      <c r="AD14" s="69">
        <f t="shared" ref="AD14" si="33">SUM(AD11:AD13)</f>
        <v>780900</v>
      </c>
      <c r="AE14" s="69">
        <f t="shared" ref="AE14" si="34">SUM(AE11:AE13)</f>
        <v>572600</v>
      </c>
      <c r="AF14" s="69">
        <f t="shared" ref="AF14" si="35">SUM(AF11:AF13)</f>
        <v>1556000</v>
      </c>
      <c r="AG14" s="69">
        <f t="shared" ref="AG14" si="36">SUM(AG11:AG13)</f>
        <v>1262200</v>
      </c>
      <c r="AH14" s="69">
        <f t="shared" ref="AH14" si="37">SUM(AH11:AH13)</f>
        <v>764200</v>
      </c>
      <c r="AI14" s="69">
        <f t="shared" ref="AI14" si="38">SUM(AI11:AI13)</f>
        <v>1046200</v>
      </c>
      <c r="AJ14" s="69">
        <f t="shared" ref="AJ14" si="39">SUM(AJ11:AJ13)</f>
        <v>982700</v>
      </c>
      <c r="AK14" s="69">
        <f t="shared" ref="AK14" si="40">SUM(AK11:AK13)</f>
        <v>1220706.2181304076</v>
      </c>
      <c r="AL14" s="69">
        <f t="shared" ref="AL14" si="41">SUM(AL11:AL13)</f>
        <v>769694.98450284451</v>
      </c>
      <c r="AM14" s="69">
        <f t="shared" ref="AM14" si="42">SUM(AM11:AM13)</f>
        <v>1010645.1624076794</v>
      </c>
      <c r="AN14" s="69">
        <f t="shared" ref="AN14" si="43">SUM(AN11:AN13)</f>
        <v>1131479.112817181</v>
      </c>
      <c r="AO14" s="69">
        <f t="shared" ref="AO14" si="44">SUM(AO11:AO13)</f>
        <v>1327666.7382791743</v>
      </c>
      <c r="AP14" s="69">
        <f t="shared" ref="AP14" si="45">SUM(AP11:AP13)</f>
        <v>842114.65900449932</v>
      </c>
      <c r="AQ14" s="69">
        <f t="shared" ref="AQ14" si="46">SUM(AQ11:AQ13)</f>
        <v>1076492.7860878739</v>
      </c>
      <c r="AR14" s="69">
        <f t="shared" ref="AR14" si="47">SUM(AR11:AR13)</f>
        <v>1357327.0082154879</v>
      </c>
      <c r="AS14" s="69">
        <f t="shared" ref="AS14" si="48">SUM(AS11:AS13)</f>
        <v>1579032.6762121352</v>
      </c>
      <c r="AT14" s="69">
        <f t="shared" ref="AT14" si="49">SUM(AT11:AT13)</f>
        <v>1008486.9374163498</v>
      </c>
      <c r="AU14" s="69">
        <f t="shared" ref="AU14" si="50">SUM(AU11:AU13)</f>
        <v>1238532.8214181294</v>
      </c>
      <c r="AV14" s="69">
        <f t="shared" ref="AV14" si="51">SUM(AV11:AV13)</f>
        <v>1745628.4154967365</v>
      </c>
      <c r="AW14" s="69">
        <f t="shared" ref="AW14" si="52">SUM(AW11:AW13)</f>
        <v>2033129.8700473884</v>
      </c>
      <c r="AX14" s="69">
        <f t="shared" ref="AX14" si="53">SUM(AX11:AX13)</f>
        <v>1307405.567502056</v>
      </c>
      <c r="AY14" s="69">
        <f t="shared" ref="AY14" si="54">SUM(AY11:AY13)</f>
        <v>1518884.4422164331</v>
      </c>
      <c r="AZ14" s="69">
        <f t="shared" ref="AZ14" si="55">SUM(AZ11:AZ13)</f>
        <v>2391873.8283256316</v>
      </c>
      <c r="BA14" s="69">
        <f t="shared" ref="BA14" si="56">SUM(BA11:BA13)</f>
        <v>2817920.4214237067</v>
      </c>
      <c r="BB14" s="69">
        <f t="shared" ref="BB14" si="57">SUM(BB11:BB13)</f>
        <v>1821763.6978832397</v>
      </c>
      <c r="BC14" s="69">
        <f t="shared" ref="BC14" si="58">SUM(BC11:BC13)</f>
        <v>1973313.1247999219</v>
      </c>
      <c r="BD14" s="69">
        <f t="shared" ref="BD14" si="59">SUM(BD11:BD13)</f>
        <v>3484897.3101158817</v>
      </c>
    </row>
    <row r="15" spans="1:56" x14ac:dyDescent="0.15">
      <c r="J15" s="1">
        <f>J11/J14</f>
        <v>0.81937217961679776</v>
      </c>
      <c r="K15" s="1">
        <f>J12/J14</f>
        <v>0.1182896456489039</v>
      </c>
    </row>
    <row r="16" spans="1:56" x14ac:dyDescent="0.15">
      <c r="B16" s="52" t="s">
        <v>238</v>
      </c>
    </row>
    <row r="17" spans="1:56" x14ac:dyDescent="0.15">
      <c r="B17" s="95" t="s">
        <v>239</v>
      </c>
      <c r="C17" s="94"/>
      <c r="D17" s="94"/>
      <c r="E17" s="96" t="s">
        <v>33</v>
      </c>
      <c r="F17" s="94">
        <f>SUMIFS($Q17:$BD17,$Q$1:$BD$1,F$1)</f>
        <v>0</v>
      </c>
      <c r="G17" s="94">
        <f t="shared" ref="F17:O21" si="60">SUMIFS($Q17:$BD17,$Q$1:$BD$1,G$1)</f>
        <v>593000</v>
      </c>
      <c r="H17" s="94">
        <f t="shared" si="60"/>
        <v>693600</v>
      </c>
      <c r="I17" s="94">
        <f t="shared" si="60"/>
        <v>910500</v>
      </c>
      <c r="J17" s="94">
        <f t="shared" si="60"/>
        <v>1348800</v>
      </c>
      <c r="K17" s="94">
        <f t="shared" si="60"/>
        <v>1577801.345252035</v>
      </c>
      <c r="L17" s="94">
        <f t="shared" si="60"/>
        <v>2019355.9877862192</v>
      </c>
      <c r="M17" s="94">
        <f t="shared" si="60"/>
        <v>2122213.9655797798</v>
      </c>
      <c r="N17" s="94">
        <f t="shared" si="60"/>
        <v>2215411.9150220342</v>
      </c>
      <c r="O17" s="94">
        <f t="shared" si="60"/>
        <v>2390793.8120092787</v>
      </c>
      <c r="P17" s="50"/>
      <c r="Q17" s="97">
        <v>0</v>
      </c>
      <c r="R17" s="97">
        <v>0</v>
      </c>
      <c r="S17" s="97">
        <v>0</v>
      </c>
      <c r="T17" s="97">
        <v>0</v>
      </c>
      <c r="U17" s="97">
        <v>82000</v>
      </c>
      <c r="V17" s="97">
        <v>147000</v>
      </c>
      <c r="W17" s="97">
        <v>182000</v>
      </c>
      <c r="X17" s="97">
        <v>182000</v>
      </c>
      <c r="Y17" s="97">
        <v>199000</v>
      </c>
      <c r="Z17" s="97">
        <v>151000</v>
      </c>
      <c r="AA17" s="97">
        <v>172000</v>
      </c>
      <c r="AB17" s="97">
        <v>171600</v>
      </c>
      <c r="AC17" s="97">
        <v>197300</v>
      </c>
      <c r="AD17" s="97">
        <v>240400</v>
      </c>
      <c r="AE17" s="97">
        <v>246900</v>
      </c>
      <c r="AF17" s="97">
        <v>225900</v>
      </c>
      <c r="AG17" s="97">
        <v>297500</v>
      </c>
      <c r="AH17" s="97">
        <v>332500</v>
      </c>
      <c r="AI17" s="97">
        <v>354700</v>
      </c>
      <c r="AJ17" s="97">
        <v>364100</v>
      </c>
      <c r="AK17" s="94">
        <f>AK130*AK137*1000000</f>
        <v>446296.05802325869</v>
      </c>
      <c r="AL17" s="94">
        <f t="shared" ref="AL17:BD21" si="61">AL130*AL137*1000000</f>
        <v>378928.71708866971</v>
      </c>
      <c r="AM17" s="94">
        <f t="shared" si="61"/>
        <v>377418.96721531136</v>
      </c>
      <c r="AN17" s="94">
        <f t="shared" si="61"/>
        <v>375157.60292479506</v>
      </c>
      <c r="AO17" s="94">
        <f t="shared" si="61"/>
        <v>633184.95672382403</v>
      </c>
      <c r="AP17" s="94">
        <f t="shared" si="61"/>
        <v>503639.13550896232</v>
      </c>
      <c r="AQ17" s="94">
        <f t="shared" si="61"/>
        <v>460013.14209994138</v>
      </c>
      <c r="AR17" s="94">
        <f t="shared" si="61"/>
        <v>422518.75345349155</v>
      </c>
      <c r="AS17" s="94">
        <f t="shared" si="61"/>
        <v>683872.8139290387</v>
      </c>
      <c r="AT17" s="94">
        <f t="shared" si="61"/>
        <v>526042.5470424348</v>
      </c>
      <c r="AU17" s="94">
        <f t="shared" si="61"/>
        <v>478970.63116165146</v>
      </c>
      <c r="AV17" s="94">
        <f t="shared" si="61"/>
        <v>433327.97344665485</v>
      </c>
      <c r="AW17" s="94">
        <f t="shared" si="61"/>
        <v>694833.15144470427</v>
      </c>
      <c r="AX17" s="94">
        <f t="shared" si="61"/>
        <v>548073.06551129115</v>
      </c>
      <c r="AY17" s="94">
        <f t="shared" si="61"/>
        <v>506795.15288986353</v>
      </c>
      <c r="AZ17" s="94">
        <f t="shared" si="61"/>
        <v>465710.54517617513</v>
      </c>
      <c r="BA17" s="94">
        <f t="shared" si="61"/>
        <v>755950.1185407684</v>
      </c>
      <c r="BB17" s="94">
        <f t="shared" si="61"/>
        <v>594097.96935577062</v>
      </c>
      <c r="BC17" s="94">
        <f t="shared" si="61"/>
        <v>543219.20646506047</v>
      </c>
      <c r="BD17" s="94">
        <f t="shared" si="61"/>
        <v>497526.51764767949</v>
      </c>
    </row>
    <row r="18" spans="1:56" x14ac:dyDescent="0.15">
      <c r="B18" s="1" t="s">
        <v>240</v>
      </c>
      <c r="E18" s="43" t="s">
        <v>33</v>
      </c>
      <c r="F18" s="91">
        <f t="shared" si="60"/>
        <v>223200</v>
      </c>
      <c r="G18" s="91">
        <f t="shared" si="60"/>
        <v>275500</v>
      </c>
      <c r="H18" s="91">
        <f t="shared" si="60"/>
        <v>305100</v>
      </c>
      <c r="I18" s="91">
        <f t="shared" si="60"/>
        <v>705700</v>
      </c>
      <c r="J18" s="91">
        <f t="shared" si="60"/>
        <v>677300</v>
      </c>
      <c r="K18" s="91">
        <f t="shared" si="60"/>
        <v>1094839.7052919746</v>
      </c>
      <c r="L18" s="91">
        <f t="shared" si="60"/>
        <v>1131520.4980073632</v>
      </c>
      <c r="M18" s="91">
        <f t="shared" si="60"/>
        <v>1256802.6815206134</v>
      </c>
      <c r="N18" s="91">
        <f t="shared" si="60"/>
        <v>1347407.8171095345</v>
      </c>
      <c r="O18" s="91">
        <f t="shared" si="60"/>
        <v>1408713.5943951199</v>
      </c>
      <c r="Q18" s="51">
        <v>0</v>
      </c>
      <c r="R18" s="51">
        <v>39000</v>
      </c>
      <c r="S18" s="51">
        <v>81500</v>
      </c>
      <c r="T18" s="51">
        <v>102700</v>
      </c>
      <c r="U18" s="51">
        <v>81900</v>
      </c>
      <c r="V18" s="51">
        <v>68400</v>
      </c>
      <c r="W18" s="51">
        <v>62800</v>
      </c>
      <c r="X18" s="51">
        <v>62400</v>
      </c>
      <c r="Y18" s="51">
        <v>74000</v>
      </c>
      <c r="Z18" s="51">
        <v>74000</v>
      </c>
      <c r="AA18" s="51">
        <v>62000</v>
      </c>
      <c r="AB18" s="51">
        <v>95100</v>
      </c>
      <c r="AC18" s="51">
        <v>150900</v>
      </c>
      <c r="AD18" s="51">
        <v>185100</v>
      </c>
      <c r="AE18" s="51">
        <v>154800</v>
      </c>
      <c r="AF18" s="51">
        <v>214900</v>
      </c>
      <c r="AG18" s="51">
        <v>196600</v>
      </c>
      <c r="AH18" s="51">
        <v>144500</v>
      </c>
      <c r="AI18" s="51">
        <v>184600</v>
      </c>
      <c r="AJ18" s="51">
        <v>151600</v>
      </c>
      <c r="AK18" s="50">
        <f t="shared" ref="AK18:AZ21" si="62">AK131*AK138*1000000</f>
        <v>326547.27117060218</v>
      </c>
      <c r="AL18" s="50">
        <f t="shared" si="62"/>
        <v>277255.72814051964</v>
      </c>
      <c r="AM18" s="50">
        <f t="shared" si="62"/>
        <v>258551.22782350975</v>
      </c>
      <c r="AN18" s="50">
        <f t="shared" si="62"/>
        <v>232485.47815734302</v>
      </c>
      <c r="AO18" s="50">
        <f t="shared" si="62"/>
        <v>358642.9812582662</v>
      </c>
      <c r="AP18" s="50">
        <f t="shared" si="62"/>
        <v>277541.45280246227</v>
      </c>
      <c r="AQ18" s="50">
        <f t="shared" si="62"/>
        <v>255814.77969548499</v>
      </c>
      <c r="AR18" s="50">
        <f t="shared" si="62"/>
        <v>239521.28425114974</v>
      </c>
      <c r="AS18" s="50">
        <f t="shared" si="62"/>
        <v>394232.43939929229</v>
      </c>
      <c r="AT18" s="50">
        <f t="shared" si="62"/>
        <v>310861.90793508285</v>
      </c>
      <c r="AU18" s="50">
        <f t="shared" si="62"/>
        <v>286040.16291691153</v>
      </c>
      <c r="AV18" s="50">
        <f t="shared" si="62"/>
        <v>265668.17126932682</v>
      </c>
      <c r="AW18" s="50">
        <f t="shared" si="62"/>
        <v>428145.23159157031</v>
      </c>
      <c r="AX18" s="50">
        <f t="shared" si="62"/>
        <v>334115.61062472372</v>
      </c>
      <c r="AY18" s="50">
        <f t="shared" si="62"/>
        <v>305236.76038063026</v>
      </c>
      <c r="AZ18" s="50">
        <f t="shared" si="62"/>
        <v>279910.21451261028</v>
      </c>
      <c r="BA18" s="50">
        <f t="shared" si="61"/>
        <v>443823.48002239334</v>
      </c>
      <c r="BB18" s="50">
        <f t="shared" si="61"/>
        <v>346696.02403623168</v>
      </c>
      <c r="BC18" s="50">
        <f t="shared" si="61"/>
        <v>321660.3271094613</v>
      </c>
      <c r="BD18" s="50">
        <f t="shared" si="61"/>
        <v>296533.76322703372</v>
      </c>
    </row>
    <row r="19" spans="1:56" x14ac:dyDescent="0.15">
      <c r="B19" s="1" t="s">
        <v>241</v>
      </c>
      <c r="E19" s="43" t="s">
        <v>33</v>
      </c>
      <c r="F19" s="91">
        <f t="shared" si="60"/>
        <v>22500</v>
      </c>
      <c r="G19" s="91">
        <f t="shared" si="60"/>
        <v>327000</v>
      </c>
      <c r="H19" s="91">
        <f t="shared" si="60"/>
        <v>119900</v>
      </c>
      <c r="I19" s="91">
        <f t="shared" si="60"/>
        <v>265800</v>
      </c>
      <c r="J19" s="91">
        <f t="shared" si="60"/>
        <v>247100</v>
      </c>
      <c r="K19" s="91">
        <f t="shared" si="60"/>
        <v>450893.47105197998</v>
      </c>
      <c r="L19" s="91">
        <f t="shared" si="60"/>
        <v>548607.64567449572</v>
      </c>
      <c r="M19" s="91">
        <f t="shared" si="60"/>
        <v>518406.54979730723</v>
      </c>
      <c r="N19" s="91">
        <f t="shared" si="60"/>
        <v>553330.17627287318</v>
      </c>
      <c r="O19" s="91">
        <f t="shared" si="60"/>
        <v>595223.88494741218</v>
      </c>
      <c r="Q19" s="51">
        <v>0</v>
      </c>
      <c r="R19" s="51">
        <v>6500</v>
      </c>
      <c r="S19" s="51">
        <v>8400</v>
      </c>
      <c r="T19" s="51">
        <v>7600</v>
      </c>
      <c r="U19" s="51">
        <v>32500</v>
      </c>
      <c r="V19" s="51">
        <v>10500</v>
      </c>
      <c r="W19" s="51">
        <v>101800</v>
      </c>
      <c r="X19" s="51">
        <v>182200</v>
      </c>
      <c r="Y19" s="51">
        <v>17000</v>
      </c>
      <c r="Z19" s="51">
        <v>26000</v>
      </c>
      <c r="AA19" s="51">
        <v>28000</v>
      </c>
      <c r="AB19" s="51">
        <v>48900</v>
      </c>
      <c r="AC19" s="51">
        <v>66700</v>
      </c>
      <c r="AD19" s="51">
        <v>69400</v>
      </c>
      <c r="AE19" s="51">
        <v>64000</v>
      </c>
      <c r="AF19" s="51">
        <v>65700</v>
      </c>
      <c r="AG19" s="51">
        <v>63100</v>
      </c>
      <c r="AH19" s="51">
        <v>59300</v>
      </c>
      <c r="AI19" s="51">
        <v>64800</v>
      </c>
      <c r="AJ19" s="51">
        <v>59900</v>
      </c>
      <c r="AK19" s="50">
        <f t="shared" si="62"/>
        <v>129908.69336880834</v>
      </c>
      <c r="AL19" s="50">
        <f t="shared" si="61"/>
        <v>110299.28145666592</v>
      </c>
      <c r="AM19" s="50">
        <f t="shared" si="61"/>
        <v>106926.5136510476</v>
      </c>
      <c r="AN19" s="50">
        <f t="shared" si="61"/>
        <v>103758.98257545814</v>
      </c>
      <c r="AO19" s="50">
        <f t="shared" si="61"/>
        <v>172625.74563607693</v>
      </c>
      <c r="AP19" s="50">
        <f t="shared" si="61"/>
        <v>135097.16634644687</v>
      </c>
      <c r="AQ19" s="50">
        <f t="shared" si="61"/>
        <v>128705.85083829422</v>
      </c>
      <c r="AR19" s="50">
        <f t="shared" si="61"/>
        <v>112178.88285367771</v>
      </c>
      <c r="AS19" s="50">
        <f t="shared" si="61"/>
        <v>160054.04117304357</v>
      </c>
      <c r="AT19" s="50">
        <f t="shared" si="61"/>
        <v>128645.51799198678</v>
      </c>
      <c r="AU19" s="50">
        <f t="shared" si="61"/>
        <v>119282.57347988663</v>
      </c>
      <c r="AV19" s="50">
        <f t="shared" si="61"/>
        <v>110424.4171523902</v>
      </c>
      <c r="AW19" s="50">
        <f t="shared" si="61"/>
        <v>175962.54564408952</v>
      </c>
      <c r="AX19" s="50">
        <f t="shared" si="61"/>
        <v>136743.03602696239</v>
      </c>
      <c r="AY19" s="50">
        <f t="shared" si="61"/>
        <v>125536.35693409077</v>
      </c>
      <c r="AZ19" s="50">
        <f t="shared" si="61"/>
        <v>115088.23766773053</v>
      </c>
      <c r="BA19" s="50">
        <f t="shared" si="61"/>
        <v>185499.01179645071</v>
      </c>
      <c r="BB19" s="50">
        <f t="shared" si="61"/>
        <v>146732.18583759892</v>
      </c>
      <c r="BC19" s="50">
        <f t="shared" si="61"/>
        <v>136310.82572088073</v>
      </c>
      <c r="BD19" s="50">
        <f t="shared" si="61"/>
        <v>126681.8615924819</v>
      </c>
    </row>
    <row r="20" spans="1:56" x14ac:dyDescent="0.15">
      <c r="B20" s="1" t="s">
        <v>242</v>
      </c>
      <c r="E20" s="43" t="s">
        <v>33</v>
      </c>
      <c r="F20" s="91">
        <f t="shared" si="60"/>
        <v>136300</v>
      </c>
      <c r="G20" s="91">
        <f t="shared" si="60"/>
        <v>79800</v>
      </c>
      <c r="H20" s="91">
        <f t="shared" si="60"/>
        <v>19700</v>
      </c>
      <c r="I20" s="91">
        <f t="shared" si="60"/>
        <v>141600</v>
      </c>
      <c r="J20" s="91">
        <f t="shared" si="60"/>
        <v>0</v>
      </c>
      <c r="K20" s="91">
        <f t="shared" si="60"/>
        <v>0</v>
      </c>
      <c r="L20" s="91">
        <f t="shared" si="60"/>
        <v>0</v>
      </c>
      <c r="M20" s="91">
        <f t="shared" si="60"/>
        <v>0</v>
      </c>
      <c r="N20" s="91">
        <f t="shared" si="60"/>
        <v>0</v>
      </c>
      <c r="O20" s="91">
        <f t="shared" si="60"/>
        <v>0</v>
      </c>
      <c r="Q20" s="51">
        <v>23500</v>
      </c>
      <c r="R20" s="51">
        <v>31700</v>
      </c>
      <c r="S20" s="51">
        <v>31500</v>
      </c>
      <c r="T20" s="51">
        <v>49600</v>
      </c>
      <c r="U20" s="51">
        <v>31700</v>
      </c>
      <c r="V20" s="51">
        <v>22200</v>
      </c>
      <c r="W20" s="51">
        <v>14500</v>
      </c>
      <c r="X20" s="51">
        <v>11400</v>
      </c>
      <c r="Y20" s="51">
        <v>0</v>
      </c>
      <c r="Z20" s="51">
        <v>0</v>
      </c>
      <c r="AA20" s="51">
        <v>0</v>
      </c>
      <c r="AB20" s="51">
        <v>19700</v>
      </c>
      <c r="AC20" s="51">
        <v>32300</v>
      </c>
      <c r="AD20" s="51">
        <v>34500</v>
      </c>
      <c r="AE20" s="51">
        <v>31700</v>
      </c>
      <c r="AF20" s="51">
        <v>43100</v>
      </c>
      <c r="AG20" s="51">
        <v>0</v>
      </c>
      <c r="AH20" s="51">
        <v>0</v>
      </c>
      <c r="AI20" s="51">
        <v>0</v>
      </c>
      <c r="AJ20" s="51">
        <v>0</v>
      </c>
      <c r="AK20" s="50">
        <f t="shared" si="62"/>
        <v>0</v>
      </c>
      <c r="AL20" s="50">
        <f t="shared" si="61"/>
        <v>0</v>
      </c>
      <c r="AM20" s="50">
        <f t="shared" si="61"/>
        <v>0</v>
      </c>
      <c r="AN20" s="50">
        <f t="shared" si="61"/>
        <v>0</v>
      </c>
      <c r="AO20" s="50">
        <f t="shared" si="61"/>
        <v>0</v>
      </c>
      <c r="AP20" s="50">
        <f t="shared" si="61"/>
        <v>0</v>
      </c>
      <c r="AQ20" s="50">
        <f t="shared" si="61"/>
        <v>0</v>
      </c>
      <c r="AR20" s="50">
        <f t="shared" si="61"/>
        <v>0</v>
      </c>
      <c r="AS20" s="50">
        <f t="shared" si="61"/>
        <v>0</v>
      </c>
      <c r="AT20" s="50">
        <f t="shared" si="61"/>
        <v>0</v>
      </c>
      <c r="AU20" s="50">
        <f t="shared" si="61"/>
        <v>0</v>
      </c>
      <c r="AV20" s="50">
        <f t="shared" si="61"/>
        <v>0</v>
      </c>
      <c r="AW20" s="50">
        <f t="shared" si="61"/>
        <v>0</v>
      </c>
      <c r="AX20" s="50">
        <f t="shared" si="61"/>
        <v>0</v>
      </c>
      <c r="AY20" s="50">
        <f t="shared" si="61"/>
        <v>0</v>
      </c>
      <c r="AZ20" s="50">
        <f t="shared" si="61"/>
        <v>0</v>
      </c>
      <c r="BA20" s="50">
        <f t="shared" si="61"/>
        <v>0</v>
      </c>
      <c r="BB20" s="50">
        <f t="shared" si="61"/>
        <v>0</v>
      </c>
      <c r="BC20" s="50">
        <f t="shared" si="61"/>
        <v>0</v>
      </c>
      <c r="BD20" s="50">
        <f t="shared" si="61"/>
        <v>0</v>
      </c>
    </row>
    <row r="21" spans="1:56" x14ac:dyDescent="0.15">
      <c r="B21" s="1" t="s">
        <v>243</v>
      </c>
      <c r="E21" s="43" t="s">
        <v>33</v>
      </c>
      <c r="F21" s="91">
        <f t="shared" si="60"/>
        <v>113100</v>
      </c>
      <c r="G21" s="91">
        <f t="shared" si="60"/>
        <v>111300</v>
      </c>
      <c r="H21" s="91">
        <f t="shared" si="60"/>
        <v>120100</v>
      </c>
      <c r="I21" s="91">
        <f t="shared" si="60"/>
        <v>283400</v>
      </c>
      <c r="J21" s="91">
        <f t="shared" si="60"/>
        <v>554800</v>
      </c>
      <c r="K21" s="91">
        <f t="shared" si="60"/>
        <v>554036.82583539572</v>
      </c>
      <c r="L21" s="91">
        <f t="shared" si="60"/>
        <v>575483.04133067071</v>
      </c>
      <c r="M21" s="91">
        <f t="shared" si="60"/>
        <v>663983.33031767095</v>
      </c>
      <c r="N21" s="91">
        <f t="shared" si="60"/>
        <v>746245.36264896032</v>
      </c>
      <c r="O21" s="91">
        <f t="shared" si="60"/>
        <v>798073.24647529877</v>
      </c>
      <c r="Q21" s="51">
        <v>11100</v>
      </c>
      <c r="R21" s="51">
        <v>24900</v>
      </c>
      <c r="S21" s="51">
        <v>23600</v>
      </c>
      <c r="T21" s="51">
        <v>53500</v>
      </c>
      <c r="U21" s="51">
        <v>24300</v>
      </c>
      <c r="V21" s="51">
        <v>27800</v>
      </c>
      <c r="W21" s="51">
        <v>31400</v>
      </c>
      <c r="X21" s="51">
        <v>27800</v>
      </c>
      <c r="Y21" s="51">
        <v>24000</v>
      </c>
      <c r="Z21" s="51">
        <v>24000</v>
      </c>
      <c r="AA21" s="51">
        <v>32000</v>
      </c>
      <c r="AB21" s="51">
        <v>40100</v>
      </c>
      <c r="AC21" s="51">
        <v>63700</v>
      </c>
      <c r="AD21" s="51">
        <v>69600</v>
      </c>
      <c r="AE21" s="51">
        <v>58700</v>
      </c>
      <c r="AF21" s="51">
        <v>91400</v>
      </c>
      <c r="AG21" s="51">
        <v>140900</v>
      </c>
      <c r="AH21" s="51">
        <v>119500</v>
      </c>
      <c r="AI21" s="51">
        <v>142700</v>
      </c>
      <c r="AJ21" s="51">
        <v>151700</v>
      </c>
      <c r="AK21" s="50">
        <f t="shared" si="62"/>
        <v>178222.13403227544</v>
      </c>
      <c r="AL21" s="50">
        <f t="shared" si="61"/>
        <v>135737.32341210105</v>
      </c>
      <c r="AM21" s="50">
        <f t="shared" si="61"/>
        <v>123959.68872929402</v>
      </c>
      <c r="AN21" s="50">
        <f t="shared" si="61"/>
        <v>116117.67966172523</v>
      </c>
      <c r="AO21" s="50">
        <f t="shared" si="61"/>
        <v>178404.03114710178</v>
      </c>
      <c r="AP21" s="50">
        <f t="shared" si="61"/>
        <v>141643.04835938528</v>
      </c>
      <c r="AQ21" s="50">
        <f t="shared" si="61"/>
        <v>131859.66255679619</v>
      </c>
      <c r="AR21" s="50">
        <f t="shared" si="61"/>
        <v>123576.29926738744</v>
      </c>
      <c r="AS21" s="50">
        <f t="shared" si="61"/>
        <v>204102.60675440301</v>
      </c>
      <c r="AT21" s="50">
        <f t="shared" si="61"/>
        <v>163616.0341668792</v>
      </c>
      <c r="AU21" s="50">
        <f t="shared" si="61"/>
        <v>153490.8643740546</v>
      </c>
      <c r="AV21" s="50">
        <f t="shared" si="61"/>
        <v>142773.82502233406</v>
      </c>
      <c r="AW21" s="50">
        <f t="shared" si="61"/>
        <v>232434.73029763225</v>
      </c>
      <c r="AX21" s="50">
        <f t="shared" si="61"/>
        <v>183623.00221052076</v>
      </c>
      <c r="AY21" s="50">
        <f t="shared" si="61"/>
        <v>170848.06240934433</v>
      </c>
      <c r="AZ21" s="50">
        <f t="shared" si="61"/>
        <v>159339.56773146303</v>
      </c>
      <c r="BA21" s="50">
        <f t="shared" si="61"/>
        <v>256764.87058316826</v>
      </c>
      <c r="BB21" s="50">
        <f t="shared" si="61"/>
        <v>197969.88559000421</v>
      </c>
      <c r="BC21" s="50">
        <f t="shared" si="61"/>
        <v>180197.86536968948</v>
      </c>
      <c r="BD21" s="50">
        <f t="shared" si="61"/>
        <v>163140.62493243685</v>
      </c>
    </row>
    <row r="22" spans="1:56" x14ac:dyDescent="0.15">
      <c r="B22" s="67" t="s">
        <v>244</v>
      </c>
      <c r="C22" s="67"/>
      <c r="D22" s="67"/>
      <c r="E22" s="68" t="s">
        <v>33</v>
      </c>
      <c r="F22" s="69">
        <f t="array" ref="F22">SUM(F17:F21)</f>
        <v>495100</v>
      </c>
      <c r="G22" s="69">
        <f t="array" ref="G22">SUM(G17:G21)</f>
        <v>1386600</v>
      </c>
      <c r="H22" s="69">
        <f t="array" ref="H22">SUM(H17:H21)</f>
        <v>1258400</v>
      </c>
      <c r="I22" s="69">
        <f t="array" ref="I22">SUM(I17:I21)</f>
        <v>2307000</v>
      </c>
      <c r="J22" s="69">
        <f t="array" ref="J22">SUM(J17:J21)</f>
        <v>2828000</v>
      </c>
      <c r="K22" s="69">
        <f t="array" ref="K22">SUM(K17:K21)</f>
        <v>3677571.347431385</v>
      </c>
      <c r="L22" s="69">
        <f t="array" ref="L22">SUM(L17:L21)</f>
        <v>4274967.1727987491</v>
      </c>
      <c r="M22" s="69">
        <f t="array" ref="M22">SUM(M17:M21)</f>
        <v>4561406.5272153709</v>
      </c>
      <c r="N22" s="69">
        <f t="array" ref="N22">SUM(N17:N21)</f>
        <v>4862395.2710534027</v>
      </c>
      <c r="O22" s="69">
        <f t="array" ref="O22">SUM(O17:O21)</f>
        <v>5192804.537827109</v>
      </c>
      <c r="P22" s="52"/>
      <c r="Q22" s="69">
        <f t="array" ref="Q22">SUM(Q17:Q21)</f>
        <v>34600</v>
      </c>
      <c r="R22" s="69">
        <f t="array" ref="R22">SUM(R17:R21)</f>
        <v>102100</v>
      </c>
      <c r="S22" s="69">
        <f t="array" ref="S22">SUM(S17:S21)</f>
        <v>145000</v>
      </c>
      <c r="T22" s="69">
        <f t="array" ref="T22">SUM(T17:T21)</f>
        <v>213400</v>
      </c>
      <c r="U22" s="69">
        <f t="array" ref="U22">SUM(U17:U21)</f>
        <v>252400</v>
      </c>
      <c r="V22" s="69">
        <f t="array" ref="V22">SUM(V17:V21)</f>
        <v>275900</v>
      </c>
      <c r="W22" s="69">
        <f t="array" ref="W22">SUM(W17:W21)</f>
        <v>392500</v>
      </c>
      <c r="X22" s="69">
        <f t="array" ref="X22">SUM(X17:X21)</f>
        <v>465800</v>
      </c>
      <c r="Y22" s="69">
        <f t="array" ref="Y22">SUM(Y17:Y21)</f>
        <v>314000</v>
      </c>
      <c r="Z22" s="69">
        <f t="array" ref="Z22">SUM(Z17:Z21)</f>
        <v>275000</v>
      </c>
      <c r="AA22" s="69">
        <f t="array" ref="AA22">SUM(AA17:AA21)</f>
        <v>294000</v>
      </c>
      <c r="AB22" s="69">
        <f t="array" ref="AB22">SUM(AB17:AB21)</f>
        <v>375400</v>
      </c>
      <c r="AC22" s="69">
        <f t="array" ref="AC22">SUM(AC17:AC21)</f>
        <v>510900</v>
      </c>
      <c r="AD22" s="69">
        <f t="array" ref="AD22">SUM(AD17:AD21)</f>
        <v>599000</v>
      </c>
      <c r="AE22" s="69">
        <f t="array" ref="AE22">SUM(AE17:AE21)</f>
        <v>556100</v>
      </c>
      <c r="AF22" s="69">
        <f t="array" ref="AF22">SUM(AF17:AF21)</f>
        <v>641000</v>
      </c>
      <c r="AG22" s="69">
        <f t="array" ref="AG22">SUM(AG17:AG21)</f>
        <v>698100</v>
      </c>
      <c r="AH22" s="69">
        <f t="array" ref="AH22">SUM(AH17:AH21)</f>
        <v>655800</v>
      </c>
      <c r="AI22" s="69">
        <f t="array" ref="AI22">SUM(AI17:AI21)</f>
        <v>746800</v>
      </c>
      <c r="AJ22" s="69">
        <f t="array" ref="AJ22">SUM(AJ17:AJ21)</f>
        <v>727300</v>
      </c>
      <c r="AK22" s="69">
        <f t="array" ref="AK22">SUM(AK17:AK21)</f>
        <v>1080974.1565949447</v>
      </c>
      <c r="AL22" s="69">
        <f t="array" ref="AL22">SUM(AL17:AL21)</f>
        <v>902221.05009795632</v>
      </c>
      <c r="AM22" s="69">
        <f t="array" ref="AM22">SUM(AM17:AM21)</f>
        <v>866856.39741916268</v>
      </c>
      <c r="AN22" s="69">
        <f t="array" ref="AN22">SUM(AN17:AN21)</f>
        <v>827519.74331932142</v>
      </c>
      <c r="AO22" s="69">
        <f t="array" ref="AO22">SUM(AO17:AO21)</f>
        <v>1342857.7147652688</v>
      </c>
      <c r="AP22" s="69">
        <f t="array" ref="AP22">SUM(AP17:AP21)</f>
        <v>1057920.8030172568</v>
      </c>
      <c r="AQ22" s="69">
        <f t="array" ref="AQ22">SUM(AQ17:AQ21)</f>
        <v>976393.43519051687</v>
      </c>
      <c r="AR22" s="69">
        <f t="array" ref="AR22">SUM(AR17:AR21)</f>
        <v>897795.21982570644</v>
      </c>
      <c r="AS22" s="69">
        <f t="array" ref="AS22">SUM(AS17:AS21)</f>
        <v>1442261.9012557778</v>
      </c>
      <c r="AT22" s="69">
        <f t="array" ref="AT22">SUM(AT17:AT21)</f>
        <v>1129166.0071363838</v>
      </c>
      <c r="AU22" s="69">
        <f t="array" ref="AU22">SUM(AU17:AU21)</f>
        <v>1037784.2319325042</v>
      </c>
      <c r="AV22" s="69">
        <f t="array" ref="AV22">SUM(AV17:AV21)</f>
        <v>952194.38689070591</v>
      </c>
      <c r="AW22" s="69">
        <f t="array" ref="AW22">SUM(AW17:AW21)</f>
        <v>1531375.6589779963</v>
      </c>
      <c r="AX22" s="69">
        <f t="array" ref="AX22">SUM(AX17:AX21)</f>
        <v>1202554.714373498</v>
      </c>
      <c r="AY22" s="69">
        <f t="array" ref="AY22">SUM(AY17:AY21)</f>
        <v>1108416.3326139287</v>
      </c>
      <c r="AZ22" s="69">
        <f t="array" ref="AZ22">SUM(AZ17:AZ21)</f>
        <v>1020048.565087979</v>
      </c>
      <c r="BA22" s="69">
        <f t="array" ref="BA22">SUM(BA17:BA21)</f>
        <v>1642037.4809427806</v>
      </c>
      <c r="BB22" s="69">
        <f t="array" ref="BB22">SUM(BB17:BB21)</f>
        <v>1285496.0648196056</v>
      </c>
      <c r="BC22" s="69">
        <f t="array" ref="BC22">SUM(BC17:BC21)</f>
        <v>1181388.2246650921</v>
      </c>
      <c r="BD22" s="69">
        <f t="array" ref="BD22">SUM(BD17:BD21)</f>
        <v>1083882.7673996319</v>
      </c>
    </row>
    <row r="23" spans="1:56" ht="3" customHeight="1" thickBot="1" x14ac:dyDescent="0.2"/>
    <row r="24" spans="1:56" s="52" customFormat="1" ht="15" thickBot="1" x14ac:dyDescent="0.2">
      <c r="B24" s="76" t="s">
        <v>245</v>
      </c>
      <c r="C24" s="77"/>
      <c r="D24" s="77"/>
      <c r="E24" s="78" t="s">
        <v>33</v>
      </c>
      <c r="F24" s="79">
        <f>SUM(F22,F14)</f>
        <v>7375100</v>
      </c>
      <c r="G24" s="79">
        <f t="shared" ref="G24:O24" si="63">SUM(G22,G14)</f>
        <v>3742900</v>
      </c>
      <c r="H24" s="79">
        <f t="shared" si="63"/>
        <v>2835500</v>
      </c>
      <c r="I24" s="79">
        <f t="shared" si="63"/>
        <v>6293200</v>
      </c>
      <c r="J24" s="79">
        <f t="shared" si="63"/>
        <v>6883300</v>
      </c>
      <c r="K24" s="79">
        <f t="shared" si="63"/>
        <v>7810096.8252894972</v>
      </c>
      <c r="L24" s="79">
        <f t="shared" si="63"/>
        <v>8878568.3643857837</v>
      </c>
      <c r="M24" s="79">
        <f t="shared" si="63"/>
        <v>10133087.377758723</v>
      </c>
      <c r="N24" s="79">
        <f t="shared" si="63"/>
        <v>12113688.979144912</v>
      </c>
      <c r="O24" s="80">
        <f t="shared" si="63"/>
        <v>15290699.092049859</v>
      </c>
      <c r="Q24" s="85">
        <f>SUM(Q22,Q14)</f>
        <v>1617900</v>
      </c>
      <c r="R24" s="79">
        <f t="shared" ref="R24:BD24" si="64">SUM(R22,R14)</f>
        <v>2032500</v>
      </c>
      <c r="S24" s="79">
        <f t="shared" si="64"/>
        <v>1234700</v>
      </c>
      <c r="T24" s="79">
        <f t="shared" si="64"/>
        <v>2490000</v>
      </c>
      <c r="U24" s="79">
        <f t="shared" si="64"/>
        <v>1265400</v>
      </c>
      <c r="V24" s="79">
        <f t="shared" si="64"/>
        <v>931100</v>
      </c>
      <c r="W24" s="79">
        <f t="shared" si="64"/>
        <v>758400</v>
      </c>
      <c r="X24" s="79">
        <f t="shared" si="64"/>
        <v>788000</v>
      </c>
      <c r="Y24" s="79">
        <f t="shared" si="64"/>
        <v>698000</v>
      </c>
      <c r="Z24" s="79">
        <f t="shared" si="64"/>
        <v>650400</v>
      </c>
      <c r="AA24" s="79">
        <f t="shared" si="64"/>
        <v>582500</v>
      </c>
      <c r="AB24" s="79">
        <f t="shared" si="64"/>
        <v>904600</v>
      </c>
      <c r="AC24" s="79">
        <f t="shared" si="64"/>
        <v>1587600</v>
      </c>
      <c r="AD24" s="79">
        <f t="shared" si="64"/>
        <v>1379900</v>
      </c>
      <c r="AE24" s="79">
        <f t="shared" si="64"/>
        <v>1128700</v>
      </c>
      <c r="AF24" s="79">
        <f t="shared" si="64"/>
        <v>2197000</v>
      </c>
      <c r="AG24" s="79">
        <f t="shared" si="64"/>
        <v>1960300</v>
      </c>
      <c r="AH24" s="79">
        <f t="shared" si="64"/>
        <v>1420000</v>
      </c>
      <c r="AI24" s="79">
        <f t="shared" si="64"/>
        <v>1793000</v>
      </c>
      <c r="AJ24" s="79">
        <f t="shared" si="64"/>
        <v>1710000</v>
      </c>
      <c r="AK24" s="79">
        <f t="shared" si="64"/>
        <v>2301680.374725352</v>
      </c>
      <c r="AL24" s="79">
        <f t="shared" si="64"/>
        <v>1671916.0346008008</v>
      </c>
      <c r="AM24" s="79">
        <f t="shared" si="64"/>
        <v>1877501.559826842</v>
      </c>
      <c r="AN24" s="79">
        <f t="shared" si="64"/>
        <v>1958998.8561365025</v>
      </c>
      <c r="AO24" s="79">
        <f t="shared" si="64"/>
        <v>2670524.4530444434</v>
      </c>
      <c r="AP24" s="79">
        <f t="shared" si="64"/>
        <v>1900035.462021756</v>
      </c>
      <c r="AQ24" s="79">
        <f t="shared" si="64"/>
        <v>2052886.2212783908</v>
      </c>
      <c r="AR24" s="79">
        <f t="shared" si="64"/>
        <v>2255122.2280411944</v>
      </c>
      <c r="AS24" s="79">
        <f t="shared" si="64"/>
        <v>3021294.5774679128</v>
      </c>
      <c r="AT24" s="79">
        <f t="shared" si="64"/>
        <v>2137652.9445527336</v>
      </c>
      <c r="AU24" s="79">
        <f t="shared" si="64"/>
        <v>2276317.0533506335</v>
      </c>
      <c r="AV24" s="79">
        <f t="shared" si="64"/>
        <v>2697822.8023874424</v>
      </c>
      <c r="AW24" s="79">
        <f t="shared" si="64"/>
        <v>3564505.5290253847</v>
      </c>
      <c r="AX24" s="79">
        <f t="shared" si="64"/>
        <v>2509960.281875554</v>
      </c>
      <c r="AY24" s="79">
        <f t="shared" si="64"/>
        <v>2627300.7748303618</v>
      </c>
      <c r="AZ24" s="79">
        <f t="shared" si="64"/>
        <v>3411922.3934136108</v>
      </c>
      <c r="BA24" s="79">
        <f t="shared" si="64"/>
        <v>4459957.9023664873</v>
      </c>
      <c r="BB24" s="79">
        <f t="shared" si="64"/>
        <v>3107259.762702845</v>
      </c>
      <c r="BC24" s="79">
        <f t="shared" si="64"/>
        <v>3154701.3494650139</v>
      </c>
      <c r="BD24" s="80">
        <f t="shared" si="64"/>
        <v>4568780.0775155136</v>
      </c>
    </row>
    <row r="25" spans="1:56" ht="3" customHeight="1" x14ac:dyDescent="0.15"/>
    <row r="26" spans="1:56" x14ac:dyDescent="0.15">
      <c r="B26" s="1" t="s">
        <v>34</v>
      </c>
      <c r="E26" s="43" t="s">
        <v>33</v>
      </c>
      <c r="F26" s="91">
        <f t="shared" ref="F26:O26" si="65">SUMIFS($Q26:$BD26,$Q$1:$BD$1,F$1)</f>
        <v>514000</v>
      </c>
      <c r="G26" s="91">
        <f t="shared" si="65"/>
        <v>600</v>
      </c>
      <c r="H26" s="91">
        <f t="shared" si="65"/>
        <v>49200</v>
      </c>
      <c r="I26" s="91">
        <f t="shared" si="65"/>
        <v>270800</v>
      </c>
      <c r="J26" s="91">
        <f t="shared" si="65"/>
        <v>297900</v>
      </c>
      <c r="K26" s="91">
        <f t="shared" si="65"/>
        <v>283923.45844504016</v>
      </c>
      <c r="L26" s="91">
        <f t="shared" si="65"/>
        <v>270602.65275391896</v>
      </c>
      <c r="M26" s="91">
        <f t="shared" si="65"/>
        <v>257906.81783919083</v>
      </c>
      <c r="N26" s="91">
        <f t="shared" si="65"/>
        <v>245806.63201563628</v>
      </c>
      <c r="O26" s="91">
        <f t="shared" si="65"/>
        <v>234274.14928031823</v>
      </c>
      <c r="Q26" s="51">
        <v>239000</v>
      </c>
      <c r="R26" s="51">
        <v>195000</v>
      </c>
      <c r="S26" s="51">
        <v>79000</v>
      </c>
      <c r="T26" s="51">
        <v>1000</v>
      </c>
      <c r="U26" s="51">
        <v>100</v>
      </c>
      <c r="V26" s="51">
        <v>400</v>
      </c>
      <c r="W26" s="51">
        <v>0</v>
      </c>
      <c r="X26" s="51">
        <v>100</v>
      </c>
      <c r="Y26" s="51">
        <v>0</v>
      </c>
      <c r="Z26" s="51">
        <v>0</v>
      </c>
      <c r="AA26" s="51">
        <v>0</v>
      </c>
      <c r="AB26" s="51">
        <v>49200</v>
      </c>
      <c r="AC26" s="51">
        <v>49900</v>
      </c>
      <c r="AD26" s="51">
        <v>69700</v>
      </c>
      <c r="AE26" s="51">
        <v>76600</v>
      </c>
      <c r="AF26" s="51">
        <v>74600</v>
      </c>
      <c r="AG26" s="51">
        <v>74000</v>
      </c>
      <c r="AH26" s="51">
        <v>77100</v>
      </c>
      <c r="AI26" s="51">
        <v>75700</v>
      </c>
      <c r="AJ26" s="51">
        <v>71100</v>
      </c>
      <c r="AK26" s="50">
        <f>AK145</f>
        <v>70528.15013404825</v>
      </c>
      <c r="AL26" s="50">
        <f t="shared" ref="AL26:BD26" si="66">AL145</f>
        <v>73482.70777479891</v>
      </c>
      <c r="AM26" s="50">
        <f t="shared" si="66"/>
        <v>72148.391420911503</v>
      </c>
      <c r="AN26" s="50">
        <f t="shared" si="66"/>
        <v>67764.209115281483</v>
      </c>
      <c r="AO26" s="50">
        <f t="shared" si="66"/>
        <v>67219.188666633112</v>
      </c>
      <c r="AP26" s="50">
        <f t="shared" si="66"/>
        <v>70035.12765131639</v>
      </c>
      <c r="AQ26" s="50">
        <f t="shared" si="66"/>
        <v>68763.413271136844</v>
      </c>
      <c r="AR26" s="50">
        <f t="shared" si="66"/>
        <v>64584.923164832624</v>
      </c>
      <c r="AS26" s="50">
        <f t="shared" si="66"/>
        <v>64065.473380665069</v>
      </c>
      <c r="AT26" s="50">
        <f t="shared" si="66"/>
        <v>66749.297265530768</v>
      </c>
      <c r="AU26" s="50">
        <f t="shared" si="66"/>
        <v>65537.247769139809</v>
      </c>
      <c r="AV26" s="50">
        <f t="shared" si="66"/>
        <v>61554.79942385522</v>
      </c>
      <c r="AW26" s="50">
        <f t="shared" si="66"/>
        <v>61059.720608113756</v>
      </c>
      <c r="AX26" s="50">
        <f t="shared" si="66"/>
        <v>63617.627822777977</v>
      </c>
      <c r="AY26" s="50">
        <f t="shared" si="66"/>
        <v>62462.443919381229</v>
      </c>
      <c r="AZ26" s="50">
        <f t="shared" si="66"/>
        <v>58666.839665363346</v>
      </c>
      <c r="BA26" s="50">
        <f t="shared" si="66"/>
        <v>58194.988408001176</v>
      </c>
      <c r="BB26" s="50">
        <f t="shared" si="66"/>
        <v>60632.88657103906</v>
      </c>
      <c r="BC26" s="50">
        <f t="shared" si="66"/>
        <v>59531.900303860653</v>
      </c>
      <c r="BD26" s="50">
        <f t="shared" si="66"/>
        <v>55914.373997417337</v>
      </c>
    </row>
    <row r="27" spans="1:56" ht="3" customHeight="1" thickBot="1" x14ac:dyDescent="0.2"/>
    <row r="28" spans="1:56" s="52" customFormat="1" ht="15" thickBot="1" x14ac:dyDescent="0.2">
      <c r="B28" s="76" t="s">
        <v>246</v>
      </c>
      <c r="C28" s="77"/>
      <c r="D28" s="77"/>
      <c r="E28" s="78" t="s">
        <v>33</v>
      </c>
      <c r="F28" s="79">
        <f>SUM(F26,F24)</f>
        <v>7889100</v>
      </c>
      <c r="G28" s="79">
        <f t="shared" ref="G28:BD28" si="67">SUM(G26,G24)</f>
        <v>3743500</v>
      </c>
      <c r="H28" s="79">
        <f t="shared" si="67"/>
        <v>2884700</v>
      </c>
      <c r="I28" s="79">
        <f t="shared" si="67"/>
        <v>6564000</v>
      </c>
      <c r="J28" s="79">
        <f t="shared" si="67"/>
        <v>7181200</v>
      </c>
      <c r="K28" s="79">
        <f t="shared" si="67"/>
        <v>8094020.2837345377</v>
      </c>
      <c r="L28" s="79">
        <f t="shared" si="67"/>
        <v>9149171.017139703</v>
      </c>
      <c r="M28" s="79">
        <f t="shared" si="67"/>
        <v>10390994.195597913</v>
      </c>
      <c r="N28" s="79">
        <f t="shared" si="67"/>
        <v>12359495.611160548</v>
      </c>
      <c r="O28" s="80">
        <f t="shared" si="67"/>
        <v>15524973.241330178</v>
      </c>
      <c r="Q28" s="85">
        <f t="shared" si="67"/>
        <v>1856900</v>
      </c>
      <c r="R28" s="79">
        <f t="shared" si="67"/>
        <v>2227500</v>
      </c>
      <c r="S28" s="79">
        <f t="shared" si="67"/>
        <v>1313700</v>
      </c>
      <c r="T28" s="79">
        <f t="shared" si="67"/>
        <v>2491000</v>
      </c>
      <c r="U28" s="79">
        <f t="shared" si="67"/>
        <v>1265500</v>
      </c>
      <c r="V28" s="79">
        <f t="shared" si="67"/>
        <v>931500</v>
      </c>
      <c r="W28" s="79">
        <f t="shared" si="67"/>
        <v>758400</v>
      </c>
      <c r="X28" s="79">
        <f t="shared" si="67"/>
        <v>788100</v>
      </c>
      <c r="Y28" s="79">
        <f t="shared" si="67"/>
        <v>698000</v>
      </c>
      <c r="Z28" s="79">
        <f t="shared" si="67"/>
        <v>650400</v>
      </c>
      <c r="AA28" s="79">
        <f t="shared" si="67"/>
        <v>582500</v>
      </c>
      <c r="AB28" s="79">
        <f t="shared" si="67"/>
        <v>953800</v>
      </c>
      <c r="AC28" s="79">
        <f t="shared" si="67"/>
        <v>1637500</v>
      </c>
      <c r="AD28" s="79">
        <f t="shared" si="67"/>
        <v>1449600</v>
      </c>
      <c r="AE28" s="79">
        <f t="shared" si="67"/>
        <v>1205300</v>
      </c>
      <c r="AF28" s="79">
        <f t="shared" si="67"/>
        <v>2271600</v>
      </c>
      <c r="AG28" s="79">
        <f t="shared" si="67"/>
        <v>2034300</v>
      </c>
      <c r="AH28" s="79">
        <f t="shared" si="67"/>
        <v>1497100</v>
      </c>
      <c r="AI28" s="79">
        <f t="shared" si="67"/>
        <v>1868700</v>
      </c>
      <c r="AJ28" s="79">
        <f t="shared" si="67"/>
        <v>1781100</v>
      </c>
      <c r="AK28" s="79">
        <f t="shared" si="67"/>
        <v>2372208.5248594005</v>
      </c>
      <c r="AL28" s="79">
        <f t="shared" si="67"/>
        <v>1745398.7423755997</v>
      </c>
      <c r="AM28" s="79">
        <f t="shared" si="67"/>
        <v>1949649.9512477536</v>
      </c>
      <c r="AN28" s="79">
        <f t="shared" si="67"/>
        <v>2026763.0652517839</v>
      </c>
      <c r="AO28" s="79">
        <f t="shared" si="67"/>
        <v>2737743.6417110767</v>
      </c>
      <c r="AP28" s="79">
        <f t="shared" si="67"/>
        <v>1970070.5896730723</v>
      </c>
      <c r="AQ28" s="79">
        <f t="shared" si="67"/>
        <v>2121649.6345495279</v>
      </c>
      <c r="AR28" s="79">
        <f t="shared" si="67"/>
        <v>2319707.1512060268</v>
      </c>
      <c r="AS28" s="79">
        <f t="shared" si="67"/>
        <v>3085360.0508485781</v>
      </c>
      <c r="AT28" s="79">
        <f t="shared" si="67"/>
        <v>2204402.2418182641</v>
      </c>
      <c r="AU28" s="79">
        <f t="shared" si="67"/>
        <v>2341854.3011197732</v>
      </c>
      <c r="AV28" s="79">
        <f t="shared" si="67"/>
        <v>2759377.6018112977</v>
      </c>
      <c r="AW28" s="79">
        <f t="shared" si="67"/>
        <v>3625565.2496334985</v>
      </c>
      <c r="AX28" s="79">
        <f t="shared" si="67"/>
        <v>2573577.9096983322</v>
      </c>
      <c r="AY28" s="79">
        <f t="shared" si="67"/>
        <v>2689763.218749743</v>
      </c>
      <c r="AZ28" s="79">
        <f t="shared" si="67"/>
        <v>3470589.2330789743</v>
      </c>
      <c r="BA28" s="79">
        <f t="shared" si="67"/>
        <v>4518152.8907744884</v>
      </c>
      <c r="BB28" s="79">
        <f t="shared" si="67"/>
        <v>3167892.649273884</v>
      </c>
      <c r="BC28" s="79">
        <f t="shared" si="67"/>
        <v>3214233.2497688746</v>
      </c>
      <c r="BD28" s="80">
        <f t="shared" si="67"/>
        <v>4624694.4515129309</v>
      </c>
    </row>
    <row r="30" spans="1:56" outlineLevel="1" x14ac:dyDescent="0.15">
      <c r="A30" s="1" t="s">
        <v>27</v>
      </c>
      <c r="B30" s="33" t="s">
        <v>247</v>
      </c>
      <c r="C30" s="33"/>
      <c r="D30" s="33"/>
      <c r="E30" s="34" t="s">
        <v>29</v>
      </c>
      <c r="F30" s="35">
        <v>21</v>
      </c>
      <c r="G30" s="35">
        <f>F30+1</f>
        <v>22</v>
      </c>
      <c r="H30" s="35">
        <f t="shared" ref="H30" si="68">G30+1</f>
        <v>23</v>
      </c>
      <c r="I30" s="35">
        <f t="shared" ref="I30" si="69">H30+1</f>
        <v>24</v>
      </c>
      <c r="J30" s="35">
        <f t="shared" ref="J30" si="70">I30+1</f>
        <v>25</v>
      </c>
      <c r="K30" s="36">
        <f t="shared" ref="K30" si="71">J30+1</f>
        <v>26</v>
      </c>
      <c r="L30" s="36">
        <f t="shared" ref="L30" si="72">K30+1</f>
        <v>27</v>
      </c>
      <c r="M30" s="36">
        <f t="shared" ref="M30" si="73">L30+1</f>
        <v>28</v>
      </c>
      <c r="N30" s="36">
        <f t="shared" ref="N30" si="74">M30+1</f>
        <v>29</v>
      </c>
      <c r="O30" s="36">
        <f t="shared" ref="O30" si="75">N30+1</f>
        <v>30</v>
      </c>
      <c r="Q30" s="41">
        <v>44286</v>
      </c>
      <c r="R30" s="41">
        <v>44377</v>
      </c>
      <c r="S30" s="41">
        <v>44469</v>
      </c>
      <c r="T30" s="41">
        <v>44561</v>
      </c>
      <c r="U30" s="41">
        <v>44651</v>
      </c>
      <c r="V30" s="41">
        <v>44742</v>
      </c>
      <c r="W30" s="41">
        <v>44834</v>
      </c>
      <c r="X30" s="41">
        <v>44926</v>
      </c>
      <c r="Y30" s="41">
        <v>45016</v>
      </c>
      <c r="Z30" s="41">
        <v>45107</v>
      </c>
      <c r="AA30" s="41">
        <v>45199</v>
      </c>
      <c r="AB30" s="41">
        <v>45291</v>
      </c>
      <c r="AC30" s="41">
        <v>45382</v>
      </c>
      <c r="AD30" s="41">
        <v>45473</v>
      </c>
      <c r="AE30" s="41">
        <v>45565</v>
      </c>
      <c r="AF30" s="41">
        <v>45657</v>
      </c>
      <c r="AG30" s="41">
        <v>45747</v>
      </c>
      <c r="AH30" s="41">
        <v>45838</v>
      </c>
      <c r="AI30" s="41">
        <v>45930</v>
      </c>
      <c r="AJ30" s="41">
        <v>46022</v>
      </c>
      <c r="AK30" s="41">
        <v>46112</v>
      </c>
      <c r="AL30" s="41">
        <v>46203</v>
      </c>
      <c r="AM30" s="41">
        <v>46295</v>
      </c>
      <c r="AN30" s="41">
        <v>46387</v>
      </c>
      <c r="AO30" s="41">
        <v>46477</v>
      </c>
      <c r="AP30" s="41">
        <v>46568</v>
      </c>
      <c r="AQ30" s="41">
        <v>46660</v>
      </c>
      <c r="AR30" s="41">
        <v>46752</v>
      </c>
      <c r="AS30" s="41">
        <v>46843</v>
      </c>
      <c r="AT30" s="41">
        <v>46934</v>
      </c>
      <c r="AU30" s="41">
        <v>47026</v>
      </c>
      <c r="AV30" s="41">
        <v>47118</v>
      </c>
      <c r="AW30" s="41">
        <v>47208</v>
      </c>
      <c r="AX30" s="41">
        <v>47299</v>
      </c>
      <c r="AY30" s="41">
        <v>47391</v>
      </c>
      <c r="AZ30" s="41">
        <v>47483</v>
      </c>
      <c r="BA30" s="41">
        <v>47573</v>
      </c>
      <c r="BB30" s="41">
        <v>47664</v>
      </c>
      <c r="BC30" s="41">
        <v>47756</v>
      </c>
      <c r="BD30" s="41">
        <v>47848</v>
      </c>
    </row>
    <row r="31" spans="1:56" ht="3" customHeight="1" outlineLevel="1" x14ac:dyDescent="0.15"/>
    <row r="32" spans="1:56" outlineLevel="1" x14ac:dyDescent="0.15">
      <c r="B32" s="38" t="s">
        <v>248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</row>
    <row r="33" spans="1:56" outlineLevel="1" x14ac:dyDescent="0.15">
      <c r="B33" s="1" t="s">
        <v>249</v>
      </c>
      <c r="E33" s="43" t="s">
        <v>36</v>
      </c>
      <c r="F33" s="118">
        <f>'Macro Data'!H213</f>
        <v>8.8024154589372003E-2</v>
      </c>
      <c r="G33" s="118">
        <f>'Macro Data'!I213</f>
        <v>5.3850241545893705E-2</v>
      </c>
      <c r="H33" s="118">
        <f>'Macro Data'!J213</f>
        <v>4.9091787439613496E-2</v>
      </c>
      <c r="I33" s="118">
        <f>'Macro Data'!K213</f>
        <v>5.972463768115939E-2</v>
      </c>
      <c r="J33" s="118">
        <f>'Macro Data'!L213</f>
        <v>5.4241545893719753E-2</v>
      </c>
      <c r="K33" s="118">
        <f>'Macro Data'!M213</f>
        <v>4.907246376811595E-2</v>
      </c>
      <c r="L33" s="118">
        <f>'Macro Data'!N213</f>
        <v>4.478743961352652E-2</v>
      </c>
      <c r="M33" s="118">
        <f>'Macro Data'!O213</f>
        <v>4.0821256038647287E-2</v>
      </c>
      <c r="N33" s="118">
        <f>'Macro Data'!P213</f>
        <v>3.7154589371980642E-2</v>
      </c>
      <c r="O33" s="118">
        <f>'Macro Data'!Q213</f>
        <v>3.3826086956521714E-2</v>
      </c>
      <c r="Q33" s="120">
        <f>(1+$F33)^(1/4)-1</f>
        <v>2.1314820878406193E-2</v>
      </c>
      <c r="R33" s="120">
        <f t="shared" ref="R33:T33" si="76">(1+$F33)^(1/4)-1</f>
        <v>2.1314820878406193E-2</v>
      </c>
      <c r="S33" s="120">
        <f t="shared" si="76"/>
        <v>2.1314820878406193E-2</v>
      </c>
      <c r="T33" s="120">
        <f t="shared" si="76"/>
        <v>2.1314820878406193E-2</v>
      </c>
      <c r="U33" s="120">
        <f>(1+$G33)^(1/4)-1</f>
        <v>1.3198935538378143E-2</v>
      </c>
      <c r="V33" s="120">
        <f t="shared" ref="V33:X33" si="77">(1+$G33)^(1/4)-1</f>
        <v>1.3198935538378143E-2</v>
      </c>
      <c r="W33" s="120">
        <f t="shared" si="77"/>
        <v>1.3198935538378143E-2</v>
      </c>
      <c r="X33" s="120">
        <f t="shared" si="77"/>
        <v>1.3198935538378143E-2</v>
      </c>
      <c r="Y33" s="120">
        <f>(1+$H33)^(1/4)-1</f>
        <v>1.2053268544999884E-2</v>
      </c>
      <c r="Z33" s="120">
        <f t="shared" ref="Z33:AB33" si="78">(1+$H33)^(1/4)-1</f>
        <v>1.2053268544999884E-2</v>
      </c>
      <c r="AA33" s="120">
        <f t="shared" si="78"/>
        <v>1.2053268544999884E-2</v>
      </c>
      <c r="AB33" s="120">
        <f t="shared" si="78"/>
        <v>1.2053268544999884E-2</v>
      </c>
      <c r="AC33" s="120">
        <f>(1+$I33)^(1/4)-1</f>
        <v>1.4607942827723708E-2</v>
      </c>
      <c r="AD33" s="120">
        <f t="shared" ref="AD33:AF33" si="79">(1+$I33)^(1/4)-1</f>
        <v>1.4607942827723708E-2</v>
      </c>
      <c r="AE33" s="120">
        <f t="shared" si="79"/>
        <v>1.4607942827723708E-2</v>
      </c>
      <c r="AF33" s="120">
        <f t="shared" si="79"/>
        <v>1.4607942827723708E-2</v>
      </c>
      <c r="AG33" s="120">
        <f>(1+$J33)^(1/4)-1</f>
        <v>1.3292974980669392E-2</v>
      </c>
      <c r="AH33" s="120">
        <f t="shared" ref="AH33:AJ34" si="80">(1+$J33)^(1/4)-1</f>
        <v>1.3292974980669392E-2</v>
      </c>
      <c r="AI33" s="120">
        <f t="shared" si="80"/>
        <v>1.3292974980669392E-2</v>
      </c>
      <c r="AJ33" s="120">
        <f t="shared" si="80"/>
        <v>1.3292974980669392E-2</v>
      </c>
      <c r="AK33" s="120">
        <f>(1+$K33)^(1/4)-1</f>
        <v>1.2048608152025242E-2</v>
      </c>
      <c r="AL33" s="120">
        <f t="shared" ref="AL33:AN34" si="81">(1+$K33)^(1/4)-1</f>
        <v>1.2048608152025242E-2</v>
      </c>
      <c r="AM33" s="120">
        <f t="shared" si="81"/>
        <v>1.2048608152025242E-2</v>
      </c>
      <c r="AN33" s="120">
        <f t="shared" si="81"/>
        <v>1.2048608152025242E-2</v>
      </c>
      <c r="AO33" s="120">
        <f>(1+$L33)^(1/4)-1</f>
        <v>1.1013572135491811E-2</v>
      </c>
      <c r="AP33" s="120">
        <f t="shared" ref="AP33:AR34" si="82">(1+$L33)^(1/4)-1</f>
        <v>1.1013572135491811E-2</v>
      </c>
      <c r="AQ33" s="120">
        <f t="shared" si="82"/>
        <v>1.1013572135491811E-2</v>
      </c>
      <c r="AR33" s="120">
        <f t="shared" si="82"/>
        <v>1.1013572135491811E-2</v>
      </c>
      <c r="AS33" s="120">
        <f>(1+$M33)^(1/4)-1</f>
        <v>1.0052710089785588E-2</v>
      </c>
      <c r="AT33" s="120">
        <f t="shared" ref="AT33:AV34" si="83">(1+$M33)^(1/4)-1</f>
        <v>1.0052710089785588E-2</v>
      </c>
      <c r="AU33" s="120">
        <f t="shared" si="83"/>
        <v>1.0052710089785588E-2</v>
      </c>
      <c r="AV33" s="120">
        <f t="shared" si="83"/>
        <v>1.0052710089785588E-2</v>
      </c>
      <c r="AW33" s="120">
        <f>(1+$N33)^(1/4)-1</f>
        <v>9.1619641315199285E-3</v>
      </c>
      <c r="AX33" s="120">
        <f t="shared" ref="AX33:AZ34" si="84">(1+$N33)^(1/4)-1</f>
        <v>9.1619641315199285E-3</v>
      </c>
      <c r="AY33" s="120">
        <f t="shared" si="84"/>
        <v>9.1619641315199285E-3</v>
      </c>
      <c r="AZ33" s="120">
        <f t="shared" si="84"/>
        <v>9.1619641315199285E-3</v>
      </c>
      <c r="BA33" s="120">
        <f>(1+$O33)^(1/4)-1</f>
        <v>8.3513212147328098E-3</v>
      </c>
      <c r="BB33" s="120">
        <f t="shared" ref="BB33:BD34" si="85">(1+$O33)^(1/4)-1</f>
        <v>8.3513212147328098E-3</v>
      </c>
      <c r="BC33" s="120">
        <f t="shared" si="85"/>
        <v>8.3513212147328098E-3</v>
      </c>
      <c r="BD33" s="120">
        <f t="shared" si="85"/>
        <v>8.3513212147328098E-3</v>
      </c>
    </row>
    <row r="34" spans="1:56" outlineLevel="1" x14ac:dyDescent="0.15">
      <c r="B34" s="1" t="s">
        <v>250</v>
      </c>
      <c r="E34" s="43" t="s">
        <v>36</v>
      </c>
      <c r="F34" s="119"/>
      <c r="G34" s="119"/>
      <c r="H34" s="119"/>
      <c r="I34" s="119"/>
      <c r="J34" s="119"/>
      <c r="K34" s="100">
        <v>0.01</v>
      </c>
      <c r="L34" s="100">
        <v>0.01</v>
      </c>
      <c r="M34" s="100">
        <v>0.01</v>
      </c>
      <c r="N34" s="100">
        <v>0.01</v>
      </c>
      <c r="O34" s="100">
        <v>0.01</v>
      </c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99">
        <f t="shared" si="80"/>
        <v>0</v>
      </c>
      <c r="AJ34" s="99">
        <f t="shared" si="80"/>
        <v>0</v>
      </c>
      <c r="AK34" s="99">
        <f>(1+$K34)^(1/4)-1</f>
        <v>2.4906793143211203E-3</v>
      </c>
      <c r="AL34" s="99">
        <f t="shared" si="81"/>
        <v>2.4906793143211203E-3</v>
      </c>
      <c r="AM34" s="99">
        <f t="shared" si="81"/>
        <v>2.4906793143211203E-3</v>
      </c>
      <c r="AN34" s="99">
        <f t="shared" si="81"/>
        <v>2.4906793143211203E-3</v>
      </c>
      <c r="AO34" s="99">
        <f>(1+$L34)^(1/4)-1</f>
        <v>2.4906793143211203E-3</v>
      </c>
      <c r="AP34" s="99">
        <f t="shared" si="82"/>
        <v>2.4906793143211203E-3</v>
      </c>
      <c r="AQ34" s="99">
        <f t="shared" si="82"/>
        <v>2.4906793143211203E-3</v>
      </c>
      <c r="AR34" s="99">
        <f t="shared" si="82"/>
        <v>2.4906793143211203E-3</v>
      </c>
      <c r="AS34" s="99">
        <f>(1+$M34)^(1/4)-1</f>
        <v>2.4906793143211203E-3</v>
      </c>
      <c r="AT34" s="99">
        <f t="shared" si="83"/>
        <v>2.4906793143211203E-3</v>
      </c>
      <c r="AU34" s="99">
        <f t="shared" si="83"/>
        <v>2.4906793143211203E-3</v>
      </c>
      <c r="AV34" s="99">
        <f t="shared" si="83"/>
        <v>2.4906793143211203E-3</v>
      </c>
      <c r="AW34" s="99">
        <f>(1+$N34)^(1/4)-1</f>
        <v>2.4906793143211203E-3</v>
      </c>
      <c r="AX34" s="99">
        <f t="shared" si="84"/>
        <v>2.4906793143211203E-3</v>
      </c>
      <c r="AY34" s="99">
        <f t="shared" si="84"/>
        <v>2.4906793143211203E-3</v>
      </c>
      <c r="AZ34" s="99">
        <f t="shared" si="84"/>
        <v>2.4906793143211203E-3</v>
      </c>
      <c r="BA34" s="99">
        <f>(1+$O34)^(1/4)-1</f>
        <v>2.4906793143211203E-3</v>
      </c>
      <c r="BB34" s="99">
        <f t="shared" si="85"/>
        <v>2.4906793143211203E-3</v>
      </c>
      <c r="BC34" s="99">
        <f t="shared" si="85"/>
        <v>2.4906793143211203E-3</v>
      </c>
      <c r="BD34" s="99">
        <f t="shared" si="85"/>
        <v>2.4906793143211203E-3</v>
      </c>
    </row>
    <row r="35" spans="1:56" outlineLevel="1" x14ac:dyDescent="0.15">
      <c r="B35" s="121" t="s">
        <v>251</v>
      </c>
      <c r="C35" s="121"/>
      <c r="D35" s="121"/>
      <c r="E35" s="122" t="s">
        <v>36</v>
      </c>
      <c r="F35" s="123"/>
      <c r="G35" s="123"/>
      <c r="H35" s="123"/>
      <c r="I35" s="123"/>
      <c r="J35" s="123"/>
      <c r="K35" s="124">
        <f>SUM(K33:K34)</f>
        <v>5.9072463768115951E-2</v>
      </c>
      <c r="L35" s="124">
        <f t="shared" ref="L35:O35" si="86">SUM(L33:L34)</f>
        <v>5.4787439613526522E-2</v>
      </c>
      <c r="M35" s="124">
        <f t="shared" si="86"/>
        <v>5.0821256038647289E-2</v>
      </c>
      <c r="N35" s="124">
        <f t="shared" si="86"/>
        <v>4.7154589371980644E-2</v>
      </c>
      <c r="O35" s="124">
        <f t="shared" si="86"/>
        <v>4.3826086956521716E-2</v>
      </c>
      <c r="P35" s="52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4">
        <f t="shared" ref="AI35" si="87">SUM(AI33:AI34)</f>
        <v>1.3292974980669392E-2</v>
      </c>
      <c r="AJ35" s="124">
        <f t="shared" ref="AJ35" si="88">SUM(AJ33:AJ34)</f>
        <v>1.3292974980669392E-2</v>
      </c>
      <c r="AK35" s="124">
        <f t="shared" ref="AK35" si="89">SUM(AK33:AK34)</f>
        <v>1.4539287466346362E-2</v>
      </c>
      <c r="AL35" s="124">
        <f t="shared" ref="AL35" si="90">SUM(AL33:AL34)</f>
        <v>1.4539287466346362E-2</v>
      </c>
      <c r="AM35" s="124">
        <f t="shared" ref="AM35" si="91">SUM(AM33:AM34)</f>
        <v>1.4539287466346362E-2</v>
      </c>
      <c r="AN35" s="124">
        <f t="shared" ref="AN35" si="92">SUM(AN33:AN34)</f>
        <v>1.4539287466346362E-2</v>
      </c>
      <c r="AO35" s="124">
        <f t="shared" ref="AO35" si="93">SUM(AO33:AO34)</f>
        <v>1.3504251449812932E-2</v>
      </c>
      <c r="AP35" s="124">
        <f t="shared" ref="AP35" si="94">SUM(AP33:AP34)</f>
        <v>1.3504251449812932E-2</v>
      </c>
      <c r="AQ35" s="124">
        <f t="shared" ref="AQ35" si="95">SUM(AQ33:AQ34)</f>
        <v>1.3504251449812932E-2</v>
      </c>
      <c r="AR35" s="124">
        <f t="shared" ref="AR35" si="96">SUM(AR33:AR34)</f>
        <v>1.3504251449812932E-2</v>
      </c>
      <c r="AS35" s="124">
        <f t="shared" ref="AS35" si="97">SUM(AS33:AS34)</f>
        <v>1.2543389404106708E-2</v>
      </c>
      <c r="AT35" s="124">
        <f t="shared" ref="AT35" si="98">SUM(AT33:AT34)</f>
        <v>1.2543389404106708E-2</v>
      </c>
      <c r="AU35" s="124">
        <f t="shared" ref="AU35" si="99">SUM(AU33:AU34)</f>
        <v>1.2543389404106708E-2</v>
      </c>
      <c r="AV35" s="124">
        <f t="shared" ref="AV35" si="100">SUM(AV33:AV34)</f>
        <v>1.2543389404106708E-2</v>
      </c>
      <c r="AW35" s="124">
        <f t="shared" ref="AW35" si="101">SUM(AW33:AW34)</f>
        <v>1.1652643445841049E-2</v>
      </c>
      <c r="AX35" s="124">
        <f t="shared" ref="AX35" si="102">SUM(AX33:AX34)</f>
        <v>1.1652643445841049E-2</v>
      </c>
      <c r="AY35" s="124">
        <f t="shared" ref="AY35" si="103">SUM(AY33:AY34)</f>
        <v>1.1652643445841049E-2</v>
      </c>
      <c r="AZ35" s="124">
        <f t="shared" ref="AZ35" si="104">SUM(AZ33:AZ34)</f>
        <v>1.1652643445841049E-2</v>
      </c>
      <c r="BA35" s="124">
        <f t="shared" ref="BA35" si="105">SUM(BA33:BA34)</f>
        <v>1.084200052905393E-2</v>
      </c>
      <c r="BB35" s="124">
        <f t="shared" ref="BB35" si="106">SUM(BB33:BB34)</f>
        <v>1.084200052905393E-2</v>
      </c>
      <c r="BC35" s="124">
        <f t="shared" ref="BC35" si="107">SUM(BC33:BC34)</f>
        <v>1.084200052905393E-2</v>
      </c>
      <c r="BD35" s="124">
        <f t="shared" ref="BD35" si="108">SUM(BD33:BD34)</f>
        <v>1.084200052905393E-2</v>
      </c>
    </row>
    <row r="36" spans="1:56" outlineLevel="1" x14ac:dyDescent="0.15"/>
    <row r="37" spans="1:56" outlineLevel="1" x14ac:dyDescent="0.15">
      <c r="B37" s="38" t="s">
        <v>252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</row>
    <row r="38" spans="1:56" outlineLevel="1" x14ac:dyDescent="0.15">
      <c r="B38" s="1" t="s">
        <v>249</v>
      </c>
      <c r="E38" s="43" t="s">
        <v>36</v>
      </c>
      <c r="F38" s="120">
        <f>'Macro Data'!H218</f>
        <v>1.9130000000000001E-2</v>
      </c>
      <c r="G38" s="120">
        <f>'Macro Data'!I218</f>
        <v>5.6100000000000004E-3</v>
      </c>
      <c r="H38" s="120">
        <f>'Macro Data'!J218</f>
        <v>-7.6600000000000001E-3</v>
      </c>
      <c r="I38" s="120">
        <f>'Macro Data'!K218</f>
        <v>8.0200000000000011E-3</v>
      </c>
      <c r="J38" s="120">
        <f>'Macro Data'!L218</f>
        <v>3.304E-2</v>
      </c>
      <c r="K38" s="120">
        <f>'Macro Data'!M218</f>
        <v>1.2620000000000001E-2</v>
      </c>
      <c r="L38" s="120">
        <f>'Macro Data'!N218</f>
        <v>1.5049999999999999E-2</v>
      </c>
      <c r="M38" s="120">
        <f>'Macro Data'!O218</f>
        <v>4.5690000000000001E-2</v>
      </c>
      <c r="N38" s="120">
        <f>'Macro Data'!P218</f>
        <v>4.3230000000000005E-2</v>
      </c>
      <c r="O38" s="120">
        <f>'Macro Data'!Q218</f>
        <v>2.5489999999999999E-2</v>
      </c>
      <c r="Q38" s="118">
        <f>'Macro Data'!L320</f>
        <v>3.3641274509803927E-2</v>
      </c>
      <c r="R38" s="118">
        <f>'Macro Data'!M320</f>
        <v>2.6907843137254903E-2</v>
      </c>
      <c r="S38" s="118">
        <f>'Macro Data'!N320</f>
        <v>2.521019607843138E-2</v>
      </c>
      <c r="T38" s="118">
        <f>'Macro Data'!O320</f>
        <v>2.7516274509803935E-2</v>
      </c>
      <c r="U38" s="118">
        <f>'Macro Data'!P320</f>
        <v>3.147441176470589E-2</v>
      </c>
      <c r="V38" s="118">
        <f>'Macro Data'!Q320</f>
        <v>4.3925000000000013E-2</v>
      </c>
      <c r="W38" s="118">
        <f>'Macro Data'!R320</f>
        <v>3.5967745098039197E-2</v>
      </c>
      <c r="X38" s="118">
        <f>'Macro Data'!S320</f>
        <v>3.063637254901961E-2</v>
      </c>
      <c r="Y38" s="118">
        <f>'Macro Data'!T320</f>
        <v>3.5477647058823537E-2</v>
      </c>
      <c r="Z38" s="118">
        <f>'Macro Data'!U320</f>
        <v>2.5155784313725473E-2</v>
      </c>
      <c r="AA38" s="118">
        <f>'Macro Data'!V320</f>
        <v>2.1344803921568612E-2</v>
      </c>
      <c r="AB38" s="118">
        <f>'Macro Data'!W320</f>
        <v>1.9710980392156855E-2</v>
      </c>
      <c r="AC38" s="118">
        <f>'Macro Data'!X320</f>
        <v>2.0057352941176471E-2</v>
      </c>
      <c r="AD38" s="118">
        <f>'Macro Data'!Y320</f>
        <v>1.7782058823529418E-2</v>
      </c>
      <c r="AE38" s="118">
        <f>'Macro Data'!Z320</f>
        <v>1.3335980392156865E-2</v>
      </c>
      <c r="AF38" s="118">
        <f>'Macro Data'!AA320</f>
        <v>1.4759117647058815E-2</v>
      </c>
      <c r="AG38" s="118">
        <f>'Macro Data'!AB320</f>
        <v>1.7774803921568626E-2</v>
      </c>
      <c r="AH38" s="118">
        <f>'Macro Data'!AC320</f>
        <v>1.6484215686274513E-2</v>
      </c>
      <c r="AI38" s="118">
        <f>'Macro Data'!AD320</f>
        <v>1.7301666666666663E-2</v>
      </c>
      <c r="AJ38" s="118">
        <f>'Macro Data'!AE320</f>
        <v>1.6828529411764711E-2</v>
      </c>
      <c r="AK38" s="118">
        <f>'Macro Data'!AF320</f>
        <v>2.2777878787878788E-2</v>
      </c>
      <c r="AL38" s="118">
        <f>'Macro Data'!AG320</f>
        <v>1.7712121212121207E-2</v>
      </c>
      <c r="AM38" s="118">
        <f>'Macro Data'!AH320</f>
        <v>1.3553434343434343E-2</v>
      </c>
      <c r="AN38" s="118">
        <f>'Macro Data'!AI320</f>
        <v>1.2247575757575763E-2</v>
      </c>
      <c r="AO38" s="118">
        <f>'Macro Data'!AJ320</f>
        <v>1.4166161616161613E-2</v>
      </c>
      <c r="AP38" s="118">
        <f>'Macro Data'!AK320</f>
        <v>1.2355252525252526E-2</v>
      </c>
      <c r="AQ38" s="118">
        <f>'Macro Data'!AL320</f>
        <v>9.0474747474747503E-3</v>
      </c>
      <c r="AR38" s="118">
        <f>'Macro Data'!AM320</f>
        <v>8.1786868686868682E-3</v>
      </c>
      <c r="AS38" s="118">
        <f>'Macro Data'!AN320</f>
        <v>2.4982577614379081E-2</v>
      </c>
      <c r="AT38" s="118">
        <f>'Macro Data'!AO320</f>
        <v>2.2546952614379084E-2</v>
      </c>
      <c r="AU38" s="118">
        <f>'Macro Data'!AP320</f>
        <v>1.9568831699346409E-2</v>
      </c>
      <c r="AV38" s="118">
        <f>'Macro Data'!AQ320</f>
        <v>1.9699599673202617E-2</v>
      </c>
      <c r="AW38" s="118">
        <f>'Macro Data'!AR320</f>
        <v>2.4982577614379081E-2</v>
      </c>
      <c r="AX38" s="118">
        <f>'Macro Data'!AS320</f>
        <v>2.2546952614379084E-2</v>
      </c>
      <c r="AY38" s="118">
        <f>'Macro Data'!AT320</f>
        <v>1.9568831699346409E-2</v>
      </c>
      <c r="AZ38" s="118">
        <f>'Macro Data'!AU320</f>
        <v>1.9699599673202617E-2</v>
      </c>
      <c r="BA38" s="118">
        <f>'Macro Data'!AV320</f>
        <v>2.4982577614379081E-2</v>
      </c>
      <c r="BB38" s="118">
        <f>'Macro Data'!AW320</f>
        <v>2.2546952614379084E-2</v>
      </c>
      <c r="BC38" s="118">
        <f>'Macro Data'!AX320</f>
        <v>1.9568831699346409E-2</v>
      </c>
      <c r="BD38" s="118">
        <f>'Macro Data'!AY320</f>
        <v>1.9699599673202617E-2</v>
      </c>
    </row>
    <row r="39" spans="1:56" outlineLevel="1" x14ac:dyDescent="0.15">
      <c r="B39" s="1" t="s">
        <v>250</v>
      </c>
      <c r="E39" s="43" t="s">
        <v>36</v>
      </c>
      <c r="F39" s="119"/>
      <c r="G39" s="119"/>
      <c r="H39" s="119"/>
      <c r="I39" s="119"/>
      <c r="J39" s="119"/>
      <c r="K39" s="100">
        <v>0.2</v>
      </c>
      <c r="L39" s="100">
        <v>0.1</v>
      </c>
      <c r="M39" s="100">
        <v>0.1</v>
      </c>
      <c r="N39" s="100">
        <v>0.05</v>
      </c>
      <c r="O39" s="100">
        <v>2.5000000000000001E-2</v>
      </c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99">
        <f t="shared" ref="AI39:AJ39" si="109">(1+$J39)^(1/4)-1</f>
        <v>0</v>
      </c>
      <c r="AJ39" s="99">
        <f t="shared" si="109"/>
        <v>0</v>
      </c>
      <c r="AK39" s="99">
        <f>(1+$K39)^(1/4)-1</f>
        <v>4.6635139392105618E-2</v>
      </c>
      <c r="AL39" s="99">
        <f t="shared" ref="AL39:AN39" si="110">(1+$K39)^(1/4)-1</f>
        <v>4.6635139392105618E-2</v>
      </c>
      <c r="AM39" s="99">
        <f t="shared" si="110"/>
        <v>4.6635139392105618E-2</v>
      </c>
      <c r="AN39" s="99">
        <f t="shared" si="110"/>
        <v>4.6635139392105618E-2</v>
      </c>
      <c r="AO39" s="99">
        <f>(1+$L39)^(1/4)-1</f>
        <v>2.4113689084445111E-2</v>
      </c>
      <c r="AP39" s="99">
        <f t="shared" ref="AP39:AR39" si="111">(1+$L39)^(1/4)-1</f>
        <v>2.4113689084445111E-2</v>
      </c>
      <c r="AQ39" s="99">
        <f t="shared" si="111"/>
        <v>2.4113689084445111E-2</v>
      </c>
      <c r="AR39" s="99">
        <f t="shared" si="111"/>
        <v>2.4113689084445111E-2</v>
      </c>
      <c r="AS39" s="99">
        <f>(1+$M39)^(1/4)-1</f>
        <v>2.4113689084445111E-2</v>
      </c>
      <c r="AT39" s="99">
        <f t="shared" ref="AT39:AV39" si="112">(1+$M39)^(1/4)-1</f>
        <v>2.4113689084445111E-2</v>
      </c>
      <c r="AU39" s="99">
        <f t="shared" si="112"/>
        <v>2.4113689084445111E-2</v>
      </c>
      <c r="AV39" s="99">
        <f t="shared" si="112"/>
        <v>2.4113689084445111E-2</v>
      </c>
      <c r="AW39" s="99">
        <f>(1+$N39)^(1/4)-1</f>
        <v>1.2272234429039353E-2</v>
      </c>
      <c r="AX39" s="99">
        <f t="shared" ref="AX39:AZ39" si="113">(1+$N39)^(1/4)-1</f>
        <v>1.2272234429039353E-2</v>
      </c>
      <c r="AY39" s="99">
        <f t="shared" si="113"/>
        <v>1.2272234429039353E-2</v>
      </c>
      <c r="AZ39" s="99">
        <f t="shared" si="113"/>
        <v>1.2272234429039353E-2</v>
      </c>
      <c r="BA39" s="99">
        <f>(1+$O39)^(1/4)-1</f>
        <v>6.192246325636086E-3</v>
      </c>
      <c r="BB39" s="99">
        <f t="shared" ref="BB39:BD39" si="114">(1+$O39)^(1/4)-1</f>
        <v>6.192246325636086E-3</v>
      </c>
      <c r="BC39" s="99">
        <f t="shared" si="114"/>
        <v>6.192246325636086E-3</v>
      </c>
      <c r="BD39" s="99">
        <f t="shared" si="114"/>
        <v>6.192246325636086E-3</v>
      </c>
    </row>
    <row r="40" spans="1:56" outlineLevel="1" x14ac:dyDescent="0.15">
      <c r="B40" s="121" t="s">
        <v>253</v>
      </c>
      <c r="C40" s="121"/>
      <c r="D40" s="121"/>
      <c r="E40" s="122" t="s">
        <v>36</v>
      </c>
      <c r="F40" s="123"/>
      <c r="G40" s="123"/>
      <c r="H40" s="123"/>
      <c r="I40" s="123"/>
      <c r="J40" s="123"/>
      <c r="K40" s="124">
        <f>SUM(K38:K39)</f>
        <v>0.21262</v>
      </c>
      <c r="L40" s="124">
        <f t="shared" ref="L40" si="115">SUM(L38:L39)</f>
        <v>0.11505</v>
      </c>
      <c r="M40" s="124">
        <f t="shared" ref="M40" si="116">SUM(M38:M39)</f>
        <v>0.14569000000000001</v>
      </c>
      <c r="N40" s="124">
        <f t="shared" ref="N40" si="117">SUM(N38:N39)</f>
        <v>9.3230000000000007E-2</v>
      </c>
      <c r="O40" s="124">
        <f t="shared" ref="O40" si="118">SUM(O38:O39)</f>
        <v>5.049E-2</v>
      </c>
      <c r="P40" s="52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4">
        <f t="shared" ref="AI40" si="119">SUM(AI38:AI39)</f>
        <v>1.7301666666666663E-2</v>
      </c>
      <c r="AJ40" s="124">
        <f t="shared" ref="AJ40" si="120">SUM(AJ38:AJ39)</f>
        <v>1.6828529411764711E-2</v>
      </c>
      <c r="AK40" s="124">
        <f t="shared" ref="AK40" si="121">SUM(AK38:AK39)</f>
        <v>6.9413018179984409E-2</v>
      </c>
      <c r="AL40" s="124">
        <f t="shared" ref="AL40" si="122">SUM(AL38:AL39)</f>
        <v>6.4347260604226825E-2</v>
      </c>
      <c r="AM40" s="124">
        <f t="shared" ref="AM40" si="123">SUM(AM38:AM39)</f>
        <v>6.0188573735539957E-2</v>
      </c>
      <c r="AN40" s="124">
        <f t="shared" ref="AN40" si="124">SUM(AN38:AN39)</f>
        <v>5.8882715149681381E-2</v>
      </c>
      <c r="AO40" s="124">
        <f t="shared" ref="AO40" si="125">SUM(AO38:AO39)</f>
        <v>3.8279850700606723E-2</v>
      </c>
      <c r="AP40" s="124">
        <f t="shared" ref="AP40" si="126">SUM(AP38:AP39)</f>
        <v>3.6468941609697637E-2</v>
      </c>
      <c r="AQ40" s="124">
        <f t="shared" ref="AQ40" si="127">SUM(AQ38:AQ39)</f>
        <v>3.316116383191986E-2</v>
      </c>
      <c r="AR40" s="124">
        <f t="shared" ref="AR40" si="128">SUM(AR38:AR39)</f>
        <v>3.2292375953131981E-2</v>
      </c>
      <c r="AS40" s="124">
        <f t="shared" ref="AS40" si="129">SUM(AS38:AS39)</f>
        <v>4.9096266698824192E-2</v>
      </c>
      <c r="AT40" s="124">
        <f t="shared" ref="AT40" si="130">SUM(AT38:AT39)</f>
        <v>4.6660641698824196E-2</v>
      </c>
      <c r="AU40" s="124">
        <f t="shared" ref="AU40" si="131">SUM(AU38:AU39)</f>
        <v>4.368252078379152E-2</v>
      </c>
      <c r="AV40" s="124">
        <f t="shared" ref="AV40" si="132">SUM(AV38:AV39)</f>
        <v>4.3813288757647728E-2</v>
      </c>
      <c r="AW40" s="124">
        <f t="shared" ref="AW40" si="133">SUM(AW38:AW39)</f>
        <v>3.7254812043418434E-2</v>
      </c>
      <c r="AX40" s="124">
        <f t="shared" ref="AX40" si="134">SUM(AX38:AX39)</f>
        <v>3.4819187043418437E-2</v>
      </c>
      <c r="AY40" s="124">
        <f t="shared" ref="AY40" si="135">SUM(AY38:AY39)</f>
        <v>3.1841066128385762E-2</v>
      </c>
      <c r="AZ40" s="124">
        <f t="shared" ref="AZ40" si="136">SUM(AZ38:AZ39)</f>
        <v>3.1971834102241969E-2</v>
      </c>
      <c r="BA40" s="124">
        <f t="shared" ref="BA40" si="137">SUM(BA38:BA39)</f>
        <v>3.1174823940015167E-2</v>
      </c>
      <c r="BB40" s="124">
        <f t="shared" ref="BB40" si="138">SUM(BB38:BB39)</f>
        <v>2.873919894001517E-2</v>
      </c>
      <c r="BC40" s="124">
        <f t="shared" ref="BC40" si="139">SUM(BC38:BC39)</f>
        <v>2.5761078024982495E-2</v>
      </c>
      <c r="BD40" s="124">
        <f t="shared" ref="BD40" si="140">SUM(BD38:BD39)</f>
        <v>2.5891845998838703E-2</v>
      </c>
    </row>
    <row r="41" spans="1:56" outlineLevel="1" x14ac:dyDescent="0.15"/>
    <row r="42" spans="1:56" outlineLevel="1" x14ac:dyDescent="0.15">
      <c r="B42" s="38" t="s">
        <v>254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</row>
    <row r="43" spans="1:56" outlineLevel="1" x14ac:dyDescent="0.15">
      <c r="B43" s="1" t="s">
        <v>249</v>
      </c>
      <c r="E43" s="43" t="s">
        <v>36</v>
      </c>
      <c r="F43" s="133"/>
      <c r="G43" s="133"/>
      <c r="H43" s="133"/>
      <c r="I43" s="133"/>
      <c r="J43" s="118">
        <f>'Macro Data'!D325</f>
        <v>0.26488706365503079</v>
      </c>
      <c r="K43" s="118">
        <f>'Macro Data'!E325</f>
        <v>0.26488706365503079</v>
      </c>
      <c r="L43" s="118">
        <f>'Macro Data'!F325</f>
        <v>0.26488706365503079</v>
      </c>
      <c r="M43" s="118">
        <f>'Macro Data'!G325</f>
        <v>0.26488706365503079</v>
      </c>
      <c r="N43" s="118">
        <f>'Macro Data'!H325</f>
        <v>0.26488706365503079</v>
      </c>
      <c r="O43" s="118">
        <f>'Macro Data'!I325</f>
        <v>0.26488706365503079</v>
      </c>
      <c r="Q43" s="134"/>
      <c r="R43" s="134"/>
      <c r="S43" s="134"/>
      <c r="T43" s="134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4"/>
      <c r="AG43" s="120">
        <f>(1+$J43)^(1/4)-1</f>
        <v>6.0505530617506853E-2</v>
      </c>
      <c r="AH43" s="120">
        <f t="shared" ref="AH43:AJ44" si="141">(1+$J43)^(1/4)-1</f>
        <v>6.0505530617506853E-2</v>
      </c>
      <c r="AI43" s="120">
        <f t="shared" si="141"/>
        <v>6.0505530617506853E-2</v>
      </c>
      <c r="AJ43" s="120">
        <f t="shared" si="141"/>
        <v>6.0505530617506853E-2</v>
      </c>
      <c r="AK43" s="120">
        <f>(1+$K43)^(1/4)-1</f>
        <v>6.0505530617506853E-2</v>
      </c>
      <c r="AL43" s="120">
        <f t="shared" ref="AL43:AN44" si="142">(1+$K43)^(1/4)-1</f>
        <v>6.0505530617506853E-2</v>
      </c>
      <c r="AM43" s="120">
        <f t="shared" si="142"/>
        <v>6.0505530617506853E-2</v>
      </c>
      <c r="AN43" s="120">
        <f t="shared" si="142"/>
        <v>6.0505530617506853E-2</v>
      </c>
      <c r="AO43" s="120">
        <f>(1+$L43)^(1/4)-1</f>
        <v>6.0505530617506853E-2</v>
      </c>
      <c r="AP43" s="120">
        <f t="shared" ref="AP43:AR44" si="143">(1+$L43)^(1/4)-1</f>
        <v>6.0505530617506853E-2</v>
      </c>
      <c r="AQ43" s="120">
        <f t="shared" si="143"/>
        <v>6.0505530617506853E-2</v>
      </c>
      <c r="AR43" s="120">
        <f t="shared" si="143"/>
        <v>6.0505530617506853E-2</v>
      </c>
      <c r="AS43" s="120">
        <f>(1+$M43)^(1/4)-1</f>
        <v>6.0505530617506853E-2</v>
      </c>
      <c r="AT43" s="120">
        <f t="shared" ref="AT43:AV44" si="144">(1+$M43)^(1/4)-1</f>
        <v>6.0505530617506853E-2</v>
      </c>
      <c r="AU43" s="120">
        <f t="shared" si="144"/>
        <v>6.0505530617506853E-2</v>
      </c>
      <c r="AV43" s="120">
        <f t="shared" si="144"/>
        <v>6.0505530617506853E-2</v>
      </c>
      <c r="AW43" s="120">
        <f>(1+$N43)^(1/4)-1</f>
        <v>6.0505530617506853E-2</v>
      </c>
      <c r="AX43" s="120">
        <f t="shared" ref="AX43:AZ44" si="145">(1+$N43)^(1/4)-1</f>
        <v>6.0505530617506853E-2</v>
      </c>
      <c r="AY43" s="120">
        <f t="shared" si="145"/>
        <v>6.0505530617506853E-2</v>
      </c>
      <c r="AZ43" s="120">
        <f t="shared" si="145"/>
        <v>6.0505530617506853E-2</v>
      </c>
      <c r="BA43" s="120">
        <f>(1+$O43)^(1/4)-1</f>
        <v>6.0505530617506853E-2</v>
      </c>
      <c r="BB43" s="120">
        <f t="shared" ref="BB43:BD44" si="146">(1+$O43)^(1/4)-1</f>
        <v>6.0505530617506853E-2</v>
      </c>
      <c r="BC43" s="120">
        <f t="shared" si="146"/>
        <v>6.0505530617506853E-2</v>
      </c>
      <c r="BD43" s="120">
        <f t="shared" si="146"/>
        <v>6.0505530617506853E-2</v>
      </c>
    </row>
    <row r="44" spans="1:56" outlineLevel="1" x14ac:dyDescent="0.15">
      <c r="B44" s="1" t="s">
        <v>250</v>
      </c>
      <c r="E44" s="43" t="s">
        <v>36</v>
      </c>
      <c r="F44" s="119"/>
      <c r="G44" s="119"/>
      <c r="H44" s="119"/>
      <c r="I44" s="119"/>
      <c r="J44" s="119"/>
      <c r="K44" s="100">
        <v>-0.2</v>
      </c>
      <c r="L44" s="100">
        <v>-0.2</v>
      </c>
      <c r="M44" s="100">
        <v>-0.2</v>
      </c>
      <c r="N44" s="100">
        <v>-0.2</v>
      </c>
      <c r="O44" s="100">
        <v>-0.2</v>
      </c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99">
        <f t="shared" si="141"/>
        <v>0</v>
      </c>
      <c r="AJ44" s="99">
        <f t="shared" si="141"/>
        <v>0</v>
      </c>
      <c r="AK44" s="99">
        <f>(1+$K44)^(1/4)-1</f>
        <v>-5.4258390996824168E-2</v>
      </c>
      <c r="AL44" s="99">
        <f t="shared" si="142"/>
        <v>-5.4258390996824168E-2</v>
      </c>
      <c r="AM44" s="99">
        <f t="shared" si="142"/>
        <v>-5.4258390996824168E-2</v>
      </c>
      <c r="AN44" s="99">
        <f t="shared" si="142"/>
        <v>-5.4258390996824168E-2</v>
      </c>
      <c r="AO44" s="99">
        <f>(1+$L44)^(1/4)-1</f>
        <v>-5.4258390996824168E-2</v>
      </c>
      <c r="AP44" s="99">
        <f t="shared" si="143"/>
        <v>-5.4258390996824168E-2</v>
      </c>
      <c r="AQ44" s="99">
        <f t="shared" si="143"/>
        <v>-5.4258390996824168E-2</v>
      </c>
      <c r="AR44" s="99">
        <f t="shared" si="143"/>
        <v>-5.4258390996824168E-2</v>
      </c>
      <c r="AS44" s="99">
        <f>(1+$M44)^(1/4)-1</f>
        <v>-5.4258390996824168E-2</v>
      </c>
      <c r="AT44" s="99">
        <f t="shared" si="144"/>
        <v>-5.4258390996824168E-2</v>
      </c>
      <c r="AU44" s="99">
        <f t="shared" si="144"/>
        <v>-5.4258390996824168E-2</v>
      </c>
      <c r="AV44" s="99">
        <f t="shared" si="144"/>
        <v>-5.4258390996824168E-2</v>
      </c>
      <c r="AW44" s="99">
        <f>(1+$N44)^(1/4)-1</f>
        <v>-5.4258390996824168E-2</v>
      </c>
      <c r="AX44" s="99">
        <f t="shared" si="145"/>
        <v>-5.4258390996824168E-2</v>
      </c>
      <c r="AY44" s="99">
        <f t="shared" si="145"/>
        <v>-5.4258390996824168E-2</v>
      </c>
      <c r="AZ44" s="99">
        <f t="shared" si="145"/>
        <v>-5.4258390996824168E-2</v>
      </c>
      <c r="BA44" s="99">
        <f>(1+$O44)^(1/4)-1</f>
        <v>-5.4258390996824168E-2</v>
      </c>
      <c r="BB44" s="99">
        <f t="shared" si="146"/>
        <v>-5.4258390996824168E-2</v>
      </c>
      <c r="BC44" s="99">
        <f t="shared" si="146"/>
        <v>-5.4258390996824168E-2</v>
      </c>
      <c r="BD44" s="99">
        <f t="shared" si="146"/>
        <v>-5.4258390996824168E-2</v>
      </c>
    </row>
    <row r="45" spans="1:56" outlineLevel="1" x14ac:dyDescent="0.15">
      <c r="B45" s="121" t="s">
        <v>251</v>
      </c>
      <c r="C45" s="121"/>
      <c r="D45" s="121"/>
      <c r="E45" s="122" t="s">
        <v>36</v>
      </c>
      <c r="F45" s="123"/>
      <c r="G45" s="123"/>
      <c r="H45" s="123"/>
      <c r="I45" s="123"/>
      <c r="J45" s="123"/>
      <c r="K45" s="124">
        <f>SUM(K43:K44)</f>
        <v>6.4887063655030774E-2</v>
      </c>
      <c r="L45" s="124">
        <f t="shared" ref="L45" si="147">SUM(L43:L44)</f>
        <v>6.4887063655030774E-2</v>
      </c>
      <c r="M45" s="124">
        <f t="shared" ref="M45" si="148">SUM(M43:M44)</f>
        <v>6.4887063655030774E-2</v>
      </c>
      <c r="N45" s="124">
        <f t="shared" ref="N45" si="149">SUM(N43:N44)</f>
        <v>6.4887063655030774E-2</v>
      </c>
      <c r="O45" s="124">
        <f t="shared" ref="O45" si="150">SUM(O43:O44)</f>
        <v>6.4887063655030774E-2</v>
      </c>
      <c r="P45" s="52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4">
        <f t="shared" ref="AI45" si="151">SUM(AI43:AI44)</f>
        <v>6.0505530617506853E-2</v>
      </c>
      <c r="AJ45" s="124">
        <f t="shared" ref="AJ45" si="152">SUM(AJ43:AJ44)</f>
        <v>6.0505530617506853E-2</v>
      </c>
      <c r="AK45" s="124">
        <f t="shared" ref="AK45" si="153">SUM(AK43:AK44)</f>
        <v>6.2471396206826846E-3</v>
      </c>
      <c r="AL45" s="124">
        <f t="shared" ref="AL45" si="154">SUM(AL43:AL44)</f>
        <v>6.2471396206826846E-3</v>
      </c>
      <c r="AM45" s="124">
        <f t="shared" ref="AM45" si="155">SUM(AM43:AM44)</f>
        <v>6.2471396206826846E-3</v>
      </c>
      <c r="AN45" s="124">
        <f t="shared" ref="AN45" si="156">SUM(AN43:AN44)</f>
        <v>6.2471396206826846E-3</v>
      </c>
      <c r="AO45" s="124">
        <f t="shared" ref="AO45" si="157">SUM(AO43:AO44)</f>
        <v>6.2471396206826846E-3</v>
      </c>
      <c r="AP45" s="124">
        <f t="shared" ref="AP45" si="158">SUM(AP43:AP44)</f>
        <v>6.2471396206826846E-3</v>
      </c>
      <c r="AQ45" s="124">
        <f t="shared" ref="AQ45" si="159">SUM(AQ43:AQ44)</f>
        <v>6.2471396206826846E-3</v>
      </c>
      <c r="AR45" s="124">
        <f t="shared" ref="AR45" si="160">SUM(AR43:AR44)</f>
        <v>6.2471396206826846E-3</v>
      </c>
      <c r="AS45" s="124">
        <f t="shared" ref="AS45" si="161">SUM(AS43:AS44)</f>
        <v>6.2471396206826846E-3</v>
      </c>
      <c r="AT45" s="124">
        <f t="shared" ref="AT45" si="162">SUM(AT43:AT44)</f>
        <v>6.2471396206826846E-3</v>
      </c>
      <c r="AU45" s="124">
        <f t="shared" ref="AU45" si="163">SUM(AU43:AU44)</f>
        <v>6.2471396206826846E-3</v>
      </c>
      <c r="AV45" s="124">
        <f t="shared" ref="AV45" si="164">SUM(AV43:AV44)</f>
        <v>6.2471396206826846E-3</v>
      </c>
      <c r="AW45" s="124">
        <f t="shared" ref="AW45" si="165">SUM(AW43:AW44)</f>
        <v>6.2471396206826846E-3</v>
      </c>
      <c r="AX45" s="124">
        <f t="shared" ref="AX45" si="166">SUM(AX43:AX44)</f>
        <v>6.2471396206826846E-3</v>
      </c>
      <c r="AY45" s="124">
        <f t="shared" ref="AY45" si="167">SUM(AY43:AY44)</f>
        <v>6.2471396206826846E-3</v>
      </c>
      <c r="AZ45" s="124">
        <f t="shared" ref="AZ45" si="168">SUM(AZ43:AZ44)</f>
        <v>6.2471396206826846E-3</v>
      </c>
      <c r="BA45" s="124">
        <f t="shared" ref="BA45" si="169">SUM(BA43:BA44)</f>
        <v>6.2471396206826846E-3</v>
      </c>
      <c r="BB45" s="124">
        <f t="shared" ref="BB45" si="170">SUM(BB43:BB44)</f>
        <v>6.2471396206826846E-3</v>
      </c>
      <c r="BC45" s="124">
        <f t="shared" ref="BC45" si="171">SUM(BC43:BC44)</f>
        <v>6.2471396206826846E-3</v>
      </c>
      <c r="BD45" s="124">
        <f t="shared" ref="BD45" si="172">SUM(BD43:BD44)</f>
        <v>6.2471396206826846E-3</v>
      </c>
    </row>
    <row r="46" spans="1:56" outlineLevel="1" x14ac:dyDescent="0.15"/>
    <row r="47" spans="1:56" x14ac:dyDescent="0.15">
      <c r="A47" s="1" t="s">
        <v>27</v>
      </c>
      <c r="B47" s="33" t="s">
        <v>255</v>
      </c>
      <c r="C47" s="33"/>
      <c r="D47" s="33"/>
      <c r="E47" s="34" t="s">
        <v>29</v>
      </c>
      <c r="F47" s="35">
        <v>21</v>
      </c>
      <c r="G47" s="35">
        <f>F47+1</f>
        <v>22</v>
      </c>
      <c r="H47" s="35">
        <f t="shared" ref="H47" si="173">G47+1</f>
        <v>23</v>
      </c>
      <c r="I47" s="35">
        <f t="shared" ref="I47" si="174">H47+1</f>
        <v>24</v>
      </c>
      <c r="J47" s="35">
        <v>25</v>
      </c>
      <c r="K47" s="36">
        <f t="shared" ref="K47" si="175">J47+1</f>
        <v>26</v>
      </c>
      <c r="L47" s="36">
        <f t="shared" ref="L47" si="176">K47+1</f>
        <v>27</v>
      </c>
      <c r="M47" s="36">
        <f t="shared" ref="M47" si="177">L47+1</f>
        <v>28</v>
      </c>
      <c r="N47" s="36">
        <f t="shared" ref="N47" si="178">M47+1</f>
        <v>29</v>
      </c>
      <c r="O47" s="36">
        <f t="shared" ref="O47" si="179">N47+1</f>
        <v>30</v>
      </c>
      <c r="Q47" s="41">
        <v>44286</v>
      </c>
      <c r="R47" s="41">
        <v>44377</v>
      </c>
      <c r="S47" s="41">
        <v>44469</v>
      </c>
      <c r="T47" s="41">
        <v>44561</v>
      </c>
      <c r="U47" s="41">
        <v>44651</v>
      </c>
      <c r="V47" s="41">
        <v>44742</v>
      </c>
      <c r="W47" s="41">
        <v>44834</v>
      </c>
      <c r="X47" s="41">
        <v>44926</v>
      </c>
      <c r="Y47" s="41">
        <v>45016</v>
      </c>
      <c r="Z47" s="41">
        <v>45107</v>
      </c>
      <c r="AA47" s="41">
        <v>45199</v>
      </c>
      <c r="AB47" s="41">
        <v>45291</v>
      </c>
      <c r="AC47" s="41">
        <v>45382</v>
      </c>
      <c r="AD47" s="41">
        <v>45473</v>
      </c>
      <c r="AE47" s="41">
        <v>45565</v>
      </c>
      <c r="AF47" s="41">
        <v>45657</v>
      </c>
      <c r="AG47" s="41">
        <v>45747</v>
      </c>
      <c r="AH47" s="41">
        <v>45838</v>
      </c>
      <c r="AI47" s="41">
        <v>45930</v>
      </c>
      <c r="AJ47" s="41">
        <v>46022</v>
      </c>
      <c r="AK47" s="41">
        <v>46112</v>
      </c>
      <c r="AL47" s="41">
        <v>46203</v>
      </c>
      <c r="AM47" s="41">
        <v>46295</v>
      </c>
      <c r="AN47" s="41">
        <v>46387</v>
      </c>
      <c r="AO47" s="41">
        <v>46477</v>
      </c>
      <c r="AP47" s="41">
        <v>46568</v>
      </c>
      <c r="AQ47" s="41">
        <v>46660</v>
      </c>
      <c r="AR47" s="41">
        <v>46752</v>
      </c>
      <c r="AS47" s="41">
        <v>46843</v>
      </c>
      <c r="AT47" s="41">
        <v>46934</v>
      </c>
      <c r="AU47" s="41">
        <v>47026</v>
      </c>
      <c r="AV47" s="41">
        <v>47118</v>
      </c>
      <c r="AW47" s="41">
        <v>47208</v>
      </c>
      <c r="AX47" s="41">
        <v>47299</v>
      </c>
      <c r="AY47" s="41">
        <v>47391</v>
      </c>
      <c r="AZ47" s="41">
        <v>47483</v>
      </c>
      <c r="BA47" s="41">
        <v>47573</v>
      </c>
      <c r="BB47" s="41">
        <v>47664</v>
      </c>
      <c r="BC47" s="41">
        <v>47756</v>
      </c>
      <c r="BD47" s="41">
        <v>47848</v>
      </c>
    </row>
    <row r="48" spans="1:56" ht="3" customHeight="1" x14ac:dyDescent="0.15"/>
    <row r="49" spans="1:56" outlineLevel="1" x14ac:dyDescent="0.15">
      <c r="B49" s="75" t="s">
        <v>256</v>
      </c>
    </row>
    <row r="50" spans="1:56" outlineLevel="1" x14ac:dyDescent="0.15">
      <c r="B50" s="30" t="s">
        <v>257</v>
      </c>
    </row>
    <row r="51" spans="1:56" outlineLevel="1" x14ac:dyDescent="0.15">
      <c r="B51" s="30" t="s">
        <v>258</v>
      </c>
    </row>
    <row r="52" spans="1:56" ht="3" customHeight="1" x14ac:dyDescent="0.15"/>
    <row r="53" spans="1:56" x14ac:dyDescent="0.15">
      <c r="B53" s="1" t="s">
        <v>259</v>
      </c>
      <c r="E53" s="43" t="s">
        <v>260</v>
      </c>
      <c r="F53" s="50">
        <f>SUMIFS($Q53:$BD53,$Q$1:$BD$1,F$1)</f>
        <v>33.4</v>
      </c>
      <c r="G53" s="50">
        <f t="shared" ref="G53:O53" si="180">SUMIFS($Q53:$BD53,$Q$1:$BD$1,G$1)</f>
        <v>35</v>
      </c>
      <c r="H53" s="50">
        <f t="shared" si="180"/>
        <v>29.4</v>
      </c>
      <c r="I53" s="50">
        <f t="shared" si="180"/>
        <v>31</v>
      </c>
      <c r="J53" s="50">
        <f t="shared" si="180"/>
        <v>35.029403209374905</v>
      </c>
      <c r="K53" s="50">
        <f t="shared" si="180"/>
        <v>35.032592061015634</v>
      </c>
      <c r="L53" s="50">
        <f t="shared" si="180"/>
        <v>37.482987290638931</v>
      </c>
      <c r="M53" s="50">
        <f t="shared" si="180"/>
        <v>42.193305202957561</v>
      </c>
      <c r="N53" s="50">
        <f t="shared" si="180"/>
        <v>49.758923278538518</v>
      </c>
      <c r="O53" s="50">
        <f t="shared" si="180"/>
        <v>61.245944136092405</v>
      </c>
      <c r="Q53" s="50">
        <v>6.1</v>
      </c>
      <c r="R53" s="50">
        <v>8.8000000000000007</v>
      </c>
      <c r="S53" s="50">
        <v>7.3</v>
      </c>
      <c r="T53" s="50">
        <v>11.2</v>
      </c>
      <c r="U53" s="50">
        <v>9.1999999999999993</v>
      </c>
      <c r="V53" s="50">
        <v>9</v>
      </c>
      <c r="W53" s="50">
        <v>8.5</v>
      </c>
      <c r="X53" s="50">
        <v>8.3000000000000007</v>
      </c>
      <c r="Y53" s="50">
        <v>8.4</v>
      </c>
      <c r="Z53" s="50">
        <v>7.3</v>
      </c>
      <c r="AA53" s="50">
        <v>6.7</v>
      </c>
      <c r="AB53" s="50">
        <v>7</v>
      </c>
      <c r="AC53" s="50">
        <v>8</v>
      </c>
      <c r="AD53" s="50">
        <v>8.1999999999999993</v>
      </c>
      <c r="AE53" s="50">
        <v>7.8</v>
      </c>
      <c r="AF53" s="50">
        <v>7</v>
      </c>
      <c r="AG53" s="50">
        <v>9.6999999999999993</v>
      </c>
      <c r="AH53" s="50">
        <v>8.6999999999999993</v>
      </c>
      <c r="AI53" s="50">
        <f>AH53*(1+AI54)</f>
        <v>8.2164479690898151</v>
      </c>
      <c r="AJ53" s="50">
        <f t="shared" ref="AJ53:BD53" si="181">AI53*(1+AJ54)</f>
        <v>8.4129552402850898</v>
      </c>
      <c r="AK53" s="50">
        <f t="shared" si="181"/>
        <v>9.1868794425259068</v>
      </c>
      <c r="AL53" s="50">
        <f t="shared" si="181"/>
        <v>8.747042251686473</v>
      </c>
      <c r="AM53" s="50">
        <f t="shared" si="181"/>
        <v>8.3880513415950322</v>
      </c>
      <c r="AN53" s="50">
        <f t="shared" si="181"/>
        <v>8.7106190252082207</v>
      </c>
      <c r="AO53" s="50">
        <f t="shared" si="181"/>
        <v>9.6295562906402363</v>
      </c>
      <c r="AP53" s="50">
        <f t="shared" si="181"/>
        <v>9.2985651561456617</v>
      </c>
      <c r="AQ53" s="50">
        <f t="shared" si="181"/>
        <v>9.0425091327475187</v>
      </c>
      <c r="AR53" s="50">
        <f t="shared" si="181"/>
        <v>9.5123567111055145</v>
      </c>
      <c r="AS53" s="50">
        <f t="shared" si="181"/>
        <v>10.635191455570565</v>
      </c>
      <c r="AT53" s="50">
        <f t="shared" si="181"/>
        <v>10.403035556591844</v>
      </c>
      <c r="AU53" s="50">
        <f t="shared" si="181"/>
        <v>10.247054887336869</v>
      </c>
      <c r="AV53" s="50">
        <f t="shared" si="181"/>
        <v>10.908023303458281</v>
      </c>
      <c r="AW53" s="50">
        <f t="shared" si="181"/>
        <v>12.322709275077022</v>
      </c>
      <c r="AX53" s="50">
        <f t="shared" si="181"/>
        <v>12.19730863873864</v>
      </c>
      <c r="AY53" s="50">
        <f t="shared" si="181"/>
        <v>12.156555949311544</v>
      </c>
      <c r="AZ53" s="50">
        <f t="shared" si="181"/>
        <v>13.08234941541131</v>
      </c>
      <c r="BA53" s="50">
        <f t="shared" si="181"/>
        <v>14.920867449350151</v>
      </c>
      <c r="BB53" s="50">
        <f t="shared" si="181"/>
        <v>14.930799007389604</v>
      </c>
      <c r="BC53" s="50">
        <f t="shared" si="181"/>
        <v>15.042793125417731</v>
      </c>
      <c r="BD53" s="50">
        <f t="shared" si="181"/>
        <v>16.351484553934917</v>
      </c>
    </row>
    <row r="54" spans="1:56" x14ac:dyDescent="0.15">
      <c r="B54" s="98" t="s">
        <v>261</v>
      </c>
      <c r="C54" s="45"/>
      <c r="D54" s="45"/>
      <c r="E54" s="46" t="s">
        <v>36</v>
      </c>
      <c r="F54" s="125"/>
      <c r="G54" s="126">
        <f>(G53-F53)/F53</f>
        <v>4.7904191616766512E-2</v>
      </c>
      <c r="H54" s="126">
        <f t="shared" ref="H54" si="182">(H53-G53)/G53</f>
        <v>-0.16000000000000003</v>
      </c>
      <c r="I54" s="126">
        <f t="shared" ref="I54" si="183">(I53-H53)/H53</f>
        <v>5.4421768707483047E-2</v>
      </c>
      <c r="J54" s="126">
        <f t="shared" ref="J54" si="184">(J53-I53)/I53</f>
        <v>0.12998074868951306</v>
      </c>
      <c r="K54" s="126">
        <f t="shared" ref="K54" si="185">(K53-J53)/J53</f>
        <v>9.1033570331446831E-5</v>
      </c>
      <c r="L54" s="126">
        <f t="shared" ref="L54" si="186">(L53-K53)/K53</f>
        <v>6.9946158290413896E-2</v>
      </c>
      <c r="M54" s="126">
        <f t="shared" ref="M54" si="187">(M53-L53)/L53</f>
        <v>0.12566548860674701</v>
      </c>
      <c r="N54" s="126">
        <f t="shared" ref="N54" si="188">(N53-M53)/M53</f>
        <v>0.17930849548735142</v>
      </c>
      <c r="O54" s="126">
        <f t="shared" ref="O54" si="189">(O53-N53)/N53</f>
        <v>0.23085348517797097</v>
      </c>
      <c r="P54" s="81"/>
      <c r="Q54" s="127"/>
      <c r="R54" s="126">
        <f t="shared" ref="R54" si="190">(R53-Q53)/Q53</f>
        <v>0.44262295081967235</v>
      </c>
      <c r="S54" s="126">
        <f t="shared" ref="S54" si="191">(S53-R53)/R53</f>
        <v>-0.17045454545454555</v>
      </c>
      <c r="T54" s="126">
        <f t="shared" ref="T54" si="192">(T53-S53)/S53</f>
        <v>0.53424657534246567</v>
      </c>
      <c r="U54" s="126">
        <f t="shared" ref="U54" si="193">(U53-T53)/T53</f>
        <v>-0.17857142857142858</v>
      </c>
      <c r="V54" s="126">
        <f t="shared" ref="V54" si="194">(V53-U53)/U53</f>
        <v>-2.1739130434782532E-2</v>
      </c>
      <c r="W54" s="126">
        <f t="shared" ref="W54" si="195">(W53-V53)/V53</f>
        <v>-5.5555555555555552E-2</v>
      </c>
      <c r="X54" s="126">
        <f t="shared" ref="X54" si="196">(X53-W53)/W53</f>
        <v>-2.3529411764705799E-2</v>
      </c>
      <c r="Y54" s="126">
        <f t="shared" ref="Y54" si="197">(Y53-X53)/X53</f>
        <v>1.2048192771084293E-2</v>
      </c>
      <c r="Z54" s="126">
        <f t="shared" ref="Z54" si="198">(Z53-Y53)/Y53</f>
        <v>-0.13095238095238101</v>
      </c>
      <c r="AA54" s="126">
        <f t="shared" ref="AA54" si="199">(AA53-Z53)/Z53</f>
        <v>-8.2191780821917762E-2</v>
      </c>
      <c r="AB54" s="126">
        <f t="shared" ref="AB54" si="200">(AB53-AA53)/AA53</f>
        <v>4.4776119402985044E-2</v>
      </c>
      <c r="AC54" s="126">
        <f t="shared" ref="AC54" si="201">(AC53-AB53)/AB53</f>
        <v>0.14285714285714285</v>
      </c>
      <c r="AD54" s="126">
        <f t="shared" ref="AD54" si="202">(AD53-AC53)/AC53</f>
        <v>2.4999999999999911E-2</v>
      </c>
      <c r="AE54" s="126">
        <f t="shared" ref="AE54" si="203">(AE53-AD53)/AD53</f>
        <v>-4.8780487804877988E-2</v>
      </c>
      <c r="AF54" s="126">
        <f t="shared" ref="AF54" si="204">(AF53-AE53)/AE53</f>
        <v>-0.10256410256410255</v>
      </c>
      <c r="AG54" s="126">
        <f t="shared" ref="AG54" si="205">(AG53-AF53)/AF53</f>
        <v>0.38571428571428562</v>
      </c>
      <c r="AH54" s="126">
        <f t="shared" ref="AH54" si="206">(AH53-AG53)/AG53</f>
        <v>-0.10309278350515465</v>
      </c>
      <c r="AI54" s="126">
        <f>_xlfn.XLOOKUP('Cover Page'!$E$13,'Revenue Build'!$B55:$B57,'Revenue Build'!AI55:AI57)</f>
        <v>-5.5580693208067272E-2</v>
      </c>
      <c r="AJ54" s="126">
        <f>_xlfn.XLOOKUP('Cover Page'!$E$13,'Revenue Build'!$B55:$B57,'Revenue Build'!AJ55:AJ57)</f>
        <v>2.3916328799809011E-2</v>
      </c>
      <c r="AK54" s="126">
        <f>_xlfn.XLOOKUP('Cover Page'!$E$13,'Revenue Build'!$B55:$B57,'Revenue Build'!AK55:AK57)</f>
        <v>9.1991955280459933E-2</v>
      </c>
      <c r="AL54" s="126">
        <f>_xlfn.XLOOKUP('Cover Page'!$E$13,'Revenue Build'!$B55:$B57,'Revenue Build'!AL55:AL57)</f>
        <v>-4.7876669503622224E-2</v>
      </c>
      <c r="AM54" s="126">
        <f>_xlfn.XLOOKUP('Cover Page'!$E$13,'Revenue Build'!$B55:$B57,'Revenue Build'!AM55:AM57)</f>
        <v>-4.104140574172091E-2</v>
      </c>
      <c r="AN54" s="126">
        <f>_xlfn.XLOOKUP('Cover Page'!$E$13,'Revenue Build'!$B55:$B57,'Revenue Build'!AN55:AN57)</f>
        <v>3.8455616266155374E-2</v>
      </c>
      <c r="AO54" s="126">
        <f>_xlfn.XLOOKUP('Cover Page'!$E$13,'Revenue Build'!$B55:$B57,'Revenue Build'!AO55:AO57)</f>
        <v>0.10549620673027287</v>
      </c>
      <c r="AP54" s="126">
        <f>_xlfn.XLOOKUP('Cover Page'!$E$13,'Revenue Build'!$B55:$B57,'Revenue Build'!AP55:AP57)</f>
        <v>-3.4372418053809292E-2</v>
      </c>
      <c r="AQ54" s="126">
        <f>_xlfn.XLOOKUP('Cover Page'!$E$13,'Revenue Build'!$B55:$B57,'Revenue Build'!AQ55:AQ57)</f>
        <v>-2.7537154291907978E-2</v>
      </c>
      <c r="AR54" s="126">
        <f>_xlfn.XLOOKUP('Cover Page'!$E$13,'Revenue Build'!$B55:$B57,'Revenue Build'!AR55:AR57)</f>
        <v>5.1959867715968305E-2</v>
      </c>
      <c r="AS54" s="126">
        <f>_xlfn.XLOOKUP('Cover Page'!$E$13,'Revenue Build'!$B55:$B57,'Revenue Build'!AS55:AS57)</f>
        <v>0.11803959613437957</v>
      </c>
      <c r="AT54" s="126">
        <f>_xlfn.XLOOKUP('Cover Page'!$E$13,'Revenue Build'!$B55:$B57,'Revenue Build'!AT55:AT57)</f>
        <v>-2.1829028649702584E-2</v>
      </c>
      <c r="AU54" s="126">
        <f>_xlfn.XLOOKUP('Cover Page'!$E$13,'Revenue Build'!$B55:$B57,'Revenue Build'!AU55:AU57)</f>
        <v>-1.499376488780127E-2</v>
      </c>
      <c r="AV54" s="126">
        <f>_xlfn.XLOOKUP('Cover Page'!$E$13,'Revenue Build'!$B55:$B57,'Revenue Build'!AV55:AV57)</f>
        <v>6.4503257120075014E-2</v>
      </c>
      <c r="AW54" s="126">
        <f>_xlfn.XLOOKUP('Cover Page'!$E$13,'Revenue Build'!$B55:$B57,'Revenue Build'!AW55:AW57)</f>
        <v>0.12969223958022064</v>
      </c>
      <c r="AX54" s="126">
        <f>_xlfn.XLOOKUP('Cover Page'!$E$13,'Revenue Build'!$B55:$B57,'Revenue Build'!AX55:AX57)</f>
        <v>-1.0176385203861535E-2</v>
      </c>
      <c r="AY54" s="126">
        <f>_xlfn.XLOOKUP('Cover Page'!$E$13,'Revenue Build'!$B55:$B57,'Revenue Build'!AY55:AY57)</f>
        <v>-3.3411214419602209E-3</v>
      </c>
      <c r="AZ54" s="126">
        <f>_xlfn.XLOOKUP('Cover Page'!$E$13,'Revenue Build'!$B55:$B57,'Revenue Build'!AZ55:AZ57)</f>
        <v>7.6155900565916063E-2</v>
      </c>
      <c r="BA54" s="126">
        <f>_xlfn.XLOOKUP('Cover Page'!$E$13,'Revenue Build'!$B55:$B57,'Revenue Build'!BA55:BA57)</f>
        <v>0.14053424010927457</v>
      </c>
      <c r="BB54" s="126">
        <f>_xlfn.XLOOKUP('Cover Page'!$E$13,'Revenue Build'!$B55:$B57,'Revenue Build'!BB55:BB57)</f>
        <v>6.6561532519239519E-4</v>
      </c>
      <c r="BC54" s="126">
        <f>_xlfn.XLOOKUP('Cover Page'!$E$13,'Revenue Build'!$B55:$B57,'Revenue Build'!BC55:BC57)</f>
        <v>7.5008790870937092E-3</v>
      </c>
      <c r="BD54" s="126">
        <f>_xlfn.XLOOKUP('Cover Page'!$E$13,'Revenue Build'!$B55:$B57,'Revenue Build'!BD55:BD57)</f>
        <v>8.6997901094969993E-2</v>
      </c>
    </row>
    <row r="55" spans="1:56" x14ac:dyDescent="0.15">
      <c r="B55" s="1" t="s">
        <v>262</v>
      </c>
      <c r="D55" s="102">
        <v>0.05</v>
      </c>
      <c r="E55" s="43" t="s">
        <v>36</v>
      </c>
      <c r="AI55" s="101">
        <f>AI56+$D55</f>
        <v>-5.5806932080672694E-3</v>
      </c>
      <c r="AJ55" s="101">
        <f t="shared" ref="AJ55:BD55" si="207">AJ56+$D55</f>
        <v>7.3916328799809014E-2</v>
      </c>
      <c r="AK55" s="101">
        <f t="shared" si="207"/>
        <v>0.14199195528045994</v>
      </c>
      <c r="AL55" s="101">
        <f t="shared" si="207"/>
        <v>2.1233304963777788E-3</v>
      </c>
      <c r="AM55" s="101">
        <f t="shared" si="207"/>
        <v>8.9585942582790928E-3</v>
      </c>
      <c r="AN55" s="101">
        <f t="shared" si="207"/>
        <v>8.8455616266155376E-2</v>
      </c>
      <c r="AO55" s="101">
        <f t="shared" si="207"/>
        <v>0.15549620673027287</v>
      </c>
      <c r="AP55" s="101">
        <f t="shared" si="207"/>
        <v>1.5627581946190711E-2</v>
      </c>
      <c r="AQ55" s="101">
        <f t="shared" si="207"/>
        <v>2.2462845708092025E-2</v>
      </c>
      <c r="AR55" s="101">
        <f t="shared" si="207"/>
        <v>0.10195986771596831</v>
      </c>
      <c r="AS55" s="101">
        <f t="shared" si="207"/>
        <v>0.16803959613437958</v>
      </c>
      <c r="AT55" s="101">
        <f t="shared" si="207"/>
        <v>2.8170971350297419E-2</v>
      </c>
      <c r="AU55" s="101">
        <f t="shared" si="207"/>
        <v>3.5006235112198733E-2</v>
      </c>
      <c r="AV55" s="101">
        <f t="shared" si="207"/>
        <v>0.11450325712007502</v>
      </c>
      <c r="AW55" s="101">
        <f t="shared" si="207"/>
        <v>0.17969223958022063</v>
      </c>
      <c r="AX55" s="101">
        <f t="shared" si="207"/>
        <v>3.9823614796138468E-2</v>
      </c>
      <c r="AY55" s="101">
        <f t="shared" si="207"/>
        <v>4.6658878558039782E-2</v>
      </c>
      <c r="AZ55" s="101">
        <f t="shared" si="207"/>
        <v>0.12615590056591608</v>
      </c>
      <c r="BA55" s="101">
        <f t="shared" si="207"/>
        <v>0.19053424010927456</v>
      </c>
      <c r="BB55" s="101">
        <f t="shared" si="207"/>
        <v>5.0665615325192398E-2</v>
      </c>
      <c r="BC55" s="101">
        <f t="shared" si="207"/>
        <v>5.7500879087093712E-2</v>
      </c>
      <c r="BD55" s="101">
        <f t="shared" si="207"/>
        <v>0.13699790109497001</v>
      </c>
    </row>
    <row r="56" spans="1:56" x14ac:dyDescent="0.15">
      <c r="B56" s="1" t="s">
        <v>15</v>
      </c>
      <c r="D56" s="102">
        <v>0</v>
      </c>
      <c r="E56" s="43" t="s">
        <v>36</v>
      </c>
      <c r="AI56" s="101">
        <f>MEDIAN(S54,W54,AA54,AE54)+AI35+$D56</f>
        <v>-5.5580693208067272E-2</v>
      </c>
      <c r="AJ56" s="101">
        <f>MEDIAN(T54,X54,AB54,AF54)+AJ35+$D56</f>
        <v>2.3916328799809011E-2</v>
      </c>
      <c r="AK56" s="101">
        <f>MEDIAN(U54,Y54,AC54,AG54)+AK35+$D56</f>
        <v>9.1991955280459933E-2</v>
      </c>
      <c r="AL56" s="101">
        <f>MEDIAN(V54,Z54,AD54,AH54)+AL35+$D56</f>
        <v>-4.7876669503622224E-2</v>
      </c>
      <c r="AM56" s="101">
        <f t="shared" ref="AM56:BD56" si="208">AI56+AM35+$D56</f>
        <v>-4.104140574172091E-2</v>
      </c>
      <c r="AN56" s="101">
        <f t="shared" si="208"/>
        <v>3.8455616266155374E-2</v>
      </c>
      <c r="AO56" s="101">
        <f t="shared" si="208"/>
        <v>0.10549620673027287</v>
      </c>
      <c r="AP56" s="101">
        <f t="shared" si="208"/>
        <v>-3.4372418053809292E-2</v>
      </c>
      <c r="AQ56" s="101">
        <f t="shared" si="208"/>
        <v>-2.7537154291907978E-2</v>
      </c>
      <c r="AR56" s="101">
        <f t="shared" si="208"/>
        <v>5.1959867715968305E-2</v>
      </c>
      <c r="AS56" s="101">
        <f t="shared" si="208"/>
        <v>0.11803959613437957</v>
      </c>
      <c r="AT56" s="101">
        <f t="shared" si="208"/>
        <v>-2.1829028649702584E-2</v>
      </c>
      <c r="AU56" s="101">
        <f t="shared" si="208"/>
        <v>-1.499376488780127E-2</v>
      </c>
      <c r="AV56" s="101">
        <f t="shared" si="208"/>
        <v>6.4503257120075014E-2</v>
      </c>
      <c r="AW56" s="101">
        <f t="shared" si="208"/>
        <v>0.12969223958022064</v>
      </c>
      <c r="AX56" s="101">
        <f t="shared" si="208"/>
        <v>-1.0176385203861535E-2</v>
      </c>
      <c r="AY56" s="101">
        <f t="shared" si="208"/>
        <v>-3.3411214419602209E-3</v>
      </c>
      <c r="AZ56" s="101">
        <f t="shared" si="208"/>
        <v>7.6155900565916063E-2</v>
      </c>
      <c r="BA56" s="101">
        <f t="shared" si="208"/>
        <v>0.14053424010927457</v>
      </c>
      <c r="BB56" s="101">
        <f t="shared" si="208"/>
        <v>6.6561532519239519E-4</v>
      </c>
      <c r="BC56" s="101">
        <f t="shared" si="208"/>
        <v>7.5008790870937092E-3</v>
      </c>
      <c r="BD56" s="101">
        <f t="shared" si="208"/>
        <v>8.6997901094969993E-2</v>
      </c>
    </row>
    <row r="57" spans="1:56" x14ac:dyDescent="0.15">
      <c r="B57" s="1" t="s">
        <v>263</v>
      </c>
      <c r="D57" s="102">
        <v>-0.05</v>
      </c>
      <c r="E57" s="43" t="s">
        <v>36</v>
      </c>
      <c r="AI57" s="101">
        <f>AI56+$D57</f>
        <v>-0.10558069320806727</v>
      </c>
      <c r="AJ57" s="101">
        <f t="shared" ref="AJ57:BD57" si="209">AJ56+$D57</f>
        <v>-2.6083671200190992E-2</v>
      </c>
      <c r="AK57" s="101">
        <f t="shared" si="209"/>
        <v>4.1991955280459931E-2</v>
      </c>
      <c r="AL57" s="101">
        <f t="shared" si="209"/>
        <v>-9.7876669503622227E-2</v>
      </c>
      <c r="AM57" s="101">
        <f t="shared" si="209"/>
        <v>-9.1041405741720913E-2</v>
      </c>
      <c r="AN57" s="101">
        <f t="shared" si="209"/>
        <v>-1.1544383733844629E-2</v>
      </c>
      <c r="AO57" s="101">
        <f t="shared" si="209"/>
        <v>5.5496206730272862E-2</v>
      </c>
      <c r="AP57" s="101">
        <f t="shared" si="209"/>
        <v>-8.4372418053809295E-2</v>
      </c>
      <c r="AQ57" s="101">
        <f t="shared" si="209"/>
        <v>-7.7537154291907981E-2</v>
      </c>
      <c r="AR57" s="101">
        <f t="shared" si="209"/>
        <v>1.9598677159683026E-3</v>
      </c>
      <c r="AS57" s="101">
        <f t="shared" si="209"/>
        <v>6.8039596134379571E-2</v>
      </c>
      <c r="AT57" s="101">
        <f t="shared" si="209"/>
        <v>-7.1829028649702586E-2</v>
      </c>
      <c r="AU57" s="101">
        <f t="shared" si="209"/>
        <v>-6.4993764887801272E-2</v>
      </c>
      <c r="AV57" s="101">
        <f t="shared" si="209"/>
        <v>1.4503257120075011E-2</v>
      </c>
      <c r="AW57" s="101">
        <f t="shared" si="209"/>
        <v>7.9692239580220633E-2</v>
      </c>
      <c r="AX57" s="101">
        <f t="shared" si="209"/>
        <v>-6.0176385203861538E-2</v>
      </c>
      <c r="AY57" s="101">
        <f t="shared" si="209"/>
        <v>-5.3341121441960224E-2</v>
      </c>
      <c r="AZ57" s="101">
        <f t="shared" si="209"/>
        <v>2.615590056591606E-2</v>
      </c>
      <c r="BA57" s="101">
        <f t="shared" si="209"/>
        <v>9.0534240109274564E-2</v>
      </c>
      <c r="BB57" s="101">
        <f t="shared" si="209"/>
        <v>-4.9334384674807608E-2</v>
      </c>
      <c r="BC57" s="101">
        <f t="shared" si="209"/>
        <v>-4.2499120912906294E-2</v>
      </c>
      <c r="BD57" s="101">
        <f t="shared" si="209"/>
        <v>3.699790109496999E-2</v>
      </c>
    </row>
    <row r="59" spans="1:56" x14ac:dyDescent="0.15">
      <c r="A59" s="1" t="s">
        <v>27</v>
      </c>
      <c r="B59" s="33" t="s">
        <v>264</v>
      </c>
      <c r="C59" s="33"/>
      <c r="D59" s="33"/>
      <c r="E59" s="34" t="s">
        <v>29</v>
      </c>
      <c r="F59" s="35">
        <v>21</v>
      </c>
      <c r="G59" s="35">
        <f>F59+1</f>
        <v>22</v>
      </c>
      <c r="H59" s="35">
        <f t="shared" ref="H59" si="210">G59+1</f>
        <v>23</v>
      </c>
      <c r="I59" s="35">
        <f t="shared" ref="I59" si="211">H59+1</f>
        <v>24</v>
      </c>
      <c r="J59" s="35">
        <f t="shared" ref="J59" si="212">I59+1</f>
        <v>25</v>
      </c>
      <c r="K59" s="36">
        <f t="shared" ref="K59" si="213">J59+1</f>
        <v>26</v>
      </c>
      <c r="L59" s="36">
        <f t="shared" ref="L59" si="214">K59+1</f>
        <v>27</v>
      </c>
      <c r="M59" s="36">
        <f t="shared" ref="M59" si="215">L59+1</f>
        <v>28</v>
      </c>
      <c r="N59" s="36">
        <f t="shared" ref="N59" si="216">M59+1</f>
        <v>29</v>
      </c>
      <c r="O59" s="36">
        <f t="shared" ref="O59" si="217">N59+1</f>
        <v>30</v>
      </c>
      <c r="Q59" s="41">
        <v>44286</v>
      </c>
      <c r="R59" s="41">
        <v>44377</v>
      </c>
      <c r="S59" s="41">
        <v>44469</v>
      </c>
      <c r="T59" s="41">
        <v>44561</v>
      </c>
      <c r="U59" s="41">
        <v>44651</v>
      </c>
      <c r="V59" s="41">
        <v>44742</v>
      </c>
      <c r="W59" s="41">
        <v>44834</v>
      </c>
      <c r="X59" s="41">
        <v>44926</v>
      </c>
      <c r="Y59" s="41">
        <v>45016</v>
      </c>
      <c r="Z59" s="41">
        <v>45107</v>
      </c>
      <c r="AA59" s="41">
        <v>45199</v>
      </c>
      <c r="AB59" s="41">
        <v>45291</v>
      </c>
      <c r="AC59" s="41">
        <v>45382</v>
      </c>
      <c r="AD59" s="41">
        <v>45473</v>
      </c>
      <c r="AE59" s="41">
        <v>45565</v>
      </c>
      <c r="AF59" s="41">
        <v>45657</v>
      </c>
      <c r="AG59" s="41">
        <v>45747</v>
      </c>
      <c r="AH59" s="41">
        <v>45838</v>
      </c>
      <c r="AI59" s="41">
        <v>45930</v>
      </c>
      <c r="AJ59" s="41">
        <v>46022</v>
      </c>
      <c r="AK59" s="41">
        <v>46112</v>
      </c>
      <c r="AL59" s="41">
        <v>46203</v>
      </c>
      <c r="AM59" s="41">
        <v>46295</v>
      </c>
      <c r="AN59" s="41">
        <v>46387</v>
      </c>
      <c r="AO59" s="41">
        <v>46477</v>
      </c>
      <c r="AP59" s="41">
        <v>46568</v>
      </c>
      <c r="AQ59" s="41">
        <v>46660</v>
      </c>
      <c r="AR59" s="41">
        <v>46752</v>
      </c>
      <c r="AS59" s="41">
        <v>46843</v>
      </c>
      <c r="AT59" s="41">
        <v>46934</v>
      </c>
      <c r="AU59" s="41">
        <v>47026</v>
      </c>
      <c r="AV59" s="41">
        <v>47118</v>
      </c>
      <c r="AW59" s="41">
        <v>47208</v>
      </c>
      <c r="AX59" s="41">
        <v>47299</v>
      </c>
      <c r="AY59" s="41">
        <v>47391</v>
      </c>
      <c r="AZ59" s="41">
        <v>47483</v>
      </c>
      <c r="BA59" s="41">
        <v>47573</v>
      </c>
      <c r="BB59" s="41">
        <v>47664</v>
      </c>
      <c r="BC59" s="41">
        <v>47756</v>
      </c>
      <c r="BD59" s="41">
        <v>47848</v>
      </c>
    </row>
    <row r="60" spans="1:56" ht="3" customHeight="1" x14ac:dyDescent="0.15"/>
    <row r="61" spans="1:56" outlineLevel="1" x14ac:dyDescent="0.15">
      <c r="B61" s="75" t="s">
        <v>256</v>
      </c>
    </row>
    <row r="62" spans="1:56" outlineLevel="1" x14ac:dyDescent="0.15">
      <c r="B62" s="1" t="s">
        <v>265</v>
      </c>
      <c r="D62" s="102">
        <v>0.2</v>
      </c>
    </row>
    <row r="63" spans="1:56" outlineLevel="1" x14ac:dyDescent="0.15">
      <c r="B63" s="1" t="s">
        <v>266</v>
      </c>
      <c r="D63" s="102">
        <v>-0.32</v>
      </c>
    </row>
    <row r="65" spans="2:56" x14ac:dyDescent="0.15">
      <c r="B65" s="1" t="s">
        <v>267</v>
      </c>
      <c r="E65" s="43" t="s">
        <v>33</v>
      </c>
      <c r="F65" s="50">
        <f t="shared" ref="F65:O65" si="218">SUMIFS($Q65:$BD65,$Q$1:$BD$1,F$1)</f>
        <v>6533700</v>
      </c>
      <c r="G65" s="50">
        <f t="shared" si="218"/>
        <v>2236900</v>
      </c>
      <c r="H65" s="50">
        <f t="shared" si="218"/>
        <v>1457500</v>
      </c>
      <c r="I65" s="50">
        <f t="shared" si="218"/>
        <v>3430400</v>
      </c>
      <c r="J65" s="50">
        <f t="shared" si="218"/>
        <v>3322800</v>
      </c>
      <c r="K65" s="50">
        <f t="shared" si="218"/>
        <v>3356914.381188707</v>
      </c>
      <c r="L65" s="50">
        <f t="shared" si="218"/>
        <v>3774086.2649983908</v>
      </c>
      <c r="M65" s="50">
        <f t="shared" si="218"/>
        <v>4671798.4195604352</v>
      </c>
      <c r="N65" s="50">
        <f t="shared" si="218"/>
        <v>6261933.7810055558</v>
      </c>
      <c r="O65" s="50">
        <f t="shared" si="218"/>
        <v>8996525.8562381584</v>
      </c>
      <c r="Q65" s="50">
        <f t="shared" ref="Q65:AJ65" si="219">Q11</f>
        <v>1497900</v>
      </c>
      <c r="R65" s="50">
        <f t="shared" si="219"/>
        <v>1828000</v>
      </c>
      <c r="S65" s="50">
        <f t="shared" si="219"/>
        <v>1022000</v>
      </c>
      <c r="T65" s="50">
        <f t="shared" si="219"/>
        <v>2185800</v>
      </c>
      <c r="U65" s="50">
        <f t="shared" si="219"/>
        <v>965800</v>
      </c>
      <c r="V65" s="50">
        <f t="shared" si="219"/>
        <v>616200</v>
      </c>
      <c r="W65" s="50">
        <f t="shared" si="219"/>
        <v>346100</v>
      </c>
      <c r="X65" s="50">
        <f t="shared" si="219"/>
        <v>308800</v>
      </c>
      <c r="Y65" s="50">
        <f t="shared" si="219"/>
        <v>361700</v>
      </c>
      <c r="Z65" s="50">
        <f t="shared" si="219"/>
        <v>352400</v>
      </c>
      <c r="AA65" s="50">
        <f t="shared" si="219"/>
        <v>274500</v>
      </c>
      <c r="AB65" s="50">
        <f t="shared" si="219"/>
        <v>468900</v>
      </c>
      <c r="AC65" s="50">
        <f t="shared" si="219"/>
        <v>935200</v>
      </c>
      <c r="AD65" s="50">
        <f t="shared" si="219"/>
        <v>664800</v>
      </c>
      <c r="AE65" s="50">
        <f t="shared" si="219"/>
        <v>483300</v>
      </c>
      <c r="AF65" s="50">
        <f t="shared" si="219"/>
        <v>1347100</v>
      </c>
      <c r="AG65" s="50">
        <f t="shared" si="219"/>
        <v>1095500</v>
      </c>
      <c r="AH65" s="50">
        <f t="shared" si="219"/>
        <v>649900</v>
      </c>
      <c r="AI65" s="50">
        <f t="shared" si="219"/>
        <v>843500</v>
      </c>
      <c r="AJ65" s="50">
        <f t="shared" si="219"/>
        <v>733900</v>
      </c>
      <c r="AK65" s="50">
        <f>AK68*AK53*1000</f>
        <v>1054697.7530422374</v>
      </c>
      <c r="AL65" s="50">
        <f t="shared" ref="AL65:BD65" si="220">AL68*AL53*1000</f>
        <v>664409.28798380354</v>
      </c>
      <c r="AM65" s="50">
        <f t="shared" si="220"/>
        <v>810889.83427987515</v>
      </c>
      <c r="AN65" s="50">
        <f t="shared" si="220"/>
        <v>826917.50588279078</v>
      </c>
      <c r="AO65" s="50">
        <f t="shared" si="220"/>
        <v>1166110.3313876488</v>
      </c>
      <c r="AP65" s="50">
        <f t="shared" si="220"/>
        <v>743945.17710111151</v>
      </c>
      <c r="AQ65" s="50">
        <f t="shared" si="220"/>
        <v>852158.07526506635</v>
      </c>
      <c r="AR65" s="50">
        <f t="shared" si="220"/>
        <v>1011872.6812445644</v>
      </c>
      <c r="AS65" s="50">
        <f t="shared" si="220"/>
        <v>1421706.8043917718</v>
      </c>
      <c r="AT65" s="50">
        <f t="shared" si="220"/>
        <v>915505.0160119622</v>
      </c>
      <c r="AU65" s="50">
        <f t="shared" si="220"/>
        <v>983553.8033305821</v>
      </c>
      <c r="AV65" s="50">
        <f t="shared" si="220"/>
        <v>1351032.7958261191</v>
      </c>
      <c r="AW65" s="50">
        <f t="shared" si="220"/>
        <v>1879823.4976843055</v>
      </c>
      <c r="AX65" s="50">
        <f t="shared" si="220"/>
        <v>1218077.208783099</v>
      </c>
      <c r="AY65" s="50">
        <f t="shared" si="220"/>
        <v>1225593.8429335423</v>
      </c>
      <c r="AZ65" s="50">
        <f t="shared" si="220"/>
        <v>1938439.2316046089</v>
      </c>
      <c r="BA65" s="50">
        <f t="shared" si="220"/>
        <v>2668432.5023979926</v>
      </c>
      <c r="BB65" s="50">
        <f t="shared" si="220"/>
        <v>1734865.977933926</v>
      </c>
      <c r="BC65" s="50">
        <f t="shared" si="220"/>
        <v>1632016.1440843104</v>
      </c>
      <c r="BD65" s="50">
        <f t="shared" si="220"/>
        <v>2961211.2318219296</v>
      </c>
    </row>
    <row r="66" spans="2:56" x14ac:dyDescent="0.15">
      <c r="B66" s="98" t="s">
        <v>261</v>
      </c>
      <c r="C66" s="45"/>
      <c r="D66" s="45"/>
      <c r="E66" s="46" t="s">
        <v>36</v>
      </c>
      <c r="F66" s="103"/>
      <c r="G66" s="104">
        <f>(G65-F65)/F65</f>
        <v>-0.65763656121340131</v>
      </c>
      <c r="H66" s="104">
        <f t="shared" ref="H66:O66" si="221">(H65-G65)/G65</f>
        <v>-0.3484286289060754</v>
      </c>
      <c r="I66" s="104">
        <f t="shared" si="221"/>
        <v>1.3536192109777014</v>
      </c>
      <c r="J66" s="104">
        <f t="shared" si="221"/>
        <v>-3.1366604477611942E-2</v>
      </c>
      <c r="K66" s="104">
        <f t="shared" si="221"/>
        <v>1.0266757309710774E-2</v>
      </c>
      <c r="L66" s="104">
        <f t="shared" si="221"/>
        <v>0.12427242295704913</v>
      </c>
      <c r="M66" s="104">
        <f t="shared" si="221"/>
        <v>0.23786211854445441</v>
      </c>
      <c r="N66" s="104">
        <f t="shared" si="221"/>
        <v>0.3403690011083001</v>
      </c>
      <c r="O66" s="104">
        <f t="shared" si="221"/>
        <v>0.43670089318534372</v>
      </c>
      <c r="P66" s="105"/>
      <c r="Q66" s="106"/>
      <c r="R66" s="104">
        <f t="shared" ref="R66" si="222">(R65-Q65)/Q65</f>
        <v>0.22037519193537619</v>
      </c>
      <c r="S66" s="104">
        <f t="shared" ref="S66" si="223">(S65-R65)/R65</f>
        <v>-0.44091903719912473</v>
      </c>
      <c r="T66" s="104">
        <f t="shared" ref="T66" si="224">(T65-S65)/S65</f>
        <v>1.138747553816047</v>
      </c>
      <c r="U66" s="104">
        <f t="shared" ref="U66" si="225">(U65-T65)/T65</f>
        <v>-0.55814804648183736</v>
      </c>
      <c r="V66" s="104">
        <f t="shared" ref="V66" si="226">(V65-U65)/U65</f>
        <v>-0.36197970594325946</v>
      </c>
      <c r="W66" s="104">
        <f t="shared" ref="W66" si="227">(W65-V65)/V65</f>
        <v>-0.43833171048360919</v>
      </c>
      <c r="X66" s="104">
        <f t="shared" ref="X66" si="228">(X65-W65)/W65</f>
        <v>-0.10777232013868825</v>
      </c>
      <c r="Y66" s="104">
        <f t="shared" ref="Y66" si="229">(Y65-X65)/X65</f>
        <v>0.17130829015544041</v>
      </c>
      <c r="Z66" s="104">
        <f t="shared" ref="Z66" si="230">(Z65-Y65)/Y65</f>
        <v>-2.571191595244678E-2</v>
      </c>
      <c r="AA66" s="104">
        <f t="shared" ref="AA66" si="231">(AA65-Z65)/Z65</f>
        <v>-0.22105561861520998</v>
      </c>
      <c r="AB66" s="104">
        <f t="shared" ref="AB66" si="232">(AB65-AA65)/AA65</f>
        <v>0.70819672131147537</v>
      </c>
      <c r="AC66" s="104">
        <f t="shared" ref="AC66" si="233">(AC65-AB65)/AB65</f>
        <v>0.99445510769886969</v>
      </c>
      <c r="AD66" s="104">
        <f t="shared" ref="AD66" si="234">(AD65-AC65)/AC65</f>
        <v>-0.28913601368691189</v>
      </c>
      <c r="AE66" s="104">
        <f t="shared" ref="AE66" si="235">(AE65-AD65)/AD65</f>
        <v>-0.27301444043321299</v>
      </c>
      <c r="AF66" s="104">
        <f t="shared" ref="AF66" si="236">(AF65-AE65)/AE65</f>
        <v>1.7872956755638321</v>
      </c>
      <c r="AG66" s="104">
        <f t="shared" ref="AG66" si="237">(AG65-AF65)/AF65</f>
        <v>-0.18677158340138075</v>
      </c>
      <c r="AH66" s="104">
        <f t="shared" ref="AH66" si="238">(AH65-AG65)/AG65</f>
        <v>-0.40675490643541762</v>
      </c>
      <c r="AI66" s="104">
        <f t="shared" ref="AI66" si="239">(AI65-AH65)/AH65</f>
        <v>0.2978919833820588</v>
      </c>
      <c r="AJ66" s="104">
        <f t="shared" ref="AJ66" si="240">(AJ65-AI65)/AI65</f>
        <v>-0.12993479549496148</v>
      </c>
      <c r="AK66" s="104">
        <f t="shared" ref="AK66" si="241">(AK65-AJ65)/AJ65</f>
        <v>0.43711371173489216</v>
      </c>
      <c r="AL66" s="104">
        <f t="shared" ref="AL66" si="242">(AL65-AK65)/AK65</f>
        <v>-0.37004768800602916</v>
      </c>
      <c r="AM66" s="104">
        <f t="shared" ref="AM66" si="243">(AM65-AL65)/AL65</f>
        <v>0.2204673368437956</v>
      </c>
      <c r="AN66" s="104">
        <f t="shared" ref="AN66" si="244">(AN65-AM65)/AM65</f>
        <v>1.9765535249494495E-2</v>
      </c>
      <c r="AO66" s="104">
        <f t="shared" ref="AO66" si="245">(AO65-AN65)/AN65</f>
        <v>0.41018943617930376</v>
      </c>
      <c r="AP66" s="104">
        <f t="shared" ref="AP66" si="246">(AP65-AO65)/AO65</f>
        <v>-0.36202848300312107</v>
      </c>
      <c r="AQ66" s="104">
        <f t="shared" ref="AQ66" si="247">(AQ65-AP65)/AP65</f>
        <v>0.14545816209955395</v>
      </c>
      <c r="AR66" s="104">
        <f t="shared" ref="AR66" si="248">(AR65-AQ65)/AQ65</f>
        <v>0.18742368419124386</v>
      </c>
      <c r="AS66" s="104">
        <f t="shared" ref="AS66" si="249">(AS65-AR65)/AR65</f>
        <v>0.40502538584511172</v>
      </c>
      <c r="AT66" s="104">
        <f t="shared" ref="AT66" si="250">(AT65-AS65)/AS65</f>
        <v>-0.35605216688568259</v>
      </c>
      <c r="AU66" s="104">
        <f t="shared" ref="AU66" si="251">(AU65-AT65)/AT65</f>
        <v>7.4329234825001506E-2</v>
      </c>
      <c r="AV66" s="104">
        <f t="shared" ref="AV66" si="252">(AV65-AU65)/AU65</f>
        <v>0.37362368103417698</v>
      </c>
      <c r="AW66" s="104">
        <f t="shared" ref="AW66" si="253">(AW65-AV65)/AV65</f>
        <v>0.3913973839064695</v>
      </c>
      <c r="AX66" s="104">
        <f t="shared" ref="AX66" si="254">(AX65-AW65)/AW65</f>
        <v>-0.35202575652256218</v>
      </c>
      <c r="AY66" s="104">
        <f t="shared" ref="AY66" si="255">(AY65-AX65)/AX65</f>
        <v>6.1709012337179689E-3</v>
      </c>
      <c r="AZ66" s="104">
        <f t="shared" ref="AZ66" si="256">(AZ65-AY65)/AY65</f>
        <v>0.58163264508968371</v>
      </c>
      <c r="BA66" s="104">
        <f t="shared" ref="BA66" si="257">(BA65-AZ65)/AZ65</f>
        <v>0.37658816376157789</v>
      </c>
      <c r="BB66" s="104">
        <f t="shared" ref="BB66" si="258">(BB65-BA65)/BA65</f>
        <v>-0.34985577623759079</v>
      </c>
      <c r="BC66" s="104">
        <f t="shared" ref="BC66" si="259">(BC65-BB65)/BB65</f>
        <v>-5.9284022603348779E-2</v>
      </c>
      <c r="BD66" s="104">
        <f t="shared" ref="BD66" si="260">(BD65-BC65)/BC65</f>
        <v>0.81444971764259255</v>
      </c>
    </row>
    <row r="68" spans="2:56" x14ac:dyDescent="0.15">
      <c r="B68" s="1" t="s">
        <v>268</v>
      </c>
      <c r="E68" s="43" t="s">
        <v>269</v>
      </c>
      <c r="F68" s="50">
        <f t="shared" ref="F68:O68" si="261">AVERAGEIFS($Q68:$BD68,$Q$1:$BD$1,F1)</f>
        <v>197.11134101554183</v>
      </c>
      <c r="G68" s="50">
        <f t="shared" si="261"/>
        <v>62.841848468040965</v>
      </c>
      <c r="H68" s="50">
        <f t="shared" si="261"/>
        <v>49.822339987927293</v>
      </c>
      <c r="I68" s="50">
        <f t="shared" si="261"/>
        <v>113.09439158402574</v>
      </c>
      <c r="J68" s="50">
        <f>AVERAGEIFS($Q68:$BD68,$Q$1:$BD$1,J1)</f>
        <v>94.383433416319917</v>
      </c>
      <c r="K68" s="50">
        <f t="shared" si="261"/>
        <v>95.591772002594638</v>
      </c>
      <c r="L68" s="50">
        <f t="shared" si="261"/>
        <v>100.4292781509974</v>
      </c>
      <c r="M68" s="50">
        <f t="shared" si="261"/>
        <v>110.38098948661101</v>
      </c>
      <c r="N68" s="50">
        <f t="shared" si="261"/>
        <v>125.35089472813941</v>
      </c>
      <c r="O68" s="50">
        <f t="shared" si="261"/>
        <v>146.155425693095</v>
      </c>
      <c r="Q68" s="50">
        <f t="shared" ref="Q68:AJ68" si="262">Q65/(Q53*1000)</f>
        <v>245.55737704918033</v>
      </c>
      <c r="R68" s="50">
        <f t="shared" si="262"/>
        <v>207.72727272727272</v>
      </c>
      <c r="S68" s="50">
        <f t="shared" si="262"/>
        <v>140</v>
      </c>
      <c r="T68" s="50">
        <f t="shared" si="262"/>
        <v>195.16071428571428</v>
      </c>
      <c r="U68" s="50">
        <f t="shared" si="262"/>
        <v>104.97826086956522</v>
      </c>
      <c r="V68" s="50">
        <f t="shared" si="262"/>
        <v>68.466666666666669</v>
      </c>
      <c r="W68" s="50">
        <f t="shared" si="262"/>
        <v>40.71764705882353</v>
      </c>
      <c r="X68" s="50">
        <f t="shared" si="262"/>
        <v>37.204819277108435</v>
      </c>
      <c r="Y68" s="50">
        <f t="shared" si="262"/>
        <v>43.05952380952381</v>
      </c>
      <c r="Z68" s="50">
        <f t="shared" si="262"/>
        <v>48.273972602739725</v>
      </c>
      <c r="AA68" s="50">
        <f t="shared" si="262"/>
        <v>40.970149253731343</v>
      </c>
      <c r="AB68" s="50">
        <f t="shared" si="262"/>
        <v>66.98571428571428</v>
      </c>
      <c r="AC68" s="50">
        <f t="shared" si="262"/>
        <v>116.9</v>
      </c>
      <c r="AD68" s="50">
        <f t="shared" si="262"/>
        <v>81.073170731707322</v>
      </c>
      <c r="AE68" s="50">
        <f t="shared" si="262"/>
        <v>61.96153846153846</v>
      </c>
      <c r="AF68" s="50">
        <f t="shared" si="262"/>
        <v>192.44285714285715</v>
      </c>
      <c r="AG68" s="50">
        <f t="shared" si="262"/>
        <v>112.9381443298969</v>
      </c>
      <c r="AH68" s="50">
        <f t="shared" si="262"/>
        <v>74.701149425287355</v>
      </c>
      <c r="AI68" s="50">
        <f t="shared" si="262"/>
        <v>102.6599332428365</v>
      </c>
      <c r="AJ68" s="50">
        <f t="shared" si="262"/>
        <v>87.234506667258856</v>
      </c>
      <c r="AK68" s="50">
        <f>AG68*(1+AK69)</f>
        <v>114.80478868156901</v>
      </c>
      <c r="AL68" s="50">
        <f t="shared" ref="AL68:BD68" si="263">AH68*(1+AL69)</f>
        <v>75.95816607101699</v>
      </c>
      <c r="AM68" s="50">
        <f t="shared" si="263"/>
        <v>96.672016092557698</v>
      </c>
      <c r="AN68" s="50">
        <f t="shared" si="263"/>
        <v>94.932117165234871</v>
      </c>
      <c r="AO68" s="50">
        <f t="shared" si="263"/>
        <v>121.09699514619255</v>
      </c>
      <c r="AP68" s="50">
        <f t="shared" si="263"/>
        <v>80.006448802417538</v>
      </c>
      <c r="AQ68" s="50">
        <f t="shared" si="263"/>
        <v>94.239116903843552</v>
      </c>
      <c r="AR68" s="50">
        <f t="shared" si="263"/>
        <v>106.374551751536</v>
      </c>
      <c r="AS68" s="50">
        <f t="shared" si="263"/>
        <v>133.67947444397925</v>
      </c>
      <c r="AT68" s="50">
        <f t="shared" si="263"/>
        <v>88.003641920829153</v>
      </c>
      <c r="AU68" s="50">
        <f t="shared" si="263"/>
        <v>95.98404752823572</v>
      </c>
      <c r="AV68" s="50">
        <f t="shared" si="263"/>
        <v>123.85679405339991</v>
      </c>
      <c r="AW68" s="50">
        <f t="shared" si="263"/>
        <v>152.54952914342417</v>
      </c>
      <c r="AX68" s="50">
        <f t="shared" si="263"/>
        <v>99.86442459236352</v>
      </c>
      <c r="AY68" s="50">
        <f t="shared" si="263"/>
        <v>100.81752167668432</v>
      </c>
      <c r="AZ68" s="50">
        <f t="shared" si="263"/>
        <v>148.1721035000856</v>
      </c>
      <c r="BA68" s="50">
        <f t="shared" si="263"/>
        <v>178.83896572743905</v>
      </c>
      <c r="BB68" s="50">
        <f t="shared" si="263"/>
        <v>116.19378019055108</v>
      </c>
      <c r="BC68" s="50">
        <f t="shared" si="263"/>
        <v>108.49156340033028</v>
      </c>
      <c r="BD68" s="50">
        <f t="shared" si="263"/>
        <v>181.09739345405958</v>
      </c>
    </row>
    <row r="69" spans="2:56" x14ac:dyDescent="0.15">
      <c r="B69" s="98" t="s">
        <v>261</v>
      </c>
      <c r="C69" s="45"/>
      <c r="D69" s="45"/>
      <c r="E69" s="46" t="s">
        <v>36</v>
      </c>
      <c r="F69" s="103"/>
      <c r="G69" s="104">
        <f>(G68-F68)/F68</f>
        <v>-0.68118603351652907</v>
      </c>
      <c r="H69" s="104">
        <f t="shared" ref="H69" si="264">(H68-G68)/G68</f>
        <v>-0.20717895474915751</v>
      </c>
      <c r="I69" s="104">
        <f t="shared" ref="I69" si="265">(I68-H68)/H68</f>
        <v>1.2699534307587765</v>
      </c>
      <c r="J69" s="104">
        <f>(J68-I68)/I68</f>
        <v>-0.16544550004324612</v>
      </c>
      <c r="K69" s="104">
        <f>(K68-J68)/J68</f>
        <v>1.2802443633776368E-2</v>
      </c>
      <c r="L69" s="104">
        <f t="shared" ref="L69" si="266">(L68-K68)/K68</f>
        <v>5.0605884241495834E-2</v>
      </c>
      <c r="M69" s="104">
        <f t="shared" ref="M69" si="267">(M68-L68)/L68</f>
        <v>9.9091734191806238E-2</v>
      </c>
      <c r="N69" s="104">
        <f t="shared" ref="N69" si="268">(N68-M68)/M68</f>
        <v>0.1356203211364056</v>
      </c>
      <c r="O69" s="104">
        <f t="shared" ref="O69" si="269">(O68-N68)/N68</f>
        <v>0.16597034277319189</v>
      </c>
      <c r="P69" s="105"/>
      <c r="Q69" s="106"/>
      <c r="R69" s="104">
        <f t="shared" ref="R69" si="270">(R68-Q68)/Q68</f>
        <v>-0.15405810559025063</v>
      </c>
      <c r="S69" s="104">
        <f t="shared" ref="S69" si="271">(S68-R68)/R68</f>
        <v>-0.32603938730853388</v>
      </c>
      <c r="T69" s="104">
        <f t="shared" ref="T69" si="272">(T68-S68)/S68</f>
        <v>0.39400510204081629</v>
      </c>
      <c r="U69" s="104">
        <f t="shared" ref="U69" si="273">(U68-T68)/T68</f>
        <v>-0.46209327397788885</v>
      </c>
      <c r="V69" s="104">
        <f t="shared" ref="V69" si="274">(V68-U68)/U68</f>
        <v>-0.347801477186443</v>
      </c>
      <c r="W69" s="104">
        <f t="shared" ref="W69" si="275">(W68-V68)/V68</f>
        <v>-0.40529239933558625</v>
      </c>
      <c r="X69" s="104">
        <f t="shared" ref="X69" si="276">(X68-W68)/W68</f>
        <v>-8.6272857973355432E-2</v>
      </c>
      <c r="Y69" s="104">
        <f t="shared" ref="Y69" si="277">(Y68-X68)/X68</f>
        <v>0.15736414384406611</v>
      </c>
      <c r="Z69" s="104">
        <f t="shared" ref="Z69" si="278">(Z68-Y68)/Y68</f>
        <v>0.12109861726019819</v>
      </c>
      <c r="AA69" s="104">
        <f t="shared" ref="AA69" si="279">(AA68-Z68)/Z68</f>
        <v>-0.15129940535687059</v>
      </c>
      <c r="AB69" s="104">
        <f t="shared" ref="AB69" si="280">(AB68-AA68)/AA68</f>
        <v>0.63498829039812632</v>
      </c>
      <c r="AC69" s="104">
        <f t="shared" ref="AC69" si="281">(AC68-AB68)/AB68</f>
        <v>0.7451482192365112</v>
      </c>
      <c r="AD69" s="104">
        <f t="shared" ref="AD69" si="282">(AD68-AC68)/AC68</f>
        <v>-0.30647415969454816</v>
      </c>
      <c r="AE69" s="104">
        <f t="shared" ref="AE69" si="283">(AE68-AD68)/AD68</f>
        <v>-0.23573312968619833</v>
      </c>
      <c r="AF69" s="104">
        <f t="shared" ref="AF69" si="284">(AF68-AE68)/AE68</f>
        <v>2.1058437527711273</v>
      </c>
      <c r="AG69" s="104">
        <f t="shared" ref="AG69" si="285">(AG68-AF68)/AF68</f>
        <v>-0.41313413235151192</v>
      </c>
      <c r="AH69" s="104">
        <f t="shared" ref="AH69" si="286">(AH68-AG68)/AG68</f>
        <v>-0.3385658152210978</v>
      </c>
      <c r="AI69" s="104">
        <f t="shared" ref="AI69" si="287">(AI68-AH68)/AH68</f>
        <v>0.37427514881162882</v>
      </c>
      <c r="AJ69" s="104">
        <f t="shared" ref="AJ69" si="288">(AJ68-AI68)/AI68</f>
        <v>-0.15025751613426083</v>
      </c>
      <c r="AK69" s="126">
        <f>_xlfn.XLOOKUP('Cover Page'!$E$13,'Revenue Build'!$B70:$B72,'Revenue Build'!AK70:AK72)</f>
        <v>1.6528023926261501E-2</v>
      </c>
      <c r="AL69" s="126">
        <f>_xlfn.XLOOKUP('Cover Page'!$E$13,'Revenue Build'!$B70:$B72,'Revenue Build'!AL70:AL72)</f>
        <v>1.6827273146403865E-2</v>
      </c>
      <c r="AM69" s="126">
        <f>_xlfn.XLOOKUP('Cover Page'!$E$13,'Revenue Build'!$B70:$B72,'Revenue Build'!AM70:AM72)</f>
        <v>-5.8327693785994492E-2</v>
      </c>
      <c r="AN69" s="126">
        <f>_xlfn.XLOOKUP('Cover Page'!$E$13,'Revenue Build'!$B70:$B72,'Revenue Build'!AN70:AN72)</f>
        <v>8.8240431362066829E-2</v>
      </c>
      <c r="AO69" s="126">
        <f>_xlfn.XLOOKUP('Cover Page'!$E$13,'Revenue Build'!$B70:$B72,'Revenue Build'!AO70:AO72)</f>
        <v>5.4807874626868223E-2</v>
      </c>
      <c r="AP69" s="126">
        <f>_xlfn.XLOOKUP('Cover Page'!$E$13,'Revenue Build'!$B70:$B72,'Revenue Build'!AP70:AP72)</f>
        <v>5.3296214756101502E-2</v>
      </c>
      <c r="AQ69" s="126">
        <f>_xlfn.XLOOKUP('Cover Page'!$E$13,'Revenue Build'!$B70:$B72,'Revenue Build'!AQ70:AQ72)</f>
        <v>-2.5166529954074632E-2</v>
      </c>
      <c r="AR69" s="126">
        <f>_xlfn.XLOOKUP('Cover Page'!$E$13,'Revenue Build'!$B70:$B72,'Revenue Build'!AR70:AR72)</f>
        <v>0.1205328073151988</v>
      </c>
      <c r="AS69" s="126">
        <f>_xlfn.XLOOKUP('Cover Page'!$E$13,'Revenue Build'!$B70:$B72,'Revenue Build'!AS70:AS72)</f>
        <v>0.10390414132569242</v>
      </c>
      <c r="AT69" s="126">
        <f>_xlfn.XLOOKUP('Cover Page'!$E$13,'Revenue Build'!$B70:$B72,'Revenue Build'!AT70:AT72)</f>
        <v>9.9956856454925691E-2</v>
      </c>
      <c r="AU69" s="126">
        <f>_xlfn.XLOOKUP('Cover Page'!$E$13,'Revenue Build'!$B70:$B72,'Revenue Build'!AU70:AU72)</f>
        <v>1.8515990829716888E-2</v>
      </c>
      <c r="AV69" s="126">
        <f>_xlfn.XLOOKUP('Cover Page'!$E$13,'Revenue Build'!$B70:$B72,'Revenue Build'!AV70:AV72)</f>
        <v>0.16434609607284653</v>
      </c>
      <c r="AW69" s="126">
        <f>_xlfn.XLOOKUP('Cover Page'!$E$13,'Revenue Build'!$B70:$B72,'Revenue Build'!AW70:AW72)</f>
        <v>0.14115895336911086</v>
      </c>
      <c r="AX69" s="126">
        <f>_xlfn.XLOOKUP('Cover Page'!$E$13,'Revenue Build'!$B70:$B72,'Revenue Build'!AX70:AX72)</f>
        <v>0.13477604349834413</v>
      </c>
      <c r="AY69" s="126">
        <f>_xlfn.XLOOKUP('Cover Page'!$E$13,'Revenue Build'!$B70:$B72,'Revenue Build'!AY70:AY72)</f>
        <v>5.035705695810265E-2</v>
      </c>
      <c r="AZ69" s="126">
        <f>_xlfn.XLOOKUP('Cover Page'!$E$13,'Revenue Build'!$B70:$B72,'Revenue Build'!AZ70:AZ72)</f>
        <v>0.1963179301750885</v>
      </c>
      <c r="BA69" s="126">
        <f>_xlfn.XLOOKUP('Cover Page'!$E$13,'Revenue Build'!$B70:$B72,'Revenue Build'!BA70:BA72)</f>
        <v>0.17233377730912602</v>
      </c>
      <c r="BB69" s="126">
        <f>_xlfn.XLOOKUP('Cover Page'!$E$13,'Revenue Build'!$B70:$B72,'Revenue Build'!BB70:BB72)</f>
        <v>0.1635152424383593</v>
      </c>
      <c r="BC69" s="126">
        <f>_xlfn.XLOOKUP('Cover Page'!$E$13,'Revenue Build'!$B70:$B72,'Revenue Build'!BC70:BC72)</f>
        <v>7.6118134983085145E-2</v>
      </c>
      <c r="BD69" s="126">
        <f>_xlfn.XLOOKUP('Cover Page'!$E$13,'Revenue Build'!$B70:$B72,'Revenue Build'!BD70:BD72)</f>
        <v>0.2222097761739272</v>
      </c>
    </row>
    <row r="70" spans="2:56" x14ac:dyDescent="0.15">
      <c r="B70" s="1" t="s">
        <v>262</v>
      </c>
      <c r="D70" s="102">
        <v>0.05</v>
      </c>
      <c r="E70" s="43" t="s">
        <v>36</v>
      </c>
      <c r="AK70" s="101">
        <f t="shared" ref="AK70" si="289">AK71+$D70</f>
        <v>6.6528023926261504E-2</v>
      </c>
      <c r="AL70" s="101">
        <f t="shared" ref="AL70" si="290">AL71+$D70</f>
        <v>6.6827273146403868E-2</v>
      </c>
      <c r="AM70" s="101">
        <f t="shared" ref="AM70" si="291">AM71+$D70</f>
        <v>-8.3276937859944888E-3</v>
      </c>
      <c r="AN70" s="101">
        <f t="shared" ref="AN70" si="292">AN71+$D70</f>
        <v>0.13824043136206682</v>
      </c>
      <c r="AO70" s="101">
        <f t="shared" ref="AO70" si="293">AO71+$D70</f>
        <v>0.10480787462686822</v>
      </c>
      <c r="AP70" s="101">
        <f t="shared" ref="AP70" si="294">AP71+$D70</f>
        <v>0.10329621475610151</v>
      </c>
      <c r="AQ70" s="101">
        <f t="shared" ref="AQ70" si="295">AQ71+$D70</f>
        <v>2.4833470045925371E-2</v>
      </c>
      <c r="AR70" s="101">
        <f t="shared" ref="AR70" si="296">AR71+$D70</f>
        <v>0.17053280731519882</v>
      </c>
      <c r="AS70" s="101">
        <f t="shared" ref="AS70" si="297">AS71+$D70</f>
        <v>0.15390414132569241</v>
      </c>
      <c r="AT70" s="101">
        <f t="shared" ref="AT70" si="298">AT71+$D70</f>
        <v>0.14995685645492568</v>
      </c>
      <c r="AU70" s="101">
        <f t="shared" ref="AU70" si="299">AU71+$D70</f>
        <v>6.8515990829716891E-2</v>
      </c>
      <c r="AV70" s="101">
        <f t="shared" ref="AV70" si="300">AV71+$D70</f>
        <v>0.21434609607284655</v>
      </c>
      <c r="AW70" s="101">
        <f t="shared" ref="AW70" si="301">AW71+$D70</f>
        <v>0.19115895336911087</v>
      </c>
      <c r="AX70" s="101">
        <f t="shared" ref="AX70" si="302">AX71+$D70</f>
        <v>0.18477604349834414</v>
      </c>
      <c r="AY70" s="101">
        <f t="shared" ref="AY70" si="303">AY71+$D70</f>
        <v>0.10035705695810265</v>
      </c>
      <c r="AZ70" s="101">
        <f t="shared" ref="AZ70" si="304">AZ71+$D70</f>
        <v>0.24631793017508852</v>
      </c>
      <c r="BA70" s="101">
        <f t="shared" ref="BA70" si="305">BA71+$D70</f>
        <v>0.22233377730912601</v>
      </c>
      <c r="BB70" s="101">
        <f t="shared" ref="BB70" si="306">BB71+$D70</f>
        <v>0.21351524243835929</v>
      </c>
      <c r="BC70" s="101">
        <f t="shared" ref="BC70" si="307">BC71+$D70</f>
        <v>0.12611813498308516</v>
      </c>
      <c r="BD70" s="101">
        <f t="shared" ref="BD70" si="308">BD71+$D70</f>
        <v>0.27220977617392722</v>
      </c>
    </row>
    <row r="71" spans="2:56" x14ac:dyDescent="0.15">
      <c r="B71" s="1" t="s">
        <v>15</v>
      </c>
      <c r="D71" s="102">
        <v>7.4999999999999997E-2</v>
      </c>
      <c r="E71" s="43" t="s">
        <v>36</v>
      </c>
      <c r="AK71" s="101">
        <f>MEDIAN(U69,Y69,AC69,AG69)+AK40+$D71</f>
        <v>1.6528023926261501E-2</v>
      </c>
      <c r="AL71" s="101">
        <f>MEDIAN(V69,Z69,AD69,AH69)+AL40+$D71+$D$62</f>
        <v>1.6827273146403865E-2</v>
      </c>
      <c r="AM71" s="101">
        <f>MEDIAN(W69,AA69,AE69,AI69)+AM40+$D71</f>
        <v>-5.8327693785994492E-2</v>
      </c>
      <c r="AN71" s="101">
        <f>MEDIAN(X69,AB69,AF69,AJ69)+AN40+$D71+$D$63</f>
        <v>8.8240431362066829E-2</v>
      </c>
      <c r="AO71" s="101">
        <f t="shared" ref="AO71:BD71" si="309">AK71+AO40</f>
        <v>5.4807874626868223E-2</v>
      </c>
      <c r="AP71" s="101">
        <f t="shared" si="309"/>
        <v>5.3296214756101502E-2</v>
      </c>
      <c r="AQ71" s="101">
        <f t="shared" si="309"/>
        <v>-2.5166529954074632E-2</v>
      </c>
      <c r="AR71" s="101">
        <f t="shared" si="309"/>
        <v>0.1205328073151988</v>
      </c>
      <c r="AS71" s="101">
        <f t="shared" si="309"/>
        <v>0.10390414132569242</v>
      </c>
      <c r="AT71" s="101">
        <f t="shared" si="309"/>
        <v>9.9956856454925691E-2</v>
      </c>
      <c r="AU71" s="101">
        <f t="shared" si="309"/>
        <v>1.8515990829716888E-2</v>
      </c>
      <c r="AV71" s="101">
        <f t="shared" si="309"/>
        <v>0.16434609607284653</v>
      </c>
      <c r="AW71" s="101">
        <f t="shared" si="309"/>
        <v>0.14115895336911086</v>
      </c>
      <c r="AX71" s="101">
        <f t="shared" si="309"/>
        <v>0.13477604349834413</v>
      </c>
      <c r="AY71" s="101">
        <f t="shared" si="309"/>
        <v>5.035705695810265E-2</v>
      </c>
      <c r="AZ71" s="101">
        <f t="shared" si="309"/>
        <v>0.1963179301750885</v>
      </c>
      <c r="BA71" s="101">
        <f t="shared" si="309"/>
        <v>0.17233377730912602</v>
      </c>
      <c r="BB71" s="101">
        <f t="shared" si="309"/>
        <v>0.1635152424383593</v>
      </c>
      <c r="BC71" s="101">
        <f t="shared" si="309"/>
        <v>7.6118134983085145E-2</v>
      </c>
      <c r="BD71" s="101">
        <f t="shared" si="309"/>
        <v>0.2222097761739272</v>
      </c>
    </row>
    <row r="72" spans="2:56" x14ac:dyDescent="0.15">
      <c r="B72" s="1" t="s">
        <v>263</v>
      </c>
      <c r="D72" s="102">
        <v>-0.05</v>
      </c>
      <c r="E72" s="43" t="s">
        <v>36</v>
      </c>
      <c r="AK72" s="101">
        <f t="shared" ref="AK72" si="310">AK71+$D72</f>
        <v>-3.3471976073738502E-2</v>
      </c>
      <c r="AL72" s="101">
        <f t="shared" ref="AL72" si="311">AL71+$D72</f>
        <v>-3.3172726853596138E-2</v>
      </c>
      <c r="AM72" s="101">
        <f t="shared" ref="AM72" si="312">AM71+$D72</f>
        <v>-0.10832769378599449</v>
      </c>
      <c r="AN72" s="101">
        <f t="shared" ref="AN72" si="313">AN71+$D72</f>
        <v>3.8240431362066826E-2</v>
      </c>
      <c r="AO72" s="101">
        <f t="shared" ref="AO72" si="314">AO71+$D72</f>
        <v>4.8078746268682207E-3</v>
      </c>
      <c r="AP72" s="101">
        <f t="shared" ref="AP72" si="315">AP71+$D72</f>
        <v>3.2962147561014996E-3</v>
      </c>
      <c r="AQ72" s="101">
        <f t="shared" ref="AQ72" si="316">AQ71+$D72</f>
        <v>-7.5166529954074635E-2</v>
      </c>
      <c r="AR72" s="101">
        <f t="shared" ref="AR72" si="317">AR71+$D72</f>
        <v>7.0532807315198801E-2</v>
      </c>
      <c r="AS72" s="101">
        <f t="shared" ref="AS72" si="318">AS71+$D72</f>
        <v>5.390414132569242E-2</v>
      </c>
      <c r="AT72" s="101">
        <f t="shared" ref="AT72" si="319">AT71+$D72</f>
        <v>4.9956856454925688E-2</v>
      </c>
      <c r="AU72" s="101">
        <f t="shared" ref="AU72" si="320">AU71+$D72</f>
        <v>-3.1484009170283114E-2</v>
      </c>
      <c r="AV72" s="101">
        <f t="shared" ref="AV72" si="321">AV71+$D72</f>
        <v>0.11434609607284653</v>
      </c>
      <c r="AW72" s="101">
        <f t="shared" ref="AW72" si="322">AW71+$D72</f>
        <v>9.1158953369110854E-2</v>
      </c>
      <c r="AX72" s="101">
        <f t="shared" ref="AX72" si="323">AX71+$D72</f>
        <v>8.4776043498344125E-2</v>
      </c>
      <c r="AY72" s="101">
        <f t="shared" ref="AY72" si="324">AY71+$D72</f>
        <v>3.5705695810264726E-4</v>
      </c>
      <c r="AZ72" s="101">
        <f t="shared" ref="AZ72" si="325">AZ71+$D72</f>
        <v>0.14631793017508848</v>
      </c>
      <c r="BA72" s="101">
        <f t="shared" ref="BA72" si="326">BA71+$D72</f>
        <v>0.12233377730912602</v>
      </c>
      <c r="BB72" s="101">
        <f t="shared" ref="BB72" si="327">BB71+$D72</f>
        <v>0.1135152424383593</v>
      </c>
      <c r="BC72" s="101">
        <f t="shared" ref="BC72" si="328">BC71+$D72</f>
        <v>2.6118134983085142E-2</v>
      </c>
      <c r="BD72" s="101">
        <f t="shared" ref="BD72" si="329">BD71+$D72</f>
        <v>0.17220977617392719</v>
      </c>
    </row>
    <row r="74" spans="2:56" x14ac:dyDescent="0.15">
      <c r="B74" s="1" t="s">
        <v>270</v>
      </c>
      <c r="E74" s="43" t="s">
        <v>271</v>
      </c>
      <c r="F74" s="50">
        <f t="shared" ref="F74:O74" si="330">SUMIFS($Q74:$BD74,$Q$1:$BD$1,F$1)</f>
        <v>460</v>
      </c>
      <c r="G74" s="50">
        <f t="shared" si="330"/>
        <v>166</v>
      </c>
      <c r="H74" s="50">
        <f t="shared" si="330"/>
        <v>75</v>
      </c>
      <c r="I74" s="50">
        <f t="shared" si="330"/>
        <v>221</v>
      </c>
      <c r="J74" s="50">
        <f t="shared" si="330"/>
        <v>236</v>
      </c>
      <c r="K74" s="50">
        <f t="shared" si="330"/>
        <v>244.48305667668359</v>
      </c>
      <c r="L74" s="50">
        <f t="shared" si="330"/>
        <v>294.54409990523868</v>
      </c>
      <c r="M74" s="50">
        <f t="shared" si="330"/>
        <v>408.1184881643988</v>
      </c>
      <c r="N74" s="50">
        <f t="shared" si="330"/>
        <v>627.14394984811099</v>
      </c>
      <c r="O74" s="50">
        <f t="shared" si="330"/>
        <v>1027.6259445506523</v>
      </c>
      <c r="Q74" s="50">
        <v>120</v>
      </c>
      <c r="R74" s="50">
        <v>145</v>
      </c>
      <c r="S74" s="50">
        <v>75</v>
      </c>
      <c r="T74" s="50">
        <v>120</v>
      </c>
      <c r="U74" s="50">
        <v>74</v>
      </c>
      <c r="V74" s="50">
        <v>46</v>
      </c>
      <c r="W74" s="50">
        <v>26</v>
      </c>
      <c r="X74" s="50">
        <v>20</v>
      </c>
      <c r="Y74" s="50">
        <v>21</v>
      </c>
      <c r="Z74" s="50">
        <v>14</v>
      </c>
      <c r="AA74" s="50">
        <v>11</v>
      </c>
      <c r="AB74" s="50">
        <v>29</v>
      </c>
      <c r="AC74" s="50">
        <v>56</v>
      </c>
      <c r="AD74" s="50">
        <v>37</v>
      </c>
      <c r="AE74" s="50">
        <v>34</v>
      </c>
      <c r="AF74" s="50">
        <v>94</v>
      </c>
      <c r="AG74" s="50">
        <v>78</v>
      </c>
      <c r="AH74" s="50">
        <v>43</v>
      </c>
      <c r="AI74" s="50">
        <v>59</v>
      </c>
      <c r="AJ74" s="50">
        <v>56</v>
      </c>
      <c r="AK74" s="50">
        <f t="shared" ref="AK74:BD74" si="331">AG74*(1+AK75)</f>
        <v>70.971702127659569</v>
      </c>
      <c r="AL74" s="50">
        <f t="shared" si="331"/>
        <v>26.280222007722006</v>
      </c>
      <c r="AM74" s="50">
        <f t="shared" si="331"/>
        <v>48.516679536679533</v>
      </c>
      <c r="AN74" s="50">
        <f t="shared" si="331"/>
        <v>98.714453004622499</v>
      </c>
      <c r="AO74" s="50">
        <f t="shared" si="331"/>
        <v>64.576698755092792</v>
      </c>
      <c r="AP74" s="50">
        <f t="shared" si="331"/>
        <v>16.06162950639898</v>
      </c>
      <c r="AQ74" s="50">
        <f t="shared" si="331"/>
        <v>39.896071072285743</v>
      </c>
      <c r="AR74" s="50">
        <f t="shared" si="331"/>
        <v>174.00970057146114</v>
      </c>
      <c r="AS74" s="50">
        <f t="shared" si="331"/>
        <v>58.757926005564748</v>
      </c>
      <c r="AT74" s="50">
        <f t="shared" si="331"/>
        <v>9.8163532379986886</v>
      </c>
      <c r="AU74" s="50">
        <f t="shared" si="331"/>
        <v>32.807201609943696</v>
      </c>
      <c r="AV74" s="50">
        <f t="shared" si="331"/>
        <v>306.73700731089167</v>
      </c>
      <c r="AW74" s="50">
        <f t="shared" si="331"/>
        <v>53.463461821871839</v>
      </c>
      <c r="AX74" s="50">
        <f t="shared" si="331"/>
        <v>5.9994405209494488</v>
      </c>
      <c r="AY74" s="50">
        <f t="shared" si="331"/>
        <v>26.977906559404666</v>
      </c>
      <c r="AZ74" s="50">
        <f t="shared" si="331"/>
        <v>540.70314094588502</v>
      </c>
      <c r="BA74" s="50">
        <f t="shared" si="331"/>
        <v>48.646062655581893</v>
      </c>
      <c r="BB74" s="50">
        <f t="shared" si="331"/>
        <v>3.6666657863412762</v>
      </c>
      <c r="BC74" s="50">
        <f t="shared" si="331"/>
        <v>22.184380459544425</v>
      </c>
      <c r="BD74" s="50">
        <f t="shared" si="331"/>
        <v>953.12883564918468</v>
      </c>
    </row>
    <row r="75" spans="2:56" x14ac:dyDescent="0.15">
      <c r="B75" s="98" t="s">
        <v>261</v>
      </c>
      <c r="C75" s="45"/>
      <c r="D75" s="45"/>
      <c r="E75" s="46" t="s">
        <v>36</v>
      </c>
      <c r="F75" s="103"/>
      <c r="G75" s="104">
        <f t="shared" ref="G75:O75" si="332">(G74-F74)/F74</f>
        <v>-0.63913043478260867</v>
      </c>
      <c r="H75" s="104">
        <f t="shared" si="332"/>
        <v>-0.54819277108433739</v>
      </c>
      <c r="I75" s="104">
        <f t="shared" si="332"/>
        <v>1.9466666666666668</v>
      </c>
      <c r="J75" s="104">
        <f t="shared" si="332"/>
        <v>6.7873303167420809E-2</v>
      </c>
      <c r="K75" s="104">
        <f t="shared" si="332"/>
        <v>3.5945155409676223E-2</v>
      </c>
      <c r="L75" s="104">
        <f t="shared" si="332"/>
        <v>0.20476283268479531</v>
      </c>
      <c r="M75" s="104">
        <f t="shared" si="332"/>
        <v>0.38559383228419614</v>
      </c>
      <c r="N75" s="104">
        <f t="shared" si="332"/>
        <v>0.53667125610708444</v>
      </c>
      <c r="O75" s="104">
        <f t="shared" si="332"/>
        <v>0.63858065568444811</v>
      </c>
      <c r="P75" s="105"/>
      <c r="Q75" s="106"/>
      <c r="R75" s="104">
        <f t="shared" ref="R75:AJ75" si="333">(R74-Q74)/Q74</f>
        <v>0.20833333333333334</v>
      </c>
      <c r="S75" s="104">
        <f t="shared" si="333"/>
        <v>-0.48275862068965519</v>
      </c>
      <c r="T75" s="104">
        <f t="shared" si="333"/>
        <v>0.6</v>
      </c>
      <c r="U75" s="104">
        <f t="shared" si="333"/>
        <v>-0.38333333333333336</v>
      </c>
      <c r="V75" s="104">
        <f t="shared" si="333"/>
        <v>-0.3783783783783784</v>
      </c>
      <c r="W75" s="104">
        <f t="shared" si="333"/>
        <v>-0.43478260869565216</v>
      </c>
      <c r="X75" s="104">
        <f t="shared" si="333"/>
        <v>-0.23076923076923078</v>
      </c>
      <c r="Y75" s="104">
        <f t="shared" si="333"/>
        <v>0.05</v>
      </c>
      <c r="Z75" s="104">
        <f t="shared" si="333"/>
        <v>-0.33333333333333331</v>
      </c>
      <c r="AA75" s="104">
        <f t="shared" si="333"/>
        <v>-0.21428571428571427</v>
      </c>
      <c r="AB75" s="104">
        <f t="shared" si="333"/>
        <v>1.6363636363636365</v>
      </c>
      <c r="AC75" s="104">
        <f t="shared" si="333"/>
        <v>0.93103448275862066</v>
      </c>
      <c r="AD75" s="104">
        <f t="shared" si="333"/>
        <v>-0.3392857142857143</v>
      </c>
      <c r="AE75" s="104">
        <f t="shared" si="333"/>
        <v>-8.1081081081081086E-2</v>
      </c>
      <c r="AF75" s="104">
        <f t="shared" si="333"/>
        <v>1.7647058823529411</v>
      </c>
      <c r="AG75" s="104">
        <f t="shared" si="333"/>
        <v>-0.1702127659574468</v>
      </c>
      <c r="AH75" s="104">
        <f t="shared" si="333"/>
        <v>-0.44871794871794873</v>
      </c>
      <c r="AI75" s="104">
        <f t="shared" si="333"/>
        <v>0.37209302325581395</v>
      </c>
      <c r="AJ75" s="104">
        <f t="shared" si="333"/>
        <v>-5.0847457627118647E-2</v>
      </c>
      <c r="AK75" s="126">
        <f>_xlfn.XLOOKUP('Cover Page'!$E$13,'Revenue Build'!$B76:$B78,'Revenue Build'!AK76:AK78)</f>
        <v>-9.0106382978723393E-2</v>
      </c>
      <c r="AL75" s="126">
        <f>_xlfn.XLOOKUP('Cover Page'!$E$13,'Revenue Build'!$B76:$B78,'Revenue Build'!AL76:AL78)</f>
        <v>-0.38883204633204638</v>
      </c>
      <c r="AM75" s="126">
        <f>_xlfn.XLOOKUP('Cover Page'!$E$13,'Revenue Build'!$B76:$B78,'Revenue Build'!AM76:AM78)</f>
        <v>-0.17768339768339766</v>
      </c>
      <c r="AN75" s="126">
        <f>_xlfn.XLOOKUP('Cover Page'!$E$13,'Revenue Build'!$B76:$B78,'Revenue Build'!AN76:AN78)</f>
        <v>0.76275808936825895</v>
      </c>
      <c r="AO75" s="126">
        <f>_xlfn.XLOOKUP('Cover Page'!$E$13,'Revenue Build'!$B76:$B78,'Revenue Build'!AO76:AO78)</f>
        <v>-9.0106382978723393E-2</v>
      </c>
      <c r="AP75" s="126">
        <f>_xlfn.XLOOKUP('Cover Page'!$E$13,'Revenue Build'!$B76:$B78,'Revenue Build'!AP76:AP78)</f>
        <v>-0.38883204633204638</v>
      </c>
      <c r="AQ75" s="126">
        <f>_xlfn.XLOOKUP('Cover Page'!$E$13,'Revenue Build'!$B76:$B78,'Revenue Build'!AQ76:AQ78)</f>
        <v>-0.17768339768339766</v>
      </c>
      <c r="AR75" s="126">
        <f>_xlfn.XLOOKUP('Cover Page'!$E$13,'Revenue Build'!$B76:$B78,'Revenue Build'!AR76:AR78)</f>
        <v>0.76275808936825895</v>
      </c>
      <c r="AS75" s="126">
        <f>_xlfn.XLOOKUP('Cover Page'!$E$13,'Revenue Build'!$B76:$B78,'Revenue Build'!AS76:AS78)</f>
        <v>-9.0106382978723393E-2</v>
      </c>
      <c r="AT75" s="126">
        <f>_xlfn.XLOOKUP('Cover Page'!$E$13,'Revenue Build'!$B76:$B78,'Revenue Build'!AT76:AT78)</f>
        <v>-0.38883204633204638</v>
      </c>
      <c r="AU75" s="126">
        <f>_xlfn.XLOOKUP('Cover Page'!$E$13,'Revenue Build'!$B76:$B78,'Revenue Build'!AU76:AU78)</f>
        <v>-0.17768339768339766</v>
      </c>
      <c r="AV75" s="126">
        <f>_xlfn.XLOOKUP('Cover Page'!$E$13,'Revenue Build'!$B76:$B78,'Revenue Build'!AV76:AV78)</f>
        <v>0.76275808936825895</v>
      </c>
      <c r="AW75" s="126">
        <f>_xlfn.XLOOKUP('Cover Page'!$E$13,'Revenue Build'!$B76:$B78,'Revenue Build'!AW76:AW78)</f>
        <v>-9.0106382978723393E-2</v>
      </c>
      <c r="AX75" s="126">
        <f>_xlfn.XLOOKUP('Cover Page'!$E$13,'Revenue Build'!$B76:$B78,'Revenue Build'!AX76:AX78)</f>
        <v>-0.38883204633204638</v>
      </c>
      <c r="AY75" s="126">
        <f>_xlfn.XLOOKUP('Cover Page'!$E$13,'Revenue Build'!$B76:$B78,'Revenue Build'!AY76:AY78)</f>
        <v>-0.17768339768339766</v>
      </c>
      <c r="AZ75" s="126">
        <f>_xlfn.XLOOKUP('Cover Page'!$E$13,'Revenue Build'!$B76:$B78,'Revenue Build'!AZ76:AZ78)</f>
        <v>0.76275808936825895</v>
      </c>
      <c r="BA75" s="126">
        <f>_xlfn.XLOOKUP('Cover Page'!$E$13,'Revenue Build'!$B76:$B78,'Revenue Build'!BA76:BA78)</f>
        <v>-9.0106382978723393E-2</v>
      </c>
      <c r="BB75" s="126">
        <f>_xlfn.XLOOKUP('Cover Page'!$E$13,'Revenue Build'!$B76:$B78,'Revenue Build'!BB76:BB78)</f>
        <v>-0.38883204633204638</v>
      </c>
      <c r="BC75" s="126">
        <f>_xlfn.XLOOKUP('Cover Page'!$E$13,'Revenue Build'!$B76:$B78,'Revenue Build'!BC76:BC78)</f>
        <v>-0.17768339768339766</v>
      </c>
      <c r="BD75" s="126">
        <f>_xlfn.XLOOKUP('Cover Page'!$E$13,'Revenue Build'!$B76:$B78,'Revenue Build'!BD76:BD78)</f>
        <v>0.76275808936825895</v>
      </c>
    </row>
    <row r="76" spans="2:56" x14ac:dyDescent="0.15">
      <c r="B76" s="1" t="s">
        <v>262</v>
      </c>
      <c r="D76" s="102">
        <v>0.05</v>
      </c>
      <c r="E76" s="43" t="s">
        <v>36</v>
      </c>
      <c r="AK76" s="101">
        <f t="shared" ref="AK76:BD76" si="334">AK77+$D76</f>
        <v>-4.010638297872339E-2</v>
      </c>
      <c r="AL76" s="101">
        <f t="shared" si="334"/>
        <v>-0.33883204633204639</v>
      </c>
      <c r="AM76" s="101">
        <f t="shared" si="334"/>
        <v>-0.12768339768339765</v>
      </c>
      <c r="AN76" s="101">
        <f t="shared" si="334"/>
        <v>0.812758089368259</v>
      </c>
      <c r="AO76" s="101">
        <f t="shared" si="334"/>
        <v>-4.010638297872339E-2</v>
      </c>
      <c r="AP76" s="101">
        <f t="shared" si="334"/>
        <v>-0.33883204633204639</v>
      </c>
      <c r="AQ76" s="101">
        <f t="shared" si="334"/>
        <v>-0.12768339768339765</v>
      </c>
      <c r="AR76" s="101">
        <f t="shared" si="334"/>
        <v>0.812758089368259</v>
      </c>
      <c r="AS76" s="101">
        <f t="shared" si="334"/>
        <v>-4.010638297872339E-2</v>
      </c>
      <c r="AT76" s="101">
        <f t="shared" si="334"/>
        <v>-0.33883204633204639</v>
      </c>
      <c r="AU76" s="101">
        <f t="shared" si="334"/>
        <v>-0.12768339768339765</v>
      </c>
      <c r="AV76" s="101">
        <f t="shared" si="334"/>
        <v>0.812758089368259</v>
      </c>
      <c r="AW76" s="101">
        <f t="shared" si="334"/>
        <v>-4.010638297872339E-2</v>
      </c>
      <c r="AX76" s="101">
        <f t="shared" si="334"/>
        <v>-0.33883204633204639</v>
      </c>
      <c r="AY76" s="101">
        <f t="shared" si="334"/>
        <v>-0.12768339768339765</v>
      </c>
      <c r="AZ76" s="101">
        <f t="shared" si="334"/>
        <v>0.812758089368259</v>
      </c>
      <c r="BA76" s="101">
        <f t="shared" si="334"/>
        <v>-4.010638297872339E-2</v>
      </c>
      <c r="BB76" s="101">
        <f t="shared" si="334"/>
        <v>-0.33883204633204639</v>
      </c>
      <c r="BC76" s="101">
        <f t="shared" si="334"/>
        <v>-0.12768339768339765</v>
      </c>
      <c r="BD76" s="101">
        <f t="shared" si="334"/>
        <v>0.812758089368259</v>
      </c>
    </row>
    <row r="77" spans="2:56" x14ac:dyDescent="0.15">
      <c r="B77" s="1" t="s">
        <v>15</v>
      </c>
      <c r="D77" s="102">
        <v>-0.03</v>
      </c>
      <c r="E77" s="43" t="s">
        <v>36</v>
      </c>
      <c r="AK77" s="101">
        <f>MEDIAN(U75,Y75,AC75,AG75)+$D77</f>
        <v>-9.0106382978723393E-2</v>
      </c>
      <c r="AL77" s="101">
        <f>MEDIAN(V75,Z75,AD75,AH75)+$D77</f>
        <v>-0.38883204633204638</v>
      </c>
      <c r="AM77" s="101">
        <f>MEDIAN(W75,AA75,AE75,AI75)+$D77</f>
        <v>-0.17768339768339766</v>
      </c>
      <c r="AN77" s="101">
        <f>MEDIAN(X75,AB75,AF75,AJ75)+$D77</f>
        <v>0.76275808936825895</v>
      </c>
      <c r="AO77" s="101">
        <f t="shared" ref="AO77:BD77" si="335">AK77</f>
        <v>-9.0106382978723393E-2</v>
      </c>
      <c r="AP77" s="101">
        <f t="shared" si="335"/>
        <v>-0.38883204633204638</v>
      </c>
      <c r="AQ77" s="101">
        <f t="shared" si="335"/>
        <v>-0.17768339768339766</v>
      </c>
      <c r="AR77" s="101">
        <f t="shared" si="335"/>
        <v>0.76275808936825895</v>
      </c>
      <c r="AS77" s="101">
        <f t="shared" si="335"/>
        <v>-9.0106382978723393E-2</v>
      </c>
      <c r="AT77" s="101">
        <f t="shared" si="335"/>
        <v>-0.38883204633204638</v>
      </c>
      <c r="AU77" s="101">
        <f t="shared" si="335"/>
        <v>-0.17768339768339766</v>
      </c>
      <c r="AV77" s="101">
        <f t="shared" si="335"/>
        <v>0.76275808936825895</v>
      </c>
      <c r="AW77" s="101">
        <f t="shared" si="335"/>
        <v>-9.0106382978723393E-2</v>
      </c>
      <c r="AX77" s="101">
        <f t="shared" si="335"/>
        <v>-0.38883204633204638</v>
      </c>
      <c r="AY77" s="101">
        <f t="shared" si="335"/>
        <v>-0.17768339768339766</v>
      </c>
      <c r="AZ77" s="101">
        <f t="shared" si="335"/>
        <v>0.76275808936825895</v>
      </c>
      <c r="BA77" s="101">
        <f t="shared" si="335"/>
        <v>-9.0106382978723393E-2</v>
      </c>
      <c r="BB77" s="101">
        <f t="shared" si="335"/>
        <v>-0.38883204633204638</v>
      </c>
      <c r="BC77" s="101">
        <f t="shared" si="335"/>
        <v>-0.17768339768339766</v>
      </c>
      <c r="BD77" s="101">
        <f t="shared" si="335"/>
        <v>0.76275808936825895</v>
      </c>
    </row>
    <row r="78" spans="2:56" x14ac:dyDescent="0.15">
      <c r="B78" s="1" t="s">
        <v>263</v>
      </c>
      <c r="D78" s="102">
        <v>-0.05</v>
      </c>
      <c r="E78" s="43" t="s">
        <v>36</v>
      </c>
      <c r="AK78" s="101">
        <f t="shared" ref="AK78:BD78" si="336">AK77+$D78</f>
        <v>-0.14010638297872341</v>
      </c>
      <c r="AL78" s="101">
        <f t="shared" si="336"/>
        <v>-0.43883204633204637</v>
      </c>
      <c r="AM78" s="101">
        <f t="shared" si="336"/>
        <v>-0.22768339768339768</v>
      </c>
      <c r="AN78" s="101">
        <f t="shared" si="336"/>
        <v>0.71275808936825891</v>
      </c>
      <c r="AO78" s="101">
        <f t="shared" si="336"/>
        <v>-0.14010638297872341</v>
      </c>
      <c r="AP78" s="101">
        <f t="shared" si="336"/>
        <v>-0.43883204633204637</v>
      </c>
      <c r="AQ78" s="101">
        <f t="shared" si="336"/>
        <v>-0.22768339768339768</v>
      </c>
      <c r="AR78" s="101">
        <f t="shared" si="336"/>
        <v>0.71275808936825891</v>
      </c>
      <c r="AS78" s="101">
        <f t="shared" si="336"/>
        <v>-0.14010638297872341</v>
      </c>
      <c r="AT78" s="101">
        <f t="shared" si="336"/>
        <v>-0.43883204633204637</v>
      </c>
      <c r="AU78" s="101">
        <f t="shared" si="336"/>
        <v>-0.22768339768339768</v>
      </c>
      <c r="AV78" s="101">
        <f t="shared" si="336"/>
        <v>0.71275808936825891</v>
      </c>
      <c r="AW78" s="101">
        <f t="shared" si="336"/>
        <v>-0.14010638297872341</v>
      </c>
      <c r="AX78" s="101">
        <f t="shared" si="336"/>
        <v>-0.43883204633204637</v>
      </c>
      <c r="AY78" s="101">
        <f t="shared" si="336"/>
        <v>-0.22768339768339768</v>
      </c>
      <c r="AZ78" s="101">
        <f t="shared" si="336"/>
        <v>0.71275808936825891</v>
      </c>
      <c r="BA78" s="101">
        <f t="shared" si="336"/>
        <v>-0.14010638297872341</v>
      </c>
      <c r="BB78" s="101">
        <f t="shared" si="336"/>
        <v>-0.43883204633204637</v>
      </c>
      <c r="BC78" s="101">
        <f t="shared" si="336"/>
        <v>-0.22768339768339768</v>
      </c>
      <c r="BD78" s="101">
        <f t="shared" si="336"/>
        <v>0.71275808936825891</v>
      </c>
    </row>
    <row r="80" spans="2:56" x14ac:dyDescent="0.15">
      <c r="B80" s="1" t="s">
        <v>272</v>
      </c>
      <c r="E80" s="43" t="s">
        <v>33</v>
      </c>
      <c r="F80" s="132">
        <f t="shared" ref="F80:O80" si="337">F65/(F74*1000000)</f>
        <v>1.4203695652173913E-2</v>
      </c>
      <c r="G80" s="132">
        <f t="shared" si="337"/>
        <v>1.3475301204819276E-2</v>
      </c>
      <c r="H80" s="132">
        <f t="shared" si="337"/>
        <v>1.9433333333333334E-2</v>
      </c>
      <c r="I80" s="132">
        <f t="shared" si="337"/>
        <v>1.5522171945701357E-2</v>
      </c>
      <c r="J80" s="132">
        <f t="shared" si="337"/>
        <v>1.4079661016949152E-2</v>
      </c>
      <c r="K80" s="132">
        <f t="shared" si="337"/>
        <v>1.373066267585183E-2</v>
      </c>
      <c r="L80" s="132">
        <f t="shared" si="337"/>
        <v>1.2813314767508828E-2</v>
      </c>
      <c r="M80" s="132">
        <f t="shared" si="337"/>
        <v>1.1447161927343354E-2</v>
      </c>
      <c r="N80" s="132">
        <f t="shared" si="337"/>
        <v>9.9848428459241977E-3</v>
      </c>
      <c r="O80" s="132">
        <f t="shared" si="337"/>
        <v>8.7546698328758617E-3</v>
      </c>
      <c r="Q80" s="132">
        <f t="shared" ref="Q80:AJ80" si="338">Q65/(Q74*1000000)</f>
        <v>1.2482500000000001E-2</v>
      </c>
      <c r="R80" s="132">
        <f t="shared" si="338"/>
        <v>1.2606896551724138E-2</v>
      </c>
      <c r="S80" s="132">
        <f t="shared" si="338"/>
        <v>1.3626666666666667E-2</v>
      </c>
      <c r="T80" s="132">
        <f t="shared" si="338"/>
        <v>1.8214999999999999E-2</v>
      </c>
      <c r="U80" s="132">
        <f t="shared" si="338"/>
        <v>1.3051351351351352E-2</v>
      </c>
      <c r="V80" s="132">
        <f t="shared" si="338"/>
        <v>1.3395652173913043E-2</v>
      </c>
      <c r="W80" s="132">
        <f t="shared" si="338"/>
        <v>1.3311538461538461E-2</v>
      </c>
      <c r="X80" s="132">
        <f t="shared" si="338"/>
        <v>1.5440000000000001E-2</v>
      </c>
      <c r="Y80" s="132">
        <f t="shared" si="338"/>
        <v>1.7223809523809523E-2</v>
      </c>
      <c r="Z80" s="132">
        <f t="shared" si="338"/>
        <v>2.517142857142857E-2</v>
      </c>
      <c r="AA80" s="132">
        <f t="shared" si="338"/>
        <v>2.4954545454545455E-2</v>
      </c>
      <c r="AB80" s="132">
        <f t="shared" si="338"/>
        <v>1.6168965517241379E-2</v>
      </c>
      <c r="AC80" s="132">
        <f t="shared" si="338"/>
        <v>1.67E-2</v>
      </c>
      <c r="AD80" s="132">
        <f t="shared" si="338"/>
        <v>1.7967567567567566E-2</v>
      </c>
      <c r="AE80" s="132">
        <f t="shared" si="338"/>
        <v>1.4214705882352942E-2</v>
      </c>
      <c r="AF80" s="132">
        <f t="shared" si="338"/>
        <v>1.4330851063829787E-2</v>
      </c>
      <c r="AG80" s="132">
        <f t="shared" si="338"/>
        <v>1.4044871794871796E-2</v>
      </c>
      <c r="AH80" s="132">
        <f t="shared" si="338"/>
        <v>1.5113953488372092E-2</v>
      </c>
      <c r="AI80" s="132">
        <f t="shared" si="338"/>
        <v>1.4296610169491526E-2</v>
      </c>
      <c r="AJ80" s="132">
        <f t="shared" si="338"/>
        <v>1.3105357142857143E-2</v>
      </c>
      <c r="AK80" s="132">
        <f>AG80*(1+AK81)</f>
        <v>1.4135372213380704E-2</v>
      </c>
      <c r="AL80" s="132">
        <f>AH80*(1+AL81)</f>
        <v>1.626113655780833E-2</v>
      </c>
      <c r="AM80" s="132">
        <f>AI80*(1+AM81)</f>
        <v>1.4173427118294278E-2</v>
      </c>
      <c r="AN80" s="132">
        <f>AJ80*(1+AN81)</f>
        <v>1.3212438083980637E-2</v>
      </c>
      <c r="AO80" s="132">
        <f t="shared" ref="AO80:BD80" si="339">AK80</f>
        <v>1.4135372213380704E-2</v>
      </c>
      <c r="AP80" s="132">
        <f t="shared" si="339"/>
        <v>1.626113655780833E-2</v>
      </c>
      <c r="AQ80" s="132">
        <f t="shared" si="339"/>
        <v>1.4173427118294278E-2</v>
      </c>
      <c r="AR80" s="132">
        <f t="shared" si="339"/>
        <v>1.3212438083980637E-2</v>
      </c>
      <c r="AS80" s="132">
        <f t="shared" si="339"/>
        <v>1.4135372213380704E-2</v>
      </c>
      <c r="AT80" s="132">
        <f t="shared" si="339"/>
        <v>1.626113655780833E-2</v>
      </c>
      <c r="AU80" s="132">
        <f t="shared" si="339"/>
        <v>1.4173427118294278E-2</v>
      </c>
      <c r="AV80" s="132">
        <f t="shared" si="339"/>
        <v>1.3212438083980637E-2</v>
      </c>
      <c r="AW80" s="132">
        <f t="shared" si="339"/>
        <v>1.4135372213380704E-2</v>
      </c>
      <c r="AX80" s="132">
        <f t="shared" si="339"/>
        <v>1.626113655780833E-2</v>
      </c>
      <c r="AY80" s="132">
        <f t="shared" si="339"/>
        <v>1.4173427118294278E-2</v>
      </c>
      <c r="AZ80" s="132">
        <f t="shared" si="339"/>
        <v>1.3212438083980637E-2</v>
      </c>
      <c r="BA80" s="132">
        <f t="shared" si="339"/>
        <v>1.4135372213380704E-2</v>
      </c>
      <c r="BB80" s="132">
        <f t="shared" si="339"/>
        <v>1.626113655780833E-2</v>
      </c>
      <c r="BC80" s="132">
        <f t="shared" si="339"/>
        <v>1.4173427118294278E-2</v>
      </c>
      <c r="BD80" s="132">
        <f t="shared" si="339"/>
        <v>1.3212438083980637E-2</v>
      </c>
    </row>
    <row r="81" spans="1:56" x14ac:dyDescent="0.15">
      <c r="B81" s="98" t="s">
        <v>261</v>
      </c>
      <c r="C81" s="45"/>
      <c r="D81" s="45"/>
      <c r="E81" s="46" t="s">
        <v>36</v>
      </c>
      <c r="F81" s="103"/>
      <c r="G81" s="104">
        <f t="shared" ref="G81:O81" si="340">(G80-F80)/F80</f>
        <v>-5.1282037097377088E-2</v>
      </c>
      <c r="H81" s="104">
        <f t="shared" si="340"/>
        <v>0.44214463468788662</v>
      </c>
      <c r="I81" s="104">
        <f t="shared" si="340"/>
        <v>-0.20126044876322349</v>
      </c>
      <c r="J81" s="104">
        <f t="shared" si="340"/>
        <v>-9.2932286396407771E-2</v>
      </c>
      <c r="K81" s="104">
        <f t="shared" si="340"/>
        <v>-2.4787410767716376E-2</v>
      </c>
      <c r="L81" s="104">
        <f t="shared" si="340"/>
        <v>-6.6810170055109253E-2</v>
      </c>
      <c r="M81" s="104">
        <f t="shared" si="340"/>
        <v>-0.10661978301115931</v>
      </c>
      <c r="N81" s="104">
        <f t="shared" si="340"/>
        <v>-0.1277451206421896</v>
      </c>
      <c r="O81" s="104">
        <f t="shared" si="340"/>
        <v>-0.1232040435719518</v>
      </c>
      <c r="P81" s="105"/>
      <c r="Q81" s="106"/>
      <c r="R81" s="104">
        <f t="shared" ref="R81:AJ81" si="341">(R80-Q80)/Q80</f>
        <v>9.9656760844492234E-3</v>
      </c>
      <c r="S81" s="104">
        <f t="shared" si="341"/>
        <v>8.0889861415025563E-2</v>
      </c>
      <c r="T81" s="104">
        <f t="shared" si="341"/>
        <v>0.33671722113502922</v>
      </c>
      <c r="U81" s="104">
        <f t="shared" si="341"/>
        <v>-0.28348331861919557</v>
      </c>
      <c r="V81" s="104">
        <f t="shared" si="341"/>
        <v>2.6380473047799901E-2</v>
      </c>
      <c r="W81" s="104">
        <f t="shared" si="341"/>
        <v>-6.2791800863855026E-3</v>
      </c>
      <c r="X81" s="104">
        <f t="shared" si="341"/>
        <v>0.15989598381970535</v>
      </c>
      <c r="Y81" s="104">
        <f t="shared" si="341"/>
        <v>0.11553170490994316</v>
      </c>
      <c r="Z81" s="104">
        <f t="shared" si="341"/>
        <v>0.46143212607132983</v>
      </c>
      <c r="AA81" s="104">
        <f t="shared" si="341"/>
        <v>-8.6162418739035608E-3</v>
      </c>
      <c r="AB81" s="104">
        <f t="shared" si="341"/>
        <v>-0.35206331260599211</v>
      </c>
      <c r="AC81" s="104">
        <f t="shared" si="341"/>
        <v>3.2842823629771825E-2</v>
      </c>
      <c r="AD81" s="104">
        <f t="shared" si="341"/>
        <v>7.590224955494411E-2</v>
      </c>
      <c r="AE81" s="104">
        <f t="shared" si="341"/>
        <v>-0.20886865576555522</v>
      </c>
      <c r="AF81" s="104">
        <f t="shared" si="341"/>
        <v>8.1707762677689765E-3</v>
      </c>
      <c r="AG81" s="104">
        <f t="shared" si="341"/>
        <v>-1.9955497945253673E-2</v>
      </c>
      <c r="AH81" s="104">
        <f t="shared" si="341"/>
        <v>7.6119006931102809E-2</v>
      </c>
      <c r="AI81" s="104">
        <f t="shared" si="341"/>
        <v>-5.4078723975787564E-2</v>
      </c>
      <c r="AJ81" s="104">
        <f t="shared" si="341"/>
        <v>-8.3324159539334475E-2</v>
      </c>
      <c r="AK81" s="101">
        <f>MEDIAN(AG81,AC81,Y81,U81)</f>
        <v>6.4436628422590743E-3</v>
      </c>
      <c r="AL81" s="101">
        <f>MEDIAN(AH81,AD81,Z81,V81,R81)</f>
        <v>7.590224955494411E-2</v>
      </c>
      <c r="AM81" s="101">
        <f>MEDIAN(AI81,AE81,AA81,W81,S81)</f>
        <v>-8.6162418739035608E-3</v>
      </c>
      <c r="AN81" s="101">
        <f>MEDIAN(AJ81,AF81,AB81,X81,T81)</f>
        <v>8.1707762677689765E-3</v>
      </c>
      <c r="AO81" s="101">
        <v>0</v>
      </c>
      <c r="AP81" s="101">
        <v>0</v>
      </c>
      <c r="AQ81" s="101">
        <v>0</v>
      </c>
      <c r="AR81" s="101">
        <v>0</v>
      </c>
      <c r="AS81" s="101">
        <v>0</v>
      </c>
      <c r="AT81" s="101">
        <v>0</v>
      </c>
      <c r="AU81" s="101">
        <v>0</v>
      </c>
      <c r="AV81" s="101">
        <v>0</v>
      </c>
      <c r="AW81" s="101">
        <v>0</v>
      </c>
      <c r="AX81" s="101">
        <v>0</v>
      </c>
      <c r="AY81" s="101">
        <v>0</v>
      </c>
      <c r="AZ81" s="101">
        <v>0</v>
      </c>
      <c r="BA81" s="101">
        <v>0</v>
      </c>
      <c r="BB81" s="101">
        <v>0</v>
      </c>
      <c r="BC81" s="101">
        <v>0</v>
      </c>
      <c r="BD81" s="101">
        <v>0</v>
      </c>
    </row>
    <row r="83" spans="1:56" x14ac:dyDescent="0.15">
      <c r="A83" s="1" t="s">
        <v>27</v>
      </c>
      <c r="B83" s="33" t="s">
        <v>273</v>
      </c>
      <c r="C83" s="33"/>
      <c r="D83" s="33"/>
      <c r="E83" s="34" t="s">
        <v>29</v>
      </c>
      <c r="F83" s="35">
        <v>21</v>
      </c>
      <c r="G83" s="35">
        <f>F83+1</f>
        <v>22</v>
      </c>
      <c r="H83" s="35">
        <f t="shared" ref="H83" si="342">G83+1</f>
        <v>23</v>
      </c>
      <c r="I83" s="35">
        <f t="shared" ref="I83" si="343">H83+1</f>
        <v>24</v>
      </c>
      <c r="J83" s="35">
        <f t="shared" ref="J83" si="344">I83+1</f>
        <v>25</v>
      </c>
      <c r="K83" s="36">
        <f t="shared" ref="K83" si="345">J83+1</f>
        <v>26</v>
      </c>
      <c r="L83" s="36">
        <f t="shared" ref="L83" si="346">K83+1</f>
        <v>27</v>
      </c>
      <c r="M83" s="36">
        <f t="shared" ref="M83" si="347">L83+1</f>
        <v>28</v>
      </c>
      <c r="N83" s="36">
        <f t="shared" ref="N83" si="348">M83+1</f>
        <v>29</v>
      </c>
      <c r="O83" s="36">
        <f t="shared" ref="O83" si="349">N83+1</f>
        <v>30</v>
      </c>
      <c r="Q83" s="41">
        <v>44286</v>
      </c>
      <c r="R83" s="41">
        <v>44377</v>
      </c>
      <c r="S83" s="41">
        <v>44469</v>
      </c>
      <c r="T83" s="41">
        <v>44561</v>
      </c>
      <c r="U83" s="41">
        <v>44651</v>
      </c>
      <c r="V83" s="41">
        <v>44742</v>
      </c>
      <c r="W83" s="41">
        <v>44834</v>
      </c>
      <c r="X83" s="41">
        <v>44926</v>
      </c>
      <c r="Y83" s="41">
        <v>45016</v>
      </c>
      <c r="Z83" s="41">
        <v>45107</v>
      </c>
      <c r="AA83" s="41">
        <v>45199</v>
      </c>
      <c r="AB83" s="41">
        <v>45291</v>
      </c>
      <c r="AC83" s="41">
        <v>45382</v>
      </c>
      <c r="AD83" s="41">
        <v>45473</v>
      </c>
      <c r="AE83" s="41">
        <v>45565</v>
      </c>
      <c r="AF83" s="41">
        <v>45657</v>
      </c>
      <c r="AG83" s="41">
        <v>45747</v>
      </c>
      <c r="AH83" s="41">
        <v>45838</v>
      </c>
      <c r="AI83" s="41">
        <v>45930</v>
      </c>
      <c r="AJ83" s="41">
        <v>46022</v>
      </c>
      <c r="AK83" s="41">
        <v>46112</v>
      </c>
      <c r="AL83" s="41">
        <v>46203</v>
      </c>
      <c r="AM83" s="41">
        <v>46295</v>
      </c>
      <c r="AN83" s="41">
        <v>46387</v>
      </c>
      <c r="AO83" s="41">
        <v>46477</v>
      </c>
      <c r="AP83" s="41">
        <v>46568</v>
      </c>
      <c r="AQ83" s="41">
        <v>46660</v>
      </c>
      <c r="AR83" s="41">
        <v>46752</v>
      </c>
      <c r="AS83" s="41">
        <v>46843</v>
      </c>
      <c r="AT83" s="41">
        <v>46934</v>
      </c>
      <c r="AU83" s="41">
        <v>47026</v>
      </c>
      <c r="AV83" s="41">
        <v>47118</v>
      </c>
      <c r="AW83" s="41">
        <v>47208</v>
      </c>
      <c r="AX83" s="41">
        <v>47299</v>
      </c>
      <c r="AY83" s="41">
        <v>47391</v>
      </c>
      <c r="AZ83" s="41">
        <v>47483</v>
      </c>
      <c r="BA83" s="41">
        <v>47573</v>
      </c>
      <c r="BB83" s="41">
        <v>47664</v>
      </c>
      <c r="BC83" s="41">
        <v>47756</v>
      </c>
      <c r="BD83" s="41">
        <v>47848</v>
      </c>
    </row>
    <row r="85" spans="1:56" x14ac:dyDescent="0.15">
      <c r="B85" s="75" t="s">
        <v>256</v>
      </c>
    </row>
    <row r="86" spans="1:56" x14ac:dyDescent="0.15">
      <c r="B86" s="1" t="s">
        <v>274</v>
      </c>
      <c r="D86" s="102">
        <v>0.35</v>
      </c>
    </row>
    <row r="87" spans="1:56" x14ac:dyDescent="0.15">
      <c r="B87" s="1" t="s">
        <v>265</v>
      </c>
      <c r="D87" s="102">
        <v>0.2</v>
      </c>
    </row>
    <row r="88" spans="1:56" x14ac:dyDescent="0.15">
      <c r="B88" s="1" t="s">
        <v>266</v>
      </c>
      <c r="D88" s="102">
        <v>-0.25</v>
      </c>
    </row>
    <row r="89" spans="1:56" x14ac:dyDescent="0.15">
      <c r="D89" s="131"/>
    </row>
    <row r="90" spans="1:56" x14ac:dyDescent="0.15">
      <c r="B90" s="1" t="s">
        <v>275</v>
      </c>
      <c r="E90" s="43" t="s">
        <v>33</v>
      </c>
      <c r="F90" s="50">
        <f t="shared" ref="F90:O90" si="350">SUMIFS($Q90:$BD90,$Q$1:$BD$1,F$1)</f>
        <v>346300</v>
      </c>
      <c r="G90" s="50">
        <f t="shared" si="350"/>
        <v>119400</v>
      </c>
      <c r="H90" s="50">
        <f t="shared" si="350"/>
        <v>96000</v>
      </c>
      <c r="I90" s="50">
        <f t="shared" si="350"/>
        <v>345600</v>
      </c>
      <c r="J90" s="50">
        <f t="shared" si="350"/>
        <v>479700</v>
      </c>
      <c r="K90" s="50">
        <f t="shared" si="350"/>
        <v>519600.78864324419</v>
      </c>
      <c r="L90" s="50">
        <f t="shared" si="350"/>
        <v>562932.71472782851</v>
      </c>
      <c r="M90" s="50">
        <f t="shared" si="350"/>
        <v>614614.99940719537</v>
      </c>
      <c r="N90" s="50">
        <f t="shared" si="350"/>
        <v>676099.67525163235</v>
      </c>
      <c r="O90" s="50">
        <f t="shared" si="350"/>
        <v>749104.36763286148</v>
      </c>
      <c r="Q90" s="50">
        <f t="shared" ref="Q90:AJ90" si="351">Q12</f>
        <v>85400</v>
      </c>
      <c r="R90" s="50">
        <f t="shared" si="351"/>
        <v>102400</v>
      </c>
      <c r="S90" s="50">
        <f t="shared" si="351"/>
        <v>67700</v>
      </c>
      <c r="T90" s="50">
        <f t="shared" si="351"/>
        <v>90800</v>
      </c>
      <c r="U90" s="50">
        <f t="shared" si="351"/>
        <v>47200</v>
      </c>
      <c r="V90" s="50">
        <f t="shared" si="351"/>
        <v>39000</v>
      </c>
      <c r="W90" s="50">
        <f t="shared" si="351"/>
        <v>19800</v>
      </c>
      <c r="X90" s="50">
        <f t="shared" si="351"/>
        <v>13400</v>
      </c>
      <c r="Y90" s="50">
        <f t="shared" si="351"/>
        <v>22300</v>
      </c>
      <c r="Z90" s="50">
        <f t="shared" si="351"/>
        <v>23000</v>
      </c>
      <c r="AA90" s="50">
        <f t="shared" si="351"/>
        <v>14000</v>
      </c>
      <c r="AB90" s="50">
        <f t="shared" si="351"/>
        <v>36700</v>
      </c>
      <c r="AC90" s="50">
        <f t="shared" si="351"/>
        <v>85400</v>
      </c>
      <c r="AD90" s="50">
        <f t="shared" si="351"/>
        <v>63600</v>
      </c>
      <c r="AE90" s="50">
        <f t="shared" si="351"/>
        <v>55300</v>
      </c>
      <c r="AF90" s="50">
        <f t="shared" si="351"/>
        <v>141300</v>
      </c>
      <c r="AG90" s="50">
        <f t="shared" si="351"/>
        <v>98900</v>
      </c>
      <c r="AH90" s="50">
        <f t="shared" si="351"/>
        <v>60800</v>
      </c>
      <c r="AI90" s="50">
        <f t="shared" si="351"/>
        <v>135000</v>
      </c>
      <c r="AJ90" s="50">
        <f t="shared" si="351"/>
        <v>185000</v>
      </c>
      <c r="AK90" s="50">
        <f>AK93*1000000*AK99</f>
        <v>98007.873372193892</v>
      </c>
      <c r="AL90" s="50">
        <f t="shared" ref="AL90:BD90" si="352">AL93*1000000*AL99</f>
        <v>63069.619822875793</v>
      </c>
      <c r="AM90" s="50">
        <f t="shared" si="352"/>
        <v>114086.35616518742</v>
      </c>
      <c r="AN90" s="50">
        <f t="shared" si="352"/>
        <v>244436.93928298706</v>
      </c>
      <c r="AO90" s="50">
        <f t="shared" si="352"/>
        <v>93354.629992957562</v>
      </c>
      <c r="AP90" s="50">
        <f t="shared" si="352"/>
        <v>64857.385985322435</v>
      </c>
      <c r="AQ90" s="50">
        <f t="shared" si="352"/>
        <v>115927.43228319706</v>
      </c>
      <c r="AR90" s="50">
        <f t="shared" si="352"/>
        <v>288793.26646635146</v>
      </c>
      <c r="AS90" s="50">
        <f t="shared" si="352"/>
        <v>88922.314516770188</v>
      </c>
      <c r="AT90" s="50">
        <f t="shared" si="352"/>
        <v>66695.828017713517</v>
      </c>
      <c r="AU90" s="50">
        <f t="shared" si="352"/>
        <v>117798.21888882539</v>
      </c>
      <c r="AV90" s="50">
        <f t="shared" si="352"/>
        <v>341198.63798388629</v>
      </c>
      <c r="AW90" s="50">
        <f t="shared" si="352"/>
        <v>84700.437671017455</v>
      </c>
      <c r="AX90" s="50">
        <f t="shared" si="352"/>
        <v>68586.3823740152</v>
      </c>
      <c r="AY90" s="50">
        <f t="shared" si="352"/>
        <v>119699.19543703132</v>
      </c>
      <c r="AZ90" s="50">
        <f t="shared" si="352"/>
        <v>403113.65976956836</v>
      </c>
      <c r="BA90" s="50">
        <f t="shared" si="352"/>
        <v>80679.00819550654</v>
      </c>
      <c r="BB90" s="50">
        <f t="shared" si="352"/>
        <v>70530.526225797497</v>
      </c>
      <c r="BC90" s="50">
        <f t="shared" si="352"/>
        <v>121630.84912000987</v>
      </c>
      <c r="BD90" s="50">
        <f t="shared" si="352"/>
        <v>476263.98409154755</v>
      </c>
    </row>
    <row r="91" spans="1:56" x14ac:dyDescent="0.15">
      <c r="B91" s="98" t="s">
        <v>261</v>
      </c>
      <c r="C91" s="45"/>
      <c r="D91" s="45"/>
      <c r="E91" s="46" t="s">
        <v>36</v>
      </c>
      <c r="F91" s="103"/>
      <c r="G91" s="104">
        <f>(G90-F90)/F90</f>
        <v>-0.65521224371931852</v>
      </c>
      <c r="H91" s="104">
        <f t="shared" ref="H91" si="353">(H90-G90)/G90</f>
        <v>-0.19597989949748743</v>
      </c>
      <c r="I91" s="104">
        <f t="shared" ref="I91" si="354">(I90-H90)/H90</f>
        <v>2.6</v>
      </c>
      <c r="J91" s="104">
        <f t="shared" ref="J91" si="355">(J90-I90)/I90</f>
        <v>0.38802083333333331</v>
      </c>
      <c r="K91" s="104">
        <f t="shared" ref="K91" si="356">(K90-J90)/J90</f>
        <v>8.3178629650290159E-2</v>
      </c>
      <c r="L91" s="104">
        <f t="shared" ref="L91" si="357">(L90-K90)/K90</f>
        <v>8.3394650338638826E-2</v>
      </c>
      <c r="M91" s="104">
        <f t="shared" ref="M91" si="358">(M90-L90)/L90</f>
        <v>9.1808991247479099E-2</v>
      </c>
      <c r="N91" s="104">
        <f t="shared" ref="N91" si="359">(N90-M90)/M90</f>
        <v>0.10003770800214735</v>
      </c>
      <c r="O91" s="104">
        <f t="shared" ref="O91" si="360">(O90-N90)/N90</f>
        <v>0.10797918569337883</v>
      </c>
      <c r="P91" s="105"/>
      <c r="Q91" s="106"/>
      <c r="R91" s="104">
        <f t="shared" ref="R91" si="361">(R90-Q90)/Q90</f>
        <v>0.19906323185011709</v>
      </c>
      <c r="S91" s="104">
        <f t="shared" ref="S91" si="362">(S90-R90)/R90</f>
        <v>-0.3388671875</v>
      </c>
      <c r="T91" s="104">
        <f t="shared" ref="T91" si="363">(T90-S90)/S90</f>
        <v>0.34121122599704579</v>
      </c>
      <c r="U91" s="104">
        <f t="shared" ref="U91" si="364">(U90-T90)/T90</f>
        <v>-0.48017621145374451</v>
      </c>
      <c r="V91" s="104">
        <f t="shared" ref="V91" si="365">(V90-U90)/U90</f>
        <v>-0.17372881355932204</v>
      </c>
      <c r="W91" s="104">
        <f t="shared" ref="W91" si="366">(W90-V90)/V90</f>
        <v>-0.49230769230769234</v>
      </c>
      <c r="X91" s="104">
        <f t="shared" ref="X91" si="367">(X90-W90)/W90</f>
        <v>-0.32323232323232326</v>
      </c>
      <c r="Y91" s="104">
        <f t="shared" ref="Y91" si="368">(Y90-X90)/X90</f>
        <v>0.66417910447761197</v>
      </c>
      <c r="Z91" s="104">
        <f t="shared" ref="Z91" si="369">(Z90-Y90)/Y90</f>
        <v>3.1390134529147982E-2</v>
      </c>
      <c r="AA91" s="104">
        <f t="shared" ref="AA91" si="370">(AA90-Z90)/Z90</f>
        <v>-0.39130434782608697</v>
      </c>
      <c r="AB91" s="104">
        <f t="shared" ref="AB91" si="371">(AB90-AA90)/AA90</f>
        <v>1.6214285714285714</v>
      </c>
      <c r="AC91" s="104">
        <f t="shared" ref="AC91" si="372">(AC90-AB90)/AB90</f>
        <v>1.326975476839237</v>
      </c>
      <c r="AD91" s="104">
        <f t="shared" ref="AD91" si="373">(AD90-AC90)/AC90</f>
        <v>-0.25526932084309134</v>
      </c>
      <c r="AE91" s="104">
        <f t="shared" ref="AE91" si="374">(AE90-AD90)/AD90</f>
        <v>-0.13050314465408805</v>
      </c>
      <c r="AF91" s="104">
        <f t="shared" ref="AF91" si="375">(AF90-AE90)/AE90</f>
        <v>1.5551537070524413</v>
      </c>
      <c r="AG91" s="104">
        <f t="shared" ref="AG91" si="376">(AG90-AF90)/AF90</f>
        <v>-0.30007077140835103</v>
      </c>
      <c r="AH91" s="104">
        <f t="shared" ref="AH91" si="377">(AH90-AG90)/AG90</f>
        <v>-0.38523761375126392</v>
      </c>
      <c r="AI91" s="104">
        <f t="shared" ref="AI91" si="378">(AI90-AH90)/AH90</f>
        <v>1.2203947368421053</v>
      </c>
      <c r="AJ91" s="104">
        <f t="shared" ref="AJ91" si="379">(AJ90-AI90)/AI90</f>
        <v>0.37037037037037035</v>
      </c>
      <c r="AK91" s="104">
        <f t="shared" ref="AK91" si="380">(AK90-AJ90)/AJ90</f>
        <v>-0.47022771150165465</v>
      </c>
      <c r="AL91" s="104">
        <f t="shared" ref="AL91" si="381">(AL90-AK90)/AK90</f>
        <v>-0.35648415119300542</v>
      </c>
      <c r="AM91" s="104">
        <f t="shared" ref="AM91" si="382">(AM90-AL90)/AL90</f>
        <v>0.80889557421761238</v>
      </c>
      <c r="AN91" s="104">
        <f t="shared" ref="AN91" si="383">(AN90-AM90)/AM90</f>
        <v>1.142560666317215</v>
      </c>
      <c r="AO91" s="104">
        <f t="shared" ref="AO91" si="384">(AO90-AN90)/AN90</f>
        <v>-0.6180829695102672</v>
      </c>
      <c r="AP91" s="104">
        <f t="shared" ref="AP91" si="385">(AP90-AO90)/AO90</f>
        <v>-0.30525796106507935</v>
      </c>
      <c r="AQ91" s="104">
        <f t="shared" ref="AQ91" si="386">(AQ90-AP90)/AP90</f>
        <v>0.7874206695507594</v>
      </c>
      <c r="AR91" s="104">
        <f t="shared" ref="AR91" si="387">(AR90-AQ90)/AQ90</f>
        <v>1.4911555511801859</v>
      </c>
      <c r="AS91" s="104">
        <f t="shared" ref="AS91" si="388">(AS90-AR90)/AR90</f>
        <v>-0.69209006981078314</v>
      </c>
      <c r="AT91" s="104">
        <f t="shared" ref="AT91" si="389">(AT90-AS90)/AS90</f>
        <v>-0.24995398084093837</v>
      </c>
      <c r="AU91" s="104">
        <f t="shared" ref="AU91" si="390">(AU90-AT90)/AT90</f>
        <v>0.76620071134793866</v>
      </c>
      <c r="AV91" s="104">
        <f t="shared" ref="AV91" si="391">(AV90-AU90)/AU90</f>
        <v>1.8964668668369244</v>
      </c>
      <c r="AW91" s="104">
        <f t="shared" ref="AW91" si="392">(AW90-AV90)/AV90</f>
        <v>-0.75175622572380374</v>
      </c>
      <c r="AX91" s="104">
        <f t="shared" ref="AX91" si="393">(AX90-AW90)/AW90</f>
        <v>-0.19024760367343549</v>
      </c>
      <c r="AY91" s="104">
        <f t="shared" ref="AY91" si="394">(AY90-AX90)/AX90</f>
        <v>0.74523267292751749</v>
      </c>
      <c r="AZ91" s="104">
        <f t="shared" ref="AZ91" si="395">(AZ90-AY90)/AY90</f>
        <v>2.3677223835780032</v>
      </c>
      <c r="BA91" s="104">
        <f t="shared" ref="BA91" si="396">(BA90-AZ90)/AZ90</f>
        <v>-0.79986039609368476</v>
      </c>
      <c r="BB91" s="104">
        <f t="shared" ref="BB91" si="397">(BB90-BA90)/BA90</f>
        <v>-0.12578838283580024</v>
      </c>
      <c r="BC91" s="104">
        <f t="shared" ref="BC91" si="398">(BC90-BB90)/BB90</f>
        <v>0.72451356354011909</v>
      </c>
      <c r="BD91" s="104">
        <f t="shared" ref="BD91" si="399">(BD90-BC90)/BC90</f>
        <v>2.915651231059242</v>
      </c>
    </row>
    <row r="93" spans="1:56" x14ac:dyDescent="0.15">
      <c r="B93" s="1" t="s">
        <v>276</v>
      </c>
      <c r="E93" s="43" t="s">
        <v>271</v>
      </c>
      <c r="F93" s="50">
        <f t="shared" ref="F93:O93" si="400">SUMIFS($Q93:$BD93,$Q$1:$BD$1,F$1)</f>
        <v>1211</v>
      </c>
      <c r="G93" s="50">
        <f t="shared" si="400"/>
        <v>664</v>
      </c>
      <c r="H93" s="50">
        <f t="shared" si="400"/>
        <v>392</v>
      </c>
      <c r="I93" s="50">
        <f t="shared" si="400"/>
        <v>941</v>
      </c>
      <c r="J93" s="50">
        <f t="shared" si="400"/>
        <v>960</v>
      </c>
      <c r="K93" s="50">
        <f t="shared" si="400"/>
        <v>993.36652500745026</v>
      </c>
      <c r="L93" s="50">
        <f t="shared" si="400"/>
        <v>1034.7401727095637</v>
      </c>
      <c r="M93" s="50">
        <f t="shared" si="400"/>
        <v>1085.3773493381634</v>
      </c>
      <c r="N93" s="50">
        <f t="shared" si="400"/>
        <v>1146.7693304581253</v>
      </c>
      <c r="O93" s="50">
        <f t="shared" si="400"/>
        <v>1220.6844928523085</v>
      </c>
      <c r="Q93" s="50">
        <v>215</v>
      </c>
      <c r="R93" s="50">
        <v>317</v>
      </c>
      <c r="S93" s="50">
        <v>252</v>
      </c>
      <c r="T93" s="50">
        <v>427</v>
      </c>
      <c r="U93" s="50">
        <v>235</v>
      </c>
      <c r="V93" s="50">
        <v>171</v>
      </c>
      <c r="W93" s="50">
        <v>133</v>
      </c>
      <c r="X93" s="50">
        <v>125</v>
      </c>
      <c r="Y93" s="50">
        <v>124</v>
      </c>
      <c r="Z93" s="50">
        <v>78</v>
      </c>
      <c r="AA93" s="50">
        <v>65</v>
      </c>
      <c r="AB93" s="50">
        <v>125</v>
      </c>
      <c r="AC93" s="50">
        <v>256</v>
      </c>
      <c r="AD93" s="50">
        <v>189</v>
      </c>
      <c r="AE93" s="50">
        <v>151</v>
      </c>
      <c r="AF93" s="50">
        <v>345</v>
      </c>
      <c r="AG93" s="50">
        <v>315</v>
      </c>
      <c r="AH93" s="50">
        <v>194</v>
      </c>
      <c r="AI93" s="50">
        <v>236</v>
      </c>
      <c r="AJ93" s="50">
        <v>215</v>
      </c>
      <c r="AK93" s="50">
        <f>AG93*(1+AK94)</f>
        <v>300.04434782608695</v>
      </c>
      <c r="AL93" s="50">
        <f t="shared" ref="AL93" si="401">AH93*(1+AL94)</f>
        <v>199.49910775566229</v>
      </c>
      <c r="AM93" s="50">
        <f t="shared" ref="AM93" si="402">AI93*(1+AM94)</f>
        <v>239.80846560846564</v>
      </c>
      <c r="AN93" s="50">
        <f t="shared" ref="AN93" si="403">AJ93*(1+AN94)</f>
        <v>254.01460381723538</v>
      </c>
      <c r="AO93" s="50">
        <f t="shared" ref="AO93" si="404">AK93*(1+AO94)</f>
        <v>285.79876400756143</v>
      </c>
      <c r="AP93" s="50">
        <f t="shared" ref="AP93" si="405">AL93*(1+AP94)</f>
        <v>205.15409275930594</v>
      </c>
      <c r="AQ93" s="50">
        <f t="shared" ref="AQ93" si="406">AM93*(1+AQ94)</f>
        <v>243.67839058257053</v>
      </c>
      <c r="AR93" s="50">
        <f t="shared" ref="AR93" si="407">AN93*(1+AR94)</f>
        <v>300.1089253601258</v>
      </c>
      <c r="AS93" s="50">
        <f t="shared" ref="AS93" si="408">AO93*(1+AS94)</f>
        <v>272.22953573381113</v>
      </c>
      <c r="AT93" s="50">
        <f t="shared" ref="AT93" si="409">AP93*(1+AT94)</f>
        <v>210.96937349435007</v>
      </c>
      <c r="AU93" s="50">
        <f t="shared" ref="AU93" si="410">AQ93*(1+AU94)</f>
        <v>247.61076672689245</v>
      </c>
      <c r="AV93" s="50">
        <f t="shared" ref="AV93" si="411">AR93*(1+AV94)</f>
        <v>354.56767338310982</v>
      </c>
      <c r="AW93" s="50">
        <f t="shared" ref="AW93" si="412">AS93*(1+AW94)</f>
        <v>259.30455081984064</v>
      </c>
      <c r="AX93" s="50">
        <f t="shared" ref="AX93" si="413">AT93*(1+AX94)</f>
        <v>216.94949369017479</v>
      </c>
      <c r="AY93" s="50">
        <f t="shared" ref="AY93" si="414">AU93*(1+AY94)</f>
        <v>251.60660185132116</v>
      </c>
      <c r="AZ93" s="50">
        <f t="shared" ref="AZ93" si="415">AV93*(1+AZ94)</f>
        <v>418.90868409678865</v>
      </c>
      <c r="BA93" s="50">
        <f t="shared" ref="BA93" si="416">AW93*(1+BA94)</f>
        <v>246.99322171135083</v>
      </c>
      <c r="BB93" s="50">
        <f t="shared" ref="BB93" si="417">AX93*(1+BB94)</f>
        <v>223.09912587233276</v>
      </c>
      <c r="BC93" s="50">
        <f t="shared" ref="BC93" si="418">AY93*(1+BC94)</f>
        <v>255.66692002934514</v>
      </c>
      <c r="BD93" s="50">
        <f t="shared" ref="BD93" si="419">AZ93*(1+BD94)</f>
        <v>494.92522523927988</v>
      </c>
    </row>
    <row r="94" spans="1:56" x14ac:dyDescent="0.15">
      <c r="B94" s="98" t="s">
        <v>261</v>
      </c>
      <c r="C94" s="45"/>
      <c r="D94" s="45"/>
      <c r="E94" s="46" t="s">
        <v>36</v>
      </c>
      <c r="F94" s="103"/>
      <c r="G94" s="104">
        <f>(G93-F93)/F93</f>
        <v>-0.45169281585466559</v>
      </c>
      <c r="H94" s="104">
        <f t="shared" ref="H94" si="420">(H93-G93)/G93</f>
        <v>-0.40963855421686746</v>
      </c>
      <c r="I94" s="104">
        <f t="shared" ref="I94" si="421">(I93-H93)/H93</f>
        <v>1.4005102040816326</v>
      </c>
      <c r="J94" s="104">
        <f t="shared" ref="J94" si="422">(J93-I93)/I93</f>
        <v>2.0191285866099893E-2</v>
      </c>
      <c r="K94" s="104">
        <f t="shared" ref="K94" si="423">(K93-J93)/J93</f>
        <v>3.475679688276069E-2</v>
      </c>
      <c r="L94" s="104">
        <f t="shared" ref="L94" si="424">(L93-K93)/K93</f>
        <v>4.1649931481034283E-2</v>
      </c>
      <c r="M94" s="104">
        <f t="shared" ref="M94" si="425">(M93-L93)/L93</f>
        <v>4.8937093546877135E-2</v>
      </c>
      <c r="N94" s="104">
        <f t="shared" ref="N94" si="426">(N93-M93)/M93</f>
        <v>5.6562799248940671E-2</v>
      </c>
      <c r="O94" s="104">
        <f t="shared" ref="O94" si="427">(O93-N93)/N93</f>
        <v>6.4455126616138808E-2</v>
      </c>
      <c r="P94" s="105"/>
      <c r="Q94" s="106"/>
      <c r="R94" s="104">
        <f t="shared" ref="R94" si="428">(R93-Q93)/Q93</f>
        <v>0.47441860465116281</v>
      </c>
      <c r="S94" s="104">
        <f t="shared" ref="S94" si="429">(S93-R93)/R93</f>
        <v>-0.20504731861198738</v>
      </c>
      <c r="T94" s="104">
        <f t="shared" ref="T94" si="430">(T93-S93)/S93</f>
        <v>0.69444444444444442</v>
      </c>
      <c r="U94" s="104">
        <f t="shared" ref="U94" si="431">(U93-T93)/T93</f>
        <v>-0.44964871194379391</v>
      </c>
      <c r="V94" s="104">
        <f t="shared" ref="V94" si="432">(V93-U93)/U93</f>
        <v>-0.2723404255319149</v>
      </c>
      <c r="W94" s="104">
        <f t="shared" ref="W94" si="433">(W93-V93)/V93</f>
        <v>-0.22222222222222221</v>
      </c>
      <c r="X94" s="104">
        <f t="shared" ref="X94" si="434">(X93-W93)/W93</f>
        <v>-6.0150375939849621E-2</v>
      </c>
      <c r="Y94" s="104">
        <f t="shared" ref="Y94" si="435">(Y93-X93)/X93</f>
        <v>-8.0000000000000002E-3</v>
      </c>
      <c r="Z94" s="104">
        <f t="shared" ref="Z94" si="436">(Z93-Y93)/Y93</f>
        <v>-0.37096774193548387</v>
      </c>
      <c r="AA94" s="104">
        <f t="shared" ref="AA94" si="437">(AA93-Z93)/Z93</f>
        <v>-0.16666666666666666</v>
      </c>
      <c r="AB94" s="104">
        <f t="shared" ref="AB94" si="438">(AB93-AA93)/AA93</f>
        <v>0.92307692307692313</v>
      </c>
      <c r="AC94" s="104">
        <f t="shared" ref="AC94" si="439">(AC93-AB93)/AB93</f>
        <v>1.048</v>
      </c>
      <c r="AD94" s="104">
        <f t="shared" ref="AD94" si="440">(AD93-AC93)/AC93</f>
        <v>-0.26171875</v>
      </c>
      <c r="AE94" s="104">
        <f t="shared" ref="AE94" si="441">(AE93-AD93)/AD93</f>
        <v>-0.20105820105820105</v>
      </c>
      <c r="AF94" s="104">
        <f t="shared" ref="AF94" si="442">(AF93-AE93)/AE93</f>
        <v>1.2847682119205297</v>
      </c>
      <c r="AG94" s="104">
        <f t="shared" ref="AG94" si="443">(AG93-AF93)/AF93</f>
        <v>-8.6956521739130432E-2</v>
      </c>
      <c r="AH94" s="104">
        <f t="shared" ref="AH94" si="444">(AH93-AG93)/AG93</f>
        <v>-0.38412698412698415</v>
      </c>
      <c r="AI94" s="104">
        <f t="shared" ref="AI94" si="445">(AI93-AH93)/AH93</f>
        <v>0.21649484536082475</v>
      </c>
      <c r="AJ94" s="104">
        <f t="shared" ref="AJ94" si="446">(AJ93-AI93)/AI93</f>
        <v>-8.8983050847457626E-2</v>
      </c>
      <c r="AK94" s="126">
        <f>_xlfn.XLOOKUP('Cover Page'!$E$13,'Revenue Build'!$B95:$B97,'Revenue Build'!AK95:AK97)</f>
        <v>-4.747826086956522E-2</v>
      </c>
      <c r="AL94" s="126">
        <f>_xlfn.XLOOKUP('Cover Page'!$E$13,'Revenue Build'!$B95:$B97,'Revenue Build'!AL95:AL97)</f>
        <v>2.8345916266300564E-2</v>
      </c>
      <c r="AM94" s="126">
        <f>_xlfn.XLOOKUP('Cover Page'!$E$13,'Revenue Build'!$B95:$B97,'Revenue Build'!AM95:AM97)</f>
        <v>1.6137566137566173E-2</v>
      </c>
      <c r="AN94" s="126">
        <f>_xlfn.XLOOKUP('Cover Page'!$E$13,'Revenue Build'!$B95:$B97,'Revenue Build'!AN95:AN97)</f>
        <v>0.18146327356853675</v>
      </c>
      <c r="AO94" s="126">
        <f>_xlfn.XLOOKUP('Cover Page'!$E$13,'Revenue Build'!$B95:$B97,'Revenue Build'!AO95:AO97)</f>
        <v>-4.747826086956522E-2</v>
      </c>
      <c r="AP94" s="126">
        <f>_xlfn.XLOOKUP('Cover Page'!$E$13,'Revenue Build'!$B95:$B97,'Revenue Build'!AP95:AP97)</f>
        <v>2.8345916266300564E-2</v>
      </c>
      <c r="AQ94" s="126">
        <f>_xlfn.XLOOKUP('Cover Page'!$E$13,'Revenue Build'!$B95:$B97,'Revenue Build'!AQ95:AQ97)</f>
        <v>1.6137566137566173E-2</v>
      </c>
      <c r="AR94" s="126">
        <f>_xlfn.XLOOKUP('Cover Page'!$E$13,'Revenue Build'!$B95:$B97,'Revenue Build'!AR95:AR97)</f>
        <v>0.18146327356853675</v>
      </c>
      <c r="AS94" s="126">
        <f>_xlfn.XLOOKUP('Cover Page'!$E$13,'Revenue Build'!$B95:$B97,'Revenue Build'!AS95:AS97)</f>
        <v>-4.747826086956522E-2</v>
      </c>
      <c r="AT94" s="126">
        <f>_xlfn.XLOOKUP('Cover Page'!$E$13,'Revenue Build'!$B95:$B97,'Revenue Build'!AT95:AT97)</f>
        <v>2.8345916266300564E-2</v>
      </c>
      <c r="AU94" s="126">
        <f>_xlfn.XLOOKUP('Cover Page'!$E$13,'Revenue Build'!$B95:$B97,'Revenue Build'!AU95:AU97)</f>
        <v>1.6137566137566173E-2</v>
      </c>
      <c r="AV94" s="126">
        <f>_xlfn.XLOOKUP('Cover Page'!$E$13,'Revenue Build'!$B95:$B97,'Revenue Build'!AV95:AV97)</f>
        <v>0.18146327356853675</v>
      </c>
      <c r="AW94" s="126">
        <f>_xlfn.XLOOKUP('Cover Page'!$E$13,'Revenue Build'!$B95:$B97,'Revenue Build'!AW95:AW97)</f>
        <v>-4.747826086956522E-2</v>
      </c>
      <c r="AX94" s="126">
        <f>_xlfn.XLOOKUP('Cover Page'!$E$13,'Revenue Build'!$B95:$B97,'Revenue Build'!AX95:AX97)</f>
        <v>2.8345916266300564E-2</v>
      </c>
      <c r="AY94" s="126">
        <f>_xlfn.XLOOKUP('Cover Page'!$E$13,'Revenue Build'!$B95:$B97,'Revenue Build'!AY95:AY97)</f>
        <v>1.6137566137566173E-2</v>
      </c>
      <c r="AZ94" s="126">
        <f>_xlfn.XLOOKUP('Cover Page'!$E$13,'Revenue Build'!$B95:$B97,'Revenue Build'!AZ95:AZ97)</f>
        <v>0.18146327356853675</v>
      </c>
      <c r="BA94" s="126">
        <f>_xlfn.XLOOKUP('Cover Page'!$E$13,'Revenue Build'!$B95:$B97,'Revenue Build'!BA95:BA97)</f>
        <v>-4.747826086956522E-2</v>
      </c>
      <c r="BB94" s="126">
        <f>_xlfn.XLOOKUP('Cover Page'!$E$13,'Revenue Build'!$B95:$B97,'Revenue Build'!BB95:BB97)</f>
        <v>2.8345916266300564E-2</v>
      </c>
      <c r="BC94" s="126">
        <f>_xlfn.XLOOKUP('Cover Page'!$E$13,'Revenue Build'!$B95:$B97,'Revenue Build'!BC95:BC97)</f>
        <v>1.6137566137566173E-2</v>
      </c>
      <c r="BD94" s="126">
        <f>_xlfn.XLOOKUP('Cover Page'!$E$13,'Revenue Build'!$B95:$B97,'Revenue Build'!BD95:BD97)</f>
        <v>0.18146327356853675</v>
      </c>
    </row>
    <row r="95" spans="1:56" x14ac:dyDescent="0.15">
      <c r="B95" s="1" t="s">
        <v>262</v>
      </c>
      <c r="D95" s="102">
        <v>0.05</v>
      </c>
      <c r="E95" s="43" t="s">
        <v>36</v>
      </c>
      <c r="AK95" s="101">
        <f t="shared" ref="AK95" si="447">AK96+$D95</f>
        <v>2.521739130434783E-3</v>
      </c>
      <c r="AL95" s="101">
        <f t="shared" ref="AL95" si="448">AL96+$D95</f>
        <v>7.8345916266300566E-2</v>
      </c>
      <c r="AM95" s="101">
        <f t="shared" ref="AM95" si="449">AM96+$D95</f>
        <v>6.6137566137566176E-2</v>
      </c>
      <c r="AN95" s="101">
        <f t="shared" ref="AN95" si="450">AN96+$D95</f>
        <v>0.23146327356853674</v>
      </c>
      <c r="AO95" s="101">
        <f t="shared" ref="AO95" si="451">AO96+$D95</f>
        <v>2.521739130434783E-3</v>
      </c>
      <c r="AP95" s="101">
        <f t="shared" ref="AP95" si="452">AP96+$D95</f>
        <v>7.8345916266300566E-2</v>
      </c>
      <c r="AQ95" s="101">
        <f t="shared" ref="AQ95" si="453">AQ96+$D95</f>
        <v>6.6137566137566176E-2</v>
      </c>
      <c r="AR95" s="101">
        <f t="shared" ref="AR95" si="454">AR96+$D95</f>
        <v>0.23146327356853674</v>
      </c>
      <c r="AS95" s="101">
        <f t="shared" ref="AS95" si="455">AS96+$D95</f>
        <v>2.521739130434783E-3</v>
      </c>
      <c r="AT95" s="101">
        <f t="shared" ref="AT95" si="456">AT96+$D95</f>
        <v>7.8345916266300566E-2</v>
      </c>
      <c r="AU95" s="101">
        <f t="shared" ref="AU95" si="457">AU96+$D95</f>
        <v>6.6137566137566176E-2</v>
      </c>
      <c r="AV95" s="101">
        <f t="shared" ref="AV95" si="458">AV96+$D95</f>
        <v>0.23146327356853674</v>
      </c>
      <c r="AW95" s="101">
        <f t="shared" ref="AW95" si="459">AW96+$D95</f>
        <v>2.521739130434783E-3</v>
      </c>
      <c r="AX95" s="101">
        <f t="shared" ref="AX95" si="460">AX96+$D95</f>
        <v>7.8345916266300566E-2</v>
      </c>
      <c r="AY95" s="101">
        <f t="shared" ref="AY95" si="461">AY96+$D95</f>
        <v>6.6137566137566176E-2</v>
      </c>
      <c r="AZ95" s="101">
        <f t="shared" ref="AZ95" si="462">AZ96+$D95</f>
        <v>0.23146327356853674</v>
      </c>
      <c r="BA95" s="101">
        <f t="shared" ref="BA95" si="463">BA96+$D95</f>
        <v>2.521739130434783E-3</v>
      </c>
      <c r="BB95" s="101">
        <f t="shared" ref="BB95" si="464">BB96+$D95</f>
        <v>7.8345916266300566E-2</v>
      </c>
      <c r="BC95" s="101">
        <f t="shared" ref="BC95" si="465">BC96+$D95</f>
        <v>6.6137566137566176E-2</v>
      </c>
      <c r="BD95" s="101">
        <f t="shared" ref="BD95" si="466">BD96+$D95</f>
        <v>0.23146327356853674</v>
      </c>
    </row>
    <row r="96" spans="1:56" x14ac:dyDescent="0.15">
      <c r="B96" s="1" t="s">
        <v>15</v>
      </c>
      <c r="D96" s="102">
        <v>0</v>
      </c>
      <c r="E96" s="43" t="s">
        <v>36</v>
      </c>
      <c r="AK96" s="101">
        <f>MEDIAN(U94,Y94,AC94,AG94)</f>
        <v>-4.747826086956522E-2</v>
      </c>
      <c r="AL96" s="101">
        <f>MEDIAN(V94,Z94,AD94,AH94)+D86</f>
        <v>2.8345916266300564E-2</v>
      </c>
      <c r="AM96" s="101">
        <f>MEDIAN(W94,AA94,AE94,AI94)+D87</f>
        <v>1.6137566137566173E-2</v>
      </c>
      <c r="AN96" s="101">
        <f>MEDIAN(X94,AB94,AF94,AJ94)+D88</f>
        <v>0.18146327356853675</v>
      </c>
      <c r="AO96" s="101">
        <f>AK96</f>
        <v>-4.747826086956522E-2</v>
      </c>
      <c r="AP96" s="101">
        <f t="shared" ref="AP96:BD96" si="467">AL96</f>
        <v>2.8345916266300564E-2</v>
      </c>
      <c r="AQ96" s="101">
        <f t="shared" si="467"/>
        <v>1.6137566137566173E-2</v>
      </c>
      <c r="AR96" s="101">
        <f t="shared" si="467"/>
        <v>0.18146327356853675</v>
      </c>
      <c r="AS96" s="101">
        <f t="shared" si="467"/>
        <v>-4.747826086956522E-2</v>
      </c>
      <c r="AT96" s="101">
        <f t="shared" si="467"/>
        <v>2.8345916266300564E-2</v>
      </c>
      <c r="AU96" s="101">
        <f t="shared" si="467"/>
        <v>1.6137566137566173E-2</v>
      </c>
      <c r="AV96" s="101">
        <f t="shared" si="467"/>
        <v>0.18146327356853675</v>
      </c>
      <c r="AW96" s="101">
        <f t="shared" si="467"/>
        <v>-4.747826086956522E-2</v>
      </c>
      <c r="AX96" s="101">
        <f t="shared" si="467"/>
        <v>2.8345916266300564E-2</v>
      </c>
      <c r="AY96" s="101">
        <f t="shared" si="467"/>
        <v>1.6137566137566173E-2</v>
      </c>
      <c r="AZ96" s="101">
        <f t="shared" si="467"/>
        <v>0.18146327356853675</v>
      </c>
      <c r="BA96" s="101">
        <f t="shared" si="467"/>
        <v>-4.747826086956522E-2</v>
      </c>
      <c r="BB96" s="101">
        <f t="shared" si="467"/>
        <v>2.8345916266300564E-2</v>
      </c>
      <c r="BC96" s="101">
        <f t="shared" si="467"/>
        <v>1.6137566137566173E-2</v>
      </c>
      <c r="BD96" s="101">
        <f t="shared" si="467"/>
        <v>0.18146327356853675</v>
      </c>
    </row>
    <row r="97" spans="1:56" x14ac:dyDescent="0.15">
      <c r="B97" s="1" t="s">
        <v>263</v>
      </c>
      <c r="D97" s="102">
        <v>-0.05</v>
      </c>
      <c r="E97" s="43" t="s">
        <v>36</v>
      </c>
      <c r="AK97" s="101">
        <f t="shared" ref="AK97" si="468">AK96+$D97</f>
        <v>-9.7478260869565223E-2</v>
      </c>
      <c r="AL97" s="101">
        <f t="shared" ref="AL97" si="469">AL96+$D97</f>
        <v>-2.1654083733699439E-2</v>
      </c>
      <c r="AM97" s="101">
        <f t="shared" ref="AM97" si="470">AM96+$D97</f>
        <v>-3.386243386243383E-2</v>
      </c>
      <c r="AN97" s="101">
        <f t="shared" ref="AN97" si="471">AN96+$D97</f>
        <v>0.13146327356853676</v>
      </c>
      <c r="AO97" s="101">
        <f t="shared" ref="AO97" si="472">AO96+$D97</f>
        <v>-9.7478260869565223E-2</v>
      </c>
      <c r="AP97" s="101">
        <f t="shared" ref="AP97" si="473">AP96+$D97</f>
        <v>-2.1654083733699439E-2</v>
      </c>
      <c r="AQ97" s="101">
        <f t="shared" ref="AQ97" si="474">AQ96+$D97</f>
        <v>-3.386243386243383E-2</v>
      </c>
      <c r="AR97" s="101">
        <f t="shared" ref="AR97" si="475">AR96+$D97</f>
        <v>0.13146327356853676</v>
      </c>
      <c r="AS97" s="101">
        <f t="shared" ref="AS97" si="476">AS96+$D97</f>
        <v>-9.7478260869565223E-2</v>
      </c>
      <c r="AT97" s="101">
        <f t="shared" ref="AT97" si="477">AT96+$D97</f>
        <v>-2.1654083733699439E-2</v>
      </c>
      <c r="AU97" s="101">
        <f t="shared" ref="AU97" si="478">AU96+$D97</f>
        <v>-3.386243386243383E-2</v>
      </c>
      <c r="AV97" s="101">
        <f t="shared" ref="AV97" si="479">AV96+$D97</f>
        <v>0.13146327356853676</v>
      </c>
      <c r="AW97" s="101">
        <f t="shared" ref="AW97" si="480">AW96+$D97</f>
        <v>-9.7478260869565223E-2</v>
      </c>
      <c r="AX97" s="101">
        <f t="shared" ref="AX97" si="481">AX96+$D97</f>
        <v>-2.1654083733699439E-2</v>
      </c>
      <c r="AY97" s="101">
        <f t="shared" ref="AY97" si="482">AY96+$D97</f>
        <v>-3.386243386243383E-2</v>
      </c>
      <c r="AZ97" s="101">
        <f t="shared" ref="AZ97" si="483">AZ96+$D97</f>
        <v>0.13146327356853676</v>
      </c>
      <c r="BA97" s="101">
        <f t="shared" ref="BA97" si="484">BA96+$D97</f>
        <v>-9.7478260869565223E-2</v>
      </c>
      <c r="BB97" s="101">
        <f t="shared" ref="BB97" si="485">BB96+$D97</f>
        <v>-2.1654083733699439E-2</v>
      </c>
      <c r="BC97" s="101">
        <f t="shared" ref="BC97" si="486">BC96+$D97</f>
        <v>-3.386243386243383E-2</v>
      </c>
      <c r="BD97" s="101">
        <f t="shared" ref="BD97" si="487">BD96+$D97</f>
        <v>0.13146327356853676</v>
      </c>
    </row>
    <row r="99" spans="1:56" x14ac:dyDescent="0.15">
      <c r="B99" s="1" t="s">
        <v>277</v>
      </c>
      <c r="E99" s="43" t="s">
        <v>33</v>
      </c>
      <c r="F99" s="132">
        <f t="shared" ref="F99:O99" si="488">F90/(F93*1000000)</f>
        <v>2.8596201486374897E-4</v>
      </c>
      <c r="G99" s="132">
        <f t="shared" si="488"/>
        <v>1.7981927710843373E-4</v>
      </c>
      <c r="H99" s="132">
        <f t="shared" si="488"/>
        <v>2.4489795918367346E-4</v>
      </c>
      <c r="I99" s="132">
        <f t="shared" si="488"/>
        <v>3.6726886291179597E-4</v>
      </c>
      <c r="J99" s="132">
        <f t="shared" si="488"/>
        <v>4.9968750000000002E-4</v>
      </c>
      <c r="K99" s="132">
        <f t="shared" si="488"/>
        <v>5.2307056414987129E-4</v>
      </c>
      <c r="L99" s="132">
        <f t="shared" si="488"/>
        <v>5.4403291722378636E-4</v>
      </c>
      <c r="M99" s="132">
        <f t="shared" si="488"/>
        <v>5.6626849618888087E-4</v>
      </c>
      <c r="N99" s="132">
        <f t="shared" si="488"/>
        <v>5.8956902429674839E-4</v>
      </c>
      <c r="O99" s="132">
        <f t="shared" si="488"/>
        <v>6.1367566477597271E-4</v>
      </c>
      <c r="Q99" s="132">
        <f>Q90/(Q93*1000000)</f>
        <v>3.9720930232558138E-4</v>
      </c>
      <c r="R99" s="132">
        <f t="shared" ref="R99:AJ99" si="489">R90/(R93*1000000)</f>
        <v>3.2302839116719244E-4</v>
      </c>
      <c r="S99" s="132">
        <f t="shared" si="489"/>
        <v>2.6865079365079363E-4</v>
      </c>
      <c r="T99" s="132">
        <f t="shared" si="489"/>
        <v>2.126463700234192E-4</v>
      </c>
      <c r="U99" s="132">
        <f t="shared" si="489"/>
        <v>2.0085106382978723E-4</v>
      </c>
      <c r="V99" s="132">
        <f t="shared" si="489"/>
        <v>2.2807017543859649E-4</v>
      </c>
      <c r="W99" s="132">
        <f t="shared" si="489"/>
        <v>1.4887218045112782E-4</v>
      </c>
      <c r="X99" s="132">
        <f t="shared" si="489"/>
        <v>1.072E-4</v>
      </c>
      <c r="Y99" s="132">
        <f t="shared" si="489"/>
        <v>1.7983870967741935E-4</v>
      </c>
      <c r="Z99" s="132">
        <f t="shared" si="489"/>
        <v>2.9487179487179489E-4</v>
      </c>
      <c r="AA99" s="132">
        <f t="shared" si="489"/>
        <v>2.1538461538461539E-4</v>
      </c>
      <c r="AB99" s="132">
        <f t="shared" si="489"/>
        <v>2.9359999999999998E-4</v>
      </c>
      <c r="AC99" s="132">
        <f t="shared" si="489"/>
        <v>3.3359375000000001E-4</v>
      </c>
      <c r="AD99" s="132">
        <f t="shared" si="489"/>
        <v>3.3650793650793652E-4</v>
      </c>
      <c r="AE99" s="132">
        <f t="shared" si="489"/>
        <v>3.6622516556291388E-4</v>
      </c>
      <c r="AF99" s="132">
        <f t="shared" si="489"/>
        <v>4.0956521739130437E-4</v>
      </c>
      <c r="AG99" s="132">
        <f t="shared" si="489"/>
        <v>3.1396825396825395E-4</v>
      </c>
      <c r="AH99" s="132">
        <f t="shared" si="489"/>
        <v>3.1340206185567011E-4</v>
      </c>
      <c r="AI99" s="132">
        <f t="shared" si="489"/>
        <v>5.7203389830508473E-4</v>
      </c>
      <c r="AJ99" s="132">
        <f t="shared" si="489"/>
        <v>8.6046511627906974E-4</v>
      </c>
      <c r="AK99" s="132">
        <f>AG99*(1+AK100)</f>
        <v>3.2664462464395983E-4</v>
      </c>
      <c r="AL99" s="132">
        <f t="shared" ref="AL99:AN99" si="490">AH99*(1+AL100)</f>
        <v>3.1613985913220565E-4</v>
      </c>
      <c r="AM99" s="132">
        <f t="shared" si="490"/>
        <v>4.7573948599235766E-4</v>
      </c>
      <c r="AN99" s="132">
        <f t="shared" si="490"/>
        <v>9.6229482718584362E-4</v>
      </c>
      <c r="AO99" s="132">
        <f>AK99</f>
        <v>3.2664462464395983E-4</v>
      </c>
      <c r="AP99" s="132">
        <f t="shared" ref="AP99:BD99" si="491">AL99</f>
        <v>3.1613985913220565E-4</v>
      </c>
      <c r="AQ99" s="132">
        <f t="shared" si="491"/>
        <v>4.7573948599235766E-4</v>
      </c>
      <c r="AR99" s="132">
        <f t="shared" si="491"/>
        <v>9.6229482718584362E-4</v>
      </c>
      <c r="AS99" s="132">
        <f t="shared" si="491"/>
        <v>3.2664462464395983E-4</v>
      </c>
      <c r="AT99" s="132">
        <f t="shared" si="491"/>
        <v>3.1613985913220565E-4</v>
      </c>
      <c r="AU99" s="132">
        <f t="shared" si="491"/>
        <v>4.7573948599235766E-4</v>
      </c>
      <c r="AV99" s="132">
        <f t="shared" si="491"/>
        <v>9.6229482718584362E-4</v>
      </c>
      <c r="AW99" s="132">
        <f t="shared" si="491"/>
        <v>3.2664462464395983E-4</v>
      </c>
      <c r="AX99" s="132">
        <f t="shared" si="491"/>
        <v>3.1613985913220565E-4</v>
      </c>
      <c r="AY99" s="132">
        <f t="shared" si="491"/>
        <v>4.7573948599235766E-4</v>
      </c>
      <c r="AZ99" s="132">
        <f t="shared" si="491"/>
        <v>9.6229482718584362E-4</v>
      </c>
      <c r="BA99" s="132">
        <f t="shared" si="491"/>
        <v>3.2664462464395983E-4</v>
      </c>
      <c r="BB99" s="132">
        <f t="shared" si="491"/>
        <v>3.1613985913220565E-4</v>
      </c>
      <c r="BC99" s="132">
        <f t="shared" si="491"/>
        <v>4.7573948599235766E-4</v>
      </c>
      <c r="BD99" s="132">
        <f t="shared" si="491"/>
        <v>9.6229482718584362E-4</v>
      </c>
    </row>
    <row r="100" spans="1:56" x14ac:dyDescent="0.15">
      <c r="B100" s="98" t="s">
        <v>261</v>
      </c>
      <c r="C100" s="45"/>
      <c r="D100" s="45"/>
      <c r="E100" s="46" t="s">
        <v>36</v>
      </c>
      <c r="F100" s="103"/>
      <c r="G100" s="104">
        <f>(G99-F99)/F99</f>
        <v>-0.37117775172303424</v>
      </c>
      <c r="H100" s="104">
        <f t="shared" ref="H100" si="492">(H99-G99)/G99</f>
        <v>0.36191159881037843</v>
      </c>
      <c r="I100" s="104">
        <f t="shared" ref="I100" si="493">(I99-H99)/H99</f>
        <v>0.49968119022316693</v>
      </c>
      <c r="J100" s="104">
        <f t="shared" ref="J100" si="494">(J99-I99)/I99</f>
        <v>0.36054958767361117</v>
      </c>
      <c r="K100" s="104">
        <f t="shared" ref="K100" si="495">(K99-J99)/J99</f>
        <v>4.6795375409373383E-2</v>
      </c>
      <c r="L100" s="104">
        <f t="shared" ref="L100" si="496">(L99-K99)/K99</f>
        <v>4.0075573948582757E-2</v>
      </c>
      <c r="M100" s="104">
        <f t="shared" ref="M100" si="497">(M99-L99)/L99</f>
        <v>4.0871752905252925E-2</v>
      </c>
      <c r="N100" s="104">
        <f t="shared" ref="N100" si="498">(N99-M99)/M99</f>
        <v>4.1147491454469942E-2</v>
      </c>
      <c r="O100" s="104">
        <f t="shared" ref="O100" si="499">(O99-N99)/N99</f>
        <v>4.0888580447351823E-2</v>
      </c>
      <c r="P100" s="105"/>
      <c r="Q100" s="106"/>
      <c r="R100" s="104">
        <f t="shared" ref="R100" si="500">(R99-Q99)/Q99</f>
        <v>-0.18675522130039371</v>
      </c>
      <c r="S100" s="104">
        <f t="shared" ref="S100" si="501">(S99-R99)/R99</f>
        <v>-0.16833689856150802</v>
      </c>
      <c r="T100" s="104">
        <f t="shared" ref="T100" si="502">(T99-S99)/S99</f>
        <v>-0.20846550596895655</v>
      </c>
      <c r="U100" s="104">
        <f t="shared" ref="U100" si="503">(U99-T99)/T99</f>
        <v>-5.5469116130846353E-2</v>
      </c>
      <c r="V100" s="104">
        <f t="shared" ref="V100" si="504">(V99-U99)/U99</f>
        <v>0.1355188819506393</v>
      </c>
      <c r="W100" s="104">
        <f t="shared" ref="W100" si="505">(W99-V99)/V99</f>
        <v>-0.34725274725274724</v>
      </c>
      <c r="X100" s="104">
        <f t="shared" ref="X100" si="506">(X99-W99)/W99</f>
        <v>-0.2799191919191919</v>
      </c>
      <c r="Y100" s="104">
        <f t="shared" ref="Y100" si="507">(Y99-X99)/X99</f>
        <v>0.67759990370726997</v>
      </c>
      <c r="Z100" s="104">
        <f t="shared" ref="Z100" si="508">(Z99-Y99)/Y99</f>
        <v>0.63964585489249182</v>
      </c>
      <c r="AA100" s="104">
        <f t="shared" ref="AA100" si="509">(AA99-Z99)/Z99</f>
        <v>-0.2695652173913044</v>
      </c>
      <c r="AB100" s="104">
        <f t="shared" ref="AB100" si="510">(AB99-AA99)/AA99</f>
        <v>0.36314285714285705</v>
      </c>
      <c r="AC100" s="104">
        <f t="shared" ref="AC100" si="511">(AC99-AB99)/AB99</f>
        <v>0.13621849455040885</v>
      </c>
      <c r="AD100" s="104">
        <f t="shared" ref="AD100" si="512">(AD99-AC99)/AC99</f>
        <v>8.7357347310508711E-3</v>
      </c>
      <c r="AE100" s="104">
        <f t="shared" ref="AE100" si="513">(AE99-AD99)/AD99</f>
        <v>8.8310633512432735E-2</v>
      </c>
      <c r="AF100" s="104">
        <f t="shared" ref="AF100" si="514">(AF99-AE99)/AE99</f>
        <v>0.11834263699976426</v>
      </c>
      <c r="AG100" s="104">
        <f t="shared" ref="AG100" si="515">(AG99-AF99)/AF99</f>
        <v>-0.23341084487581309</v>
      </c>
      <c r="AH100" s="104">
        <f t="shared" ref="AH100" si="516">(AH99-AG99)/AG99</f>
        <v>-1.8033419157119201E-3</v>
      </c>
      <c r="AI100" s="104">
        <f t="shared" ref="AI100" si="517">(AI99-AH99)/AH99</f>
        <v>0.8252397413024084</v>
      </c>
      <c r="AJ100" s="104">
        <f t="shared" ref="AJ100" si="518">(AJ99-AI99)/AI99</f>
        <v>0.50422049956933679</v>
      </c>
      <c r="AK100" s="101">
        <f>MEDIAN(AG100,AC100,Y100,U100)</f>
        <v>4.0374689209781246E-2</v>
      </c>
      <c r="AL100" s="101">
        <f>MEDIAN(AH100,AD100,Z100,V100,R100)</f>
        <v>8.7357347310508711E-3</v>
      </c>
      <c r="AM100" s="101">
        <f t="shared" ref="AM100:AN100" si="519">MEDIAN(AI100,AE100,AA100,W100,S100)</f>
        <v>-0.16833689856150802</v>
      </c>
      <c r="AN100" s="101">
        <f t="shared" si="519"/>
        <v>0.11834263699976426</v>
      </c>
      <c r="AO100" s="101">
        <v>0</v>
      </c>
      <c r="AP100" s="101">
        <v>0</v>
      </c>
      <c r="AQ100" s="101">
        <v>0</v>
      </c>
      <c r="AR100" s="101">
        <v>0</v>
      </c>
      <c r="AS100" s="101">
        <v>0</v>
      </c>
      <c r="AT100" s="101">
        <v>0</v>
      </c>
      <c r="AU100" s="101">
        <v>0</v>
      </c>
      <c r="AV100" s="101">
        <v>0</v>
      </c>
      <c r="AW100" s="101">
        <v>0</v>
      </c>
      <c r="AX100" s="101">
        <v>0</v>
      </c>
      <c r="AY100" s="101">
        <v>0</v>
      </c>
      <c r="AZ100" s="101">
        <v>0</v>
      </c>
      <c r="BA100" s="101">
        <v>0</v>
      </c>
      <c r="BB100" s="101">
        <v>0</v>
      </c>
      <c r="BC100" s="101">
        <v>0</v>
      </c>
      <c r="BD100" s="101">
        <v>0</v>
      </c>
    </row>
    <row r="102" spans="1:56" x14ac:dyDescent="0.15">
      <c r="A102" s="1" t="s">
        <v>27</v>
      </c>
      <c r="B102" s="33" t="s">
        <v>278</v>
      </c>
      <c r="C102" s="33"/>
      <c r="D102" s="33"/>
      <c r="E102" s="34" t="s">
        <v>29</v>
      </c>
      <c r="F102" s="35">
        <v>21</v>
      </c>
      <c r="G102" s="35">
        <f>F102+1</f>
        <v>22</v>
      </c>
      <c r="H102" s="35">
        <f t="shared" ref="H102" si="520">G102+1</f>
        <v>23</v>
      </c>
      <c r="I102" s="35">
        <f t="shared" ref="I102" si="521">H102+1</f>
        <v>24</v>
      </c>
      <c r="J102" s="35">
        <f t="shared" ref="J102" si="522">I102+1</f>
        <v>25</v>
      </c>
      <c r="K102" s="36">
        <f t="shared" ref="K102" si="523">J102+1</f>
        <v>26</v>
      </c>
      <c r="L102" s="36">
        <f t="shared" ref="L102" si="524">K102+1</f>
        <v>27</v>
      </c>
      <c r="M102" s="36">
        <f t="shared" ref="M102" si="525">L102+1</f>
        <v>28</v>
      </c>
      <c r="N102" s="36">
        <f t="shared" ref="N102" si="526">M102+1</f>
        <v>29</v>
      </c>
      <c r="O102" s="36">
        <f t="shared" ref="O102" si="527">N102+1</f>
        <v>30</v>
      </c>
      <c r="Q102" s="41">
        <v>44286</v>
      </c>
      <c r="R102" s="41">
        <v>44377</v>
      </c>
      <c r="S102" s="41">
        <v>44469</v>
      </c>
      <c r="T102" s="41">
        <v>44561</v>
      </c>
      <c r="U102" s="41">
        <v>44651</v>
      </c>
      <c r="V102" s="41">
        <v>44742</v>
      </c>
      <c r="W102" s="41">
        <v>44834</v>
      </c>
      <c r="X102" s="41">
        <v>44926</v>
      </c>
      <c r="Y102" s="41">
        <v>45016</v>
      </c>
      <c r="Z102" s="41">
        <v>45107</v>
      </c>
      <c r="AA102" s="41">
        <v>45199</v>
      </c>
      <c r="AB102" s="41">
        <v>45291</v>
      </c>
      <c r="AC102" s="41">
        <v>45382</v>
      </c>
      <c r="AD102" s="41">
        <v>45473</v>
      </c>
      <c r="AE102" s="41">
        <v>45565</v>
      </c>
      <c r="AF102" s="41">
        <v>45657</v>
      </c>
      <c r="AG102" s="41">
        <v>45747</v>
      </c>
      <c r="AH102" s="41">
        <v>45838</v>
      </c>
      <c r="AI102" s="41">
        <v>45930</v>
      </c>
      <c r="AJ102" s="41">
        <v>46022</v>
      </c>
      <c r="AK102" s="41">
        <v>46112</v>
      </c>
      <c r="AL102" s="41">
        <v>46203</v>
      </c>
      <c r="AM102" s="41">
        <v>46295</v>
      </c>
      <c r="AN102" s="41">
        <v>46387</v>
      </c>
      <c r="AO102" s="41">
        <v>46477</v>
      </c>
      <c r="AP102" s="41">
        <v>46568</v>
      </c>
      <c r="AQ102" s="41">
        <v>46660</v>
      </c>
      <c r="AR102" s="41">
        <v>46752</v>
      </c>
      <c r="AS102" s="41">
        <v>46843</v>
      </c>
      <c r="AT102" s="41">
        <v>46934</v>
      </c>
      <c r="AU102" s="41">
        <v>47026</v>
      </c>
      <c r="AV102" s="41">
        <v>47118</v>
      </c>
      <c r="AW102" s="41">
        <v>47208</v>
      </c>
      <c r="AX102" s="41">
        <v>47299</v>
      </c>
      <c r="AY102" s="41">
        <v>47391</v>
      </c>
      <c r="AZ102" s="41">
        <v>47483</v>
      </c>
      <c r="BA102" s="41">
        <v>47573</v>
      </c>
      <c r="BB102" s="41">
        <v>47664</v>
      </c>
      <c r="BC102" s="41">
        <v>47756</v>
      </c>
      <c r="BD102" s="41">
        <v>47848</v>
      </c>
    </row>
    <row r="104" spans="1:56" x14ac:dyDescent="0.15">
      <c r="B104" s="1" t="s">
        <v>279</v>
      </c>
      <c r="E104" s="43" t="s">
        <v>33</v>
      </c>
      <c r="F104" s="50">
        <f t="shared" ref="F104:O104" si="528">SUMIFS($Q104:$BD104,$Q$1:$BD$1,F$1)</f>
        <v>0</v>
      </c>
      <c r="G104" s="50">
        <f t="shared" si="528"/>
        <v>0</v>
      </c>
      <c r="H104" s="50">
        <f t="shared" si="528"/>
        <v>23600</v>
      </c>
      <c r="I104" s="50">
        <f t="shared" si="528"/>
        <v>210200</v>
      </c>
      <c r="J104" s="50">
        <f t="shared" si="528"/>
        <v>252800</v>
      </c>
      <c r="K104" s="50">
        <f t="shared" si="528"/>
        <v>256010.30802616157</v>
      </c>
      <c r="L104" s="50">
        <f t="shared" si="528"/>
        <v>266582.21186081594</v>
      </c>
      <c r="M104" s="50">
        <f t="shared" si="528"/>
        <v>285267.43157572049</v>
      </c>
      <c r="N104" s="50">
        <f t="shared" si="528"/>
        <v>313260.25183432101</v>
      </c>
      <c r="O104" s="50">
        <f t="shared" si="528"/>
        <v>352264.33035172976</v>
      </c>
      <c r="Q104" s="50">
        <f t="shared" ref="Q104:AJ104" si="529">Q13</f>
        <v>0</v>
      </c>
      <c r="R104" s="50">
        <f t="shared" si="529"/>
        <v>0</v>
      </c>
      <c r="S104" s="50">
        <f t="shared" si="529"/>
        <v>0</v>
      </c>
      <c r="T104" s="50">
        <f t="shared" si="529"/>
        <v>0</v>
      </c>
      <c r="U104" s="50">
        <f t="shared" si="529"/>
        <v>0</v>
      </c>
      <c r="V104" s="50">
        <f t="shared" si="529"/>
        <v>0</v>
      </c>
      <c r="W104" s="50">
        <f t="shared" si="529"/>
        <v>0</v>
      </c>
      <c r="X104" s="50">
        <f t="shared" si="529"/>
        <v>0</v>
      </c>
      <c r="Y104" s="50">
        <f t="shared" si="529"/>
        <v>0</v>
      </c>
      <c r="Z104" s="50">
        <f t="shared" si="529"/>
        <v>0</v>
      </c>
      <c r="AA104" s="50">
        <f t="shared" si="529"/>
        <v>0</v>
      </c>
      <c r="AB104" s="50">
        <f t="shared" si="529"/>
        <v>23600</v>
      </c>
      <c r="AC104" s="50">
        <f t="shared" si="529"/>
        <v>56100</v>
      </c>
      <c r="AD104" s="50">
        <f t="shared" si="529"/>
        <v>52500</v>
      </c>
      <c r="AE104" s="50">
        <f t="shared" si="529"/>
        <v>34000</v>
      </c>
      <c r="AF104" s="50">
        <f t="shared" si="529"/>
        <v>67600</v>
      </c>
      <c r="AG104" s="50">
        <f t="shared" si="529"/>
        <v>67800</v>
      </c>
      <c r="AH104" s="50">
        <f t="shared" si="529"/>
        <v>53500</v>
      </c>
      <c r="AI104" s="50">
        <f t="shared" si="529"/>
        <v>67700</v>
      </c>
      <c r="AJ104" s="50">
        <f t="shared" si="529"/>
        <v>63800</v>
      </c>
      <c r="AK104" s="50">
        <f>AG104*(1+AK105)</f>
        <v>68000.591715976319</v>
      </c>
      <c r="AL104" s="50">
        <f t="shared" ref="AL104" si="530">AH104*(1+AL105)</f>
        <v>42216.07669616519</v>
      </c>
      <c r="AM104" s="50">
        <f t="shared" ref="AM104" si="531">AI104*(1+AM105)</f>
        <v>85668.971962616823</v>
      </c>
      <c r="AN104" s="50">
        <f t="shared" ref="AN104" si="532">AJ104*(1+AN105)</f>
        <v>60124.667651403244</v>
      </c>
      <c r="AO104" s="50">
        <f t="shared" ref="AO104" si="533">AK104*(1+AO105)</f>
        <v>68201.776898567958</v>
      </c>
      <c r="AP104" s="50">
        <f t="shared" ref="AP104" si="534">AL104*(1+AP105)</f>
        <v>33312.095918065454</v>
      </c>
      <c r="AQ104" s="50">
        <f t="shared" ref="AQ104" si="535">AM104*(1+AQ105)</f>
        <v>108407.27853961046</v>
      </c>
      <c r="AR104" s="50">
        <f t="shared" ref="AR104" si="536">AN104*(1+AR105)</f>
        <v>56661.060504572037</v>
      </c>
      <c r="AS104" s="50">
        <f t="shared" ref="AS104" si="537">AO104*(1+AS105)</f>
        <v>68403.557303593305</v>
      </c>
      <c r="AT104" s="50">
        <f t="shared" ref="AT104" si="538">AP104*(1+AT105)</f>
        <v>26286.093386674067</v>
      </c>
      <c r="AU104" s="50">
        <f t="shared" ref="AU104" si="539">AQ104*(1+AU105)</f>
        <v>137180.79919872203</v>
      </c>
      <c r="AV104" s="50">
        <f t="shared" ref="AV104" si="540">AR104*(1+AV105)</f>
        <v>53396.981686731102</v>
      </c>
      <c r="AW104" s="50">
        <f t="shared" ref="AW104" si="541">AS104*(1+AW105)</f>
        <v>68605.934692065464</v>
      </c>
      <c r="AX104" s="50">
        <f t="shared" ref="AX104" si="542">AT104*(1+AX105)</f>
        <v>20741.976344941926</v>
      </c>
      <c r="AY104" s="50">
        <f t="shared" ref="AY104" si="543">AU104*(1+AY105)</f>
        <v>173591.40384585949</v>
      </c>
      <c r="AZ104" s="50">
        <f t="shared" ref="AZ104" si="544">AV104*(1+AZ105)</f>
        <v>50320.936951454125</v>
      </c>
      <c r="BA104" s="50">
        <f t="shared" ref="BA104" si="545">AW104*(1+BA105)</f>
        <v>68808.910830207664</v>
      </c>
      <c r="BB104" s="50">
        <f t="shared" ref="BB104" si="546">AX104*(1+BB105)</f>
        <v>16367.19372351612</v>
      </c>
      <c r="BC104" s="50">
        <f t="shared" ref="BC104" si="547">AY104*(1+BC105)</f>
        <v>219666.13159560165</v>
      </c>
      <c r="BD104" s="50">
        <f t="shared" ref="BD104" si="548">AZ104*(1+BD105)</f>
        <v>47422.094202404325</v>
      </c>
    </row>
    <row r="105" spans="1:56" x14ac:dyDescent="0.15">
      <c r="B105" s="98" t="s">
        <v>261</v>
      </c>
      <c r="C105" s="45"/>
      <c r="D105" s="45"/>
      <c r="E105" s="46" t="s">
        <v>36</v>
      </c>
      <c r="F105" s="103"/>
      <c r="G105" s="104" t="e">
        <f>(G104-F104)/F104</f>
        <v>#DIV/0!</v>
      </c>
      <c r="H105" s="104" t="e">
        <f t="shared" ref="H105" si="549">(H104-G104)/G104</f>
        <v>#DIV/0!</v>
      </c>
      <c r="I105" s="104">
        <f t="shared" ref="I105" si="550">(I104-H104)/H104</f>
        <v>7.906779661016949</v>
      </c>
      <c r="J105" s="104">
        <f t="shared" ref="J105" si="551">(J104-I104)/I104</f>
        <v>0.20266412940057088</v>
      </c>
      <c r="K105" s="104">
        <f t="shared" ref="K105" si="552">(K104-J104)/J104</f>
        <v>1.2699003268044179E-2</v>
      </c>
      <c r="L105" s="104">
        <f t="shared" ref="L105" si="553">(L104-K104)/K104</f>
        <v>4.1294836587494083E-2</v>
      </c>
      <c r="M105" s="104">
        <f t="shared" ref="M105" si="554">(M104-L104)/L104</f>
        <v>7.0091772382248105E-2</v>
      </c>
      <c r="N105" s="104">
        <f t="shared" ref="N105" si="555">(N104-M104)/M104</f>
        <v>9.8128342601108309E-2</v>
      </c>
      <c r="O105" s="104">
        <f t="shared" ref="O105" si="556">(O104-N104)/N104</f>
        <v>0.12451014225078726</v>
      </c>
      <c r="P105" s="105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4">
        <f t="shared" ref="AC105" si="557">(AC104-AB104)/AB104</f>
        <v>1.3771186440677967</v>
      </c>
      <c r="AD105" s="104">
        <f t="shared" ref="AD105" si="558">(AD104-AC104)/AC104</f>
        <v>-6.4171122994652413E-2</v>
      </c>
      <c r="AE105" s="104">
        <f t="shared" ref="AE105" si="559">(AE104-AD104)/AD104</f>
        <v>-0.35238095238095241</v>
      </c>
      <c r="AF105" s="104">
        <f t="shared" ref="AF105" si="560">(AF104-AE104)/AE104</f>
        <v>0.9882352941176471</v>
      </c>
      <c r="AG105" s="104">
        <f t="shared" ref="AG105" si="561">(AG104-AF104)/AF104</f>
        <v>2.9585798816568047E-3</v>
      </c>
      <c r="AH105" s="104">
        <f t="shared" ref="AH105" si="562">(AH104-AG104)/AG104</f>
        <v>-0.21091445427728614</v>
      </c>
      <c r="AI105" s="104">
        <f t="shared" ref="AI105" si="563">(AI104-AH104)/AH104</f>
        <v>0.26542056074766357</v>
      </c>
      <c r="AJ105" s="104">
        <f t="shared" ref="AJ105" si="564">(AJ104-AI104)/AI104</f>
        <v>-5.7607090103397339E-2</v>
      </c>
      <c r="AK105" s="126">
        <f>_xlfn.XLOOKUP('Cover Page'!$E$13,'Revenue Build'!$B106:$B108,'Revenue Build'!AK106:AK108)</f>
        <v>2.9585798816568047E-3</v>
      </c>
      <c r="AL105" s="126">
        <f>_xlfn.XLOOKUP('Cover Page'!$E$13,'Revenue Build'!$B106:$B108,'Revenue Build'!AL106:AL108)</f>
        <v>-0.21091445427728614</v>
      </c>
      <c r="AM105" s="126">
        <f>_xlfn.XLOOKUP('Cover Page'!$E$13,'Revenue Build'!$B106:$B108,'Revenue Build'!AM106:AM108)</f>
        <v>0.26542056074766357</v>
      </c>
      <c r="AN105" s="126">
        <f>_xlfn.XLOOKUP('Cover Page'!$E$13,'Revenue Build'!$B106:$B108,'Revenue Build'!AN106:AN108)</f>
        <v>-5.7607090103397339E-2</v>
      </c>
      <c r="AO105" s="126">
        <f>_xlfn.XLOOKUP('Cover Page'!$E$13,'Revenue Build'!$B106:$B108,'Revenue Build'!AO106:AO108)</f>
        <v>2.9585798816568047E-3</v>
      </c>
      <c r="AP105" s="126">
        <f>_xlfn.XLOOKUP('Cover Page'!$E$13,'Revenue Build'!$B106:$B108,'Revenue Build'!AP106:AP108)</f>
        <v>-0.21091445427728614</v>
      </c>
      <c r="AQ105" s="126">
        <f>_xlfn.XLOOKUP('Cover Page'!$E$13,'Revenue Build'!$B106:$B108,'Revenue Build'!AQ106:AQ108)</f>
        <v>0.26542056074766357</v>
      </c>
      <c r="AR105" s="126">
        <f>_xlfn.XLOOKUP('Cover Page'!$E$13,'Revenue Build'!$B106:$B108,'Revenue Build'!AR106:AR108)</f>
        <v>-5.7607090103397339E-2</v>
      </c>
      <c r="AS105" s="126">
        <f>_xlfn.XLOOKUP('Cover Page'!$E$13,'Revenue Build'!$B106:$B108,'Revenue Build'!AS106:AS108)</f>
        <v>2.9585798816568047E-3</v>
      </c>
      <c r="AT105" s="126">
        <f>_xlfn.XLOOKUP('Cover Page'!$E$13,'Revenue Build'!$B106:$B108,'Revenue Build'!AT106:AT108)</f>
        <v>-0.21091445427728614</v>
      </c>
      <c r="AU105" s="126">
        <f>_xlfn.XLOOKUP('Cover Page'!$E$13,'Revenue Build'!$B106:$B108,'Revenue Build'!AU106:AU108)</f>
        <v>0.26542056074766357</v>
      </c>
      <c r="AV105" s="126">
        <f>_xlfn.XLOOKUP('Cover Page'!$E$13,'Revenue Build'!$B106:$B108,'Revenue Build'!AV106:AV108)</f>
        <v>-5.7607090103397339E-2</v>
      </c>
      <c r="AW105" s="126">
        <f>_xlfn.XLOOKUP('Cover Page'!$E$13,'Revenue Build'!$B106:$B108,'Revenue Build'!AW106:AW108)</f>
        <v>2.9585798816568047E-3</v>
      </c>
      <c r="AX105" s="126">
        <f>_xlfn.XLOOKUP('Cover Page'!$E$13,'Revenue Build'!$B106:$B108,'Revenue Build'!AX106:AX108)</f>
        <v>-0.21091445427728614</v>
      </c>
      <c r="AY105" s="126">
        <f>_xlfn.XLOOKUP('Cover Page'!$E$13,'Revenue Build'!$B106:$B108,'Revenue Build'!AY106:AY108)</f>
        <v>0.26542056074766357</v>
      </c>
      <c r="AZ105" s="126">
        <f>_xlfn.XLOOKUP('Cover Page'!$E$13,'Revenue Build'!$B106:$B108,'Revenue Build'!AZ106:AZ108)</f>
        <v>-5.7607090103397339E-2</v>
      </c>
      <c r="BA105" s="126">
        <f>_xlfn.XLOOKUP('Cover Page'!$E$13,'Revenue Build'!$B106:$B108,'Revenue Build'!BA106:BA108)</f>
        <v>2.9585798816568047E-3</v>
      </c>
      <c r="BB105" s="126">
        <f>_xlfn.XLOOKUP('Cover Page'!$E$13,'Revenue Build'!$B106:$B108,'Revenue Build'!BB106:BB108)</f>
        <v>-0.21091445427728614</v>
      </c>
      <c r="BC105" s="126">
        <f>_xlfn.XLOOKUP('Cover Page'!$E$13,'Revenue Build'!$B106:$B108,'Revenue Build'!BC106:BC108)</f>
        <v>0.26542056074766357</v>
      </c>
      <c r="BD105" s="126">
        <f>_xlfn.XLOOKUP('Cover Page'!$E$13,'Revenue Build'!$B106:$B108,'Revenue Build'!BD106:BD108)</f>
        <v>-5.7607090103397339E-2</v>
      </c>
    </row>
    <row r="106" spans="1:56" x14ac:dyDescent="0.15">
      <c r="B106" s="1" t="s">
        <v>262</v>
      </c>
      <c r="D106" s="102">
        <v>0.05</v>
      </c>
      <c r="E106" s="43" t="s">
        <v>36</v>
      </c>
      <c r="AK106" s="101">
        <f t="shared" ref="AK106" si="565">AK107+$D106</f>
        <v>5.2958579881656809E-2</v>
      </c>
      <c r="AL106" s="101">
        <f t="shared" ref="AL106" si="566">AL107+$D106</f>
        <v>-0.16091445427728612</v>
      </c>
      <c r="AM106" s="101">
        <f t="shared" ref="AM106" si="567">AM107+$D106</f>
        <v>0.31542056074766356</v>
      </c>
      <c r="AN106" s="101">
        <f t="shared" ref="AN106" si="568">AN107+$D106</f>
        <v>-7.6070901033973362E-3</v>
      </c>
      <c r="AO106" s="101">
        <f t="shared" ref="AO106" si="569">AO107+$D106</f>
        <v>5.2958579881656809E-2</v>
      </c>
      <c r="AP106" s="101">
        <f t="shared" ref="AP106" si="570">AP107+$D106</f>
        <v>-0.16091445427728612</v>
      </c>
      <c r="AQ106" s="101">
        <f t="shared" ref="AQ106" si="571">AQ107+$D106</f>
        <v>0.31542056074766356</v>
      </c>
      <c r="AR106" s="101">
        <f t="shared" ref="AR106" si="572">AR107+$D106</f>
        <v>-7.6070901033973362E-3</v>
      </c>
      <c r="AS106" s="101">
        <f t="shared" ref="AS106" si="573">AS107+$D106</f>
        <v>5.2958579881656809E-2</v>
      </c>
      <c r="AT106" s="101">
        <f t="shared" ref="AT106" si="574">AT107+$D106</f>
        <v>-0.16091445427728612</v>
      </c>
      <c r="AU106" s="101">
        <f t="shared" ref="AU106" si="575">AU107+$D106</f>
        <v>0.31542056074766356</v>
      </c>
      <c r="AV106" s="101">
        <f t="shared" ref="AV106" si="576">AV107+$D106</f>
        <v>-7.6070901033973362E-3</v>
      </c>
      <c r="AW106" s="101">
        <f t="shared" ref="AW106" si="577">AW107+$D106</f>
        <v>5.2958579881656809E-2</v>
      </c>
      <c r="AX106" s="101">
        <f t="shared" ref="AX106" si="578">AX107+$D106</f>
        <v>-0.16091445427728612</v>
      </c>
      <c r="AY106" s="101">
        <f t="shared" ref="AY106" si="579">AY107+$D106</f>
        <v>0.31542056074766356</v>
      </c>
      <c r="AZ106" s="101">
        <f t="shared" ref="AZ106" si="580">AZ107+$D106</f>
        <v>-7.6070901033973362E-3</v>
      </c>
      <c r="BA106" s="101">
        <f t="shared" ref="BA106" si="581">BA107+$D106</f>
        <v>5.2958579881656809E-2</v>
      </c>
      <c r="BB106" s="101">
        <f t="shared" ref="BB106" si="582">BB107+$D106</f>
        <v>-0.16091445427728612</v>
      </c>
      <c r="BC106" s="101">
        <f t="shared" ref="BC106" si="583">BC107+$D106</f>
        <v>0.31542056074766356</v>
      </c>
      <c r="BD106" s="101">
        <f t="shared" ref="BD106" si="584">BD107+$D106</f>
        <v>-7.6070901033973362E-3</v>
      </c>
    </row>
    <row r="107" spans="1:56" x14ac:dyDescent="0.15">
      <c r="B107" s="1" t="s">
        <v>15</v>
      </c>
      <c r="D107" s="102">
        <v>0</v>
      </c>
      <c r="E107" s="43" t="s">
        <v>36</v>
      </c>
      <c r="AK107" s="101">
        <f>AG105</f>
        <v>2.9585798816568047E-3</v>
      </c>
      <c r="AL107" s="101">
        <f t="shared" ref="AL107:AN107" si="585">AH105</f>
        <v>-0.21091445427728614</v>
      </c>
      <c r="AM107" s="101">
        <f t="shared" si="585"/>
        <v>0.26542056074766357</v>
      </c>
      <c r="AN107" s="101">
        <f t="shared" si="585"/>
        <v>-5.7607090103397339E-2</v>
      </c>
      <c r="AO107" s="101">
        <f>AK107</f>
        <v>2.9585798816568047E-3</v>
      </c>
      <c r="AP107" s="101">
        <f t="shared" ref="AP107:BD107" si="586">AL107</f>
        <v>-0.21091445427728614</v>
      </c>
      <c r="AQ107" s="101">
        <f t="shared" si="586"/>
        <v>0.26542056074766357</v>
      </c>
      <c r="AR107" s="101">
        <f t="shared" si="586"/>
        <v>-5.7607090103397339E-2</v>
      </c>
      <c r="AS107" s="101">
        <f t="shared" si="586"/>
        <v>2.9585798816568047E-3</v>
      </c>
      <c r="AT107" s="101">
        <f t="shared" si="586"/>
        <v>-0.21091445427728614</v>
      </c>
      <c r="AU107" s="101">
        <f t="shared" si="586"/>
        <v>0.26542056074766357</v>
      </c>
      <c r="AV107" s="101">
        <f t="shared" si="586"/>
        <v>-5.7607090103397339E-2</v>
      </c>
      <c r="AW107" s="101">
        <f t="shared" si="586"/>
        <v>2.9585798816568047E-3</v>
      </c>
      <c r="AX107" s="101">
        <f t="shared" si="586"/>
        <v>-0.21091445427728614</v>
      </c>
      <c r="AY107" s="101">
        <f t="shared" si="586"/>
        <v>0.26542056074766357</v>
      </c>
      <c r="AZ107" s="101">
        <f t="shared" si="586"/>
        <v>-5.7607090103397339E-2</v>
      </c>
      <c r="BA107" s="101">
        <f t="shared" si="586"/>
        <v>2.9585798816568047E-3</v>
      </c>
      <c r="BB107" s="101">
        <f t="shared" si="586"/>
        <v>-0.21091445427728614</v>
      </c>
      <c r="BC107" s="101">
        <f t="shared" si="586"/>
        <v>0.26542056074766357</v>
      </c>
      <c r="BD107" s="101">
        <f t="shared" si="586"/>
        <v>-5.7607090103397339E-2</v>
      </c>
    </row>
    <row r="108" spans="1:56" x14ac:dyDescent="0.15">
      <c r="B108" s="1" t="s">
        <v>263</v>
      </c>
      <c r="D108" s="102">
        <v>-0.05</v>
      </c>
      <c r="E108" s="43" t="s">
        <v>36</v>
      </c>
      <c r="AK108" s="101">
        <f t="shared" ref="AK108" si="587">AK107+$D108</f>
        <v>-4.7041420118343197E-2</v>
      </c>
      <c r="AL108" s="101">
        <f t="shared" ref="AL108" si="588">AL107+$D108</f>
        <v>-0.26091445427728616</v>
      </c>
      <c r="AM108" s="101">
        <f t="shared" ref="AM108" si="589">AM107+$D108</f>
        <v>0.21542056074766358</v>
      </c>
      <c r="AN108" s="101">
        <f t="shared" ref="AN108" si="590">AN107+$D108</f>
        <v>-0.10760709010339733</v>
      </c>
      <c r="AO108" s="101">
        <f t="shared" ref="AO108" si="591">AO107+$D108</f>
        <v>-4.7041420118343197E-2</v>
      </c>
      <c r="AP108" s="101">
        <f t="shared" ref="AP108" si="592">AP107+$D108</f>
        <v>-0.26091445427728616</v>
      </c>
      <c r="AQ108" s="101">
        <f t="shared" ref="AQ108" si="593">AQ107+$D108</f>
        <v>0.21542056074766358</v>
      </c>
      <c r="AR108" s="101">
        <f t="shared" ref="AR108" si="594">AR107+$D108</f>
        <v>-0.10760709010339733</v>
      </c>
      <c r="AS108" s="101">
        <f t="shared" ref="AS108" si="595">AS107+$D108</f>
        <v>-4.7041420118343197E-2</v>
      </c>
      <c r="AT108" s="101">
        <f t="shared" ref="AT108" si="596">AT107+$D108</f>
        <v>-0.26091445427728616</v>
      </c>
      <c r="AU108" s="101">
        <f t="shared" ref="AU108" si="597">AU107+$D108</f>
        <v>0.21542056074766358</v>
      </c>
      <c r="AV108" s="101">
        <f t="shared" ref="AV108" si="598">AV107+$D108</f>
        <v>-0.10760709010339733</v>
      </c>
      <c r="AW108" s="101">
        <f t="shared" ref="AW108" si="599">AW107+$D108</f>
        <v>-4.7041420118343197E-2</v>
      </c>
      <c r="AX108" s="101">
        <f t="shared" ref="AX108" si="600">AX107+$D108</f>
        <v>-0.26091445427728616</v>
      </c>
      <c r="AY108" s="101">
        <f t="shared" ref="AY108" si="601">AY107+$D108</f>
        <v>0.21542056074766358</v>
      </c>
      <c r="AZ108" s="101">
        <f t="shared" ref="AZ108" si="602">AZ107+$D108</f>
        <v>-0.10760709010339733</v>
      </c>
      <c r="BA108" s="101">
        <f t="shared" ref="BA108" si="603">BA107+$D108</f>
        <v>-4.7041420118343197E-2</v>
      </c>
      <c r="BB108" s="101">
        <f t="shared" ref="BB108" si="604">BB107+$D108</f>
        <v>-0.26091445427728616</v>
      </c>
      <c r="BC108" s="101">
        <f t="shared" ref="BC108" si="605">BC107+$D108</f>
        <v>0.21542056074766358</v>
      </c>
      <c r="BD108" s="101">
        <f t="shared" ref="BD108" si="606">BD107+$D108</f>
        <v>-0.10760709010339733</v>
      </c>
    </row>
    <row r="110" spans="1:56" x14ac:dyDescent="0.15">
      <c r="A110" s="1" t="s">
        <v>27</v>
      </c>
      <c r="B110" s="33" t="s">
        <v>280</v>
      </c>
      <c r="C110" s="33"/>
      <c r="D110" s="33"/>
      <c r="E110" s="34" t="s">
        <v>29</v>
      </c>
      <c r="F110" s="35">
        <v>21</v>
      </c>
      <c r="G110" s="35">
        <f>F110+1</f>
        <v>22</v>
      </c>
      <c r="H110" s="35">
        <f t="shared" ref="H110" si="607">G110+1</f>
        <v>23</v>
      </c>
      <c r="I110" s="35">
        <f t="shared" ref="I110" si="608">H110+1</f>
        <v>24</v>
      </c>
      <c r="J110" s="35">
        <f t="shared" ref="J110" si="609">I110+1</f>
        <v>25</v>
      </c>
      <c r="K110" s="36">
        <f t="shared" ref="K110" si="610">J110+1</f>
        <v>26</v>
      </c>
      <c r="L110" s="36">
        <f t="shared" ref="L110" si="611">K110+1</f>
        <v>27</v>
      </c>
      <c r="M110" s="36">
        <f t="shared" ref="M110" si="612">L110+1</f>
        <v>28</v>
      </c>
      <c r="N110" s="36">
        <f t="shared" ref="N110" si="613">M110+1</f>
        <v>29</v>
      </c>
      <c r="O110" s="36">
        <f t="shared" ref="O110" si="614">N110+1</f>
        <v>30</v>
      </c>
      <c r="Q110" s="41">
        <v>44286</v>
      </c>
      <c r="R110" s="41">
        <v>44377</v>
      </c>
      <c r="S110" s="41">
        <v>44469</v>
      </c>
      <c r="T110" s="41">
        <v>44561</v>
      </c>
      <c r="U110" s="41">
        <v>44651</v>
      </c>
      <c r="V110" s="41">
        <v>44742</v>
      </c>
      <c r="W110" s="41">
        <v>44834</v>
      </c>
      <c r="X110" s="41">
        <v>44926</v>
      </c>
      <c r="Y110" s="41">
        <v>45016</v>
      </c>
      <c r="Z110" s="41">
        <v>45107</v>
      </c>
      <c r="AA110" s="41">
        <v>45199</v>
      </c>
      <c r="AB110" s="41">
        <v>45291</v>
      </c>
      <c r="AC110" s="41">
        <v>45382</v>
      </c>
      <c r="AD110" s="41">
        <v>45473</v>
      </c>
      <c r="AE110" s="41">
        <v>45565</v>
      </c>
      <c r="AF110" s="41">
        <v>45657</v>
      </c>
      <c r="AG110" s="41">
        <v>45747</v>
      </c>
      <c r="AH110" s="41">
        <v>45838</v>
      </c>
      <c r="AI110" s="41">
        <v>45930</v>
      </c>
      <c r="AJ110" s="41">
        <v>46022</v>
      </c>
      <c r="AK110" s="41">
        <v>46112</v>
      </c>
      <c r="AL110" s="41">
        <v>46203</v>
      </c>
      <c r="AM110" s="41">
        <v>46295</v>
      </c>
      <c r="AN110" s="41">
        <v>46387</v>
      </c>
      <c r="AO110" s="41">
        <v>46477</v>
      </c>
      <c r="AP110" s="41">
        <v>46568</v>
      </c>
      <c r="AQ110" s="41">
        <v>46660</v>
      </c>
      <c r="AR110" s="41">
        <v>46752</v>
      </c>
      <c r="AS110" s="41">
        <v>46843</v>
      </c>
      <c r="AT110" s="41">
        <v>46934</v>
      </c>
      <c r="AU110" s="41">
        <v>47026</v>
      </c>
      <c r="AV110" s="41">
        <v>47118</v>
      </c>
      <c r="AW110" s="41">
        <v>47208</v>
      </c>
      <c r="AX110" s="41">
        <v>47299</v>
      </c>
      <c r="AY110" s="41">
        <v>47391</v>
      </c>
      <c r="AZ110" s="41">
        <v>47483</v>
      </c>
      <c r="BA110" s="41">
        <v>47573</v>
      </c>
      <c r="BB110" s="41">
        <v>47664</v>
      </c>
      <c r="BC110" s="41">
        <v>47756</v>
      </c>
      <c r="BD110" s="41">
        <v>47848</v>
      </c>
    </row>
    <row r="111" spans="1:56" ht="3" customHeight="1" x14ac:dyDescent="0.15"/>
    <row r="112" spans="1:56" hidden="1" outlineLevel="1" x14ac:dyDescent="0.15">
      <c r="B112" s="75" t="s">
        <v>256</v>
      </c>
    </row>
    <row r="113" spans="2:56" hidden="1" outlineLevel="1" x14ac:dyDescent="0.15">
      <c r="B113" s="1" t="s">
        <v>266</v>
      </c>
      <c r="D113" s="102">
        <v>-0.2</v>
      </c>
    </row>
    <row r="114" spans="2:56" collapsed="1" x14ac:dyDescent="0.15"/>
    <row r="115" spans="2:56" x14ac:dyDescent="0.15">
      <c r="B115" s="1" t="s">
        <v>281</v>
      </c>
      <c r="E115" s="43" t="s">
        <v>271</v>
      </c>
      <c r="F115" s="50">
        <f t="shared" ref="F115" si="615">T115</f>
        <v>278</v>
      </c>
      <c r="G115" s="50">
        <f t="shared" ref="G115" si="616">X115</f>
        <v>80</v>
      </c>
      <c r="H115" s="50">
        <f t="shared" ref="H115" si="617">AB115</f>
        <v>335</v>
      </c>
      <c r="I115" s="50">
        <f t="shared" ref="I115" si="618">AF115</f>
        <v>624</v>
      </c>
      <c r="J115" s="50">
        <f t="shared" ref="J115" si="619">AJ115</f>
        <v>876.04955996375134</v>
      </c>
      <c r="K115" s="50">
        <f t="shared" ref="K115" si="620">AN115</f>
        <v>1050.7894809897946</v>
      </c>
      <c r="L115" s="50">
        <f t="shared" ref="L115" si="621">AR115</f>
        <v>1121.8500978571665</v>
      </c>
      <c r="M115" s="50">
        <f t="shared" ref="M115" si="622">AV115</f>
        <v>1197.7162550929243</v>
      </c>
      <c r="N115" s="50">
        <f t="shared" ref="N115" si="623">AZ115</f>
        <v>1278.7129318381196</v>
      </c>
      <c r="O115" s="50">
        <f t="shared" ref="O115" si="624">BD115</f>
        <v>1365.1870842507524</v>
      </c>
      <c r="Q115" s="50">
        <v>223</v>
      </c>
      <c r="R115" s="50">
        <v>180</v>
      </c>
      <c r="S115" s="50">
        <v>255</v>
      </c>
      <c r="T115" s="50">
        <v>278</v>
      </c>
      <c r="U115" s="50">
        <v>256</v>
      </c>
      <c r="V115" s="50">
        <v>96</v>
      </c>
      <c r="W115" s="50">
        <v>101</v>
      </c>
      <c r="X115" s="50">
        <v>80</v>
      </c>
      <c r="Y115" s="50">
        <v>170</v>
      </c>
      <c r="Z115" s="50">
        <v>188</v>
      </c>
      <c r="AA115" s="50">
        <v>170</v>
      </c>
      <c r="AB115" s="50">
        <v>335</v>
      </c>
      <c r="AC115" s="50">
        <v>455</v>
      </c>
      <c r="AD115" s="50">
        <v>430</v>
      </c>
      <c r="AE115" s="50">
        <v>447</v>
      </c>
      <c r="AF115" s="50">
        <v>624</v>
      </c>
      <c r="AG115" s="50">
        <v>568</v>
      </c>
      <c r="AH115" s="50">
        <v>661</v>
      </c>
      <c r="AI115" s="50">
        <v>816</v>
      </c>
      <c r="AJ115" s="50">
        <f t="shared" ref="AJ115" si="625">AI115*(1+AJ116)</f>
        <v>876.04955996375134</v>
      </c>
      <c r="AK115" s="50">
        <f t="shared" ref="AK115" si="626">AJ115*(1+AK116)</f>
        <v>977.48144437069084</v>
      </c>
      <c r="AL115" s="50">
        <f t="shared" ref="AL115" si="627">AK115*(1+AL116)</f>
        <v>979.15859590797504</v>
      </c>
      <c r="AM115" s="50">
        <f t="shared" ref="AM115" si="628">AL115*(1+AM116)</f>
        <v>1006.8986220270381</v>
      </c>
      <c r="AN115" s="50">
        <f t="shared" ref="AN115" si="629">AM115*(1+AN116)</f>
        <v>1050.7894809897946</v>
      </c>
      <c r="AO115" s="50">
        <f t="shared" ref="AO115" si="630">AN115*(1+AO116)</f>
        <v>1140.929640756535</v>
      </c>
      <c r="AP115" s="50">
        <f t="shared" ref="AP115" si="631">AO115*(1+AP116)</f>
        <v>1108.659345626236</v>
      </c>
      <c r="AQ115" s="50">
        <f t="shared" ref="AQ115" si="632">AP115*(1+AQ116)</f>
        <v>1106.80840886393</v>
      </c>
      <c r="AR115" s="50">
        <f t="shared" ref="AR115" si="633">AQ115*(1+AR116)</f>
        <v>1121.8500978571665</v>
      </c>
      <c r="AS115" s="50">
        <f t="shared" ref="AS115" si="634">AR115*(1+AS116)</f>
        <v>1218.0860698426536</v>
      </c>
      <c r="AT115" s="50">
        <f t="shared" ref="AT115" si="635">AS115*(1+AT116)</f>
        <v>1183.63346596266</v>
      </c>
      <c r="AU115" s="50">
        <f t="shared" ref="AU115" si="636">AT115*(1+AU116)</f>
        <v>1181.6573578787036</v>
      </c>
      <c r="AV115" s="50">
        <f t="shared" ref="AV115" si="637">AU115*(1+AV116)</f>
        <v>1197.7162550929243</v>
      </c>
      <c r="AW115" s="50">
        <f t="shared" ref="AW115" si="638">AV115*(1+AW116)</f>
        <v>1300.4602742732484</v>
      </c>
      <c r="AX115" s="50">
        <f t="shared" ref="AX115" si="639">AW115*(1+AX116)</f>
        <v>1263.677780982777</v>
      </c>
      <c r="AY115" s="50">
        <f t="shared" ref="AY115" si="640">AX115*(1+AY116)</f>
        <v>1261.5680367500172</v>
      </c>
      <c r="AZ115" s="50">
        <f t="shared" ref="AZ115" si="641">AY115*(1+AZ116)</f>
        <v>1278.7129318381196</v>
      </c>
      <c r="BA115" s="50">
        <f t="shared" ref="BA115" si="642">AZ115*(1+BA116)</f>
        <v>1388.4051109633929</v>
      </c>
      <c r="BB115" s="50">
        <f t="shared" ref="BB115" si="643">BA115*(1+BB116)</f>
        <v>1349.1351673220872</v>
      </c>
      <c r="BC115" s="50">
        <f t="shared" ref="BC115" si="644">BB115*(1+BC116)</f>
        <v>1346.8827496715548</v>
      </c>
      <c r="BD115" s="50">
        <f t="shared" ref="BD115" si="645">BC115*(1+BD116)</f>
        <v>1365.1870842507524</v>
      </c>
    </row>
    <row r="116" spans="2:56" x14ac:dyDescent="0.15">
      <c r="B116" s="98" t="s">
        <v>261</v>
      </c>
      <c r="C116" s="45"/>
      <c r="D116" s="45"/>
      <c r="E116" s="46" t="s">
        <v>36</v>
      </c>
      <c r="F116" s="125"/>
      <c r="G116" s="126">
        <f>(G115-F115)/F115</f>
        <v>-0.71223021582733814</v>
      </c>
      <c r="H116" s="126">
        <f t="shared" ref="H116" si="646">(H115-G115)/G115</f>
        <v>3.1875</v>
      </c>
      <c r="I116" s="126">
        <f t="shared" ref="I116" si="647">(I115-H115)/H115</f>
        <v>0.86268656716417913</v>
      </c>
      <c r="J116" s="126">
        <f t="shared" ref="J116" si="648">(J115-I115)/I115</f>
        <v>0.40392557686498609</v>
      </c>
      <c r="K116" s="126">
        <f t="shared" ref="K116" si="649">(K115-J115)/J115</f>
        <v>0.19946351098364062</v>
      </c>
      <c r="L116" s="126">
        <f t="shared" ref="L116" si="650">(L115-K115)/K115</f>
        <v>6.7625930933792863E-2</v>
      </c>
      <c r="M116" s="126">
        <f t="shared" ref="M116" si="651">(M115-L115)/L115</f>
        <v>6.7625930933793113E-2</v>
      </c>
      <c r="N116" s="126">
        <f t="shared" ref="N116" si="652">(N115-M115)/M115</f>
        <v>6.7625930933793071E-2</v>
      </c>
      <c r="O116" s="126">
        <f t="shared" ref="O116" si="653">(O115-N115)/N115</f>
        <v>6.7625930933793085E-2</v>
      </c>
      <c r="P116" s="81"/>
      <c r="Q116" s="127"/>
      <c r="R116" s="126">
        <f t="shared" ref="R116" si="654">(R115-Q115)/Q115</f>
        <v>-0.19282511210762332</v>
      </c>
      <c r="S116" s="126">
        <f t="shared" ref="S116" si="655">(S115-R115)/R115</f>
        <v>0.41666666666666669</v>
      </c>
      <c r="T116" s="126">
        <f t="shared" ref="T116" si="656">(T115-S115)/S115</f>
        <v>9.0196078431372548E-2</v>
      </c>
      <c r="U116" s="126">
        <f t="shared" ref="U116" si="657">(U115-T115)/T115</f>
        <v>-7.9136690647482008E-2</v>
      </c>
      <c r="V116" s="126">
        <f t="shared" ref="V116" si="658">(V115-U115)/U115</f>
        <v>-0.625</v>
      </c>
      <c r="W116" s="126">
        <f t="shared" ref="W116" si="659">(W115-V115)/V115</f>
        <v>5.2083333333333336E-2</v>
      </c>
      <c r="X116" s="126">
        <f t="shared" ref="X116" si="660">(X115-W115)/W115</f>
        <v>-0.20792079207920791</v>
      </c>
      <c r="Y116" s="126">
        <f t="shared" ref="Y116" si="661">(Y115-X115)/X115</f>
        <v>1.125</v>
      </c>
      <c r="Z116" s="126">
        <f t="shared" ref="Z116" si="662">(Z115-Y115)/Y115</f>
        <v>0.10588235294117647</v>
      </c>
      <c r="AA116" s="126">
        <f t="shared" ref="AA116" si="663">(AA115-Z115)/Z115</f>
        <v>-9.5744680851063829E-2</v>
      </c>
      <c r="AB116" s="126">
        <f t="shared" ref="AB116" si="664">(AB115-AA115)/AA115</f>
        <v>0.97058823529411764</v>
      </c>
      <c r="AC116" s="126">
        <f t="shared" ref="AC116" si="665">(AC115-AB115)/AB115</f>
        <v>0.35820895522388058</v>
      </c>
      <c r="AD116" s="126">
        <f t="shared" ref="AD116" si="666">(AD115-AC115)/AC115</f>
        <v>-5.4945054945054944E-2</v>
      </c>
      <c r="AE116" s="126">
        <f t="shared" ref="AE116" si="667">(AE115-AD115)/AD115</f>
        <v>3.9534883720930232E-2</v>
      </c>
      <c r="AF116" s="126">
        <f t="shared" ref="AF116" si="668">(AF115-AE115)/AE115</f>
        <v>0.39597315436241609</v>
      </c>
      <c r="AG116" s="126">
        <f t="shared" ref="AG116" si="669">(AG115-AF115)/AF115</f>
        <v>-8.9743589743589744E-2</v>
      </c>
      <c r="AH116" s="126">
        <f t="shared" ref="AH116:AI116" si="670">(AH115-AG115)/AG115</f>
        <v>0.16373239436619719</v>
      </c>
      <c r="AI116" s="126">
        <f t="shared" si="670"/>
        <v>0.23449319213313161</v>
      </c>
      <c r="AJ116" s="126">
        <f>_xlfn.XLOOKUP('Cover Page'!$E$13,'Revenue Build'!$B117:$B119,'Revenue Build'!AJ117:AJ119)</f>
        <v>7.3590147014401197E-2</v>
      </c>
      <c r="AK116" s="126">
        <f>_xlfn.XLOOKUP('Cover Page'!$E$13,'Revenue Build'!$B117:$B119,'Revenue Build'!AK117:AK119)</f>
        <v>0.11578327190888196</v>
      </c>
      <c r="AL116" s="126">
        <f>_xlfn.XLOOKUP('Cover Page'!$E$13,'Revenue Build'!$B117:$B119,'Revenue Build'!AL117:AL119)</f>
        <v>1.7157886187434412E-3</v>
      </c>
      <c r="AM116" s="126">
        <f>_xlfn.XLOOKUP('Cover Page'!$E$13,'Revenue Build'!$B117:$B119,'Revenue Build'!AM117:AM119)</f>
        <v>2.8330472954016021E-2</v>
      </c>
      <c r="AN116" s="126">
        <f>_xlfn.XLOOKUP('Cover Page'!$E$13,'Revenue Build'!$B117:$B119,'Revenue Build'!AN117:AN119)</f>
        <v>4.3590147014401198E-2</v>
      </c>
      <c r="AO116" s="126">
        <f>_xlfn.XLOOKUP('Cover Page'!$E$13,'Revenue Build'!$B117:$B119,'Revenue Build'!AO117:AO119)</f>
        <v>8.5783271908881964E-2</v>
      </c>
      <c r="AP116" s="126">
        <f>_xlfn.XLOOKUP('Cover Page'!$E$13,'Revenue Build'!$B117:$B119,'Revenue Build'!AP117:AP119)</f>
        <v>-2.8284211381256558E-2</v>
      </c>
      <c r="AQ116" s="126">
        <f>_xlfn.XLOOKUP('Cover Page'!$E$13,'Revenue Build'!$B117:$B119,'Revenue Build'!AQ117:AQ119)</f>
        <v>-1.6695270459839776E-3</v>
      </c>
      <c r="AR116" s="126">
        <f>_xlfn.XLOOKUP('Cover Page'!$E$13,'Revenue Build'!$B117:$B119,'Revenue Build'!AR117:AR119)</f>
        <v>1.3590147014401199E-2</v>
      </c>
      <c r="AS116" s="126">
        <f>_xlfn.XLOOKUP('Cover Page'!$E$13,'Revenue Build'!$B117:$B119,'Revenue Build'!AS117:AS119)</f>
        <v>8.5783271908881964E-2</v>
      </c>
      <c r="AT116" s="126">
        <f>_xlfn.XLOOKUP('Cover Page'!$E$13,'Revenue Build'!$B117:$B119,'Revenue Build'!AT117:AT119)</f>
        <v>-2.8284211381256558E-2</v>
      </c>
      <c r="AU116" s="126">
        <f>_xlfn.XLOOKUP('Cover Page'!$E$13,'Revenue Build'!$B117:$B119,'Revenue Build'!AU117:AU119)</f>
        <v>-1.6695270459839776E-3</v>
      </c>
      <c r="AV116" s="126">
        <f>_xlfn.XLOOKUP('Cover Page'!$E$13,'Revenue Build'!$B117:$B119,'Revenue Build'!AV117:AV119)</f>
        <v>1.3590147014401199E-2</v>
      </c>
      <c r="AW116" s="126">
        <f>_xlfn.XLOOKUP('Cover Page'!$E$13,'Revenue Build'!$B117:$B119,'Revenue Build'!AW117:AW119)</f>
        <v>8.5783271908881964E-2</v>
      </c>
      <c r="AX116" s="126">
        <f>_xlfn.XLOOKUP('Cover Page'!$E$13,'Revenue Build'!$B117:$B119,'Revenue Build'!AX117:AX119)</f>
        <v>-2.8284211381256558E-2</v>
      </c>
      <c r="AY116" s="126">
        <f>_xlfn.XLOOKUP('Cover Page'!$E$13,'Revenue Build'!$B117:$B119,'Revenue Build'!AY117:AY119)</f>
        <v>-1.6695270459839776E-3</v>
      </c>
      <c r="AZ116" s="126">
        <f>_xlfn.XLOOKUP('Cover Page'!$E$13,'Revenue Build'!$B117:$B119,'Revenue Build'!AZ117:AZ119)</f>
        <v>1.3590147014401199E-2</v>
      </c>
      <c r="BA116" s="126">
        <f>_xlfn.XLOOKUP('Cover Page'!$E$13,'Revenue Build'!$B117:$B119,'Revenue Build'!BA117:BA119)</f>
        <v>8.5783271908881964E-2</v>
      </c>
      <c r="BB116" s="126">
        <f>_xlfn.XLOOKUP('Cover Page'!$E$13,'Revenue Build'!$B117:$B119,'Revenue Build'!BB117:BB119)</f>
        <v>-2.8284211381256558E-2</v>
      </c>
      <c r="BC116" s="126">
        <f>_xlfn.XLOOKUP('Cover Page'!$E$13,'Revenue Build'!$B117:$B119,'Revenue Build'!BC117:BC119)</f>
        <v>-1.6695270459839776E-3</v>
      </c>
      <c r="BD116" s="126">
        <f>_xlfn.XLOOKUP('Cover Page'!$E$13,'Revenue Build'!$B117:$B119,'Revenue Build'!BD117:BD119)</f>
        <v>1.3590147014401199E-2</v>
      </c>
    </row>
    <row r="117" spans="2:56" x14ac:dyDescent="0.15">
      <c r="B117" s="1" t="s">
        <v>262</v>
      </c>
      <c r="D117" s="102">
        <v>0.05</v>
      </c>
      <c r="E117" s="43" t="s">
        <v>36</v>
      </c>
      <c r="AJ117" s="101">
        <f t="shared" ref="AJ117" si="671">AJ118+$D117</f>
        <v>0.1235901470144012</v>
      </c>
      <c r="AK117" s="101">
        <f t="shared" ref="AK117" si="672">AK118+$D117</f>
        <v>0.16578327190888198</v>
      </c>
      <c r="AL117" s="101">
        <f t="shared" ref="AL117" si="673">AL118+$D117</f>
        <v>5.1715788618743444E-2</v>
      </c>
      <c r="AM117" s="101">
        <f t="shared" ref="AM117" si="674">AM118+$D117</f>
        <v>7.8330472954016017E-2</v>
      </c>
      <c r="AN117" s="101">
        <f t="shared" ref="AN117" si="675">AN118+$D117</f>
        <v>9.3590147014401201E-2</v>
      </c>
      <c r="AO117" s="101">
        <f t="shared" ref="AO117" si="676">AO118+$D117</f>
        <v>0.13578327190888195</v>
      </c>
      <c r="AP117" s="101">
        <f t="shared" ref="AP117" si="677">AP118+$D117</f>
        <v>2.1715788618743445E-2</v>
      </c>
      <c r="AQ117" s="101">
        <f t="shared" ref="AQ117" si="678">AQ118+$D117</f>
        <v>4.8330472954016025E-2</v>
      </c>
      <c r="AR117" s="101">
        <f t="shared" ref="AR117" si="679">AR118+$D117</f>
        <v>6.3590147014401202E-2</v>
      </c>
      <c r="AS117" s="101">
        <f t="shared" ref="AS117" si="680">AS118+$D117</f>
        <v>0.13578327190888195</v>
      </c>
      <c r="AT117" s="101">
        <f t="shared" ref="AT117" si="681">AT118+$D117</f>
        <v>2.1715788618743445E-2</v>
      </c>
      <c r="AU117" s="101">
        <f t="shared" ref="AU117" si="682">AU118+$D117</f>
        <v>4.8330472954016025E-2</v>
      </c>
      <c r="AV117" s="101">
        <f t="shared" ref="AV117" si="683">AV118+$D117</f>
        <v>6.3590147014401202E-2</v>
      </c>
      <c r="AW117" s="101">
        <f t="shared" ref="AW117" si="684">AW118+$D117</f>
        <v>0.13578327190888195</v>
      </c>
      <c r="AX117" s="101">
        <f t="shared" ref="AX117" si="685">AX118+$D117</f>
        <v>2.1715788618743445E-2</v>
      </c>
      <c r="AY117" s="101">
        <f t="shared" ref="AY117" si="686">AY118+$D117</f>
        <v>4.8330472954016025E-2</v>
      </c>
      <c r="AZ117" s="101">
        <f t="shared" ref="AZ117" si="687">AZ118+$D117</f>
        <v>6.3590147014401202E-2</v>
      </c>
      <c r="BA117" s="101">
        <f t="shared" ref="BA117" si="688">BA118+$D117</f>
        <v>0.13578327190888195</v>
      </c>
      <c r="BB117" s="101">
        <f t="shared" ref="BB117" si="689">BB118+$D117</f>
        <v>2.1715788618743445E-2</v>
      </c>
      <c r="BC117" s="101">
        <f t="shared" ref="BC117" si="690">BC118+$D117</f>
        <v>4.8330472954016025E-2</v>
      </c>
      <c r="BD117" s="101">
        <f t="shared" ref="BD117" si="691">BD118+$D117</f>
        <v>6.3590147014401202E-2</v>
      </c>
    </row>
    <row r="118" spans="2:56" x14ac:dyDescent="0.15">
      <c r="B118" s="1" t="s">
        <v>15</v>
      </c>
      <c r="D118" s="102">
        <v>-0.03</v>
      </c>
      <c r="E118" s="43" t="s">
        <v>36</v>
      </c>
      <c r="AJ118" s="101">
        <f>MEDIAN(T116,X116,AB116,AF116)+AJ45+$D118+D113</f>
        <v>7.3590147014401197E-2</v>
      </c>
      <c r="AK118" s="101">
        <f>MEDIAN(U116,Y116,AC116,AG116)+AK45+$D118</f>
        <v>0.11578327190888196</v>
      </c>
      <c r="AL118" s="101">
        <f>MEDIAN(V116,Z116,AD116,AH116)+AL45+$D118</f>
        <v>1.7157886187434412E-3</v>
      </c>
      <c r="AM118" s="101">
        <f>MEDIAN(AI116,AE116,AA116,W116,S116)+AM45+$D118</f>
        <v>2.8330472954016021E-2</v>
      </c>
      <c r="AN118" s="101">
        <f t="shared" ref="AN118" si="692">AJ118+AN98+$D118</f>
        <v>4.3590147014401198E-2</v>
      </c>
      <c r="AO118" s="101">
        <f t="shared" ref="AO118" si="693">AK118+AO98+$D118</f>
        <v>8.5783271908881964E-2</v>
      </c>
      <c r="AP118" s="101">
        <f t="shared" ref="AP118" si="694">AL118+AP98+$D118</f>
        <v>-2.8284211381256558E-2</v>
      </c>
      <c r="AQ118" s="101">
        <f t="shared" ref="AQ118" si="695">AM118+AQ98+$D118</f>
        <v>-1.6695270459839776E-3</v>
      </c>
      <c r="AR118" s="101">
        <f t="shared" ref="AR118" si="696">AN118+AR98+$D118</f>
        <v>1.3590147014401199E-2</v>
      </c>
      <c r="AS118" s="101">
        <f>AO118+AS98</f>
        <v>8.5783271908881964E-2</v>
      </c>
      <c r="AT118" s="101">
        <f t="shared" ref="AT118:BD118" si="697">AP118+AT98</f>
        <v>-2.8284211381256558E-2</v>
      </c>
      <c r="AU118" s="101">
        <f t="shared" si="697"/>
        <v>-1.6695270459839776E-3</v>
      </c>
      <c r="AV118" s="101">
        <f t="shared" si="697"/>
        <v>1.3590147014401199E-2</v>
      </c>
      <c r="AW118" s="101">
        <f t="shared" si="697"/>
        <v>8.5783271908881964E-2</v>
      </c>
      <c r="AX118" s="101">
        <f t="shared" si="697"/>
        <v>-2.8284211381256558E-2</v>
      </c>
      <c r="AY118" s="101">
        <f t="shared" si="697"/>
        <v>-1.6695270459839776E-3</v>
      </c>
      <c r="AZ118" s="101">
        <f t="shared" si="697"/>
        <v>1.3590147014401199E-2</v>
      </c>
      <c r="BA118" s="101">
        <f t="shared" si="697"/>
        <v>8.5783271908881964E-2</v>
      </c>
      <c r="BB118" s="101">
        <f t="shared" si="697"/>
        <v>-2.8284211381256558E-2</v>
      </c>
      <c r="BC118" s="101">
        <f t="shared" si="697"/>
        <v>-1.6695270459839776E-3</v>
      </c>
      <c r="BD118" s="101">
        <f t="shared" si="697"/>
        <v>1.3590147014401199E-2</v>
      </c>
    </row>
    <row r="119" spans="2:56" x14ac:dyDescent="0.15">
      <c r="B119" s="1" t="s">
        <v>263</v>
      </c>
      <c r="D119" s="102">
        <v>-0.05</v>
      </c>
      <c r="E119" s="43" t="s">
        <v>36</v>
      </c>
      <c r="AJ119" s="101">
        <f t="shared" ref="AJ119" si="698">AJ118+$D119</f>
        <v>2.3590147014401194E-2</v>
      </c>
      <c r="AK119" s="101">
        <f t="shared" ref="AK119" si="699">AK118+$D119</f>
        <v>6.578327190888196E-2</v>
      </c>
      <c r="AL119" s="101">
        <f t="shared" ref="AL119" si="700">AL118+$D119</f>
        <v>-4.8284211381256562E-2</v>
      </c>
      <c r="AM119" s="101">
        <f t="shared" ref="AM119" si="701">AM118+$D119</f>
        <v>-2.1669527045983981E-2</v>
      </c>
      <c r="AN119" s="101">
        <f t="shared" ref="AN119" si="702">AN118+$D119</f>
        <v>-6.4098529855988046E-3</v>
      </c>
      <c r="AO119" s="101">
        <f t="shared" ref="AO119" si="703">AO118+$D119</f>
        <v>3.5783271908881961E-2</v>
      </c>
      <c r="AP119" s="101">
        <f t="shared" ref="AP119" si="704">AP118+$D119</f>
        <v>-7.828421138125656E-2</v>
      </c>
      <c r="AQ119" s="101">
        <f t="shared" ref="AQ119" si="705">AQ118+$D119</f>
        <v>-5.166952704598398E-2</v>
      </c>
      <c r="AR119" s="101">
        <f t="shared" ref="AR119" si="706">AR118+$D119</f>
        <v>-3.6409852985598803E-2</v>
      </c>
      <c r="AS119" s="101">
        <f t="shared" ref="AS119" si="707">AS118+$D119</f>
        <v>3.5783271908881961E-2</v>
      </c>
      <c r="AT119" s="101">
        <f t="shared" ref="AT119" si="708">AT118+$D119</f>
        <v>-7.828421138125656E-2</v>
      </c>
      <c r="AU119" s="101">
        <f t="shared" ref="AU119" si="709">AU118+$D119</f>
        <v>-5.166952704598398E-2</v>
      </c>
      <c r="AV119" s="101">
        <f t="shared" ref="AV119" si="710">AV118+$D119</f>
        <v>-3.6409852985598803E-2</v>
      </c>
      <c r="AW119" s="101">
        <f t="shared" ref="AW119" si="711">AW118+$D119</f>
        <v>3.5783271908881961E-2</v>
      </c>
      <c r="AX119" s="101">
        <f t="shared" ref="AX119" si="712">AX118+$D119</f>
        <v>-7.828421138125656E-2</v>
      </c>
      <c r="AY119" s="101">
        <f t="shared" ref="AY119" si="713">AY118+$D119</f>
        <v>-5.166952704598398E-2</v>
      </c>
      <c r="AZ119" s="101">
        <f t="shared" ref="AZ119" si="714">AZ118+$D119</f>
        <v>-3.6409852985598803E-2</v>
      </c>
      <c r="BA119" s="101">
        <f t="shared" ref="BA119" si="715">BA118+$D119</f>
        <v>3.5783271908881961E-2</v>
      </c>
      <c r="BB119" s="101">
        <f t="shared" ref="BB119" si="716">BB118+$D119</f>
        <v>-7.828421138125656E-2</v>
      </c>
      <c r="BC119" s="101">
        <f t="shared" ref="BC119" si="717">BC118+$D119</f>
        <v>-5.166952704598398E-2</v>
      </c>
      <c r="BD119" s="101">
        <f t="shared" ref="BD119" si="718">BD118+$D119</f>
        <v>-3.6409852985598803E-2</v>
      </c>
    </row>
    <row r="121" spans="2:56" x14ac:dyDescent="0.15">
      <c r="B121" s="38" t="s">
        <v>282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</row>
    <row r="122" spans="2:56" x14ac:dyDescent="0.15">
      <c r="B122" s="1" t="s">
        <v>283</v>
      </c>
      <c r="E122" s="43" t="s">
        <v>36</v>
      </c>
      <c r="F122" s="81">
        <f t="shared" ref="F122:O122" si="719">F17/F$22</f>
        <v>0</v>
      </c>
      <c r="G122" s="81">
        <f t="shared" si="719"/>
        <v>0.4276647915765181</v>
      </c>
      <c r="H122" s="81">
        <f t="shared" si="719"/>
        <v>0.55117609663064204</v>
      </c>
      <c r="I122" s="81">
        <f t="shared" si="719"/>
        <v>0.39466840052015606</v>
      </c>
      <c r="J122" s="81">
        <f t="shared" si="719"/>
        <v>0.47694483734087695</v>
      </c>
      <c r="K122" s="81">
        <f t="shared" si="719"/>
        <v>0.42903351048622262</v>
      </c>
      <c r="L122" s="81">
        <f t="shared" si="719"/>
        <v>0.47236760100409869</v>
      </c>
      <c r="M122" s="81">
        <f t="shared" si="719"/>
        <v>0.46525429227097204</v>
      </c>
      <c r="N122" s="81">
        <f t="shared" si="719"/>
        <v>0.45562151810461127</v>
      </c>
      <c r="O122" s="81">
        <f t="shared" si="719"/>
        <v>0.46040512301079001</v>
      </c>
      <c r="Q122" s="81">
        <f t="shared" ref="Q122:AJ122" si="720">Q17/Q$22</f>
        <v>0</v>
      </c>
      <c r="R122" s="81">
        <f t="shared" si="720"/>
        <v>0</v>
      </c>
      <c r="S122" s="81">
        <f t="shared" si="720"/>
        <v>0</v>
      </c>
      <c r="T122" s="81">
        <f t="shared" si="720"/>
        <v>0</v>
      </c>
      <c r="U122" s="81">
        <f t="shared" si="720"/>
        <v>0.32488114104595878</v>
      </c>
      <c r="V122" s="81">
        <f t="shared" si="720"/>
        <v>0.53280173976078293</v>
      </c>
      <c r="W122" s="81">
        <f t="shared" si="720"/>
        <v>0.46369426751592357</v>
      </c>
      <c r="X122" s="81">
        <f t="shared" si="720"/>
        <v>0.39072563331902105</v>
      </c>
      <c r="Y122" s="81">
        <f t="shared" si="720"/>
        <v>0.63375796178343946</v>
      </c>
      <c r="Z122" s="81">
        <f t="shared" si="720"/>
        <v>0.54909090909090907</v>
      </c>
      <c r="AA122" s="81">
        <f t="shared" si="720"/>
        <v>0.58503401360544216</v>
      </c>
      <c r="AB122" s="81">
        <f t="shared" si="720"/>
        <v>0.45711241342567926</v>
      </c>
      <c r="AC122" s="81">
        <f t="shared" si="720"/>
        <v>0.38618124877666865</v>
      </c>
      <c r="AD122" s="81">
        <f t="shared" si="720"/>
        <v>0.4013355592654424</v>
      </c>
      <c r="AE122" s="81">
        <f t="shared" si="720"/>
        <v>0.44398489480309294</v>
      </c>
      <c r="AF122" s="81">
        <f t="shared" si="720"/>
        <v>0.35241809672386898</v>
      </c>
      <c r="AG122" s="81">
        <f t="shared" si="720"/>
        <v>0.4261567110729122</v>
      </c>
      <c r="AH122" s="81">
        <f t="shared" si="720"/>
        <v>0.50701433363830439</v>
      </c>
      <c r="AI122" s="81">
        <f t="shared" si="720"/>
        <v>0.47495982860203534</v>
      </c>
      <c r="AJ122" s="81">
        <f t="shared" si="720"/>
        <v>0.50061872679774511</v>
      </c>
      <c r="AK122" s="138">
        <f>AVERAGE(Q122:AJ122)</f>
        <v>0.37148837396136136</v>
      </c>
      <c r="AL122" s="138">
        <f t="shared" ref="AL122:BD126" si="721">AVERAGE(R122:AK122)</f>
        <v>0.39006279265942945</v>
      </c>
      <c r="AM122" s="138">
        <f t="shared" si="721"/>
        <v>0.4095659322924009</v>
      </c>
      <c r="AN122" s="138">
        <f t="shared" si="721"/>
        <v>0.43004422890702088</v>
      </c>
      <c r="AO122" s="138">
        <f t="shared" si="721"/>
        <v>0.4515464403523719</v>
      </c>
      <c r="AP122" s="138">
        <f t="shared" si="721"/>
        <v>0.45787970531769256</v>
      </c>
      <c r="AQ122" s="138">
        <f t="shared" si="721"/>
        <v>0.45413360359553812</v>
      </c>
      <c r="AR122" s="138">
        <f t="shared" si="721"/>
        <v>0.45365557039951881</v>
      </c>
      <c r="AS122" s="138">
        <f t="shared" si="721"/>
        <v>0.45680206725354378</v>
      </c>
      <c r="AT122" s="138">
        <f t="shared" si="721"/>
        <v>0.44795427252704895</v>
      </c>
      <c r="AU122" s="138">
        <f t="shared" si="721"/>
        <v>0.44289744069885584</v>
      </c>
      <c r="AV122" s="138">
        <f t="shared" si="721"/>
        <v>0.43579061205352654</v>
      </c>
      <c r="AW122" s="138">
        <f t="shared" si="721"/>
        <v>0.43472452198491907</v>
      </c>
      <c r="AX122" s="138">
        <f t="shared" si="721"/>
        <v>0.43715168564533141</v>
      </c>
      <c r="AY122" s="138">
        <f t="shared" si="721"/>
        <v>0.43894249196432594</v>
      </c>
      <c r="AZ122" s="138">
        <f t="shared" si="721"/>
        <v>0.43869037182238763</v>
      </c>
      <c r="BA122" s="138">
        <f t="shared" si="721"/>
        <v>0.44300398557731346</v>
      </c>
      <c r="BB122" s="138">
        <f t="shared" si="721"/>
        <v>0.44384634930253364</v>
      </c>
      <c r="BC122" s="138">
        <f t="shared" si="721"/>
        <v>0.44068795008574507</v>
      </c>
      <c r="BD122" s="138">
        <f t="shared" si="721"/>
        <v>0.43897435615993058</v>
      </c>
    </row>
    <row r="123" spans="2:56" x14ac:dyDescent="0.15">
      <c r="B123" s="1" t="s">
        <v>284</v>
      </c>
      <c r="E123" s="43" t="s">
        <v>36</v>
      </c>
      <c r="F123" s="81">
        <f t="shared" ref="F123:O123" si="722">F18/F$22</f>
        <v>0.45081801656231063</v>
      </c>
      <c r="G123" s="81">
        <f t="shared" si="722"/>
        <v>0.19868743689600463</v>
      </c>
      <c r="H123" s="81">
        <f t="shared" si="722"/>
        <v>0.24245073108709472</v>
      </c>
      <c r="I123" s="81">
        <f t="shared" si="722"/>
        <v>0.30589510186389252</v>
      </c>
      <c r="J123" s="81">
        <f t="shared" si="722"/>
        <v>0.2394978783592645</v>
      </c>
      <c r="K123" s="81">
        <f t="shared" si="722"/>
        <v>0.29770726434897582</v>
      </c>
      <c r="L123" s="81">
        <f t="shared" si="722"/>
        <v>0.26468518991376855</v>
      </c>
      <c r="M123" s="81">
        <f t="shared" si="722"/>
        <v>0.27552963631326699</v>
      </c>
      <c r="N123" s="81">
        <f t="shared" si="722"/>
        <v>0.27710783307372466</v>
      </c>
      <c r="O123" s="81">
        <f t="shared" si="722"/>
        <v>0.27128184473983413</v>
      </c>
      <c r="Q123" s="81">
        <f t="shared" ref="Q123:AJ123" si="723">Q18/Q$22</f>
        <v>0</v>
      </c>
      <c r="R123" s="81">
        <f t="shared" si="723"/>
        <v>0.38197845249755141</v>
      </c>
      <c r="S123" s="81">
        <f t="shared" si="723"/>
        <v>0.56206896551724139</v>
      </c>
      <c r="T123" s="81">
        <f t="shared" si="723"/>
        <v>0.48125585754451733</v>
      </c>
      <c r="U123" s="81">
        <f t="shared" si="723"/>
        <v>0.32448494453248811</v>
      </c>
      <c r="V123" s="81">
        <f t="shared" si="723"/>
        <v>0.2479159115621602</v>
      </c>
      <c r="W123" s="81">
        <f t="shared" si="723"/>
        <v>0.16</v>
      </c>
      <c r="X123" s="81">
        <f t="shared" si="723"/>
        <v>0.13396307428080723</v>
      </c>
      <c r="Y123" s="81">
        <f t="shared" si="723"/>
        <v>0.2356687898089172</v>
      </c>
      <c r="Z123" s="81">
        <f t="shared" si="723"/>
        <v>0.2690909090909091</v>
      </c>
      <c r="AA123" s="81">
        <f t="shared" si="723"/>
        <v>0.21088435374149661</v>
      </c>
      <c r="AB123" s="81">
        <f t="shared" si="723"/>
        <v>0.25332978156632924</v>
      </c>
      <c r="AC123" s="81">
        <f t="shared" si="723"/>
        <v>0.29536112742219611</v>
      </c>
      <c r="AD123" s="81">
        <f t="shared" si="723"/>
        <v>0.30901502504173622</v>
      </c>
      <c r="AE123" s="81">
        <f t="shared" si="723"/>
        <v>0.27836720014385902</v>
      </c>
      <c r="AF123" s="81">
        <f t="shared" si="723"/>
        <v>0.33525741029641187</v>
      </c>
      <c r="AG123" s="81">
        <f t="shared" si="723"/>
        <v>0.28162154419137658</v>
      </c>
      <c r="AH123" s="81">
        <f t="shared" si="723"/>
        <v>0.22034156755108264</v>
      </c>
      <c r="AI123" s="81">
        <f t="shared" si="723"/>
        <v>0.24718800214247455</v>
      </c>
      <c r="AJ123" s="81">
        <f t="shared" si="723"/>
        <v>0.20844218341812182</v>
      </c>
      <c r="AK123" s="138">
        <f t="shared" ref="AK123:AK126" si="724">AVERAGE(Q123:AJ123)</f>
        <v>0.27181175501748384</v>
      </c>
      <c r="AL123" s="138">
        <f t="shared" si="721"/>
        <v>0.28540234276835802</v>
      </c>
      <c r="AM123" s="138">
        <f t="shared" si="721"/>
        <v>0.28057353728189838</v>
      </c>
      <c r="AN123" s="138">
        <f t="shared" si="721"/>
        <v>0.26649876587013116</v>
      </c>
      <c r="AO123" s="138">
        <f t="shared" si="721"/>
        <v>0.25576091128641193</v>
      </c>
      <c r="AP123" s="138">
        <f t="shared" si="721"/>
        <v>0.25232470962410808</v>
      </c>
      <c r="AQ123" s="138">
        <f t="shared" si="721"/>
        <v>0.25254514952720547</v>
      </c>
      <c r="AR123" s="138">
        <f t="shared" si="721"/>
        <v>0.25717240700356575</v>
      </c>
      <c r="AS123" s="138">
        <f t="shared" si="721"/>
        <v>0.26333287363970365</v>
      </c>
      <c r="AT123" s="138">
        <f t="shared" si="721"/>
        <v>0.26471607783124301</v>
      </c>
      <c r="AU123" s="138">
        <f t="shared" si="721"/>
        <v>0.26449733626825966</v>
      </c>
      <c r="AV123" s="138">
        <f t="shared" si="721"/>
        <v>0.26717798539459781</v>
      </c>
      <c r="AW123" s="138">
        <f t="shared" si="721"/>
        <v>0.26787039558601133</v>
      </c>
      <c r="AX123" s="138">
        <f t="shared" si="721"/>
        <v>0.26649585899420208</v>
      </c>
      <c r="AY123" s="138">
        <f t="shared" si="721"/>
        <v>0.26436990069182537</v>
      </c>
      <c r="AZ123" s="138">
        <f t="shared" si="721"/>
        <v>0.26367003571922371</v>
      </c>
      <c r="BA123" s="138">
        <f t="shared" si="721"/>
        <v>0.26009066699036426</v>
      </c>
      <c r="BB123" s="138">
        <f t="shared" si="721"/>
        <v>0.25901412313031363</v>
      </c>
      <c r="BC123" s="138">
        <f t="shared" si="721"/>
        <v>0.26094775090927513</v>
      </c>
      <c r="BD123" s="138">
        <f t="shared" si="721"/>
        <v>0.26163573834761517</v>
      </c>
    </row>
    <row r="124" spans="2:56" x14ac:dyDescent="0.15">
      <c r="B124" s="1" t="s">
        <v>285</v>
      </c>
      <c r="E124" s="43" t="s">
        <v>36</v>
      </c>
      <c r="F124" s="81">
        <f t="shared" ref="F124:O124" si="725">F19/F$22</f>
        <v>4.5445364572813576E-2</v>
      </c>
      <c r="G124" s="81">
        <f t="shared" si="725"/>
        <v>0.23582864560796193</v>
      </c>
      <c r="H124" s="81">
        <f t="shared" si="725"/>
        <v>9.5279720279720273E-2</v>
      </c>
      <c r="I124" s="81">
        <f t="shared" si="725"/>
        <v>0.1152145643693108</v>
      </c>
      <c r="J124" s="81">
        <f t="shared" si="725"/>
        <v>8.7376237623762371E-2</v>
      </c>
      <c r="K124" s="81">
        <f t="shared" si="725"/>
        <v>0.12260631499832313</v>
      </c>
      <c r="L124" s="81">
        <f t="shared" si="725"/>
        <v>0.12833025927432598</v>
      </c>
      <c r="M124" s="81">
        <f t="shared" si="725"/>
        <v>0.1136505914796816</v>
      </c>
      <c r="N124" s="81">
        <f t="shared" si="725"/>
        <v>0.11379785999030849</v>
      </c>
      <c r="O124" s="81">
        <f t="shared" si="725"/>
        <v>0.11462474287477789</v>
      </c>
      <c r="Q124" s="81">
        <f t="shared" ref="Q124:AJ124" si="726">Q19/Q$22</f>
        <v>0</v>
      </c>
      <c r="R124" s="81">
        <f t="shared" si="726"/>
        <v>6.3663075416258569E-2</v>
      </c>
      <c r="S124" s="81">
        <f t="shared" si="726"/>
        <v>5.7931034482758624E-2</v>
      </c>
      <c r="T124" s="81">
        <f t="shared" si="726"/>
        <v>3.5613870665417061E-2</v>
      </c>
      <c r="U124" s="81">
        <f t="shared" si="726"/>
        <v>0.12876386687797148</v>
      </c>
      <c r="V124" s="81">
        <f t="shared" si="726"/>
        <v>3.8057267125770206E-2</v>
      </c>
      <c r="W124" s="81">
        <f t="shared" si="726"/>
        <v>0.25936305732484077</v>
      </c>
      <c r="X124" s="81">
        <f t="shared" si="726"/>
        <v>0.39115500214684412</v>
      </c>
      <c r="Y124" s="81">
        <f t="shared" si="726"/>
        <v>5.4140127388535034E-2</v>
      </c>
      <c r="Z124" s="81">
        <f t="shared" si="726"/>
        <v>9.4545454545454544E-2</v>
      </c>
      <c r="AA124" s="81">
        <f t="shared" si="726"/>
        <v>9.5238095238095233E-2</v>
      </c>
      <c r="AB124" s="81">
        <f t="shared" si="726"/>
        <v>0.13026105487480022</v>
      </c>
      <c r="AC124" s="81">
        <f t="shared" si="726"/>
        <v>0.13055392444705421</v>
      </c>
      <c r="AD124" s="81">
        <f t="shared" si="726"/>
        <v>0.11585976627712855</v>
      </c>
      <c r="AE124" s="81">
        <f t="shared" si="726"/>
        <v>0.11508721452976084</v>
      </c>
      <c r="AF124" s="81">
        <f t="shared" si="726"/>
        <v>0.10249609984399376</v>
      </c>
      <c r="AG124" s="81">
        <f t="shared" si="726"/>
        <v>9.0388196533447929E-2</v>
      </c>
      <c r="AH124" s="81">
        <f t="shared" si="726"/>
        <v>9.042390972857578E-2</v>
      </c>
      <c r="AI124" s="81">
        <f t="shared" si="726"/>
        <v>8.6770219603642201E-2</v>
      </c>
      <c r="AJ124" s="81">
        <f t="shared" si="726"/>
        <v>8.2359411522067924E-2</v>
      </c>
      <c r="AK124" s="138">
        <f t="shared" si="724"/>
        <v>0.10813353242862085</v>
      </c>
      <c r="AL124" s="138">
        <f t="shared" si="721"/>
        <v>0.11354020905005188</v>
      </c>
      <c r="AM124" s="138">
        <f t="shared" si="721"/>
        <v>0.11603406573174155</v>
      </c>
      <c r="AN124" s="138">
        <f t="shared" si="721"/>
        <v>0.11893921729419069</v>
      </c>
      <c r="AO124" s="138">
        <f t="shared" si="721"/>
        <v>0.12310548462562938</v>
      </c>
      <c r="AP124" s="138">
        <f t="shared" si="721"/>
        <v>0.12282256551301222</v>
      </c>
      <c r="AQ124" s="138">
        <f t="shared" si="721"/>
        <v>0.12706083043237432</v>
      </c>
      <c r="AR124" s="138">
        <f t="shared" si="721"/>
        <v>0.12044571908775101</v>
      </c>
      <c r="AS124" s="138">
        <f t="shared" si="721"/>
        <v>0.1069102549347964</v>
      </c>
      <c r="AT124" s="138">
        <f t="shared" si="721"/>
        <v>0.10954876131210947</v>
      </c>
      <c r="AU124" s="138">
        <f t="shared" si="721"/>
        <v>0.11029892665044223</v>
      </c>
      <c r="AV124" s="138">
        <f t="shared" si="721"/>
        <v>0.11105196822105959</v>
      </c>
      <c r="AW124" s="138">
        <f t="shared" si="721"/>
        <v>0.11009151388837254</v>
      </c>
      <c r="AX124" s="138">
        <f t="shared" si="721"/>
        <v>0.10906839336043847</v>
      </c>
      <c r="AY124" s="138">
        <f t="shared" si="721"/>
        <v>0.10872882471460396</v>
      </c>
      <c r="AZ124" s="138">
        <f t="shared" si="721"/>
        <v>0.10841090522384611</v>
      </c>
      <c r="BA124" s="138">
        <f t="shared" si="721"/>
        <v>0.10870664549283873</v>
      </c>
      <c r="BB124" s="138">
        <f t="shared" si="721"/>
        <v>0.10962256794080827</v>
      </c>
      <c r="BC124" s="138">
        <f t="shared" si="721"/>
        <v>0.11058250085141989</v>
      </c>
      <c r="BD124" s="138">
        <f t="shared" si="721"/>
        <v>0.11177311491380877</v>
      </c>
    </row>
    <row r="125" spans="2:56" x14ac:dyDescent="0.15">
      <c r="B125" s="1" t="s">
        <v>286</v>
      </c>
      <c r="E125" s="43" t="s">
        <v>36</v>
      </c>
      <c r="F125" s="81">
        <f t="shared" ref="F125:O125" si="727">F20/F$22</f>
        <v>0.27529791961219957</v>
      </c>
      <c r="G125" s="81">
        <f t="shared" si="727"/>
        <v>5.7550843790566852E-2</v>
      </c>
      <c r="H125" s="81">
        <f t="shared" si="727"/>
        <v>1.5654799745708835E-2</v>
      </c>
      <c r="I125" s="81">
        <f t="shared" si="727"/>
        <v>6.1378413524057214E-2</v>
      </c>
      <c r="J125" s="81">
        <f t="shared" si="727"/>
        <v>0</v>
      </c>
      <c r="K125" s="81">
        <f t="shared" si="727"/>
        <v>0</v>
      </c>
      <c r="L125" s="81">
        <f t="shared" si="727"/>
        <v>0</v>
      </c>
      <c r="M125" s="81">
        <f t="shared" si="727"/>
        <v>0</v>
      </c>
      <c r="N125" s="81">
        <f t="shared" si="727"/>
        <v>0</v>
      </c>
      <c r="O125" s="81">
        <f t="shared" si="727"/>
        <v>0</v>
      </c>
      <c r="Q125" s="81">
        <f t="shared" ref="Q125:AJ125" si="728">Q20/Q$22</f>
        <v>0.67919075144508667</v>
      </c>
      <c r="R125" s="81">
        <f t="shared" si="728"/>
        <v>0.31047992164544563</v>
      </c>
      <c r="S125" s="81">
        <f t="shared" si="728"/>
        <v>0.21724137931034482</v>
      </c>
      <c r="T125" s="81">
        <f t="shared" si="728"/>
        <v>0.23242736644798501</v>
      </c>
      <c r="U125" s="81">
        <f t="shared" si="728"/>
        <v>0.12559429477020603</v>
      </c>
      <c r="V125" s="81">
        <f t="shared" si="728"/>
        <v>8.0463936208771292E-2</v>
      </c>
      <c r="W125" s="81">
        <f t="shared" si="728"/>
        <v>3.6942675159235668E-2</v>
      </c>
      <c r="X125" s="81">
        <f t="shared" si="728"/>
        <v>2.4474023185916703E-2</v>
      </c>
      <c r="Y125" s="81">
        <f t="shared" si="728"/>
        <v>0</v>
      </c>
      <c r="Z125" s="81">
        <f t="shared" si="728"/>
        <v>0</v>
      </c>
      <c r="AA125" s="81">
        <f t="shared" si="728"/>
        <v>0</v>
      </c>
      <c r="AB125" s="81">
        <f t="shared" si="728"/>
        <v>5.2477357485348958E-2</v>
      </c>
      <c r="AC125" s="81">
        <f t="shared" si="728"/>
        <v>6.3221765511841846E-2</v>
      </c>
      <c r="AD125" s="81">
        <f t="shared" si="728"/>
        <v>5.7595993322203672E-2</v>
      </c>
      <c r="AE125" s="81">
        <f t="shared" si="728"/>
        <v>5.7004135946772165E-2</v>
      </c>
      <c r="AF125" s="81">
        <f t="shared" si="728"/>
        <v>6.7238689547581901E-2</v>
      </c>
      <c r="AG125" s="81">
        <f t="shared" si="728"/>
        <v>0</v>
      </c>
      <c r="AH125" s="81">
        <f t="shared" si="728"/>
        <v>0</v>
      </c>
      <c r="AI125" s="81">
        <f t="shared" si="728"/>
        <v>0</v>
      </c>
      <c r="AJ125" s="81">
        <f t="shared" si="728"/>
        <v>0</v>
      </c>
      <c r="AK125" s="138">
        <f t="shared" si="724"/>
        <v>0.10021761449933701</v>
      </c>
      <c r="AL125" s="138">
        <f t="shared" si="721"/>
        <v>7.1268957652049519E-2</v>
      </c>
      <c r="AM125" s="138">
        <f t="shared" si="721"/>
        <v>5.930840945237973E-2</v>
      </c>
      <c r="AN125" s="138">
        <f t="shared" si="721"/>
        <v>5.1411760959481481E-2</v>
      </c>
      <c r="AO125" s="138">
        <f t="shared" si="721"/>
        <v>4.2360980685056296E-2</v>
      </c>
      <c r="AP125" s="138">
        <f t="shared" si="721"/>
        <v>3.8199314980798815E-2</v>
      </c>
      <c r="AQ125" s="138">
        <f t="shared" si="721"/>
        <v>3.6086083919400193E-2</v>
      </c>
      <c r="AR125" s="138">
        <f t="shared" si="721"/>
        <v>3.6043254357408419E-2</v>
      </c>
      <c r="AS125" s="138">
        <f t="shared" si="721"/>
        <v>3.6621715915983004E-2</v>
      </c>
      <c r="AT125" s="138">
        <f t="shared" si="721"/>
        <v>3.8452801711782156E-2</v>
      </c>
      <c r="AU125" s="138">
        <f t="shared" si="721"/>
        <v>4.0375441797371257E-2</v>
      </c>
      <c r="AV125" s="138">
        <f t="shared" si="721"/>
        <v>4.2394213887239823E-2</v>
      </c>
      <c r="AW125" s="138">
        <f t="shared" si="721"/>
        <v>4.1890056707334367E-2</v>
      </c>
      <c r="AX125" s="138">
        <f t="shared" si="721"/>
        <v>4.0823471267108988E-2</v>
      </c>
      <c r="AY125" s="138">
        <f t="shared" si="721"/>
        <v>3.998484516435425E-2</v>
      </c>
      <c r="AZ125" s="138">
        <f t="shared" si="721"/>
        <v>3.9133880625233361E-2</v>
      </c>
      <c r="BA125" s="138">
        <f t="shared" si="721"/>
        <v>3.7728640179115938E-2</v>
      </c>
      <c r="BB125" s="138">
        <f t="shared" si="721"/>
        <v>3.9615072188071733E-2</v>
      </c>
      <c r="BC125" s="138">
        <f t="shared" si="721"/>
        <v>4.1595825797475318E-2</v>
      </c>
      <c r="BD125" s="138">
        <f t="shared" si="721"/>
        <v>4.3675617087349086E-2</v>
      </c>
    </row>
    <row r="126" spans="2:56" x14ac:dyDescent="0.15">
      <c r="B126" s="1" t="s">
        <v>287</v>
      </c>
      <c r="E126" s="43" t="s">
        <v>36</v>
      </c>
      <c r="F126" s="81">
        <f t="shared" ref="F126:O126" si="729">F21/F$22</f>
        <v>0.22843869925267624</v>
      </c>
      <c r="G126" s="81">
        <f t="shared" si="729"/>
        <v>8.0268282128948501E-2</v>
      </c>
      <c r="H126" s="81">
        <f t="shared" si="729"/>
        <v>9.5438652256834081E-2</v>
      </c>
      <c r="I126" s="81">
        <f t="shared" si="729"/>
        <v>0.12284351972258344</v>
      </c>
      <c r="J126" s="81">
        <f t="shared" si="729"/>
        <v>0.19618104667609618</v>
      </c>
      <c r="K126" s="81">
        <f t="shared" si="729"/>
        <v>0.1506529101664785</v>
      </c>
      <c r="L126" s="81">
        <f t="shared" si="729"/>
        <v>0.13461694980780675</v>
      </c>
      <c r="M126" s="81">
        <f t="shared" si="729"/>
        <v>0.14556547993607946</v>
      </c>
      <c r="N126" s="81">
        <f t="shared" si="729"/>
        <v>0.15347278883135548</v>
      </c>
      <c r="O126" s="81">
        <f t="shared" si="729"/>
        <v>0.15368828937459808</v>
      </c>
      <c r="Q126" s="81">
        <f t="shared" ref="Q126:AJ126" si="730">Q21/Q$22</f>
        <v>0.32080924855491327</v>
      </c>
      <c r="R126" s="81">
        <f t="shared" si="730"/>
        <v>0.24387855044074436</v>
      </c>
      <c r="S126" s="81">
        <f t="shared" si="730"/>
        <v>0.16275862068965516</v>
      </c>
      <c r="T126" s="81">
        <f t="shared" si="730"/>
        <v>0.25070290534208062</v>
      </c>
      <c r="U126" s="81">
        <f t="shared" si="730"/>
        <v>9.6275752773375592E-2</v>
      </c>
      <c r="V126" s="81">
        <f t="shared" si="730"/>
        <v>0.1007611453425154</v>
      </c>
      <c r="W126" s="81">
        <f t="shared" si="730"/>
        <v>0.08</v>
      </c>
      <c r="X126" s="81">
        <f t="shared" si="730"/>
        <v>5.9682267067410907E-2</v>
      </c>
      <c r="Y126" s="81">
        <f t="shared" si="730"/>
        <v>7.6433121019108277E-2</v>
      </c>
      <c r="Z126" s="81">
        <f t="shared" si="730"/>
        <v>8.727272727272728E-2</v>
      </c>
      <c r="AA126" s="81">
        <f t="shared" si="730"/>
        <v>0.10884353741496598</v>
      </c>
      <c r="AB126" s="81">
        <f t="shared" si="730"/>
        <v>0.10681939264784231</v>
      </c>
      <c r="AC126" s="81">
        <f t="shared" si="730"/>
        <v>0.12468193384223919</v>
      </c>
      <c r="AD126" s="81">
        <f t="shared" si="730"/>
        <v>0.11619365609348915</v>
      </c>
      <c r="AE126" s="81">
        <f t="shared" si="730"/>
        <v>0.10555655457651501</v>
      </c>
      <c r="AF126" s="81">
        <f t="shared" si="730"/>
        <v>0.14258970358814352</v>
      </c>
      <c r="AG126" s="81">
        <f t="shared" si="730"/>
        <v>0.20183354820226329</v>
      </c>
      <c r="AH126" s="81">
        <f t="shared" si="730"/>
        <v>0.18222018908203721</v>
      </c>
      <c r="AI126" s="81">
        <f t="shared" si="730"/>
        <v>0.19108194965184788</v>
      </c>
      <c r="AJ126" s="81">
        <f t="shared" si="730"/>
        <v>0.20857967826206517</v>
      </c>
      <c r="AK126" s="138">
        <f t="shared" si="724"/>
        <v>0.14834872409319694</v>
      </c>
      <c r="AL126" s="138">
        <f t="shared" si="721"/>
        <v>0.13972569787011116</v>
      </c>
      <c r="AM126" s="138">
        <f t="shared" si="721"/>
        <v>0.1345180552415795</v>
      </c>
      <c r="AN126" s="138">
        <f t="shared" si="721"/>
        <v>0.1331060269691757</v>
      </c>
      <c r="AO126" s="138">
        <f t="shared" si="721"/>
        <v>0.12722618305053052</v>
      </c>
      <c r="AP126" s="138">
        <f t="shared" si="721"/>
        <v>0.12877370456438825</v>
      </c>
      <c r="AQ126" s="138">
        <f t="shared" si="721"/>
        <v>0.13017433252548188</v>
      </c>
      <c r="AR126" s="138">
        <f t="shared" si="721"/>
        <v>0.13268304915175597</v>
      </c>
      <c r="AS126" s="138">
        <f t="shared" si="721"/>
        <v>0.13633308825597323</v>
      </c>
      <c r="AT126" s="138">
        <f t="shared" si="721"/>
        <v>0.13932808661781648</v>
      </c>
      <c r="AU126" s="138">
        <f t="shared" si="721"/>
        <v>0.14193085458507093</v>
      </c>
      <c r="AV126" s="138">
        <f t="shared" si="721"/>
        <v>0.14358522044357619</v>
      </c>
      <c r="AW126" s="138">
        <f t="shared" si="721"/>
        <v>0.14542351183336288</v>
      </c>
      <c r="AX126" s="138">
        <f t="shared" si="721"/>
        <v>0.14646059073291903</v>
      </c>
      <c r="AY126" s="138">
        <f t="shared" si="721"/>
        <v>0.14797393746489051</v>
      </c>
      <c r="AZ126" s="138">
        <f t="shared" si="721"/>
        <v>0.15009480660930929</v>
      </c>
      <c r="BA126" s="138">
        <f t="shared" si="721"/>
        <v>0.15047006176036759</v>
      </c>
      <c r="BB126" s="138">
        <f t="shared" si="721"/>
        <v>0.14790188743827279</v>
      </c>
      <c r="BC126" s="138">
        <f t="shared" si="721"/>
        <v>0.14618597235608458</v>
      </c>
      <c r="BD126" s="138">
        <f t="shared" si="721"/>
        <v>0.14394117349129643</v>
      </c>
    </row>
    <row r="127" spans="2:56" x14ac:dyDescent="0.15">
      <c r="B127" s="136" t="s">
        <v>288</v>
      </c>
      <c r="C127" s="136"/>
      <c r="D127" s="136"/>
      <c r="E127" s="122" t="s">
        <v>36</v>
      </c>
      <c r="F127" s="137">
        <f>SUM(F122:F126)</f>
        <v>1</v>
      </c>
      <c r="G127" s="137">
        <f t="shared" ref="G127:Q127" si="731">SUM(G122:G126)</f>
        <v>1</v>
      </c>
      <c r="H127" s="137">
        <f t="shared" si="731"/>
        <v>1</v>
      </c>
      <c r="I127" s="137">
        <f t="shared" si="731"/>
        <v>1</v>
      </c>
      <c r="J127" s="137">
        <f t="shared" si="731"/>
        <v>0.99999999999999989</v>
      </c>
      <c r="K127" s="137">
        <f t="shared" si="731"/>
        <v>1</v>
      </c>
      <c r="L127" s="137">
        <f t="shared" si="731"/>
        <v>1</v>
      </c>
      <c r="M127" s="137">
        <f t="shared" si="731"/>
        <v>1</v>
      </c>
      <c r="N127" s="137">
        <f t="shared" si="731"/>
        <v>0.99999999999999989</v>
      </c>
      <c r="O127" s="137">
        <f t="shared" si="731"/>
        <v>1</v>
      </c>
      <c r="P127" s="135"/>
      <c r="Q127" s="137">
        <f t="shared" si="731"/>
        <v>1</v>
      </c>
      <c r="R127" s="137">
        <f t="shared" ref="R127" si="732">SUM(R122:R126)</f>
        <v>1</v>
      </c>
      <c r="S127" s="137">
        <f t="shared" ref="S127" si="733">SUM(S122:S126)</f>
        <v>1</v>
      </c>
      <c r="T127" s="137">
        <f t="shared" ref="T127" si="734">SUM(T122:T126)</f>
        <v>1</v>
      </c>
      <c r="U127" s="137">
        <f t="shared" ref="U127" si="735">SUM(U122:U126)</f>
        <v>1</v>
      </c>
      <c r="V127" s="137">
        <f t="shared" ref="V127" si="736">SUM(V122:V126)</f>
        <v>1</v>
      </c>
      <c r="W127" s="137">
        <f t="shared" ref="W127" si="737">SUM(W122:W126)</f>
        <v>1</v>
      </c>
      <c r="X127" s="137">
        <f t="shared" ref="X127" si="738">SUM(X122:X126)</f>
        <v>1.0000000000000002</v>
      </c>
      <c r="Y127" s="137">
        <f t="shared" ref="Y127" si="739">SUM(Y122:Y126)</f>
        <v>0.99999999999999989</v>
      </c>
      <c r="Z127" s="137">
        <f t="shared" ref="Z127" si="740">SUM(Z122:Z126)</f>
        <v>0.99999999999999989</v>
      </c>
      <c r="AA127" s="137">
        <f t="shared" ref="AA127" si="741">SUM(AA122:AA126)</f>
        <v>1</v>
      </c>
      <c r="AB127" s="137">
        <f t="shared" ref="AB127" si="742">SUM(AB122:AB126)</f>
        <v>1</v>
      </c>
      <c r="AC127" s="137">
        <f t="shared" ref="AC127" si="743">SUM(AC122:AC126)</f>
        <v>1</v>
      </c>
      <c r="AD127" s="137">
        <f t="shared" ref="AD127" si="744">SUM(AD122:AD126)</f>
        <v>1</v>
      </c>
      <c r="AE127" s="137">
        <f t="shared" ref="AE127" si="745">SUM(AE122:AE126)</f>
        <v>0.99999999999999989</v>
      </c>
      <c r="AF127" s="137">
        <f t="shared" ref="AF127" si="746">SUM(AF122:AF126)</f>
        <v>1.0000000000000002</v>
      </c>
      <c r="AG127" s="137">
        <f t="shared" ref="AG127" si="747">SUM(AG122:AG126)</f>
        <v>1</v>
      </c>
      <c r="AH127" s="137">
        <f t="shared" ref="AH127" si="748">SUM(AH122:AH126)</f>
        <v>1</v>
      </c>
      <c r="AI127" s="137">
        <f t="shared" ref="AI127" si="749">SUM(AI122:AI126)</f>
        <v>1</v>
      </c>
      <c r="AJ127" s="137">
        <f t="shared" ref="AJ127" si="750">SUM(AJ122:AJ126)</f>
        <v>1</v>
      </c>
      <c r="AK127" s="137">
        <f t="shared" ref="AK127" si="751">SUM(AK122:AK126)</f>
        <v>1</v>
      </c>
      <c r="AL127" s="137">
        <f t="shared" ref="AL127" si="752">SUM(AL122:AL126)</f>
        <v>1</v>
      </c>
      <c r="AM127" s="137">
        <f t="shared" ref="AM127" si="753">SUM(AM122:AM126)</f>
        <v>1</v>
      </c>
      <c r="AN127" s="137">
        <f t="shared" ref="AN127" si="754">SUM(AN122:AN126)</f>
        <v>0.99999999999999989</v>
      </c>
      <c r="AO127" s="137">
        <f t="shared" ref="AO127" si="755">SUM(AO122:AO126)</f>
        <v>1</v>
      </c>
      <c r="AP127" s="137">
        <f t="shared" ref="AP127" si="756">SUM(AP122:AP126)</f>
        <v>0.99999999999999978</v>
      </c>
      <c r="AQ127" s="137">
        <f t="shared" ref="AQ127" si="757">SUM(AQ122:AQ126)</f>
        <v>1</v>
      </c>
      <c r="AR127" s="137">
        <f t="shared" ref="AR127" si="758">SUM(AR122:AR126)</f>
        <v>1</v>
      </c>
      <c r="AS127" s="137">
        <f t="shared" ref="AS127" si="759">SUM(AS122:AS126)</f>
        <v>1</v>
      </c>
      <c r="AT127" s="137">
        <f t="shared" ref="AT127" si="760">SUM(AT122:AT126)</f>
        <v>1</v>
      </c>
      <c r="AU127" s="137">
        <f t="shared" ref="AU127" si="761">SUM(AU122:AU126)</f>
        <v>1</v>
      </c>
      <c r="AV127" s="137">
        <f t="shared" ref="AV127" si="762">SUM(AV122:AV126)</f>
        <v>1</v>
      </c>
      <c r="AW127" s="137">
        <f t="shared" ref="AW127" si="763">SUM(AW122:AW126)</f>
        <v>1.0000000000000002</v>
      </c>
      <c r="AX127" s="137">
        <f t="shared" ref="AX127" si="764">SUM(AX122:AX126)</f>
        <v>1</v>
      </c>
      <c r="AY127" s="137">
        <f t="shared" ref="AY127" si="765">SUM(AY122:AY126)</f>
        <v>1</v>
      </c>
      <c r="AZ127" s="137">
        <f t="shared" ref="AZ127" si="766">SUM(AZ122:AZ126)</f>
        <v>1</v>
      </c>
      <c r="BA127" s="137">
        <f t="shared" ref="BA127" si="767">SUM(BA122:BA126)</f>
        <v>1</v>
      </c>
      <c r="BB127" s="137">
        <f t="shared" ref="BB127" si="768">SUM(BB122:BB126)</f>
        <v>1</v>
      </c>
      <c r="BC127" s="137">
        <f t="shared" ref="BC127" si="769">SUM(BC122:BC126)</f>
        <v>1</v>
      </c>
      <c r="BD127" s="137">
        <f t="shared" ref="BD127" si="770">SUM(BD122:BD126)</f>
        <v>1</v>
      </c>
    </row>
    <row r="129" spans="1:56" x14ac:dyDescent="0.15">
      <c r="B129" s="38" t="s">
        <v>289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</row>
    <row r="130" spans="1:56" x14ac:dyDescent="0.15">
      <c r="B130" s="1" t="s">
        <v>283</v>
      </c>
      <c r="E130" s="43" t="s">
        <v>271</v>
      </c>
      <c r="F130" s="139">
        <f>F$115*F122</f>
        <v>0</v>
      </c>
      <c r="G130" s="139">
        <f t="shared" ref="G130:O130" si="771">G$115*G122</f>
        <v>34.213183326121445</v>
      </c>
      <c r="H130" s="139">
        <f t="shared" si="771"/>
        <v>184.64399237126509</v>
      </c>
      <c r="I130" s="139">
        <f t="shared" si="771"/>
        <v>246.27308192457738</v>
      </c>
      <c r="J130" s="139">
        <f t="shared" si="771"/>
        <v>417.82731487945819</v>
      </c>
      <c r="K130" s="139">
        <f t="shared" si="771"/>
        <v>450.82389981104745</v>
      </c>
      <c r="L130" s="139">
        <f t="shared" si="771"/>
        <v>529.92563941100309</v>
      </c>
      <c r="M130" s="139">
        <f t="shared" si="771"/>
        <v>557.24262860469753</v>
      </c>
      <c r="N130" s="139">
        <f t="shared" si="771"/>
        <v>582.60912722408239</v>
      </c>
      <c r="O130" s="139">
        <f t="shared" si="771"/>
        <v>628.53912745720936</v>
      </c>
      <c r="Q130" s="139">
        <f t="shared" ref="Q130:BD130" si="772">Q$115*Q122</f>
        <v>0</v>
      </c>
      <c r="R130" s="139">
        <f t="shared" si="772"/>
        <v>0</v>
      </c>
      <c r="S130" s="139">
        <f t="shared" si="772"/>
        <v>0</v>
      </c>
      <c r="T130" s="139">
        <f t="shared" si="772"/>
        <v>0</v>
      </c>
      <c r="U130" s="139">
        <f t="shared" si="772"/>
        <v>83.169572107765447</v>
      </c>
      <c r="V130" s="139">
        <f t="shared" si="772"/>
        <v>51.148967017035162</v>
      </c>
      <c r="W130" s="139">
        <f t="shared" si="772"/>
        <v>46.833121019108283</v>
      </c>
      <c r="X130" s="139">
        <f t="shared" si="772"/>
        <v>31.258050665521683</v>
      </c>
      <c r="Y130" s="139">
        <f t="shared" si="772"/>
        <v>107.73885350318471</v>
      </c>
      <c r="Z130" s="139">
        <f t="shared" si="772"/>
        <v>103.2290909090909</v>
      </c>
      <c r="AA130" s="139">
        <f t="shared" si="772"/>
        <v>99.455782312925166</v>
      </c>
      <c r="AB130" s="139">
        <f t="shared" si="772"/>
        <v>153.13265849760256</v>
      </c>
      <c r="AC130" s="139">
        <f t="shared" si="772"/>
        <v>175.71246819338424</v>
      </c>
      <c r="AD130" s="139">
        <f t="shared" si="772"/>
        <v>172.57429048414022</v>
      </c>
      <c r="AE130" s="139">
        <f t="shared" si="772"/>
        <v>198.46124797698255</v>
      </c>
      <c r="AF130" s="139">
        <f t="shared" si="772"/>
        <v>219.90889235569423</v>
      </c>
      <c r="AG130" s="139">
        <f t="shared" si="772"/>
        <v>242.05701188941413</v>
      </c>
      <c r="AH130" s="139">
        <f t="shared" si="772"/>
        <v>335.13647453491922</v>
      </c>
      <c r="AI130" s="139">
        <f t="shared" si="772"/>
        <v>387.56722013926083</v>
      </c>
      <c r="AJ130" s="139">
        <f t="shared" si="772"/>
        <v>438.56681532077806</v>
      </c>
      <c r="AK130" s="139">
        <f t="shared" si="772"/>
        <v>363.12299234667086</v>
      </c>
      <c r="AL130" s="139">
        <f t="shared" si="772"/>
        <v>381.93333637635055</v>
      </c>
      <c r="AM130" s="139">
        <f t="shared" si="772"/>
        <v>412.39137285443763</v>
      </c>
      <c r="AN130" s="139">
        <f t="shared" si="772"/>
        <v>451.88595209586487</v>
      </c>
      <c r="AO130" s="139">
        <f t="shared" si="772"/>
        <v>515.18271797612385</v>
      </c>
      <c r="AP130" s="139">
        <f t="shared" si="772"/>
        <v>507.63261447304683</v>
      </c>
      <c r="AQ130" s="139">
        <f t="shared" si="772"/>
        <v>502.6388912072203</v>
      </c>
      <c r="AR130" s="139">
        <f t="shared" si="772"/>
        <v>508.93354604614888</v>
      </c>
      <c r="AS130" s="139">
        <f t="shared" si="772"/>
        <v>556.42423479686863</v>
      </c>
      <c r="AT130" s="139">
        <f t="shared" si="772"/>
        <v>530.21366818397291</v>
      </c>
      <c r="AU130" s="139">
        <f t="shared" si="772"/>
        <v>523.35301958744981</v>
      </c>
      <c r="AV130" s="139">
        <f t="shared" si="772"/>
        <v>521.95349987340319</v>
      </c>
      <c r="AW130" s="139">
        <f t="shared" si="772"/>
        <v>565.34197109381466</v>
      </c>
      <c r="AX130" s="139">
        <f t="shared" si="772"/>
        <v>552.41887206917283</v>
      </c>
      <c r="AY130" s="139">
        <f t="shared" si="772"/>
        <v>553.75581783359485</v>
      </c>
      <c r="AZ130" s="139">
        <f t="shared" si="772"/>
        <v>560.95905152216005</v>
      </c>
      <c r="BA130" s="139">
        <f t="shared" si="772"/>
        <v>615.06899775269517</v>
      </c>
      <c r="BB130" s="139">
        <f t="shared" si="772"/>
        <v>598.80871873157128</v>
      </c>
      <c r="BC130" s="139">
        <f t="shared" si="772"/>
        <v>593.55499795860919</v>
      </c>
      <c r="BD130" s="139">
        <f t="shared" si="772"/>
        <v>599.2821213468269</v>
      </c>
    </row>
    <row r="131" spans="1:56" x14ac:dyDescent="0.15">
      <c r="B131" s="1" t="s">
        <v>284</v>
      </c>
      <c r="E131" s="43" t="s">
        <v>271</v>
      </c>
      <c r="F131" s="139">
        <f>F$115*F123</f>
        <v>125.32740860432236</v>
      </c>
      <c r="G131" s="139">
        <f t="shared" ref="G131:O131" si="773">G$115*G123</f>
        <v>15.894994951680371</v>
      </c>
      <c r="H131" s="139">
        <f t="shared" si="773"/>
        <v>81.220994914176728</v>
      </c>
      <c r="I131" s="139">
        <f t="shared" si="773"/>
        <v>190.87854356306892</v>
      </c>
      <c r="J131" s="139">
        <f t="shared" si="773"/>
        <v>209.8120109488857</v>
      </c>
      <c r="K131" s="139">
        <f t="shared" si="773"/>
        <v>312.8276617921519</v>
      </c>
      <c r="L131" s="139">
        <f t="shared" si="773"/>
        <v>296.93710620610392</v>
      </c>
      <c r="M131" s="139">
        <f t="shared" si="773"/>
        <v>330.00632417224153</v>
      </c>
      <c r="N131" s="139">
        <f t="shared" si="773"/>
        <v>354.34136966501075</v>
      </c>
      <c r="O131" s="139">
        <f t="shared" si="773"/>
        <v>370.35047063053946</v>
      </c>
      <c r="Q131" s="139">
        <f t="shared" ref="Q131:BD131" si="774">Q$115*Q123</f>
        <v>0</v>
      </c>
      <c r="R131" s="139">
        <f t="shared" si="774"/>
        <v>68.756121449559259</v>
      </c>
      <c r="S131" s="139">
        <f t="shared" si="774"/>
        <v>143.32758620689654</v>
      </c>
      <c r="T131" s="139">
        <f t="shared" si="774"/>
        <v>133.7891283973758</v>
      </c>
      <c r="U131" s="139">
        <f t="shared" si="774"/>
        <v>83.068145800316955</v>
      </c>
      <c r="V131" s="139">
        <f t="shared" si="774"/>
        <v>23.799927509967379</v>
      </c>
      <c r="W131" s="139">
        <f t="shared" si="774"/>
        <v>16.16</v>
      </c>
      <c r="X131" s="139">
        <f t="shared" si="774"/>
        <v>10.717045942464578</v>
      </c>
      <c r="Y131" s="139">
        <f t="shared" si="774"/>
        <v>40.063694267515928</v>
      </c>
      <c r="Z131" s="139">
        <f t="shared" si="774"/>
        <v>50.589090909090913</v>
      </c>
      <c r="AA131" s="139">
        <f t="shared" si="774"/>
        <v>35.850340136054427</v>
      </c>
      <c r="AB131" s="139">
        <f t="shared" si="774"/>
        <v>84.86547682472029</v>
      </c>
      <c r="AC131" s="139">
        <f t="shared" si="774"/>
        <v>134.38931297709922</v>
      </c>
      <c r="AD131" s="139">
        <f t="shared" si="774"/>
        <v>132.87646076794658</v>
      </c>
      <c r="AE131" s="139">
        <f t="shared" si="774"/>
        <v>124.43013846430497</v>
      </c>
      <c r="AF131" s="139">
        <f t="shared" si="774"/>
        <v>209.200624024961</v>
      </c>
      <c r="AG131" s="139">
        <f t="shared" si="774"/>
        <v>159.9610371007019</v>
      </c>
      <c r="AH131" s="139">
        <f t="shared" si="774"/>
        <v>145.64577615126564</v>
      </c>
      <c r="AI131" s="139">
        <f t="shared" si="774"/>
        <v>201.70540974825923</v>
      </c>
      <c r="AJ131" s="139">
        <f t="shared" si="774"/>
        <v>182.60568306132916</v>
      </c>
      <c r="AK131" s="139">
        <f t="shared" si="774"/>
        <v>265.69094689142247</v>
      </c>
      <c r="AL131" s="139">
        <f t="shared" si="774"/>
        <v>279.45415721391203</v>
      </c>
      <c r="AM131" s="139">
        <f t="shared" si="774"/>
        <v>282.50910806639524</v>
      </c>
      <c r="AN131" s="139">
        <f t="shared" si="774"/>
        <v>280.0340998730959</v>
      </c>
      <c r="AO131" s="139">
        <f t="shared" si="774"/>
        <v>291.80520463356999</v>
      </c>
      <c r="AP131" s="139">
        <f t="shared" si="774"/>
        <v>279.74214745719365</v>
      </c>
      <c r="AQ131" s="139">
        <f t="shared" si="774"/>
        <v>279.51909511450958</v>
      </c>
      <c r="AR131" s="139">
        <f t="shared" si="774"/>
        <v>288.50888996311329</v>
      </c>
      <c r="AS131" s="139">
        <f t="shared" si="774"/>
        <v>320.76210511215874</v>
      </c>
      <c r="AT131" s="139">
        <f t="shared" si="774"/>
        <v>313.32680869943545</v>
      </c>
      <c r="AU131" s="139">
        <f t="shared" si="774"/>
        <v>312.54522354070673</v>
      </c>
      <c r="AV131" s="139">
        <f t="shared" si="774"/>
        <v>320.00341611008969</v>
      </c>
      <c r="AW131" s="139">
        <f t="shared" si="774"/>
        <v>348.35480811346787</v>
      </c>
      <c r="AX131" s="139">
        <f t="shared" si="774"/>
        <v>336.76489573489232</v>
      </c>
      <c r="AY131" s="139">
        <f t="shared" si="774"/>
        <v>333.52061659158312</v>
      </c>
      <c r="AZ131" s="139">
        <f t="shared" si="774"/>
        <v>337.15828441239029</v>
      </c>
      <c r="BA131" s="139">
        <f t="shared" si="774"/>
        <v>361.11121136329956</v>
      </c>
      <c r="BB131" s="139">
        <f t="shared" si="774"/>
        <v>349.44506234819937</v>
      </c>
      <c r="BC131" s="139">
        <f t="shared" si="774"/>
        <v>351.46602426529245</v>
      </c>
      <c r="BD131" s="139">
        <f t="shared" si="774"/>
        <v>357.18173077057349</v>
      </c>
    </row>
    <row r="132" spans="1:56" x14ac:dyDescent="0.15">
      <c r="B132" s="1" t="s">
        <v>285</v>
      </c>
      <c r="E132" s="43" t="s">
        <v>271</v>
      </c>
      <c r="F132" s="139">
        <f>F$115*F124</f>
        <v>12.633811351242175</v>
      </c>
      <c r="G132" s="139">
        <f t="shared" ref="G132:O132" si="775">G$115*G124</f>
        <v>18.866291648636956</v>
      </c>
      <c r="H132" s="139">
        <f t="shared" si="775"/>
        <v>31.91870629370629</v>
      </c>
      <c r="I132" s="139">
        <f t="shared" si="775"/>
        <v>71.893888166449941</v>
      </c>
      <c r="J132" s="139">
        <f t="shared" si="775"/>
        <v>76.545914521585203</v>
      </c>
      <c r="K132" s="139">
        <f t="shared" si="775"/>
        <v>128.83342610315921</v>
      </c>
      <c r="L132" s="139">
        <f t="shared" si="775"/>
        <v>143.96731392493814</v>
      </c>
      <c r="M132" s="139">
        <f t="shared" si="775"/>
        <v>136.12116081614005</v>
      </c>
      <c r="N132" s="139">
        <f t="shared" si="775"/>
        <v>145.51479518511121</v>
      </c>
      <c r="O132" s="139">
        <f t="shared" si="775"/>
        <v>156.48421850821023</v>
      </c>
      <c r="Q132" s="139">
        <f t="shared" ref="Q132:BD132" si="776">Q$115*Q124</f>
        <v>0</v>
      </c>
      <c r="R132" s="139">
        <f t="shared" si="776"/>
        <v>11.459353574926542</v>
      </c>
      <c r="S132" s="139">
        <f t="shared" si="776"/>
        <v>14.77241379310345</v>
      </c>
      <c r="T132" s="139">
        <f t="shared" si="776"/>
        <v>9.9006560449859435</v>
      </c>
      <c r="U132" s="139">
        <f t="shared" si="776"/>
        <v>32.963549920760698</v>
      </c>
      <c r="V132" s="139">
        <f t="shared" si="776"/>
        <v>3.6534976440739397</v>
      </c>
      <c r="W132" s="139">
        <f t="shared" si="776"/>
        <v>26.195668789808916</v>
      </c>
      <c r="X132" s="139">
        <f t="shared" si="776"/>
        <v>31.292400171747531</v>
      </c>
      <c r="Y132" s="139">
        <f t="shared" si="776"/>
        <v>9.2038216560509554</v>
      </c>
      <c r="Z132" s="139">
        <f t="shared" si="776"/>
        <v>17.774545454545454</v>
      </c>
      <c r="AA132" s="139">
        <f t="shared" si="776"/>
        <v>16.19047619047619</v>
      </c>
      <c r="AB132" s="139">
        <f t="shared" si="776"/>
        <v>43.637453383058073</v>
      </c>
      <c r="AC132" s="139">
        <f t="shared" si="776"/>
        <v>59.402035623409667</v>
      </c>
      <c r="AD132" s="139">
        <f t="shared" si="776"/>
        <v>49.819699499165274</v>
      </c>
      <c r="AE132" s="139">
        <f t="shared" si="776"/>
        <v>51.443984894803094</v>
      </c>
      <c r="AF132" s="139">
        <f t="shared" si="776"/>
        <v>63.957566302652104</v>
      </c>
      <c r="AG132" s="139">
        <f t="shared" si="776"/>
        <v>51.340495630998426</v>
      </c>
      <c r="AH132" s="139">
        <f t="shared" si="776"/>
        <v>59.770204330588591</v>
      </c>
      <c r="AI132" s="139">
        <f t="shared" si="776"/>
        <v>70.804499196572038</v>
      </c>
      <c r="AJ132" s="139">
        <f t="shared" si="776"/>
        <v>72.150926222781123</v>
      </c>
      <c r="AK132" s="139">
        <f t="shared" si="776"/>
        <v>105.69852146323325</v>
      </c>
      <c r="AL132" s="139">
        <f t="shared" si="776"/>
        <v>111.17387167254677</v>
      </c>
      <c r="AM132" s="139">
        <f t="shared" si="776"/>
        <v>116.83454089348533</v>
      </c>
      <c r="AN132" s="139">
        <f t="shared" si="776"/>
        <v>124.98007840989503</v>
      </c>
      <c r="AO132" s="139">
        <f t="shared" si="776"/>
        <v>140.45469634907849</v>
      </c>
      <c r="AP132" s="139">
        <f t="shared" si="776"/>
        <v>136.16838510979164</v>
      </c>
      <c r="AQ132" s="139">
        <f t="shared" si="776"/>
        <v>140.63199555978585</v>
      </c>
      <c r="AR132" s="139">
        <f t="shared" si="776"/>
        <v>135.12204174507025</v>
      </c>
      <c r="AS132" s="139">
        <f t="shared" si="776"/>
        <v>130.22589225940231</v>
      </c>
      <c r="AT132" s="139">
        <f t="shared" si="776"/>
        <v>129.6655800437683</v>
      </c>
      <c r="AU132" s="139">
        <f t="shared" si="776"/>
        <v>130.3355382426185</v>
      </c>
      <c r="AV132" s="139">
        <f t="shared" si="776"/>
        <v>133.00874749842592</v>
      </c>
      <c r="AW132" s="139">
        <f t="shared" si="776"/>
        <v>143.1696403464301</v>
      </c>
      <c r="AX132" s="139">
        <f t="shared" si="776"/>
        <v>137.82730529707553</v>
      </c>
      <c r="AY132" s="139">
        <f t="shared" si="776"/>
        <v>137.16880993333967</v>
      </c>
      <c r="AZ132" s="139">
        <f t="shared" si="776"/>
        <v>138.62642646200877</v>
      </c>
      <c r="BA132" s="139">
        <f t="shared" si="776"/>
        <v>150.92886219794298</v>
      </c>
      <c r="BB132" s="139">
        <f t="shared" si="776"/>
        <v>147.89566154109923</v>
      </c>
      <c r="BC132" s="139">
        <f t="shared" si="776"/>
        <v>148.94166281231747</v>
      </c>
      <c r="BD132" s="139">
        <f t="shared" si="776"/>
        <v>152.59121284680688</v>
      </c>
    </row>
    <row r="133" spans="1:56" x14ac:dyDescent="0.15">
      <c r="B133" s="1" t="s">
        <v>286</v>
      </c>
      <c r="E133" s="43" t="s">
        <v>271</v>
      </c>
      <c r="F133" s="139">
        <f>F$115*F125</f>
        <v>76.532821652191487</v>
      </c>
      <c r="G133" s="139">
        <f t="shared" ref="G133:O133" si="777">G$115*G125</f>
        <v>4.6040675032453482</v>
      </c>
      <c r="H133" s="139">
        <f t="shared" si="777"/>
        <v>5.2443579148124595</v>
      </c>
      <c r="I133" s="139">
        <f t="shared" si="777"/>
        <v>38.300130039011698</v>
      </c>
      <c r="J133" s="139">
        <f t="shared" si="777"/>
        <v>0</v>
      </c>
      <c r="K133" s="139">
        <f t="shared" si="777"/>
        <v>0</v>
      </c>
      <c r="L133" s="139">
        <f t="shared" si="777"/>
        <v>0</v>
      </c>
      <c r="M133" s="139">
        <f t="shared" si="777"/>
        <v>0</v>
      </c>
      <c r="N133" s="139">
        <f t="shared" si="777"/>
        <v>0</v>
      </c>
      <c r="O133" s="139">
        <f t="shared" si="777"/>
        <v>0</v>
      </c>
      <c r="Q133" s="139">
        <f t="shared" ref="Q133:BD133" si="778">Q$115*Q125</f>
        <v>151.45953757225433</v>
      </c>
      <c r="R133" s="139">
        <f t="shared" si="778"/>
        <v>55.886385896180215</v>
      </c>
      <c r="S133" s="139">
        <f t="shared" si="778"/>
        <v>55.396551724137929</v>
      </c>
      <c r="T133" s="139">
        <f t="shared" si="778"/>
        <v>64.614807872539828</v>
      </c>
      <c r="U133" s="139">
        <f t="shared" si="778"/>
        <v>32.152139461172744</v>
      </c>
      <c r="V133" s="139">
        <f t="shared" si="778"/>
        <v>7.724537876042044</v>
      </c>
      <c r="W133" s="139">
        <f t="shared" si="778"/>
        <v>3.7312101910828024</v>
      </c>
      <c r="X133" s="139">
        <f t="shared" si="778"/>
        <v>1.9579218548733364</v>
      </c>
      <c r="Y133" s="139">
        <f t="shared" si="778"/>
        <v>0</v>
      </c>
      <c r="Z133" s="139">
        <f t="shared" si="778"/>
        <v>0</v>
      </c>
      <c r="AA133" s="139">
        <f t="shared" si="778"/>
        <v>0</v>
      </c>
      <c r="AB133" s="139">
        <f t="shared" si="778"/>
        <v>17.579914757591901</v>
      </c>
      <c r="AC133" s="139">
        <f t="shared" si="778"/>
        <v>28.765903307888038</v>
      </c>
      <c r="AD133" s="139">
        <f t="shared" si="778"/>
        <v>24.766277128547578</v>
      </c>
      <c r="AE133" s="139">
        <f t="shared" si="778"/>
        <v>25.480848768207156</v>
      </c>
      <c r="AF133" s="139">
        <f t="shared" si="778"/>
        <v>41.956942277691105</v>
      </c>
      <c r="AG133" s="139">
        <f t="shared" si="778"/>
        <v>0</v>
      </c>
      <c r="AH133" s="139">
        <f t="shared" si="778"/>
        <v>0</v>
      </c>
      <c r="AI133" s="139">
        <f t="shared" si="778"/>
        <v>0</v>
      </c>
      <c r="AJ133" s="139">
        <f t="shared" si="778"/>
        <v>0</v>
      </c>
      <c r="AK133" s="139">
        <f t="shared" si="778"/>
        <v>97.960858572197026</v>
      </c>
      <c r="AL133" s="139">
        <f t="shared" si="778"/>
        <v>69.783612506405746</v>
      </c>
      <c r="AM133" s="139">
        <f t="shared" si="778"/>
        <v>59.717555752216512</v>
      </c>
      <c r="AN133" s="139">
        <f t="shared" si="778"/>
        <v>54.022937615384926</v>
      </c>
      <c r="AO133" s="139">
        <f t="shared" si="778"/>
        <v>48.3308984750958</v>
      </c>
      <c r="AP133" s="139">
        <f t="shared" si="778"/>
        <v>42.35002754998289</v>
      </c>
      <c r="AQ133" s="139">
        <f t="shared" si="778"/>
        <v>39.940381124961576</v>
      </c>
      <c r="AR133" s="139">
        <f t="shared" si="778"/>
        <v>40.43512842794938</v>
      </c>
      <c r="AS133" s="139">
        <f t="shared" si="778"/>
        <v>44.608402010993892</v>
      </c>
      <c r="AT133" s="139">
        <f t="shared" si="778"/>
        <v>45.514022966091616</v>
      </c>
      <c r="AU133" s="139">
        <f t="shared" si="778"/>
        <v>47.709937877467098</v>
      </c>
      <c r="AV133" s="139">
        <f t="shared" si="778"/>
        <v>50.776239094633326</v>
      </c>
      <c r="AW133" s="139">
        <f t="shared" si="778"/>
        <v>54.476354634941977</v>
      </c>
      <c r="AX133" s="139">
        <f t="shared" si="778"/>
        <v>51.587713582834439</v>
      </c>
      <c r="AY133" s="139">
        <f t="shared" si="778"/>
        <v>50.443602613747814</v>
      </c>
      <c r="AZ133" s="139">
        <f t="shared" si="778"/>
        <v>50.040999228495139</v>
      </c>
      <c r="BA133" s="139">
        <f t="shared" si="778"/>
        <v>52.382636854383385</v>
      </c>
      <c r="BB133" s="139">
        <f t="shared" si="778"/>
        <v>53.446087044930721</v>
      </c>
      <c r="BC133" s="139">
        <f t="shared" si="778"/>
        <v>56.024700224962551</v>
      </c>
      <c r="BD133" s="139">
        <f t="shared" si="778"/>
        <v>59.625388344330439</v>
      </c>
    </row>
    <row r="134" spans="1:56" x14ac:dyDescent="0.15">
      <c r="B134" s="1" t="s">
        <v>287</v>
      </c>
      <c r="E134" s="43" t="s">
        <v>271</v>
      </c>
      <c r="F134" s="139">
        <f>F$115*F126</f>
        <v>63.505958392243997</v>
      </c>
      <c r="G134" s="139">
        <f t="shared" ref="G134:O134" si="779">G$115*G126</f>
        <v>6.4214625703158799</v>
      </c>
      <c r="H134" s="139">
        <f t="shared" si="779"/>
        <v>31.971948506039418</v>
      </c>
      <c r="I134" s="139">
        <f t="shared" si="779"/>
        <v>76.654356306892069</v>
      </c>
      <c r="J134" s="139">
        <f t="shared" si="779"/>
        <v>171.8643196138222</v>
      </c>
      <c r="K134" s="139">
        <f t="shared" si="779"/>
        <v>158.3044932834361</v>
      </c>
      <c r="L134" s="139">
        <f t="shared" si="779"/>
        <v>151.02003831512127</v>
      </c>
      <c r="M134" s="139">
        <f t="shared" si="779"/>
        <v>174.34614149984529</v>
      </c>
      <c r="N134" s="139">
        <f t="shared" si="779"/>
        <v>196.2476397639152</v>
      </c>
      <c r="O134" s="139">
        <f t="shared" si="779"/>
        <v>209.81326765479344</v>
      </c>
      <c r="Q134" s="139">
        <f t="shared" ref="Q134:BD134" si="780">Q$115*Q126</f>
        <v>71.540462427745666</v>
      </c>
      <c r="R134" s="139">
        <f t="shared" si="780"/>
        <v>43.898139079333987</v>
      </c>
      <c r="S134" s="139">
        <f t="shared" si="780"/>
        <v>41.503448275862063</v>
      </c>
      <c r="T134" s="139">
        <f t="shared" si="780"/>
        <v>69.695407685098417</v>
      </c>
      <c r="U134" s="139">
        <f t="shared" si="780"/>
        <v>24.646592709984152</v>
      </c>
      <c r="V134" s="139">
        <f t="shared" si="780"/>
        <v>9.6730699528814785</v>
      </c>
      <c r="W134" s="139">
        <f t="shared" si="780"/>
        <v>8.08</v>
      </c>
      <c r="X134" s="139">
        <f t="shared" si="780"/>
        <v>4.7745813653928728</v>
      </c>
      <c r="Y134" s="139">
        <f t="shared" si="780"/>
        <v>12.993630573248407</v>
      </c>
      <c r="Z134" s="139">
        <f t="shared" si="780"/>
        <v>16.40727272727273</v>
      </c>
      <c r="AA134" s="139">
        <f t="shared" si="780"/>
        <v>18.503401360544217</v>
      </c>
      <c r="AB134" s="139">
        <f t="shared" si="780"/>
        <v>35.784496537027174</v>
      </c>
      <c r="AC134" s="139">
        <f t="shared" si="780"/>
        <v>56.730279898218832</v>
      </c>
      <c r="AD134" s="139">
        <f t="shared" si="780"/>
        <v>49.963272120200337</v>
      </c>
      <c r="AE134" s="139">
        <f t="shared" si="780"/>
        <v>47.183779895702209</v>
      </c>
      <c r="AF134" s="139">
        <f t="shared" si="780"/>
        <v>88.975975039001554</v>
      </c>
      <c r="AG134" s="139">
        <f t="shared" si="780"/>
        <v>114.64145537888555</v>
      </c>
      <c r="AH134" s="139">
        <f t="shared" si="780"/>
        <v>120.44754498322659</v>
      </c>
      <c r="AI134" s="139">
        <f t="shared" si="780"/>
        <v>155.92287091590788</v>
      </c>
      <c r="AJ134" s="139">
        <f t="shared" si="780"/>
        <v>182.72613535886302</v>
      </c>
      <c r="AK134" s="139">
        <f t="shared" si="780"/>
        <v>145.00812509716724</v>
      </c>
      <c r="AL134" s="139">
        <f t="shared" si="780"/>
        <v>136.81361813875998</v>
      </c>
      <c r="AM134" s="139">
        <f t="shared" si="780"/>
        <v>135.4460444605034</v>
      </c>
      <c r="AN134" s="139">
        <f t="shared" si="780"/>
        <v>139.86641299555373</v>
      </c>
      <c r="AO134" s="139">
        <f t="shared" si="780"/>
        <v>145.15612332266696</v>
      </c>
      <c r="AP134" s="139">
        <f t="shared" si="780"/>
        <v>142.76617103622092</v>
      </c>
      <c r="AQ134" s="139">
        <f t="shared" si="780"/>
        <v>144.07804585745274</v>
      </c>
      <c r="AR134" s="139">
        <f t="shared" si="780"/>
        <v>148.85049167488467</v>
      </c>
      <c r="AS134" s="139">
        <f t="shared" si="780"/>
        <v>166.06543566323006</v>
      </c>
      <c r="AT134" s="139">
        <f t="shared" si="780"/>
        <v>164.91338606939183</v>
      </c>
      <c r="AU134" s="139">
        <f t="shared" si="780"/>
        <v>167.71363863046139</v>
      </c>
      <c r="AV134" s="139">
        <f t="shared" si="780"/>
        <v>171.97435251637205</v>
      </c>
      <c r="AW134" s="139">
        <f t="shared" si="780"/>
        <v>189.11750008459407</v>
      </c>
      <c r="AX134" s="139">
        <f t="shared" si="780"/>
        <v>185.0789942988018</v>
      </c>
      <c r="AY134" s="139">
        <f t="shared" si="780"/>
        <v>186.67918977775173</v>
      </c>
      <c r="AZ134" s="139">
        <f t="shared" si="780"/>
        <v>191.92817021306547</v>
      </c>
      <c r="BA134" s="139">
        <f t="shared" si="780"/>
        <v>208.91340279507173</v>
      </c>
      <c r="BB134" s="139">
        <f t="shared" si="780"/>
        <v>199.53963765628666</v>
      </c>
      <c r="BC134" s="139">
        <f t="shared" si="780"/>
        <v>196.89536441037311</v>
      </c>
      <c r="BD134" s="139">
        <f t="shared" si="780"/>
        <v>196.50663094221466</v>
      </c>
    </row>
    <row r="136" spans="1:56" x14ac:dyDescent="0.15">
      <c r="B136" s="38" t="s">
        <v>290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  <c r="BD136" s="39"/>
    </row>
    <row r="137" spans="1:56" x14ac:dyDescent="0.15">
      <c r="B137" s="1" t="s">
        <v>283</v>
      </c>
      <c r="E137" s="43" t="s">
        <v>36</v>
      </c>
      <c r="F137" s="140">
        <f t="shared" ref="F137:O137" si="781">IFERROR((F17/1000000)/F130, 0)</f>
        <v>0</v>
      </c>
      <c r="G137" s="140">
        <f t="shared" si="781"/>
        <v>1.7332500000000001E-2</v>
      </c>
      <c r="H137" s="140">
        <f t="shared" si="781"/>
        <v>3.7564179104477616E-3</v>
      </c>
      <c r="I137" s="140">
        <f t="shared" si="781"/>
        <v>3.6971153846153842E-3</v>
      </c>
      <c r="J137" s="140">
        <f t="shared" si="781"/>
        <v>3.2281278699769172E-3</v>
      </c>
      <c r="K137" s="140">
        <f t="shared" si="781"/>
        <v>3.499817436283512E-3</v>
      </c>
      <c r="L137" s="140">
        <f t="shared" si="781"/>
        <v>3.8106402815887043E-3</v>
      </c>
      <c r="M137" s="140">
        <f t="shared" si="781"/>
        <v>3.8084199891413152E-3</v>
      </c>
      <c r="N137" s="140">
        <f t="shared" si="781"/>
        <v>3.8025698731800769E-3</v>
      </c>
      <c r="O137" s="140">
        <f t="shared" si="781"/>
        <v>3.8037310766656177E-3</v>
      </c>
      <c r="Q137" s="140">
        <f t="shared" ref="Q137:AJ137" si="782">IFERROR((Q17/1000000)/Q130, 0)</f>
        <v>0</v>
      </c>
      <c r="R137" s="140">
        <f t="shared" si="782"/>
        <v>0</v>
      </c>
      <c r="S137" s="140">
        <f t="shared" si="782"/>
        <v>0</v>
      </c>
      <c r="T137" s="140">
        <f t="shared" si="782"/>
        <v>0</v>
      </c>
      <c r="U137" s="140">
        <f t="shared" si="782"/>
        <v>9.8593750000000005E-4</v>
      </c>
      <c r="V137" s="140">
        <f t="shared" si="782"/>
        <v>2.873958333333333E-3</v>
      </c>
      <c r="W137" s="140">
        <f t="shared" si="782"/>
        <v>3.8861386138613857E-3</v>
      </c>
      <c r="X137" s="140">
        <f t="shared" si="782"/>
        <v>5.8224999999999996E-3</v>
      </c>
      <c r="Y137" s="140">
        <f t="shared" si="782"/>
        <v>1.8470588235294119E-3</v>
      </c>
      <c r="Z137" s="140">
        <f t="shared" si="782"/>
        <v>1.4627659574468087E-3</v>
      </c>
      <c r="AA137" s="140">
        <f t="shared" si="782"/>
        <v>1.7294117647058823E-3</v>
      </c>
      <c r="AB137" s="140">
        <f t="shared" si="782"/>
        <v>1.1205970149253731E-3</v>
      </c>
      <c r="AC137" s="140">
        <f t="shared" si="782"/>
        <v>1.1228571428571427E-3</v>
      </c>
      <c r="AD137" s="140">
        <f t="shared" si="782"/>
        <v>1.3930232558139535E-3</v>
      </c>
      <c r="AE137" s="140">
        <f t="shared" si="782"/>
        <v>1.2440715883668904E-3</v>
      </c>
      <c r="AF137" s="140">
        <f t="shared" si="782"/>
        <v>1.0272435897435896E-3</v>
      </c>
      <c r="AG137" s="140">
        <f t="shared" si="782"/>
        <v>1.2290492957746479E-3</v>
      </c>
      <c r="AH137" s="140">
        <f t="shared" si="782"/>
        <v>9.9213313161875937E-4</v>
      </c>
      <c r="AI137" s="140">
        <f t="shared" si="782"/>
        <v>9.1519607843137268E-4</v>
      </c>
      <c r="AJ137" s="140">
        <f t="shared" si="782"/>
        <v>8.3020417250148919E-4</v>
      </c>
      <c r="AK137" s="141">
        <f>AG137</f>
        <v>1.2290492957746479E-3</v>
      </c>
      <c r="AL137" s="141">
        <f t="shared" ref="AL137:AN141" si="783">AH137</f>
        <v>9.9213313161875937E-4</v>
      </c>
      <c r="AM137" s="141">
        <f t="shared" si="783"/>
        <v>9.1519607843137268E-4</v>
      </c>
      <c r="AN137" s="141">
        <f t="shared" si="783"/>
        <v>8.3020417250148919E-4</v>
      </c>
      <c r="AO137" s="141">
        <f t="shared" ref="AO137:AO141" si="784">AK137</f>
        <v>1.2290492957746479E-3</v>
      </c>
      <c r="AP137" s="141">
        <f t="shared" ref="AP137:AP141" si="785">AL137</f>
        <v>9.9213313161875937E-4</v>
      </c>
      <c r="AQ137" s="141">
        <f t="shared" ref="AQ137:AQ141" si="786">AM137</f>
        <v>9.1519607843137268E-4</v>
      </c>
      <c r="AR137" s="141">
        <f t="shared" ref="AR137:AR141" si="787">AN137</f>
        <v>8.3020417250148919E-4</v>
      </c>
      <c r="AS137" s="141">
        <f t="shared" ref="AS137:AS141" si="788">AO137</f>
        <v>1.2290492957746479E-3</v>
      </c>
      <c r="AT137" s="141">
        <f t="shared" ref="AT137:AT141" si="789">AP137</f>
        <v>9.9213313161875937E-4</v>
      </c>
      <c r="AU137" s="141">
        <f t="shared" ref="AU137:AU141" si="790">AQ137</f>
        <v>9.1519607843137268E-4</v>
      </c>
      <c r="AV137" s="141">
        <f t="shared" ref="AV137:AV141" si="791">AR137</f>
        <v>8.3020417250148919E-4</v>
      </c>
      <c r="AW137" s="141">
        <f t="shared" ref="AW137:AW141" si="792">AS137</f>
        <v>1.2290492957746479E-3</v>
      </c>
      <c r="AX137" s="141">
        <f t="shared" ref="AX137:AX141" si="793">AT137</f>
        <v>9.9213313161875937E-4</v>
      </c>
      <c r="AY137" s="141">
        <f t="shared" ref="AY137:AY141" si="794">AU137</f>
        <v>9.1519607843137268E-4</v>
      </c>
      <c r="AZ137" s="141">
        <f t="shared" ref="AZ137:AZ141" si="795">AV137</f>
        <v>8.3020417250148919E-4</v>
      </c>
      <c r="BA137" s="141">
        <f t="shared" ref="BA137:BA141" si="796">AW137</f>
        <v>1.2290492957746479E-3</v>
      </c>
      <c r="BB137" s="141">
        <f t="shared" ref="BB137:BB141" si="797">AX137</f>
        <v>9.9213313161875937E-4</v>
      </c>
      <c r="BC137" s="141">
        <f t="shared" ref="BC137:BC141" si="798">AY137</f>
        <v>9.1519607843137268E-4</v>
      </c>
      <c r="BD137" s="141">
        <f t="shared" ref="BD137:BD141" si="799">AZ137</f>
        <v>8.3020417250148919E-4</v>
      </c>
    </row>
    <row r="138" spans="1:56" x14ac:dyDescent="0.15">
      <c r="B138" s="1" t="s">
        <v>284</v>
      </c>
      <c r="E138" s="43" t="s">
        <v>36</v>
      </c>
      <c r="F138" s="140">
        <f t="shared" ref="F138:O138" si="800">IFERROR((F18/1000000)/F131, 0)</f>
        <v>1.7809352517985612E-3</v>
      </c>
      <c r="G138" s="140">
        <f t="shared" si="800"/>
        <v>1.7332500000000001E-2</v>
      </c>
      <c r="H138" s="140">
        <f t="shared" si="800"/>
        <v>3.7564179104477612E-3</v>
      </c>
      <c r="I138" s="140">
        <f t="shared" si="800"/>
        <v>3.6971153846153846E-3</v>
      </c>
      <c r="J138" s="140">
        <f t="shared" si="800"/>
        <v>3.2281278699769172E-3</v>
      </c>
      <c r="K138" s="140">
        <f t="shared" si="800"/>
        <v>3.4998174362835116E-3</v>
      </c>
      <c r="L138" s="140">
        <f t="shared" si="800"/>
        <v>3.8106402815887056E-3</v>
      </c>
      <c r="M138" s="140">
        <f t="shared" si="800"/>
        <v>3.8084199891413152E-3</v>
      </c>
      <c r="N138" s="140">
        <f t="shared" si="800"/>
        <v>3.8025698731800764E-3</v>
      </c>
      <c r="O138" s="140">
        <f t="shared" si="800"/>
        <v>3.8037310766656173E-3</v>
      </c>
      <c r="Q138" s="140">
        <f t="shared" ref="Q138:AJ138" si="801">IFERROR((Q18/1000000)/Q131, 0)</f>
        <v>0</v>
      </c>
      <c r="R138" s="140">
        <f t="shared" si="801"/>
        <v>5.6722222222222222E-4</v>
      </c>
      <c r="S138" s="140">
        <f t="shared" si="801"/>
        <v>5.6862745098039218E-4</v>
      </c>
      <c r="T138" s="140">
        <f t="shared" si="801"/>
        <v>7.6762589928057565E-4</v>
      </c>
      <c r="U138" s="140">
        <f t="shared" si="801"/>
        <v>9.8593750000000005E-4</v>
      </c>
      <c r="V138" s="140">
        <f t="shared" si="801"/>
        <v>2.8739583333333334E-3</v>
      </c>
      <c r="W138" s="140">
        <f t="shared" si="801"/>
        <v>3.8861386138613857E-3</v>
      </c>
      <c r="X138" s="140">
        <f t="shared" si="801"/>
        <v>5.8224999999999996E-3</v>
      </c>
      <c r="Y138" s="140">
        <f t="shared" si="801"/>
        <v>1.8470588235294115E-3</v>
      </c>
      <c r="Z138" s="140">
        <f t="shared" si="801"/>
        <v>1.4627659574468082E-3</v>
      </c>
      <c r="AA138" s="140">
        <f t="shared" si="801"/>
        <v>1.7294117647058821E-3</v>
      </c>
      <c r="AB138" s="140">
        <f t="shared" si="801"/>
        <v>1.1205970149253733E-3</v>
      </c>
      <c r="AC138" s="140">
        <f t="shared" si="801"/>
        <v>1.1228571428571431E-3</v>
      </c>
      <c r="AD138" s="140">
        <f t="shared" si="801"/>
        <v>1.3930232558139533E-3</v>
      </c>
      <c r="AE138" s="140">
        <f t="shared" si="801"/>
        <v>1.2440715883668904E-3</v>
      </c>
      <c r="AF138" s="140">
        <f t="shared" si="801"/>
        <v>1.0272435897435898E-3</v>
      </c>
      <c r="AG138" s="140">
        <f t="shared" si="801"/>
        <v>1.2290492957746479E-3</v>
      </c>
      <c r="AH138" s="140">
        <f t="shared" si="801"/>
        <v>9.9213313161875937E-4</v>
      </c>
      <c r="AI138" s="140">
        <f t="shared" si="801"/>
        <v>9.1519607843137257E-4</v>
      </c>
      <c r="AJ138" s="140">
        <f t="shared" si="801"/>
        <v>8.3020417250148941E-4</v>
      </c>
      <c r="AK138" s="141">
        <f t="shared" ref="AK138:AK141" si="802">AG138</f>
        <v>1.2290492957746479E-3</v>
      </c>
      <c r="AL138" s="141">
        <f t="shared" si="783"/>
        <v>9.9213313161875937E-4</v>
      </c>
      <c r="AM138" s="141">
        <f t="shared" si="783"/>
        <v>9.1519607843137257E-4</v>
      </c>
      <c r="AN138" s="141">
        <f t="shared" si="783"/>
        <v>8.3020417250148941E-4</v>
      </c>
      <c r="AO138" s="141">
        <f t="shared" si="784"/>
        <v>1.2290492957746479E-3</v>
      </c>
      <c r="AP138" s="141">
        <f t="shared" si="785"/>
        <v>9.9213313161875937E-4</v>
      </c>
      <c r="AQ138" s="141">
        <f t="shared" si="786"/>
        <v>9.1519607843137257E-4</v>
      </c>
      <c r="AR138" s="141">
        <f t="shared" si="787"/>
        <v>8.3020417250148941E-4</v>
      </c>
      <c r="AS138" s="141">
        <f t="shared" si="788"/>
        <v>1.2290492957746479E-3</v>
      </c>
      <c r="AT138" s="141">
        <f t="shared" si="789"/>
        <v>9.9213313161875937E-4</v>
      </c>
      <c r="AU138" s="141">
        <f t="shared" si="790"/>
        <v>9.1519607843137257E-4</v>
      </c>
      <c r="AV138" s="141">
        <f t="shared" si="791"/>
        <v>8.3020417250148941E-4</v>
      </c>
      <c r="AW138" s="141">
        <f t="shared" si="792"/>
        <v>1.2290492957746479E-3</v>
      </c>
      <c r="AX138" s="141">
        <f t="shared" si="793"/>
        <v>9.9213313161875937E-4</v>
      </c>
      <c r="AY138" s="141">
        <f t="shared" si="794"/>
        <v>9.1519607843137257E-4</v>
      </c>
      <c r="AZ138" s="141">
        <f t="shared" si="795"/>
        <v>8.3020417250148941E-4</v>
      </c>
      <c r="BA138" s="141">
        <f t="shared" si="796"/>
        <v>1.2290492957746479E-3</v>
      </c>
      <c r="BB138" s="141">
        <f t="shared" si="797"/>
        <v>9.9213313161875937E-4</v>
      </c>
      <c r="BC138" s="141">
        <f t="shared" si="798"/>
        <v>9.1519607843137257E-4</v>
      </c>
      <c r="BD138" s="141">
        <f t="shared" si="799"/>
        <v>8.3020417250148941E-4</v>
      </c>
    </row>
    <row r="139" spans="1:56" x14ac:dyDescent="0.15">
      <c r="B139" s="1" t="s">
        <v>285</v>
      </c>
      <c r="E139" s="43" t="s">
        <v>36</v>
      </c>
      <c r="F139" s="140">
        <f t="shared" ref="F139:O139" si="803">IFERROR((F19/1000000)/F132, 0)</f>
        <v>1.7809352517985609E-3</v>
      </c>
      <c r="G139" s="140">
        <f t="shared" si="803"/>
        <v>1.7332499999999997E-2</v>
      </c>
      <c r="H139" s="140">
        <f t="shared" si="803"/>
        <v>3.7564179104477621E-3</v>
      </c>
      <c r="I139" s="140">
        <f t="shared" si="803"/>
        <v>3.6971153846153842E-3</v>
      </c>
      <c r="J139" s="140">
        <f t="shared" si="803"/>
        <v>3.2281278699769168E-3</v>
      </c>
      <c r="K139" s="140">
        <f t="shared" si="803"/>
        <v>3.499817436283512E-3</v>
      </c>
      <c r="L139" s="140">
        <f t="shared" si="803"/>
        <v>3.8106402815887047E-3</v>
      </c>
      <c r="M139" s="140">
        <f t="shared" si="803"/>
        <v>3.8084199891413148E-3</v>
      </c>
      <c r="N139" s="140">
        <f t="shared" si="803"/>
        <v>3.8025698731800769E-3</v>
      </c>
      <c r="O139" s="140">
        <f t="shared" si="803"/>
        <v>3.8037310766656169E-3</v>
      </c>
      <c r="Q139" s="140">
        <f t="shared" ref="Q139:AJ139" si="804">IFERROR((Q19/1000000)/Q132, 0)</f>
        <v>0</v>
      </c>
      <c r="R139" s="140">
        <f t="shared" si="804"/>
        <v>5.6722222222222222E-4</v>
      </c>
      <c r="S139" s="140">
        <f t="shared" si="804"/>
        <v>5.6862745098039207E-4</v>
      </c>
      <c r="T139" s="140">
        <f t="shared" si="804"/>
        <v>7.6762589928057543E-4</v>
      </c>
      <c r="U139" s="140">
        <f t="shared" si="804"/>
        <v>9.8593750000000005E-4</v>
      </c>
      <c r="V139" s="140">
        <f t="shared" si="804"/>
        <v>2.8739583333333334E-3</v>
      </c>
      <c r="W139" s="140">
        <f t="shared" si="804"/>
        <v>3.8861386138613861E-3</v>
      </c>
      <c r="X139" s="140">
        <f t="shared" si="804"/>
        <v>5.8225000000000004E-3</v>
      </c>
      <c r="Y139" s="140">
        <f t="shared" si="804"/>
        <v>1.8470588235294119E-3</v>
      </c>
      <c r="Z139" s="140">
        <f t="shared" si="804"/>
        <v>1.4627659574468085E-3</v>
      </c>
      <c r="AA139" s="140">
        <f t="shared" si="804"/>
        <v>1.7294117647058825E-3</v>
      </c>
      <c r="AB139" s="140">
        <f t="shared" si="804"/>
        <v>1.1205970149253731E-3</v>
      </c>
      <c r="AC139" s="140">
        <f t="shared" si="804"/>
        <v>1.1228571428571429E-3</v>
      </c>
      <c r="AD139" s="140">
        <f t="shared" si="804"/>
        <v>1.3930232558139535E-3</v>
      </c>
      <c r="AE139" s="140">
        <f t="shared" si="804"/>
        <v>1.2440715883668904E-3</v>
      </c>
      <c r="AF139" s="140">
        <f t="shared" si="804"/>
        <v>1.0272435897435896E-3</v>
      </c>
      <c r="AG139" s="140">
        <f t="shared" si="804"/>
        <v>1.2290492957746479E-3</v>
      </c>
      <c r="AH139" s="140">
        <f t="shared" si="804"/>
        <v>9.9213313161875959E-4</v>
      </c>
      <c r="AI139" s="140">
        <f t="shared" si="804"/>
        <v>9.1519607843137257E-4</v>
      </c>
      <c r="AJ139" s="140">
        <f t="shared" si="804"/>
        <v>8.3020417250148919E-4</v>
      </c>
      <c r="AK139" s="141">
        <f t="shared" si="802"/>
        <v>1.2290492957746479E-3</v>
      </c>
      <c r="AL139" s="141">
        <f t="shared" si="783"/>
        <v>9.9213313161875959E-4</v>
      </c>
      <c r="AM139" s="141">
        <f t="shared" si="783"/>
        <v>9.1519607843137257E-4</v>
      </c>
      <c r="AN139" s="141">
        <f t="shared" si="783"/>
        <v>8.3020417250148919E-4</v>
      </c>
      <c r="AO139" s="141">
        <f t="shared" si="784"/>
        <v>1.2290492957746479E-3</v>
      </c>
      <c r="AP139" s="141">
        <f t="shared" si="785"/>
        <v>9.9213313161875959E-4</v>
      </c>
      <c r="AQ139" s="141">
        <f t="shared" si="786"/>
        <v>9.1519607843137257E-4</v>
      </c>
      <c r="AR139" s="141">
        <f t="shared" si="787"/>
        <v>8.3020417250148919E-4</v>
      </c>
      <c r="AS139" s="141">
        <f t="shared" si="788"/>
        <v>1.2290492957746479E-3</v>
      </c>
      <c r="AT139" s="141">
        <f t="shared" si="789"/>
        <v>9.9213313161875959E-4</v>
      </c>
      <c r="AU139" s="141">
        <f t="shared" si="790"/>
        <v>9.1519607843137257E-4</v>
      </c>
      <c r="AV139" s="141">
        <f t="shared" si="791"/>
        <v>8.3020417250148919E-4</v>
      </c>
      <c r="AW139" s="141">
        <f t="shared" si="792"/>
        <v>1.2290492957746479E-3</v>
      </c>
      <c r="AX139" s="141">
        <f t="shared" si="793"/>
        <v>9.9213313161875959E-4</v>
      </c>
      <c r="AY139" s="141">
        <f t="shared" si="794"/>
        <v>9.1519607843137257E-4</v>
      </c>
      <c r="AZ139" s="141">
        <f t="shared" si="795"/>
        <v>8.3020417250148919E-4</v>
      </c>
      <c r="BA139" s="141">
        <f t="shared" si="796"/>
        <v>1.2290492957746479E-3</v>
      </c>
      <c r="BB139" s="141">
        <f t="shared" si="797"/>
        <v>9.9213313161875959E-4</v>
      </c>
      <c r="BC139" s="141">
        <f t="shared" si="798"/>
        <v>9.1519607843137257E-4</v>
      </c>
      <c r="BD139" s="141">
        <f t="shared" si="799"/>
        <v>8.3020417250148919E-4</v>
      </c>
    </row>
    <row r="140" spans="1:56" x14ac:dyDescent="0.15">
      <c r="B140" s="1" t="s">
        <v>286</v>
      </c>
      <c r="E140" s="43" t="s">
        <v>36</v>
      </c>
      <c r="F140" s="140">
        <f t="shared" ref="F140:O140" si="805">IFERROR((F20/1000000)/F133, 0)</f>
        <v>1.7809352517985609E-3</v>
      </c>
      <c r="G140" s="140">
        <f t="shared" si="805"/>
        <v>1.7332500000000001E-2</v>
      </c>
      <c r="H140" s="140">
        <f t="shared" si="805"/>
        <v>3.7564179104477616E-3</v>
      </c>
      <c r="I140" s="140">
        <f t="shared" si="805"/>
        <v>3.6971153846153851E-3</v>
      </c>
      <c r="J140" s="140">
        <f t="shared" si="805"/>
        <v>0</v>
      </c>
      <c r="K140" s="140">
        <f t="shared" si="805"/>
        <v>0</v>
      </c>
      <c r="L140" s="140">
        <f t="shared" si="805"/>
        <v>0</v>
      </c>
      <c r="M140" s="140">
        <f t="shared" si="805"/>
        <v>0</v>
      </c>
      <c r="N140" s="140">
        <f t="shared" si="805"/>
        <v>0</v>
      </c>
      <c r="O140" s="140">
        <f t="shared" si="805"/>
        <v>0</v>
      </c>
      <c r="Q140" s="140">
        <f t="shared" ref="Q140:AJ140" si="806">IFERROR((Q20/1000000)/Q133, 0)</f>
        <v>1.5515695067264574E-4</v>
      </c>
      <c r="R140" s="140">
        <f t="shared" si="806"/>
        <v>5.6722222222222222E-4</v>
      </c>
      <c r="S140" s="140">
        <f t="shared" si="806"/>
        <v>5.6862745098039218E-4</v>
      </c>
      <c r="T140" s="140">
        <f t="shared" si="806"/>
        <v>7.6762589928057554E-4</v>
      </c>
      <c r="U140" s="140">
        <f t="shared" si="806"/>
        <v>9.8593749999999983E-4</v>
      </c>
      <c r="V140" s="140">
        <f t="shared" si="806"/>
        <v>2.8739583333333334E-3</v>
      </c>
      <c r="W140" s="140">
        <f t="shared" si="806"/>
        <v>3.8861386138613866E-3</v>
      </c>
      <c r="X140" s="140">
        <f t="shared" si="806"/>
        <v>5.8224999999999996E-3</v>
      </c>
      <c r="Y140" s="140">
        <f t="shared" si="806"/>
        <v>0</v>
      </c>
      <c r="Z140" s="140">
        <f t="shared" si="806"/>
        <v>0</v>
      </c>
      <c r="AA140" s="140">
        <f t="shared" si="806"/>
        <v>0</v>
      </c>
      <c r="AB140" s="140">
        <f t="shared" si="806"/>
        <v>1.1205970149253731E-3</v>
      </c>
      <c r="AC140" s="140">
        <f t="shared" si="806"/>
        <v>1.1228571428571431E-3</v>
      </c>
      <c r="AD140" s="140">
        <f t="shared" si="806"/>
        <v>1.3930232558139537E-3</v>
      </c>
      <c r="AE140" s="140">
        <f t="shared" si="806"/>
        <v>1.2440715883668904E-3</v>
      </c>
      <c r="AF140" s="140">
        <f t="shared" si="806"/>
        <v>1.0272435897435898E-3</v>
      </c>
      <c r="AG140" s="140">
        <f t="shared" si="806"/>
        <v>0</v>
      </c>
      <c r="AH140" s="140">
        <f t="shared" si="806"/>
        <v>0</v>
      </c>
      <c r="AI140" s="140">
        <f t="shared" si="806"/>
        <v>0</v>
      </c>
      <c r="AJ140" s="140">
        <f t="shared" si="806"/>
        <v>0</v>
      </c>
      <c r="AK140" s="141">
        <f t="shared" si="802"/>
        <v>0</v>
      </c>
      <c r="AL140" s="141">
        <f t="shared" si="783"/>
        <v>0</v>
      </c>
      <c r="AM140" s="141">
        <f t="shared" si="783"/>
        <v>0</v>
      </c>
      <c r="AN140" s="141">
        <f t="shared" si="783"/>
        <v>0</v>
      </c>
      <c r="AO140" s="141">
        <f t="shared" si="784"/>
        <v>0</v>
      </c>
      <c r="AP140" s="141">
        <f t="shared" si="785"/>
        <v>0</v>
      </c>
      <c r="AQ140" s="141">
        <f t="shared" si="786"/>
        <v>0</v>
      </c>
      <c r="AR140" s="141">
        <f t="shared" si="787"/>
        <v>0</v>
      </c>
      <c r="AS140" s="141">
        <f t="shared" si="788"/>
        <v>0</v>
      </c>
      <c r="AT140" s="141">
        <f t="shared" si="789"/>
        <v>0</v>
      </c>
      <c r="AU140" s="141">
        <f t="shared" si="790"/>
        <v>0</v>
      </c>
      <c r="AV140" s="141">
        <f t="shared" si="791"/>
        <v>0</v>
      </c>
      <c r="AW140" s="141">
        <f t="shared" si="792"/>
        <v>0</v>
      </c>
      <c r="AX140" s="141">
        <f t="shared" si="793"/>
        <v>0</v>
      </c>
      <c r="AY140" s="141">
        <f t="shared" si="794"/>
        <v>0</v>
      </c>
      <c r="AZ140" s="141">
        <f t="shared" si="795"/>
        <v>0</v>
      </c>
      <c r="BA140" s="141">
        <f t="shared" si="796"/>
        <v>0</v>
      </c>
      <c r="BB140" s="141">
        <f t="shared" si="797"/>
        <v>0</v>
      </c>
      <c r="BC140" s="141">
        <f t="shared" si="798"/>
        <v>0</v>
      </c>
      <c r="BD140" s="141">
        <f t="shared" si="799"/>
        <v>0</v>
      </c>
    </row>
    <row r="141" spans="1:56" x14ac:dyDescent="0.15">
      <c r="B141" s="1" t="s">
        <v>287</v>
      </c>
      <c r="E141" s="43" t="s">
        <v>36</v>
      </c>
      <c r="F141" s="140">
        <f t="shared" ref="F141:O141" si="807">IFERROR((F21/1000000)/F134, 0)</f>
        <v>1.7809352517985612E-3</v>
      </c>
      <c r="G141" s="140">
        <f t="shared" si="807"/>
        <v>1.7332500000000001E-2</v>
      </c>
      <c r="H141" s="140">
        <f t="shared" si="807"/>
        <v>3.7564179104477608E-3</v>
      </c>
      <c r="I141" s="140">
        <f t="shared" si="807"/>
        <v>3.6971153846153842E-3</v>
      </c>
      <c r="J141" s="140">
        <f t="shared" si="807"/>
        <v>3.2281278699769172E-3</v>
      </c>
      <c r="K141" s="140">
        <f t="shared" si="807"/>
        <v>3.4998174362835116E-3</v>
      </c>
      <c r="L141" s="140">
        <f t="shared" si="807"/>
        <v>3.8106402815887052E-3</v>
      </c>
      <c r="M141" s="140">
        <f t="shared" si="807"/>
        <v>3.8084199891413152E-3</v>
      </c>
      <c r="N141" s="140">
        <f t="shared" si="807"/>
        <v>3.8025698731800764E-3</v>
      </c>
      <c r="O141" s="140">
        <f t="shared" si="807"/>
        <v>3.8037310766656173E-3</v>
      </c>
      <c r="Q141" s="140">
        <f t="shared" ref="Q141:AJ141" si="808">IFERROR((Q21/1000000)/Q134, 0)</f>
        <v>1.5515695067264574E-4</v>
      </c>
      <c r="R141" s="140">
        <f t="shared" si="808"/>
        <v>5.6722222222222222E-4</v>
      </c>
      <c r="S141" s="140">
        <f t="shared" si="808"/>
        <v>5.6862745098039218E-4</v>
      </c>
      <c r="T141" s="140">
        <f t="shared" si="808"/>
        <v>7.6762589928057543E-4</v>
      </c>
      <c r="U141" s="140">
        <f t="shared" si="808"/>
        <v>9.8593750000000005E-4</v>
      </c>
      <c r="V141" s="140">
        <f t="shared" si="808"/>
        <v>2.8739583333333334E-3</v>
      </c>
      <c r="W141" s="140">
        <f t="shared" si="808"/>
        <v>3.8861386138613857E-3</v>
      </c>
      <c r="X141" s="140">
        <f t="shared" si="808"/>
        <v>5.8224999999999996E-3</v>
      </c>
      <c r="Y141" s="140">
        <f t="shared" si="808"/>
        <v>1.8470588235294119E-3</v>
      </c>
      <c r="Z141" s="140">
        <f t="shared" si="808"/>
        <v>1.4627659574468082E-3</v>
      </c>
      <c r="AA141" s="140">
        <f t="shared" si="808"/>
        <v>1.7294117647058825E-3</v>
      </c>
      <c r="AB141" s="140">
        <f t="shared" si="808"/>
        <v>1.1205970149253729E-3</v>
      </c>
      <c r="AC141" s="140">
        <f t="shared" si="808"/>
        <v>1.1228571428571429E-3</v>
      </c>
      <c r="AD141" s="140">
        <f t="shared" si="808"/>
        <v>1.3930232558139533E-3</v>
      </c>
      <c r="AE141" s="140">
        <f t="shared" si="808"/>
        <v>1.2440715883668906E-3</v>
      </c>
      <c r="AF141" s="140">
        <f t="shared" si="808"/>
        <v>1.0272435897435898E-3</v>
      </c>
      <c r="AG141" s="140">
        <f t="shared" si="808"/>
        <v>1.2290492957746479E-3</v>
      </c>
      <c r="AH141" s="140">
        <f t="shared" si="808"/>
        <v>9.9213313161875937E-4</v>
      </c>
      <c r="AI141" s="140">
        <f t="shared" si="808"/>
        <v>9.1519607843137246E-4</v>
      </c>
      <c r="AJ141" s="140">
        <f t="shared" si="808"/>
        <v>8.302041725014893E-4</v>
      </c>
      <c r="AK141" s="141">
        <f t="shared" si="802"/>
        <v>1.2290492957746479E-3</v>
      </c>
      <c r="AL141" s="141">
        <f t="shared" si="783"/>
        <v>9.9213313161875937E-4</v>
      </c>
      <c r="AM141" s="141">
        <f t="shared" si="783"/>
        <v>9.1519607843137246E-4</v>
      </c>
      <c r="AN141" s="141">
        <f t="shared" si="783"/>
        <v>8.302041725014893E-4</v>
      </c>
      <c r="AO141" s="141">
        <f t="shared" si="784"/>
        <v>1.2290492957746479E-3</v>
      </c>
      <c r="AP141" s="141">
        <f t="shared" si="785"/>
        <v>9.9213313161875937E-4</v>
      </c>
      <c r="AQ141" s="141">
        <f t="shared" si="786"/>
        <v>9.1519607843137246E-4</v>
      </c>
      <c r="AR141" s="141">
        <f t="shared" si="787"/>
        <v>8.302041725014893E-4</v>
      </c>
      <c r="AS141" s="141">
        <f t="shared" si="788"/>
        <v>1.2290492957746479E-3</v>
      </c>
      <c r="AT141" s="141">
        <f t="shared" si="789"/>
        <v>9.9213313161875937E-4</v>
      </c>
      <c r="AU141" s="141">
        <f t="shared" si="790"/>
        <v>9.1519607843137246E-4</v>
      </c>
      <c r="AV141" s="141">
        <f t="shared" si="791"/>
        <v>8.302041725014893E-4</v>
      </c>
      <c r="AW141" s="141">
        <f t="shared" si="792"/>
        <v>1.2290492957746479E-3</v>
      </c>
      <c r="AX141" s="141">
        <f t="shared" si="793"/>
        <v>9.9213313161875937E-4</v>
      </c>
      <c r="AY141" s="141">
        <f t="shared" si="794"/>
        <v>9.1519607843137246E-4</v>
      </c>
      <c r="AZ141" s="141">
        <f t="shared" si="795"/>
        <v>8.302041725014893E-4</v>
      </c>
      <c r="BA141" s="141">
        <f t="shared" si="796"/>
        <v>1.2290492957746479E-3</v>
      </c>
      <c r="BB141" s="141">
        <f t="shared" si="797"/>
        <v>9.9213313161875937E-4</v>
      </c>
      <c r="BC141" s="141">
        <f t="shared" si="798"/>
        <v>9.1519607843137246E-4</v>
      </c>
      <c r="BD141" s="141">
        <f t="shared" si="799"/>
        <v>8.302041725014893E-4</v>
      </c>
    </row>
    <row r="143" spans="1:56" x14ac:dyDescent="0.15">
      <c r="A143" s="1" t="s">
        <v>27</v>
      </c>
      <c r="B143" s="33" t="s">
        <v>291</v>
      </c>
      <c r="C143" s="33"/>
      <c r="D143" s="33"/>
      <c r="E143" s="34" t="s">
        <v>29</v>
      </c>
      <c r="F143" s="35">
        <v>21</v>
      </c>
      <c r="G143" s="35">
        <f>F143+1</f>
        <v>22</v>
      </c>
      <c r="H143" s="35">
        <f t="shared" ref="H143" si="809">G143+1</f>
        <v>23</v>
      </c>
      <c r="I143" s="35">
        <f t="shared" ref="I143" si="810">H143+1</f>
        <v>24</v>
      </c>
      <c r="J143" s="35">
        <f t="shared" ref="J143" si="811">I143+1</f>
        <v>25</v>
      </c>
      <c r="K143" s="36">
        <f t="shared" ref="K143" si="812">J143+1</f>
        <v>26</v>
      </c>
      <c r="L143" s="36">
        <f t="shared" ref="L143" si="813">K143+1</f>
        <v>27</v>
      </c>
      <c r="M143" s="36">
        <f t="shared" ref="M143" si="814">L143+1</f>
        <v>28</v>
      </c>
      <c r="N143" s="36">
        <f t="shared" ref="N143" si="815">M143+1</f>
        <v>29</v>
      </c>
      <c r="O143" s="36">
        <f t="shared" ref="O143" si="816">N143+1</f>
        <v>30</v>
      </c>
      <c r="Q143" s="41">
        <v>44286</v>
      </c>
      <c r="R143" s="41">
        <v>44377</v>
      </c>
      <c r="S143" s="41">
        <v>44469</v>
      </c>
      <c r="T143" s="41">
        <v>44561</v>
      </c>
      <c r="U143" s="41">
        <v>44651</v>
      </c>
      <c r="V143" s="41">
        <v>44742</v>
      </c>
      <c r="W143" s="41">
        <v>44834</v>
      </c>
      <c r="X143" s="41">
        <v>44926</v>
      </c>
      <c r="Y143" s="41">
        <v>45016</v>
      </c>
      <c r="Z143" s="41">
        <v>45107</v>
      </c>
      <c r="AA143" s="41">
        <v>45199</v>
      </c>
      <c r="AB143" s="41">
        <v>45291</v>
      </c>
      <c r="AC143" s="41">
        <v>45382</v>
      </c>
      <c r="AD143" s="41">
        <v>45473</v>
      </c>
      <c r="AE143" s="41">
        <v>45565</v>
      </c>
      <c r="AF143" s="41">
        <v>45657</v>
      </c>
      <c r="AG143" s="41">
        <v>45747</v>
      </c>
      <c r="AH143" s="41">
        <v>45838</v>
      </c>
      <c r="AI143" s="41">
        <v>45930</v>
      </c>
      <c r="AJ143" s="41">
        <v>46022</v>
      </c>
      <c r="AK143" s="41">
        <v>46112</v>
      </c>
      <c r="AL143" s="41">
        <v>46203</v>
      </c>
      <c r="AM143" s="41">
        <v>46295</v>
      </c>
      <c r="AN143" s="41">
        <v>46387</v>
      </c>
      <c r="AO143" s="41">
        <v>46477</v>
      </c>
      <c r="AP143" s="41">
        <v>46568</v>
      </c>
      <c r="AQ143" s="41">
        <v>46660</v>
      </c>
      <c r="AR143" s="41">
        <v>46752</v>
      </c>
      <c r="AS143" s="41">
        <v>46843</v>
      </c>
      <c r="AT143" s="41">
        <v>46934</v>
      </c>
      <c r="AU143" s="41">
        <v>47026</v>
      </c>
      <c r="AV143" s="41">
        <v>47118</v>
      </c>
      <c r="AW143" s="41">
        <v>47208</v>
      </c>
      <c r="AX143" s="41">
        <v>47299</v>
      </c>
      <c r="AY143" s="41">
        <v>47391</v>
      </c>
      <c r="AZ143" s="41">
        <v>47483</v>
      </c>
      <c r="BA143" s="41">
        <v>47573</v>
      </c>
      <c r="BB143" s="41">
        <v>47664</v>
      </c>
      <c r="BC143" s="41">
        <v>47756</v>
      </c>
      <c r="BD143" s="41">
        <v>47848</v>
      </c>
    </row>
    <row r="145" spans="2:56" x14ac:dyDescent="0.15">
      <c r="B145" s="1" t="s">
        <v>279</v>
      </c>
      <c r="E145" s="43" t="s">
        <v>33</v>
      </c>
      <c r="F145" s="50">
        <f t="shared" ref="F145:O145" si="817">SUMIFS($Q145:$BD145,$Q$1:$BD$1,F$1)</f>
        <v>514000</v>
      </c>
      <c r="G145" s="50">
        <f t="shared" si="817"/>
        <v>600</v>
      </c>
      <c r="H145" s="50">
        <f t="shared" si="817"/>
        <v>49200</v>
      </c>
      <c r="I145" s="50">
        <f t="shared" si="817"/>
        <v>270800</v>
      </c>
      <c r="J145" s="50">
        <f t="shared" si="817"/>
        <v>297900</v>
      </c>
      <c r="K145" s="50">
        <f t="shared" si="817"/>
        <v>283923.45844504016</v>
      </c>
      <c r="L145" s="50">
        <f t="shared" si="817"/>
        <v>270602.65275391896</v>
      </c>
      <c r="M145" s="50">
        <f t="shared" si="817"/>
        <v>257906.81783919083</v>
      </c>
      <c r="N145" s="50">
        <f t="shared" si="817"/>
        <v>245806.63201563628</v>
      </c>
      <c r="O145" s="50">
        <f t="shared" si="817"/>
        <v>234274.14928031823</v>
      </c>
      <c r="Q145" s="50">
        <f>Q26</f>
        <v>239000</v>
      </c>
      <c r="R145" s="50">
        <f t="shared" ref="R145:AJ145" si="818">R26</f>
        <v>195000</v>
      </c>
      <c r="S145" s="50">
        <f t="shared" si="818"/>
        <v>79000</v>
      </c>
      <c r="T145" s="50">
        <f t="shared" si="818"/>
        <v>1000</v>
      </c>
      <c r="U145" s="50">
        <f t="shared" si="818"/>
        <v>100</v>
      </c>
      <c r="V145" s="50">
        <f t="shared" si="818"/>
        <v>400</v>
      </c>
      <c r="W145" s="50">
        <f t="shared" si="818"/>
        <v>0</v>
      </c>
      <c r="X145" s="50">
        <f t="shared" si="818"/>
        <v>100</v>
      </c>
      <c r="Y145" s="50">
        <f t="shared" si="818"/>
        <v>0</v>
      </c>
      <c r="Z145" s="50">
        <f t="shared" si="818"/>
        <v>0</v>
      </c>
      <c r="AA145" s="50">
        <f t="shared" si="818"/>
        <v>0</v>
      </c>
      <c r="AB145" s="50">
        <f t="shared" si="818"/>
        <v>49200</v>
      </c>
      <c r="AC145" s="50">
        <f t="shared" si="818"/>
        <v>49900</v>
      </c>
      <c r="AD145" s="50">
        <f t="shared" si="818"/>
        <v>69700</v>
      </c>
      <c r="AE145" s="50">
        <f t="shared" si="818"/>
        <v>76600</v>
      </c>
      <c r="AF145" s="50">
        <f t="shared" si="818"/>
        <v>74600</v>
      </c>
      <c r="AG145" s="50">
        <f t="shared" si="818"/>
        <v>74000</v>
      </c>
      <c r="AH145" s="50">
        <f t="shared" si="818"/>
        <v>77100</v>
      </c>
      <c r="AI145" s="50">
        <f t="shared" si="818"/>
        <v>75700</v>
      </c>
      <c r="AJ145" s="50">
        <f t="shared" si="818"/>
        <v>71100</v>
      </c>
      <c r="AK145" s="50">
        <f t="shared" ref="AK145" si="819">AJ145*(1+AK146)</f>
        <v>70528.15013404825</v>
      </c>
      <c r="AL145" s="50">
        <f t="shared" ref="AL145" si="820">AK145*(1+AL146)</f>
        <v>73482.70777479891</v>
      </c>
      <c r="AM145" s="50">
        <f t="shared" ref="AM145" si="821">AL145*(1+AM146)</f>
        <v>72148.391420911503</v>
      </c>
      <c r="AN145" s="50">
        <f t="shared" ref="AN145" si="822">AM145*(1+AN146)</f>
        <v>67764.209115281483</v>
      </c>
      <c r="AO145" s="50">
        <f t="shared" ref="AO145" si="823">AN145*(1+AO146)</f>
        <v>67219.188666633112</v>
      </c>
      <c r="AP145" s="50">
        <f t="shared" ref="AP145" si="824">AO145*(1+AP146)</f>
        <v>70035.12765131639</v>
      </c>
      <c r="AQ145" s="50">
        <f t="shared" ref="AQ145" si="825">AP145*(1+AQ146)</f>
        <v>68763.413271136844</v>
      </c>
      <c r="AR145" s="50">
        <f t="shared" ref="AR145" si="826">AQ145*(1+AR146)</f>
        <v>64584.923164832624</v>
      </c>
      <c r="AS145" s="50">
        <f t="shared" ref="AS145" si="827">AR145*(1+AS146)</f>
        <v>64065.473380665069</v>
      </c>
      <c r="AT145" s="50">
        <f t="shared" ref="AT145" si="828">AS145*(1+AT146)</f>
        <v>66749.297265530768</v>
      </c>
      <c r="AU145" s="50">
        <f t="shared" ref="AU145" si="829">AT145*(1+AU146)</f>
        <v>65537.247769139809</v>
      </c>
      <c r="AV145" s="50">
        <f t="shared" ref="AV145" si="830">AU145*(1+AV146)</f>
        <v>61554.79942385522</v>
      </c>
      <c r="AW145" s="50">
        <f t="shared" ref="AW145" si="831">AV145*(1+AW146)</f>
        <v>61059.720608113756</v>
      </c>
      <c r="AX145" s="50">
        <f t="shared" ref="AX145" si="832">AW145*(1+AX146)</f>
        <v>63617.627822777977</v>
      </c>
      <c r="AY145" s="50">
        <f t="shared" ref="AY145" si="833">AX145*(1+AY146)</f>
        <v>62462.443919381229</v>
      </c>
      <c r="AZ145" s="50">
        <f t="shared" ref="AZ145" si="834">AY145*(1+AZ146)</f>
        <v>58666.839665363346</v>
      </c>
      <c r="BA145" s="50">
        <f t="shared" ref="BA145" si="835">AZ145*(1+BA146)</f>
        <v>58194.988408001176</v>
      </c>
      <c r="BB145" s="50">
        <f t="shared" ref="BB145" si="836">BA145*(1+BB146)</f>
        <v>60632.88657103906</v>
      </c>
      <c r="BC145" s="50">
        <f t="shared" ref="BC145" si="837">BB145*(1+BC146)</f>
        <v>59531.900303860653</v>
      </c>
      <c r="BD145" s="50">
        <f t="shared" ref="BD145" si="838">BC145*(1+BD146)</f>
        <v>55914.373997417337</v>
      </c>
    </row>
    <row r="146" spans="2:56" x14ac:dyDescent="0.15">
      <c r="B146" s="98" t="s">
        <v>261</v>
      </c>
      <c r="C146" s="45"/>
      <c r="D146" s="45"/>
      <c r="E146" s="46" t="s">
        <v>36</v>
      </c>
      <c r="F146" s="103"/>
      <c r="G146" s="104">
        <f>(G145-F145)/F145</f>
        <v>-0.99883268482490273</v>
      </c>
      <c r="H146" s="104">
        <f t="shared" ref="H146" si="839">(H145-G145)/G145</f>
        <v>81</v>
      </c>
      <c r="I146" s="104">
        <f t="shared" ref="I146" si="840">(I145-H145)/H145</f>
        <v>4.5040650406504064</v>
      </c>
      <c r="J146" s="104">
        <f t="shared" ref="J146" si="841">(J145-I145)/I145</f>
        <v>0.10007385524372231</v>
      </c>
      <c r="K146" s="104">
        <f t="shared" ref="K146" si="842">(K145-J145)/J145</f>
        <v>-4.6916890080429138E-2</v>
      </c>
      <c r="L146" s="104">
        <f t="shared" ref="L146" si="843">(L145-K145)/K145</f>
        <v>-4.6916890080429013E-2</v>
      </c>
      <c r="M146" s="104">
        <f t="shared" ref="M146" si="844">(M145-L145)/L145</f>
        <v>-4.6916890080429048E-2</v>
      </c>
      <c r="N146" s="104">
        <f t="shared" ref="N146" si="845">(N145-M145)/M145</f>
        <v>-4.6916890080429041E-2</v>
      </c>
      <c r="O146" s="104">
        <f t="shared" ref="O146" si="846">(O145-N145)/N145</f>
        <v>-4.6916890080428909E-2</v>
      </c>
      <c r="P146" s="105"/>
      <c r="Q146" s="106"/>
      <c r="R146" s="104">
        <f t="shared" ref="R146" si="847">(R145-Q145)/Q145</f>
        <v>-0.18410041841004185</v>
      </c>
      <c r="S146" s="104">
        <f t="shared" ref="S146" si="848">(S145-R145)/R145</f>
        <v>-0.59487179487179487</v>
      </c>
      <c r="T146" s="104">
        <f t="shared" ref="T146" si="849">(T145-S145)/S145</f>
        <v>-0.98734177215189878</v>
      </c>
      <c r="U146" s="104">
        <f t="shared" ref="U146" si="850">(U145-T145)/T145</f>
        <v>-0.9</v>
      </c>
      <c r="V146" s="104">
        <f t="shared" ref="V146" si="851">(V145-U145)/U145</f>
        <v>3</v>
      </c>
      <c r="W146" s="104">
        <f t="shared" ref="W146" si="852">(W145-V145)/V145</f>
        <v>-1</v>
      </c>
      <c r="X146" s="104" t="e">
        <f t="shared" ref="X146" si="853">(X145-W145)/W145</f>
        <v>#DIV/0!</v>
      </c>
      <c r="Y146" s="104">
        <f t="shared" ref="Y146" si="854">(Y145-X145)/X145</f>
        <v>-1</v>
      </c>
      <c r="Z146" s="104" t="e">
        <f t="shared" ref="Z146" si="855">(Z145-Y145)/Y145</f>
        <v>#DIV/0!</v>
      </c>
      <c r="AA146" s="104" t="e">
        <f t="shared" ref="AA146" si="856">(AA145-Z145)/Z145</f>
        <v>#DIV/0!</v>
      </c>
      <c r="AB146" s="104" t="e">
        <f t="shared" ref="AB146" si="857">(AB145-AA145)/AA145</f>
        <v>#DIV/0!</v>
      </c>
      <c r="AC146" s="104">
        <f t="shared" ref="AC146" si="858">(AC145-AB145)/AB145</f>
        <v>1.4227642276422764E-2</v>
      </c>
      <c r="AD146" s="104">
        <f t="shared" ref="AD146" si="859">(AD145-AC145)/AC145</f>
        <v>0.39679358717434871</v>
      </c>
      <c r="AE146" s="104">
        <f t="shared" ref="AE146" si="860">(AE145-AD145)/AD145</f>
        <v>9.8995695839311337E-2</v>
      </c>
      <c r="AF146" s="104">
        <f t="shared" ref="AF146" si="861">(AF145-AE145)/AE145</f>
        <v>-2.6109660574412531E-2</v>
      </c>
      <c r="AG146" s="104">
        <f t="shared" ref="AG146" si="862">(AG145-AF145)/AF145</f>
        <v>-8.0428954423592495E-3</v>
      </c>
      <c r="AH146" s="104">
        <f t="shared" ref="AH146" si="863">(AH145-AG145)/AG145</f>
        <v>4.1891891891891894E-2</v>
      </c>
      <c r="AI146" s="104">
        <f t="shared" ref="AI146" si="864">(AI145-AH145)/AH145</f>
        <v>-1.8158236057068743E-2</v>
      </c>
      <c r="AJ146" s="104">
        <f t="shared" ref="AJ146" si="865">(AJ145-AI145)/AI145</f>
        <v>-6.0766182298546897E-2</v>
      </c>
      <c r="AK146" s="126">
        <f>_xlfn.XLOOKUP('Cover Page'!$E$13,'Revenue Build'!$B147:$B149,'Revenue Build'!AK147:AK149)</f>
        <v>-8.0428954423592495E-3</v>
      </c>
      <c r="AL146" s="126">
        <f>_xlfn.XLOOKUP('Cover Page'!$E$13,'Revenue Build'!$B147:$B149,'Revenue Build'!AL147:AL149)</f>
        <v>4.1891891891891894E-2</v>
      </c>
      <c r="AM146" s="126">
        <f>_xlfn.XLOOKUP('Cover Page'!$E$13,'Revenue Build'!$B147:$B149,'Revenue Build'!AM147:AM149)</f>
        <v>-1.8158236057068743E-2</v>
      </c>
      <c r="AN146" s="126">
        <f>_xlfn.XLOOKUP('Cover Page'!$E$13,'Revenue Build'!$B147:$B149,'Revenue Build'!AN147:AN149)</f>
        <v>-6.0766182298546897E-2</v>
      </c>
      <c r="AO146" s="126">
        <f>_xlfn.XLOOKUP('Cover Page'!$E$13,'Revenue Build'!$B147:$B149,'Revenue Build'!AO147:AO149)</f>
        <v>-8.0428954423592495E-3</v>
      </c>
      <c r="AP146" s="126">
        <f>_xlfn.XLOOKUP('Cover Page'!$E$13,'Revenue Build'!$B147:$B149,'Revenue Build'!AP147:AP149)</f>
        <v>4.1891891891891894E-2</v>
      </c>
      <c r="AQ146" s="126">
        <f>_xlfn.XLOOKUP('Cover Page'!$E$13,'Revenue Build'!$B147:$B149,'Revenue Build'!AQ147:AQ149)</f>
        <v>-1.8158236057068743E-2</v>
      </c>
      <c r="AR146" s="126">
        <f>_xlfn.XLOOKUP('Cover Page'!$E$13,'Revenue Build'!$B147:$B149,'Revenue Build'!AR147:AR149)</f>
        <v>-6.0766182298546897E-2</v>
      </c>
      <c r="AS146" s="126">
        <f>_xlfn.XLOOKUP('Cover Page'!$E$13,'Revenue Build'!$B147:$B149,'Revenue Build'!AS147:AS149)</f>
        <v>-8.0428954423592495E-3</v>
      </c>
      <c r="AT146" s="126">
        <f>_xlfn.XLOOKUP('Cover Page'!$E$13,'Revenue Build'!$B147:$B149,'Revenue Build'!AT147:AT149)</f>
        <v>4.1891891891891894E-2</v>
      </c>
      <c r="AU146" s="126">
        <f>_xlfn.XLOOKUP('Cover Page'!$E$13,'Revenue Build'!$B147:$B149,'Revenue Build'!AU147:AU149)</f>
        <v>-1.8158236057068743E-2</v>
      </c>
      <c r="AV146" s="126">
        <f>_xlfn.XLOOKUP('Cover Page'!$E$13,'Revenue Build'!$B147:$B149,'Revenue Build'!AV147:AV149)</f>
        <v>-6.0766182298546897E-2</v>
      </c>
      <c r="AW146" s="126">
        <f>_xlfn.XLOOKUP('Cover Page'!$E$13,'Revenue Build'!$B147:$B149,'Revenue Build'!AW147:AW149)</f>
        <v>-8.0428954423592495E-3</v>
      </c>
      <c r="AX146" s="126">
        <f>_xlfn.XLOOKUP('Cover Page'!$E$13,'Revenue Build'!$B147:$B149,'Revenue Build'!AX147:AX149)</f>
        <v>4.1891891891891894E-2</v>
      </c>
      <c r="AY146" s="126">
        <f>_xlfn.XLOOKUP('Cover Page'!$E$13,'Revenue Build'!$B147:$B149,'Revenue Build'!AY147:AY149)</f>
        <v>-1.8158236057068743E-2</v>
      </c>
      <c r="AZ146" s="126">
        <f>_xlfn.XLOOKUP('Cover Page'!$E$13,'Revenue Build'!$B147:$B149,'Revenue Build'!AZ147:AZ149)</f>
        <v>-6.0766182298546897E-2</v>
      </c>
      <c r="BA146" s="126">
        <f>_xlfn.XLOOKUP('Cover Page'!$E$13,'Revenue Build'!$B147:$B149,'Revenue Build'!BA147:BA149)</f>
        <v>-8.0428954423592495E-3</v>
      </c>
      <c r="BB146" s="126">
        <f>_xlfn.XLOOKUP('Cover Page'!$E$13,'Revenue Build'!$B147:$B149,'Revenue Build'!BB147:BB149)</f>
        <v>4.1891891891891894E-2</v>
      </c>
      <c r="BC146" s="126">
        <f>_xlfn.XLOOKUP('Cover Page'!$E$13,'Revenue Build'!$B147:$B149,'Revenue Build'!BC147:BC149)</f>
        <v>-1.8158236057068743E-2</v>
      </c>
      <c r="BD146" s="126">
        <f>_xlfn.XLOOKUP('Cover Page'!$E$13,'Revenue Build'!$B147:$B149,'Revenue Build'!BD147:BD149)</f>
        <v>-6.0766182298546897E-2</v>
      </c>
    </row>
    <row r="147" spans="2:56" x14ac:dyDescent="0.15">
      <c r="B147" s="1" t="s">
        <v>262</v>
      </c>
      <c r="D147" s="102">
        <v>0.05</v>
      </c>
      <c r="E147" s="43" t="s">
        <v>36</v>
      </c>
      <c r="AK147" s="101">
        <f t="shared" ref="AK147" si="866">AK148+$D147</f>
        <v>4.1957104557640755E-2</v>
      </c>
      <c r="AL147" s="101">
        <f t="shared" ref="AL147" si="867">AL148+$D147</f>
        <v>9.1891891891891897E-2</v>
      </c>
      <c r="AM147" s="101">
        <f t="shared" ref="AM147" si="868">AM148+$D147</f>
        <v>3.1841763942931256E-2</v>
      </c>
      <c r="AN147" s="101">
        <f t="shared" ref="AN147" si="869">AN148+$D147</f>
        <v>-1.0766182298546895E-2</v>
      </c>
      <c r="AO147" s="101">
        <f t="shared" ref="AO147" si="870">AO148+$D147</f>
        <v>4.1957104557640755E-2</v>
      </c>
      <c r="AP147" s="101">
        <f t="shared" ref="AP147" si="871">AP148+$D147</f>
        <v>9.1891891891891897E-2</v>
      </c>
      <c r="AQ147" s="101">
        <f t="shared" ref="AQ147" si="872">AQ148+$D147</f>
        <v>3.1841763942931256E-2</v>
      </c>
      <c r="AR147" s="101">
        <f t="shared" ref="AR147" si="873">AR148+$D147</f>
        <v>-1.0766182298546895E-2</v>
      </c>
      <c r="AS147" s="101">
        <f t="shared" ref="AS147" si="874">AS148+$D147</f>
        <v>4.1957104557640755E-2</v>
      </c>
      <c r="AT147" s="101">
        <f t="shared" ref="AT147" si="875">AT148+$D147</f>
        <v>9.1891891891891897E-2</v>
      </c>
      <c r="AU147" s="101">
        <f t="shared" ref="AU147" si="876">AU148+$D147</f>
        <v>3.1841763942931256E-2</v>
      </c>
      <c r="AV147" s="101">
        <f t="shared" ref="AV147" si="877">AV148+$D147</f>
        <v>-1.0766182298546895E-2</v>
      </c>
      <c r="AW147" s="101">
        <f t="shared" ref="AW147" si="878">AW148+$D147</f>
        <v>4.1957104557640755E-2</v>
      </c>
      <c r="AX147" s="101">
        <f t="shared" ref="AX147" si="879">AX148+$D147</f>
        <v>9.1891891891891897E-2</v>
      </c>
      <c r="AY147" s="101">
        <f t="shared" ref="AY147" si="880">AY148+$D147</f>
        <v>3.1841763942931256E-2</v>
      </c>
      <c r="AZ147" s="101">
        <f t="shared" ref="AZ147" si="881">AZ148+$D147</f>
        <v>-1.0766182298546895E-2</v>
      </c>
      <c r="BA147" s="101">
        <f t="shared" ref="BA147" si="882">BA148+$D147</f>
        <v>4.1957104557640755E-2</v>
      </c>
      <c r="BB147" s="101">
        <f t="shared" ref="BB147" si="883">BB148+$D147</f>
        <v>9.1891891891891897E-2</v>
      </c>
      <c r="BC147" s="101">
        <f t="shared" ref="BC147" si="884">BC148+$D147</f>
        <v>3.1841763942931256E-2</v>
      </c>
      <c r="BD147" s="101">
        <f t="shared" ref="BD147" si="885">BD148+$D147</f>
        <v>-1.0766182298546895E-2</v>
      </c>
    </row>
    <row r="148" spans="2:56" x14ac:dyDescent="0.15">
      <c r="B148" s="1" t="s">
        <v>15</v>
      </c>
      <c r="D148" s="102">
        <v>0</v>
      </c>
      <c r="E148" s="43" t="s">
        <v>36</v>
      </c>
      <c r="AK148" s="101">
        <f>AG146</f>
        <v>-8.0428954423592495E-3</v>
      </c>
      <c r="AL148" s="101">
        <f t="shared" ref="AL148" si="886">AH146</f>
        <v>4.1891891891891894E-2</v>
      </c>
      <c r="AM148" s="101">
        <f t="shared" ref="AM148" si="887">AI146</f>
        <v>-1.8158236057068743E-2</v>
      </c>
      <c r="AN148" s="101">
        <f t="shared" ref="AN148" si="888">AJ146</f>
        <v>-6.0766182298546897E-2</v>
      </c>
      <c r="AO148" s="101">
        <f>AK148</f>
        <v>-8.0428954423592495E-3</v>
      </c>
      <c r="AP148" s="101">
        <f t="shared" ref="AP148" si="889">AL148</f>
        <v>4.1891891891891894E-2</v>
      </c>
      <c r="AQ148" s="101">
        <f t="shared" ref="AQ148" si="890">AM148</f>
        <v>-1.8158236057068743E-2</v>
      </c>
      <c r="AR148" s="101">
        <f t="shared" ref="AR148" si="891">AN148</f>
        <v>-6.0766182298546897E-2</v>
      </c>
      <c r="AS148" s="101">
        <f t="shared" ref="AS148" si="892">AO148</f>
        <v>-8.0428954423592495E-3</v>
      </c>
      <c r="AT148" s="101">
        <f t="shared" ref="AT148" si="893">AP148</f>
        <v>4.1891891891891894E-2</v>
      </c>
      <c r="AU148" s="101">
        <f t="shared" ref="AU148" si="894">AQ148</f>
        <v>-1.8158236057068743E-2</v>
      </c>
      <c r="AV148" s="101">
        <f t="shared" ref="AV148" si="895">AR148</f>
        <v>-6.0766182298546897E-2</v>
      </c>
      <c r="AW148" s="101">
        <f t="shared" ref="AW148" si="896">AS148</f>
        <v>-8.0428954423592495E-3</v>
      </c>
      <c r="AX148" s="101">
        <f t="shared" ref="AX148" si="897">AT148</f>
        <v>4.1891891891891894E-2</v>
      </c>
      <c r="AY148" s="101">
        <f t="shared" ref="AY148" si="898">AU148</f>
        <v>-1.8158236057068743E-2</v>
      </c>
      <c r="AZ148" s="101">
        <f t="shared" ref="AZ148" si="899">AV148</f>
        <v>-6.0766182298546897E-2</v>
      </c>
      <c r="BA148" s="101">
        <f t="shared" ref="BA148" si="900">AW148</f>
        <v>-8.0428954423592495E-3</v>
      </c>
      <c r="BB148" s="101">
        <f t="shared" ref="BB148" si="901">AX148</f>
        <v>4.1891891891891894E-2</v>
      </c>
      <c r="BC148" s="101">
        <f t="shared" ref="BC148" si="902">AY148</f>
        <v>-1.8158236057068743E-2</v>
      </c>
      <c r="BD148" s="101">
        <f t="shared" ref="BD148" si="903">AZ148</f>
        <v>-6.0766182298546897E-2</v>
      </c>
    </row>
    <row r="149" spans="2:56" x14ac:dyDescent="0.15">
      <c r="B149" s="1" t="s">
        <v>263</v>
      </c>
      <c r="D149" s="102">
        <v>-0.05</v>
      </c>
      <c r="E149" s="43" t="s">
        <v>36</v>
      </c>
      <c r="AK149" s="101">
        <f t="shared" ref="AK149" si="904">AK148+$D149</f>
        <v>-5.8042895442359251E-2</v>
      </c>
      <c r="AL149" s="101">
        <f t="shared" ref="AL149" si="905">AL148+$D149</f>
        <v>-8.1081081081081086E-3</v>
      </c>
      <c r="AM149" s="101">
        <f t="shared" ref="AM149" si="906">AM148+$D149</f>
        <v>-6.815823605706875E-2</v>
      </c>
      <c r="AN149" s="101">
        <f t="shared" ref="AN149" si="907">AN148+$D149</f>
        <v>-0.1107661822985469</v>
      </c>
      <c r="AO149" s="101">
        <f t="shared" ref="AO149" si="908">AO148+$D149</f>
        <v>-5.8042895442359251E-2</v>
      </c>
      <c r="AP149" s="101">
        <f t="shared" ref="AP149" si="909">AP148+$D149</f>
        <v>-8.1081081081081086E-3</v>
      </c>
      <c r="AQ149" s="101">
        <f t="shared" ref="AQ149" si="910">AQ148+$D149</f>
        <v>-6.815823605706875E-2</v>
      </c>
      <c r="AR149" s="101">
        <f t="shared" ref="AR149" si="911">AR148+$D149</f>
        <v>-0.1107661822985469</v>
      </c>
      <c r="AS149" s="101">
        <f t="shared" ref="AS149" si="912">AS148+$D149</f>
        <v>-5.8042895442359251E-2</v>
      </c>
      <c r="AT149" s="101">
        <f t="shared" ref="AT149" si="913">AT148+$D149</f>
        <v>-8.1081081081081086E-3</v>
      </c>
      <c r="AU149" s="101">
        <f t="shared" ref="AU149" si="914">AU148+$D149</f>
        <v>-6.815823605706875E-2</v>
      </c>
      <c r="AV149" s="101">
        <f t="shared" ref="AV149" si="915">AV148+$D149</f>
        <v>-0.1107661822985469</v>
      </c>
      <c r="AW149" s="101">
        <f t="shared" ref="AW149" si="916">AW148+$D149</f>
        <v>-5.8042895442359251E-2</v>
      </c>
      <c r="AX149" s="101">
        <f t="shared" ref="AX149" si="917">AX148+$D149</f>
        <v>-8.1081081081081086E-3</v>
      </c>
      <c r="AY149" s="101">
        <f t="shared" ref="AY149" si="918">AY148+$D149</f>
        <v>-6.815823605706875E-2</v>
      </c>
      <c r="AZ149" s="101">
        <f t="shared" ref="AZ149" si="919">AZ148+$D149</f>
        <v>-0.1107661822985469</v>
      </c>
      <c r="BA149" s="101">
        <f t="shared" ref="BA149" si="920">BA148+$D149</f>
        <v>-5.8042895442359251E-2</v>
      </c>
      <c r="BB149" s="101">
        <f t="shared" ref="BB149" si="921">BB148+$D149</f>
        <v>-8.1081081081081086E-3</v>
      </c>
      <c r="BC149" s="101">
        <f t="shared" ref="BC149" si="922">BC148+$D149</f>
        <v>-6.815823605706875E-2</v>
      </c>
      <c r="BD149" s="101">
        <f t="shared" ref="BD149" si="923">BD148+$D149</f>
        <v>-0.1107661822985469</v>
      </c>
    </row>
  </sheetData>
  <pageMargins left="0.7" right="0.7" top="0.75" bottom="0.75" header="0.3" footer="0.3"/>
  <pageSetup scale="1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A6430-A5FB-408F-BDB9-B6FD08E086F1}">
  <sheetPr>
    <tabColor rgb="FFFFFF99"/>
  </sheetPr>
  <dimension ref="A1:BD228"/>
  <sheetViews>
    <sheetView showGridLines="0" view="pageBreakPreview" topLeftCell="A206" zoomScale="81" zoomScaleNormal="56" workbookViewId="0">
      <selection activeCell="Q13" sqref="Q13"/>
    </sheetView>
  </sheetViews>
  <sheetFormatPr baseColWidth="10" defaultColWidth="8.6640625" defaultRowHeight="15" outlineLevelRow="1" x14ac:dyDescent="0.2"/>
  <cols>
    <col min="1" max="1" width="2.1640625" customWidth="1"/>
    <col min="2" max="2" width="8.6640625" style="1" customWidth="1"/>
    <col min="3" max="3" width="80.5" style="1" customWidth="1"/>
    <col min="4" max="5" width="12.5" style="1" customWidth="1"/>
    <col min="6" max="15" width="15.5" style="1" customWidth="1"/>
    <col min="16" max="16" width="1.6640625" style="1" customWidth="1"/>
    <col min="17" max="56" width="15.5" style="1" customWidth="1"/>
  </cols>
  <sheetData>
    <row r="1" spans="1:56" ht="23" x14ac:dyDescent="0.25">
      <c r="A1" s="27" t="str">
        <f>'Cover Page'!$C$3</f>
        <v>Coinbase Global Inc., (NASDAQ: COIN)</v>
      </c>
      <c r="F1" s="28">
        <v>2021</v>
      </c>
      <c r="G1" s="28">
        <f>F1+1</f>
        <v>2022</v>
      </c>
      <c r="H1" s="28">
        <f t="shared" ref="H1:O1" si="0">G1+1</f>
        <v>2023</v>
      </c>
      <c r="I1" s="28">
        <f t="shared" si="0"/>
        <v>2024</v>
      </c>
      <c r="J1" s="28">
        <f t="shared" si="0"/>
        <v>2025</v>
      </c>
      <c r="K1" s="28">
        <f t="shared" si="0"/>
        <v>2026</v>
      </c>
      <c r="L1" s="28">
        <f t="shared" si="0"/>
        <v>2027</v>
      </c>
      <c r="M1" s="28">
        <f t="shared" si="0"/>
        <v>2028</v>
      </c>
      <c r="N1" s="28">
        <f t="shared" si="0"/>
        <v>2029</v>
      </c>
      <c r="O1" s="28">
        <f t="shared" si="0"/>
        <v>2030</v>
      </c>
      <c r="P1"/>
      <c r="Q1" s="1">
        <v>2021</v>
      </c>
      <c r="R1" s="1">
        <f>Q1</f>
        <v>2021</v>
      </c>
      <c r="S1" s="1">
        <f t="shared" ref="S1:T1" si="1">R1</f>
        <v>2021</v>
      </c>
      <c r="T1" s="1">
        <f t="shared" si="1"/>
        <v>2021</v>
      </c>
      <c r="U1" s="1">
        <f>T1+1</f>
        <v>2022</v>
      </c>
      <c r="V1" s="1">
        <f>U1</f>
        <v>2022</v>
      </c>
      <c r="W1" s="1">
        <f t="shared" ref="W1:X1" si="2">V1</f>
        <v>2022</v>
      </c>
      <c r="X1" s="1">
        <f t="shared" si="2"/>
        <v>2022</v>
      </c>
      <c r="Y1" s="1">
        <f>X1+1</f>
        <v>2023</v>
      </c>
      <c r="Z1" s="1">
        <f>Y1</f>
        <v>2023</v>
      </c>
      <c r="AA1" s="1">
        <f t="shared" ref="AA1:AB1" si="3">Z1</f>
        <v>2023</v>
      </c>
      <c r="AB1" s="1">
        <f t="shared" si="3"/>
        <v>2023</v>
      </c>
      <c r="AC1" s="1">
        <f>AB1+1</f>
        <v>2024</v>
      </c>
      <c r="AD1" s="1">
        <f>AC1</f>
        <v>2024</v>
      </c>
      <c r="AE1" s="1">
        <f t="shared" ref="AE1:AF1" si="4">AD1</f>
        <v>2024</v>
      </c>
      <c r="AF1" s="1">
        <f t="shared" si="4"/>
        <v>2024</v>
      </c>
      <c r="AG1" s="1">
        <f>AF1+1</f>
        <v>2025</v>
      </c>
      <c r="AH1" s="1">
        <f>AG1</f>
        <v>2025</v>
      </c>
      <c r="AI1" s="1">
        <f t="shared" ref="AI1:AJ1" si="5">AH1</f>
        <v>2025</v>
      </c>
      <c r="AJ1" s="1">
        <f t="shared" si="5"/>
        <v>2025</v>
      </c>
      <c r="AK1" s="1">
        <f>AJ1+1</f>
        <v>2026</v>
      </c>
      <c r="AL1" s="1">
        <f>AK1</f>
        <v>2026</v>
      </c>
      <c r="AM1" s="1">
        <f t="shared" ref="AM1:AN1" si="6">AL1</f>
        <v>2026</v>
      </c>
      <c r="AN1" s="1">
        <f t="shared" si="6"/>
        <v>2026</v>
      </c>
      <c r="AO1" s="1">
        <f>AN1+1</f>
        <v>2027</v>
      </c>
      <c r="AP1" s="1">
        <f>AO1</f>
        <v>2027</v>
      </c>
      <c r="AQ1" s="1">
        <f t="shared" ref="AQ1:AR1" si="7">AP1</f>
        <v>2027</v>
      </c>
      <c r="AR1" s="1">
        <f t="shared" si="7"/>
        <v>2027</v>
      </c>
      <c r="AS1" s="1">
        <f>AR1+1</f>
        <v>2028</v>
      </c>
      <c r="AT1" s="1">
        <f>AS1</f>
        <v>2028</v>
      </c>
      <c r="AU1" s="1">
        <f t="shared" ref="AU1:AV1" si="8">AT1</f>
        <v>2028</v>
      </c>
      <c r="AV1" s="1">
        <f t="shared" si="8"/>
        <v>2028</v>
      </c>
      <c r="AW1" s="1">
        <f>AV1+1</f>
        <v>2029</v>
      </c>
      <c r="AX1" s="1">
        <f>AW1</f>
        <v>2029</v>
      </c>
      <c r="AY1" s="1">
        <f t="shared" ref="AY1:AZ1" si="9">AX1</f>
        <v>2029</v>
      </c>
      <c r="AZ1" s="1">
        <f t="shared" si="9"/>
        <v>2029</v>
      </c>
      <c r="BA1" s="1">
        <f>AZ1+1</f>
        <v>2030</v>
      </c>
      <c r="BB1" s="1">
        <f>BA1</f>
        <v>2030</v>
      </c>
      <c r="BC1" s="1">
        <f t="shared" ref="BC1:BD1" si="10">BB1</f>
        <v>2030</v>
      </c>
      <c r="BD1" s="1">
        <f t="shared" si="10"/>
        <v>2030</v>
      </c>
    </row>
    <row r="2" spans="1:56" x14ac:dyDescent="0.2">
      <c r="A2" s="1" t="s">
        <v>292</v>
      </c>
      <c r="F2" s="29" t="s">
        <v>20</v>
      </c>
      <c r="G2" s="29" t="s">
        <v>20</v>
      </c>
      <c r="H2" s="29" t="s">
        <v>20</v>
      </c>
      <c r="I2" s="29" t="s">
        <v>20</v>
      </c>
      <c r="J2" s="29" t="s">
        <v>20</v>
      </c>
      <c r="K2" s="29" t="s">
        <v>20</v>
      </c>
      <c r="L2" s="29" t="s">
        <v>20</v>
      </c>
      <c r="M2" s="29" t="s">
        <v>20</v>
      </c>
      <c r="N2" s="29" t="s">
        <v>20</v>
      </c>
      <c r="O2" s="29" t="s">
        <v>20</v>
      </c>
      <c r="P2"/>
      <c r="Q2" s="29" t="s">
        <v>21</v>
      </c>
      <c r="R2" s="29" t="s">
        <v>22</v>
      </c>
      <c r="S2" s="29" t="s">
        <v>23</v>
      </c>
      <c r="T2" s="29" t="s">
        <v>20</v>
      </c>
      <c r="U2" s="29" t="s">
        <v>21</v>
      </c>
      <c r="V2" s="29" t="s">
        <v>22</v>
      </c>
      <c r="W2" s="29" t="s">
        <v>23</v>
      </c>
      <c r="X2" s="29" t="s">
        <v>20</v>
      </c>
      <c r="Y2" s="29" t="s">
        <v>21</v>
      </c>
      <c r="Z2" s="29" t="s">
        <v>22</v>
      </c>
      <c r="AA2" s="29" t="s">
        <v>23</v>
      </c>
      <c r="AB2" s="29" t="s">
        <v>20</v>
      </c>
      <c r="AC2" s="29" t="s">
        <v>21</v>
      </c>
      <c r="AD2" s="29" t="s">
        <v>22</v>
      </c>
      <c r="AE2" s="29" t="s">
        <v>23</v>
      </c>
      <c r="AF2" s="29" t="s">
        <v>20</v>
      </c>
      <c r="AG2" s="29" t="s">
        <v>21</v>
      </c>
      <c r="AH2" s="29" t="s">
        <v>22</v>
      </c>
      <c r="AI2" s="29" t="s">
        <v>23</v>
      </c>
      <c r="AJ2" s="29" t="s">
        <v>20</v>
      </c>
      <c r="AK2" s="29" t="s">
        <v>21</v>
      </c>
      <c r="AL2" s="29" t="s">
        <v>22</v>
      </c>
      <c r="AM2" s="29" t="s">
        <v>23</v>
      </c>
      <c r="AN2" s="29" t="s">
        <v>20</v>
      </c>
      <c r="AO2" s="29" t="s">
        <v>21</v>
      </c>
      <c r="AP2" s="29" t="s">
        <v>22</v>
      </c>
      <c r="AQ2" s="29" t="s">
        <v>23</v>
      </c>
      <c r="AR2" s="29" t="s">
        <v>20</v>
      </c>
      <c r="AS2" s="29" t="s">
        <v>21</v>
      </c>
      <c r="AT2" s="29" t="s">
        <v>22</v>
      </c>
      <c r="AU2" s="29" t="s">
        <v>23</v>
      </c>
      <c r="AV2" s="29" t="s">
        <v>20</v>
      </c>
      <c r="AW2" s="29" t="s">
        <v>21</v>
      </c>
      <c r="AX2" s="29" t="s">
        <v>22</v>
      </c>
      <c r="AY2" s="29" t="s">
        <v>23</v>
      </c>
      <c r="AZ2" s="29" t="s">
        <v>20</v>
      </c>
      <c r="BA2" s="29" t="s">
        <v>21</v>
      </c>
      <c r="BB2" s="29" t="s">
        <v>22</v>
      </c>
      <c r="BC2" s="29" t="s">
        <v>23</v>
      </c>
      <c r="BD2" s="29" t="s">
        <v>20</v>
      </c>
    </row>
    <row r="3" spans="1:56" x14ac:dyDescent="0.2">
      <c r="A3" s="1"/>
      <c r="F3" s="29">
        <v>12</v>
      </c>
      <c r="G3" s="29">
        <v>12</v>
      </c>
      <c r="H3" s="29">
        <v>12</v>
      </c>
      <c r="I3" s="29">
        <v>12</v>
      </c>
      <c r="J3" s="29">
        <v>12</v>
      </c>
      <c r="K3" s="29">
        <v>12</v>
      </c>
      <c r="L3" s="29">
        <v>12</v>
      </c>
      <c r="M3" s="29">
        <v>12</v>
      </c>
      <c r="N3" s="29">
        <v>12</v>
      </c>
      <c r="O3" s="29">
        <v>12</v>
      </c>
      <c r="P3"/>
      <c r="Q3" s="19">
        <v>3</v>
      </c>
      <c r="R3" s="19">
        <v>3</v>
      </c>
      <c r="S3" s="19">
        <v>3</v>
      </c>
      <c r="T3" s="19">
        <v>3</v>
      </c>
      <c r="U3" s="19">
        <v>3</v>
      </c>
      <c r="V3" s="19">
        <v>3</v>
      </c>
      <c r="W3" s="19">
        <v>3</v>
      </c>
      <c r="X3" s="19">
        <v>3</v>
      </c>
      <c r="Y3" s="19">
        <v>3</v>
      </c>
      <c r="Z3" s="19">
        <v>3</v>
      </c>
      <c r="AA3" s="19">
        <v>3</v>
      </c>
      <c r="AB3" s="19">
        <v>3</v>
      </c>
      <c r="AC3" s="19">
        <v>3</v>
      </c>
      <c r="AD3" s="19">
        <v>3</v>
      </c>
      <c r="AE3" s="19">
        <v>3</v>
      </c>
      <c r="AF3" s="19">
        <v>3</v>
      </c>
      <c r="AG3" s="19">
        <v>3</v>
      </c>
      <c r="AH3" s="19">
        <v>3</v>
      </c>
      <c r="AI3" s="19">
        <v>3</v>
      </c>
      <c r="AJ3" s="19">
        <v>3</v>
      </c>
      <c r="AK3" s="19">
        <v>3</v>
      </c>
      <c r="AL3" s="19">
        <v>3</v>
      </c>
      <c r="AM3" s="19">
        <v>3</v>
      </c>
      <c r="AN3" s="19">
        <v>3</v>
      </c>
      <c r="AO3" s="19">
        <v>3</v>
      </c>
      <c r="AP3" s="19">
        <v>3</v>
      </c>
      <c r="AQ3" s="19">
        <v>3</v>
      </c>
      <c r="AR3" s="19">
        <v>3</v>
      </c>
      <c r="AS3" s="19">
        <v>3</v>
      </c>
      <c r="AT3" s="19">
        <v>3</v>
      </c>
      <c r="AU3" s="19">
        <v>3</v>
      </c>
      <c r="AV3" s="19">
        <v>3</v>
      </c>
      <c r="AW3" s="19">
        <v>3</v>
      </c>
      <c r="AX3" s="19">
        <v>3</v>
      </c>
      <c r="AY3" s="19">
        <v>3</v>
      </c>
      <c r="AZ3" s="19">
        <v>3</v>
      </c>
      <c r="BA3" s="19">
        <v>3</v>
      </c>
      <c r="BB3" s="19">
        <v>3</v>
      </c>
      <c r="BC3" s="19">
        <v>3</v>
      </c>
      <c r="BD3" s="19">
        <v>3</v>
      </c>
    </row>
    <row r="4" spans="1:56" x14ac:dyDescent="0.2">
      <c r="A4" s="1"/>
      <c r="F4" s="29">
        <v>365</v>
      </c>
      <c r="G4" s="29">
        <v>365</v>
      </c>
      <c r="H4" s="29">
        <v>365</v>
      </c>
      <c r="I4" s="29">
        <v>366</v>
      </c>
      <c r="J4" s="29">
        <v>365</v>
      </c>
      <c r="K4" s="29">
        <v>365</v>
      </c>
      <c r="L4" s="29">
        <v>365</v>
      </c>
      <c r="M4" s="29">
        <v>366</v>
      </c>
      <c r="N4" s="29">
        <v>365</v>
      </c>
      <c r="O4" s="29">
        <v>365</v>
      </c>
      <c r="P4"/>
      <c r="Q4" s="19">
        <v>90</v>
      </c>
      <c r="R4" s="19">
        <f>R6-Q6</f>
        <v>91</v>
      </c>
      <c r="S4" s="19">
        <f t="shared" ref="S4:BD4" si="11">S6-R6</f>
        <v>92</v>
      </c>
      <c r="T4" s="19">
        <f t="shared" si="11"/>
        <v>92</v>
      </c>
      <c r="U4" s="19">
        <f t="shared" si="11"/>
        <v>90</v>
      </c>
      <c r="V4" s="19">
        <f t="shared" si="11"/>
        <v>91</v>
      </c>
      <c r="W4" s="19">
        <f t="shared" si="11"/>
        <v>92</v>
      </c>
      <c r="X4" s="19">
        <f t="shared" si="11"/>
        <v>92</v>
      </c>
      <c r="Y4" s="19">
        <f t="shared" si="11"/>
        <v>90</v>
      </c>
      <c r="Z4" s="19">
        <f t="shared" si="11"/>
        <v>91</v>
      </c>
      <c r="AA4" s="19">
        <f t="shared" si="11"/>
        <v>92</v>
      </c>
      <c r="AB4" s="19">
        <f t="shared" si="11"/>
        <v>92</v>
      </c>
      <c r="AC4" s="19">
        <f t="shared" si="11"/>
        <v>91</v>
      </c>
      <c r="AD4" s="19">
        <f t="shared" si="11"/>
        <v>91</v>
      </c>
      <c r="AE4" s="19">
        <f t="shared" si="11"/>
        <v>92</v>
      </c>
      <c r="AF4" s="19">
        <f t="shared" si="11"/>
        <v>92</v>
      </c>
      <c r="AG4" s="19">
        <f t="shared" si="11"/>
        <v>90</v>
      </c>
      <c r="AH4" s="19">
        <f t="shared" si="11"/>
        <v>91</v>
      </c>
      <c r="AI4" s="19">
        <f t="shared" si="11"/>
        <v>92</v>
      </c>
      <c r="AJ4" s="19">
        <f t="shared" si="11"/>
        <v>92</v>
      </c>
      <c r="AK4" s="19">
        <f t="shared" si="11"/>
        <v>90</v>
      </c>
      <c r="AL4" s="19">
        <f t="shared" si="11"/>
        <v>91</v>
      </c>
      <c r="AM4" s="19">
        <f t="shared" si="11"/>
        <v>92</v>
      </c>
      <c r="AN4" s="19">
        <f t="shared" si="11"/>
        <v>92</v>
      </c>
      <c r="AO4" s="19">
        <f t="shared" si="11"/>
        <v>90</v>
      </c>
      <c r="AP4" s="19">
        <f t="shared" si="11"/>
        <v>91</v>
      </c>
      <c r="AQ4" s="19">
        <f t="shared" si="11"/>
        <v>92</v>
      </c>
      <c r="AR4" s="19">
        <f t="shared" si="11"/>
        <v>92</v>
      </c>
      <c r="AS4" s="19">
        <f t="shared" si="11"/>
        <v>91</v>
      </c>
      <c r="AT4" s="19">
        <f t="shared" si="11"/>
        <v>91</v>
      </c>
      <c r="AU4" s="19">
        <f t="shared" si="11"/>
        <v>92</v>
      </c>
      <c r="AV4" s="19">
        <f t="shared" si="11"/>
        <v>92</v>
      </c>
      <c r="AW4" s="19">
        <f t="shared" si="11"/>
        <v>90</v>
      </c>
      <c r="AX4" s="19">
        <f t="shared" si="11"/>
        <v>91</v>
      </c>
      <c r="AY4" s="19">
        <f t="shared" si="11"/>
        <v>92</v>
      </c>
      <c r="AZ4" s="19">
        <f t="shared" si="11"/>
        <v>92</v>
      </c>
      <c r="BA4" s="19">
        <f t="shared" si="11"/>
        <v>90</v>
      </c>
      <c r="BB4" s="19">
        <f t="shared" si="11"/>
        <v>91</v>
      </c>
      <c r="BC4" s="19">
        <f t="shared" si="11"/>
        <v>92</v>
      </c>
      <c r="BD4" s="19">
        <f t="shared" si="11"/>
        <v>92</v>
      </c>
    </row>
    <row r="5" spans="1:56" x14ac:dyDescent="0.2">
      <c r="A5" s="1"/>
      <c r="F5" s="29" t="s">
        <v>24</v>
      </c>
      <c r="G5" s="29" t="s">
        <v>24</v>
      </c>
      <c r="H5" s="29" t="s">
        <v>24</v>
      </c>
      <c r="I5" s="29" t="s">
        <v>24</v>
      </c>
      <c r="J5" s="29" t="s">
        <v>24</v>
      </c>
      <c r="K5" s="29" t="s">
        <v>25</v>
      </c>
      <c r="L5" s="29" t="s">
        <v>25</v>
      </c>
      <c r="M5" s="29" t="s">
        <v>25</v>
      </c>
      <c r="N5" s="29" t="s">
        <v>25</v>
      </c>
      <c r="O5" s="29" t="s">
        <v>25</v>
      </c>
      <c r="P5"/>
      <c r="Q5" s="29" t="s">
        <v>24</v>
      </c>
      <c r="R5" s="29" t="s">
        <v>24</v>
      </c>
      <c r="S5" s="29" t="s">
        <v>24</v>
      </c>
      <c r="T5" s="29" t="s">
        <v>24</v>
      </c>
      <c r="U5" s="29" t="s">
        <v>24</v>
      </c>
      <c r="V5" s="29" t="s">
        <v>24</v>
      </c>
      <c r="W5" s="29" t="s">
        <v>24</v>
      </c>
      <c r="X5" s="29" t="s">
        <v>24</v>
      </c>
      <c r="Y5" s="29" t="s">
        <v>24</v>
      </c>
      <c r="Z5" s="29" t="s">
        <v>24</v>
      </c>
      <c r="AA5" s="29" t="s">
        <v>24</v>
      </c>
      <c r="AB5" s="29" t="s">
        <v>24</v>
      </c>
      <c r="AC5" s="29" t="s">
        <v>24</v>
      </c>
      <c r="AD5" s="29" t="s">
        <v>24</v>
      </c>
      <c r="AE5" s="29" t="s">
        <v>24</v>
      </c>
      <c r="AF5" s="29" t="s">
        <v>24</v>
      </c>
      <c r="AG5" s="29" t="s">
        <v>24</v>
      </c>
      <c r="AH5" s="29" t="s">
        <v>24</v>
      </c>
      <c r="AI5" s="29" t="s">
        <v>24</v>
      </c>
      <c r="AJ5" s="29" t="s">
        <v>24</v>
      </c>
      <c r="AK5" s="29" t="s">
        <v>25</v>
      </c>
      <c r="AL5" s="29" t="s">
        <v>25</v>
      </c>
      <c r="AM5" s="29" t="s">
        <v>25</v>
      </c>
      <c r="AN5" s="29" t="s">
        <v>25</v>
      </c>
      <c r="AO5" s="29" t="s">
        <v>25</v>
      </c>
      <c r="AP5" s="29" t="s">
        <v>25</v>
      </c>
      <c r="AQ5" s="29" t="s">
        <v>25</v>
      </c>
      <c r="AR5" s="29" t="s">
        <v>25</v>
      </c>
      <c r="AS5" s="29" t="s">
        <v>25</v>
      </c>
      <c r="AT5" s="29" t="s">
        <v>25</v>
      </c>
      <c r="AU5" s="29" t="s">
        <v>25</v>
      </c>
      <c r="AV5" s="29" t="s">
        <v>25</v>
      </c>
      <c r="AW5" s="29" t="s">
        <v>25</v>
      </c>
      <c r="AX5" s="29" t="s">
        <v>25</v>
      </c>
      <c r="AY5" s="29" t="s">
        <v>25</v>
      </c>
      <c r="AZ5" s="29" t="s">
        <v>25</v>
      </c>
      <c r="BA5" s="29" t="s">
        <v>25</v>
      </c>
      <c r="BB5" s="29" t="s">
        <v>25</v>
      </c>
      <c r="BC5" s="29" t="s">
        <v>25</v>
      </c>
      <c r="BD5" s="29" t="s">
        <v>25</v>
      </c>
    </row>
    <row r="6" spans="1:56" x14ac:dyDescent="0.2">
      <c r="A6" s="30" t="s">
        <v>26</v>
      </c>
      <c r="F6" s="31">
        <v>44561</v>
      </c>
      <c r="G6" s="32">
        <f>EOMONTH(F6,12)</f>
        <v>44926</v>
      </c>
      <c r="H6" s="32">
        <f t="shared" ref="H6:O6" si="12">EOMONTH(G6,12)</f>
        <v>45291</v>
      </c>
      <c r="I6" s="32">
        <f t="shared" si="12"/>
        <v>45657</v>
      </c>
      <c r="J6" s="32">
        <f t="shared" si="12"/>
        <v>46022</v>
      </c>
      <c r="K6" s="32">
        <f t="shared" si="12"/>
        <v>46387</v>
      </c>
      <c r="L6" s="32">
        <f t="shared" si="12"/>
        <v>46752</v>
      </c>
      <c r="M6" s="32">
        <f t="shared" si="12"/>
        <v>47118</v>
      </c>
      <c r="N6" s="32">
        <f t="shared" si="12"/>
        <v>47483</v>
      </c>
      <c r="O6" s="32">
        <f t="shared" si="12"/>
        <v>47848</v>
      </c>
      <c r="P6"/>
      <c r="Q6" s="32">
        <v>44286</v>
      </c>
      <c r="R6" s="32">
        <f>EOMONTH(Q6,3)</f>
        <v>44377</v>
      </c>
      <c r="S6" s="32">
        <f t="shared" ref="S6:BD6" si="13">EOMONTH(R6,3)</f>
        <v>44469</v>
      </c>
      <c r="T6" s="32">
        <f t="shared" si="13"/>
        <v>44561</v>
      </c>
      <c r="U6" s="32">
        <f t="shared" si="13"/>
        <v>44651</v>
      </c>
      <c r="V6" s="32">
        <f t="shared" si="13"/>
        <v>44742</v>
      </c>
      <c r="W6" s="32">
        <f t="shared" si="13"/>
        <v>44834</v>
      </c>
      <c r="X6" s="32">
        <f t="shared" si="13"/>
        <v>44926</v>
      </c>
      <c r="Y6" s="32">
        <f t="shared" si="13"/>
        <v>45016</v>
      </c>
      <c r="Z6" s="32">
        <f t="shared" si="13"/>
        <v>45107</v>
      </c>
      <c r="AA6" s="32">
        <f t="shared" si="13"/>
        <v>45199</v>
      </c>
      <c r="AB6" s="32">
        <f t="shared" si="13"/>
        <v>45291</v>
      </c>
      <c r="AC6" s="32">
        <f t="shared" si="13"/>
        <v>45382</v>
      </c>
      <c r="AD6" s="32">
        <f t="shared" si="13"/>
        <v>45473</v>
      </c>
      <c r="AE6" s="32">
        <f t="shared" si="13"/>
        <v>45565</v>
      </c>
      <c r="AF6" s="32">
        <f t="shared" si="13"/>
        <v>45657</v>
      </c>
      <c r="AG6" s="32">
        <f t="shared" si="13"/>
        <v>45747</v>
      </c>
      <c r="AH6" s="32">
        <f t="shared" si="13"/>
        <v>45838</v>
      </c>
      <c r="AI6" s="32">
        <f t="shared" si="13"/>
        <v>45930</v>
      </c>
      <c r="AJ6" s="32">
        <f t="shared" si="13"/>
        <v>46022</v>
      </c>
      <c r="AK6" s="32">
        <f t="shared" si="13"/>
        <v>46112</v>
      </c>
      <c r="AL6" s="32">
        <f t="shared" si="13"/>
        <v>46203</v>
      </c>
      <c r="AM6" s="32">
        <f t="shared" si="13"/>
        <v>46295</v>
      </c>
      <c r="AN6" s="32">
        <f t="shared" si="13"/>
        <v>46387</v>
      </c>
      <c r="AO6" s="32">
        <f t="shared" si="13"/>
        <v>46477</v>
      </c>
      <c r="AP6" s="32">
        <f t="shared" si="13"/>
        <v>46568</v>
      </c>
      <c r="AQ6" s="32">
        <f t="shared" si="13"/>
        <v>46660</v>
      </c>
      <c r="AR6" s="32">
        <f t="shared" si="13"/>
        <v>46752</v>
      </c>
      <c r="AS6" s="32">
        <f t="shared" si="13"/>
        <v>46843</v>
      </c>
      <c r="AT6" s="32">
        <f t="shared" si="13"/>
        <v>46934</v>
      </c>
      <c r="AU6" s="32">
        <f t="shared" si="13"/>
        <v>47026</v>
      </c>
      <c r="AV6" s="32">
        <f t="shared" si="13"/>
        <v>47118</v>
      </c>
      <c r="AW6" s="32">
        <f t="shared" si="13"/>
        <v>47208</v>
      </c>
      <c r="AX6" s="32">
        <f t="shared" si="13"/>
        <v>47299</v>
      </c>
      <c r="AY6" s="32">
        <f t="shared" si="13"/>
        <v>47391</v>
      </c>
      <c r="AZ6" s="32">
        <f t="shared" si="13"/>
        <v>47483</v>
      </c>
      <c r="BA6" s="32">
        <f t="shared" si="13"/>
        <v>47573</v>
      </c>
      <c r="BB6" s="32">
        <f t="shared" si="13"/>
        <v>47664</v>
      </c>
      <c r="BC6" s="32">
        <f t="shared" si="13"/>
        <v>47756</v>
      </c>
      <c r="BD6" s="32">
        <f t="shared" si="13"/>
        <v>47848</v>
      </c>
    </row>
    <row r="7" spans="1:56" ht="3" customHeight="1" x14ac:dyDescent="0.2"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</row>
    <row r="8" spans="1:56" s="1" customFormat="1" ht="14" x14ac:dyDescent="0.15">
      <c r="A8" s="1" t="s">
        <v>27</v>
      </c>
      <c r="B8" s="33" t="s">
        <v>28</v>
      </c>
      <c r="C8" s="33"/>
      <c r="D8" s="33"/>
      <c r="E8" s="34" t="s">
        <v>29</v>
      </c>
      <c r="F8" s="35">
        <v>21</v>
      </c>
      <c r="G8" s="35">
        <f>F8+1</f>
        <v>22</v>
      </c>
      <c r="H8" s="35">
        <f t="shared" ref="H8:O8" si="14">G8+1</f>
        <v>23</v>
      </c>
      <c r="I8" s="35">
        <f t="shared" si="14"/>
        <v>24</v>
      </c>
      <c r="J8" s="35">
        <f t="shared" si="14"/>
        <v>25</v>
      </c>
      <c r="K8" s="36">
        <f t="shared" si="14"/>
        <v>26</v>
      </c>
      <c r="L8" s="36">
        <f t="shared" si="14"/>
        <v>27</v>
      </c>
      <c r="M8" s="36">
        <f t="shared" si="14"/>
        <v>28</v>
      </c>
      <c r="N8" s="36">
        <f t="shared" si="14"/>
        <v>29</v>
      </c>
      <c r="O8" s="36">
        <f t="shared" si="14"/>
        <v>30</v>
      </c>
      <c r="Q8" s="41">
        <v>44286</v>
      </c>
      <c r="R8" s="41">
        <v>44377</v>
      </c>
      <c r="S8" s="41">
        <v>44469</v>
      </c>
      <c r="T8" s="41">
        <v>44561</v>
      </c>
      <c r="U8" s="41">
        <v>44651</v>
      </c>
      <c r="V8" s="41">
        <v>44742</v>
      </c>
      <c r="W8" s="41">
        <v>44834</v>
      </c>
      <c r="X8" s="41">
        <v>44926</v>
      </c>
      <c r="Y8" s="41">
        <v>45016</v>
      </c>
      <c r="Z8" s="41">
        <v>45107</v>
      </c>
      <c r="AA8" s="41">
        <v>45199</v>
      </c>
      <c r="AB8" s="41">
        <v>45291</v>
      </c>
      <c r="AC8" s="41">
        <v>45382</v>
      </c>
      <c r="AD8" s="41">
        <v>45473</v>
      </c>
      <c r="AE8" s="41">
        <v>45565</v>
      </c>
      <c r="AF8" s="41">
        <v>45657</v>
      </c>
      <c r="AG8" s="41">
        <v>45747</v>
      </c>
      <c r="AH8" s="41">
        <v>45838</v>
      </c>
      <c r="AI8" s="41">
        <v>45930</v>
      </c>
      <c r="AJ8" s="41">
        <v>46022</v>
      </c>
      <c r="AK8" s="41">
        <v>46112</v>
      </c>
      <c r="AL8" s="41">
        <v>46203</v>
      </c>
      <c r="AM8" s="41">
        <v>46295</v>
      </c>
      <c r="AN8" s="41">
        <v>46387</v>
      </c>
      <c r="AO8" s="41">
        <v>46477</v>
      </c>
      <c r="AP8" s="41">
        <v>46568</v>
      </c>
      <c r="AQ8" s="41">
        <v>46660</v>
      </c>
      <c r="AR8" s="41">
        <v>46752</v>
      </c>
      <c r="AS8" s="41">
        <v>46843</v>
      </c>
      <c r="AT8" s="41">
        <v>46934</v>
      </c>
      <c r="AU8" s="41">
        <v>47026</v>
      </c>
      <c r="AV8" s="41">
        <v>47118</v>
      </c>
      <c r="AW8" s="41">
        <v>47208</v>
      </c>
      <c r="AX8" s="41">
        <v>47299</v>
      </c>
      <c r="AY8" s="41">
        <v>47391</v>
      </c>
      <c r="AZ8" s="41">
        <v>47483</v>
      </c>
      <c r="BA8" s="41">
        <v>47573</v>
      </c>
      <c r="BB8" s="41">
        <v>47664</v>
      </c>
      <c r="BC8" s="41">
        <v>47756</v>
      </c>
      <c r="BD8" s="41">
        <v>47848</v>
      </c>
    </row>
    <row r="9" spans="1:56" ht="16" thickBot="1" x14ac:dyDescent="0.25"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</row>
    <row r="10" spans="1:56" ht="16" thickBot="1" x14ac:dyDescent="0.25">
      <c r="B10" s="76" t="s">
        <v>35</v>
      </c>
      <c r="C10" s="77"/>
      <c r="D10" s="77"/>
      <c r="E10" s="78" t="s">
        <v>33</v>
      </c>
      <c r="F10" s="79">
        <f t="shared" ref="F10:J10" si="15">SUMIF($P$1:$AI$1,F$1,$P10:$AI10)</f>
        <v>7839445</v>
      </c>
      <c r="G10" s="79">
        <f t="shared" si="15"/>
        <v>3194208</v>
      </c>
      <c r="H10" s="79">
        <f t="shared" si="15"/>
        <v>3108383</v>
      </c>
      <c r="I10" s="79">
        <f t="shared" si="15"/>
        <v>6564028</v>
      </c>
      <c r="J10" s="79">
        <f t="shared" si="15"/>
        <v>5400196</v>
      </c>
      <c r="K10" s="79">
        <f>SUMIFS($AJ10:$BC10,$AJ$1:$BC$1,K$1)</f>
        <v>7760519.8677711925</v>
      </c>
      <c r="L10" s="79">
        <f t="shared" ref="L10:O10" si="16">SUMIFS($AJ10:$BC10,$AJ$1:$BC$1,L$1)</f>
        <v>8677662.983783463</v>
      </c>
      <c r="M10" s="79">
        <f t="shared" si="16"/>
        <v>9724862.789179422</v>
      </c>
      <c r="N10" s="79">
        <f t="shared" si="16"/>
        <v>11294412.298654651</v>
      </c>
      <c r="O10" s="80">
        <f t="shared" si="16"/>
        <v>10677540.845893361</v>
      </c>
      <c r="Q10" s="144">
        <f>_xlfn.XLOOKUP('IS &amp; BS Projections'!$B10,'3FS'!$B:$B,'3FS'!P:P)</f>
        <v>1801112</v>
      </c>
      <c r="R10" s="145">
        <f>_xlfn.XLOOKUP('IS &amp; BS Projections'!$B10,'3FS'!$B:$B,'3FS'!Q:Q)</f>
        <v>2227962</v>
      </c>
      <c r="S10" s="145">
        <f>_xlfn.XLOOKUP('IS &amp; BS Projections'!$B10,'3FS'!$B:$B,'3FS'!R:R)</f>
        <v>1311908</v>
      </c>
      <c r="T10" s="145">
        <f>_xlfn.XLOOKUP('IS &amp; BS Projections'!$B10,'3FS'!$B:$B,'3FS'!S:S)</f>
        <v>2498463</v>
      </c>
      <c r="U10" s="145">
        <f>_xlfn.XLOOKUP('IS &amp; BS Projections'!$B10,'3FS'!$B:$B,'3FS'!T:T)</f>
        <v>1166436</v>
      </c>
      <c r="V10" s="145">
        <f>_xlfn.XLOOKUP('IS &amp; BS Projections'!$B10,'3FS'!$B:$B,'3FS'!U:U)</f>
        <v>808325</v>
      </c>
      <c r="W10" s="145">
        <f>_xlfn.XLOOKUP('IS &amp; BS Projections'!$B10,'3FS'!$B:$B,'3FS'!V:V)</f>
        <v>590339</v>
      </c>
      <c r="X10" s="145">
        <f>_xlfn.XLOOKUP('IS &amp; BS Projections'!$B10,'3FS'!$B:$B,'3FS'!W:W)</f>
        <v>629108</v>
      </c>
      <c r="Y10" s="145">
        <f>_xlfn.XLOOKUP('IS &amp; BS Projections'!$B10,'3FS'!$B:$B,'3FS'!X:X)</f>
        <v>772529</v>
      </c>
      <c r="Z10" s="145">
        <f>_xlfn.XLOOKUP('IS &amp; BS Projections'!$B10,'3FS'!$B:$B,'3FS'!Y:Y)</f>
        <v>707911</v>
      </c>
      <c r="AA10" s="145">
        <f>_xlfn.XLOOKUP('IS &amp; BS Projections'!$B10,'3FS'!$B:$B,'3FS'!Z:Z)</f>
        <v>674148</v>
      </c>
      <c r="AB10" s="145">
        <f>_xlfn.XLOOKUP('IS &amp; BS Projections'!$B10,'3FS'!$B:$B,'3FS'!AA:AA)</f>
        <v>953795</v>
      </c>
      <c r="AC10" s="145">
        <f>_xlfn.XLOOKUP('IS &amp; BS Projections'!$B10,'3FS'!$B:$B,'3FS'!AB:AB)</f>
        <v>1637570</v>
      </c>
      <c r="AD10" s="145">
        <f>_xlfn.XLOOKUP('IS &amp; BS Projections'!$B10,'3FS'!$B:$B,'3FS'!AC:AC)</f>
        <v>1449628</v>
      </c>
      <c r="AE10" s="145">
        <f>_xlfn.XLOOKUP('IS &amp; BS Projections'!$B10,'3FS'!$B:$B,'3FS'!AD:AD)</f>
        <v>1205193</v>
      </c>
      <c r="AF10" s="145">
        <f>_xlfn.XLOOKUP('IS &amp; BS Projections'!$B10,'3FS'!$B:$B,'3FS'!AE:AE)</f>
        <v>2271637</v>
      </c>
      <c r="AG10" s="145">
        <f>_xlfn.XLOOKUP('IS &amp; BS Projections'!$B10,'3FS'!$B:$B,'3FS'!AF:AF)</f>
        <v>2034295</v>
      </c>
      <c r="AH10" s="145">
        <f>_xlfn.XLOOKUP('IS &amp; BS Projections'!$B10,'3FS'!$B:$B,'3FS'!AG:AG)</f>
        <v>1497208</v>
      </c>
      <c r="AI10" s="145">
        <f>_xlfn.XLOOKUP('IS &amp; BS Projections'!$B10,'3FS'!$B:$B,'3FS'!AH:AH)</f>
        <v>1868693</v>
      </c>
      <c r="AJ10" s="145">
        <f>_xlfn.XLOOKUP('IS &amp; BS Projections'!$B10,'3FS'!$B:$B,'3FS'!AI:AI)</f>
        <v>1781129</v>
      </c>
      <c r="AK10" s="145">
        <f>_xlfn.XLOOKUP('IS &amp; BS Projections'!$B10,'3FS'!$B:$B,'3FS'!AJ:AJ)</f>
        <v>1863528.1501340482</v>
      </c>
      <c r="AL10" s="145">
        <f>_xlfn.XLOOKUP('IS &amp; BS Projections'!$B10,'3FS'!$B:$B,'3FS'!AK:AK)</f>
        <v>1783482.7077747989</v>
      </c>
      <c r="AM10" s="145">
        <f>_xlfn.XLOOKUP('IS &amp; BS Projections'!$B10,'3FS'!$B:$B,'3FS'!AL:AL)</f>
        <v>2373828.7661462636</v>
      </c>
      <c r="AN10" s="145">
        <f>_xlfn.XLOOKUP('IS &amp; BS Projections'!$B10,'3FS'!$B:$B,'3FS'!AM:AM)</f>
        <v>1739680.2437160823</v>
      </c>
      <c r="AO10" s="145">
        <f>_xlfn.XLOOKUP('IS &amp; BS Projections'!$B10,'3FS'!$B:$B,'3FS'!AN:AN)</f>
        <v>1944720.7484934751</v>
      </c>
      <c r="AP10" s="145">
        <f>_xlfn.XLOOKUP('IS &amp; BS Projections'!$B10,'3FS'!$B:$B,'3FS'!AO:AO)</f>
        <v>2029033.9837878188</v>
      </c>
      <c r="AQ10" s="145">
        <f>_xlfn.XLOOKUP('IS &amp; BS Projections'!$B10,'3FS'!$B:$B,'3FS'!AP:AP)</f>
        <v>2739287.8663155804</v>
      </c>
      <c r="AR10" s="145">
        <f>_xlfn.XLOOKUP('IS &amp; BS Projections'!$B10,'3FS'!$B:$B,'3FS'!AQ:AQ)</f>
        <v>1964620.3851865886</v>
      </c>
      <c r="AS10" s="145">
        <f>_xlfn.XLOOKUP('IS &amp; BS Projections'!$B10,'3FS'!$B:$B,'3FS'!AR:AR)</f>
        <v>2116951.6946590561</v>
      </c>
      <c r="AT10" s="145">
        <f>_xlfn.XLOOKUP('IS &amp; BS Projections'!$B10,'3FS'!$B:$B,'3FS'!AS:AS)</f>
        <v>2321871.5253067249</v>
      </c>
      <c r="AU10" s="145">
        <f>_xlfn.XLOOKUP('IS &amp; BS Projections'!$B10,'3FS'!$B:$B,'3FS'!AT:AT)</f>
        <v>3086831.8252370525</v>
      </c>
      <c r="AV10" s="145">
        <f>_xlfn.XLOOKUP('IS &amp; BS Projections'!$B10,'3FS'!$B:$B,'3FS'!AU:AU)</f>
        <v>2199207.7439765888</v>
      </c>
      <c r="AW10" s="145">
        <f>_xlfn.XLOOKUP('IS &amp; BS Projections'!$B10,'3FS'!$B:$B,'3FS'!AV:AV)</f>
        <v>2337376.7739587473</v>
      </c>
      <c r="AX10" s="145">
        <f>_xlfn.XLOOKUP('IS &amp; BS Projections'!$B10,'3FS'!$B:$B,'3FS'!AW:AW)</f>
        <v>2761440.4302102206</v>
      </c>
      <c r="AY10" s="145">
        <f>_xlfn.XLOOKUP('IS &amp; BS Projections'!$B10,'3FS'!$B:$B,'3FS'!AX:AX)</f>
        <v>3626967.9729447658</v>
      </c>
      <c r="AZ10" s="145">
        <f>_xlfn.XLOOKUP('IS &amp; BS Projections'!$B10,'3FS'!$B:$B,'3FS'!AY:AY)</f>
        <v>2568627.1215409175</v>
      </c>
      <c r="BA10" s="145">
        <f>_xlfn.XLOOKUP('IS &amp; BS Projections'!$B10,'3FS'!$B:$B,'3FS'!AZ:AZ)</f>
        <v>2685495.763238363</v>
      </c>
      <c r="BB10" s="145">
        <f>_xlfn.XLOOKUP('IS &amp; BS Projections'!$B10,'3FS'!$B:$B,'3FS'!BA:BA)</f>
        <v>3472555.2799846497</v>
      </c>
      <c r="BC10" s="145">
        <f>_xlfn.XLOOKUP('IS &amp; BS Projections'!$B10,'3FS'!$B:$B,'3FS'!BB:BB)</f>
        <v>4519489.8026703475</v>
      </c>
      <c r="BD10" s="146">
        <f>_xlfn.XLOOKUP('IS &amp; BS Projections'!$B10,'3FS'!$B:$B,'3FS'!BC:BC)</f>
        <v>3163174.1367002623</v>
      </c>
    </row>
    <row r="12" spans="1:56" x14ac:dyDescent="0.2">
      <c r="B12" s="1" t="s">
        <v>37</v>
      </c>
      <c r="E12" s="43" t="s">
        <v>33</v>
      </c>
      <c r="F12" s="50">
        <f t="shared" ref="F12:J12" si="17">SUMIFS($Q12:$BD12,$Q$1:$BD$1,F$1)</f>
        <v>0</v>
      </c>
      <c r="G12" s="50">
        <f t="shared" si="17"/>
        <v>0</v>
      </c>
      <c r="H12" s="50">
        <f t="shared" si="17"/>
        <v>-125559</v>
      </c>
      <c r="I12" s="50">
        <f t="shared" si="17"/>
        <v>0</v>
      </c>
      <c r="J12" s="50">
        <f t="shared" si="17"/>
        <v>0</v>
      </c>
      <c r="K12" s="50">
        <f>SUMIFS($AJ12:$BC12,$AJ$1:$BC$1,K$1)</f>
        <v>0</v>
      </c>
      <c r="L12" s="50">
        <f t="shared" ref="L12:O12" si="18">SUMIFS($AJ12:$BC12,$AJ$1:$BC$1,L$1)</f>
        <v>0</v>
      </c>
      <c r="M12" s="50">
        <f t="shared" si="18"/>
        <v>0</v>
      </c>
      <c r="N12" s="50">
        <f t="shared" si="18"/>
        <v>0</v>
      </c>
      <c r="O12" s="50">
        <f t="shared" si="18"/>
        <v>0</v>
      </c>
      <c r="Q12" s="143">
        <f>_xlfn.XLOOKUP('IS &amp; BS Projections'!$B12,'3FS'!$B:$B,'3FS'!P:P)</f>
        <v>0</v>
      </c>
      <c r="R12" s="143">
        <f>_xlfn.XLOOKUP('IS &amp; BS Projections'!$B12,'3FS'!$B:$B,'3FS'!Q:Q)</f>
        <v>0</v>
      </c>
      <c r="S12" s="143">
        <f>_xlfn.XLOOKUP('IS &amp; BS Projections'!$B12,'3FS'!$B:$B,'3FS'!R:R)</f>
        <v>0</v>
      </c>
      <c r="T12" s="143">
        <f>_xlfn.XLOOKUP('IS &amp; BS Projections'!$B12,'3FS'!$B:$B,'3FS'!S:S)</f>
        <v>0</v>
      </c>
      <c r="U12" s="143">
        <f>_xlfn.XLOOKUP('IS &amp; BS Projections'!$B12,'3FS'!$B:$B,'3FS'!T:T)</f>
        <v>0</v>
      </c>
      <c r="V12" s="143">
        <f>_xlfn.XLOOKUP('IS &amp; BS Projections'!$B12,'3FS'!$B:$B,'3FS'!U:U)</f>
        <v>0</v>
      </c>
      <c r="W12" s="143">
        <f>_xlfn.XLOOKUP('IS &amp; BS Projections'!$B12,'3FS'!$B:$B,'3FS'!V:V)</f>
        <v>0</v>
      </c>
      <c r="X12" s="143">
        <f>_xlfn.XLOOKUP('IS &amp; BS Projections'!$B12,'3FS'!$B:$B,'3FS'!W:W)</f>
        <v>0</v>
      </c>
      <c r="Y12" s="143">
        <f>_xlfn.XLOOKUP('IS &amp; BS Projections'!$B12,'3FS'!$B:$B,'3FS'!X:X)</f>
        <v>0</v>
      </c>
      <c r="Z12" s="143">
        <f>_xlfn.XLOOKUP('IS &amp; BS Projections'!$B12,'3FS'!$B:$B,'3FS'!Y:Y)</f>
        <v>0</v>
      </c>
      <c r="AA12" s="143">
        <f>_xlfn.XLOOKUP('IS &amp; BS Projections'!$B12,'3FS'!$B:$B,'3FS'!Z:Z)</f>
        <v>0</v>
      </c>
      <c r="AB12" s="143">
        <f>_xlfn.XLOOKUP('IS &amp; BS Projections'!$B12,'3FS'!$B:$B,'3FS'!AA:AA)</f>
        <v>-125559</v>
      </c>
      <c r="AC12" s="143">
        <f>_xlfn.XLOOKUP('IS &amp; BS Projections'!$B12,'3FS'!$B:$B,'3FS'!AB:AB)</f>
        <v>0</v>
      </c>
      <c r="AD12" s="143">
        <f>_xlfn.XLOOKUP('IS &amp; BS Projections'!$B12,'3FS'!$B:$B,'3FS'!AC:AC)</f>
        <v>0</v>
      </c>
      <c r="AE12" s="143">
        <f>_xlfn.XLOOKUP('IS &amp; BS Projections'!$B12,'3FS'!$B:$B,'3FS'!AD:AD)</f>
        <v>0</v>
      </c>
      <c r="AF12" s="143">
        <f>_xlfn.XLOOKUP('IS &amp; BS Projections'!$B12,'3FS'!$B:$B,'3FS'!AE:AE)</f>
        <v>0</v>
      </c>
      <c r="AG12" s="143">
        <f>_xlfn.XLOOKUP('IS &amp; BS Projections'!$B12,'3FS'!$B:$B,'3FS'!AF:AF)</f>
        <v>0</v>
      </c>
      <c r="AH12" s="143">
        <f>_xlfn.XLOOKUP('IS &amp; BS Projections'!$B12,'3FS'!$B:$B,'3FS'!AG:AG)</f>
        <v>0</v>
      </c>
      <c r="AI12" s="143">
        <f>_xlfn.XLOOKUP('IS &amp; BS Projections'!$B12,'3FS'!$B:$B,'3FS'!AH:AH)</f>
        <v>0</v>
      </c>
      <c r="AJ12" s="143">
        <f>_xlfn.XLOOKUP('IS &amp; BS Projections'!$B12,'3FS'!$B:$B,'3FS'!AI:AI)</f>
        <v>0</v>
      </c>
      <c r="AK12" s="50">
        <f>AK13*AK$10</f>
        <v>0</v>
      </c>
      <c r="AL12" s="50">
        <f t="shared" ref="AL12:BD12" si="19">AL13*AL$10</f>
        <v>0</v>
      </c>
      <c r="AM12" s="50">
        <f t="shared" si="19"/>
        <v>0</v>
      </c>
      <c r="AN12" s="50">
        <f t="shared" si="19"/>
        <v>0</v>
      </c>
      <c r="AO12" s="50">
        <f t="shared" si="19"/>
        <v>0</v>
      </c>
      <c r="AP12" s="50">
        <f t="shared" si="19"/>
        <v>0</v>
      </c>
      <c r="AQ12" s="50">
        <f t="shared" si="19"/>
        <v>0</v>
      </c>
      <c r="AR12" s="50">
        <f t="shared" si="19"/>
        <v>0</v>
      </c>
      <c r="AS12" s="50">
        <f t="shared" si="19"/>
        <v>0</v>
      </c>
      <c r="AT12" s="50">
        <f t="shared" si="19"/>
        <v>0</v>
      </c>
      <c r="AU12" s="50">
        <f t="shared" si="19"/>
        <v>0</v>
      </c>
      <c r="AV12" s="50">
        <f t="shared" si="19"/>
        <v>0</v>
      </c>
      <c r="AW12" s="50">
        <f t="shared" si="19"/>
        <v>0</v>
      </c>
      <c r="AX12" s="50">
        <f t="shared" si="19"/>
        <v>0</v>
      </c>
      <c r="AY12" s="50">
        <f t="shared" si="19"/>
        <v>0</v>
      </c>
      <c r="AZ12" s="50">
        <f t="shared" si="19"/>
        <v>0</v>
      </c>
      <c r="BA12" s="50">
        <f t="shared" si="19"/>
        <v>0</v>
      </c>
      <c r="BB12" s="50">
        <f t="shared" si="19"/>
        <v>0</v>
      </c>
      <c r="BC12" s="50">
        <f t="shared" si="19"/>
        <v>0</v>
      </c>
      <c r="BD12" s="50">
        <f t="shared" si="19"/>
        <v>0</v>
      </c>
    </row>
    <row r="13" spans="1:56" x14ac:dyDescent="0.2">
      <c r="B13" s="98" t="s">
        <v>293</v>
      </c>
      <c r="C13" s="45"/>
      <c r="D13" s="45"/>
      <c r="E13" s="46" t="s">
        <v>36</v>
      </c>
      <c r="F13" s="126">
        <f t="shared" ref="F13:O13" si="20">F12/F$10</f>
        <v>0</v>
      </c>
      <c r="G13" s="126">
        <f t="shared" si="20"/>
        <v>0</v>
      </c>
      <c r="H13" s="126">
        <f t="shared" si="20"/>
        <v>-4.0393670921504844E-2</v>
      </c>
      <c r="I13" s="126">
        <f t="shared" si="20"/>
        <v>0</v>
      </c>
      <c r="J13" s="126">
        <f t="shared" si="20"/>
        <v>0</v>
      </c>
      <c r="K13" s="126">
        <f t="shared" si="20"/>
        <v>0</v>
      </c>
      <c r="L13" s="126">
        <f t="shared" si="20"/>
        <v>0</v>
      </c>
      <c r="M13" s="126">
        <f t="shared" si="20"/>
        <v>0</v>
      </c>
      <c r="N13" s="126">
        <f t="shared" si="20"/>
        <v>0</v>
      </c>
      <c r="O13" s="126">
        <f t="shared" si="20"/>
        <v>0</v>
      </c>
      <c r="P13" s="81"/>
      <c r="Q13" s="126">
        <f>Q12/Q$10</f>
        <v>0</v>
      </c>
      <c r="R13" s="126">
        <f t="shared" ref="R13:AH13" si="21">R12/R$10</f>
        <v>0</v>
      </c>
      <c r="S13" s="126">
        <f t="shared" si="21"/>
        <v>0</v>
      </c>
      <c r="T13" s="126">
        <f t="shared" si="21"/>
        <v>0</v>
      </c>
      <c r="U13" s="126">
        <f t="shared" si="21"/>
        <v>0</v>
      </c>
      <c r="V13" s="126">
        <f t="shared" si="21"/>
        <v>0</v>
      </c>
      <c r="W13" s="126">
        <f t="shared" si="21"/>
        <v>0</v>
      </c>
      <c r="X13" s="126">
        <f t="shared" si="21"/>
        <v>0</v>
      </c>
      <c r="Y13" s="126">
        <f t="shared" si="21"/>
        <v>0</v>
      </c>
      <c r="Z13" s="126">
        <f t="shared" si="21"/>
        <v>0</v>
      </c>
      <c r="AA13" s="126">
        <f t="shared" si="21"/>
        <v>0</v>
      </c>
      <c r="AB13" s="126">
        <f t="shared" si="21"/>
        <v>-0.13164149528986838</v>
      </c>
      <c r="AC13" s="126">
        <f t="shared" si="21"/>
        <v>0</v>
      </c>
      <c r="AD13" s="126">
        <f t="shared" si="21"/>
        <v>0</v>
      </c>
      <c r="AE13" s="126">
        <f t="shared" si="21"/>
        <v>0</v>
      </c>
      <c r="AF13" s="126">
        <f t="shared" si="21"/>
        <v>0</v>
      </c>
      <c r="AG13" s="126">
        <f t="shared" si="21"/>
        <v>0</v>
      </c>
      <c r="AH13" s="126">
        <f t="shared" si="21"/>
        <v>0</v>
      </c>
      <c r="AI13" s="126">
        <f t="shared" ref="AI13" si="22">AI12/AI$10</f>
        <v>0</v>
      </c>
      <c r="AJ13" s="126">
        <f t="shared" ref="AJ13" si="23">AJ12/AJ$10</f>
        <v>0</v>
      </c>
      <c r="AK13" s="126">
        <f>_xlfn.XLOOKUP('Cover Page'!$E$13,'IS &amp; BS Projections'!$B14:$B16,'IS &amp; BS Projections'!AK14:AK16)</f>
        <v>0</v>
      </c>
      <c r="AL13" s="126">
        <f>_xlfn.XLOOKUP('Cover Page'!$E$13,'IS &amp; BS Projections'!$B14:$B16,'IS &amp; BS Projections'!AL14:AL16)</f>
        <v>0</v>
      </c>
      <c r="AM13" s="126">
        <f>_xlfn.XLOOKUP('Cover Page'!$E$13,'IS &amp; BS Projections'!$B14:$B16,'IS &amp; BS Projections'!AM14:AM16)</f>
        <v>0</v>
      </c>
      <c r="AN13" s="126">
        <f>_xlfn.XLOOKUP('Cover Page'!$E$13,'IS &amp; BS Projections'!$B14:$B16,'IS &amp; BS Projections'!AN14:AN16)</f>
        <v>0</v>
      </c>
      <c r="AO13" s="126">
        <f>_xlfn.XLOOKUP('Cover Page'!$E$13,'IS &amp; BS Projections'!$B14:$B16,'IS &amp; BS Projections'!AO14:AO16)</f>
        <v>0</v>
      </c>
      <c r="AP13" s="126">
        <f>_xlfn.XLOOKUP('Cover Page'!$E$13,'IS &amp; BS Projections'!$B14:$B16,'IS &amp; BS Projections'!AP14:AP16)</f>
        <v>0</v>
      </c>
      <c r="AQ13" s="126">
        <f>_xlfn.XLOOKUP('Cover Page'!$E$13,'IS &amp; BS Projections'!$B14:$B16,'IS &amp; BS Projections'!AQ14:AQ16)</f>
        <v>0</v>
      </c>
      <c r="AR13" s="126">
        <f>_xlfn.XLOOKUP('Cover Page'!$E$13,'IS &amp; BS Projections'!$B14:$B16,'IS &amp; BS Projections'!AR14:AR16)</f>
        <v>0</v>
      </c>
      <c r="AS13" s="126">
        <f>_xlfn.XLOOKUP('Cover Page'!$E$13,'IS &amp; BS Projections'!$B14:$B16,'IS &amp; BS Projections'!AS14:AS16)</f>
        <v>0</v>
      </c>
      <c r="AT13" s="126">
        <f>_xlfn.XLOOKUP('Cover Page'!$E$13,'IS &amp; BS Projections'!$B14:$B16,'IS &amp; BS Projections'!AT14:AT16)</f>
        <v>0</v>
      </c>
      <c r="AU13" s="126">
        <f>_xlfn.XLOOKUP('Cover Page'!$E$13,'IS &amp; BS Projections'!$B14:$B16,'IS &amp; BS Projections'!AU14:AU16)</f>
        <v>0</v>
      </c>
      <c r="AV13" s="126">
        <f>_xlfn.XLOOKUP('Cover Page'!$E$13,'IS &amp; BS Projections'!$B14:$B16,'IS &amp; BS Projections'!AV14:AV16)</f>
        <v>0</v>
      </c>
      <c r="AW13" s="126">
        <f>_xlfn.XLOOKUP('Cover Page'!$E$13,'IS &amp; BS Projections'!$B14:$B16,'IS &amp; BS Projections'!AW14:AW16)</f>
        <v>0</v>
      </c>
      <c r="AX13" s="126">
        <f>_xlfn.XLOOKUP('Cover Page'!$E$13,'IS &amp; BS Projections'!$B14:$B16,'IS &amp; BS Projections'!AX14:AX16)</f>
        <v>0</v>
      </c>
      <c r="AY13" s="126">
        <f>_xlfn.XLOOKUP('Cover Page'!$E$13,'IS &amp; BS Projections'!$B14:$B16,'IS &amp; BS Projections'!AY14:AY16)</f>
        <v>0</v>
      </c>
      <c r="AZ13" s="126">
        <f>_xlfn.XLOOKUP('Cover Page'!$E$13,'IS &amp; BS Projections'!$B14:$B16,'IS &amp; BS Projections'!AZ14:AZ16)</f>
        <v>0</v>
      </c>
      <c r="BA13" s="126">
        <f>_xlfn.XLOOKUP('Cover Page'!$E$13,'IS &amp; BS Projections'!$B14:$B16,'IS &amp; BS Projections'!BA14:BA16)</f>
        <v>0</v>
      </c>
      <c r="BB13" s="126">
        <f>_xlfn.XLOOKUP('Cover Page'!$E$13,'IS &amp; BS Projections'!$B14:$B16,'IS &amp; BS Projections'!BB14:BB16)</f>
        <v>0</v>
      </c>
      <c r="BC13" s="126">
        <f>_xlfn.XLOOKUP('Cover Page'!$E$13,'IS &amp; BS Projections'!$B14:$B16,'IS &amp; BS Projections'!BC14:BC16)</f>
        <v>0</v>
      </c>
      <c r="BD13" s="126">
        <f>_xlfn.XLOOKUP('Cover Page'!$E$13,'IS &amp; BS Projections'!$B14:$B16,'IS &amp; BS Projections'!BD14:BD16)</f>
        <v>0</v>
      </c>
    </row>
    <row r="14" spans="1:56" x14ac:dyDescent="0.2">
      <c r="B14" s="1" t="s">
        <v>262</v>
      </c>
      <c r="D14" s="102">
        <v>0.05</v>
      </c>
      <c r="E14" s="43" t="s">
        <v>36</v>
      </c>
      <c r="AK14" s="101">
        <f t="shared" ref="AK14:BD14" si="24">AK15+$D14</f>
        <v>0.05</v>
      </c>
      <c r="AL14" s="101">
        <f t="shared" si="24"/>
        <v>0.05</v>
      </c>
      <c r="AM14" s="101">
        <f t="shared" si="24"/>
        <v>0.05</v>
      </c>
      <c r="AN14" s="101">
        <f t="shared" si="24"/>
        <v>0.05</v>
      </c>
      <c r="AO14" s="101">
        <f t="shared" si="24"/>
        <v>0.05</v>
      </c>
      <c r="AP14" s="101">
        <f t="shared" si="24"/>
        <v>0.05</v>
      </c>
      <c r="AQ14" s="101">
        <f t="shared" si="24"/>
        <v>0.05</v>
      </c>
      <c r="AR14" s="101">
        <f t="shared" si="24"/>
        <v>0.05</v>
      </c>
      <c r="AS14" s="101">
        <f t="shared" si="24"/>
        <v>0.05</v>
      </c>
      <c r="AT14" s="101">
        <f t="shared" si="24"/>
        <v>0.05</v>
      </c>
      <c r="AU14" s="101">
        <f t="shared" si="24"/>
        <v>0.05</v>
      </c>
      <c r="AV14" s="101">
        <f t="shared" si="24"/>
        <v>0.05</v>
      </c>
      <c r="AW14" s="101">
        <f t="shared" si="24"/>
        <v>0.05</v>
      </c>
      <c r="AX14" s="101">
        <f t="shared" si="24"/>
        <v>0.05</v>
      </c>
      <c r="AY14" s="101">
        <f t="shared" si="24"/>
        <v>0.05</v>
      </c>
      <c r="AZ14" s="101">
        <f t="shared" si="24"/>
        <v>0.05</v>
      </c>
      <c r="BA14" s="101">
        <f t="shared" si="24"/>
        <v>0.05</v>
      </c>
      <c r="BB14" s="101">
        <f t="shared" si="24"/>
        <v>0.05</v>
      </c>
      <c r="BC14" s="101">
        <f t="shared" si="24"/>
        <v>0.05</v>
      </c>
      <c r="BD14" s="101">
        <f t="shared" si="24"/>
        <v>0.05</v>
      </c>
    </row>
    <row r="15" spans="1:56" x14ac:dyDescent="0.2">
      <c r="B15" s="1" t="s">
        <v>15</v>
      </c>
      <c r="D15" s="102">
        <v>0</v>
      </c>
      <c r="E15" s="43" t="s">
        <v>36</v>
      </c>
      <c r="AK15" s="101">
        <f>MEDIAN(Q13,U13,Y13,AC13,AG13)</f>
        <v>0</v>
      </c>
      <c r="AL15" s="101">
        <f t="shared" ref="AL15:AN15" si="25">MEDIAN(R13,V13,Z13,AD13,AH13)</f>
        <v>0</v>
      </c>
      <c r="AM15" s="101">
        <f t="shared" si="25"/>
        <v>0</v>
      </c>
      <c r="AN15" s="101">
        <f t="shared" si="25"/>
        <v>0</v>
      </c>
      <c r="AO15" s="101">
        <f>AK15</f>
        <v>0</v>
      </c>
      <c r="AP15" s="101">
        <f t="shared" ref="AP15:BD15" si="26">AL15</f>
        <v>0</v>
      </c>
      <c r="AQ15" s="101">
        <f t="shared" si="26"/>
        <v>0</v>
      </c>
      <c r="AR15" s="101">
        <f t="shared" si="26"/>
        <v>0</v>
      </c>
      <c r="AS15" s="101">
        <f t="shared" si="26"/>
        <v>0</v>
      </c>
      <c r="AT15" s="101">
        <f t="shared" si="26"/>
        <v>0</v>
      </c>
      <c r="AU15" s="101">
        <f t="shared" si="26"/>
        <v>0</v>
      </c>
      <c r="AV15" s="101">
        <f t="shared" si="26"/>
        <v>0</v>
      </c>
      <c r="AW15" s="101">
        <f t="shared" si="26"/>
        <v>0</v>
      </c>
      <c r="AX15" s="101">
        <f t="shared" si="26"/>
        <v>0</v>
      </c>
      <c r="AY15" s="101">
        <f t="shared" si="26"/>
        <v>0</v>
      </c>
      <c r="AZ15" s="101">
        <f t="shared" si="26"/>
        <v>0</v>
      </c>
      <c r="BA15" s="101">
        <f t="shared" si="26"/>
        <v>0</v>
      </c>
      <c r="BB15" s="101">
        <f t="shared" si="26"/>
        <v>0</v>
      </c>
      <c r="BC15" s="101">
        <f t="shared" si="26"/>
        <v>0</v>
      </c>
      <c r="BD15" s="101">
        <f t="shared" si="26"/>
        <v>0</v>
      </c>
    </row>
    <row r="16" spans="1:56" x14ac:dyDescent="0.2">
      <c r="B16" s="1" t="s">
        <v>263</v>
      </c>
      <c r="D16" s="102">
        <v>-0.05</v>
      </c>
      <c r="E16" s="43" t="s">
        <v>36</v>
      </c>
      <c r="AK16" s="101">
        <f t="shared" ref="AK16:BD16" si="27">AK15+$D16</f>
        <v>-0.05</v>
      </c>
      <c r="AL16" s="101">
        <f t="shared" si="27"/>
        <v>-0.05</v>
      </c>
      <c r="AM16" s="101">
        <f t="shared" si="27"/>
        <v>-0.05</v>
      </c>
      <c r="AN16" s="101">
        <f t="shared" si="27"/>
        <v>-0.05</v>
      </c>
      <c r="AO16" s="101">
        <f t="shared" si="27"/>
        <v>-0.05</v>
      </c>
      <c r="AP16" s="101">
        <f t="shared" si="27"/>
        <v>-0.05</v>
      </c>
      <c r="AQ16" s="101">
        <f t="shared" si="27"/>
        <v>-0.05</v>
      </c>
      <c r="AR16" s="101">
        <f t="shared" si="27"/>
        <v>-0.05</v>
      </c>
      <c r="AS16" s="101">
        <f t="shared" si="27"/>
        <v>-0.05</v>
      </c>
      <c r="AT16" s="101">
        <f t="shared" si="27"/>
        <v>-0.05</v>
      </c>
      <c r="AU16" s="101">
        <f t="shared" si="27"/>
        <v>-0.05</v>
      </c>
      <c r="AV16" s="101">
        <f t="shared" si="27"/>
        <v>-0.05</v>
      </c>
      <c r="AW16" s="101">
        <f t="shared" si="27"/>
        <v>-0.05</v>
      </c>
      <c r="AX16" s="101">
        <f t="shared" si="27"/>
        <v>-0.05</v>
      </c>
      <c r="AY16" s="101">
        <f t="shared" si="27"/>
        <v>-0.05</v>
      </c>
      <c r="AZ16" s="101">
        <f t="shared" si="27"/>
        <v>-0.05</v>
      </c>
      <c r="BA16" s="101">
        <f t="shared" si="27"/>
        <v>-0.05</v>
      </c>
      <c r="BB16" s="101">
        <f t="shared" si="27"/>
        <v>-0.05</v>
      </c>
      <c r="BC16" s="101">
        <f t="shared" si="27"/>
        <v>-0.05</v>
      </c>
      <c r="BD16" s="101">
        <f t="shared" si="27"/>
        <v>-0.05</v>
      </c>
    </row>
    <row r="18" spans="2:56" x14ac:dyDescent="0.2">
      <c r="B18" s="1" t="s">
        <v>40</v>
      </c>
      <c r="E18" s="43" t="s">
        <v>33</v>
      </c>
      <c r="F18" s="50">
        <f t="shared" ref="F18:J18" si="28">SUMIFS($Q18:$BD18,$Q$1:$BD$1,F$1)</f>
        <v>-1267924</v>
      </c>
      <c r="G18" s="50">
        <f t="shared" si="28"/>
        <v>-629880</v>
      </c>
      <c r="H18" s="50">
        <f t="shared" si="28"/>
        <v>-295146</v>
      </c>
      <c r="I18" s="50">
        <f t="shared" si="28"/>
        <v>-897707</v>
      </c>
      <c r="J18" s="50">
        <f t="shared" si="28"/>
        <v>-1020230</v>
      </c>
      <c r="K18" s="50">
        <f>SUMIFS($AJ18:$BC18,$AJ$1:$BC$1,K$1)</f>
        <v>-1087847.810170586</v>
      </c>
      <c r="L18" s="50">
        <f t="shared" ref="L18:O18" si="29">SUMIFS($AJ18:$BC18,$AJ$1:$BC$1,L$1)</f>
        <v>-1217922.2811011479</v>
      </c>
      <c r="M18" s="50">
        <f t="shared" si="29"/>
        <v>-1366029.7363773452</v>
      </c>
      <c r="N18" s="50">
        <f t="shared" si="29"/>
        <v>-1588200.3377905455</v>
      </c>
      <c r="O18" s="50">
        <f t="shared" si="29"/>
        <v>-1531472.2044541505</v>
      </c>
      <c r="Q18" s="143">
        <f>_xlfn.XLOOKUP('IS &amp; BS Projections'!$B18,'3FS'!$B:$B,'3FS'!P:P)</f>
        <v>-234066</v>
      </c>
      <c r="R18" s="143">
        <f>_xlfn.XLOOKUP('IS &amp; BS Projections'!$B18,'3FS'!$B:$B,'3FS'!Q:Q)</f>
        <v>-335426</v>
      </c>
      <c r="S18" s="143">
        <f>_xlfn.XLOOKUP('IS &amp; BS Projections'!$B18,'3FS'!$B:$B,'3FS'!R:R)</f>
        <v>-197251</v>
      </c>
      <c r="T18" s="143">
        <f>_xlfn.XLOOKUP('IS &amp; BS Projections'!$B18,'3FS'!$B:$B,'3FS'!S:S)</f>
        <v>-501181</v>
      </c>
      <c r="U18" s="143">
        <f>_xlfn.XLOOKUP('IS &amp; BS Projections'!$B18,'3FS'!$B:$B,'3FS'!T:T)</f>
        <v>-277826</v>
      </c>
      <c r="V18" s="143">
        <f>_xlfn.XLOOKUP('IS &amp; BS Projections'!$B18,'3FS'!$B:$B,'3FS'!U:U)</f>
        <v>-167187</v>
      </c>
      <c r="W18" s="143">
        <f>_xlfn.XLOOKUP('IS &amp; BS Projections'!$B18,'3FS'!$B:$B,'3FS'!V:V)</f>
        <v>-101876</v>
      </c>
      <c r="X18" s="143">
        <f>_xlfn.XLOOKUP('IS &amp; BS Projections'!$B18,'3FS'!$B:$B,'3FS'!W:W)</f>
        <v>-82991</v>
      </c>
      <c r="Y18" s="143">
        <f>_xlfn.XLOOKUP('IS &amp; BS Projections'!$B18,'3FS'!$B:$B,'3FS'!X:X)</f>
        <v>-96369</v>
      </c>
      <c r="Z18" s="143">
        <f>_xlfn.XLOOKUP('IS &amp; BS Projections'!$B18,'3FS'!$B:$B,'3FS'!Y:Y)</f>
        <v>-108200</v>
      </c>
      <c r="AA18" s="143">
        <f>_xlfn.XLOOKUP('IS &amp; BS Projections'!$B18,'3FS'!$B:$B,'3FS'!Z:Z)</f>
        <v>-90577</v>
      </c>
      <c r="AB18" s="143">
        <f>_xlfn.XLOOKUP('IS &amp; BS Projections'!$B18,'3FS'!$B:$B,'3FS'!AA:AA)</f>
        <v>0</v>
      </c>
      <c r="AC18" s="143">
        <f>_xlfn.XLOOKUP('IS &amp; BS Projections'!$B18,'3FS'!$B:$B,'3FS'!AB:AB)</f>
        <v>-217407</v>
      </c>
      <c r="AD18" s="143">
        <f>_xlfn.XLOOKUP('IS &amp; BS Projections'!$B18,'3FS'!$B:$B,'3FS'!AC:AC)</f>
        <v>-191477</v>
      </c>
      <c r="AE18" s="143">
        <f>_xlfn.XLOOKUP('IS &amp; BS Projections'!$B18,'3FS'!$B:$B,'3FS'!AD:AD)</f>
        <v>-171781</v>
      </c>
      <c r="AF18" s="143">
        <f>_xlfn.XLOOKUP('IS &amp; BS Projections'!$B18,'3FS'!$B:$B,'3FS'!AE:AE)</f>
        <v>-317042</v>
      </c>
      <c r="AG18" s="143">
        <f>_xlfn.XLOOKUP('IS &amp; BS Projections'!$B18,'3FS'!$B:$B,'3FS'!AF:AF)</f>
        <v>-303026</v>
      </c>
      <c r="AH18" s="143">
        <f>_xlfn.XLOOKUP('IS &amp; BS Projections'!$B18,'3FS'!$B:$B,'3FS'!AG:AG)</f>
        <v>-245261</v>
      </c>
      <c r="AI18" s="143">
        <f>_xlfn.XLOOKUP('IS &amp; BS Projections'!$B18,'3FS'!$B:$B,'3FS'!AH:AH)</f>
        <v>-253318</v>
      </c>
      <c r="AJ18" s="143">
        <f>_xlfn.XLOOKUP('IS &amp; BS Projections'!$B18,'3FS'!$B:$B,'3FS'!AI:AI)</f>
        <v>-218625</v>
      </c>
      <c r="AK18" s="50">
        <f>AK19*AK$10</f>
        <v>-247405.64649828282</v>
      </c>
      <c r="AL18" s="50">
        <f t="shared" ref="AL18" si="30">AL19*AL$10</f>
        <v>-272594.75976674078</v>
      </c>
      <c r="AM18" s="50">
        <f t="shared" ref="AM18" si="31">AM19*AM$10</f>
        <v>-338351.35059477721</v>
      </c>
      <c r="AN18" s="50">
        <f t="shared" ref="AN18" si="32">AN19*AN$10</f>
        <v>-229496.05331078512</v>
      </c>
      <c r="AO18" s="50">
        <f t="shared" ref="AO18" si="33">AO19*AO$10</f>
        <v>-258184.9348533015</v>
      </c>
      <c r="AP18" s="50">
        <f t="shared" ref="AP18" si="34">AP19*AP$10</f>
        <v>-310125.81672815082</v>
      </c>
      <c r="AQ18" s="50">
        <f t="shared" ref="AQ18" si="35">AQ19*AQ$10</f>
        <v>-390441.70432748675</v>
      </c>
      <c r="AR18" s="50">
        <f t="shared" ref="AR18" si="36">AR19*AR$10</f>
        <v>-259169.82519220895</v>
      </c>
      <c r="AS18" s="50">
        <f t="shared" ref="AS18" si="37">AS19*AS$10</f>
        <v>-281050.65254049684</v>
      </c>
      <c r="AT18" s="50">
        <f t="shared" ref="AT18" si="38">AT19*AT$10</f>
        <v>-354884.29906893329</v>
      </c>
      <c r="AU18" s="50">
        <f t="shared" ref="AU18" si="39">AU19*AU$10</f>
        <v>-439978.54100633354</v>
      </c>
      <c r="AV18" s="50">
        <f t="shared" ref="AV18" si="40">AV19*AV$10</f>
        <v>-290116.24376158166</v>
      </c>
      <c r="AW18" s="50">
        <f t="shared" ref="AW18" si="41">AW19*AW$10</f>
        <v>-310314.71771957801</v>
      </c>
      <c r="AX18" s="50">
        <f t="shared" ref="AX18" si="42">AX19*AX$10</f>
        <v>-422069.80050987465</v>
      </c>
      <c r="AY18" s="50">
        <f t="shared" ref="AY18" si="43">AY19*AY$10</f>
        <v>-516966.31606757158</v>
      </c>
      <c r="AZ18" s="50">
        <f t="shared" ref="AZ18" si="44">AZ19*AZ$10</f>
        <v>-338849.50349352148</v>
      </c>
      <c r="BA18" s="50">
        <f t="shared" ref="BA18" si="45">BA19*BA$10</f>
        <v>-356531.67644641927</v>
      </c>
      <c r="BB18" s="50">
        <f t="shared" ref="BB18" si="46">BB19*BB$10</f>
        <v>-530759.48995613726</v>
      </c>
      <c r="BC18" s="50">
        <f t="shared" ref="BC18" si="47">BC19*BC$10</f>
        <v>-644181.03805159417</v>
      </c>
      <c r="BD18" s="50">
        <f t="shared" ref="BD18" si="48">BD19*BD$10</f>
        <v>-417281.26931924484</v>
      </c>
    </row>
    <row r="19" spans="2:56" x14ac:dyDescent="0.2">
      <c r="B19" s="98" t="s">
        <v>293</v>
      </c>
      <c r="C19" s="45"/>
      <c r="D19" s="45"/>
      <c r="E19" s="46" t="s">
        <v>36</v>
      </c>
      <c r="F19" s="126">
        <f t="shared" ref="F19" si="49">F18/F$10</f>
        <v>-0.1617364494552867</v>
      </c>
      <c r="G19" s="126">
        <f t="shared" ref="G19" si="50">G18/G$10</f>
        <v>-0.19719442190364561</v>
      </c>
      <c r="H19" s="126">
        <f t="shared" ref="H19" si="51">H18/H$10</f>
        <v>-9.4951619539805743E-2</v>
      </c>
      <c r="I19" s="126">
        <f t="shared" ref="I19" si="52">I18/I$10</f>
        <v>-0.13676160430759893</v>
      </c>
      <c r="J19" s="126">
        <f t="shared" ref="J19" si="53">J18/J$10</f>
        <v>-0.18892462421734321</v>
      </c>
      <c r="K19" s="126">
        <f t="shared" ref="K19" si="54">K18/K$10</f>
        <v>-0.1401771825478251</v>
      </c>
      <c r="L19" s="126">
        <f t="shared" ref="L19" si="55">L18/L$10</f>
        <v>-0.14035141528049219</v>
      </c>
      <c r="M19" s="126">
        <f t="shared" ref="M19" si="56">M18/M$10</f>
        <v>-0.14046776453209062</v>
      </c>
      <c r="N19" s="126">
        <f t="shared" ref="N19" si="57">N18/N$10</f>
        <v>-0.14061823632733206</v>
      </c>
      <c r="O19" s="126">
        <f t="shared" ref="O19" si="58">O18/O$10</f>
        <v>-0.14342929955104436</v>
      </c>
      <c r="P19" s="81"/>
      <c r="Q19" s="126">
        <f>Q18/Q$10</f>
        <v>-0.12995638250147687</v>
      </c>
      <c r="R19" s="126">
        <f t="shared" ref="R19" si="59">R18/R$10</f>
        <v>-0.15055283707711353</v>
      </c>
      <c r="S19" s="126">
        <f t="shared" ref="S19" si="60">S18/S$10</f>
        <v>-0.15035429313640897</v>
      </c>
      <c r="T19" s="126">
        <f t="shared" ref="T19" si="61">T18/T$10</f>
        <v>-0.20059572625250005</v>
      </c>
      <c r="U19" s="126">
        <f t="shared" ref="U19" si="62">U18/U$10</f>
        <v>-0.23818366374151689</v>
      </c>
      <c r="V19" s="126">
        <f t="shared" ref="V19" si="63">V18/V$10</f>
        <v>-0.20683141063309932</v>
      </c>
      <c r="W19" s="126">
        <f t="shared" ref="W19" si="64">W18/W$10</f>
        <v>-0.17257203064679785</v>
      </c>
      <c r="X19" s="126">
        <f t="shared" ref="X19" si="65">X18/X$10</f>
        <v>-0.13191852591287984</v>
      </c>
      <c r="Y19" s="126">
        <f t="shared" ref="Y19" si="66">Y18/Y$10</f>
        <v>-0.12474483158561038</v>
      </c>
      <c r="Z19" s="126">
        <f t="shared" ref="Z19" si="67">Z18/Z$10</f>
        <v>-0.15284407220681695</v>
      </c>
      <c r="AA19" s="126">
        <f t="shared" ref="AA19" si="68">AA18/AA$10</f>
        <v>-0.13435773747011043</v>
      </c>
      <c r="AB19" s="126">
        <f t="shared" ref="AB19" si="69">AB18/AB$10</f>
        <v>0</v>
      </c>
      <c r="AC19" s="126">
        <f t="shared" ref="AC19" si="70">AC18/AC$10</f>
        <v>-0.13276195826743284</v>
      </c>
      <c r="AD19" s="126">
        <f t="shared" ref="AD19" si="71">AD18/AD$10</f>
        <v>-0.13208699059344881</v>
      </c>
      <c r="AE19" s="126">
        <f t="shared" ref="AE19" si="72">AE18/AE$10</f>
        <v>-0.14253401737315102</v>
      </c>
      <c r="AF19" s="126">
        <f t="shared" ref="AF19" si="73">AF18/AF$10</f>
        <v>-0.13956543232919696</v>
      </c>
      <c r="AG19" s="126">
        <f t="shared" ref="AG19" si="74">AG18/AG$10</f>
        <v>-0.14895873017433559</v>
      </c>
      <c r="AH19" s="126">
        <f t="shared" ref="AH19" si="75">AH18/AH$10</f>
        <v>-0.16381224252074528</v>
      </c>
      <c r="AI19" s="126">
        <f t="shared" ref="AI19" si="76">AI18/AI$10</f>
        <v>-0.13555891738236298</v>
      </c>
      <c r="AJ19" s="126">
        <f t="shared" ref="AJ19" si="77">AJ18/AJ$10</f>
        <v>-0.12274518016381744</v>
      </c>
      <c r="AK19" s="126">
        <f>_xlfn.XLOOKUP('Cover Page'!$E$13,'IS &amp; BS Projections'!$B20:$B22,'IS &amp; BS Projections'!AK20:AK22)</f>
        <v>-0.13276195826743284</v>
      </c>
      <c r="AL19" s="126">
        <f>_xlfn.XLOOKUP('Cover Page'!$E$13,'IS &amp; BS Projections'!$B20:$B22,'IS &amp; BS Projections'!AL20:AL22)</f>
        <v>-0.15284407220681695</v>
      </c>
      <c r="AM19" s="126">
        <f>_xlfn.XLOOKUP('Cover Page'!$E$13,'IS &amp; BS Projections'!$B20:$B22,'IS &amp; BS Projections'!AM20:AM22)</f>
        <v>-0.14253401737315102</v>
      </c>
      <c r="AN19" s="126">
        <f>_xlfn.XLOOKUP('Cover Page'!$E$13,'IS &amp; BS Projections'!$B20:$B22,'IS &amp; BS Projections'!AN20:AN22)</f>
        <v>-0.13191852591287984</v>
      </c>
      <c r="AO19" s="126">
        <f>_xlfn.XLOOKUP('Cover Page'!$E$13,'IS &amp; BS Projections'!$B20:$B22,'IS &amp; BS Projections'!AO20:AO22)</f>
        <v>-0.13276195826743284</v>
      </c>
      <c r="AP19" s="126">
        <f>_xlfn.XLOOKUP('Cover Page'!$E$13,'IS &amp; BS Projections'!$B20:$B22,'IS &amp; BS Projections'!AP20:AP22)</f>
        <v>-0.15284407220681695</v>
      </c>
      <c r="AQ19" s="126">
        <f>_xlfn.XLOOKUP('Cover Page'!$E$13,'IS &amp; BS Projections'!$B20:$B22,'IS &amp; BS Projections'!AQ20:AQ22)</f>
        <v>-0.14253401737315102</v>
      </c>
      <c r="AR19" s="126">
        <f>_xlfn.XLOOKUP('Cover Page'!$E$13,'IS &amp; BS Projections'!$B20:$B22,'IS &amp; BS Projections'!AR20:AR22)</f>
        <v>-0.13191852591287984</v>
      </c>
      <c r="AS19" s="126">
        <f>_xlfn.XLOOKUP('Cover Page'!$E$13,'IS &amp; BS Projections'!$B20:$B22,'IS &amp; BS Projections'!AS20:AS22)</f>
        <v>-0.13276195826743284</v>
      </c>
      <c r="AT19" s="126">
        <f>_xlfn.XLOOKUP('Cover Page'!$E$13,'IS &amp; BS Projections'!$B20:$B22,'IS &amp; BS Projections'!AT20:AT22)</f>
        <v>-0.15284407220681695</v>
      </c>
      <c r="AU19" s="126">
        <f>_xlfn.XLOOKUP('Cover Page'!$E$13,'IS &amp; BS Projections'!$B20:$B22,'IS &amp; BS Projections'!AU20:AU22)</f>
        <v>-0.14253401737315102</v>
      </c>
      <c r="AV19" s="126">
        <f>_xlfn.XLOOKUP('Cover Page'!$E$13,'IS &amp; BS Projections'!$B20:$B22,'IS &amp; BS Projections'!AV20:AV22)</f>
        <v>-0.13191852591287984</v>
      </c>
      <c r="AW19" s="126">
        <f>_xlfn.XLOOKUP('Cover Page'!$E$13,'IS &amp; BS Projections'!$B20:$B22,'IS &amp; BS Projections'!AW20:AW22)</f>
        <v>-0.13276195826743284</v>
      </c>
      <c r="AX19" s="126">
        <f>_xlfn.XLOOKUP('Cover Page'!$E$13,'IS &amp; BS Projections'!$B20:$B22,'IS &amp; BS Projections'!AX20:AX22)</f>
        <v>-0.15284407220681695</v>
      </c>
      <c r="AY19" s="126">
        <f>_xlfn.XLOOKUP('Cover Page'!$E$13,'IS &amp; BS Projections'!$B20:$B22,'IS &amp; BS Projections'!AY20:AY22)</f>
        <v>-0.14253401737315102</v>
      </c>
      <c r="AZ19" s="126">
        <f>_xlfn.XLOOKUP('Cover Page'!$E$13,'IS &amp; BS Projections'!$B20:$B22,'IS &amp; BS Projections'!AZ20:AZ22)</f>
        <v>-0.13191852591287984</v>
      </c>
      <c r="BA19" s="126">
        <f>_xlfn.XLOOKUP('Cover Page'!$E$13,'IS &amp; BS Projections'!$B20:$B22,'IS &amp; BS Projections'!BA20:BA22)</f>
        <v>-0.13276195826743284</v>
      </c>
      <c r="BB19" s="126">
        <f>_xlfn.XLOOKUP('Cover Page'!$E$13,'IS &amp; BS Projections'!$B20:$B22,'IS &amp; BS Projections'!BB20:BB22)</f>
        <v>-0.15284407220681695</v>
      </c>
      <c r="BC19" s="126">
        <f>_xlfn.XLOOKUP('Cover Page'!$E$13,'IS &amp; BS Projections'!$B20:$B22,'IS &amp; BS Projections'!BC20:BC22)</f>
        <v>-0.14253401737315102</v>
      </c>
      <c r="BD19" s="126">
        <f>_xlfn.XLOOKUP('Cover Page'!$E$13,'IS &amp; BS Projections'!$B20:$B22,'IS &amp; BS Projections'!BD20:BD22)</f>
        <v>-0.13191852591287984</v>
      </c>
    </row>
    <row r="20" spans="2:56" x14ac:dyDescent="0.2">
      <c r="B20" s="1" t="s">
        <v>262</v>
      </c>
      <c r="D20" s="102">
        <v>0.05</v>
      </c>
      <c r="E20" s="43" t="s">
        <v>36</v>
      </c>
      <c r="AK20" s="101">
        <f t="shared" ref="AK20" si="78">AK21+$D20</f>
        <v>-8.2761958267432836E-2</v>
      </c>
      <c r="AL20" s="101">
        <f t="shared" ref="AL20" si="79">AL21+$D20</f>
        <v>-0.10284407220681695</v>
      </c>
      <c r="AM20" s="101">
        <f t="shared" ref="AM20" si="80">AM21+$D20</f>
        <v>-9.253401737315102E-2</v>
      </c>
      <c r="AN20" s="101">
        <f t="shared" ref="AN20" si="81">AN21+$D20</f>
        <v>-8.1918525912879833E-2</v>
      </c>
      <c r="AO20" s="101">
        <f t="shared" ref="AO20" si="82">AO21+$D20</f>
        <v>-8.2761958267432836E-2</v>
      </c>
      <c r="AP20" s="101">
        <f t="shared" ref="AP20" si="83">AP21+$D20</f>
        <v>-0.10284407220681695</v>
      </c>
      <c r="AQ20" s="101">
        <f t="shared" ref="AQ20" si="84">AQ21+$D20</f>
        <v>-9.253401737315102E-2</v>
      </c>
      <c r="AR20" s="101">
        <f t="shared" ref="AR20" si="85">AR21+$D20</f>
        <v>-8.1918525912879833E-2</v>
      </c>
      <c r="AS20" s="101">
        <f t="shared" ref="AS20" si="86">AS21+$D20</f>
        <v>-8.2761958267432836E-2</v>
      </c>
      <c r="AT20" s="101">
        <f t="shared" ref="AT20" si="87">AT21+$D20</f>
        <v>-0.10284407220681695</v>
      </c>
      <c r="AU20" s="101">
        <f t="shared" ref="AU20" si="88">AU21+$D20</f>
        <v>-9.253401737315102E-2</v>
      </c>
      <c r="AV20" s="101">
        <f t="shared" ref="AV20" si="89">AV21+$D20</f>
        <v>-8.1918525912879833E-2</v>
      </c>
      <c r="AW20" s="101">
        <f t="shared" ref="AW20" si="90">AW21+$D20</f>
        <v>-8.2761958267432836E-2</v>
      </c>
      <c r="AX20" s="101">
        <f t="shared" ref="AX20" si="91">AX21+$D20</f>
        <v>-0.10284407220681695</v>
      </c>
      <c r="AY20" s="101">
        <f t="shared" ref="AY20" si="92">AY21+$D20</f>
        <v>-9.253401737315102E-2</v>
      </c>
      <c r="AZ20" s="101">
        <f t="shared" ref="AZ20" si="93">AZ21+$D20</f>
        <v>-8.1918525912879833E-2</v>
      </c>
      <c r="BA20" s="101">
        <f t="shared" ref="BA20" si="94">BA21+$D20</f>
        <v>-8.2761958267432836E-2</v>
      </c>
      <c r="BB20" s="101">
        <f t="shared" ref="BB20" si="95">BB21+$D20</f>
        <v>-0.10284407220681695</v>
      </c>
      <c r="BC20" s="101">
        <f t="shared" ref="BC20" si="96">BC21+$D20</f>
        <v>-9.253401737315102E-2</v>
      </c>
      <c r="BD20" s="101">
        <f t="shared" ref="BD20" si="97">BD21+$D20</f>
        <v>-8.1918525912879833E-2</v>
      </c>
    </row>
    <row r="21" spans="2:56" x14ac:dyDescent="0.2">
      <c r="B21" s="1" t="s">
        <v>15</v>
      </c>
      <c r="D21" s="102">
        <v>0</v>
      </c>
      <c r="E21" s="43" t="s">
        <v>36</v>
      </c>
      <c r="AK21" s="101">
        <f>MEDIAN(Q19,U19,Y19,AC19,AG19)</f>
        <v>-0.13276195826743284</v>
      </c>
      <c r="AL21" s="101">
        <f t="shared" ref="AL21" si="98">MEDIAN(R19,V19,Z19,AD19,AH19)</f>
        <v>-0.15284407220681695</v>
      </c>
      <c r="AM21" s="101">
        <f t="shared" ref="AM21" si="99">MEDIAN(S19,W19,AA19,AE19,AI19)</f>
        <v>-0.14253401737315102</v>
      </c>
      <c r="AN21" s="101">
        <f t="shared" ref="AN21" si="100">MEDIAN(T19,X19,AB19,AF19,AJ19)</f>
        <v>-0.13191852591287984</v>
      </c>
      <c r="AO21" s="101">
        <f>AK21</f>
        <v>-0.13276195826743284</v>
      </c>
      <c r="AP21" s="101">
        <f t="shared" ref="AP21" si="101">AL21</f>
        <v>-0.15284407220681695</v>
      </c>
      <c r="AQ21" s="101">
        <f t="shared" ref="AQ21" si="102">AM21</f>
        <v>-0.14253401737315102</v>
      </c>
      <c r="AR21" s="101">
        <f t="shared" ref="AR21" si="103">AN21</f>
        <v>-0.13191852591287984</v>
      </c>
      <c r="AS21" s="101">
        <f t="shared" ref="AS21" si="104">AO21</f>
        <v>-0.13276195826743284</v>
      </c>
      <c r="AT21" s="101">
        <f t="shared" ref="AT21" si="105">AP21</f>
        <v>-0.15284407220681695</v>
      </c>
      <c r="AU21" s="101">
        <f t="shared" ref="AU21" si="106">AQ21</f>
        <v>-0.14253401737315102</v>
      </c>
      <c r="AV21" s="101">
        <f t="shared" ref="AV21" si="107">AR21</f>
        <v>-0.13191852591287984</v>
      </c>
      <c r="AW21" s="101">
        <f t="shared" ref="AW21" si="108">AS21</f>
        <v>-0.13276195826743284</v>
      </c>
      <c r="AX21" s="101">
        <f t="shared" ref="AX21" si="109">AT21</f>
        <v>-0.15284407220681695</v>
      </c>
      <c r="AY21" s="101">
        <f t="shared" ref="AY21" si="110">AU21</f>
        <v>-0.14253401737315102</v>
      </c>
      <c r="AZ21" s="101">
        <f t="shared" ref="AZ21" si="111">AV21</f>
        <v>-0.13191852591287984</v>
      </c>
      <c r="BA21" s="101">
        <f t="shared" ref="BA21" si="112">AW21</f>
        <v>-0.13276195826743284</v>
      </c>
      <c r="BB21" s="101">
        <f t="shared" ref="BB21" si="113">AX21</f>
        <v>-0.15284407220681695</v>
      </c>
      <c r="BC21" s="101">
        <f t="shared" ref="BC21" si="114">AY21</f>
        <v>-0.14253401737315102</v>
      </c>
      <c r="BD21" s="101">
        <f t="shared" ref="BD21" si="115">AZ21</f>
        <v>-0.13191852591287984</v>
      </c>
    </row>
    <row r="22" spans="2:56" x14ac:dyDescent="0.2">
      <c r="B22" s="1" t="s">
        <v>263</v>
      </c>
      <c r="D22" s="102">
        <v>-0.05</v>
      </c>
      <c r="E22" s="43" t="s">
        <v>36</v>
      </c>
      <c r="AK22" s="101">
        <f t="shared" ref="AK22" si="116">AK21+$D22</f>
        <v>-0.18276195826743286</v>
      </c>
      <c r="AL22" s="101">
        <f t="shared" ref="AL22" si="117">AL21+$D22</f>
        <v>-0.20284407220681694</v>
      </c>
      <c r="AM22" s="101">
        <f t="shared" ref="AM22" si="118">AM21+$D22</f>
        <v>-0.19253401737315101</v>
      </c>
      <c r="AN22" s="101">
        <f t="shared" ref="AN22" si="119">AN21+$D22</f>
        <v>-0.18191852591287982</v>
      </c>
      <c r="AO22" s="101">
        <f t="shared" ref="AO22" si="120">AO21+$D22</f>
        <v>-0.18276195826743286</v>
      </c>
      <c r="AP22" s="101">
        <f t="shared" ref="AP22" si="121">AP21+$D22</f>
        <v>-0.20284407220681694</v>
      </c>
      <c r="AQ22" s="101">
        <f t="shared" ref="AQ22" si="122">AQ21+$D22</f>
        <v>-0.19253401737315101</v>
      </c>
      <c r="AR22" s="101">
        <f t="shared" ref="AR22" si="123">AR21+$D22</f>
        <v>-0.18191852591287982</v>
      </c>
      <c r="AS22" s="101">
        <f t="shared" ref="AS22" si="124">AS21+$D22</f>
        <v>-0.18276195826743286</v>
      </c>
      <c r="AT22" s="101">
        <f t="shared" ref="AT22" si="125">AT21+$D22</f>
        <v>-0.20284407220681694</v>
      </c>
      <c r="AU22" s="101">
        <f t="shared" ref="AU22" si="126">AU21+$D22</f>
        <v>-0.19253401737315101</v>
      </c>
      <c r="AV22" s="101">
        <f t="shared" ref="AV22" si="127">AV21+$D22</f>
        <v>-0.18191852591287982</v>
      </c>
      <c r="AW22" s="101">
        <f t="shared" ref="AW22" si="128">AW21+$D22</f>
        <v>-0.18276195826743286</v>
      </c>
      <c r="AX22" s="101">
        <f t="shared" ref="AX22" si="129">AX21+$D22</f>
        <v>-0.20284407220681694</v>
      </c>
      <c r="AY22" s="101">
        <f t="shared" ref="AY22" si="130">AY21+$D22</f>
        <v>-0.19253401737315101</v>
      </c>
      <c r="AZ22" s="101">
        <f t="shared" ref="AZ22" si="131">AZ21+$D22</f>
        <v>-0.18191852591287982</v>
      </c>
      <c r="BA22" s="101">
        <f t="shared" ref="BA22" si="132">BA21+$D22</f>
        <v>-0.18276195826743286</v>
      </c>
      <c r="BB22" s="101">
        <f t="shared" ref="BB22" si="133">BB21+$D22</f>
        <v>-0.20284407220681694</v>
      </c>
      <c r="BC22" s="101">
        <f t="shared" ref="BC22" si="134">BC21+$D22</f>
        <v>-0.19253401737315101</v>
      </c>
      <c r="BD22" s="101">
        <f t="shared" ref="BD22" si="135">BD21+$D22</f>
        <v>-0.18191852591287982</v>
      </c>
    </row>
    <row r="24" spans="2:56" x14ac:dyDescent="0.2">
      <c r="B24" s="1" t="s">
        <v>41</v>
      </c>
      <c r="E24" s="43" t="s">
        <v>33</v>
      </c>
      <c r="F24" s="50">
        <f t="shared" ref="F24:J24" si="136">SUMIFS($Q24:$BD24,$Q$1:$BD$1,F$1)</f>
        <v>-663690</v>
      </c>
      <c r="G24" s="50">
        <f t="shared" si="136"/>
        <v>-510089</v>
      </c>
      <c r="H24" s="50">
        <f t="shared" si="136"/>
        <v>-332312</v>
      </c>
      <c r="I24" s="50">
        <f t="shared" si="136"/>
        <v>-654444</v>
      </c>
      <c r="J24" s="50">
        <f t="shared" si="136"/>
        <v>-1058577</v>
      </c>
      <c r="K24" s="50">
        <f>SUMIFS($AJ24:$BC24,$AJ$1:$BC$1,K$1)</f>
        <v>-787027.42871742952</v>
      </c>
      <c r="L24" s="50">
        <f t="shared" ref="L24:O24" si="137">SUMIFS($AJ24:$BC24,$AJ$1:$BC$1,L$1)</f>
        <v>-877038.44099667727</v>
      </c>
      <c r="M24" s="50">
        <f t="shared" si="137"/>
        <v>-975567.07139289426</v>
      </c>
      <c r="N24" s="50">
        <f t="shared" si="137"/>
        <v>-1126367.7882924157</v>
      </c>
      <c r="O24" s="50">
        <f t="shared" si="137"/>
        <v>-1065218.9288639652</v>
      </c>
      <c r="Q24" s="143">
        <f>_xlfn.XLOOKUP('IS &amp; BS Projections'!$B24,'3FS'!$B:$B,'3FS'!P:P)</f>
        <v>-117990</v>
      </c>
      <c r="R24" s="143">
        <f>_xlfn.XLOOKUP('IS &amp; BS Projections'!$B24,'3FS'!$B:$B,'3FS'!Q:Q)</f>
        <v>-195733</v>
      </c>
      <c r="S24" s="143">
        <f>_xlfn.XLOOKUP('IS &amp; BS Projections'!$B24,'3FS'!$B:$B,'3FS'!R:R)</f>
        <v>-105395</v>
      </c>
      <c r="T24" s="143">
        <f>_xlfn.XLOOKUP('IS &amp; BS Projections'!$B24,'3FS'!$B:$B,'3FS'!S:S)</f>
        <v>-244572</v>
      </c>
      <c r="U24" s="143">
        <f>_xlfn.XLOOKUP('IS &amp; BS Projections'!$B24,'3FS'!$B:$B,'3FS'!T:T)</f>
        <v>-200204</v>
      </c>
      <c r="V24" s="143">
        <f>_xlfn.XLOOKUP('IS &amp; BS Projections'!$B24,'3FS'!$B:$B,'3FS'!U:U)</f>
        <v>-140894</v>
      </c>
      <c r="W24" s="143">
        <f>_xlfn.XLOOKUP('IS &amp; BS Projections'!$B24,'3FS'!$B:$B,'3FS'!V:V)</f>
        <v>-75888</v>
      </c>
      <c r="X24" s="143">
        <f>_xlfn.XLOOKUP('IS &amp; BS Projections'!$B24,'3FS'!$B:$B,'3FS'!W:W)</f>
        <v>-93103</v>
      </c>
      <c r="Y24" s="143">
        <f>_xlfn.XLOOKUP('IS &amp; BS Projections'!$B24,'3FS'!$B:$B,'3FS'!X:X)</f>
        <v>-63976</v>
      </c>
      <c r="Z24" s="143">
        <f>_xlfn.XLOOKUP('IS &amp; BS Projections'!$B24,'3FS'!$B:$B,'3FS'!Y:Y)</f>
        <v>-83853</v>
      </c>
      <c r="AA24" s="143">
        <f>_xlfn.XLOOKUP('IS &amp; BS Projections'!$B24,'3FS'!$B:$B,'3FS'!Z:Z)</f>
        <v>-78178</v>
      </c>
      <c r="AB24" s="143">
        <f>_xlfn.XLOOKUP('IS &amp; BS Projections'!$B24,'3FS'!$B:$B,'3FS'!AA:AA)</f>
        <v>-106305</v>
      </c>
      <c r="AC24" s="143">
        <f>_xlfn.XLOOKUP('IS &amp; BS Projections'!$B24,'3FS'!$B:$B,'3FS'!AB:AB)</f>
        <v>-98585</v>
      </c>
      <c r="AD24" s="143">
        <f>_xlfn.XLOOKUP('IS &amp; BS Projections'!$B24,'3FS'!$B:$B,'3FS'!AC:AC)</f>
        <v>-165262</v>
      </c>
      <c r="AE24" s="143">
        <f>_xlfn.XLOOKUP('IS &amp; BS Projections'!$B24,'3FS'!$B:$B,'3FS'!AD:AD)</f>
        <v>-164770</v>
      </c>
      <c r="AF24" s="143">
        <f>_xlfn.XLOOKUP('IS &amp; BS Projections'!$B24,'3FS'!$B:$B,'3FS'!AE:AE)</f>
        <v>-225827</v>
      </c>
      <c r="AG24" s="143">
        <f>_xlfn.XLOOKUP('IS &amp; BS Projections'!$B24,'3FS'!$B:$B,'3FS'!AF:AF)</f>
        <v>-247283</v>
      </c>
      <c r="AH24" s="143">
        <f>_xlfn.XLOOKUP('IS &amp; BS Projections'!$B24,'3FS'!$B:$B,'3FS'!AG:AG)</f>
        <v>-236245</v>
      </c>
      <c r="AI24" s="143">
        <f>_xlfn.XLOOKUP('IS &amp; BS Projections'!$B24,'3FS'!$B:$B,'3FS'!AH:AH)</f>
        <v>-260272</v>
      </c>
      <c r="AJ24" s="143">
        <f>_xlfn.XLOOKUP('IS &amp; BS Projections'!$B24,'3FS'!$B:$B,'3FS'!AI:AI)</f>
        <v>-314777</v>
      </c>
      <c r="AK24" s="50">
        <f>AK25*AK$10</f>
        <v>-135690.41621741944</v>
      </c>
      <c r="AL24" s="50">
        <f t="shared" ref="AL24" si="138">AL25*AL$10</f>
        <v>-193421.07302133256</v>
      </c>
      <c r="AM24" s="50">
        <f t="shared" ref="AM24" si="139">AM25*AM$10</f>
        <v>-281417.0847691368</v>
      </c>
      <c r="AN24" s="50">
        <f t="shared" ref="AN24" si="140">AN25*AN$10</f>
        <v>-176498.85470954067</v>
      </c>
      <c r="AO24" s="50">
        <f t="shared" ref="AO24" si="141">AO25*AO$10</f>
        <v>-139657.6305606346</v>
      </c>
      <c r="AP24" s="50">
        <f t="shared" ref="AP24" si="142">AP25*AP$10</f>
        <v>-218022.40168762821</v>
      </c>
      <c r="AQ24" s="50">
        <f t="shared" ref="AQ24" si="143">AQ25*AQ$10</f>
        <v>-322002.92466212664</v>
      </c>
      <c r="AR24" s="50">
        <f t="shared" ref="AR24" si="144">AR25*AR$10</f>
        <v>-197355.48408628779</v>
      </c>
      <c r="AS24" s="50">
        <f t="shared" ref="AS24" si="145">AS25*AS$10</f>
        <v>-149909.22374283502</v>
      </c>
      <c r="AT24" s="50">
        <f t="shared" ref="AT24" si="146">AT25*AT$10</f>
        <v>-247166.31369102598</v>
      </c>
      <c r="AU24" s="50">
        <f t="shared" ref="AU24" si="147">AU25*AU$10</f>
        <v>-359769.83902308001</v>
      </c>
      <c r="AV24" s="50">
        <f t="shared" ref="AV24" si="148">AV25*AV$10</f>
        <v>-218721.69493595322</v>
      </c>
      <c r="AW24" s="50">
        <f t="shared" ref="AW24" si="149">AW25*AW$10</f>
        <v>-163180.96673038852</v>
      </c>
      <c r="AX24" s="50">
        <f t="shared" ref="AX24" si="150">AX25*AX$10</f>
        <v>-291197.56814252149</v>
      </c>
      <c r="AY24" s="50">
        <f t="shared" ref="AY24" si="151">AY25*AY$10</f>
        <v>-419095.66728691355</v>
      </c>
      <c r="AZ24" s="50">
        <f t="shared" ref="AZ24" si="152">AZ25*AZ$10</f>
        <v>-252893.58613259211</v>
      </c>
      <c r="BA24" s="50">
        <f t="shared" ref="BA24" si="153">BA25*BA$10</f>
        <v>-184798.95247716882</v>
      </c>
      <c r="BB24" s="50">
        <f t="shared" ref="BB24" si="154">BB25*BB$10</f>
        <v>-362713.02008476184</v>
      </c>
      <c r="BC24" s="50">
        <f t="shared" ref="BC24" si="155">BC25*BC$10</f>
        <v>-517706.95630203455</v>
      </c>
      <c r="BD24" s="50">
        <f t="shared" ref="BD24" si="156">BD25*BD$10</f>
        <v>-308266.40016138169</v>
      </c>
    </row>
    <row r="25" spans="2:56" x14ac:dyDescent="0.2">
      <c r="B25" s="98" t="s">
        <v>293</v>
      </c>
      <c r="C25" s="45"/>
      <c r="D25" s="45"/>
      <c r="E25" s="46" t="s">
        <v>36</v>
      </c>
      <c r="F25" s="126">
        <f t="shared" ref="F25" si="157">F24/F$10</f>
        <v>-8.4660329908558582E-2</v>
      </c>
      <c r="G25" s="126">
        <f t="shared" ref="G25" si="158">G24/G$10</f>
        <v>-0.15969185475711037</v>
      </c>
      <c r="H25" s="126">
        <f t="shared" ref="H25" si="159">H24/H$10</f>
        <v>-0.10690831856949418</v>
      </c>
      <c r="I25" s="126">
        <f t="shared" ref="I25" si="160">I24/I$10</f>
        <v>-9.9701585672699752E-2</v>
      </c>
      <c r="J25" s="126">
        <f t="shared" ref="J25" si="161">J24/J$10</f>
        <v>-0.19602566277224012</v>
      </c>
      <c r="K25" s="126">
        <f t="shared" ref="K25" si="162">K24/K$10</f>
        <v>-0.10141426632845699</v>
      </c>
      <c r="L25" s="126">
        <f t="shared" ref="L25" si="163">L24/L$10</f>
        <v>-0.10106850688205551</v>
      </c>
      <c r="M25" s="126">
        <f t="shared" ref="M25" si="164">M24/M$10</f>
        <v>-0.10031679546968827</v>
      </c>
      <c r="N25" s="126">
        <f t="shared" ref="N25" si="165">N24/N$10</f>
        <v>-9.9727879460056942E-2</v>
      </c>
      <c r="O25" s="126">
        <f t="shared" ref="O25" si="166">O24/O$10</f>
        <v>-9.9762571198559649E-2</v>
      </c>
      <c r="P25" s="81"/>
      <c r="Q25" s="126">
        <f>Q24/Q$10</f>
        <v>-6.5509529668338229E-2</v>
      </c>
      <c r="R25" s="126">
        <f t="shared" ref="R25" si="167">R24/R$10</f>
        <v>-8.7852934655079401E-2</v>
      </c>
      <c r="S25" s="126">
        <f t="shared" ref="S25" si="168">S24/S$10</f>
        <v>-8.0337188278446353E-2</v>
      </c>
      <c r="T25" s="126">
        <f t="shared" ref="T25" si="169">T24/T$10</f>
        <v>-9.7888982146223505E-2</v>
      </c>
      <c r="U25" s="126">
        <f t="shared" ref="U25" si="170">U24/U$10</f>
        <v>-0.17163736373020036</v>
      </c>
      <c r="V25" s="126">
        <f t="shared" ref="V25" si="171">V24/V$10</f>
        <v>-0.17430365261497541</v>
      </c>
      <c r="W25" s="126">
        <f t="shared" ref="W25" si="172">W24/W$10</f>
        <v>-0.1285498671102536</v>
      </c>
      <c r="X25" s="126">
        <f t="shared" ref="X25" si="173">X24/X$10</f>
        <v>-0.14799207767187827</v>
      </c>
      <c r="Y25" s="126">
        <f t="shared" ref="Y25" si="174">Y24/Y$10</f>
        <v>-8.2813719614409295E-2</v>
      </c>
      <c r="Z25" s="126">
        <f t="shared" ref="Z25" si="175">Z24/Z$10</f>
        <v>-0.11845133074637913</v>
      </c>
      <c r="AA25" s="126">
        <f t="shared" ref="AA25" si="176">AA24/AA$10</f>
        <v>-0.11596563365907783</v>
      </c>
      <c r="AB25" s="126">
        <f t="shared" ref="AB25" si="177">AB24/AB$10</f>
        <v>-0.11145476753390404</v>
      </c>
      <c r="AC25" s="126">
        <f t="shared" ref="AC25" si="178">AC24/AC$10</f>
        <v>-6.020200663177757E-2</v>
      </c>
      <c r="AD25" s="126">
        <f t="shared" ref="AD25" si="179">AD24/AD$10</f>
        <v>-0.11400304078011739</v>
      </c>
      <c r="AE25" s="126">
        <f t="shared" ref="AE25" si="180">AE24/AE$10</f>
        <v>-0.13671669184935525</v>
      </c>
      <c r="AF25" s="126">
        <f t="shared" ref="AF25" si="181">AF24/AF$10</f>
        <v>-9.9411569718225221E-2</v>
      </c>
      <c r="AG25" s="126">
        <f t="shared" ref="AG25" si="182">AG24/AG$10</f>
        <v>-0.12155709963402554</v>
      </c>
      <c r="AH25" s="126">
        <f t="shared" ref="AH25" si="183">AH24/AH$10</f>
        <v>-0.15779036713669711</v>
      </c>
      <c r="AI25" s="126">
        <f t="shared" ref="AI25" si="184">AI24/AI$10</f>
        <v>-0.13928023490214819</v>
      </c>
      <c r="AJ25" s="126">
        <f t="shared" ref="AJ25" si="185">AJ24/AJ$10</f>
        <v>-0.17672891744505873</v>
      </c>
      <c r="AK25" s="126">
        <f>_xlfn.XLOOKUP('Cover Page'!$E$13,'IS &amp; BS Projections'!$B26:$B28,'IS &amp; BS Projections'!AK26:AK28)</f>
        <v>-7.28137196144093E-2</v>
      </c>
      <c r="AL25" s="126">
        <f>_xlfn.XLOOKUP('Cover Page'!$E$13,'IS &amp; BS Projections'!$B26:$B28,'IS &amp; BS Projections'!AL26:AL28)</f>
        <v>-0.10845133074637914</v>
      </c>
      <c r="AM25" s="126">
        <f>_xlfn.XLOOKUP('Cover Page'!$E$13,'IS &amp; BS Projections'!$B26:$B28,'IS &amp; BS Projections'!AM26:AM28)</f>
        <v>-0.1185498671102536</v>
      </c>
      <c r="AN25" s="126">
        <f>_xlfn.XLOOKUP('Cover Page'!$E$13,'IS &amp; BS Projections'!$B26:$B28,'IS &amp; BS Projections'!AN26:AN28)</f>
        <v>-0.10145476753390405</v>
      </c>
      <c r="AO25" s="126">
        <f>_xlfn.XLOOKUP('Cover Page'!$E$13,'IS &amp; BS Projections'!$B26:$B28,'IS &amp; BS Projections'!AO26:AO28)</f>
        <v>-7.1813719614409299E-2</v>
      </c>
      <c r="AP25" s="126">
        <f>_xlfn.XLOOKUP('Cover Page'!$E$13,'IS &amp; BS Projections'!$B26:$B28,'IS &amp; BS Projections'!AP26:AP28)</f>
        <v>-0.10745133074637914</v>
      </c>
      <c r="AQ25" s="126">
        <f>_xlfn.XLOOKUP('Cover Page'!$E$13,'IS &amp; BS Projections'!$B26:$B28,'IS &amp; BS Projections'!AQ26:AQ28)</f>
        <v>-0.1175498671102536</v>
      </c>
      <c r="AR25" s="126">
        <f>_xlfn.XLOOKUP('Cover Page'!$E$13,'IS &amp; BS Projections'!$B26:$B28,'IS &amp; BS Projections'!AR26:AR28)</f>
        <v>-0.10045476753390405</v>
      </c>
      <c r="AS25" s="126">
        <f>_xlfn.XLOOKUP('Cover Page'!$E$13,'IS &amp; BS Projections'!$B26:$B28,'IS &amp; BS Projections'!AS26:AS28)</f>
        <v>-7.0813719614409298E-2</v>
      </c>
      <c r="AT25" s="126">
        <f>_xlfn.XLOOKUP('Cover Page'!$E$13,'IS &amp; BS Projections'!$B26:$B28,'IS &amp; BS Projections'!AT26:AT28)</f>
        <v>-0.10645133074637914</v>
      </c>
      <c r="AU25" s="126">
        <f>_xlfn.XLOOKUP('Cover Page'!$E$13,'IS &amp; BS Projections'!$B26:$B28,'IS &amp; BS Projections'!AU26:AU28)</f>
        <v>-0.1165498671102536</v>
      </c>
      <c r="AV25" s="126">
        <f>_xlfn.XLOOKUP('Cover Page'!$E$13,'IS &amp; BS Projections'!$B26:$B28,'IS &amp; BS Projections'!AV26:AV28)</f>
        <v>-9.9454767533904045E-2</v>
      </c>
      <c r="AW25" s="126">
        <f>_xlfn.XLOOKUP('Cover Page'!$E$13,'IS &amp; BS Projections'!$B26:$B28,'IS &amp; BS Projections'!AW26:AW28)</f>
        <v>-6.9813719614409298E-2</v>
      </c>
      <c r="AX25" s="126">
        <f>_xlfn.XLOOKUP('Cover Page'!$E$13,'IS &amp; BS Projections'!$B26:$B28,'IS &amp; BS Projections'!AX26:AX28)</f>
        <v>-0.10545133074637913</v>
      </c>
      <c r="AY25" s="126">
        <f>_xlfn.XLOOKUP('Cover Page'!$E$13,'IS &amp; BS Projections'!$B26:$B28,'IS &amp; BS Projections'!AY26:AY28)</f>
        <v>-0.1155498671102536</v>
      </c>
      <c r="AZ25" s="126">
        <f>_xlfn.XLOOKUP('Cover Page'!$E$13,'IS &amp; BS Projections'!$B26:$B28,'IS &amp; BS Projections'!AZ26:AZ28)</f>
        <v>-9.8454767533904045E-2</v>
      </c>
      <c r="BA25" s="126">
        <f>_xlfn.XLOOKUP('Cover Page'!$E$13,'IS &amp; BS Projections'!$B26:$B28,'IS &amp; BS Projections'!BA26:BA28)</f>
        <v>-6.8813719614409297E-2</v>
      </c>
      <c r="BB25" s="126">
        <f>_xlfn.XLOOKUP('Cover Page'!$E$13,'IS &amp; BS Projections'!$B26:$B28,'IS &amp; BS Projections'!BB26:BB28)</f>
        <v>-0.10445133074637913</v>
      </c>
      <c r="BC25" s="126">
        <f>_xlfn.XLOOKUP('Cover Page'!$E$13,'IS &amp; BS Projections'!$B26:$B28,'IS &amp; BS Projections'!BC26:BC28)</f>
        <v>-0.1145498671102536</v>
      </c>
      <c r="BD25" s="126">
        <f>_xlfn.XLOOKUP('Cover Page'!$E$13,'IS &amp; BS Projections'!$B26:$B28,'IS &amp; BS Projections'!BD26:BD28)</f>
        <v>-9.7454767533904044E-2</v>
      </c>
    </row>
    <row r="26" spans="2:56" x14ac:dyDescent="0.2">
      <c r="B26" s="1" t="s">
        <v>262</v>
      </c>
      <c r="D26" s="102">
        <v>0.05</v>
      </c>
      <c r="E26" s="43" t="s">
        <v>36</v>
      </c>
      <c r="AK26" s="101">
        <f t="shared" ref="AK26" si="186">AK27+$D26</f>
        <v>-2.2813719614409297E-2</v>
      </c>
      <c r="AL26" s="101">
        <f t="shared" ref="AL26" si="187">AL27+$D26</f>
        <v>-5.8451330746379135E-2</v>
      </c>
      <c r="AM26" s="101">
        <f t="shared" ref="AM26" si="188">AM27+$D26</f>
        <v>-6.8549867110253598E-2</v>
      </c>
      <c r="AN26" s="101">
        <f t="shared" ref="AN26" si="189">AN27+$D26</f>
        <v>-5.1454767533904044E-2</v>
      </c>
      <c r="AO26" s="101">
        <f t="shared" ref="AO26" si="190">AO27+$D26</f>
        <v>-2.1813719614409297E-2</v>
      </c>
      <c r="AP26" s="101">
        <f t="shared" ref="AP26" si="191">AP27+$D26</f>
        <v>-5.7451330746379134E-2</v>
      </c>
      <c r="AQ26" s="101">
        <f t="shared" ref="AQ26" si="192">AQ27+$D26</f>
        <v>-6.7549867110253597E-2</v>
      </c>
      <c r="AR26" s="101">
        <f t="shared" ref="AR26" si="193">AR27+$D26</f>
        <v>-5.0454767533904044E-2</v>
      </c>
      <c r="AS26" s="101">
        <f t="shared" ref="AS26" si="194">AS27+$D26</f>
        <v>-2.0813719614409296E-2</v>
      </c>
      <c r="AT26" s="101">
        <f t="shared" ref="AT26" si="195">AT27+$D26</f>
        <v>-5.6451330746379133E-2</v>
      </c>
      <c r="AU26" s="101">
        <f t="shared" ref="AU26" si="196">AU27+$D26</f>
        <v>-6.6549867110253597E-2</v>
      </c>
      <c r="AV26" s="101">
        <f t="shared" ref="AV26" si="197">AV27+$D26</f>
        <v>-4.9454767533904043E-2</v>
      </c>
      <c r="AW26" s="101">
        <f t="shared" ref="AW26" si="198">AW27+$D26</f>
        <v>-1.9813719614409295E-2</v>
      </c>
      <c r="AX26" s="101">
        <f t="shared" ref="AX26" si="199">AX27+$D26</f>
        <v>-5.5451330746379132E-2</v>
      </c>
      <c r="AY26" s="101">
        <f t="shared" ref="AY26" si="200">AY27+$D26</f>
        <v>-6.5549867110253596E-2</v>
      </c>
      <c r="AZ26" s="101">
        <f t="shared" ref="AZ26" si="201">AZ27+$D26</f>
        <v>-4.8454767533904042E-2</v>
      </c>
      <c r="BA26" s="101">
        <f t="shared" ref="BA26" si="202">BA27+$D26</f>
        <v>-1.8813719614409294E-2</v>
      </c>
      <c r="BB26" s="101">
        <f t="shared" ref="BB26" si="203">BB27+$D26</f>
        <v>-5.4451330746379131E-2</v>
      </c>
      <c r="BC26" s="101">
        <f t="shared" ref="BC26" si="204">BC27+$D26</f>
        <v>-6.4549867110253595E-2</v>
      </c>
      <c r="BD26" s="101">
        <f t="shared" ref="BD26" si="205">BD27+$D26</f>
        <v>-4.7454767533904041E-2</v>
      </c>
    </row>
    <row r="27" spans="2:56" x14ac:dyDescent="0.2">
      <c r="B27" s="1" t="s">
        <v>15</v>
      </c>
      <c r="D27" s="102">
        <v>0.01</v>
      </c>
      <c r="E27" s="43" t="s">
        <v>36</v>
      </c>
      <c r="AJ27" s="467"/>
      <c r="AK27" s="101">
        <f>MEDIAN(Q25,U25,Y25,AC25,AG25)+$D27</f>
        <v>-7.28137196144093E-2</v>
      </c>
      <c r="AL27" s="101">
        <f>MEDIAN(R25,V25,Z25,AD25,AH25)+$D27</f>
        <v>-0.10845133074637914</v>
      </c>
      <c r="AM27" s="101">
        <f>MEDIAN(S25,W25,AA25,AE25,AI25)+$D27</f>
        <v>-0.1185498671102536</v>
      </c>
      <c r="AN27" s="101">
        <f>MEDIAN(T25,X25,AB25,AF25,AJ25)+$D27</f>
        <v>-0.10145476753390405</v>
      </c>
      <c r="AO27" s="101">
        <f t="shared" ref="AO27:BD27" si="206">(AK27)+0.001</f>
        <v>-7.1813719614409299E-2</v>
      </c>
      <c r="AP27" s="101">
        <f t="shared" si="206"/>
        <v>-0.10745133074637914</v>
      </c>
      <c r="AQ27" s="101">
        <f t="shared" si="206"/>
        <v>-0.1175498671102536</v>
      </c>
      <c r="AR27" s="101">
        <f t="shared" si="206"/>
        <v>-0.10045476753390405</v>
      </c>
      <c r="AS27" s="101">
        <f t="shared" si="206"/>
        <v>-7.0813719614409298E-2</v>
      </c>
      <c r="AT27" s="101">
        <f t="shared" si="206"/>
        <v>-0.10645133074637914</v>
      </c>
      <c r="AU27" s="101">
        <f t="shared" si="206"/>
        <v>-0.1165498671102536</v>
      </c>
      <c r="AV27" s="101">
        <f t="shared" si="206"/>
        <v>-9.9454767533904045E-2</v>
      </c>
      <c r="AW27" s="101">
        <f t="shared" si="206"/>
        <v>-6.9813719614409298E-2</v>
      </c>
      <c r="AX27" s="101">
        <f t="shared" si="206"/>
        <v>-0.10545133074637913</v>
      </c>
      <c r="AY27" s="101">
        <f t="shared" si="206"/>
        <v>-0.1155498671102536</v>
      </c>
      <c r="AZ27" s="101">
        <f t="shared" si="206"/>
        <v>-9.8454767533904045E-2</v>
      </c>
      <c r="BA27" s="101">
        <f t="shared" si="206"/>
        <v>-6.8813719614409297E-2</v>
      </c>
      <c r="BB27" s="101">
        <f t="shared" si="206"/>
        <v>-0.10445133074637913</v>
      </c>
      <c r="BC27" s="101">
        <f t="shared" si="206"/>
        <v>-0.1145498671102536</v>
      </c>
      <c r="BD27" s="101">
        <f t="shared" si="206"/>
        <v>-9.7454767533904044E-2</v>
      </c>
    </row>
    <row r="28" spans="2:56" x14ac:dyDescent="0.2">
      <c r="B28" s="1" t="s">
        <v>263</v>
      </c>
      <c r="D28" s="102">
        <v>-0.05</v>
      </c>
      <c r="E28" s="43" t="s">
        <v>36</v>
      </c>
      <c r="AK28" s="101">
        <f t="shared" ref="AK28" si="207">AK27+$D28</f>
        <v>-0.1228137196144093</v>
      </c>
      <c r="AL28" s="101">
        <f t="shared" ref="AL28" si="208">AL27+$D28</f>
        <v>-0.15845133074637913</v>
      </c>
      <c r="AM28" s="101">
        <f t="shared" ref="AM28" si="209">AM27+$D28</f>
        <v>-0.1685498671102536</v>
      </c>
      <c r="AN28" s="101">
        <f t="shared" ref="AN28" si="210">AN27+$D28</f>
        <v>-0.15145476753390405</v>
      </c>
      <c r="AO28" s="101">
        <f t="shared" ref="AO28" si="211">AO27+$D28</f>
        <v>-0.1218137196144093</v>
      </c>
      <c r="AP28" s="101">
        <f t="shared" ref="AP28" si="212">AP27+$D28</f>
        <v>-0.15745133074637913</v>
      </c>
      <c r="AQ28" s="101">
        <f t="shared" ref="AQ28" si="213">AQ27+$D28</f>
        <v>-0.1675498671102536</v>
      </c>
      <c r="AR28" s="101">
        <f t="shared" ref="AR28" si="214">AR27+$D28</f>
        <v>-0.15045476753390405</v>
      </c>
      <c r="AS28" s="101">
        <f t="shared" ref="AS28" si="215">AS27+$D28</f>
        <v>-0.1208137196144093</v>
      </c>
      <c r="AT28" s="101">
        <f t="shared" ref="AT28" si="216">AT27+$D28</f>
        <v>-0.15645133074637912</v>
      </c>
      <c r="AU28" s="101">
        <f t="shared" ref="AU28" si="217">AU27+$D28</f>
        <v>-0.1665498671102536</v>
      </c>
      <c r="AV28" s="101">
        <f t="shared" ref="AV28" si="218">AV27+$D28</f>
        <v>-0.14945476753390405</v>
      </c>
      <c r="AW28" s="101">
        <f t="shared" ref="AW28" si="219">AW27+$D28</f>
        <v>-0.1198137196144093</v>
      </c>
      <c r="AX28" s="101">
        <f t="shared" ref="AX28" si="220">AX27+$D28</f>
        <v>-0.15545133074637912</v>
      </c>
      <c r="AY28" s="101">
        <f t="shared" ref="AY28" si="221">AY27+$D28</f>
        <v>-0.1655498671102536</v>
      </c>
      <c r="AZ28" s="101">
        <f t="shared" ref="AZ28" si="222">AZ27+$D28</f>
        <v>-0.14845476753390405</v>
      </c>
      <c r="BA28" s="101">
        <f t="shared" ref="BA28" si="223">BA27+$D28</f>
        <v>-0.1188137196144093</v>
      </c>
      <c r="BB28" s="101">
        <f t="shared" ref="BB28" si="224">BB27+$D28</f>
        <v>-0.15445133074637912</v>
      </c>
      <c r="BC28" s="101">
        <f t="shared" ref="BC28" si="225">BC27+$D28</f>
        <v>-0.1645498671102536</v>
      </c>
      <c r="BD28" s="101">
        <f t="shared" ref="BD28" si="226">BD27+$D28</f>
        <v>-0.14745476753390405</v>
      </c>
    </row>
    <row r="30" spans="2:56" x14ac:dyDescent="0.2">
      <c r="B30" s="1" t="s">
        <v>42</v>
      </c>
      <c r="E30" s="43" t="s">
        <v>33</v>
      </c>
      <c r="F30" s="50">
        <f t="shared" ref="F30:J30" si="227">SUMIFS($Q30:$BD30,$Q$1:$BD$1,F$1)</f>
        <v>-909392</v>
      </c>
      <c r="G30" s="50">
        <f t="shared" si="227"/>
        <v>-1600586</v>
      </c>
      <c r="H30" s="50">
        <f t="shared" si="227"/>
        <v>-1074308</v>
      </c>
      <c r="I30" s="50">
        <f t="shared" si="227"/>
        <v>-1300257</v>
      </c>
      <c r="J30" s="50">
        <f t="shared" si="227"/>
        <v>-1619642</v>
      </c>
      <c r="K30" s="50">
        <f>SUMIFS($AJ30:$BC30,$AJ$1:$BC$1,K$1)</f>
        <v>-1875931.0394125634</v>
      </c>
      <c r="L30" s="50">
        <f t="shared" ref="L30:O30" si="228">SUMIFS($AJ30:$BC30,$AJ$1:$BC$1,L$1)</f>
        <v>-2107093.5898876041</v>
      </c>
      <c r="M30" s="50">
        <f t="shared" si="228"/>
        <v>-2364618.1385795875</v>
      </c>
      <c r="N30" s="50">
        <f t="shared" si="228"/>
        <v>-2753249.0849329252</v>
      </c>
      <c r="O30" s="50">
        <f t="shared" si="228"/>
        <v>-2579907.9764161087</v>
      </c>
      <c r="Q30" s="143">
        <f>_xlfn.XLOOKUP('IS &amp; BS Projections'!$B30,'3FS'!$B:$B,'3FS'!P:P)</f>
        <v>-121231</v>
      </c>
      <c r="R30" s="143">
        <f>_xlfn.XLOOKUP('IS &amp; BS Projections'!$B30,'3FS'!$B:$B,'3FS'!Q:Q)</f>
        <v>-248195</v>
      </c>
      <c r="S30" s="143">
        <f>_xlfn.XLOOKUP('IS &amp; BS Projections'!$B30,'3FS'!$B:$B,'3FS'!R:R)</f>
        <v>-242642</v>
      </c>
      <c r="T30" s="143">
        <f>_xlfn.XLOOKUP('IS &amp; BS Projections'!$B30,'3FS'!$B:$B,'3FS'!S:S)</f>
        <v>-297324</v>
      </c>
      <c r="U30" s="143">
        <f>_xlfn.XLOOKUP('IS &amp; BS Projections'!$B30,'3FS'!$B:$B,'3FS'!T:T)</f>
        <v>-413578</v>
      </c>
      <c r="V30" s="143">
        <f>_xlfn.XLOOKUP('IS &amp; BS Projections'!$B30,'3FS'!$B:$B,'3FS'!U:U)</f>
        <v>-470169</v>
      </c>
      <c r="W30" s="143">
        <f>_xlfn.XLOOKUP('IS &amp; BS Projections'!$B30,'3FS'!$B:$B,'3FS'!V:V)</f>
        <v>-339157</v>
      </c>
      <c r="X30" s="143">
        <f>_xlfn.XLOOKUP('IS &amp; BS Projections'!$B30,'3FS'!$B:$B,'3FS'!W:W)</f>
        <v>-377682</v>
      </c>
      <c r="Y30" s="143">
        <f>_xlfn.XLOOKUP('IS &amp; BS Projections'!$B30,'3FS'!$B:$B,'3FS'!X:X)</f>
        <v>-248761</v>
      </c>
      <c r="Z30" s="143">
        <f>_xlfn.XLOOKUP('IS &amp; BS Projections'!$B30,'3FS'!$B:$B,'3FS'!Y:Y)</f>
        <v>-258988</v>
      </c>
      <c r="AA30" s="143">
        <f>_xlfn.XLOOKUP('IS &amp; BS Projections'!$B30,'3FS'!$B:$B,'3FS'!Z:Z)</f>
        <v>-252630</v>
      </c>
      <c r="AB30" s="143">
        <f>_xlfn.XLOOKUP('IS &amp; BS Projections'!$B30,'3FS'!$B:$B,'3FS'!AA:AA)</f>
        <v>-313929</v>
      </c>
      <c r="AC30" s="143">
        <f>_xlfn.XLOOKUP('IS &amp; BS Projections'!$B30,'3FS'!$B:$B,'3FS'!AB:AB)</f>
        <v>-287236</v>
      </c>
      <c r="AD30" s="143">
        <f>_xlfn.XLOOKUP('IS &amp; BS Projections'!$B30,'3FS'!$B:$B,'3FS'!AC:AC)</f>
        <v>-320115</v>
      </c>
      <c r="AE30" s="143">
        <f>_xlfn.XLOOKUP('IS &amp; BS Projections'!$B30,'3FS'!$B:$B,'3FS'!AD:AD)</f>
        <v>-330387</v>
      </c>
      <c r="AF30" s="143">
        <f>_xlfn.XLOOKUP('IS &amp; BS Projections'!$B30,'3FS'!$B:$B,'3FS'!AE:AE)</f>
        <v>-362519</v>
      </c>
      <c r="AG30" s="143">
        <f>_xlfn.XLOOKUP('IS &amp; BS Projections'!$B30,'3FS'!$B:$B,'3FS'!AF:AF)</f>
        <v>-394346</v>
      </c>
      <c r="AH30" s="143">
        <f>_xlfn.XLOOKUP('IS &amp; BS Projections'!$B30,'3FS'!$B:$B,'3FS'!AG:AG)</f>
        <v>-353707</v>
      </c>
      <c r="AI30" s="143">
        <f>_xlfn.XLOOKUP('IS &amp; BS Projections'!$B30,'3FS'!$B:$B,'3FS'!AH:AH)</f>
        <v>-418446</v>
      </c>
      <c r="AJ30" s="143">
        <f>_xlfn.XLOOKUP('IS &amp; BS Projections'!$B30,'3FS'!$B:$B,'3FS'!AI:AI)</f>
        <v>-453143</v>
      </c>
      <c r="AK30" s="50">
        <f>AK31*AK$10</f>
        <v>-361243.02123967337</v>
      </c>
      <c r="AL30" s="50">
        <f t="shared" ref="AL30" si="229">AL31*AL$10</f>
        <v>-421337.79549595033</v>
      </c>
      <c r="AM30" s="50">
        <f t="shared" ref="AM30" si="230">AM31*AM$10</f>
        <v>-650752.33971717849</v>
      </c>
      <c r="AN30" s="50">
        <f t="shared" ref="AN30" si="231">AN31*AN$10</f>
        <v>-442597.88295976137</v>
      </c>
      <c r="AO30" s="50">
        <f t="shared" ref="AO30" si="232">AO31*AO$10</f>
        <v>-376982.12318538263</v>
      </c>
      <c r="AP30" s="50">
        <f t="shared" ref="AP30" si="233">AP31*AP$10</f>
        <v>-479347.90844267333</v>
      </c>
      <c r="AQ30" s="50">
        <f t="shared" ref="AQ30" si="234">AQ31*AQ$10</f>
        <v>-750937.89981223387</v>
      </c>
      <c r="AR30" s="50">
        <f t="shared" ref="AR30" si="235">AR31*AR$10</f>
        <v>-499825.65844731429</v>
      </c>
      <c r="AS30" s="50">
        <f t="shared" ref="AS30" si="236">AS31*AS$10</f>
        <v>-410368.91551226354</v>
      </c>
      <c r="AT30" s="50">
        <f t="shared" ref="AT30" si="237">AT31*AT$10</f>
        <v>-548529.13663409883</v>
      </c>
      <c r="AU30" s="50">
        <f t="shared" ref="AU30" si="238">AU31*AU$10</f>
        <v>-846212.27159848588</v>
      </c>
      <c r="AV30" s="50">
        <f t="shared" ref="AV30" si="239">AV31*AV$10</f>
        <v>-559507.81483473885</v>
      </c>
      <c r="AW30" s="50">
        <f t="shared" ref="AW30" si="240">AW31*AW$10</f>
        <v>-453098.09113404702</v>
      </c>
      <c r="AX30" s="50">
        <f t="shared" ref="AX30" si="241">AX31*AX$10</f>
        <v>-652374.82717723027</v>
      </c>
      <c r="AY30" s="50">
        <f t="shared" ref="AY30" si="242">AY31*AY$10</f>
        <v>-994283.12948822486</v>
      </c>
      <c r="AZ30" s="50">
        <f t="shared" ref="AZ30" si="243">AZ31*AZ$10</f>
        <v>-653493.0371334228</v>
      </c>
      <c r="BA30" s="50">
        <f t="shared" ref="BA30" si="244">BA31*BA$10</f>
        <v>-520580.60028166784</v>
      </c>
      <c r="BB30" s="50">
        <f t="shared" ref="BB30" si="245">BB31*BB$10</f>
        <v>-820371.72551678226</v>
      </c>
      <c r="BC30" s="50">
        <f t="shared" ref="BC30" si="246">BC31*BC$10</f>
        <v>-1238955.6506176586</v>
      </c>
      <c r="BD30" s="50">
        <f t="shared" ref="BD30" si="247">BD31*BD$10</f>
        <v>-804753.73643726378</v>
      </c>
    </row>
    <row r="31" spans="2:56" x14ac:dyDescent="0.2">
      <c r="B31" s="98" t="s">
        <v>293</v>
      </c>
      <c r="C31" s="45"/>
      <c r="D31" s="45"/>
      <c r="E31" s="46" t="s">
        <v>36</v>
      </c>
      <c r="F31" s="126">
        <f t="shared" ref="F31" si="248">F30/F$10</f>
        <v>-0.116002089433627</v>
      </c>
      <c r="G31" s="126">
        <f t="shared" ref="G31" si="249">G30/G$10</f>
        <v>-0.50109009807752036</v>
      </c>
      <c r="H31" s="126">
        <f t="shared" ref="H31" si="250">H30/H$10</f>
        <v>-0.34561635422661879</v>
      </c>
      <c r="I31" s="126">
        <f t="shared" ref="I31" si="251">I30/I$10</f>
        <v>-0.19808827750277727</v>
      </c>
      <c r="J31" s="126">
        <f t="shared" ref="J31" si="252">J30/J$10</f>
        <v>-0.2999228176162495</v>
      </c>
      <c r="K31" s="126">
        <f t="shared" ref="K31" si="253">K30/K$10</f>
        <v>-0.24172749653063222</v>
      </c>
      <c r="L31" s="126">
        <f t="shared" ref="L31" si="254">L30/L$10</f>
        <v>-0.24281809443686309</v>
      </c>
      <c r="M31" s="126">
        <f t="shared" ref="M31" si="255">M30/M$10</f>
        <v>-0.24315182536154964</v>
      </c>
      <c r="N31" s="126">
        <f t="shared" ref="N31" si="256">N30/N$10</f>
        <v>-0.2437709030031498</v>
      </c>
      <c r="O31" s="126">
        <f t="shared" ref="O31" si="257">O30/O$10</f>
        <v>-0.24162005218723701</v>
      </c>
      <c r="P31" s="81"/>
      <c r="Q31" s="126">
        <f>Q30/Q$10</f>
        <v>-6.7308973567440561E-2</v>
      </c>
      <c r="R31" s="126">
        <f t="shared" ref="R31" si="258">R30/R$10</f>
        <v>-0.11140001490151089</v>
      </c>
      <c r="S31" s="126">
        <f t="shared" ref="S31" si="259">S30/S$10</f>
        <v>-0.18495351808206062</v>
      </c>
      <c r="T31" s="126">
        <f t="shared" ref="T31" si="260">T30/T$10</f>
        <v>-0.11900276289863007</v>
      </c>
      <c r="U31" s="126">
        <f t="shared" ref="U31" si="261">U30/U$10</f>
        <v>-0.35456553124217705</v>
      </c>
      <c r="V31" s="126">
        <f t="shared" ref="V31" si="262">V30/V$10</f>
        <v>-0.58165836761203726</v>
      </c>
      <c r="W31" s="126">
        <f t="shared" ref="W31" si="263">W30/W$10</f>
        <v>-0.57451227176249575</v>
      </c>
      <c r="X31" s="126">
        <f t="shared" ref="X31" si="264">X30/X$10</f>
        <v>-0.60034525073596268</v>
      </c>
      <c r="Y31" s="126">
        <f t="shared" ref="Y31" si="265">Y30/Y$10</f>
        <v>-0.32200862362448529</v>
      </c>
      <c r="Z31" s="126">
        <f t="shared" ref="Z31" si="266">Z30/Z$10</f>
        <v>-0.36584824928557402</v>
      </c>
      <c r="AA31" s="126">
        <f t="shared" ref="AA31" si="267">AA30/AA$10</f>
        <v>-0.37473967140746545</v>
      </c>
      <c r="AB31" s="126">
        <f t="shared" ref="AB31" si="268">AB30/AB$10</f>
        <v>-0.32913676418936982</v>
      </c>
      <c r="AC31" s="126">
        <f t="shared" ref="AC31" si="269">AC30/AC$10</f>
        <v>-0.17540379953223373</v>
      </c>
      <c r="AD31" s="126">
        <f t="shared" ref="AD31" si="270">AD30/AD$10</f>
        <v>-0.22082561871045536</v>
      </c>
      <c r="AE31" s="126">
        <f t="shared" ref="AE31" si="271">AE30/AE$10</f>
        <v>-0.2741361756996597</v>
      </c>
      <c r="AF31" s="126">
        <f t="shared" ref="AF31" si="272">AF30/AF$10</f>
        <v>-0.15958491607593994</v>
      </c>
      <c r="AG31" s="126">
        <f t="shared" ref="AG31" si="273">AG30/AG$10</f>
        <v>-0.193848974706225</v>
      </c>
      <c r="AH31" s="126">
        <f t="shared" ref="AH31" si="274">AH30/AH$10</f>
        <v>-0.23624439623619431</v>
      </c>
      <c r="AI31" s="126">
        <f t="shared" ref="AI31" si="275">AI30/AI$10</f>
        <v>-0.22392442204257201</v>
      </c>
      <c r="AJ31" s="126">
        <f t="shared" ref="AJ31" si="276">AJ30/AJ$10</f>
        <v>-0.25441335242983526</v>
      </c>
      <c r="AK31" s="126">
        <f>_xlfn.XLOOKUP('Cover Page'!$E$13,'IS &amp; BS Projections'!$B32:$B34,'IS &amp; BS Projections'!AK32:AK34)</f>
        <v>-0.193848974706225</v>
      </c>
      <c r="AL31" s="126">
        <f>_xlfn.XLOOKUP('Cover Page'!$E$13,'IS &amp; BS Projections'!$B32:$B34,'IS &amp; BS Projections'!AL32:AL34)</f>
        <v>-0.23624439623619431</v>
      </c>
      <c r="AM31" s="126">
        <f>_xlfn.XLOOKUP('Cover Page'!$E$13,'IS &amp; BS Projections'!$B32:$B34,'IS &amp; BS Projections'!AM32:AM34)</f>
        <v>-0.2741361756996597</v>
      </c>
      <c r="AN31" s="126">
        <f>_xlfn.XLOOKUP('Cover Page'!$E$13,'IS &amp; BS Projections'!$B32:$B34,'IS &amp; BS Projections'!AN32:AN34)</f>
        <v>-0.25441335242983526</v>
      </c>
      <c r="AO31" s="126">
        <f>_xlfn.XLOOKUP('Cover Page'!$E$13,'IS &amp; BS Projections'!$B32:$B34,'IS &amp; BS Projections'!AO32:AO34)</f>
        <v>-0.193848974706225</v>
      </c>
      <c r="AP31" s="126">
        <f>_xlfn.XLOOKUP('Cover Page'!$E$13,'IS &amp; BS Projections'!$B32:$B34,'IS &amp; BS Projections'!AP32:AP34)</f>
        <v>-0.23624439623619431</v>
      </c>
      <c r="AQ31" s="126">
        <f>_xlfn.XLOOKUP('Cover Page'!$E$13,'IS &amp; BS Projections'!$B32:$B34,'IS &amp; BS Projections'!AQ32:AQ34)</f>
        <v>-0.2741361756996597</v>
      </c>
      <c r="AR31" s="126">
        <f>_xlfn.XLOOKUP('Cover Page'!$E$13,'IS &amp; BS Projections'!$B32:$B34,'IS &amp; BS Projections'!AR32:AR34)</f>
        <v>-0.25441335242983526</v>
      </c>
      <c r="AS31" s="126">
        <f>_xlfn.XLOOKUP('Cover Page'!$E$13,'IS &amp; BS Projections'!$B32:$B34,'IS &amp; BS Projections'!AS32:AS34)</f>
        <v>-0.193848974706225</v>
      </c>
      <c r="AT31" s="126">
        <f>_xlfn.XLOOKUP('Cover Page'!$E$13,'IS &amp; BS Projections'!$B32:$B34,'IS &amp; BS Projections'!AT32:AT34)</f>
        <v>-0.23624439623619431</v>
      </c>
      <c r="AU31" s="126">
        <f>_xlfn.XLOOKUP('Cover Page'!$E$13,'IS &amp; BS Projections'!$B32:$B34,'IS &amp; BS Projections'!AU32:AU34)</f>
        <v>-0.2741361756996597</v>
      </c>
      <c r="AV31" s="126">
        <f>_xlfn.XLOOKUP('Cover Page'!$E$13,'IS &amp; BS Projections'!$B32:$B34,'IS &amp; BS Projections'!AV32:AV34)</f>
        <v>-0.25441335242983526</v>
      </c>
      <c r="AW31" s="126">
        <f>_xlfn.XLOOKUP('Cover Page'!$E$13,'IS &amp; BS Projections'!$B32:$B34,'IS &amp; BS Projections'!AW32:AW34)</f>
        <v>-0.193848974706225</v>
      </c>
      <c r="AX31" s="126">
        <f>_xlfn.XLOOKUP('Cover Page'!$E$13,'IS &amp; BS Projections'!$B32:$B34,'IS &amp; BS Projections'!AX32:AX34)</f>
        <v>-0.23624439623619431</v>
      </c>
      <c r="AY31" s="126">
        <f>_xlfn.XLOOKUP('Cover Page'!$E$13,'IS &amp; BS Projections'!$B32:$B34,'IS &amp; BS Projections'!AY32:AY34)</f>
        <v>-0.2741361756996597</v>
      </c>
      <c r="AZ31" s="126">
        <f>_xlfn.XLOOKUP('Cover Page'!$E$13,'IS &amp; BS Projections'!$B32:$B34,'IS &amp; BS Projections'!AZ32:AZ34)</f>
        <v>-0.25441335242983526</v>
      </c>
      <c r="BA31" s="126">
        <f>_xlfn.XLOOKUP('Cover Page'!$E$13,'IS &amp; BS Projections'!$B32:$B34,'IS &amp; BS Projections'!BA32:BA34)</f>
        <v>-0.193848974706225</v>
      </c>
      <c r="BB31" s="126">
        <f>_xlfn.XLOOKUP('Cover Page'!$E$13,'IS &amp; BS Projections'!$B32:$B34,'IS &amp; BS Projections'!BB32:BB34)</f>
        <v>-0.23624439623619431</v>
      </c>
      <c r="BC31" s="126">
        <f>_xlfn.XLOOKUP('Cover Page'!$E$13,'IS &amp; BS Projections'!$B32:$B34,'IS &amp; BS Projections'!BC32:BC34)</f>
        <v>-0.2741361756996597</v>
      </c>
      <c r="BD31" s="126">
        <f>_xlfn.XLOOKUP('Cover Page'!$E$13,'IS &amp; BS Projections'!$B32:$B34,'IS &amp; BS Projections'!BD32:BD34)</f>
        <v>-0.25441335242983526</v>
      </c>
    </row>
    <row r="32" spans="2:56" x14ac:dyDescent="0.2">
      <c r="B32" s="1" t="s">
        <v>262</v>
      </c>
      <c r="D32" s="102">
        <v>0.05</v>
      </c>
      <c r="E32" s="43" t="s">
        <v>36</v>
      </c>
      <c r="AK32" s="101">
        <f t="shared" ref="AK32" si="277">AK33+$D32</f>
        <v>-0.14384897470622499</v>
      </c>
      <c r="AL32" s="101">
        <f t="shared" ref="AL32" si="278">AL33+$D32</f>
        <v>-0.18624439623619432</v>
      </c>
      <c r="AM32" s="101">
        <f t="shared" ref="AM32" si="279">AM33+$D32</f>
        <v>-0.22413617569965971</v>
      </c>
      <c r="AN32" s="101">
        <f t="shared" ref="AN32" si="280">AN33+$D32</f>
        <v>-0.20441335242983527</v>
      </c>
      <c r="AO32" s="101">
        <f t="shared" ref="AO32" si="281">AO33+$D32</f>
        <v>-0.14384897470622499</v>
      </c>
      <c r="AP32" s="101">
        <f t="shared" ref="AP32" si="282">AP33+$D32</f>
        <v>-0.18624439623619432</v>
      </c>
      <c r="AQ32" s="101">
        <f t="shared" ref="AQ32" si="283">AQ33+$D32</f>
        <v>-0.22413617569965971</v>
      </c>
      <c r="AR32" s="101">
        <f t="shared" ref="AR32" si="284">AR33+$D32</f>
        <v>-0.20441335242983527</v>
      </c>
      <c r="AS32" s="101">
        <f t="shared" ref="AS32" si="285">AS33+$D32</f>
        <v>-0.14384897470622499</v>
      </c>
      <c r="AT32" s="101">
        <f t="shared" ref="AT32" si="286">AT33+$D32</f>
        <v>-0.18624439623619432</v>
      </c>
      <c r="AU32" s="101">
        <f t="shared" ref="AU32" si="287">AU33+$D32</f>
        <v>-0.22413617569965971</v>
      </c>
      <c r="AV32" s="101">
        <f t="shared" ref="AV32" si="288">AV33+$D32</f>
        <v>-0.20441335242983527</v>
      </c>
      <c r="AW32" s="101">
        <f t="shared" ref="AW32" si="289">AW33+$D32</f>
        <v>-0.14384897470622499</v>
      </c>
      <c r="AX32" s="101">
        <f t="shared" ref="AX32" si="290">AX33+$D32</f>
        <v>-0.18624439623619432</v>
      </c>
      <c r="AY32" s="101">
        <f t="shared" ref="AY32" si="291">AY33+$D32</f>
        <v>-0.22413617569965971</v>
      </c>
      <c r="AZ32" s="101">
        <f t="shared" ref="AZ32" si="292">AZ33+$D32</f>
        <v>-0.20441335242983527</v>
      </c>
      <c r="BA32" s="101">
        <f t="shared" ref="BA32" si="293">BA33+$D32</f>
        <v>-0.14384897470622499</v>
      </c>
      <c r="BB32" s="101">
        <f t="shared" ref="BB32" si="294">BB33+$D32</f>
        <v>-0.18624439623619432</v>
      </c>
      <c r="BC32" s="101">
        <f t="shared" ref="BC32" si="295">BC33+$D32</f>
        <v>-0.22413617569965971</v>
      </c>
      <c r="BD32" s="101">
        <f t="shared" ref="BD32" si="296">BD33+$D32</f>
        <v>-0.20441335242983527</v>
      </c>
    </row>
    <row r="33" spans="2:56" x14ac:dyDescent="0.2">
      <c r="B33" s="1" t="s">
        <v>15</v>
      </c>
      <c r="D33" s="102">
        <v>0</v>
      </c>
      <c r="E33" s="43" t="s">
        <v>36</v>
      </c>
      <c r="AK33" s="101">
        <f>MEDIAN(Q31,U31,Y31,AC31,AG31)</f>
        <v>-0.193848974706225</v>
      </c>
      <c r="AL33" s="101">
        <f t="shared" ref="AL33" si="297">MEDIAN(R31,V31,Z31,AD31,AH31)</f>
        <v>-0.23624439623619431</v>
      </c>
      <c r="AM33" s="101">
        <f t="shared" ref="AM33" si="298">MEDIAN(S31,W31,AA31,AE31,AI31)</f>
        <v>-0.2741361756996597</v>
      </c>
      <c r="AN33" s="101">
        <f t="shared" ref="AN33" si="299">MEDIAN(T31,X31,AB31,AF31,AJ31)</f>
        <v>-0.25441335242983526</v>
      </c>
      <c r="AO33" s="101">
        <f>AK33</f>
        <v>-0.193848974706225</v>
      </c>
      <c r="AP33" s="101">
        <f t="shared" ref="AP33" si="300">AL33</f>
        <v>-0.23624439623619431</v>
      </c>
      <c r="AQ33" s="101">
        <f t="shared" ref="AQ33" si="301">AM33</f>
        <v>-0.2741361756996597</v>
      </c>
      <c r="AR33" s="101">
        <f t="shared" ref="AR33" si="302">AN33</f>
        <v>-0.25441335242983526</v>
      </c>
      <c r="AS33" s="101">
        <f t="shared" ref="AS33" si="303">AO33</f>
        <v>-0.193848974706225</v>
      </c>
      <c r="AT33" s="101">
        <f t="shared" ref="AT33" si="304">AP33</f>
        <v>-0.23624439623619431</v>
      </c>
      <c r="AU33" s="101">
        <f t="shared" ref="AU33" si="305">AQ33</f>
        <v>-0.2741361756996597</v>
      </c>
      <c r="AV33" s="101">
        <f t="shared" ref="AV33" si="306">AR33</f>
        <v>-0.25441335242983526</v>
      </c>
      <c r="AW33" s="101">
        <f t="shared" ref="AW33" si="307">AS33</f>
        <v>-0.193848974706225</v>
      </c>
      <c r="AX33" s="101">
        <f t="shared" ref="AX33" si="308">AT33</f>
        <v>-0.23624439623619431</v>
      </c>
      <c r="AY33" s="101">
        <f t="shared" ref="AY33" si="309">AU33</f>
        <v>-0.2741361756996597</v>
      </c>
      <c r="AZ33" s="101">
        <f t="shared" ref="AZ33" si="310">AV33</f>
        <v>-0.25441335242983526</v>
      </c>
      <c r="BA33" s="101">
        <f t="shared" ref="BA33" si="311">AW33</f>
        <v>-0.193848974706225</v>
      </c>
      <c r="BB33" s="101">
        <f t="shared" ref="BB33" si="312">AX33</f>
        <v>-0.23624439623619431</v>
      </c>
      <c r="BC33" s="101">
        <f t="shared" ref="BC33" si="313">AY33</f>
        <v>-0.2741361756996597</v>
      </c>
      <c r="BD33" s="101">
        <f t="shared" ref="BD33" si="314">AZ33</f>
        <v>-0.25441335242983526</v>
      </c>
    </row>
    <row r="34" spans="2:56" x14ac:dyDescent="0.2">
      <c r="B34" s="1" t="s">
        <v>263</v>
      </c>
      <c r="D34" s="102">
        <v>-0.05</v>
      </c>
      <c r="E34" s="43" t="s">
        <v>36</v>
      </c>
      <c r="AK34" s="101">
        <f t="shared" ref="AK34" si="315">AK33+$D34</f>
        <v>-0.24384897470622502</v>
      </c>
      <c r="AL34" s="101">
        <f t="shared" ref="AL34" si="316">AL33+$D34</f>
        <v>-0.2862443962361943</v>
      </c>
      <c r="AM34" s="101">
        <f t="shared" ref="AM34" si="317">AM33+$D34</f>
        <v>-0.32413617569965969</v>
      </c>
      <c r="AN34" s="101">
        <f t="shared" ref="AN34" si="318">AN33+$D34</f>
        <v>-0.30441335242983525</v>
      </c>
      <c r="AO34" s="101">
        <f t="shared" ref="AO34" si="319">AO33+$D34</f>
        <v>-0.24384897470622502</v>
      </c>
      <c r="AP34" s="101">
        <f t="shared" ref="AP34" si="320">AP33+$D34</f>
        <v>-0.2862443962361943</v>
      </c>
      <c r="AQ34" s="101">
        <f t="shared" ref="AQ34" si="321">AQ33+$D34</f>
        <v>-0.32413617569965969</v>
      </c>
      <c r="AR34" s="101">
        <f t="shared" ref="AR34" si="322">AR33+$D34</f>
        <v>-0.30441335242983525</v>
      </c>
      <c r="AS34" s="101">
        <f t="shared" ref="AS34" si="323">AS33+$D34</f>
        <v>-0.24384897470622502</v>
      </c>
      <c r="AT34" s="101">
        <f t="shared" ref="AT34" si="324">AT33+$D34</f>
        <v>-0.2862443962361943</v>
      </c>
      <c r="AU34" s="101">
        <f t="shared" ref="AU34" si="325">AU33+$D34</f>
        <v>-0.32413617569965969</v>
      </c>
      <c r="AV34" s="101">
        <f t="shared" ref="AV34" si="326">AV33+$D34</f>
        <v>-0.30441335242983525</v>
      </c>
      <c r="AW34" s="101">
        <f t="shared" ref="AW34" si="327">AW33+$D34</f>
        <v>-0.24384897470622502</v>
      </c>
      <c r="AX34" s="101">
        <f t="shared" ref="AX34" si="328">AX33+$D34</f>
        <v>-0.2862443962361943</v>
      </c>
      <c r="AY34" s="101">
        <f t="shared" ref="AY34" si="329">AY33+$D34</f>
        <v>-0.32413617569965969</v>
      </c>
      <c r="AZ34" s="101">
        <f t="shared" ref="AZ34" si="330">AZ33+$D34</f>
        <v>-0.30441335242983525</v>
      </c>
      <c r="BA34" s="101">
        <f t="shared" ref="BA34" si="331">BA33+$D34</f>
        <v>-0.24384897470622502</v>
      </c>
      <c r="BB34" s="101">
        <f t="shared" ref="BB34" si="332">BB33+$D34</f>
        <v>-0.2862443962361943</v>
      </c>
      <c r="BC34" s="101">
        <f t="shared" ref="BC34" si="333">BC33+$D34</f>
        <v>-0.32413617569965969</v>
      </c>
      <c r="BD34" s="101">
        <f t="shared" ref="BD34" si="334">BD33+$D34</f>
        <v>-0.30441335242983525</v>
      </c>
    </row>
    <row r="36" spans="2:56" x14ac:dyDescent="0.2">
      <c r="B36" s="1" t="s">
        <v>43</v>
      </c>
      <c r="E36" s="43" t="s">
        <v>33</v>
      </c>
      <c r="F36" s="50">
        <f t="shared" ref="F36:J36" si="335">SUMIFS($Q36:$BD36,$Q$1:$BD$1,F$1)</f>
        <v>-1291561</v>
      </c>
      <c r="G36" s="50">
        <f t="shared" si="335"/>
        <v>-2326354</v>
      </c>
      <c r="H36" s="50">
        <f t="shared" si="335"/>
        <v>-1324541</v>
      </c>
      <c r="I36" s="50">
        <f t="shared" si="335"/>
        <v>-1468252</v>
      </c>
      <c r="J36" s="50">
        <f t="shared" si="335"/>
        <v>-1670605</v>
      </c>
      <c r="K36" s="50">
        <f>SUMIFS($AJ36:$BC36,$AJ$1:$BC$1,K$1)</f>
        <v>-1515771.1671452657</v>
      </c>
      <c r="L36" s="50">
        <f t="shared" ref="L36:O36" si="336">SUMIFS($AJ36:$BC36,$AJ$1:$BC$1,L$1)</f>
        <v>-1683819.6683132788</v>
      </c>
      <c r="M36" s="50">
        <f t="shared" si="336"/>
        <v>-1866088.6578996165</v>
      </c>
      <c r="N36" s="50">
        <f t="shared" si="336"/>
        <v>-2146482.3307123967</v>
      </c>
      <c r="O36" s="50">
        <f t="shared" si="336"/>
        <v>-1993020.1703374297</v>
      </c>
      <c r="Q36" s="143">
        <f>_xlfn.XLOOKUP('IS &amp; BS Projections'!$B36,'3FS'!$B:$B,'3FS'!P:P)</f>
        <v>-184225</v>
      </c>
      <c r="R36" s="143">
        <f>_xlfn.XLOOKUP('IS &amp; BS Projections'!$B36,'3FS'!$B:$B,'3FS'!Q:Q)</f>
        <v>-291461</v>
      </c>
      <c r="S36" s="143">
        <f>_xlfn.XLOOKUP('IS &amp; BS Projections'!$B36,'3FS'!$B:$B,'3FS'!R:R)</f>
        <v>-356264</v>
      </c>
      <c r="T36" s="143">
        <f>_xlfn.XLOOKUP('IS &amp; BS Projections'!$B36,'3FS'!$B:$B,'3FS'!S:S)</f>
        <v>-459611</v>
      </c>
      <c r="U36" s="143">
        <f>_xlfn.XLOOKUP('IS &amp; BS Projections'!$B36,'3FS'!$B:$B,'3FS'!T:T)</f>
        <v>-570664</v>
      </c>
      <c r="V36" s="143">
        <f>_xlfn.XLOOKUP('IS &amp; BS Projections'!$B36,'3FS'!$B:$B,'3FS'!U:U)</f>
        <v>-609249</v>
      </c>
      <c r="W36" s="143">
        <f>_xlfn.XLOOKUP('IS &amp; BS Projections'!$B36,'3FS'!$B:$B,'3FS'!V:V)</f>
        <v>-556338</v>
      </c>
      <c r="X36" s="143">
        <f>_xlfn.XLOOKUP('IS &amp; BS Projections'!$B36,'3FS'!$B:$B,'3FS'!W:W)</f>
        <v>-590103</v>
      </c>
      <c r="Y36" s="143">
        <f>_xlfn.XLOOKUP('IS &amp; BS Projections'!$B36,'3FS'!$B:$B,'3FS'!X:X)</f>
        <v>-358031</v>
      </c>
      <c r="Z36" s="143">
        <f>_xlfn.XLOOKUP('IS &amp; BS Projections'!$B36,'3FS'!$B:$B,'3FS'!Y:Y)</f>
        <v>-320667</v>
      </c>
      <c r="AA36" s="143">
        <f>_xlfn.XLOOKUP('IS &amp; BS Projections'!$B36,'3FS'!$B:$B,'3FS'!Z:Z)</f>
        <v>-322756</v>
      </c>
      <c r="AB36" s="143">
        <f>_xlfn.XLOOKUP('IS &amp; BS Projections'!$B36,'3FS'!$B:$B,'3FS'!AA:AA)</f>
        <v>-323087</v>
      </c>
      <c r="AC36" s="143">
        <f>_xlfn.XLOOKUP('IS &amp; BS Projections'!$B36,'3FS'!$B:$B,'3FS'!AB:AB)</f>
        <v>-357863</v>
      </c>
      <c r="AD36" s="143">
        <f>_xlfn.XLOOKUP('IS &amp; BS Projections'!$B36,'3FS'!$B:$B,'3FS'!AC:AC)</f>
        <v>-364258</v>
      </c>
      <c r="AE36" s="143">
        <f>_xlfn.XLOOKUP('IS &amp; BS Projections'!$B36,'3FS'!$B:$B,'3FS'!AD:AD)</f>
        <v>-377440</v>
      </c>
      <c r="AF36" s="143">
        <f>_xlfn.XLOOKUP('IS &amp; BS Projections'!$B36,'3FS'!$B:$B,'3FS'!AE:AE)</f>
        <v>-368691</v>
      </c>
      <c r="AG36" s="143">
        <f>_xlfn.XLOOKUP('IS &amp; BS Projections'!$B36,'3FS'!$B:$B,'3FS'!AF:AF)</f>
        <v>-355368</v>
      </c>
      <c r="AH36" s="143">
        <f>_xlfn.XLOOKUP('IS &amp; BS Projections'!$B36,'3FS'!$B:$B,'3FS'!AG:AG)</f>
        <v>-387322</v>
      </c>
      <c r="AI36" s="143">
        <f>_xlfn.XLOOKUP('IS &amp; BS Projections'!$B36,'3FS'!$B:$B,'3FS'!AH:AH)</f>
        <v>-430585</v>
      </c>
      <c r="AJ36" s="143">
        <f>_xlfn.XLOOKUP('IS &amp; BS Projections'!$B36,'3FS'!$B:$B,'3FS'!AI:AI)</f>
        <v>-497330</v>
      </c>
      <c r="AK36" s="50">
        <f>AK37*AK$10</f>
        <v>-267477.68946078332</v>
      </c>
      <c r="AL36" s="50">
        <f t="shared" ref="AL36" si="337">AL37*AL$10</f>
        <v>-327618.97211015021</v>
      </c>
      <c r="AM36" s="50">
        <f t="shared" ref="AM36" si="338">AM37*AM$10</f>
        <v>-565393.91913360532</v>
      </c>
      <c r="AN36" s="50">
        <f t="shared" ref="AN36" si="339">AN37*AN$10</f>
        <v>-355280.58644072694</v>
      </c>
      <c r="AO36" s="50">
        <f t="shared" ref="AO36" si="340">AO37*AO$10</f>
        <v>-274269.70060489618</v>
      </c>
      <c r="AP36" s="50">
        <f t="shared" ref="AP36" si="341">AP37*AP$10</f>
        <v>-367653.22014492546</v>
      </c>
      <c r="AQ36" s="50">
        <f t="shared" ref="AQ36" si="342">AQ37*AQ$10</f>
        <v>-645590.03723747656</v>
      </c>
      <c r="AR36" s="50">
        <f t="shared" ref="AR36" si="343">AR37*AR$10</f>
        <v>-396306.7103259805</v>
      </c>
      <c r="AS36" s="50">
        <f t="shared" ref="AS36" si="344">AS37*AS$10</f>
        <v>-293267.55947895197</v>
      </c>
      <c r="AT36" s="50">
        <f t="shared" ref="AT36" si="345">AT37*AT$10</f>
        <v>-414909.58711944951</v>
      </c>
      <c r="AU36" s="50">
        <f t="shared" ref="AU36" si="346">AU37*AU$10</f>
        <v>-719781.44204392121</v>
      </c>
      <c r="AV36" s="50">
        <f t="shared" ref="AV36" si="347">AV37*AV$10</f>
        <v>-438130.06925729389</v>
      </c>
      <c r="AW36" s="50">
        <f t="shared" ref="AW36" si="348">AW37*AW$10</f>
        <v>-317960.25363883073</v>
      </c>
      <c r="AX36" s="50">
        <f t="shared" ref="AX36" si="349">AX37*AX$10</f>
        <v>-486555.27305495483</v>
      </c>
      <c r="AY36" s="50">
        <f t="shared" ref="AY36" si="350">AY37*AY$10</f>
        <v>-836661.91863075178</v>
      </c>
      <c r="AZ36" s="50">
        <f t="shared" ref="AZ36" si="351">AZ37*AZ$10</f>
        <v>-505304.88538785937</v>
      </c>
      <c r="BA36" s="50">
        <f t="shared" ref="BA36" si="352">BA37*BA$10</f>
        <v>-358602.16667027323</v>
      </c>
      <c r="BB36" s="50">
        <f t="shared" ref="BB36" si="353">BB37*BB$10</f>
        <v>-603169.60955005419</v>
      </c>
      <c r="BC36" s="50">
        <f t="shared" ref="BC36" si="354">BC37*BC$10</f>
        <v>-1031248.3941171023</v>
      </c>
      <c r="BD36" s="50">
        <f t="shared" ref="BD36" si="355">BD37*BD$10</f>
        <v>-614357.29389413295</v>
      </c>
    </row>
    <row r="37" spans="2:56" x14ac:dyDescent="0.2">
      <c r="B37" s="98" t="s">
        <v>293</v>
      </c>
      <c r="C37" s="45"/>
      <c r="D37" s="45"/>
      <c r="E37" s="46" t="s">
        <v>36</v>
      </c>
      <c r="F37" s="126">
        <f t="shared" ref="F37" si="356">F36/F$10</f>
        <v>-0.16475158636867787</v>
      </c>
      <c r="G37" s="126">
        <f t="shared" ref="G37" si="357">G36/G$10</f>
        <v>-0.72830385497750927</v>
      </c>
      <c r="H37" s="126">
        <f t="shared" ref="H37" si="358">H36/H$10</f>
        <v>-0.42611898212028571</v>
      </c>
      <c r="I37" s="126">
        <f t="shared" ref="I37" si="359">I36/I$10</f>
        <v>-0.22368155650768096</v>
      </c>
      <c r="J37" s="126">
        <f t="shared" ref="J37" si="360">J36/J$10</f>
        <v>-0.30936006767161783</v>
      </c>
      <c r="K37" s="126">
        <f t="shared" ref="K37" si="361">K36/K$10</f>
        <v>-0.19531825096410615</v>
      </c>
      <c r="L37" s="126">
        <f t="shared" ref="L37" si="362">L36/L$10</f>
        <v>-0.19404068485489084</v>
      </c>
      <c r="M37" s="126">
        <f t="shared" ref="M37" si="363">M36/M$10</f>
        <v>-0.19188843054690297</v>
      </c>
      <c r="N37" s="126">
        <f t="shared" ref="N37" si="364">N36/N$10</f>
        <v>-0.19004816487601375</v>
      </c>
      <c r="O37" s="126">
        <f t="shared" ref="O37" si="365">O36/O$10</f>
        <v>-0.18665535436504146</v>
      </c>
      <c r="P37" s="81"/>
      <c r="Q37" s="126">
        <f>Q36/Q$10</f>
        <v>-0.10228403341935427</v>
      </c>
      <c r="R37" s="126">
        <f t="shared" ref="R37" si="366">R36/R$10</f>
        <v>-0.13081955616837271</v>
      </c>
      <c r="S37" s="126">
        <f t="shared" ref="S37" si="367">S36/S$10</f>
        <v>-0.27156172536488837</v>
      </c>
      <c r="T37" s="126">
        <f t="shared" ref="T37" si="368">T36/T$10</f>
        <v>-0.18395749706919814</v>
      </c>
      <c r="U37" s="126">
        <f t="shared" ref="U37" si="369">U36/U$10</f>
        <v>-0.48923730063201065</v>
      </c>
      <c r="V37" s="126">
        <f t="shared" ref="V37" si="370">V36/V$10</f>
        <v>-0.75371787338013796</v>
      </c>
      <c r="W37" s="126">
        <f t="shared" ref="W37" si="371">W36/W$10</f>
        <v>-0.94240427957495609</v>
      </c>
      <c r="X37" s="126">
        <f t="shared" ref="X37" si="372">X36/X$10</f>
        <v>-0.9379995167761338</v>
      </c>
      <c r="Y37" s="126">
        <f t="shared" ref="Y37" si="373">Y36/Y$10</f>
        <v>-0.46345315192051045</v>
      </c>
      <c r="Z37" s="126">
        <f t="shared" ref="Z37" si="374">Z36/Z$10</f>
        <v>-0.4529764334782197</v>
      </c>
      <c r="AA37" s="126">
        <f t="shared" ref="AA37" si="375">AA36/AA$10</f>
        <v>-0.47876134023982864</v>
      </c>
      <c r="AB37" s="126">
        <f t="shared" ref="AB37" si="376">AB36/AB$10</f>
        <v>-0.33873840814850154</v>
      </c>
      <c r="AC37" s="126">
        <f t="shared" ref="AC37" si="377">AC36/AC$10</f>
        <v>-0.21853294820984751</v>
      </c>
      <c r="AD37" s="126">
        <f t="shared" ref="AD37" si="378">AD36/AD$10</f>
        <v>-0.25127687930972636</v>
      </c>
      <c r="AE37" s="126">
        <f t="shared" ref="AE37" si="379">AE36/AE$10</f>
        <v>-0.31317805529902681</v>
      </c>
      <c r="AF37" s="126">
        <f t="shared" ref="AF37" si="380">AF36/AF$10</f>
        <v>-0.16230189946721241</v>
      </c>
      <c r="AG37" s="126">
        <f t="shared" ref="AG37" si="381">AG36/AG$10</f>
        <v>-0.17468852845826197</v>
      </c>
      <c r="AH37" s="126">
        <f t="shared" ref="AH37" si="382">AH36/AH$10</f>
        <v>-0.2586961865018087</v>
      </c>
      <c r="AI37" s="126">
        <f t="shared" ref="AI37" si="383">AI36/AI$10</f>
        <v>-0.2304204061341269</v>
      </c>
      <c r="AJ37" s="126">
        <f t="shared" ref="AJ37" si="384">AJ36/AJ$10</f>
        <v>-0.27922177450369962</v>
      </c>
      <c r="AK37" s="126">
        <f>_xlfn.XLOOKUP('Cover Page'!$E$13,'IS &amp; BS Projections'!$B38:$B40,'IS &amp; BS Projections'!AK38:AK40)</f>
        <v>-0.14353294820984752</v>
      </c>
      <c r="AL37" s="126">
        <f>_xlfn.XLOOKUP('Cover Page'!$E$13,'IS &amp; BS Projections'!$B38:$B40,'IS &amp; BS Projections'!AL38:AL40)</f>
        <v>-0.18369618650180869</v>
      </c>
      <c r="AM37" s="126">
        <f>_xlfn.XLOOKUP('Cover Page'!$E$13,'IS &amp; BS Projections'!$B38:$B40,'IS &amp; BS Projections'!AM38:AM40)</f>
        <v>-0.2381780552990268</v>
      </c>
      <c r="AN37" s="126">
        <f>_xlfn.XLOOKUP('Cover Page'!$E$13,'IS &amp; BS Projections'!$B38:$B40,'IS &amp; BS Projections'!AN38:AN40)</f>
        <v>-0.2042217745036996</v>
      </c>
      <c r="AO37" s="126">
        <f>_xlfn.XLOOKUP('Cover Page'!$E$13,'IS &amp; BS Projections'!$B38:$B40,'IS &amp; BS Projections'!AO38:AO40)</f>
        <v>-0.14103294820984752</v>
      </c>
      <c r="AP37" s="126">
        <f>_xlfn.XLOOKUP('Cover Page'!$E$13,'IS &amp; BS Projections'!$B38:$B40,'IS &amp; BS Projections'!AP38:AP40)</f>
        <v>-0.18119618650180869</v>
      </c>
      <c r="AQ37" s="126">
        <f>_xlfn.XLOOKUP('Cover Page'!$E$13,'IS &amp; BS Projections'!$B38:$B40,'IS &amp; BS Projections'!AQ38:AQ40)</f>
        <v>-0.2356780552990268</v>
      </c>
      <c r="AR37" s="126">
        <f>_xlfn.XLOOKUP('Cover Page'!$E$13,'IS &amp; BS Projections'!$B38:$B40,'IS &amp; BS Projections'!AR38:AR40)</f>
        <v>-0.2017217745036996</v>
      </c>
      <c r="AS37" s="126">
        <f>_xlfn.XLOOKUP('Cover Page'!$E$13,'IS &amp; BS Projections'!$B38:$B40,'IS &amp; BS Projections'!AS38:AS40)</f>
        <v>-0.13853294820984752</v>
      </c>
      <c r="AT37" s="126">
        <f>_xlfn.XLOOKUP('Cover Page'!$E$13,'IS &amp; BS Projections'!$B38:$B40,'IS &amp; BS Projections'!AT38:AT40)</f>
        <v>-0.17869618650180868</v>
      </c>
      <c r="AU37" s="126">
        <f>_xlfn.XLOOKUP('Cover Page'!$E$13,'IS &amp; BS Projections'!$B38:$B40,'IS &amp; BS Projections'!AU38:AU40)</f>
        <v>-0.2331780552990268</v>
      </c>
      <c r="AV37" s="126">
        <f>_xlfn.XLOOKUP('Cover Page'!$E$13,'IS &amp; BS Projections'!$B38:$B40,'IS &amp; BS Projections'!AV38:AV40)</f>
        <v>-0.1992217745036996</v>
      </c>
      <c r="AW37" s="126">
        <f>_xlfn.XLOOKUP('Cover Page'!$E$13,'IS &amp; BS Projections'!$B38:$B40,'IS &amp; BS Projections'!AW38:AW40)</f>
        <v>-0.13603294820984752</v>
      </c>
      <c r="AX37" s="126">
        <f>_xlfn.XLOOKUP('Cover Page'!$E$13,'IS &amp; BS Projections'!$B38:$B40,'IS &amp; BS Projections'!AX38:AX40)</f>
        <v>-0.17619618650180868</v>
      </c>
      <c r="AY37" s="126">
        <f>_xlfn.XLOOKUP('Cover Page'!$E$13,'IS &amp; BS Projections'!$B38:$B40,'IS &amp; BS Projections'!AY38:AY40)</f>
        <v>-0.2306780552990268</v>
      </c>
      <c r="AZ37" s="126">
        <f>_xlfn.XLOOKUP('Cover Page'!$E$13,'IS &amp; BS Projections'!$B38:$B40,'IS &amp; BS Projections'!AZ38:AZ40)</f>
        <v>-0.1967217745036996</v>
      </c>
      <c r="BA37" s="126">
        <f>_xlfn.XLOOKUP('Cover Page'!$E$13,'IS &amp; BS Projections'!$B38:$B40,'IS &amp; BS Projections'!BA38:BA40)</f>
        <v>-0.13353294820984751</v>
      </c>
      <c r="BB37" s="126">
        <f>_xlfn.XLOOKUP('Cover Page'!$E$13,'IS &amp; BS Projections'!$B38:$B40,'IS &amp; BS Projections'!BB38:BB40)</f>
        <v>-0.17369618650180868</v>
      </c>
      <c r="BC37" s="126">
        <f>_xlfn.XLOOKUP('Cover Page'!$E$13,'IS &amp; BS Projections'!$B38:$B40,'IS &amp; BS Projections'!BC38:BC40)</f>
        <v>-0.22817805529902679</v>
      </c>
      <c r="BD37" s="126">
        <f>_xlfn.XLOOKUP('Cover Page'!$E$13,'IS &amp; BS Projections'!$B38:$B40,'IS &amp; BS Projections'!BD38:BD40)</f>
        <v>-0.1942217745036996</v>
      </c>
    </row>
    <row r="38" spans="2:56" x14ac:dyDescent="0.2">
      <c r="B38" s="1" t="s">
        <v>262</v>
      </c>
      <c r="D38" s="102">
        <v>0.05</v>
      </c>
      <c r="E38" s="43" t="s">
        <v>36</v>
      </c>
      <c r="AK38" s="101">
        <f t="shared" ref="AK38" si="385">AK39+$D38</f>
        <v>-9.3532948209847519E-2</v>
      </c>
      <c r="AL38" s="101">
        <f t="shared" ref="AL38" si="386">AL39+$D38</f>
        <v>-0.1336961865018087</v>
      </c>
      <c r="AM38" s="101">
        <f t="shared" ref="AM38" si="387">AM39+$D38</f>
        <v>-0.18817805529902681</v>
      </c>
      <c r="AN38" s="101">
        <f t="shared" ref="AN38" si="388">AN39+$D38</f>
        <v>-0.15422177450369962</v>
      </c>
      <c r="AO38" s="101">
        <f t="shared" ref="AO38" si="389">AO39+$D38</f>
        <v>-9.1032948209847517E-2</v>
      </c>
      <c r="AP38" s="101">
        <f t="shared" ref="AP38" si="390">AP39+$D38</f>
        <v>-0.1311961865018087</v>
      </c>
      <c r="AQ38" s="101">
        <f t="shared" ref="AQ38" si="391">AQ39+$D38</f>
        <v>-0.18567805529902681</v>
      </c>
      <c r="AR38" s="101">
        <f t="shared" ref="AR38" si="392">AR39+$D38</f>
        <v>-0.15172177450369961</v>
      </c>
      <c r="AS38" s="101">
        <f t="shared" ref="AS38" si="393">AS39+$D38</f>
        <v>-8.8532948209847515E-2</v>
      </c>
      <c r="AT38" s="101">
        <f t="shared" ref="AT38" si="394">AT39+$D38</f>
        <v>-0.1286961865018087</v>
      </c>
      <c r="AU38" s="101">
        <f t="shared" ref="AU38" si="395">AU39+$D38</f>
        <v>-0.18317805529902681</v>
      </c>
      <c r="AV38" s="101">
        <f t="shared" ref="AV38" si="396">AV39+$D38</f>
        <v>-0.14922177450369961</v>
      </c>
      <c r="AW38" s="101">
        <f t="shared" ref="AW38" si="397">AW39+$D38</f>
        <v>-8.6032948209847512E-2</v>
      </c>
      <c r="AX38" s="101">
        <f t="shared" ref="AX38" si="398">AX39+$D38</f>
        <v>-0.12619618650180869</v>
      </c>
      <c r="AY38" s="101">
        <f t="shared" ref="AY38" si="399">AY39+$D38</f>
        <v>-0.18067805529902681</v>
      </c>
      <c r="AZ38" s="101">
        <f t="shared" ref="AZ38" si="400">AZ39+$D38</f>
        <v>-0.14672177450369961</v>
      </c>
      <c r="BA38" s="101">
        <f t="shared" ref="BA38" si="401">BA39+$D38</f>
        <v>-8.353294820984751E-2</v>
      </c>
      <c r="BB38" s="101">
        <f t="shared" ref="BB38" si="402">BB39+$D38</f>
        <v>-0.12369618650180868</v>
      </c>
      <c r="BC38" s="101">
        <f t="shared" ref="BC38" si="403">BC39+$D38</f>
        <v>-0.17817805529902681</v>
      </c>
      <c r="BD38" s="101">
        <f t="shared" ref="BD38" si="404">BD39+$D38</f>
        <v>-0.14422177450369961</v>
      </c>
    </row>
    <row r="39" spans="2:56" x14ac:dyDescent="0.2">
      <c r="B39" s="1" t="s">
        <v>15</v>
      </c>
      <c r="D39" s="102">
        <v>7.4999999999999997E-2</v>
      </c>
      <c r="E39" s="43" t="s">
        <v>36</v>
      </c>
      <c r="AK39" s="101">
        <f>MEDIAN(Q37,U37,Y37,AC37,AG37)+$D39</f>
        <v>-0.14353294820984752</v>
      </c>
      <c r="AL39" s="101">
        <f>MEDIAN(R37,V37,Z37,AD37,AH37)+$D39</f>
        <v>-0.18369618650180869</v>
      </c>
      <c r="AM39" s="101">
        <f>MEDIAN(S37,W37,AA37,AE37,AI37)+$D39</f>
        <v>-0.2381780552990268</v>
      </c>
      <c r="AN39" s="101">
        <f>MEDIAN(T37,X37,AB37,AF37,AJ37)+$D39</f>
        <v>-0.2042217745036996</v>
      </c>
      <c r="AO39" s="101">
        <f t="shared" ref="AO39:BD39" si="405">(AK39)+0.0025</f>
        <v>-0.14103294820984752</v>
      </c>
      <c r="AP39" s="101">
        <f t="shared" si="405"/>
        <v>-0.18119618650180869</v>
      </c>
      <c r="AQ39" s="101">
        <f t="shared" si="405"/>
        <v>-0.2356780552990268</v>
      </c>
      <c r="AR39" s="101">
        <f t="shared" si="405"/>
        <v>-0.2017217745036996</v>
      </c>
      <c r="AS39" s="101">
        <f t="shared" si="405"/>
        <v>-0.13853294820984752</v>
      </c>
      <c r="AT39" s="101">
        <f t="shared" si="405"/>
        <v>-0.17869618650180868</v>
      </c>
      <c r="AU39" s="101">
        <f t="shared" si="405"/>
        <v>-0.2331780552990268</v>
      </c>
      <c r="AV39" s="101">
        <f t="shared" si="405"/>
        <v>-0.1992217745036996</v>
      </c>
      <c r="AW39" s="101">
        <f t="shared" si="405"/>
        <v>-0.13603294820984752</v>
      </c>
      <c r="AX39" s="101">
        <f t="shared" si="405"/>
        <v>-0.17619618650180868</v>
      </c>
      <c r="AY39" s="101">
        <f t="shared" si="405"/>
        <v>-0.2306780552990268</v>
      </c>
      <c r="AZ39" s="101">
        <f t="shared" si="405"/>
        <v>-0.1967217745036996</v>
      </c>
      <c r="BA39" s="101">
        <f t="shared" si="405"/>
        <v>-0.13353294820984751</v>
      </c>
      <c r="BB39" s="101">
        <f t="shared" si="405"/>
        <v>-0.17369618650180868</v>
      </c>
      <c r="BC39" s="101">
        <f t="shared" si="405"/>
        <v>-0.22817805529902679</v>
      </c>
      <c r="BD39" s="101">
        <f t="shared" si="405"/>
        <v>-0.1942217745036996</v>
      </c>
    </row>
    <row r="40" spans="2:56" x14ac:dyDescent="0.2">
      <c r="B40" s="1" t="s">
        <v>263</v>
      </c>
      <c r="D40" s="102">
        <v>-0.05</v>
      </c>
      <c r="E40" s="43" t="s">
        <v>36</v>
      </c>
      <c r="AK40" s="101">
        <f t="shared" ref="AK40" si="406">AK39+$D40</f>
        <v>-0.19353294820984751</v>
      </c>
      <c r="AL40" s="101">
        <f t="shared" ref="AL40" si="407">AL39+$D40</f>
        <v>-0.23369618650180868</v>
      </c>
      <c r="AM40" s="101">
        <f t="shared" ref="AM40" si="408">AM39+$D40</f>
        <v>-0.28817805529902679</v>
      </c>
      <c r="AN40" s="101">
        <f t="shared" ref="AN40" si="409">AN39+$D40</f>
        <v>-0.25422177450369959</v>
      </c>
      <c r="AO40" s="101">
        <f t="shared" ref="AO40" si="410">AO39+$D40</f>
        <v>-0.19103294820984751</v>
      </c>
      <c r="AP40" s="101">
        <f t="shared" ref="AP40" si="411">AP39+$D40</f>
        <v>-0.23119618650180868</v>
      </c>
      <c r="AQ40" s="101">
        <f t="shared" ref="AQ40" si="412">AQ39+$D40</f>
        <v>-0.28567805529902679</v>
      </c>
      <c r="AR40" s="101">
        <f t="shared" ref="AR40" si="413">AR39+$D40</f>
        <v>-0.25172177450369959</v>
      </c>
      <c r="AS40" s="101">
        <f t="shared" ref="AS40" si="414">AS39+$D40</f>
        <v>-0.18853294820984751</v>
      </c>
      <c r="AT40" s="101">
        <f t="shared" ref="AT40" si="415">AT39+$D40</f>
        <v>-0.22869618650180867</v>
      </c>
      <c r="AU40" s="101">
        <f t="shared" ref="AU40" si="416">AU39+$D40</f>
        <v>-0.28317805529902679</v>
      </c>
      <c r="AV40" s="101">
        <f t="shared" ref="AV40" si="417">AV39+$D40</f>
        <v>-0.24922177450369959</v>
      </c>
      <c r="AW40" s="101">
        <f t="shared" ref="AW40" si="418">AW39+$D40</f>
        <v>-0.1860329482098475</v>
      </c>
      <c r="AX40" s="101">
        <f t="shared" ref="AX40" si="419">AX39+$D40</f>
        <v>-0.22619618650180867</v>
      </c>
      <c r="AY40" s="101">
        <f t="shared" ref="AY40" si="420">AY39+$D40</f>
        <v>-0.28067805529902679</v>
      </c>
      <c r="AZ40" s="101">
        <f t="shared" ref="AZ40" si="421">AZ39+$D40</f>
        <v>-0.24672177450369959</v>
      </c>
      <c r="BA40" s="101">
        <f t="shared" ref="BA40" si="422">BA39+$D40</f>
        <v>-0.1835329482098475</v>
      </c>
      <c r="BB40" s="101">
        <f t="shared" ref="BB40" si="423">BB39+$D40</f>
        <v>-0.22369618650180867</v>
      </c>
      <c r="BC40" s="101">
        <f t="shared" ref="BC40" si="424">BC39+$D40</f>
        <v>-0.27817805529902678</v>
      </c>
      <c r="BD40" s="101">
        <f t="shared" ref="BD40" si="425">BD39+$D40</f>
        <v>-0.24422177450369958</v>
      </c>
    </row>
    <row r="41" spans="2:56" x14ac:dyDescent="0.2">
      <c r="AK41" s="467"/>
    </row>
    <row r="42" spans="2:56" x14ac:dyDescent="0.2">
      <c r="B42" s="1" t="s">
        <v>44</v>
      </c>
      <c r="E42" s="43" t="s">
        <v>33</v>
      </c>
      <c r="F42" s="50">
        <f t="shared" ref="F42:J42" si="426">SUMIFS($Q42:$BD42,$Q$1:$BD$1,F$1)</f>
        <v>0</v>
      </c>
      <c r="G42" s="50">
        <f t="shared" si="426"/>
        <v>0</v>
      </c>
      <c r="H42" s="50">
        <f t="shared" si="426"/>
        <v>34675</v>
      </c>
      <c r="I42" s="50">
        <f t="shared" si="426"/>
        <v>0</v>
      </c>
      <c r="J42" s="50">
        <f t="shared" si="426"/>
        <v>0</v>
      </c>
      <c r="K42" s="50">
        <f>SUMIFS($AJ42:$BC42,$AJ$1:$BC$1,K$1)</f>
        <v>0</v>
      </c>
      <c r="L42" s="50">
        <f t="shared" ref="L42:O42" si="427">SUMIFS($AJ42:$BC42,$AJ$1:$BC$1,L$1)</f>
        <v>0</v>
      </c>
      <c r="M42" s="50">
        <f t="shared" si="427"/>
        <v>0</v>
      </c>
      <c r="N42" s="50">
        <f t="shared" si="427"/>
        <v>0</v>
      </c>
      <c r="O42" s="50">
        <f t="shared" si="427"/>
        <v>0</v>
      </c>
      <c r="Q42" s="143">
        <f>_xlfn.XLOOKUP('IS &amp; BS Projections'!$B42,'3FS'!$B:$B,'3FS'!P:P)</f>
        <v>0</v>
      </c>
      <c r="R42" s="143">
        <f>_xlfn.XLOOKUP('IS &amp; BS Projections'!$B42,'3FS'!$B:$B,'3FS'!Q:Q)</f>
        <v>0</v>
      </c>
      <c r="S42" s="143">
        <f>_xlfn.XLOOKUP('IS &amp; BS Projections'!$B42,'3FS'!$B:$B,'3FS'!R:R)</f>
        <v>0</v>
      </c>
      <c r="T42" s="143">
        <f>_xlfn.XLOOKUP('IS &amp; BS Projections'!$B42,'3FS'!$B:$B,'3FS'!S:S)</f>
        <v>0</v>
      </c>
      <c r="U42" s="143">
        <f>_xlfn.XLOOKUP('IS &amp; BS Projections'!$B42,'3FS'!$B:$B,'3FS'!T:T)</f>
        <v>0</v>
      </c>
      <c r="V42" s="143">
        <f>_xlfn.XLOOKUP('IS &amp; BS Projections'!$B42,'3FS'!$B:$B,'3FS'!U:U)</f>
        <v>0</v>
      </c>
      <c r="W42" s="143">
        <f>_xlfn.XLOOKUP('IS &amp; BS Projections'!$B42,'3FS'!$B:$B,'3FS'!V:V)</f>
        <v>0</v>
      </c>
      <c r="X42" s="143">
        <f>_xlfn.XLOOKUP('IS &amp; BS Projections'!$B42,'3FS'!$B:$B,'3FS'!W:W)</f>
        <v>0</v>
      </c>
      <c r="Y42" s="143">
        <f>_xlfn.XLOOKUP('IS &amp; BS Projections'!$B42,'3FS'!$B:$B,'3FS'!X:X)</f>
        <v>-17962</v>
      </c>
      <c r="Z42" s="143">
        <f>_xlfn.XLOOKUP('IS &amp; BS Projections'!$B42,'3FS'!$B:$B,'3FS'!Y:Y)</f>
        <v>8053</v>
      </c>
      <c r="AA42" s="143">
        <f>_xlfn.XLOOKUP('IS &amp; BS Projections'!$B42,'3FS'!$B:$B,'3FS'!Z:Z)</f>
        <v>-7180</v>
      </c>
      <c r="AB42" s="143">
        <f>_xlfn.XLOOKUP('IS &amp; BS Projections'!$B42,'3FS'!$B:$B,'3FS'!AA:AA)</f>
        <v>51764</v>
      </c>
      <c r="AC42" s="143">
        <f>_xlfn.XLOOKUP('IS &amp; BS Projections'!$B42,'3FS'!$B:$B,'3FS'!AB:AB)</f>
        <v>0</v>
      </c>
      <c r="AD42" s="143">
        <f>_xlfn.XLOOKUP('IS &amp; BS Projections'!$B42,'3FS'!$B:$B,'3FS'!AC:AC)</f>
        <v>0</v>
      </c>
      <c r="AE42" s="143">
        <f>_xlfn.XLOOKUP('IS &amp; BS Projections'!$B42,'3FS'!$B:$B,'3FS'!AD:AD)</f>
        <v>0</v>
      </c>
      <c r="AF42" s="143">
        <f>_xlfn.XLOOKUP('IS &amp; BS Projections'!$B42,'3FS'!$B:$B,'3FS'!AE:AE)</f>
        <v>0</v>
      </c>
      <c r="AG42" s="143">
        <f>_xlfn.XLOOKUP('IS &amp; BS Projections'!$B42,'3FS'!$B:$B,'3FS'!AF:AF)</f>
        <v>0</v>
      </c>
      <c r="AH42" s="143">
        <f>_xlfn.XLOOKUP('IS &amp; BS Projections'!$B42,'3FS'!$B:$B,'3FS'!AG:AG)</f>
        <v>0</v>
      </c>
      <c r="AI42" s="143">
        <f>_xlfn.XLOOKUP('IS &amp; BS Projections'!$B42,'3FS'!$B:$B,'3FS'!AH:AH)</f>
        <v>0</v>
      </c>
      <c r="AJ42" s="143">
        <f>_xlfn.XLOOKUP('IS &amp; BS Projections'!$B42,'3FS'!$B:$B,'3FS'!AI:AI)</f>
        <v>0</v>
      </c>
      <c r="AK42" s="50">
        <f>AK43*AK$10</f>
        <v>0</v>
      </c>
      <c r="AL42" s="50">
        <f t="shared" ref="AL42" si="428">AL43*AL$10</f>
        <v>0</v>
      </c>
      <c r="AM42" s="50">
        <f t="shared" ref="AM42" si="429">AM43*AM$10</f>
        <v>0</v>
      </c>
      <c r="AN42" s="50">
        <f t="shared" ref="AN42" si="430">AN43*AN$10</f>
        <v>0</v>
      </c>
      <c r="AO42" s="50">
        <f t="shared" ref="AO42" si="431">AO43*AO$10</f>
        <v>0</v>
      </c>
      <c r="AP42" s="50">
        <f t="shared" ref="AP42" si="432">AP43*AP$10</f>
        <v>0</v>
      </c>
      <c r="AQ42" s="50">
        <f t="shared" ref="AQ42" si="433">AQ43*AQ$10</f>
        <v>0</v>
      </c>
      <c r="AR42" s="50">
        <f t="shared" ref="AR42" si="434">AR43*AR$10</f>
        <v>0</v>
      </c>
      <c r="AS42" s="50">
        <f t="shared" ref="AS42" si="435">AS43*AS$10</f>
        <v>0</v>
      </c>
      <c r="AT42" s="50">
        <f t="shared" ref="AT42" si="436">AT43*AT$10</f>
        <v>0</v>
      </c>
      <c r="AU42" s="50">
        <f t="shared" ref="AU42" si="437">AU43*AU$10</f>
        <v>0</v>
      </c>
      <c r="AV42" s="50">
        <f t="shared" ref="AV42" si="438">AV43*AV$10</f>
        <v>0</v>
      </c>
      <c r="AW42" s="50">
        <f t="shared" ref="AW42" si="439">AW43*AW$10</f>
        <v>0</v>
      </c>
      <c r="AX42" s="50">
        <f t="shared" ref="AX42" si="440">AX43*AX$10</f>
        <v>0</v>
      </c>
      <c r="AY42" s="50">
        <f t="shared" ref="AY42" si="441">AY43*AY$10</f>
        <v>0</v>
      </c>
      <c r="AZ42" s="50">
        <f t="shared" ref="AZ42" si="442">AZ43*AZ$10</f>
        <v>0</v>
      </c>
      <c r="BA42" s="50">
        <f t="shared" ref="BA42" si="443">BA43*BA$10</f>
        <v>0</v>
      </c>
      <c r="BB42" s="50">
        <f t="shared" ref="BB42" si="444">BB43*BB$10</f>
        <v>0</v>
      </c>
      <c r="BC42" s="50">
        <f t="shared" ref="BC42" si="445">BC43*BC$10</f>
        <v>0</v>
      </c>
      <c r="BD42" s="50">
        <f t="shared" ref="BD42" si="446">BD43*BD$10</f>
        <v>0</v>
      </c>
    </row>
    <row r="43" spans="2:56" x14ac:dyDescent="0.2">
      <c r="B43" s="98" t="s">
        <v>293</v>
      </c>
      <c r="C43" s="45"/>
      <c r="D43" s="45"/>
      <c r="E43" s="46" t="s">
        <v>36</v>
      </c>
      <c r="F43" s="126">
        <f t="shared" ref="F43" si="447">F42/F$10</f>
        <v>0</v>
      </c>
      <c r="G43" s="126">
        <f t="shared" ref="G43" si="448">G42/G$10</f>
        <v>0</v>
      </c>
      <c r="H43" s="126">
        <f t="shared" ref="H43" si="449">H42/H$10</f>
        <v>1.11553177327247E-2</v>
      </c>
      <c r="I43" s="126">
        <f t="shared" ref="I43" si="450">I42/I$10</f>
        <v>0</v>
      </c>
      <c r="J43" s="126">
        <f t="shared" ref="J43" si="451">J42/J$10</f>
        <v>0</v>
      </c>
      <c r="K43" s="126">
        <f t="shared" ref="K43" si="452">K42/K$10</f>
        <v>0</v>
      </c>
      <c r="L43" s="126">
        <f t="shared" ref="L43" si="453">L42/L$10</f>
        <v>0</v>
      </c>
      <c r="M43" s="126">
        <f t="shared" ref="M43" si="454">M42/M$10</f>
        <v>0</v>
      </c>
      <c r="N43" s="126">
        <f t="shared" ref="N43" si="455">N42/N$10</f>
        <v>0</v>
      </c>
      <c r="O43" s="126">
        <f t="shared" ref="O43" si="456">O42/O$10</f>
        <v>0</v>
      </c>
      <c r="P43" s="81"/>
      <c r="Q43" s="126">
        <f>Q42/Q$10</f>
        <v>0</v>
      </c>
      <c r="R43" s="126">
        <f t="shared" ref="R43" si="457">R42/R$10</f>
        <v>0</v>
      </c>
      <c r="S43" s="126">
        <f t="shared" ref="S43" si="458">S42/S$10</f>
        <v>0</v>
      </c>
      <c r="T43" s="126">
        <f t="shared" ref="T43" si="459">T42/T$10</f>
        <v>0</v>
      </c>
      <c r="U43" s="126">
        <f t="shared" ref="U43" si="460">U42/U$10</f>
        <v>0</v>
      </c>
      <c r="V43" s="126">
        <f t="shared" ref="V43" si="461">V42/V$10</f>
        <v>0</v>
      </c>
      <c r="W43" s="126">
        <f t="shared" ref="W43" si="462">W42/W$10</f>
        <v>0</v>
      </c>
      <c r="X43" s="126">
        <f t="shared" ref="X43" si="463">X42/X$10</f>
        <v>0</v>
      </c>
      <c r="Y43" s="126">
        <f t="shared" ref="Y43" si="464">Y42/Y$10</f>
        <v>-2.3250907085688693E-2</v>
      </c>
      <c r="Z43" s="126">
        <f t="shared" ref="Z43" si="465">Z42/Z$10</f>
        <v>1.1375723784487033E-2</v>
      </c>
      <c r="AA43" s="126">
        <f t="shared" ref="AA43" si="466">AA42/AA$10</f>
        <v>-1.0650480309961611E-2</v>
      </c>
      <c r="AB43" s="126">
        <f t="shared" ref="AB43" si="467">AB42/AB$10</f>
        <v>5.4271620211890394E-2</v>
      </c>
      <c r="AC43" s="126">
        <f t="shared" ref="AC43" si="468">AC42/AC$10</f>
        <v>0</v>
      </c>
      <c r="AD43" s="126">
        <f t="shared" ref="AD43" si="469">AD42/AD$10</f>
        <v>0</v>
      </c>
      <c r="AE43" s="126">
        <f t="shared" ref="AE43" si="470">AE42/AE$10</f>
        <v>0</v>
      </c>
      <c r="AF43" s="126">
        <f t="shared" ref="AF43" si="471">AF42/AF$10</f>
        <v>0</v>
      </c>
      <c r="AG43" s="126">
        <f t="shared" ref="AG43" si="472">AG42/AG$10</f>
        <v>0</v>
      </c>
      <c r="AH43" s="126">
        <f t="shared" ref="AH43" si="473">AH42/AH$10</f>
        <v>0</v>
      </c>
      <c r="AI43" s="126">
        <f t="shared" ref="AI43" si="474">AI42/AI$10</f>
        <v>0</v>
      </c>
      <c r="AJ43" s="126">
        <f t="shared" ref="AJ43" si="475">AJ42/AJ$10</f>
        <v>0</v>
      </c>
      <c r="AK43" s="126">
        <f>_xlfn.XLOOKUP('Cover Page'!$E$13,'IS &amp; BS Projections'!$B44:$B46,'IS &amp; BS Projections'!AK44:AK46)</f>
        <v>0</v>
      </c>
      <c r="AL43" s="126">
        <f>_xlfn.XLOOKUP('Cover Page'!$E$13,'IS &amp; BS Projections'!$B44:$B46,'IS &amp; BS Projections'!AL44:AL46)</f>
        <v>0</v>
      </c>
      <c r="AM43" s="126">
        <f>_xlfn.XLOOKUP('Cover Page'!$E$13,'IS &amp; BS Projections'!$B44:$B46,'IS &amp; BS Projections'!AM44:AM46)</f>
        <v>0</v>
      </c>
      <c r="AN43" s="126">
        <f>_xlfn.XLOOKUP('Cover Page'!$E$13,'IS &amp; BS Projections'!$B44:$B46,'IS &amp; BS Projections'!AN44:AN46)</f>
        <v>0</v>
      </c>
      <c r="AO43" s="126">
        <f>_xlfn.XLOOKUP('Cover Page'!$E$13,'IS &amp; BS Projections'!$B44:$B46,'IS &amp; BS Projections'!AO44:AO46)</f>
        <v>0</v>
      </c>
      <c r="AP43" s="126">
        <f>_xlfn.XLOOKUP('Cover Page'!$E$13,'IS &amp; BS Projections'!$B44:$B46,'IS &amp; BS Projections'!AP44:AP46)</f>
        <v>0</v>
      </c>
      <c r="AQ43" s="126">
        <f>_xlfn.XLOOKUP('Cover Page'!$E$13,'IS &amp; BS Projections'!$B44:$B46,'IS &amp; BS Projections'!AQ44:AQ46)</f>
        <v>0</v>
      </c>
      <c r="AR43" s="126">
        <f>_xlfn.XLOOKUP('Cover Page'!$E$13,'IS &amp; BS Projections'!$B44:$B46,'IS &amp; BS Projections'!AR44:AR46)</f>
        <v>0</v>
      </c>
      <c r="AS43" s="126">
        <f>_xlfn.XLOOKUP('Cover Page'!$E$13,'IS &amp; BS Projections'!$B44:$B46,'IS &amp; BS Projections'!AS44:AS46)</f>
        <v>0</v>
      </c>
      <c r="AT43" s="126">
        <f>_xlfn.XLOOKUP('Cover Page'!$E$13,'IS &amp; BS Projections'!$B44:$B46,'IS &amp; BS Projections'!AT44:AT46)</f>
        <v>0</v>
      </c>
      <c r="AU43" s="126">
        <f>_xlfn.XLOOKUP('Cover Page'!$E$13,'IS &amp; BS Projections'!$B44:$B46,'IS &amp; BS Projections'!AU44:AU46)</f>
        <v>0</v>
      </c>
      <c r="AV43" s="126">
        <f>_xlfn.XLOOKUP('Cover Page'!$E$13,'IS &amp; BS Projections'!$B44:$B46,'IS &amp; BS Projections'!AV44:AV46)</f>
        <v>0</v>
      </c>
      <c r="AW43" s="126">
        <f>_xlfn.XLOOKUP('Cover Page'!$E$13,'IS &amp; BS Projections'!$B44:$B46,'IS &amp; BS Projections'!AW44:AW46)</f>
        <v>0</v>
      </c>
      <c r="AX43" s="126">
        <f>_xlfn.XLOOKUP('Cover Page'!$E$13,'IS &amp; BS Projections'!$B44:$B46,'IS &amp; BS Projections'!AX44:AX46)</f>
        <v>0</v>
      </c>
      <c r="AY43" s="126">
        <f>_xlfn.XLOOKUP('Cover Page'!$E$13,'IS &amp; BS Projections'!$B44:$B46,'IS &amp; BS Projections'!AY44:AY46)</f>
        <v>0</v>
      </c>
      <c r="AZ43" s="126">
        <f>_xlfn.XLOOKUP('Cover Page'!$E$13,'IS &amp; BS Projections'!$B44:$B46,'IS &amp; BS Projections'!AZ44:AZ46)</f>
        <v>0</v>
      </c>
      <c r="BA43" s="126">
        <f>_xlfn.XLOOKUP('Cover Page'!$E$13,'IS &amp; BS Projections'!$B44:$B46,'IS &amp; BS Projections'!BA44:BA46)</f>
        <v>0</v>
      </c>
      <c r="BB43" s="126">
        <f>_xlfn.XLOOKUP('Cover Page'!$E$13,'IS &amp; BS Projections'!$B44:$B46,'IS &amp; BS Projections'!BB44:BB46)</f>
        <v>0</v>
      </c>
      <c r="BC43" s="126">
        <f>_xlfn.XLOOKUP('Cover Page'!$E$13,'IS &amp; BS Projections'!$B44:$B46,'IS &amp; BS Projections'!BC44:BC46)</f>
        <v>0</v>
      </c>
      <c r="BD43" s="126">
        <f>_xlfn.XLOOKUP('Cover Page'!$E$13,'IS &amp; BS Projections'!$B44:$B46,'IS &amp; BS Projections'!BD44:BD46)</f>
        <v>0</v>
      </c>
    </row>
    <row r="44" spans="2:56" x14ac:dyDescent="0.2">
      <c r="B44" s="1" t="s">
        <v>262</v>
      </c>
      <c r="D44" s="102">
        <v>0.05</v>
      </c>
      <c r="E44" s="43" t="s">
        <v>36</v>
      </c>
      <c r="AK44" s="101">
        <f t="shared" ref="AK44" si="476">AK45+$D44</f>
        <v>0.05</v>
      </c>
      <c r="AL44" s="101">
        <f t="shared" ref="AL44" si="477">AL45+$D44</f>
        <v>0.05</v>
      </c>
      <c r="AM44" s="101">
        <f t="shared" ref="AM44" si="478">AM45+$D44</f>
        <v>0.05</v>
      </c>
      <c r="AN44" s="101">
        <f t="shared" ref="AN44" si="479">AN45+$D44</f>
        <v>0.05</v>
      </c>
      <c r="AO44" s="101">
        <f t="shared" ref="AO44" si="480">AO45+$D44</f>
        <v>0.05</v>
      </c>
      <c r="AP44" s="101">
        <f t="shared" ref="AP44" si="481">AP45+$D44</f>
        <v>0.05</v>
      </c>
      <c r="AQ44" s="101">
        <f t="shared" ref="AQ44" si="482">AQ45+$D44</f>
        <v>0.05</v>
      </c>
      <c r="AR44" s="101">
        <f t="shared" ref="AR44" si="483">AR45+$D44</f>
        <v>0.05</v>
      </c>
      <c r="AS44" s="101">
        <f t="shared" ref="AS44" si="484">AS45+$D44</f>
        <v>0.05</v>
      </c>
      <c r="AT44" s="101">
        <f t="shared" ref="AT44" si="485">AT45+$D44</f>
        <v>0.05</v>
      </c>
      <c r="AU44" s="101">
        <f t="shared" ref="AU44" si="486">AU45+$D44</f>
        <v>0.05</v>
      </c>
      <c r="AV44" s="101">
        <f t="shared" ref="AV44" si="487">AV45+$D44</f>
        <v>0.05</v>
      </c>
      <c r="AW44" s="101">
        <f t="shared" ref="AW44" si="488">AW45+$D44</f>
        <v>0.05</v>
      </c>
      <c r="AX44" s="101">
        <f t="shared" ref="AX44" si="489">AX45+$D44</f>
        <v>0.05</v>
      </c>
      <c r="AY44" s="101">
        <f t="shared" ref="AY44" si="490">AY45+$D44</f>
        <v>0.05</v>
      </c>
      <c r="AZ44" s="101">
        <f t="shared" ref="AZ44" si="491">AZ45+$D44</f>
        <v>0.05</v>
      </c>
      <c r="BA44" s="101">
        <f t="shared" ref="BA44" si="492">BA45+$D44</f>
        <v>0.05</v>
      </c>
      <c r="BB44" s="101">
        <f t="shared" ref="BB44" si="493">BB45+$D44</f>
        <v>0.05</v>
      </c>
      <c r="BC44" s="101">
        <f t="shared" ref="BC44" si="494">BC45+$D44</f>
        <v>0.05</v>
      </c>
      <c r="BD44" s="101">
        <f t="shared" ref="BD44" si="495">BD45+$D44</f>
        <v>0.05</v>
      </c>
    </row>
    <row r="45" spans="2:56" x14ac:dyDescent="0.2">
      <c r="B45" s="1" t="s">
        <v>15</v>
      </c>
      <c r="D45" s="102">
        <v>0</v>
      </c>
      <c r="E45" s="43" t="s">
        <v>36</v>
      </c>
      <c r="AK45" s="101">
        <f>MEDIAN(Q43,U43,Y43,AC43,AG43)</f>
        <v>0</v>
      </c>
      <c r="AL45" s="101">
        <f t="shared" ref="AL45" si="496">MEDIAN(R43,V43,Z43,AD43,AH43)</f>
        <v>0</v>
      </c>
      <c r="AM45" s="101">
        <f t="shared" ref="AM45" si="497">MEDIAN(S43,W43,AA43,AE43,AI43)</f>
        <v>0</v>
      </c>
      <c r="AN45" s="101">
        <f t="shared" ref="AN45" si="498">MEDIAN(T43,X43,AB43,AF43,AJ43)</f>
        <v>0</v>
      </c>
      <c r="AO45" s="101">
        <f>AK45</f>
        <v>0</v>
      </c>
      <c r="AP45" s="101">
        <f t="shared" ref="AP45" si="499">AL45</f>
        <v>0</v>
      </c>
      <c r="AQ45" s="101">
        <f t="shared" ref="AQ45" si="500">AM45</f>
        <v>0</v>
      </c>
      <c r="AR45" s="101">
        <f t="shared" ref="AR45" si="501">AN45</f>
        <v>0</v>
      </c>
      <c r="AS45" s="101">
        <f t="shared" ref="AS45" si="502">AO45</f>
        <v>0</v>
      </c>
      <c r="AT45" s="101">
        <f t="shared" ref="AT45" si="503">AP45</f>
        <v>0</v>
      </c>
      <c r="AU45" s="101">
        <f t="shared" ref="AU45" si="504">AQ45</f>
        <v>0</v>
      </c>
      <c r="AV45" s="101">
        <f t="shared" ref="AV45" si="505">AR45</f>
        <v>0</v>
      </c>
      <c r="AW45" s="101">
        <f t="shared" ref="AW45" si="506">AS45</f>
        <v>0</v>
      </c>
      <c r="AX45" s="101">
        <f t="shared" ref="AX45" si="507">AT45</f>
        <v>0</v>
      </c>
      <c r="AY45" s="101">
        <f t="shared" ref="AY45" si="508">AU45</f>
        <v>0</v>
      </c>
      <c r="AZ45" s="101">
        <f t="shared" ref="AZ45" si="509">AV45</f>
        <v>0</v>
      </c>
      <c r="BA45" s="101">
        <f t="shared" ref="BA45" si="510">AW45</f>
        <v>0</v>
      </c>
      <c r="BB45" s="101">
        <f t="shared" ref="BB45" si="511">AX45</f>
        <v>0</v>
      </c>
      <c r="BC45" s="101">
        <f t="shared" ref="BC45" si="512">AY45</f>
        <v>0</v>
      </c>
      <c r="BD45" s="101">
        <f t="shared" ref="BD45" si="513">AZ45</f>
        <v>0</v>
      </c>
    </row>
    <row r="46" spans="2:56" x14ac:dyDescent="0.2">
      <c r="B46" s="1" t="s">
        <v>263</v>
      </c>
      <c r="D46" s="102">
        <v>-0.05</v>
      </c>
      <c r="E46" s="43" t="s">
        <v>36</v>
      </c>
      <c r="AK46" s="101">
        <f t="shared" ref="AK46" si="514">AK45+$D46</f>
        <v>-0.05</v>
      </c>
      <c r="AL46" s="101">
        <f t="shared" ref="AL46" si="515">AL45+$D46</f>
        <v>-0.05</v>
      </c>
      <c r="AM46" s="101">
        <f t="shared" ref="AM46" si="516">AM45+$D46</f>
        <v>-0.05</v>
      </c>
      <c r="AN46" s="101">
        <f t="shared" ref="AN46" si="517">AN45+$D46</f>
        <v>-0.05</v>
      </c>
      <c r="AO46" s="101">
        <f t="shared" ref="AO46" si="518">AO45+$D46</f>
        <v>-0.05</v>
      </c>
      <c r="AP46" s="101">
        <f t="shared" ref="AP46" si="519">AP45+$D46</f>
        <v>-0.05</v>
      </c>
      <c r="AQ46" s="101">
        <f t="shared" ref="AQ46" si="520">AQ45+$D46</f>
        <v>-0.05</v>
      </c>
      <c r="AR46" s="101">
        <f t="shared" ref="AR46" si="521">AR45+$D46</f>
        <v>-0.05</v>
      </c>
      <c r="AS46" s="101">
        <f t="shared" ref="AS46" si="522">AS45+$D46</f>
        <v>-0.05</v>
      </c>
      <c r="AT46" s="101">
        <f t="shared" ref="AT46" si="523">AT45+$D46</f>
        <v>-0.05</v>
      </c>
      <c r="AU46" s="101">
        <f t="shared" ref="AU46" si="524">AU45+$D46</f>
        <v>-0.05</v>
      </c>
      <c r="AV46" s="101">
        <f t="shared" ref="AV46" si="525">AV45+$D46</f>
        <v>-0.05</v>
      </c>
      <c r="AW46" s="101">
        <f t="shared" ref="AW46" si="526">AW45+$D46</f>
        <v>-0.05</v>
      </c>
      <c r="AX46" s="101">
        <f t="shared" ref="AX46" si="527">AX45+$D46</f>
        <v>-0.05</v>
      </c>
      <c r="AY46" s="101">
        <f t="shared" ref="AY46" si="528">AY45+$D46</f>
        <v>-0.05</v>
      </c>
      <c r="AZ46" s="101">
        <f t="shared" ref="AZ46" si="529">AZ45+$D46</f>
        <v>-0.05</v>
      </c>
      <c r="BA46" s="101">
        <f t="shared" ref="BA46" si="530">BA45+$D46</f>
        <v>-0.05</v>
      </c>
      <c r="BB46" s="101">
        <f t="shared" ref="BB46" si="531">BB45+$D46</f>
        <v>-0.05</v>
      </c>
      <c r="BC46" s="101">
        <f t="shared" ref="BC46" si="532">BC45+$D46</f>
        <v>-0.05</v>
      </c>
      <c r="BD46" s="101">
        <f t="shared" ref="BD46" si="533">BD45+$D46</f>
        <v>-0.05</v>
      </c>
    </row>
    <row r="48" spans="2:56" x14ac:dyDescent="0.2">
      <c r="B48" s="1" t="s">
        <v>45</v>
      </c>
      <c r="E48" s="43" t="s">
        <v>33</v>
      </c>
      <c r="F48" s="50">
        <f t="shared" ref="F48:J48" si="534">SUMIFS($Q48:$BD48,$Q$1:$BD$1,F$1)</f>
        <v>-630308</v>
      </c>
      <c r="G48" s="50">
        <f t="shared" si="534"/>
        <v>-717405</v>
      </c>
      <c r="H48" s="50">
        <f t="shared" si="534"/>
        <v>-10260</v>
      </c>
      <c r="I48" s="50">
        <f t="shared" si="534"/>
        <v>-28203</v>
      </c>
      <c r="J48" s="50">
        <f t="shared" si="534"/>
        <v>-363406</v>
      </c>
      <c r="K48" s="50">
        <f>SUMIFS($AJ48:$BC48,$AJ$1:$BC$1,K$1)</f>
        <v>-306627.4536292305</v>
      </c>
      <c r="L48" s="50">
        <f t="shared" ref="L48:O48" si="535">SUMIFS($AJ48:$BC48,$AJ$1:$BC$1,L$1)</f>
        <v>-349856.43900111748</v>
      </c>
      <c r="M48" s="50">
        <f t="shared" si="535"/>
        <v>-398624.14845246612</v>
      </c>
      <c r="N48" s="50">
        <f t="shared" si="535"/>
        <v>-472377.48705014936</v>
      </c>
      <c r="O48" s="50">
        <f t="shared" si="535"/>
        <v>-592293.71375467686</v>
      </c>
      <c r="Q48" s="143">
        <f>_xlfn.XLOOKUP('IS &amp; BS Projections'!$B48,'3FS'!$B:$B,'3FS'!P:P)</f>
        <v>-155887</v>
      </c>
      <c r="R48" s="143">
        <f>_xlfn.XLOOKUP('IS &amp; BS Projections'!$B48,'3FS'!$B:$B,'3FS'!Q:Q)</f>
        <v>-282422</v>
      </c>
      <c r="S48" s="143">
        <f>_xlfn.XLOOKUP('IS &amp; BS Projections'!$B48,'3FS'!$B:$B,'3FS'!R:R)</f>
        <v>-118548</v>
      </c>
      <c r="T48" s="143">
        <f>_xlfn.XLOOKUP('IS &amp; BS Projections'!$B48,'3FS'!$B:$B,'3FS'!S:S)</f>
        <v>-73451</v>
      </c>
      <c r="U48" s="143">
        <f>_xlfn.XLOOKUP('IS &amp; BS Projections'!$B48,'3FS'!$B:$B,'3FS'!T:T)</f>
        <v>-258627</v>
      </c>
      <c r="V48" s="143">
        <f>_xlfn.XLOOKUP('IS &amp; BS Projections'!$B48,'3FS'!$B:$B,'3FS'!U:U)</f>
        <v>-422762</v>
      </c>
      <c r="W48" s="143">
        <f>_xlfn.XLOOKUP('IS &amp; BS Projections'!$B48,'3FS'!$B:$B,'3FS'!V:V)</f>
        <v>-62646</v>
      </c>
      <c r="X48" s="143">
        <f>_xlfn.XLOOKUP('IS &amp; BS Projections'!$B48,'3FS'!$B:$B,'3FS'!W:W)</f>
        <v>26630</v>
      </c>
      <c r="Y48" s="143">
        <f>_xlfn.XLOOKUP('IS &amp; BS Projections'!$B48,'3FS'!$B:$B,'3FS'!X:X)</f>
        <v>33184</v>
      </c>
      <c r="Z48" s="143">
        <f>_xlfn.XLOOKUP('IS &amp; BS Projections'!$B48,'3FS'!$B:$B,'3FS'!Y:Y)</f>
        <v>-18866</v>
      </c>
      <c r="AA48" s="143">
        <f>_xlfn.XLOOKUP('IS &amp; BS Projections'!$B48,'3FS'!$B:$B,'3FS'!Z:Z)</f>
        <v>-3512</v>
      </c>
      <c r="AB48" s="143">
        <f>_xlfn.XLOOKUP('IS &amp; BS Projections'!$B48,'3FS'!$B:$B,'3FS'!AA:AA)</f>
        <v>-21066</v>
      </c>
      <c r="AC48" s="143">
        <f>_xlfn.XLOOKUP('IS &amp; BS Projections'!$B48,'3FS'!$B:$B,'3FS'!AB:AB)</f>
        <v>-2376</v>
      </c>
      <c r="AD48" s="143">
        <f>_xlfn.XLOOKUP('IS &amp; BS Projections'!$B48,'3FS'!$B:$B,'3FS'!AC:AC)</f>
        <v>-34383</v>
      </c>
      <c r="AE48" s="143">
        <f>_xlfn.XLOOKUP('IS &amp; BS Projections'!$B48,'3FS'!$B:$B,'3FS'!AD:AD)</f>
        <v>8556</v>
      </c>
      <c r="AF48" s="143">
        <f>_xlfn.XLOOKUP('IS &amp; BS Projections'!$B48,'3FS'!$B:$B,'3FS'!AE:AE)</f>
        <v>0</v>
      </c>
      <c r="AG48" s="143">
        <f>_xlfn.XLOOKUP('IS &amp; BS Projections'!$B48,'3FS'!$B:$B,'3FS'!AF:AF)</f>
        <v>5899</v>
      </c>
      <c r="AH48" s="143">
        <f>_xlfn.XLOOKUP('IS &amp; BS Projections'!$B48,'3FS'!$B:$B,'3FS'!AG:AG)</f>
        <v>-308025</v>
      </c>
      <c r="AI48" s="143">
        <f>_xlfn.XLOOKUP('IS &amp; BS Projections'!$B48,'3FS'!$B:$B,'3FS'!AH:AH)</f>
        <v>-61280</v>
      </c>
      <c r="AJ48" s="143">
        <f>_xlfn.XLOOKUP('IS &amp; BS Projections'!$B48,'3FS'!$B:$B,'3FS'!AI:AI)</f>
        <v>0</v>
      </c>
      <c r="AK48" s="50">
        <f>AK49*AK$10</f>
        <v>-2703.8495360311308</v>
      </c>
      <c r="AL48" s="50">
        <f t="shared" ref="AL48" si="536">AL49*AL$10</f>
        <v>-226078.70030780337</v>
      </c>
      <c r="AM48" s="50">
        <f t="shared" ref="AM48" si="537">AM49*AM$10</f>
        <v>-77844.903785396018</v>
      </c>
      <c r="AN48" s="50">
        <f t="shared" ref="AN48" si="538">AN49*AN$10</f>
        <v>0</v>
      </c>
      <c r="AO48" s="50">
        <f t="shared" ref="AO48" si="539">AO49*AO$10</f>
        <v>-2821.6543405292582</v>
      </c>
      <c r="AP48" s="50">
        <f t="shared" ref="AP48" si="540">AP49*AP$10</f>
        <v>-257205.39029360615</v>
      </c>
      <c r="AQ48" s="50">
        <f t="shared" ref="AQ48" si="541">AQ49*AQ$10</f>
        <v>-89829.394366982044</v>
      </c>
      <c r="AR48" s="50">
        <f t="shared" ref="AR48" si="542">AR49*AR$10</f>
        <v>0</v>
      </c>
      <c r="AS48" s="50">
        <f t="shared" ref="AS48" si="543">AS49*AS$10</f>
        <v>-3071.5494461366034</v>
      </c>
      <c r="AT48" s="50">
        <f t="shared" ref="AT48" si="544">AT49*AT$10</f>
        <v>-294326.20480967622</v>
      </c>
      <c r="AU48" s="50">
        <f t="shared" ref="AU48" si="545">AU49*AU$10</f>
        <v>-101226.39419665327</v>
      </c>
      <c r="AV48" s="50">
        <f t="shared" ref="AV48" si="546">AV49*AV$10</f>
        <v>0</v>
      </c>
      <c r="AW48" s="50">
        <f t="shared" ref="AW48" si="547">AW49*AW$10</f>
        <v>-3391.3708818102332</v>
      </c>
      <c r="AX48" s="50">
        <f t="shared" ref="AX48" si="548">AX49*AX$10</f>
        <v>-350047.05160179164</v>
      </c>
      <c r="AY48" s="50">
        <f t="shared" ref="AY48" si="549">AY49*AY$10</f>
        <v>-118939.06456654746</v>
      </c>
      <c r="AZ48" s="50">
        <f t="shared" ref="AZ48" si="550">AZ49*AZ$10</f>
        <v>0</v>
      </c>
      <c r="BA48" s="50">
        <f t="shared" ref="BA48" si="551">BA49*BA$10</f>
        <v>-3896.4672859507382</v>
      </c>
      <c r="BB48" s="50">
        <f t="shared" ref="BB48" si="552">BB49*BB$10</f>
        <v>-440189.73720549303</v>
      </c>
      <c r="BC48" s="50">
        <f t="shared" ref="BC48" si="553">BC49*BC$10</f>
        <v>-148207.50926323314</v>
      </c>
      <c r="BD48" s="50">
        <f t="shared" ref="BD48" si="554">BD49*BD$10</f>
        <v>0</v>
      </c>
    </row>
    <row r="49" spans="2:56" x14ac:dyDescent="0.2">
      <c r="B49" s="98" t="s">
        <v>293</v>
      </c>
      <c r="C49" s="45"/>
      <c r="D49" s="45"/>
      <c r="E49" s="46" t="s">
        <v>36</v>
      </c>
      <c r="F49" s="126">
        <f t="shared" ref="F49" si="555">F48/F$10</f>
        <v>-8.0402120303159214E-2</v>
      </c>
      <c r="G49" s="126">
        <f t="shared" ref="G49" si="556">G48/G$10</f>
        <v>-0.22459558050070627</v>
      </c>
      <c r="H49" s="126">
        <f t="shared" ref="H49" si="557">H48/H$10</f>
        <v>-3.3007515483130618E-3</v>
      </c>
      <c r="I49" s="126">
        <f t="shared" ref="I49" si="558">I48/I$10</f>
        <v>-4.2965995879359446E-3</v>
      </c>
      <c r="J49" s="126">
        <f t="shared" ref="J49" si="559">J48/J$10</f>
        <v>-6.7294964849423988E-2</v>
      </c>
      <c r="K49" s="126">
        <f t="shared" ref="K49" si="560">K48/K$10</f>
        <v>-3.9511200132690771E-2</v>
      </c>
      <c r="L49" s="126">
        <f t="shared" ref="L49" si="561">L48/L$10</f>
        <v>-4.0316896341205916E-2</v>
      </c>
      <c r="M49" s="126">
        <f t="shared" ref="M49" si="562">M48/M$10</f>
        <v>-4.0990207995119876E-2</v>
      </c>
      <c r="N49" s="126">
        <f t="shared" ref="N49" si="563">N48/N$10</f>
        <v>-4.1823998855293892E-2</v>
      </c>
      <c r="O49" s="126">
        <f t="shared" ref="O49" si="564">O48/O$10</f>
        <v>-5.5470985529638708E-2</v>
      </c>
      <c r="P49" s="81"/>
      <c r="Q49" s="126">
        <f>Q48/Q$10</f>
        <v>-8.6550419962778555E-2</v>
      </c>
      <c r="R49" s="126">
        <f t="shared" ref="R49" si="565">R48/R$10</f>
        <v>-0.12676248517703623</v>
      </c>
      <c r="S49" s="126">
        <f t="shared" ref="S49" si="566">S48/S$10</f>
        <v>-9.0363043750019051E-2</v>
      </c>
      <c r="T49" s="126">
        <f t="shared" ref="T49" si="567">T48/T$10</f>
        <v>-2.9398474181927047E-2</v>
      </c>
      <c r="U49" s="126">
        <f t="shared" ref="U49" si="568">U48/U$10</f>
        <v>-0.22172412374103681</v>
      </c>
      <c r="V49" s="126">
        <f t="shared" ref="V49" si="569">V48/V$10</f>
        <v>-0.52300992793740142</v>
      </c>
      <c r="W49" s="126">
        <f t="shared" ref="W49" si="570">W48/W$10</f>
        <v>-0.106118687737046</v>
      </c>
      <c r="X49" s="126">
        <f t="shared" ref="X49" si="571">X48/X$10</f>
        <v>4.2329774855827618E-2</v>
      </c>
      <c r="Y49" s="126">
        <f t="shared" ref="Y49" si="572">Y48/Y$10</f>
        <v>4.2955021753228684E-2</v>
      </c>
      <c r="Z49" s="126">
        <f t="shared" ref="Z49" si="573">Z48/Z$10</f>
        <v>-2.66502427565047E-2</v>
      </c>
      <c r="AA49" s="126">
        <f t="shared" ref="AA49" si="574">AA48/AA$10</f>
        <v>-5.2095385582987715E-3</v>
      </c>
      <c r="AB49" s="126">
        <f t="shared" ref="AB49" si="575">AB48/AB$10</f>
        <v>-2.2086507058644678E-2</v>
      </c>
      <c r="AC49" s="126">
        <f t="shared" ref="AC49" si="576">AC48/AC$10</f>
        <v>-1.4509303419090482E-3</v>
      </c>
      <c r="AD49" s="126">
        <f t="shared" ref="AD49" si="577">AD48/AD$10</f>
        <v>-2.3718498814868365E-2</v>
      </c>
      <c r="AE49" s="126">
        <f t="shared" ref="AE49" si="578">AE48/AE$10</f>
        <v>7.0992778749959552E-3</v>
      </c>
      <c r="AF49" s="126">
        <f t="shared" ref="AF49" si="579">AF48/AF$10</f>
        <v>0</v>
      </c>
      <c r="AG49" s="126">
        <f t="shared" ref="AG49" si="580">AG48/AG$10</f>
        <v>2.8997760895052094E-3</v>
      </c>
      <c r="AH49" s="126">
        <f t="shared" ref="AH49" si="581">AH48/AH$10</f>
        <v>-0.20573293757447195</v>
      </c>
      <c r="AI49" s="126">
        <f t="shared" ref="AI49" si="582">AI48/AI$10</f>
        <v>-3.2792973484676191E-2</v>
      </c>
      <c r="AJ49" s="126">
        <f t="shared" ref="AJ49" si="583">AJ48/AJ$10</f>
        <v>0</v>
      </c>
      <c r="AK49" s="126">
        <f>_xlfn.XLOOKUP('Cover Page'!$E$13,'IS &amp; BS Projections'!$B50:$B52,'IS &amp; BS Projections'!AK50:AK52)</f>
        <v>-1.4509303419090482E-3</v>
      </c>
      <c r="AL49" s="126">
        <f>_xlfn.XLOOKUP('Cover Page'!$E$13,'IS &amp; BS Projections'!$B50:$B52,'IS &amp; BS Projections'!AL50:AL52)</f>
        <v>-0.12676248517703623</v>
      </c>
      <c r="AM49" s="126">
        <f>_xlfn.XLOOKUP('Cover Page'!$E$13,'IS &amp; BS Projections'!$B50:$B52,'IS &amp; BS Projections'!AM50:AM52)</f>
        <v>-3.2792973484676191E-2</v>
      </c>
      <c r="AN49" s="126">
        <f>_xlfn.XLOOKUP('Cover Page'!$E$13,'IS &amp; BS Projections'!$B50:$B52,'IS &amp; BS Projections'!AN50:AN52)</f>
        <v>0</v>
      </c>
      <c r="AO49" s="126">
        <f>_xlfn.XLOOKUP('Cover Page'!$E$13,'IS &amp; BS Projections'!$B50:$B52,'IS &amp; BS Projections'!AO50:AO52)</f>
        <v>-1.4509303419090482E-3</v>
      </c>
      <c r="AP49" s="126">
        <f>_xlfn.XLOOKUP('Cover Page'!$E$13,'IS &amp; BS Projections'!$B50:$B52,'IS &amp; BS Projections'!AP50:AP52)</f>
        <v>-0.12676248517703623</v>
      </c>
      <c r="AQ49" s="126">
        <f>_xlfn.XLOOKUP('Cover Page'!$E$13,'IS &amp; BS Projections'!$B50:$B52,'IS &amp; BS Projections'!AQ50:AQ52)</f>
        <v>-3.2792973484676191E-2</v>
      </c>
      <c r="AR49" s="126">
        <f>_xlfn.XLOOKUP('Cover Page'!$E$13,'IS &amp; BS Projections'!$B50:$B52,'IS &amp; BS Projections'!AR50:AR52)</f>
        <v>0</v>
      </c>
      <c r="AS49" s="126">
        <f>_xlfn.XLOOKUP('Cover Page'!$E$13,'IS &amp; BS Projections'!$B50:$B52,'IS &amp; BS Projections'!AS50:AS52)</f>
        <v>-1.4509303419090482E-3</v>
      </c>
      <c r="AT49" s="126">
        <f>_xlfn.XLOOKUP('Cover Page'!$E$13,'IS &amp; BS Projections'!$B50:$B52,'IS &amp; BS Projections'!AT50:AT52)</f>
        <v>-0.12676248517703623</v>
      </c>
      <c r="AU49" s="126">
        <f>_xlfn.XLOOKUP('Cover Page'!$E$13,'IS &amp; BS Projections'!$B50:$B52,'IS &amp; BS Projections'!AU50:AU52)</f>
        <v>-3.2792973484676191E-2</v>
      </c>
      <c r="AV49" s="126">
        <f>_xlfn.XLOOKUP('Cover Page'!$E$13,'IS &amp; BS Projections'!$B50:$B52,'IS &amp; BS Projections'!AV50:AV52)</f>
        <v>0</v>
      </c>
      <c r="AW49" s="126">
        <f>_xlfn.XLOOKUP('Cover Page'!$E$13,'IS &amp; BS Projections'!$B50:$B52,'IS &amp; BS Projections'!AW50:AW52)</f>
        <v>-1.4509303419090482E-3</v>
      </c>
      <c r="AX49" s="126">
        <f>_xlfn.XLOOKUP('Cover Page'!$E$13,'IS &amp; BS Projections'!$B50:$B52,'IS &amp; BS Projections'!AX50:AX52)</f>
        <v>-0.12676248517703623</v>
      </c>
      <c r="AY49" s="126">
        <f>_xlfn.XLOOKUP('Cover Page'!$E$13,'IS &amp; BS Projections'!$B50:$B52,'IS &amp; BS Projections'!AY50:AY52)</f>
        <v>-3.2792973484676191E-2</v>
      </c>
      <c r="AZ49" s="126">
        <f>_xlfn.XLOOKUP('Cover Page'!$E$13,'IS &amp; BS Projections'!$B50:$B52,'IS &amp; BS Projections'!AZ50:AZ52)</f>
        <v>0</v>
      </c>
      <c r="BA49" s="126">
        <f>_xlfn.XLOOKUP('Cover Page'!$E$13,'IS &amp; BS Projections'!$B50:$B52,'IS &amp; BS Projections'!BA50:BA52)</f>
        <v>-1.4509303419090482E-3</v>
      </c>
      <c r="BB49" s="126">
        <f>_xlfn.XLOOKUP('Cover Page'!$E$13,'IS &amp; BS Projections'!$B50:$B52,'IS &amp; BS Projections'!BB50:BB52)</f>
        <v>-0.12676248517703623</v>
      </c>
      <c r="BC49" s="126">
        <f>_xlfn.XLOOKUP('Cover Page'!$E$13,'IS &amp; BS Projections'!$B50:$B52,'IS &amp; BS Projections'!BC50:BC52)</f>
        <v>-3.2792973484676191E-2</v>
      </c>
      <c r="BD49" s="126">
        <f>_xlfn.XLOOKUP('Cover Page'!$E$13,'IS &amp; BS Projections'!$B50:$B52,'IS &amp; BS Projections'!BD50:BD52)</f>
        <v>0</v>
      </c>
    </row>
    <row r="50" spans="2:56" x14ac:dyDescent="0.2">
      <c r="B50" s="1" t="s">
        <v>262</v>
      </c>
      <c r="D50" s="102">
        <v>0.05</v>
      </c>
      <c r="E50" s="43" t="s">
        <v>36</v>
      </c>
      <c r="AK50" s="101">
        <f t="shared" ref="AK50" si="584">AK51+$D50</f>
        <v>4.8549069658090957E-2</v>
      </c>
      <c r="AL50" s="101">
        <f t="shared" ref="AL50" si="585">AL51+$D50</f>
        <v>-7.6762485177036224E-2</v>
      </c>
      <c r="AM50" s="101">
        <f t="shared" ref="AM50" si="586">AM51+$D50</f>
        <v>1.7207026515323812E-2</v>
      </c>
      <c r="AN50" s="101">
        <f t="shared" ref="AN50" si="587">AN51+$D50</f>
        <v>0.05</v>
      </c>
      <c r="AO50" s="101">
        <f t="shared" ref="AO50" si="588">AO51+$D50</f>
        <v>4.8549069658090957E-2</v>
      </c>
      <c r="AP50" s="101">
        <f t="shared" ref="AP50" si="589">AP51+$D50</f>
        <v>-7.6762485177036224E-2</v>
      </c>
      <c r="AQ50" s="101">
        <f t="shared" ref="AQ50" si="590">AQ51+$D50</f>
        <v>1.7207026515323812E-2</v>
      </c>
      <c r="AR50" s="101">
        <f t="shared" ref="AR50" si="591">AR51+$D50</f>
        <v>0.05</v>
      </c>
      <c r="AS50" s="101">
        <f t="shared" ref="AS50" si="592">AS51+$D50</f>
        <v>4.8549069658090957E-2</v>
      </c>
      <c r="AT50" s="101">
        <f t="shared" ref="AT50" si="593">AT51+$D50</f>
        <v>-7.6762485177036224E-2</v>
      </c>
      <c r="AU50" s="101">
        <f t="shared" ref="AU50" si="594">AU51+$D50</f>
        <v>1.7207026515323812E-2</v>
      </c>
      <c r="AV50" s="101">
        <f t="shared" ref="AV50" si="595">AV51+$D50</f>
        <v>0.05</v>
      </c>
      <c r="AW50" s="101">
        <f t="shared" ref="AW50" si="596">AW51+$D50</f>
        <v>4.8549069658090957E-2</v>
      </c>
      <c r="AX50" s="101">
        <f t="shared" ref="AX50" si="597">AX51+$D50</f>
        <v>-7.6762485177036224E-2</v>
      </c>
      <c r="AY50" s="101">
        <f t="shared" ref="AY50" si="598">AY51+$D50</f>
        <v>1.7207026515323812E-2</v>
      </c>
      <c r="AZ50" s="101">
        <f t="shared" ref="AZ50" si="599">AZ51+$D50</f>
        <v>0.05</v>
      </c>
      <c r="BA50" s="101">
        <f t="shared" ref="BA50" si="600">BA51+$D50</f>
        <v>4.8549069658090957E-2</v>
      </c>
      <c r="BB50" s="101">
        <f t="shared" ref="BB50" si="601">BB51+$D50</f>
        <v>-7.6762485177036224E-2</v>
      </c>
      <c r="BC50" s="101">
        <f t="shared" ref="BC50" si="602">BC51+$D50</f>
        <v>1.7207026515323812E-2</v>
      </c>
      <c r="BD50" s="101">
        <f t="shared" ref="BD50" si="603">BD51+$D50</f>
        <v>0.05</v>
      </c>
    </row>
    <row r="51" spans="2:56" x14ac:dyDescent="0.2">
      <c r="B51" s="1" t="s">
        <v>15</v>
      </c>
      <c r="D51" s="102">
        <v>0</v>
      </c>
      <c r="E51" s="43" t="s">
        <v>36</v>
      </c>
      <c r="AK51" s="101">
        <f>MEDIAN(Q49,U49,Y49,AC49,AG49)</f>
        <v>-1.4509303419090482E-3</v>
      </c>
      <c r="AL51" s="101">
        <f t="shared" ref="AL51" si="604">MEDIAN(R49,V49,Z49,AD49,AH49)</f>
        <v>-0.12676248517703623</v>
      </c>
      <c r="AM51" s="101">
        <f t="shared" ref="AM51" si="605">MEDIAN(S49,W49,AA49,AE49,AI49)</f>
        <v>-3.2792973484676191E-2</v>
      </c>
      <c r="AN51" s="101">
        <f t="shared" ref="AN51" si="606">MEDIAN(T49,X49,AB49,AF49,AJ49)</f>
        <v>0</v>
      </c>
      <c r="AO51" s="101">
        <f>AK51</f>
        <v>-1.4509303419090482E-3</v>
      </c>
      <c r="AP51" s="101">
        <f t="shared" ref="AP51" si="607">AL51</f>
        <v>-0.12676248517703623</v>
      </c>
      <c r="AQ51" s="101">
        <f t="shared" ref="AQ51" si="608">AM51</f>
        <v>-3.2792973484676191E-2</v>
      </c>
      <c r="AR51" s="101">
        <f t="shared" ref="AR51" si="609">AN51</f>
        <v>0</v>
      </c>
      <c r="AS51" s="101">
        <f t="shared" ref="AS51" si="610">AO51</f>
        <v>-1.4509303419090482E-3</v>
      </c>
      <c r="AT51" s="101">
        <f t="shared" ref="AT51" si="611">AP51</f>
        <v>-0.12676248517703623</v>
      </c>
      <c r="AU51" s="101">
        <f t="shared" ref="AU51" si="612">AQ51</f>
        <v>-3.2792973484676191E-2</v>
      </c>
      <c r="AV51" s="101">
        <f t="shared" ref="AV51" si="613">AR51</f>
        <v>0</v>
      </c>
      <c r="AW51" s="101">
        <f t="shared" ref="AW51" si="614">AS51</f>
        <v>-1.4509303419090482E-3</v>
      </c>
      <c r="AX51" s="101">
        <f t="shared" ref="AX51" si="615">AT51</f>
        <v>-0.12676248517703623</v>
      </c>
      <c r="AY51" s="101">
        <f t="shared" ref="AY51" si="616">AU51</f>
        <v>-3.2792973484676191E-2</v>
      </c>
      <c r="AZ51" s="101">
        <f t="shared" ref="AZ51" si="617">AV51</f>
        <v>0</v>
      </c>
      <c r="BA51" s="101">
        <f t="shared" ref="BA51" si="618">AW51</f>
        <v>-1.4509303419090482E-3</v>
      </c>
      <c r="BB51" s="101">
        <f t="shared" ref="BB51" si="619">AX51</f>
        <v>-0.12676248517703623</v>
      </c>
      <c r="BC51" s="101">
        <f t="shared" ref="BC51" si="620">AY51</f>
        <v>-3.2792973484676191E-2</v>
      </c>
      <c r="BD51" s="101">
        <f t="shared" ref="BD51" si="621">AZ51</f>
        <v>0</v>
      </c>
    </row>
    <row r="52" spans="2:56" x14ac:dyDescent="0.2">
      <c r="B52" s="1" t="s">
        <v>263</v>
      </c>
      <c r="D52" s="102">
        <v>-0.05</v>
      </c>
      <c r="E52" s="43" t="s">
        <v>36</v>
      </c>
      <c r="AK52" s="101">
        <f t="shared" ref="AK52" si="622">AK51+$D52</f>
        <v>-5.1450930341909049E-2</v>
      </c>
      <c r="AL52" s="101">
        <f t="shared" ref="AL52" si="623">AL51+$D52</f>
        <v>-0.17676248517703624</v>
      </c>
      <c r="AM52" s="101">
        <f t="shared" ref="AM52" si="624">AM51+$D52</f>
        <v>-8.2792973484676194E-2</v>
      </c>
      <c r="AN52" s="101">
        <f t="shared" ref="AN52" si="625">AN51+$D52</f>
        <v>-0.05</v>
      </c>
      <c r="AO52" s="101">
        <f t="shared" ref="AO52" si="626">AO51+$D52</f>
        <v>-5.1450930341909049E-2</v>
      </c>
      <c r="AP52" s="101">
        <f t="shared" ref="AP52" si="627">AP51+$D52</f>
        <v>-0.17676248517703624</v>
      </c>
      <c r="AQ52" s="101">
        <f t="shared" ref="AQ52" si="628">AQ51+$D52</f>
        <v>-8.2792973484676194E-2</v>
      </c>
      <c r="AR52" s="101">
        <f t="shared" ref="AR52" si="629">AR51+$D52</f>
        <v>-0.05</v>
      </c>
      <c r="AS52" s="101">
        <f t="shared" ref="AS52" si="630">AS51+$D52</f>
        <v>-5.1450930341909049E-2</v>
      </c>
      <c r="AT52" s="101">
        <f t="shared" ref="AT52" si="631">AT51+$D52</f>
        <v>-0.17676248517703624</v>
      </c>
      <c r="AU52" s="101">
        <f t="shared" ref="AU52" si="632">AU51+$D52</f>
        <v>-8.2792973484676194E-2</v>
      </c>
      <c r="AV52" s="101">
        <f t="shared" ref="AV52" si="633">AV51+$D52</f>
        <v>-0.05</v>
      </c>
      <c r="AW52" s="101">
        <f t="shared" ref="AW52" si="634">AW51+$D52</f>
        <v>-5.1450930341909049E-2</v>
      </c>
      <c r="AX52" s="101">
        <f t="shared" ref="AX52" si="635">AX51+$D52</f>
        <v>-0.17676248517703624</v>
      </c>
      <c r="AY52" s="101">
        <f t="shared" ref="AY52" si="636">AY51+$D52</f>
        <v>-8.2792973484676194E-2</v>
      </c>
      <c r="AZ52" s="101">
        <f t="shared" ref="AZ52" si="637">AZ51+$D52</f>
        <v>-0.05</v>
      </c>
      <c r="BA52" s="101">
        <f t="shared" ref="BA52" si="638">BA51+$D52</f>
        <v>-5.1450930341909049E-2</v>
      </c>
      <c r="BB52" s="101">
        <f t="shared" ref="BB52" si="639">BB51+$D52</f>
        <v>-0.17676248517703624</v>
      </c>
      <c r="BC52" s="101">
        <f t="shared" ref="BC52" si="640">BC51+$D52</f>
        <v>-8.2792973484676194E-2</v>
      </c>
      <c r="BD52" s="101">
        <f t="shared" ref="BD52" si="641">BD51+$D52</f>
        <v>-0.05</v>
      </c>
    </row>
    <row r="54" spans="2:56" x14ac:dyDescent="0.2">
      <c r="B54" s="1" t="s">
        <v>46</v>
      </c>
      <c r="E54" s="43" t="s">
        <v>33</v>
      </c>
      <c r="F54" s="50">
        <f t="shared" ref="F54:J54" si="642">SUMIFS($Q54:$BD54,$Q$1:$BD$1,F$1)</f>
        <v>0</v>
      </c>
      <c r="G54" s="50">
        <f t="shared" si="642"/>
        <v>0</v>
      </c>
      <c r="H54" s="50">
        <f t="shared" si="642"/>
        <v>0</v>
      </c>
      <c r="I54" s="50">
        <f t="shared" si="642"/>
        <v>20270</v>
      </c>
      <c r="J54" s="50">
        <f t="shared" si="642"/>
        <v>7280</v>
      </c>
      <c r="K54" s="50">
        <f>SUMIFS($AJ54:$BC54,$AJ$1:$BC$1,K$1)</f>
        <v>0</v>
      </c>
      <c r="L54" s="50">
        <f t="shared" ref="L54:O54" si="643">SUMIFS($AJ54:$BC54,$AJ$1:$BC$1,L$1)</f>
        <v>0</v>
      </c>
      <c r="M54" s="50">
        <f t="shared" si="643"/>
        <v>0</v>
      </c>
      <c r="N54" s="50">
        <f t="shared" si="643"/>
        <v>0</v>
      </c>
      <c r="O54" s="50">
        <f t="shared" si="643"/>
        <v>0</v>
      </c>
      <c r="Q54" s="143">
        <f>_xlfn.XLOOKUP('IS &amp; BS Projections'!$B54,'3FS'!$B:$B,'3FS'!P:P)</f>
        <v>0</v>
      </c>
      <c r="R54" s="143">
        <f>_xlfn.XLOOKUP('IS &amp; BS Projections'!$B54,'3FS'!$B:$B,'3FS'!Q:Q)</f>
        <v>0</v>
      </c>
      <c r="S54" s="143">
        <f>_xlfn.XLOOKUP('IS &amp; BS Projections'!$B54,'3FS'!$B:$B,'3FS'!R:R)</f>
        <v>0</v>
      </c>
      <c r="T54" s="143">
        <f>_xlfn.XLOOKUP('IS &amp; BS Projections'!$B54,'3FS'!$B:$B,'3FS'!S:S)</f>
        <v>0</v>
      </c>
      <c r="U54" s="143">
        <f>_xlfn.XLOOKUP('IS &amp; BS Projections'!$B54,'3FS'!$B:$B,'3FS'!T:T)</f>
        <v>0</v>
      </c>
      <c r="V54" s="143">
        <f>_xlfn.XLOOKUP('IS &amp; BS Projections'!$B54,'3FS'!$B:$B,'3FS'!U:U)</f>
        <v>0</v>
      </c>
      <c r="W54" s="143">
        <f>_xlfn.XLOOKUP('IS &amp; BS Projections'!$B54,'3FS'!$B:$B,'3FS'!V:V)</f>
        <v>0</v>
      </c>
      <c r="X54" s="143">
        <f>_xlfn.XLOOKUP('IS &amp; BS Projections'!$B54,'3FS'!$B:$B,'3FS'!W:W)</f>
        <v>0</v>
      </c>
      <c r="Y54" s="143">
        <f>_xlfn.XLOOKUP('IS &amp; BS Projections'!$B54,'3FS'!$B:$B,'3FS'!X:X)</f>
        <v>0</v>
      </c>
      <c r="Z54" s="143">
        <f>_xlfn.XLOOKUP('IS &amp; BS Projections'!$B54,'3FS'!$B:$B,'3FS'!Y:Y)</f>
        <v>0</v>
      </c>
      <c r="AA54" s="143">
        <f>_xlfn.XLOOKUP('IS &amp; BS Projections'!$B54,'3FS'!$B:$B,'3FS'!Z:Z)</f>
        <v>0</v>
      </c>
      <c r="AB54" s="143">
        <f>_xlfn.XLOOKUP('IS &amp; BS Projections'!$B54,'3FS'!$B:$B,'3FS'!AA:AA)</f>
        <v>0</v>
      </c>
      <c r="AC54" s="143">
        <f>_xlfn.XLOOKUP('IS &amp; BS Projections'!$B54,'3FS'!$B:$B,'3FS'!AB:AB)</f>
        <v>0</v>
      </c>
      <c r="AD54" s="143">
        <f>_xlfn.XLOOKUP('IS &amp; BS Projections'!$B54,'3FS'!$B:$B,'3FS'!AC:AC)</f>
        <v>0</v>
      </c>
      <c r="AE54" s="143">
        <f>_xlfn.XLOOKUP('IS &amp; BS Projections'!$B54,'3FS'!$B:$B,'3FS'!AD:AD)</f>
        <v>0</v>
      </c>
      <c r="AF54" s="143">
        <f>_xlfn.XLOOKUP('IS &amp; BS Projections'!$B54,'3FS'!$B:$B,'3FS'!AE:AE)</f>
        <v>20270</v>
      </c>
      <c r="AG54" s="143">
        <f>_xlfn.XLOOKUP('IS &amp; BS Projections'!$B54,'3FS'!$B:$B,'3FS'!AF:AF)</f>
        <v>0</v>
      </c>
      <c r="AH54" s="143">
        <f>_xlfn.XLOOKUP('IS &amp; BS Projections'!$B54,'3FS'!$B:$B,'3FS'!AG:AG)</f>
        <v>0</v>
      </c>
      <c r="AI54" s="143">
        <f>_xlfn.XLOOKUP('IS &amp; BS Projections'!$B54,'3FS'!$B:$B,'3FS'!AH:AH)</f>
        <v>0</v>
      </c>
      <c r="AJ54" s="143">
        <f>_xlfn.XLOOKUP('IS &amp; BS Projections'!$B54,'3FS'!$B:$B,'3FS'!AI:AI)</f>
        <v>7280</v>
      </c>
      <c r="AK54" s="50">
        <f>AK55*AK$10</f>
        <v>0</v>
      </c>
      <c r="AL54" s="50">
        <f t="shared" ref="AL54" si="644">AL55*AL$10</f>
        <v>0</v>
      </c>
      <c r="AM54" s="50">
        <f t="shared" ref="AM54" si="645">AM55*AM$10</f>
        <v>0</v>
      </c>
      <c r="AN54" s="50">
        <f t="shared" ref="AN54" si="646">AN55*AN$10</f>
        <v>0</v>
      </c>
      <c r="AO54" s="50">
        <f t="shared" ref="AO54" si="647">AO55*AO$10</f>
        <v>0</v>
      </c>
      <c r="AP54" s="50">
        <f t="shared" ref="AP54" si="648">AP55*AP$10</f>
        <v>0</v>
      </c>
      <c r="AQ54" s="50">
        <f t="shared" ref="AQ54" si="649">AQ55*AQ$10</f>
        <v>0</v>
      </c>
      <c r="AR54" s="50">
        <f t="shared" ref="AR54" si="650">AR55*AR$10</f>
        <v>0</v>
      </c>
      <c r="AS54" s="50">
        <f t="shared" ref="AS54" si="651">AS55*AS$10</f>
        <v>0</v>
      </c>
      <c r="AT54" s="50">
        <f t="shared" ref="AT54" si="652">AT55*AT$10</f>
        <v>0</v>
      </c>
      <c r="AU54" s="50">
        <f t="shared" ref="AU54" si="653">AU55*AU$10</f>
        <v>0</v>
      </c>
      <c r="AV54" s="50">
        <f t="shared" ref="AV54" si="654">AV55*AV$10</f>
        <v>0</v>
      </c>
      <c r="AW54" s="50">
        <f t="shared" ref="AW54" si="655">AW55*AW$10</f>
        <v>0</v>
      </c>
      <c r="AX54" s="50">
        <f t="shared" ref="AX54" si="656">AX55*AX$10</f>
        <v>0</v>
      </c>
      <c r="AY54" s="50">
        <f t="shared" ref="AY54" si="657">AY55*AY$10</f>
        <v>0</v>
      </c>
      <c r="AZ54" s="50">
        <f t="shared" ref="AZ54" si="658">AZ55*AZ$10</f>
        <v>0</v>
      </c>
      <c r="BA54" s="50">
        <f t="shared" ref="BA54" si="659">BA55*BA$10</f>
        <v>0</v>
      </c>
      <c r="BB54" s="50">
        <f t="shared" ref="BB54" si="660">BB55*BB$10</f>
        <v>0</v>
      </c>
      <c r="BC54" s="50">
        <f t="shared" ref="BC54" si="661">BC55*BC$10</f>
        <v>0</v>
      </c>
      <c r="BD54" s="50">
        <f t="shared" ref="BD54" si="662">BD55*BD$10</f>
        <v>0</v>
      </c>
    </row>
    <row r="55" spans="2:56" x14ac:dyDescent="0.2">
      <c r="B55" s="98" t="s">
        <v>293</v>
      </c>
      <c r="C55" s="45"/>
      <c r="D55" s="45"/>
      <c r="E55" s="46" t="s">
        <v>36</v>
      </c>
      <c r="F55" s="126">
        <f t="shared" ref="F55" si="663">F54/F$10</f>
        <v>0</v>
      </c>
      <c r="G55" s="126">
        <f t="shared" ref="G55" si="664">G54/G$10</f>
        <v>0</v>
      </c>
      <c r="H55" s="126">
        <f t="shared" ref="H55" si="665">H54/H$10</f>
        <v>0</v>
      </c>
      <c r="I55" s="126">
        <f t="shared" ref="I55" si="666">I54/I$10</f>
        <v>3.0880428907372119E-3</v>
      </c>
      <c r="J55" s="126">
        <f t="shared" ref="J55" si="667">J54/J$10</f>
        <v>1.3480992171395262E-3</v>
      </c>
      <c r="K55" s="126">
        <f t="shared" ref="K55" si="668">K54/K$10</f>
        <v>0</v>
      </c>
      <c r="L55" s="126">
        <f t="shared" ref="L55" si="669">L54/L$10</f>
        <v>0</v>
      </c>
      <c r="M55" s="126">
        <f t="shared" ref="M55" si="670">M54/M$10</f>
        <v>0</v>
      </c>
      <c r="N55" s="126">
        <f t="shared" ref="N55" si="671">N54/N$10</f>
        <v>0</v>
      </c>
      <c r="O55" s="126">
        <f t="shared" ref="O55" si="672">O54/O$10</f>
        <v>0</v>
      </c>
      <c r="P55" s="81"/>
      <c r="Q55" s="126">
        <f>Q54/Q$10</f>
        <v>0</v>
      </c>
      <c r="R55" s="126">
        <f t="shared" ref="R55" si="673">R54/R$10</f>
        <v>0</v>
      </c>
      <c r="S55" s="126">
        <f t="shared" ref="S55" si="674">S54/S$10</f>
        <v>0</v>
      </c>
      <c r="T55" s="126">
        <f t="shared" ref="T55" si="675">T54/T$10</f>
        <v>0</v>
      </c>
      <c r="U55" s="126">
        <f t="shared" ref="U55" si="676">U54/U$10</f>
        <v>0</v>
      </c>
      <c r="V55" s="126">
        <f t="shared" ref="V55" si="677">V54/V$10</f>
        <v>0</v>
      </c>
      <c r="W55" s="126">
        <f t="shared" ref="W55" si="678">W54/W$10</f>
        <v>0</v>
      </c>
      <c r="X55" s="126">
        <f t="shared" ref="X55" si="679">X54/X$10</f>
        <v>0</v>
      </c>
      <c r="Y55" s="126">
        <f t="shared" ref="Y55" si="680">Y54/Y$10</f>
        <v>0</v>
      </c>
      <c r="Z55" s="126">
        <f t="shared" ref="Z55" si="681">Z54/Z$10</f>
        <v>0</v>
      </c>
      <c r="AA55" s="126">
        <f t="shared" ref="AA55" si="682">AA54/AA$10</f>
        <v>0</v>
      </c>
      <c r="AB55" s="126">
        <f t="shared" ref="AB55" si="683">AB54/AB$10</f>
        <v>0</v>
      </c>
      <c r="AC55" s="126">
        <f t="shared" ref="AC55" si="684">AC54/AC$10</f>
        <v>0</v>
      </c>
      <c r="AD55" s="126">
        <f t="shared" ref="AD55" si="685">AD54/AD$10</f>
        <v>0</v>
      </c>
      <c r="AE55" s="126">
        <f t="shared" ref="AE55" si="686">AE54/AE$10</f>
        <v>0</v>
      </c>
      <c r="AF55" s="126">
        <f t="shared" ref="AF55" si="687">AF54/AF$10</f>
        <v>8.9230805802159412E-3</v>
      </c>
      <c r="AG55" s="126">
        <f t="shared" ref="AG55" si="688">AG54/AG$10</f>
        <v>0</v>
      </c>
      <c r="AH55" s="126">
        <f t="shared" ref="AH55" si="689">AH54/AH$10</f>
        <v>0</v>
      </c>
      <c r="AI55" s="126">
        <f t="shared" ref="AI55" si="690">AI54/AI$10</f>
        <v>0</v>
      </c>
      <c r="AJ55" s="126">
        <f t="shared" ref="AJ55" si="691">AJ54/AJ$10</f>
        <v>4.087295193105047E-3</v>
      </c>
      <c r="AK55" s="126">
        <f>_xlfn.XLOOKUP('Cover Page'!$E$13,'IS &amp; BS Projections'!$B56:$B58,'IS &amp; BS Projections'!AK56:AK58)</f>
        <v>0</v>
      </c>
      <c r="AL55" s="126">
        <f>_xlfn.XLOOKUP('Cover Page'!$E$13,'IS &amp; BS Projections'!$B56:$B58,'IS &amp; BS Projections'!AL56:AL58)</f>
        <v>0</v>
      </c>
      <c r="AM55" s="126">
        <f>_xlfn.XLOOKUP('Cover Page'!$E$13,'IS &amp; BS Projections'!$B56:$B58,'IS &amp; BS Projections'!AM56:AM58)</f>
        <v>0</v>
      </c>
      <c r="AN55" s="126">
        <f>_xlfn.XLOOKUP('Cover Page'!$E$13,'IS &amp; BS Projections'!$B56:$B58,'IS &amp; BS Projections'!AN56:AN58)</f>
        <v>0</v>
      </c>
      <c r="AO55" s="126">
        <f>_xlfn.XLOOKUP('Cover Page'!$E$13,'IS &amp; BS Projections'!$B56:$B58,'IS &amp; BS Projections'!AO56:AO58)</f>
        <v>0</v>
      </c>
      <c r="AP55" s="126">
        <f>_xlfn.XLOOKUP('Cover Page'!$E$13,'IS &amp; BS Projections'!$B56:$B58,'IS &amp; BS Projections'!AP56:AP58)</f>
        <v>0</v>
      </c>
      <c r="AQ55" s="126">
        <f>_xlfn.XLOOKUP('Cover Page'!$E$13,'IS &amp; BS Projections'!$B56:$B58,'IS &amp; BS Projections'!AQ56:AQ58)</f>
        <v>0</v>
      </c>
      <c r="AR55" s="126">
        <f>_xlfn.XLOOKUP('Cover Page'!$E$13,'IS &amp; BS Projections'!$B56:$B58,'IS &amp; BS Projections'!AR56:AR58)</f>
        <v>0</v>
      </c>
      <c r="AS55" s="126">
        <f>_xlfn.XLOOKUP('Cover Page'!$E$13,'IS &amp; BS Projections'!$B56:$B58,'IS &amp; BS Projections'!AS56:AS58)</f>
        <v>0</v>
      </c>
      <c r="AT55" s="126">
        <f>_xlfn.XLOOKUP('Cover Page'!$E$13,'IS &amp; BS Projections'!$B56:$B58,'IS &amp; BS Projections'!AT56:AT58)</f>
        <v>0</v>
      </c>
      <c r="AU55" s="126">
        <f>_xlfn.XLOOKUP('Cover Page'!$E$13,'IS &amp; BS Projections'!$B56:$B58,'IS &amp; BS Projections'!AU56:AU58)</f>
        <v>0</v>
      </c>
      <c r="AV55" s="126">
        <f>_xlfn.XLOOKUP('Cover Page'!$E$13,'IS &amp; BS Projections'!$B56:$B58,'IS &amp; BS Projections'!AV56:AV58)</f>
        <v>0</v>
      </c>
      <c r="AW55" s="126">
        <f>_xlfn.XLOOKUP('Cover Page'!$E$13,'IS &amp; BS Projections'!$B56:$B58,'IS &amp; BS Projections'!AW56:AW58)</f>
        <v>0</v>
      </c>
      <c r="AX55" s="126">
        <f>_xlfn.XLOOKUP('Cover Page'!$E$13,'IS &amp; BS Projections'!$B56:$B58,'IS &amp; BS Projections'!AX56:AX58)</f>
        <v>0</v>
      </c>
      <c r="AY55" s="126">
        <f>_xlfn.XLOOKUP('Cover Page'!$E$13,'IS &amp; BS Projections'!$B56:$B58,'IS &amp; BS Projections'!AY56:AY58)</f>
        <v>0</v>
      </c>
      <c r="AZ55" s="126">
        <f>_xlfn.XLOOKUP('Cover Page'!$E$13,'IS &amp; BS Projections'!$B56:$B58,'IS &amp; BS Projections'!AZ56:AZ58)</f>
        <v>0</v>
      </c>
      <c r="BA55" s="126">
        <f>_xlfn.XLOOKUP('Cover Page'!$E$13,'IS &amp; BS Projections'!$B56:$B58,'IS &amp; BS Projections'!BA56:BA58)</f>
        <v>0</v>
      </c>
      <c r="BB55" s="126">
        <f>_xlfn.XLOOKUP('Cover Page'!$E$13,'IS &amp; BS Projections'!$B56:$B58,'IS &amp; BS Projections'!BB56:BB58)</f>
        <v>0</v>
      </c>
      <c r="BC55" s="126">
        <f>_xlfn.XLOOKUP('Cover Page'!$E$13,'IS &amp; BS Projections'!$B56:$B58,'IS &amp; BS Projections'!BC56:BC58)</f>
        <v>0</v>
      </c>
      <c r="BD55" s="126">
        <f>_xlfn.XLOOKUP('Cover Page'!$E$13,'IS &amp; BS Projections'!$B56:$B58,'IS &amp; BS Projections'!BD56:BD58)</f>
        <v>0</v>
      </c>
    </row>
    <row r="56" spans="2:56" x14ac:dyDescent="0.2">
      <c r="B56" s="1" t="s">
        <v>262</v>
      </c>
      <c r="D56" s="102">
        <v>0.05</v>
      </c>
      <c r="E56" s="43" t="s">
        <v>36</v>
      </c>
      <c r="AK56" s="101">
        <f t="shared" ref="AK56" si="692">AK57+$D56</f>
        <v>0.05</v>
      </c>
      <c r="AL56" s="101">
        <f t="shared" ref="AL56" si="693">AL57+$D56</f>
        <v>0.05</v>
      </c>
      <c r="AM56" s="101">
        <f t="shared" ref="AM56" si="694">AM57+$D56</f>
        <v>0.05</v>
      </c>
      <c r="AN56" s="101">
        <f t="shared" ref="AN56" si="695">AN57+$D56</f>
        <v>0.05</v>
      </c>
      <c r="AO56" s="101">
        <f t="shared" ref="AO56" si="696">AO57+$D56</f>
        <v>0.05</v>
      </c>
      <c r="AP56" s="101">
        <f t="shared" ref="AP56" si="697">AP57+$D56</f>
        <v>0.05</v>
      </c>
      <c r="AQ56" s="101">
        <f t="shared" ref="AQ56" si="698">AQ57+$D56</f>
        <v>0.05</v>
      </c>
      <c r="AR56" s="101">
        <f t="shared" ref="AR56" si="699">AR57+$D56</f>
        <v>0.05</v>
      </c>
      <c r="AS56" s="101">
        <f t="shared" ref="AS56" si="700">AS57+$D56</f>
        <v>0.05</v>
      </c>
      <c r="AT56" s="101">
        <f t="shared" ref="AT56" si="701">AT57+$D56</f>
        <v>0.05</v>
      </c>
      <c r="AU56" s="101">
        <f t="shared" ref="AU56" si="702">AU57+$D56</f>
        <v>0.05</v>
      </c>
      <c r="AV56" s="101">
        <f t="shared" ref="AV56" si="703">AV57+$D56</f>
        <v>0.05</v>
      </c>
      <c r="AW56" s="101">
        <f t="shared" ref="AW56" si="704">AW57+$D56</f>
        <v>0.05</v>
      </c>
      <c r="AX56" s="101">
        <f t="shared" ref="AX56" si="705">AX57+$D56</f>
        <v>0.05</v>
      </c>
      <c r="AY56" s="101">
        <f t="shared" ref="AY56" si="706">AY57+$D56</f>
        <v>0.05</v>
      </c>
      <c r="AZ56" s="101">
        <f t="shared" ref="AZ56" si="707">AZ57+$D56</f>
        <v>0.05</v>
      </c>
      <c r="BA56" s="101">
        <f t="shared" ref="BA56" si="708">BA57+$D56</f>
        <v>0.05</v>
      </c>
      <c r="BB56" s="101">
        <f t="shared" ref="BB56" si="709">BB57+$D56</f>
        <v>0.05</v>
      </c>
      <c r="BC56" s="101">
        <f t="shared" ref="BC56" si="710">BC57+$D56</f>
        <v>0.05</v>
      </c>
      <c r="BD56" s="101">
        <f t="shared" ref="BD56" si="711">BD57+$D56</f>
        <v>0.05</v>
      </c>
    </row>
    <row r="57" spans="2:56" x14ac:dyDescent="0.2">
      <c r="B57" s="1" t="s">
        <v>15</v>
      </c>
      <c r="D57" s="102">
        <v>0</v>
      </c>
      <c r="E57" s="43" t="s">
        <v>36</v>
      </c>
      <c r="AK57" s="101">
        <f>MEDIAN(Q55,U55,Y55,AC55,AG55)</f>
        <v>0</v>
      </c>
      <c r="AL57" s="101">
        <f t="shared" ref="AL57" si="712">MEDIAN(R55,V55,Z55,AD55,AH55)</f>
        <v>0</v>
      </c>
      <c r="AM57" s="101">
        <f t="shared" ref="AM57" si="713">MEDIAN(S55,W55,AA55,AE55,AI55)</f>
        <v>0</v>
      </c>
      <c r="AN57" s="101">
        <f t="shared" ref="AN57" si="714">MEDIAN(T55,X55,AB55,AF55,AJ55)</f>
        <v>0</v>
      </c>
      <c r="AO57" s="101">
        <f>AK57</f>
        <v>0</v>
      </c>
      <c r="AP57" s="101">
        <f t="shared" ref="AP57" si="715">AL57</f>
        <v>0</v>
      </c>
      <c r="AQ57" s="101">
        <f t="shared" ref="AQ57" si="716">AM57</f>
        <v>0</v>
      </c>
      <c r="AR57" s="101">
        <f t="shared" ref="AR57" si="717">AN57</f>
        <v>0</v>
      </c>
      <c r="AS57" s="101">
        <f t="shared" ref="AS57" si="718">AO57</f>
        <v>0</v>
      </c>
      <c r="AT57" s="101">
        <f t="shared" ref="AT57" si="719">AP57</f>
        <v>0</v>
      </c>
      <c r="AU57" s="101">
        <f t="shared" ref="AU57" si="720">AQ57</f>
        <v>0</v>
      </c>
      <c r="AV57" s="101">
        <f t="shared" ref="AV57" si="721">AR57</f>
        <v>0</v>
      </c>
      <c r="AW57" s="101">
        <f t="shared" ref="AW57" si="722">AS57</f>
        <v>0</v>
      </c>
      <c r="AX57" s="101">
        <f t="shared" ref="AX57" si="723">AT57</f>
        <v>0</v>
      </c>
      <c r="AY57" s="101">
        <f t="shared" ref="AY57" si="724">AU57</f>
        <v>0</v>
      </c>
      <c r="AZ57" s="101">
        <f t="shared" ref="AZ57" si="725">AV57</f>
        <v>0</v>
      </c>
      <c r="BA57" s="101">
        <f t="shared" ref="BA57" si="726">AW57</f>
        <v>0</v>
      </c>
      <c r="BB57" s="101">
        <f t="shared" ref="BB57" si="727">AX57</f>
        <v>0</v>
      </c>
      <c r="BC57" s="101">
        <f t="shared" ref="BC57" si="728">AY57</f>
        <v>0</v>
      </c>
      <c r="BD57" s="101">
        <f t="shared" ref="BD57" si="729">AZ57</f>
        <v>0</v>
      </c>
    </row>
    <row r="58" spans="2:56" x14ac:dyDescent="0.2">
      <c r="B58" s="1" t="s">
        <v>263</v>
      </c>
      <c r="D58" s="102">
        <v>-0.05</v>
      </c>
      <c r="E58" s="43" t="s">
        <v>36</v>
      </c>
      <c r="AK58" s="101">
        <f t="shared" ref="AK58" si="730">AK57+$D58</f>
        <v>-0.05</v>
      </c>
      <c r="AL58" s="101">
        <f t="shared" ref="AL58" si="731">AL57+$D58</f>
        <v>-0.05</v>
      </c>
      <c r="AM58" s="101">
        <f t="shared" ref="AM58" si="732">AM57+$D58</f>
        <v>-0.05</v>
      </c>
      <c r="AN58" s="101">
        <f t="shared" ref="AN58" si="733">AN57+$D58</f>
        <v>-0.05</v>
      </c>
      <c r="AO58" s="101">
        <f t="shared" ref="AO58" si="734">AO57+$D58</f>
        <v>-0.05</v>
      </c>
      <c r="AP58" s="101">
        <f t="shared" ref="AP58" si="735">AP57+$D58</f>
        <v>-0.05</v>
      </c>
      <c r="AQ58" s="101">
        <f t="shared" ref="AQ58" si="736">AQ57+$D58</f>
        <v>-0.05</v>
      </c>
      <c r="AR58" s="101">
        <f t="shared" ref="AR58" si="737">AR57+$D58</f>
        <v>-0.05</v>
      </c>
      <c r="AS58" s="101">
        <f t="shared" ref="AS58" si="738">AS57+$D58</f>
        <v>-0.05</v>
      </c>
      <c r="AT58" s="101">
        <f t="shared" ref="AT58" si="739">AT57+$D58</f>
        <v>-0.05</v>
      </c>
      <c r="AU58" s="101">
        <f t="shared" ref="AU58" si="740">AU57+$D58</f>
        <v>-0.05</v>
      </c>
      <c r="AV58" s="101">
        <f t="shared" ref="AV58" si="741">AV57+$D58</f>
        <v>-0.05</v>
      </c>
      <c r="AW58" s="101">
        <f t="shared" ref="AW58" si="742">AW57+$D58</f>
        <v>-0.05</v>
      </c>
      <c r="AX58" s="101">
        <f t="shared" ref="AX58" si="743">AX57+$D58</f>
        <v>-0.05</v>
      </c>
      <c r="AY58" s="101">
        <f t="shared" ref="AY58" si="744">AY57+$D58</f>
        <v>-0.05</v>
      </c>
      <c r="AZ58" s="101">
        <f t="shared" ref="AZ58" si="745">AZ57+$D58</f>
        <v>-0.05</v>
      </c>
      <c r="BA58" s="101">
        <f t="shared" ref="BA58" si="746">BA57+$D58</f>
        <v>-0.05</v>
      </c>
      <c r="BB58" s="101">
        <f t="shared" ref="BB58" si="747">BB57+$D58</f>
        <v>-0.05</v>
      </c>
      <c r="BC58" s="101">
        <f t="shared" ref="BC58" si="748">BC57+$D58</f>
        <v>-0.05</v>
      </c>
      <c r="BD58" s="101">
        <f t="shared" ref="BD58" si="749">BD57+$D58</f>
        <v>-0.05</v>
      </c>
    </row>
    <row r="60" spans="2:56" x14ac:dyDescent="0.2">
      <c r="B60" s="1" t="s">
        <v>48</v>
      </c>
      <c r="E60" s="43" t="s">
        <v>33</v>
      </c>
      <c r="F60" s="50">
        <f t="shared" ref="F60:J60" si="750">SUMIFS($Q60:$BD60,$Q$1:$BD$1,F$1)</f>
        <v>0</v>
      </c>
      <c r="G60" s="50">
        <f t="shared" si="750"/>
        <v>-79399</v>
      </c>
      <c r="H60" s="50">
        <f t="shared" si="750"/>
        <v>0</v>
      </c>
      <c r="I60" s="50">
        <f t="shared" si="750"/>
        <v>0</v>
      </c>
      <c r="J60" s="50">
        <f t="shared" si="750"/>
        <v>0</v>
      </c>
      <c r="K60" s="50">
        <f>SUMIFS($AJ60:$BC60,$AJ$1:$BC$1,K$1)</f>
        <v>0</v>
      </c>
      <c r="L60" s="50">
        <f t="shared" ref="L60:O60" si="751">SUMIFS($AJ60:$BC60,$AJ$1:$BC$1,L$1)</f>
        <v>0</v>
      </c>
      <c r="M60" s="50">
        <f t="shared" si="751"/>
        <v>0</v>
      </c>
      <c r="N60" s="50">
        <f t="shared" si="751"/>
        <v>0</v>
      </c>
      <c r="O60" s="50">
        <f t="shared" si="751"/>
        <v>0</v>
      </c>
      <c r="Q60" s="143">
        <f>_xlfn.XLOOKUP('IS &amp; BS Projections'!$B60,'3FS'!$B:$B,'3FS'!P:P)</f>
        <v>0</v>
      </c>
      <c r="R60" s="143">
        <f>_xlfn.XLOOKUP('IS &amp; BS Projections'!$B60,'3FS'!$B:$B,'3FS'!Q:Q)</f>
        <v>0</v>
      </c>
      <c r="S60" s="143">
        <f>_xlfn.XLOOKUP('IS &amp; BS Projections'!$B60,'3FS'!$B:$B,'3FS'!R:R)</f>
        <v>0</v>
      </c>
      <c r="T60" s="143">
        <f>_xlfn.XLOOKUP('IS &amp; BS Projections'!$B60,'3FS'!$B:$B,'3FS'!S:S)</f>
        <v>0</v>
      </c>
      <c r="U60" s="143">
        <f>_xlfn.XLOOKUP('IS &amp; BS Projections'!$B60,'3FS'!$B:$B,'3FS'!T:T)</f>
        <v>0</v>
      </c>
      <c r="V60" s="143">
        <f>_xlfn.XLOOKUP('IS &amp; BS Projections'!$B60,'3FS'!$B:$B,'3FS'!U:U)</f>
        <v>0</v>
      </c>
      <c r="W60" s="143">
        <f>_xlfn.XLOOKUP('IS &amp; BS Projections'!$B60,'3FS'!$B:$B,'3FS'!V:V)</f>
        <v>-12150</v>
      </c>
      <c r="X60" s="143">
        <f>_xlfn.XLOOKUP('IS &amp; BS Projections'!$B60,'3FS'!$B:$B,'3FS'!W:W)</f>
        <v>-67249</v>
      </c>
      <c r="Y60" s="143">
        <f>_xlfn.XLOOKUP('IS &amp; BS Projections'!$B60,'3FS'!$B:$B,'3FS'!X:X)</f>
        <v>0</v>
      </c>
      <c r="Z60" s="143">
        <f>_xlfn.XLOOKUP('IS &amp; BS Projections'!$B60,'3FS'!$B:$B,'3FS'!Y:Y)</f>
        <v>0</v>
      </c>
      <c r="AA60" s="143">
        <f>_xlfn.XLOOKUP('IS &amp; BS Projections'!$B60,'3FS'!$B:$B,'3FS'!Z:Z)</f>
        <v>0</v>
      </c>
      <c r="AB60" s="143">
        <f>_xlfn.XLOOKUP('IS &amp; BS Projections'!$B60,'3FS'!$B:$B,'3FS'!AA:AA)</f>
        <v>0</v>
      </c>
      <c r="AC60" s="143">
        <f>_xlfn.XLOOKUP('IS &amp; BS Projections'!$B60,'3FS'!$B:$B,'3FS'!AB:AB)</f>
        <v>0</v>
      </c>
      <c r="AD60" s="143">
        <f>_xlfn.XLOOKUP('IS &amp; BS Projections'!$B60,'3FS'!$B:$B,'3FS'!AC:AC)</f>
        <v>0</v>
      </c>
      <c r="AE60" s="143">
        <f>_xlfn.XLOOKUP('IS &amp; BS Projections'!$B60,'3FS'!$B:$B,'3FS'!AD:AD)</f>
        <v>0</v>
      </c>
      <c r="AF60" s="143">
        <f>_xlfn.XLOOKUP('IS &amp; BS Projections'!$B60,'3FS'!$B:$B,'3FS'!AE:AE)</f>
        <v>0</v>
      </c>
      <c r="AG60" s="143">
        <f>_xlfn.XLOOKUP('IS &amp; BS Projections'!$B60,'3FS'!$B:$B,'3FS'!AF:AF)</f>
        <v>0</v>
      </c>
      <c r="AH60" s="143">
        <f>_xlfn.XLOOKUP('IS &amp; BS Projections'!$B60,'3FS'!$B:$B,'3FS'!AG:AG)</f>
        <v>0</v>
      </c>
      <c r="AI60" s="143">
        <f>_xlfn.XLOOKUP('IS &amp; BS Projections'!$B60,'3FS'!$B:$B,'3FS'!AH:AH)</f>
        <v>0</v>
      </c>
      <c r="AJ60" s="143">
        <f>_xlfn.XLOOKUP('IS &amp; BS Projections'!$B60,'3FS'!$B:$B,'3FS'!AI:AI)</f>
        <v>0</v>
      </c>
      <c r="AK60" s="50">
        <f>AK61*AK$10</f>
        <v>0</v>
      </c>
      <c r="AL60" s="50">
        <f t="shared" ref="AL60" si="752">AL61*AL$10</f>
        <v>0</v>
      </c>
      <c r="AM60" s="50">
        <f t="shared" ref="AM60" si="753">AM61*AM$10</f>
        <v>0</v>
      </c>
      <c r="AN60" s="50">
        <f t="shared" ref="AN60" si="754">AN61*AN$10</f>
        <v>0</v>
      </c>
      <c r="AO60" s="50">
        <f t="shared" ref="AO60" si="755">AO61*AO$10</f>
        <v>0</v>
      </c>
      <c r="AP60" s="50">
        <f t="shared" ref="AP60" si="756">AP61*AP$10</f>
        <v>0</v>
      </c>
      <c r="AQ60" s="50">
        <f t="shared" ref="AQ60" si="757">AQ61*AQ$10</f>
        <v>0</v>
      </c>
      <c r="AR60" s="50">
        <f t="shared" ref="AR60" si="758">AR61*AR$10</f>
        <v>0</v>
      </c>
      <c r="AS60" s="50">
        <f t="shared" ref="AS60" si="759">AS61*AS$10</f>
        <v>0</v>
      </c>
      <c r="AT60" s="50">
        <f t="shared" ref="AT60" si="760">AT61*AT$10</f>
        <v>0</v>
      </c>
      <c r="AU60" s="50">
        <f t="shared" ref="AU60" si="761">AU61*AU$10</f>
        <v>0</v>
      </c>
      <c r="AV60" s="50">
        <f t="shared" ref="AV60" si="762">AV61*AV$10</f>
        <v>0</v>
      </c>
      <c r="AW60" s="50">
        <f t="shared" ref="AW60" si="763">AW61*AW$10</f>
        <v>0</v>
      </c>
      <c r="AX60" s="50">
        <f t="shared" ref="AX60" si="764">AX61*AX$10</f>
        <v>0</v>
      </c>
      <c r="AY60" s="50">
        <f t="shared" ref="AY60" si="765">AY61*AY$10</f>
        <v>0</v>
      </c>
      <c r="AZ60" s="50">
        <f t="shared" ref="AZ60" si="766">AZ61*AZ$10</f>
        <v>0</v>
      </c>
      <c r="BA60" s="50">
        <f t="shared" ref="BA60" si="767">BA61*BA$10</f>
        <v>0</v>
      </c>
      <c r="BB60" s="50">
        <f t="shared" ref="BB60" si="768">BB61*BB$10</f>
        <v>0</v>
      </c>
      <c r="BC60" s="50">
        <f t="shared" ref="BC60" si="769">BC61*BC$10</f>
        <v>0</v>
      </c>
      <c r="BD60" s="50">
        <f t="shared" ref="BD60" si="770">BD61*BD$10</f>
        <v>0</v>
      </c>
    </row>
    <row r="61" spans="2:56" x14ac:dyDescent="0.2">
      <c r="B61" s="98" t="s">
        <v>293</v>
      </c>
      <c r="C61" s="45"/>
      <c r="D61" s="45"/>
      <c r="E61" s="46" t="s">
        <v>36</v>
      </c>
      <c r="F61" s="126">
        <f t="shared" ref="F61" si="771">F60/F$10</f>
        <v>0</v>
      </c>
      <c r="G61" s="126">
        <f t="shared" ref="G61" si="772">G60/G$10</f>
        <v>-2.4857178993979101E-2</v>
      </c>
      <c r="H61" s="126">
        <f t="shared" ref="H61" si="773">H60/H$10</f>
        <v>0</v>
      </c>
      <c r="I61" s="126">
        <f t="shared" ref="I61" si="774">I60/I$10</f>
        <v>0</v>
      </c>
      <c r="J61" s="126">
        <f t="shared" ref="J61" si="775">J60/J$10</f>
        <v>0</v>
      </c>
      <c r="K61" s="126">
        <f t="shared" ref="K61" si="776">K60/K$10</f>
        <v>0</v>
      </c>
      <c r="L61" s="126">
        <f t="shared" ref="L61" si="777">L60/L$10</f>
        <v>0</v>
      </c>
      <c r="M61" s="126">
        <f t="shared" ref="M61" si="778">M60/M$10</f>
        <v>0</v>
      </c>
      <c r="N61" s="126">
        <f t="shared" ref="N61" si="779">N60/N$10</f>
        <v>0</v>
      </c>
      <c r="O61" s="126">
        <f t="shared" ref="O61" si="780">O60/O$10</f>
        <v>0</v>
      </c>
      <c r="P61" s="81"/>
      <c r="Q61" s="126">
        <f>Q60/Q$10</f>
        <v>0</v>
      </c>
      <c r="R61" s="126">
        <f t="shared" ref="R61" si="781">R60/R$10</f>
        <v>0</v>
      </c>
      <c r="S61" s="126">
        <f t="shared" ref="S61" si="782">S60/S$10</f>
        <v>0</v>
      </c>
      <c r="T61" s="126">
        <f t="shared" ref="T61" si="783">T60/T$10</f>
        <v>0</v>
      </c>
      <c r="U61" s="126">
        <f t="shared" ref="U61" si="784">U60/U$10</f>
        <v>0</v>
      </c>
      <c r="V61" s="126">
        <f t="shared" ref="V61" si="785">V60/V$10</f>
        <v>0</v>
      </c>
      <c r="W61" s="126">
        <f t="shared" ref="W61" si="786">W60/W$10</f>
        <v>-2.0581394757927224E-2</v>
      </c>
      <c r="X61" s="126">
        <f t="shared" ref="X61" si="787">X60/X$10</f>
        <v>-0.10689579531654342</v>
      </c>
      <c r="Y61" s="126">
        <f t="shared" ref="Y61" si="788">Y60/Y$10</f>
        <v>0</v>
      </c>
      <c r="Z61" s="126">
        <f t="shared" ref="Z61" si="789">Z60/Z$10</f>
        <v>0</v>
      </c>
      <c r="AA61" s="126">
        <f t="shared" ref="AA61" si="790">AA60/AA$10</f>
        <v>0</v>
      </c>
      <c r="AB61" s="126">
        <f t="shared" ref="AB61" si="791">AB60/AB$10</f>
        <v>0</v>
      </c>
      <c r="AC61" s="126">
        <f t="shared" ref="AC61" si="792">AC60/AC$10</f>
        <v>0</v>
      </c>
      <c r="AD61" s="126">
        <f t="shared" ref="AD61" si="793">AD60/AD$10</f>
        <v>0</v>
      </c>
      <c r="AE61" s="126">
        <f t="shared" ref="AE61" si="794">AE60/AE$10</f>
        <v>0</v>
      </c>
      <c r="AF61" s="126">
        <f t="shared" ref="AF61" si="795">AF60/AF$10</f>
        <v>0</v>
      </c>
      <c r="AG61" s="126">
        <f t="shared" ref="AG61" si="796">AG60/AG$10</f>
        <v>0</v>
      </c>
      <c r="AH61" s="126">
        <f t="shared" ref="AH61" si="797">AH60/AH$10</f>
        <v>0</v>
      </c>
      <c r="AI61" s="126">
        <f t="shared" ref="AI61" si="798">AI60/AI$10</f>
        <v>0</v>
      </c>
      <c r="AJ61" s="126">
        <f t="shared" ref="AJ61" si="799">AJ60/AJ$10</f>
        <v>0</v>
      </c>
      <c r="AK61" s="138">
        <f>MEDIAN(Q61,U61,Y61,AC61,AG61)</f>
        <v>0</v>
      </c>
      <c r="AL61" s="138">
        <f t="shared" ref="AL61:AN61" si="800">MEDIAN(R61,V61,Z61,AD61,AH61)</f>
        <v>0</v>
      </c>
      <c r="AM61" s="138">
        <f t="shared" si="800"/>
        <v>0</v>
      </c>
      <c r="AN61" s="138">
        <f t="shared" si="800"/>
        <v>0</v>
      </c>
      <c r="AO61" s="138">
        <f>AK61</f>
        <v>0</v>
      </c>
      <c r="AP61" s="138">
        <f t="shared" ref="AP61:BD61" si="801">AL61</f>
        <v>0</v>
      </c>
      <c r="AQ61" s="138">
        <f t="shared" si="801"/>
        <v>0</v>
      </c>
      <c r="AR61" s="138">
        <f t="shared" si="801"/>
        <v>0</v>
      </c>
      <c r="AS61" s="138">
        <f t="shared" si="801"/>
        <v>0</v>
      </c>
      <c r="AT61" s="138">
        <f t="shared" si="801"/>
        <v>0</v>
      </c>
      <c r="AU61" s="138">
        <f t="shared" si="801"/>
        <v>0</v>
      </c>
      <c r="AV61" s="138">
        <f t="shared" si="801"/>
        <v>0</v>
      </c>
      <c r="AW61" s="138">
        <f t="shared" si="801"/>
        <v>0</v>
      </c>
      <c r="AX61" s="138">
        <f t="shared" si="801"/>
        <v>0</v>
      </c>
      <c r="AY61" s="138">
        <f t="shared" si="801"/>
        <v>0</v>
      </c>
      <c r="AZ61" s="138">
        <f t="shared" si="801"/>
        <v>0</v>
      </c>
      <c r="BA61" s="138">
        <f t="shared" si="801"/>
        <v>0</v>
      </c>
      <c r="BB61" s="138">
        <f t="shared" si="801"/>
        <v>0</v>
      </c>
      <c r="BC61" s="138">
        <f t="shared" si="801"/>
        <v>0</v>
      </c>
      <c r="BD61" s="138">
        <f t="shared" si="801"/>
        <v>0</v>
      </c>
    </row>
    <row r="63" spans="2:56" x14ac:dyDescent="0.2">
      <c r="B63" s="1" t="s">
        <v>49</v>
      </c>
      <c r="E63" s="43" t="s">
        <v>33</v>
      </c>
      <c r="F63" s="50">
        <f t="shared" ref="F63:J63" si="802">SUMIFS($Q63:$BD63,$Q$1:$BD$1,F$1)</f>
        <v>0</v>
      </c>
      <c r="G63" s="50">
        <f t="shared" si="802"/>
        <v>-40703</v>
      </c>
      <c r="H63" s="50">
        <f t="shared" si="802"/>
        <v>-142594</v>
      </c>
      <c r="I63" s="50">
        <f t="shared" si="802"/>
        <v>0</v>
      </c>
      <c r="J63" s="50">
        <f t="shared" si="802"/>
        <v>0</v>
      </c>
      <c r="K63" s="50">
        <f>SUMIFS($AJ63:$BC63,$AJ$1:$BC$1,K$1)</f>
        <v>0</v>
      </c>
      <c r="L63" s="50">
        <f t="shared" ref="L63:O63" si="803">SUMIFS($AJ63:$BC63,$AJ$1:$BC$1,L$1)</f>
        <v>0</v>
      </c>
      <c r="M63" s="50">
        <f t="shared" si="803"/>
        <v>0</v>
      </c>
      <c r="N63" s="50">
        <f t="shared" si="803"/>
        <v>0</v>
      </c>
      <c r="O63" s="50">
        <f t="shared" si="803"/>
        <v>0</v>
      </c>
      <c r="Q63" s="143">
        <f>_xlfn.XLOOKUP('IS &amp; BS Projections'!$B63,'3FS'!$B:$B,'3FS'!P:P)</f>
        <v>0</v>
      </c>
      <c r="R63" s="143">
        <f>_xlfn.XLOOKUP('IS &amp; BS Projections'!$B63,'3FS'!$B:$B,'3FS'!Q:Q)</f>
        <v>0</v>
      </c>
      <c r="S63" s="143">
        <f>_xlfn.XLOOKUP('IS &amp; BS Projections'!$B63,'3FS'!$B:$B,'3FS'!R:R)</f>
        <v>0</v>
      </c>
      <c r="T63" s="143">
        <f>_xlfn.XLOOKUP('IS &amp; BS Projections'!$B63,'3FS'!$B:$B,'3FS'!S:S)</f>
        <v>0</v>
      </c>
      <c r="U63" s="143">
        <f>_xlfn.XLOOKUP('IS &amp; BS Projections'!$B63,'3FS'!$B:$B,'3FS'!T:T)</f>
        <v>0</v>
      </c>
      <c r="V63" s="143">
        <f>_xlfn.XLOOKUP('IS &amp; BS Projections'!$B63,'3FS'!$B:$B,'3FS'!U:U)</f>
        <v>-42453</v>
      </c>
      <c r="W63" s="143">
        <f>_xlfn.XLOOKUP('IS &amp; BS Projections'!$B63,'3FS'!$B:$B,'3FS'!V:V)</f>
        <v>1232</v>
      </c>
      <c r="X63" s="143">
        <f>_xlfn.XLOOKUP('IS &amp; BS Projections'!$B63,'3FS'!$B:$B,'3FS'!W:W)</f>
        <v>518</v>
      </c>
      <c r="Y63" s="143">
        <f>_xlfn.XLOOKUP('IS &amp; BS Projections'!$B63,'3FS'!$B:$B,'3FS'!X:X)</f>
        <v>-144489</v>
      </c>
      <c r="Z63" s="143">
        <f>_xlfn.XLOOKUP('IS &amp; BS Projections'!$B63,'3FS'!$B:$B,'3FS'!Y:Y)</f>
        <v>1035</v>
      </c>
      <c r="AA63" s="143">
        <f>_xlfn.XLOOKUP('IS &amp; BS Projections'!$B63,'3FS'!$B:$B,'3FS'!Z:Z)</f>
        <v>860</v>
      </c>
      <c r="AB63" s="143">
        <f>_xlfn.XLOOKUP('IS &amp; BS Projections'!$B63,'3FS'!$B:$B,'3FS'!AA:AA)</f>
        <v>0</v>
      </c>
      <c r="AC63" s="143">
        <f>_xlfn.XLOOKUP('IS &amp; BS Projections'!$B63,'3FS'!$B:$B,'3FS'!AB:AB)</f>
        <v>0</v>
      </c>
      <c r="AD63" s="143">
        <f>_xlfn.XLOOKUP('IS &amp; BS Projections'!$B63,'3FS'!$B:$B,'3FS'!AC:AC)</f>
        <v>0</v>
      </c>
      <c r="AE63" s="143">
        <f>_xlfn.XLOOKUP('IS &amp; BS Projections'!$B63,'3FS'!$B:$B,'3FS'!AD:AD)</f>
        <v>0</v>
      </c>
      <c r="AF63" s="143">
        <f>_xlfn.XLOOKUP('IS &amp; BS Projections'!$B63,'3FS'!$B:$B,'3FS'!AE:AE)</f>
        <v>0</v>
      </c>
      <c r="AG63" s="143">
        <f>_xlfn.XLOOKUP('IS &amp; BS Projections'!$B63,'3FS'!$B:$B,'3FS'!AF:AF)</f>
        <v>0</v>
      </c>
      <c r="AH63" s="143">
        <f>_xlfn.XLOOKUP('IS &amp; BS Projections'!$B63,'3FS'!$B:$B,'3FS'!AG:AG)</f>
        <v>0</v>
      </c>
      <c r="AI63" s="143">
        <f>_xlfn.XLOOKUP('IS &amp; BS Projections'!$B63,'3FS'!$B:$B,'3FS'!AH:AH)</f>
        <v>0</v>
      </c>
      <c r="AJ63" s="143">
        <f>_xlfn.XLOOKUP('IS &amp; BS Projections'!$B63,'3FS'!$B:$B,'3FS'!AI:AI)</f>
        <v>0</v>
      </c>
      <c r="AK63" s="50">
        <f>AK64*AK$10</f>
        <v>0</v>
      </c>
      <c r="AL63" s="50">
        <f t="shared" ref="AL63" si="804">AL64*AL$10</f>
        <v>0</v>
      </c>
      <c r="AM63" s="50">
        <f t="shared" ref="AM63" si="805">AM64*AM$10</f>
        <v>0</v>
      </c>
      <c r="AN63" s="50">
        <f t="shared" ref="AN63" si="806">AN64*AN$10</f>
        <v>0</v>
      </c>
      <c r="AO63" s="50">
        <f t="shared" ref="AO63" si="807">AO64*AO$10</f>
        <v>0</v>
      </c>
      <c r="AP63" s="50">
        <f t="shared" ref="AP63" si="808">AP64*AP$10</f>
        <v>0</v>
      </c>
      <c r="AQ63" s="50">
        <f t="shared" ref="AQ63" si="809">AQ64*AQ$10</f>
        <v>0</v>
      </c>
      <c r="AR63" s="50">
        <f t="shared" ref="AR63" si="810">AR64*AR$10</f>
        <v>0</v>
      </c>
      <c r="AS63" s="50">
        <f t="shared" ref="AS63" si="811">AS64*AS$10</f>
        <v>0</v>
      </c>
      <c r="AT63" s="50">
        <f t="shared" ref="AT63" si="812">AT64*AT$10</f>
        <v>0</v>
      </c>
      <c r="AU63" s="50">
        <f t="shared" ref="AU63" si="813">AU64*AU$10</f>
        <v>0</v>
      </c>
      <c r="AV63" s="50">
        <f t="shared" ref="AV63" si="814">AV64*AV$10</f>
        <v>0</v>
      </c>
      <c r="AW63" s="50">
        <f t="shared" ref="AW63" si="815">AW64*AW$10</f>
        <v>0</v>
      </c>
      <c r="AX63" s="50">
        <f t="shared" ref="AX63" si="816">AX64*AX$10</f>
        <v>0</v>
      </c>
      <c r="AY63" s="50">
        <f t="shared" ref="AY63" si="817">AY64*AY$10</f>
        <v>0</v>
      </c>
      <c r="AZ63" s="50">
        <f t="shared" ref="AZ63" si="818">AZ64*AZ$10</f>
        <v>0</v>
      </c>
      <c r="BA63" s="50">
        <f t="shared" ref="BA63" si="819">BA64*BA$10</f>
        <v>0</v>
      </c>
      <c r="BB63" s="50">
        <f t="shared" ref="BB63" si="820">BB64*BB$10</f>
        <v>0</v>
      </c>
      <c r="BC63" s="50">
        <f t="shared" ref="BC63" si="821">BC64*BC$10</f>
        <v>0</v>
      </c>
      <c r="BD63" s="50">
        <f t="shared" ref="BD63" si="822">BD64*BD$10</f>
        <v>0</v>
      </c>
    </row>
    <row r="64" spans="2:56" x14ac:dyDescent="0.2">
      <c r="B64" s="98" t="s">
        <v>293</v>
      </c>
      <c r="C64" s="45"/>
      <c r="D64" s="45"/>
      <c r="E64" s="46" t="s">
        <v>36</v>
      </c>
      <c r="F64" s="126">
        <f t="shared" ref="F64" si="823">F63/F$10</f>
        <v>0</v>
      </c>
      <c r="G64" s="126">
        <f t="shared" ref="G64" si="824">G63/G$10</f>
        <v>-1.2742751880904436E-2</v>
      </c>
      <c r="H64" s="126">
        <f t="shared" ref="H64" si="825">H63/H$10</f>
        <v>-4.5874012308007091E-2</v>
      </c>
      <c r="I64" s="126">
        <f t="shared" ref="I64" si="826">I63/I$10</f>
        <v>0</v>
      </c>
      <c r="J64" s="126">
        <f t="shared" ref="J64" si="827">J63/J$10</f>
        <v>0</v>
      </c>
      <c r="K64" s="126">
        <f t="shared" ref="K64" si="828">K63/K$10</f>
        <v>0</v>
      </c>
      <c r="L64" s="126">
        <f t="shared" ref="L64" si="829">L63/L$10</f>
        <v>0</v>
      </c>
      <c r="M64" s="126">
        <f t="shared" ref="M64" si="830">M63/M$10</f>
        <v>0</v>
      </c>
      <c r="N64" s="126">
        <f t="shared" ref="N64" si="831">N63/N$10</f>
        <v>0</v>
      </c>
      <c r="O64" s="126">
        <f t="shared" ref="O64" si="832">O63/O$10</f>
        <v>0</v>
      </c>
      <c r="P64" s="81"/>
      <c r="Q64" s="126">
        <f>Q63/Q$10</f>
        <v>0</v>
      </c>
      <c r="R64" s="126">
        <f t="shared" ref="R64" si="833">R63/R$10</f>
        <v>0</v>
      </c>
      <c r="S64" s="126">
        <f t="shared" ref="S64" si="834">S63/S$10</f>
        <v>0</v>
      </c>
      <c r="T64" s="126">
        <f t="shared" ref="T64" si="835">T63/T$10</f>
        <v>0</v>
      </c>
      <c r="U64" s="126">
        <f t="shared" ref="U64" si="836">U63/U$10</f>
        <v>0</v>
      </c>
      <c r="V64" s="126">
        <f t="shared" ref="V64" si="837">V63/V$10</f>
        <v>-5.2519716698110293E-2</v>
      </c>
      <c r="W64" s="126">
        <f t="shared" ref="W64" si="838">W63/W$10</f>
        <v>2.0869364890342668E-3</v>
      </c>
      <c r="X64" s="126">
        <f t="shared" ref="X64" si="839">X63/X$10</f>
        <v>8.2338803512274519E-4</v>
      </c>
      <c r="Y64" s="126">
        <f t="shared" ref="Y64" si="840">Y63/Y$10</f>
        <v>-0.18703375536711242</v>
      </c>
      <c r="Z64" s="126">
        <f t="shared" ref="Z64" si="841">Z63/Z$10</f>
        <v>1.4620481953239884E-3</v>
      </c>
      <c r="AA64" s="126">
        <f t="shared" ref="AA64" si="842">AA63/AA$10</f>
        <v>1.2756842711096079E-3</v>
      </c>
      <c r="AB64" s="126">
        <f t="shared" ref="AB64" si="843">AB63/AB$10</f>
        <v>0</v>
      </c>
      <c r="AC64" s="126">
        <f t="shared" ref="AC64" si="844">AC63/AC$10</f>
        <v>0</v>
      </c>
      <c r="AD64" s="126">
        <f t="shared" ref="AD64" si="845">AD63/AD$10</f>
        <v>0</v>
      </c>
      <c r="AE64" s="126">
        <f t="shared" ref="AE64" si="846">AE63/AE$10</f>
        <v>0</v>
      </c>
      <c r="AF64" s="126">
        <f t="shared" ref="AF64" si="847">AF63/AF$10</f>
        <v>0</v>
      </c>
      <c r="AG64" s="126">
        <f t="shared" ref="AG64" si="848">AG63/AG$10</f>
        <v>0</v>
      </c>
      <c r="AH64" s="126">
        <f t="shared" ref="AH64" si="849">AH63/AH$10</f>
        <v>0</v>
      </c>
      <c r="AI64" s="126">
        <f t="shared" ref="AI64" si="850">AI63/AI$10</f>
        <v>0</v>
      </c>
      <c r="AJ64" s="126">
        <f t="shared" ref="AJ64" si="851">AJ63/AJ$10</f>
        <v>0</v>
      </c>
      <c r="AK64" s="138">
        <f>MEDIAN(Q64,U64,Y64,AC64,AG64)</f>
        <v>0</v>
      </c>
      <c r="AL64" s="138">
        <f t="shared" ref="AL64" si="852">MEDIAN(R64,V64,Z64,AD64,AH64)</f>
        <v>0</v>
      </c>
      <c r="AM64" s="138">
        <f t="shared" ref="AM64" si="853">MEDIAN(S64,W64,AA64,AE64,AI64)</f>
        <v>0</v>
      </c>
      <c r="AN64" s="138">
        <f t="shared" ref="AN64" si="854">MEDIAN(T64,X64,AB64,AF64,AJ64)</f>
        <v>0</v>
      </c>
      <c r="AO64" s="138">
        <f>AK64</f>
        <v>0</v>
      </c>
      <c r="AP64" s="138">
        <f t="shared" ref="AP64" si="855">AL64</f>
        <v>0</v>
      </c>
      <c r="AQ64" s="138">
        <f t="shared" ref="AQ64" si="856">AM64</f>
        <v>0</v>
      </c>
      <c r="AR64" s="138">
        <f t="shared" ref="AR64" si="857">AN64</f>
        <v>0</v>
      </c>
      <c r="AS64" s="138">
        <f t="shared" ref="AS64" si="858">AO64</f>
        <v>0</v>
      </c>
      <c r="AT64" s="138">
        <f t="shared" ref="AT64" si="859">AP64</f>
        <v>0</v>
      </c>
      <c r="AU64" s="138">
        <f t="shared" ref="AU64" si="860">AQ64</f>
        <v>0</v>
      </c>
      <c r="AV64" s="138">
        <f t="shared" ref="AV64" si="861">AR64</f>
        <v>0</v>
      </c>
      <c r="AW64" s="138">
        <f t="shared" ref="AW64" si="862">AS64</f>
        <v>0</v>
      </c>
      <c r="AX64" s="138">
        <f t="shared" ref="AX64" si="863">AT64</f>
        <v>0</v>
      </c>
      <c r="AY64" s="138">
        <f t="shared" ref="AY64" si="864">AU64</f>
        <v>0</v>
      </c>
      <c r="AZ64" s="138">
        <f t="shared" ref="AZ64" si="865">AV64</f>
        <v>0</v>
      </c>
      <c r="BA64" s="138">
        <f t="shared" ref="BA64" si="866">AW64</f>
        <v>0</v>
      </c>
      <c r="BB64" s="138">
        <f t="shared" ref="BB64" si="867">AX64</f>
        <v>0</v>
      </c>
      <c r="BC64" s="138">
        <f t="shared" ref="BC64" si="868">AY64</f>
        <v>0</v>
      </c>
      <c r="BD64" s="138">
        <f t="shared" ref="BD64" si="869">AZ64</f>
        <v>0</v>
      </c>
    </row>
    <row r="66" spans="1:56" x14ac:dyDescent="0.2">
      <c r="B66" s="1" t="s">
        <v>51</v>
      </c>
      <c r="E66" s="43" t="s">
        <v>33</v>
      </c>
      <c r="F66" s="50">
        <f t="shared" ref="F66:J66" si="870">SUMIFS($Q66:$BD66,$Q$1:$BD$1,F$1)</f>
        <v>-20463</v>
      </c>
      <c r="G66" s="50">
        <f t="shared" si="870"/>
        <v>-265473</v>
      </c>
      <c r="H66" s="50">
        <f t="shared" si="870"/>
        <v>167583</v>
      </c>
      <c r="I66" s="50">
        <f t="shared" si="870"/>
        <v>29074</v>
      </c>
      <c r="J66" s="50">
        <f t="shared" si="870"/>
        <v>700894</v>
      </c>
      <c r="K66" s="50">
        <f>SUMIFS($AJ66:$BC66,$AJ$1:$BC$1,K$1)</f>
        <v>-29529.680323390137</v>
      </c>
      <c r="L66" s="50">
        <f t="shared" ref="L66:O66" si="871">SUMIFS($AJ66:$BC66,$AJ$1:$BC$1,L$1)</f>
        <v>-33519.545318776407</v>
      </c>
      <c r="M66" s="50">
        <f t="shared" si="871"/>
        <v>-37673.099746104177</v>
      </c>
      <c r="N66" s="50">
        <f t="shared" si="871"/>
        <v>-43933.772277881159</v>
      </c>
      <c r="O66" s="50">
        <f t="shared" si="871"/>
        <v>-64258.562707350698</v>
      </c>
      <c r="Q66" s="143">
        <f>_xlfn.XLOOKUP('IS &amp; BS Projections'!$B66,'3FS'!$B:$B,'3FS'!P:P)</f>
        <v>8953</v>
      </c>
      <c r="R66" s="143">
        <f>_xlfn.XLOOKUP('IS &amp; BS Projections'!$B66,'3FS'!$B:$B,'3FS'!Q:Q)</f>
        <v>-5096</v>
      </c>
      <c r="S66" s="143">
        <f>_xlfn.XLOOKUP('IS &amp; BS Projections'!$B66,'3FS'!$B:$B,'3FS'!R:R)</f>
        <v>-13976</v>
      </c>
      <c r="T66" s="143">
        <f>_xlfn.XLOOKUP('IS &amp; BS Projections'!$B66,'3FS'!$B:$B,'3FS'!S:S)</f>
        <v>-10344</v>
      </c>
      <c r="U66" s="143">
        <f>_xlfn.XLOOKUP('IS &amp; BS Projections'!$B66,'3FS'!$B:$B,'3FS'!T:T)</f>
        <v>-32844</v>
      </c>
      <c r="V66" s="143">
        <f>_xlfn.XLOOKUP('IS &amp; BS Projections'!$B66,'3FS'!$B:$B,'3FS'!U:U)</f>
        <v>-172524</v>
      </c>
      <c r="W66" s="143">
        <f>_xlfn.XLOOKUP('IS &amp; BS Projections'!$B66,'3FS'!$B:$B,'3FS'!V:V)</f>
        <v>-65699</v>
      </c>
      <c r="X66" s="143">
        <f>_xlfn.XLOOKUP('IS &amp; BS Projections'!$B66,'3FS'!$B:$B,'3FS'!W:W)</f>
        <v>5594</v>
      </c>
      <c r="Y66" s="143">
        <f>_xlfn.XLOOKUP('IS &amp; BS Projections'!$B66,'3FS'!$B:$B,'3FS'!X:X)</f>
        <v>-20265</v>
      </c>
      <c r="Z66" s="143">
        <f>_xlfn.XLOOKUP('IS &amp; BS Projections'!$B66,'3FS'!$B:$B,'3FS'!Y:Y)</f>
        <v>16564</v>
      </c>
      <c r="AA66" s="143">
        <f>_xlfn.XLOOKUP('IS &amp; BS Projections'!$B66,'3FS'!$B:$B,'3FS'!Z:Z)</f>
        <v>135307</v>
      </c>
      <c r="AB66" s="143">
        <f>_xlfn.XLOOKUP('IS &amp; BS Projections'!$B66,'3FS'!$B:$B,'3FS'!AA:AA)</f>
        <v>35977</v>
      </c>
      <c r="AC66" s="143">
        <f>_xlfn.XLOOKUP('IS &amp; BS Projections'!$B66,'3FS'!$B:$B,'3FS'!AB:AB)</f>
        <v>45605</v>
      </c>
      <c r="AD66" s="143">
        <f>_xlfn.XLOOKUP('IS &amp; BS Projections'!$B66,'3FS'!$B:$B,'3FS'!AC:AC)</f>
        <v>-63827</v>
      </c>
      <c r="AE66" s="143">
        <f>_xlfn.XLOOKUP('IS &amp; BS Projections'!$B66,'3FS'!$B:$B,'3FS'!AD:AD)</f>
        <v>40105</v>
      </c>
      <c r="AF66" s="143">
        <f>_xlfn.XLOOKUP('IS &amp; BS Projections'!$B66,'3FS'!$B:$B,'3FS'!AE:AE)</f>
        <v>7191</v>
      </c>
      <c r="AG66" s="143">
        <f>_xlfn.XLOOKUP('IS &amp; BS Projections'!$B66,'3FS'!$B:$B,'3FS'!AF:AF)</f>
        <v>-6188</v>
      </c>
      <c r="AH66" s="143">
        <f>_xlfn.XLOOKUP('IS &amp; BS Projections'!$B66,'3FS'!$B:$B,'3FS'!AG:AG)</f>
        <v>1506905</v>
      </c>
      <c r="AI66" s="143">
        <f>_xlfn.XLOOKUP('IS &amp; BS Projections'!$B66,'3FS'!$B:$B,'3FS'!AH:AH)</f>
        <v>-380518</v>
      </c>
      <c r="AJ66" s="143">
        <f>_xlfn.XLOOKUP('IS &amp; BS Projections'!$B66,'3FS'!$B:$B,'3FS'!AI:AI)</f>
        <v>-419305</v>
      </c>
      <c r="AK66" s="50">
        <f>AK67*AK$10</f>
        <v>-5668.5545572443971</v>
      </c>
      <c r="AL66" s="50">
        <f t="shared" ref="AL66" si="872">AL67*AL$10</f>
        <v>-4079.3460026788498</v>
      </c>
      <c r="AM66" s="50">
        <f t="shared" ref="AM66" si="873">AM67*AM$10</f>
        <v>-25288.83948848561</v>
      </c>
      <c r="AN66" s="50">
        <f t="shared" ref="AN66" si="874">AN67*AN$10</f>
        <v>5507.0597250187193</v>
      </c>
      <c r="AO66" s="50">
        <f t="shared" ref="AO66" si="875">AO67*AO$10</f>
        <v>-5915.5294545174738</v>
      </c>
      <c r="AP66" s="50">
        <f t="shared" ref="AP66" si="876">AP67*AP$10</f>
        <v>-4640.9935094865732</v>
      </c>
      <c r="AQ66" s="50">
        <f t="shared" ref="AQ66" si="877">AQ67*AQ$10</f>
        <v>-29182.143275005987</v>
      </c>
      <c r="AR66" s="50">
        <f t="shared" ref="AR66" si="878">AR67*AR$10</f>
        <v>6219.1209202336286</v>
      </c>
      <c r="AS66" s="50">
        <f t="shared" ref="AS66" si="879">AS67*AS$10</f>
        <v>-6439.4284440310967</v>
      </c>
      <c r="AT66" s="50">
        <f t="shared" ref="AT66" si="880">AT67*AT$10</f>
        <v>-5310.7985203352082</v>
      </c>
      <c r="AU66" s="50">
        <f t="shared" ref="AU66" si="881">AU67*AU$10</f>
        <v>-32884.593728762266</v>
      </c>
      <c r="AV66" s="50">
        <f t="shared" ref="AV66" si="882">AV67*AV$10</f>
        <v>6961.7209470243924</v>
      </c>
      <c r="AW66" s="50">
        <f t="shared" ref="AW66" si="883">AW67*AW$10</f>
        <v>-7109.9262777801296</v>
      </c>
      <c r="AX66" s="50">
        <f t="shared" ref="AX66" si="884">AX67*AX$10</f>
        <v>-6316.2210272667508</v>
      </c>
      <c r="AY66" s="50">
        <f t="shared" ref="AY66" si="885">AY67*AY$10</f>
        <v>-38638.764600776922</v>
      </c>
      <c r="AZ66" s="50">
        <f t="shared" ref="AZ66" si="886">AZ67*AZ$10</f>
        <v>8131.1396279426417</v>
      </c>
      <c r="BA66" s="50">
        <f t="shared" ref="BA66" si="887">BA67*BA$10</f>
        <v>-8168.8485607637986</v>
      </c>
      <c r="BB66" s="50">
        <f t="shared" ref="BB66" si="888">BB67*BB$10</f>
        <v>-7942.748443107098</v>
      </c>
      <c r="BC66" s="50">
        <f t="shared" ref="BC66" si="889">BC67*BC$10</f>
        <v>-48146.9657034798</v>
      </c>
      <c r="BD66" s="50">
        <f t="shared" ref="BD66" si="890">BD67*BD$10</f>
        <v>10013.213034041788</v>
      </c>
    </row>
    <row r="67" spans="1:56" x14ac:dyDescent="0.2">
      <c r="B67" s="98" t="s">
        <v>293</v>
      </c>
      <c r="C67" s="45"/>
      <c r="D67" s="45"/>
      <c r="E67" s="46" t="s">
        <v>36</v>
      </c>
      <c r="F67" s="126">
        <f t="shared" ref="F67" si="891">F66/F$10</f>
        <v>-2.6102613131414277E-3</v>
      </c>
      <c r="G67" s="126">
        <f t="shared" ref="G67" si="892">G66/G$10</f>
        <v>-8.3110742944729962E-2</v>
      </c>
      <c r="H67" s="126">
        <f t="shared" ref="H67" si="893">H66/H$10</f>
        <v>5.3913240421145016E-2</v>
      </c>
      <c r="I67" s="126">
        <f t="shared" ref="I67" si="894">I66/I$10</f>
        <v>4.4292925014945096E-3</v>
      </c>
      <c r="J67" s="126">
        <f t="shared" ref="J67" si="895">J66/J$10</f>
        <v>0.12979047427167459</v>
      </c>
      <c r="K67" s="126">
        <f t="shared" ref="K67" si="896">K66/K$10</f>
        <v>-3.8051162585156823E-3</v>
      </c>
      <c r="L67" s="126">
        <f t="shared" ref="L67" si="897">L66/L$10</f>
        <v>-3.8627387790257186E-3</v>
      </c>
      <c r="M67" s="126">
        <f t="shared" ref="M67" si="898">M66/M$10</f>
        <v>-3.8738952479640087E-3</v>
      </c>
      <c r="N67" s="126">
        <f t="shared" ref="N67" si="899">N66/N$10</f>
        <v>-3.8898679378930046E-3</v>
      </c>
      <c r="O67" s="126">
        <f t="shared" ref="O67" si="900">O66/O$10</f>
        <v>-6.0181050707068832E-3</v>
      </c>
      <c r="P67" s="81"/>
      <c r="Q67" s="126">
        <f>Q66/Q$10</f>
        <v>4.9708180279738291E-3</v>
      </c>
      <c r="R67" s="126">
        <f t="shared" ref="R67" si="901">R66/R$10</f>
        <v>-2.2872921530977639E-3</v>
      </c>
      <c r="S67" s="126">
        <f t="shared" ref="S67" si="902">S66/S$10</f>
        <v>-1.0653186046582535E-2</v>
      </c>
      <c r="T67" s="126">
        <f t="shared" ref="T67" si="903">T66/T$10</f>
        <v>-4.1401453613681694E-3</v>
      </c>
      <c r="U67" s="126">
        <f t="shared" ref="U67" si="904">U66/U$10</f>
        <v>-2.8157567153277163E-2</v>
      </c>
      <c r="V67" s="126">
        <f t="shared" ref="V67" si="905">V66/V$10</f>
        <v>-0.21343395292734976</v>
      </c>
      <c r="W67" s="126">
        <f t="shared" ref="W67" si="906">W66/W$10</f>
        <v>-0.11129029252683628</v>
      </c>
      <c r="X67" s="126">
        <f t="shared" ref="X67" si="907">X66/X$10</f>
        <v>8.8919549584491053E-3</v>
      </c>
      <c r="Y67" s="126">
        <f t="shared" ref="Y67" si="908">Y66/Y$10</f>
        <v>-2.6232024946636307E-2</v>
      </c>
      <c r="Z67" s="126">
        <f t="shared" ref="Z67" si="909">Z66/Z$10</f>
        <v>2.3398421552991832E-2</v>
      </c>
      <c r="AA67" s="126">
        <f t="shared" ref="AA67" si="910">AA66/AA$10</f>
        <v>0.20070815310584619</v>
      </c>
      <c r="AB67" s="126">
        <f t="shared" ref="AB67" si="911">AB66/AB$10</f>
        <v>3.7719845459454074E-2</v>
      </c>
      <c r="AC67" s="126">
        <f t="shared" ref="AC67" si="912">AC66/AC$10</f>
        <v>2.7849191179613694E-2</v>
      </c>
      <c r="AD67" s="126">
        <f t="shared" ref="AD67" si="913">AD66/AD$10</f>
        <v>-4.4029916640682988E-2</v>
      </c>
      <c r="AE67" s="126">
        <f t="shared" ref="AE67" si="914">AE66/AE$10</f>
        <v>3.327682786076587E-2</v>
      </c>
      <c r="AF67" s="126">
        <f t="shared" ref="AF67" si="915">AF66/AF$10</f>
        <v>3.1655585817628434E-3</v>
      </c>
      <c r="AG67" s="126">
        <f t="shared" ref="AG67" si="916">AG66/AG$10</f>
        <v>-3.041840047780681E-3</v>
      </c>
      <c r="AH67" s="126">
        <f t="shared" ref="AH67" si="917">AH66/AH$10</f>
        <v>1.0064767220052258</v>
      </c>
      <c r="AI67" s="126">
        <f t="shared" ref="AI67" si="918">AI66/AI$10</f>
        <v>-0.2036278832317561</v>
      </c>
      <c r="AJ67" s="126">
        <f t="shared" ref="AJ67" si="919">AJ66/AJ$10</f>
        <v>-0.23541528996496042</v>
      </c>
      <c r="AK67" s="138">
        <f>MEDIAN(Q67,U67,Y67,AC67,AG67)</f>
        <v>-3.041840047780681E-3</v>
      </c>
      <c r="AL67" s="138">
        <f t="shared" ref="AL67" si="920">MEDIAN(R67,V67,Z67,AD67,AH67)</f>
        <v>-2.2872921530977639E-3</v>
      </c>
      <c r="AM67" s="138">
        <f t="shared" ref="AM67" si="921">MEDIAN(S67,W67,AA67,AE67,AI67)</f>
        <v>-1.0653186046582535E-2</v>
      </c>
      <c r="AN67" s="138">
        <f t="shared" ref="AN67" si="922">MEDIAN(T67,X67,AB67,AF67,AJ67)</f>
        <v>3.1655585817628434E-3</v>
      </c>
      <c r="AO67" s="138">
        <f>AK67</f>
        <v>-3.041840047780681E-3</v>
      </c>
      <c r="AP67" s="138">
        <f t="shared" ref="AP67" si="923">AL67</f>
        <v>-2.2872921530977639E-3</v>
      </c>
      <c r="AQ67" s="138">
        <f t="shared" ref="AQ67" si="924">AM67</f>
        <v>-1.0653186046582535E-2</v>
      </c>
      <c r="AR67" s="138">
        <f t="shared" ref="AR67" si="925">AN67</f>
        <v>3.1655585817628434E-3</v>
      </c>
      <c r="AS67" s="138">
        <f t="shared" ref="AS67" si="926">AO67</f>
        <v>-3.041840047780681E-3</v>
      </c>
      <c r="AT67" s="138">
        <f t="shared" ref="AT67" si="927">AP67</f>
        <v>-2.2872921530977639E-3</v>
      </c>
      <c r="AU67" s="138">
        <f t="shared" ref="AU67" si="928">AQ67</f>
        <v>-1.0653186046582535E-2</v>
      </c>
      <c r="AV67" s="138">
        <f t="shared" ref="AV67" si="929">AR67</f>
        <v>3.1655585817628434E-3</v>
      </c>
      <c r="AW67" s="138">
        <f t="shared" ref="AW67" si="930">AS67</f>
        <v>-3.041840047780681E-3</v>
      </c>
      <c r="AX67" s="138">
        <f t="shared" ref="AX67" si="931">AT67</f>
        <v>-2.2872921530977639E-3</v>
      </c>
      <c r="AY67" s="138">
        <f t="shared" ref="AY67" si="932">AU67</f>
        <v>-1.0653186046582535E-2</v>
      </c>
      <c r="AZ67" s="138">
        <f t="shared" ref="AZ67" si="933">AV67</f>
        <v>3.1655585817628434E-3</v>
      </c>
      <c r="BA67" s="138">
        <f t="shared" ref="BA67" si="934">AW67</f>
        <v>-3.041840047780681E-3</v>
      </c>
      <c r="BB67" s="138">
        <f t="shared" ref="BB67" si="935">AX67</f>
        <v>-2.2872921530977639E-3</v>
      </c>
      <c r="BC67" s="138">
        <f t="shared" ref="BC67" si="936">AY67</f>
        <v>-1.0653186046582535E-2</v>
      </c>
      <c r="BD67" s="138">
        <f t="shared" ref="BD67" si="937">AZ67</f>
        <v>3.1655585817628434E-3</v>
      </c>
    </row>
    <row r="69" spans="1:56" x14ac:dyDescent="0.2">
      <c r="B69" s="1" t="s">
        <v>52</v>
      </c>
      <c r="E69" s="43" t="s">
        <v>33</v>
      </c>
      <c r="F69" s="50">
        <f t="shared" ref="F69:J69" si="938">SUMIFS($Q69:$BD69,$Q$1:$BD$1,F$1)</f>
        <v>0</v>
      </c>
      <c r="G69" s="50">
        <f t="shared" si="938"/>
        <v>0</v>
      </c>
      <c r="H69" s="50">
        <f t="shared" si="938"/>
        <v>0</v>
      </c>
      <c r="I69" s="50">
        <f t="shared" si="938"/>
        <v>687055</v>
      </c>
      <c r="J69" s="50">
        <f t="shared" si="938"/>
        <v>-528857</v>
      </c>
      <c r="K69" s="50">
        <f>SUMIFS($AJ69:$BC69,$AJ$1:$BC$1,K$1)</f>
        <v>0</v>
      </c>
      <c r="L69" s="50">
        <f t="shared" ref="L69:O69" si="939">SUMIFS($AJ69:$BC69,$AJ$1:$BC$1,L$1)</f>
        <v>0</v>
      </c>
      <c r="M69" s="50">
        <f t="shared" si="939"/>
        <v>0</v>
      </c>
      <c r="N69" s="50">
        <f t="shared" si="939"/>
        <v>0</v>
      </c>
      <c r="O69" s="50">
        <f t="shared" si="939"/>
        <v>0</v>
      </c>
      <c r="Q69" s="143">
        <f>_xlfn.XLOOKUP('IS &amp; BS Projections'!$B69,'3FS'!$B:$B,'3FS'!P:P)</f>
        <v>0</v>
      </c>
      <c r="R69" s="143">
        <f>_xlfn.XLOOKUP('IS &amp; BS Projections'!$B69,'3FS'!$B:$B,'3FS'!Q:Q)</f>
        <v>0</v>
      </c>
      <c r="S69" s="143">
        <f>_xlfn.XLOOKUP('IS &amp; BS Projections'!$B69,'3FS'!$B:$B,'3FS'!R:R)</f>
        <v>0</v>
      </c>
      <c r="T69" s="143">
        <f>_xlfn.XLOOKUP('IS &amp; BS Projections'!$B69,'3FS'!$B:$B,'3FS'!S:S)</f>
        <v>0</v>
      </c>
      <c r="U69" s="143">
        <f>_xlfn.XLOOKUP('IS &amp; BS Projections'!$B69,'3FS'!$B:$B,'3FS'!T:T)</f>
        <v>0</v>
      </c>
      <c r="V69" s="143">
        <f>_xlfn.XLOOKUP('IS &amp; BS Projections'!$B69,'3FS'!$B:$B,'3FS'!U:U)</f>
        <v>0</v>
      </c>
      <c r="W69" s="143">
        <f>_xlfn.XLOOKUP('IS &amp; BS Projections'!$B69,'3FS'!$B:$B,'3FS'!V:V)</f>
        <v>0</v>
      </c>
      <c r="X69" s="143">
        <f>_xlfn.XLOOKUP('IS &amp; BS Projections'!$B69,'3FS'!$B:$B,'3FS'!W:W)</f>
        <v>0</v>
      </c>
      <c r="Y69" s="143">
        <f>_xlfn.XLOOKUP('IS &amp; BS Projections'!$B69,'3FS'!$B:$B,'3FS'!X:X)</f>
        <v>0</v>
      </c>
      <c r="Z69" s="143">
        <f>_xlfn.XLOOKUP('IS &amp; BS Projections'!$B69,'3FS'!$B:$B,'3FS'!Y:Y)</f>
        <v>0</v>
      </c>
      <c r="AA69" s="143">
        <f>_xlfn.XLOOKUP('IS &amp; BS Projections'!$B69,'3FS'!$B:$B,'3FS'!Z:Z)</f>
        <v>0</v>
      </c>
      <c r="AB69" s="143">
        <f>_xlfn.XLOOKUP('IS &amp; BS Projections'!$B69,'3FS'!$B:$B,'3FS'!AA:AA)</f>
        <v>0</v>
      </c>
      <c r="AC69" s="143">
        <f>_xlfn.XLOOKUP('IS &amp; BS Projections'!$B69,'3FS'!$B:$B,'3FS'!AB:AB)</f>
        <v>650429</v>
      </c>
      <c r="AD69" s="143">
        <f>_xlfn.XLOOKUP('IS &amp; BS Projections'!$B69,'3FS'!$B:$B,'3FS'!AC:AC)</f>
        <v>-319020</v>
      </c>
      <c r="AE69" s="143">
        <f>_xlfn.XLOOKUP('IS &amp; BS Projections'!$B69,'3FS'!$B:$B,'3FS'!AD:AD)</f>
        <v>-120507</v>
      </c>
      <c r="AF69" s="143">
        <f>_xlfn.XLOOKUP('IS &amp; BS Projections'!$B69,'3FS'!$B:$B,'3FS'!AE:AE)</f>
        <v>476153</v>
      </c>
      <c r="AG69" s="143">
        <f>_xlfn.XLOOKUP('IS &amp; BS Projections'!$B69,'3FS'!$B:$B,'3FS'!AF:AF)</f>
        <v>-596651</v>
      </c>
      <c r="AH69" s="143">
        <f>_xlfn.XLOOKUP('IS &amp; BS Projections'!$B69,'3FS'!$B:$B,'3FS'!AG:AG)</f>
        <v>362053</v>
      </c>
      <c r="AI69" s="143">
        <f>_xlfn.XLOOKUP('IS &amp; BS Projections'!$B69,'3FS'!$B:$B,'3FS'!AH:AH)</f>
        <v>423903</v>
      </c>
      <c r="AJ69" s="143">
        <f>_xlfn.XLOOKUP('IS &amp; BS Projections'!$B69,'3FS'!$B:$B,'3FS'!AI:AI)</f>
        <v>-718162</v>
      </c>
      <c r="AK69" s="50">
        <f>AK70*AK$10</f>
        <v>0</v>
      </c>
      <c r="AL69" s="50">
        <f t="shared" ref="AL69" si="940">AL70*AL$10</f>
        <v>0</v>
      </c>
      <c r="AM69" s="50">
        <f t="shared" ref="AM69" si="941">AM70*AM$10</f>
        <v>0</v>
      </c>
      <c r="AN69" s="50">
        <f t="shared" ref="AN69" si="942">AN70*AN$10</f>
        <v>0</v>
      </c>
      <c r="AO69" s="50">
        <f t="shared" ref="AO69" si="943">AO70*AO$10</f>
        <v>0</v>
      </c>
      <c r="AP69" s="50">
        <f t="shared" ref="AP69" si="944">AP70*AP$10</f>
        <v>0</v>
      </c>
      <c r="AQ69" s="50">
        <f t="shared" ref="AQ69" si="945">AQ70*AQ$10</f>
        <v>0</v>
      </c>
      <c r="AR69" s="50">
        <f t="shared" ref="AR69" si="946">AR70*AR$10</f>
        <v>0</v>
      </c>
      <c r="AS69" s="50">
        <f t="shared" ref="AS69" si="947">AS70*AS$10</f>
        <v>0</v>
      </c>
      <c r="AT69" s="50">
        <f t="shared" ref="AT69" si="948">AT70*AT$10</f>
        <v>0</v>
      </c>
      <c r="AU69" s="50">
        <f t="shared" ref="AU69" si="949">AU70*AU$10</f>
        <v>0</v>
      </c>
      <c r="AV69" s="50">
        <f t="shared" ref="AV69" si="950">AV70*AV$10</f>
        <v>0</v>
      </c>
      <c r="AW69" s="50">
        <f t="shared" ref="AW69" si="951">AW70*AW$10</f>
        <v>0</v>
      </c>
      <c r="AX69" s="50">
        <f t="shared" ref="AX69" si="952">AX70*AX$10</f>
        <v>0</v>
      </c>
      <c r="AY69" s="50">
        <f t="shared" ref="AY69" si="953">AY70*AY$10</f>
        <v>0</v>
      </c>
      <c r="AZ69" s="50">
        <f t="shared" ref="AZ69" si="954">AZ70*AZ$10</f>
        <v>0</v>
      </c>
      <c r="BA69" s="50">
        <f t="shared" ref="BA69" si="955">BA70*BA$10</f>
        <v>0</v>
      </c>
      <c r="BB69" s="50">
        <f t="shared" ref="BB69" si="956">BB70*BB$10</f>
        <v>0</v>
      </c>
      <c r="BC69" s="50">
        <f t="shared" ref="BC69" si="957">BC70*BC$10</f>
        <v>0</v>
      </c>
      <c r="BD69" s="50">
        <f t="shared" ref="BD69" si="958">BD70*BD$10</f>
        <v>0</v>
      </c>
    </row>
    <row r="70" spans="1:56" x14ac:dyDescent="0.2">
      <c r="B70" s="98" t="s">
        <v>293</v>
      </c>
      <c r="C70" s="45"/>
      <c r="D70" s="45"/>
      <c r="E70" s="46" t="s">
        <v>36</v>
      </c>
      <c r="F70" s="126">
        <f t="shared" ref="F70" si="959">F69/F$10</f>
        <v>0</v>
      </c>
      <c r="G70" s="126">
        <f t="shared" ref="G70" si="960">G69/G$10</f>
        <v>0</v>
      </c>
      <c r="H70" s="126">
        <f t="shared" ref="H70" si="961">H69/H$10</f>
        <v>0</v>
      </c>
      <c r="I70" s="126">
        <f t="shared" ref="I70" si="962">I69/I$10</f>
        <v>0.10466972413889764</v>
      </c>
      <c r="J70" s="126">
        <f t="shared" ref="J70" si="963">J69/J$10</f>
        <v>-9.7932926878950319E-2</v>
      </c>
      <c r="K70" s="126">
        <f t="shared" ref="K70" si="964">K69/K$10</f>
        <v>0</v>
      </c>
      <c r="L70" s="126">
        <f t="shared" ref="L70" si="965">L69/L$10</f>
        <v>0</v>
      </c>
      <c r="M70" s="126">
        <f t="shared" ref="M70" si="966">M69/M$10</f>
        <v>0</v>
      </c>
      <c r="N70" s="126">
        <f t="shared" ref="N70" si="967">N69/N$10</f>
        <v>0</v>
      </c>
      <c r="O70" s="126">
        <f t="shared" ref="O70" si="968">O69/O$10</f>
        <v>0</v>
      </c>
      <c r="P70" s="81"/>
      <c r="Q70" s="126">
        <f>Q69/Q$10</f>
        <v>0</v>
      </c>
      <c r="R70" s="126">
        <f t="shared" ref="R70" si="969">R69/R$10</f>
        <v>0</v>
      </c>
      <c r="S70" s="126">
        <f t="shared" ref="S70" si="970">S69/S$10</f>
        <v>0</v>
      </c>
      <c r="T70" s="126">
        <f t="shared" ref="T70" si="971">T69/T$10</f>
        <v>0</v>
      </c>
      <c r="U70" s="126">
        <f t="shared" ref="U70" si="972">U69/U$10</f>
        <v>0</v>
      </c>
      <c r="V70" s="126">
        <f t="shared" ref="V70" si="973">V69/V$10</f>
        <v>0</v>
      </c>
      <c r="W70" s="126">
        <f t="shared" ref="W70" si="974">W69/W$10</f>
        <v>0</v>
      </c>
      <c r="X70" s="126">
        <f t="shared" ref="X70" si="975">X69/X$10</f>
        <v>0</v>
      </c>
      <c r="Y70" s="126">
        <f t="shared" ref="Y70" si="976">Y69/Y$10</f>
        <v>0</v>
      </c>
      <c r="Z70" s="126">
        <f t="shared" ref="Z70" si="977">Z69/Z$10</f>
        <v>0</v>
      </c>
      <c r="AA70" s="126">
        <f t="shared" ref="AA70" si="978">AA69/AA$10</f>
        <v>0</v>
      </c>
      <c r="AB70" s="126">
        <f t="shared" ref="AB70" si="979">AB69/AB$10</f>
        <v>0</v>
      </c>
      <c r="AC70" s="126">
        <f t="shared" ref="AC70" si="980">AC69/AC$10</f>
        <v>0.39719157043668363</v>
      </c>
      <c r="AD70" s="126">
        <f t="shared" ref="AD70" si="981">AD69/AD$10</f>
        <v>-0.22007025250616019</v>
      </c>
      <c r="AE70" s="126">
        <f t="shared" ref="AE70" si="982">AE69/AE$10</f>
        <v>-9.9989794165747728E-2</v>
      </c>
      <c r="AF70" s="126">
        <f t="shared" ref="AF70" si="983">AF69/AF$10</f>
        <v>0.20960787308887821</v>
      </c>
      <c r="AG70" s="126">
        <f t="shared" ref="AG70" si="984">AG69/AG$10</f>
        <v>-0.29329620335300438</v>
      </c>
      <c r="AH70" s="126">
        <f t="shared" ref="AH70" si="985">AH69/AH$10</f>
        <v>0.24181877200763019</v>
      </c>
      <c r="AI70" s="126">
        <f t="shared" ref="AI70" si="986">AI69/AI$10</f>
        <v>0.22684464489351649</v>
      </c>
      <c r="AJ70" s="126">
        <f t="shared" ref="AJ70" si="987">AJ69/AJ$10</f>
        <v>-0.4032060563833389</v>
      </c>
      <c r="AK70" s="138">
        <f>MEDIAN(Q70,U70,Y70,AC70,AG70)</f>
        <v>0</v>
      </c>
      <c r="AL70" s="138">
        <f t="shared" ref="AL70" si="988">MEDIAN(R70,V70,Z70,AD70,AH70)</f>
        <v>0</v>
      </c>
      <c r="AM70" s="138">
        <f t="shared" ref="AM70" si="989">MEDIAN(S70,W70,AA70,AE70,AI70)</f>
        <v>0</v>
      </c>
      <c r="AN70" s="138">
        <f t="shared" ref="AN70" si="990">MEDIAN(T70,X70,AB70,AF70,AJ70)</f>
        <v>0</v>
      </c>
      <c r="AO70" s="138">
        <f>AK70</f>
        <v>0</v>
      </c>
      <c r="AP70" s="138">
        <f t="shared" ref="AP70" si="991">AL70</f>
        <v>0</v>
      </c>
      <c r="AQ70" s="138">
        <f t="shared" ref="AQ70" si="992">AM70</f>
        <v>0</v>
      </c>
      <c r="AR70" s="138">
        <f t="shared" ref="AR70" si="993">AN70</f>
        <v>0</v>
      </c>
      <c r="AS70" s="138">
        <f t="shared" ref="AS70" si="994">AO70</f>
        <v>0</v>
      </c>
      <c r="AT70" s="138">
        <f t="shared" ref="AT70" si="995">AP70</f>
        <v>0</v>
      </c>
      <c r="AU70" s="138">
        <f t="shared" ref="AU70" si="996">AQ70</f>
        <v>0</v>
      </c>
      <c r="AV70" s="138">
        <f t="shared" ref="AV70" si="997">AR70</f>
        <v>0</v>
      </c>
      <c r="AW70" s="138">
        <f t="shared" ref="AW70" si="998">AS70</f>
        <v>0</v>
      </c>
      <c r="AX70" s="138">
        <f t="shared" ref="AX70" si="999">AT70</f>
        <v>0</v>
      </c>
      <c r="AY70" s="138">
        <f t="shared" ref="AY70" si="1000">AU70</f>
        <v>0</v>
      </c>
      <c r="AZ70" s="138">
        <f t="shared" ref="AZ70" si="1001">AV70</f>
        <v>0</v>
      </c>
      <c r="BA70" s="138">
        <f t="shared" ref="BA70" si="1002">AW70</f>
        <v>0</v>
      </c>
      <c r="BB70" s="138">
        <f t="shared" ref="BB70" si="1003">AX70</f>
        <v>0</v>
      </c>
      <c r="BC70" s="138">
        <f t="shared" ref="BC70" si="1004">AY70</f>
        <v>0</v>
      </c>
      <c r="BD70" s="138">
        <f t="shared" ref="BD70" si="1005">AZ70</f>
        <v>0</v>
      </c>
    </row>
    <row r="72" spans="1:56" x14ac:dyDescent="0.2">
      <c r="B72" s="1" t="s">
        <v>59</v>
      </c>
      <c r="E72" s="43" t="s">
        <v>33</v>
      </c>
      <c r="F72" s="50">
        <f t="shared" ref="F72:J72" si="1006">SUMIFS($Q72:$BD72,$Q$1:$BD$1,F$1)</f>
        <v>597173</v>
      </c>
      <c r="G72" s="50">
        <f t="shared" si="1006"/>
        <v>439633</v>
      </c>
      <c r="H72" s="50">
        <f t="shared" si="1006"/>
        <v>171716</v>
      </c>
      <c r="I72" s="50">
        <f t="shared" si="1006"/>
        <v>-363578</v>
      </c>
      <c r="J72" s="50">
        <f t="shared" si="1006"/>
        <v>-261738</v>
      </c>
      <c r="K72" s="50">
        <f>SUMIFS($AJ72:$BC72,$AJ$1:$BC$1,K$1)</f>
        <v>155144.09136058565</v>
      </c>
      <c r="L72" s="50">
        <f t="shared" ref="L72:O72" si="1007">SUMIFS($AJ72:$BC72,$AJ$1:$BC$1,L$1)</f>
        <v>177856.927658197</v>
      </c>
      <c r="M72" s="50">
        <f t="shared" si="1007"/>
        <v>203069.91390370243</v>
      </c>
      <c r="N72" s="50">
        <f t="shared" si="1007"/>
        <v>241719.07479077327</v>
      </c>
      <c r="O72" s="50">
        <f t="shared" si="1007"/>
        <v>234579.51461431279</v>
      </c>
      <c r="Q72" s="143">
        <f>_xlfn.XLOOKUP('IS &amp; BS Projections'!$B72,'3FS'!$B:$B,'3FS'!P:P)</f>
        <v>-225203</v>
      </c>
      <c r="R72" s="143">
        <f>_xlfn.XLOOKUP('IS &amp; BS Projections'!$B72,'3FS'!$B:$B,'3FS'!Q:Q)</f>
        <v>737468</v>
      </c>
      <c r="S72" s="143">
        <f>_xlfn.XLOOKUP('IS &amp; BS Projections'!$B72,'3FS'!$B:$B,'3FS'!R:R)</f>
        <v>135240</v>
      </c>
      <c r="T72" s="143">
        <f>_xlfn.XLOOKUP('IS &amp; BS Projections'!$B72,'3FS'!$B:$B,'3FS'!S:S)</f>
        <v>-50332</v>
      </c>
      <c r="U72" s="143">
        <f>_xlfn.XLOOKUP('IS &amp; BS Projections'!$B72,'3FS'!$B:$B,'3FS'!T:T)</f>
        <v>179786</v>
      </c>
      <c r="V72" s="143">
        <f>_xlfn.XLOOKUP('IS &amp; BS Projections'!$B72,'3FS'!$B:$B,'3FS'!U:U)</f>
        <v>146915</v>
      </c>
      <c r="W72" s="143">
        <f>_xlfn.XLOOKUP('IS &amp; BS Projections'!$B72,'3FS'!$B:$B,'3FS'!V:V)</f>
        <v>99055</v>
      </c>
      <c r="X72" s="143">
        <f>_xlfn.XLOOKUP('IS &amp; BS Projections'!$B72,'3FS'!$B:$B,'3FS'!W:W)</f>
        <v>13877</v>
      </c>
      <c r="Y72" s="143">
        <f>_xlfn.XLOOKUP('IS &amp; BS Projections'!$B72,'3FS'!$B:$B,'3FS'!X:X)</f>
        <v>86780</v>
      </c>
      <c r="Z72" s="143">
        <f>_xlfn.XLOOKUP('IS &amp; BS Projections'!$B72,'3FS'!$B:$B,'3FS'!Y:Y)</f>
        <v>-18722</v>
      </c>
      <c r="AA72" s="143">
        <f>_xlfn.XLOOKUP('IS &amp; BS Projections'!$B72,'3FS'!$B:$B,'3FS'!Z:Z)</f>
        <v>-36926</v>
      </c>
      <c r="AB72" s="143">
        <f>_xlfn.XLOOKUP('IS &amp; BS Projections'!$B72,'3FS'!$B:$B,'3FS'!AA:AA)</f>
        <v>140584</v>
      </c>
      <c r="AC72" s="143">
        <f>_xlfn.XLOOKUP('IS &amp; BS Projections'!$B72,'3FS'!$B:$B,'3FS'!AB:AB)</f>
        <v>-261179</v>
      </c>
      <c r="AD72" s="143">
        <f>_xlfn.XLOOKUP('IS &amp; BS Projections'!$B72,'3FS'!$B:$B,'3FS'!AC:AC)</f>
        <v>96387</v>
      </c>
      <c r="AE72" s="143">
        <f>_xlfn.XLOOKUP('IS &amp; BS Projections'!$B72,'3FS'!$B:$B,'3FS'!AD:AD)</f>
        <v>6914</v>
      </c>
      <c r="AF72" s="143">
        <f>_xlfn.XLOOKUP('IS &amp; BS Projections'!$B72,'3FS'!$B:$B,'3FS'!AE:AE)</f>
        <v>-205700</v>
      </c>
      <c r="AG72" s="143">
        <f>_xlfn.XLOOKUP('IS &amp; BS Projections'!$B72,'3FS'!$B:$B,'3FS'!AF:AF)</f>
        <v>-16848</v>
      </c>
      <c r="AH72" s="143">
        <f>_xlfn.XLOOKUP('IS &amp; BS Projections'!$B72,'3FS'!$B:$B,'3FS'!AG:AG)</f>
        <v>-394873</v>
      </c>
      <c r="AI72" s="143">
        <f>_xlfn.XLOOKUP('IS &amp; BS Projections'!$B72,'3FS'!$B:$B,'3FS'!AH:AH)</f>
        <v>-69591</v>
      </c>
      <c r="AJ72" s="143">
        <f>_xlfn.XLOOKUP('IS &amp; BS Projections'!$B72,'3FS'!$B:$B,'3FS'!AI:AI)</f>
        <v>219574</v>
      </c>
      <c r="AK72" s="50">
        <f>AK73*AK$10</f>
        <v>-15433.711567623401</v>
      </c>
      <c r="AL72" s="50">
        <f t="shared" ref="AL72" si="1008">AL73*AL$10</f>
        <v>118585.28377921061</v>
      </c>
      <c r="AM72" s="50">
        <f t="shared" ref="AM72" si="1009">AM73*AM$10</f>
        <v>13618.276980645645</v>
      </c>
      <c r="AN72" s="50">
        <f t="shared" ref="AN72" si="1010">AN73*AN$10</f>
        <v>38374.242168352772</v>
      </c>
      <c r="AO72" s="50">
        <f t="shared" ref="AO72" si="1011">AO73*AO$10</f>
        <v>-16106.14742238371</v>
      </c>
      <c r="AP72" s="50">
        <f t="shared" ref="AP72" si="1012">AP73*AP$10</f>
        <v>134912.19719497449</v>
      </c>
      <c r="AQ72" s="50">
        <f t="shared" ref="AQ72" si="1013">AQ73*AQ$10</f>
        <v>15714.857543734426</v>
      </c>
      <c r="AR72" s="50">
        <f t="shared" ref="AR72" si="1014">AR73*AR$10</f>
        <v>43336.020341871808</v>
      </c>
      <c r="AS72" s="50">
        <f t="shared" ref="AS72" si="1015">AS73*AS$10</f>
        <v>-17532.56147786618</v>
      </c>
      <c r="AT72" s="50">
        <f t="shared" ref="AT72" si="1016">AT73*AT$10</f>
        <v>154383.2146659276</v>
      </c>
      <c r="AU72" s="50">
        <f t="shared" ref="AU72" si="1017">AU73*AU$10</f>
        <v>17708.661799138379</v>
      </c>
      <c r="AV72" s="50">
        <f t="shared" ref="AV72" si="1018">AV73*AV$10</f>
        <v>48510.598916502611</v>
      </c>
      <c r="AW72" s="50">
        <f t="shared" ref="AW72" si="1019">AW73*AW$10</f>
        <v>-19358.118605048421</v>
      </c>
      <c r="AX72" s="50">
        <f t="shared" ref="AX72" si="1020">AX73*AX$10</f>
        <v>183610.52542215833</v>
      </c>
      <c r="AY72" s="50">
        <f t="shared" ref="AY72" si="1021">AY73*AY$10</f>
        <v>20807.336721122767</v>
      </c>
      <c r="AZ72" s="50">
        <f t="shared" ref="AZ72" si="1022">AZ73*AZ$10</f>
        <v>56659.331252540607</v>
      </c>
      <c r="BA72" s="50">
        <f t="shared" ref="BA72" si="1023">BA73*BA$10</f>
        <v>-22241.234736869501</v>
      </c>
      <c r="BB72" s="50">
        <f t="shared" ref="BB72" si="1024">BB73*BB$10</f>
        <v>230893.15725957308</v>
      </c>
      <c r="BC72" s="50">
        <f t="shared" ref="BC72" si="1025">BC73*BC$10</f>
        <v>25927.592091609215</v>
      </c>
      <c r="BD72" s="50">
        <f t="shared" ref="BD72" si="1026">BD73*BD$10</f>
        <v>69773.977592066134</v>
      </c>
    </row>
    <row r="73" spans="1:56" x14ac:dyDescent="0.2">
      <c r="B73" s="98" t="s">
        <v>293</v>
      </c>
      <c r="C73" s="45"/>
      <c r="D73" s="45"/>
      <c r="E73" s="46" t="s">
        <v>36</v>
      </c>
      <c r="F73" s="126">
        <f t="shared" ref="F73" si="1027">F72/F$10</f>
        <v>7.6175418030230452E-2</v>
      </c>
      <c r="G73" s="126">
        <f t="shared" ref="G73" si="1028">G72/G$10</f>
        <v>0.1376344308197838</v>
      </c>
      <c r="H73" s="126">
        <f t="shared" ref="H73" si="1029">H72/H$10</f>
        <v>5.5242870650109722E-2</v>
      </c>
      <c r="I73" s="126">
        <f t="shared" ref="I73" si="1030">I72/I$10</f>
        <v>-5.5389465127205433E-2</v>
      </c>
      <c r="J73" s="126">
        <f t="shared" ref="J73" si="1031">J72/J$10</f>
        <v>-4.8468240782371601E-2</v>
      </c>
      <c r="K73" s="126">
        <f t="shared" ref="K73" si="1032">K72/K$10</f>
        <v>1.9991455985427786E-2</v>
      </c>
      <c r="L73" s="126">
        <f t="shared" ref="L73" si="1033">L72/L$10</f>
        <v>2.0495947813434365E-2</v>
      </c>
      <c r="M73" s="126">
        <f t="shared" ref="M73" si="1034">M72/M$10</f>
        <v>2.088151969914193E-2</v>
      </c>
      <c r="N73" s="126">
        <f t="shared" ref="N73" si="1035">N72/N$10</f>
        <v>2.1401651400628077E-2</v>
      </c>
      <c r="O73" s="126">
        <f t="shared" ref="O73" si="1036">O72/O$10</f>
        <v>2.1969432662440558E-2</v>
      </c>
      <c r="P73" s="81"/>
      <c r="Q73" s="126">
        <f>Q72/Q$10</f>
        <v>-0.12503553360368483</v>
      </c>
      <c r="R73" s="126">
        <f t="shared" ref="R73" si="1037">R72/R$10</f>
        <v>0.33100564551819106</v>
      </c>
      <c r="S73" s="126">
        <f t="shared" ref="S73" si="1038">S72/S$10</f>
        <v>0.10308649691899127</v>
      </c>
      <c r="T73" s="126">
        <f t="shared" ref="T73" si="1039">T72/T$10</f>
        <v>-2.0145185259897787E-2</v>
      </c>
      <c r="U73" s="126">
        <f t="shared" ref="U73" si="1040">U72/U$10</f>
        <v>0.15413275996282694</v>
      </c>
      <c r="V73" s="126">
        <f t="shared" ref="V73" si="1041">V72/V$10</f>
        <v>0.18175238919988865</v>
      </c>
      <c r="W73" s="126">
        <f t="shared" ref="W73" si="1042">W72/W$10</f>
        <v>0.16779342039065689</v>
      </c>
      <c r="X73" s="126">
        <f t="shared" ref="X73" si="1043">X72/X$10</f>
        <v>2.2058215759456247E-2</v>
      </c>
      <c r="Y73" s="126">
        <f t="shared" ref="Y73" si="1044">Y72/Y$10</f>
        <v>0.11233235257187756</v>
      </c>
      <c r="Z73" s="126">
        <f t="shared" ref="Z73" si="1045">Z72/Z$10</f>
        <v>-2.6446827355416147E-2</v>
      </c>
      <c r="AA73" s="126">
        <f t="shared" ref="AA73" si="1046">AA72/AA$10</f>
        <v>-5.4774322552317886E-2</v>
      </c>
      <c r="AB73" s="126">
        <f t="shared" ref="AB73" si="1047">AB72/AB$10</f>
        <v>0.14739435622958813</v>
      </c>
      <c r="AC73" s="126">
        <f t="shared" ref="AC73" si="1048">AC72/AC$10</f>
        <v>-0.15949180798378085</v>
      </c>
      <c r="AD73" s="126">
        <f t="shared" ref="AD73" si="1049">AD72/AD$10</f>
        <v>6.649085144602615E-2</v>
      </c>
      <c r="AE73" s="126">
        <f t="shared" ref="AE73" si="1050">AE72/AE$10</f>
        <v>5.736840489448578E-3</v>
      </c>
      <c r="AF73" s="126">
        <f t="shared" ref="AF73" si="1051">AF72/AF$10</f>
        <v>-9.0551439336478495E-2</v>
      </c>
      <c r="AG73" s="126">
        <f t="shared" ref="AG73" si="1052">AG72/AG$10</f>
        <v>-8.2819846679070639E-3</v>
      </c>
      <c r="AH73" s="126">
        <f t="shared" ref="AH73" si="1053">AH72/AH$10</f>
        <v>-0.26373957392693598</v>
      </c>
      <c r="AI73" s="126">
        <f t="shared" ref="AI73" si="1054">AI72/AI$10</f>
        <v>-3.7240467000197466E-2</v>
      </c>
      <c r="AJ73" s="126">
        <f t="shared" ref="AJ73" si="1055">AJ72/AJ$10</f>
        <v>0.12327798828720435</v>
      </c>
      <c r="AK73" s="138">
        <f>MEDIAN(Q73,U73,Y73,AC73,AG73)</f>
        <v>-8.2819846679070639E-3</v>
      </c>
      <c r="AL73" s="138">
        <f t="shared" ref="AL73" si="1056">MEDIAN(R73,V73,Z73,AD73,AH73)</f>
        <v>6.649085144602615E-2</v>
      </c>
      <c r="AM73" s="138">
        <f t="shared" ref="AM73" si="1057">MEDIAN(S73,W73,AA73,AE73,AI73)</f>
        <v>5.736840489448578E-3</v>
      </c>
      <c r="AN73" s="138">
        <f t="shared" ref="AN73" si="1058">MEDIAN(T73,X73,AB73,AF73,AJ73)</f>
        <v>2.2058215759456247E-2</v>
      </c>
      <c r="AO73" s="138">
        <f>AK73</f>
        <v>-8.2819846679070639E-3</v>
      </c>
      <c r="AP73" s="138">
        <f t="shared" ref="AP73" si="1059">AL73</f>
        <v>6.649085144602615E-2</v>
      </c>
      <c r="AQ73" s="138">
        <f t="shared" ref="AQ73" si="1060">AM73</f>
        <v>5.736840489448578E-3</v>
      </c>
      <c r="AR73" s="138">
        <f t="shared" ref="AR73" si="1061">AN73</f>
        <v>2.2058215759456247E-2</v>
      </c>
      <c r="AS73" s="138">
        <f t="shared" ref="AS73" si="1062">AO73</f>
        <v>-8.2819846679070639E-3</v>
      </c>
      <c r="AT73" s="138">
        <f t="shared" ref="AT73" si="1063">AP73</f>
        <v>6.649085144602615E-2</v>
      </c>
      <c r="AU73" s="138">
        <f t="shared" ref="AU73" si="1064">AQ73</f>
        <v>5.736840489448578E-3</v>
      </c>
      <c r="AV73" s="138">
        <f t="shared" ref="AV73" si="1065">AR73</f>
        <v>2.2058215759456247E-2</v>
      </c>
      <c r="AW73" s="138">
        <f t="shared" ref="AW73" si="1066">AS73</f>
        <v>-8.2819846679070639E-3</v>
      </c>
      <c r="AX73" s="138">
        <f t="shared" ref="AX73" si="1067">AT73</f>
        <v>6.649085144602615E-2</v>
      </c>
      <c r="AY73" s="138">
        <f t="shared" ref="AY73" si="1068">AU73</f>
        <v>5.736840489448578E-3</v>
      </c>
      <c r="AZ73" s="138">
        <f t="shared" ref="AZ73" si="1069">AV73</f>
        <v>2.2058215759456247E-2</v>
      </c>
      <c r="BA73" s="138">
        <f t="shared" ref="BA73" si="1070">AW73</f>
        <v>-8.2819846679070639E-3</v>
      </c>
      <c r="BB73" s="138">
        <f t="shared" ref="BB73" si="1071">AX73</f>
        <v>6.649085144602615E-2</v>
      </c>
      <c r="BC73" s="138">
        <f t="shared" ref="BC73" si="1072">AY73</f>
        <v>5.736840489448578E-3</v>
      </c>
      <c r="BD73" s="138">
        <f t="shared" ref="BD73" si="1073">AZ73</f>
        <v>2.2058215759456247E-2</v>
      </c>
    </row>
    <row r="75" spans="1:56" s="1" customFormat="1" ht="14" x14ac:dyDescent="0.15">
      <c r="A75" s="1" t="s">
        <v>27</v>
      </c>
      <c r="B75" s="33" t="s">
        <v>62</v>
      </c>
      <c r="C75" s="33"/>
      <c r="D75" s="33"/>
      <c r="E75" s="34" t="s">
        <v>29</v>
      </c>
      <c r="F75" s="35">
        <v>21</v>
      </c>
      <c r="G75" s="35">
        <f>F75+1</f>
        <v>22</v>
      </c>
      <c r="H75" s="35">
        <f t="shared" ref="H75" si="1074">G75+1</f>
        <v>23</v>
      </c>
      <c r="I75" s="35">
        <f t="shared" ref="I75" si="1075">H75+1</f>
        <v>24</v>
      </c>
      <c r="J75" s="35">
        <f t="shared" ref="J75" si="1076">I75+1</f>
        <v>25</v>
      </c>
      <c r="K75" s="36">
        <f t="shared" ref="K75" si="1077">J75+1</f>
        <v>26</v>
      </c>
      <c r="L75" s="36">
        <f t="shared" ref="L75" si="1078">K75+1</f>
        <v>27</v>
      </c>
      <c r="M75" s="36">
        <f t="shared" ref="M75" si="1079">L75+1</f>
        <v>28</v>
      </c>
      <c r="N75" s="36">
        <f t="shared" ref="N75" si="1080">M75+1</f>
        <v>29</v>
      </c>
      <c r="O75" s="36">
        <f t="shared" ref="O75" si="1081">N75+1</f>
        <v>30</v>
      </c>
      <c r="Q75" s="41">
        <v>44286</v>
      </c>
      <c r="R75" s="41">
        <v>44377</v>
      </c>
      <c r="S75" s="41">
        <v>44469</v>
      </c>
      <c r="T75" s="41">
        <v>44561</v>
      </c>
      <c r="U75" s="41">
        <v>44651</v>
      </c>
      <c r="V75" s="41">
        <v>44742</v>
      </c>
      <c r="W75" s="41">
        <v>44834</v>
      </c>
      <c r="X75" s="41">
        <v>44926</v>
      </c>
      <c r="Y75" s="41">
        <v>45016</v>
      </c>
      <c r="Z75" s="41">
        <v>45107</v>
      </c>
      <c r="AA75" s="41">
        <v>45199</v>
      </c>
      <c r="AB75" s="41">
        <v>45291</v>
      </c>
      <c r="AC75" s="41">
        <v>45382</v>
      </c>
      <c r="AD75" s="41">
        <v>45473</v>
      </c>
      <c r="AE75" s="41">
        <v>45565</v>
      </c>
      <c r="AF75" s="41">
        <v>45657</v>
      </c>
      <c r="AG75" s="41">
        <v>45747</v>
      </c>
      <c r="AH75" s="41">
        <v>45838</v>
      </c>
      <c r="AI75" s="41">
        <v>45930</v>
      </c>
      <c r="AJ75" s="41">
        <v>46022</v>
      </c>
      <c r="AK75" s="41">
        <v>46112</v>
      </c>
      <c r="AL75" s="41">
        <v>46203</v>
      </c>
      <c r="AM75" s="41">
        <v>46295</v>
      </c>
      <c r="AN75" s="41">
        <v>46387</v>
      </c>
      <c r="AO75" s="41">
        <v>46477</v>
      </c>
      <c r="AP75" s="41">
        <v>46568</v>
      </c>
      <c r="AQ75" s="41">
        <v>46660</v>
      </c>
      <c r="AR75" s="41">
        <v>46752</v>
      </c>
      <c r="AS75" s="41">
        <v>46843</v>
      </c>
      <c r="AT75" s="41">
        <v>46934</v>
      </c>
      <c r="AU75" s="41">
        <v>47026</v>
      </c>
      <c r="AV75" s="41">
        <v>47118</v>
      </c>
      <c r="AW75" s="41">
        <v>47208</v>
      </c>
      <c r="AX75" s="41">
        <v>47299</v>
      </c>
      <c r="AY75" s="41">
        <v>47391</v>
      </c>
      <c r="AZ75" s="41">
        <v>47483</v>
      </c>
      <c r="BA75" s="41">
        <v>47573</v>
      </c>
      <c r="BB75" s="41">
        <v>47664</v>
      </c>
      <c r="BC75" s="41">
        <v>47756</v>
      </c>
      <c r="BD75" s="41">
        <v>47848</v>
      </c>
    </row>
    <row r="76" spans="1:56" ht="3" customHeight="1" x14ac:dyDescent="0.2"/>
    <row r="77" spans="1:56" s="1" customFormat="1" ht="14" outlineLevel="1" x14ac:dyDescent="0.15">
      <c r="B77" s="38" t="s">
        <v>294</v>
      </c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</row>
    <row r="79" spans="1:56" x14ac:dyDescent="0.2">
      <c r="B79" s="1" t="s">
        <v>59</v>
      </c>
      <c r="E79" s="43" t="s">
        <v>33</v>
      </c>
      <c r="F79" s="50">
        <f>T79</f>
        <v>-50332</v>
      </c>
      <c r="G79" s="50">
        <f>X79</f>
        <v>13877</v>
      </c>
      <c r="H79" s="50">
        <f>AB79</f>
        <v>140584</v>
      </c>
      <c r="I79" s="50">
        <f>AF79</f>
        <v>-205700</v>
      </c>
      <c r="J79" s="50">
        <f>AJ79</f>
        <v>219574</v>
      </c>
      <c r="K79" s="50">
        <f>AN79</f>
        <v>38374.242168352772</v>
      </c>
      <c r="L79" s="50">
        <f>AR79</f>
        <v>43336.020341871808</v>
      </c>
      <c r="M79" s="50">
        <f>AV79</f>
        <v>48510.598916502611</v>
      </c>
      <c r="N79" s="50">
        <f>AZ79</f>
        <v>56659.331252540607</v>
      </c>
      <c r="O79" s="50">
        <f>BD79</f>
        <v>69773.977592066134</v>
      </c>
      <c r="Q79" s="143">
        <f>_xlfn.XLOOKUP('IS &amp; BS Projections'!$B79,'3FS'!$B:$B,'3FS'!P:P)</f>
        <v>-225203</v>
      </c>
      <c r="R79" s="143">
        <f>_xlfn.XLOOKUP('IS &amp; BS Projections'!$B79,'3FS'!$B:$B,'3FS'!Q:Q)</f>
        <v>737468</v>
      </c>
      <c r="S79" s="143">
        <f>_xlfn.XLOOKUP('IS &amp; BS Projections'!$B79,'3FS'!$B:$B,'3FS'!R:R)</f>
        <v>135240</v>
      </c>
      <c r="T79" s="143">
        <f>_xlfn.XLOOKUP('IS &amp; BS Projections'!$B79,'3FS'!$B:$B,'3FS'!S:S)</f>
        <v>-50332</v>
      </c>
      <c r="U79" s="143">
        <f>_xlfn.XLOOKUP('IS &amp; BS Projections'!$B79,'3FS'!$B:$B,'3FS'!T:T)</f>
        <v>179786</v>
      </c>
      <c r="V79" s="143">
        <f>_xlfn.XLOOKUP('IS &amp; BS Projections'!$B79,'3FS'!$B:$B,'3FS'!U:U)</f>
        <v>146915</v>
      </c>
      <c r="W79" s="143">
        <f>_xlfn.XLOOKUP('IS &amp; BS Projections'!$B79,'3FS'!$B:$B,'3FS'!V:V)</f>
        <v>99055</v>
      </c>
      <c r="X79" s="143">
        <f>_xlfn.XLOOKUP('IS &amp; BS Projections'!$B79,'3FS'!$B:$B,'3FS'!W:W)</f>
        <v>13877</v>
      </c>
      <c r="Y79" s="143">
        <f>_xlfn.XLOOKUP('IS &amp; BS Projections'!$B79,'3FS'!$B:$B,'3FS'!X:X)</f>
        <v>86780</v>
      </c>
      <c r="Z79" s="143">
        <f>_xlfn.XLOOKUP('IS &amp; BS Projections'!$B79,'3FS'!$B:$B,'3FS'!Y:Y)</f>
        <v>-18722</v>
      </c>
      <c r="AA79" s="143">
        <f>_xlfn.XLOOKUP('IS &amp; BS Projections'!$B79,'3FS'!$B:$B,'3FS'!Z:Z)</f>
        <v>-36926</v>
      </c>
      <c r="AB79" s="143">
        <f>_xlfn.XLOOKUP('IS &amp; BS Projections'!$B79,'3FS'!$B:$B,'3FS'!AA:AA)</f>
        <v>140584</v>
      </c>
      <c r="AC79" s="143">
        <f>_xlfn.XLOOKUP('IS &amp; BS Projections'!$B79,'3FS'!$B:$B,'3FS'!AB:AB)</f>
        <v>-261179</v>
      </c>
      <c r="AD79" s="143">
        <f>_xlfn.XLOOKUP('IS &amp; BS Projections'!$B79,'3FS'!$B:$B,'3FS'!AC:AC)</f>
        <v>96387</v>
      </c>
      <c r="AE79" s="143">
        <f>_xlfn.XLOOKUP('IS &amp; BS Projections'!$B79,'3FS'!$B:$B,'3FS'!AD:AD)</f>
        <v>6914</v>
      </c>
      <c r="AF79" s="143">
        <f>_xlfn.XLOOKUP('IS &amp; BS Projections'!$B79,'3FS'!$B:$B,'3FS'!AE:AE)</f>
        <v>-205700</v>
      </c>
      <c r="AG79" s="143">
        <f>_xlfn.XLOOKUP('IS &amp; BS Projections'!$B79,'3FS'!$B:$B,'3FS'!AF:AF)</f>
        <v>-16848</v>
      </c>
      <c r="AH79" s="143">
        <f>_xlfn.XLOOKUP('IS &amp; BS Projections'!$B79,'3FS'!$B:$B,'3FS'!AG:AG)</f>
        <v>-394873</v>
      </c>
      <c r="AI79" s="143">
        <f>_xlfn.XLOOKUP('IS &amp; BS Projections'!$B79,'3FS'!$B:$B,'3FS'!AH:AH)</f>
        <v>-69591</v>
      </c>
      <c r="AJ79" s="143">
        <f>_xlfn.XLOOKUP('IS &amp; BS Projections'!$B79,'3FS'!$B:$B,'3FS'!AI:AI)</f>
        <v>219574</v>
      </c>
      <c r="AK79" s="50">
        <f>AK80*AK$10</f>
        <v>-15433.711567623401</v>
      </c>
      <c r="AL79" s="50">
        <f t="shared" ref="AL79" si="1082">AL80*AL$10</f>
        <v>118585.28377921061</v>
      </c>
      <c r="AM79" s="50">
        <f t="shared" ref="AM79" si="1083">AM80*AM$10</f>
        <v>13618.276980645645</v>
      </c>
      <c r="AN79" s="50">
        <f t="shared" ref="AN79" si="1084">AN80*AN$10</f>
        <v>38374.242168352772</v>
      </c>
      <c r="AO79" s="50">
        <f t="shared" ref="AO79" si="1085">AO80*AO$10</f>
        <v>-16106.14742238371</v>
      </c>
      <c r="AP79" s="50">
        <f t="shared" ref="AP79" si="1086">AP80*AP$10</f>
        <v>134912.19719497449</v>
      </c>
      <c r="AQ79" s="50">
        <f t="shared" ref="AQ79" si="1087">AQ80*AQ$10</f>
        <v>15714.857543734426</v>
      </c>
      <c r="AR79" s="50">
        <f t="shared" ref="AR79" si="1088">AR80*AR$10</f>
        <v>43336.020341871808</v>
      </c>
      <c r="AS79" s="50">
        <f t="shared" ref="AS79" si="1089">AS80*AS$10</f>
        <v>-17532.56147786618</v>
      </c>
      <c r="AT79" s="50">
        <f t="shared" ref="AT79" si="1090">AT80*AT$10</f>
        <v>154383.2146659276</v>
      </c>
      <c r="AU79" s="50">
        <f t="shared" ref="AU79" si="1091">AU80*AU$10</f>
        <v>17708.661799138379</v>
      </c>
      <c r="AV79" s="50">
        <f t="shared" ref="AV79" si="1092">AV80*AV$10</f>
        <v>48510.598916502611</v>
      </c>
      <c r="AW79" s="50">
        <f t="shared" ref="AW79" si="1093">AW80*AW$10</f>
        <v>-19358.118605048421</v>
      </c>
      <c r="AX79" s="50">
        <f t="shared" ref="AX79" si="1094">AX80*AX$10</f>
        <v>183610.52542215833</v>
      </c>
      <c r="AY79" s="50">
        <f t="shared" ref="AY79" si="1095">AY80*AY$10</f>
        <v>20807.336721122767</v>
      </c>
      <c r="AZ79" s="50">
        <f t="shared" ref="AZ79" si="1096">AZ80*AZ$10</f>
        <v>56659.331252540607</v>
      </c>
      <c r="BA79" s="50">
        <f t="shared" ref="BA79" si="1097">BA80*BA$10</f>
        <v>-22241.234736869501</v>
      </c>
      <c r="BB79" s="50">
        <f t="shared" ref="BB79" si="1098">BB80*BB$10</f>
        <v>230893.15725957308</v>
      </c>
      <c r="BC79" s="50">
        <f t="shared" ref="BC79" si="1099">BC80*BC$10</f>
        <v>25927.592091609215</v>
      </c>
      <c r="BD79" s="50">
        <f t="shared" ref="BD79" si="1100">BD80*BD$10</f>
        <v>69773.977592066134</v>
      </c>
    </row>
    <row r="80" spans="1:56" x14ac:dyDescent="0.2">
      <c r="B80" s="98" t="s">
        <v>293</v>
      </c>
      <c r="C80" s="45"/>
      <c r="D80" s="45"/>
      <c r="E80" s="46" t="s">
        <v>36</v>
      </c>
      <c r="F80" s="126">
        <f t="shared" ref="F80" si="1101">F79/F$10</f>
        <v>-6.4203524611755039E-3</v>
      </c>
      <c r="G80" s="126">
        <f t="shared" ref="G80" si="1102">G79/G$10</f>
        <v>4.344425910898727E-3</v>
      </c>
      <c r="H80" s="126">
        <f t="shared" ref="H80" si="1103">H79/H$10</f>
        <v>4.5227373846787863E-2</v>
      </c>
      <c r="I80" s="126">
        <f t="shared" ref="I80" si="1104">I79/I$10</f>
        <v>-3.1337465349020446E-2</v>
      </c>
      <c r="J80" s="126">
        <f t="shared" ref="J80" si="1105">J79/J$10</f>
        <v>4.0660376030795919E-2</v>
      </c>
      <c r="K80" s="126">
        <f t="shared" ref="K80" si="1106">K79/K$10</f>
        <v>4.9448030315234264E-3</v>
      </c>
      <c r="L80" s="126">
        <f t="shared" ref="L80" si="1107">L79/L$10</f>
        <v>4.9939736566004889E-3</v>
      </c>
      <c r="M80" s="126">
        <f t="shared" ref="M80" si="1108">M79/M$10</f>
        <v>4.988306772870767E-3</v>
      </c>
      <c r="N80" s="126">
        <f t="shared" ref="N80" si="1109">N79/N$10</f>
        <v>5.0165807440277045E-3</v>
      </c>
      <c r="O80" s="126">
        <f t="shared" ref="O80" si="1110">O79/O$10</f>
        <v>6.5346486236015269E-3</v>
      </c>
      <c r="P80" s="81"/>
      <c r="Q80" s="126">
        <f>Q79/Q$10</f>
        <v>-0.12503553360368483</v>
      </c>
      <c r="R80" s="126">
        <f t="shared" ref="R80" si="1111">R79/R$10</f>
        <v>0.33100564551819106</v>
      </c>
      <c r="S80" s="126">
        <f t="shared" ref="S80" si="1112">S79/S$10</f>
        <v>0.10308649691899127</v>
      </c>
      <c r="T80" s="126">
        <f t="shared" ref="T80" si="1113">T79/T$10</f>
        <v>-2.0145185259897787E-2</v>
      </c>
      <c r="U80" s="126">
        <f t="shared" ref="U80" si="1114">U79/U$10</f>
        <v>0.15413275996282694</v>
      </c>
      <c r="V80" s="126">
        <f t="shared" ref="V80" si="1115">V79/V$10</f>
        <v>0.18175238919988865</v>
      </c>
      <c r="W80" s="126">
        <f t="shared" ref="W80" si="1116">W79/W$10</f>
        <v>0.16779342039065689</v>
      </c>
      <c r="X80" s="126">
        <f t="shared" ref="X80" si="1117">X79/X$10</f>
        <v>2.2058215759456247E-2</v>
      </c>
      <c r="Y80" s="126">
        <f t="shared" ref="Y80" si="1118">Y79/Y$10</f>
        <v>0.11233235257187756</v>
      </c>
      <c r="Z80" s="126">
        <f t="shared" ref="Z80" si="1119">Z79/Z$10</f>
        <v>-2.6446827355416147E-2</v>
      </c>
      <c r="AA80" s="126">
        <f t="shared" ref="AA80" si="1120">AA79/AA$10</f>
        <v>-5.4774322552317886E-2</v>
      </c>
      <c r="AB80" s="126">
        <f t="shared" ref="AB80" si="1121">AB79/AB$10</f>
        <v>0.14739435622958813</v>
      </c>
      <c r="AC80" s="126">
        <f t="shared" ref="AC80" si="1122">AC79/AC$10</f>
        <v>-0.15949180798378085</v>
      </c>
      <c r="AD80" s="126">
        <f t="shared" ref="AD80" si="1123">AD79/AD$10</f>
        <v>6.649085144602615E-2</v>
      </c>
      <c r="AE80" s="126">
        <f t="shared" ref="AE80" si="1124">AE79/AE$10</f>
        <v>5.736840489448578E-3</v>
      </c>
      <c r="AF80" s="126">
        <f t="shared" ref="AF80" si="1125">AF79/AF$10</f>
        <v>-9.0551439336478495E-2</v>
      </c>
      <c r="AG80" s="126">
        <f t="shared" ref="AG80" si="1126">AG79/AG$10</f>
        <v>-8.2819846679070639E-3</v>
      </c>
      <c r="AH80" s="126">
        <f t="shared" ref="AH80" si="1127">AH79/AH$10</f>
        <v>-0.26373957392693598</v>
      </c>
      <c r="AI80" s="126">
        <f t="shared" ref="AI80" si="1128">AI79/AI$10</f>
        <v>-3.7240467000197466E-2</v>
      </c>
      <c r="AJ80" s="126">
        <f t="shared" ref="AJ80" si="1129">AJ79/AJ$10</f>
        <v>0.12327798828720435</v>
      </c>
      <c r="AK80" s="138">
        <f>MEDIAN(Q80,U80,Y80,AC80,AG80)</f>
        <v>-8.2819846679070639E-3</v>
      </c>
      <c r="AL80" s="138">
        <f t="shared" ref="AL80" si="1130">MEDIAN(R80,V80,Z80,AD80,AH80)</f>
        <v>6.649085144602615E-2</v>
      </c>
      <c r="AM80" s="138">
        <f t="shared" ref="AM80" si="1131">MEDIAN(S80,W80,AA80,AE80,AI80)</f>
        <v>5.736840489448578E-3</v>
      </c>
      <c r="AN80" s="138">
        <f t="shared" ref="AN80" si="1132">MEDIAN(T80,X80,AB80,AF80,AJ80)</f>
        <v>2.2058215759456247E-2</v>
      </c>
      <c r="AO80" s="138">
        <f>AK80</f>
        <v>-8.2819846679070639E-3</v>
      </c>
      <c r="AP80" s="138">
        <f t="shared" ref="AP80" si="1133">AL80</f>
        <v>6.649085144602615E-2</v>
      </c>
      <c r="AQ80" s="138">
        <f t="shared" ref="AQ80" si="1134">AM80</f>
        <v>5.736840489448578E-3</v>
      </c>
      <c r="AR80" s="138">
        <f t="shared" ref="AR80" si="1135">AN80</f>
        <v>2.2058215759456247E-2</v>
      </c>
      <c r="AS80" s="138">
        <f t="shared" ref="AS80" si="1136">AO80</f>
        <v>-8.2819846679070639E-3</v>
      </c>
      <c r="AT80" s="138">
        <f t="shared" ref="AT80" si="1137">AP80</f>
        <v>6.649085144602615E-2</v>
      </c>
      <c r="AU80" s="138">
        <f t="shared" ref="AU80" si="1138">AQ80</f>
        <v>5.736840489448578E-3</v>
      </c>
      <c r="AV80" s="138">
        <f t="shared" ref="AV80" si="1139">AR80</f>
        <v>2.2058215759456247E-2</v>
      </c>
      <c r="AW80" s="138">
        <f t="shared" ref="AW80" si="1140">AS80</f>
        <v>-8.2819846679070639E-3</v>
      </c>
      <c r="AX80" s="138">
        <f t="shared" ref="AX80" si="1141">AT80</f>
        <v>6.649085144602615E-2</v>
      </c>
      <c r="AY80" s="138">
        <f t="shared" ref="AY80" si="1142">AU80</f>
        <v>5.736840489448578E-3</v>
      </c>
      <c r="AZ80" s="138">
        <f t="shared" ref="AZ80" si="1143">AV80</f>
        <v>2.2058215759456247E-2</v>
      </c>
      <c r="BA80" s="138">
        <f t="shared" ref="BA80" si="1144">AW80</f>
        <v>-8.2819846679070639E-3</v>
      </c>
      <c r="BB80" s="138">
        <f t="shared" ref="BB80" si="1145">AX80</f>
        <v>6.649085144602615E-2</v>
      </c>
      <c r="BC80" s="138">
        <f t="shared" ref="BC80" si="1146">AY80</f>
        <v>5.736840489448578E-3</v>
      </c>
      <c r="BD80" s="138">
        <f t="shared" ref="BD80" si="1147">AZ80</f>
        <v>2.2058215759456247E-2</v>
      </c>
    </row>
    <row r="82" spans="2:56" x14ac:dyDescent="0.2">
      <c r="B82" s="1" t="s">
        <v>66</v>
      </c>
      <c r="E82" s="43" t="s">
        <v>33</v>
      </c>
      <c r="F82" s="50">
        <f>T82</f>
        <v>0</v>
      </c>
      <c r="G82" s="50">
        <f>X82</f>
        <v>0</v>
      </c>
      <c r="H82" s="50">
        <f>AB82</f>
        <v>0</v>
      </c>
      <c r="I82" s="50">
        <f>AF82</f>
        <v>0</v>
      </c>
      <c r="J82" s="50">
        <f>AJ82</f>
        <v>309765</v>
      </c>
      <c r="K82" s="50">
        <f>AN82</f>
        <v>0</v>
      </c>
      <c r="L82" s="50">
        <f>AR82</f>
        <v>0</v>
      </c>
      <c r="M82" s="50">
        <f>AV82</f>
        <v>0</v>
      </c>
      <c r="N82" s="50">
        <f>AZ82</f>
        <v>0</v>
      </c>
      <c r="O82" s="50">
        <f>BD82</f>
        <v>0</v>
      </c>
      <c r="Q82" s="143">
        <f>_xlfn.XLOOKUP('IS &amp; BS Projections'!$B82,'3FS'!$B:$B,'3FS'!P:P)</f>
        <v>0</v>
      </c>
      <c r="R82" s="143">
        <f>_xlfn.XLOOKUP('IS &amp; BS Projections'!$B82,'3FS'!$B:$B,'3FS'!Q:Q)</f>
        <v>0</v>
      </c>
      <c r="S82" s="143">
        <f>_xlfn.XLOOKUP('IS &amp; BS Projections'!$B82,'3FS'!$B:$B,'3FS'!R:R)</f>
        <v>0</v>
      </c>
      <c r="T82" s="143">
        <f>_xlfn.XLOOKUP('IS &amp; BS Projections'!$B82,'3FS'!$B:$B,'3FS'!S:S)</f>
        <v>0</v>
      </c>
      <c r="U82" s="143">
        <f>_xlfn.XLOOKUP('IS &amp; BS Projections'!$B82,'3FS'!$B:$B,'3FS'!T:T)</f>
        <v>0</v>
      </c>
      <c r="V82" s="143">
        <f>_xlfn.XLOOKUP('IS &amp; BS Projections'!$B82,'3FS'!$B:$B,'3FS'!U:U)</f>
        <v>0</v>
      </c>
      <c r="W82" s="143">
        <f>_xlfn.XLOOKUP('IS &amp; BS Projections'!$B82,'3FS'!$B:$B,'3FS'!V:V)</f>
        <v>0</v>
      </c>
      <c r="X82" s="143">
        <f>_xlfn.XLOOKUP('IS &amp; BS Projections'!$B82,'3FS'!$B:$B,'3FS'!W:W)</f>
        <v>0</v>
      </c>
      <c r="Y82" s="143">
        <f>_xlfn.XLOOKUP('IS &amp; BS Projections'!$B82,'3FS'!$B:$B,'3FS'!X:X)</f>
        <v>0</v>
      </c>
      <c r="Z82" s="143">
        <f>_xlfn.XLOOKUP('IS &amp; BS Projections'!$B82,'3FS'!$B:$B,'3FS'!Y:Y)</f>
        <v>0</v>
      </c>
      <c r="AA82" s="143">
        <f>_xlfn.XLOOKUP('IS &amp; BS Projections'!$B82,'3FS'!$B:$B,'3FS'!Z:Z)</f>
        <v>0</v>
      </c>
      <c r="AB82" s="143">
        <f>_xlfn.XLOOKUP('IS &amp; BS Projections'!$B82,'3FS'!$B:$B,'3FS'!AA:AA)</f>
        <v>0</v>
      </c>
      <c r="AC82" s="143">
        <f>_xlfn.XLOOKUP('IS &amp; BS Projections'!$B82,'3FS'!$B:$B,'3FS'!AB:AB)</f>
        <v>0</v>
      </c>
      <c r="AD82" s="143">
        <f>_xlfn.XLOOKUP('IS &amp; BS Projections'!$B82,'3FS'!$B:$B,'3FS'!AC:AC)</f>
        <v>0</v>
      </c>
      <c r="AE82" s="143">
        <f>_xlfn.XLOOKUP('IS &amp; BS Projections'!$B82,'3FS'!$B:$B,'3FS'!AD:AD)</f>
        <v>0</v>
      </c>
      <c r="AF82" s="143">
        <f>_xlfn.XLOOKUP('IS &amp; BS Projections'!$B82,'3FS'!$B:$B,'3FS'!AE:AE)</f>
        <v>0</v>
      </c>
      <c r="AG82" s="143">
        <f>_xlfn.XLOOKUP('IS &amp; BS Projections'!$B82,'3FS'!$B:$B,'3FS'!AF:AF)</f>
        <v>0</v>
      </c>
      <c r="AH82" s="143">
        <f>_xlfn.XLOOKUP('IS &amp; BS Projections'!$B82,'3FS'!$B:$B,'3FS'!AG:AG)</f>
        <v>0</v>
      </c>
      <c r="AI82" s="143">
        <f>_xlfn.XLOOKUP('IS &amp; BS Projections'!$B82,'3FS'!$B:$B,'3FS'!AH:AH)</f>
        <v>1093395</v>
      </c>
      <c r="AJ82" s="143">
        <f>_xlfn.XLOOKUP('IS &amp; BS Projections'!$B82,'3FS'!$B:$B,'3FS'!AI:AI)</f>
        <v>309765</v>
      </c>
      <c r="AK82" s="50">
        <f>AK83*AK$10</f>
        <v>0</v>
      </c>
      <c r="AL82" s="50">
        <f t="shared" ref="AL82:BD82" si="1148">AL83*AL$10</f>
        <v>0</v>
      </c>
      <c r="AM82" s="50">
        <f t="shared" si="1148"/>
        <v>0</v>
      </c>
      <c r="AN82" s="50">
        <f t="shared" si="1148"/>
        <v>0</v>
      </c>
      <c r="AO82" s="50">
        <f t="shared" si="1148"/>
        <v>0</v>
      </c>
      <c r="AP82" s="50">
        <f t="shared" si="1148"/>
        <v>0</v>
      </c>
      <c r="AQ82" s="50">
        <f t="shared" si="1148"/>
        <v>0</v>
      </c>
      <c r="AR82" s="50">
        <f t="shared" si="1148"/>
        <v>0</v>
      </c>
      <c r="AS82" s="50">
        <f t="shared" si="1148"/>
        <v>0</v>
      </c>
      <c r="AT82" s="50">
        <f t="shared" si="1148"/>
        <v>0</v>
      </c>
      <c r="AU82" s="50">
        <f t="shared" si="1148"/>
        <v>0</v>
      </c>
      <c r="AV82" s="50">
        <f t="shared" si="1148"/>
        <v>0</v>
      </c>
      <c r="AW82" s="50">
        <f t="shared" si="1148"/>
        <v>0</v>
      </c>
      <c r="AX82" s="50">
        <f t="shared" si="1148"/>
        <v>0</v>
      </c>
      <c r="AY82" s="50">
        <f t="shared" si="1148"/>
        <v>0</v>
      </c>
      <c r="AZ82" s="50">
        <f t="shared" si="1148"/>
        <v>0</v>
      </c>
      <c r="BA82" s="50">
        <f t="shared" si="1148"/>
        <v>0</v>
      </c>
      <c r="BB82" s="50">
        <f t="shared" si="1148"/>
        <v>0</v>
      </c>
      <c r="BC82" s="50">
        <f t="shared" si="1148"/>
        <v>0</v>
      </c>
      <c r="BD82" s="50">
        <f t="shared" si="1148"/>
        <v>0</v>
      </c>
    </row>
    <row r="83" spans="2:56" x14ac:dyDescent="0.2">
      <c r="B83" s="98" t="s">
        <v>293</v>
      </c>
      <c r="C83" s="45"/>
      <c r="D83" s="45"/>
      <c r="E83" s="46" t="s">
        <v>36</v>
      </c>
      <c r="F83" s="126">
        <f t="shared" ref="F83:O83" si="1149">F82/F$10</f>
        <v>0</v>
      </c>
      <c r="G83" s="126">
        <f t="shared" si="1149"/>
        <v>0</v>
      </c>
      <c r="H83" s="126">
        <f t="shared" si="1149"/>
        <v>0</v>
      </c>
      <c r="I83" s="126">
        <f t="shared" si="1149"/>
        <v>0</v>
      </c>
      <c r="J83" s="126">
        <f t="shared" si="1149"/>
        <v>5.7361806867750727E-2</v>
      </c>
      <c r="K83" s="126">
        <f t="shared" si="1149"/>
        <v>0</v>
      </c>
      <c r="L83" s="126">
        <f t="shared" si="1149"/>
        <v>0</v>
      </c>
      <c r="M83" s="126">
        <f t="shared" si="1149"/>
        <v>0</v>
      </c>
      <c r="N83" s="126">
        <f t="shared" si="1149"/>
        <v>0</v>
      </c>
      <c r="O83" s="126">
        <f t="shared" si="1149"/>
        <v>0</v>
      </c>
      <c r="P83" s="81"/>
      <c r="Q83" s="126">
        <f>Q82/Q$10</f>
        <v>0</v>
      </c>
      <c r="R83" s="126">
        <f t="shared" ref="R83:AJ83" si="1150">R82/R$10</f>
        <v>0</v>
      </c>
      <c r="S83" s="126">
        <f t="shared" si="1150"/>
        <v>0</v>
      </c>
      <c r="T83" s="126">
        <f t="shared" si="1150"/>
        <v>0</v>
      </c>
      <c r="U83" s="126">
        <f t="shared" si="1150"/>
        <v>0</v>
      </c>
      <c r="V83" s="126">
        <f t="shared" si="1150"/>
        <v>0</v>
      </c>
      <c r="W83" s="126">
        <f t="shared" si="1150"/>
        <v>0</v>
      </c>
      <c r="X83" s="126">
        <f t="shared" si="1150"/>
        <v>0</v>
      </c>
      <c r="Y83" s="126">
        <f t="shared" si="1150"/>
        <v>0</v>
      </c>
      <c r="Z83" s="126">
        <f t="shared" si="1150"/>
        <v>0</v>
      </c>
      <c r="AA83" s="126">
        <f t="shared" si="1150"/>
        <v>0</v>
      </c>
      <c r="AB83" s="126">
        <f t="shared" si="1150"/>
        <v>0</v>
      </c>
      <c r="AC83" s="126">
        <f t="shared" si="1150"/>
        <v>0</v>
      </c>
      <c r="AD83" s="126">
        <f t="shared" si="1150"/>
        <v>0</v>
      </c>
      <c r="AE83" s="126">
        <f t="shared" si="1150"/>
        <v>0</v>
      </c>
      <c r="AF83" s="126">
        <f t="shared" si="1150"/>
        <v>0</v>
      </c>
      <c r="AG83" s="126">
        <f t="shared" si="1150"/>
        <v>0</v>
      </c>
      <c r="AH83" s="126">
        <f t="shared" si="1150"/>
        <v>0</v>
      </c>
      <c r="AI83" s="126">
        <f t="shared" si="1150"/>
        <v>0.58511216128063837</v>
      </c>
      <c r="AJ83" s="126">
        <f t="shared" si="1150"/>
        <v>0.17391497190826719</v>
      </c>
      <c r="AK83" s="138">
        <f>MEDIAN(Q83,U83,Y83,AC83,AG83)</f>
        <v>0</v>
      </c>
      <c r="AL83" s="138">
        <f t="shared" ref="AL83" si="1151">MEDIAN(R83,V83,Z83,AD83,AH83)</f>
        <v>0</v>
      </c>
      <c r="AM83" s="138">
        <f t="shared" ref="AM83" si="1152">MEDIAN(S83,W83,AA83,AE83,AI83)</f>
        <v>0</v>
      </c>
      <c r="AN83" s="138">
        <f t="shared" ref="AN83" si="1153">MEDIAN(T83,X83,AB83,AF83,AJ83)</f>
        <v>0</v>
      </c>
      <c r="AO83" s="138">
        <f>AK83</f>
        <v>0</v>
      </c>
      <c r="AP83" s="138">
        <f t="shared" ref="AP83" si="1154">AL83</f>
        <v>0</v>
      </c>
      <c r="AQ83" s="138">
        <f t="shared" ref="AQ83" si="1155">AM83</f>
        <v>0</v>
      </c>
      <c r="AR83" s="138">
        <f t="shared" ref="AR83" si="1156">AN83</f>
        <v>0</v>
      </c>
      <c r="AS83" s="138">
        <f t="shared" ref="AS83" si="1157">AO83</f>
        <v>0</v>
      </c>
      <c r="AT83" s="138">
        <f t="shared" ref="AT83" si="1158">AP83</f>
        <v>0</v>
      </c>
      <c r="AU83" s="138">
        <f t="shared" ref="AU83" si="1159">AQ83</f>
        <v>0</v>
      </c>
      <c r="AV83" s="138">
        <f t="shared" ref="AV83" si="1160">AR83</f>
        <v>0</v>
      </c>
      <c r="AW83" s="138">
        <f t="shared" ref="AW83" si="1161">AS83</f>
        <v>0</v>
      </c>
      <c r="AX83" s="138">
        <f t="shared" ref="AX83" si="1162">AT83</f>
        <v>0</v>
      </c>
      <c r="AY83" s="138">
        <f t="shared" ref="AY83" si="1163">AU83</f>
        <v>0</v>
      </c>
      <c r="AZ83" s="138">
        <f t="shared" ref="AZ83" si="1164">AV83</f>
        <v>0</v>
      </c>
      <c r="BA83" s="138">
        <f t="shared" ref="BA83" si="1165">AW83</f>
        <v>0</v>
      </c>
      <c r="BB83" s="138">
        <f t="shared" ref="BB83" si="1166">AX83</f>
        <v>0</v>
      </c>
      <c r="BC83" s="138">
        <f t="shared" ref="BC83" si="1167">AY83</f>
        <v>0</v>
      </c>
      <c r="BD83" s="138">
        <f t="shared" ref="BD83" si="1168">AZ83</f>
        <v>0</v>
      </c>
    </row>
    <row r="85" spans="2:56" x14ac:dyDescent="0.2">
      <c r="B85" s="1" t="s">
        <v>70</v>
      </c>
      <c r="E85" s="43" t="s">
        <v>33</v>
      </c>
      <c r="F85" s="50">
        <f>T85</f>
        <v>61231</v>
      </c>
      <c r="G85" s="50">
        <f>X85</f>
        <v>60441</v>
      </c>
      <c r="H85" s="50">
        <f>AB85</f>
        <v>0</v>
      </c>
      <c r="I85" s="50">
        <f>AF85</f>
        <v>0</v>
      </c>
      <c r="J85" s="50">
        <f>AJ85</f>
        <v>0</v>
      </c>
      <c r="K85" s="50">
        <f>AN85</f>
        <v>0</v>
      </c>
      <c r="L85" s="50">
        <f>AR85</f>
        <v>0</v>
      </c>
      <c r="M85" s="50">
        <f>AV85</f>
        <v>0</v>
      </c>
      <c r="N85" s="50">
        <f>AZ85</f>
        <v>0</v>
      </c>
      <c r="O85" s="50">
        <f>BD85</f>
        <v>0</v>
      </c>
      <c r="Q85" s="143">
        <f>_xlfn.XLOOKUP('IS &amp; BS Projections'!$B85,'3FS'!$B:$B,'3FS'!P:P)</f>
        <v>0</v>
      </c>
      <c r="R85" s="143">
        <f>_xlfn.XLOOKUP('IS &amp; BS Projections'!$B85,'3FS'!$B:$B,'3FS'!Q:Q)</f>
        <v>435096</v>
      </c>
      <c r="S85" s="143">
        <f>_xlfn.XLOOKUP('IS &amp; BS Projections'!$B85,'3FS'!$B:$B,'3FS'!R:R)</f>
        <v>94689</v>
      </c>
      <c r="T85" s="143">
        <f>_xlfn.XLOOKUP('IS &amp; BS Projections'!$B85,'3FS'!$B:$B,'3FS'!S:S)</f>
        <v>61231</v>
      </c>
      <c r="U85" s="143">
        <f>_xlfn.XLOOKUP('IS &amp; BS Projections'!$B85,'3FS'!$B:$B,'3FS'!T:T)</f>
        <v>56767</v>
      </c>
      <c r="V85" s="143">
        <f>_xlfn.XLOOKUP('IS &amp; BS Projections'!$B85,'3FS'!$B:$B,'3FS'!U:U)</f>
        <v>62406</v>
      </c>
      <c r="W85" s="143">
        <f>_xlfn.XLOOKUP('IS &amp; BS Projections'!$B85,'3FS'!$B:$B,'3FS'!V:V)</f>
        <v>60522</v>
      </c>
      <c r="X85" s="143">
        <f>_xlfn.XLOOKUP('IS &amp; BS Projections'!$B85,'3FS'!$B:$B,'3FS'!W:W)</f>
        <v>60441</v>
      </c>
      <c r="Y85" s="143">
        <f>_xlfn.XLOOKUP('IS &amp; BS Projections'!$B85,'3FS'!$B:$B,'3FS'!X:X)</f>
        <v>67947</v>
      </c>
      <c r="Z85" s="143">
        <f>_xlfn.XLOOKUP('IS &amp; BS Projections'!$B85,'3FS'!$B:$B,'3FS'!Y:Y)</f>
        <v>64759</v>
      </c>
      <c r="AA85" s="143">
        <f>_xlfn.XLOOKUP('IS &amp; BS Projections'!$B85,'3FS'!$B:$B,'3FS'!Z:Z)</f>
        <v>69727</v>
      </c>
      <c r="AB85" s="143">
        <f>_xlfn.XLOOKUP('IS &amp; BS Projections'!$B85,'3FS'!$B:$B,'3FS'!AA:AA)</f>
        <v>0</v>
      </c>
      <c r="AC85" s="143">
        <f>_xlfn.XLOOKUP('IS &amp; BS Projections'!$B85,'3FS'!$B:$B,'3FS'!AB:AB)</f>
        <v>0</v>
      </c>
      <c r="AD85" s="143">
        <f>_xlfn.XLOOKUP('IS &amp; BS Projections'!$B85,'3FS'!$B:$B,'3FS'!AC:AC)</f>
        <v>0</v>
      </c>
      <c r="AE85" s="143">
        <f>_xlfn.XLOOKUP('IS &amp; BS Projections'!$B85,'3FS'!$B:$B,'3FS'!AD:AD)</f>
        <v>0</v>
      </c>
      <c r="AF85" s="143">
        <f>_xlfn.XLOOKUP('IS &amp; BS Projections'!$B85,'3FS'!$B:$B,'3FS'!AE:AE)</f>
        <v>0</v>
      </c>
      <c r="AG85" s="143">
        <f>_xlfn.XLOOKUP('IS &amp; BS Projections'!$B85,'3FS'!$B:$B,'3FS'!AF:AF)</f>
        <v>0</v>
      </c>
      <c r="AH85" s="143">
        <f>_xlfn.XLOOKUP('IS &amp; BS Projections'!$B85,'3FS'!$B:$B,'3FS'!AG:AG)</f>
        <v>0</v>
      </c>
      <c r="AI85" s="143">
        <f>_xlfn.XLOOKUP('IS &amp; BS Projections'!$B85,'3FS'!$B:$B,'3FS'!AH:AH)</f>
        <v>0</v>
      </c>
      <c r="AJ85" s="143">
        <f>_xlfn.XLOOKUP('IS &amp; BS Projections'!$B85,'3FS'!$B:$B,'3FS'!AI:AI)</f>
        <v>0</v>
      </c>
      <c r="AK85" s="50">
        <f>AK86*AK$10</f>
        <v>0</v>
      </c>
      <c r="AL85" s="50">
        <f t="shared" ref="AL85:BD85" si="1169">AL86*AL$10</f>
        <v>137692.16820139685</v>
      </c>
      <c r="AM85" s="50">
        <f t="shared" si="1169"/>
        <v>171334.78265063066</v>
      </c>
      <c r="AN85" s="50">
        <f t="shared" si="1169"/>
        <v>0</v>
      </c>
      <c r="AO85" s="50">
        <f t="shared" si="1169"/>
        <v>0</v>
      </c>
      <c r="AP85" s="50">
        <f t="shared" si="1169"/>
        <v>156649.73221447144</v>
      </c>
      <c r="AQ85" s="50">
        <f t="shared" si="1169"/>
        <v>197712.36151738995</v>
      </c>
      <c r="AR85" s="50">
        <f t="shared" si="1169"/>
        <v>0</v>
      </c>
      <c r="AS85" s="50">
        <f t="shared" si="1169"/>
        <v>0</v>
      </c>
      <c r="AT85" s="50">
        <f t="shared" si="1169"/>
        <v>179257.98955654161</v>
      </c>
      <c r="AU85" s="50">
        <f t="shared" si="1169"/>
        <v>222796.88720540717</v>
      </c>
      <c r="AV85" s="50">
        <f t="shared" si="1169"/>
        <v>0</v>
      </c>
      <c r="AW85" s="50">
        <f t="shared" si="1169"/>
        <v>0</v>
      </c>
      <c r="AX85" s="50">
        <f t="shared" si="1169"/>
        <v>213194.50900033902</v>
      </c>
      <c r="AY85" s="50">
        <f t="shared" si="1169"/>
        <v>261782.05361211835</v>
      </c>
      <c r="AZ85" s="50">
        <f t="shared" si="1169"/>
        <v>0</v>
      </c>
      <c r="BA85" s="50">
        <f t="shared" si="1169"/>
        <v>0</v>
      </c>
      <c r="BB85" s="50">
        <f t="shared" si="1169"/>
        <v>268095.48733828851</v>
      </c>
      <c r="BC85" s="50">
        <f t="shared" si="1169"/>
        <v>326201.20460051508</v>
      </c>
      <c r="BD85" s="50">
        <f t="shared" si="1169"/>
        <v>0</v>
      </c>
    </row>
    <row r="86" spans="2:56" x14ac:dyDescent="0.2">
      <c r="B86" s="98" t="s">
        <v>293</v>
      </c>
      <c r="C86" s="45"/>
      <c r="D86" s="45"/>
      <c r="E86" s="46" t="s">
        <v>36</v>
      </c>
      <c r="F86" s="126">
        <f t="shared" ref="F86:O86" si="1170">F85/F$10</f>
        <v>7.810629451447137E-3</v>
      </c>
      <c r="G86" s="126">
        <f t="shared" si="1170"/>
        <v>1.8922061431190455E-2</v>
      </c>
      <c r="H86" s="126">
        <f t="shared" si="1170"/>
        <v>0</v>
      </c>
      <c r="I86" s="126">
        <f t="shared" si="1170"/>
        <v>0</v>
      </c>
      <c r="J86" s="126">
        <f t="shared" si="1170"/>
        <v>0</v>
      </c>
      <c r="K86" s="126">
        <f t="shared" si="1170"/>
        <v>0</v>
      </c>
      <c r="L86" s="126">
        <f t="shared" si="1170"/>
        <v>0</v>
      </c>
      <c r="M86" s="126">
        <f t="shared" si="1170"/>
        <v>0</v>
      </c>
      <c r="N86" s="126">
        <f t="shared" si="1170"/>
        <v>0</v>
      </c>
      <c r="O86" s="126">
        <f t="shared" si="1170"/>
        <v>0</v>
      </c>
      <c r="P86" s="81"/>
      <c r="Q86" s="126">
        <f>Q85/Q$10</f>
        <v>0</v>
      </c>
      <c r="R86" s="126">
        <f t="shared" ref="R86:AJ86" si="1171">R85/R$10</f>
        <v>0.19528878858795617</v>
      </c>
      <c r="S86" s="126">
        <f t="shared" si="1171"/>
        <v>7.2176555063312373E-2</v>
      </c>
      <c r="T86" s="126">
        <f t="shared" si="1171"/>
        <v>2.450746719082892E-2</v>
      </c>
      <c r="U86" s="126">
        <f t="shared" si="1171"/>
        <v>4.8667050742603968E-2</v>
      </c>
      <c r="V86" s="126">
        <f t="shared" si="1171"/>
        <v>7.7204094887576166E-2</v>
      </c>
      <c r="W86" s="126">
        <f t="shared" si="1171"/>
        <v>0.10252075502380835</v>
      </c>
      <c r="X86" s="126">
        <f t="shared" si="1171"/>
        <v>9.607412399778735E-2</v>
      </c>
      <c r="Y86" s="126">
        <f t="shared" si="1171"/>
        <v>8.7953979721149628E-2</v>
      </c>
      <c r="Z86" s="126">
        <f t="shared" si="1171"/>
        <v>9.1479013604817555E-2</v>
      </c>
      <c r="AA86" s="126">
        <f t="shared" si="1171"/>
        <v>0.10342981066472051</v>
      </c>
      <c r="AB86" s="126">
        <f t="shared" si="1171"/>
        <v>0</v>
      </c>
      <c r="AC86" s="126">
        <f t="shared" si="1171"/>
        <v>0</v>
      </c>
      <c r="AD86" s="126">
        <f t="shared" si="1171"/>
        <v>0</v>
      </c>
      <c r="AE86" s="126">
        <f t="shared" si="1171"/>
        <v>0</v>
      </c>
      <c r="AF86" s="126">
        <f t="shared" si="1171"/>
        <v>0</v>
      </c>
      <c r="AG86" s="126">
        <f t="shared" si="1171"/>
        <v>0</v>
      </c>
      <c r="AH86" s="126">
        <f t="shared" si="1171"/>
        <v>0</v>
      </c>
      <c r="AI86" s="126">
        <f t="shared" si="1171"/>
        <v>0</v>
      </c>
      <c r="AJ86" s="126">
        <f t="shared" si="1171"/>
        <v>0</v>
      </c>
      <c r="AK86" s="138">
        <f>MEDIAN(Q86,U86,Y86,AC86,AG86)</f>
        <v>0</v>
      </c>
      <c r="AL86" s="138">
        <f t="shared" ref="AL86" si="1172">MEDIAN(R86,V86,Z86,AD86,AH86)</f>
        <v>7.7204094887576166E-2</v>
      </c>
      <c r="AM86" s="138">
        <f t="shared" ref="AM86" si="1173">MEDIAN(S86,W86,AA86,AE86,AI86)</f>
        <v>7.2176555063312373E-2</v>
      </c>
      <c r="AN86" s="138">
        <f t="shared" ref="AN86" si="1174">MEDIAN(T86,X86,AB86,AF86,AJ86)</f>
        <v>0</v>
      </c>
      <c r="AO86" s="138">
        <f>AK86</f>
        <v>0</v>
      </c>
      <c r="AP86" s="138">
        <f t="shared" ref="AP86" si="1175">AL86</f>
        <v>7.7204094887576166E-2</v>
      </c>
      <c r="AQ86" s="138">
        <f t="shared" ref="AQ86" si="1176">AM86</f>
        <v>7.2176555063312373E-2</v>
      </c>
      <c r="AR86" s="138">
        <f t="shared" ref="AR86" si="1177">AN86</f>
        <v>0</v>
      </c>
      <c r="AS86" s="138">
        <f t="shared" ref="AS86" si="1178">AO86</f>
        <v>0</v>
      </c>
      <c r="AT86" s="138">
        <f t="shared" ref="AT86" si="1179">AP86</f>
        <v>7.7204094887576166E-2</v>
      </c>
      <c r="AU86" s="138">
        <f t="shared" ref="AU86" si="1180">AQ86</f>
        <v>7.2176555063312373E-2</v>
      </c>
      <c r="AV86" s="138">
        <f t="shared" ref="AV86" si="1181">AR86</f>
        <v>0</v>
      </c>
      <c r="AW86" s="138">
        <f t="shared" ref="AW86" si="1182">AS86</f>
        <v>0</v>
      </c>
      <c r="AX86" s="138">
        <f t="shared" ref="AX86" si="1183">AT86</f>
        <v>7.7204094887576166E-2</v>
      </c>
      <c r="AY86" s="138">
        <f t="shared" ref="AY86" si="1184">AU86</f>
        <v>7.2176555063312373E-2</v>
      </c>
      <c r="AZ86" s="138">
        <f t="shared" ref="AZ86" si="1185">AV86</f>
        <v>0</v>
      </c>
      <c r="BA86" s="138">
        <f t="shared" ref="BA86" si="1186">AW86</f>
        <v>0</v>
      </c>
      <c r="BB86" s="138">
        <f t="shared" ref="BB86" si="1187">AX86</f>
        <v>7.7204094887576166E-2</v>
      </c>
      <c r="BC86" s="138">
        <f t="shared" ref="BC86" si="1188">AY86</f>
        <v>7.2176555063312373E-2</v>
      </c>
      <c r="BD86" s="138">
        <f t="shared" ref="BD86" si="1189">AZ86</f>
        <v>0</v>
      </c>
    </row>
    <row r="88" spans="2:56" x14ac:dyDescent="0.2">
      <c r="B88" s="1" t="s">
        <v>71</v>
      </c>
      <c r="E88" s="43" t="s">
        <v>33</v>
      </c>
      <c r="F88" s="50">
        <f>T88</f>
        <v>0</v>
      </c>
      <c r="G88" s="50">
        <f>X88</f>
        <v>0</v>
      </c>
      <c r="H88" s="50">
        <f>AB88</f>
        <v>193425</v>
      </c>
      <c r="I88" s="50">
        <f>AF88</f>
        <v>644165</v>
      </c>
      <c r="J88" s="50">
        <f>AJ88</f>
        <v>1354692</v>
      </c>
      <c r="K88" s="50">
        <f>AN88</f>
        <v>352798.71580453159</v>
      </c>
      <c r="L88" s="50">
        <f>AR88</f>
        <v>398415.48551283655</v>
      </c>
      <c r="M88" s="50">
        <f>AV88</f>
        <v>445988.6641035775</v>
      </c>
      <c r="N88" s="50">
        <f>AZ88</f>
        <v>520905.12215313769</v>
      </c>
      <c r="O88" s="50">
        <f>BD88</f>
        <v>641476.37321567873</v>
      </c>
      <c r="Q88" s="143">
        <f>_xlfn.XLOOKUP('IS &amp; BS Projections'!$B88,'3FS'!$B:$B,'3FS'!P:P)</f>
        <v>0</v>
      </c>
      <c r="R88" s="143">
        <f>_xlfn.XLOOKUP('IS &amp; BS Projections'!$B88,'3FS'!$B:$B,'3FS'!Q:Q)</f>
        <v>0</v>
      </c>
      <c r="S88" s="143">
        <f>_xlfn.XLOOKUP('IS &amp; BS Projections'!$B88,'3FS'!$B:$B,'3FS'!R:R)</f>
        <v>0</v>
      </c>
      <c r="T88" s="143">
        <f>_xlfn.XLOOKUP('IS &amp; BS Projections'!$B88,'3FS'!$B:$B,'3FS'!S:S)</f>
        <v>0</v>
      </c>
      <c r="U88" s="143">
        <f>_xlfn.XLOOKUP('IS &amp; BS Projections'!$B88,'3FS'!$B:$B,'3FS'!T:T)</f>
        <v>0</v>
      </c>
      <c r="V88" s="143">
        <f>_xlfn.XLOOKUP('IS &amp; BS Projections'!$B88,'3FS'!$B:$B,'3FS'!U:U)</f>
        <v>0</v>
      </c>
      <c r="W88" s="143">
        <f>_xlfn.XLOOKUP('IS &amp; BS Projections'!$B88,'3FS'!$B:$B,'3FS'!V:V)</f>
        <v>0</v>
      </c>
      <c r="X88" s="143">
        <f>_xlfn.XLOOKUP('IS &amp; BS Projections'!$B88,'3FS'!$B:$B,'3FS'!W:W)</f>
        <v>0</v>
      </c>
      <c r="Y88" s="143">
        <f>_xlfn.XLOOKUP('IS &amp; BS Projections'!$B88,'3FS'!$B:$B,'3FS'!X:X)</f>
        <v>0</v>
      </c>
      <c r="Z88" s="143">
        <f>_xlfn.XLOOKUP('IS &amp; BS Projections'!$B88,'3FS'!$B:$B,'3FS'!Y:Y)</f>
        <v>0</v>
      </c>
      <c r="AA88" s="143">
        <f>_xlfn.XLOOKUP('IS &amp; BS Projections'!$B88,'3FS'!$B:$B,'3FS'!Z:Z)</f>
        <v>0</v>
      </c>
      <c r="AB88" s="143">
        <f>_xlfn.XLOOKUP('IS &amp; BS Projections'!$B88,'3FS'!$B:$B,'3FS'!AA:AA)</f>
        <v>193425</v>
      </c>
      <c r="AC88" s="143">
        <f>_xlfn.XLOOKUP('IS &amp; BS Projections'!$B88,'3FS'!$B:$B,'3FS'!AB:AB)</f>
        <v>529143</v>
      </c>
      <c r="AD88" s="143">
        <f>_xlfn.XLOOKUP('IS &amp; BS Projections'!$B88,'3FS'!$B:$B,'3FS'!AC:AC)</f>
        <v>440351</v>
      </c>
      <c r="AE88" s="143">
        <f>_xlfn.XLOOKUP('IS &amp; BS Projections'!$B88,'3FS'!$B:$B,'3FS'!AD:AD)</f>
        <v>398239</v>
      </c>
      <c r="AF88" s="143">
        <f>_xlfn.XLOOKUP('IS &amp; BS Projections'!$B88,'3FS'!$B:$B,'3FS'!AE:AE)</f>
        <v>644165</v>
      </c>
      <c r="AG88" s="143">
        <f>_xlfn.XLOOKUP('IS &amp; BS Projections'!$B88,'3FS'!$B:$B,'3FS'!AF:AF)</f>
        <v>454473</v>
      </c>
      <c r="AH88" s="143">
        <f>_xlfn.XLOOKUP('IS &amp; BS Projections'!$B88,'3FS'!$B:$B,'3FS'!AG:AG)</f>
        <v>803366</v>
      </c>
      <c r="AI88" s="143">
        <f>_xlfn.XLOOKUP('IS &amp; BS Projections'!$B88,'3FS'!$B:$B,'3FS'!AH:AH)</f>
        <v>859056</v>
      </c>
      <c r="AJ88" s="143">
        <f>_xlfn.XLOOKUP('IS &amp; BS Projections'!$B88,'3FS'!$B:$B,'3FS'!AI:AI)</f>
        <v>1354692</v>
      </c>
      <c r="AK88" s="50">
        <f>AK89*AK$10</f>
        <v>0</v>
      </c>
      <c r="AL88" s="50">
        <f t="shared" ref="AL88:BD88" si="1190">AL89*AL$10</f>
        <v>0</v>
      </c>
      <c r="AM88" s="50">
        <f t="shared" si="1190"/>
        <v>0</v>
      </c>
      <c r="AN88" s="50">
        <f t="shared" si="1190"/>
        <v>352798.71580453159</v>
      </c>
      <c r="AO88" s="50">
        <f t="shared" si="1190"/>
        <v>0</v>
      </c>
      <c r="AP88" s="50">
        <f t="shared" si="1190"/>
        <v>0</v>
      </c>
      <c r="AQ88" s="50">
        <f t="shared" si="1190"/>
        <v>0</v>
      </c>
      <c r="AR88" s="50">
        <f t="shared" si="1190"/>
        <v>398415.48551283655</v>
      </c>
      <c r="AS88" s="50">
        <f t="shared" si="1190"/>
        <v>0</v>
      </c>
      <c r="AT88" s="50">
        <f t="shared" si="1190"/>
        <v>0</v>
      </c>
      <c r="AU88" s="50">
        <f t="shared" si="1190"/>
        <v>0</v>
      </c>
      <c r="AV88" s="50">
        <f t="shared" si="1190"/>
        <v>445988.6641035775</v>
      </c>
      <c r="AW88" s="50">
        <f t="shared" si="1190"/>
        <v>0</v>
      </c>
      <c r="AX88" s="50">
        <f t="shared" si="1190"/>
        <v>0</v>
      </c>
      <c r="AY88" s="50">
        <f t="shared" si="1190"/>
        <v>0</v>
      </c>
      <c r="AZ88" s="50">
        <f t="shared" si="1190"/>
        <v>520905.12215313769</v>
      </c>
      <c r="BA88" s="50">
        <f t="shared" si="1190"/>
        <v>0</v>
      </c>
      <c r="BB88" s="50">
        <f t="shared" si="1190"/>
        <v>0</v>
      </c>
      <c r="BC88" s="50">
        <f t="shared" si="1190"/>
        <v>0</v>
      </c>
      <c r="BD88" s="50">
        <f t="shared" si="1190"/>
        <v>641476.37321567873</v>
      </c>
    </row>
    <row r="89" spans="2:56" x14ac:dyDescent="0.2">
      <c r="B89" s="98" t="s">
        <v>293</v>
      </c>
      <c r="C89" s="45"/>
      <c r="D89" s="45"/>
      <c r="E89" s="46" t="s">
        <v>36</v>
      </c>
      <c r="F89" s="126">
        <f t="shared" ref="F89:O89" si="1191">F88/F$10</f>
        <v>0</v>
      </c>
      <c r="G89" s="126">
        <f t="shared" si="1191"/>
        <v>0</v>
      </c>
      <c r="H89" s="126">
        <f t="shared" si="1191"/>
        <v>6.2226887741954576E-2</v>
      </c>
      <c r="I89" s="126">
        <f t="shared" si="1191"/>
        <v>9.8135626478132024E-2</v>
      </c>
      <c r="J89" s="126">
        <f t="shared" si="1191"/>
        <v>0.25085978360785421</v>
      </c>
      <c r="K89" s="126">
        <f t="shared" si="1191"/>
        <v>4.5460706475306631E-2</v>
      </c>
      <c r="L89" s="126">
        <f t="shared" si="1191"/>
        <v>4.5912763177987273E-2</v>
      </c>
      <c r="M89" s="126">
        <f t="shared" si="1191"/>
        <v>4.5860663926262937E-2</v>
      </c>
      <c r="N89" s="126">
        <f t="shared" si="1191"/>
        <v>4.6120604452804151E-2</v>
      </c>
      <c r="O89" s="126">
        <f t="shared" si="1191"/>
        <v>6.0077164065581071E-2</v>
      </c>
      <c r="P89" s="81"/>
      <c r="Q89" s="126">
        <f>Q88/Q$10</f>
        <v>0</v>
      </c>
      <c r="R89" s="126">
        <f t="shared" ref="R89:AJ89" si="1192">R88/R$10</f>
        <v>0</v>
      </c>
      <c r="S89" s="126">
        <f t="shared" si="1192"/>
        <v>0</v>
      </c>
      <c r="T89" s="126">
        <f t="shared" si="1192"/>
        <v>0</v>
      </c>
      <c r="U89" s="126">
        <f t="shared" si="1192"/>
        <v>0</v>
      </c>
      <c r="V89" s="126">
        <f t="shared" si="1192"/>
        <v>0</v>
      </c>
      <c r="W89" s="126">
        <f t="shared" si="1192"/>
        <v>0</v>
      </c>
      <c r="X89" s="126">
        <f t="shared" si="1192"/>
        <v>0</v>
      </c>
      <c r="Y89" s="126">
        <f t="shared" si="1192"/>
        <v>0</v>
      </c>
      <c r="Z89" s="126">
        <f t="shared" si="1192"/>
        <v>0</v>
      </c>
      <c r="AA89" s="126">
        <f t="shared" si="1192"/>
        <v>0</v>
      </c>
      <c r="AB89" s="126">
        <f t="shared" si="1192"/>
        <v>0.20279514990118422</v>
      </c>
      <c r="AC89" s="126">
        <f t="shared" si="1192"/>
        <v>0.32312695029830785</v>
      </c>
      <c r="AD89" s="126">
        <f t="shared" si="1192"/>
        <v>0.30376827710281534</v>
      </c>
      <c r="AE89" s="126">
        <f t="shared" si="1192"/>
        <v>0.33043587209683428</v>
      </c>
      <c r="AF89" s="126">
        <f t="shared" si="1192"/>
        <v>0.28356863354488415</v>
      </c>
      <c r="AG89" s="126">
        <f t="shared" si="1192"/>
        <v>0.22340565158937126</v>
      </c>
      <c r="AH89" s="126">
        <f t="shared" si="1192"/>
        <v>0.5365760802774231</v>
      </c>
      <c r="AI89" s="126">
        <f t="shared" si="1192"/>
        <v>0.45970954030437317</v>
      </c>
      <c r="AJ89" s="126">
        <f t="shared" si="1192"/>
        <v>0.76058050820575041</v>
      </c>
      <c r="AK89" s="138">
        <f>MEDIAN(Q89,U89,Y89,AC89,AG89)</f>
        <v>0</v>
      </c>
      <c r="AL89" s="138">
        <f t="shared" ref="AL89" si="1193">MEDIAN(R89,V89,Z89,AD89,AH89)</f>
        <v>0</v>
      </c>
      <c r="AM89" s="138">
        <f t="shared" ref="AM89" si="1194">MEDIAN(S89,W89,AA89,AE89,AI89)</f>
        <v>0</v>
      </c>
      <c r="AN89" s="138">
        <f t="shared" ref="AN89" si="1195">MEDIAN(T89,X89,AB89,AF89,AJ89)</f>
        <v>0.20279514990118422</v>
      </c>
      <c r="AO89" s="138">
        <f>AK89</f>
        <v>0</v>
      </c>
      <c r="AP89" s="138">
        <f t="shared" ref="AP89" si="1196">AL89</f>
        <v>0</v>
      </c>
      <c r="AQ89" s="138">
        <f t="shared" ref="AQ89" si="1197">AM89</f>
        <v>0</v>
      </c>
      <c r="AR89" s="138">
        <f t="shared" ref="AR89" si="1198">AN89</f>
        <v>0.20279514990118422</v>
      </c>
      <c r="AS89" s="138">
        <f t="shared" ref="AS89" si="1199">AO89</f>
        <v>0</v>
      </c>
      <c r="AT89" s="138">
        <f t="shared" ref="AT89" si="1200">AP89</f>
        <v>0</v>
      </c>
      <c r="AU89" s="138">
        <f t="shared" ref="AU89" si="1201">AQ89</f>
        <v>0</v>
      </c>
      <c r="AV89" s="138">
        <f t="shared" ref="AV89" si="1202">AR89</f>
        <v>0.20279514990118422</v>
      </c>
      <c r="AW89" s="138">
        <f t="shared" ref="AW89" si="1203">AS89</f>
        <v>0</v>
      </c>
      <c r="AX89" s="138">
        <f t="shared" ref="AX89" si="1204">AT89</f>
        <v>0</v>
      </c>
      <c r="AY89" s="138">
        <f t="shared" ref="AY89" si="1205">AU89</f>
        <v>0</v>
      </c>
      <c r="AZ89" s="138">
        <f t="shared" ref="AZ89" si="1206">AV89</f>
        <v>0.20279514990118422</v>
      </c>
      <c r="BA89" s="138">
        <f t="shared" ref="BA89" si="1207">AW89</f>
        <v>0</v>
      </c>
      <c r="BB89" s="138">
        <f t="shared" ref="BB89" si="1208">AX89</f>
        <v>0</v>
      </c>
      <c r="BC89" s="138">
        <f t="shared" ref="BC89" si="1209">AY89</f>
        <v>0</v>
      </c>
      <c r="BD89" s="138">
        <f t="shared" ref="BD89" si="1210">AZ89</f>
        <v>0.20279514990118422</v>
      </c>
    </row>
    <row r="91" spans="2:56" x14ac:dyDescent="0.2">
      <c r="B91" s="1" t="s">
        <v>72</v>
      </c>
      <c r="E91" s="43" t="s">
        <v>33</v>
      </c>
      <c r="F91" s="50">
        <f>T91</f>
        <v>135849</v>
      </c>
      <c r="G91" s="50">
        <f>X91</f>
        <v>217048</v>
      </c>
      <c r="H91" s="50">
        <f>AB91</f>
        <v>0</v>
      </c>
      <c r="I91" s="50">
        <f>AF91</f>
        <v>0</v>
      </c>
      <c r="J91" s="50">
        <f>AJ91</f>
        <v>0</v>
      </c>
      <c r="K91" s="50">
        <f>AN91</f>
        <v>0</v>
      </c>
      <c r="L91" s="50">
        <f>AR91</f>
        <v>0</v>
      </c>
      <c r="M91" s="50">
        <f>AV91</f>
        <v>0</v>
      </c>
      <c r="N91" s="50">
        <f>AZ91</f>
        <v>0</v>
      </c>
      <c r="O91" s="50">
        <f>BD91</f>
        <v>0</v>
      </c>
      <c r="Q91" s="143">
        <f>_xlfn.XLOOKUP('IS &amp; BS Projections'!$B91,'3FS'!$B:$B,'3FS'!P:P)</f>
        <v>55662</v>
      </c>
      <c r="R91" s="143">
        <f>_xlfn.XLOOKUP('IS &amp; BS Projections'!$B91,'3FS'!$B:$B,'3FS'!Q:Q)</f>
        <v>114751</v>
      </c>
      <c r="S91" s="143">
        <f>_xlfn.XLOOKUP('IS &amp; BS Projections'!$B91,'3FS'!$B:$B,'3FS'!R:R)</f>
        <v>105165</v>
      </c>
      <c r="T91" s="143">
        <f>_xlfn.XLOOKUP('IS &amp; BS Projections'!$B91,'3FS'!$B:$B,'3FS'!S:S)</f>
        <v>135849</v>
      </c>
      <c r="U91" s="143">
        <f>_xlfn.XLOOKUP('IS &amp; BS Projections'!$B91,'3FS'!$B:$B,'3FS'!T:T)</f>
        <v>191068</v>
      </c>
      <c r="V91" s="143">
        <f>_xlfn.XLOOKUP('IS &amp; BS Projections'!$B91,'3FS'!$B:$B,'3FS'!U:U)</f>
        <v>146463</v>
      </c>
      <c r="W91" s="143">
        <f>_xlfn.XLOOKUP('IS &amp; BS Projections'!$B91,'3FS'!$B:$B,'3FS'!V:V)</f>
        <v>277044</v>
      </c>
      <c r="X91" s="143">
        <f>_xlfn.XLOOKUP('IS &amp; BS Projections'!$B91,'3FS'!$B:$B,'3FS'!W:W)</f>
        <v>217048</v>
      </c>
      <c r="Y91" s="143">
        <f>_xlfn.XLOOKUP('IS &amp; BS Projections'!$B91,'3FS'!$B:$B,'3FS'!X:X)</f>
        <v>219075</v>
      </c>
      <c r="Z91" s="143">
        <f>_xlfn.XLOOKUP('IS &amp; BS Projections'!$B91,'3FS'!$B:$B,'3FS'!Y:Y)</f>
        <v>175399</v>
      </c>
      <c r="AA91" s="143">
        <f>_xlfn.XLOOKUP('IS &amp; BS Projections'!$B91,'3FS'!$B:$B,'3FS'!Z:Z)</f>
        <v>157714</v>
      </c>
      <c r="AB91" s="143">
        <f>_xlfn.XLOOKUP('IS &amp; BS Projections'!$B91,'3FS'!$B:$B,'3FS'!AA:AA)</f>
        <v>0</v>
      </c>
      <c r="AC91" s="143">
        <f>_xlfn.XLOOKUP('IS &amp; BS Projections'!$B91,'3FS'!$B:$B,'3FS'!AB:AB)</f>
        <v>0</v>
      </c>
      <c r="AD91" s="143">
        <f>_xlfn.XLOOKUP('IS &amp; BS Projections'!$B91,'3FS'!$B:$B,'3FS'!AC:AC)</f>
        <v>0</v>
      </c>
      <c r="AE91" s="143">
        <f>_xlfn.XLOOKUP('IS &amp; BS Projections'!$B91,'3FS'!$B:$B,'3FS'!AD:AD)</f>
        <v>0</v>
      </c>
      <c r="AF91" s="143">
        <f>_xlfn.XLOOKUP('IS &amp; BS Projections'!$B91,'3FS'!$B:$B,'3FS'!AE:AE)</f>
        <v>0</v>
      </c>
      <c r="AG91" s="143">
        <f>_xlfn.XLOOKUP('IS &amp; BS Projections'!$B91,'3FS'!$B:$B,'3FS'!AF:AF)</f>
        <v>0</v>
      </c>
      <c r="AH91" s="143">
        <f>_xlfn.XLOOKUP('IS &amp; BS Projections'!$B91,'3FS'!$B:$B,'3FS'!AG:AG)</f>
        <v>0</v>
      </c>
      <c r="AI91" s="143">
        <f>_xlfn.XLOOKUP('IS &amp; BS Projections'!$B91,'3FS'!$B:$B,'3FS'!AH:AH)</f>
        <v>0</v>
      </c>
      <c r="AJ91" s="143">
        <f>_xlfn.XLOOKUP('IS &amp; BS Projections'!$B91,'3FS'!$B:$B,'3FS'!AI:AI)</f>
        <v>0</v>
      </c>
      <c r="AK91" s="50">
        <f>AK92*AK$10</f>
        <v>57590.923769738583</v>
      </c>
      <c r="AL91" s="50">
        <f t="shared" ref="AL91:BD91" si="1211">AL92*AL$10</f>
        <v>91858.130524607666</v>
      </c>
      <c r="AM91" s="50">
        <f t="shared" si="1211"/>
        <v>190290.55558146746</v>
      </c>
      <c r="AN91" s="50">
        <f t="shared" si="1211"/>
        <v>0</v>
      </c>
      <c r="AO91" s="50">
        <f t="shared" si="1211"/>
        <v>60100.119427689016</v>
      </c>
      <c r="AP91" s="50">
        <f t="shared" si="1211"/>
        <v>104505.22884754588</v>
      </c>
      <c r="AQ91" s="50">
        <f t="shared" si="1211"/>
        <v>219586.44086405297</v>
      </c>
      <c r="AR91" s="50">
        <f t="shared" si="1211"/>
        <v>0</v>
      </c>
      <c r="AS91" s="50">
        <f t="shared" si="1211"/>
        <v>65422.786161056276</v>
      </c>
      <c r="AT91" s="50">
        <f t="shared" si="1211"/>
        <v>119587.80239540531</v>
      </c>
      <c r="AU91" s="50">
        <f t="shared" si="1211"/>
        <v>247446.21490306838</v>
      </c>
      <c r="AV91" s="50">
        <f t="shared" si="1211"/>
        <v>0</v>
      </c>
      <c r="AW91" s="50">
        <f t="shared" si="1211"/>
        <v>72234.856017888829</v>
      </c>
      <c r="AX91" s="50">
        <f t="shared" si="1211"/>
        <v>142227.76277470309</v>
      </c>
      <c r="AY91" s="50">
        <f t="shared" si="1211"/>
        <v>290744.53915574588</v>
      </c>
      <c r="AZ91" s="50">
        <f t="shared" si="1211"/>
        <v>0</v>
      </c>
      <c r="BA91" s="50">
        <f t="shared" si="1211"/>
        <v>82993.209291467589</v>
      </c>
      <c r="BB91" s="50">
        <f t="shared" si="1211"/>
        <v>178853.6747635366</v>
      </c>
      <c r="BC91" s="50">
        <f t="shared" si="1211"/>
        <v>362290.75903022703</v>
      </c>
      <c r="BD91" s="50">
        <f t="shared" si="1211"/>
        <v>0</v>
      </c>
    </row>
    <row r="92" spans="2:56" x14ac:dyDescent="0.2">
      <c r="B92" s="98" t="s">
        <v>293</v>
      </c>
      <c r="C92" s="45"/>
      <c r="D92" s="45"/>
      <c r="E92" s="46" t="s">
        <v>36</v>
      </c>
      <c r="F92" s="126">
        <f t="shared" ref="F92:O92" si="1212">F91/F$10</f>
        <v>1.7328905298780718E-2</v>
      </c>
      <c r="G92" s="126">
        <f t="shared" si="1212"/>
        <v>6.7950490387601564E-2</v>
      </c>
      <c r="H92" s="126">
        <f t="shared" si="1212"/>
        <v>0</v>
      </c>
      <c r="I92" s="126">
        <f t="shared" si="1212"/>
        <v>0</v>
      </c>
      <c r="J92" s="126">
        <f t="shared" si="1212"/>
        <v>0</v>
      </c>
      <c r="K92" s="126">
        <f t="shared" si="1212"/>
        <v>0</v>
      </c>
      <c r="L92" s="126">
        <f t="shared" si="1212"/>
        <v>0</v>
      </c>
      <c r="M92" s="126">
        <f t="shared" si="1212"/>
        <v>0</v>
      </c>
      <c r="N92" s="126">
        <f t="shared" si="1212"/>
        <v>0</v>
      </c>
      <c r="O92" s="126">
        <f t="shared" si="1212"/>
        <v>0</v>
      </c>
      <c r="P92" s="81"/>
      <c r="Q92" s="126">
        <f>Q91/Q$10</f>
        <v>3.0904241379769833E-2</v>
      </c>
      <c r="R92" s="126">
        <f t="shared" ref="R92:AJ92" si="1213">R91/R$10</f>
        <v>5.1504917947433573E-2</v>
      </c>
      <c r="S92" s="126">
        <f t="shared" si="1213"/>
        <v>8.0161871106815413E-2</v>
      </c>
      <c r="T92" s="126">
        <f t="shared" si="1213"/>
        <v>5.437302853794513E-2</v>
      </c>
      <c r="U92" s="126">
        <f t="shared" si="1213"/>
        <v>0.1638049580088406</v>
      </c>
      <c r="V92" s="126">
        <f t="shared" si="1213"/>
        <v>0.18119320817740389</v>
      </c>
      <c r="W92" s="126">
        <f t="shared" si="1213"/>
        <v>0.46929645508766998</v>
      </c>
      <c r="X92" s="126">
        <f t="shared" si="1213"/>
        <v>0.3450091240295784</v>
      </c>
      <c r="Y92" s="126">
        <f t="shared" si="1213"/>
        <v>0.28358158722844062</v>
      </c>
      <c r="Z92" s="126">
        <f t="shared" si="1213"/>
        <v>0.24776984677452391</v>
      </c>
      <c r="AA92" s="126">
        <f t="shared" si="1213"/>
        <v>0.23394566178346596</v>
      </c>
      <c r="AB92" s="126">
        <f t="shared" si="1213"/>
        <v>0</v>
      </c>
      <c r="AC92" s="126">
        <f t="shared" si="1213"/>
        <v>0</v>
      </c>
      <c r="AD92" s="126">
        <f t="shared" si="1213"/>
        <v>0</v>
      </c>
      <c r="AE92" s="126">
        <f t="shared" si="1213"/>
        <v>0</v>
      </c>
      <c r="AF92" s="126">
        <f t="shared" si="1213"/>
        <v>0</v>
      </c>
      <c r="AG92" s="126">
        <f t="shared" si="1213"/>
        <v>0</v>
      </c>
      <c r="AH92" s="126">
        <f t="shared" si="1213"/>
        <v>0</v>
      </c>
      <c r="AI92" s="126">
        <f t="shared" si="1213"/>
        <v>0</v>
      </c>
      <c r="AJ92" s="126">
        <f t="shared" si="1213"/>
        <v>0</v>
      </c>
      <c r="AK92" s="138">
        <f>MEDIAN(Q92,U92,Y92,AC92,AG92)</f>
        <v>3.0904241379769833E-2</v>
      </c>
      <c r="AL92" s="138">
        <f t="shared" ref="AL92" si="1214">MEDIAN(R92,V92,Z92,AD92,AH92)</f>
        <v>5.1504917947433573E-2</v>
      </c>
      <c r="AM92" s="138">
        <f t="shared" ref="AM92" si="1215">MEDIAN(S92,W92,AA92,AE92,AI92)</f>
        <v>8.0161871106815413E-2</v>
      </c>
      <c r="AN92" s="138">
        <f t="shared" ref="AN92" si="1216">MEDIAN(T92,X92,AB92,AF92,AJ92)</f>
        <v>0</v>
      </c>
      <c r="AO92" s="138">
        <f>AK92</f>
        <v>3.0904241379769833E-2</v>
      </c>
      <c r="AP92" s="138">
        <f t="shared" ref="AP92" si="1217">AL92</f>
        <v>5.1504917947433573E-2</v>
      </c>
      <c r="AQ92" s="138">
        <f t="shared" ref="AQ92" si="1218">AM92</f>
        <v>8.0161871106815413E-2</v>
      </c>
      <c r="AR92" s="138">
        <f t="shared" ref="AR92" si="1219">AN92</f>
        <v>0</v>
      </c>
      <c r="AS92" s="138">
        <f t="shared" ref="AS92" si="1220">AO92</f>
        <v>3.0904241379769833E-2</v>
      </c>
      <c r="AT92" s="138">
        <f t="shared" ref="AT92" si="1221">AP92</f>
        <v>5.1504917947433573E-2</v>
      </c>
      <c r="AU92" s="138">
        <f t="shared" ref="AU92" si="1222">AQ92</f>
        <v>8.0161871106815413E-2</v>
      </c>
      <c r="AV92" s="138">
        <f t="shared" ref="AV92" si="1223">AR92</f>
        <v>0</v>
      </c>
      <c r="AW92" s="138">
        <f t="shared" ref="AW92" si="1224">AS92</f>
        <v>3.0904241379769833E-2</v>
      </c>
      <c r="AX92" s="138">
        <f t="shared" ref="AX92" si="1225">AT92</f>
        <v>5.1504917947433573E-2</v>
      </c>
      <c r="AY92" s="138">
        <f t="shared" ref="AY92" si="1226">AU92</f>
        <v>8.0161871106815413E-2</v>
      </c>
      <c r="AZ92" s="138">
        <f t="shared" ref="AZ92" si="1227">AV92</f>
        <v>0</v>
      </c>
      <c r="BA92" s="138">
        <f t="shared" ref="BA92" si="1228">AW92</f>
        <v>3.0904241379769833E-2</v>
      </c>
      <c r="BB92" s="138">
        <f t="shared" ref="BB92" si="1229">AX92</f>
        <v>5.1504917947433573E-2</v>
      </c>
      <c r="BC92" s="138">
        <f t="shared" ref="BC92" si="1230">AY92</f>
        <v>8.0161871106815413E-2</v>
      </c>
      <c r="BD92" s="138">
        <f t="shared" ref="BD92" si="1231">AZ92</f>
        <v>0</v>
      </c>
    </row>
    <row r="94" spans="2:56" x14ac:dyDescent="0.2">
      <c r="B94" s="1" t="s">
        <v>73</v>
      </c>
      <c r="E94" s="43" t="s">
        <v>33</v>
      </c>
      <c r="F94" s="50">
        <f>T94</f>
        <v>30951</v>
      </c>
      <c r="G94" s="50">
        <f>X94</f>
        <v>25873</v>
      </c>
      <c r="H94" s="50">
        <f>AB94</f>
        <v>0</v>
      </c>
      <c r="I94" s="50">
        <f>AF94</f>
        <v>0</v>
      </c>
      <c r="J94" s="50">
        <f>AJ94</f>
        <v>0</v>
      </c>
      <c r="K94" s="50">
        <f>AN94</f>
        <v>0</v>
      </c>
      <c r="L94" s="50">
        <f>AR94</f>
        <v>0</v>
      </c>
      <c r="M94" s="50">
        <f>AV94</f>
        <v>0</v>
      </c>
      <c r="N94" s="50">
        <f>AZ94</f>
        <v>0</v>
      </c>
      <c r="O94" s="50">
        <f>BD94</f>
        <v>0</v>
      </c>
      <c r="Q94" s="143">
        <f>_xlfn.XLOOKUP('IS &amp; BS Projections'!$B94,'3FS'!$B:$B,'3FS'!P:P)</f>
        <v>30841</v>
      </c>
      <c r="R94" s="143">
        <f>_xlfn.XLOOKUP('IS &amp; BS Projections'!$B94,'3FS'!$B:$B,'3FS'!Q:Q)</f>
        <v>30842</v>
      </c>
      <c r="S94" s="143">
        <f>_xlfn.XLOOKUP('IS &amp; BS Projections'!$B94,'3FS'!$B:$B,'3FS'!R:R)</f>
        <v>30884</v>
      </c>
      <c r="T94" s="143">
        <f>_xlfn.XLOOKUP('IS &amp; BS Projections'!$B94,'3FS'!$B:$B,'3FS'!S:S)</f>
        <v>30951</v>
      </c>
      <c r="U94" s="143">
        <f>_xlfn.XLOOKUP('IS &amp; BS Projections'!$B94,'3FS'!$B:$B,'3FS'!T:T)</f>
        <v>27111</v>
      </c>
      <c r="V94" s="143">
        <f>_xlfn.XLOOKUP('IS &amp; BS Projections'!$B94,'3FS'!$B:$B,'3FS'!U:U)</f>
        <v>28962</v>
      </c>
      <c r="W94" s="143">
        <f>_xlfn.XLOOKUP('IS &amp; BS Projections'!$B94,'3FS'!$B:$B,'3FS'!V:V)</f>
        <v>23113</v>
      </c>
      <c r="X94" s="143">
        <f>_xlfn.XLOOKUP('IS &amp; BS Projections'!$B94,'3FS'!$B:$B,'3FS'!W:W)</f>
        <v>25873</v>
      </c>
      <c r="Y94" s="143">
        <f>_xlfn.XLOOKUP('IS &amp; BS Projections'!$B94,'3FS'!$B:$B,'3FS'!X:X)</f>
        <v>26712</v>
      </c>
      <c r="Z94" s="143">
        <f>_xlfn.XLOOKUP('IS &amp; BS Projections'!$B94,'3FS'!$B:$B,'3FS'!Y:Y)</f>
        <v>20697</v>
      </c>
      <c r="AA94" s="143">
        <f>_xlfn.XLOOKUP('IS &amp; BS Projections'!$B94,'3FS'!$B:$B,'3FS'!Z:Z)</f>
        <v>26319</v>
      </c>
      <c r="AB94" s="143">
        <f>_xlfn.XLOOKUP('IS &amp; BS Projections'!$B94,'3FS'!$B:$B,'3FS'!AA:AA)</f>
        <v>0</v>
      </c>
      <c r="AC94" s="143">
        <f>_xlfn.XLOOKUP('IS &amp; BS Projections'!$B94,'3FS'!$B:$B,'3FS'!AB:AB)</f>
        <v>33499</v>
      </c>
      <c r="AD94" s="143">
        <f>_xlfn.XLOOKUP('IS &amp; BS Projections'!$B94,'3FS'!$B:$B,'3FS'!AC:AC)</f>
        <v>34282</v>
      </c>
      <c r="AE94" s="143">
        <f>_xlfn.XLOOKUP('IS &amp; BS Projections'!$B94,'3FS'!$B:$B,'3FS'!AD:AD)</f>
        <v>31881</v>
      </c>
      <c r="AF94" s="143">
        <f>_xlfn.XLOOKUP('IS &amp; BS Projections'!$B94,'3FS'!$B:$B,'3FS'!AE:AE)</f>
        <v>0</v>
      </c>
      <c r="AG94" s="143">
        <f>_xlfn.XLOOKUP('IS &amp; BS Projections'!$B94,'3FS'!$B:$B,'3FS'!AF:AF)</f>
        <v>55672</v>
      </c>
      <c r="AH94" s="143">
        <f>_xlfn.XLOOKUP('IS &amp; BS Projections'!$B94,'3FS'!$B:$B,'3FS'!AG:AG)</f>
        <v>69190</v>
      </c>
      <c r="AI94" s="143">
        <f>_xlfn.XLOOKUP('IS &amp; BS Projections'!$B94,'3FS'!$B:$B,'3FS'!AH:AH)</f>
        <v>78867</v>
      </c>
      <c r="AJ94" s="143">
        <f>_xlfn.XLOOKUP('IS &amp; BS Projections'!$B94,'3FS'!$B:$B,'3FS'!AI:AI)</f>
        <v>0</v>
      </c>
      <c r="AK94" s="50">
        <f>AK95*AK$10</f>
        <v>43313.230797304081</v>
      </c>
      <c r="AL94" s="50">
        <f t="shared" ref="AL94:BD94" si="1232">AL95*AL$10</f>
        <v>52143.195405658356</v>
      </c>
      <c r="AM94" s="50">
        <f t="shared" si="1232"/>
        <v>92675.197873765865</v>
      </c>
      <c r="AN94" s="50">
        <f t="shared" si="1232"/>
        <v>0</v>
      </c>
      <c r="AO94" s="50">
        <f t="shared" si="1232"/>
        <v>45200.357509890469</v>
      </c>
      <c r="AP94" s="50">
        <f t="shared" si="1232"/>
        <v>59322.310802426415</v>
      </c>
      <c r="AQ94" s="50">
        <f t="shared" si="1232"/>
        <v>106942.86321929275</v>
      </c>
      <c r="AR94" s="50">
        <f t="shared" si="1232"/>
        <v>0</v>
      </c>
      <c r="AS94" s="50">
        <f t="shared" si="1232"/>
        <v>49203.451705795836</v>
      </c>
      <c r="AT94" s="50">
        <f t="shared" si="1232"/>
        <v>67883.921791402157</v>
      </c>
      <c r="AU94" s="50">
        <f t="shared" si="1232"/>
        <v>120511.11448586066</v>
      </c>
      <c r="AV94" s="50">
        <f t="shared" si="1232"/>
        <v>0</v>
      </c>
      <c r="AW94" s="50">
        <f t="shared" si="1232"/>
        <v>54326.702638460745</v>
      </c>
      <c r="AX94" s="50">
        <f t="shared" si="1232"/>
        <v>80735.477459823247</v>
      </c>
      <c r="AY94" s="50">
        <f t="shared" si="1232"/>
        <v>141598.23967427522</v>
      </c>
      <c r="AZ94" s="50">
        <f t="shared" si="1232"/>
        <v>0</v>
      </c>
      <c r="BA94" s="50">
        <f t="shared" si="1232"/>
        <v>62417.891454957884</v>
      </c>
      <c r="BB94" s="50">
        <f t="shared" si="1232"/>
        <v>101526.14753809772</v>
      </c>
      <c r="BC94" s="50">
        <f t="shared" si="1232"/>
        <v>176442.63888119653</v>
      </c>
      <c r="BD94" s="50">
        <f t="shared" si="1232"/>
        <v>0</v>
      </c>
    </row>
    <row r="95" spans="2:56" x14ac:dyDescent="0.2">
      <c r="B95" s="98" t="s">
        <v>293</v>
      </c>
      <c r="C95" s="45"/>
      <c r="D95" s="45"/>
      <c r="E95" s="46" t="s">
        <v>36</v>
      </c>
      <c r="F95" s="126">
        <f t="shared" ref="F95:O95" si="1233">F94/F$10</f>
        <v>3.9481111226623827E-3</v>
      </c>
      <c r="G95" s="126">
        <f t="shared" si="1233"/>
        <v>8.0999734519480258E-3</v>
      </c>
      <c r="H95" s="126">
        <f t="shared" si="1233"/>
        <v>0</v>
      </c>
      <c r="I95" s="126">
        <f t="shared" si="1233"/>
        <v>0</v>
      </c>
      <c r="J95" s="126">
        <f t="shared" si="1233"/>
        <v>0</v>
      </c>
      <c r="K95" s="126">
        <f t="shared" si="1233"/>
        <v>0</v>
      </c>
      <c r="L95" s="126">
        <f t="shared" si="1233"/>
        <v>0</v>
      </c>
      <c r="M95" s="126">
        <f t="shared" si="1233"/>
        <v>0</v>
      </c>
      <c r="N95" s="126">
        <f t="shared" si="1233"/>
        <v>0</v>
      </c>
      <c r="O95" s="126">
        <f t="shared" si="1233"/>
        <v>0</v>
      </c>
      <c r="P95" s="81"/>
      <c r="Q95" s="126">
        <f>Q94/Q$10</f>
        <v>1.7123310488187299E-2</v>
      </c>
      <c r="R95" s="126">
        <f t="shared" ref="R95:AJ95" si="1234">R94/R$10</f>
        <v>1.3843144541962565E-2</v>
      </c>
      <c r="S95" s="126">
        <f t="shared" si="1234"/>
        <v>2.354128490717337E-2</v>
      </c>
      <c r="T95" s="126">
        <f t="shared" si="1234"/>
        <v>1.2388016152330452E-2</v>
      </c>
      <c r="U95" s="126">
        <f t="shared" si="1234"/>
        <v>2.3242595393146302E-2</v>
      </c>
      <c r="V95" s="126">
        <f t="shared" si="1234"/>
        <v>3.5829647728327099E-2</v>
      </c>
      <c r="W95" s="126">
        <f t="shared" si="1234"/>
        <v>3.9152080414812503E-2</v>
      </c>
      <c r="X95" s="126">
        <f t="shared" si="1234"/>
        <v>4.1126483846970631E-2</v>
      </c>
      <c r="Y95" s="126">
        <f t="shared" si="1234"/>
        <v>3.4577342727586925E-2</v>
      </c>
      <c r="Z95" s="126">
        <f t="shared" si="1234"/>
        <v>2.9236726085623759E-2</v>
      </c>
      <c r="AA95" s="126">
        <f t="shared" si="1234"/>
        <v>3.9040388757364854E-2</v>
      </c>
      <c r="AB95" s="126">
        <f t="shared" si="1234"/>
        <v>0</v>
      </c>
      <c r="AC95" s="126">
        <f t="shared" si="1234"/>
        <v>2.0456530102529968E-2</v>
      </c>
      <c r="AD95" s="126">
        <f t="shared" si="1234"/>
        <v>2.36488257677142E-2</v>
      </c>
      <c r="AE95" s="126">
        <f t="shared" si="1234"/>
        <v>2.6453024536319078E-2</v>
      </c>
      <c r="AF95" s="126">
        <f t="shared" si="1234"/>
        <v>0</v>
      </c>
      <c r="AG95" s="126">
        <f t="shared" si="1234"/>
        <v>2.7366729014228517E-2</v>
      </c>
      <c r="AH95" s="126">
        <f t="shared" si="1234"/>
        <v>4.6212683875587093E-2</v>
      </c>
      <c r="AI95" s="126">
        <f t="shared" si="1234"/>
        <v>4.2204364226761701E-2</v>
      </c>
      <c r="AJ95" s="126">
        <f t="shared" si="1234"/>
        <v>0</v>
      </c>
      <c r="AK95" s="138">
        <f>MEDIAN(Q95,U95,Y95,AC95,AG95)</f>
        <v>2.3242595393146302E-2</v>
      </c>
      <c r="AL95" s="138">
        <f t="shared" ref="AL95" si="1235">MEDIAN(R95,V95,Z95,AD95,AH95)</f>
        <v>2.9236726085623759E-2</v>
      </c>
      <c r="AM95" s="138">
        <f t="shared" ref="AM95" si="1236">MEDIAN(S95,W95,AA95,AE95,AI95)</f>
        <v>3.9040388757364854E-2</v>
      </c>
      <c r="AN95" s="138">
        <f t="shared" ref="AN95" si="1237">MEDIAN(T95,X95,AB95,AF95,AJ95)</f>
        <v>0</v>
      </c>
      <c r="AO95" s="138">
        <f>AK95</f>
        <v>2.3242595393146302E-2</v>
      </c>
      <c r="AP95" s="138">
        <f t="shared" ref="AP95" si="1238">AL95</f>
        <v>2.9236726085623759E-2</v>
      </c>
      <c r="AQ95" s="138">
        <f t="shared" ref="AQ95" si="1239">AM95</f>
        <v>3.9040388757364854E-2</v>
      </c>
      <c r="AR95" s="138">
        <f t="shared" ref="AR95" si="1240">AN95</f>
        <v>0</v>
      </c>
      <c r="AS95" s="138">
        <f t="shared" ref="AS95" si="1241">AO95</f>
        <v>2.3242595393146302E-2</v>
      </c>
      <c r="AT95" s="138">
        <f t="shared" ref="AT95" si="1242">AP95</f>
        <v>2.9236726085623759E-2</v>
      </c>
      <c r="AU95" s="138">
        <f t="shared" ref="AU95" si="1243">AQ95</f>
        <v>3.9040388757364854E-2</v>
      </c>
      <c r="AV95" s="138">
        <f t="shared" ref="AV95" si="1244">AR95</f>
        <v>0</v>
      </c>
      <c r="AW95" s="138">
        <f t="shared" ref="AW95" si="1245">AS95</f>
        <v>2.3242595393146302E-2</v>
      </c>
      <c r="AX95" s="138">
        <f t="shared" ref="AX95" si="1246">AT95</f>
        <v>2.9236726085623759E-2</v>
      </c>
      <c r="AY95" s="138">
        <f t="shared" ref="AY95" si="1247">AU95</f>
        <v>3.9040388757364854E-2</v>
      </c>
      <c r="AZ95" s="138">
        <f t="shared" ref="AZ95" si="1248">AV95</f>
        <v>0</v>
      </c>
      <c r="BA95" s="138">
        <f t="shared" ref="BA95" si="1249">AW95</f>
        <v>2.3242595393146302E-2</v>
      </c>
      <c r="BB95" s="138">
        <f t="shared" ref="BB95" si="1250">AX95</f>
        <v>2.9236726085623759E-2</v>
      </c>
      <c r="BC95" s="138">
        <f t="shared" ref="BC95" si="1251">AY95</f>
        <v>3.9040388757364854E-2</v>
      </c>
      <c r="BD95" s="138">
        <f t="shared" ref="BD95" si="1252">AZ95</f>
        <v>0</v>
      </c>
    </row>
    <row r="97" spans="2:56" x14ac:dyDescent="0.2">
      <c r="B97" s="1" t="s">
        <v>74</v>
      </c>
      <c r="E97" s="43" t="s">
        <v>33</v>
      </c>
      <c r="F97" s="50">
        <f>T97</f>
        <v>0</v>
      </c>
      <c r="G97" s="50">
        <f>X97</f>
        <v>0</v>
      </c>
      <c r="H97" s="50">
        <f>AB97</f>
        <v>22992</v>
      </c>
      <c r="I97" s="50">
        <f>AF97</f>
        <v>347169</v>
      </c>
      <c r="J97" s="50">
        <f>AJ97</f>
        <v>334318</v>
      </c>
      <c r="K97" s="50">
        <f>AN97</f>
        <v>41936.399502534783</v>
      </c>
      <c r="L97" s="50">
        <f>AR97</f>
        <v>47358.76356681472</v>
      </c>
      <c r="M97" s="50">
        <f>AV97</f>
        <v>53013.681608217412</v>
      </c>
      <c r="N97" s="50">
        <f>AZ97</f>
        <v>61918.834527827021</v>
      </c>
      <c r="O97" s="50">
        <f>BD97</f>
        <v>76250.871257463528</v>
      </c>
      <c r="Q97" s="143">
        <f>_xlfn.XLOOKUP('IS &amp; BS Projections'!$B97,'3FS'!$B:$B,'3FS'!P:P)</f>
        <v>0</v>
      </c>
      <c r="R97" s="143">
        <f>_xlfn.XLOOKUP('IS &amp; BS Projections'!$B97,'3FS'!$B:$B,'3FS'!Q:Q)</f>
        <v>0</v>
      </c>
      <c r="S97" s="143">
        <f>_xlfn.XLOOKUP('IS &amp; BS Projections'!$B97,'3FS'!$B:$B,'3FS'!R:R)</f>
        <v>0</v>
      </c>
      <c r="T97" s="143">
        <f>_xlfn.XLOOKUP('IS &amp; BS Projections'!$B97,'3FS'!$B:$B,'3FS'!S:S)</f>
        <v>0</v>
      </c>
      <c r="U97" s="143">
        <f>_xlfn.XLOOKUP('IS &amp; BS Projections'!$B97,'3FS'!$B:$B,'3FS'!T:T)</f>
        <v>0</v>
      </c>
      <c r="V97" s="143">
        <f>_xlfn.XLOOKUP('IS &amp; BS Projections'!$B97,'3FS'!$B:$B,'3FS'!U:U)</f>
        <v>0</v>
      </c>
      <c r="W97" s="143">
        <f>_xlfn.XLOOKUP('IS &amp; BS Projections'!$B97,'3FS'!$B:$B,'3FS'!V:V)</f>
        <v>0</v>
      </c>
      <c r="X97" s="143">
        <f>_xlfn.XLOOKUP('IS &amp; BS Projections'!$B97,'3FS'!$B:$B,'3FS'!W:W)</f>
        <v>0</v>
      </c>
      <c r="Y97" s="143">
        <f>_xlfn.XLOOKUP('IS &amp; BS Projections'!$B97,'3FS'!$B:$B,'3FS'!X:X)</f>
        <v>0</v>
      </c>
      <c r="Z97" s="143">
        <f>_xlfn.XLOOKUP('IS &amp; BS Projections'!$B97,'3FS'!$B:$B,'3FS'!Y:Y)</f>
        <v>0</v>
      </c>
      <c r="AA97" s="143">
        <f>_xlfn.XLOOKUP('IS &amp; BS Projections'!$B97,'3FS'!$B:$B,'3FS'!Z:Z)</f>
        <v>0</v>
      </c>
      <c r="AB97" s="143">
        <f>_xlfn.XLOOKUP('IS &amp; BS Projections'!$B97,'3FS'!$B:$B,'3FS'!AA:AA)</f>
        <v>22992</v>
      </c>
      <c r="AC97" s="143">
        <f>_xlfn.XLOOKUP('IS &amp; BS Projections'!$B97,'3FS'!$B:$B,'3FS'!AB:AB)</f>
        <v>0</v>
      </c>
      <c r="AD97" s="143">
        <f>_xlfn.XLOOKUP('IS &amp; BS Projections'!$B97,'3FS'!$B:$B,'3FS'!AC:AC)</f>
        <v>0</v>
      </c>
      <c r="AE97" s="143">
        <f>_xlfn.XLOOKUP('IS &amp; BS Projections'!$B97,'3FS'!$B:$B,'3FS'!AD:AD)</f>
        <v>0</v>
      </c>
      <c r="AF97" s="143">
        <f>_xlfn.XLOOKUP('IS &amp; BS Projections'!$B97,'3FS'!$B:$B,'3FS'!AE:AE)</f>
        <v>347169</v>
      </c>
      <c r="AG97" s="143">
        <f>_xlfn.XLOOKUP('IS &amp; BS Projections'!$B97,'3FS'!$B:$B,'3FS'!AF:AF)</f>
        <v>0</v>
      </c>
      <c r="AH97" s="143">
        <f>_xlfn.XLOOKUP('IS &amp; BS Projections'!$B97,'3FS'!$B:$B,'3FS'!AG:AG)</f>
        <v>0</v>
      </c>
      <c r="AI97" s="143">
        <f>_xlfn.XLOOKUP('IS &amp; BS Projections'!$B97,'3FS'!$B:$B,'3FS'!AH:AH)</f>
        <v>0</v>
      </c>
      <c r="AJ97" s="143">
        <f>_xlfn.XLOOKUP('IS &amp; BS Projections'!$B97,'3FS'!$B:$B,'3FS'!AI:AI)</f>
        <v>334318</v>
      </c>
      <c r="AK97" s="50">
        <f>AK98*AK$10</f>
        <v>0</v>
      </c>
      <c r="AL97" s="50">
        <f t="shared" ref="AL97:BD97" si="1253">AL98*AL$10</f>
        <v>0</v>
      </c>
      <c r="AM97" s="50">
        <f t="shared" si="1253"/>
        <v>0</v>
      </c>
      <c r="AN97" s="50">
        <f t="shared" si="1253"/>
        <v>41936.399502534783</v>
      </c>
      <c r="AO97" s="50">
        <f t="shared" si="1253"/>
        <v>0</v>
      </c>
      <c r="AP97" s="50">
        <f t="shared" si="1253"/>
        <v>0</v>
      </c>
      <c r="AQ97" s="50">
        <f t="shared" si="1253"/>
        <v>0</v>
      </c>
      <c r="AR97" s="50">
        <f t="shared" si="1253"/>
        <v>47358.76356681472</v>
      </c>
      <c r="AS97" s="50">
        <f t="shared" si="1253"/>
        <v>0</v>
      </c>
      <c r="AT97" s="50">
        <f t="shared" si="1253"/>
        <v>0</v>
      </c>
      <c r="AU97" s="50">
        <f t="shared" si="1253"/>
        <v>0</v>
      </c>
      <c r="AV97" s="50">
        <f t="shared" si="1253"/>
        <v>53013.681608217412</v>
      </c>
      <c r="AW97" s="50">
        <f t="shared" si="1253"/>
        <v>0</v>
      </c>
      <c r="AX97" s="50">
        <f t="shared" si="1253"/>
        <v>0</v>
      </c>
      <c r="AY97" s="50">
        <f t="shared" si="1253"/>
        <v>0</v>
      </c>
      <c r="AZ97" s="50">
        <f t="shared" si="1253"/>
        <v>61918.834527827021</v>
      </c>
      <c r="BA97" s="50">
        <f t="shared" si="1253"/>
        <v>0</v>
      </c>
      <c r="BB97" s="50">
        <f t="shared" si="1253"/>
        <v>0</v>
      </c>
      <c r="BC97" s="50">
        <f t="shared" si="1253"/>
        <v>0</v>
      </c>
      <c r="BD97" s="50">
        <f t="shared" si="1253"/>
        <v>76250.871257463528</v>
      </c>
    </row>
    <row r="98" spans="2:56" x14ac:dyDescent="0.2">
      <c r="B98" s="98" t="s">
        <v>293</v>
      </c>
      <c r="C98" s="45"/>
      <c r="D98" s="45"/>
      <c r="E98" s="46" t="s">
        <v>36</v>
      </c>
      <c r="F98" s="126">
        <f t="shared" ref="F98:O98" si="1254">F97/F$10</f>
        <v>0</v>
      </c>
      <c r="G98" s="126">
        <f t="shared" si="1254"/>
        <v>0</v>
      </c>
      <c r="H98" s="126">
        <f t="shared" si="1254"/>
        <v>7.3967718907226041E-3</v>
      </c>
      <c r="I98" s="126">
        <f t="shared" si="1254"/>
        <v>5.2889628136869614E-2</v>
      </c>
      <c r="J98" s="126">
        <f t="shared" si="1254"/>
        <v>6.1908493691710448E-2</v>
      </c>
      <c r="K98" s="126">
        <f t="shared" si="1254"/>
        <v>5.4038131745133772E-3</v>
      </c>
      <c r="L98" s="126">
        <f t="shared" si="1254"/>
        <v>5.457548150385334E-3</v>
      </c>
      <c r="M98" s="126">
        <f t="shared" si="1254"/>
        <v>5.451355228086532E-3</v>
      </c>
      <c r="N98" s="126">
        <f t="shared" si="1254"/>
        <v>5.4822537809428619E-3</v>
      </c>
      <c r="O98" s="126">
        <f t="shared" si="1254"/>
        <v>7.1412390135496438E-3</v>
      </c>
      <c r="P98" s="81"/>
      <c r="Q98" s="126">
        <f>Q97/Q$10</f>
        <v>0</v>
      </c>
      <c r="R98" s="126">
        <f t="shared" ref="R98:AJ98" si="1255">R97/R$10</f>
        <v>0</v>
      </c>
      <c r="S98" s="126">
        <f t="shared" si="1255"/>
        <v>0</v>
      </c>
      <c r="T98" s="126">
        <f t="shared" si="1255"/>
        <v>0</v>
      </c>
      <c r="U98" s="126">
        <f t="shared" si="1255"/>
        <v>0</v>
      </c>
      <c r="V98" s="126">
        <f t="shared" si="1255"/>
        <v>0</v>
      </c>
      <c r="W98" s="126">
        <f t="shared" si="1255"/>
        <v>0</v>
      </c>
      <c r="X98" s="126">
        <f t="shared" si="1255"/>
        <v>0</v>
      </c>
      <c r="Y98" s="126">
        <f t="shared" si="1255"/>
        <v>0</v>
      </c>
      <c r="Z98" s="126">
        <f t="shared" si="1255"/>
        <v>0</v>
      </c>
      <c r="AA98" s="126">
        <f t="shared" si="1255"/>
        <v>0</v>
      </c>
      <c r="AB98" s="126">
        <f t="shared" si="1255"/>
        <v>2.4105808900235375E-2</v>
      </c>
      <c r="AC98" s="126">
        <f t="shared" si="1255"/>
        <v>0</v>
      </c>
      <c r="AD98" s="126">
        <f t="shared" si="1255"/>
        <v>0</v>
      </c>
      <c r="AE98" s="126">
        <f t="shared" si="1255"/>
        <v>0</v>
      </c>
      <c r="AF98" s="126">
        <f t="shared" si="1255"/>
        <v>0.15282767449200729</v>
      </c>
      <c r="AG98" s="126">
        <f t="shared" si="1255"/>
        <v>0</v>
      </c>
      <c r="AH98" s="126">
        <f t="shared" si="1255"/>
        <v>0</v>
      </c>
      <c r="AI98" s="126">
        <f t="shared" si="1255"/>
        <v>0</v>
      </c>
      <c r="AJ98" s="126">
        <f t="shared" si="1255"/>
        <v>0.18770004867699083</v>
      </c>
      <c r="AK98" s="138">
        <f>MEDIAN(Q98,U98,Y98,AC98,AG98)</f>
        <v>0</v>
      </c>
      <c r="AL98" s="138">
        <f t="shared" ref="AL98" si="1256">MEDIAN(R98,V98,Z98,AD98,AH98)</f>
        <v>0</v>
      </c>
      <c r="AM98" s="138">
        <f t="shared" ref="AM98" si="1257">MEDIAN(S98,W98,AA98,AE98,AI98)</f>
        <v>0</v>
      </c>
      <c r="AN98" s="138">
        <f t="shared" ref="AN98" si="1258">MEDIAN(T98,X98,AB98,AF98,AJ98)</f>
        <v>2.4105808900235375E-2</v>
      </c>
      <c r="AO98" s="138">
        <f>AK98</f>
        <v>0</v>
      </c>
      <c r="AP98" s="138">
        <f t="shared" ref="AP98" si="1259">AL98</f>
        <v>0</v>
      </c>
      <c r="AQ98" s="138">
        <f t="shared" ref="AQ98" si="1260">AM98</f>
        <v>0</v>
      </c>
      <c r="AR98" s="138">
        <f t="shared" ref="AR98" si="1261">AN98</f>
        <v>2.4105808900235375E-2</v>
      </c>
      <c r="AS98" s="138">
        <f t="shared" ref="AS98" si="1262">AO98</f>
        <v>0</v>
      </c>
      <c r="AT98" s="138">
        <f t="shared" ref="AT98" si="1263">AP98</f>
        <v>0</v>
      </c>
      <c r="AU98" s="138">
        <f t="shared" ref="AU98" si="1264">AQ98</f>
        <v>0</v>
      </c>
      <c r="AV98" s="138">
        <f t="shared" ref="AV98" si="1265">AR98</f>
        <v>2.4105808900235375E-2</v>
      </c>
      <c r="AW98" s="138">
        <f t="shared" ref="AW98" si="1266">AS98</f>
        <v>0</v>
      </c>
      <c r="AX98" s="138">
        <f t="shared" ref="AX98" si="1267">AT98</f>
        <v>0</v>
      </c>
      <c r="AY98" s="138">
        <f t="shared" ref="AY98" si="1268">AU98</f>
        <v>0</v>
      </c>
      <c r="AZ98" s="138">
        <f t="shared" ref="AZ98" si="1269">AV98</f>
        <v>2.4105808900235375E-2</v>
      </c>
      <c r="BA98" s="138">
        <f t="shared" ref="BA98" si="1270">AW98</f>
        <v>0</v>
      </c>
      <c r="BB98" s="138">
        <f t="shared" ref="BB98" si="1271">AX98</f>
        <v>0</v>
      </c>
      <c r="BC98" s="138">
        <f t="shared" ref="BC98" si="1272">AY98</f>
        <v>0</v>
      </c>
      <c r="BD98" s="138">
        <f t="shared" ref="BD98" si="1273">AZ98</f>
        <v>2.4105808900235375E-2</v>
      </c>
    </row>
    <row r="100" spans="2:56" x14ac:dyDescent="0.2">
      <c r="B100" s="1" t="s">
        <v>75</v>
      </c>
      <c r="E100" s="43" t="s">
        <v>33</v>
      </c>
      <c r="F100" s="50">
        <f>T100</f>
        <v>0</v>
      </c>
      <c r="G100" s="50">
        <f>X100</f>
        <v>0</v>
      </c>
      <c r="H100" s="50">
        <f>AB100</f>
        <v>212540</v>
      </c>
      <c r="I100" s="50">
        <f>AF100</f>
        <v>277536</v>
      </c>
      <c r="J100" s="50">
        <f>AJ100</f>
        <v>187164</v>
      </c>
      <c r="K100" s="50">
        <f>AN100</f>
        <v>182808.49569844568</v>
      </c>
      <c r="L100" s="50">
        <f>AR100</f>
        <v>206445.58017586748</v>
      </c>
      <c r="M100" s="50">
        <f>AV100</f>
        <v>231096.410306965</v>
      </c>
      <c r="N100" s="50">
        <f>AZ100</f>
        <v>269915.61339806626</v>
      </c>
      <c r="O100" s="50">
        <f>BD100</f>
        <v>332391.60337143909</v>
      </c>
      <c r="Q100" s="143">
        <f>_xlfn.XLOOKUP('IS &amp; BS Projections'!$B100,'3FS'!$B:$B,'3FS'!P:P)</f>
        <v>0</v>
      </c>
      <c r="R100" s="143">
        <f>_xlfn.XLOOKUP('IS &amp; BS Projections'!$B100,'3FS'!$B:$B,'3FS'!Q:Q)</f>
        <v>0</v>
      </c>
      <c r="S100" s="143">
        <f>_xlfn.XLOOKUP('IS &amp; BS Projections'!$B100,'3FS'!$B:$B,'3FS'!R:R)</f>
        <v>0</v>
      </c>
      <c r="T100" s="143">
        <f>_xlfn.XLOOKUP('IS &amp; BS Projections'!$B100,'3FS'!$B:$B,'3FS'!S:S)</f>
        <v>0</v>
      </c>
      <c r="U100" s="143">
        <f>_xlfn.XLOOKUP('IS &amp; BS Projections'!$B100,'3FS'!$B:$B,'3FS'!T:T)</f>
        <v>0</v>
      </c>
      <c r="V100" s="143">
        <f>_xlfn.XLOOKUP('IS &amp; BS Projections'!$B100,'3FS'!$B:$B,'3FS'!U:U)</f>
        <v>0</v>
      </c>
      <c r="W100" s="143">
        <f>_xlfn.XLOOKUP('IS &amp; BS Projections'!$B100,'3FS'!$B:$B,'3FS'!V:V)</f>
        <v>0</v>
      </c>
      <c r="X100" s="143">
        <f>_xlfn.XLOOKUP('IS &amp; BS Projections'!$B100,'3FS'!$B:$B,'3FS'!W:W)</f>
        <v>0</v>
      </c>
      <c r="Y100" s="143">
        <f>_xlfn.XLOOKUP('IS &amp; BS Projections'!$B100,'3FS'!$B:$B,'3FS'!X:X)</f>
        <v>0</v>
      </c>
      <c r="Z100" s="143">
        <f>_xlfn.XLOOKUP('IS &amp; BS Projections'!$B100,'3FS'!$B:$B,'3FS'!Y:Y)</f>
        <v>0</v>
      </c>
      <c r="AA100" s="143">
        <f>_xlfn.XLOOKUP('IS &amp; BS Projections'!$B100,'3FS'!$B:$B,'3FS'!Z:Z)</f>
        <v>0</v>
      </c>
      <c r="AB100" s="143">
        <f>_xlfn.XLOOKUP('IS &amp; BS Projections'!$B100,'3FS'!$B:$B,'3FS'!AA:AA)</f>
        <v>212540</v>
      </c>
      <c r="AC100" s="143">
        <f>_xlfn.XLOOKUP('IS &amp; BS Projections'!$B100,'3FS'!$B:$B,'3FS'!AB:AB)</f>
        <v>379537</v>
      </c>
      <c r="AD100" s="143">
        <f>_xlfn.XLOOKUP('IS &amp; BS Projections'!$B100,'3FS'!$B:$B,'3FS'!AC:AC)</f>
        <v>253226</v>
      </c>
      <c r="AE100" s="143">
        <f>_xlfn.XLOOKUP('IS &amp; BS Projections'!$B100,'3FS'!$B:$B,'3FS'!AD:AD)</f>
        <v>255975</v>
      </c>
      <c r="AF100" s="143">
        <f>_xlfn.XLOOKUP('IS &amp; BS Projections'!$B100,'3FS'!$B:$B,'3FS'!AE:AE)</f>
        <v>277536</v>
      </c>
      <c r="AG100" s="143">
        <f>_xlfn.XLOOKUP('IS &amp; BS Projections'!$B100,'3FS'!$B:$B,'3FS'!AF:AF)</f>
        <v>151977</v>
      </c>
      <c r="AH100" s="143">
        <f>_xlfn.XLOOKUP('IS &amp; BS Projections'!$B100,'3FS'!$B:$B,'3FS'!AG:AG)</f>
        <v>279230</v>
      </c>
      <c r="AI100" s="143">
        <f>_xlfn.XLOOKUP('IS &amp; BS Projections'!$B100,'3FS'!$B:$B,'3FS'!AH:AH)</f>
        <v>184160</v>
      </c>
      <c r="AJ100" s="143">
        <f>_xlfn.XLOOKUP('IS &amp; BS Projections'!$B100,'3FS'!$B:$B,'3FS'!AI:AI)</f>
        <v>187164</v>
      </c>
      <c r="AK100" s="50">
        <f>AK101*AK$10</f>
        <v>0</v>
      </c>
      <c r="AL100" s="50">
        <f t="shared" ref="AL100:BD100" si="1274">AL101*AL$10</f>
        <v>0</v>
      </c>
      <c r="AM100" s="50">
        <f t="shared" si="1274"/>
        <v>0</v>
      </c>
      <c r="AN100" s="50">
        <f t="shared" si="1274"/>
        <v>182808.49569844568</v>
      </c>
      <c r="AO100" s="50">
        <f t="shared" si="1274"/>
        <v>0</v>
      </c>
      <c r="AP100" s="50">
        <f t="shared" si="1274"/>
        <v>0</v>
      </c>
      <c r="AQ100" s="50">
        <f t="shared" si="1274"/>
        <v>0</v>
      </c>
      <c r="AR100" s="50">
        <f t="shared" si="1274"/>
        <v>206445.58017586748</v>
      </c>
      <c r="AS100" s="50">
        <f t="shared" si="1274"/>
        <v>0</v>
      </c>
      <c r="AT100" s="50">
        <f t="shared" si="1274"/>
        <v>0</v>
      </c>
      <c r="AU100" s="50">
        <f t="shared" si="1274"/>
        <v>0</v>
      </c>
      <c r="AV100" s="50">
        <f t="shared" si="1274"/>
        <v>231096.410306965</v>
      </c>
      <c r="AW100" s="50">
        <f t="shared" si="1274"/>
        <v>0</v>
      </c>
      <c r="AX100" s="50">
        <f t="shared" si="1274"/>
        <v>0</v>
      </c>
      <c r="AY100" s="50">
        <f t="shared" si="1274"/>
        <v>0</v>
      </c>
      <c r="AZ100" s="50">
        <f t="shared" si="1274"/>
        <v>269915.61339806626</v>
      </c>
      <c r="BA100" s="50">
        <f t="shared" si="1274"/>
        <v>0</v>
      </c>
      <c r="BB100" s="50">
        <f t="shared" si="1274"/>
        <v>0</v>
      </c>
      <c r="BC100" s="50">
        <f t="shared" si="1274"/>
        <v>0</v>
      </c>
      <c r="BD100" s="50">
        <f t="shared" si="1274"/>
        <v>332391.60337143909</v>
      </c>
    </row>
    <row r="101" spans="2:56" x14ac:dyDescent="0.2">
      <c r="B101" s="98" t="s">
        <v>293</v>
      </c>
      <c r="C101" s="45"/>
      <c r="D101" s="45"/>
      <c r="E101" s="46" t="s">
        <v>36</v>
      </c>
      <c r="F101" s="126">
        <f t="shared" ref="F101:O101" si="1275">F100/F$10</f>
        <v>0</v>
      </c>
      <c r="G101" s="126">
        <f t="shared" si="1275"/>
        <v>0</v>
      </c>
      <c r="H101" s="126">
        <f t="shared" si="1275"/>
        <v>6.8376387337081693E-2</v>
      </c>
      <c r="I101" s="126">
        <f t="shared" si="1275"/>
        <v>4.2281355289770242E-2</v>
      </c>
      <c r="J101" s="126">
        <f t="shared" si="1275"/>
        <v>3.465874201603053E-2</v>
      </c>
      <c r="K101" s="126">
        <f t="shared" si="1275"/>
        <v>2.3556217729386209E-2</v>
      </c>
      <c r="L101" s="126">
        <f t="shared" si="1275"/>
        <v>2.3790458394347225E-2</v>
      </c>
      <c r="M101" s="126">
        <f t="shared" si="1275"/>
        <v>2.3763462304486126E-2</v>
      </c>
      <c r="N101" s="126">
        <f t="shared" si="1275"/>
        <v>2.3898154792013182E-2</v>
      </c>
      <c r="O101" s="126">
        <f t="shared" si="1275"/>
        <v>3.1129977226851693E-2</v>
      </c>
      <c r="P101" s="81"/>
      <c r="Q101" s="126">
        <f>Q100/Q$10</f>
        <v>0</v>
      </c>
      <c r="R101" s="126">
        <f t="shared" ref="R101:AJ101" si="1276">R100/R$10</f>
        <v>0</v>
      </c>
      <c r="S101" s="126">
        <f t="shared" si="1276"/>
        <v>0</v>
      </c>
      <c r="T101" s="126">
        <f t="shared" si="1276"/>
        <v>0</v>
      </c>
      <c r="U101" s="126">
        <f t="shared" si="1276"/>
        <v>0</v>
      </c>
      <c r="V101" s="126">
        <f t="shared" si="1276"/>
        <v>0</v>
      </c>
      <c r="W101" s="126">
        <f t="shared" si="1276"/>
        <v>0</v>
      </c>
      <c r="X101" s="126">
        <f t="shared" si="1276"/>
        <v>0</v>
      </c>
      <c r="Y101" s="126">
        <f t="shared" si="1276"/>
        <v>0</v>
      </c>
      <c r="Z101" s="126">
        <f t="shared" si="1276"/>
        <v>0</v>
      </c>
      <c r="AA101" s="126">
        <f t="shared" si="1276"/>
        <v>0</v>
      </c>
      <c r="AB101" s="126">
        <f t="shared" si="1276"/>
        <v>0.22283614403514382</v>
      </c>
      <c r="AC101" s="126">
        <f t="shared" si="1276"/>
        <v>0.23176841295333939</v>
      </c>
      <c r="AD101" s="126">
        <f t="shared" si="1276"/>
        <v>0.17468343602634606</v>
      </c>
      <c r="AE101" s="126">
        <f t="shared" si="1276"/>
        <v>0.21239336770127273</v>
      </c>
      <c r="AF101" s="126">
        <f t="shared" si="1276"/>
        <v>0.12217444952692706</v>
      </c>
      <c r="AG101" s="126">
        <f t="shared" si="1276"/>
        <v>7.4707453933672355E-2</v>
      </c>
      <c r="AH101" s="126">
        <f t="shared" si="1276"/>
        <v>0.18650047288018765</v>
      </c>
      <c r="AI101" s="126">
        <f t="shared" si="1276"/>
        <v>9.8550163135410679E-2</v>
      </c>
      <c r="AJ101" s="126">
        <f t="shared" si="1276"/>
        <v>0.10508166449482323</v>
      </c>
      <c r="AK101" s="138">
        <f>MEDIAN(Q101,U101,Y101,AC101,AG101)</f>
        <v>0</v>
      </c>
      <c r="AL101" s="138">
        <f t="shared" ref="AL101" si="1277">MEDIAN(R101,V101,Z101,AD101,AH101)</f>
        <v>0</v>
      </c>
      <c r="AM101" s="138">
        <f t="shared" ref="AM101" si="1278">MEDIAN(S101,W101,AA101,AE101,AI101)</f>
        <v>0</v>
      </c>
      <c r="AN101" s="138">
        <f t="shared" ref="AN101" si="1279">MEDIAN(T101,X101,AB101,AF101,AJ101)</f>
        <v>0.10508166449482323</v>
      </c>
      <c r="AO101" s="138">
        <f>AK101</f>
        <v>0</v>
      </c>
      <c r="AP101" s="138">
        <f t="shared" ref="AP101" si="1280">AL101</f>
        <v>0</v>
      </c>
      <c r="AQ101" s="138">
        <f t="shared" ref="AQ101" si="1281">AM101</f>
        <v>0</v>
      </c>
      <c r="AR101" s="138">
        <f t="shared" ref="AR101" si="1282">AN101</f>
        <v>0.10508166449482323</v>
      </c>
      <c r="AS101" s="138">
        <f t="shared" ref="AS101" si="1283">AO101</f>
        <v>0</v>
      </c>
      <c r="AT101" s="138">
        <f t="shared" ref="AT101" si="1284">AP101</f>
        <v>0</v>
      </c>
      <c r="AU101" s="138">
        <f t="shared" ref="AU101" si="1285">AQ101</f>
        <v>0</v>
      </c>
      <c r="AV101" s="138">
        <f t="shared" ref="AV101" si="1286">AR101</f>
        <v>0.10508166449482323</v>
      </c>
      <c r="AW101" s="138">
        <f t="shared" ref="AW101" si="1287">AS101</f>
        <v>0</v>
      </c>
      <c r="AX101" s="138">
        <f t="shared" ref="AX101" si="1288">AT101</f>
        <v>0</v>
      </c>
      <c r="AY101" s="138">
        <f t="shared" ref="AY101" si="1289">AU101</f>
        <v>0</v>
      </c>
      <c r="AZ101" s="138">
        <f t="shared" ref="AZ101" si="1290">AV101</f>
        <v>0.10508166449482323</v>
      </c>
      <c r="BA101" s="138">
        <f t="shared" ref="BA101" si="1291">AW101</f>
        <v>0</v>
      </c>
      <c r="BB101" s="138">
        <f t="shared" ref="BB101" si="1292">AX101</f>
        <v>0</v>
      </c>
      <c r="BC101" s="138">
        <f t="shared" ref="BC101" si="1293">AY101</f>
        <v>0</v>
      </c>
      <c r="BD101" s="138">
        <f t="shared" ref="BD101" si="1294">AZ101</f>
        <v>0.10508166449482323</v>
      </c>
    </row>
    <row r="103" spans="2:56" x14ac:dyDescent="0.2">
      <c r="B103" s="1" t="s">
        <v>76</v>
      </c>
      <c r="E103" s="43" t="s">
        <v>33</v>
      </c>
      <c r="F103" s="50">
        <f>T103</f>
        <v>10617552</v>
      </c>
      <c r="G103" s="50">
        <f>X103</f>
        <v>5041119</v>
      </c>
      <c r="H103" s="50">
        <f>AB103</f>
        <v>4570845</v>
      </c>
      <c r="I103" s="50">
        <f>AF103</f>
        <v>6158949</v>
      </c>
      <c r="J103" s="50">
        <f>AJ103</f>
        <v>5347428</v>
      </c>
      <c r="K103" s="50">
        <f>AN103</f>
        <v>7393003.398900914</v>
      </c>
      <c r="L103" s="50">
        <f>AR103</f>
        <v>8348916.5538887838</v>
      </c>
      <c r="M103" s="50">
        <f>AV103</f>
        <v>9345826.8465348966</v>
      </c>
      <c r="N103" s="50">
        <f>AZ103</f>
        <v>10915723.79962041</v>
      </c>
      <c r="O103" s="50">
        <f>BD103</f>
        <v>13442330.697500879</v>
      </c>
      <c r="Q103" s="143">
        <f>_xlfn.XLOOKUP('IS &amp; BS Projections'!$B103,'3FS'!$B:$B,'3FS'!P:P)</f>
        <v>6291776</v>
      </c>
      <c r="R103" s="143">
        <f>_xlfn.XLOOKUP('IS &amp; BS Projections'!$B103,'3FS'!$B:$B,'3FS'!Q:Q)</f>
        <v>8961812</v>
      </c>
      <c r="S103" s="143">
        <f>_xlfn.XLOOKUP('IS &amp; BS Projections'!$B103,'3FS'!$B:$B,'3FS'!R:R)</f>
        <v>8956966</v>
      </c>
      <c r="T103" s="143">
        <f>_xlfn.XLOOKUP('IS &amp; BS Projections'!$B103,'3FS'!$B:$B,'3FS'!S:S)</f>
        <v>10617552</v>
      </c>
      <c r="U103" s="143">
        <f>_xlfn.XLOOKUP('IS &amp; BS Projections'!$B103,'3FS'!$B:$B,'3FS'!T:T)</f>
        <v>10023385</v>
      </c>
      <c r="V103" s="143">
        <f>_xlfn.XLOOKUP('IS &amp; BS Projections'!$B103,'3FS'!$B:$B,'3FS'!U:U)</f>
        <v>0</v>
      </c>
      <c r="W103" s="143">
        <f>_xlfn.XLOOKUP('IS &amp; BS Projections'!$B103,'3FS'!$B:$B,'3FS'!V:V)</f>
        <v>0</v>
      </c>
      <c r="X103" s="143">
        <f>_xlfn.XLOOKUP('IS &amp; BS Projections'!$B103,'3FS'!$B:$B,'3FS'!W:W)</f>
        <v>5041119</v>
      </c>
      <c r="Y103" s="143">
        <f>_xlfn.XLOOKUP('IS &amp; BS Projections'!$B103,'3FS'!$B:$B,'3FS'!X:X)</f>
        <v>5370658</v>
      </c>
      <c r="Z103" s="143">
        <f>_xlfn.XLOOKUP('IS &amp; BS Projections'!$B103,'3FS'!$B:$B,'3FS'!Y:Y)</f>
        <v>3848078</v>
      </c>
      <c r="AA103" s="143">
        <f>_xlfn.XLOOKUP('IS &amp; BS Projections'!$B103,'3FS'!$B:$B,'3FS'!Z:Z)</f>
        <v>3474489</v>
      </c>
      <c r="AB103" s="143">
        <f>_xlfn.XLOOKUP('IS &amp; BS Projections'!$B103,'3FS'!$B:$B,'3FS'!AA:AA)</f>
        <v>4570845</v>
      </c>
      <c r="AC103" s="143">
        <f>_xlfn.XLOOKUP('IS &amp; BS Projections'!$B103,'3FS'!$B:$B,'3FS'!AB:AB)</f>
        <v>5201906</v>
      </c>
      <c r="AD103" s="143">
        <f>_xlfn.XLOOKUP('IS &amp; BS Projections'!$B103,'3FS'!$B:$B,'3FS'!AC:AC)</f>
        <v>4197837</v>
      </c>
      <c r="AE103" s="143">
        <f>_xlfn.XLOOKUP('IS &amp; BS Projections'!$B103,'3FS'!$B:$B,'3FS'!AD:AD)</f>
        <v>4035045</v>
      </c>
      <c r="AF103" s="143">
        <f>_xlfn.XLOOKUP('IS &amp; BS Projections'!$B103,'3FS'!$B:$B,'3FS'!AE:AE)</f>
        <v>6158949</v>
      </c>
      <c r="AG103" s="143">
        <f>_xlfn.XLOOKUP('IS &amp; BS Projections'!$B103,'3FS'!$B:$B,'3FS'!AF:AF)</f>
        <v>5369865</v>
      </c>
      <c r="AH103" s="143">
        <f>_xlfn.XLOOKUP('IS &amp; BS Projections'!$B103,'3FS'!$B:$B,'3FS'!AG:AG)</f>
        <v>5121640</v>
      </c>
      <c r="AI103" s="143">
        <f>_xlfn.XLOOKUP('IS &amp; BS Projections'!$B103,'3FS'!$B:$B,'3FS'!AH:AH)</f>
        <v>5672037</v>
      </c>
      <c r="AJ103" s="143">
        <f>_xlfn.XLOOKUP('IS &amp; BS Projections'!$B103,'3FS'!$B:$B,'3FS'!AI:AI)</f>
        <v>5347428</v>
      </c>
      <c r="AK103" s="50">
        <f>AK104*AK$10</f>
        <v>6509812.6548142489</v>
      </c>
      <c r="AL103" s="50">
        <f t="shared" ref="AL103:BD103" si="1295">AL104*AL$10</f>
        <v>6100926.7753363065</v>
      </c>
      <c r="AM103" s="50">
        <f t="shared" si="1295"/>
        <v>7947694.5963797085</v>
      </c>
      <c r="AN103" s="50">
        <f t="shared" si="1295"/>
        <v>7393003.398900914</v>
      </c>
      <c r="AO103" s="50">
        <f t="shared" si="1295"/>
        <v>6793440.5700885253</v>
      </c>
      <c r="AP103" s="50">
        <f t="shared" si="1295"/>
        <v>6940907.0835361853</v>
      </c>
      <c r="AQ103" s="50">
        <f t="shared" si="1295"/>
        <v>9171269.5049982462</v>
      </c>
      <c r="AR103" s="50">
        <f t="shared" si="1295"/>
        <v>8348916.5538887838</v>
      </c>
      <c r="AS103" s="50">
        <f t="shared" si="1295"/>
        <v>7395090.2917837305</v>
      </c>
      <c r="AT103" s="50">
        <f t="shared" si="1295"/>
        <v>7942643.960539842</v>
      </c>
      <c r="AU103" s="50">
        <f t="shared" si="1295"/>
        <v>10334863.646124432</v>
      </c>
      <c r="AV103" s="50">
        <f t="shared" si="1295"/>
        <v>9345826.8465348966</v>
      </c>
      <c r="AW103" s="50">
        <f t="shared" si="1295"/>
        <v>8165095.2796667125</v>
      </c>
      <c r="AX103" s="50">
        <f t="shared" si="1295"/>
        <v>9446318.5909919497</v>
      </c>
      <c r="AY103" s="50">
        <f t="shared" si="1295"/>
        <v>12143265.83741435</v>
      </c>
      <c r="AZ103" s="50">
        <f t="shared" si="1295"/>
        <v>10915723.79962041</v>
      </c>
      <c r="BA103" s="50">
        <f t="shared" si="1295"/>
        <v>9381169.9612488374</v>
      </c>
      <c r="BB103" s="50">
        <f t="shared" si="1295"/>
        <v>11878895.934419654</v>
      </c>
      <c r="BC103" s="50">
        <f t="shared" si="1295"/>
        <v>15131472.495123994</v>
      </c>
      <c r="BD103" s="50">
        <f t="shared" si="1295"/>
        <v>13442330.697500879</v>
      </c>
    </row>
    <row r="104" spans="2:56" x14ac:dyDescent="0.2">
      <c r="B104" s="98" t="s">
        <v>293</v>
      </c>
      <c r="C104" s="45"/>
      <c r="D104" s="45"/>
      <c r="E104" s="46" t="s">
        <v>36</v>
      </c>
      <c r="F104" s="126">
        <f t="shared" ref="F104:O104" si="1296">F103/F$10</f>
        <v>1.3543754691818106</v>
      </c>
      <c r="G104" s="126">
        <f t="shared" si="1296"/>
        <v>1.5782062407958404</v>
      </c>
      <c r="H104" s="126">
        <f t="shared" si="1296"/>
        <v>1.4704896404336274</v>
      </c>
      <c r="I104" s="126">
        <f t="shared" si="1296"/>
        <v>0.93828804508451213</v>
      </c>
      <c r="J104" s="126">
        <f t="shared" si="1296"/>
        <v>0.99022850281730512</v>
      </c>
      <c r="K104" s="126">
        <f t="shared" si="1296"/>
        <v>0.95264280291368819</v>
      </c>
      <c r="L104" s="126">
        <f t="shared" si="1296"/>
        <v>0.96211578733709413</v>
      </c>
      <c r="M104" s="126">
        <f t="shared" si="1296"/>
        <v>0.96102403181808715</v>
      </c>
      <c r="N104" s="126">
        <f t="shared" si="1296"/>
        <v>0.96647116387991705</v>
      </c>
      <c r="O104" s="126">
        <f t="shared" si="1296"/>
        <v>1.2589350761107949</v>
      </c>
      <c r="P104" s="81"/>
      <c r="Q104" s="126">
        <f>Q103/Q$10</f>
        <v>3.4932730446524149</v>
      </c>
      <c r="R104" s="126">
        <f t="shared" ref="R104:AJ104" si="1297">R103/R$10</f>
        <v>4.0224258762043519</v>
      </c>
      <c r="S104" s="126">
        <f t="shared" si="1297"/>
        <v>6.8274345457150956</v>
      </c>
      <c r="T104" s="126">
        <f t="shared" si="1297"/>
        <v>4.2496334746602207</v>
      </c>
      <c r="U104" s="126">
        <f t="shared" si="1297"/>
        <v>8.5931718499771961</v>
      </c>
      <c r="V104" s="126">
        <f t="shared" si="1297"/>
        <v>0</v>
      </c>
      <c r="W104" s="126">
        <f t="shared" si="1297"/>
        <v>0</v>
      </c>
      <c r="X104" s="126">
        <f t="shared" si="1297"/>
        <v>8.0131217533396484</v>
      </c>
      <c r="Y104" s="126">
        <f t="shared" si="1297"/>
        <v>6.9520471076166723</v>
      </c>
      <c r="Z104" s="126">
        <f t="shared" si="1297"/>
        <v>5.4358217346530848</v>
      </c>
      <c r="AA104" s="126">
        <f t="shared" si="1297"/>
        <v>5.1538964737713382</v>
      </c>
      <c r="AB104" s="126">
        <f t="shared" si="1297"/>
        <v>4.7922719242604543</v>
      </c>
      <c r="AC104" s="126">
        <f t="shared" si="1297"/>
        <v>3.1766006949321248</v>
      </c>
      <c r="AD104" s="126">
        <f t="shared" si="1297"/>
        <v>2.8958029232327189</v>
      </c>
      <c r="AE104" s="126">
        <f t="shared" si="1297"/>
        <v>3.348048818736916</v>
      </c>
      <c r="AF104" s="126">
        <f t="shared" si="1297"/>
        <v>2.7112381951869953</v>
      </c>
      <c r="AG104" s="126">
        <f t="shared" si="1297"/>
        <v>2.6396687796017786</v>
      </c>
      <c r="AH104" s="126">
        <f t="shared" si="1297"/>
        <v>3.4207939043873665</v>
      </c>
      <c r="AI104" s="126">
        <f t="shared" si="1297"/>
        <v>3.035296327433131</v>
      </c>
      <c r="AJ104" s="126">
        <f t="shared" si="1297"/>
        <v>3.0022687856971619</v>
      </c>
      <c r="AK104" s="138">
        <f>MEDIAN(Q104,U104,Y104,AC104,AG104)</f>
        <v>3.4932730446524149</v>
      </c>
      <c r="AL104" s="138">
        <f t="shared" ref="AL104" si="1298">MEDIAN(R104,V104,Z104,AD104,AH104)</f>
        <v>3.4207939043873665</v>
      </c>
      <c r="AM104" s="138">
        <f t="shared" ref="AM104" si="1299">MEDIAN(S104,W104,AA104,AE104,AI104)</f>
        <v>3.348048818736916</v>
      </c>
      <c r="AN104" s="138">
        <f t="shared" ref="AN104" si="1300">MEDIAN(T104,X104,AB104,AF104,AJ104)</f>
        <v>4.2496334746602207</v>
      </c>
      <c r="AO104" s="138">
        <f>AK104</f>
        <v>3.4932730446524149</v>
      </c>
      <c r="AP104" s="138">
        <f t="shared" ref="AP104" si="1301">AL104</f>
        <v>3.4207939043873665</v>
      </c>
      <c r="AQ104" s="138">
        <f t="shared" ref="AQ104" si="1302">AM104</f>
        <v>3.348048818736916</v>
      </c>
      <c r="AR104" s="138">
        <f t="shared" ref="AR104" si="1303">AN104</f>
        <v>4.2496334746602207</v>
      </c>
      <c r="AS104" s="138">
        <f t="shared" ref="AS104" si="1304">AO104</f>
        <v>3.4932730446524149</v>
      </c>
      <c r="AT104" s="138">
        <f t="shared" ref="AT104" si="1305">AP104</f>
        <v>3.4207939043873665</v>
      </c>
      <c r="AU104" s="138">
        <f t="shared" ref="AU104" si="1306">AQ104</f>
        <v>3.348048818736916</v>
      </c>
      <c r="AV104" s="138">
        <f t="shared" ref="AV104" si="1307">AR104</f>
        <v>4.2496334746602207</v>
      </c>
      <c r="AW104" s="138">
        <f t="shared" ref="AW104" si="1308">AS104</f>
        <v>3.4932730446524149</v>
      </c>
      <c r="AX104" s="138">
        <f t="shared" ref="AX104" si="1309">AT104</f>
        <v>3.4207939043873665</v>
      </c>
      <c r="AY104" s="138">
        <f t="shared" ref="AY104" si="1310">AU104</f>
        <v>3.348048818736916</v>
      </c>
      <c r="AZ104" s="138">
        <f t="shared" ref="AZ104" si="1311">AV104</f>
        <v>4.2496334746602207</v>
      </c>
      <c r="BA104" s="138">
        <f t="shared" ref="BA104" si="1312">AW104</f>
        <v>3.4932730446524149</v>
      </c>
      <c r="BB104" s="138">
        <f t="shared" ref="BB104" si="1313">AX104</f>
        <v>3.4207939043873665</v>
      </c>
      <c r="BC104" s="138">
        <f t="shared" ref="BC104" si="1314">AY104</f>
        <v>3.348048818736916</v>
      </c>
      <c r="BD104" s="138">
        <f t="shared" ref="BD104" si="1315">AZ104</f>
        <v>4.2496334746602207</v>
      </c>
    </row>
    <row r="106" spans="2:56" x14ac:dyDescent="0.2">
      <c r="B106" s="1" t="s">
        <v>77</v>
      </c>
      <c r="E106" s="43" t="s">
        <v>33</v>
      </c>
      <c r="F106" s="50">
        <f>T106</f>
        <v>100096</v>
      </c>
      <c r="G106" s="50">
        <f>X106</f>
        <v>861149</v>
      </c>
      <c r="H106" s="50">
        <f>AB106</f>
        <v>576028</v>
      </c>
      <c r="I106" s="50">
        <f>AF106</f>
        <v>0</v>
      </c>
      <c r="J106" s="50">
        <f>AJ106</f>
        <v>0</v>
      </c>
      <c r="K106" s="50">
        <f>AN106</f>
        <v>69696.863101436757</v>
      </c>
      <c r="L106" s="50">
        <f>AR106</f>
        <v>78708.646906372756</v>
      </c>
      <c r="M106" s="50">
        <f>AV106</f>
        <v>88106.927475444158</v>
      </c>
      <c r="N106" s="50">
        <f>AZ106</f>
        <v>102906.98735893215</v>
      </c>
      <c r="O106" s="50">
        <f>BD106</f>
        <v>126726.34271035812</v>
      </c>
      <c r="Q106" s="143">
        <f>_xlfn.XLOOKUP('IS &amp; BS Projections'!$B106,'3FS'!$B:$B,'3FS'!P:P)</f>
        <v>102118</v>
      </c>
      <c r="R106" s="143">
        <f>_xlfn.XLOOKUP('IS &amp; BS Projections'!$B106,'3FS'!$B:$B,'3FS'!Q:Q)</f>
        <v>144993</v>
      </c>
      <c r="S106" s="143">
        <f>_xlfn.XLOOKUP('IS &amp; BS Projections'!$B106,'3FS'!$B:$B,'3FS'!R:R)</f>
        <v>92107</v>
      </c>
      <c r="T106" s="143">
        <f>_xlfn.XLOOKUP('IS &amp; BS Projections'!$B106,'3FS'!$B:$B,'3FS'!S:S)</f>
        <v>100096</v>
      </c>
      <c r="U106" s="143">
        <f>_xlfn.XLOOKUP('IS &amp; BS Projections'!$B106,'3FS'!$B:$B,'3FS'!T:T)</f>
        <v>179885</v>
      </c>
      <c r="V106" s="143">
        <f>_xlfn.XLOOKUP('IS &amp; BS Projections'!$B106,'3FS'!$B:$B,'3FS'!U:U)</f>
        <v>361714</v>
      </c>
      <c r="W106" s="143">
        <f>_xlfn.XLOOKUP('IS &amp; BS Projections'!$B106,'3FS'!$B:$B,'3FS'!V:V)</f>
        <v>368121</v>
      </c>
      <c r="X106" s="143">
        <f>_xlfn.XLOOKUP('IS &amp; BS Projections'!$B106,'3FS'!$B:$B,'3FS'!W:W)</f>
        <v>861149</v>
      </c>
      <c r="Y106" s="143">
        <f>_xlfn.XLOOKUP('IS &amp; BS Projections'!$B106,'3FS'!$B:$B,'3FS'!X:X)</f>
        <v>302851</v>
      </c>
      <c r="Z106" s="143">
        <f>_xlfn.XLOOKUP('IS &amp; BS Projections'!$B106,'3FS'!$B:$B,'3FS'!Y:Y)</f>
        <v>315508</v>
      </c>
      <c r="AA106" s="143">
        <f>_xlfn.XLOOKUP('IS &amp; BS Projections'!$B106,'3FS'!$B:$B,'3FS'!Z:Z)</f>
        <v>400799</v>
      </c>
      <c r="AB106" s="143">
        <f>_xlfn.XLOOKUP('IS &amp; BS Projections'!$B106,'3FS'!$B:$B,'3FS'!AA:AA)</f>
        <v>576028</v>
      </c>
      <c r="AC106" s="143">
        <f>_xlfn.XLOOKUP('IS &amp; BS Projections'!$B106,'3FS'!$B:$B,'3FS'!AB:AB)</f>
        <v>860669</v>
      </c>
      <c r="AD106" s="143">
        <f>_xlfn.XLOOKUP('IS &amp; BS Projections'!$B106,'3FS'!$B:$B,'3FS'!AC:AC)</f>
        <v>1056648</v>
      </c>
      <c r="AE106" s="143">
        <f>_xlfn.XLOOKUP('IS &amp; BS Projections'!$B106,'3FS'!$B:$B,'3FS'!AD:AD)</f>
        <v>871425</v>
      </c>
      <c r="AF106" s="143">
        <f>_xlfn.XLOOKUP('IS &amp; BS Projections'!$B106,'3FS'!$B:$B,'3FS'!AE:AE)</f>
        <v>0</v>
      </c>
      <c r="AG106" s="143">
        <f>_xlfn.XLOOKUP('IS &amp; BS Projections'!$B106,'3FS'!$B:$B,'3FS'!AF:AF)</f>
        <v>2225054</v>
      </c>
      <c r="AH106" s="143">
        <f>_xlfn.XLOOKUP('IS &amp; BS Projections'!$B106,'3FS'!$B:$B,'3FS'!AG:AG)</f>
        <v>2153824</v>
      </c>
      <c r="AI106" s="143">
        <f>_xlfn.XLOOKUP('IS &amp; BS Projections'!$B106,'3FS'!$B:$B,'3FS'!AH:AH)</f>
        <v>3696441</v>
      </c>
      <c r="AJ106" s="143">
        <f>_xlfn.XLOOKUP('IS &amp; BS Projections'!$B106,'3FS'!$B:$B,'3FS'!AI:AI)</f>
        <v>0</v>
      </c>
      <c r="AK106" s="50">
        <f>AK107*AK$10</f>
        <v>730550.39201925963</v>
      </c>
      <c r="AL106" s="50">
        <f t="shared" ref="AL106:BD106" si="1316">AL107*AL$10</f>
        <v>798083.27610806737</v>
      </c>
      <c r="AM106" s="50">
        <f t="shared" si="1316"/>
        <v>1480261.7127151159</v>
      </c>
      <c r="AN106" s="50">
        <f t="shared" si="1316"/>
        <v>69696.863101436757</v>
      </c>
      <c r="AO106" s="50">
        <f t="shared" si="1316"/>
        <v>762379.95389428409</v>
      </c>
      <c r="AP106" s="50">
        <f t="shared" si="1316"/>
        <v>907963.99766409188</v>
      </c>
      <c r="AQ106" s="50">
        <f t="shared" si="1316"/>
        <v>1708153.0927754357</v>
      </c>
      <c r="AR106" s="50">
        <f t="shared" si="1316"/>
        <v>78708.646906372756</v>
      </c>
      <c r="AS106" s="50">
        <f t="shared" si="1316"/>
        <v>829898.86163391895</v>
      </c>
      <c r="AT106" s="50">
        <f t="shared" si="1316"/>
        <v>1039004.6539508201</v>
      </c>
      <c r="AU106" s="50">
        <f t="shared" si="1316"/>
        <v>1924873.0277655534</v>
      </c>
      <c r="AV106" s="50">
        <f t="shared" si="1316"/>
        <v>88106.927475444158</v>
      </c>
      <c r="AW106" s="50">
        <f t="shared" si="1316"/>
        <v>916311.09430219524</v>
      </c>
      <c r="AX106" s="50">
        <f t="shared" si="1316"/>
        <v>1235705.519157591</v>
      </c>
      <c r="AY106" s="50">
        <f t="shared" si="1316"/>
        <v>2261688.7536964356</v>
      </c>
      <c r="AZ106" s="50">
        <f t="shared" si="1316"/>
        <v>102906.98735893215</v>
      </c>
      <c r="BA106" s="50">
        <f t="shared" si="1316"/>
        <v>1052782.5847217406</v>
      </c>
      <c r="BB106" s="50">
        <f t="shared" si="1316"/>
        <v>1553919.3524193456</v>
      </c>
      <c r="BC106" s="50">
        <f t="shared" si="1316"/>
        <v>2818243.5950340587</v>
      </c>
      <c r="BD106" s="50">
        <f t="shared" si="1316"/>
        <v>126726.34271035812</v>
      </c>
    </row>
    <row r="107" spans="2:56" x14ac:dyDescent="0.2">
      <c r="B107" s="98" t="s">
        <v>293</v>
      </c>
      <c r="C107" s="45"/>
      <c r="D107" s="45"/>
      <c r="E107" s="46" t="s">
        <v>36</v>
      </c>
      <c r="F107" s="126">
        <f t="shared" ref="F107:O107" si="1317">F106/F$10</f>
        <v>1.2768250813673672E-2</v>
      </c>
      <c r="G107" s="126">
        <f t="shared" si="1317"/>
        <v>0.26959703312996525</v>
      </c>
      <c r="H107" s="126">
        <f t="shared" si="1317"/>
        <v>0.18531435797969556</v>
      </c>
      <c r="I107" s="126">
        <f t="shared" si="1317"/>
        <v>0</v>
      </c>
      <c r="J107" s="126">
        <f t="shared" si="1317"/>
        <v>0</v>
      </c>
      <c r="K107" s="126">
        <f t="shared" si="1317"/>
        <v>8.9809528599858572E-3</v>
      </c>
      <c r="L107" s="126">
        <f t="shared" si="1317"/>
        <v>9.0702585538826458E-3</v>
      </c>
      <c r="M107" s="126">
        <f t="shared" si="1317"/>
        <v>9.0599661286201623E-3</v>
      </c>
      <c r="N107" s="126">
        <f t="shared" si="1317"/>
        <v>9.1113184677338241E-3</v>
      </c>
      <c r="O107" s="126">
        <f t="shared" si="1317"/>
        <v>1.1868495240558856E-2</v>
      </c>
      <c r="P107" s="81"/>
      <c r="Q107" s="126">
        <f>Q106/Q$10</f>
        <v>5.6697195954499222E-2</v>
      </c>
      <c r="R107" s="126">
        <f t="shared" ref="R107:AJ107" si="1318">R106/R$10</f>
        <v>6.5078758075766102E-2</v>
      </c>
      <c r="S107" s="126">
        <f t="shared" si="1318"/>
        <v>7.0208429249612014E-2</v>
      </c>
      <c r="T107" s="126">
        <f t="shared" si="1318"/>
        <v>4.0063030751305906E-2</v>
      </c>
      <c r="U107" s="126">
        <f t="shared" si="1318"/>
        <v>0.15421763388647128</v>
      </c>
      <c r="V107" s="126">
        <f t="shared" si="1318"/>
        <v>0.44748585036959143</v>
      </c>
      <c r="W107" s="126">
        <f t="shared" si="1318"/>
        <v>0.62357560655826572</v>
      </c>
      <c r="X107" s="126">
        <f t="shared" si="1318"/>
        <v>1.3688412800345886</v>
      </c>
      <c r="Y107" s="126">
        <f t="shared" si="1318"/>
        <v>0.39202541263823104</v>
      </c>
      <c r="Z107" s="126">
        <f t="shared" si="1318"/>
        <v>0.44568879421283186</v>
      </c>
      <c r="AA107" s="126">
        <f t="shared" si="1318"/>
        <v>0.59452672113541838</v>
      </c>
      <c r="AB107" s="126">
        <f t="shared" si="1318"/>
        <v>0.60393271090748013</v>
      </c>
      <c r="AC107" s="126">
        <f t="shared" si="1318"/>
        <v>0.52557692190257521</v>
      </c>
      <c r="AD107" s="126">
        <f t="shared" si="1318"/>
        <v>0.72890976167678878</v>
      </c>
      <c r="AE107" s="126">
        <f t="shared" si="1318"/>
        <v>0.7230584644948983</v>
      </c>
      <c r="AF107" s="126">
        <f t="shared" si="1318"/>
        <v>0</v>
      </c>
      <c r="AG107" s="126">
        <f t="shared" si="1318"/>
        <v>1.0937715523068188</v>
      </c>
      <c r="AH107" s="126">
        <f t="shared" si="1318"/>
        <v>1.4385603069179433</v>
      </c>
      <c r="AI107" s="126">
        <f t="shared" si="1318"/>
        <v>1.9780889637837782</v>
      </c>
      <c r="AJ107" s="126">
        <f t="shared" si="1318"/>
        <v>0</v>
      </c>
      <c r="AK107" s="138">
        <f>MEDIAN(Q107,U107,Y107,AC107,AG107)</f>
        <v>0.39202541263823104</v>
      </c>
      <c r="AL107" s="138">
        <f t="shared" ref="AL107" si="1319">MEDIAN(R107,V107,Z107,AD107,AH107)</f>
        <v>0.44748585036959143</v>
      </c>
      <c r="AM107" s="138">
        <f t="shared" ref="AM107" si="1320">MEDIAN(S107,W107,AA107,AE107,AI107)</f>
        <v>0.62357560655826572</v>
      </c>
      <c r="AN107" s="138">
        <f t="shared" ref="AN107" si="1321">MEDIAN(T107,X107,AB107,AF107,AJ107)</f>
        <v>4.0063030751305906E-2</v>
      </c>
      <c r="AO107" s="138">
        <f>AK107</f>
        <v>0.39202541263823104</v>
      </c>
      <c r="AP107" s="138">
        <f t="shared" ref="AP107" si="1322">AL107</f>
        <v>0.44748585036959143</v>
      </c>
      <c r="AQ107" s="138">
        <f t="shared" ref="AQ107" si="1323">AM107</f>
        <v>0.62357560655826572</v>
      </c>
      <c r="AR107" s="138">
        <f t="shared" ref="AR107" si="1324">AN107</f>
        <v>4.0063030751305906E-2</v>
      </c>
      <c r="AS107" s="138">
        <f t="shared" ref="AS107" si="1325">AO107</f>
        <v>0.39202541263823104</v>
      </c>
      <c r="AT107" s="138">
        <f t="shared" ref="AT107" si="1326">AP107</f>
        <v>0.44748585036959143</v>
      </c>
      <c r="AU107" s="138">
        <f t="shared" ref="AU107" si="1327">AQ107</f>
        <v>0.62357560655826572</v>
      </c>
      <c r="AV107" s="138">
        <f t="shared" ref="AV107" si="1328">AR107</f>
        <v>4.0063030751305906E-2</v>
      </c>
      <c r="AW107" s="138">
        <f t="shared" ref="AW107" si="1329">AS107</f>
        <v>0.39202541263823104</v>
      </c>
      <c r="AX107" s="138">
        <f t="shared" ref="AX107" si="1330">AT107</f>
        <v>0.44748585036959143</v>
      </c>
      <c r="AY107" s="138">
        <f t="shared" ref="AY107" si="1331">AU107</f>
        <v>0.62357560655826572</v>
      </c>
      <c r="AZ107" s="138">
        <f t="shared" ref="AZ107" si="1332">AV107</f>
        <v>4.0063030751305906E-2</v>
      </c>
      <c r="BA107" s="138">
        <f t="shared" ref="BA107" si="1333">AW107</f>
        <v>0.39202541263823104</v>
      </c>
      <c r="BB107" s="138">
        <f t="shared" ref="BB107" si="1334">AX107</f>
        <v>0.44748585036959143</v>
      </c>
      <c r="BC107" s="138">
        <f t="shared" ref="BC107" si="1335">AY107</f>
        <v>0.62357560655826572</v>
      </c>
      <c r="BD107" s="138">
        <f t="shared" ref="BD107" si="1336">AZ107</f>
        <v>4.0063030751305906E-2</v>
      </c>
    </row>
    <row r="109" spans="2:56" x14ac:dyDescent="0.2">
      <c r="B109" s="1" t="s">
        <v>78</v>
      </c>
      <c r="E109" s="43" t="s">
        <v>33</v>
      </c>
      <c r="F109" s="50">
        <f>T109</f>
        <v>0</v>
      </c>
      <c r="G109" s="50">
        <f>X109</f>
        <v>0</v>
      </c>
      <c r="H109" s="50">
        <f>AB109</f>
        <v>45212</v>
      </c>
      <c r="I109" s="50">
        <f>AF109</f>
        <v>261052</v>
      </c>
      <c r="J109" s="50">
        <f>AJ109</f>
        <v>318849</v>
      </c>
      <c r="K109" s="50">
        <f>AN109</f>
        <v>82464.704867284396</v>
      </c>
      <c r="L109" s="50">
        <f>AR109</f>
        <v>93127.366839893322</v>
      </c>
      <c r="M109" s="50">
        <f>AV109</f>
        <v>104247.32832597103</v>
      </c>
      <c r="N109" s="50">
        <f>AZ109</f>
        <v>121758.62676896814</v>
      </c>
      <c r="O109" s="50">
        <f>BD109</f>
        <v>149941.4749170338</v>
      </c>
      <c r="Q109" s="143">
        <f>_xlfn.XLOOKUP('IS &amp; BS Projections'!$B109,'3FS'!$B:$B,'3FS'!P:P)</f>
        <v>0</v>
      </c>
      <c r="R109" s="143">
        <f>_xlfn.XLOOKUP('IS &amp; BS Projections'!$B109,'3FS'!$B:$B,'3FS'!Q:Q)</f>
        <v>0</v>
      </c>
      <c r="S109" s="143">
        <f>_xlfn.XLOOKUP('IS &amp; BS Projections'!$B109,'3FS'!$B:$B,'3FS'!R:R)</f>
        <v>0</v>
      </c>
      <c r="T109" s="143">
        <f>_xlfn.XLOOKUP('IS &amp; BS Projections'!$B109,'3FS'!$B:$B,'3FS'!S:S)</f>
        <v>0</v>
      </c>
      <c r="U109" s="143">
        <f>_xlfn.XLOOKUP('IS &amp; BS Projections'!$B109,'3FS'!$B:$B,'3FS'!T:T)</f>
        <v>0</v>
      </c>
      <c r="V109" s="143">
        <f>_xlfn.XLOOKUP('IS &amp; BS Projections'!$B109,'3FS'!$B:$B,'3FS'!U:U)</f>
        <v>0</v>
      </c>
      <c r="W109" s="143">
        <f>_xlfn.XLOOKUP('IS &amp; BS Projections'!$B109,'3FS'!$B:$B,'3FS'!V:V)</f>
        <v>0</v>
      </c>
      <c r="X109" s="143">
        <f>_xlfn.XLOOKUP('IS &amp; BS Projections'!$B109,'3FS'!$B:$B,'3FS'!W:W)</f>
        <v>0</v>
      </c>
      <c r="Y109" s="143">
        <f>_xlfn.XLOOKUP('IS &amp; BS Projections'!$B109,'3FS'!$B:$B,'3FS'!X:X)</f>
        <v>0</v>
      </c>
      <c r="Z109" s="143">
        <f>_xlfn.XLOOKUP('IS &amp; BS Projections'!$B109,'3FS'!$B:$B,'3FS'!Y:Y)</f>
        <v>0</v>
      </c>
      <c r="AA109" s="143">
        <f>_xlfn.XLOOKUP('IS &amp; BS Projections'!$B109,'3FS'!$B:$B,'3FS'!Z:Z)</f>
        <v>0</v>
      </c>
      <c r="AB109" s="143">
        <f>_xlfn.XLOOKUP('IS &amp; BS Projections'!$B109,'3FS'!$B:$B,'3FS'!AA:AA)</f>
        <v>45212</v>
      </c>
      <c r="AC109" s="143">
        <f>_xlfn.XLOOKUP('IS &amp; BS Projections'!$B109,'3FS'!$B:$B,'3FS'!AB:AB)</f>
        <v>231348</v>
      </c>
      <c r="AD109" s="143">
        <f>_xlfn.XLOOKUP('IS &amp; BS Projections'!$B109,'3FS'!$B:$B,'3FS'!AC:AC)</f>
        <v>223123</v>
      </c>
      <c r="AE109" s="143">
        <f>_xlfn.XLOOKUP('IS &amp; BS Projections'!$B109,'3FS'!$B:$B,'3FS'!AD:AD)</f>
        <v>252885</v>
      </c>
      <c r="AF109" s="143">
        <f>_xlfn.XLOOKUP('IS &amp; BS Projections'!$B109,'3FS'!$B:$B,'3FS'!AE:AE)</f>
        <v>261052</v>
      </c>
      <c r="AG109" s="143">
        <f>_xlfn.XLOOKUP('IS &amp; BS Projections'!$B109,'3FS'!$B:$B,'3FS'!AF:AF)</f>
        <v>235433</v>
      </c>
      <c r="AH109" s="143">
        <f>_xlfn.XLOOKUP('IS &amp; BS Projections'!$B109,'3FS'!$B:$B,'3FS'!AG:AG)</f>
        <v>223620</v>
      </c>
      <c r="AI109" s="143">
        <f>_xlfn.XLOOKUP('IS &amp; BS Projections'!$B109,'3FS'!$B:$B,'3FS'!AH:AH)</f>
        <v>346008</v>
      </c>
      <c r="AJ109" s="143">
        <f>_xlfn.XLOOKUP('IS &amp; BS Projections'!$B109,'3FS'!$B:$B,'3FS'!AI:AI)</f>
        <v>318849</v>
      </c>
      <c r="AK109" s="50">
        <f>AK110*AK$10</f>
        <v>0</v>
      </c>
      <c r="AL109" s="50">
        <f t="shared" ref="AL109:BD109" si="1337">AL110*AL$10</f>
        <v>0</v>
      </c>
      <c r="AM109" s="50">
        <f t="shared" si="1337"/>
        <v>0</v>
      </c>
      <c r="AN109" s="50">
        <f t="shared" si="1337"/>
        <v>82464.704867284396</v>
      </c>
      <c r="AO109" s="50">
        <f t="shared" si="1337"/>
        <v>0</v>
      </c>
      <c r="AP109" s="50">
        <f t="shared" si="1337"/>
        <v>0</v>
      </c>
      <c r="AQ109" s="50">
        <f t="shared" si="1337"/>
        <v>0</v>
      </c>
      <c r="AR109" s="50">
        <f t="shared" si="1337"/>
        <v>93127.366839893322</v>
      </c>
      <c r="AS109" s="50">
        <f t="shared" si="1337"/>
        <v>0</v>
      </c>
      <c r="AT109" s="50">
        <f t="shared" si="1337"/>
        <v>0</v>
      </c>
      <c r="AU109" s="50">
        <f t="shared" si="1337"/>
        <v>0</v>
      </c>
      <c r="AV109" s="50">
        <f t="shared" si="1337"/>
        <v>104247.32832597103</v>
      </c>
      <c r="AW109" s="50">
        <f t="shared" si="1337"/>
        <v>0</v>
      </c>
      <c r="AX109" s="50">
        <f t="shared" si="1337"/>
        <v>0</v>
      </c>
      <c r="AY109" s="50">
        <f t="shared" si="1337"/>
        <v>0</v>
      </c>
      <c r="AZ109" s="50">
        <f t="shared" si="1337"/>
        <v>121758.62676896814</v>
      </c>
      <c r="BA109" s="50">
        <f t="shared" si="1337"/>
        <v>0</v>
      </c>
      <c r="BB109" s="50">
        <f t="shared" si="1337"/>
        <v>0</v>
      </c>
      <c r="BC109" s="50">
        <f t="shared" si="1337"/>
        <v>0</v>
      </c>
      <c r="BD109" s="50">
        <f t="shared" si="1337"/>
        <v>149941.4749170338</v>
      </c>
    </row>
    <row r="110" spans="2:56" x14ac:dyDescent="0.2">
      <c r="B110" s="98" t="s">
        <v>293</v>
      </c>
      <c r="C110" s="45"/>
      <c r="D110" s="45"/>
      <c r="E110" s="46" t="s">
        <v>36</v>
      </c>
      <c r="F110" s="126">
        <f t="shared" ref="F110:O110" si="1338">F109/F$10</f>
        <v>0</v>
      </c>
      <c r="G110" s="126">
        <f t="shared" si="1338"/>
        <v>0</v>
      </c>
      <c r="H110" s="126">
        <f t="shared" si="1338"/>
        <v>1.4545183138628669E-2</v>
      </c>
      <c r="I110" s="126">
        <f t="shared" si="1338"/>
        <v>3.9770092388393227E-2</v>
      </c>
      <c r="J110" s="126">
        <f t="shared" si="1338"/>
        <v>5.904396803375285E-2</v>
      </c>
      <c r="K110" s="126">
        <f t="shared" si="1338"/>
        <v>1.0626183074377994E-2</v>
      </c>
      <c r="L110" s="126">
        <f t="shared" si="1338"/>
        <v>1.073184877240874E-2</v>
      </c>
      <c r="M110" s="126">
        <f t="shared" si="1338"/>
        <v>1.0719670866921029E-2</v>
      </c>
      <c r="N110" s="126">
        <f t="shared" si="1338"/>
        <v>1.0780430495128248E-2</v>
      </c>
      <c r="O110" s="126">
        <f t="shared" si="1338"/>
        <v>1.4042697385203832E-2</v>
      </c>
      <c r="P110" s="81"/>
      <c r="Q110" s="126">
        <f>Q109/Q$10</f>
        <v>0</v>
      </c>
      <c r="R110" s="126">
        <f t="shared" ref="R110:AJ110" si="1339">R109/R$10</f>
        <v>0</v>
      </c>
      <c r="S110" s="126">
        <f t="shared" si="1339"/>
        <v>0</v>
      </c>
      <c r="T110" s="126">
        <f t="shared" si="1339"/>
        <v>0</v>
      </c>
      <c r="U110" s="126">
        <f t="shared" si="1339"/>
        <v>0</v>
      </c>
      <c r="V110" s="126">
        <f t="shared" si="1339"/>
        <v>0</v>
      </c>
      <c r="W110" s="126">
        <f t="shared" si="1339"/>
        <v>0</v>
      </c>
      <c r="X110" s="126">
        <f t="shared" si="1339"/>
        <v>0</v>
      </c>
      <c r="Y110" s="126">
        <f t="shared" si="1339"/>
        <v>0</v>
      </c>
      <c r="Z110" s="126">
        <f t="shared" si="1339"/>
        <v>0</v>
      </c>
      <c r="AA110" s="126">
        <f t="shared" si="1339"/>
        <v>0</v>
      </c>
      <c r="AB110" s="126">
        <f t="shared" si="1339"/>
        <v>4.7402219554516435E-2</v>
      </c>
      <c r="AC110" s="126">
        <f t="shared" si="1339"/>
        <v>0.1412751821296189</v>
      </c>
      <c r="AD110" s="126">
        <f t="shared" si="1339"/>
        <v>0.15391741881365426</v>
      </c>
      <c r="AE110" s="126">
        <f t="shared" si="1339"/>
        <v>0.20982946299887237</v>
      </c>
      <c r="AF110" s="126">
        <f t="shared" si="1339"/>
        <v>0.1149180084670218</v>
      </c>
      <c r="AG110" s="126">
        <f t="shared" si="1339"/>
        <v>0.11573198577394134</v>
      </c>
      <c r="AH110" s="126">
        <f t="shared" si="1339"/>
        <v>0.14935800503336877</v>
      </c>
      <c r="AI110" s="126">
        <f t="shared" si="1339"/>
        <v>0.18516043031145299</v>
      </c>
      <c r="AJ110" s="126">
        <f t="shared" si="1339"/>
        <v>0.17901510783329</v>
      </c>
      <c r="AK110" s="138">
        <f>MEDIAN(Q110,U110,Y110,AC110,AG110)</f>
        <v>0</v>
      </c>
      <c r="AL110" s="138">
        <f t="shared" ref="AL110" si="1340">MEDIAN(R110,V110,Z110,AD110,AH110)</f>
        <v>0</v>
      </c>
      <c r="AM110" s="138">
        <f t="shared" ref="AM110" si="1341">MEDIAN(S110,W110,AA110,AE110,AI110)</f>
        <v>0</v>
      </c>
      <c r="AN110" s="138">
        <f t="shared" ref="AN110" si="1342">MEDIAN(T110,X110,AB110,AF110,AJ110)</f>
        <v>4.7402219554516435E-2</v>
      </c>
      <c r="AO110" s="138">
        <f>AK110</f>
        <v>0</v>
      </c>
      <c r="AP110" s="138">
        <f t="shared" ref="AP110" si="1343">AL110</f>
        <v>0</v>
      </c>
      <c r="AQ110" s="138">
        <f t="shared" ref="AQ110" si="1344">AM110</f>
        <v>0</v>
      </c>
      <c r="AR110" s="138">
        <f t="shared" ref="AR110" si="1345">AN110</f>
        <v>4.7402219554516435E-2</v>
      </c>
      <c r="AS110" s="138">
        <f t="shared" ref="AS110" si="1346">AO110</f>
        <v>0</v>
      </c>
      <c r="AT110" s="138">
        <f t="shared" ref="AT110" si="1347">AP110</f>
        <v>0</v>
      </c>
      <c r="AU110" s="138">
        <f t="shared" ref="AU110" si="1348">AQ110</f>
        <v>0</v>
      </c>
      <c r="AV110" s="138">
        <f t="shared" ref="AV110" si="1349">AR110</f>
        <v>4.7402219554516435E-2</v>
      </c>
      <c r="AW110" s="138">
        <f t="shared" ref="AW110" si="1350">AS110</f>
        <v>0</v>
      </c>
      <c r="AX110" s="138">
        <f t="shared" ref="AX110" si="1351">AT110</f>
        <v>0</v>
      </c>
      <c r="AY110" s="138">
        <f t="shared" ref="AY110" si="1352">AU110</f>
        <v>0</v>
      </c>
      <c r="AZ110" s="138">
        <f t="shared" ref="AZ110" si="1353">AV110</f>
        <v>4.7402219554516435E-2</v>
      </c>
      <c r="BA110" s="138">
        <f t="shared" ref="BA110" si="1354">AW110</f>
        <v>0</v>
      </c>
      <c r="BB110" s="138">
        <f t="shared" ref="BB110" si="1355">AX110</f>
        <v>0</v>
      </c>
      <c r="BC110" s="138">
        <f t="shared" ref="BC110" si="1356">AY110</f>
        <v>0</v>
      </c>
      <c r="BD110" s="138">
        <f t="shared" ref="BD110" si="1357">AZ110</f>
        <v>4.7402219554516435E-2</v>
      </c>
    </row>
    <row r="112" spans="2:56" x14ac:dyDescent="0.2">
      <c r="B112" s="1" t="s">
        <v>79</v>
      </c>
      <c r="E112" s="43" t="s">
        <v>33</v>
      </c>
      <c r="F112" s="50">
        <f>T112</f>
        <v>0</v>
      </c>
      <c r="G112" s="50">
        <f>X112</f>
        <v>0</v>
      </c>
      <c r="H112" s="50">
        <f>AB112</f>
        <v>0</v>
      </c>
      <c r="I112" s="50">
        <f>AF112</f>
        <v>0</v>
      </c>
      <c r="J112" s="50">
        <f>AJ112</f>
        <v>0</v>
      </c>
      <c r="K112" s="50">
        <f>AN112</f>
        <v>0</v>
      </c>
      <c r="L112" s="50">
        <f>AR112</f>
        <v>0</v>
      </c>
      <c r="M112" s="50">
        <f>AV112</f>
        <v>0</v>
      </c>
      <c r="N112" s="50">
        <f>AZ112</f>
        <v>0</v>
      </c>
      <c r="O112" s="50">
        <f>BD112</f>
        <v>0</v>
      </c>
      <c r="Q112" s="143">
        <f>_xlfn.XLOOKUP('IS &amp; BS Projections'!$B112,'3FS'!$B:$B,'3FS'!P:P)</f>
        <v>0</v>
      </c>
      <c r="R112" s="143">
        <f>_xlfn.XLOOKUP('IS &amp; BS Projections'!$B112,'3FS'!$B:$B,'3FS'!Q:Q)</f>
        <v>0</v>
      </c>
      <c r="S112" s="143">
        <f>_xlfn.XLOOKUP('IS &amp; BS Projections'!$B112,'3FS'!$B:$B,'3FS'!R:R)</f>
        <v>0</v>
      </c>
      <c r="T112" s="143">
        <f>_xlfn.XLOOKUP('IS &amp; BS Projections'!$B112,'3FS'!$B:$B,'3FS'!S:S)</f>
        <v>0</v>
      </c>
      <c r="U112" s="143">
        <f>_xlfn.XLOOKUP('IS &amp; BS Projections'!$B112,'3FS'!$B:$B,'3FS'!T:T)</f>
        <v>0</v>
      </c>
      <c r="V112" s="143">
        <f>_xlfn.XLOOKUP('IS &amp; BS Projections'!$B112,'3FS'!$B:$B,'3FS'!U:U)</f>
        <v>88453873</v>
      </c>
      <c r="W112" s="143">
        <f>_xlfn.XLOOKUP('IS &amp; BS Projections'!$B112,'3FS'!$B:$B,'3FS'!V:V)</f>
        <v>95113124</v>
      </c>
      <c r="X112" s="143">
        <f>_xlfn.XLOOKUP('IS &amp; BS Projections'!$B112,'3FS'!$B:$B,'3FS'!W:W)</f>
        <v>0</v>
      </c>
      <c r="Y112" s="143">
        <f>_xlfn.XLOOKUP('IS &amp; BS Projections'!$B112,'3FS'!$B:$B,'3FS'!X:X)</f>
        <v>124357889</v>
      </c>
      <c r="Z112" s="143">
        <f>_xlfn.XLOOKUP('IS &amp; BS Projections'!$B112,'3FS'!$B:$B,'3FS'!Y:Y)</f>
        <v>124243587</v>
      </c>
      <c r="AA112" s="143">
        <f>_xlfn.XLOOKUP('IS &amp; BS Projections'!$B112,'3FS'!$B:$B,'3FS'!Z:Z)</f>
        <v>0</v>
      </c>
      <c r="AB112" s="143">
        <f>_xlfn.XLOOKUP('IS &amp; BS Projections'!$B112,'3FS'!$B:$B,'3FS'!AA:AA)</f>
        <v>0</v>
      </c>
      <c r="AC112" s="143">
        <f>_xlfn.XLOOKUP('IS &amp; BS Projections'!$B112,'3FS'!$B:$B,'3FS'!AB:AB)</f>
        <v>0</v>
      </c>
      <c r="AD112" s="143">
        <f>_xlfn.XLOOKUP('IS &amp; BS Projections'!$B112,'3FS'!$B:$B,'3FS'!AC:AC)</f>
        <v>0</v>
      </c>
      <c r="AE112" s="143">
        <f>_xlfn.XLOOKUP('IS &amp; BS Projections'!$B112,'3FS'!$B:$B,'3FS'!AD:AD)</f>
        <v>0</v>
      </c>
      <c r="AF112" s="143">
        <f>_xlfn.XLOOKUP('IS &amp; BS Projections'!$B112,'3FS'!$B:$B,'3FS'!AE:AE)</f>
        <v>0</v>
      </c>
      <c r="AG112" s="143">
        <f>_xlfn.XLOOKUP('IS &amp; BS Projections'!$B112,'3FS'!$B:$B,'3FS'!AF:AF)</f>
        <v>0</v>
      </c>
      <c r="AH112" s="143">
        <f>_xlfn.XLOOKUP('IS &amp; BS Projections'!$B112,'3FS'!$B:$B,'3FS'!AG:AG)</f>
        <v>0</v>
      </c>
      <c r="AI112" s="143">
        <f>_xlfn.XLOOKUP('IS &amp; BS Projections'!$B112,'3FS'!$B:$B,'3FS'!AH:AH)</f>
        <v>0</v>
      </c>
      <c r="AJ112" s="143">
        <f>_xlfn.XLOOKUP('IS &amp; BS Projections'!$B112,'3FS'!$B:$B,'3FS'!AI:AI)</f>
        <v>0</v>
      </c>
      <c r="AK112" s="50">
        <f>AK113*AK$10</f>
        <v>0</v>
      </c>
      <c r="AL112" s="50">
        <f t="shared" ref="AL112:BD112" si="1358">AL113*AL$10</f>
        <v>0</v>
      </c>
      <c r="AM112" s="50">
        <f t="shared" si="1358"/>
        <v>0</v>
      </c>
      <c r="AN112" s="50">
        <f t="shared" si="1358"/>
        <v>0</v>
      </c>
      <c r="AO112" s="50">
        <f t="shared" si="1358"/>
        <v>0</v>
      </c>
      <c r="AP112" s="50">
        <f t="shared" si="1358"/>
        <v>0</v>
      </c>
      <c r="AQ112" s="50">
        <f t="shared" si="1358"/>
        <v>0</v>
      </c>
      <c r="AR112" s="50">
        <f t="shared" si="1358"/>
        <v>0</v>
      </c>
      <c r="AS112" s="50">
        <f t="shared" si="1358"/>
        <v>0</v>
      </c>
      <c r="AT112" s="50">
        <f t="shared" si="1358"/>
        <v>0</v>
      </c>
      <c r="AU112" s="50">
        <f t="shared" si="1358"/>
        <v>0</v>
      </c>
      <c r="AV112" s="50">
        <f t="shared" si="1358"/>
        <v>0</v>
      </c>
      <c r="AW112" s="50">
        <f t="shared" si="1358"/>
        <v>0</v>
      </c>
      <c r="AX112" s="50">
        <f t="shared" si="1358"/>
        <v>0</v>
      </c>
      <c r="AY112" s="50">
        <f t="shared" si="1358"/>
        <v>0</v>
      </c>
      <c r="AZ112" s="50">
        <f t="shared" si="1358"/>
        <v>0</v>
      </c>
      <c r="BA112" s="50">
        <f t="shared" si="1358"/>
        <v>0</v>
      </c>
      <c r="BB112" s="50">
        <f t="shared" si="1358"/>
        <v>0</v>
      </c>
      <c r="BC112" s="50">
        <f t="shared" si="1358"/>
        <v>0</v>
      </c>
      <c r="BD112" s="50">
        <f t="shared" si="1358"/>
        <v>0</v>
      </c>
    </row>
    <row r="113" spans="2:56" x14ac:dyDescent="0.2">
      <c r="B113" s="98" t="s">
        <v>293</v>
      </c>
      <c r="C113" s="45"/>
      <c r="D113" s="45"/>
      <c r="E113" s="46" t="s">
        <v>36</v>
      </c>
      <c r="F113" s="126">
        <f t="shared" ref="F113:O113" si="1359">F112/F$10</f>
        <v>0</v>
      </c>
      <c r="G113" s="126">
        <f t="shared" si="1359"/>
        <v>0</v>
      </c>
      <c r="H113" s="126">
        <f t="shared" si="1359"/>
        <v>0</v>
      </c>
      <c r="I113" s="126">
        <f t="shared" si="1359"/>
        <v>0</v>
      </c>
      <c r="J113" s="126">
        <f t="shared" si="1359"/>
        <v>0</v>
      </c>
      <c r="K113" s="126">
        <f t="shared" si="1359"/>
        <v>0</v>
      </c>
      <c r="L113" s="126">
        <f t="shared" si="1359"/>
        <v>0</v>
      </c>
      <c r="M113" s="126">
        <f t="shared" si="1359"/>
        <v>0</v>
      </c>
      <c r="N113" s="126">
        <f t="shared" si="1359"/>
        <v>0</v>
      </c>
      <c r="O113" s="126">
        <f t="shared" si="1359"/>
        <v>0</v>
      </c>
      <c r="P113" s="81"/>
      <c r="Q113" s="126">
        <f>Q112/Q$10</f>
        <v>0</v>
      </c>
      <c r="R113" s="126">
        <f t="shared" ref="R113:AJ113" si="1360">R112/R$10</f>
        <v>0</v>
      </c>
      <c r="S113" s="126">
        <f t="shared" si="1360"/>
        <v>0</v>
      </c>
      <c r="T113" s="126">
        <f t="shared" si="1360"/>
        <v>0</v>
      </c>
      <c r="U113" s="126">
        <f t="shared" si="1360"/>
        <v>0</v>
      </c>
      <c r="V113" s="126">
        <f t="shared" si="1360"/>
        <v>109.42859988247301</v>
      </c>
      <c r="W113" s="126">
        <f t="shared" si="1360"/>
        <v>161.11611125133186</v>
      </c>
      <c r="X113" s="126">
        <f t="shared" si="1360"/>
        <v>0</v>
      </c>
      <c r="Y113" s="126">
        <f t="shared" si="1360"/>
        <v>160.97504300809419</v>
      </c>
      <c r="Z113" s="126">
        <f t="shared" si="1360"/>
        <v>175.50735473809561</v>
      </c>
      <c r="AA113" s="126">
        <f t="shared" si="1360"/>
        <v>0</v>
      </c>
      <c r="AB113" s="126">
        <f t="shared" si="1360"/>
        <v>0</v>
      </c>
      <c r="AC113" s="126">
        <f t="shared" si="1360"/>
        <v>0</v>
      </c>
      <c r="AD113" s="126">
        <f t="shared" si="1360"/>
        <v>0</v>
      </c>
      <c r="AE113" s="126">
        <f t="shared" si="1360"/>
        <v>0</v>
      </c>
      <c r="AF113" s="126">
        <f t="shared" si="1360"/>
        <v>0</v>
      </c>
      <c r="AG113" s="126">
        <f t="shared" si="1360"/>
        <v>0</v>
      </c>
      <c r="AH113" s="126">
        <f t="shared" si="1360"/>
        <v>0</v>
      </c>
      <c r="AI113" s="126">
        <f t="shared" si="1360"/>
        <v>0</v>
      </c>
      <c r="AJ113" s="126">
        <f t="shared" si="1360"/>
        <v>0</v>
      </c>
      <c r="AK113" s="138">
        <f>MEDIAN(Q113,U113,Y113,AC113,AG113)</f>
        <v>0</v>
      </c>
      <c r="AL113" s="138">
        <f t="shared" ref="AL113" si="1361">MEDIAN(R113,V113,Z113,AD113,AH113)</f>
        <v>0</v>
      </c>
      <c r="AM113" s="138">
        <f t="shared" ref="AM113" si="1362">MEDIAN(S113,W113,AA113,AE113,AI113)</f>
        <v>0</v>
      </c>
      <c r="AN113" s="138">
        <f t="shared" ref="AN113" si="1363">MEDIAN(T113,X113,AB113,AF113,AJ113)</f>
        <v>0</v>
      </c>
      <c r="AO113" s="138">
        <f>AK113</f>
        <v>0</v>
      </c>
      <c r="AP113" s="138">
        <f t="shared" ref="AP113" si="1364">AL113</f>
        <v>0</v>
      </c>
      <c r="AQ113" s="138">
        <f t="shared" ref="AQ113" si="1365">AM113</f>
        <v>0</v>
      </c>
      <c r="AR113" s="138">
        <f t="shared" ref="AR113" si="1366">AN113</f>
        <v>0</v>
      </c>
      <c r="AS113" s="138">
        <f t="shared" ref="AS113" si="1367">AO113</f>
        <v>0</v>
      </c>
      <c r="AT113" s="138">
        <f t="shared" ref="AT113" si="1368">AP113</f>
        <v>0</v>
      </c>
      <c r="AU113" s="138">
        <f t="shared" ref="AU113" si="1369">AQ113</f>
        <v>0</v>
      </c>
      <c r="AV113" s="138">
        <f t="shared" ref="AV113" si="1370">AR113</f>
        <v>0</v>
      </c>
      <c r="AW113" s="138">
        <f t="shared" ref="AW113" si="1371">AS113</f>
        <v>0</v>
      </c>
      <c r="AX113" s="138">
        <f t="shared" ref="AX113" si="1372">AT113</f>
        <v>0</v>
      </c>
      <c r="AY113" s="138">
        <f t="shared" ref="AY113" si="1373">AU113</f>
        <v>0</v>
      </c>
      <c r="AZ113" s="138">
        <f t="shared" ref="AZ113" si="1374">AV113</f>
        <v>0</v>
      </c>
      <c r="BA113" s="138">
        <f t="shared" ref="BA113" si="1375">AW113</f>
        <v>0</v>
      </c>
      <c r="BB113" s="138">
        <f t="shared" ref="BB113" si="1376">AX113</f>
        <v>0</v>
      </c>
      <c r="BC113" s="138">
        <f t="shared" ref="BC113" si="1377">AY113</f>
        <v>0</v>
      </c>
      <c r="BD113" s="138">
        <f t="shared" ref="BD113" si="1378">AZ113</f>
        <v>0</v>
      </c>
    </row>
    <row r="115" spans="2:56" x14ac:dyDescent="0.2">
      <c r="B115" s="1" t="s">
        <v>80</v>
      </c>
      <c r="E115" s="43" t="s">
        <v>33</v>
      </c>
      <c r="F115" s="50">
        <f>T115</f>
        <v>0</v>
      </c>
      <c r="G115" s="50">
        <f>X115</f>
        <v>0</v>
      </c>
      <c r="H115" s="50">
        <f>AB115</f>
        <v>0</v>
      </c>
      <c r="I115" s="50">
        <f>AF115</f>
        <v>0</v>
      </c>
      <c r="J115" s="50">
        <f>AJ115</f>
        <v>0</v>
      </c>
      <c r="K115" s="50">
        <f>AN115</f>
        <v>0</v>
      </c>
      <c r="L115" s="50">
        <f>AR115</f>
        <v>0</v>
      </c>
      <c r="M115" s="50">
        <f>AV115</f>
        <v>0</v>
      </c>
      <c r="N115" s="50">
        <f>AZ115</f>
        <v>0</v>
      </c>
      <c r="O115" s="50">
        <f>BD115</f>
        <v>0</v>
      </c>
      <c r="Q115" s="143">
        <f>_xlfn.XLOOKUP('IS &amp; BS Projections'!$B115,'3FS'!$B:$B,'3FS'!P:P)</f>
        <v>0</v>
      </c>
      <c r="R115" s="143">
        <f>_xlfn.XLOOKUP('IS &amp; BS Projections'!$B115,'3FS'!$B:$B,'3FS'!Q:Q)</f>
        <v>0</v>
      </c>
      <c r="S115" s="143">
        <f>_xlfn.XLOOKUP('IS &amp; BS Projections'!$B115,'3FS'!$B:$B,'3FS'!R:R)</f>
        <v>0</v>
      </c>
      <c r="T115" s="143">
        <f>_xlfn.XLOOKUP('IS &amp; BS Projections'!$B115,'3FS'!$B:$B,'3FS'!S:S)</f>
        <v>0</v>
      </c>
      <c r="U115" s="143">
        <f>_xlfn.XLOOKUP('IS &amp; BS Projections'!$B115,'3FS'!$B:$B,'3FS'!T:T)</f>
        <v>0</v>
      </c>
      <c r="V115" s="143">
        <f>_xlfn.XLOOKUP('IS &amp; BS Projections'!$B115,'3FS'!$B:$B,'3FS'!U:U)</f>
        <v>7181148</v>
      </c>
      <c r="W115" s="143">
        <f>_xlfn.XLOOKUP('IS &amp; BS Projections'!$B115,'3FS'!$B:$B,'3FS'!V:V)</f>
        <v>6591105</v>
      </c>
      <c r="X115" s="143">
        <f>_xlfn.XLOOKUP('IS &amp; BS Projections'!$B115,'3FS'!$B:$B,'3FS'!W:W)</f>
        <v>0</v>
      </c>
      <c r="Y115" s="143">
        <f>_xlfn.XLOOKUP('IS &amp; BS Projections'!$B115,'3FS'!$B:$B,'3FS'!X:X)</f>
        <v>0</v>
      </c>
      <c r="Z115" s="143">
        <f>_xlfn.XLOOKUP('IS &amp; BS Projections'!$B115,'3FS'!$B:$B,'3FS'!Y:Y)</f>
        <v>0</v>
      </c>
      <c r="AA115" s="143">
        <f>_xlfn.XLOOKUP('IS &amp; BS Projections'!$B115,'3FS'!$B:$B,'3FS'!Z:Z)</f>
        <v>0</v>
      </c>
      <c r="AB115" s="143">
        <f>_xlfn.XLOOKUP('IS &amp; BS Projections'!$B115,'3FS'!$B:$B,'3FS'!AA:AA)</f>
        <v>0</v>
      </c>
      <c r="AC115" s="143">
        <f>_xlfn.XLOOKUP('IS &amp; BS Projections'!$B115,'3FS'!$B:$B,'3FS'!AB:AB)</f>
        <v>0</v>
      </c>
      <c r="AD115" s="143">
        <f>_xlfn.XLOOKUP('IS &amp; BS Projections'!$B115,'3FS'!$B:$B,'3FS'!AC:AC)</f>
        <v>0</v>
      </c>
      <c r="AE115" s="143">
        <f>_xlfn.XLOOKUP('IS &amp; BS Projections'!$B115,'3FS'!$B:$B,'3FS'!AD:AD)</f>
        <v>0</v>
      </c>
      <c r="AF115" s="143">
        <f>_xlfn.XLOOKUP('IS &amp; BS Projections'!$B115,'3FS'!$B:$B,'3FS'!AE:AE)</f>
        <v>0</v>
      </c>
      <c r="AG115" s="143">
        <f>_xlfn.XLOOKUP('IS &amp; BS Projections'!$B115,'3FS'!$B:$B,'3FS'!AF:AF)</f>
        <v>0</v>
      </c>
      <c r="AH115" s="143">
        <f>_xlfn.XLOOKUP('IS &amp; BS Projections'!$B115,'3FS'!$B:$B,'3FS'!AG:AG)</f>
        <v>0</v>
      </c>
      <c r="AI115" s="143">
        <f>_xlfn.XLOOKUP('IS &amp; BS Projections'!$B115,'3FS'!$B:$B,'3FS'!AH:AH)</f>
        <v>0</v>
      </c>
      <c r="AJ115" s="143">
        <f>_xlfn.XLOOKUP('IS &amp; BS Projections'!$B115,'3FS'!$B:$B,'3FS'!AI:AI)</f>
        <v>0</v>
      </c>
      <c r="AK115" s="50">
        <f>AK116*AK$10</f>
        <v>0</v>
      </c>
      <c r="AL115" s="50">
        <f t="shared" ref="AL115:BD115" si="1379">AL116*AL$10</f>
        <v>0</v>
      </c>
      <c r="AM115" s="50">
        <f t="shared" si="1379"/>
        <v>0</v>
      </c>
      <c r="AN115" s="50">
        <f t="shared" si="1379"/>
        <v>0</v>
      </c>
      <c r="AO115" s="50">
        <f t="shared" si="1379"/>
        <v>0</v>
      </c>
      <c r="AP115" s="50">
        <f t="shared" si="1379"/>
        <v>0</v>
      </c>
      <c r="AQ115" s="50">
        <f t="shared" si="1379"/>
        <v>0</v>
      </c>
      <c r="AR115" s="50">
        <f t="shared" si="1379"/>
        <v>0</v>
      </c>
      <c r="AS115" s="50">
        <f t="shared" si="1379"/>
        <v>0</v>
      </c>
      <c r="AT115" s="50">
        <f t="shared" si="1379"/>
        <v>0</v>
      </c>
      <c r="AU115" s="50">
        <f t="shared" si="1379"/>
        <v>0</v>
      </c>
      <c r="AV115" s="50">
        <f t="shared" si="1379"/>
        <v>0</v>
      </c>
      <c r="AW115" s="50">
        <f t="shared" si="1379"/>
        <v>0</v>
      </c>
      <c r="AX115" s="50">
        <f t="shared" si="1379"/>
        <v>0</v>
      </c>
      <c r="AY115" s="50">
        <f t="shared" si="1379"/>
        <v>0</v>
      </c>
      <c r="AZ115" s="50">
        <f t="shared" si="1379"/>
        <v>0</v>
      </c>
      <c r="BA115" s="50">
        <f t="shared" si="1379"/>
        <v>0</v>
      </c>
      <c r="BB115" s="50">
        <f t="shared" si="1379"/>
        <v>0</v>
      </c>
      <c r="BC115" s="50">
        <f t="shared" si="1379"/>
        <v>0</v>
      </c>
      <c r="BD115" s="50">
        <f t="shared" si="1379"/>
        <v>0</v>
      </c>
    </row>
    <row r="116" spans="2:56" x14ac:dyDescent="0.2">
      <c r="B116" s="98" t="s">
        <v>293</v>
      </c>
      <c r="C116" s="45"/>
      <c r="D116" s="45"/>
      <c r="E116" s="46" t="s">
        <v>36</v>
      </c>
      <c r="F116" s="126">
        <f t="shared" ref="F116:O116" si="1380">F115/F$10</f>
        <v>0</v>
      </c>
      <c r="G116" s="126">
        <f t="shared" si="1380"/>
        <v>0</v>
      </c>
      <c r="H116" s="126">
        <f t="shared" si="1380"/>
        <v>0</v>
      </c>
      <c r="I116" s="126">
        <f t="shared" si="1380"/>
        <v>0</v>
      </c>
      <c r="J116" s="126">
        <f t="shared" si="1380"/>
        <v>0</v>
      </c>
      <c r="K116" s="126">
        <f t="shared" si="1380"/>
        <v>0</v>
      </c>
      <c r="L116" s="126">
        <f t="shared" si="1380"/>
        <v>0</v>
      </c>
      <c r="M116" s="126">
        <f t="shared" si="1380"/>
        <v>0</v>
      </c>
      <c r="N116" s="126">
        <f t="shared" si="1380"/>
        <v>0</v>
      </c>
      <c r="O116" s="126">
        <f t="shared" si="1380"/>
        <v>0</v>
      </c>
      <c r="P116" s="81"/>
      <c r="Q116" s="126">
        <f>Q115/Q$10</f>
        <v>0</v>
      </c>
      <c r="R116" s="126">
        <f t="shared" ref="R116:AJ116" si="1381">R115/R$10</f>
        <v>0</v>
      </c>
      <c r="S116" s="126">
        <f t="shared" si="1381"/>
        <v>0</v>
      </c>
      <c r="T116" s="126">
        <f t="shared" si="1381"/>
        <v>0</v>
      </c>
      <c r="U116" s="126">
        <f t="shared" si="1381"/>
        <v>0</v>
      </c>
      <c r="V116" s="126">
        <f t="shared" si="1381"/>
        <v>8.8839860204744383</v>
      </c>
      <c r="W116" s="126">
        <f t="shared" si="1381"/>
        <v>11.164949291847565</v>
      </c>
      <c r="X116" s="126">
        <f t="shared" si="1381"/>
        <v>0</v>
      </c>
      <c r="Y116" s="126">
        <f t="shared" si="1381"/>
        <v>0</v>
      </c>
      <c r="Z116" s="126">
        <f t="shared" si="1381"/>
        <v>0</v>
      </c>
      <c r="AA116" s="126">
        <f t="shared" si="1381"/>
        <v>0</v>
      </c>
      <c r="AB116" s="126">
        <f t="shared" si="1381"/>
        <v>0</v>
      </c>
      <c r="AC116" s="126">
        <f t="shared" si="1381"/>
        <v>0</v>
      </c>
      <c r="AD116" s="126">
        <f t="shared" si="1381"/>
        <v>0</v>
      </c>
      <c r="AE116" s="126">
        <f t="shared" si="1381"/>
        <v>0</v>
      </c>
      <c r="AF116" s="126">
        <f t="shared" si="1381"/>
        <v>0</v>
      </c>
      <c r="AG116" s="126">
        <f t="shared" si="1381"/>
        <v>0</v>
      </c>
      <c r="AH116" s="126">
        <f t="shared" si="1381"/>
        <v>0</v>
      </c>
      <c r="AI116" s="126">
        <f t="shared" si="1381"/>
        <v>0</v>
      </c>
      <c r="AJ116" s="126">
        <f t="shared" si="1381"/>
        <v>0</v>
      </c>
      <c r="AK116" s="138">
        <f>MEDIAN(Q116,U116,Y116,AC116,AG116)</f>
        <v>0</v>
      </c>
      <c r="AL116" s="138">
        <f t="shared" ref="AL116" si="1382">MEDIAN(R116,V116,Z116,AD116,AH116)</f>
        <v>0</v>
      </c>
      <c r="AM116" s="138">
        <f t="shared" ref="AM116" si="1383">MEDIAN(S116,W116,AA116,AE116,AI116)</f>
        <v>0</v>
      </c>
      <c r="AN116" s="138">
        <f t="shared" ref="AN116" si="1384">MEDIAN(T116,X116,AB116,AF116,AJ116)</f>
        <v>0</v>
      </c>
      <c r="AO116" s="138">
        <f>AK116</f>
        <v>0</v>
      </c>
      <c r="AP116" s="138">
        <f t="shared" ref="AP116" si="1385">AL116</f>
        <v>0</v>
      </c>
      <c r="AQ116" s="138">
        <f t="shared" ref="AQ116" si="1386">AM116</f>
        <v>0</v>
      </c>
      <c r="AR116" s="138">
        <f t="shared" ref="AR116" si="1387">AN116</f>
        <v>0</v>
      </c>
      <c r="AS116" s="138">
        <f t="shared" ref="AS116" si="1388">AO116</f>
        <v>0</v>
      </c>
      <c r="AT116" s="138">
        <f t="shared" ref="AT116" si="1389">AP116</f>
        <v>0</v>
      </c>
      <c r="AU116" s="138">
        <f t="shared" ref="AU116" si="1390">AQ116</f>
        <v>0</v>
      </c>
      <c r="AV116" s="138">
        <f t="shared" ref="AV116" si="1391">AR116</f>
        <v>0</v>
      </c>
      <c r="AW116" s="138">
        <f t="shared" ref="AW116" si="1392">AS116</f>
        <v>0</v>
      </c>
      <c r="AX116" s="138">
        <f t="shared" ref="AX116" si="1393">AT116</f>
        <v>0</v>
      </c>
      <c r="AY116" s="138">
        <f t="shared" ref="AY116" si="1394">AU116</f>
        <v>0</v>
      </c>
      <c r="AZ116" s="138">
        <f t="shared" ref="AZ116" si="1395">AV116</f>
        <v>0</v>
      </c>
      <c r="BA116" s="138">
        <f t="shared" ref="BA116" si="1396">AW116</f>
        <v>0</v>
      </c>
      <c r="BB116" s="138">
        <f t="shared" ref="BB116" si="1397">AX116</f>
        <v>0</v>
      </c>
      <c r="BC116" s="138">
        <f t="shared" ref="BC116" si="1398">AY116</f>
        <v>0</v>
      </c>
      <c r="BD116" s="138">
        <f t="shared" ref="BD116" si="1399">AZ116</f>
        <v>0</v>
      </c>
    </row>
    <row r="118" spans="2:56" x14ac:dyDescent="0.2">
      <c r="B118" s="1" t="s">
        <v>81</v>
      </c>
      <c r="E118" s="43" t="s">
        <v>33</v>
      </c>
      <c r="F118" s="50">
        <f>T118</f>
        <v>0</v>
      </c>
      <c r="G118" s="50">
        <f>X118</f>
        <v>75413188</v>
      </c>
      <c r="H118" s="50">
        <f>AB118</f>
        <v>0</v>
      </c>
      <c r="I118" s="50">
        <f>AF118</f>
        <v>0</v>
      </c>
      <c r="J118" s="50">
        <f>AJ118</f>
        <v>0</v>
      </c>
      <c r="K118" s="50">
        <f>AN118</f>
        <v>0</v>
      </c>
      <c r="L118" s="50">
        <f>AR118</f>
        <v>0</v>
      </c>
      <c r="M118" s="50">
        <f>AV118</f>
        <v>0</v>
      </c>
      <c r="N118" s="50">
        <f>AZ118</f>
        <v>0</v>
      </c>
      <c r="O118" s="50">
        <f>BD118</f>
        <v>0</v>
      </c>
      <c r="Q118" s="143">
        <f>_xlfn.XLOOKUP('IS &amp; BS Projections'!$B118,'3FS'!$B:$B,'3FS'!P:P)</f>
        <v>0</v>
      </c>
      <c r="R118" s="143">
        <f>_xlfn.XLOOKUP('IS &amp; BS Projections'!$B118,'3FS'!$B:$B,'3FS'!Q:Q)</f>
        <v>0</v>
      </c>
      <c r="S118" s="143">
        <f>_xlfn.XLOOKUP('IS &amp; BS Projections'!$B118,'3FS'!$B:$B,'3FS'!R:R)</f>
        <v>0</v>
      </c>
      <c r="T118" s="143">
        <f>_xlfn.XLOOKUP('IS &amp; BS Projections'!$B118,'3FS'!$B:$B,'3FS'!S:S)</f>
        <v>0</v>
      </c>
      <c r="U118" s="143">
        <f>_xlfn.XLOOKUP('IS &amp; BS Projections'!$B118,'3FS'!$B:$B,'3FS'!T:T)</f>
        <v>0</v>
      </c>
      <c r="V118" s="143">
        <f>_xlfn.XLOOKUP('IS &amp; BS Projections'!$B118,'3FS'!$B:$B,'3FS'!U:U)</f>
        <v>0</v>
      </c>
      <c r="W118" s="143">
        <f>_xlfn.XLOOKUP('IS &amp; BS Projections'!$B118,'3FS'!$B:$B,'3FS'!V:V)</f>
        <v>0</v>
      </c>
      <c r="X118" s="143">
        <f>_xlfn.XLOOKUP('IS &amp; BS Projections'!$B118,'3FS'!$B:$B,'3FS'!W:W)</f>
        <v>75413188</v>
      </c>
      <c r="Y118" s="143">
        <f>_xlfn.XLOOKUP('IS &amp; BS Projections'!$B118,'3FS'!$B:$B,'3FS'!X:X)</f>
        <v>0</v>
      </c>
      <c r="Z118" s="143">
        <f>_xlfn.XLOOKUP('IS &amp; BS Projections'!$B118,'3FS'!$B:$B,'3FS'!Y:Y)</f>
        <v>0</v>
      </c>
      <c r="AA118" s="143">
        <f>_xlfn.XLOOKUP('IS &amp; BS Projections'!$B118,'3FS'!$B:$B,'3FS'!Z:Z)</f>
        <v>114291909</v>
      </c>
      <c r="AB118" s="143">
        <f>_xlfn.XLOOKUP('IS &amp; BS Projections'!$B118,'3FS'!$B:$B,'3FS'!AA:AA)</f>
        <v>0</v>
      </c>
      <c r="AC118" s="143">
        <f>_xlfn.XLOOKUP('IS &amp; BS Projections'!$B118,'3FS'!$B:$B,'3FS'!AB:AB)</f>
        <v>329506477</v>
      </c>
      <c r="AD118" s="143">
        <f>_xlfn.XLOOKUP('IS &amp; BS Projections'!$B118,'3FS'!$B:$B,'3FS'!AC:AC)</f>
        <v>269198067</v>
      </c>
      <c r="AE118" s="143">
        <f>_xlfn.XLOOKUP('IS &amp; BS Projections'!$B118,'3FS'!$B:$B,'3FS'!AD:AD)</f>
        <v>272669307</v>
      </c>
      <c r="AF118" s="143">
        <f>_xlfn.XLOOKUP('IS &amp; BS Projections'!$B118,'3FS'!$B:$B,'3FS'!AE:AE)</f>
        <v>0</v>
      </c>
      <c r="AG118" s="143">
        <f>_xlfn.XLOOKUP('IS &amp; BS Projections'!$B118,'3FS'!$B:$B,'3FS'!AF:AF)</f>
        <v>0</v>
      </c>
      <c r="AH118" s="143">
        <f>_xlfn.XLOOKUP('IS &amp; BS Projections'!$B118,'3FS'!$B:$B,'3FS'!AG:AG)</f>
        <v>0</v>
      </c>
      <c r="AI118" s="143">
        <f>_xlfn.XLOOKUP('IS &amp; BS Projections'!$B118,'3FS'!$B:$B,'3FS'!AH:AH)</f>
        <v>0</v>
      </c>
      <c r="AJ118" s="143">
        <f>_xlfn.XLOOKUP('IS &amp; BS Projections'!$B118,'3FS'!$B:$B,'3FS'!AI:AI)</f>
        <v>0</v>
      </c>
      <c r="AK118" s="50">
        <f>AK119*AK$10</f>
        <v>0</v>
      </c>
      <c r="AL118" s="50">
        <f t="shared" ref="AL118:BD118" si="1400">AL119*AL$10</f>
        <v>0</v>
      </c>
      <c r="AM118" s="50">
        <f t="shared" si="1400"/>
        <v>0</v>
      </c>
      <c r="AN118" s="50">
        <f t="shared" si="1400"/>
        <v>0</v>
      </c>
      <c r="AO118" s="50">
        <f t="shared" si="1400"/>
        <v>0</v>
      </c>
      <c r="AP118" s="50">
        <f t="shared" si="1400"/>
        <v>0</v>
      </c>
      <c r="AQ118" s="50">
        <f t="shared" si="1400"/>
        <v>0</v>
      </c>
      <c r="AR118" s="50">
        <f t="shared" si="1400"/>
        <v>0</v>
      </c>
      <c r="AS118" s="50">
        <f t="shared" si="1400"/>
        <v>0</v>
      </c>
      <c r="AT118" s="50">
        <f t="shared" si="1400"/>
        <v>0</v>
      </c>
      <c r="AU118" s="50">
        <f t="shared" si="1400"/>
        <v>0</v>
      </c>
      <c r="AV118" s="50">
        <f t="shared" si="1400"/>
        <v>0</v>
      </c>
      <c r="AW118" s="50">
        <f t="shared" si="1400"/>
        <v>0</v>
      </c>
      <c r="AX118" s="50">
        <f t="shared" si="1400"/>
        <v>0</v>
      </c>
      <c r="AY118" s="50">
        <f t="shared" si="1400"/>
        <v>0</v>
      </c>
      <c r="AZ118" s="50">
        <f t="shared" si="1400"/>
        <v>0</v>
      </c>
      <c r="BA118" s="50">
        <f t="shared" si="1400"/>
        <v>0</v>
      </c>
      <c r="BB118" s="50">
        <f t="shared" si="1400"/>
        <v>0</v>
      </c>
      <c r="BC118" s="50">
        <f t="shared" si="1400"/>
        <v>0</v>
      </c>
      <c r="BD118" s="50">
        <f t="shared" si="1400"/>
        <v>0</v>
      </c>
    </row>
    <row r="119" spans="2:56" x14ac:dyDescent="0.2">
      <c r="B119" s="98" t="s">
        <v>293</v>
      </c>
      <c r="C119" s="45"/>
      <c r="D119" s="45"/>
      <c r="E119" s="46" t="s">
        <v>36</v>
      </c>
      <c r="F119" s="126">
        <f t="shared" ref="F119:O119" si="1401">F118/F$10</f>
        <v>0</v>
      </c>
      <c r="G119" s="126">
        <f t="shared" si="1401"/>
        <v>23.609354181067733</v>
      </c>
      <c r="H119" s="126">
        <f t="shared" si="1401"/>
        <v>0</v>
      </c>
      <c r="I119" s="126">
        <f t="shared" si="1401"/>
        <v>0</v>
      </c>
      <c r="J119" s="126">
        <f t="shared" si="1401"/>
        <v>0</v>
      </c>
      <c r="K119" s="126">
        <f t="shared" si="1401"/>
        <v>0</v>
      </c>
      <c r="L119" s="126">
        <f t="shared" si="1401"/>
        <v>0</v>
      </c>
      <c r="M119" s="126">
        <f t="shared" si="1401"/>
        <v>0</v>
      </c>
      <c r="N119" s="126">
        <f t="shared" si="1401"/>
        <v>0</v>
      </c>
      <c r="O119" s="126">
        <f t="shared" si="1401"/>
        <v>0</v>
      </c>
      <c r="P119" s="81"/>
      <c r="Q119" s="126">
        <f>Q118/Q$10</f>
        <v>0</v>
      </c>
      <c r="R119" s="126">
        <f t="shared" ref="R119:AJ119" si="1402">R118/R$10</f>
        <v>0</v>
      </c>
      <c r="S119" s="126">
        <f t="shared" si="1402"/>
        <v>0</v>
      </c>
      <c r="T119" s="126">
        <f t="shared" si="1402"/>
        <v>0</v>
      </c>
      <c r="U119" s="126">
        <f t="shared" si="1402"/>
        <v>0</v>
      </c>
      <c r="V119" s="126">
        <f t="shared" si="1402"/>
        <v>0</v>
      </c>
      <c r="W119" s="126">
        <f t="shared" si="1402"/>
        <v>0</v>
      </c>
      <c r="X119" s="126">
        <f t="shared" si="1402"/>
        <v>119.8731982425911</v>
      </c>
      <c r="Y119" s="126">
        <f t="shared" si="1402"/>
        <v>0</v>
      </c>
      <c r="Z119" s="126">
        <f t="shared" si="1402"/>
        <v>0</v>
      </c>
      <c r="AA119" s="126">
        <f t="shared" si="1402"/>
        <v>169.53533793766354</v>
      </c>
      <c r="AB119" s="126">
        <f t="shared" si="1402"/>
        <v>0</v>
      </c>
      <c r="AC119" s="126">
        <f t="shared" si="1402"/>
        <v>201.21672783453531</v>
      </c>
      <c r="AD119" s="126">
        <f t="shared" si="1402"/>
        <v>185.70148134555899</v>
      </c>
      <c r="AE119" s="126">
        <f t="shared" si="1402"/>
        <v>226.24534576619678</v>
      </c>
      <c r="AF119" s="126">
        <f t="shared" si="1402"/>
        <v>0</v>
      </c>
      <c r="AG119" s="126">
        <f t="shared" si="1402"/>
        <v>0</v>
      </c>
      <c r="AH119" s="126">
        <f t="shared" si="1402"/>
        <v>0</v>
      </c>
      <c r="AI119" s="126">
        <f t="shared" si="1402"/>
        <v>0</v>
      </c>
      <c r="AJ119" s="126">
        <f t="shared" si="1402"/>
        <v>0</v>
      </c>
      <c r="AK119" s="138">
        <f>MEDIAN(Q119,U119,Y119,AC119,AG119)</f>
        <v>0</v>
      </c>
      <c r="AL119" s="138">
        <f t="shared" ref="AL119" si="1403">MEDIAN(R119,V119,Z119,AD119,AH119)</f>
        <v>0</v>
      </c>
      <c r="AM119" s="138">
        <f t="shared" ref="AM119" si="1404">MEDIAN(S119,W119,AA119,AE119,AI119)</f>
        <v>0</v>
      </c>
      <c r="AN119" s="138">
        <f t="shared" ref="AN119" si="1405">MEDIAN(T119,X119,AB119,AF119,AJ119)</f>
        <v>0</v>
      </c>
      <c r="AO119" s="138">
        <f>AK119</f>
        <v>0</v>
      </c>
      <c r="AP119" s="138">
        <f t="shared" ref="AP119" si="1406">AL119</f>
        <v>0</v>
      </c>
      <c r="AQ119" s="138">
        <f t="shared" ref="AQ119" si="1407">AM119</f>
        <v>0</v>
      </c>
      <c r="AR119" s="138">
        <f t="shared" ref="AR119" si="1408">AN119</f>
        <v>0</v>
      </c>
      <c r="AS119" s="138">
        <f t="shared" ref="AS119" si="1409">AO119</f>
        <v>0</v>
      </c>
      <c r="AT119" s="138">
        <f t="shared" ref="AT119" si="1410">AP119</f>
        <v>0</v>
      </c>
      <c r="AU119" s="138">
        <f t="shared" ref="AU119" si="1411">AQ119</f>
        <v>0</v>
      </c>
      <c r="AV119" s="138">
        <f t="shared" ref="AV119" si="1412">AR119</f>
        <v>0</v>
      </c>
      <c r="AW119" s="138">
        <f t="shared" ref="AW119" si="1413">AS119</f>
        <v>0</v>
      </c>
      <c r="AX119" s="138">
        <f t="shared" ref="AX119" si="1414">AT119</f>
        <v>0</v>
      </c>
      <c r="AY119" s="138">
        <f t="shared" ref="AY119" si="1415">AU119</f>
        <v>0</v>
      </c>
      <c r="AZ119" s="138">
        <f t="shared" ref="AZ119" si="1416">AV119</f>
        <v>0</v>
      </c>
      <c r="BA119" s="138">
        <f t="shared" ref="BA119" si="1417">AW119</f>
        <v>0</v>
      </c>
      <c r="BB119" s="138">
        <f t="shared" ref="BB119" si="1418">AX119</f>
        <v>0</v>
      </c>
      <c r="BC119" s="138">
        <f t="shared" ref="BC119" si="1419">AY119</f>
        <v>0</v>
      </c>
      <c r="BD119" s="138">
        <f t="shared" ref="BD119" si="1420">AZ119</f>
        <v>0</v>
      </c>
    </row>
    <row r="121" spans="2:56" x14ac:dyDescent="0.2">
      <c r="B121" s="1" t="s">
        <v>82</v>
      </c>
      <c r="E121" s="43" t="s">
        <v>33</v>
      </c>
      <c r="F121" s="50">
        <f>T121</f>
        <v>0</v>
      </c>
      <c r="G121" s="50">
        <f>X121</f>
        <v>0</v>
      </c>
      <c r="H121" s="50">
        <f>AB121</f>
        <v>354008</v>
      </c>
      <c r="I121" s="50">
        <f>AF121</f>
        <v>767484</v>
      </c>
      <c r="J121" s="50">
        <f>AJ121</f>
        <v>822827</v>
      </c>
      <c r="K121" s="50">
        <f>AN121</f>
        <v>587759.73105218564</v>
      </c>
      <c r="L121" s="50">
        <f>AR121</f>
        <v>663756.89060556062</v>
      </c>
      <c r="M121" s="50">
        <f>AV121</f>
        <v>743013.41111195518</v>
      </c>
      <c r="N121" s="50">
        <f>AZ121</f>
        <v>867823.60815073433</v>
      </c>
      <c r="O121" s="50">
        <f>BD121</f>
        <v>1068694.3112527505</v>
      </c>
      <c r="Q121" s="143">
        <f>_xlfn.XLOOKUP('IS &amp; BS Projections'!$B121,'3FS'!$B:$B,'3FS'!P:P)</f>
        <v>0</v>
      </c>
      <c r="R121" s="143">
        <f>_xlfn.XLOOKUP('IS &amp; BS Projections'!$B121,'3FS'!$B:$B,'3FS'!Q:Q)</f>
        <v>0</v>
      </c>
      <c r="S121" s="143">
        <f>_xlfn.XLOOKUP('IS &amp; BS Projections'!$B121,'3FS'!$B:$B,'3FS'!R:R)</f>
        <v>0</v>
      </c>
      <c r="T121" s="143">
        <f>_xlfn.XLOOKUP('IS &amp; BS Projections'!$B121,'3FS'!$B:$B,'3FS'!S:S)</f>
        <v>0</v>
      </c>
      <c r="U121" s="143">
        <f>_xlfn.XLOOKUP('IS &amp; BS Projections'!$B121,'3FS'!$B:$B,'3FS'!T:T)</f>
        <v>0</v>
      </c>
      <c r="V121" s="143">
        <f>_xlfn.XLOOKUP('IS &amp; BS Projections'!$B121,'3FS'!$B:$B,'3FS'!U:U)</f>
        <v>0</v>
      </c>
      <c r="W121" s="143">
        <f>_xlfn.XLOOKUP('IS &amp; BS Projections'!$B121,'3FS'!$B:$B,'3FS'!V:V)</f>
        <v>0</v>
      </c>
      <c r="X121" s="143">
        <f>_xlfn.XLOOKUP('IS &amp; BS Projections'!$B121,'3FS'!$B:$B,'3FS'!W:W)</f>
        <v>0</v>
      </c>
      <c r="Y121" s="143">
        <f>_xlfn.XLOOKUP('IS &amp; BS Projections'!$B121,'3FS'!$B:$B,'3FS'!X:X)</f>
        <v>0</v>
      </c>
      <c r="Z121" s="143">
        <f>_xlfn.XLOOKUP('IS &amp; BS Projections'!$B121,'3FS'!$B:$B,'3FS'!Y:Y)</f>
        <v>0</v>
      </c>
      <c r="AA121" s="143">
        <f>_xlfn.XLOOKUP('IS &amp; BS Projections'!$B121,'3FS'!$B:$B,'3FS'!Z:Z)</f>
        <v>0</v>
      </c>
      <c r="AB121" s="143">
        <f>_xlfn.XLOOKUP('IS &amp; BS Projections'!$B121,'3FS'!$B:$B,'3FS'!AA:AA)</f>
        <v>354008</v>
      </c>
      <c r="AC121" s="143">
        <f>_xlfn.XLOOKUP('IS &amp; BS Projections'!$B121,'3FS'!$B:$B,'3FS'!AB:AB)</f>
        <v>106610</v>
      </c>
      <c r="AD121" s="143">
        <f>_xlfn.XLOOKUP('IS &amp; BS Projections'!$B121,'3FS'!$B:$B,'3FS'!AC:AC)</f>
        <v>21119</v>
      </c>
      <c r="AE121" s="143">
        <f>_xlfn.XLOOKUP('IS &amp; BS Projections'!$B121,'3FS'!$B:$B,'3FS'!AD:AD)</f>
        <v>0</v>
      </c>
      <c r="AF121" s="143">
        <f>_xlfn.XLOOKUP('IS &amp; BS Projections'!$B121,'3FS'!$B:$B,'3FS'!AE:AE)</f>
        <v>767484</v>
      </c>
      <c r="AG121" s="143">
        <f>_xlfn.XLOOKUP('IS &amp; BS Projections'!$B121,'3FS'!$B:$B,'3FS'!AF:AF)</f>
        <v>597548</v>
      </c>
      <c r="AH121" s="143">
        <f>_xlfn.XLOOKUP('IS &amp; BS Projections'!$B121,'3FS'!$B:$B,'3FS'!AG:AG)</f>
        <v>951272</v>
      </c>
      <c r="AI121" s="143">
        <f>_xlfn.XLOOKUP('IS &amp; BS Projections'!$B121,'3FS'!$B:$B,'3FS'!AH:AH)</f>
        <v>1017382</v>
      </c>
      <c r="AJ121" s="143">
        <f>_xlfn.XLOOKUP('IS &amp; BS Projections'!$B121,'3FS'!$B:$B,'3FS'!AI:AI)</f>
        <v>822827</v>
      </c>
      <c r="AK121" s="50">
        <f>AK122*AK$10</f>
        <v>0</v>
      </c>
      <c r="AL121" s="50">
        <f t="shared" ref="AL121:BD121" si="1421">AL122*AL$10</f>
        <v>0</v>
      </c>
      <c r="AM121" s="50">
        <f t="shared" si="1421"/>
        <v>0</v>
      </c>
      <c r="AN121" s="50">
        <f t="shared" si="1421"/>
        <v>587759.73105218564</v>
      </c>
      <c r="AO121" s="50">
        <f t="shared" si="1421"/>
        <v>0</v>
      </c>
      <c r="AP121" s="50">
        <f t="shared" si="1421"/>
        <v>0</v>
      </c>
      <c r="AQ121" s="50">
        <f t="shared" si="1421"/>
        <v>0</v>
      </c>
      <c r="AR121" s="50">
        <f t="shared" si="1421"/>
        <v>663756.89060556062</v>
      </c>
      <c r="AS121" s="50">
        <f t="shared" si="1421"/>
        <v>0</v>
      </c>
      <c r="AT121" s="50">
        <f t="shared" si="1421"/>
        <v>0</v>
      </c>
      <c r="AU121" s="50">
        <f t="shared" si="1421"/>
        <v>0</v>
      </c>
      <c r="AV121" s="50">
        <f t="shared" si="1421"/>
        <v>743013.41111195518</v>
      </c>
      <c r="AW121" s="50">
        <f t="shared" si="1421"/>
        <v>0</v>
      </c>
      <c r="AX121" s="50">
        <f t="shared" si="1421"/>
        <v>0</v>
      </c>
      <c r="AY121" s="50">
        <f t="shared" si="1421"/>
        <v>0</v>
      </c>
      <c r="AZ121" s="50">
        <f t="shared" si="1421"/>
        <v>867823.60815073433</v>
      </c>
      <c r="BA121" s="50">
        <f t="shared" si="1421"/>
        <v>0</v>
      </c>
      <c r="BB121" s="50">
        <f t="shared" si="1421"/>
        <v>0</v>
      </c>
      <c r="BC121" s="50">
        <f t="shared" si="1421"/>
        <v>0</v>
      </c>
      <c r="BD121" s="50">
        <f t="shared" si="1421"/>
        <v>1068694.3112527505</v>
      </c>
    </row>
    <row r="122" spans="2:56" x14ac:dyDescent="0.2">
      <c r="B122" s="98" t="s">
        <v>293</v>
      </c>
      <c r="C122" s="45"/>
      <c r="D122" s="45"/>
      <c r="E122" s="46" t="s">
        <v>36</v>
      </c>
      <c r="F122" s="126">
        <f t="shared" ref="F122:O122" si="1422">F121/F$10</f>
        <v>0</v>
      </c>
      <c r="G122" s="126">
        <f t="shared" si="1422"/>
        <v>0</v>
      </c>
      <c r="H122" s="126">
        <f t="shared" si="1422"/>
        <v>0.11388815342253512</v>
      </c>
      <c r="I122" s="126">
        <f t="shared" si="1422"/>
        <v>0.1169227187940088</v>
      </c>
      <c r="J122" s="126">
        <f t="shared" si="1422"/>
        <v>0.15236983990951439</v>
      </c>
      <c r="K122" s="126">
        <f t="shared" si="1422"/>
        <v>7.5737159503077106E-2</v>
      </c>
      <c r="L122" s="126">
        <f t="shared" si="1422"/>
        <v>7.649028221607225E-2</v>
      </c>
      <c r="M122" s="126">
        <f t="shared" si="1422"/>
        <v>7.6403485295307716E-2</v>
      </c>
      <c r="N122" s="126">
        <f t="shared" si="1422"/>
        <v>7.6836544054098885E-2</v>
      </c>
      <c r="O122" s="126">
        <f t="shared" si="1422"/>
        <v>0.10008805648013756</v>
      </c>
      <c r="P122" s="81"/>
      <c r="Q122" s="126">
        <f>Q121/Q$10</f>
        <v>0</v>
      </c>
      <c r="R122" s="126">
        <f t="shared" ref="R122:AJ122" si="1423">R121/R$10</f>
        <v>0</v>
      </c>
      <c r="S122" s="126">
        <f t="shared" si="1423"/>
        <v>0</v>
      </c>
      <c r="T122" s="126">
        <f t="shared" si="1423"/>
        <v>0</v>
      </c>
      <c r="U122" s="126">
        <f t="shared" si="1423"/>
        <v>0</v>
      </c>
      <c r="V122" s="126">
        <f t="shared" si="1423"/>
        <v>0</v>
      </c>
      <c r="W122" s="126">
        <f t="shared" si="1423"/>
        <v>0</v>
      </c>
      <c r="X122" s="126">
        <f t="shared" si="1423"/>
        <v>0</v>
      </c>
      <c r="Y122" s="126">
        <f t="shared" si="1423"/>
        <v>0</v>
      </c>
      <c r="Z122" s="126">
        <f t="shared" si="1423"/>
        <v>0</v>
      </c>
      <c r="AA122" s="126">
        <f t="shared" si="1423"/>
        <v>0</v>
      </c>
      <c r="AB122" s="126">
        <f t="shared" si="1423"/>
        <v>0.37115732416294905</v>
      </c>
      <c r="AC122" s="126">
        <f t="shared" si="1423"/>
        <v>6.5102560501230478E-2</v>
      </c>
      <c r="AD122" s="126">
        <f t="shared" si="1423"/>
        <v>1.4568565176721201E-2</v>
      </c>
      <c r="AE122" s="126">
        <f t="shared" si="1423"/>
        <v>0</v>
      </c>
      <c r="AF122" s="126">
        <f t="shared" si="1423"/>
        <v>0.33785503581778253</v>
      </c>
      <c r="AG122" s="126">
        <f t="shared" si="1423"/>
        <v>0.2937371423515272</v>
      </c>
      <c r="AH122" s="126">
        <f t="shared" si="1423"/>
        <v>0.63536395744612639</v>
      </c>
      <c r="AI122" s="126">
        <f t="shared" si="1423"/>
        <v>0.54443506771845351</v>
      </c>
      <c r="AJ122" s="126">
        <f t="shared" si="1423"/>
        <v>0.461969346408935</v>
      </c>
      <c r="AK122" s="138">
        <f>MEDIAN(Q122,U122,Y122,AC122,AG122)</f>
        <v>0</v>
      </c>
      <c r="AL122" s="138">
        <f t="shared" ref="AL122" si="1424">MEDIAN(R122,V122,Z122,AD122,AH122)</f>
        <v>0</v>
      </c>
      <c r="AM122" s="138">
        <f t="shared" ref="AM122" si="1425">MEDIAN(S122,W122,AA122,AE122,AI122)</f>
        <v>0</v>
      </c>
      <c r="AN122" s="138">
        <f t="shared" ref="AN122" si="1426">MEDIAN(T122,X122,AB122,AF122,AJ122)</f>
        <v>0.33785503581778253</v>
      </c>
      <c r="AO122" s="138">
        <f>AK122</f>
        <v>0</v>
      </c>
      <c r="AP122" s="138">
        <f t="shared" ref="AP122" si="1427">AL122</f>
        <v>0</v>
      </c>
      <c r="AQ122" s="138">
        <f t="shared" ref="AQ122" si="1428">AM122</f>
        <v>0</v>
      </c>
      <c r="AR122" s="138">
        <f t="shared" ref="AR122" si="1429">AN122</f>
        <v>0.33785503581778253</v>
      </c>
      <c r="AS122" s="138">
        <f t="shared" ref="AS122" si="1430">AO122</f>
        <v>0</v>
      </c>
      <c r="AT122" s="138">
        <f t="shared" ref="AT122" si="1431">AP122</f>
        <v>0</v>
      </c>
      <c r="AU122" s="138">
        <f t="shared" ref="AU122" si="1432">AQ122</f>
        <v>0</v>
      </c>
      <c r="AV122" s="138">
        <f t="shared" ref="AV122" si="1433">AR122</f>
        <v>0.33785503581778253</v>
      </c>
      <c r="AW122" s="138">
        <f t="shared" ref="AW122" si="1434">AS122</f>
        <v>0</v>
      </c>
      <c r="AX122" s="138">
        <f t="shared" ref="AX122" si="1435">AT122</f>
        <v>0</v>
      </c>
      <c r="AY122" s="138">
        <f t="shared" ref="AY122" si="1436">AU122</f>
        <v>0</v>
      </c>
      <c r="AZ122" s="138">
        <f t="shared" ref="AZ122" si="1437">AV122</f>
        <v>0.33785503581778253</v>
      </c>
      <c r="BA122" s="138">
        <f t="shared" ref="BA122" si="1438">AW122</f>
        <v>0</v>
      </c>
      <c r="BB122" s="138">
        <f t="shared" ref="BB122" si="1439">AX122</f>
        <v>0</v>
      </c>
      <c r="BC122" s="138">
        <f t="shared" ref="BC122" si="1440">AY122</f>
        <v>0</v>
      </c>
      <c r="BD122" s="138">
        <f t="shared" ref="BD122" si="1441">AZ122</f>
        <v>0.33785503581778253</v>
      </c>
    </row>
    <row r="124" spans="2:56" x14ac:dyDescent="0.2">
      <c r="B124" s="1" t="s">
        <v>83</v>
      </c>
      <c r="E124" s="43" t="s">
        <v>33</v>
      </c>
      <c r="F124" s="50">
        <f>T124</f>
        <v>0</v>
      </c>
      <c r="G124" s="50">
        <f>X124</f>
        <v>0</v>
      </c>
      <c r="H124" s="50">
        <f>AB124</f>
        <v>74103</v>
      </c>
      <c r="I124" s="50">
        <f>AF124</f>
        <v>82781</v>
      </c>
      <c r="J124" s="50">
        <f>AJ124</f>
        <v>120831</v>
      </c>
      <c r="K124" s="50">
        <f>AN124</f>
        <v>63395.899192987708</v>
      </c>
      <c r="L124" s="50">
        <f>AR124</f>
        <v>71592.970226374629</v>
      </c>
      <c r="M124" s="50">
        <f>AV124</f>
        <v>80141.596678574089</v>
      </c>
      <c r="N124" s="50">
        <f>AZ124</f>
        <v>93603.653113714347</v>
      </c>
      <c r="O124" s="50">
        <f>BD124</f>
        <v>115269.61315130208</v>
      </c>
      <c r="Q124" s="143">
        <f>_xlfn.XLOOKUP('IS &amp; BS Projections'!$B124,'3FS'!$B:$B,'3FS'!P:P)</f>
        <v>0</v>
      </c>
      <c r="R124" s="143">
        <f>_xlfn.XLOOKUP('IS &amp; BS Projections'!$B124,'3FS'!$B:$B,'3FS'!Q:Q)</f>
        <v>0</v>
      </c>
      <c r="S124" s="143">
        <f>_xlfn.XLOOKUP('IS &amp; BS Projections'!$B124,'3FS'!$B:$B,'3FS'!R:R)</f>
        <v>0</v>
      </c>
      <c r="T124" s="143">
        <f>_xlfn.XLOOKUP('IS &amp; BS Projections'!$B124,'3FS'!$B:$B,'3FS'!S:S)</f>
        <v>0</v>
      </c>
      <c r="U124" s="143">
        <f>_xlfn.XLOOKUP('IS &amp; BS Projections'!$B124,'3FS'!$B:$B,'3FS'!T:T)</f>
        <v>0</v>
      </c>
      <c r="V124" s="143">
        <f>_xlfn.XLOOKUP('IS &amp; BS Projections'!$B124,'3FS'!$B:$B,'3FS'!U:U)</f>
        <v>0</v>
      </c>
      <c r="W124" s="143">
        <f>_xlfn.XLOOKUP('IS &amp; BS Projections'!$B124,'3FS'!$B:$B,'3FS'!V:V)</f>
        <v>0</v>
      </c>
      <c r="X124" s="143">
        <f>_xlfn.XLOOKUP('IS &amp; BS Projections'!$B124,'3FS'!$B:$B,'3FS'!W:W)</f>
        <v>0</v>
      </c>
      <c r="Y124" s="143">
        <f>_xlfn.XLOOKUP('IS &amp; BS Projections'!$B124,'3FS'!$B:$B,'3FS'!X:X)</f>
        <v>0</v>
      </c>
      <c r="Z124" s="143">
        <f>_xlfn.XLOOKUP('IS &amp; BS Projections'!$B124,'3FS'!$B:$B,'3FS'!Y:Y)</f>
        <v>0</v>
      </c>
      <c r="AA124" s="143">
        <f>_xlfn.XLOOKUP('IS &amp; BS Projections'!$B124,'3FS'!$B:$B,'3FS'!Z:Z)</f>
        <v>0</v>
      </c>
      <c r="AB124" s="143">
        <f>_xlfn.XLOOKUP('IS &amp; BS Projections'!$B124,'3FS'!$B:$B,'3FS'!AA:AA)</f>
        <v>74103</v>
      </c>
      <c r="AC124" s="143">
        <f>_xlfn.XLOOKUP('IS &amp; BS Projections'!$B124,'3FS'!$B:$B,'3FS'!AB:AB)</f>
        <v>0</v>
      </c>
      <c r="AD124" s="143">
        <f>_xlfn.XLOOKUP('IS &amp; BS Projections'!$B124,'3FS'!$B:$B,'3FS'!AC:AC)</f>
        <v>0</v>
      </c>
      <c r="AE124" s="143">
        <f>_xlfn.XLOOKUP('IS &amp; BS Projections'!$B124,'3FS'!$B:$B,'3FS'!AD:AD)</f>
        <v>0</v>
      </c>
      <c r="AF124" s="143">
        <f>_xlfn.XLOOKUP('IS &amp; BS Projections'!$B124,'3FS'!$B:$B,'3FS'!AE:AE)</f>
        <v>82781</v>
      </c>
      <c r="AG124" s="143">
        <f>_xlfn.XLOOKUP('IS &amp; BS Projections'!$B124,'3FS'!$B:$B,'3FS'!AF:AF)</f>
        <v>67485</v>
      </c>
      <c r="AH124" s="143">
        <f>_xlfn.XLOOKUP('IS &amp; BS Projections'!$B124,'3FS'!$B:$B,'3FS'!AG:AG)</f>
        <v>125974</v>
      </c>
      <c r="AI124" s="143">
        <f>_xlfn.XLOOKUP('IS &amp; BS Projections'!$B124,'3FS'!$B:$B,'3FS'!AH:AH)</f>
        <v>161145</v>
      </c>
      <c r="AJ124" s="143">
        <f>_xlfn.XLOOKUP('IS &amp; BS Projections'!$B124,'3FS'!$B:$B,'3FS'!AI:AI)</f>
        <v>120831</v>
      </c>
      <c r="AK124" s="50">
        <f>AK125*AK$10</f>
        <v>0</v>
      </c>
      <c r="AL124" s="50">
        <f t="shared" ref="AL124:BD124" si="1442">AL125*AL$10</f>
        <v>0</v>
      </c>
      <c r="AM124" s="50">
        <f t="shared" si="1442"/>
        <v>0</v>
      </c>
      <c r="AN124" s="50">
        <f t="shared" si="1442"/>
        <v>63395.899192987708</v>
      </c>
      <c r="AO124" s="50">
        <f t="shared" si="1442"/>
        <v>0</v>
      </c>
      <c r="AP124" s="50">
        <f t="shared" si="1442"/>
        <v>0</v>
      </c>
      <c r="AQ124" s="50">
        <f t="shared" si="1442"/>
        <v>0</v>
      </c>
      <c r="AR124" s="50">
        <f t="shared" si="1442"/>
        <v>71592.970226374629</v>
      </c>
      <c r="AS124" s="50">
        <f t="shared" si="1442"/>
        <v>0</v>
      </c>
      <c r="AT124" s="50">
        <f t="shared" si="1442"/>
        <v>0</v>
      </c>
      <c r="AU124" s="50">
        <f t="shared" si="1442"/>
        <v>0</v>
      </c>
      <c r="AV124" s="50">
        <f t="shared" si="1442"/>
        <v>80141.596678574089</v>
      </c>
      <c r="AW124" s="50">
        <f t="shared" si="1442"/>
        <v>0</v>
      </c>
      <c r="AX124" s="50">
        <f t="shared" si="1442"/>
        <v>0</v>
      </c>
      <c r="AY124" s="50">
        <f t="shared" si="1442"/>
        <v>0</v>
      </c>
      <c r="AZ124" s="50">
        <f t="shared" si="1442"/>
        <v>93603.653113714347</v>
      </c>
      <c r="BA124" s="50">
        <f t="shared" si="1442"/>
        <v>0</v>
      </c>
      <c r="BB124" s="50">
        <f t="shared" si="1442"/>
        <v>0</v>
      </c>
      <c r="BC124" s="50">
        <f t="shared" si="1442"/>
        <v>0</v>
      </c>
      <c r="BD124" s="50">
        <f t="shared" si="1442"/>
        <v>115269.61315130208</v>
      </c>
    </row>
    <row r="125" spans="2:56" x14ac:dyDescent="0.2">
      <c r="B125" s="98" t="s">
        <v>293</v>
      </c>
      <c r="C125" s="45"/>
      <c r="D125" s="45"/>
      <c r="E125" s="46" t="s">
        <v>36</v>
      </c>
      <c r="F125" s="126">
        <f t="shared" ref="F125:O125" si="1443">F124/F$10</f>
        <v>0</v>
      </c>
      <c r="G125" s="126">
        <f t="shared" si="1443"/>
        <v>0</v>
      </c>
      <c r="H125" s="126">
        <f t="shared" si="1443"/>
        <v>2.3839726314292674E-2</v>
      </c>
      <c r="I125" s="126">
        <f t="shared" si="1443"/>
        <v>1.261131122536345E-2</v>
      </c>
      <c r="J125" s="126">
        <f t="shared" si="1443"/>
        <v>2.2375298970629953E-2</v>
      </c>
      <c r="K125" s="126">
        <f t="shared" si="1443"/>
        <v>8.1690273684197016E-3</v>
      </c>
      <c r="L125" s="126">
        <f t="shared" si="1443"/>
        <v>8.2502593567145063E-3</v>
      </c>
      <c r="M125" s="126">
        <f t="shared" si="1443"/>
        <v>8.2408974209636516E-3</v>
      </c>
      <c r="N125" s="126">
        <f t="shared" si="1443"/>
        <v>8.2876072378608029E-3</v>
      </c>
      <c r="O125" s="126">
        <f t="shared" si="1443"/>
        <v>1.0795520692916422E-2</v>
      </c>
      <c r="P125" s="81"/>
      <c r="Q125" s="126">
        <f>Q124/Q$10</f>
        <v>0</v>
      </c>
      <c r="R125" s="126">
        <f t="shared" ref="R125:AJ125" si="1444">R124/R$10</f>
        <v>0</v>
      </c>
      <c r="S125" s="126">
        <f t="shared" si="1444"/>
        <v>0</v>
      </c>
      <c r="T125" s="126">
        <f t="shared" si="1444"/>
        <v>0</v>
      </c>
      <c r="U125" s="126">
        <f t="shared" si="1444"/>
        <v>0</v>
      </c>
      <c r="V125" s="126">
        <f t="shared" si="1444"/>
        <v>0</v>
      </c>
      <c r="W125" s="126">
        <f t="shared" si="1444"/>
        <v>0</v>
      </c>
      <c r="X125" s="126">
        <f t="shared" si="1444"/>
        <v>0</v>
      </c>
      <c r="Y125" s="126">
        <f t="shared" si="1444"/>
        <v>0</v>
      </c>
      <c r="Z125" s="126">
        <f t="shared" si="1444"/>
        <v>0</v>
      </c>
      <c r="AA125" s="126">
        <f t="shared" si="1444"/>
        <v>0</v>
      </c>
      <c r="AB125" s="126">
        <f t="shared" si="1444"/>
        <v>7.7692795621700686E-2</v>
      </c>
      <c r="AC125" s="126">
        <f t="shared" si="1444"/>
        <v>0</v>
      </c>
      <c r="AD125" s="126">
        <f t="shared" si="1444"/>
        <v>0</v>
      </c>
      <c r="AE125" s="126">
        <f t="shared" si="1444"/>
        <v>0</v>
      </c>
      <c r="AF125" s="126">
        <f t="shared" si="1444"/>
        <v>3.6441121534822686E-2</v>
      </c>
      <c r="AG125" s="126">
        <f t="shared" si="1444"/>
        <v>3.3173654755087142E-2</v>
      </c>
      <c r="AH125" s="126">
        <f t="shared" si="1444"/>
        <v>8.4139277909281815E-2</v>
      </c>
      <c r="AI125" s="126">
        <f t="shared" si="1444"/>
        <v>8.6234068410380948E-2</v>
      </c>
      <c r="AJ125" s="126">
        <f t="shared" si="1444"/>
        <v>6.7839555697537912E-2</v>
      </c>
      <c r="AK125" s="138">
        <f>MEDIAN(Q125,U125,Y125,AC125,AG125)</f>
        <v>0</v>
      </c>
      <c r="AL125" s="138">
        <f t="shared" ref="AL125" si="1445">MEDIAN(R125,V125,Z125,AD125,AH125)</f>
        <v>0</v>
      </c>
      <c r="AM125" s="138">
        <f t="shared" ref="AM125" si="1446">MEDIAN(S125,W125,AA125,AE125,AI125)</f>
        <v>0</v>
      </c>
      <c r="AN125" s="138">
        <f t="shared" ref="AN125" si="1447">MEDIAN(T125,X125,AB125,AF125,AJ125)</f>
        <v>3.6441121534822686E-2</v>
      </c>
      <c r="AO125" s="138">
        <f>AK125</f>
        <v>0</v>
      </c>
      <c r="AP125" s="138">
        <f t="shared" ref="AP125" si="1448">AL125</f>
        <v>0</v>
      </c>
      <c r="AQ125" s="138">
        <f t="shared" ref="AQ125" si="1449">AM125</f>
        <v>0</v>
      </c>
      <c r="AR125" s="138">
        <f t="shared" ref="AR125" si="1450">AN125</f>
        <v>3.6441121534822686E-2</v>
      </c>
      <c r="AS125" s="138">
        <f t="shared" ref="AS125" si="1451">AO125</f>
        <v>0</v>
      </c>
      <c r="AT125" s="138">
        <f t="shared" ref="AT125" si="1452">AP125</f>
        <v>0</v>
      </c>
      <c r="AU125" s="138">
        <f t="shared" ref="AU125" si="1453">AQ125</f>
        <v>0</v>
      </c>
      <c r="AV125" s="138">
        <f t="shared" ref="AV125" si="1454">AR125</f>
        <v>3.6441121534822686E-2</v>
      </c>
      <c r="AW125" s="138">
        <f t="shared" ref="AW125" si="1455">AS125</f>
        <v>0</v>
      </c>
      <c r="AX125" s="138">
        <f t="shared" ref="AX125" si="1456">AT125</f>
        <v>0</v>
      </c>
      <c r="AY125" s="138">
        <f t="shared" ref="AY125" si="1457">AU125</f>
        <v>0</v>
      </c>
      <c r="AZ125" s="138">
        <f t="shared" ref="AZ125" si="1458">AV125</f>
        <v>3.6441121534822686E-2</v>
      </c>
      <c r="BA125" s="138">
        <f t="shared" ref="BA125" si="1459">AW125</f>
        <v>0</v>
      </c>
      <c r="BB125" s="138">
        <f t="shared" ref="BB125" si="1460">AX125</f>
        <v>0</v>
      </c>
      <c r="BC125" s="138">
        <f t="shared" ref="BC125" si="1461">AY125</f>
        <v>0</v>
      </c>
      <c r="BD125" s="138">
        <f t="shared" ref="BD125" si="1462">AZ125</f>
        <v>3.6441121534822686E-2</v>
      </c>
    </row>
    <row r="127" spans="2:56" s="1" customFormat="1" ht="14" outlineLevel="1" x14ac:dyDescent="0.15">
      <c r="B127" s="38" t="s">
        <v>295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</row>
    <row r="129" spans="2:56" x14ac:dyDescent="0.2">
      <c r="B129" s="1" t="s">
        <v>89</v>
      </c>
      <c r="E129" s="43" t="s">
        <v>33</v>
      </c>
      <c r="F129" s="50">
        <f>T129</f>
        <v>0</v>
      </c>
      <c r="G129" s="50">
        <f>X129</f>
        <v>0</v>
      </c>
      <c r="H129" s="50">
        <f>AB129</f>
        <v>0</v>
      </c>
      <c r="I129" s="50">
        <f>AF129</f>
        <v>374161</v>
      </c>
      <c r="J129" s="50">
        <f>AJ129</f>
        <v>622985</v>
      </c>
      <c r="K129" s="50">
        <f>AN129</f>
        <v>0</v>
      </c>
      <c r="L129" s="50">
        <f>AR129</f>
        <v>0</v>
      </c>
      <c r="M129" s="50">
        <f>AV129</f>
        <v>0</v>
      </c>
      <c r="N129" s="50">
        <f>AZ129</f>
        <v>0</v>
      </c>
      <c r="O129" s="50">
        <f>BD129</f>
        <v>0</v>
      </c>
      <c r="Q129" s="143">
        <f>_xlfn.XLOOKUP('IS &amp; BS Projections'!$B129,'3FS'!$B:$B,'3FS'!P:P)</f>
        <v>0</v>
      </c>
      <c r="R129" s="143">
        <f>_xlfn.XLOOKUP('IS &amp; BS Projections'!$B129,'3FS'!$B:$B,'3FS'!Q:Q)</f>
        <v>0</v>
      </c>
      <c r="S129" s="143">
        <f>_xlfn.XLOOKUP('IS &amp; BS Projections'!$B129,'3FS'!$B:$B,'3FS'!R:R)</f>
        <v>0</v>
      </c>
      <c r="T129" s="143">
        <f>_xlfn.XLOOKUP('IS &amp; BS Projections'!$B129,'3FS'!$B:$B,'3FS'!S:S)</f>
        <v>0</v>
      </c>
      <c r="U129" s="143">
        <f>_xlfn.XLOOKUP('IS &amp; BS Projections'!$B129,'3FS'!$B:$B,'3FS'!T:T)</f>
        <v>0</v>
      </c>
      <c r="V129" s="143">
        <f>_xlfn.XLOOKUP('IS &amp; BS Projections'!$B129,'3FS'!$B:$B,'3FS'!U:U)</f>
        <v>0</v>
      </c>
      <c r="W129" s="143">
        <f>_xlfn.XLOOKUP('IS &amp; BS Projections'!$B129,'3FS'!$B:$B,'3FS'!V:V)</f>
        <v>0</v>
      </c>
      <c r="X129" s="143">
        <f>_xlfn.XLOOKUP('IS &amp; BS Projections'!$B129,'3FS'!$B:$B,'3FS'!W:W)</f>
        <v>0</v>
      </c>
      <c r="Y129" s="143">
        <f>_xlfn.XLOOKUP('IS &amp; BS Projections'!$B129,'3FS'!$B:$B,'3FS'!X:X)</f>
        <v>0</v>
      </c>
      <c r="Z129" s="143">
        <f>_xlfn.XLOOKUP('IS &amp; BS Projections'!$B129,'3FS'!$B:$B,'3FS'!Y:Y)</f>
        <v>0</v>
      </c>
      <c r="AA129" s="143">
        <f>_xlfn.XLOOKUP('IS &amp; BS Projections'!$B129,'3FS'!$B:$B,'3FS'!Z:Z)</f>
        <v>0</v>
      </c>
      <c r="AB129" s="143">
        <f>_xlfn.XLOOKUP('IS &amp; BS Projections'!$B129,'3FS'!$B:$B,'3FS'!AA:AA)</f>
        <v>0</v>
      </c>
      <c r="AC129" s="143">
        <f>_xlfn.XLOOKUP('IS &amp; BS Projections'!$B129,'3FS'!$B:$B,'3FS'!AB:AB)</f>
        <v>0</v>
      </c>
      <c r="AD129" s="143">
        <f>_xlfn.XLOOKUP('IS &amp; BS Projections'!$B129,'3FS'!$B:$B,'3FS'!AC:AC)</f>
        <v>0</v>
      </c>
      <c r="AE129" s="143">
        <f>_xlfn.XLOOKUP('IS &amp; BS Projections'!$B129,'3FS'!$B:$B,'3FS'!AD:AD)</f>
        <v>0</v>
      </c>
      <c r="AF129" s="143">
        <f>_xlfn.XLOOKUP('IS &amp; BS Projections'!$B129,'3FS'!$B:$B,'3FS'!AE:AE)</f>
        <v>374161</v>
      </c>
      <c r="AG129" s="143">
        <f>_xlfn.XLOOKUP('IS &amp; BS Projections'!$B129,'3FS'!$B:$B,'3FS'!AF:AF)</f>
        <v>0</v>
      </c>
      <c r="AH129" s="143">
        <f>_xlfn.XLOOKUP('IS &amp; BS Projections'!$B129,'3FS'!$B:$B,'3FS'!AG:AG)</f>
        <v>1933843</v>
      </c>
      <c r="AI129" s="143">
        <f>_xlfn.XLOOKUP('IS &amp; BS Projections'!$B129,'3FS'!$B:$B,'3FS'!AH:AH)</f>
        <v>401728</v>
      </c>
      <c r="AJ129" s="143">
        <f>_xlfn.XLOOKUP('IS &amp; BS Projections'!$B129,'3FS'!$B:$B,'3FS'!AI:AI)</f>
        <v>622985</v>
      </c>
      <c r="AK129" s="50">
        <f>AK130*AK$10</f>
        <v>0</v>
      </c>
      <c r="AL129" s="50">
        <f t="shared" ref="AL129:BD129" si="1463">AL130*AL$10</f>
        <v>0</v>
      </c>
      <c r="AM129" s="50">
        <f t="shared" si="1463"/>
        <v>0</v>
      </c>
      <c r="AN129" s="50">
        <f t="shared" si="1463"/>
        <v>0</v>
      </c>
      <c r="AO129" s="50">
        <f t="shared" si="1463"/>
        <v>0</v>
      </c>
      <c r="AP129" s="50">
        <f t="shared" si="1463"/>
        <v>0</v>
      </c>
      <c r="AQ129" s="50">
        <f t="shared" si="1463"/>
        <v>0</v>
      </c>
      <c r="AR129" s="50">
        <f t="shared" si="1463"/>
        <v>0</v>
      </c>
      <c r="AS129" s="50">
        <f t="shared" si="1463"/>
        <v>0</v>
      </c>
      <c r="AT129" s="50">
        <f t="shared" si="1463"/>
        <v>0</v>
      </c>
      <c r="AU129" s="50">
        <f t="shared" si="1463"/>
        <v>0</v>
      </c>
      <c r="AV129" s="50">
        <f t="shared" si="1463"/>
        <v>0</v>
      </c>
      <c r="AW129" s="50">
        <f t="shared" si="1463"/>
        <v>0</v>
      </c>
      <c r="AX129" s="50">
        <f t="shared" si="1463"/>
        <v>0</v>
      </c>
      <c r="AY129" s="50">
        <f t="shared" si="1463"/>
        <v>0</v>
      </c>
      <c r="AZ129" s="50">
        <f t="shared" si="1463"/>
        <v>0</v>
      </c>
      <c r="BA129" s="50">
        <f t="shared" si="1463"/>
        <v>0</v>
      </c>
      <c r="BB129" s="50">
        <f t="shared" si="1463"/>
        <v>0</v>
      </c>
      <c r="BC129" s="50">
        <f t="shared" si="1463"/>
        <v>0</v>
      </c>
      <c r="BD129" s="50">
        <f t="shared" si="1463"/>
        <v>0</v>
      </c>
    </row>
    <row r="130" spans="2:56" x14ac:dyDescent="0.2">
      <c r="B130" s="98" t="s">
        <v>293</v>
      </c>
      <c r="C130" s="45"/>
      <c r="D130" s="45"/>
      <c r="E130" s="46" t="s">
        <v>36</v>
      </c>
      <c r="F130" s="126">
        <f t="shared" ref="F130:O130" si="1464">F129/F$10</f>
        <v>0</v>
      </c>
      <c r="G130" s="126">
        <f t="shared" si="1464"/>
        <v>0</v>
      </c>
      <c r="H130" s="126">
        <f t="shared" si="1464"/>
        <v>0</v>
      </c>
      <c r="I130" s="126">
        <f t="shared" si="1464"/>
        <v>5.7001737347860189E-2</v>
      </c>
      <c r="J130" s="126">
        <f t="shared" si="1464"/>
        <v>0.11536340532825105</v>
      </c>
      <c r="K130" s="126">
        <f t="shared" si="1464"/>
        <v>0</v>
      </c>
      <c r="L130" s="126">
        <f t="shared" si="1464"/>
        <v>0</v>
      </c>
      <c r="M130" s="126">
        <f t="shared" si="1464"/>
        <v>0</v>
      </c>
      <c r="N130" s="126">
        <f t="shared" si="1464"/>
        <v>0</v>
      </c>
      <c r="O130" s="126">
        <f t="shared" si="1464"/>
        <v>0</v>
      </c>
      <c r="P130" s="81"/>
      <c r="Q130" s="126">
        <f>Q129/Q$10</f>
        <v>0</v>
      </c>
      <c r="R130" s="126">
        <f t="shared" ref="R130:AJ130" si="1465">R129/R$10</f>
        <v>0</v>
      </c>
      <c r="S130" s="126">
        <f t="shared" si="1465"/>
        <v>0</v>
      </c>
      <c r="T130" s="126">
        <f t="shared" si="1465"/>
        <v>0</v>
      </c>
      <c r="U130" s="126">
        <f t="shared" si="1465"/>
        <v>0</v>
      </c>
      <c r="V130" s="126">
        <f t="shared" si="1465"/>
        <v>0</v>
      </c>
      <c r="W130" s="126">
        <f t="shared" si="1465"/>
        <v>0</v>
      </c>
      <c r="X130" s="126">
        <f t="shared" si="1465"/>
        <v>0</v>
      </c>
      <c r="Y130" s="126">
        <f t="shared" si="1465"/>
        <v>0</v>
      </c>
      <c r="Z130" s="126">
        <f t="shared" si="1465"/>
        <v>0</v>
      </c>
      <c r="AA130" s="126">
        <f t="shared" si="1465"/>
        <v>0</v>
      </c>
      <c r="AB130" s="126">
        <f t="shared" si="1465"/>
        <v>0</v>
      </c>
      <c r="AC130" s="126">
        <f t="shared" si="1465"/>
        <v>0</v>
      </c>
      <c r="AD130" s="126">
        <f t="shared" si="1465"/>
        <v>0</v>
      </c>
      <c r="AE130" s="126">
        <f t="shared" si="1465"/>
        <v>0</v>
      </c>
      <c r="AF130" s="126">
        <f t="shared" si="1465"/>
        <v>0.16470985461145421</v>
      </c>
      <c r="AG130" s="126">
        <f t="shared" si="1465"/>
        <v>0</v>
      </c>
      <c r="AH130" s="126">
        <f t="shared" si="1465"/>
        <v>1.2916328258999417</v>
      </c>
      <c r="AI130" s="126">
        <f t="shared" si="1465"/>
        <v>0.21497806220711482</v>
      </c>
      <c r="AJ130" s="126">
        <f t="shared" si="1465"/>
        <v>0.34976972470831702</v>
      </c>
      <c r="AK130" s="138">
        <f>MEDIAN(Q130,U130,Y130,AC130,AG130)</f>
        <v>0</v>
      </c>
      <c r="AL130" s="138">
        <f t="shared" ref="AL130" si="1466">MEDIAN(R130,V130,Z130,AD130,AH130)</f>
        <v>0</v>
      </c>
      <c r="AM130" s="138">
        <f t="shared" ref="AM130" si="1467">MEDIAN(S130,W130,AA130,AE130,AI130)</f>
        <v>0</v>
      </c>
      <c r="AN130" s="138">
        <f t="shared" ref="AN130" si="1468">MEDIAN(T130,X130,AB130,AF130,AJ130)</f>
        <v>0</v>
      </c>
      <c r="AO130" s="138">
        <f>AK130</f>
        <v>0</v>
      </c>
      <c r="AP130" s="138">
        <f t="shared" ref="AP130" si="1469">AL130</f>
        <v>0</v>
      </c>
      <c r="AQ130" s="138">
        <f t="shared" ref="AQ130" si="1470">AM130</f>
        <v>0</v>
      </c>
      <c r="AR130" s="138">
        <f t="shared" ref="AR130" si="1471">AN130</f>
        <v>0</v>
      </c>
      <c r="AS130" s="138">
        <f t="shared" ref="AS130" si="1472">AO130</f>
        <v>0</v>
      </c>
      <c r="AT130" s="138">
        <f t="shared" ref="AT130" si="1473">AP130</f>
        <v>0</v>
      </c>
      <c r="AU130" s="138">
        <f t="shared" ref="AU130" si="1474">AQ130</f>
        <v>0</v>
      </c>
      <c r="AV130" s="138">
        <f t="shared" ref="AV130" si="1475">AR130</f>
        <v>0</v>
      </c>
      <c r="AW130" s="138">
        <f t="shared" ref="AW130" si="1476">AS130</f>
        <v>0</v>
      </c>
      <c r="AX130" s="138">
        <f t="shared" ref="AX130" si="1477">AT130</f>
        <v>0</v>
      </c>
      <c r="AY130" s="138">
        <f t="shared" ref="AY130" si="1478">AU130</f>
        <v>0</v>
      </c>
      <c r="AZ130" s="138">
        <f t="shared" ref="AZ130" si="1479">AV130</f>
        <v>0</v>
      </c>
      <c r="BA130" s="138">
        <f t="shared" ref="BA130" si="1480">AW130</f>
        <v>0</v>
      </c>
      <c r="BB130" s="138">
        <f t="shared" ref="BB130" si="1481">AX130</f>
        <v>0</v>
      </c>
      <c r="BC130" s="138">
        <f t="shared" ref="BC130" si="1482">AY130</f>
        <v>0</v>
      </c>
      <c r="BD130" s="138">
        <f t="shared" ref="BD130" si="1483">AZ130</f>
        <v>0</v>
      </c>
    </row>
    <row r="132" spans="2:56" x14ac:dyDescent="0.2">
      <c r="B132" s="1" t="s">
        <v>90</v>
      </c>
      <c r="E132" s="43" t="s">
        <v>33</v>
      </c>
      <c r="F132" s="50">
        <f>T132</f>
        <v>0</v>
      </c>
      <c r="G132" s="50">
        <f>X132</f>
        <v>1046791</v>
      </c>
      <c r="H132" s="50">
        <f>AB132</f>
        <v>1272233</v>
      </c>
      <c r="I132" s="50">
        <f>AF132</f>
        <v>941298</v>
      </c>
      <c r="J132" s="50">
        <f>AJ132</f>
        <v>570819</v>
      </c>
      <c r="K132" s="50">
        <f>AN132</f>
        <v>720871.13128086086</v>
      </c>
      <c r="L132" s="50">
        <f>AR132</f>
        <v>814079.55555195024</v>
      </c>
      <c r="M132" s="50">
        <f>AV132</f>
        <v>911285.49631374876</v>
      </c>
      <c r="N132" s="50">
        <f>AZ132</f>
        <v>1064361.7674180437</v>
      </c>
      <c r="O132" s="50">
        <f>BD132</f>
        <v>1310724.1555440784</v>
      </c>
      <c r="Q132" s="143">
        <f>_xlfn.XLOOKUP('IS &amp; BS Projections'!$B132,'3FS'!$B:$B,'3FS'!P:P)</f>
        <v>0</v>
      </c>
      <c r="R132" s="143">
        <f>_xlfn.XLOOKUP('IS &amp; BS Projections'!$B132,'3FS'!$B:$B,'3FS'!Q:Q)</f>
        <v>0</v>
      </c>
      <c r="S132" s="143">
        <f>_xlfn.XLOOKUP('IS &amp; BS Projections'!$B132,'3FS'!$B:$B,'3FS'!R:R)</f>
        <v>0</v>
      </c>
      <c r="T132" s="143">
        <f>_xlfn.XLOOKUP('IS &amp; BS Projections'!$B132,'3FS'!$B:$B,'3FS'!S:S)</f>
        <v>0</v>
      </c>
      <c r="U132" s="143">
        <f>_xlfn.XLOOKUP('IS &amp; BS Projections'!$B132,'3FS'!$B:$B,'3FS'!T:T)</f>
        <v>0</v>
      </c>
      <c r="V132" s="143">
        <f>_xlfn.XLOOKUP('IS &amp; BS Projections'!$B132,'3FS'!$B:$B,'3FS'!U:U)</f>
        <v>0</v>
      </c>
      <c r="W132" s="143">
        <f>_xlfn.XLOOKUP('IS &amp; BS Projections'!$B132,'3FS'!$B:$B,'3FS'!V:V)</f>
        <v>0</v>
      </c>
      <c r="X132" s="143">
        <f>_xlfn.XLOOKUP('IS &amp; BS Projections'!$B132,'3FS'!$B:$B,'3FS'!W:W)</f>
        <v>1046791</v>
      </c>
      <c r="Y132" s="143">
        <f>_xlfn.XLOOKUP('IS &amp; BS Projections'!$B132,'3FS'!$B:$B,'3FS'!X:X)</f>
        <v>0</v>
      </c>
      <c r="Z132" s="143">
        <f>_xlfn.XLOOKUP('IS &amp; BS Projections'!$B132,'3FS'!$B:$B,'3FS'!Y:Y)</f>
        <v>0</v>
      </c>
      <c r="AA132" s="143">
        <f>_xlfn.XLOOKUP('IS &amp; BS Projections'!$B132,'3FS'!$B:$B,'3FS'!Z:Z)</f>
        <v>0</v>
      </c>
      <c r="AB132" s="143">
        <f>_xlfn.XLOOKUP('IS &amp; BS Projections'!$B132,'3FS'!$B:$B,'3FS'!AA:AA)</f>
        <v>1272233</v>
      </c>
      <c r="AC132" s="143">
        <f>_xlfn.XLOOKUP('IS &amp; BS Projections'!$B132,'3FS'!$B:$B,'3FS'!AB:AB)</f>
        <v>879671</v>
      </c>
      <c r="AD132" s="143">
        <f>_xlfn.XLOOKUP('IS &amp; BS Projections'!$B132,'3FS'!$B:$B,'3FS'!AC:AC)</f>
        <v>1010154</v>
      </c>
      <c r="AE132" s="143">
        <f>_xlfn.XLOOKUP('IS &amp; BS Projections'!$B132,'3FS'!$B:$B,'3FS'!AD:AD)</f>
        <v>1032959</v>
      </c>
      <c r="AF132" s="143">
        <f>_xlfn.XLOOKUP('IS &amp; BS Projections'!$B132,'3FS'!$B:$B,'3FS'!AE:AE)</f>
        <v>941298</v>
      </c>
      <c r="AG132" s="143">
        <f>_xlfn.XLOOKUP('IS &amp; BS Projections'!$B132,'3FS'!$B:$B,'3FS'!AF:AF)</f>
        <v>995529</v>
      </c>
      <c r="AH132" s="143">
        <f>_xlfn.XLOOKUP('IS &amp; BS Projections'!$B132,'3FS'!$B:$B,'3FS'!AG:AG)</f>
        <v>541354</v>
      </c>
      <c r="AI132" s="143">
        <f>_xlfn.XLOOKUP('IS &amp; BS Projections'!$B132,'3FS'!$B:$B,'3FS'!AH:AH)</f>
        <v>324096</v>
      </c>
      <c r="AJ132" s="143">
        <f>_xlfn.XLOOKUP('IS &amp; BS Projections'!$B132,'3FS'!$B:$B,'3FS'!AI:AI)</f>
        <v>570819</v>
      </c>
      <c r="AK132" s="50">
        <f>AK133*AK$10</f>
        <v>0</v>
      </c>
      <c r="AL132" s="50">
        <f t="shared" ref="AL132:BD132" si="1484">AL133*AL$10</f>
        <v>0</v>
      </c>
      <c r="AM132" s="50">
        <f t="shared" si="1484"/>
        <v>0</v>
      </c>
      <c r="AN132" s="50">
        <f t="shared" si="1484"/>
        <v>720871.13128086086</v>
      </c>
      <c r="AO132" s="50">
        <f t="shared" si="1484"/>
        <v>0</v>
      </c>
      <c r="AP132" s="50">
        <f t="shared" si="1484"/>
        <v>0</v>
      </c>
      <c r="AQ132" s="50">
        <f t="shared" si="1484"/>
        <v>0</v>
      </c>
      <c r="AR132" s="50">
        <f t="shared" si="1484"/>
        <v>814079.55555195024</v>
      </c>
      <c r="AS132" s="50">
        <f t="shared" si="1484"/>
        <v>0</v>
      </c>
      <c r="AT132" s="50">
        <f t="shared" si="1484"/>
        <v>0</v>
      </c>
      <c r="AU132" s="50">
        <f t="shared" si="1484"/>
        <v>0</v>
      </c>
      <c r="AV132" s="50">
        <f t="shared" si="1484"/>
        <v>911285.49631374876</v>
      </c>
      <c r="AW132" s="50">
        <f t="shared" si="1484"/>
        <v>0</v>
      </c>
      <c r="AX132" s="50">
        <f t="shared" si="1484"/>
        <v>0</v>
      </c>
      <c r="AY132" s="50">
        <f t="shared" si="1484"/>
        <v>0</v>
      </c>
      <c r="AZ132" s="50">
        <f t="shared" si="1484"/>
        <v>1064361.7674180437</v>
      </c>
      <c r="BA132" s="50">
        <f t="shared" si="1484"/>
        <v>0</v>
      </c>
      <c r="BB132" s="50">
        <f t="shared" si="1484"/>
        <v>0</v>
      </c>
      <c r="BC132" s="50">
        <f t="shared" si="1484"/>
        <v>0</v>
      </c>
      <c r="BD132" s="50">
        <f t="shared" si="1484"/>
        <v>1310724.1555440784</v>
      </c>
    </row>
    <row r="133" spans="2:56" x14ac:dyDescent="0.2">
      <c r="B133" s="98" t="s">
        <v>293</v>
      </c>
      <c r="C133" s="45"/>
      <c r="D133" s="45"/>
      <c r="E133" s="46" t="s">
        <v>36</v>
      </c>
      <c r="F133" s="126">
        <f t="shared" ref="F133:O133" si="1485">F132/F$10</f>
        <v>0</v>
      </c>
      <c r="G133" s="126">
        <f t="shared" si="1485"/>
        <v>0.32771535228764065</v>
      </c>
      <c r="H133" s="126">
        <f t="shared" si="1485"/>
        <v>0.40929094001607907</v>
      </c>
      <c r="I133" s="126">
        <f t="shared" si="1485"/>
        <v>0.14340249615022971</v>
      </c>
      <c r="J133" s="126">
        <f t="shared" si="1485"/>
        <v>0.10570338558081965</v>
      </c>
      <c r="K133" s="126">
        <f t="shared" si="1485"/>
        <v>9.2889541366240169E-2</v>
      </c>
      <c r="L133" s="126">
        <f t="shared" si="1485"/>
        <v>9.3813225643041898E-2</v>
      </c>
      <c r="M133" s="126">
        <f t="shared" si="1485"/>
        <v>9.3706771608922879E-2</v>
      </c>
      <c r="N133" s="126">
        <f t="shared" si="1485"/>
        <v>9.4237906256071993E-2</v>
      </c>
      <c r="O133" s="126">
        <f t="shared" si="1485"/>
        <v>0.1227552462183453</v>
      </c>
      <c r="P133" s="81"/>
      <c r="Q133" s="126">
        <f>Q132/Q$10</f>
        <v>0</v>
      </c>
      <c r="R133" s="126">
        <f t="shared" ref="R133:AJ133" si="1486">R132/R$10</f>
        <v>0</v>
      </c>
      <c r="S133" s="126">
        <f t="shared" si="1486"/>
        <v>0</v>
      </c>
      <c r="T133" s="126">
        <f t="shared" si="1486"/>
        <v>0</v>
      </c>
      <c r="U133" s="126">
        <f t="shared" si="1486"/>
        <v>0</v>
      </c>
      <c r="V133" s="126">
        <f t="shared" si="1486"/>
        <v>0</v>
      </c>
      <c r="W133" s="126">
        <f t="shared" si="1486"/>
        <v>0</v>
      </c>
      <c r="X133" s="126">
        <f t="shared" si="1486"/>
        <v>1.6639289279424201</v>
      </c>
      <c r="Y133" s="126">
        <f t="shared" si="1486"/>
        <v>0</v>
      </c>
      <c r="Z133" s="126">
        <f t="shared" si="1486"/>
        <v>0</v>
      </c>
      <c r="AA133" s="126">
        <f t="shared" si="1486"/>
        <v>0</v>
      </c>
      <c r="AB133" s="126">
        <f t="shared" si="1486"/>
        <v>1.3338641951362715</v>
      </c>
      <c r="AC133" s="126">
        <f t="shared" si="1486"/>
        <v>0.5371807006723377</v>
      </c>
      <c r="AD133" s="126">
        <f t="shared" si="1486"/>
        <v>0.69683670569277079</v>
      </c>
      <c r="AE133" s="126">
        <f t="shared" si="1486"/>
        <v>0.8570901092190214</v>
      </c>
      <c r="AF133" s="126">
        <f t="shared" si="1486"/>
        <v>0.41436990152916159</v>
      </c>
      <c r="AG133" s="126">
        <f t="shared" si="1486"/>
        <v>0.48937297687896791</v>
      </c>
      <c r="AH133" s="126">
        <f t="shared" si="1486"/>
        <v>0.36157567953150133</v>
      </c>
      <c r="AI133" s="126">
        <f t="shared" si="1486"/>
        <v>0.17343458770381223</v>
      </c>
      <c r="AJ133" s="126">
        <f t="shared" si="1486"/>
        <v>0.32048155972981185</v>
      </c>
      <c r="AK133" s="138">
        <f>MEDIAN(Q133,U133,Y133,AC133,AG133)</f>
        <v>0</v>
      </c>
      <c r="AL133" s="138">
        <f t="shared" ref="AL133" si="1487">MEDIAN(R133,V133,Z133,AD133,AH133)</f>
        <v>0</v>
      </c>
      <c r="AM133" s="138">
        <f t="shared" ref="AM133" si="1488">MEDIAN(S133,W133,AA133,AE133,AI133)</f>
        <v>0</v>
      </c>
      <c r="AN133" s="138">
        <f t="shared" ref="AN133" si="1489">MEDIAN(T133,X133,AB133,AF133,AJ133)</f>
        <v>0.41436990152916159</v>
      </c>
      <c r="AO133" s="138">
        <f>AK133</f>
        <v>0</v>
      </c>
      <c r="AP133" s="138">
        <f t="shared" ref="AP133" si="1490">AL133</f>
        <v>0</v>
      </c>
      <c r="AQ133" s="138">
        <f t="shared" ref="AQ133" si="1491">AM133</f>
        <v>0</v>
      </c>
      <c r="AR133" s="138">
        <f t="shared" ref="AR133" si="1492">AN133</f>
        <v>0.41436990152916159</v>
      </c>
      <c r="AS133" s="138">
        <f t="shared" ref="AS133" si="1493">AO133</f>
        <v>0</v>
      </c>
      <c r="AT133" s="138">
        <f t="shared" ref="AT133" si="1494">AP133</f>
        <v>0</v>
      </c>
      <c r="AU133" s="138">
        <f t="shared" ref="AU133" si="1495">AQ133</f>
        <v>0</v>
      </c>
      <c r="AV133" s="138">
        <f t="shared" ref="AV133" si="1496">AR133</f>
        <v>0.41436990152916159</v>
      </c>
      <c r="AW133" s="138">
        <f t="shared" ref="AW133" si="1497">AS133</f>
        <v>0</v>
      </c>
      <c r="AX133" s="138">
        <f t="shared" ref="AX133" si="1498">AT133</f>
        <v>0</v>
      </c>
      <c r="AY133" s="138">
        <f t="shared" ref="AY133" si="1499">AU133</f>
        <v>0</v>
      </c>
      <c r="AZ133" s="138">
        <f t="shared" ref="AZ133" si="1500">AV133</f>
        <v>0.41436990152916159</v>
      </c>
      <c r="BA133" s="138">
        <f t="shared" ref="BA133" si="1501">AW133</f>
        <v>0</v>
      </c>
      <c r="BB133" s="138">
        <f t="shared" ref="BB133" si="1502">AX133</f>
        <v>0</v>
      </c>
      <c r="BC133" s="138">
        <f t="shared" ref="BC133" si="1503">AY133</f>
        <v>0</v>
      </c>
      <c r="BD133" s="138">
        <f t="shared" ref="BD133" si="1504">AZ133</f>
        <v>0.41436990152916159</v>
      </c>
    </row>
    <row r="135" spans="2:56" x14ac:dyDescent="0.2">
      <c r="B135" s="1" t="s">
        <v>91</v>
      </c>
      <c r="E135" s="43" t="s">
        <v>33</v>
      </c>
      <c r="F135" s="50">
        <f>T135</f>
        <v>625758</v>
      </c>
      <c r="G135" s="50">
        <f>X135</f>
        <v>1073906</v>
      </c>
      <c r="H135" s="50">
        <f>AB135</f>
        <v>1139670</v>
      </c>
      <c r="I135" s="50">
        <f>AF135</f>
        <v>1139670</v>
      </c>
      <c r="J135" s="50">
        <f>AJ135</f>
        <v>4168967</v>
      </c>
      <c r="K135" s="50">
        <f>AN135</f>
        <v>2078708.0906860565</v>
      </c>
      <c r="L135" s="50">
        <f>AR135</f>
        <v>2347484.4325935859</v>
      </c>
      <c r="M135" s="50">
        <f>AV135</f>
        <v>2627788.0357705783</v>
      </c>
      <c r="N135" s="50">
        <f>AZ135</f>
        <v>3069199.6410198598</v>
      </c>
      <c r="O135" s="50">
        <f>BD135</f>
        <v>3779611.6234339536</v>
      </c>
      <c r="Q135" s="143">
        <f>_xlfn.XLOOKUP('IS &amp; BS Projections'!$B135,'3FS'!$B:$B,'3FS'!P:P)</f>
        <v>481379</v>
      </c>
      <c r="R135" s="143">
        <f>_xlfn.XLOOKUP('IS &amp; BS Projections'!$B135,'3FS'!$B:$B,'3FS'!Q:Q)</f>
        <v>501259</v>
      </c>
      <c r="S135" s="143">
        <f>_xlfn.XLOOKUP('IS &amp; BS Projections'!$B135,'3FS'!$B:$B,'3FS'!R:R)</f>
        <v>567420</v>
      </c>
      <c r="T135" s="143">
        <f>_xlfn.XLOOKUP('IS &amp; BS Projections'!$B135,'3FS'!$B:$B,'3FS'!S:S)</f>
        <v>625758</v>
      </c>
      <c r="U135" s="143">
        <f>_xlfn.XLOOKUP('IS &amp; BS Projections'!$B135,'3FS'!$B:$B,'3FS'!T:T)</f>
        <v>1080176</v>
      </c>
      <c r="V135" s="143">
        <f>_xlfn.XLOOKUP('IS &amp; BS Projections'!$B135,'3FS'!$B:$B,'3FS'!U:U)</f>
        <v>1073906</v>
      </c>
      <c r="W135" s="143">
        <f>_xlfn.XLOOKUP('IS &amp; BS Projections'!$B135,'3FS'!$B:$B,'3FS'!V:V)</f>
        <v>1073906</v>
      </c>
      <c r="X135" s="143">
        <f>_xlfn.XLOOKUP('IS &amp; BS Projections'!$B135,'3FS'!$B:$B,'3FS'!W:W)</f>
        <v>1073906</v>
      </c>
      <c r="Y135" s="143">
        <f>_xlfn.XLOOKUP('IS &amp; BS Projections'!$B135,'3FS'!$B:$B,'3FS'!X:X)</f>
        <v>1139670</v>
      </c>
      <c r="Z135" s="143">
        <f>_xlfn.XLOOKUP('IS &amp; BS Projections'!$B135,'3FS'!$B:$B,'3FS'!Y:Y)</f>
        <v>1139670</v>
      </c>
      <c r="AA135" s="143">
        <f>_xlfn.XLOOKUP('IS &amp; BS Projections'!$B135,'3FS'!$B:$B,'3FS'!Z:Z)</f>
        <v>1139670</v>
      </c>
      <c r="AB135" s="143">
        <f>_xlfn.XLOOKUP('IS &amp; BS Projections'!$B135,'3FS'!$B:$B,'3FS'!AA:AA)</f>
        <v>1139670</v>
      </c>
      <c r="AC135" s="143">
        <f>_xlfn.XLOOKUP('IS &amp; BS Projections'!$B135,'3FS'!$B:$B,'3FS'!AB:AB)</f>
        <v>1139670</v>
      </c>
      <c r="AD135" s="143">
        <f>_xlfn.XLOOKUP('IS &amp; BS Projections'!$B135,'3FS'!$B:$B,'3FS'!AC:AC)</f>
        <v>1139670</v>
      </c>
      <c r="AE135" s="143">
        <f>_xlfn.XLOOKUP('IS &amp; BS Projections'!$B135,'3FS'!$B:$B,'3FS'!AD:AD)</f>
        <v>1139670</v>
      </c>
      <c r="AF135" s="143">
        <f>_xlfn.XLOOKUP('IS &amp; BS Projections'!$B135,'3FS'!$B:$B,'3FS'!AE:AE)</f>
        <v>1139670</v>
      </c>
      <c r="AG135" s="143">
        <f>_xlfn.XLOOKUP('IS &amp; BS Projections'!$B135,'3FS'!$B:$B,'3FS'!AF:AF)</f>
        <v>1153621</v>
      </c>
      <c r="AH135" s="143">
        <f>_xlfn.XLOOKUP('IS &amp; BS Projections'!$B135,'3FS'!$B:$B,'3FS'!AG:AG)</f>
        <v>1153621</v>
      </c>
      <c r="AI135" s="143">
        <f>_xlfn.XLOOKUP('IS &amp; BS Projections'!$B135,'3FS'!$B:$B,'3FS'!AH:AH)</f>
        <v>4004112</v>
      </c>
      <c r="AJ135" s="143">
        <f>_xlfn.XLOOKUP('IS &amp; BS Projections'!$B135,'3FS'!$B:$B,'3FS'!AI:AI)</f>
        <v>4168967</v>
      </c>
      <c r="AK135" s="50">
        <f>AK136*AK$10</f>
        <v>1296926.0104076592</v>
      </c>
      <c r="AL135" s="50">
        <f t="shared" ref="AL135:BD135" si="1505">AL136*AL$10</f>
        <v>1402140.2301622934</v>
      </c>
      <c r="AM135" s="50">
        <f t="shared" si="1505"/>
        <v>4013037.8342944165</v>
      </c>
      <c r="AN135" s="50">
        <f t="shared" si="1505"/>
        <v>2078708.0906860565</v>
      </c>
      <c r="AO135" s="50">
        <f t="shared" si="1505"/>
        <v>1353432.1558379543</v>
      </c>
      <c r="AP135" s="50">
        <f t="shared" si="1505"/>
        <v>1595187.9794702251</v>
      </c>
      <c r="AQ135" s="50">
        <f t="shared" si="1505"/>
        <v>4630858.8063806128</v>
      </c>
      <c r="AR135" s="50">
        <f t="shared" si="1505"/>
        <v>2347484.4325935859</v>
      </c>
      <c r="AS135" s="50">
        <f t="shared" si="1505"/>
        <v>1473296.6150162048</v>
      </c>
      <c r="AT135" s="50">
        <f t="shared" si="1505"/>
        <v>1825411.292584246</v>
      </c>
      <c r="AU135" s="50">
        <f t="shared" si="1505"/>
        <v>5218393.6261294428</v>
      </c>
      <c r="AV135" s="50">
        <f t="shared" si="1505"/>
        <v>2627788.0357705783</v>
      </c>
      <c r="AW135" s="50">
        <f t="shared" si="1505"/>
        <v>1626701.8741046584</v>
      </c>
      <c r="AX135" s="50">
        <f t="shared" si="1505"/>
        <v>2170992.016639912</v>
      </c>
      <c r="AY135" s="50">
        <f t="shared" si="1505"/>
        <v>6131512.0562932193</v>
      </c>
      <c r="AZ135" s="50">
        <f t="shared" si="1505"/>
        <v>3069199.6410198598</v>
      </c>
      <c r="BA135" s="50">
        <f t="shared" si="1505"/>
        <v>1868975.9561361438</v>
      </c>
      <c r="BB135" s="50">
        <f t="shared" si="1505"/>
        <v>2730057.004928234</v>
      </c>
      <c r="BC135" s="50">
        <f t="shared" si="1505"/>
        <v>7640350.4028927106</v>
      </c>
      <c r="BD135" s="50">
        <f t="shared" si="1505"/>
        <v>3779611.6234339536</v>
      </c>
    </row>
    <row r="136" spans="2:56" x14ac:dyDescent="0.2">
      <c r="B136" s="98" t="s">
        <v>293</v>
      </c>
      <c r="C136" s="45"/>
      <c r="D136" s="45"/>
      <c r="E136" s="46" t="s">
        <v>36</v>
      </c>
      <c r="F136" s="126">
        <f t="shared" ref="F136:O136" si="1506">F135/F$10</f>
        <v>7.9821722073437601E-2</v>
      </c>
      <c r="G136" s="126">
        <f t="shared" si="1506"/>
        <v>0.33620415451968061</v>
      </c>
      <c r="H136" s="126">
        <f t="shared" si="1506"/>
        <v>0.36664400751130088</v>
      </c>
      <c r="I136" s="126">
        <f t="shared" si="1506"/>
        <v>0.17362357381778384</v>
      </c>
      <c r="J136" s="126">
        <f t="shared" si="1506"/>
        <v>0.77200290507974156</v>
      </c>
      <c r="K136" s="126">
        <f t="shared" si="1506"/>
        <v>0.26785680935097689</v>
      </c>
      <c r="L136" s="126">
        <f t="shared" si="1506"/>
        <v>0.27052035058062168</v>
      </c>
      <c r="M136" s="126">
        <f t="shared" si="1506"/>
        <v>0.27021337912288523</v>
      </c>
      <c r="N136" s="126">
        <f t="shared" si="1506"/>
        <v>0.2717449620097056</v>
      </c>
      <c r="O136" s="126">
        <f t="shared" si="1506"/>
        <v>0.3539777255815989</v>
      </c>
      <c r="P136" s="81"/>
      <c r="Q136" s="126">
        <f>Q135/Q$10</f>
        <v>0.26726766575315691</v>
      </c>
      <c r="R136" s="126">
        <f t="shared" ref="R136:AJ136" si="1507">R135/R$10</f>
        <v>0.22498543511962951</v>
      </c>
      <c r="S136" s="126">
        <f t="shared" si="1507"/>
        <v>0.43251508489924601</v>
      </c>
      <c r="T136" s="126">
        <f t="shared" si="1507"/>
        <v>0.25045718107492487</v>
      </c>
      <c r="U136" s="126">
        <f t="shared" si="1507"/>
        <v>0.92604823582262552</v>
      </c>
      <c r="V136" s="126">
        <f t="shared" si="1507"/>
        <v>1.3285572016206353</v>
      </c>
      <c r="W136" s="126">
        <f t="shared" si="1507"/>
        <v>1.8191344295396374</v>
      </c>
      <c r="X136" s="126">
        <f t="shared" si="1507"/>
        <v>1.7070296356110557</v>
      </c>
      <c r="Y136" s="126">
        <f t="shared" si="1507"/>
        <v>1.4752455894859611</v>
      </c>
      <c r="Z136" s="126">
        <f t="shared" si="1507"/>
        <v>1.6099057649902317</v>
      </c>
      <c r="AA136" s="126">
        <f t="shared" si="1507"/>
        <v>1.6905338293668453</v>
      </c>
      <c r="AB136" s="126">
        <f t="shared" si="1507"/>
        <v>1.1948794028066827</v>
      </c>
      <c r="AC136" s="126">
        <f t="shared" si="1507"/>
        <v>0.69595192877251044</v>
      </c>
      <c r="AD136" s="126">
        <f t="shared" si="1507"/>
        <v>0.78618100643751365</v>
      </c>
      <c r="AE136" s="126">
        <f t="shared" si="1507"/>
        <v>0.94563277416978031</v>
      </c>
      <c r="AF136" s="126">
        <f t="shared" si="1507"/>
        <v>0.50169547335247666</v>
      </c>
      <c r="AG136" s="126">
        <f t="shared" si="1507"/>
        <v>0.56708638619275964</v>
      </c>
      <c r="AH136" s="126">
        <f t="shared" si="1507"/>
        <v>0.7705148516438598</v>
      </c>
      <c r="AI136" s="126">
        <f t="shared" si="1507"/>
        <v>2.1427339857322738</v>
      </c>
      <c r="AJ136" s="126">
        <f t="shared" si="1507"/>
        <v>2.3406317004551607</v>
      </c>
      <c r="AK136" s="138">
        <f>MEDIAN(Q136,U136,Y136,AC136,AG136)</f>
        <v>0.69595192877251044</v>
      </c>
      <c r="AL136" s="138">
        <f t="shared" ref="AL136" si="1508">MEDIAN(R136,V136,Z136,AD136,AH136)</f>
        <v>0.78618100643751365</v>
      </c>
      <c r="AM136" s="138">
        <f t="shared" ref="AM136" si="1509">MEDIAN(S136,W136,AA136,AE136,AI136)</f>
        <v>1.6905338293668453</v>
      </c>
      <c r="AN136" s="138">
        <f t="shared" ref="AN136" si="1510">MEDIAN(T136,X136,AB136,AF136,AJ136)</f>
        <v>1.1948794028066827</v>
      </c>
      <c r="AO136" s="138">
        <f>AK136</f>
        <v>0.69595192877251044</v>
      </c>
      <c r="AP136" s="138">
        <f t="shared" ref="AP136" si="1511">AL136</f>
        <v>0.78618100643751365</v>
      </c>
      <c r="AQ136" s="138">
        <f t="shared" ref="AQ136" si="1512">AM136</f>
        <v>1.6905338293668453</v>
      </c>
      <c r="AR136" s="138">
        <f t="shared" ref="AR136" si="1513">AN136</f>
        <v>1.1948794028066827</v>
      </c>
      <c r="AS136" s="138">
        <f t="shared" ref="AS136" si="1514">AO136</f>
        <v>0.69595192877251044</v>
      </c>
      <c r="AT136" s="138">
        <f t="shared" ref="AT136" si="1515">AP136</f>
        <v>0.78618100643751365</v>
      </c>
      <c r="AU136" s="138">
        <f t="shared" ref="AU136" si="1516">AQ136</f>
        <v>1.6905338293668453</v>
      </c>
      <c r="AV136" s="138">
        <f t="shared" ref="AV136" si="1517">AR136</f>
        <v>1.1948794028066827</v>
      </c>
      <c r="AW136" s="138">
        <f t="shared" ref="AW136" si="1518">AS136</f>
        <v>0.69595192877251044</v>
      </c>
      <c r="AX136" s="138">
        <f t="shared" ref="AX136" si="1519">AT136</f>
        <v>0.78618100643751365</v>
      </c>
      <c r="AY136" s="138">
        <f t="shared" ref="AY136" si="1520">AU136</f>
        <v>1.6905338293668453</v>
      </c>
      <c r="AZ136" s="138">
        <f t="shared" ref="AZ136" si="1521">AV136</f>
        <v>1.1948794028066827</v>
      </c>
      <c r="BA136" s="138">
        <f t="shared" ref="BA136" si="1522">AW136</f>
        <v>0.69595192877251044</v>
      </c>
      <c r="BB136" s="138">
        <f t="shared" ref="BB136" si="1523">AX136</f>
        <v>0.78618100643751365</v>
      </c>
      <c r="BC136" s="138">
        <f t="shared" ref="BC136" si="1524">AY136</f>
        <v>1.6905338293668453</v>
      </c>
      <c r="BD136" s="138">
        <f t="shared" ref="BD136" si="1525">AZ136</f>
        <v>1.1948794028066827</v>
      </c>
    </row>
    <row r="138" spans="2:56" x14ac:dyDescent="0.2">
      <c r="B138" s="1" t="s">
        <v>93</v>
      </c>
      <c r="E138" s="43" t="s">
        <v>33</v>
      </c>
      <c r="F138" s="50">
        <f>T138</f>
        <v>952307</v>
      </c>
      <c r="G138" s="50">
        <f>X138</f>
        <v>354929</v>
      </c>
      <c r="H138" s="50">
        <f>AB138</f>
        <v>375622</v>
      </c>
      <c r="I138" s="50">
        <f>AF138</f>
        <v>174290</v>
      </c>
      <c r="J138" s="50">
        <f>AJ138</f>
        <v>259378</v>
      </c>
      <c r="K138" s="50">
        <f>AN138</f>
        <v>663091.53821870941</v>
      </c>
      <c r="L138" s="50">
        <f>AR138</f>
        <v>748829.07817961869</v>
      </c>
      <c r="M138" s="50">
        <f>AV138</f>
        <v>838243.72385867371</v>
      </c>
      <c r="N138" s="50">
        <f>AZ138</f>
        <v>979050.55557487404</v>
      </c>
      <c r="O138" s="50">
        <f>BD138</f>
        <v>1205666.3927377018</v>
      </c>
      <c r="Q138" s="143">
        <f>_xlfn.XLOOKUP('IS &amp; BS Projections'!$B138,'3FS'!$B:$B,'3FS'!P:P)</f>
        <v>141680</v>
      </c>
      <c r="R138" s="143">
        <f>_xlfn.XLOOKUP('IS &amp; BS Projections'!$B138,'3FS'!$B:$B,'3FS'!Q:Q)</f>
        <v>187688</v>
      </c>
      <c r="S138" s="143">
        <f>_xlfn.XLOOKUP('IS &amp; BS Projections'!$B138,'3FS'!$B:$B,'3FS'!R:R)</f>
        <v>879973</v>
      </c>
      <c r="T138" s="143">
        <f>_xlfn.XLOOKUP('IS &amp; BS Projections'!$B138,'3FS'!$B:$B,'3FS'!S:S)</f>
        <v>952307</v>
      </c>
      <c r="U138" s="143">
        <f>_xlfn.XLOOKUP('IS &amp; BS Projections'!$B138,'3FS'!$B:$B,'3FS'!T:T)</f>
        <v>1164613</v>
      </c>
      <c r="V138" s="143">
        <f>_xlfn.XLOOKUP('IS &amp; BS Projections'!$B138,'3FS'!$B:$B,'3FS'!U:U)</f>
        <v>1274715</v>
      </c>
      <c r="W138" s="143">
        <f>_xlfn.XLOOKUP('IS &amp; BS Projections'!$B138,'3FS'!$B:$B,'3FS'!V:V)</f>
        <v>1382361</v>
      </c>
      <c r="X138" s="143">
        <f>_xlfn.XLOOKUP('IS &amp; BS Projections'!$B138,'3FS'!$B:$B,'3FS'!W:W)</f>
        <v>354929</v>
      </c>
      <c r="Y138" s="143">
        <f>_xlfn.XLOOKUP('IS &amp; BS Projections'!$B138,'3FS'!$B:$B,'3FS'!X:X)</f>
        <v>1462343</v>
      </c>
      <c r="Z138" s="143">
        <f>_xlfn.XLOOKUP('IS &amp; BS Projections'!$B138,'3FS'!$B:$B,'3FS'!Y:Y)</f>
        <v>1451197</v>
      </c>
      <c r="AA138" s="143">
        <f>_xlfn.XLOOKUP('IS &amp; BS Projections'!$B138,'3FS'!$B:$B,'3FS'!Z:Z)</f>
        <v>1478096</v>
      </c>
      <c r="AB138" s="143">
        <f>_xlfn.XLOOKUP('IS &amp; BS Projections'!$B138,'3FS'!$B:$B,'3FS'!AA:AA)</f>
        <v>375622</v>
      </c>
      <c r="AC138" s="143">
        <f>_xlfn.XLOOKUP('IS &amp; BS Projections'!$B138,'3FS'!$B:$B,'3FS'!AB:AB)</f>
        <v>653862</v>
      </c>
      <c r="AD138" s="143">
        <f>_xlfn.XLOOKUP('IS &amp; BS Projections'!$B138,'3FS'!$B:$B,'3FS'!AC:AC)</f>
        <v>688559</v>
      </c>
      <c r="AE138" s="143">
        <f>_xlfn.XLOOKUP('IS &amp; BS Projections'!$B138,'3FS'!$B:$B,'3FS'!AD:AD)</f>
        <v>699694</v>
      </c>
      <c r="AF138" s="143">
        <f>_xlfn.XLOOKUP('IS &amp; BS Projections'!$B138,'3FS'!$B:$B,'3FS'!AE:AE)</f>
        <v>174290</v>
      </c>
      <c r="AG138" s="143">
        <f>_xlfn.XLOOKUP('IS &amp; BS Projections'!$B138,'3FS'!$B:$B,'3FS'!AF:AF)</f>
        <v>860067</v>
      </c>
      <c r="AH138" s="143">
        <f>_xlfn.XLOOKUP('IS &amp; BS Projections'!$B138,'3FS'!$B:$B,'3FS'!AG:AG)</f>
        <v>517833</v>
      </c>
      <c r="AI138" s="143">
        <f>_xlfn.XLOOKUP('IS &amp; BS Projections'!$B138,'3FS'!$B:$B,'3FS'!AH:AH)</f>
        <v>513142</v>
      </c>
      <c r="AJ138" s="143">
        <f>_xlfn.XLOOKUP('IS &amp; BS Projections'!$B138,'3FS'!$B:$B,'3FS'!AI:AI)</f>
        <v>259378</v>
      </c>
      <c r="AK138" s="50">
        <f>AK139*AK$10</f>
        <v>787869.53981666395</v>
      </c>
      <c r="AL138" s="50">
        <f t="shared" ref="AL138:BD138" si="1526">AL139*AL$10</f>
        <v>847136.69284996414</v>
      </c>
      <c r="AM138" s="50">
        <f t="shared" si="1526"/>
        <v>1592265.022266825</v>
      </c>
      <c r="AN138" s="50">
        <f t="shared" si="1526"/>
        <v>663091.53821870941</v>
      </c>
      <c r="AO138" s="50">
        <f t="shared" si="1526"/>
        <v>822196.4562634906</v>
      </c>
      <c r="AP138" s="50">
        <f t="shared" si="1526"/>
        <v>963771.12669109367</v>
      </c>
      <c r="AQ138" s="50">
        <f t="shared" si="1526"/>
        <v>1837399.6969187779</v>
      </c>
      <c r="AR138" s="50">
        <f t="shared" si="1526"/>
        <v>748829.07817961869</v>
      </c>
      <c r="AS138" s="50">
        <f t="shared" si="1526"/>
        <v>895012.91266523802</v>
      </c>
      <c r="AT138" s="50">
        <f t="shared" si="1526"/>
        <v>1102866.0701874366</v>
      </c>
      <c r="AU138" s="50">
        <f t="shared" si="1526"/>
        <v>2070517.6443388748</v>
      </c>
      <c r="AV138" s="50">
        <f t="shared" si="1526"/>
        <v>838243.72385867371</v>
      </c>
      <c r="AW138" s="50">
        <f t="shared" si="1526"/>
        <v>988205.0685118814</v>
      </c>
      <c r="AX138" s="50">
        <f t="shared" si="1526"/>
        <v>1311656.9638452895</v>
      </c>
      <c r="AY138" s="50">
        <f t="shared" si="1526"/>
        <v>2432818.3745019655</v>
      </c>
      <c r="AZ138" s="50">
        <f t="shared" si="1526"/>
        <v>979050.55557487404</v>
      </c>
      <c r="BA138" s="50">
        <f t="shared" si="1526"/>
        <v>1135384.1427133868</v>
      </c>
      <c r="BB138" s="50">
        <f t="shared" si="1526"/>
        <v>1649429.5026247771</v>
      </c>
      <c r="BC138" s="50">
        <f t="shared" si="1526"/>
        <v>3031484.6773746586</v>
      </c>
      <c r="BD138" s="50">
        <f t="shared" si="1526"/>
        <v>1205666.3927377018</v>
      </c>
    </row>
    <row r="139" spans="2:56" x14ac:dyDescent="0.2">
      <c r="B139" s="98" t="s">
        <v>293</v>
      </c>
      <c r="C139" s="45"/>
      <c r="D139" s="45"/>
      <c r="E139" s="46" t="s">
        <v>36</v>
      </c>
      <c r="F139" s="126">
        <f t="shared" ref="F139:O139" si="1527">F138/F$10</f>
        <v>0.12147632900033102</v>
      </c>
      <c r="G139" s="126">
        <f t="shared" si="1527"/>
        <v>0.11111643324417195</v>
      </c>
      <c r="H139" s="126">
        <f t="shared" si="1527"/>
        <v>0.12084160800004375</v>
      </c>
      <c r="I139" s="126">
        <f t="shared" si="1527"/>
        <v>2.6552293804962442E-2</v>
      </c>
      <c r="J139" s="126">
        <f t="shared" si="1527"/>
        <v>4.8031219607584615E-2</v>
      </c>
      <c r="K139" s="126">
        <f t="shared" si="1527"/>
        <v>8.544421630469301E-2</v>
      </c>
      <c r="L139" s="126">
        <f t="shared" si="1527"/>
        <v>8.6293865016307536E-2</v>
      </c>
      <c r="M139" s="126">
        <f t="shared" si="1527"/>
        <v>8.6195943534685515E-2</v>
      </c>
      <c r="N139" s="126">
        <f t="shared" si="1527"/>
        <v>8.6684506434344971E-2</v>
      </c>
      <c r="O139" s="126">
        <f t="shared" si="1527"/>
        <v>0.11291611150346548</v>
      </c>
      <c r="P139" s="81"/>
      <c r="Q139" s="126">
        <f>Q138/Q$10</f>
        <v>7.8662515157302826E-2</v>
      </c>
      <c r="R139" s="126">
        <f t="shared" ref="R139:AJ139" si="1528">R138/R$10</f>
        <v>8.4242011308990006E-2</v>
      </c>
      <c r="S139" s="126">
        <f t="shared" si="1528"/>
        <v>0.67075816291996082</v>
      </c>
      <c r="T139" s="126">
        <f t="shared" si="1528"/>
        <v>0.38115713540684815</v>
      </c>
      <c r="U139" s="126">
        <f t="shared" si="1528"/>
        <v>0.99843711956764025</v>
      </c>
      <c r="V139" s="126">
        <f t="shared" si="1528"/>
        <v>1.576983267868741</v>
      </c>
      <c r="W139" s="126">
        <f t="shared" si="1528"/>
        <v>2.3416392953879042</v>
      </c>
      <c r="X139" s="126">
        <f t="shared" si="1528"/>
        <v>0.56417816972602475</v>
      </c>
      <c r="Y139" s="126">
        <f t="shared" si="1528"/>
        <v>1.8929295858149013</v>
      </c>
      <c r="Z139" s="126">
        <f t="shared" si="1528"/>
        <v>2.0499709709271365</v>
      </c>
      <c r="AA139" s="126">
        <f t="shared" si="1528"/>
        <v>2.192539323709334</v>
      </c>
      <c r="AB139" s="126">
        <f t="shared" si="1528"/>
        <v>0.39381837816302245</v>
      </c>
      <c r="AC139" s="126">
        <f t="shared" si="1528"/>
        <v>0.39928796936924832</v>
      </c>
      <c r="AD139" s="126">
        <f t="shared" si="1528"/>
        <v>0.47499013540025442</v>
      </c>
      <c r="AE139" s="126">
        <f t="shared" si="1528"/>
        <v>0.58056593425285408</v>
      </c>
      <c r="AF139" s="126">
        <f t="shared" si="1528"/>
        <v>7.6724406232157691E-2</v>
      </c>
      <c r="AG139" s="126">
        <f t="shared" si="1528"/>
        <v>0.42278381454017239</v>
      </c>
      <c r="AH139" s="126">
        <f t="shared" si="1528"/>
        <v>0.34586577148933212</v>
      </c>
      <c r="AI139" s="126">
        <f t="shared" si="1528"/>
        <v>0.27459941253057618</v>
      </c>
      <c r="AJ139" s="126">
        <f t="shared" si="1528"/>
        <v>0.14562561162049464</v>
      </c>
      <c r="AK139" s="138">
        <f>MEDIAN(Q139,U139,Y139,AC139,AG139)</f>
        <v>0.42278381454017239</v>
      </c>
      <c r="AL139" s="138">
        <f t="shared" ref="AL139" si="1529">MEDIAN(R139,V139,Z139,AD139,AH139)</f>
        <v>0.47499013540025442</v>
      </c>
      <c r="AM139" s="138">
        <f t="shared" ref="AM139" si="1530">MEDIAN(S139,W139,AA139,AE139,AI139)</f>
        <v>0.67075816291996082</v>
      </c>
      <c r="AN139" s="138">
        <f t="shared" ref="AN139" si="1531">MEDIAN(T139,X139,AB139,AF139,AJ139)</f>
        <v>0.38115713540684815</v>
      </c>
      <c r="AO139" s="138">
        <f>AK139</f>
        <v>0.42278381454017239</v>
      </c>
      <c r="AP139" s="138">
        <f t="shared" ref="AP139" si="1532">AL139</f>
        <v>0.47499013540025442</v>
      </c>
      <c r="AQ139" s="138">
        <f t="shared" ref="AQ139" si="1533">AM139</f>
        <v>0.67075816291996082</v>
      </c>
      <c r="AR139" s="138">
        <f t="shared" ref="AR139" si="1534">AN139</f>
        <v>0.38115713540684815</v>
      </c>
      <c r="AS139" s="138">
        <f t="shared" ref="AS139" si="1535">AO139</f>
        <v>0.42278381454017239</v>
      </c>
      <c r="AT139" s="138">
        <f t="shared" ref="AT139" si="1536">AP139</f>
        <v>0.47499013540025442</v>
      </c>
      <c r="AU139" s="138">
        <f t="shared" ref="AU139" si="1537">AQ139</f>
        <v>0.67075816291996082</v>
      </c>
      <c r="AV139" s="138">
        <f t="shared" ref="AV139" si="1538">AR139</f>
        <v>0.38115713540684815</v>
      </c>
      <c r="AW139" s="138">
        <f t="shared" ref="AW139" si="1539">AS139</f>
        <v>0.42278381454017239</v>
      </c>
      <c r="AX139" s="138">
        <f t="shared" ref="AX139" si="1540">AT139</f>
        <v>0.47499013540025442</v>
      </c>
      <c r="AY139" s="138">
        <f t="shared" ref="AY139" si="1541">AU139</f>
        <v>0.67075816291996082</v>
      </c>
      <c r="AZ139" s="138">
        <f t="shared" ref="AZ139" si="1542">AV139</f>
        <v>0.38115713540684815</v>
      </c>
      <c r="BA139" s="138">
        <f t="shared" ref="BA139" si="1543">AW139</f>
        <v>0.42278381454017239</v>
      </c>
      <c r="BB139" s="138">
        <f t="shared" ref="BB139" si="1544">AX139</f>
        <v>0.47499013540025442</v>
      </c>
      <c r="BC139" s="138">
        <f t="shared" ref="BC139" si="1545">AY139</f>
        <v>0.67075816291996082</v>
      </c>
      <c r="BD139" s="138">
        <f t="shared" ref="BD139" si="1546">AZ139</f>
        <v>0.38115713540684815</v>
      </c>
    </row>
    <row r="141" spans="2:56" x14ac:dyDescent="0.2">
      <c r="B141" s="1" t="s">
        <v>94</v>
      </c>
      <c r="E141" s="43" t="s">
        <v>33</v>
      </c>
      <c r="F141" s="50">
        <f>T141</f>
        <v>0</v>
      </c>
      <c r="G141" s="50">
        <f>X141</f>
        <v>0</v>
      </c>
      <c r="H141" s="50">
        <f>AB141</f>
        <v>0</v>
      </c>
      <c r="I141" s="50">
        <f>AF141</f>
        <v>0</v>
      </c>
      <c r="J141" s="50">
        <f>AJ141</f>
        <v>0</v>
      </c>
      <c r="K141" s="50">
        <f>AN141</f>
        <v>0</v>
      </c>
      <c r="L141" s="50">
        <f>AR141</f>
        <v>0</v>
      </c>
      <c r="M141" s="50">
        <f>AV141</f>
        <v>0</v>
      </c>
      <c r="N141" s="50">
        <f>AZ141</f>
        <v>0</v>
      </c>
      <c r="O141" s="50">
        <f>BD141</f>
        <v>0</v>
      </c>
      <c r="Q141" s="143">
        <f>_xlfn.XLOOKUP('IS &amp; BS Projections'!$B141,'3FS'!$B:$B,'3FS'!P:P)</f>
        <v>651356</v>
      </c>
      <c r="R141" s="143">
        <f>_xlfn.XLOOKUP('IS &amp; BS Projections'!$B141,'3FS'!$B:$B,'3FS'!Q:Q)</f>
        <v>585846</v>
      </c>
      <c r="S141" s="143">
        <f>_xlfn.XLOOKUP('IS &amp; BS Projections'!$B141,'3FS'!$B:$B,'3FS'!R:R)</f>
        <v>833763</v>
      </c>
      <c r="T141" s="143">
        <f>_xlfn.XLOOKUP('IS &amp; BS Projections'!$B141,'3FS'!$B:$B,'3FS'!S:S)</f>
        <v>0</v>
      </c>
      <c r="U141" s="143">
        <f>_xlfn.XLOOKUP('IS &amp; BS Projections'!$B141,'3FS'!$B:$B,'3FS'!T:T)</f>
        <v>1333333</v>
      </c>
      <c r="V141" s="143">
        <f>_xlfn.XLOOKUP('IS &amp; BS Projections'!$B141,'3FS'!$B:$B,'3FS'!U:U)</f>
        <v>539683</v>
      </c>
      <c r="W141" s="143">
        <f>_xlfn.XLOOKUP('IS &amp; BS Projections'!$B141,'3FS'!$B:$B,'3FS'!V:V)</f>
        <v>623073</v>
      </c>
      <c r="X141" s="143">
        <f>_xlfn.XLOOKUP('IS &amp; BS Projections'!$B141,'3FS'!$B:$B,'3FS'!W:W)</f>
        <v>0</v>
      </c>
      <c r="Y141" s="143">
        <f>_xlfn.XLOOKUP('IS &amp; BS Projections'!$B141,'3FS'!$B:$B,'3FS'!X:X)</f>
        <v>514502</v>
      </c>
      <c r="Z141" s="143">
        <f>_xlfn.XLOOKUP('IS &amp; BS Projections'!$B141,'3FS'!$B:$B,'3FS'!Y:Y)</f>
        <v>485347</v>
      </c>
      <c r="AA141" s="143">
        <f>_xlfn.XLOOKUP('IS &amp; BS Projections'!$B141,'3FS'!$B:$B,'3FS'!Z:Z)</f>
        <v>455986</v>
      </c>
      <c r="AB141" s="143">
        <f>_xlfn.XLOOKUP('IS &amp; BS Projections'!$B141,'3FS'!$B:$B,'3FS'!AA:AA)</f>
        <v>0</v>
      </c>
      <c r="AC141" s="143">
        <f>_xlfn.XLOOKUP('IS &amp; BS Projections'!$B141,'3FS'!$B:$B,'3FS'!AB:AB)</f>
        <v>0</v>
      </c>
      <c r="AD141" s="143">
        <f>_xlfn.XLOOKUP('IS &amp; BS Projections'!$B141,'3FS'!$B:$B,'3FS'!AC:AC)</f>
        <v>0</v>
      </c>
      <c r="AE141" s="143">
        <f>_xlfn.XLOOKUP('IS &amp; BS Projections'!$B141,'3FS'!$B:$B,'3FS'!AD:AD)</f>
        <v>0</v>
      </c>
      <c r="AF141" s="143">
        <f>_xlfn.XLOOKUP('IS &amp; BS Projections'!$B141,'3FS'!$B:$B,'3FS'!AE:AE)</f>
        <v>0</v>
      </c>
      <c r="AG141" s="143">
        <f>_xlfn.XLOOKUP('IS &amp; BS Projections'!$B141,'3FS'!$B:$B,'3FS'!AF:AF)</f>
        <v>0</v>
      </c>
      <c r="AH141" s="143">
        <f>_xlfn.XLOOKUP('IS &amp; BS Projections'!$B141,'3FS'!$B:$B,'3FS'!AG:AG)</f>
        <v>0</v>
      </c>
      <c r="AI141" s="143">
        <f>_xlfn.XLOOKUP('IS &amp; BS Projections'!$B141,'3FS'!$B:$B,'3FS'!AH:AH)</f>
        <v>0</v>
      </c>
      <c r="AJ141" s="143">
        <f>_xlfn.XLOOKUP('IS &amp; BS Projections'!$B141,'3FS'!$B:$B,'3FS'!AI:AI)</f>
        <v>0</v>
      </c>
      <c r="AK141" s="50">
        <f>AK142*AK$10</f>
        <v>673928.24086381809</v>
      </c>
      <c r="AL141" s="50">
        <f t="shared" ref="AL141:BD141" si="1547">AL142*AL$10</f>
        <v>468969.49338410387</v>
      </c>
      <c r="AM141" s="50">
        <f t="shared" si="1547"/>
        <v>1508650.4492299818</v>
      </c>
      <c r="AN141" s="50">
        <f t="shared" si="1547"/>
        <v>0</v>
      </c>
      <c r="AO141" s="50">
        <f t="shared" si="1547"/>
        <v>703290.81581584935</v>
      </c>
      <c r="AP141" s="50">
        <f t="shared" si="1547"/>
        <v>533537.57526661525</v>
      </c>
      <c r="AQ141" s="50">
        <f t="shared" si="1547"/>
        <v>1740912.3728819988</v>
      </c>
      <c r="AR141" s="50">
        <f t="shared" si="1547"/>
        <v>0</v>
      </c>
      <c r="AS141" s="50">
        <f t="shared" si="1547"/>
        <v>765576.59269736928</v>
      </c>
      <c r="AT141" s="50">
        <f t="shared" si="1547"/>
        <v>610539.65265782981</v>
      </c>
      <c r="AU141" s="50">
        <f t="shared" si="1547"/>
        <v>1961788.6033968239</v>
      </c>
      <c r="AV141" s="50">
        <f t="shared" si="1547"/>
        <v>0</v>
      </c>
      <c r="AW141" s="50">
        <f t="shared" si="1547"/>
        <v>845291.34555689699</v>
      </c>
      <c r="AX141" s="50">
        <f t="shared" si="1547"/>
        <v>726124.9654513573</v>
      </c>
      <c r="AY141" s="50">
        <f t="shared" si="1547"/>
        <v>2305063.844436002</v>
      </c>
      <c r="AZ141" s="50">
        <f t="shared" si="1547"/>
        <v>0</v>
      </c>
      <c r="BA141" s="50">
        <f t="shared" si="1547"/>
        <v>971185.45562957064</v>
      </c>
      <c r="BB141" s="50">
        <f t="shared" si="1547"/>
        <v>913113.69788079301</v>
      </c>
      <c r="BC141" s="50">
        <f t="shared" si="1547"/>
        <v>2872292.3988144267</v>
      </c>
      <c r="BD141" s="50">
        <f t="shared" si="1547"/>
        <v>0</v>
      </c>
    </row>
    <row r="142" spans="2:56" x14ac:dyDescent="0.2">
      <c r="B142" s="98" t="s">
        <v>293</v>
      </c>
      <c r="C142" s="45"/>
      <c r="D142" s="45"/>
      <c r="E142" s="46" t="s">
        <v>36</v>
      </c>
      <c r="F142" s="126">
        <f t="shared" ref="F142:O142" si="1548">F141/F$10</f>
        <v>0</v>
      </c>
      <c r="G142" s="126">
        <f t="shared" si="1548"/>
        <v>0</v>
      </c>
      <c r="H142" s="126">
        <f t="shared" si="1548"/>
        <v>0</v>
      </c>
      <c r="I142" s="126">
        <f t="shared" si="1548"/>
        <v>0</v>
      </c>
      <c r="J142" s="126">
        <f t="shared" si="1548"/>
        <v>0</v>
      </c>
      <c r="K142" s="126">
        <f t="shared" si="1548"/>
        <v>0</v>
      </c>
      <c r="L142" s="126">
        <f t="shared" si="1548"/>
        <v>0</v>
      </c>
      <c r="M142" s="126">
        <f t="shared" si="1548"/>
        <v>0</v>
      </c>
      <c r="N142" s="126">
        <f t="shared" si="1548"/>
        <v>0</v>
      </c>
      <c r="O142" s="126">
        <f t="shared" si="1548"/>
        <v>0</v>
      </c>
      <c r="P142" s="81"/>
      <c r="Q142" s="126">
        <f>Q141/Q$10</f>
        <v>0.3616410306521749</v>
      </c>
      <c r="R142" s="126">
        <f t="shared" ref="R142:AJ142" si="1549">R141/R$10</f>
        <v>0.26295152251250248</v>
      </c>
      <c r="S142" s="126">
        <f t="shared" si="1549"/>
        <v>0.63553465639358853</v>
      </c>
      <c r="T142" s="126">
        <f t="shared" si="1549"/>
        <v>0</v>
      </c>
      <c r="U142" s="126">
        <f t="shared" si="1549"/>
        <v>1.143082860954223</v>
      </c>
      <c r="V142" s="126">
        <f t="shared" si="1549"/>
        <v>0.66765595521603316</v>
      </c>
      <c r="W142" s="126">
        <f t="shared" si="1549"/>
        <v>1.0554494959675711</v>
      </c>
      <c r="X142" s="126">
        <f t="shared" si="1549"/>
        <v>0</v>
      </c>
      <c r="Y142" s="126">
        <f t="shared" si="1549"/>
        <v>0.66599700464319134</v>
      </c>
      <c r="Z142" s="126">
        <f t="shared" si="1549"/>
        <v>0.6856045463342143</v>
      </c>
      <c r="AA142" s="126">
        <f t="shared" si="1549"/>
        <v>0.67638856749556475</v>
      </c>
      <c r="AB142" s="126">
        <f t="shared" si="1549"/>
        <v>0</v>
      </c>
      <c r="AC142" s="126">
        <f t="shared" si="1549"/>
        <v>0</v>
      </c>
      <c r="AD142" s="126">
        <f t="shared" si="1549"/>
        <v>0</v>
      </c>
      <c r="AE142" s="126">
        <f t="shared" si="1549"/>
        <v>0</v>
      </c>
      <c r="AF142" s="126">
        <f t="shared" si="1549"/>
        <v>0</v>
      </c>
      <c r="AG142" s="126">
        <f t="shared" si="1549"/>
        <v>0</v>
      </c>
      <c r="AH142" s="126">
        <f t="shared" si="1549"/>
        <v>0</v>
      </c>
      <c r="AI142" s="126">
        <f t="shared" si="1549"/>
        <v>0</v>
      </c>
      <c r="AJ142" s="126">
        <f t="shared" si="1549"/>
        <v>0</v>
      </c>
      <c r="AK142" s="138">
        <f>MEDIAN(Q142,U142,Y142,AC142,AG142)</f>
        <v>0.3616410306521749</v>
      </c>
      <c r="AL142" s="138">
        <f t="shared" ref="AL142" si="1550">MEDIAN(R142,V142,Z142,AD142,AH142)</f>
        <v>0.26295152251250248</v>
      </c>
      <c r="AM142" s="138">
        <f t="shared" ref="AM142" si="1551">MEDIAN(S142,W142,AA142,AE142,AI142)</f>
        <v>0.63553465639358853</v>
      </c>
      <c r="AN142" s="138">
        <f t="shared" ref="AN142" si="1552">MEDIAN(T142,X142,AB142,AF142,AJ142)</f>
        <v>0</v>
      </c>
      <c r="AO142" s="138">
        <f>AK142</f>
        <v>0.3616410306521749</v>
      </c>
      <c r="AP142" s="138">
        <f t="shared" ref="AP142" si="1553">AL142</f>
        <v>0.26295152251250248</v>
      </c>
      <c r="AQ142" s="138">
        <f t="shared" ref="AQ142" si="1554">AM142</f>
        <v>0.63553465639358853</v>
      </c>
      <c r="AR142" s="138">
        <f t="shared" ref="AR142" si="1555">AN142</f>
        <v>0</v>
      </c>
      <c r="AS142" s="138">
        <f t="shared" ref="AS142" si="1556">AO142</f>
        <v>0.3616410306521749</v>
      </c>
      <c r="AT142" s="138">
        <f t="shared" ref="AT142" si="1557">AP142</f>
        <v>0.26295152251250248</v>
      </c>
      <c r="AU142" s="138">
        <f t="shared" ref="AU142" si="1558">AQ142</f>
        <v>0.63553465639358853</v>
      </c>
      <c r="AV142" s="138">
        <f t="shared" ref="AV142" si="1559">AR142</f>
        <v>0</v>
      </c>
      <c r="AW142" s="138">
        <f t="shared" ref="AW142" si="1560">AS142</f>
        <v>0.3616410306521749</v>
      </c>
      <c r="AX142" s="138">
        <f t="shared" ref="AX142" si="1561">AT142</f>
        <v>0.26295152251250248</v>
      </c>
      <c r="AY142" s="138">
        <f t="shared" ref="AY142" si="1562">AU142</f>
        <v>0.63553465639358853</v>
      </c>
      <c r="AZ142" s="138">
        <f t="shared" ref="AZ142" si="1563">AV142</f>
        <v>0</v>
      </c>
      <c r="BA142" s="138">
        <f t="shared" ref="BA142" si="1564">AW142</f>
        <v>0.3616410306521749</v>
      </c>
      <c r="BB142" s="138">
        <f t="shared" ref="BB142" si="1565">AX142</f>
        <v>0.26295152251250248</v>
      </c>
      <c r="BC142" s="138">
        <f t="shared" ref="BC142" si="1566">AY142</f>
        <v>0.63553465639358853</v>
      </c>
      <c r="BD142" s="138">
        <f t="shared" ref="BD142" si="1567">AZ142</f>
        <v>0</v>
      </c>
    </row>
    <row r="144" spans="2:56" x14ac:dyDescent="0.2">
      <c r="B144" s="1" t="s">
        <v>95</v>
      </c>
      <c r="E144" s="43" t="s">
        <v>33</v>
      </c>
      <c r="F144" s="50">
        <f>T144</f>
        <v>988193</v>
      </c>
      <c r="G144" s="50">
        <f>X144</f>
        <v>424393</v>
      </c>
      <c r="H144" s="50">
        <f>AB144</f>
        <v>330610</v>
      </c>
      <c r="I144" s="50">
        <f>AF144</f>
        <v>1552995</v>
      </c>
      <c r="J144" s="50">
        <f>AJ144</f>
        <v>1998871</v>
      </c>
      <c r="K144" s="50">
        <f>AN144</f>
        <v>1173579.2863409768</v>
      </c>
      <c r="L144" s="50">
        <f>AR144</f>
        <v>1325322.7412948045</v>
      </c>
      <c r="M144" s="50">
        <f>AV144</f>
        <v>1483574.1591101312</v>
      </c>
      <c r="N144" s="50">
        <f>AZ144</f>
        <v>1732782.5587850013</v>
      </c>
      <c r="O144" s="50">
        <f>BD144</f>
        <v>2133860.8973286534</v>
      </c>
      <c r="Q144" s="143">
        <f>_xlfn.XLOOKUP('IS &amp; BS Projections'!$B144,'3FS'!$B:$B,'3FS'!P:P)</f>
        <v>0</v>
      </c>
      <c r="R144" s="143">
        <f>_xlfn.XLOOKUP('IS &amp; BS Projections'!$B144,'3FS'!$B:$B,'3FS'!Q:Q)</f>
        <v>0</v>
      </c>
      <c r="S144" s="143">
        <f>_xlfn.XLOOKUP('IS &amp; BS Projections'!$B144,'3FS'!$B:$B,'3FS'!R:R)</f>
        <v>0</v>
      </c>
      <c r="T144" s="143">
        <f>_xlfn.XLOOKUP('IS &amp; BS Projections'!$B144,'3FS'!$B:$B,'3FS'!S:S)</f>
        <v>988193</v>
      </c>
      <c r="U144" s="143">
        <f>_xlfn.XLOOKUP('IS &amp; BS Projections'!$B144,'3FS'!$B:$B,'3FS'!T:T)</f>
        <v>0</v>
      </c>
      <c r="V144" s="143">
        <f>_xlfn.XLOOKUP('IS &amp; BS Projections'!$B144,'3FS'!$B:$B,'3FS'!U:U)</f>
        <v>0</v>
      </c>
      <c r="W144" s="143">
        <f>_xlfn.XLOOKUP('IS &amp; BS Projections'!$B144,'3FS'!$B:$B,'3FS'!V:V)</f>
        <v>0</v>
      </c>
      <c r="X144" s="143">
        <f>_xlfn.XLOOKUP('IS &amp; BS Projections'!$B144,'3FS'!$B:$B,'3FS'!W:W)</f>
        <v>424393</v>
      </c>
      <c r="Y144" s="143">
        <f>_xlfn.XLOOKUP('IS &amp; BS Projections'!$B144,'3FS'!$B:$B,'3FS'!X:X)</f>
        <v>0</v>
      </c>
      <c r="Z144" s="143">
        <f>_xlfn.XLOOKUP('IS &amp; BS Projections'!$B144,'3FS'!$B:$B,'3FS'!Y:Y)</f>
        <v>0</v>
      </c>
      <c r="AA144" s="143">
        <f>_xlfn.XLOOKUP('IS &amp; BS Projections'!$B144,'3FS'!$B:$B,'3FS'!Z:Z)</f>
        <v>0</v>
      </c>
      <c r="AB144" s="143">
        <f>_xlfn.XLOOKUP('IS &amp; BS Projections'!$B144,'3FS'!$B:$B,'3FS'!AA:AA)</f>
        <v>330610</v>
      </c>
      <c r="AC144" s="143">
        <f>_xlfn.XLOOKUP('IS &amp; BS Projections'!$B144,'3FS'!$B:$B,'3FS'!AB:AB)</f>
        <v>1522328</v>
      </c>
      <c r="AD144" s="143">
        <f>_xlfn.XLOOKUP('IS &amp; BS Projections'!$B144,'3FS'!$B:$B,'3FS'!AC:AC)</f>
        <v>1234158</v>
      </c>
      <c r="AE144" s="143">
        <f>_xlfn.XLOOKUP('IS &amp; BS Projections'!$B144,'3FS'!$B:$B,'3FS'!AD:AD)</f>
        <v>1260718</v>
      </c>
      <c r="AF144" s="143">
        <f>_xlfn.XLOOKUP('IS &amp; BS Projections'!$B144,'3FS'!$B:$B,'3FS'!AE:AE)</f>
        <v>1552995</v>
      </c>
      <c r="AG144" s="143">
        <f>_xlfn.XLOOKUP('IS &amp; BS Projections'!$B144,'3FS'!$B:$B,'3FS'!AF:AF)</f>
        <v>1268001</v>
      </c>
      <c r="AH144" s="143">
        <f>_xlfn.XLOOKUP('IS &amp; BS Projections'!$B144,'3FS'!$B:$B,'3FS'!AG:AG)</f>
        <v>1838887</v>
      </c>
      <c r="AI144" s="143">
        <f>_xlfn.XLOOKUP('IS &amp; BS Projections'!$B144,'3FS'!$B:$B,'3FS'!AH:AH)</f>
        <v>2597277</v>
      </c>
      <c r="AJ144" s="143">
        <f>_xlfn.XLOOKUP('IS &amp; BS Projections'!$B144,'3FS'!$B:$B,'3FS'!AI:AI)</f>
        <v>1998871</v>
      </c>
      <c r="AK144" s="50">
        <f>AK145*AK$10</f>
        <v>0</v>
      </c>
      <c r="AL144" s="50">
        <f t="shared" ref="AL144:BD144" si="1568">AL145*AL$10</f>
        <v>0</v>
      </c>
      <c r="AM144" s="50">
        <f t="shared" si="1568"/>
        <v>0</v>
      </c>
      <c r="AN144" s="50">
        <f t="shared" si="1568"/>
        <v>1173579.2863409768</v>
      </c>
      <c r="AO144" s="50">
        <f t="shared" si="1568"/>
        <v>0</v>
      </c>
      <c r="AP144" s="50">
        <f t="shared" si="1568"/>
        <v>0</v>
      </c>
      <c r="AQ144" s="50">
        <f t="shared" si="1568"/>
        <v>0</v>
      </c>
      <c r="AR144" s="50">
        <f t="shared" si="1568"/>
        <v>1325322.7412948045</v>
      </c>
      <c r="AS144" s="50">
        <f t="shared" si="1568"/>
        <v>0</v>
      </c>
      <c r="AT144" s="50">
        <f t="shared" si="1568"/>
        <v>0</v>
      </c>
      <c r="AU144" s="50">
        <f t="shared" si="1568"/>
        <v>0</v>
      </c>
      <c r="AV144" s="50">
        <f t="shared" si="1568"/>
        <v>1483574.1591101312</v>
      </c>
      <c r="AW144" s="50">
        <f t="shared" si="1568"/>
        <v>0</v>
      </c>
      <c r="AX144" s="50">
        <f t="shared" si="1568"/>
        <v>0</v>
      </c>
      <c r="AY144" s="50">
        <f t="shared" si="1568"/>
        <v>0</v>
      </c>
      <c r="AZ144" s="50">
        <f t="shared" si="1568"/>
        <v>1732782.5587850013</v>
      </c>
      <c r="BA144" s="50">
        <f t="shared" si="1568"/>
        <v>0</v>
      </c>
      <c r="BB144" s="50">
        <f t="shared" si="1568"/>
        <v>0</v>
      </c>
      <c r="BC144" s="50">
        <f t="shared" si="1568"/>
        <v>0</v>
      </c>
      <c r="BD144" s="50">
        <f t="shared" si="1568"/>
        <v>2133860.8973286534</v>
      </c>
    </row>
    <row r="145" spans="2:56" x14ac:dyDescent="0.2">
      <c r="B145" s="98" t="s">
        <v>293</v>
      </c>
      <c r="C145" s="45"/>
      <c r="D145" s="45"/>
      <c r="E145" s="46" t="s">
        <v>36</v>
      </c>
      <c r="F145" s="126">
        <f t="shared" ref="F145:O145" si="1569">F144/F$10</f>
        <v>0.126053948972153</v>
      </c>
      <c r="G145" s="126">
        <f t="shared" si="1569"/>
        <v>0.13286329506406597</v>
      </c>
      <c r="H145" s="126">
        <f t="shared" si="1569"/>
        <v>0.10636076699685978</v>
      </c>
      <c r="I145" s="126">
        <f t="shared" si="1569"/>
        <v>0.2365917695658824</v>
      </c>
      <c r="J145" s="126">
        <f t="shared" si="1569"/>
        <v>0.37014786129984911</v>
      </c>
      <c r="K145" s="126">
        <f t="shared" si="1569"/>
        <v>0.15122431310494497</v>
      </c>
      <c r="L145" s="126">
        <f t="shared" si="1569"/>
        <v>0.1527280724973446</v>
      </c>
      <c r="M145" s="126">
        <f t="shared" si="1569"/>
        <v>0.15255476516962913</v>
      </c>
      <c r="N145" s="126">
        <f t="shared" si="1569"/>
        <v>0.15341945317432798</v>
      </c>
      <c r="O145" s="126">
        <f t="shared" si="1569"/>
        <v>0.19984572553982294</v>
      </c>
      <c r="P145" s="81"/>
      <c r="Q145" s="126">
        <f>Q144/Q$10</f>
        <v>0</v>
      </c>
      <c r="R145" s="126">
        <f t="shared" ref="R145:AJ145" si="1570">R144/R$10</f>
        <v>0</v>
      </c>
      <c r="S145" s="126">
        <f t="shared" si="1570"/>
        <v>0</v>
      </c>
      <c r="T145" s="126">
        <f t="shared" si="1570"/>
        <v>0.39552036592096823</v>
      </c>
      <c r="U145" s="126">
        <f t="shared" si="1570"/>
        <v>0</v>
      </c>
      <c r="V145" s="126">
        <f t="shared" si="1570"/>
        <v>0</v>
      </c>
      <c r="W145" s="126">
        <f t="shared" si="1570"/>
        <v>0</v>
      </c>
      <c r="X145" s="126">
        <f t="shared" si="1570"/>
        <v>0.67459482314642316</v>
      </c>
      <c r="Y145" s="126">
        <f t="shared" si="1570"/>
        <v>0</v>
      </c>
      <c r="Z145" s="126">
        <f t="shared" si="1570"/>
        <v>0</v>
      </c>
      <c r="AA145" s="126">
        <f t="shared" si="1570"/>
        <v>0</v>
      </c>
      <c r="AB145" s="126">
        <f t="shared" si="1570"/>
        <v>0.34662584727326101</v>
      </c>
      <c r="AC145" s="126">
        <f t="shared" si="1570"/>
        <v>0.9296262144519013</v>
      </c>
      <c r="AD145" s="126">
        <f t="shared" si="1570"/>
        <v>0.85136186663061142</v>
      </c>
      <c r="AE145" s="126">
        <f t="shared" si="1570"/>
        <v>1.0460714590941036</v>
      </c>
      <c r="AF145" s="126">
        <f t="shared" si="1570"/>
        <v>0.68364575854328835</v>
      </c>
      <c r="AG145" s="126">
        <f t="shared" si="1570"/>
        <v>0.62331225313929395</v>
      </c>
      <c r="AH145" s="126">
        <f t="shared" si="1570"/>
        <v>1.2282107763249996</v>
      </c>
      <c r="AI145" s="126">
        <f t="shared" si="1570"/>
        <v>1.3898896180378479</v>
      </c>
      <c r="AJ145" s="126">
        <f t="shared" si="1570"/>
        <v>1.1222494271891592</v>
      </c>
      <c r="AK145" s="138">
        <f>MEDIAN(Q145,U145,Y145,AC145,AG145)</f>
        <v>0</v>
      </c>
      <c r="AL145" s="138">
        <f t="shared" ref="AL145" si="1571">MEDIAN(R145,V145,Z145,AD145,AH145)</f>
        <v>0</v>
      </c>
      <c r="AM145" s="138">
        <f t="shared" ref="AM145" si="1572">MEDIAN(S145,W145,AA145,AE145,AI145)</f>
        <v>0</v>
      </c>
      <c r="AN145" s="138">
        <f t="shared" ref="AN145" si="1573">MEDIAN(T145,X145,AB145,AF145,AJ145)</f>
        <v>0.67459482314642316</v>
      </c>
      <c r="AO145" s="138">
        <f>AK145</f>
        <v>0</v>
      </c>
      <c r="AP145" s="138">
        <f t="shared" ref="AP145" si="1574">AL145</f>
        <v>0</v>
      </c>
      <c r="AQ145" s="138">
        <f t="shared" ref="AQ145" si="1575">AM145</f>
        <v>0</v>
      </c>
      <c r="AR145" s="138">
        <f t="shared" ref="AR145" si="1576">AN145</f>
        <v>0.67459482314642316</v>
      </c>
      <c r="AS145" s="138">
        <f t="shared" ref="AS145" si="1577">AO145</f>
        <v>0</v>
      </c>
      <c r="AT145" s="138">
        <f t="shared" ref="AT145" si="1578">AP145</f>
        <v>0</v>
      </c>
      <c r="AU145" s="138">
        <f t="shared" ref="AU145" si="1579">AQ145</f>
        <v>0</v>
      </c>
      <c r="AV145" s="138">
        <f t="shared" ref="AV145" si="1580">AR145</f>
        <v>0.67459482314642316</v>
      </c>
      <c r="AW145" s="138">
        <f t="shared" ref="AW145" si="1581">AS145</f>
        <v>0</v>
      </c>
      <c r="AX145" s="138">
        <f t="shared" ref="AX145" si="1582">AT145</f>
        <v>0</v>
      </c>
      <c r="AY145" s="138">
        <f t="shared" ref="AY145" si="1583">AU145</f>
        <v>0</v>
      </c>
      <c r="AZ145" s="138">
        <f t="shared" ref="AZ145" si="1584">AV145</f>
        <v>0.67459482314642316</v>
      </c>
      <c r="BA145" s="138">
        <f t="shared" ref="BA145" si="1585">AW145</f>
        <v>0</v>
      </c>
      <c r="BB145" s="138">
        <f t="shared" ref="BB145" si="1586">AX145</f>
        <v>0</v>
      </c>
      <c r="BC145" s="138">
        <f t="shared" ref="BC145" si="1587">AY145</f>
        <v>0</v>
      </c>
      <c r="BD145" s="138">
        <f t="shared" ref="BD145" si="1588">AZ145</f>
        <v>0.67459482314642316</v>
      </c>
    </row>
    <row r="147" spans="2:56" s="1" customFormat="1" ht="14" outlineLevel="1" x14ac:dyDescent="0.15">
      <c r="B147" s="38" t="s">
        <v>296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39"/>
      <c r="BC147" s="39"/>
      <c r="BD147" s="39"/>
    </row>
    <row r="149" spans="2:56" x14ac:dyDescent="0.2">
      <c r="B149" s="1" t="s">
        <v>102</v>
      </c>
      <c r="E149" s="43" t="s">
        <v>33</v>
      </c>
      <c r="F149" s="50">
        <f>T149</f>
        <v>439559</v>
      </c>
      <c r="G149" s="50">
        <f>X149</f>
        <v>331236</v>
      </c>
      <c r="H149" s="50">
        <f>AB149</f>
        <v>456889</v>
      </c>
      <c r="I149" s="50">
        <f>AF149</f>
        <v>552662</v>
      </c>
      <c r="J149" s="50">
        <f>AJ149</f>
        <v>687676</v>
      </c>
      <c r="K149" s="50">
        <f>AN149</f>
        <v>671673.05191128806</v>
      </c>
      <c r="L149" s="50">
        <f>AR149</f>
        <v>758520.17905697599</v>
      </c>
      <c r="M149" s="50">
        <f>AV149</f>
        <v>849091.99981969001</v>
      </c>
      <c r="N149" s="50">
        <f>AZ149</f>
        <v>991721.10747327795</v>
      </c>
      <c r="O149" s="50">
        <f>BD149</f>
        <v>1221269.732641201</v>
      </c>
      <c r="Q149" s="143">
        <f>_xlfn.XLOOKUP('IS &amp; BS Projections'!$B149,'3FS'!$B:$B,'3FS'!P:P)</f>
        <v>0</v>
      </c>
      <c r="R149" s="143">
        <f>_xlfn.XLOOKUP('IS &amp; BS Projections'!$B149,'3FS'!$B:$B,'3FS'!Q:Q)</f>
        <v>0</v>
      </c>
      <c r="S149" s="143">
        <f>_xlfn.XLOOKUP('IS &amp; BS Projections'!$B149,'3FS'!$B:$B,'3FS'!R:R)</f>
        <v>0</v>
      </c>
      <c r="T149" s="143">
        <f>_xlfn.XLOOKUP('IS &amp; BS Projections'!$B149,'3FS'!$B:$B,'3FS'!S:S)</f>
        <v>439559</v>
      </c>
      <c r="U149" s="143">
        <f>_xlfn.XLOOKUP('IS &amp; BS Projections'!$B149,'3FS'!$B:$B,'3FS'!T:T)</f>
        <v>647960</v>
      </c>
      <c r="V149" s="143">
        <f>_xlfn.XLOOKUP('IS &amp; BS Projections'!$B149,'3FS'!$B:$B,'3FS'!U:U)</f>
        <v>457399</v>
      </c>
      <c r="W149" s="143">
        <f>_xlfn.XLOOKUP('IS &amp; BS Projections'!$B149,'3FS'!$B:$B,'3FS'!V:V)</f>
        <v>298101</v>
      </c>
      <c r="X149" s="143">
        <f>_xlfn.XLOOKUP('IS &amp; BS Projections'!$B149,'3FS'!$B:$B,'3FS'!W:W)</f>
        <v>331236</v>
      </c>
      <c r="Y149" s="143">
        <f>_xlfn.XLOOKUP('IS &amp; BS Projections'!$B149,'3FS'!$B:$B,'3FS'!X:X)</f>
        <v>274983</v>
      </c>
      <c r="Z149" s="143">
        <f>_xlfn.XLOOKUP('IS &amp; BS Projections'!$B149,'3FS'!$B:$B,'3FS'!Y:Y)</f>
        <v>262251</v>
      </c>
      <c r="AA149" s="143">
        <f>_xlfn.XLOOKUP('IS &amp; BS Projections'!$B149,'3FS'!$B:$B,'3FS'!Z:Z)</f>
        <v>374374</v>
      </c>
      <c r="AB149" s="143">
        <f>_xlfn.XLOOKUP('IS &amp; BS Projections'!$B149,'3FS'!$B:$B,'3FS'!AA:AA)</f>
        <v>456889</v>
      </c>
      <c r="AC149" s="143">
        <f>_xlfn.XLOOKUP('IS &amp; BS Projections'!$B149,'3FS'!$B:$B,'3FS'!AB:AB)</f>
        <v>438321</v>
      </c>
      <c r="AD149" s="143">
        <f>_xlfn.XLOOKUP('IS &amp; BS Projections'!$B149,'3FS'!$B:$B,'3FS'!AC:AC)</f>
        <v>448170</v>
      </c>
      <c r="AE149" s="143">
        <f>_xlfn.XLOOKUP('IS &amp; BS Projections'!$B149,'3FS'!$B:$B,'3FS'!AD:AD)</f>
        <v>500603</v>
      </c>
      <c r="AF149" s="143">
        <f>_xlfn.XLOOKUP('IS &amp; BS Projections'!$B149,'3FS'!$B:$B,'3FS'!AE:AE)</f>
        <v>552662</v>
      </c>
      <c r="AG149" s="143">
        <f>_xlfn.XLOOKUP('IS &amp; BS Projections'!$B149,'3FS'!$B:$B,'3FS'!AF:AF)</f>
        <v>662042</v>
      </c>
      <c r="AH149" s="143">
        <f>_xlfn.XLOOKUP('IS &amp; BS Projections'!$B149,'3FS'!$B:$B,'3FS'!AG:AG)</f>
        <v>601354</v>
      </c>
      <c r="AI149" s="143">
        <f>_xlfn.XLOOKUP('IS &amp; BS Projections'!$B149,'3FS'!$B:$B,'3FS'!AH:AH)</f>
        <v>835468</v>
      </c>
      <c r="AJ149" s="143">
        <f>_xlfn.XLOOKUP('IS &amp; BS Projections'!$B149,'3FS'!$B:$B,'3FS'!AI:AI)</f>
        <v>687676</v>
      </c>
      <c r="AK149" s="50">
        <f>AK150*AK$10</f>
        <v>606467.54948080063</v>
      </c>
      <c r="AL149" s="50">
        <f t="shared" ref="AL149:BD149" si="1589">AL150*AL$10</f>
        <v>660704.69818472769</v>
      </c>
      <c r="AM149" s="50">
        <f t="shared" si="1589"/>
        <v>1061307.5404010646</v>
      </c>
      <c r="AN149" s="50">
        <f t="shared" si="1589"/>
        <v>671673.05191128806</v>
      </c>
      <c r="AO149" s="50">
        <f t="shared" si="1589"/>
        <v>632890.91000770149</v>
      </c>
      <c r="AP149" s="50">
        <f t="shared" si="1589"/>
        <v>751671.0310792448</v>
      </c>
      <c r="AQ149" s="50">
        <f t="shared" si="1589"/>
        <v>1224699.4851989842</v>
      </c>
      <c r="AR149" s="50">
        <f t="shared" si="1589"/>
        <v>758520.17905697599</v>
      </c>
      <c r="AS149" s="50">
        <f t="shared" si="1589"/>
        <v>688941.83677169273</v>
      </c>
      <c r="AT149" s="50">
        <f t="shared" si="1589"/>
        <v>860154.91973315005</v>
      </c>
      <c r="AU149" s="50">
        <f t="shared" si="1589"/>
        <v>1380081.8065713041</v>
      </c>
      <c r="AV149" s="50">
        <f t="shared" si="1589"/>
        <v>849091.99981969001</v>
      </c>
      <c r="AW149" s="50">
        <f t="shared" si="1589"/>
        <v>760677.08674759406</v>
      </c>
      <c r="AX149" s="50">
        <f t="shared" si="1589"/>
        <v>1022996.5550232453</v>
      </c>
      <c r="AY149" s="50">
        <f t="shared" si="1589"/>
        <v>1621569.5560588164</v>
      </c>
      <c r="AZ149" s="50">
        <f t="shared" si="1589"/>
        <v>991721.10747327795</v>
      </c>
      <c r="BA149" s="50">
        <f t="shared" si="1589"/>
        <v>873969.1077674831</v>
      </c>
      <c r="BB149" s="50">
        <f t="shared" si="1589"/>
        <v>1286434.44547585</v>
      </c>
      <c r="BC149" s="50">
        <f t="shared" si="1589"/>
        <v>2020604.2974728271</v>
      </c>
      <c r="BD149" s="50">
        <f t="shared" si="1589"/>
        <v>1221269.732641201</v>
      </c>
    </row>
    <row r="150" spans="2:56" x14ac:dyDescent="0.2">
      <c r="B150" s="98" t="s">
        <v>293</v>
      </c>
      <c r="C150" s="45"/>
      <c r="D150" s="45"/>
      <c r="E150" s="46" t="s">
        <v>36</v>
      </c>
      <c r="F150" s="126">
        <f t="shared" ref="F150:O150" si="1590">F149/F$10</f>
        <v>5.607016823257259E-2</v>
      </c>
      <c r="G150" s="126">
        <f t="shared" si="1590"/>
        <v>0.10369894509061402</v>
      </c>
      <c r="H150" s="126">
        <f t="shared" si="1590"/>
        <v>0.14698606960596555</v>
      </c>
      <c r="I150" s="126">
        <f t="shared" si="1590"/>
        <v>8.4195557971416327E-2</v>
      </c>
      <c r="J150" s="126">
        <f t="shared" si="1590"/>
        <v>0.12734278533593965</v>
      </c>
      <c r="K150" s="126">
        <f t="shared" si="1590"/>
        <v>8.6550007390702205E-2</v>
      </c>
      <c r="L150" s="126">
        <f t="shared" si="1590"/>
        <v>8.7410651977897047E-2</v>
      </c>
      <c r="M150" s="126">
        <f t="shared" si="1590"/>
        <v>8.7311463228504416E-2</v>
      </c>
      <c r="N150" s="126">
        <f t="shared" si="1590"/>
        <v>8.7806348949330287E-2</v>
      </c>
      <c r="O150" s="126">
        <f t="shared" si="1590"/>
        <v>0.1143774348670282</v>
      </c>
      <c r="P150" s="81"/>
      <c r="Q150" s="126">
        <f>Q149/Q$10</f>
        <v>0</v>
      </c>
      <c r="R150" s="126">
        <f t="shared" ref="R150:AJ150" si="1591">R149/R$10</f>
        <v>0</v>
      </c>
      <c r="S150" s="126">
        <f t="shared" si="1591"/>
        <v>0</v>
      </c>
      <c r="T150" s="126">
        <f t="shared" si="1591"/>
        <v>0.17593176284779882</v>
      </c>
      <c r="U150" s="126">
        <f t="shared" si="1591"/>
        <v>0.55550411681395295</v>
      </c>
      <c r="V150" s="126">
        <f t="shared" si="1591"/>
        <v>0.56586026660068656</v>
      </c>
      <c r="W150" s="126">
        <f t="shared" si="1591"/>
        <v>0.50496579084221105</v>
      </c>
      <c r="X150" s="126">
        <f t="shared" si="1591"/>
        <v>0.52651690965621167</v>
      </c>
      <c r="Y150" s="126">
        <f t="shared" si="1591"/>
        <v>0.35595168595612592</v>
      </c>
      <c r="Z150" s="126">
        <f t="shared" si="1591"/>
        <v>0.37045758576996263</v>
      </c>
      <c r="AA150" s="126">
        <f t="shared" si="1591"/>
        <v>0.5553290968748702</v>
      </c>
      <c r="AB150" s="126">
        <f t="shared" si="1591"/>
        <v>0.47902222175624742</v>
      </c>
      <c r="AC150" s="126">
        <f t="shared" si="1591"/>
        <v>0.2676655043753855</v>
      </c>
      <c r="AD150" s="126">
        <f t="shared" si="1591"/>
        <v>0.30916207468398788</v>
      </c>
      <c r="AE150" s="126">
        <f t="shared" si="1591"/>
        <v>0.41537164586916786</v>
      </c>
      <c r="AF150" s="126">
        <f t="shared" si="1591"/>
        <v>0.2432879901146178</v>
      </c>
      <c r="AG150" s="126">
        <f t="shared" si="1591"/>
        <v>0.32544050887408166</v>
      </c>
      <c r="AH150" s="126">
        <f t="shared" si="1591"/>
        <v>0.40165027170573492</v>
      </c>
      <c r="AI150" s="126">
        <f t="shared" si="1591"/>
        <v>0.44708681415299356</v>
      </c>
      <c r="AJ150" s="126">
        <f t="shared" si="1591"/>
        <v>0.38608994632056409</v>
      </c>
      <c r="AK150" s="138">
        <f>MEDIAN(Q150,U150,Y150,AC150,AG150)</f>
        <v>0.32544050887408166</v>
      </c>
      <c r="AL150" s="138">
        <f t="shared" ref="AL150" si="1592">MEDIAN(R150,V150,Z150,AD150,AH150)</f>
        <v>0.37045758576996263</v>
      </c>
      <c r="AM150" s="138">
        <f t="shared" ref="AM150" si="1593">MEDIAN(S150,W150,AA150,AE150,AI150)</f>
        <v>0.44708681415299356</v>
      </c>
      <c r="AN150" s="138">
        <f t="shared" ref="AN150" si="1594">MEDIAN(T150,X150,AB150,AF150,AJ150)</f>
        <v>0.38608994632056409</v>
      </c>
      <c r="AO150" s="138">
        <f>AK150</f>
        <v>0.32544050887408166</v>
      </c>
      <c r="AP150" s="138">
        <f t="shared" ref="AP150" si="1595">AL150</f>
        <v>0.37045758576996263</v>
      </c>
      <c r="AQ150" s="138">
        <f t="shared" ref="AQ150" si="1596">AM150</f>
        <v>0.44708681415299356</v>
      </c>
      <c r="AR150" s="138">
        <f t="shared" ref="AR150" si="1597">AN150</f>
        <v>0.38608994632056409</v>
      </c>
      <c r="AS150" s="138">
        <f t="shared" ref="AS150" si="1598">AO150</f>
        <v>0.32544050887408166</v>
      </c>
      <c r="AT150" s="138">
        <f t="shared" ref="AT150" si="1599">AP150</f>
        <v>0.37045758576996263</v>
      </c>
      <c r="AU150" s="138">
        <f t="shared" ref="AU150" si="1600">AQ150</f>
        <v>0.44708681415299356</v>
      </c>
      <c r="AV150" s="138">
        <f t="shared" ref="AV150" si="1601">AR150</f>
        <v>0.38608994632056409</v>
      </c>
      <c r="AW150" s="138">
        <f t="shared" ref="AW150" si="1602">AS150</f>
        <v>0.32544050887408166</v>
      </c>
      <c r="AX150" s="138">
        <f t="shared" ref="AX150" si="1603">AT150</f>
        <v>0.37045758576996263</v>
      </c>
      <c r="AY150" s="138">
        <f t="shared" ref="AY150" si="1604">AU150</f>
        <v>0.44708681415299356</v>
      </c>
      <c r="AZ150" s="138">
        <f t="shared" ref="AZ150" si="1605">AV150</f>
        <v>0.38608994632056409</v>
      </c>
      <c r="BA150" s="138">
        <f t="shared" ref="BA150" si="1606">AW150</f>
        <v>0.32544050887408166</v>
      </c>
      <c r="BB150" s="138">
        <f t="shared" ref="BB150" si="1607">AX150</f>
        <v>0.37045758576996263</v>
      </c>
      <c r="BC150" s="138">
        <f t="shared" ref="BC150" si="1608">AY150</f>
        <v>0.44708681415299356</v>
      </c>
      <c r="BD150" s="138">
        <f t="shared" ref="BD150" si="1609">AZ150</f>
        <v>0.38608994632056409</v>
      </c>
    </row>
    <row r="152" spans="2:56" x14ac:dyDescent="0.2">
      <c r="B152" s="1" t="s">
        <v>103</v>
      </c>
      <c r="E152" s="43" t="s">
        <v>33</v>
      </c>
      <c r="F152" s="50">
        <f>T152</f>
        <v>0</v>
      </c>
      <c r="G152" s="50">
        <f>X152</f>
        <v>0</v>
      </c>
      <c r="H152" s="50">
        <f>AB152</f>
        <v>0</v>
      </c>
      <c r="I152" s="50">
        <f>AF152</f>
        <v>374268</v>
      </c>
      <c r="J152" s="50">
        <f>AJ152</f>
        <v>452105</v>
      </c>
      <c r="K152" s="50">
        <f>AN152</f>
        <v>0</v>
      </c>
      <c r="L152" s="50">
        <f>AR152</f>
        <v>0</v>
      </c>
      <c r="M152" s="50">
        <f>AV152</f>
        <v>0</v>
      </c>
      <c r="N152" s="50">
        <f>AZ152</f>
        <v>0</v>
      </c>
      <c r="O152" s="50">
        <f>BD152</f>
        <v>0</v>
      </c>
      <c r="Q152" s="143">
        <f>_xlfn.XLOOKUP('IS &amp; BS Projections'!$B152,'3FS'!$B:$B,'3FS'!P:P)</f>
        <v>0</v>
      </c>
      <c r="R152" s="143">
        <f>_xlfn.XLOOKUP('IS &amp; BS Projections'!$B152,'3FS'!$B:$B,'3FS'!Q:Q)</f>
        <v>0</v>
      </c>
      <c r="S152" s="143">
        <f>_xlfn.XLOOKUP('IS &amp; BS Projections'!$B152,'3FS'!$B:$B,'3FS'!R:R)</f>
        <v>0</v>
      </c>
      <c r="T152" s="143">
        <f>_xlfn.XLOOKUP('IS &amp; BS Projections'!$B152,'3FS'!$B:$B,'3FS'!S:S)</f>
        <v>0</v>
      </c>
      <c r="U152" s="143">
        <f>_xlfn.XLOOKUP('IS &amp; BS Projections'!$B152,'3FS'!$B:$B,'3FS'!T:T)</f>
        <v>0</v>
      </c>
      <c r="V152" s="143">
        <f>_xlfn.XLOOKUP('IS &amp; BS Projections'!$B152,'3FS'!$B:$B,'3FS'!U:U)</f>
        <v>0</v>
      </c>
      <c r="W152" s="143">
        <f>_xlfn.XLOOKUP('IS &amp; BS Projections'!$B152,'3FS'!$B:$B,'3FS'!V:V)</f>
        <v>0</v>
      </c>
      <c r="X152" s="143">
        <f>_xlfn.XLOOKUP('IS &amp; BS Projections'!$B152,'3FS'!$B:$B,'3FS'!W:W)</f>
        <v>0</v>
      </c>
      <c r="Y152" s="143">
        <f>_xlfn.XLOOKUP('IS &amp; BS Projections'!$B152,'3FS'!$B:$B,'3FS'!X:X)</f>
        <v>0</v>
      </c>
      <c r="Z152" s="143">
        <f>_xlfn.XLOOKUP('IS &amp; BS Projections'!$B152,'3FS'!$B:$B,'3FS'!Y:Y)</f>
        <v>0</v>
      </c>
      <c r="AA152" s="143">
        <f>_xlfn.XLOOKUP('IS &amp; BS Projections'!$B152,'3FS'!$B:$B,'3FS'!Z:Z)</f>
        <v>0</v>
      </c>
      <c r="AB152" s="143">
        <f>_xlfn.XLOOKUP('IS &amp; BS Projections'!$B152,'3FS'!$B:$B,'3FS'!AA:AA)</f>
        <v>0</v>
      </c>
      <c r="AC152" s="143">
        <f>_xlfn.XLOOKUP('IS &amp; BS Projections'!$B152,'3FS'!$B:$B,'3FS'!AB:AB)</f>
        <v>0</v>
      </c>
      <c r="AD152" s="143">
        <f>_xlfn.XLOOKUP('IS &amp; BS Projections'!$B152,'3FS'!$B:$B,'3FS'!AC:AC)</f>
        <v>0</v>
      </c>
      <c r="AE152" s="143">
        <f>_xlfn.XLOOKUP('IS &amp; BS Projections'!$B152,'3FS'!$B:$B,'3FS'!AD:AD)</f>
        <v>0</v>
      </c>
      <c r="AF152" s="143">
        <f>_xlfn.XLOOKUP('IS &amp; BS Projections'!$B152,'3FS'!$B:$B,'3FS'!AE:AE)</f>
        <v>374268</v>
      </c>
      <c r="AG152" s="143">
        <f>_xlfn.XLOOKUP('IS &amp; BS Projections'!$B152,'3FS'!$B:$B,'3FS'!AF:AF)</f>
        <v>0</v>
      </c>
      <c r="AH152" s="143">
        <f>_xlfn.XLOOKUP('IS &amp; BS Projections'!$B152,'3FS'!$B:$B,'3FS'!AG:AG)</f>
        <v>0</v>
      </c>
      <c r="AI152" s="143">
        <f>_xlfn.XLOOKUP('IS &amp; BS Projections'!$B152,'3FS'!$B:$B,'3FS'!AH:AH)</f>
        <v>0</v>
      </c>
      <c r="AJ152" s="143">
        <f>_xlfn.XLOOKUP('IS &amp; BS Projections'!$B152,'3FS'!$B:$B,'3FS'!AI:AI)</f>
        <v>452105</v>
      </c>
      <c r="AK152" s="50">
        <f>AK153*AK$10</f>
        <v>0</v>
      </c>
      <c r="AL152" s="50">
        <f t="shared" ref="AL152:BD152" si="1610">AL153*AL$10</f>
        <v>0</v>
      </c>
      <c r="AM152" s="50">
        <f t="shared" si="1610"/>
        <v>0</v>
      </c>
      <c r="AN152" s="50">
        <f t="shared" si="1610"/>
        <v>0</v>
      </c>
      <c r="AO152" s="50">
        <f t="shared" si="1610"/>
        <v>0</v>
      </c>
      <c r="AP152" s="50">
        <f t="shared" si="1610"/>
        <v>0</v>
      </c>
      <c r="AQ152" s="50">
        <f t="shared" si="1610"/>
        <v>0</v>
      </c>
      <c r="AR152" s="50">
        <f t="shared" si="1610"/>
        <v>0</v>
      </c>
      <c r="AS152" s="50">
        <f t="shared" si="1610"/>
        <v>0</v>
      </c>
      <c r="AT152" s="50">
        <f t="shared" si="1610"/>
        <v>0</v>
      </c>
      <c r="AU152" s="50">
        <f t="shared" si="1610"/>
        <v>0</v>
      </c>
      <c r="AV152" s="50">
        <f t="shared" si="1610"/>
        <v>0</v>
      </c>
      <c r="AW152" s="50">
        <f t="shared" si="1610"/>
        <v>0</v>
      </c>
      <c r="AX152" s="50">
        <f t="shared" si="1610"/>
        <v>0</v>
      </c>
      <c r="AY152" s="50">
        <f t="shared" si="1610"/>
        <v>0</v>
      </c>
      <c r="AZ152" s="50">
        <f t="shared" si="1610"/>
        <v>0</v>
      </c>
      <c r="BA152" s="50">
        <f t="shared" si="1610"/>
        <v>0</v>
      </c>
      <c r="BB152" s="50">
        <f t="shared" si="1610"/>
        <v>0</v>
      </c>
      <c r="BC152" s="50">
        <f t="shared" si="1610"/>
        <v>0</v>
      </c>
      <c r="BD152" s="50">
        <f t="shared" si="1610"/>
        <v>0</v>
      </c>
    </row>
    <row r="153" spans="2:56" x14ac:dyDescent="0.2">
      <c r="B153" s="98" t="s">
        <v>293</v>
      </c>
      <c r="C153" s="45"/>
      <c r="D153" s="45"/>
      <c r="E153" s="46" t="s">
        <v>36</v>
      </c>
      <c r="F153" s="126">
        <f t="shared" ref="F153:O153" si="1611">F152/F$10</f>
        <v>0</v>
      </c>
      <c r="G153" s="126">
        <f t="shared" si="1611"/>
        <v>0</v>
      </c>
      <c r="H153" s="126">
        <f t="shared" si="1611"/>
        <v>0</v>
      </c>
      <c r="I153" s="126">
        <f t="shared" si="1611"/>
        <v>5.7018038314278978E-2</v>
      </c>
      <c r="J153" s="126">
        <f t="shared" si="1611"/>
        <v>8.372010941825074E-2</v>
      </c>
      <c r="K153" s="126">
        <f t="shared" si="1611"/>
        <v>0</v>
      </c>
      <c r="L153" s="126">
        <f t="shared" si="1611"/>
        <v>0</v>
      </c>
      <c r="M153" s="126">
        <f t="shared" si="1611"/>
        <v>0</v>
      </c>
      <c r="N153" s="126">
        <f t="shared" si="1611"/>
        <v>0</v>
      </c>
      <c r="O153" s="126">
        <f t="shared" si="1611"/>
        <v>0</v>
      </c>
      <c r="P153" s="81"/>
      <c r="Q153" s="126">
        <f>Q152/Q$10</f>
        <v>0</v>
      </c>
      <c r="R153" s="126">
        <f t="shared" ref="R153:AJ153" si="1612">R152/R$10</f>
        <v>0</v>
      </c>
      <c r="S153" s="126">
        <f t="shared" si="1612"/>
        <v>0</v>
      </c>
      <c r="T153" s="126">
        <f t="shared" si="1612"/>
        <v>0</v>
      </c>
      <c r="U153" s="126">
        <f t="shared" si="1612"/>
        <v>0</v>
      </c>
      <c r="V153" s="126">
        <f t="shared" si="1612"/>
        <v>0</v>
      </c>
      <c r="W153" s="126">
        <f t="shared" si="1612"/>
        <v>0</v>
      </c>
      <c r="X153" s="126">
        <f t="shared" si="1612"/>
        <v>0</v>
      </c>
      <c r="Y153" s="126">
        <f t="shared" si="1612"/>
        <v>0</v>
      </c>
      <c r="Z153" s="126">
        <f t="shared" si="1612"/>
        <v>0</v>
      </c>
      <c r="AA153" s="126">
        <f t="shared" si="1612"/>
        <v>0</v>
      </c>
      <c r="AB153" s="126">
        <f t="shared" si="1612"/>
        <v>0</v>
      </c>
      <c r="AC153" s="126">
        <f t="shared" si="1612"/>
        <v>0</v>
      </c>
      <c r="AD153" s="126">
        <f t="shared" si="1612"/>
        <v>0</v>
      </c>
      <c r="AE153" s="126">
        <f t="shared" si="1612"/>
        <v>0</v>
      </c>
      <c r="AF153" s="126">
        <f t="shared" si="1612"/>
        <v>0.1647569572075116</v>
      </c>
      <c r="AG153" s="126">
        <f t="shared" si="1612"/>
        <v>0</v>
      </c>
      <c r="AH153" s="126">
        <f t="shared" si="1612"/>
        <v>0</v>
      </c>
      <c r="AI153" s="126">
        <f t="shared" si="1612"/>
        <v>0</v>
      </c>
      <c r="AJ153" s="126">
        <f t="shared" si="1612"/>
        <v>0.25383057599982933</v>
      </c>
      <c r="AK153" s="138">
        <f>MEDIAN(Q153,U153,Y153,AC153,AG153)</f>
        <v>0</v>
      </c>
      <c r="AL153" s="138">
        <f t="shared" ref="AL153" si="1613">MEDIAN(R153,V153,Z153,AD153,AH153)</f>
        <v>0</v>
      </c>
      <c r="AM153" s="138">
        <f t="shared" ref="AM153" si="1614">MEDIAN(S153,W153,AA153,AE153,AI153)</f>
        <v>0</v>
      </c>
      <c r="AN153" s="138">
        <f t="shared" ref="AN153" si="1615">MEDIAN(T153,X153,AB153,AF153,AJ153)</f>
        <v>0</v>
      </c>
      <c r="AO153" s="138">
        <f>AK153</f>
        <v>0</v>
      </c>
      <c r="AP153" s="138">
        <f t="shared" ref="AP153" si="1616">AL153</f>
        <v>0</v>
      </c>
      <c r="AQ153" s="138">
        <f t="shared" ref="AQ153" si="1617">AM153</f>
        <v>0</v>
      </c>
      <c r="AR153" s="138">
        <f t="shared" ref="AR153" si="1618">AN153</f>
        <v>0</v>
      </c>
      <c r="AS153" s="138">
        <f t="shared" ref="AS153" si="1619">AO153</f>
        <v>0</v>
      </c>
      <c r="AT153" s="138">
        <f t="shared" ref="AT153" si="1620">AP153</f>
        <v>0</v>
      </c>
      <c r="AU153" s="138">
        <f t="shared" ref="AU153" si="1621">AQ153</f>
        <v>0</v>
      </c>
      <c r="AV153" s="138">
        <f t="shared" ref="AV153" si="1622">AR153</f>
        <v>0</v>
      </c>
      <c r="AW153" s="138">
        <f t="shared" ref="AW153" si="1623">AS153</f>
        <v>0</v>
      </c>
      <c r="AX153" s="138">
        <f t="shared" ref="AX153" si="1624">AT153</f>
        <v>0</v>
      </c>
      <c r="AY153" s="138">
        <f t="shared" ref="AY153" si="1625">AU153</f>
        <v>0</v>
      </c>
      <c r="AZ153" s="138">
        <f t="shared" ref="AZ153" si="1626">AV153</f>
        <v>0</v>
      </c>
      <c r="BA153" s="138">
        <f t="shared" ref="BA153" si="1627">AW153</f>
        <v>0</v>
      </c>
      <c r="BB153" s="138">
        <f t="shared" ref="BB153" si="1628">AX153</f>
        <v>0</v>
      </c>
      <c r="BC153" s="138">
        <f t="shared" ref="BC153" si="1629">AY153</f>
        <v>0</v>
      </c>
      <c r="BD153" s="138">
        <f t="shared" ref="BD153" si="1630">AZ153</f>
        <v>0</v>
      </c>
    </row>
    <row r="155" spans="2:56" x14ac:dyDescent="0.2">
      <c r="B155" s="1" t="s">
        <v>104</v>
      </c>
      <c r="E155" s="43" t="s">
        <v>33</v>
      </c>
      <c r="F155" s="50">
        <f>T155</f>
        <v>426665</v>
      </c>
      <c r="G155" s="50">
        <f>X155</f>
        <v>151505</v>
      </c>
      <c r="H155" s="50">
        <f>AB155</f>
        <v>62980</v>
      </c>
      <c r="I155" s="50">
        <f>AF155</f>
        <v>0</v>
      </c>
      <c r="J155" s="50">
        <f>AJ155</f>
        <v>0</v>
      </c>
      <c r="K155" s="50">
        <f>AN155</f>
        <v>114872.75750998784</v>
      </c>
      <c r="L155" s="50">
        <f>AR155</f>
        <v>129725.77111334338</v>
      </c>
      <c r="M155" s="50">
        <f>AV155</f>
        <v>145215.79974275979</v>
      </c>
      <c r="N155" s="50">
        <f>AZ155</f>
        <v>169608.91608222623</v>
      </c>
      <c r="O155" s="50">
        <f>BD155</f>
        <v>208867.42657424553</v>
      </c>
      <c r="Q155" s="143">
        <f>_xlfn.XLOOKUP('IS &amp; BS Projections'!$B155,'3FS'!$B:$B,'3FS'!P:P)</f>
        <v>543820</v>
      </c>
      <c r="R155" s="143">
        <f>_xlfn.XLOOKUP('IS &amp; BS Projections'!$B155,'3FS'!$B:$B,'3FS'!Q:Q)</f>
        <v>366991</v>
      </c>
      <c r="S155" s="143">
        <f>_xlfn.XLOOKUP('IS &amp; BS Projections'!$B155,'3FS'!$B:$B,'3FS'!R:R)</f>
        <v>445172</v>
      </c>
      <c r="T155" s="143">
        <f>_xlfn.XLOOKUP('IS &amp; BS Projections'!$B155,'3FS'!$B:$B,'3FS'!S:S)</f>
        <v>426665</v>
      </c>
      <c r="U155" s="143">
        <f>_xlfn.XLOOKUP('IS &amp; BS Projections'!$B155,'3FS'!$B:$B,'3FS'!T:T)</f>
        <v>485564</v>
      </c>
      <c r="V155" s="143">
        <f>_xlfn.XLOOKUP('IS &amp; BS Projections'!$B155,'3FS'!$B:$B,'3FS'!U:U)</f>
        <v>136548</v>
      </c>
      <c r="W155" s="143">
        <f>_xlfn.XLOOKUP('IS &amp; BS Projections'!$B155,'3FS'!$B:$B,'3FS'!V:V)</f>
        <v>209678</v>
      </c>
      <c r="X155" s="143">
        <f>_xlfn.XLOOKUP('IS &amp; BS Projections'!$B155,'3FS'!$B:$B,'3FS'!W:W)</f>
        <v>151505</v>
      </c>
      <c r="Y155" s="143">
        <f>_xlfn.XLOOKUP('IS &amp; BS Projections'!$B155,'3FS'!$B:$B,'3FS'!X:X)</f>
        <v>167823</v>
      </c>
      <c r="Z155" s="143">
        <f>_xlfn.XLOOKUP('IS &amp; BS Projections'!$B155,'3FS'!$B:$B,'3FS'!Y:Y)</f>
        <v>144503</v>
      </c>
      <c r="AA155" s="143">
        <f>_xlfn.XLOOKUP('IS &amp; BS Projections'!$B155,'3FS'!$B:$B,'3FS'!Z:Z)</f>
        <v>109255</v>
      </c>
      <c r="AB155" s="143">
        <f>_xlfn.XLOOKUP('IS &amp; BS Projections'!$B155,'3FS'!$B:$B,'3FS'!AA:AA)</f>
        <v>62980</v>
      </c>
      <c r="AC155" s="143">
        <f>_xlfn.XLOOKUP('IS &amp; BS Projections'!$B155,'3FS'!$B:$B,'3FS'!AB:AB)</f>
        <v>272805</v>
      </c>
      <c r="AD155" s="143">
        <f>_xlfn.XLOOKUP('IS &amp; BS Projections'!$B155,'3FS'!$B:$B,'3FS'!AC:AC)</f>
        <v>237474</v>
      </c>
      <c r="AE155" s="143">
        <f>_xlfn.XLOOKUP('IS &amp; BS Projections'!$B155,'3FS'!$B:$B,'3FS'!AD:AD)</f>
        <v>265259</v>
      </c>
      <c r="AF155" s="143">
        <f>_xlfn.XLOOKUP('IS &amp; BS Projections'!$B155,'3FS'!$B:$B,'3FS'!AE:AE)</f>
        <v>0</v>
      </c>
      <c r="AG155" s="143">
        <f>_xlfn.XLOOKUP('IS &amp; BS Projections'!$B155,'3FS'!$B:$B,'3FS'!AF:AF)</f>
        <v>272608</v>
      </c>
      <c r="AH155" s="143">
        <f>_xlfn.XLOOKUP('IS &amp; BS Projections'!$B155,'3FS'!$B:$B,'3FS'!AG:AG)</f>
        <v>268550</v>
      </c>
      <c r="AI155" s="143">
        <f>_xlfn.XLOOKUP('IS &amp; BS Projections'!$B155,'3FS'!$B:$B,'3FS'!AH:AH)</f>
        <v>386823</v>
      </c>
      <c r="AJ155" s="143">
        <f>_xlfn.XLOOKUP('IS &amp; BS Projections'!$B155,'3FS'!$B:$B,'3FS'!AI:AI)</f>
        <v>0</v>
      </c>
      <c r="AK155" s="50">
        <f>AK156*AK$10</f>
        <v>404829.96073926851</v>
      </c>
      <c r="AL155" s="50">
        <f t="shared" ref="AL155:BD155" si="1631">AL156*AL$10</f>
        <v>301278.56590014318</v>
      </c>
      <c r="AM155" s="50">
        <f t="shared" si="1631"/>
        <v>522471.87353327783</v>
      </c>
      <c r="AN155" s="50">
        <f t="shared" si="1631"/>
        <v>114872.75750998784</v>
      </c>
      <c r="AO155" s="50">
        <f t="shared" si="1631"/>
        <v>422468.11469138437</v>
      </c>
      <c r="AP155" s="50">
        <f t="shared" si="1631"/>
        <v>342758.83143322187</v>
      </c>
      <c r="AQ155" s="50">
        <f t="shared" si="1631"/>
        <v>602908.21480958199</v>
      </c>
      <c r="AR155" s="50">
        <f t="shared" si="1631"/>
        <v>129725.77111334338</v>
      </c>
      <c r="AS155" s="50">
        <f t="shared" si="1631"/>
        <v>459883.29791213892</v>
      </c>
      <c r="AT155" s="50">
        <f t="shared" si="1631"/>
        <v>392227.02877874946</v>
      </c>
      <c r="AU155" s="50">
        <f t="shared" si="1631"/>
        <v>679401.49264935602</v>
      </c>
      <c r="AV155" s="50">
        <f t="shared" si="1631"/>
        <v>145215.79974275979</v>
      </c>
      <c r="AW155" s="50">
        <f t="shared" si="1631"/>
        <v>507768.09975558054</v>
      </c>
      <c r="AX155" s="50">
        <f t="shared" si="1631"/>
        <v>466482.13016341842</v>
      </c>
      <c r="AY155" s="50">
        <f t="shared" si="1631"/>
        <v>798283.67534109112</v>
      </c>
      <c r="AZ155" s="50">
        <f t="shared" si="1631"/>
        <v>169608.91608222623</v>
      </c>
      <c r="BA155" s="50">
        <f t="shared" si="1631"/>
        <v>583392.92825764709</v>
      </c>
      <c r="BB155" s="50">
        <f t="shared" si="1631"/>
        <v>586608.70116765401</v>
      </c>
      <c r="BC155" s="50">
        <f t="shared" si="1631"/>
        <v>994724.78313974093</v>
      </c>
      <c r="BD155" s="50">
        <f t="shared" si="1631"/>
        <v>208867.42657424553</v>
      </c>
    </row>
    <row r="156" spans="2:56" x14ac:dyDescent="0.2">
      <c r="B156" s="98" t="s">
        <v>293</v>
      </c>
      <c r="C156" s="45"/>
      <c r="D156" s="45"/>
      <c r="E156" s="46" t="s">
        <v>36</v>
      </c>
      <c r="F156" s="126">
        <f t="shared" ref="F156:O156" si="1632">F155/F$10</f>
        <v>5.442540894157686E-2</v>
      </c>
      <c r="G156" s="126">
        <f t="shared" si="1632"/>
        <v>4.7431162904857792E-2</v>
      </c>
      <c r="H156" s="126">
        <f t="shared" si="1632"/>
        <v>2.0261338451535733E-2</v>
      </c>
      <c r="I156" s="126">
        <f t="shared" si="1632"/>
        <v>0</v>
      </c>
      <c r="J156" s="126">
        <f t="shared" si="1632"/>
        <v>0</v>
      </c>
      <c r="K156" s="126">
        <f t="shared" si="1632"/>
        <v>1.4802198753081615E-2</v>
      </c>
      <c r="L156" s="126">
        <f t="shared" si="1632"/>
        <v>1.4949390331909722E-2</v>
      </c>
      <c r="M156" s="126">
        <f t="shared" si="1632"/>
        <v>1.4932426594680316E-2</v>
      </c>
      <c r="N156" s="126">
        <f t="shared" si="1632"/>
        <v>1.5017064332106011E-2</v>
      </c>
      <c r="O156" s="126">
        <f t="shared" si="1632"/>
        <v>1.9561379309036037E-2</v>
      </c>
      <c r="P156" s="81"/>
      <c r="Q156" s="126">
        <f>Q155/Q$10</f>
        <v>0.30193569306073137</v>
      </c>
      <c r="R156" s="126">
        <f t="shared" ref="R156:AJ156" si="1633">R155/R$10</f>
        <v>0.16472049343750028</v>
      </c>
      <c r="S156" s="126">
        <f t="shared" si="1633"/>
        <v>0.33933172143168577</v>
      </c>
      <c r="T156" s="126">
        <f t="shared" si="1633"/>
        <v>0.17077099000465487</v>
      </c>
      <c r="U156" s="126">
        <f t="shared" si="1633"/>
        <v>0.41628001879228693</v>
      </c>
      <c r="V156" s="126">
        <f t="shared" si="1633"/>
        <v>0.16892710234126124</v>
      </c>
      <c r="W156" s="126">
        <f t="shared" si="1633"/>
        <v>0.35518236132120695</v>
      </c>
      <c r="X156" s="126">
        <f t="shared" si="1633"/>
        <v>0.24082510475148941</v>
      </c>
      <c r="Y156" s="126">
        <f t="shared" si="1633"/>
        <v>0.21723844671203282</v>
      </c>
      <c r="Z156" s="126">
        <f t="shared" si="1633"/>
        <v>0.20412594238541285</v>
      </c>
      <c r="AA156" s="126">
        <f t="shared" si="1633"/>
        <v>0.16206381981404677</v>
      </c>
      <c r="AB156" s="126">
        <f t="shared" si="1633"/>
        <v>6.6030960531351074E-2</v>
      </c>
      <c r="AC156" s="126">
        <f t="shared" si="1633"/>
        <v>0.16659135182007487</v>
      </c>
      <c r="AD156" s="126">
        <f t="shared" si="1633"/>
        <v>0.16381719999889627</v>
      </c>
      <c r="AE156" s="126">
        <f t="shared" si="1633"/>
        <v>0.22009669820518374</v>
      </c>
      <c r="AF156" s="126">
        <f t="shared" si="1633"/>
        <v>0</v>
      </c>
      <c r="AG156" s="126">
        <f t="shared" si="1633"/>
        <v>0.13400612988774982</v>
      </c>
      <c r="AH156" s="126">
        <f t="shared" si="1633"/>
        <v>0.17936719547317406</v>
      </c>
      <c r="AI156" s="126">
        <f t="shared" si="1633"/>
        <v>0.2070018991883632</v>
      </c>
      <c r="AJ156" s="126">
        <f t="shared" si="1633"/>
        <v>0</v>
      </c>
      <c r="AK156" s="138">
        <f>MEDIAN(Q156,U156,Y156,AC156,AG156)</f>
        <v>0.21723844671203282</v>
      </c>
      <c r="AL156" s="138">
        <f t="shared" ref="AL156" si="1634">MEDIAN(R156,V156,Z156,AD156,AH156)</f>
        <v>0.16892710234126124</v>
      </c>
      <c r="AM156" s="138">
        <f t="shared" ref="AM156" si="1635">MEDIAN(S156,W156,AA156,AE156,AI156)</f>
        <v>0.22009669820518374</v>
      </c>
      <c r="AN156" s="138">
        <f t="shared" ref="AN156" si="1636">MEDIAN(T156,X156,AB156,AF156,AJ156)</f>
        <v>6.6030960531351074E-2</v>
      </c>
      <c r="AO156" s="138">
        <f>AK156</f>
        <v>0.21723844671203282</v>
      </c>
      <c r="AP156" s="138">
        <f t="shared" ref="AP156" si="1637">AL156</f>
        <v>0.16892710234126124</v>
      </c>
      <c r="AQ156" s="138">
        <f t="shared" ref="AQ156" si="1638">AM156</f>
        <v>0.22009669820518374</v>
      </c>
      <c r="AR156" s="138">
        <f t="shared" ref="AR156" si="1639">AN156</f>
        <v>6.6030960531351074E-2</v>
      </c>
      <c r="AS156" s="138">
        <f t="shared" ref="AS156" si="1640">AO156</f>
        <v>0.21723844671203282</v>
      </c>
      <c r="AT156" s="138">
        <f t="shared" ref="AT156" si="1641">AP156</f>
        <v>0.16892710234126124</v>
      </c>
      <c r="AU156" s="138">
        <f t="shared" ref="AU156" si="1642">AQ156</f>
        <v>0.22009669820518374</v>
      </c>
      <c r="AV156" s="138">
        <f t="shared" ref="AV156" si="1643">AR156</f>
        <v>6.6030960531351074E-2</v>
      </c>
      <c r="AW156" s="138">
        <f t="shared" ref="AW156" si="1644">AS156</f>
        <v>0.21723844671203282</v>
      </c>
      <c r="AX156" s="138">
        <f t="shared" ref="AX156" si="1645">AT156</f>
        <v>0.16892710234126124</v>
      </c>
      <c r="AY156" s="138">
        <f t="shared" ref="AY156" si="1646">AU156</f>
        <v>0.22009669820518374</v>
      </c>
      <c r="AZ156" s="138">
        <f t="shared" ref="AZ156" si="1647">AV156</f>
        <v>6.6030960531351074E-2</v>
      </c>
      <c r="BA156" s="138">
        <f t="shared" ref="BA156" si="1648">AW156</f>
        <v>0.21723844671203282</v>
      </c>
      <c r="BB156" s="138">
        <f t="shared" ref="BB156" si="1649">AX156</f>
        <v>0.16892710234126124</v>
      </c>
      <c r="BC156" s="138">
        <f t="shared" ref="BC156" si="1650">AY156</f>
        <v>0.22009669820518374</v>
      </c>
      <c r="BD156" s="138">
        <f t="shared" ref="BD156" si="1651">AZ156</f>
        <v>6.6030960531351074E-2</v>
      </c>
    </row>
    <row r="158" spans="2:56" x14ac:dyDescent="0.2">
      <c r="B158" s="1" t="s">
        <v>106</v>
      </c>
      <c r="E158" s="43" t="s">
        <v>33</v>
      </c>
      <c r="F158" s="50">
        <f>T158</f>
        <v>32366</v>
      </c>
      <c r="G158" s="50">
        <f>X158</f>
        <v>33734</v>
      </c>
      <c r="H158" s="50">
        <f>AB158</f>
        <v>0</v>
      </c>
      <c r="I158" s="50">
        <f>AF158</f>
        <v>0</v>
      </c>
      <c r="J158" s="50">
        <f>AJ158</f>
        <v>0</v>
      </c>
      <c r="K158" s="50">
        <f>AN158</f>
        <v>0</v>
      </c>
      <c r="L158" s="50">
        <f>AR158</f>
        <v>0</v>
      </c>
      <c r="M158" s="50">
        <f>AV158</f>
        <v>0</v>
      </c>
      <c r="N158" s="50">
        <f>AZ158</f>
        <v>0</v>
      </c>
      <c r="O158" s="50">
        <f>BD158</f>
        <v>0</v>
      </c>
      <c r="Q158" s="143">
        <f>_xlfn.XLOOKUP('IS &amp; BS Projections'!$B158,'3FS'!$B:$B,'3FS'!P:P)</f>
        <v>29695</v>
      </c>
      <c r="R158" s="143">
        <f>_xlfn.XLOOKUP('IS &amp; BS Projections'!$B158,'3FS'!$B:$B,'3FS'!Q:Q)</f>
        <v>30933</v>
      </c>
      <c r="S158" s="143">
        <f>_xlfn.XLOOKUP('IS &amp; BS Projections'!$B158,'3FS'!$B:$B,'3FS'!R:R)</f>
        <v>31854</v>
      </c>
      <c r="T158" s="143">
        <f>_xlfn.XLOOKUP('IS &amp; BS Projections'!$B158,'3FS'!$B:$B,'3FS'!S:S)</f>
        <v>32366</v>
      </c>
      <c r="U158" s="143">
        <f>_xlfn.XLOOKUP('IS &amp; BS Projections'!$B158,'3FS'!$B:$B,'3FS'!T:T)</f>
        <v>32688</v>
      </c>
      <c r="V158" s="143">
        <f>_xlfn.XLOOKUP('IS &amp; BS Projections'!$B158,'3FS'!$B:$B,'3FS'!U:U)</f>
        <v>34174</v>
      </c>
      <c r="W158" s="143">
        <f>_xlfn.XLOOKUP('IS &amp; BS Projections'!$B158,'3FS'!$B:$B,'3FS'!V:V)</f>
        <v>33025</v>
      </c>
      <c r="X158" s="143">
        <f>_xlfn.XLOOKUP('IS &amp; BS Projections'!$B158,'3FS'!$B:$B,'3FS'!W:W)</f>
        <v>33734</v>
      </c>
      <c r="Y158" s="143">
        <f>_xlfn.XLOOKUP('IS &amp; BS Projections'!$B158,'3FS'!$B:$B,'3FS'!X:X)</f>
        <v>12776</v>
      </c>
      <c r="Z158" s="143">
        <f>_xlfn.XLOOKUP('IS &amp; BS Projections'!$B158,'3FS'!$B:$B,'3FS'!Y:Y)</f>
        <v>12350</v>
      </c>
      <c r="AA158" s="143">
        <f>_xlfn.XLOOKUP('IS &amp; BS Projections'!$B158,'3FS'!$B:$B,'3FS'!Z:Z)</f>
        <v>12015</v>
      </c>
      <c r="AB158" s="143">
        <f>_xlfn.XLOOKUP('IS &amp; BS Projections'!$B158,'3FS'!$B:$B,'3FS'!AA:AA)</f>
        <v>0</v>
      </c>
      <c r="AC158" s="143">
        <f>_xlfn.XLOOKUP('IS &amp; BS Projections'!$B158,'3FS'!$B:$B,'3FS'!AB:AB)</f>
        <v>0</v>
      </c>
      <c r="AD158" s="143">
        <f>_xlfn.XLOOKUP('IS &amp; BS Projections'!$B158,'3FS'!$B:$B,'3FS'!AC:AC)</f>
        <v>0</v>
      </c>
      <c r="AE158" s="143">
        <f>_xlfn.XLOOKUP('IS &amp; BS Projections'!$B158,'3FS'!$B:$B,'3FS'!AD:AD)</f>
        <v>0</v>
      </c>
      <c r="AF158" s="143">
        <f>_xlfn.XLOOKUP('IS &amp; BS Projections'!$B158,'3FS'!$B:$B,'3FS'!AE:AE)</f>
        <v>0</v>
      </c>
      <c r="AG158" s="143">
        <f>_xlfn.XLOOKUP('IS &amp; BS Projections'!$B158,'3FS'!$B:$B,'3FS'!AF:AF)</f>
        <v>0</v>
      </c>
      <c r="AH158" s="143">
        <f>_xlfn.XLOOKUP('IS &amp; BS Projections'!$B158,'3FS'!$B:$B,'3FS'!AG:AG)</f>
        <v>0</v>
      </c>
      <c r="AI158" s="143">
        <f>_xlfn.XLOOKUP('IS &amp; BS Projections'!$B158,'3FS'!$B:$B,'3FS'!AH:AH)</f>
        <v>0</v>
      </c>
      <c r="AJ158" s="143">
        <f>_xlfn.XLOOKUP('IS &amp; BS Projections'!$B158,'3FS'!$B:$B,'3FS'!AI:AI)</f>
        <v>0</v>
      </c>
      <c r="AK158" s="50">
        <f>AK159*AK$10</f>
        <v>30724.057370241586</v>
      </c>
      <c r="AL158" s="50">
        <f t="shared" ref="AL158:BD158" si="1652">AL159*AL$10</f>
        <v>24761.854376150874</v>
      </c>
      <c r="AM158" s="50">
        <f t="shared" si="1652"/>
        <v>42307.553571689539</v>
      </c>
      <c r="AN158" s="50">
        <f t="shared" si="1652"/>
        <v>0</v>
      </c>
      <c r="AO158" s="50">
        <f t="shared" si="1652"/>
        <v>32062.682735173461</v>
      </c>
      <c r="AP158" s="50">
        <f t="shared" si="1652"/>
        <v>28171.085602226878</v>
      </c>
      <c r="AQ158" s="50">
        <f t="shared" si="1652"/>
        <v>48820.946904510136</v>
      </c>
      <c r="AR158" s="50">
        <f t="shared" si="1652"/>
        <v>0</v>
      </c>
      <c r="AS158" s="50">
        <f t="shared" si="1652"/>
        <v>34902.260699446051</v>
      </c>
      <c r="AT158" s="50">
        <f t="shared" si="1652"/>
        <v>32236.838820551216</v>
      </c>
      <c r="AU158" s="50">
        <f t="shared" si="1652"/>
        <v>55015.047704989389</v>
      </c>
      <c r="AV158" s="50">
        <f t="shared" si="1652"/>
        <v>0</v>
      </c>
      <c r="AW158" s="50">
        <f t="shared" si="1652"/>
        <v>38536.417114929558</v>
      </c>
      <c r="AX158" s="50">
        <f t="shared" si="1652"/>
        <v>38339.808680620568</v>
      </c>
      <c r="AY158" s="50">
        <f t="shared" si="1652"/>
        <v>64641.622010198596</v>
      </c>
      <c r="AZ158" s="50">
        <f t="shared" si="1652"/>
        <v>0</v>
      </c>
      <c r="BA158" s="50">
        <f t="shared" si="1652"/>
        <v>44275.867735800544</v>
      </c>
      <c r="BB158" s="50">
        <f t="shared" si="1652"/>
        <v>48212.919464409708</v>
      </c>
      <c r="BC158" s="50">
        <f t="shared" si="1652"/>
        <v>80548.588706165741</v>
      </c>
      <c r="BD158" s="50">
        <f t="shared" si="1652"/>
        <v>0</v>
      </c>
    </row>
    <row r="159" spans="2:56" x14ac:dyDescent="0.2">
      <c r="B159" s="98" t="s">
        <v>293</v>
      </c>
      <c r="C159" s="45"/>
      <c r="D159" s="45"/>
      <c r="E159" s="46" t="s">
        <v>36</v>
      </c>
      <c r="F159" s="126">
        <f t="shared" ref="F159:O159" si="1653">F158/F$10</f>
        <v>4.128608594103282E-3</v>
      </c>
      <c r="G159" s="126">
        <f t="shared" si="1653"/>
        <v>1.0560990392610626E-2</v>
      </c>
      <c r="H159" s="126">
        <f t="shared" si="1653"/>
        <v>0</v>
      </c>
      <c r="I159" s="126">
        <f t="shared" si="1653"/>
        <v>0</v>
      </c>
      <c r="J159" s="126">
        <f t="shared" si="1653"/>
        <v>0</v>
      </c>
      <c r="K159" s="126">
        <f t="shared" si="1653"/>
        <v>0</v>
      </c>
      <c r="L159" s="126">
        <f t="shared" si="1653"/>
        <v>0</v>
      </c>
      <c r="M159" s="126">
        <f t="shared" si="1653"/>
        <v>0</v>
      </c>
      <c r="N159" s="126">
        <f t="shared" si="1653"/>
        <v>0</v>
      </c>
      <c r="O159" s="126">
        <f t="shared" si="1653"/>
        <v>0</v>
      </c>
      <c r="P159" s="81"/>
      <c r="Q159" s="126">
        <f>Q158/Q$10</f>
        <v>1.6487036897205726E-2</v>
      </c>
      <c r="R159" s="126">
        <f t="shared" ref="R159:AJ159" si="1654">R158/R$10</f>
        <v>1.3883989044696454E-2</v>
      </c>
      <c r="S159" s="126">
        <f t="shared" si="1654"/>
        <v>2.428066602231254E-2</v>
      </c>
      <c r="T159" s="126">
        <f t="shared" si="1654"/>
        <v>1.2954364343198198E-2</v>
      </c>
      <c r="U159" s="126">
        <f t="shared" si="1654"/>
        <v>2.8023826425110338E-2</v>
      </c>
      <c r="V159" s="126">
        <f t="shared" si="1654"/>
        <v>4.2277549253085085E-2</v>
      </c>
      <c r="W159" s="126">
        <f t="shared" si="1654"/>
        <v>5.5942433076588201E-2</v>
      </c>
      <c r="X159" s="126">
        <f t="shared" si="1654"/>
        <v>5.3621953623225263E-2</v>
      </c>
      <c r="Y159" s="126">
        <f t="shared" si="1654"/>
        <v>1.6537890486959066E-2</v>
      </c>
      <c r="Z159" s="126">
        <f t="shared" si="1654"/>
        <v>1.7445695857247593E-2</v>
      </c>
      <c r="AA159" s="126">
        <f t="shared" si="1654"/>
        <v>1.7822495950444116E-2</v>
      </c>
      <c r="AB159" s="126">
        <f t="shared" si="1654"/>
        <v>0</v>
      </c>
      <c r="AC159" s="126">
        <f t="shared" si="1654"/>
        <v>0</v>
      </c>
      <c r="AD159" s="126">
        <f t="shared" si="1654"/>
        <v>0</v>
      </c>
      <c r="AE159" s="126">
        <f t="shared" si="1654"/>
        <v>0</v>
      </c>
      <c r="AF159" s="126">
        <f t="shared" si="1654"/>
        <v>0</v>
      </c>
      <c r="AG159" s="126">
        <f t="shared" si="1654"/>
        <v>0</v>
      </c>
      <c r="AH159" s="126">
        <f t="shared" si="1654"/>
        <v>0</v>
      </c>
      <c r="AI159" s="126">
        <f t="shared" si="1654"/>
        <v>0</v>
      </c>
      <c r="AJ159" s="126">
        <f t="shared" si="1654"/>
        <v>0</v>
      </c>
      <c r="AK159" s="138">
        <f>MEDIAN(Q159,U159,Y159,AC159,AG159)</f>
        <v>1.6487036897205726E-2</v>
      </c>
      <c r="AL159" s="138">
        <f t="shared" ref="AL159" si="1655">MEDIAN(R159,V159,Z159,AD159,AH159)</f>
        <v>1.3883989044696454E-2</v>
      </c>
      <c r="AM159" s="138">
        <f t="shared" ref="AM159" si="1656">MEDIAN(S159,W159,AA159,AE159,AI159)</f>
        <v>1.7822495950444116E-2</v>
      </c>
      <c r="AN159" s="138">
        <f t="shared" ref="AN159" si="1657">MEDIAN(T159,X159,AB159,AF159,AJ159)</f>
        <v>0</v>
      </c>
      <c r="AO159" s="138">
        <f>AK159</f>
        <v>1.6487036897205726E-2</v>
      </c>
      <c r="AP159" s="138">
        <f t="shared" ref="AP159" si="1658">AL159</f>
        <v>1.3883989044696454E-2</v>
      </c>
      <c r="AQ159" s="138">
        <f t="shared" ref="AQ159" si="1659">AM159</f>
        <v>1.7822495950444116E-2</v>
      </c>
      <c r="AR159" s="138">
        <f t="shared" ref="AR159" si="1660">AN159</f>
        <v>0</v>
      </c>
      <c r="AS159" s="138">
        <f t="shared" ref="AS159" si="1661">AO159</f>
        <v>1.6487036897205726E-2</v>
      </c>
      <c r="AT159" s="138">
        <f t="shared" ref="AT159" si="1662">AP159</f>
        <v>1.3883989044696454E-2</v>
      </c>
      <c r="AU159" s="138">
        <f t="shared" ref="AU159" si="1663">AQ159</f>
        <v>1.7822495950444116E-2</v>
      </c>
      <c r="AV159" s="138">
        <f t="shared" ref="AV159" si="1664">AR159</f>
        <v>0</v>
      </c>
      <c r="AW159" s="138">
        <f t="shared" ref="AW159" si="1665">AS159</f>
        <v>1.6487036897205726E-2</v>
      </c>
      <c r="AX159" s="138">
        <f t="shared" ref="AX159" si="1666">AT159</f>
        <v>1.3883989044696454E-2</v>
      </c>
      <c r="AY159" s="138">
        <f t="shared" ref="AY159" si="1667">AU159</f>
        <v>1.7822495950444116E-2</v>
      </c>
      <c r="AZ159" s="138">
        <f t="shared" ref="AZ159" si="1668">AV159</f>
        <v>0</v>
      </c>
      <c r="BA159" s="138">
        <f t="shared" ref="BA159" si="1669">AW159</f>
        <v>1.6487036897205726E-2</v>
      </c>
      <c r="BB159" s="138">
        <f t="shared" ref="BB159" si="1670">AX159</f>
        <v>1.3883989044696454E-2</v>
      </c>
      <c r="BC159" s="138">
        <f t="shared" ref="BC159" si="1671">AY159</f>
        <v>1.7822495950444116E-2</v>
      </c>
      <c r="BD159" s="138">
        <f t="shared" ref="BD159" si="1672">AZ159</f>
        <v>0</v>
      </c>
    </row>
    <row r="161" spans="2:56" x14ac:dyDescent="0.2">
      <c r="B161" s="1" t="s">
        <v>107</v>
      </c>
      <c r="E161" s="43" t="s">
        <v>33</v>
      </c>
      <c r="F161" s="50">
        <f>T161</f>
        <v>0</v>
      </c>
      <c r="G161" s="50">
        <f>X161</f>
        <v>0</v>
      </c>
      <c r="H161" s="50">
        <f>AB161</f>
        <v>0</v>
      </c>
      <c r="I161" s="50">
        <f>AF161</f>
        <v>0</v>
      </c>
      <c r="J161" s="50">
        <f>AJ161</f>
        <v>0</v>
      </c>
      <c r="K161" s="50">
        <f>AN161</f>
        <v>0</v>
      </c>
      <c r="L161" s="50">
        <f>AR161</f>
        <v>0</v>
      </c>
      <c r="M161" s="50">
        <f>AV161</f>
        <v>0</v>
      </c>
      <c r="N161" s="50">
        <f>AZ161</f>
        <v>0</v>
      </c>
      <c r="O161" s="50">
        <f>BD161</f>
        <v>0</v>
      </c>
      <c r="Q161" s="143">
        <f>_xlfn.XLOOKUP('IS &amp; BS Projections'!$B161,'3FS'!$B:$B,'3FS'!P:P)</f>
        <v>84832</v>
      </c>
      <c r="R161" s="143">
        <f>_xlfn.XLOOKUP('IS &amp; BS Projections'!$B161,'3FS'!$B:$B,'3FS'!Q:Q)</f>
        <v>44480</v>
      </c>
      <c r="S161" s="143">
        <f>_xlfn.XLOOKUP('IS &amp; BS Projections'!$B161,'3FS'!$B:$B,'3FS'!R:R)</f>
        <v>39684</v>
      </c>
      <c r="T161" s="143">
        <f>_xlfn.XLOOKUP('IS &amp; BS Projections'!$B161,'3FS'!$B:$B,'3FS'!S:S)</f>
        <v>0</v>
      </c>
      <c r="U161" s="143">
        <f>_xlfn.XLOOKUP('IS &amp; BS Projections'!$B161,'3FS'!$B:$B,'3FS'!T:T)</f>
        <v>0</v>
      </c>
      <c r="V161" s="143">
        <f>_xlfn.XLOOKUP('IS &amp; BS Projections'!$B161,'3FS'!$B:$B,'3FS'!U:U)</f>
        <v>0</v>
      </c>
      <c r="W161" s="143">
        <f>_xlfn.XLOOKUP('IS &amp; BS Projections'!$B161,'3FS'!$B:$B,'3FS'!V:V)</f>
        <v>0</v>
      </c>
      <c r="X161" s="143">
        <f>_xlfn.XLOOKUP('IS &amp; BS Projections'!$B161,'3FS'!$B:$B,'3FS'!W:W)</f>
        <v>0</v>
      </c>
      <c r="Y161" s="143">
        <f>_xlfn.XLOOKUP('IS &amp; BS Projections'!$B161,'3FS'!$B:$B,'3FS'!X:X)</f>
        <v>0</v>
      </c>
      <c r="Z161" s="143">
        <f>_xlfn.XLOOKUP('IS &amp; BS Projections'!$B161,'3FS'!$B:$B,'3FS'!Y:Y)</f>
        <v>0</v>
      </c>
      <c r="AA161" s="143">
        <f>_xlfn.XLOOKUP('IS &amp; BS Projections'!$B161,'3FS'!$B:$B,'3FS'!Z:Z)</f>
        <v>0</v>
      </c>
      <c r="AB161" s="143">
        <f>_xlfn.XLOOKUP('IS &amp; BS Projections'!$B161,'3FS'!$B:$B,'3FS'!AA:AA)</f>
        <v>0</v>
      </c>
      <c r="AC161" s="143">
        <f>_xlfn.XLOOKUP('IS &amp; BS Projections'!$B161,'3FS'!$B:$B,'3FS'!AB:AB)</f>
        <v>0</v>
      </c>
      <c r="AD161" s="143">
        <f>_xlfn.XLOOKUP('IS &amp; BS Projections'!$B161,'3FS'!$B:$B,'3FS'!AC:AC)</f>
        <v>0</v>
      </c>
      <c r="AE161" s="143">
        <f>_xlfn.XLOOKUP('IS &amp; BS Projections'!$B161,'3FS'!$B:$B,'3FS'!AD:AD)</f>
        <v>0</v>
      </c>
      <c r="AF161" s="143">
        <f>_xlfn.XLOOKUP('IS &amp; BS Projections'!$B161,'3FS'!$B:$B,'3FS'!AE:AE)</f>
        <v>0</v>
      </c>
      <c r="AG161" s="143">
        <f>_xlfn.XLOOKUP('IS &amp; BS Projections'!$B161,'3FS'!$B:$B,'3FS'!AF:AF)</f>
        <v>0</v>
      </c>
      <c r="AH161" s="143">
        <f>_xlfn.XLOOKUP('IS &amp; BS Projections'!$B161,'3FS'!$B:$B,'3FS'!AG:AG)</f>
        <v>0</v>
      </c>
      <c r="AI161" s="143">
        <f>_xlfn.XLOOKUP('IS &amp; BS Projections'!$B161,'3FS'!$B:$B,'3FS'!AH:AH)</f>
        <v>0</v>
      </c>
      <c r="AJ161" s="143">
        <f>_xlfn.XLOOKUP('IS &amp; BS Projections'!$B161,'3FS'!$B:$B,'3FS'!AI:AI)</f>
        <v>0</v>
      </c>
      <c r="AK161" s="50">
        <f>AK162*AK$10</f>
        <v>0</v>
      </c>
      <c r="AL161" s="50">
        <f t="shared" ref="AL161:BD161" si="1673">AL162*AL$10</f>
        <v>0</v>
      </c>
      <c r="AM161" s="50">
        <f t="shared" si="1673"/>
        <v>0</v>
      </c>
      <c r="AN161" s="50">
        <f t="shared" si="1673"/>
        <v>0</v>
      </c>
      <c r="AO161" s="50">
        <f t="shared" si="1673"/>
        <v>0</v>
      </c>
      <c r="AP161" s="50">
        <f t="shared" si="1673"/>
        <v>0</v>
      </c>
      <c r="AQ161" s="50">
        <f t="shared" si="1673"/>
        <v>0</v>
      </c>
      <c r="AR161" s="50">
        <f t="shared" si="1673"/>
        <v>0</v>
      </c>
      <c r="AS161" s="50">
        <f t="shared" si="1673"/>
        <v>0</v>
      </c>
      <c r="AT161" s="50">
        <f t="shared" si="1673"/>
        <v>0</v>
      </c>
      <c r="AU161" s="50">
        <f t="shared" si="1673"/>
        <v>0</v>
      </c>
      <c r="AV161" s="50">
        <f t="shared" si="1673"/>
        <v>0</v>
      </c>
      <c r="AW161" s="50">
        <f t="shared" si="1673"/>
        <v>0</v>
      </c>
      <c r="AX161" s="50">
        <f t="shared" si="1673"/>
        <v>0</v>
      </c>
      <c r="AY161" s="50">
        <f t="shared" si="1673"/>
        <v>0</v>
      </c>
      <c r="AZ161" s="50">
        <f t="shared" si="1673"/>
        <v>0</v>
      </c>
      <c r="BA161" s="50">
        <f t="shared" si="1673"/>
        <v>0</v>
      </c>
      <c r="BB161" s="50">
        <f t="shared" si="1673"/>
        <v>0</v>
      </c>
      <c r="BC161" s="50">
        <f t="shared" si="1673"/>
        <v>0</v>
      </c>
      <c r="BD161" s="50">
        <f t="shared" si="1673"/>
        <v>0</v>
      </c>
    </row>
    <row r="162" spans="2:56" x14ac:dyDescent="0.2">
      <c r="B162" s="98" t="s">
        <v>293</v>
      </c>
      <c r="C162" s="45"/>
      <c r="D162" s="45"/>
      <c r="E162" s="46" t="s">
        <v>36</v>
      </c>
      <c r="F162" s="126">
        <f t="shared" ref="F162:O162" si="1674">F161/F$10</f>
        <v>0</v>
      </c>
      <c r="G162" s="126">
        <f t="shared" si="1674"/>
        <v>0</v>
      </c>
      <c r="H162" s="126">
        <f t="shared" si="1674"/>
        <v>0</v>
      </c>
      <c r="I162" s="126">
        <f t="shared" si="1674"/>
        <v>0</v>
      </c>
      <c r="J162" s="126">
        <f t="shared" si="1674"/>
        <v>0</v>
      </c>
      <c r="K162" s="126">
        <f t="shared" si="1674"/>
        <v>0</v>
      </c>
      <c r="L162" s="126">
        <f t="shared" si="1674"/>
        <v>0</v>
      </c>
      <c r="M162" s="126">
        <f t="shared" si="1674"/>
        <v>0</v>
      </c>
      <c r="N162" s="126">
        <f t="shared" si="1674"/>
        <v>0</v>
      </c>
      <c r="O162" s="126">
        <f t="shared" si="1674"/>
        <v>0</v>
      </c>
      <c r="P162" s="81"/>
      <c r="Q162" s="126">
        <f>Q161/Q$10</f>
        <v>4.7099791684248396E-2</v>
      </c>
      <c r="R162" s="126">
        <f t="shared" ref="R162:AJ162" si="1675">R161/R$10</f>
        <v>1.9964433863773261E-2</v>
      </c>
      <c r="S162" s="126">
        <f t="shared" si="1675"/>
        <v>3.0249072343487501E-2</v>
      </c>
      <c r="T162" s="126">
        <f t="shared" si="1675"/>
        <v>0</v>
      </c>
      <c r="U162" s="126">
        <f t="shared" si="1675"/>
        <v>0</v>
      </c>
      <c r="V162" s="126">
        <f t="shared" si="1675"/>
        <v>0</v>
      </c>
      <c r="W162" s="126">
        <f t="shared" si="1675"/>
        <v>0</v>
      </c>
      <c r="X162" s="126">
        <f t="shared" si="1675"/>
        <v>0</v>
      </c>
      <c r="Y162" s="126">
        <f t="shared" si="1675"/>
        <v>0</v>
      </c>
      <c r="Z162" s="126">
        <f t="shared" si="1675"/>
        <v>0</v>
      </c>
      <c r="AA162" s="126">
        <f t="shared" si="1675"/>
        <v>0</v>
      </c>
      <c r="AB162" s="126">
        <f t="shared" si="1675"/>
        <v>0</v>
      </c>
      <c r="AC162" s="126">
        <f t="shared" si="1675"/>
        <v>0</v>
      </c>
      <c r="AD162" s="126">
        <f t="shared" si="1675"/>
        <v>0</v>
      </c>
      <c r="AE162" s="126">
        <f t="shared" si="1675"/>
        <v>0</v>
      </c>
      <c r="AF162" s="126">
        <f t="shared" si="1675"/>
        <v>0</v>
      </c>
      <c r="AG162" s="126">
        <f t="shared" si="1675"/>
        <v>0</v>
      </c>
      <c r="AH162" s="126">
        <f t="shared" si="1675"/>
        <v>0</v>
      </c>
      <c r="AI162" s="126">
        <f t="shared" si="1675"/>
        <v>0</v>
      </c>
      <c r="AJ162" s="126">
        <f t="shared" si="1675"/>
        <v>0</v>
      </c>
      <c r="AK162" s="138">
        <f>MEDIAN(Q162,U162,Y162,AC162,AG162)</f>
        <v>0</v>
      </c>
      <c r="AL162" s="138">
        <f t="shared" ref="AL162" si="1676">MEDIAN(R162,V162,Z162,AD162,AH162)</f>
        <v>0</v>
      </c>
      <c r="AM162" s="138">
        <f t="shared" ref="AM162" si="1677">MEDIAN(S162,W162,AA162,AE162,AI162)</f>
        <v>0</v>
      </c>
      <c r="AN162" s="138">
        <f t="shared" ref="AN162" si="1678">MEDIAN(T162,X162,AB162,AF162,AJ162)</f>
        <v>0</v>
      </c>
      <c r="AO162" s="138">
        <f>AK162</f>
        <v>0</v>
      </c>
      <c r="AP162" s="138">
        <f t="shared" ref="AP162" si="1679">AL162</f>
        <v>0</v>
      </c>
      <c r="AQ162" s="138">
        <f t="shared" ref="AQ162" si="1680">AM162</f>
        <v>0</v>
      </c>
      <c r="AR162" s="138">
        <f t="shared" ref="AR162" si="1681">AN162</f>
        <v>0</v>
      </c>
      <c r="AS162" s="138">
        <f t="shared" ref="AS162" si="1682">AO162</f>
        <v>0</v>
      </c>
      <c r="AT162" s="138">
        <f t="shared" ref="AT162" si="1683">AP162</f>
        <v>0</v>
      </c>
      <c r="AU162" s="138">
        <f t="shared" ref="AU162" si="1684">AQ162</f>
        <v>0</v>
      </c>
      <c r="AV162" s="138">
        <f t="shared" ref="AV162" si="1685">AR162</f>
        <v>0</v>
      </c>
      <c r="AW162" s="138">
        <f t="shared" ref="AW162" si="1686">AS162</f>
        <v>0</v>
      </c>
      <c r="AX162" s="138">
        <f t="shared" ref="AX162" si="1687">AT162</f>
        <v>0</v>
      </c>
      <c r="AY162" s="138">
        <f t="shared" ref="AY162" si="1688">AU162</f>
        <v>0</v>
      </c>
      <c r="AZ162" s="138">
        <f t="shared" ref="AZ162" si="1689">AV162</f>
        <v>0</v>
      </c>
      <c r="BA162" s="138">
        <f t="shared" ref="BA162" si="1690">AW162</f>
        <v>0</v>
      </c>
      <c r="BB162" s="138">
        <f t="shared" ref="BB162" si="1691">AX162</f>
        <v>0</v>
      </c>
      <c r="BC162" s="138">
        <f t="shared" ref="BC162" si="1692">AY162</f>
        <v>0</v>
      </c>
      <c r="BD162" s="138">
        <f t="shared" ref="BD162" si="1693">AZ162</f>
        <v>0</v>
      </c>
    </row>
    <row r="164" spans="2:56" x14ac:dyDescent="0.2">
      <c r="B164" s="1" t="s">
        <v>108</v>
      </c>
      <c r="E164" s="43" t="s">
        <v>33</v>
      </c>
      <c r="F164" s="50">
        <f>T164</f>
        <v>0</v>
      </c>
      <c r="G164" s="50">
        <f>X164</f>
        <v>0</v>
      </c>
      <c r="H164" s="50">
        <f>AB164</f>
        <v>355071</v>
      </c>
      <c r="I164" s="50">
        <f>AF164</f>
        <v>792125</v>
      </c>
      <c r="J164" s="50">
        <f>AJ164</f>
        <v>826883</v>
      </c>
      <c r="K164" s="50">
        <f>AN164</f>
        <v>606630.46651097946</v>
      </c>
      <c r="L164" s="50">
        <f>AR164</f>
        <v>685067.60658323776</v>
      </c>
      <c r="M164" s="50">
        <f>AV164</f>
        <v>766868.75332522567</v>
      </c>
      <c r="N164" s="50">
        <f>AZ164</f>
        <v>895686.13235767838</v>
      </c>
      <c r="O164" s="50">
        <f>BD164</f>
        <v>1103006.0317883955</v>
      </c>
      <c r="Q164" s="143">
        <f>_xlfn.XLOOKUP('IS &amp; BS Projections'!$B164,'3FS'!$B:$B,'3FS'!P:P)</f>
        <v>0</v>
      </c>
      <c r="R164" s="143">
        <f>_xlfn.XLOOKUP('IS &amp; BS Projections'!$B164,'3FS'!$B:$B,'3FS'!Q:Q)</f>
        <v>0</v>
      </c>
      <c r="S164" s="143">
        <f>_xlfn.XLOOKUP('IS &amp; BS Projections'!$B164,'3FS'!$B:$B,'3FS'!R:R)</f>
        <v>0</v>
      </c>
      <c r="T164" s="143">
        <f>_xlfn.XLOOKUP('IS &amp; BS Projections'!$B164,'3FS'!$B:$B,'3FS'!S:S)</f>
        <v>0</v>
      </c>
      <c r="U164" s="143">
        <f>_xlfn.XLOOKUP('IS &amp; BS Projections'!$B164,'3FS'!$B:$B,'3FS'!T:T)</f>
        <v>0</v>
      </c>
      <c r="V164" s="143">
        <f>_xlfn.XLOOKUP('IS &amp; BS Projections'!$B164,'3FS'!$B:$B,'3FS'!U:U)</f>
        <v>0</v>
      </c>
      <c r="W164" s="143">
        <f>_xlfn.XLOOKUP('IS &amp; BS Projections'!$B164,'3FS'!$B:$B,'3FS'!V:V)</f>
        <v>0</v>
      </c>
      <c r="X164" s="143">
        <f>_xlfn.XLOOKUP('IS &amp; BS Projections'!$B164,'3FS'!$B:$B,'3FS'!W:W)</f>
        <v>0</v>
      </c>
      <c r="Y164" s="143">
        <f>_xlfn.XLOOKUP('IS &amp; BS Projections'!$B164,'3FS'!$B:$B,'3FS'!X:X)</f>
        <v>0</v>
      </c>
      <c r="Z164" s="143">
        <f>_xlfn.XLOOKUP('IS &amp; BS Projections'!$B164,'3FS'!$B:$B,'3FS'!Y:Y)</f>
        <v>0</v>
      </c>
      <c r="AA164" s="143">
        <f>_xlfn.XLOOKUP('IS &amp; BS Projections'!$B164,'3FS'!$B:$B,'3FS'!Z:Z)</f>
        <v>0</v>
      </c>
      <c r="AB164" s="143">
        <f>_xlfn.XLOOKUP('IS &amp; BS Projections'!$B164,'3FS'!$B:$B,'3FS'!AA:AA)</f>
        <v>355071</v>
      </c>
      <c r="AC164" s="143">
        <f>_xlfn.XLOOKUP('IS &amp; BS Projections'!$B164,'3FS'!$B:$B,'3FS'!AB:AB)</f>
        <v>315090</v>
      </c>
      <c r="AD164" s="143">
        <f>_xlfn.XLOOKUP('IS &amp; BS Projections'!$B164,'3FS'!$B:$B,'3FS'!AC:AC)</f>
        <v>272171</v>
      </c>
      <c r="AE164" s="143">
        <f>_xlfn.XLOOKUP('IS &amp; BS Projections'!$B164,'3FS'!$B:$B,'3FS'!AD:AD)</f>
        <v>118224</v>
      </c>
      <c r="AF164" s="143">
        <f>_xlfn.XLOOKUP('IS &amp; BS Projections'!$B164,'3FS'!$B:$B,'3FS'!AE:AE)</f>
        <v>792125</v>
      </c>
      <c r="AG164" s="143">
        <f>_xlfn.XLOOKUP('IS &amp; BS Projections'!$B164,'3FS'!$B:$B,'3FS'!AF:AF)</f>
        <v>628854</v>
      </c>
      <c r="AH164" s="143">
        <f>_xlfn.XLOOKUP('IS &amp; BS Projections'!$B164,'3FS'!$B:$B,'3FS'!AG:AG)</f>
        <v>972661</v>
      </c>
      <c r="AI164" s="143">
        <f>_xlfn.XLOOKUP('IS &amp; BS Projections'!$B164,'3FS'!$B:$B,'3FS'!AH:AH)</f>
        <v>1026945</v>
      </c>
      <c r="AJ164" s="143">
        <f>_xlfn.XLOOKUP('IS &amp; BS Projections'!$B164,'3FS'!$B:$B,'3FS'!AI:AI)</f>
        <v>826883</v>
      </c>
      <c r="AK164" s="50">
        <f>AK165*AK$10</f>
        <v>0</v>
      </c>
      <c r="AL164" s="50">
        <f t="shared" ref="AL164:BD164" si="1694">AL165*AL$10</f>
        <v>0</v>
      </c>
      <c r="AM164" s="50">
        <f t="shared" si="1694"/>
        <v>0</v>
      </c>
      <c r="AN164" s="50">
        <f t="shared" si="1694"/>
        <v>606630.46651097946</v>
      </c>
      <c r="AO164" s="50">
        <f t="shared" si="1694"/>
        <v>0</v>
      </c>
      <c r="AP164" s="50">
        <f t="shared" si="1694"/>
        <v>0</v>
      </c>
      <c r="AQ164" s="50">
        <f t="shared" si="1694"/>
        <v>0</v>
      </c>
      <c r="AR164" s="50">
        <f t="shared" si="1694"/>
        <v>685067.60658323776</v>
      </c>
      <c r="AS164" s="50">
        <f t="shared" si="1694"/>
        <v>0</v>
      </c>
      <c r="AT164" s="50">
        <f t="shared" si="1694"/>
        <v>0</v>
      </c>
      <c r="AU164" s="50">
        <f t="shared" si="1694"/>
        <v>0</v>
      </c>
      <c r="AV164" s="50">
        <f t="shared" si="1694"/>
        <v>766868.75332522567</v>
      </c>
      <c r="AW164" s="50">
        <f t="shared" si="1694"/>
        <v>0</v>
      </c>
      <c r="AX164" s="50">
        <f t="shared" si="1694"/>
        <v>0</v>
      </c>
      <c r="AY164" s="50">
        <f t="shared" si="1694"/>
        <v>0</v>
      </c>
      <c r="AZ164" s="50">
        <f t="shared" si="1694"/>
        <v>895686.13235767838</v>
      </c>
      <c r="BA164" s="50">
        <f t="shared" si="1694"/>
        <v>0</v>
      </c>
      <c r="BB164" s="50">
        <f t="shared" si="1694"/>
        <v>0</v>
      </c>
      <c r="BC164" s="50">
        <f t="shared" si="1694"/>
        <v>0</v>
      </c>
      <c r="BD164" s="50">
        <f t="shared" si="1694"/>
        <v>1103006.0317883955</v>
      </c>
    </row>
    <row r="165" spans="2:56" x14ac:dyDescent="0.2">
      <c r="B165" s="98" t="s">
        <v>293</v>
      </c>
      <c r="C165" s="45"/>
      <c r="D165" s="45"/>
      <c r="E165" s="46" t="s">
        <v>36</v>
      </c>
      <c r="F165" s="126">
        <f t="shared" ref="F165:O165" si="1695">F164/F$10</f>
        <v>0</v>
      </c>
      <c r="G165" s="126">
        <f t="shared" si="1695"/>
        <v>0</v>
      </c>
      <c r="H165" s="126">
        <f t="shared" si="1695"/>
        <v>0.1142301318724237</v>
      </c>
      <c r="I165" s="126">
        <f t="shared" si="1695"/>
        <v>0.12067666378022762</v>
      </c>
      <c r="J165" s="126">
        <f t="shared" si="1695"/>
        <v>0.15312092375906355</v>
      </c>
      <c r="K165" s="126">
        <f t="shared" si="1695"/>
        <v>7.8168792406584309E-2</v>
      </c>
      <c r="L165" s="126">
        <f t="shared" si="1695"/>
        <v>7.8946095033129313E-2</v>
      </c>
      <c r="M165" s="126">
        <f t="shared" si="1695"/>
        <v>7.8856511392479359E-2</v>
      </c>
      <c r="N165" s="126">
        <f t="shared" si="1695"/>
        <v>7.9303474025325713E-2</v>
      </c>
      <c r="O165" s="126">
        <f t="shared" si="1695"/>
        <v>0.10330150431713099</v>
      </c>
      <c r="P165" s="81"/>
      <c r="Q165" s="126">
        <f>Q164/Q$10</f>
        <v>0</v>
      </c>
      <c r="R165" s="126">
        <f t="shared" ref="R165:AJ165" si="1696">R164/R$10</f>
        <v>0</v>
      </c>
      <c r="S165" s="126">
        <f t="shared" si="1696"/>
        <v>0</v>
      </c>
      <c r="T165" s="126">
        <f t="shared" si="1696"/>
        <v>0</v>
      </c>
      <c r="U165" s="126">
        <f t="shared" si="1696"/>
        <v>0</v>
      </c>
      <c r="V165" s="126">
        <f t="shared" si="1696"/>
        <v>0</v>
      </c>
      <c r="W165" s="126">
        <f t="shared" si="1696"/>
        <v>0</v>
      </c>
      <c r="X165" s="126">
        <f t="shared" si="1696"/>
        <v>0</v>
      </c>
      <c r="Y165" s="126">
        <f t="shared" si="1696"/>
        <v>0</v>
      </c>
      <c r="Z165" s="126">
        <f t="shared" si="1696"/>
        <v>0</v>
      </c>
      <c r="AA165" s="126">
        <f t="shared" si="1696"/>
        <v>0</v>
      </c>
      <c r="AB165" s="126">
        <f t="shared" si="1696"/>
        <v>0.37227181941612192</v>
      </c>
      <c r="AC165" s="126">
        <f t="shared" si="1696"/>
        <v>0.1924131487508931</v>
      </c>
      <c r="AD165" s="126">
        <f t="shared" si="1696"/>
        <v>0.18775230610887758</v>
      </c>
      <c r="AE165" s="126">
        <f t="shared" si="1696"/>
        <v>9.8095491759411152E-2</v>
      </c>
      <c r="AF165" s="126">
        <f t="shared" si="1696"/>
        <v>0.34870227945750137</v>
      </c>
      <c r="AG165" s="126">
        <f t="shared" si="1696"/>
        <v>0.30912625749952688</v>
      </c>
      <c r="AH165" s="126">
        <f t="shared" si="1696"/>
        <v>0.64964988164637116</v>
      </c>
      <c r="AI165" s="126">
        <f t="shared" si="1696"/>
        <v>0.54955254822488231</v>
      </c>
      <c r="AJ165" s="126">
        <f t="shared" si="1696"/>
        <v>0.46424655373080781</v>
      </c>
      <c r="AK165" s="138">
        <f>MEDIAN(Q165,U165,Y165,AC165,AG165)</f>
        <v>0</v>
      </c>
      <c r="AL165" s="138">
        <f t="shared" ref="AL165" si="1697">MEDIAN(R165,V165,Z165,AD165,AH165)</f>
        <v>0</v>
      </c>
      <c r="AM165" s="138">
        <f t="shared" ref="AM165" si="1698">MEDIAN(S165,W165,AA165,AE165,AI165)</f>
        <v>0</v>
      </c>
      <c r="AN165" s="138">
        <f t="shared" ref="AN165" si="1699">MEDIAN(T165,X165,AB165,AF165,AJ165)</f>
        <v>0.34870227945750137</v>
      </c>
      <c r="AO165" s="138">
        <f>AK165</f>
        <v>0</v>
      </c>
      <c r="AP165" s="138">
        <f t="shared" ref="AP165" si="1700">AL165</f>
        <v>0</v>
      </c>
      <c r="AQ165" s="138">
        <f t="shared" ref="AQ165" si="1701">AM165</f>
        <v>0</v>
      </c>
      <c r="AR165" s="138">
        <f t="shared" ref="AR165" si="1702">AN165</f>
        <v>0.34870227945750137</v>
      </c>
      <c r="AS165" s="138">
        <f t="shared" ref="AS165" si="1703">AO165</f>
        <v>0</v>
      </c>
      <c r="AT165" s="138">
        <f t="shared" ref="AT165" si="1704">AP165</f>
        <v>0</v>
      </c>
      <c r="AU165" s="138">
        <f t="shared" ref="AU165" si="1705">AQ165</f>
        <v>0</v>
      </c>
      <c r="AV165" s="138">
        <f t="shared" ref="AV165" si="1706">AR165</f>
        <v>0.34870227945750137</v>
      </c>
      <c r="AW165" s="138">
        <f t="shared" ref="AW165" si="1707">AS165</f>
        <v>0</v>
      </c>
      <c r="AX165" s="138">
        <f t="shared" ref="AX165" si="1708">AT165</f>
        <v>0</v>
      </c>
      <c r="AY165" s="138">
        <f t="shared" ref="AY165" si="1709">AU165</f>
        <v>0</v>
      </c>
      <c r="AZ165" s="138">
        <f t="shared" ref="AZ165" si="1710">AV165</f>
        <v>0.34870227945750137</v>
      </c>
      <c r="BA165" s="138">
        <f t="shared" ref="BA165" si="1711">AW165</f>
        <v>0</v>
      </c>
      <c r="BB165" s="138">
        <f t="shared" ref="BB165" si="1712">AX165</f>
        <v>0</v>
      </c>
      <c r="BC165" s="138">
        <f t="shared" ref="BC165" si="1713">AY165</f>
        <v>0</v>
      </c>
      <c r="BD165" s="138">
        <f t="shared" ref="BD165" si="1714">AZ165</f>
        <v>0.34870227945750137</v>
      </c>
    </row>
    <row r="167" spans="2:56" x14ac:dyDescent="0.2">
      <c r="B167" s="1" t="s">
        <v>109</v>
      </c>
      <c r="E167" s="43" t="s">
        <v>33</v>
      </c>
      <c r="F167" s="50">
        <f>T167</f>
        <v>10480612</v>
      </c>
      <c r="G167" s="50">
        <f>X167</f>
        <v>4829587</v>
      </c>
      <c r="H167" s="50">
        <f>AB167</f>
        <v>4570845</v>
      </c>
      <c r="I167" s="50">
        <f>AF167</f>
        <v>6158949</v>
      </c>
      <c r="J167" s="50">
        <f>AJ167</f>
        <v>0</v>
      </c>
      <c r="K167" s="50">
        <f>AN167</f>
        <v>7297652.0518629635</v>
      </c>
      <c r="L167" s="50">
        <f>AR167</f>
        <v>8241236.305853311</v>
      </c>
      <c r="M167" s="50">
        <f>AV167</f>
        <v>9225288.9364437107</v>
      </c>
      <c r="N167" s="50">
        <f>AZ167</f>
        <v>10774938.125378361</v>
      </c>
      <c r="O167" s="50">
        <f>BD167</f>
        <v>13268958.081504673</v>
      </c>
      <c r="Q167" s="143">
        <f>_xlfn.XLOOKUP('IS &amp; BS Projections'!$B167,'3FS'!$B:$B,'3FS'!P:P)</f>
        <v>6223846</v>
      </c>
      <c r="R167" s="143">
        <f>_xlfn.XLOOKUP('IS &amp; BS Projections'!$B167,'3FS'!$B:$B,'3FS'!Q:Q)</f>
        <v>8968505</v>
      </c>
      <c r="S167" s="143">
        <f>_xlfn.XLOOKUP('IS &amp; BS Projections'!$B167,'3FS'!$B:$B,'3FS'!R:R)</f>
        <v>8807978</v>
      </c>
      <c r="T167" s="143">
        <f>_xlfn.XLOOKUP('IS &amp; BS Projections'!$B167,'3FS'!$B:$B,'3FS'!S:S)</f>
        <v>10480612</v>
      </c>
      <c r="U167" s="143">
        <f>_xlfn.XLOOKUP('IS &amp; BS Projections'!$B167,'3FS'!$B:$B,'3FS'!T:T)</f>
        <v>9742961</v>
      </c>
      <c r="V167" s="143">
        <f>_xlfn.XLOOKUP('IS &amp; BS Projections'!$B167,'3FS'!$B:$B,'3FS'!U:U)</f>
        <v>0</v>
      </c>
      <c r="W167" s="143">
        <f>_xlfn.XLOOKUP('IS &amp; BS Projections'!$B167,'3FS'!$B:$B,'3FS'!V:V)</f>
        <v>0</v>
      </c>
      <c r="X167" s="143">
        <f>_xlfn.XLOOKUP('IS &amp; BS Projections'!$B167,'3FS'!$B:$B,'3FS'!W:W)</f>
        <v>4829587</v>
      </c>
      <c r="Y167" s="143">
        <f>_xlfn.XLOOKUP('IS &amp; BS Projections'!$B167,'3FS'!$B:$B,'3FS'!X:X)</f>
        <v>0</v>
      </c>
      <c r="Z167" s="143">
        <f>_xlfn.XLOOKUP('IS &amp; BS Projections'!$B167,'3FS'!$B:$B,'3FS'!Y:Y)</f>
        <v>0</v>
      </c>
      <c r="AA167" s="143">
        <f>_xlfn.XLOOKUP('IS &amp; BS Projections'!$B167,'3FS'!$B:$B,'3FS'!Z:Z)</f>
        <v>0</v>
      </c>
      <c r="AB167" s="143">
        <f>_xlfn.XLOOKUP('IS &amp; BS Projections'!$B167,'3FS'!$B:$B,'3FS'!AA:AA)</f>
        <v>4570845</v>
      </c>
      <c r="AC167" s="143">
        <f>_xlfn.XLOOKUP('IS &amp; BS Projections'!$B167,'3FS'!$B:$B,'3FS'!AB:AB)</f>
        <v>0</v>
      </c>
      <c r="AD167" s="143">
        <f>_xlfn.XLOOKUP('IS &amp; BS Projections'!$B167,'3FS'!$B:$B,'3FS'!AC:AC)</f>
        <v>0</v>
      </c>
      <c r="AE167" s="143">
        <f>_xlfn.XLOOKUP('IS &amp; BS Projections'!$B167,'3FS'!$B:$B,'3FS'!AD:AD)</f>
        <v>0</v>
      </c>
      <c r="AF167" s="143">
        <f>_xlfn.XLOOKUP('IS &amp; BS Projections'!$B167,'3FS'!$B:$B,'3FS'!AE:AE)</f>
        <v>6158949</v>
      </c>
      <c r="AG167" s="143">
        <f>_xlfn.XLOOKUP('IS &amp; BS Projections'!$B167,'3FS'!$B:$B,'3FS'!AF:AF)</f>
        <v>0</v>
      </c>
      <c r="AH167" s="143">
        <f>_xlfn.XLOOKUP('IS &amp; BS Projections'!$B167,'3FS'!$B:$B,'3FS'!AG:AG)</f>
        <v>0</v>
      </c>
      <c r="AI167" s="143">
        <f>_xlfn.XLOOKUP('IS &amp; BS Projections'!$B167,'3FS'!$B:$B,'3FS'!AH:AH)</f>
        <v>0</v>
      </c>
      <c r="AJ167" s="143">
        <f>_xlfn.XLOOKUP('IS &amp; BS Projections'!$B167,'3FS'!$B:$B,'3FS'!AI:AI)</f>
        <v>0</v>
      </c>
      <c r="AK167" s="50">
        <f>AK168*AK$10</f>
        <v>0</v>
      </c>
      <c r="AL167" s="50">
        <f t="shared" ref="AL167:BD167" si="1715">AL168*AL$10</f>
        <v>0</v>
      </c>
      <c r="AM167" s="50">
        <f t="shared" si="1715"/>
        <v>0</v>
      </c>
      <c r="AN167" s="50">
        <f t="shared" si="1715"/>
        <v>7297652.0518629635</v>
      </c>
      <c r="AO167" s="50">
        <f t="shared" si="1715"/>
        <v>0</v>
      </c>
      <c r="AP167" s="50">
        <f t="shared" si="1715"/>
        <v>0</v>
      </c>
      <c r="AQ167" s="50">
        <f t="shared" si="1715"/>
        <v>0</v>
      </c>
      <c r="AR167" s="50">
        <f t="shared" si="1715"/>
        <v>8241236.305853311</v>
      </c>
      <c r="AS167" s="50">
        <f t="shared" si="1715"/>
        <v>0</v>
      </c>
      <c r="AT167" s="50">
        <f t="shared" si="1715"/>
        <v>0</v>
      </c>
      <c r="AU167" s="50">
        <f t="shared" si="1715"/>
        <v>0</v>
      </c>
      <c r="AV167" s="50">
        <f t="shared" si="1715"/>
        <v>9225288.9364437107</v>
      </c>
      <c r="AW167" s="50">
        <f t="shared" si="1715"/>
        <v>0</v>
      </c>
      <c r="AX167" s="50">
        <f t="shared" si="1715"/>
        <v>0</v>
      </c>
      <c r="AY167" s="50">
        <f t="shared" si="1715"/>
        <v>0</v>
      </c>
      <c r="AZ167" s="50">
        <f t="shared" si="1715"/>
        <v>10774938.125378361</v>
      </c>
      <c r="BA167" s="50">
        <f t="shared" si="1715"/>
        <v>0</v>
      </c>
      <c r="BB167" s="50">
        <f t="shared" si="1715"/>
        <v>0</v>
      </c>
      <c r="BC167" s="50">
        <f t="shared" si="1715"/>
        <v>0</v>
      </c>
      <c r="BD167" s="50">
        <f t="shared" si="1715"/>
        <v>13268958.081504673</v>
      </c>
    </row>
    <row r="168" spans="2:56" x14ac:dyDescent="0.2">
      <c r="B168" s="98" t="s">
        <v>293</v>
      </c>
      <c r="C168" s="45"/>
      <c r="D168" s="45"/>
      <c r="E168" s="46" t="s">
        <v>36</v>
      </c>
      <c r="F168" s="126">
        <f t="shared" ref="F168:O168" si="1716">F167/F$10</f>
        <v>1.3369073958679474</v>
      </c>
      <c r="G168" s="126">
        <f t="shared" si="1716"/>
        <v>1.5119826260531561</v>
      </c>
      <c r="H168" s="126">
        <f t="shared" si="1716"/>
        <v>1.4704896404336274</v>
      </c>
      <c r="I168" s="126">
        <f t="shared" si="1716"/>
        <v>0.93828804508451213</v>
      </c>
      <c r="J168" s="126">
        <f t="shared" si="1716"/>
        <v>0</v>
      </c>
      <c r="K168" s="126">
        <f t="shared" si="1716"/>
        <v>0.94035608131995363</v>
      </c>
      <c r="L168" s="126">
        <f t="shared" si="1716"/>
        <v>0.94970688781694657</v>
      </c>
      <c r="M168" s="126">
        <f t="shared" si="1716"/>
        <v>0.94862921322740179</v>
      </c>
      <c r="N168" s="126">
        <f t="shared" si="1716"/>
        <v>0.9540060908403204</v>
      </c>
      <c r="O168" s="126">
        <f t="shared" si="1716"/>
        <v>1.2426979463729222</v>
      </c>
      <c r="P168" s="81"/>
      <c r="Q168" s="126">
        <f>Q167/Q$10</f>
        <v>3.455557455616308</v>
      </c>
      <c r="R168" s="126">
        <f t="shared" ref="R168:AJ168" si="1717">R167/R$10</f>
        <v>4.0254299669383951</v>
      </c>
      <c r="S168" s="126">
        <f t="shared" si="1717"/>
        <v>6.7138686554240081</v>
      </c>
      <c r="T168" s="126">
        <f t="shared" si="1717"/>
        <v>4.1948237776585042</v>
      </c>
      <c r="U168" s="126">
        <f t="shared" si="1717"/>
        <v>8.3527608887242852</v>
      </c>
      <c r="V168" s="126">
        <f t="shared" si="1717"/>
        <v>0</v>
      </c>
      <c r="W168" s="126">
        <f t="shared" si="1717"/>
        <v>0</v>
      </c>
      <c r="X168" s="126">
        <f t="shared" si="1717"/>
        <v>7.6768805991975944</v>
      </c>
      <c r="Y168" s="126">
        <f t="shared" si="1717"/>
        <v>0</v>
      </c>
      <c r="Z168" s="126">
        <f t="shared" si="1717"/>
        <v>0</v>
      </c>
      <c r="AA168" s="126">
        <f t="shared" si="1717"/>
        <v>0</v>
      </c>
      <c r="AB168" s="126">
        <f t="shared" si="1717"/>
        <v>4.7922719242604543</v>
      </c>
      <c r="AC168" s="126">
        <f t="shared" si="1717"/>
        <v>0</v>
      </c>
      <c r="AD168" s="126">
        <f t="shared" si="1717"/>
        <v>0</v>
      </c>
      <c r="AE168" s="126">
        <f t="shared" si="1717"/>
        <v>0</v>
      </c>
      <c r="AF168" s="126">
        <f t="shared" si="1717"/>
        <v>2.7112381951869953</v>
      </c>
      <c r="AG168" s="126">
        <f t="shared" si="1717"/>
        <v>0</v>
      </c>
      <c r="AH168" s="126">
        <f t="shared" si="1717"/>
        <v>0</v>
      </c>
      <c r="AI168" s="126">
        <f t="shared" si="1717"/>
        <v>0</v>
      </c>
      <c r="AJ168" s="126">
        <f t="shared" si="1717"/>
        <v>0</v>
      </c>
      <c r="AK168" s="138">
        <f>MEDIAN(Q168,U168,Y168,AC168,AG168)</f>
        <v>0</v>
      </c>
      <c r="AL168" s="138">
        <f t="shared" ref="AL168" si="1718">MEDIAN(R168,V168,Z168,AD168,AH168)</f>
        <v>0</v>
      </c>
      <c r="AM168" s="138">
        <f t="shared" ref="AM168" si="1719">MEDIAN(S168,W168,AA168,AE168,AI168)</f>
        <v>0</v>
      </c>
      <c r="AN168" s="138">
        <f t="shared" ref="AN168" si="1720">MEDIAN(T168,X168,AB168,AF168,AJ168)</f>
        <v>4.1948237776585042</v>
      </c>
      <c r="AO168" s="138">
        <f>AK168</f>
        <v>0</v>
      </c>
      <c r="AP168" s="138">
        <f t="shared" ref="AP168" si="1721">AL168</f>
        <v>0</v>
      </c>
      <c r="AQ168" s="138">
        <f t="shared" ref="AQ168" si="1722">AM168</f>
        <v>0</v>
      </c>
      <c r="AR168" s="138">
        <f t="shared" ref="AR168" si="1723">AN168</f>
        <v>4.1948237776585042</v>
      </c>
      <c r="AS168" s="138">
        <f t="shared" ref="AS168" si="1724">AO168</f>
        <v>0</v>
      </c>
      <c r="AT168" s="138">
        <f t="shared" ref="AT168" si="1725">AP168</f>
        <v>0</v>
      </c>
      <c r="AU168" s="138">
        <f t="shared" ref="AU168" si="1726">AQ168</f>
        <v>0</v>
      </c>
      <c r="AV168" s="138">
        <f t="shared" ref="AV168" si="1727">AR168</f>
        <v>4.1948237776585042</v>
      </c>
      <c r="AW168" s="138">
        <f t="shared" ref="AW168" si="1728">AS168</f>
        <v>0</v>
      </c>
      <c r="AX168" s="138">
        <f t="shared" ref="AX168" si="1729">AT168</f>
        <v>0</v>
      </c>
      <c r="AY168" s="138">
        <f t="shared" ref="AY168" si="1730">AU168</f>
        <v>0</v>
      </c>
      <c r="AZ168" s="138">
        <f t="shared" ref="AZ168" si="1731">AV168</f>
        <v>4.1948237776585042</v>
      </c>
      <c r="BA168" s="138">
        <f t="shared" ref="BA168" si="1732">AW168</f>
        <v>0</v>
      </c>
      <c r="BB168" s="138">
        <f t="shared" ref="BB168" si="1733">AX168</f>
        <v>0</v>
      </c>
      <c r="BC168" s="138">
        <f t="shared" ref="BC168" si="1734">AY168</f>
        <v>0</v>
      </c>
      <c r="BD168" s="138">
        <f t="shared" ref="BD168" si="1735">AZ168</f>
        <v>4.1948237776585042</v>
      </c>
    </row>
    <row r="170" spans="2:56" x14ac:dyDescent="0.2">
      <c r="B170" s="1" t="s">
        <v>110</v>
      </c>
      <c r="E170" s="43" t="s">
        <v>33</v>
      </c>
      <c r="F170" s="50">
        <f>T170</f>
        <v>0</v>
      </c>
      <c r="G170" s="50">
        <f>X170</f>
        <v>0</v>
      </c>
      <c r="H170" s="50">
        <f>AB170</f>
        <v>0</v>
      </c>
      <c r="I170" s="50">
        <f>AF170</f>
        <v>0</v>
      </c>
      <c r="J170" s="50">
        <f>AJ170</f>
        <v>0</v>
      </c>
      <c r="K170" s="50">
        <f>AN170</f>
        <v>0</v>
      </c>
      <c r="L170" s="50">
        <f>AR170</f>
        <v>0</v>
      </c>
      <c r="M170" s="50">
        <f>AV170</f>
        <v>0</v>
      </c>
      <c r="N170" s="50">
        <f>AZ170</f>
        <v>0</v>
      </c>
      <c r="O170" s="50">
        <f>BD170</f>
        <v>0</v>
      </c>
      <c r="Q170" s="143">
        <f>_xlfn.XLOOKUP('IS &amp; BS Projections'!$B170,'3FS'!$B:$B,'3FS'!P:P)</f>
        <v>0</v>
      </c>
      <c r="R170" s="143">
        <f>_xlfn.XLOOKUP('IS &amp; BS Projections'!$B170,'3FS'!$B:$B,'3FS'!Q:Q)</f>
        <v>0</v>
      </c>
      <c r="S170" s="143">
        <f>_xlfn.XLOOKUP('IS &amp; BS Projections'!$B170,'3FS'!$B:$B,'3FS'!R:R)</f>
        <v>0</v>
      </c>
      <c r="T170" s="143">
        <f>_xlfn.XLOOKUP('IS &amp; BS Projections'!$B170,'3FS'!$B:$B,'3FS'!S:S)</f>
        <v>0</v>
      </c>
      <c r="U170" s="143">
        <f>_xlfn.XLOOKUP('IS &amp; BS Projections'!$B170,'3FS'!$B:$B,'3FS'!T:T)</f>
        <v>0</v>
      </c>
      <c r="V170" s="143">
        <f>_xlfn.XLOOKUP('IS &amp; BS Projections'!$B170,'3FS'!$B:$B,'3FS'!U:U)</f>
        <v>88453873</v>
      </c>
      <c r="W170" s="143">
        <f>_xlfn.XLOOKUP('IS &amp; BS Projections'!$B170,'3FS'!$B:$B,'3FS'!V:V)</f>
        <v>95113124</v>
      </c>
      <c r="X170" s="143">
        <f>_xlfn.XLOOKUP('IS &amp; BS Projections'!$B170,'3FS'!$B:$B,'3FS'!W:W)</f>
        <v>0</v>
      </c>
      <c r="Y170" s="143">
        <f>_xlfn.XLOOKUP('IS &amp; BS Projections'!$B170,'3FS'!$B:$B,'3FS'!X:X)</f>
        <v>124357889</v>
      </c>
      <c r="Z170" s="143">
        <f>_xlfn.XLOOKUP('IS &amp; BS Projections'!$B170,'3FS'!$B:$B,'3FS'!Y:Y)</f>
        <v>124243587</v>
      </c>
      <c r="AA170" s="143">
        <f>_xlfn.XLOOKUP('IS &amp; BS Projections'!$B170,'3FS'!$B:$B,'3FS'!Z:Z)</f>
        <v>0</v>
      </c>
      <c r="AB170" s="143">
        <f>_xlfn.XLOOKUP('IS &amp; BS Projections'!$B170,'3FS'!$B:$B,'3FS'!AA:AA)</f>
        <v>0</v>
      </c>
      <c r="AC170" s="143">
        <f>_xlfn.XLOOKUP('IS &amp; BS Projections'!$B170,'3FS'!$B:$B,'3FS'!AB:AB)</f>
        <v>0</v>
      </c>
      <c r="AD170" s="143">
        <f>_xlfn.XLOOKUP('IS &amp; BS Projections'!$B170,'3FS'!$B:$B,'3FS'!AC:AC)</f>
        <v>0</v>
      </c>
      <c r="AE170" s="143">
        <f>_xlfn.XLOOKUP('IS &amp; BS Projections'!$B170,'3FS'!$B:$B,'3FS'!AD:AD)</f>
        <v>0</v>
      </c>
      <c r="AF170" s="143">
        <f>_xlfn.XLOOKUP('IS &amp; BS Projections'!$B170,'3FS'!$B:$B,'3FS'!AE:AE)</f>
        <v>0</v>
      </c>
      <c r="AG170" s="143">
        <f>_xlfn.XLOOKUP('IS &amp; BS Projections'!$B170,'3FS'!$B:$B,'3FS'!AF:AF)</f>
        <v>0</v>
      </c>
      <c r="AH170" s="143">
        <f>_xlfn.XLOOKUP('IS &amp; BS Projections'!$B170,'3FS'!$B:$B,'3FS'!AG:AG)</f>
        <v>0</v>
      </c>
      <c r="AI170" s="143">
        <f>_xlfn.XLOOKUP('IS &amp; BS Projections'!$B170,'3FS'!$B:$B,'3FS'!AH:AH)</f>
        <v>0</v>
      </c>
      <c r="AJ170" s="143">
        <f>_xlfn.XLOOKUP('IS &amp; BS Projections'!$B170,'3FS'!$B:$B,'3FS'!AI:AI)</f>
        <v>0</v>
      </c>
      <c r="AK170" s="50">
        <f>AK171*AK$10</f>
        <v>0</v>
      </c>
      <c r="AL170" s="50">
        <f t="shared" ref="AL170:BD170" si="1736">AL171*AL$10</f>
        <v>0</v>
      </c>
      <c r="AM170" s="50">
        <f t="shared" si="1736"/>
        <v>0</v>
      </c>
      <c r="AN170" s="50">
        <f t="shared" si="1736"/>
        <v>0</v>
      </c>
      <c r="AO170" s="50">
        <f t="shared" si="1736"/>
        <v>0</v>
      </c>
      <c r="AP170" s="50">
        <f t="shared" si="1736"/>
        <v>0</v>
      </c>
      <c r="AQ170" s="50">
        <f t="shared" si="1736"/>
        <v>0</v>
      </c>
      <c r="AR170" s="50">
        <f t="shared" si="1736"/>
        <v>0</v>
      </c>
      <c r="AS170" s="50">
        <f t="shared" si="1736"/>
        <v>0</v>
      </c>
      <c r="AT170" s="50">
        <f t="shared" si="1736"/>
        <v>0</v>
      </c>
      <c r="AU170" s="50">
        <f t="shared" si="1736"/>
        <v>0</v>
      </c>
      <c r="AV170" s="50">
        <f t="shared" si="1736"/>
        <v>0</v>
      </c>
      <c r="AW170" s="50">
        <f t="shared" si="1736"/>
        <v>0</v>
      </c>
      <c r="AX170" s="50">
        <f t="shared" si="1736"/>
        <v>0</v>
      </c>
      <c r="AY170" s="50">
        <f t="shared" si="1736"/>
        <v>0</v>
      </c>
      <c r="AZ170" s="50">
        <f t="shared" si="1736"/>
        <v>0</v>
      </c>
      <c r="BA170" s="50">
        <f t="shared" si="1736"/>
        <v>0</v>
      </c>
      <c r="BB170" s="50">
        <f t="shared" si="1736"/>
        <v>0</v>
      </c>
      <c r="BC170" s="50">
        <f t="shared" si="1736"/>
        <v>0</v>
      </c>
      <c r="BD170" s="50">
        <f t="shared" si="1736"/>
        <v>0</v>
      </c>
    </row>
    <row r="171" spans="2:56" x14ac:dyDescent="0.2">
      <c r="B171" s="98" t="s">
        <v>293</v>
      </c>
      <c r="C171" s="45"/>
      <c r="D171" s="45"/>
      <c r="E171" s="46" t="s">
        <v>36</v>
      </c>
      <c r="F171" s="126">
        <f t="shared" ref="F171:O171" si="1737">F170/F$10</f>
        <v>0</v>
      </c>
      <c r="G171" s="126">
        <f t="shared" si="1737"/>
        <v>0</v>
      </c>
      <c r="H171" s="126">
        <f t="shared" si="1737"/>
        <v>0</v>
      </c>
      <c r="I171" s="126">
        <f t="shared" si="1737"/>
        <v>0</v>
      </c>
      <c r="J171" s="126">
        <f t="shared" si="1737"/>
        <v>0</v>
      </c>
      <c r="K171" s="126">
        <f t="shared" si="1737"/>
        <v>0</v>
      </c>
      <c r="L171" s="126">
        <f t="shared" si="1737"/>
        <v>0</v>
      </c>
      <c r="M171" s="126">
        <f t="shared" si="1737"/>
        <v>0</v>
      </c>
      <c r="N171" s="126">
        <f t="shared" si="1737"/>
        <v>0</v>
      </c>
      <c r="O171" s="126">
        <f t="shared" si="1737"/>
        <v>0</v>
      </c>
      <c r="P171" s="81"/>
      <c r="Q171" s="126">
        <f>Q170/Q$10</f>
        <v>0</v>
      </c>
      <c r="R171" s="126">
        <f t="shared" ref="R171:AJ171" si="1738">R170/R$10</f>
        <v>0</v>
      </c>
      <c r="S171" s="126">
        <f t="shared" si="1738"/>
        <v>0</v>
      </c>
      <c r="T171" s="126">
        <f t="shared" si="1738"/>
        <v>0</v>
      </c>
      <c r="U171" s="126">
        <f t="shared" si="1738"/>
        <v>0</v>
      </c>
      <c r="V171" s="126">
        <f t="shared" si="1738"/>
        <v>109.42859988247301</v>
      </c>
      <c r="W171" s="126">
        <f t="shared" si="1738"/>
        <v>161.11611125133186</v>
      </c>
      <c r="X171" s="126">
        <f t="shared" si="1738"/>
        <v>0</v>
      </c>
      <c r="Y171" s="126">
        <f t="shared" si="1738"/>
        <v>160.97504300809419</v>
      </c>
      <c r="Z171" s="126">
        <f t="shared" si="1738"/>
        <v>175.50735473809561</v>
      </c>
      <c r="AA171" s="126">
        <f t="shared" si="1738"/>
        <v>0</v>
      </c>
      <c r="AB171" s="126">
        <f t="shared" si="1738"/>
        <v>0</v>
      </c>
      <c r="AC171" s="126">
        <f t="shared" si="1738"/>
        <v>0</v>
      </c>
      <c r="AD171" s="126">
        <f t="shared" si="1738"/>
        <v>0</v>
      </c>
      <c r="AE171" s="126">
        <f t="shared" si="1738"/>
        <v>0</v>
      </c>
      <c r="AF171" s="126">
        <f t="shared" si="1738"/>
        <v>0</v>
      </c>
      <c r="AG171" s="126">
        <f t="shared" si="1738"/>
        <v>0</v>
      </c>
      <c r="AH171" s="126">
        <f t="shared" si="1738"/>
        <v>0</v>
      </c>
      <c r="AI171" s="126">
        <f t="shared" si="1738"/>
        <v>0</v>
      </c>
      <c r="AJ171" s="126">
        <f t="shared" si="1738"/>
        <v>0</v>
      </c>
      <c r="AK171" s="138">
        <f>MEDIAN(Q171,U171,Y171,AC171,AG171)</f>
        <v>0</v>
      </c>
      <c r="AL171" s="138">
        <f t="shared" ref="AL171" si="1739">MEDIAN(R171,V171,Z171,AD171,AH171)</f>
        <v>0</v>
      </c>
      <c r="AM171" s="138">
        <f t="shared" ref="AM171" si="1740">MEDIAN(S171,W171,AA171,AE171,AI171)</f>
        <v>0</v>
      </c>
      <c r="AN171" s="138">
        <f t="shared" ref="AN171" si="1741">MEDIAN(T171,X171,AB171,AF171,AJ171)</f>
        <v>0</v>
      </c>
      <c r="AO171" s="138">
        <f>AK171</f>
        <v>0</v>
      </c>
      <c r="AP171" s="138">
        <f t="shared" ref="AP171" si="1742">AL171</f>
        <v>0</v>
      </c>
      <c r="AQ171" s="138">
        <f t="shared" ref="AQ171" si="1743">AM171</f>
        <v>0</v>
      </c>
      <c r="AR171" s="138">
        <f t="shared" ref="AR171" si="1744">AN171</f>
        <v>0</v>
      </c>
      <c r="AS171" s="138">
        <f t="shared" ref="AS171" si="1745">AO171</f>
        <v>0</v>
      </c>
      <c r="AT171" s="138">
        <f t="shared" ref="AT171" si="1746">AP171</f>
        <v>0</v>
      </c>
      <c r="AU171" s="138">
        <f t="shared" ref="AU171" si="1747">AQ171</f>
        <v>0</v>
      </c>
      <c r="AV171" s="138">
        <f t="shared" ref="AV171" si="1748">AR171</f>
        <v>0</v>
      </c>
      <c r="AW171" s="138">
        <f t="shared" ref="AW171" si="1749">AS171</f>
        <v>0</v>
      </c>
      <c r="AX171" s="138">
        <f t="shared" ref="AX171" si="1750">AT171</f>
        <v>0</v>
      </c>
      <c r="AY171" s="138">
        <f t="shared" ref="AY171" si="1751">AU171</f>
        <v>0</v>
      </c>
      <c r="AZ171" s="138">
        <f t="shared" ref="AZ171" si="1752">AV171</f>
        <v>0</v>
      </c>
      <c r="BA171" s="138">
        <f t="shared" ref="BA171" si="1753">AW171</f>
        <v>0</v>
      </c>
      <c r="BB171" s="138">
        <f t="shared" ref="BB171" si="1754">AX171</f>
        <v>0</v>
      </c>
      <c r="BC171" s="138">
        <f t="shared" ref="BC171" si="1755">AY171</f>
        <v>0</v>
      </c>
      <c r="BD171" s="138">
        <f t="shared" ref="BD171" si="1756">AZ171</f>
        <v>0</v>
      </c>
    </row>
    <row r="173" spans="2:56" x14ac:dyDescent="0.2">
      <c r="B173" s="1" t="s">
        <v>111</v>
      </c>
      <c r="E173" s="43" t="s">
        <v>33</v>
      </c>
      <c r="F173" s="50">
        <f>T173</f>
        <v>0</v>
      </c>
      <c r="G173" s="50">
        <f>X173</f>
        <v>0</v>
      </c>
      <c r="H173" s="50">
        <f>AB173</f>
        <v>0</v>
      </c>
      <c r="I173" s="50">
        <f>AF173</f>
        <v>0</v>
      </c>
      <c r="J173" s="50">
        <f>AJ173</f>
        <v>0</v>
      </c>
      <c r="K173" s="50">
        <f>AN173</f>
        <v>0</v>
      </c>
      <c r="L173" s="50">
        <f>AR173</f>
        <v>0</v>
      </c>
      <c r="M173" s="50">
        <f>AV173</f>
        <v>0</v>
      </c>
      <c r="N173" s="50">
        <f>AZ173</f>
        <v>0</v>
      </c>
      <c r="O173" s="50">
        <f>BD173</f>
        <v>0</v>
      </c>
      <c r="Q173" s="143">
        <f>_xlfn.XLOOKUP('IS &amp; BS Projections'!$B173,'3FS'!$B:$B,'3FS'!P:P)</f>
        <v>0</v>
      </c>
      <c r="R173" s="143">
        <f>_xlfn.XLOOKUP('IS &amp; BS Projections'!$B173,'3FS'!$B:$B,'3FS'!Q:Q)</f>
        <v>0</v>
      </c>
      <c r="S173" s="143">
        <f>_xlfn.XLOOKUP('IS &amp; BS Projections'!$B173,'3FS'!$B:$B,'3FS'!R:R)</f>
        <v>0</v>
      </c>
      <c r="T173" s="143">
        <f>_xlfn.XLOOKUP('IS &amp; BS Projections'!$B173,'3FS'!$B:$B,'3FS'!S:S)</f>
        <v>0</v>
      </c>
      <c r="U173" s="143">
        <f>_xlfn.XLOOKUP('IS &amp; BS Projections'!$B173,'3FS'!$B:$B,'3FS'!T:T)</f>
        <v>0</v>
      </c>
      <c r="V173" s="143">
        <f>_xlfn.XLOOKUP('IS &amp; BS Projections'!$B173,'3FS'!$B:$B,'3FS'!U:U)</f>
        <v>7071557</v>
      </c>
      <c r="W173" s="143">
        <f>_xlfn.XLOOKUP('IS &amp; BS Projections'!$B173,'3FS'!$B:$B,'3FS'!V:V)</f>
        <v>6357657</v>
      </c>
      <c r="X173" s="143">
        <f>_xlfn.XLOOKUP('IS &amp; BS Projections'!$B173,'3FS'!$B:$B,'3FS'!W:W)</f>
        <v>0</v>
      </c>
      <c r="Y173" s="143">
        <f>_xlfn.XLOOKUP('IS &amp; BS Projections'!$B173,'3FS'!$B:$B,'3FS'!X:X)</f>
        <v>5365658</v>
      </c>
      <c r="Z173" s="143">
        <f>_xlfn.XLOOKUP('IS &amp; BS Projections'!$B173,'3FS'!$B:$B,'3FS'!Y:Y)</f>
        <v>3848078</v>
      </c>
      <c r="AA173" s="143">
        <f>_xlfn.XLOOKUP('IS &amp; BS Projections'!$B173,'3FS'!$B:$B,'3FS'!Z:Z)</f>
        <v>3474489</v>
      </c>
      <c r="AB173" s="143">
        <f>_xlfn.XLOOKUP('IS &amp; BS Projections'!$B173,'3FS'!$B:$B,'3FS'!AA:AA)</f>
        <v>0</v>
      </c>
      <c r="AC173" s="143">
        <f>_xlfn.XLOOKUP('IS &amp; BS Projections'!$B173,'3FS'!$B:$B,'3FS'!AB:AB)</f>
        <v>5201906</v>
      </c>
      <c r="AD173" s="143">
        <f>_xlfn.XLOOKUP('IS &amp; BS Projections'!$B173,'3FS'!$B:$B,'3FS'!AC:AC)</f>
        <v>4197837</v>
      </c>
      <c r="AE173" s="143">
        <f>_xlfn.XLOOKUP('IS &amp; BS Projections'!$B173,'3FS'!$B:$B,'3FS'!AD:AD)</f>
        <v>4035045</v>
      </c>
      <c r="AF173" s="143">
        <f>_xlfn.XLOOKUP('IS &amp; BS Projections'!$B173,'3FS'!$B:$B,'3FS'!AE:AE)</f>
        <v>0</v>
      </c>
      <c r="AG173" s="143">
        <f>_xlfn.XLOOKUP('IS &amp; BS Projections'!$B173,'3FS'!$B:$B,'3FS'!AF:AF)</f>
        <v>0</v>
      </c>
      <c r="AH173" s="143">
        <f>_xlfn.XLOOKUP('IS &amp; BS Projections'!$B173,'3FS'!$B:$B,'3FS'!AG:AG)</f>
        <v>5121640</v>
      </c>
      <c r="AI173" s="143">
        <f>_xlfn.XLOOKUP('IS &amp; BS Projections'!$B173,'3FS'!$B:$B,'3FS'!AH:AH)</f>
        <v>5672037</v>
      </c>
      <c r="AJ173" s="143">
        <f>_xlfn.XLOOKUP('IS &amp; BS Projections'!$B173,'3FS'!$B:$B,'3FS'!AI:AI)</f>
        <v>0</v>
      </c>
      <c r="AK173" s="50">
        <f>AK174*AK$10</f>
        <v>0</v>
      </c>
      <c r="AL173" s="50">
        <f t="shared" ref="AL173:BD173" si="1757">AL174*AL$10</f>
        <v>6100926.7753363065</v>
      </c>
      <c r="AM173" s="50">
        <f t="shared" si="1757"/>
        <v>7947694.5963797085</v>
      </c>
      <c r="AN173" s="50">
        <f t="shared" si="1757"/>
        <v>0</v>
      </c>
      <c r="AO173" s="50">
        <f t="shared" si="1757"/>
        <v>0</v>
      </c>
      <c r="AP173" s="50">
        <f t="shared" si="1757"/>
        <v>6940907.0835361853</v>
      </c>
      <c r="AQ173" s="50">
        <f t="shared" si="1757"/>
        <v>9171269.5049982462</v>
      </c>
      <c r="AR173" s="50">
        <f t="shared" si="1757"/>
        <v>0</v>
      </c>
      <c r="AS173" s="50">
        <f t="shared" si="1757"/>
        <v>0</v>
      </c>
      <c r="AT173" s="50">
        <f t="shared" si="1757"/>
        <v>7942643.960539842</v>
      </c>
      <c r="AU173" s="50">
        <f t="shared" si="1757"/>
        <v>10334863.646124432</v>
      </c>
      <c r="AV173" s="50">
        <f t="shared" si="1757"/>
        <v>0</v>
      </c>
      <c r="AW173" s="50">
        <f t="shared" si="1757"/>
        <v>0</v>
      </c>
      <c r="AX173" s="50">
        <f t="shared" si="1757"/>
        <v>9446318.5909919497</v>
      </c>
      <c r="AY173" s="50">
        <f t="shared" si="1757"/>
        <v>12143265.83741435</v>
      </c>
      <c r="AZ173" s="50">
        <f t="shared" si="1757"/>
        <v>0</v>
      </c>
      <c r="BA173" s="50">
        <f t="shared" si="1757"/>
        <v>0</v>
      </c>
      <c r="BB173" s="50">
        <f t="shared" si="1757"/>
        <v>11878895.934419654</v>
      </c>
      <c r="BC173" s="50">
        <f t="shared" si="1757"/>
        <v>15131472.495123994</v>
      </c>
      <c r="BD173" s="50">
        <f t="shared" si="1757"/>
        <v>0</v>
      </c>
    </row>
    <row r="174" spans="2:56" x14ac:dyDescent="0.2">
      <c r="B174" s="98" t="s">
        <v>293</v>
      </c>
      <c r="C174" s="45"/>
      <c r="D174" s="45"/>
      <c r="E174" s="46" t="s">
        <v>36</v>
      </c>
      <c r="F174" s="126">
        <f t="shared" ref="F174:O174" si="1758">F173/F$10</f>
        <v>0</v>
      </c>
      <c r="G174" s="126">
        <f t="shared" si="1758"/>
        <v>0</v>
      </c>
      <c r="H174" s="126">
        <f t="shared" si="1758"/>
        <v>0</v>
      </c>
      <c r="I174" s="126">
        <f t="shared" si="1758"/>
        <v>0</v>
      </c>
      <c r="J174" s="126">
        <f t="shared" si="1758"/>
        <v>0</v>
      </c>
      <c r="K174" s="126">
        <f t="shared" si="1758"/>
        <v>0</v>
      </c>
      <c r="L174" s="126">
        <f t="shared" si="1758"/>
        <v>0</v>
      </c>
      <c r="M174" s="126">
        <f t="shared" si="1758"/>
        <v>0</v>
      </c>
      <c r="N174" s="126">
        <f t="shared" si="1758"/>
        <v>0</v>
      </c>
      <c r="O174" s="126">
        <f t="shared" si="1758"/>
        <v>0</v>
      </c>
      <c r="P174" s="81"/>
      <c r="Q174" s="126">
        <f>Q173/Q$10</f>
        <v>0</v>
      </c>
      <c r="R174" s="126">
        <f t="shared" ref="R174:AJ174" si="1759">R173/R$10</f>
        <v>0</v>
      </c>
      <c r="S174" s="126">
        <f t="shared" si="1759"/>
        <v>0</v>
      </c>
      <c r="T174" s="126">
        <f t="shared" si="1759"/>
        <v>0</v>
      </c>
      <c r="U174" s="126">
        <f t="shared" si="1759"/>
        <v>0</v>
      </c>
      <c r="V174" s="126">
        <f t="shared" si="1759"/>
        <v>8.7484081279188448</v>
      </c>
      <c r="W174" s="126">
        <f t="shared" si="1759"/>
        <v>10.769501930246857</v>
      </c>
      <c r="X174" s="126">
        <f t="shared" si="1759"/>
        <v>0</v>
      </c>
      <c r="Y174" s="126">
        <f t="shared" si="1759"/>
        <v>6.9455748586784445</v>
      </c>
      <c r="Z174" s="126">
        <f t="shared" si="1759"/>
        <v>5.4358217346530848</v>
      </c>
      <c r="AA174" s="126">
        <f t="shared" si="1759"/>
        <v>5.1538964737713382</v>
      </c>
      <c r="AB174" s="126">
        <f t="shared" si="1759"/>
        <v>0</v>
      </c>
      <c r="AC174" s="126">
        <f t="shared" si="1759"/>
        <v>3.1766006949321248</v>
      </c>
      <c r="AD174" s="126">
        <f t="shared" si="1759"/>
        <v>2.8958029232327189</v>
      </c>
      <c r="AE174" s="126">
        <f t="shared" si="1759"/>
        <v>3.348048818736916</v>
      </c>
      <c r="AF174" s="126">
        <f t="shared" si="1759"/>
        <v>0</v>
      </c>
      <c r="AG174" s="126">
        <f t="shared" si="1759"/>
        <v>0</v>
      </c>
      <c r="AH174" s="126">
        <f t="shared" si="1759"/>
        <v>3.4207939043873665</v>
      </c>
      <c r="AI174" s="126">
        <f t="shared" si="1759"/>
        <v>3.035296327433131</v>
      </c>
      <c r="AJ174" s="126">
        <f t="shared" si="1759"/>
        <v>0</v>
      </c>
      <c r="AK174" s="138">
        <f>MEDIAN(Q174,U174,Y174,AC174,AG174)</f>
        <v>0</v>
      </c>
      <c r="AL174" s="138">
        <f t="shared" ref="AL174" si="1760">MEDIAN(R174,V174,Z174,AD174,AH174)</f>
        <v>3.4207939043873665</v>
      </c>
      <c r="AM174" s="138">
        <f t="shared" ref="AM174" si="1761">MEDIAN(S174,W174,AA174,AE174,AI174)</f>
        <v>3.348048818736916</v>
      </c>
      <c r="AN174" s="138">
        <f t="shared" ref="AN174" si="1762">MEDIAN(T174,X174,AB174,AF174,AJ174)</f>
        <v>0</v>
      </c>
      <c r="AO174" s="138">
        <f>AK174</f>
        <v>0</v>
      </c>
      <c r="AP174" s="138">
        <f t="shared" ref="AP174" si="1763">AL174</f>
        <v>3.4207939043873665</v>
      </c>
      <c r="AQ174" s="138">
        <f t="shared" ref="AQ174" si="1764">AM174</f>
        <v>3.348048818736916</v>
      </c>
      <c r="AR174" s="138">
        <f t="shared" ref="AR174" si="1765">AN174</f>
        <v>0</v>
      </c>
      <c r="AS174" s="138">
        <f t="shared" ref="AS174" si="1766">AO174</f>
        <v>0</v>
      </c>
      <c r="AT174" s="138">
        <f t="shared" ref="AT174" si="1767">AP174</f>
        <v>3.4207939043873665</v>
      </c>
      <c r="AU174" s="138">
        <f t="shared" ref="AU174" si="1768">AQ174</f>
        <v>3.348048818736916</v>
      </c>
      <c r="AV174" s="138">
        <f t="shared" ref="AV174" si="1769">AR174</f>
        <v>0</v>
      </c>
      <c r="AW174" s="138">
        <f t="shared" ref="AW174" si="1770">AS174</f>
        <v>0</v>
      </c>
      <c r="AX174" s="138">
        <f t="shared" ref="AX174" si="1771">AT174</f>
        <v>3.4207939043873665</v>
      </c>
      <c r="AY174" s="138">
        <f t="shared" ref="AY174" si="1772">AU174</f>
        <v>3.348048818736916</v>
      </c>
      <c r="AZ174" s="138">
        <f t="shared" ref="AZ174" si="1773">AV174</f>
        <v>0</v>
      </c>
      <c r="BA174" s="138">
        <f t="shared" ref="BA174" si="1774">AW174</f>
        <v>0</v>
      </c>
      <c r="BB174" s="138">
        <f t="shared" ref="BB174" si="1775">AX174</f>
        <v>3.4207939043873665</v>
      </c>
      <c r="BC174" s="138">
        <f t="shared" ref="BC174" si="1776">AY174</f>
        <v>3.348048818736916</v>
      </c>
      <c r="BD174" s="138">
        <f t="shared" ref="BD174" si="1777">AZ174</f>
        <v>0</v>
      </c>
    </row>
    <row r="176" spans="2:56" x14ac:dyDescent="0.2">
      <c r="B176" s="1" t="s">
        <v>112</v>
      </c>
      <c r="E176" s="43" t="s">
        <v>33</v>
      </c>
      <c r="F176" s="50">
        <f>T176</f>
        <v>0</v>
      </c>
      <c r="G176" s="50">
        <f>X176</f>
        <v>75413188</v>
      </c>
      <c r="H176" s="50">
        <f>AB176</f>
        <v>0</v>
      </c>
      <c r="I176" s="50">
        <f>AF176</f>
        <v>0</v>
      </c>
      <c r="J176" s="50">
        <f>AJ176</f>
        <v>0</v>
      </c>
      <c r="K176" s="50">
        <f>AN176</f>
        <v>0</v>
      </c>
      <c r="L176" s="50">
        <f>AR176</f>
        <v>0</v>
      </c>
      <c r="M176" s="50">
        <f>AV176</f>
        <v>0</v>
      </c>
      <c r="N176" s="50">
        <f>AZ176</f>
        <v>0</v>
      </c>
      <c r="O176" s="50">
        <f>BD176</f>
        <v>0</v>
      </c>
      <c r="Q176" s="143">
        <f>_xlfn.XLOOKUP('IS &amp; BS Projections'!$B176,'3FS'!$B:$B,'3FS'!P:P)</f>
        <v>0</v>
      </c>
      <c r="R176" s="143">
        <f>_xlfn.XLOOKUP('IS &amp; BS Projections'!$B176,'3FS'!$B:$B,'3FS'!Q:Q)</f>
        <v>0</v>
      </c>
      <c r="S176" s="143">
        <f>_xlfn.XLOOKUP('IS &amp; BS Projections'!$B176,'3FS'!$B:$B,'3FS'!R:R)</f>
        <v>0</v>
      </c>
      <c r="T176" s="143">
        <f>_xlfn.XLOOKUP('IS &amp; BS Projections'!$B176,'3FS'!$B:$B,'3FS'!S:S)</f>
        <v>0</v>
      </c>
      <c r="U176" s="143">
        <f>_xlfn.XLOOKUP('IS &amp; BS Projections'!$B176,'3FS'!$B:$B,'3FS'!T:T)</f>
        <v>0</v>
      </c>
      <c r="V176" s="143">
        <f>_xlfn.XLOOKUP('IS &amp; BS Projections'!$B176,'3FS'!$B:$B,'3FS'!U:U)</f>
        <v>0</v>
      </c>
      <c r="W176" s="143">
        <f>_xlfn.XLOOKUP('IS &amp; BS Projections'!$B176,'3FS'!$B:$B,'3FS'!V:V)</f>
        <v>0</v>
      </c>
      <c r="X176" s="143">
        <f>_xlfn.XLOOKUP('IS &amp; BS Projections'!$B176,'3FS'!$B:$B,'3FS'!W:W)</f>
        <v>75413188</v>
      </c>
      <c r="Y176" s="143">
        <f>_xlfn.XLOOKUP('IS &amp; BS Projections'!$B176,'3FS'!$B:$B,'3FS'!X:X)</f>
        <v>0</v>
      </c>
      <c r="Z176" s="143">
        <f>_xlfn.XLOOKUP('IS &amp; BS Projections'!$B176,'3FS'!$B:$B,'3FS'!Y:Y)</f>
        <v>0</v>
      </c>
      <c r="AA176" s="143">
        <f>_xlfn.XLOOKUP('IS &amp; BS Projections'!$B176,'3FS'!$B:$B,'3FS'!Z:Z)</f>
        <v>114291909</v>
      </c>
      <c r="AB176" s="143">
        <f>_xlfn.XLOOKUP('IS &amp; BS Projections'!$B176,'3FS'!$B:$B,'3FS'!AA:AA)</f>
        <v>0</v>
      </c>
      <c r="AC176" s="143">
        <f>_xlfn.XLOOKUP('IS &amp; BS Projections'!$B176,'3FS'!$B:$B,'3FS'!AB:AB)</f>
        <v>329506477</v>
      </c>
      <c r="AD176" s="143">
        <f>_xlfn.XLOOKUP('IS &amp; BS Projections'!$B176,'3FS'!$B:$B,'3FS'!AC:AC)</f>
        <v>269198067</v>
      </c>
      <c r="AE176" s="143">
        <f>_xlfn.XLOOKUP('IS &amp; BS Projections'!$B176,'3FS'!$B:$B,'3FS'!AD:AD)</f>
        <v>272669307</v>
      </c>
      <c r="AF176" s="143">
        <f>_xlfn.XLOOKUP('IS &amp; BS Projections'!$B176,'3FS'!$B:$B,'3FS'!AE:AE)</f>
        <v>0</v>
      </c>
      <c r="AG176" s="143">
        <f>_xlfn.XLOOKUP('IS &amp; BS Projections'!$B176,'3FS'!$B:$B,'3FS'!AF:AF)</f>
        <v>0</v>
      </c>
      <c r="AH176" s="143">
        <f>_xlfn.XLOOKUP('IS &amp; BS Projections'!$B176,'3FS'!$B:$B,'3FS'!AG:AG)</f>
        <v>0</v>
      </c>
      <c r="AI176" s="143">
        <f>_xlfn.XLOOKUP('IS &amp; BS Projections'!$B176,'3FS'!$B:$B,'3FS'!AH:AH)</f>
        <v>0</v>
      </c>
      <c r="AJ176" s="143">
        <f>_xlfn.XLOOKUP('IS &amp; BS Projections'!$B176,'3FS'!$B:$B,'3FS'!AI:AI)</f>
        <v>0</v>
      </c>
      <c r="AK176" s="50">
        <f>AK177*AK$10</f>
        <v>0</v>
      </c>
      <c r="AL176" s="50">
        <f t="shared" ref="AL176:BD176" si="1778">AL177*AL$10</f>
        <v>0</v>
      </c>
      <c r="AM176" s="50">
        <f t="shared" si="1778"/>
        <v>0</v>
      </c>
      <c r="AN176" s="50">
        <f t="shared" si="1778"/>
        <v>0</v>
      </c>
      <c r="AO176" s="50">
        <f t="shared" si="1778"/>
        <v>0</v>
      </c>
      <c r="AP176" s="50">
        <f t="shared" si="1778"/>
        <v>0</v>
      </c>
      <c r="AQ176" s="50">
        <f t="shared" si="1778"/>
        <v>0</v>
      </c>
      <c r="AR176" s="50">
        <f t="shared" si="1778"/>
        <v>0</v>
      </c>
      <c r="AS176" s="50">
        <f t="shared" si="1778"/>
        <v>0</v>
      </c>
      <c r="AT176" s="50">
        <f t="shared" si="1778"/>
        <v>0</v>
      </c>
      <c r="AU176" s="50">
        <f t="shared" si="1778"/>
        <v>0</v>
      </c>
      <c r="AV176" s="50">
        <f t="shared" si="1778"/>
        <v>0</v>
      </c>
      <c r="AW176" s="50">
        <f t="shared" si="1778"/>
        <v>0</v>
      </c>
      <c r="AX176" s="50">
        <f t="shared" si="1778"/>
        <v>0</v>
      </c>
      <c r="AY176" s="50">
        <f t="shared" si="1778"/>
        <v>0</v>
      </c>
      <c r="AZ176" s="50">
        <f t="shared" si="1778"/>
        <v>0</v>
      </c>
      <c r="BA176" s="50">
        <f t="shared" si="1778"/>
        <v>0</v>
      </c>
      <c r="BB176" s="50">
        <f t="shared" si="1778"/>
        <v>0</v>
      </c>
      <c r="BC176" s="50">
        <f t="shared" si="1778"/>
        <v>0</v>
      </c>
      <c r="BD176" s="50">
        <f t="shared" si="1778"/>
        <v>0</v>
      </c>
    </row>
    <row r="177" spans="2:56" x14ac:dyDescent="0.2">
      <c r="B177" s="98" t="s">
        <v>293</v>
      </c>
      <c r="C177" s="45"/>
      <c r="D177" s="45"/>
      <c r="E177" s="46" t="s">
        <v>36</v>
      </c>
      <c r="F177" s="126">
        <f t="shared" ref="F177:O177" si="1779">F176/F$10</f>
        <v>0</v>
      </c>
      <c r="G177" s="126">
        <f t="shared" si="1779"/>
        <v>23.609354181067733</v>
      </c>
      <c r="H177" s="126">
        <f t="shared" si="1779"/>
        <v>0</v>
      </c>
      <c r="I177" s="126">
        <f t="shared" si="1779"/>
        <v>0</v>
      </c>
      <c r="J177" s="126">
        <f t="shared" si="1779"/>
        <v>0</v>
      </c>
      <c r="K177" s="126">
        <f t="shared" si="1779"/>
        <v>0</v>
      </c>
      <c r="L177" s="126">
        <f t="shared" si="1779"/>
        <v>0</v>
      </c>
      <c r="M177" s="126">
        <f t="shared" si="1779"/>
        <v>0</v>
      </c>
      <c r="N177" s="126">
        <f t="shared" si="1779"/>
        <v>0</v>
      </c>
      <c r="O177" s="126">
        <f t="shared" si="1779"/>
        <v>0</v>
      </c>
      <c r="P177" s="81"/>
      <c r="Q177" s="126">
        <f>Q176/Q$10</f>
        <v>0</v>
      </c>
      <c r="R177" s="126">
        <f t="shared" ref="R177:AJ177" si="1780">R176/R$10</f>
        <v>0</v>
      </c>
      <c r="S177" s="126">
        <f t="shared" si="1780"/>
        <v>0</v>
      </c>
      <c r="T177" s="126">
        <f t="shared" si="1780"/>
        <v>0</v>
      </c>
      <c r="U177" s="126">
        <f t="shared" si="1780"/>
        <v>0</v>
      </c>
      <c r="V177" s="126">
        <f t="shared" si="1780"/>
        <v>0</v>
      </c>
      <c r="W177" s="126">
        <f t="shared" si="1780"/>
        <v>0</v>
      </c>
      <c r="X177" s="126">
        <f t="shared" si="1780"/>
        <v>119.8731982425911</v>
      </c>
      <c r="Y177" s="126">
        <f t="shared" si="1780"/>
        <v>0</v>
      </c>
      <c r="Z177" s="126">
        <f t="shared" si="1780"/>
        <v>0</v>
      </c>
      <c r="AA177" s="126">
        <f t="shared" si="1780"/>
        <v>169.53533793766354</v>
      </c>
      <c r="AB177" s="126">
        <f t="shared" si="1780"/>
        <v>0</v>
      </c>
      <c r="AC177" s="126">
        <f t="shared" si="1780"/>
        <v>201.21672783453531</v>
      </c>
      <c r="AD177" s="126">
        <f t="shared" si="1780"/>
        <v>185.70148134555899</v>
      </c>
      <c r="AE177" s="126">
        <f t="shared" si="1780"/>
        <v>226.24534576619678</v>
      </c>
      <c r="AF177" s="126">
        <f t="shared" si="1780"/>
        <v>0</v>
      </c>
      <c r="AG177" s="126">
        <f t="shared" si="1780"/>
        <v>0</v>
      </c>
      <c r="AH177" s="126">
        <f t="shared" si="1780"/>
        <v>0</v>
      </c>
      <c r="AI177" s="126">
        <f t="shared" si="1780"/>
        <v>0</v>
      </c>
      <c r="AJ177" s="126">
        <f t="shared" si="1780"/>
        <v>0</v>
      </c>
      <c r="AK177" s="138">
        <f>MEDIAN(Q177,U177,Y177,AC177,AG177)</f>
        <v>0</v>
      </c>
      <c r="AL177" s="138">
        <f t="shared" ref="AL177" si="1781">MEDIAN(R177,V177,Z177,AD177,AH177)</f>
        <v>0</v>
      </c>
      <c r="AM177" s="138">
        <f t="shared" ref="AM177" si="1782">MEDIAN(S177,W177,AA177,AE177,AI177)</f>
        <v>0</v>
      </c>
      <c r="AN177" s="138">
        <f t="shared" ref="AN177" si="1783">MEDIAN(T177,X177,AB177,AF177,AJ177)</f>
        <v>0</v>
      </c>
      <c r="AO177" s="138">
        <f>AK177</f>
        <v>0</v>
      </c>
      <c r="AP177" s="138">
        <f t="shared" ref="AP177" si="1784">AL177</f>
        <v>0</v>
      </c>
      <c r="AQ177" s="138">
        <f t="shared" ref="AQ177" si="1785">AM177</f>
        <v>0</v>
      </c>
      <c r="AR177" s="138">
        <f t="shared" ref="AR177" si="1786">AN177</f>
        <v>0</v>
      </c>
      <c r="AS177" s="138">
        <f t="shared" ref="AS177" si="1787">AO177</f>
        <v>0</v>
      </c>
      <c r="AT177" s="138">
        <f t="shared" ref="AT177" si="1788">AP177</f>
        <v>0</v>
      </c>
      <c r="AU177" s="138">
        <f t="shared" ref="AU177" si="1789">AQ177</f>
        <v>0</v>
      </c>
      <c r="AV177" s="138">
        <f t="shared" ref="AV177" si="1790">AR177</f>
        <v>0</v>
      </c>
      <c r="AW177" s="138">
        <f t="shared" ref="AW177" si="1791">AS177</f>
        <v>0</v>
      </c>
      <c r="AX177" s="138">
        <f t="shared" ref="AX177" si="1792">AT177</f>
        <v>0</v>
      </c>
      <c r="AY177" s="138">
        <f t="shared" ref="AY177" si="1793">AU177</f>
        <v>0</v>
      </c>
      <c r="AZ177" s="138">
        <f t="shared" ref="AZ177" si="1794">AV177</f>
        <v>0</v>
      </c>
      <c r="BA177" s="138">
        <f t="shared" ref="BA177" si="1795">AW177</f>
        <v>0</v>
      </c>
      <c r="BB177" s="138">
        <f t="shared" ref="BB177" si="1796">AX177</f>
        <v>0</v>
      </c>
      <c r="BC177" s="138">
        <f t="shared" ref="BC177" si="1797">AY177</f>
        <v>0</v>
      </c>
      <c r="BD177" s="138">
        <f t="shared" ref="BD177" si="1798">AZ177</f>
        <v>0</v>
      </c>
    </row>
    <row r="179" spans="2:56" x14ac:dyDescent="0.2">
      <c r="B179" s="1" t="s">
        <v>113</v>
      </c>
      <c r="E179" s="43" t="s">
        <v>33</v>
      </c>
      <c r="F179" s="50">
        <f>T179</f>
        <v>0</v>
      </c>
      <c r="G179" s="50">
        <f>X179</f>
        <v>0</v>
      </c>
      <c r="H179" s="50">
        <f>AB179</f>
        <v>0</v>
      </c>
      <c r="I179" s="50">
        <f>AF179</f>
        <v>0</v>
      </c>
      <c r="J179" s="50">
        <f>AJ179</f>
        <v>5347428</v>
      </c>
      <c r="K179" s="50">
        <f>AN179</f>
        <v>0</v>
      </c>
      <c r="L179" s="50">
        <f>AR179</f>
        <v>0</v>
      </c>
      <c r="M179" s="50">
        <f>AV179</f>
        <v>0</v>
      </c>
      <c r="N179" s="50">
        <f>AZ179</f>
        <v>0</v>
      </c>
      <c r="O179" s="50">
        <f>BD179</f>
        <v>0</v>
      </c>
      <c r="Q179" s="143">
        <f>_xlfn.XLOOKUP('IS &amp; BS Projections'!$B179,'3FS'!$B:$B,'3FS'!P:P)</f>
        <v>0</v>
      </c>
      <c r="R179" s="143">
        <f>_xlfn.XLOOKUP('IS &amp; BS Projections'!$B179,'3FS'!$B:$B,'3FS'!Q:Q)</f>
        <v>0</v>
      </c>
      <c r="S179" s="143">
        <f>_xlfn.XLOOKUP('IS &amp; BS Projections'!$B179,'3FS'!$B:$B,'3FS'!R:R)</f>
        <v>0</v>
      </c>
      <c r="T179" s="143">
        <f>_xlfn.XLOOKUP('IS &amp; BS Projections'!$B179,'3FS'!$B:$B,'3FS'!S:S)</f>
        <v>0</v>
      </c>
      <c r="U179" s="143">
        <f>_xlfn.XLOOKUP('IS &amp; BS Projections'!$B179,'3FS'!$B:$B,'3FS'!T:T)</f>
        <v>0</v>
      </c>
      <c r="V179" s="143">
        <f>_xlfn.XLOOKUP('IS &amp; BS Projections'!$B179,'3FS'!$B:$B,'3FS'!U:U)</f>
        <v>0</v>
      </c>
      <c r="W179" s="143">
        <f>_xlfn.XLOOKUP('IS &amp; BS Projections'!$B179,'3FS'!$B:$B,'3FS'!V:V)</f>
        <v>0</v>
      </c>
      <c r="X179" s="143">
        <f>_xlfn.XLOOKUP('IS &amp; BS Projections'!$B179,'3FS'!$B:$B,'3FS'!W:W)</f>
        <v>0</v>
      </c>
      <c r="Y179" s="143">
        <f>_xlfn.XLOOKUP('IS &amp; BS Projections'!$B179,'3FS'!$B:$B,'3FS'!X:X)</f>
        <v>0</v>
      </c>
      <c r="Z179" s="143">
        <f>_xlfn.XLOOKUP('IS &amp; BS Projections'!$B179,'3FS'!$B:$B,'3FS'!Y:Y)</f>
        <v>0</v>
      </c>
      <c r="AA179" s="143">
        <f>_xlfn.XLOOKUP('IS &amp; BS Projections'!$B179,'3FS'!$B:$B,'3FS'!Z:Z)</f>
        <v>0</v>
      </c>
      <c r="AB179" s="143">
        <f>_xlfn.XLOOKUP('IS &amp; BS Projections'!$B179,'3FS'!$B:$B,'3FS'!AA:AA)</f>
        <v>0</v>
      </c>
      <c r="AC179" s="143">
        <f>_xlfn.XLOOKUP('IS &amp; BS Projections'!$B179,'3FS'!$B:$B,'3FS'!AB:AB)</f>
        <v>0</v>
      </c>
      <c r="AD179" s="143">
        <f>_xlfn.XLOOKUP('IS &amp; BS Projections'!$B179,'3FS'!$B:$B,'3FS'!AC:AC)</f>
        <v>0</v>
      </c>
      <c r="AE179" s="143">
        <f>_xlfn.XLOOKUP('IS &amp; BS Projections'!$B179,'3FS'!$B:$B,'3FS'!AD:AD)</f>
        <v>0</v>
      </c>
      <c r="AF179" s="143">
        <f>_xlfn.XLOOKUP('IS &amp; BS Projections'!$B179,'3FS'!$B:$B,'3FS'!AE:AE)</f>
        <v>0</v>
      </c>
      <c r="AG179" s="143">
        <f>_xlfn.XLOOKUP('IS &amp; BS Projections'!$B179,'3FS'!$B:$B,'3FS'!AF:AF)</f>
        <v>5369865</v>
      </c>
      <c r="AH179" s="143">
        <f>_xlfn.XLOOKUP('IS &amp; BS Projections'!$B179,'3FS'!$B:$B,'3FS'!AG:AG)</f>
        <v>0</v>
      </c>
      <c r="AI179" s="143">
        <f>_xlfn.XLOOKUP('IS &amp; BS Projections'!$B179,'3FS'!$B:$B,'3FS'!AH:AH)</f>
        <v>0</v>
      </c>
      <c r="AJ179" s="143">
        <f>_xlfn.XLOOKUP('IS &amp; BS Projections'!$B179,'3FS'!$B:$B,'3FS'!AI:AI)</f>
        <v>5347428</v>
      </c>
      <c r="AK179" s="50">
        <f>AK180*AK$10</f>
        <v>0</v>
      </c>
      <c r="AL179" s="50">
        <f t="shared" ref="AL179:BD179" si="1799">AL180*AL$10</f>
        <v>0</v>
      </c>
      <c r="AM179" s="50">
        <f t="shared" si="1799"/>
        <v>0</v>
      </c>
      <c r="AN179" s="50">
        <f t="shared" si="1799"/>
        <v>0</v>
      </c>
      <c r="AO179" s="50">
        <f t="shared" si="1799"/>
        <v>0</v>
      </c>
      <c r="AP179" s="50">
        <f t="shared" si="1799"/>
        <v>0</v>
      </c>
      <c r="AQ179" s="50">
        <f t="shared" si="1799"/>
        <v>0</v>
      </c>
      <c r="AR179" s="50">
        <f t="shared" si="1799"/>
        <v>0</v>
      </c>
      <c r="AS179" s="50">
        <f t="shared" si="1799"/>
        <v>0</v>
      </c>
      <c r="AT179" s="50">
        <f t="shared" si="1799"/>
        <v>0</v>
      </c>
      <c r="AU179" s="50">
        <f t="shared" si="1799"/>
        <v>0</v>
      </c>
      <c r="AV179" s="50">
        <f t="shared" si="1799"/>
        <v>0</v>
      </c>
      <c r="AW179" s="50">
        <f t="shared" si="1799"/>
        <v>0</v>
      </c>
      <c r="AX179" s="50">
        <f t="shared" si="1799"/>
        <v>0</v>
      </c>
      <c r="AY179" s="50">
        <f t="shared" si="1799"/>
        <v>0</v>
      </c>
      <c r="AZ179" s="50">
        <f t="shared" si="1799"/>
        <v>0</v>
      </c>
      <c r="BA179" s="50">
        <f t="shared" si="1799"/>
        <v>0</v>
      </c>
      <c r="BB179" s="50">
        <f t="shared" si="1799"/>
        <v>0</v>
      </c>
      <c r="BC179" s="50">
        <f t="shared" si="1799"/>
        <v>0</v>
      </c>
      <c r="BD179" s="50">
        <f t="shared" si="1799"/>
        <v>0</v>
      </c>
    </row>
    <row r="180" spans="2:56" x14ac:dyDescent="0.2">
      <c r="B180" s="98" t="s">
        <v>293</v>
      </c>
      <c r="C180" s="45"/>
      <c r="D180" s="45"/>
      <c r="E180" s="46" t="s">
        <v>36</v>
      </c>
      <c r="F180" s="126">
        <f t="shared" ref="F180:O180" si="1800">F179/F$10</f>
        <v>0</v>
      </c>
      <c r="G180" s="126">
        <f t="shared" si="1800"/>
        <v>0</v>
      </c>
      <c r="H180" s="126">
        <f t="shared" si="1800"/>
        <v>0</v>
      </c>
      <c r="I180" s="126">
        <f t="shared" si="1800"/>
        <v>0</v>
      </c>
      <c r="J180" s="126">
        <f t="shared" si="1800"/>
        <v>0.99022850281730512</v>
      </c>
      <c r="K180" s="126">
        <f t="shared" si="1800"/>
        <v>0</v>
      </c>
      <c r="L180" s="126">
        <f t="shared" si="1800"/>
        <v>0</v>
      </c>
      <c r="M180" s="126">
        <f t="shared" si="1800"/>
        <v>0</v>
      </c>
      <c r="N180" s="126">
        <f t="shared" si="1800"/>
        <v>0</v>
      </c>
      <c r="O180" s="126">
        <f t="shared" si="1800"/>
        <v>0</v>
      </c>
      <c r="P180" s="81"/>
      <c r="Q180" s="126">
        <f>Q179/Q$10</f>
        <v>0</v>
      </c>
      <c r="R180" s="126">
        <f t="shared" ref="R180:AJ180" si="1801">R179/R$10</f>
        <v>0</v>
      </c>
      <c r="S180" s="126">
        <f t="shared" si="1801"/>
        <v>0</v>
      </c>
      <c r="T180" s="126">
        <f t="shared" si="1801"/>
        <v>0</v>
      </c>
      <c r="U180" s="126">
        <f t="shared" si="1801"/>
        <v>0</v>
      </c>
      <c r="V180" s="126">
        <f t="shared" si="1801"/>
        <v>0</v>
      </c>
      <c r="W180" s="126">
        <f t="shared" si="1801"/>
        <v>0</v>
      </c>
      <c r="X180" s="126">
        <f t="shared" si="1801"/>
        <v>0</v>
      </c>
      <c r="Y180" s="126">
        <f t="shared" si="1801"/>
        <v>0</v>
      </c>
      <c r="Z180" s="126">
        <f t="shared" si="1801"/>
        <v>0</v>
      </c>
      <c r="AA180" s="126">
        <f t="shared" si="1801"/>
        <v>0</v>
      </c>
      <c r="AB180" s="126">
        <f t="shared" si="1801"/>
        <v>0</v>
      </c>
      <c r="AC180" s="126">
        <f t="shared" si="1801"/>
        <v>0</v>
      </c>
      <c r="AD180" s="126">
        <f t="shared" si="1801"/>
        <v>0</v>
      </c>
      <c r="AE180" s="126">
        <f t="shared" si="1801"/>
        <v>0</v>
      </c>
      <c r="AF180" s="126">
        <f t="shared" si="1801"/>
        <v>0</v>
      </c>
      <c r="AG180" s="126">
        <f t="shared" si="1801"/>
        <v>2.6396687796017786</v>
      </c>
      <c r="AH180" s="126">
        <f t="shared" si="1801"/>
        <v>0</v>
      </c>
      <c r="AI180" s="126">
        <f t="shared" si="1801"/>
        <v>0</v>
      </c>
      <c r="AJ180" s="126">
        <f t="shared" si="1801"/>
        <v>3.0022687856971619</v>
      </c>
      <c r="AK180" s="138">
        <f>MEDIAN(Q180,U180,Y180,AC180,AG180)</f>
        <v>0</v>
      </c>
      <c r="AL180" s="138">
        <f t="shared" ref="AL180" si="1802">MEDIAN(R180,V180,Z180,AD180,AH180)</f>
        <v>0</v>
      </c>
      <c r="AM180" s="138">
        <f t="shared" ref="AM180" si="1803">MEDIAN(S180,W180,AA180,AE180,AI180)</f>
        <v>0</v>
      </c>
      <c r="AN180" s="138">
        <f t="shared" ref="AN180" si="1804">MEDIAN(T180,X180,AB180,AF180,AJ180)</f>
        <v>0</v>
      </c>
      <c r="AO180" s="138">
        <f>AK180</f>
        <v>0</v>
      </c>
      <c r="AP180" s="138">
        <f t="shared" ref="AP180" si="1805">AL180</f>
        <v>0</v>
      </c>
      <c r="AQ180" s="138">
        <f t="shared" ref="AQ180" si="1806">AM180</f>
        <v>0</v>
      </c>
      <c r="AR180" s="138">
        <f t="shared" ref="AR180" si="1807">AN180</f>
        <v>0</v>
      </c>
      <c r="AS180" s="138">
        <f t="shared" ref="AS180" si="1808">AO180</f>
        <v>0</v>
      </c>
      <c r="AT180" s="138">
        <f t="shared" ref="AT180" si="1809">AP180</f>
        <v>0</v>
      </c>
      <c r="AU180" s="138">
        <f t="shared" ref="AU180" si="1810">AQ180</f>
        <v>0</v>
      </c>
      <c r="AV180" s="138">
        <f t="shared" ref="AV180" si="1811">AR180</f>
        <v>0</v>
      </c>
      <c r="AW180" s="138">
        <f t="shared" ref="AW180" si="1812">AS180</f>
        <v>0</v>
      </c>
      <c r="AX180" s="138">
        <f t="shared" ref="AX180" si="1813">AT180</f>
        <v>0</v>
      </c>
      <c r="AY180" s="138">
        <f t="shared" ref="AY180" si="1814">AU180</f>
        <v>0</v>
      </c>
      <c r="AZ180" s="138">
        <f t="shared" ref="AZ180" si="1815">AV180</f>
        <v>0</v>
      </c>
      <c r="BA180" s="138">
        <f t="shared" ref="BA180" si="1816">AW180</f>
        <v>0</v>
      </c>
      <c r="BB180" s="138">
        <f t="shared" ref="BB180" si="1817">AX180</f>
        <v>0</v>
      </c>
      <c r="BC180" s="138">
        <f t="shared" ref="BC180" si="1818">AY180</f>
        <v>0</v>
      </c>
      <c r="BD180" s="138">
        <f t="shared" ref="BD180" si="1819">AZ180</f>
        <v>0</v>
      </c>
    </row>
    <row r="182" spans="2:56" x14ac:dyDescent="0.2">
      <c r="B182" s="1" t="s">
        <v>117</v>
      </c>
      <c r="E182" s="43" t="s">
        <v>33</v>
      </c>
      <c r="F182" s="50">
        <f>T182</f>
        <v>0</v>
      </c>
      <c r="G182" s="50">
        <f>X182</f>
        <v>0</v>
      </c>
      <c r="H182" s="50">
        <f>AB182</f>
        <v>0</v>
      </c>
      <c r="I182" s="50">
        <f>AF182</f>
        <v>0</v>
      </c>
      <c r="J182" s="50">
        <f>AJ182</f>
        <v>0</v>
      </c>
      <c r="K182" s="50">
        <f>AN182</f>
        <v>0</v>
      </c>
      <c r="L182" s="50">
        <f>AR182</f>
        <v>0</v>
      </c>
      <c r="M182" s="50">
        <f>AV182</f>
        <v>0</v>
      </c>
      <c r="N182" s="50">
        <f>AZ182</f>
        <v>0</v>
      </c>
      <c r="O182" s="50">
        <f>BD182</f>
        <v>0</v>
      </c>
      <c r="Q182" s="143">
        <f>_xlfn.XLOOKUP('IS &amp; BS Projections'!$B182,'3FS'!$B:$B,'3FS'!P:P)</f>
        <v>0</v>
      </c>
      <c r="R182" s="143">
        <f>_xlfn.XLOOKUP('IS &amp; BS Projections'!$B182,'3FS'!$B:$B,'3FS'!Q:Q)</f>
        <v>1406927</v>
      </c>
      <c r="S182" s="143">
        <f>_xlfn.XLOOKUP('IS &amp; BS Projections'!$B182,'3FS'!$B:$B,'3FS'!R:R)</f>
        <v>0</v>
      </c>
      <c r="T182" s="143">
        <f>_xlfn.XLOOKUP('IS &amp; BS Projections'!$B182,'3FS'!$B:$B,'3FS'!S:S)</f>
        <v>0</v>
      </c>
      <c r="U182" s="143">
        <f>_xlfn.XLOOKUP('IS &amp; BS Projections'!$B182,'3FS'!$B:$B,'3FS'!T:T)</f>
        <v>0</v>
      </c>
      <c r="V182" s="143">
        <f>_xlfn.XLOOKUP('IS &amp; BS Projections'!$B182,'3FS'!$B:$B,'3FS'!U:U)</f>
        <v>0</v>
      </c>
      <c r="W182" s="143">
        <f>_xlfn.XLOOKUP('IS &amp; BS Projections'!$B182,'3FS'!$B:$B,'3FS'!V:V)</f>
        <v>0</v>
      </c>
      <c r="X182" s="143">
        <f>_xlfn.XLOOKUP('IS &amp; BS Projections'!$B182,'3FS'!$B:$B,'3FS'!W:W)</f>
        <v>0</v>
      </c>
      <c r="Y182" s="143">
        <f>_xlfn.XLOOKUP('IS &amp; BS Projections'!$B182,'3FS'!$B:$B,'3FS'!X:X)</f>
        <v>0</v>
      </c>
      <c r="Z182" s="143">
        <f>_xlfn.XLOOKUP('IS &amp; BS Projections'!$B182,'3FS'!$B:$B,'3FS'!Y:Y)</f>
        <v>0</v>
      </c>
      <c r="AA182" s="143">
        <f>_xlfn.XLOOKUP('IS &amp; BS Projections'!$B182,'3FS'!$B:$B,'3FS'!Z:Z)</f>
        <v>0</v>
      </c>
      <c r="AB182" s="143">
        <f>_xlfn.XLOOKUP('IS &amp; BS Projections'!$B182,'3FS'!$B:$B,'3FS'!AA:AA)</f>
        <v>0</v>
      </c>
      <c r="AC182" s="143">
        <f>_xlfn.XLOOKUP('IS &amp; BS Projections'!$B182,'3FS'!$B:$B,'3FS'!AB:AB)</f>
        <v>0</v>
      </c>
      <c r="AD182" s="143">
        <f>_xlfn.XLOOKUP('IS &amp; BS Projections'!$B182,'3FS'!$B:$B,'3FS'!AC:AC)</f>
        <v>0</v>
      </c>
      <c r="AE182" s="143">
        <f>_xlfn.XLOOKUP('IS &amp; BS Projections'!$B182,'3FS'!$B:$B,'3FS'!AD:AD)</f>
        <v>0</v>
      </c>
      <c r="AF182" s="143">
        <f>_xlfn.XLOOKUP('IS &amp; BS Projections'!$B182,'3FS'!$B:$B,'3FS'!AE:AE)</f>
        <v>0</v>
      </c>
      <c r="AG182" s="143">
        <f>_xlfn.XLOOKUP('IS &amp; BS Projections'!$B182,'3FS'!$B:$B,'3FS'!AF:AF)</f>
        <v>0</v>
      </c>
      <c r="AH182" s="143">
        <f>_xlfn.XLOOKUP('IS &amp; BS Projections'!$B182,'3FS'!$B:$B,'3FS'!AG:AG)</f>
        <v>0</v>
      </c>
      <c r="AI182" s="143">
        <f>_xlfn.XLOOKUP('IS &amp; BS Projections'!$B182,'3FS'!$B:$B,'3FS'!AH:AH)</f>
        <v>0</v>
      </c>
      <c r="AJ182" s="143">
        <f>_xlfn.XLOOKUP('IS &amp; BS Projections'!$B182,'3FS'!$B:$B,'3FS'!AI:AI)</f>
        <v>0</v>
      </c>
      <c r="AK182" s="50">
        <f>AK183*AK$10</f>
        <v>0</v>
      </c>
      <c r="AL182" s="50">
        <f t="shared" ref="AL182:BD182" si="1820">AL183*AL$10</f>
        <v>0</v>
      </c>
      <c r="AM182" s="50">
        <f t="shared" si="1820"/>
        <v>0</v>
      </c>
      <c r="AN182" s="50">
        <f t="shared" si="1820"/>
        <v>0</v>
      </c>
      <c r="AO182" s="50">
        <f t="shared" si="1820"/>
        <v>0</v>
      </c>
      <c r="AP182" s="50">
        <f t="shared" si="1820"/>
        <v>0</v>
      </c>
      <c r="AQ182" s="50">
        <f t="shared" si="1820"/>
        <v>0</v>
      </c>
      <c r="AR182" s="50">
        <f t="shared" si="1820"/>
        <v>0</v>
      </c>
      <c r="AS182" s="50">
        <f t="shared" si="1820"/>
        <v>0</v>
      </c>
      <c r="AT182" s="50">
        <f t="shared" si="1820"/>
        <v>0</v>
      </c>
      <c r="AU182" s="50">
        <f t="shared" si="1820"/>
        <v>0</v>
      </c>
      <c r="AV182" s="50">
        <f t="shared" si="1820"/>
        <v>0</v>
      </c>
      <c r="AW182" s="50">
        <f t="shared" si="1820"/>
        <v>0</v>
      </c>
      <c r="AX182" s="50">
        <f t="shared" si="1820"/>
        <v>0</v>
      </c>
      <c r="AY182" s="50">
        <f t="shared" si="1820"/>
        <v>0</v>
      </c>
      <c r="AZ182" s="50">
        <f t="shared" si="1820"/>
        <v>0</v>
      </c>
      <c r="BA182" s="50">
        <f t="shared" si="1820"/>
        <v>0</v>
      </c>
      <c r="BB182" s="50">
        <f t="shared" si="1820"/>
        <v>0</v>
      </c>
      <c r="BC182" s="50">
        <f t="shared" si="1820"/>
        <v>0</v>
      </c>
      <c r="BD182" s="50">
        <f t="shared" si="1820"/>
        <v>0</v>
      </c>
    </row>
    <row r="183" spans="2:56" x14ac:dyDescent="0.2">
      <c r="B183" s="98" t="s">
        <v>293</v>
      </c>
      <c r="C183" s="45"/>
      <c r="D183" s="45"/>
      <c r="E183" s="46" t="s">
        <v>36</v>
      </c>
      <c r="F183" s="126">
        <f t="shared" ref="F183:O183" si="1821">F182/F$10</f>
        <v>0</v>
      </c>
      <c r="G183" s="126">
        <f t="shared" si="1821"/>
        <v>0</v>
      </c>
      <c r="H183" s="126">
        <f t="shared" si="1821"/>
        <v>0</v>
      </c>
      <c r="I183" s="126">
        <f t="shared" si="1821"/>
        <v>0</v>
      </c>
      <c r="J183" s="126">
        <f t="shared" si="1821"/>
        <v>0</v>
      </c>
      <c r="K183" s="126">
        <f t="shared" si="1821"/>
        <v>0</v>
      </c>
      <c r="L183" s="126">
        <f t="shared" si="1821"/>
        <v>0</v>
      </c>
      <c r="M183" s="126">
        <f t="shared" si="1821"/>
        <v>0</v>
      </c>
      <c r="N183" s="126">
        <f t="shared" si="1821"/>
        <v>0</v>
      </c>
      <c r="O183" s="126">
        <f t="shared" si="1821"/>
        <v>0</v>
      </c>
      <c r="P183" s="81"/>
      <c r="Q183" s="126">
        <f>Q182/Q$10</f>
        <v>0</v>
      </c>
      <c r="R183" s="126">
        <f t="shared" ref="R183:AJ183" si="1822">R182/R$10</f>
        <v>0.63148608459210709</v>
      </c>
      <c r="S183" s="126">
        <f t="shared" si="1822"/>
        <v>0</v>
      </c>
      <c r="T183" s="126">
        <f t="shared" si="1822"/>
        <v>0</v>
      </c>
      <c r="U183" s="126">
        <f t="shared" si="1822"/>
        <v>0</v>
      </c>
      <c r="V183" s="126">
        <f t="shared" si="1822"/>
        <v>0</v>
      </c>
      <c r="W183" s="126">
        <f t="shared" si="1822"/>
        <v>0</v>
      </c>
      <c r="X183" s="126">
        <f t="shared" si="1822"/>
        <v>0</v>
      </c>
      <c r="Y183" s="126">
        <f t="shared" si="1822"/>
        <v>0</v>
      </c>
      <c r="Z183" s="126">
        <f t="shared" si="1822"/>
        <v>0</v>
      </c>
      <c r="AA183" s="126">
        <f t="shared" si="1822"/>
        <v>0</v>
      </c>
      <c r="AB183" s="126">
        <f t="shared" si="1822"/>
        <v>0</v>
      </c>
      <c r="AC183" s="126">
        <f t="shared" si="1822"/>
        <v>0</v>
      </c>
      <c r="AD183" s="126">
        <f t="shared" si="1822"/>
        <v>0</v>
      </c>
      <c r="AE183" s="126">
        <f t="shared" si="1822"/>
        <v>0</v>
      </c>
      <c r="AF183" s="126">
        <f t="shared" si="1822"/>
        <v>0</v>
      </c>
      <c r="AG183" s="126">
        <f t="shared" si="1822"/>
        <v>0</v>
      </c>
      <c r="AH183" s="126">
        <f t="shared" si="1822"/>
        <v>0</v>
      </c>
      <c r="AI183" s="126">
        <f t="shared" si="1822"/>
        <v>0</v>
      </c>
      <c r="AJ183" s="126">
        <f t="shared" si="1822"/>
        <v>0</v>
      </c>
      <c r="AK183" s="138">
        <f>MEDIAN(Q183,U183,Y183,AC183,AG183)</f>
        <v>0</v>
      </c>
      <c r="AL183" s="138">
        <f t="shared" ref="AL183" si="1823">MEDIAN(R183,V183,Z183,AD183,AH183)</f>
        <v>0</v>
      </c>
      <c r="AM183" s="138">
        <f t="shared" ref="AM183" si="1824">MEDIAN(S183,W183,AA183,AE183,AI183)</f>
        <v>0</v>
      </c>
      <c r="AN183" s="138">
        <f t="shared" ref="AN183" si="1825">MEDIAN(T183,X183,AB183,AF183,AJ183)</f>
        <v>0</v>
      </c>
      <c r="AO183" s="138">
        <f>AK183</f>
        <v>0</v>
      </c>
      <c r="AP183" s="138">
        <f t="shared" ref="AP183" si="1826">AL183</f>
        <v>0</v>
      </c>
      <c r="AQ183" s="138">
        <f t="shared" ref="AQ183" si="1827">AM183</f>
        <v>0</v>
      </c>
      <c r="AR183" s="138">
        <f t="shared" ref="AR183" si="1828">AN183</f>
        <v>0</v>
      </c>
      <c r="AS183" s="138">
        <f t="shared" ref="AS183" si="1829">AO183</f>
        <v>0</v>
      </c>
      <c r="AT183" s="138">
        <f t="shared" ref="AT183" si="1830">AP183</f>
        <v>0</v>
      </c>
      <c r="AU183" s="138">
        <f t="shared" ref="AU183" si="1831">AQ183</f>
        <v>0</v>
      </c>
      <c r="AV183" s="138">
        <f t="shared" ref="AV183" si="1832">AR183</f>
        <v>0</v>
      </c>
      <c r="AW183" s="138">
        <f t="shared" ref="AW183" si="1833">AS183</f>
        <v>0</v>
      </c>
      <c r="AX183" s="138">
        <f t="shared" ref="AX183" si="1834">AT183</f>
        <v>0</v>
      </c>
      <c r="AY183" s="138">
        <f t="shared" ref="AY183" si="1835">AU183</f>
        <v>0</v>
      </c>
      <c r="AZ183" s="138">
        <f t="shared" ref="AZ183" si="1836">AV183</f>
        <v>0</v>
      </c>
      <c r="BA183" s="138">
        <f t="shared" ref="BA183" si="1837">AW183</f>
        <v>0</v>
      </c>
      <c r="BB183" s="138">
        <f t="shared" ref="BB183" si="1838">AX183</f>
        <v>0</v>
      </c>
      <c r="BC183" s="138">
        <f t="shared" ref="BC183" si="1839">AY183</f>
        <v>0</v>
      </c>
      <c r="BD183" s="138">
        <f t="shared" ref="BD183" si="1840">AZ183</f>
        <v>0</v>
      </c>
    </row>
    <row r="185" spans="2:56" x14ac:dyDescent="0.2">
      <c r="B185" s="1" t="s">
        <v>118</v>
      </c>
      <c r="E185" s="43" t="s">
        <v>33</v>
      </c>
      <c r="F185" s="50">
        <f>T185</f>
        <v>74078</v>
      </c>
      <c r="G185" s="50">
        <f>X185</f>
        <v>42044</v>
      </c>
      <c r="H185" s="50">
        <f>AB185</f>
        <v>0</v>
      </c>
      <c r="I185" s="50">
        <f>AF185</f>
        <v>0</v>
      </c>
      <c r="J185" s="50">
        <f>AJ185</f>
        <v>0</v>
      </c>
      <c r="K185" s="50">
        <f>AN185</f>
        <v>0</v>
      </c>
      <c r="L185" s="50">
        <f>AR185</f>
        <v>0</v>
      </c>
      <c r="M185" s="50">
        <f>AV185</f>
        <v>0</v>
      </c>
      <c r="N185" s="50">
        <f>AZ185</f>
        <v>0</v>
      </c>
      <c r="O185" s="50">
        <f>BD185</f>
        <v>0</v>
      </c>
      <c r="Q185" s="143">
        <f>_xlfn.XLOOKUP('IS &amp; BS Projections'!$B185,'3FS'!$B:$B,'3FS'!P:P)</f>
        <v>88519</v>
      </c>
      <c r="R185" s="143">
        <f>_xlfn.XLOOKUP('IS &amp; BS Projections'!$B185,'3FS'!$B:$B,'3FS'!Q:Q)</f>
        <v>82292</v>
      </c>
      <c r="S185" s="143">
        <f>_xlfn.XLOOKUP('IS &amp; BS Projections'!$B185,'3FS'!$B:$B,'3FS'!R:R)</f>
        <v>81602</v>
      </c>
      <c r="T185" s="143">
        <f>_xlfn.XLOOKUP('IS &amp; BS Projections'!$B185,'3FS'!$B:$B,'3FS'!S:S)</f>
        <v>74078</v>
      </c>
      <c r="U185" s="143">
        <f>_xlfn.XLOOKUP('IS &amp; BS Projections'!$B185,'3FS'!$B:$B,'3FS'!T:T)</f>
        <v>66425</v>
      </c>
      <c r="V185" s="143">
        <f>_xlfn.XLOOKUP('IS &amp; BS Projections'!$B185,'3FS'!$B:$B,'3FS'!U:U)</f>
        <v>59317</v>
      </c>
      <c r="W185" s="143">
        <f>_xlfn.XLOOKUP('IS &amp; BS Projections'!$B185,'3FS'!$B:$B,'3FS'!V:V)</f>
        <v>50167</v>
      </c>
      <c r="X185" s="143">
        <f>_xlfn.XLOOKUP('IS &amp; BS Projections'!$B185,'3FS'!$B:$B,'3FS'!W:W)</f>
        <v>42044</v>
      </c>
      <c r="Y185" s="143">
        <f>_xlfn.XLOOKUP('IS &amp; BS Projections'!$B185,'3FS'!$B:$B,'3FS'!X:X)</f>
        <v>11289</v>
      </c>
      <c r="Z185" s="143">
        <f>_xlfn.XLOOKUP('IS &amp; BS Projections'!$B185,'3FS'!$B:$B,'3FS'!Y:Y)</f>
        <v>8611</v>
      </c>
      <c r="AA185" s="143">
        <f>_xlfn.XLOOKUP('IS &amp; BS Projections'!$B185,'3FS'!$B:$B,'3FS'!Z:Z)</f>
        <v>5690</v>
      </c>
      <c r="AB185" s="143">
        <f>_xlfn.XLOOKUP('IS &amp; BS Projections'!$B185,'3FS'!$B:$B,'3FS'!AA:AA)</f>
        <v>0</v>
      </c>
      <c r="AC185" s="143">
        <f>_xlfn.XLOOKUP('IS &amp; BS Projections'!$B185,'3FS'!$B:$B,'3FS'!AB:AB)</f>
        <v>0</v>
      </c>
      <c r="AD185" s="143">
        <f>_xlfn.XLOOKUP('IS &amp; BS Projections'!$B185,'3FS'!$B:$B,'3FS'!AC:AC)</f>
        <v>0</v>
      </c>
      <c r="AE185" s="143">
        <f>_xlfn.XLOOKUP('IS &amp; BS Projections'!$B185,'3FS'!$B:$B,'3FS'!AD:AD)</f>
        <v>0</v>
      </c>
      <c r="AF185" s="143">
        <f>_xlfn.XLOOKUP('IS &amp; BS Projections'!$B185,'3FS'!$B:$B,'3FS'!AE:AE)</f>
        <v>0</v>
      </c>
      <c r="AG185" s="143">
        <f>_xlfn.XLOOKUP('IS &amp; BS Projections'!$B185,'3FS'!$B:$B,'3FS'!AF:AF)</f>
        <v>0</v>
      </c>
      <c r="AH185" s="143">
        <f>_xlfn.XLOOKUP('IS &amp; BS Projections'!$B185,'3FS'!$B:$B,'3FS'!AG:AG)</f>
        <v>0</v>
      </c>
      <c r="AI185" s="143">
        <f>_xlfn.XLOOKUP('IS &amp; BS Projections'!$B185,'3FS'!$B:$B,'3FS'!AH:AH)</f>
        <v>0</v>
      </c>
      <c r="AJ185" s="143">
        <f>_xlfn.XLOOKUP('IS &amp; BS Projections'!$B185,'3FS'!$B:$B,'3FS'!AI:AI)</f>
        <v>0</v>
      </c>
      <c r="AK185" s="50">
        <f>AK186*AK$10</f>
        <v>27231.818206000382</v>
      </c>
      <c r="AL185" s="50">
        <f t="shared" ref="AL185:BD185" si="1841">AL186*AL$10</f>
        <v>21694.209578109101</v>
      </c>
      <c r="AM185" s="50">
        <f t="shared" si="1841"/>
        <v>20035.786918261627</v>
      </c>
      <c r="AN185" s="50">
        <f t="shared" si="1841"/>
        <v>0</v>
      </c>
      <c r="AO185" s="50">
        <f t="shared" si="1841"/>
        <v>28418.289190105279</v>
      </c>
      <c r="AP185" s="50">
        <f t="shared" si="1841"/>
        <v>24681.085100241282</v>
      </c>
      <c r="AQ185" s="50">
        <f t="shared" si="1841"/>
        <v>23120.365200720989</v>
      </c>
      <c r="AR185" s="50">
        <f t="shared" si="1841"/>
        <v>0</v>
      </c>
      <c r="AS185" s="50">
        <f t="shared" si="1841"/>
        <v>30935.107524773935</v>
      </c>
      <c r="AT185" s="50">
        <f t="shared" si="1841"/>
        <v>28243.148791890799</v>
      </c>
      <c r="AU185" s="50">
        <f t="shared" si="1841"/>
        <v>26053.73461850933</v>
      </c>
      <c r="AV185" s="50">
        <f t="shared" si="1841"/>
        <v>0</v>
      </c>
      <c r="AW185" s="50">
        <f t="shared" si="1841"/>
        <v>34156.188830736835</v>
      </c>
      <c r="AX185" s="50">
        <f t="shared" si="1841"/>
        <v>33590.046693073295</v>
      </c>
      <c r="AY185" s="50">
        <f t="shared" si="1841"/>
        <v>30612.636640701621</v>
      </c>
      <c r="AZ185" s="50">
        <f t="shared" si="1841"/>
        <v>0</v>
      </c>
      <c r="BA185" s="50">
        <f t="shared" si="1841"/>
        <v>39243.26681742417</v>
      </c>
      <c r="BB185" s="50">
        <f t="shared" si="1841"/>
        <v>42240.018188653397</v>
      </c>
      <c r="BC185" s="50">
        <f t="shared" si="1841"/>
        <v>38145.773594513783</v>
      </c>
      <c r="BD185" s="50">
        <f t="shared" si="1841"/>
        <v>0</v>
      </c>
    </row>
    <row r="186" spans="2:56" x14ac:dyDescent="0.2">
      <c r="B186" s="98" t="s">
        <v>293</v>
      </c>
      <c r="C186" s="45"/>
      <c r="D186" s="45"/>
      <c r="E186" s="46" t="s">
        <v>36</v>
      </c>
      <c r="F186" s="126">
        <f t="shared" ref="F186:O186" si="1842">F185/F$10</f>
        <v>9.449393420069915E-3</v>
      </c>
      <c r="G186" s="126">
        <f t="shared" si="1842"/>
        <v>1.3162574259409532E-2</v>
      </c>
      <c r="H186" s="126">
        <f t="shared" si="1842"/>
        <v>0</v>
      </c>
      <c r="I186" s="126">
        <f t="shared" si="1842"/>
        <v>0</v>
      </c>
      <c r="J186" s="126">
        <f t="shared" si="1842"/>
        <v>0</v>
      </c>
      <c r="K186" s="126">
        <f t="shared" si="1842"/>
        <v>0</v>
      </c>
      <c r="L186" s="126">
        <f t="shared" si="1842"/>
        <v>0</v>
      </c>
      <c r="M186" s="126">
        <f t="shared" si="1842"/>
        <v>0</v>
      </c>
      <c r="N186" s="126">
        <f t="shared" si="1842"/>
        <v>0</v>
      </c>
      <c r="O186" s="126">
        <f t="shared" si="1842"/>
        <v>0</v>
      </c>
      <c r="P186" s="81"/>
      <c r="Q186" s="126">
        <f>Q185/Q$10</f>
        <v>4.914686038402942E-2</v>
      </c>
      <c r="R186" s="126">
        <f t="shared" ref="R186:AJ186" si="1843">R185/R$10</f>
        <v>3.6935998010738068E-2</v>
      </c>
      <c r="S186" s="126">
        <f t="shared" si="1843"/>
        <v>6.220100799751202E-2</v>
      </c>
      <c r="T186" s="126">
        <f t="shared" si="1843"/>
        <v>2.9649428468622511E-2</v>
      </c>
      <c r="U186" s="126">
        <f t="shared" si="1843"/>
        <v>5.6946973515906572E-2</v>
      </c>
      <c r="V186" s="126">
        <f t="shared" si="1843"/>
        <v>7.3382612191878263E-2</v>
      </c>
      <c r="W186" s="126">
        <f t="shared" si="1843"/>
        <v>8.4979986075797126E-2</v>
      </c>
      <c r="X186" s="126">
        <f t="shared" si="1843"/>
        <v>6.6831132333399032E-2</v>
      </c>
      <c r="Y186" s="126">
        <f t="shared" si="1843"/>
        <v>1.4613043652730189E-2</v>
      </c>
      <c r="Z186" s="126">
        <f t="shared" si="1843"/>
        <v>1.2163958463705183E-2</v>
      </c>
      <c r="AA186" s="126">
        <f t="shared" si="1843"/>
        <v>8.440283142574034E-3</v>
      </c>
      <c r="AB186" s="126">
        <f t="shared" si="1843"/>
        <v>0</v>
      </c>
      <c r="AC186" s="126">
        <f t="shared" si="1843"/>
        <v>0</v>
      </c>
      <c r="AD186" s="126">
        <f t="shared" si="1843"/>
        <v>0</v>
      </c>
      <c r="AE186" s="126">
        <f t="shared" si="1843"/>
        <v>0</v>
      </c>
      <c r="AF186" s="126">
        <f t="shared" si="1843"/>
        <v>0</v>
      </c>
      <c r="AG186" s="126">
        <f t="shared" si="1843"/>
        <v>0</v>
      </c>
      <c r="AH186" s="126">
        <f t="shared" si="1843"/>
        <v>0</v>
      </c>
      <c r="AI186" s="126">
        <f t="shared" si="1843"/>
        <v>0</v>
      </c>
      <c r="AJ186" s="126">
        <f t="shared" si="1843"/>
        <v>0</v>
      </c>
      <c r="AK186" s="138">
        <f>MEDIAN(Q186,U186,Y186,AC186,AG186)</f>
        <v>1.4613043652730189E-2</v>
      </c>
      <c r="AL186" s="138">
        <f t="shared" ref="AL186" si="1844">MEDIAN(R186,V186,Z186,AD186,AH186)</f>
        <v>1.2163958463705183E-2</v>
      </c>
      <c r="AM186" s="138">
        <f t="shared" ref="AM186" si="1845">MEDIAN(S186,W186,AA186,AE186,AI186)</f>
        <v>8.440283142574034E-3</v>
      </c>
      <c r="AN186" s="138">
        <f t="shared" ref="AN186" si="1846">MEDIAN(T186,X186,AB186,AF186,AJ186)</f>
        <v>0</v>
      </c>
      <c r="AO186" s="138">
        <f>AK186</f>
        <v>1.4613043652730189E-2</v>
      </c>
      <c r="AP186" s="138">
        <f t="shared" ref="AP186" si="1847">AL186</f>
        <v>1.2163958463705183E-2</v>
      </c>
      <c r="AQ186" s="138">
        <f t="shared" ref="AQ186" si="1848">AM186</f>
        <v>8.440283142574034E-3</v>
      </c>
      <c r="AR186" s="138">
        <f t="shared" ref="AR186" si="1849">AN186</f>
        <v>0</v>
      </c>
      <c r="AS186" s="138">
        <f t="shared" ref="AS186" si="1850">AO186</f>
        <v>1.4613043652730189E-2</v>
      </c>
      <c r="AT186" s="138">
        <f t="shared" ref="AT186" si="1851">AP186</f>
        <v>1.2163958463705183E-2</v>
      </c>
      <c r="AU186" s="138">
        <f t="shared" ref="AU186" si="1852">AQ186</f>
        <v>8.440283142574034E-3</v>
      </c>
      <c r="AV186" s="138">
        <f t="shared" ref="AV186" si="1853">AR186</f>
        <v>0</v>
      </c>
      <c r="AW186" s="138">
        <f t="shared" ref="AW186" si="1854">AS186</f>
        <v>1.4613043652730189E-2</v>
      </c>
      <c r="AX186" s="138">
        <f t="shared" ref="AX186" si="1855">AT186</f>
        <v>1.2163958463705183E-2</v>
      </c>
      <c r="AY186" s="138">
        <f t="shared" ref="AY186" si="1856">AU186</f>
        <v>8.440283142574034E-3</v>
      </c>
      <c r="AZ186" s="138">
        <f t="shared" ref="AZ186" si="1857">AV186</f>
        <v>0</v>
      </c>
      <c r="BA186" s="138">
        <f t="shared" ref="BA186" si="1858">AW186</f>
        <v>1.4613043652730189E-2</v>
      </c>
      <c r="BB186" s="138">
        <f t="shared" ref="BB186" si="1859">AX186</f>
        <v>1.2163958463705183E-2</v>
      </c>
      <c r="BC186" s="138">
        <f t="shared" ref="BC186" si="1860">AY186</f>
        <v>8.440283142574034E-3</v>
      </c>
      <c r="BD186" s="138">
        <f t="shared" ref="BD186" si="1861">AZ186</f>
        <v>0</v>
      </c>
    </row>
    <row r="188" spans="2:56" x14ac:dyDescent="0.2">
      <c r="B188" s="1" t="s">
        <v>119</v>
      </c>
      <c r="E188" s="43" t="s">
        <v>33</v>
      </c>
      <c r="F188" s="50">
        <f>T188</f>
        <v>0</v>
      </c>
      <c r="G188" s="50">
        <f>X188</f>
        <v>0</v>
      </c>
      <c r="H188" s="50">
        <f>AB188</f>
        <v>0</v>
      </c>
      <c r="I188" s="50">
        <f>AF188</f>
        <v>0</v>
      </c>
      <c r="J188" s="50">
        <f>AJ188</f>
        <v>0</v>
      </c>
      <c r="K188" s="50">
        <f>AN188</f>
        <v>0</v>
      </c>
      <c r="L188" s="50">
        <f>AR188</f>
        <v>0</v>
      </c>
      <c r="M188" s="50">
        <f>AV188</f>
        <v>0</v>
      </c>
      <c r="N188" s="50">
        <f>AZ188</f>
        <v>0</v>
      </c>
      <c r="O188" s="50">
        <f>BD188</f>
        <v>0</v>
      </c>
      <c r="Q188" s="143">
        <f>_xlfn.XLOOKUP('IS &amp; BS Projections'!$B188,'3FS'!$B:$B,'3FS'!P:P)</f>
        <v>552037</v>
      </c>
      <c r="R188" s="143">
        <f>_xlfn.XLOOKUP('IS &amp; BS Projections'!$B188,'3FS'!$B:$B,'3FS'!Q:Q)</f>
        <v>0</v>
      </c>
      <c r="S188" s="143">
        <f>_xlfn.XLOOKUP('IS &amp; BS Projections'!$B188,'3FS'!$B:$B,'3FS'!R:R)</f>
        <v>0</v>
      </c>
      <c r="T188" s="143">
        <f>_xlfn.XLOOKUP('IS &amp; BS Projections'!$B188,'3FS'!$B:$B,'3FS'!S:S)</f>
        <v>0</v>
      </c>
      <c r="U188" s="143">
        <f>_xlfn.XLOOKUP('IS &amp; BS Projections'!$B188,'3FS'!$B:$B,'3FS'!T:T)</f>
        <v>0</v>
      </c>
      <c r="V188" s="143">
        <f>_xlfn.XLOOKUP('IS &amp; BS Projections'!$B188,'3FS'!$B:$B,'3FS'!U:U)</f>
        <v>0</v>
      </c>
      <c r="W188" s="143">
        <f>_xlfn.XLOOKUP('IS &amp; BS Projections'!$B188,'3FS'!$B:$B,'3FS'!V:V)</f>
        <v>0</v>
      </c>
      <c r="X188" s="143">
        <f>_xlfn.XLOOKUP('IS &amp; BS Projections'!$B188,'3FS'!$B:$B,'3FS'!W:W)</f>
        <v>0</v>
      </c>
      <c r="Y188" s="143">
        <f>_xlfn.XLOOKUP('IS &amp; BS Projections'!$B188,'3FS'!$B:$B,'3FS'!X:X)</f>
        <v>0</v>
      </c>
      <c r="Z188" s="143">
        <f>_xlfn.XLOOKUP('IS &amp; BS Projections'!$B188,'3FS'!$B:$B,'3FS'!Y:Y)</f>
        <v>0</v>
      </c>
      <c r="AA188" s="143">
        <f>_xlfn.XLOOKUP('IS &amp; BS Projections'!$B188,'3FS'!$B:$B,'3FS'!Z:Z)</f>
        <v>0</v>
      </c>
      <c r="AB188" s="143">
        <f>_xlfn.XLOOKUP('IS &amp; BS Projections'!$B188,'3FS'!$B:$B,'3FS'!AA:AA)</f>
        <v>0</v>
      </c>
      <c r="AC188" s="143">
        <f>_xlfn.XLOOKUP('IS &amp; BS Projections'!$B188,'3FS'!$B:$B,'3FS'!AB:AB)</f>
        <v>0</v>
      </c>
      <c r="AD188" s="143">
        <f>_xlfn.XLOOKUP('IS &amp; BS Projections'!$B188,'3FS'!$B:$B,'3FS'!AC:AC)</f>
        <v>0</v>
      </c>
      <c r="AE188" s="143">
        <f>_xlfn.XLOOKUP('IS &amp; BS Projections'!$B188,'3FS'!$B:$B,'3FS'!AD:AD)</f>
        <v>0</v>
      </c>
      <c r="AF188" s="143">
        <f>_xlfn.XLOOKUP('IS &amp; BS Projections'!$B188,'3FS'!$B:$B,'3FS'!AE:AE)</f>
        <v>0</v>
      </c>
      <c r="AG188" s="143">
        <f>_xlfn.XLOOKUP('IS &amp; BS Projections'!$B188,'3FS'!$B:$B,'3FS'!AF:AF)</f>
        <v>0</v>
      </c>
      <c r="AH188" s="143">
        <f>_xlfn.XLOOKUP('IS &amp; BS Projections'!$B188,'3FS'!$B:$B,'3FS'!AG:AG)</f>
        <v>0</v>
      </c>
      <c r="AI188" s="143">
        <f>_xlfn.XLOOKUP('IS &amp; BS Projections'!$B188,'3FS'!$B:$B,'3FS'!AH:AH)</f>
        <v>0</v>
      </c>
      <c r="AJ188" s="143">
        <f>_xlfn.XLOOKUP('IS &amp; BS Projections'!$B188,'3FS'!$B:$B,'3FS'!AI:AI)</f>
        <v>0</v>
      </c>
      <c r="AK188" s="50">
        <f>AK189*AK$10</f>
        <v>0</v>
      </c>
      <c r="AL188" s="50">
        <f t="shared" ref="AL188:BD188" si="1862">AL189*AL$10</f>
        <v>0</v>
      </c>
      <c r="AM188" s="50">
        <f t="shared" si="1862"/>
        <v>0</v>
      </c>
      <c r="AN188" s="50">
        <f t="shared" si="1862"/>
        <v>0</v>
      </c>
      <c r="AO188" s="50">
        <f t="shared" si="1862"/>
        <v>0</v>
      </c>
      <c r="AP188" s="50">
        <f t="shared" si="1862"/>
        <v>0</v>
      </c>
      <c r="AQ188" s="50">
        <f t="shared" si="1862"/>
        <v>0</v>
      </c>
      <c r="AR188" s="50">
        <f t="shared" si="1862"/>
        <v>0</v>
      </c>
      <c r="AS188" s="50">
        <f t="shared" si="1862"/>
        <v>0</v>
      </c>
      <c r="AT188" s="50">
        <f t="shared" si="1862"/>
        <v>0</v>
      </c>
      <c r="AU188" s="50">
        <f t="shared" si="1862"/>
        <v>0</v>
      </c>
      <c r="AV188" s="50">
        <f t="shared" si="1862"/>
        <v>0</v>
      </c>
      <c r="AW188" s="50">
        <f t="shared" si="1862"/>
        <v>0</v>
      </c>
      <c r="AX188" s="50">
        <f t="shared" si="1862"/>
        <v>0</v>
      </c>
      <c r="AY188" s="50">
        <f t="shared" si="1862"/>
        <v>0</v>
      </c>
      <c r="AZ188" s="50">
        <f t="shared" si="1862"/>
        <v>0</v>
      </c>
      <c r="BA188" s="50">
        <f t="shared" si="1862"/>
        <v>0</v>
      </c>
      <c r="BB188" s="50">
        <f t="shared" si="1862"/>
        <v>0</v>
      </c>
      <c r="BC188" s="50">
        <f t="shared" si="1862"/>
        <v>0</v>
      </c>
      <c r="BD188" s="50">
        <f t="shared" si="1862"/>
        <v>0</v>
      </c>
    </row>
    <row r="189" spans="2:56" x14ac:dyDescent="0.2">
      <c r="B189" s="98" t="s">
        <v>293</v>
      </c>
      <c r="C189" s="45"/>
      <c r="D189" s="45"/>
      <c r="E189" s="46" t="s">
        <v>36</v>
      </c>
      <c r="F189" s="126">
        <f t="shared" ref="F189:O189" si="1863">F188/F$10</f>
        <v>0</v>
      </c>
      <c r="G189" s="126">
        <f t="shared" si="1863"/>
        <v>0</v>
      </c>
      <c r="H189" s="126">
        <f t="shared" si="1863"/>
        <v>0</v>
      </c>
      <c r="I189" s="126">
        <f t="shared" si="1863"/>
        <v>0</v>
      </c>
      <c r="J189" s="126">
        <f t="shared" si="1863"/>
        <v>0</v>
      </c>
      <c r="K189" s="126">
        <f t="shared" si="1863"/>
        <v>0</v>
      </c>
      <c r="L189" s="126">
        <f t="shared" si="1863"/>
        <v>0</v>
      </c>
      <c r="M189" s="126">
        <f t="shared" si="1863"/>
        <v>0</v>
      </c>
      <c r="N189" s="126">
        <f t="shared" si="1863"/>
        <v>0</v>
      </c>
      <c r="O189" s="126">
        <f t="shared" si="1863"/>
        <v>0</v>
      </c>
      <c r="P189" s="81"/>
      <c r="Q189" s="126">
        <f>Q188/Q$10</f>
        <v>0.3064978746463296</v>
      </c>
      <c r="R189" s="126">
        <f t="shared" ref="R189:AJ189" si="1864">R188/R$10</f>
        <v>0</v>
      </c>
      <c r="S189" s="126">
        <f t="shared" si="1864"/>
        <v>0</v>
      </c>
      <c r="T189" s="126">
        <f t="shared" si="1864"/>
        <v>0</v>
      </c>
      <c r="U189" s="126">
        <f t="shared" si="1864"/>
        <v>0</v>
      </c>
      <c r="V189" s="126">
        <f t="shared" si="1864"/>
        <v>0</v>
      </c>
      <c r="W189" s="126">
        <f t="shared" si="1864"/>
        <v>0</v>
      </c>
      <c r="X189" s="126">
        <f t="shared" si="1864"/>
        <v>0</v>
      </c>
      <c r="Y189" s="126">
        <f t="shared" si="1864"/>
        <v>0</v>
      </c>
      <c r="Z189" s="126">
        <f t="shared" si="1864"/>
        <v>0</v>
      </c>
      <c r="AA189" s="126">
        <f t="shared" si="1864"/>
        <v>0</v>
      </c>
      <c r="AB189" s="126">
        <f t="shared" si="1864"/>
        <v>0</v>
      </c>
      <c r="AC189" s="126">
        <f t="shared" si="1864"/>
        <v>0</v>
      </c>
      <c r="AD189" s="126">
        <f t="shared" si="1864"/>
        <v>0</v>
      </c>
      <c r="AE189" s="126">
        <f t="shared" si="1864"/>
        <v>0</v>
      </c>
      <c r="AF189" s="126">
        <f t="shared" si="1864"/>
        <v>0</v>
      </c>
      <c r="AG189" s="126">
        <f t="shared" si="1864"/>
        <v>0</v>
      </c>
      <c r="AH189" s="126">
        <f t="shared" si="1864"/>
        <v>0</v>
      </c>
      <c r="AI189" s="126">
        <f t="shared" si="1864"/>
        <v>0</v>
      </c>
      <c r="AJ189" s="126">
        <f t="shared" si="1864"/>
        <v>0</v>
      </c>
      <c r="AK189" s="138">
        <f>MEDIAN(Q189,U189,Y189,AC189,AG189)</f>
        <v>0</v>
      </c>
      <c r="AL189" s="138">
        <f t="shared" ref="AL189" si="1865">MEDIAN(R189,V189,Z189,AD189,AH189)</f>
        <v>0</v>
      </c>
      <c r="AM189" s="138">
        <f t="shared" ref="AM189" si="1866">MEDIAN(S189,W189,AA189,AE189,AI189)</f>
        <v>0</v>
      </c>
      <c r="AN189" s="138">
        <f t="shared" ref="AN189" si="1867">MEDIAN(T189,X189,AB189,AF189,AJ189)</f>
        <v>0</v>
      </c>
      <c r="AO189" s="138">
        <f>AK189</f>
        <v>0</v>
      </c>
      <c r="AP189" s="138">
        <f t="shared" ref="AP189" si="1868">AL189</f>
        <v>0</v>
      </c>
      <c r="AQ189" s="138">
        <f t="shared" ref="AQ189" si="1869">AM189</f>
        <v>0</v>
      </c>
      <c r="AR189" s="138">
        <f t="shared" ref="AR189" si="1870">AN189</f>
        <v>0</v>
      </c>
      <c r="AS189" s="138">
        <f t="shared" ref="AS189" si="1871">AO189</f>
        <v>0</v>
      </c>
      <c r="AT189" s="138">
        <f t="shared" ref="AT189" si="1872">AP189</f>
        <v>0</v>
      </c>
      <c r="AU189" s="138">
        <f t="shared" ref="AU189" si="1873">AQ189</f>
        <v>0</v>
      </c>
      <c r="AV189" s="138">
        <f t="shared" ref="AV189" si="1874">AR189</f>
        <v>0</v>
      </c>
      <c r="AW189" s="138">
        <f t="shared" ref="AW189" si="1875">AS189</f>
        <v>0</v>
      </c>
      <c r="AX189" s="138">
        <f t="shared" ref="AX189" si="1876">AT189</f>
        <v>0</v>
      </c>
      <c r="AY189" s="138">
        <f t="shared" ref="AY189" si="1877">AU189</f>
        <v>0</v>
      </c>
      <c r="AZ189" s="138">
        <f t="shared" ref="AZ189" si="1878">AV189</f>
        <v>0</v>
      </c>
      <c r="BA189" s="138">
        <f t="shared" ref="BA189" si="1879">AW189</f>
        <v>0</v>
      </c>
      <c r="BB189" s="138">
        <f t="shared" ref="BB189" si="1880">AX189</f>
        <v>0</v>
      </c>
      <c r="BC189" s="138">
        <f t="shared" ref="BC189" si="1881">AY189</f>
        <v>0</v>
      </c>
      <c r="BD189" s="138">
        <f t="shared" ref="BD189" si="1882">AZ189</f>
        <v>0</v>
      </c>
    </row>
    <row r="191" spans="2:56" x14ac:dyDescent="0.2">
      <c r="B191" s="1" t="s">
        <v>120</v>
      </c>
      <c r="E191" s="43" t="s">
        <v>33</v>
      </c>
      <c r="F191" s="50">
        <f>T191</f>
        <v>14828</v>
      </c>
      <c r="G191" s="50">
        <f>X191</f>
        <v>19531</v>
      </c>
      <c r="H191" s="50">
        <f>AB191</f>
        <v>7216</v>
      </c>
      <c r="I191" s="50">
        <f>AF191</f>
        <v>89708</v>
      </c>
      <c r="J191" s="50">
        <f>AJ191</f>
        <v>240458</v>
      </c>
      <c r="K191" s="50">
        <f>AN191</f>
        <v>54009.319290199463</v>
      </c>
      <c r="L191" s="50">
        <f>AR191</f>
        <v>60992.708315709322</v>
      </c>
      <c r="M191" s="50">
        <f>AV191</f>
        <v>68275.600449536098</v>
      </c>
      <c r="N191" s="50">
        <f>AZ191</f>
        <v>79744.425934522631</v>
      </c>
      <c r="O191" s="50">
        <f>BD191</f>
        <v>98202.461364174073</v>
      </c>
      <c r="Q191" s="143">
        <f>_xlfn.XLOOKUP('IS &amp; BS Projections'!$B191,'3FS'!$B:$B,'3FS'!P:P)</f>
        <v>0</v>
      </c>
      <c r="R191" s="143">
        <f>_xlfn.XLOOKUP('IS &amp; BS Projections'!$B191,'3FS'!$B:$B,'3FS'!Q:Q)</f>
        <v>0</v>
      </c>
      <c r="S191" s="143">
        <f>_xlfn.XLOOKUP('IS &amp; BS Projections'!$B191,'3FS'!$B:$B,'3FS'!R:R)</f>
        <v>14828</v>
      </c>
      <c r="T191" s="143">
        <f>_xlfn.XLOOKUP('IS &amp; BS Projections'!$B191,'3FS'!$B:$B,'3FS'!S:S)</f>
        <v>14828</v>
      </c>
      <c r="U191" s="143">
        <f>_xlfn.XLOOKUP('IS &amp; BS Projections'!$B191,'3FS'!$B:$B,'3FS'!T:T)</f>
        <v>23988</v>
      </c>
      <c r="V191" s="143">
        <f>_xlfn.XLOOKUP('IS &amp; BS Projections'!$B191,'3FS'!$B:$B,'3FS'!U:U)</f>
        <v>12208</v>
      </c>
      <c r="W191" s="143">
        <f>_xlfn.XLOOKUP('IS &amp; BS Projections'!$B191,'3FS'!$B:$B,'3FS'!V:V)</f>
        <v>27545</v>
      </c>
      <c r="X191" s="143">
        <f>_xlfn.XLOOKUP('IS &amp; BS Projections'!$B191,'3FS'!$B:$B,'3FS'!W:W)</f>
        <v>19531</v>
      </c>
      <c r="Y191" s="143">
        <f>_xlfn.XLOOKUP('IS &amp; BS Projections'!$B191,'3FS'!$B:$B,'3FS'!X:X)</f>
        <v>17188</v>
      </c>
      <c r="Z191" s="143">
        <f>_xlfn.XLOOKUP('IS &amp; BS Projections'!$B191,'3FS'!$B:$B,'3FS'!Y:Y)</f>
        <v>14252</v>
      </c>
      <c r="AA191" s="143">
        <f>_xlfn.XLOOKUP('IS &amp; BS Projections'!$B191,'3FS'!$B:$B,'3FS'!Z:Z)</f>
        <v>3395</v>
      </c>
      <c r="AB191" s="143">
        <f>_xlfn.XLOOKUP('IS &amp; BS Projections'!$B191,'3FS'!$B:$B,'3FS'!AA:AA)</f>
        <v>7216</v>
      </c>
      <c r="AC191" s="143">
        <f>_xlfn.XLOOKUP('IS &amp; BS Projections'!$B191,'3FS'!$B:$B,'3FS'!AB:AB)</f>
        <v>5870</v>
      </c>
      <c r="AD191" s="143">
        <f>_xlfn.XLOOKUP('IS &amp; BS Projections'!$B191,'3FS'!$B:$B,'3FS'!AC:AC)</f>
        <v>6666</v>
      </c>
      <c r="AE191" s="143">
        <f>_xlfn.XLOOKUP('IS &amp; BS Projections'!$B191,'3FS'!$B:$B,'3FS'!AD:AD)</f>
        <v>11001</v>
      </c>
      <c r="AF191" s="143">
        <f>_xlfn.XLOOKUP('IS &amp; BS Projections'!$B191,'3FS'!$B:$B,'3FS'!AE:AE)</f>
        <v>89708</v>
      </c>
      <c r="AG191" s="143">
        <f>_xlfn.XLOOKUP('IS &amp; BS Projections'!$B191,'3FS'!$B:$B,'3FS'!AF:AF)</f>
        <v>92307</v>
      </c>
      <c r="AH191" s="143">
        <f>_xlfn.XLOOKUP('IS &amp; BS Projections'!$B191,'3FS'!$B:$B,'3FS'!AG:AG)</f>
        <v>176822</v>
      </c>
      <c r="AI191" s="143">
        <f>_xlfn.XLOOKUP('IS &amp; BS Projections'!$B191,'3FS'!$B:$B,'3FS'!AH:AH)</f>
        <v>205342</v>
      </c>
      <c r="AJ191" s="143">
        <f>_xlfn.XLOOKUP('IS &amp; BS Projections'!$B191,'3FS'!$B:$B,'3FS'!AI:AI)</f>
        <v>240458</v>
      </c>
      <c r="AK191" s="50">
        <f>AK192*AK$10</f>
        <v>38323.845684988759</v>
      </c>
      <c r="AL191" s="50">
        <f t="shared" ref="AL191:BD191" si="1883">AL192*AL$10</f>
        <v>26935.647043596007</v>
      </c>
      <c r="AM191" s="50">
        <f t="shared" si="1883"/>
        <v>26830.488833376119</v>
      </c>
      <c r="AN191" s="50">
        <f t="shared" si="1883"/>
        <v>54009.319290199463</v>
      </c>
      <c r="AO191" s="50">
        <f t="shared" si="1883"/>
        <v>39993.588430793876</v>
      </c>
      <c r="AP191" s="50">
        <f t="shared" si="1883"/>
        <v>30644.167722242528</v>
      </c>
      <c r="AQ191" s="50">
        <f t="shared" si="1883"/>
        <v>30961.134836991179</v>
      </c>
      <c r="AR191" s="50">
        <f t="shared" si="1883"/>
        <v>60992.708315709322</v>
      </c>
      <c r="AS191" s="50">
        <f t="shared" si="1883"/>
        <v>43535.553816481523</v>
      </c>
      <c r="AT191" s="50">
        <f t="shared" si="1883"/>
        <v>35066.84511915937</v>
      </c>
      <c r="AU191" s="50">
        <f t="shared" si="1883"/>
        <v>34889.292774047426</v>
      </c>
      <c r="AV191" s="50">
        <f t="shared" si="1883"/>
        <v>68275.600449536098</v>
      </c>
      <c r="AW191" s="50">
        <f t="shared" si="1883"/>
        <v>48068.641617476169</v>
      </c>
      <c r="AX191" s="50">
        <f t="shared" si="1883"/>
        <v>41705.582249721796</v>
      </c>
      <c r="AY191" s="50">
        <f t="shared" si="1883"/>
        <v>40994.24738840299</v>
      </c>
      <c r="AZ191" s="50">
        <f t="shared" si="1883"/>
        <v>79744.425934522631</v>
      </c>
      <c r="BA191" s="50">
        <f t="shared" si="1883"/>
        <v>55227.781351537378</v>
      </c>
      <c r="BB191" s="50">
        <f t="shared" si="1883"/>
        <v>52445.433282470047</v>
      </c>
      <c r="BC191" s="50">
        <f t="shared" si="1883"/>
        <v>51082.084104979855</v>
      </c>
      <c r="BD191" s="50">
        <f t="shared" si="1883"/>
        <v>98202.461364174073</v>
      </c>
    </row>
    <row r="192" spans="2:56" x14ac:dyDescent="0.2">
      <c r="B192" s="98" t="s">
        <v>293</v>
      </c>
      <c r="C192" s="45"/>
      <c r="D192" s="45"/>
      <c r="E192" s="46" t="s">
        <v>36</v>
      </c>
      <c r="F192" s="126">
        <f t="shared" ref="F192:O192" si="1884">F191/F$10</f>
        <v>1.8914604286400377E-3</v>
      </c>
      <c r="G192" s="126">
        <f t="shared" si="1884"/>
        <v>6.1145047536040236E-3</v>
      </c>
      <c r="H192" s="126">
        <f t="shared" si="1884"/>
        <v>2.3214642468447422E-3</v>
      </c>
      <c r="I192" s="126">
        <f t="shared" si="1884"/>
        <v>1.3666608369129443E-2</v>
      </c>
      <c r="J192" s="126">
        <f t="shared" si="1884"/>
        <v>4.4527643070732988E-2</v>
      </c>
      <c r="K192" s="126">
        <f t="shared" si="1884"/>
        <v>6.9594975865593456E-3</v>
      </c>
      <c r="L192" s="126">
        <f t="shared" si="1884"/>
        <v>7.0287021320936905E-3</v>
      </c>
      <c r="M192" s="126">
        <f t="shared" si="1884"/>
        <v>7.0207263515845606E-3</v>
      </c>
      <c r="N192" s="126">
        <f t="shared" si="1884"/>
        <v>7.0605201781080273E-3</v>
      </c>
      <c r="O192" s="126">
        <f t="shared" si="1884"/>
        <v>9.1971047249089447E-3</v>
      </c>
      <c r="P192" s="81"/>
      <c r="Q192" s="126">
        <f>Q191/Q$10</f>
        <v>0</v>
      </c>
      <c r="R192" s="126">
        <f t="shared" ref="R192:AJ192" si="1885">R191/R$10</f>
        <v>0</v>
      </c>
      <c r="S192" s="126">
        <f t="shared" si="1885"/>
        <v>1.1302621830189312E-2</v>
      </c>
      <c r="T192" s="126">
        <f t="shared" si="1885"/>
        <v>5.9348487450084312E-3</v>
      </c>
      <c r="U192" s="126">
        <f t="shared" si="1885"/>
        <v>2.0565208892729649E-2</v>
      </c>
      <c r="V192" s="126">
        <f t="shared" si="1885"/>
        <v>1.5102836111712491E-2</v>
      </c>
      <c r="W192" s="126">
        <f t="shared" si="1885"/>
        <v>4.6659631161078637E-2</v>
      </c>
      <c r="X192" s="126">
        <f t="shared" si="1885"/>
        <v>3.104554384938675E-2</v>
      </c>
      <c r="Y192" s="126">
        <f t="shared" si="1885"/>
        <v>2.2249002950051066E-2</v>
      </c>
      <c r="Z192" s="126">
        <f t="shared" si="1885"/>
        <v>2.0132474279958922E-2</v>
      </c>
      <c r="AA192" s="126">
        <f t="shared" si="1885"/>
        <v>5.0359861632757194E-3</v>
      </c>
      <c r="AB192" s="126">
        <f t="shared" si="1885"/>
        <v>7.5655670243605809E-3</v>
      </c>
      <c r="AC192" s="126">
        <f t="shared" si="1885"/>
        <v>3.5845795904907883E-3</v>
      </c>
      <c r="AD192" s="126">
        <f t="shared" si="1885"/>
        <v>4.5984211121749856E-3</v>
      </c>
      <c r="AE192" s="126">
        <f t="shared" si="1885"/>
        <v>9.1279985861185721E-3</v>
      </c>
      <c r="AF192" s="126">
        <f t="shared" si="1885"/>
        <v>3.9490464365565449E-2</v>
      </c>
      <c r="AG192" s="126">
        <f t="shared" si="1885"/>
        <v>4.5375424901501503E-2</v>
      </c>
      <c r="AH192" s="126">
        <f t="shared" si="1885"/>
        <v>0.11810115895720567</v>
      </c>
      <c r="AI192" s="126">
        <f t="shared" si="1885"/>
        <v>0.10988535837614846</v>
      </c>
      <c r="AJ192" s="126">
        <f t="shared" si="1885"/>
        <v>0.13500313565160074</v>
      </c>
      <c r="AK192" s="138">
        <f>MEDIAN(Q192,U192,Y192,AC192,AG192)</f>
        <v>2.0565208892729649E-2</v>
      </c>
      <c r="AL192" s="138">
        <f t="shared" ref="AL192" si="1886">MEDIAN(R192,V192,Z192,AD192,AH192)</f>
        <v>1.5102836111712491E-2</v>
      </c>
      <c r="AM192" s="138">
        <f t="shared" ref="AM192" si="1887">MEDIAN(S192,W192,AA192,AE192,AI192)</f>
        <v>1.1302621830189312E-2</v>
      </c>
      <c r="AN192" s="138">
        <f t="shared" ref="AN192" si="1888">MEDIAN(T192,X192,AB192,AF192,AJ192)</f>
        <v>3.104554384938675E-2</v>
      </c>
      <c r="AO192" s="138">
        <f>AK192</f>
        <v>2.0565208892729649E-2</v>
      </c>
      <c r="AP192" s="138">
        <f t="shared" ref="AP192" si="1889">AL192</f>
        <v>1.5102836111712491E-2</v>
      </c>
      <c r="AQ192" s="138">
        <f t="shared" ref="AQ192" si="1890">AM192</f>
        <v>1.1302621830189312E-2</v>
      </c>
      <c r="AR192" s="138">
        <f t="shared" ref="AR192" si="1891">AN192</f>
        <v>3.104554384938675E-2</v>
      </c>
      <c r="AS192" s="138">
        <f t="shared" ref="AS192" si="1892">AO192</f>
        <v>2.0565208892729649E-2</v>
      </c>
      <c r="AT192" s="138">
        <f t="shared" ref="AT192" si="1893">AP192</f>
        <v>1.5102836111712491E-2</v>
      </c>
      <c r="AU192" s="138">
        <f t="shared" ref="AU192" si="1894">AQ192</f>
        <v>1.1302621830189312E-2</v>
      </c>
      <c r="AV192" s="138">
        <f t="shared" ref="AV192" si="1895">AR192</f>
        <v>3.104554384938675E-2</v>
      </c>
      <c r="AW192" s="138">
        <f t="shared" ref="AW192" si="1896">AS192</f>
        <v>2.0565208892729649E-2</v>
      </c>
      <c r="AX192" s="138">
        <f t="shared" ref="AX192" si="1897">AT192</f>
        <v>1.5102836111712491E-2</v>
      </c>
      <c r="AY192" s="138">
        <f t="shared" ref="AY192" si="1898">AU192</f>
        <v>1.1302621830189312E-2</v>
      </c>
      <c r="AZ192" s="138">
        <f t="shared" ref="AZ192" si="1899">AV192</f>
        <v>3.104554384938675E-2</v>
      </c>
      <c r="BA192" s="138">
        <f t="shared" ref="BA192" si="1900">AW192</f>
        <v>2.0565208892729649E-2</v>
      </c>
      <c r="BB192" s="138">
        <f t="shared" ref="BB192" si="1901">AX192</f>
        <v>1.5102836111712491E-2</v>
      </c>
      <c r="BC192" s="138">
        <f t="shared" ref="BC192" si="1902">AY192</f>
        <v>1.1302621830189312E-2</v>
      </c>
      <c r="BD192" s="138">
        <f t="shared" ref="BD192" si="1903">AZ192</f>
        <v>3.104554384938675E-2</v>
      </c>
    </row>
    <row r="194" spans="2:56" s="1" customFormat="1" ht="14" outlineLevel="1" x14ac:dyDescent="0.15">
      <c r="B194" s="38" t="s">
        <v>297</v>
      </c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  <c r="AV194" s="39"/>
      <c r="AW194" s="39"/>
      <c r="AX194" s="39"/>
      <c r="AY194" s="39"/>
      <c r="AZ194" s="39"/>
      <c r="BA194" s="39"/>
      <c r="BB194" s="39"/>
      <c r="BC194" s="39"/>
      <c r="BD194" s="39"/>
    </row>
    <row r="196" spans="2:56" x14ac:dyDescent="0.2">
      <c r="B196" s="1" t="s">
        <v>67</v>
      </c>
      <c r="E196" s="43" t="s">
        <v>33</v>
      </c>
      <c r="F196" s="50">
        <f t="shared" ref="F196:F199" si="1904">T196</f>
        <v>0</v>
      </c>
      <c r="G196" s="50">
        <f t="shared" ref="G196:G199" si="1905">X196</f>
        <v>0</v>
      </c>
      <c r="H196" s="50">
        <f t="shared" ref="H196:H199" si="1906">AB196</f>
        <v>0</v>
      </c>
      <c r="I196" s="50">
        <f t="shared" ref="I196:I199" si="1907">AF196</f>
        <v>0</v>
      </c>
      <c r="J196" s="50">
        <f t="shared" ref="J196:J199" si="1908">AJ196</f>
        <v>0</v>
      </c>
      <c r="K196" s="50">
        <f t="shared" ref="K196:K199" si="1909">AN196</f>
        <v>0</v>
      </c>
      <c r="L196" s="50">
        <f t="shared" ref="L196:L199" si="1910">AR196</f>
        <v>0</v>
      </c>
      <c r="M196" s="50">
        <f t="shared" ref="M196:M199" si="1911">AV196</f>
        <v>0</v>
      </c>
      <c r="N196" s="50">
        <f t="shared" ref="N196:N199" si="1912">AZ196</f>
        <v>0</v>
      </c>
      <c r="O196" s="50">
        <f t="shared" ref="O196:O199" si="1913">BD196</f>
        <v>0</v>
      </c>
      <c r="Q196" s="143">
        <f>_xlfn.XLOOKUP('IS &amp; BS Projections'!$B196,'3FS'!$B:$B,'3FS'!P:P)</f>
        <v>0</v>
      </c>
      <c r="R196" s="143">
        <f>_xlfn.XLOOKUP('IS &amp; BS Projections'!$B196,'3FS'!$B:$B,'3FS'!Q:Q)</f>
        <v>0</v>
      </c>
      <c r="S196" s="143">
        <f>_xlfn.XLOOKUP('IS &amp; BS Projections'!$B196,'3FS'!$B:$B,'3FS'!R:R)</f>
        <v>0</v>
      </c>
      <c r="T196" s="143">
        <f>_xlfn.XLOOKUP('IS &amp; BS Projections'!$B196,'3FS'!$B:$B,'3FS'!S:S)</f>
        <v>0</v>
      </c>
      <c r="U196" s="143">
        <f>_xlfn.XLOOKUP('IS &amp; BS Projections'!$B196,'3FS'!$B:$B,'3FS'!T:T)</f>
        <v>0</v>
      </c>
      <c r="V196" s="143">
        <f>_xlfn.XLOOKUP('IS &amp; BS Projections'!$B196,'3FS'!$B:$B,'3FS'!U:U)</f>
        <v>0</v>
      </c>
      <c r="W196" s="143">
        <f>_xlfn.XLOOKUP('IS &amp; BS Projections'!$B196,'3FS'!$B:$B,'3FS'!V:V)</f>
        <v>0</v>
      </c>
      <c r="X196" s="143">
        <f>_xlfn.XLOOKUP('IS &amp; BS Projections'!$B196,'3FS'!$B:$B,'3FS'!W:W)</f>
        <v>0</v>
      </c>
      <c r="Y196" s="143">
        <f>_xlfn.XLOOKUP('IS &amp; BS Projections'!$B196,'3FS'!$B:$B,'3FS'!X:X)</f>
        <v>0</v>
      </c>
      <c r="Z196" s="143">
        <f>_xlfn.XLOOKUP('IS &amp; BS Projections'!$B196,'3FS'!$B:$B,'3FS'!Y:Y)</f>
        <v>0</v>
      </c>
      <c r="AA196" s="143">
        <f>_xlfn.XLOOKUP('IS &amp; BS Projections'!$B196,'3FS'!$B:$B,'3FS'!Z:Z)</f>
        <v>0</v>
      </c>
      <c r="AB196" s="143">
        <f>_xlfn.XLOOKUP('IS &amp; BS Projections'!$B196,'3FS'!$B:$B,'3FS'!AA:AA)</f>
        <v>0</v>
      </c>
      <c r="AC196" s="143">
        <f>_xlfn.XLOOKUP('IS &amp; BS Projections'!$B196,'3FS'!$B:$B,'3FS'!AB:AB)</f>
        <v>280357</v>
      </c>
      <c r="AD196" s="143">
        <f>_xlfn.XLOOKUP('IS &amp; BS Projections'!$B196,'3FS'!$B:$B,'3FS'!AC:AC)</f>
        <v>236444</v>
      </c>
      <c r="AE196" s="143">
        <f>_xlfn.XLOOKUP('IS &amp; BS Projections'!$B196,'3FS'!$B:$B,'3FS'!AD:AD)</f>
        <v>187004</v>
      </c>
      <c r="AF196" s="143">
        <f>_xlfn.XLOOKUP('IS &amp; BS Projections'!$B196,'3FS'!$B:$B,'3FS'!AE:AE)</f>
        <v>0</v>
      </c>
      <c r="AG196" s="143">
        <f>_xlfn.XLOOKUP('IS &amp; BS Projections'!$B196,'3FS'!$B:$B,'3FS'!AF:AF)</f>
        <v>245112</v>
      </c>
      <c r="AH196" s="143">
        <f>_xlfn.XLOOKUP('IS &amp; BS Projections'!$B196,'3FS'!$B:$B,'3FS'!AG:AG)</f>
        <v>222996</v>
      </c>
      <c r="AI196" s="143">
        <f>_xlfn.XLOOKUP('IS &amp; BS Projections'!$B196,'3FS'!$B:$B,'3FS'!AH:AH)</f>
        <v>308423</v>
      </c>
      <c r="AJ196" s="143">
        <f>_xlfn.XLOOKUP('IS &amp; BS Projections'!$B196,'3FS'!$B:$B,'3FS'!AI:AI)</f>
        <v>0</v>
      </c>
      <c r="AK196" s="91">
        <f t="shared" ref="AK196:BD196" si="1914">AK203/AK$4*AK$10</f>
        <v>0</v>
      </c>
      <c r="AL196" s="91">
        <f t="shared" si="1914"/>
        <v>0</v>
      </c>
      <c r="AM196" s="91">
        <f t="shared" si="1914"/>
        <v>0</v>
      </c>
      <c r="AN196" s="91">
        <f t="shared" si="1914"/>
        <v>0</v>
      </c>
      <c r="AO196" s="91">
        <f t="shared" si="1914"/>
        <v>0</v>
      </c>
      <c r="AP196" s="91">
        <f t="shared" si="1914"/>
        <v>0</v>
      </c>
      <c r="AQ196" s="91">
        <f t="shared" si="1914"/>
        <v>0</v>
      </c>
      <c r="AR196" s="91">
        <f t="shared" si="1914"/>
        <v>0</v>
      </c>
      <c r="AS196" s="91">
        <f t="shared" si="1914"/>
        <v>0</v>
      </c>
      <c r="AT196" s="91">
        <f t="shared" si="1914"/>
        <v>0</v>
      </c>
      <c r="AU196" s="91">
        <f t="shared" si="1914"/>
        <v>0</v>
      </c>
      <c r="AV196" s="91">
        <f t="shared" si="1914"/>
        <v>0</v>
      </c>
      <c r="AW196" s="91">
        <f t="shared" si="1914"/>
        <v>0</v>
      </c>
      <c r="AX196" s="91">
        <f t="shared" si="1914"/>
        <v>0</v>
      </c>
      <c r="AY196" s="91">
        <f t="shared" si="1914"/>
        <v>0</v>
      </c>
      <c r="AZ196" s="91">
        <f t="shared" si="1914"/>
        <v>0</v>
      </c>
      <c r="BA196" s="91">
        <f t="shared" si="1914"/>
        <v>0</v>
      </c>
      <c r="BB196" s="91">
        <f t="shared" si="1914"/>
        <v>0</v>
      </c>
      <c r="BC196" s="91">
        <f t="shared" si="1914"/>
        <v>0</v>
      </c>
      <c r="BD196" s="91">
        <f t="shared" si="1914"/>
        <v>0</v>
      </c>
    </row>
    <row r="197" spans="2:56" x14ac:dyDescent="0.2">
      <c r="B197" s="1" t="s">
        <v>68</v>
      </c>
      <c r="E197" s="43" t="s">
        <v>33</v>
      </c>
      <c r="F197" s="50">
        <f t="shared" si="1904"/>
        <v>0</v>
      </c>
      <c r="G197" s="50">
        <f t="shared" si="1905"/>
        <v>0</v>
      </c>
      <c r="H197" s="50">
        <f t="shared" si="1906"/>
        <v>168290</v>
      </c>
      <c r="I197" s="50">
        <f t="shared" si="1907"/>
        <v>265251</v>
      </c>
      <c r="J197" s="50">
        <f t="shared" si="1908"/>
        <v>307119</v>
      </c>
      <c r="K197" s="50">
        <f t="shared" si="1909"/>
        <v>203136.29524696706</v>
      </c>
      <c r="L197" s="50">
        <f t="shared" si="1910"/>
        <v>229401.7581995397</v>
      </c>
      <c r="M197" s="50">
        <f t="shared" si="1911"/>
        <v>256793.69252109123</v>
      </c>
      <c r="N197" s="50">
        <f t="shared" si="1912"/>
        <v>299929.48372290545</v>
      </c>
      <c r="O197" s="50">
        <f t="shared" si="1913"/>
        <v>369352.63113511587</v>
      </c>
      <c r="Q197" s="143">
        <f>_xlfn.XLOOKUP('IS &amp; BS Projections'!$B197,'3FS'!$B:$B,'3FS'!P:P)</f>
        <v>0</v>
      </c>
      <c r="R197" s="143">
        <f>_xlfn.XLOOKUP('IS &amp; BS Projections'!$B197,'3FS'!$B:$B,'3FS'!Q:Q)</f>
        <v>0</v>
      </c>
      <c r="S197" s="143">
        <f>_xlfn.XLOOKUP('IS &amp; BS Projections'!$B197,'3FS'!$B:$B,'3FS'!R:R)</f>
        <v>0</v>
      </c>
      <c r="T197" s="143">
        <f>_xlfn.XLOOKUP('IS &amp; BS Projections'!$B197,'3FS'!$B:$B,'3FS'!S:S)</f>
        <v>0</v>
      </c>
      <c r="U197" s="143">
        <f>_xlfn.XLOOKUP('IS &amp; BS Projections'!$B197,'3FS'!$B:$B,'3FS'!T:T)</f>
        <v>0</v>
      </c>
      <c r="V197" s="143">
        <f>_xlfn.XLOOKUP('IS &amp; BS Projections'!$B197,'3FS'!$B:$B,'3FS'!U:U)</f>
        <v>0</v>
      </c>
      <c r="W197" s="143">
        <f>_xlfn.XLOOKUP('IS &amp; BS Projections'!$B197,'3FS'!$B:$B,'3FS'!V:V)</f>
        <v>0</v>
      </c>
      <c r="X197" s="143">
        <f>_xlfn.XLOOKUP('IS &amp; BS Projections'!$B197,'3FS'!$B:$B,'3FS'!W:W)</f>
        <v>0</v>
      </c>
      <c r="Y197" s="143">
        <f>_xlfn.XLOOKUP('IS &amp; BS Projections'!$B197,'3FS'!$B:$B,'3FS'!X:X)</f>
        <v>0</v>
      </c>
      <c r="Z197" s="143">
        <f>_xlfn.XLOOKUP('IS &amp; BS Projections'!$B197,'3FS'!$B:$B,'3FS'!Y:Y)</f>
        <v>0</v>
      </c>
      <c r="AA197" s="143">
        <f>_xlfn.XLOOKUP('IS &amp; BS Projections'!$B197,'3FS'!$B:$B,'3FS'!Z:Z)</f>
        <v>0</v>
      </c>
      <c r="AB197" s="143">
        <f>_xlfn.XLOOKUP('IS &amp; BS Projections'!$B197,'3FS'!$B:$B,'3FS'!AA:AA)</f>
        <v>168290</v>
      </c>
      <c r="AC197" s="143">
        <f>_xlfn.XLOOKUP('IS &amp; BS Projections'!$B197,'3FS'!$B:$B,'3FS'!AB:AB)</f>
        <v>0</v>
      </c>
      <c r="AD197" s="143">
        <f>_xlfn.XLOOKUP('IS &amp; BS Projections'!$B197,'3FS'!$B:$B,'3FS'!AC:AC)</f>
        <v>0</v>
      </c>
      <c r="AE197" s="143">
        <f>_xlfn.XLOOKUP('IS &amp; BS Projections'!$B197,'3FS'!$B:$B,'3FS'!AD:AD)</f>
        <v>0</v>
      </c>
      <c r="AF197" s="143">
        <f>_xlfn.XLOOKUP('IS &amp; BS Projections'!$B197,'3FS'!$B:$B,'3FS'!AE:AE)</f>
        <v>265251</v>
      </c>
      <c r="AG197" s="143">
        <f>_xlfn.XLOOKUP('IS &amp; BS Projections'!$B197,'3FS'!$B:$B,'3FS'!AF:AF)</f>
        <v>0</v>
      </c>
      <c r="AH197" s="143">
        <f>_xlfn.XLOOKUP('IS &amp; BS Projections'!$B197,'3FS'!$B:$B,'3FS'!AG:AG)</f>
        <v>0</v>
      </c>
      <c r="AI197" s="143">
        <f>_xlfn.XLOOKUP('IS &amp; BS Projections'!$B197,'3FS'!$B:$B,'3FS'!AH:AH)</f>
        <v>0</v>
      </c>
      <c r="AJ197" s="143">
        <f>_xlfn.XLOOKUP('IS &amp; BS Projections'!$B197,'3FS'!$B:$B,'3FS'!AI:AI)</f>
        <v>307119</v>
      </c>
      <c r="AK197" s="91">
        <f t="shared" ref="AK197:BD197" si="1915">AK204/AK$4*AK$10</f>
        <v>0</v>
      </c>
      <c r="AL197" s="91">
        <f t="shared" si="1915"/>
        <v>0</v>
      </c>
      <c r="AM197" s="91">
        <f t="shared" si="1915"/>
        <v>0</v>
      </c>
      <c r="AN197" s="91">
        <f t="shared" si="1915"/>
        <v>203136.29524696706</v>
      </c>
      <c r="AO197" s="91">
        <f t="shared" si="1915"/>
        <v>0</v>
      </c>
      <c r="AP197" s="91">
        <f t="shared" si="1915"/>
        <v>0</v>
      </c>
      <c r="AQ197" s="91">
        <f t="shared" si="1915"/>
        <v>0</v>
      </c>
      <c r="AR197" s="91">
        <f t="shared" si="1915"/>
        <v>229401.7581995397</v>
      </c>
      <c r="AS197" s="91">
        <f t="shared" si="1915"/>
        <v>0</v>
      </c>
      <c r="AT197" s="91">
        <f t="shared" si="1915"/>
        <v>0</v>
      </c>
      <c r="AU197" s="91">
        <f t="shared" si="1915"/>
        <v>0</v>
      </c>
      <c r="AV197" s="91">
        <f t="shared" si="1915"/>
        <v>256793.69252109123</v>
      </c>
      <c r="AW197" s="91">
        <f t="shared" si="1915"/>
        <v>0</v>
      </c>
      <c r="AX197" s="91">
        <f t="shared" si="1915"/>
        <v>0</v>
      </c>
      <c r="AY197" s="91">
        <f t="shared" si="1915"/>
        <v>0</v>
      </c>
      <c r="AZ197" s="91">
        <f t="shared" si="1915"/>
        <v>299929.48372290545</v>
      </c>
      <c r="BA197" s="91">
        <f t="shared" si="1915"/>
        <v>0</v>
      </c>
      <c r="BB197" s="91">
        <f t="shared" si="1915"/>
        <v>0</v>
      </c>
      <c r="BC197" s="91">
        <f t="shared" si="1915"/>
        <v>0</v>
      </c>
      <c r="BD197" s="91">
        <f t="shared" si="1915"/>
        <v>369352.63113511587</v>
      </c>
    </row>
    <row r="198" spans="2:56" x14ac:dyDescent="0.2">
      <c r="B198" s="1" t="s">
        <v>69</v>
      </c>
      <c r="E198" s="43" t="s">
        <v>33</v>
      </c>
      <c r="F198" s="50">
        <f t="shared" si="1904"/>
        <v>304706</v>
      </c>
      <c r="G198" s="50">
        <f t="shared" si="1905"/>
        <v>404376</v>
      </c>
      <c r="H198" s="50">
        <f t="shared" si="1906"/>
        <v>0</v>
      </c>
      <c r="I198" s="50">
        <f t="shared" si="1907"/>
        <v>0</v>
      </c>
      <c r="J198" s="50">
        <f t="shared" si="1908"/>
        <v>0</v>
      </c>
      <c r="K198" s="50">
        <f t="shared" si="1909"/>
        <v>0</v>
      </c>
      <c r="L198" s="50">
        <f t="shared" si="1910"/>
        <v>0</v>
      </c>
      <c r="M198" s="50">
        <f t="shared" si="1911"/>
        <v>0</v>
      </c>
      <c r="N198" s="50">
        <f t="shared" si="1912"/>
        <v>0</v>
      </c>
      <c r="O198" s="50">
        <f t="shared" si="1913"/>
        <v>0</v>
      </c>
      <c r="Q198" s="143">
        <f>_xlfn.XLOOKUP('IS &amp; BS Projections'!$B198,'3FS'!$B:$B,'3FS'!P:P)</f>
        <v>208828</v>
      </c>
      <c r="R198" s="143">
        <f>_xlfn.XLOOKUP('IS &amp; BS Projections'!$B198,'3FS'!$B:$B,'3FS'!Q:Q)</f>
        <v>184579</v>
      </c>
      <c r="S198" s="143">
        <f>_xlfn.XLOOKUP('IS &amp; BS Projections'!$B198,'3FS'!$B:$B,'3FS'!R:R)</f>
        <v>237131</v>
      </c>
      <c r="T198" s="143">
        <f>_xlfn.XLOOKUP('IS &amp; BS Projections'!$B198,'3FS'!$B:$B,'3FS'!S:S)</f>
        <v>304706</v>
      </c>
      <c r="U198" s="143">
        <f>_xlfn.XLOOKUP('IS &amp; BS Projections'!$B198,'3FS'!$B:$B,'3FS'!T:T)</f>
        <v>346048</v>
      </c>
      <c r="V198" s="143">
        <f>_xlfn.XLOOKUP('IS &amp; BS Projections'!$B198,'3FS'!$B:$B,'3FS'!U:U)</f>
        <v>245616</v>
      </c>
      <c r="W198" s="143">
        <f>_xlfn.XLOOKUP('IS &amp; BS Projections'!$B198,'3FS'!$B:$B,'3FS'!V:V)</f>
        <v>240354</v>
      </c>
      <c r="X198" s="143">
        <f>_xlfn.XLOOKUP('IS &amp; BS Projections'!$B198,'3FS'!$B:$B,'3FS'!W:W)</f>
        <v>404376</v>
      </c>
      <c r="Y198" s="143">
        <f>_xlfn.XLOOKUP('IS &amp; BS Projections'!$B198,'3FS'!$B:$B,'3FS'!X:X)</f>
        <v>480404</v>
      </c>
      <c r="Z198" s="143">
        <f>_xlfn.XLOOKUP('IS &amp; BS Projections'!$B198,'3FS'!$B:$B,'3FS'!Y:Y)</f>
        <v>427210</v>
      </c>
      <c r="AA198" s="143">
        <f>_xlfn.XLOOKUP('IS &amp; BS Projections'!$B198,'3FS'!$B:$B,'3FS'!Z:Z)</f>
        <v>397466</v>
      </c>
      <c r="AB198" s="143">
        <f>_xlfn.XLOOKUP('IS &amp; BS Projections'!$B198,'3FS'!$B:$B,'3FS'!AA:AA)</f>
        <v>0</v>
      </c>
      <c r="AC198" s="143">
        <f>_xlfn.XLOOKUP('IS &amp; BS Projections'!$B198,'3FS'!$B:$B,'3FS'!AB:AB)</f>
        <v>0</v>
      </c>
      <c r="AD198" s="143">
        <f>_xlfn.XLOOKUP('IS &amp; BS Projections'!$B198,'3FS'!$B:$B,'3FS'!AC:AC)</f>
        <v>0</v>
      </c>
      <c r="AE198" s="143">
        <f>_xlfn.XLOOKUP('IS &amp; BS Projections'!$B198,'3FS'!$B:$B,'3FS'!AD:AD)</f>
        <v>0</v>
      </c>
      <c r="AF198" s="143">
        <f>_xlfn.XLOOKUP('IS &amp; BS Projections'!$B198,'3FS'!$B:$B,'3FS'!AE:AE)</f>
        <v>0</v>
      </c>
      <c r="AG198" s="143">
        <f>_xlfn.XLOOKUP('IS &amp; BS Projections'!$B198,'3FS'!$B:$B,'3FS'!AF:AF)</f>
        <v>0</v>
      </c>
      <c r="AH198" s="143">
        <f>_xlfn.XLOOKUP('IS &amp; BS Projections'!$B198,'3FS'!$B:$B,'3FS'!AG:AG)</f>
        <v>0</v>
      </c>
      <c r="AI198" s="143">
        <f>_xlfn.XLOOKUP('IS &amp; BS Projections'!$B198,'3FS'!$B:$B,'3FS'!AH:AH)</f>
        <v>0</v>
      </c>
      <c r="AJ198" s="143">
        <f>_xlfn.XLOOKUP('IS &amp; BS Projections'!$B198,'3FS'!$B:$B,'3FS'!AI:AI)</f>
        <v>0</v>
      </c>
      <c r="AK198" s="91">
        <f t="shared" ref="AK198:BD198" si="1916">AK205/AK$4*AK$10</f>
        <v>216064.77361551806</v>
      </c>
      <c r="AL198" s="91">
        <f t="shared" si="1916"/>
        <v>147755.41715629108</v>
      </c>
      <c r="AM198" s="91">
        <f t="shared" si="1916"/>
        <v>429076.11596623366</v>
      </c>
      <c r="AN198" s="91">
        <f t="shared" si="1916"/>
        <v>0</v>
      </c>
      <c r="AO198" s="91">
        <f t="shared" si="1916"/>
        <v>225478.56239167546</v>
      </c>
      <c r="AP198" s="91">
        <f t="shared" si="1916"/>
        <v>168098.49705406636</v>
      </c>
      <c r="AQ198" s="91">
        <f t="shared" si="1916"/>
        <v>495133.85925482574</v>
      </c>
      <c r="AR198" s="91">
        <f t="shared" si="1916"/>
        <v>0</v>
      </c>
      <c r="AS198" s="91">
        <f t="shared" si="1916"/>
        <v>242750.46739320553</v>
      </c>
      <c r="AT198" s="91">
        <f t="shared" si="1916"/>
        <v>192359.08164932346</v>
      </c>
      <c r="AU198" s="91">
        <f t="shared" si="1916"/>
        <v>557953.39120600489</v>
      </c>
      <c r="AV198" s="91">
        <f t="shared" si="1916"/>
        <v>0</v>
      </c>
      <c r="AW198" s="91">
        <f t="shared" si="1916"/>
        <v>271004.64432653674</v>
      </c>
      <c r="AX198" s="91">
        <f t="shared" si="1916"/>
        <v>228775.85576763531</v>
      </c>
      <c r="AY198" s="91">
        <f t="shared" si="1916"/>
        <v>655584.4940288231</v>
      </c>
      <c r="AZ198" s="91">
        <f t="shared" si="1916"/>
        <v>0</v>
      </c>
      <c r="BA198" s="91">
        <f t="shared" si="1916"/>
        <v>311366.9273457402</v>
      </c>
      <c r="BB198" s="91">
        <f t="shared" si="1916"/>
        <v>287689.27882265794</v>
      </c>
      <c r="BC198" s="91">
        <f t="shared" si="1916"/>
        <v>816910.28364566888</v>
      </c>
      <c r="BD198" s="91">
        <f t="shared" si="1916"/>
        <v>0</v>
      </c>
    </row>
    <row r="199" spans="2:56" x14ac:dyDescent="0.2">
      <c r="B199" s="1" t="s">
        <v>101</v>
      </c>
      <c r="E199" s="43" t="s">
        <v>33</v>
      </c>
      <c r="F199" s="50">
        <f t="shared" si="1904"/>
        <v>0</v>
      </c>
      <c r="G199" s="50">
        <f t="shared" si="1905"/>
        <v>0</v>
      </c>
      <c r="H199" s="50">
        <f t="shared" si="1906"/>
        <v>0</v>
      </c>
      <c r="I199" s="50">
        <f t="shared" si="1907"/>
        <v>0</v>
      </c>
      <c r="J199" s="50">
        <f t="shared" si="1908"/>
        <v>0</v>
      </c>
      <c r="K199" s="50">
        <f t="shared" si="1909"/>
        <v>0</v>
      </c>
      <c r="L199" s="50">
        <f t="shared" si="1910"/>
        <v>0</v>
      </c>
      <c r="M199" s="50">
        <f t="shared" si="1911"/>
        <v>0</v>
      </c>
      <c r="N199" s="50">
        <f t="shared" si="1912"/>
        <v>0</v>
      </c>
      <c r="O199" s="50">
        <f t="shared" si="1913"/>
        <v>0</v>
      </c>
      <c r="Q199" s="143">
        <f>_xlfn.XLOOKUP('IS &amp; BS Projections'!$B199,'3FS'!$B:$B,'3FS'!P:P)</f>
        <v>373955</v>
      </c>
      <c r="R199" s="143">
        <f>_xlfn.XLOOKUP('IS &amp; BS Projections'!$B199,'3FS'!$B:$B,'3FS'!Q:Q)</f>
        <v>266655</v>
      </c>
      <c r="S199" s="143">
        <f>_xlfn.XLOOKUP('IS &amp; BS Projections'!$B199,'3FS'!$B:$B,'3FS'!R:R)</f>
        <v>290471</v>
      </c>
      <c r="T199" s="143">
        <f>_xlfn.XLOOKUP('IS &amp; BS Projections'!$B199,'3FS'!$B:$B,'3FS'!S:S)</f>
        <v>0</v>
      </c>
      <c r="U199" s="143">
        <f>_xlfn.XLOOKUP('IS &amp; BS Projections'!$B199,'3FS'!$B:$B,'3FS'!T:T)</f>
        <v>0</v>
      </c>
      <c r="V199" s="143">
        <f>_xlfn.XLOOKUP('IS &amp; BS Projections'!$B199,'3FS'!$B:$B,'3FS'!U:U)</f>
        <v>0</v>
      </c>
      <c r="W199" s="143">
        <f>_xlfn.XLOOKUP('IS &amp; BS Projections'!$B199,'3FS'!$B:$B,'3FS'!V:V)</f>
        <v>0</v>
      </c>
      <c r="X199" s="143">
        <f>_xlfn.XLOOKUP('IS &amp; BS Projections'!$B199,'3FS'!$B:$B,'3FS'!W:W)</f>
        <v>0</v>
      </c>
      <c r="Y199" s="143">
        <f>_xlfn.XLOOKUP('IS &amp; BS Projections'!$B199,'3FS'!$B:$B,'3FS'!X:X)</f>
        <v>0</v>
      </c>
      <c r="Z199" s="143">
        <f>_xlfn.XLOOKUP('IS &amp; BS Projections'!$B199,'3FS'!$B:$B,'3FS'!Y:Y)</f>
        <v>0</v>
      </c>
      <c r="AA199" s="143">
        <f>_xlfn.XLOOKUP('IS &amp; BS Projections'!$B199,'3FS'!$B:$B,'3FS'!Z:Z)</f>
        <v>0</v>
      </c>
      <c r="AB199" s="143">
        <f>_xlfn.XLOOKUP('IS &amp; BS Projections'!$B199,'3FS'!$B:$B,'3FS'!AA:AA)</f>
        <v>0</v>
      </c>
      <c r="AC199" s="143">
        <f>_xlfn.XLOOKUP('IS &amp; BS Projections'!$B199,'3FS'!$B:$B,'3FS'!AB:AB)</f>
        <v>0</v>
      </c>
      <c r="AD199" s="143">
        <f>_xlfn.XLOOKUP('IS &amp; BS Projections'!$B199,'3FS'!$B:$B,'3FS'!AC:AC)</f>
        <v>0</v>
      </c>
      <c r="AE199" s="143">
        <f>_xlfn.XLOOKUP('IS &amp; BS Projections'!$B199,'3FS'!$B:$B,'3FS'!AD:AD)</f>
        <v>0</v>
      </c>
      <c r="AF199" s="143">
        <f>_xlfn.XLOOKUP('IS &amp; BS Projections'!$B199,'3FS'!$B:$B,'3FS'!AE:AE)</f>
        <v>0</v>
      </c>
      <c r="AG199" s="143">
        <f>_xlfn.XLOOKUP('IS &amp; BS Projections'!$B199,'3FS'!$B:$B,'3FS'!AF:AF)</f>
        <v>0</v>
      </c>
      <c r="AH199" s="143">
        <f>_xlfn.XLOOKUP('IS &amp; BS Projections'!$B199,'3FS'!$B:$B,'3FS'!AG:AG)</f>
        <v>0</v>
      </c>
      <c r="AI199" s="143">
        <f>_xlfn.XLOOKUP('IS &amp; BS Projections'!$B199,'3FS'!$B:$B,'3FS'!AH:AH)</f>
        <v>0</v>
      </c>
      <c r="AJ199" s="143">
        <f>_xlfn.XLOOKUP('IS &amp; BS Projections'!$B199,'3FS'!$B:$B,'3FS'!AI:AI)</f>
        <v>0</v>
      </c>
      <c r="AK199" s="91">
        <f t="shared" ref="AK199:BD199" si="1917">AK206/AK$4*AK$12</f>
        <v>0</v>
      </c>
      <c r="AL199" s="91">
        <f t="shared" si="1917"/>
        <v>0</v>
      </c>
      <c r="AM199" s="91">
        <f t="shared" si="1917"/>
        <v>0</v>
      </c>
      <c r="AN199" s="91">
        <f t="shared" si="1917"/>
        <v>0</v>
      </c>
      <c r="AO199" s="91">
        <f t="shared" si="1917"/>
        <v>0</v>
      </c>
      <c r="AP199" s="91">
        <f t="shared" si="1917"/>
        <v>0</v>
      </c>
      <c r="AQ199" s="91">
        <f t="shared" si="1917"/>
        <v>0</v>
      </c>
      <c r="AR199" s="91">
        <f t="shared" si="1917"/>
        <v>0</v>
      </c>
      <c r="AS199" s="91">
        <f t="shared" si="1917"/>
        <v>0</v>
      </c>
      <c r="AT199" s="91">
        <f t="shared" si="1917"/>
        <v>0</v>
      </c>
      <c r="AU199" s="91">
        <f t="shared" si="1917"/>
        <v>0</v>
      </c>
      <c r="AV199" s="91">
        <f t="shared" si="1917"/>
        <v>0</v>
      </c>
      <c r="AW199" s="91">
        <f t="shared" si="1917"/>
        <v>0</v>
      </c>
      <c r="AX199" s="91">
        <f t="shared" si="1917"/>
        <v>0</v>
      </c>
      <c r="AY199" s="91">
        <f t="shared" si="1917"/>
        <v>0</v>
      </c>
      <c r="AZ199" s="91">
        <f t="shared" si="1917"/>
        <v>0</v>
      </c>
      <c r="BA199" s="91">
        <f t="shared" si="1917"/>
        <v>0</v>
      </c>
      <c r="BB199" s="91">
        <f t="shared" si="1917"/>
        <v>0</v>
      </c>
      <c r="BC199" s="91">
        <f t="shared" si="1917"/>
        <v>0</v>
      </c>
      <c r="BD199" s="91">
        <f t="shared" si="1917"/>
        <v>0</v>
      </c>
    </row>
    <row r="201" spans="2:56" s="1" customFormat="1" ht="14" x14ac:dyDescent="0.15">
      <c r="B201" s="148" t="s">
        <v>298</v>
      </c>
      <c r="C201" s="148"/>
      <c r="D201" s="148"/>
      <c r="E201" s="148"/>
      <c r="F201" s="148"/>
      <c r="G201" s="148"/>
      <c r="H201" s="148"/>
      <c r="I201" s="148"/>
      <c r="J201" s="148"/>
      <c r="K201" s="148"/>
      <c r="L201" s="148"/>
      <c r="M201" s="148"/>
      <c r="N201" s="148"/>
      <c r="O201" s="148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  <c r="AA201" s="149"/>
      <c r="AB201" s="149"/>
      <c r="AC201" s="149"/>
      <c r="AD201" s="149"/>
      <c r="AE201" s="149"/>
      <c r="AF201" s="149"/>
      <c r="AG201" s="149"/>
      <c r="AH201" s="149"/>
      <c r="AI201" s="149"/>
      <c r="AJ201" s="149"/>
      <c r="AK201" s="149"/>
      <c r="AL201" s="149"/>
      <c r="AM201" s="149"/>
      <c r="AN201" s="149"/>
      <c r="AO201" s="149"/>
      <c r="AP201" s="149"/>
      <c r="AQ201" s="149"/>
      <c r="AR201" s="149"/>
      <c r="AS201" s="149"/>
      <c r="AT201" s="149"/>
      <c r="AU201" s="149"/>
      <c r="AV201" s="149"/>
      <c r="AW201" s="149"/>
      <c r="AX201" s="149"/>
      <c r="AY201" s="149"/>
      <c r="AZ201" s="149"/>
      <c r="BA201" s="149"/>
      <c r="BB201" s="149"/>
      <c r="BC201" s="149"/>
      <c r="BD201" s="149"/>
    </row>
    <row r="203" spans="2:56" x14ac:dyDescent="0.2">
      <c r="B203" s="1" t="s">
        <v>67</v>
      </c>
      <c r="E203" s="43" t="s">
        <v>298</v>
      </c>
      <c r="F203" s="150">
        <f t="shared" ref="F203" si="1918">T203</f>
        <v>0</v>
      </c>
      <c r="G203" s="150">
        <f t="shared" ref="G203" si="1919">X203</f>
        <v>0</v>
      </c>
      <c r="H203" s="150">
        <f t="shared" ref="H203" si="1920">AB203</f>
        <v>0</v>
      </c>
      <c r="I203" s="150">
        <f t="shared" ref="I203" si="1921">AF203</f>
        <v>0</v>
      </c>
      <c r="J203" s="150">
        <f t="shared" ref="J203" si="1922">AJ203</f>
        <v>0</v>
      </c>
      <c r="K203" s="150">
        <f t="shared" ref="K203" si="1923">AN203</f>
        <v>0</v>
      </c>
      <c r="L203" s="150">
        <f t="shared" ref="L203" si="1924">AR203</f>
        <v>0</v>
      </c>
      <c r="M203" s="150">
        <f t="shared" ref="M203" si="1925">AV203</f>
        <v>0</v>
      </c>
      <c r="N203" s="150">
        <f t="shared" ref="N203" si="1926">AZ203</f>
        <v>0</v>
      </c>
      <c r="O203" s="150">
        <f t="shared" ref="O203" si="1927">BD203</f>
        <v>0</v>
      </c>
      <c r="Q203" s="150">
        <f t="shared" ref="Q203:AJ203" si="1928">Q196/Q$10*Q$4</f>
        <v>0</v>
      </c>
      <c r="R203" s="150">
        <f t="shared" si="1928"/>
        <v>0</v>
      </c>
      <c r="S203" s="150">
        <f t="shared" si="1928"/>
        <v>0</v>
      </c>
      <c r="T203" s="150">
        <f t="shared" si="1928"/>
        <v>0</v>
      </c>
      <c r="U203" s="150">
        <f t="shared" si="1928"/>
        <v>0</v>
      </c>
      <c r="V203" s="150">
        <f t="shared" si="1928"/>
        <v>0</v>
      </c>
      <c r="W203" s="150">
        <f t="shared" si="1928"/>
        <v>0</v>
      </c>
      <c r="X203" s="150">
        <f t="shared" si="1928"/>
        <v>0</v>
      </c>
      <c r="Y203" s="150">
        <f t="shared" si="1928"/>
        <v>0</v>
      </c>
      <c r="Z203" s="150">
        <f t="shared" si="1928"/>
        <v>0</v>
      </c>
      <c r="AA203" s="150">
        <f t="shared" si="1928"/>
        <v>0</v>
      </c>
      <c r="AB203" s="150">
        <f t="shared" si="1928"/>
        <v>0</v>
      </c>
      <c r="AC203" s="150">
        <f t="shared" si="1928"/>
        <v>15.579478739840129</v>
      </c>
      <c r="AD203" s="150">
        <f t="shared" si="1928"/>
        <v>14.842707232476196</v>
      </c>
      <c r="AE203" s="150">
        <f t="shared" si="1928"/>
        <v>14.275197416513372</v>
      </c>
      <c r="AF203" s="150">
        <f t="shared" si="1928"/>
        <v>0</v>
      </c>
      <c r="AG203" s="150">
        <f t="shared" si="1928"/>
        <v>10.844090950427544</v>
      </c>
      <c r="AH203" s="150">
        <f t="shared" si="1928"/>
        <v>13.553651864002864</v>
      </c>
      <c r="AI203" s="150">
        <f t="shared" si="1928"/>
        <v>15.184364686976407</v>
      </c>
      <c r="AJ203" s="150">
        <f t="shared" si="1928"/>
        <v>0</v>
      </c>
      <c r="AK203" s="151">
        <f t="shared" ref="AK203:AK206" si="1929">MEDIAN(Q203,U203,Y203,AC203,AG203)</f>
        <v>0</v>
      </c>
      <c r="AL203" s="151">
        <f t="shared" ref="AL203:AL206" si="1930">MEDIAN(R203,V203,Z203,AD203,AH203)</f>
        <v>0</v>
      </c>
      <c r="AM203" s="151">
        <f t="shared" ref="AM203:AM206" si="1931">MEDIAN(S203,W203,AA203,AE203,AI203)</f>
        <v>0</v>
      </c>
      <c r="AN203" s="151">
        <f t="shared" ref="AN203:AN206" si="1932">MEDIAN(T203,X203,AB203,AF203,AJ203)</f>
        <v>0</v>
      </c>
      <c r="AO203" s="151">
        <f t="shared" ref="AO203:AO206" si="1933">AK203</f>
        <v>0</v>
      </c>
      <c r="AP203" s="151">
        <f t="shared" ref="AP203:AP206" si="1934">AL203</f>
        <v>0</v>
      </c>
      <c r="AQ203" s="151">
        <f t="shared" ref="AQ203:AQ206" si="1935">AM203</f>
        <v>0</v>
      </c>
      <c r="AR203" s="151">
        <f t="shared" ref="AR203:AR206" si="1936">AN203</f>
        <v>0</v>
      </c>
      <c r="AS203" s="151">
        <f t="shared" ref="AS203:AS206" si="1937">AO203</f>
        <v>0</v>
      </c>
      <c r="AT203" s="151">
        <f t="shared" ref="AT203:AT206" si="1938">AP203</f>
        <v>0</v>
      </c>
      <c r="AU203" s="151">
        <f t="shared" ref="AU203:AU206" si="1939">AQ203</f>
        <v>0</v>
      </c>
      <c r="AV203" s="151">
        <f t="shared" ref="AV203:AV206" si="1940">AR203</f>
        <v>0</v>
      </c>
      <c r="AW203" s="151">
        <f t="shared" ref="AW203:AW206" si="1941">AS203</f>
        <v>0</v>
      </c>
      <c r="AX203" s="151">
        <f t="shared" ref="AX203:AX206" si="1942">AT203</f>
        <v>0</v>
      </c>
      <c r="AY203" s="151">
        <f t="shared" ref="AY203:AY206" si="1943">AU203</f>
        <v>0</v>
      </c>
      <c r="AZ203" s="151">
        <f t="shared" ref="AZ203:AZ206" si="1944">AV203</f>
        <v>0</v>
      </c>
      <c r="BA203" s="151">
        <f t="shared" ref="BA203:BA206" si="1945">AW203</f>
        <v>0</v>
      </c>
      <c r="BB203" s="151">
        <f t="shared" ref="BB203:BB206" si="1946">AX203</f>
        <v>0</v>
      </c>
      <c r="BC203" s="151">
        <f t="shared" ref="BC203:BC206" si="1947">AY203</f>
        <v>0</v>
      </c>
      <c r="BD203" s="151">
        <f t="shared" ref="BD203:BD206" si="1948">AZ203</f>
        <v>0</v>
      </c>
    </row>
    <row r="204" spans="2:56" x14ac:dyDescent="0.2">
      <c r="B204" s="1" t="s">
        <v>68</v>
      </c>
      <c r="E204" s="43" t="s">
        <v>298</v>
      </c>
      <c r="F204" s="150">
        <f t="shared" ref="F204:F206" si="1949">T204</f>
        <v>0</v>
      </c>
      <c r="G204" s="150">
        <f t="shared" ref="G204:G206" si="1950">X204</f>
        <v>0</v>
      </c>
      <c r="H204" s="150">
        <f t="shared" ref="H204:H206" si="1951">AB204</f>
        <v>16.232712480145103</v>
      </c>
      <c r="I204" s="150">
        <f t="shared" ref="I204:I206" si="1952">AF204</f>
        <v>10.742513878757917</v>
      </c>
      <c r="J204" s="150">
        <f t="shared" ref="J204:J206" si="1953">AJ204</f>
        <v>15.863504552449598</v>
      </c>
      <c r="K204" s="150">
        <f t="shared" ref="K204:K206" si="1954">AN204</f>
        <v>10.742513878757917</v>
      </c>
      <c r="L204" s="150">
        <f t="shared" ref="L204:L206" si="1955">AR204</f>
        <v>10.742513878757917</v>
      </c>
      <c r="M204" s="150">
        <f t="shared" ref="M204:M206" si="1956">AV204</f>
        <v>10.742513878757917</v>
      </c>
      <c r="N204" s="150">
        <f t="shared" ref="N204:N206" si="1957">AZ204</f>
        <v>10.742513878757917</v>
      </c>
      <c r="O204" s="150">
        <f t="shared" ref="O204:O206" si="1958">BD204</f>
        <v>10.742513878757917</v>
      </c>
      <c r="Q204" s="150">
        <f t="shared" ref="Q204:AJ204" si="1959">Q197/Q$10*Q$4</f>
        <v>0</v>
      </c>
      <c r="R204" s="150">
        <f t="shared" si="1959"/>
        <v>0</v>
      </c>
      <c r="S204" s="150">
        <f t="shared" si="1959"/>
        <v>0</v>
      </c>
      <c r="T204" s="150">
        <f t="shared" si="1959"/>
        <v>0</v>
      </c>
      <c r="U204" s="150">
        <f t="shared" si="1959"/>
        <v>0</v>
      </c>
      <c r="V204" s="150">
        <f t="shared" si="1959"/>
        <v>0</v>
      </c>
      <c r="W204" s="150">
        <f t="shared" si="1959"/>
        <v>0</v>
      </c>
      <c r="X204" s="150">
        <f t="shared" si="1959"/>
        <v>0</v>
      </c>
      <c r="Y204" s="150">
        <f t="shared" si="1959"/>
        <v>0</v>
      </c>
      <c r="Z204" s="150">
        <f t="shared" si="1959"/>
        <v>0</v>
      </c>
      <c r="AA204" s="150">
        <f t="shared" si="1959"/>
        <v>0</v>
      </c>
      <c r="AB204" s="150">
        <f t="shared" si="1959"/>
        <v>16.232712480145103</v>
      </c>
      <c r="AC204" s="150">
        <f t="shared" si="1959"/>
        <v>0</v>
      </c>
      <c r="AD204" s="150">
        <f t="shared" si="1959"/>
        <v>0</v>
      </c>
      <c r="AE204" s="150">
        <f t="shared" si="1959"/>
        <v>0</v>
      </c>
      <c r="AF204" s="150">
        <f t="shared" si="1959"/>
        <v>10.742513878757917</v>
      </c>
      <c r="AG204" s="150">
        <f t="shared" si="1959"/>
        <v>0</v>
      </c>
      <c r="AH204" s="150">
        <f t="shared" si="1959"/>
        <v>0</v>
      </c>
      <c r="AI204" s="150">
        <f t="shared" si="1959"/>
        <v>0</v>
      </c>
      <c r="AJ204" s="150">
        <f t="shared" si="1959"/>
        <v>15.863504552449598</v>
      </c>
      <c r="AK204" s="151">
        <f t="shared" si="1929"/>
        <v>0</v>
      </c>
      <c r="AL204" s="151">
        <f t="shared" si="1930"/>
        <v>0</v>
      </c>
      <c r="AM204" s="151">
        <f t="shared" si="1931"/>
        <v>0</v>
      </c>
      <c r="AN204" s="151">
        <f t="shared" si="1932"/>
        <v>10.742513878757917</v>
      </c>
      <c r="AO204" s="151">
        <f t="shared" si="1933"/>
        <v>0</v>
      </c>
      <c r="AP204" s="151">
        <f t="shared" si="1934"/>
        <v>0</v>
      </c>
      <c r="AQ204" s="151">
        <f t="shared" si="1935"/>
        <v>0</v>
      </c>
      <c r="AR204" s="151">
        <f t="shared" si="1936"/>
        <v>10.742513878757917</v>
      </c>
      <c r="AS204" s="151">
        <f t="shared" si="1937"/>
        <v>0</v>
      </c>
      <c r="AT204" s="151">
        <f t="shared" si="1938"/>
        <v>0</v>
      </c>
      <c r="AU204" s="151">
        <f t="shared" si="1939"/>
        <v>0</v>
      </c>
      <c r="AV204" s="151">
        <f t="shared" si="1940"/>
        <v>10.742513878757917</v>
      </c>
      <c r="AW204" s="151">
        <f t="shared" si="1941"/>
        <v>0</v>
      </c>
      <c r="AX204" s="151">
        <f t="shared" si="1942"/>
        <v>0</v>
      </c>
      <c r="AY204" s="151">
        <f t="shared" si="1943"/>
        <v>0</v>
      </c>
      <c r="AZ204" s="151">
        <f t="shared" si="1944"/>
        <v>10.742513878757917</v>
      </c>
      <c r="BA204" s="151">
        <f t="shared" si="1945"/>
        <v>0</v>
      </c>
      <c r="BB204" s="151">
        <f t="shared" si="1946"/>
        <v>0</v>
      </c>
      <c r="BC204" s="151">
        <f t="shared" si="1947"/>
        <v>0</v>
      </c>
      <c r="BD204" s="151">
        <f t="shared" si="1948"/>
        <v>10.742513878757917</v>
      </c>
    </row>
    <row r="205" spans="2:56" x14ac:dyDescent="0.2">
      <c r="B205" s="1" t="s">
        <v>69</v>
      </c>
      <c r="E205" s="43" t="s">
        <v>298</v>
      </c>
      <c r="F205" s="150">
        <f t="shared" si="1949"/>
        <v>11.220078904510492</v>
      </c>
      <c r="G205" s="150">
        <f t="shared" si="1950"/>
        <v>59.135461637747412</v>
      </c>
      <c r="H205" s="150">
        <f t="shared" si="1951"/>
        <v>0</v>
      </c>
      <c r="I205" s="150">
        <f t="shared" si="1952"/>
        <v>0</v>
      </c>
      <c r="J205" s="150">
        <f t="shared" si="1953"/>
        <v>0</v>
      </c>
      <c r="K205" s="150">
        <f t="shared" si="1954"/>
        <v>0</v>
      </c>
      <c r="L205" s="150">
        <f t="shared" si="1955"/>
        <v>0</v>
      </c>
      <c r="M205" s="150">
        <f t="shared" si="1956"/>
        <v>0</v>
      </c>
      <c r="N205" s="150">
        <f t="shared" si="1957"/>
        <v>0</v>
      </c>
      <c r="O205" s="150">
        <f t="shared" si="1958"/>
        <v>0</v>
      </c>
      <c r="Q205" s="150">
        <f t="shared" ref="Q205:AJ205" si="1960">Q198/Q$10*Q$4</f>
        <v>10.434953517604679</v>
      </c>
      <c r="R205" s="150">
        <f t="shared" si="1960"/>
        <v>7.5390374701184308</v>
      </c>
      <c r="S205" s="150">
        <f t="shared" si="1960"/>
        <v>16.629254490406339</v>
      </c>
      <c r="T205" s="150">
        <f t="shared" si="1960"/>
        <v>11.220078904510492</v>
      </c>
      <c r="U205" s="150">
        <f t="shared" si="1960"/>
        <v>26.700410481157991</v>
      </c>
      <c r="V205" s="150">
        <f t="shared" si="1960"/>
        <v>27.65107599047413</v>
      </c>
      <c r="W205" s="150">
        <f t="shared" si="1960"/>
        <v>37.457406676502828</v>
      </c>
      <c r="X205" s="150">
        <f t="shared" si="1960"/>
        <v>59.135461637747412</v>
      </c>
      <c r="Y205" s="150">
        <f t="shared" si="1960"/>
        <v>55.967297020564928</v>
      </c>
      <c r="Z205" s="150">
        <f t="shared" si="1960"/>
        <v>54.916663252866535</v>
      </c>
      <c r="AA205" s="150">
        <f t="shared" si="1960"/>
        <v>54.241608667532944</v>
      </c>
      <c r="AB205" s="150">
        <f t="shared" si="1960"/>
        <v>0</v>
      </c>
      <c r="AC205" s="150">
        <f t="shared" si="1960"/>
        <v>0</v>
      </c>
      <c r="AD205" s="150">
        <f t="shared" si="1960"/>
        <v>0</v>
      </c>
      <c r="AE205" s="150">
        <f t="shared" si="1960"/>
        <v>0</v>
      </c>
      <c r="AF205" s="150">
        <f t="shared" si="1960"/>
        <v>0</v>
      </c>
      <c r="AG205" s="150">
        <f t="shared" si="1960"/>
        <v>0</v>
      </c>
      <c r="AH205" s="150">
        <f t="shared" si="1960"/>
        <v>0</v>
      </c>
      <c r="AI205" s="150">
        <f t="shared" si="1960"/>
        <v>0</v>
      </c>
      <c r="AJ205" s="150">
        <f t="shared" si="1960"/>
        <v>0</v>
      </c>
      <c r="AK205" s="151">
        <f t="shared" si="1929"/>
        <v>10.434953517604679</v>
      </c>
      <c r="AL205" s="151">
        <f t="shared" si="1930"/>
        <v>7.5390374701184308</v>
      </c>
      <c r="AM205" s="151">
        <f t="shared" si="1931"/>
        <v>16.629254490406339</v>
      </c>
      <c r="AN205" s="151">
        <f t="shared" si="1932"/>
        <v>0</v>
      </c>
      <c r="AO205" s="151">
        <f t="shared" si="1933"/>
        <v>10.434953517604679</v>
      </c>
      <c r="AP205" s="151">
        <f t="shared" si="1934"/>
        <v>7.5390374701184308</v>
      </c>
      <c r="AQ205" s="151">
        <f t="shared" si="1935"/>
        <v>16.629254490406339</v>
      </c>
      <c r="AR205" s="151">
        <f t="shared" si="1936"/>
        <v>0</v>
      </c>
      <c r="AS205" s="151">
        <f t="shared" si="1937"/>
        <v>10.434953517604679</v>
      </c>
      <c r="AT205" s="151">
        <f t="shared" si="1938"/>
        <v>7.5390374701184308</v>
      </c>
      <c r="AU205" s="151">
        <f t="shared" si="1939"/>
        <v>16.629254490406339</v>
      </c>
      <c r="AV205" s="151">
        <f t="shared" si="1940"/>
        <v>0</v>
      </c>
      <c r="AW205" s="151">
        <f t="shared" si="1941"/>
        <v>10.434953517604679</v>
      </c>
      <c r="AX205" s="151">
        <f t="shared" si="1942"/>
        <v>7.5390374701184308</v>
      </c>
      <c r="AY205" s="151">
        <f t="shared" si="1943"/>
        <v>16.629254490406339</v>
      </c>
      <c r="AZ205" s="151">
        <f t="shared" si="1944"/>
        <v>0</v>
      </c>
      <c r="BA205" s="151">
        <f t="shared" si="1945"/>
        <v>10.434953517604679</v>
      </c>
      <c r="BB205" s="151">
        <f t="shared" si="1946"/>
        <v>7.5390374701184308</v>
      </c>
      <c r="BC205" s="151">
        <f t="shared" si="1947"/>
        <v>16.629254490406339</v>
      </c>
      <c r="BD205" s="151">
        <f t="shared" si="1948"/>
        <v>0</v>
      </c>
    </row>
    <row r="206" spans="2:56" x14ac:dyDescent="0.2">
      <c r="B206" s="1" t="s">
        <v>101</v>
      </c>
      <c r="E206" s="43" t="s">
        <v>298</v>
      </c>
      <c r="F206" s="150">
        <f t="shared" si="1949"/>
        <v>0</v>
      </c>
      <c r="G206" s="150">
        <f t="shared" si="1950"/>
        <v>0</v>
      </c>
      <c r="H206" s="150">
        <f t="shared" si="1951"/>
        <v>0</v>
      </c>
      <c r="I206" s="150">
        <f t="shared" si="1952"/>
        <v>0</v>
      </c>
      <c r="J206" s="150">
        <f t="shared" si="1953"/>
        <v>0</v>
      </c>
      <c r="K206" s="150">
        <f t="shared" si="1954"/>
        <v>0</v>
      </c>
      <c r="L206" s="150">
        <f t="shared" si="1955"/>
        <v>0</v>
      </c>
      <c r="M206" s="150">
        <f t="shared" si="1956"/>
        <v>0</v>
      </c>
      <c r="N206" s="150">
        <f t="shared" si="1957"/>
        <v>0</v>
      </c>
      <c r="O206" s="150">
        <f t="shared" si="1958"/>
        <v>0</v>
      </c>
      <c r="Q206" s="150">
        <f t="shared" ref="Q206:AJ206" si="1961">IFERROR(-Q199/Q$12*Q$4,0)</f>
        <v>0</v>
      </c>
      <c r="R206" s="150">
        <f t="shared" si="1961"/>
        <v>0</v>
      </c>
      <c r="S206" s="150">
        <f t="shared" si="1961"/>
        <v>0</v>
      </c>
      <c r="T206" s="150">
        <f t="shared" si="1961"/>
        <v>0</v>
      </c>
      <c r="U206" s="150">
        <f t="shared" si="1961"/>
        <v>0</v>
      </c>
      <c r="V206" s="150">
        <f t="shared" si="1961"/>
        <v>0</v>
      </c>
      <c r="W206" s="150">
        <f t="shared" si="1961"/>
        <v>0</v>
      </c>
      <c r="X206" s="150">
        <f t="shared" si="1961"/>
        <v>0</v>
      </c>
      <c r="Y206" s="150">
        <f t="shared" si="1961"/>
        <v>0</v>
      </c>
      <c r="Z206" s="150">
        <f t="shared" si="1961"/>
        <v>0</v>
      </c>
      <c r="AA206" s="150">
        <f t="shared" si="1961"/>
        <v>0</v>
      </c>
      <c r="AB206" s="150">
        <f t="shared" si="1961"/>
        <v>0</v>
      </c>
      <c r="AC206" s="150">
        <f t="shared" si="1961"/>
        <v>0</v>
      </c>
      <c r="AD206" s="150">
        <f t="shared" si="1961"/>
        <v>0</v>
      </c>
      <c r="AE206" s="150">
        <f t="shared" si="1961"/>
        <v>0</v>
      </c>
      <c r="AF206" s="150">
        <f t="shared" si="1961"/>
        <v>0</v>
      </c>
      <c r="AG206" s="150">
        <f t="shared" si="1961"/>
        <v>0</v>
      </c>
      <c r="AH206" s="150">
        <f t="shared" si="1961"/>
        <v>0</v>
      </c>
      <c r="AI206" s="150">
        <f t="shared" si="1961"/>
        <v>0</v>
      </c>
      <c r="AJ206" s="150">
        <f t="shared" si="1961"/>
        <v>0</v>
      </c>
      <c r="AK206" s="151">
        <f t="shared" si="1929"/>
        <v>0</v>
      </c>
      <c r="AL206" s="151">
        <f t="shared" si="1930"/>
        <v>0</v>
      </c>
      <c r="AM206" s="151">
        <f t="shared" si="1931"/>
        <v>0</v>
      </c>
      <c r="AN206" s="151">
        <f t="shared" si="1932"/>
        <v>0</v>
      </c>
      <c r="AO206" s="151">
        <f t="shared" si="1933"/>
        <v>0</v>
      </c>
      <c r="AP206" s="151">
        <f t="shared" si="1934"/>
        <v>0</v>
      </c>
      <c r="AQ206" s="151">
        <f t="shared" si="1935"/>
        <v>0</v>
      </c>
      <c r="AR206" s="151">
        <f t="shared" si="1936"/>
        <v>0</v>
      </c>
      <c r="AS206" s="151">
        <f t="shared" si="1937"/>
        <v>0</v>
      </c>
      <c r="AT206" s="151">
        <f t="shared" si="1938"/>
        <v>0</v>
      </c>
      <c r="AU206" s="151">
        <f t="shared" si="1939"/>
        <v>0</v>
      </c>
      <c r="AV206" s="151">
        <f t="shared" si="1940"/>
        <v>0</v>
      </c>
      <c r="AW206" s="151">
        <f t="shared" si="1941"/>
        <v>0</v>
      </c>
      <c r="AX206" s="151">
        <f t="shared" si="1942"/>
        <v>0</v>
      </c>
      <c r="AY206" s="151">
        <f t="shared" si="1943"/>
        <v>0</v>
      </c>
      <c r="AZ206" s="151">
        <f t="shared" si="1944"/>
        <v>0</v>
      </c>
      <c r="BA206" s="151">
        <f t="shared" si="1945"/>
        <v>0</v>
      </c>
      <c r="BB206" s="151">
        <f t="shared" si="1946"/>
        <v>0</v>
      </c>
      <c r="BC206" s="151">
        <f t="shared" si="1947"/>
        <v>0</v>
      </c>
      <c r="BD206" s="151">
        <f t="shared" si="1948"/>
        <v>0</v>
      </c>
    </row>
    <row r="207" spans="2:56" ht="3" customHeight="1" x14ac:dyDescent="0.2"/>
    <row r="208" spans="2:56" outlineLevel="1" x14ac:dyDescent="0.2">
      <c r="B208" s="75" t="s">
        <v>256</v>
      </c>
    </row>
    <row r="209" spans="2:56" outlineLevel="1" x14ac:dyDescent="0.2">
      <c r="B209" s="30" t="s">
        <v>299</v>
      </c>
    </row>
    <row r="210" spans="2:56" ht="3" customHeight="1" x14ac:dyDescent="0.2"/>
    <row r="211" spans="2:56" x14ac:dyDescent="0.2">
      <c r="B211" s="1" t="s">
        <v>100</v>
      </c>
      <c r="E211" s="43" t="s">
        <v>33</v>
      </c>
      <c r="F211" s="50">
        <f>T211</f>
        <v>39833</v>
      </c>
      <c r="G211" s="50">
        <f>X211</f>
        <v>56043</v>
      </c>
      <c r="H211" s="50">
        <f>AB211</f>
        <v>39294</v>
      </c>
      <c r="I211" s="50">
        <f>AF211</f>
        <v>63316</v>
      </c>
      <c r="J211" s="50">
        <f>AJ211</f>
        <v>117605</v>
      </c>
      <c r="K211" s="50">
        <f>AN211</f>
        <v>71670.532448356025</v>
      </c>
      <c r="L211" s="50">
        <f>AR211</f>
        <v>80937.511116667432</v>
      </c>
      <c r="M211" s="50">
        <f>AV211</f>
        <v>90601.931328866354</v>
      </c>
      <c r="N211" s="50">
        <f>AZ211</f>
        <v>105821.09794434739</v>
      </c>
      <c r="O211" s="50">
        <f>BD211</f>
        <v>130314.96760572252</v>
      </c>
      <c r="Q211" s="143">
        <f>_xlfn.XLOOKUP('IS &amp; BS Projections'!$B211,'3FS'!$B:$B,'3FS'!P:P)</f>
        <v>0</v>
      </c>
      <c r="R211" s="143">
        <f>_xlfn.XLOOKUP('IS &amp; BS Projections'!$B211,'3FS'!$B:$B,'3FS'!Q:Q)</f>
        <v>0</v>
      </c>
      <c r="S211" s="143">
        <f>_xlfn.XLOOKUP('IS &amp; BS Projections'!$B211,'3FS'!$B:$B,'3FS'!R:R)</f>
        <v>0</v>
      </c>
      <c r="T211" s="143">
        <f>_xlfn.XLOOKUP('IS &amp; BS Projections'!$B211,'3FS'!$B:$B,'3FS'!S:S)</f>
        <v>39833</v>
      </c>
      <c r="U211" s="143">
        <f>_xlfn.XLOOKUP('IS &amp; BS Projections'!$B211,'3FS'!$B:$B,'3FS'!T:T)</f>
        <v>12650</v>
      </c>
      <c r="V211" s="143">
        <f>_xlfn.XLOOKUP('IS &amp; BS Projections'!$B211,'3FS'!$B:$B,'3FS'!U:U)</f>
        <v>40745</v>
      </c>
      <c r="W211" s="143">
        <f>_xlfn.XLOOKUP('IS &amp; BS Projections'!$B211,'3FS'!$B:$B,'3FS'!V:V)</f>
        <v>61514</v>
      </c>
      <c r="X211" s="143">
        <f>_xlfn.XLOOKUP('IS &amp; BS Projections'!$B211,'3FS'!$B:$B,'3FS'!W:W)</f>
        <v>56043</v>
      </c>
      <c r="Y211" s="143">
        <f>_xlfn.XLOOKUP('IS &amp; BS Projections'!$B211,'3FS'!$B:$B,'3FS'!X:X)</f>
        <v>23694</v>
      </c>
      <c r="Z211" s="143">
        <f>_xlfn.XLOOKUP('IS &amp; BS Projections'!$B211,'3FS'!$B:$B,'3FS'!Y:Y)</f>
        <v>27983</v>
      </c>
      <c r="AA211" s="143">
        <f>_xlfn.XLOOKUP('IS &amp; BS Projections'!$B211,'3FS'!$B:$B,'3FS'!Z:Z)</f>
        <v>36744</v>
      </c>
      <c r="AB211" s="143">
        <f>_xlfn.XLOOKUP('IS &amp; BS Projections'!$B211,'3FS'!$B:$B,'3FS'!AA:AA)</f>
        <v>39294</v>
      </c>
      <c r="AC211" s="143">
        <f>_xlfn.XLOOKUP('IS &amp; BS Projections'!$B211,'3FS'!$B:$B,'3FS'!AB:AB)</f>
        <v>0</v>
      </c>
      <c r="AD211" s="143">
        <f>_xlfn.XLOOKUP('IS &amp; BS Projections'!$B211,'3FS'!$B:$B,'3FS'!AC:AC)</f>
        <v>0</v>
      </c>
      <c r="AE211" s="143">
        <f>_xlfn.XLOOKUP('IS &amp; BS Projections'!$B211,'3FS'!$B:$B,'3FS'!AD:AD)</f>
        <v>0</v>
      </c>
      <c r="AF211" s="143">
        <f>_xlfn.XLOOKUP('IS &amp; BS Projections'!$B211,'3FS'!$B:$B,'3FS'!AE:AE)</f>
        <v>63316</v>
      </c>
      <c r="AG211" s="143">
        <f>_xlfn.XLOOKUP('IS &amp; BS Projections'!$B211,'3FS'!$B:$B,'3FS'!AF:AF)</f>
        <v>0</v>
      </c>
      <c r="AH211" s="143">
        <f>_xlfn.XLOOKUP('IS &amp; BS Projections'!$B211,'3FS'!$B:$B,'3FS'!AG:AG)</f>
        <v>0</v>
      </c>
      <c r="AI211" s="143">
        <f>_xlfn.XLOOKUP('IS &amp; BS Projections'!$B211,'3FS'!$B:$B,'3FS'!AH:AH)</f>
        <v>0</v>
      </c>
      <c r="AJ211" s="143">
        <f>_xlfn.XLOOKUP('IS &amp; BS Projections'!$B211,'3FS'!$B:$B,'3FS'!AI:AI)</f>
        <v>117605</v>
      </c>
      <c r="AK211" s="50">
        <f>AK212*AK$10</f>
        <v>0</v>
      </c>
      <c r="AL211" s="50">
        <f t="shared" ref="AL211:BD211" si="1962">AL212*AL$10</f>
        <v>0</v>
      </c>
      <c r="AM211" s="50">
        <f t="shared" si="1962"/>
        <v>0</v>
      </c>
      <c r="AN211" s="50">
        <f t="shared" si="1962"/>
        <v>71670.532448356025</v>
      </c>
      <c r="AO211" s="50">
        <f t="shared" si="1962"/>
        <v>0</v>
      </c>
      <c r="AP211" s="50">
        <f t="shared" si="1962"/>
        <v>0</v>
      </c>
      <c r="AQ211" s="50">
        <f t="shared" si="1962"/>
        <v>0</v>
      </c>
      <c r="AR211" s="50">
        <f t="shared" si="1962"/>
        <v>80937.511116667432</v>
      </c>
      <c r="AS211" s="50">
        <f t="shared" si="1962"/>
        <v>0</v>
      </c>
      <c r="AT211" s="50">
        <f t="shared" si="1962"/>
        <v>0</v>
      </c>
      <c r="AU211" s="50">
        <f t="shared" si="1962"/>
        <v>0</v>
      </c>
      <c r="AV211" s="50">
        <f t="shared" si="1962"/>
        <v>90601.931328866354</v>
      </c>
      <c r="AW211" s="50">
        <f t="shared" si="1962"/>
        <v>0</v>
      </c>
      <c r="AX211" s="50">
        <f t="shared" si="1962"/>
        <v>0</v>
      </c>
      <c r="AY211" s="50">
        <f t="shared" si="1962"/>
        <v>0</v>
      </c>
      <c r="AZ211" s="50">
        <f t="shared" si="1962"/>
        <v>105821.09794434739</v>
      </c>
      <c r="BA211" s="50">
        <f t="shared" si="1962"/>
        <v>0</v>
      </c>
      <c r="BB211" s="50">
        <f t="shared" si="1962"/>
        <v>0</v>
      </c>
      <c r="BC211" s="50">
        <f t="shared" si="1962"/>
        <v>0</v>
      </c>
      <c r="BD211" s="50">
        <f t="shared" si="1962"/>
        <v>130314.96760572252</v>
      </c>
    </row>
    <row r="212" spans="2:56" x14ac:dyDescent="0.2">
      <c r="B212" s="98" t="s">
        <v>293</v>
      </c>
      <c r="C212" s="45"/>
      <c r="D212" s="45"/>
      <c r="E212" s="46" t="s">
        <v>36</v>
      </c>
      <c r="F212" s="126">
        <f t="shared" ref="F212:O212" si="1963">F211/F$10</f>
        <v>5.0810994910991782E-3</v>
      </c>
      <c r="G212" s="126">
        <f t="shared" si="1963"/>
        <v>1.7545194301686051E-2</v>
      </c>
      <c r="H212" s="126">
        <f t="shared" si="1963"/>
        <v>1.2641299350820024E-2</v>
      </c>
      <c r="I212" s="126">
        <f t="shared" si="1963"/>
        <v>9.6459064464685402E-3</v>
      </c>
      <c r="J212" s="126">
        <f t="shared" si="1963"/>
        <v>2.1777913246111807E-2</v>
      </c>
      <c r="K212" s="126">
        <f t="shared" si="1963"/>
        <v>9.2352746555031603E-3</v>
      </c>
      <c r="L212" s="126">
        <f t="shared" si="1963"/>
        <v>9.3271092998104266E-3</v>
      </c>
      <c r="M212" s="126">
        <f t="shared" si="1963"/>
        <v>9.3165254145977823E-3</v>
      </c>
      <c r="N212" s="126">
        <f t="shared" si="1963"/>
        <v>9.3693319445184772E-3</v>
      </c>
      <c r="O212" s="126">
        <f t="shared" si="1963"/>
        <v>1.2204586195129598E-2</v>
      </c>
      <c r="P212" s="81"/>
      <c r="Q212" s="126">
        <f>Q211/Q$10</f>
        <v>0</v>
      </c>
      <c r="R212" s="126">
        <f t="shared" ref="R212:AJ212" si="1964">R211/R$10</f>
        <v>0</v>
      </c>
      <c r="S212" s="126">
        <f t="shared" si="1964"/>
        <v>0</v>
      </c>
      <c r="T212" s="126">
        <f t="shared" si="1964"/>
        <v>1.59430017574805E-2</v>
      </c>
      <c r="U212" s="126">
        <f t="shared" si="1964"/>
        <v>1.0845001354553529E-2</v>
      </c>
      <c r="V212" s="126">
        <f t="shared" si="1964"/>
        <v>5.0406705223765197E-2</v>
      </c>
      <c r="W212" s="126">
        <f t="shared" si="1964"/>
        <v>0.10420114544355023</v>
      </c>
      <c r="X212" s="126">
        <f t="shared" si="1964"/>
        <v>8.9083273460200799E-2</v>
      </c>
      <c r="Y212" s="126">
        <f t="shared" si="1964"/>
        <v>3.0670693268472771E-2</v>
      </c>
      <c r="Z212" s="126">
        <f t="shared" si="1964"/>
        <v>3.9528980337923833E-2</v>
      </c>
      <c r="AA212" s="126">
        <f t="shared" si="1964"/>
        <v>5.4504352160059812E-2</v>
      </c>
      <c r="AB212" s="126">
        <f t="shared" si="1964"/>
        <v>4.1197531964415834E-2</v>
      </c>
      <c r="AC212" s="126">
        <f t="shared" si="1964"/>
        <v>0</v>
      </c>
      <c r="AD212" s="126">
        <f t="shared" si="1964"/>
        <v>0</v>
      </c>
      <c r="AE212" s="126">
        <f t="shared" si="1964"/>
        <v>0</v>
      </c>
      <c r="AF212" s="126">
        <f t="shared" si="1964"/>
        <v>2.7872410952982363E-2</v>
      </c>
      <c r="AG212" s="126">
        <f t="shared" si="1964"/>
        <v>0</v>
      </c>
      <c r="AH212" s="126">
        <f t="shared" si="1964"/>
        <v>0</v>
      </c>
      <c r="AI212" s="126">
        <f t="shared" si="1964"/>
        <v>0</v>
      </c>
      <c r="AJ212" s="126">
        <f t="shared" si="1964"/>
        <v>6.6028344943010867E-2</v>
      </c>
      <c r="AK212" s="138">
        <f>MEDIAN(Q212,U212,Y212,AC212,AG212)</f>
        <v>0</v>
      </c>
      <c r="AL212" s="138">
        <f t="shared" ref="AL212" si="1965">MEDIAN(R212,V212,Z212,AD212,AH212)</f>
        <v>0</v>
      </c>
      <c r="AM212" s="138">
        <f t="shared" ref="AM212" si="1966">MEDIAN(S212,W212,AA212,AE212,AI212)</f>
        <v>0</v>
      </c>
      <c r="AN212" s="138">
        <f t="shared" ref="AN212" si="1967">MEDIAN(T212,X212,AB212,AF212,AJ212)</f>
        <v>4.1197531964415834E-2</v>
      </c>
      <c r="AO212" s="138">
        <f>AK212</f>
        <v>0</v>
      </c>
      <c r="AP212" s="138">
        <f t="shared" ref="AP212" si="1968">AL212</f>
        <v>0</v>
      </c>
      <c r="AQ212" s="138">
        <f t="shared" ref="AQ212" si="1969">AM212</f>
        <v>0</v>
      </c>
      <c r="AR212" s="138">
        <f t="shared" ref="AR212" si="1970">AN212</f>
        <v>4.1197531964415834E-2</v>
      </c>
      <c r="AS212" s="138">
        <f t="shared" ref="AS212" si="1971">AO212</f>
        <v>0</v>
      </c>
      <c r="AT212" s="138">
        <f t="shared" ref="AT212" si="1972">AP212</f>
        <v>0</v>
      </c>
      <c r="AU212" s="138">
        <f t="shared" ref="AU212" si="1973">AQ212</f>
        <v>0</v>
      </c>
      <c r="AV212" s="138">
        <f t="shared" ref="AV212" si="1974">AR212</f>
        <v>4.1197531964415834E-2</v>
      </c>
      <c r="AW212" s="138">
        <f t="shared" ref="AW212" si="1975">AS212</f>
        <v>0</v>
      </c>
      <c r="AX212" s="138">
        <f t="shared" ref="AX212" si="1976">AT212</f>
        <v>0</v>
      </c>
      <c r="AY212" s="138">
        <f t="shared" ref="AY212" si="1977">AU212</f>
        <v>0</v>
      </c>
      <c r="AZ212" s="138">
        <f t="shared" ref="AZ212" si="1978">AV212</f>
        <v>4.1197531964415834E-2</v>
      </c>
      <c r="BA212" s="138">
        <f t="shared" ref="BA212" si="1979">AW212</f>
        <v>0</v>
      </c>
      <c r="BB212" s="138">
        <f t="shared" ref="BB212" si="1980">AX212</f>
        <v>0</v>
      </c>
      <c r="BC212" s="138">
        <f t="shared" ref="BC212" si="1981">AY212</f>
        <v>0</v>
      </c>
      <c r="BD212" s="138">
        <f t="shared" ref="BD212" si="1982">AZ212</f>
        <v>4.1197531964415834E-2</v>
      </c>
    </row>
    <row r="214" spans="2:56" s="1" customFormat="1" ht="14" outlineLevel="1" x14ac:dyDescent="0.15">
      <c r="B214" s="38" t="s">
        <v>300</v>
      </c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</row>
    <row r="216" spans="2:56" x14ac:dyDescent="0.2">
      <c r="B216" s="1" t="s">
        <v>86</v>
      </c>
      <c r="E216" s="43" t="s">
        <v>33</v>
      </c>
      <c r="F216" s="50">
        <f>T216</f>
        <v>98385</v>
      </c>
      <c r="G216" s="50">
        <f>X216</f>
        <v>69357</v>
      </c>
      <c r="H216" s="50">
        <f>AB216</f>
        <v>0</v>
      </c>
      <c r="I216" s="50">
        <f>AF216</f>
        <v>0</v>
      </c>
      <c r="J216" s="50">
        <f>AJ216</f>
        <v>0</v>
      </c>
      <c r="K216" s="50">
        <f>AN216</f>
        <v>0</v>
      </c>
      <c r="L216" s="50">
        <f>AR216</f>
        <v>0</v>
      </c>
      <c r="M216" s="50">
        <f>AV216</f>
        <v>0</v>
      </c>
      <c r="N216" s="50">
        <f>AZ216</f>
        <v>0</v>
      </c>
      <c r="O216" s="50">
        <f>BD216</f>
        <v>0</v>
      </c>
      <c r="Q216" s="143">
        <f>_xlfn.XLOOKUP('IS &amp; BS Projections'!$B216,'3FS'!$B:$B,'3FS'!P:P)</f>
        <v>110791</v>
      </c>
      <c r="R216" s="143">
        <f>_xlfn.XLOOKUP('IS &amp; BS Projections'!$B216,'3FS'!$B:$B,'3FS'!Q:Q)</f>
        <v>105296</v>
      </c>
      <c r="S216" s="143">
        <f>_xlfn.XLOOKUP('IS &amp; BS Projections'!$B216,'3FS'!$B:$B,'3FS'!R:R)</f>
        <v>105583</v>
      </c>
      <c r="T216" s="143">
        <f>_xlfn.XLOOKUP('IS &amp; BS Projections'!$B216,'3FS'!$B:$B,'3FS'!S:S)</f>
        <v>98385</v>
      </c>
      <c r="U216" s="143">
        <f>_xlfn.XLOOKUP('IS &amp; BS Projections'!$B216,'3FS'!$B:$B,'3FS'!T:T)</f>
        <v>91431</v>
      </c>
      <c r="V216" s="143">
        <f>_xlfn.XLOOKUP('IS &amp; BS Projections'!$B216,'3FS'!$B:$B,'3FS'!U:U)</f>
        <v>85972</v>
      </c>
      <c r="W216" s="143">
        <f>_xlfn.XLOOKUP('IS &amp; BS Projections'!$B216,'3FS'!$B:$B,'3FS'!V:V)</f>
        <v>76465</v>
      </c>
      <c r="X216" s="143">
        <f>_xlfn.XLOOKUP('IS &amp; BS Projections'!$B216,'3FS'!$B:$B,'3FS'!W:W)</f>
        <v>69357</v>
      </c>
      <c r="Y216" s="143">
        <f>_xlfn.XLOOKUP('IS &amp; BS Projections'!$B216,'3FS'!$B:$B,'3FS'!X:X)</f>
        <v>38864</v>
      </c>
      <c r="Z216" s="143">
        <f>_xlfn.XLOOKUP('IS &amp; BS Projections'!$B216,'3FS'!$B:$B,'3FS'!Y:Y)</f>
        <v>18210</v>
      </c>
      <c r="AA216" s="143">
        <f>_xlfn.XLOOKUP('IS &amp; BS Projections'!$B216,'3FS'!$B:$B,'3FS'!Z:Z)</f>
        <v>15412</v>
      </c>
      <c r="AB216" s="143">
        <f>_xlfn.XLOOKUP('IS &amp; BS Projections'!$B216,'3FS'!$B:$B,'3FS'!AA:AA)</f>
        <v>0</v>
      </c>
      <c r="AC216" s="143">
        <f>_xlfn.XLOOKUP('IS &amp; BS Projections'!$B216,'3FS'!$B:$B,'3FS'!AB:AB)</f>
        <v>0</v>
      </c>
      <c r="AD216" s="143">
        <f>_xlfn.XLOOKUP('IS &amp; BS Projections'!$B216,'3FS'!$B:$B,'3FS'!AC:AC)</f>
        <v>0</v>
      </c>
      <c r="AE216" s="143">
        <f>_xlfn.XLOOKUP('IS &amp; BS Projections'!$B216,'3FS'!$B:$B,'3FS'!AD:AD)</f>
        <v>0</v>
      </c>
      <c r="AF216" s="143">
        <f>_xlfn.XLOOKUP('IS &amp; BS Projections'!$B216,'3FS'!$B:$B,'3FS'!AE:AE)</f>
        <v>0</v>
      </c>
      <c r="AG216" s="143">
        <f>_xlfn.XLOOKUP('IS &amp; BS Projections'!$B216,'3FS'!$B:$B,'3FS'!AF:AF)</f>
        <v>0</v>
      </c>
      <c r="AH216" s="143">
        <f>_xlfn.XLOOKUP('IS &amp; BS Projections'!$B216,'3FS'!$B:$B,'3FS'!AG:AG)</f>
        <v>0</v>
      </c>
      <c r="AI216" s="143">
        <f>_xlfn.XLOOKUP('IS &amp; BS Projections'!$B216,'3FS'!$B:$B,'3FS'!AH:AH)</f>
        <v>0</v>
      </c>
      <c r="AJ216" s="143">
        <f>_xlfn.XLOOKUP('IS &amp; BS Projections'!$B216,'3FS'!$B:$B,'3FS'!AI:AI)</f>
        <v>0</v>
      </c>
      <c r="AK216" s="50">
        <f>AK217*AK$10</f>
        <v>93749.435978208785</v>
      </c>
      <c r="AL216" s="50">
        <f t="shared" ref="AL216:BD216" si="1983">AL217*AL$10</f>
        <v>45877.546907138167</v>
      </c>
      <c r="AM216" s="50">
        <f t="shared" si="1983"/>
        <v>54269.164847846783</v>
      </c>
      <c r="AN216" s="50">
        <f t="shared" si="1983"/>
        <v>0</v>
      </c>
      <c r="AO216" s="50">
        <f t="shared" si="1983"/>
        <v>97834.032339822093</v>
      </c>
      <c r="AP216" s="50">
        <f t="shared" si="1983"/>
        <v>52194.002981697107</v>
      </c>
      <c r="AQ216" s="50">
        <f t="shared" si="1983"/>
        <v>62624.089362655868</v>
      </c>
      <c r="AR216" s="50">
        <f t="shared" si="1983"/>
        <v>0</v>
      </c>
      <c r="AS216" s="50">
        <f t="shared" si="1983"/>
        <v>106498.5400693431</v>
      </c>
      <c r="AT216" s="50">
        <f t="shared" si="1983"/>
        <v>59726.830739789977</v>
      </c>
      <c r="AU216" s="50">
        <f t="shared" si="1983"/>
        <v>70569.447792700492</v>
      </c>
      <c r="AV216" s="50">
        <f t="shared" si="1983"/>
        <v>0</v>
      </c>
      <c r="AW216" s="50">
        <f t="shared" si="1983"/>
        <v>117587.57398509668</v>
      </c>
      <c r="AX216" s="50">
        <f t="shared" si="1983"/>
        <v>71034.113376014953</v>
      </c>
      <c r="AY216" s="50">
        <f t="shared" si="1983"/>
        <v>82917.74269006915</v>
      </c>
      <c r="AZ216" s="50">
        <f t="shared" si="1983"/>
        <v>0</v>
      </c>
      <c r="BA216" s="50">
        <f t="shared" si="1983"/>
        <v>135100.56883624531</v>
      </c>
      <c r="BB216" s="50">
        <f t="shared" si="1983"/>
        <v>89326.527838274123</v>
      </c>
      <c r="BC216" s="50">
        <f t="shared" si="1983"/>
        <v>103322.08482225772</v>
      </c>
      <c r="BD216" s="50">
        <f t="shared" si="1983"/>
        <v>0</v>
      </c>
    </row>
    <row r="217" spans="2:56" x14ac:dyDescent="0.2">
      <c r="B217" s="98" t="s">
        <v>293</v>
      </c>
      <c r="C217" s="45"/>
      <c r="D217" s="45"/>
      <c r="E217" s="46" t="s">
        <v>36</v>
      </c>
      <c r="F217" s="126">
        <f t="shared" ref="F217:O217" si="1984">F216/F$10</f>
        <v>1.2549995567288245E-2</v>
      </c>
      <c r="G217" s="126">
        <f t="shared" si="1984"/>
        <v>2.171336368827578E-2</v>
      </c>
      <c r="H217" s="126">
        <f t="shared" si="1984"/>
        <v>0</v>
      </c>
      <c r="I217" s="126">
        <f t="shared" si="1984"/>
        <v>0</v>
      </c>
      <c r="J217" s="126">
        <f t="shared" si="1984"/>
        <v>0</v>
      </c>
      <c r="K217" s="126">
        <f t="shared" si="1984"/>
        <v>0</v>
      </c>
      <c r="L217" s="126">
        <f t="shared" si="1984"/>
        <v>0</v>
      </c>
      <c r="M217" s="126">
        <f t="shared" si="1984"/>
        <v>0</v>
      </c>
      <c r="N217" s="126">
        <f t="shared" si="1984"/>
        <v>0</v>
      </c>
      <c r="O217" s="126">
        <f t="shared" si="1984"/>
        <v>0</v>
      </c>
      <c r="P217" s="81"/>
      <c r="Q217" s="126">
        <f>Q216/Q$10</f>
        <v>6.1512554466351899E-2</v>
      </c>
      <c r="R217" s="126">
        <f t="shared" ref="R217:AJ217" si="1985">R216/R$10</f>
        <v>4.7261129229313609E-2</v>
      </c>
      <c r="S217" s="126">
        <f t="shared" si="1985"/>
        <v>8.0480491010040345E-2</v>
      </c>
      <c r="T217" s="126">
        <f t="shared" si="1985"/>
        <v>3.9378209723337908E-2</v>
      </c>
      <c r="U217" s="126">
        <f t="shared" si="1985"/>
        <v>7.8384926391160764E-2</v>
      </c>
      <c r="V217" s="126">
        <f t="shared" si="1985"/>
        <v>0.10635820987845236</v>
      </c>
      <c r="W217" s="126">
        <f t="shared" si="1985"/>
        <v>0.12952727161851071</v>
      </c>
      <c r="X217" s="126">
        <f t="shared" si="1985"/>
        <v>0.11024657133592325</v>
      </c>
      <c r="Y217" s="126">
        <f t="shared" si="1985"/>
        <v>5.0307496547055193E-2</v>
      </c>
      <c r="Z217" s="126">
        <f t="shared" si="1985"/>
        <v>2.5723572595990174E-2</v>
      </c>
      <c r="AA217" s="126">
        <f t="shared" si="1985"/>
        <v>2.2861448821327068E-2</v>
      </c>
      <c r="AB217" s="126">
        <f t="shared" si="1985"/>
        <v>0</v>
      </c>
      <c r="AC217" s="126">
        <f t="shared" si="1985"/>
        <v>0</v>
      </c>
      <c r="AD217" s="126">
        <f t="shared" si="1985"/>
        <v>0</v>
      </c>
      <c r="AE217" s="126">
        <f t="shared" si="1985"/>
        <v>0</v>
      </c>
      <c r="AF217" s="126">
        <f t="shared" si="1985"/>
        <v>0</v>
      </c>
      <c r="AG217" s="126">
        <f t="shared" si="1985"/>
        <v>0</v>
      </c>
      <c r="AH217" s="126">
        <f t="shared" si="1985"/>
        <v>0</v>
      </c>
      <c r="AI217" s="126">
        <f t="shared" si="1985"/>
        <v>0</v>
      </c>
      <c r="AJ217" s="126">
        <f t="shared" si="1985"/>
        <v>0</v>
      </c>
      <c r="AK217" s="138">
        <f>MEDIAN(Q217,U217,Y217,AC217,AG217)</f>
        <v>5.0307496547055193E-2</v>
      </c>
      <c r="AL217" s="138">
        <f t="shared" ref="AL217" si="1986">MEDIAN(R217,V217,Z217,AD217,AH217)</f>
        <v>2.5723572595990174E-2</v>
      </c>
      <c r="AM217" s="138">
        <f t="shared" ref="AM217" si="1987">MEDIAN(S217,W217,AA217,AE217,AI217)</f>
        <v>2.2861448821327068E-2</v>
      </c>
      <c r="AN217" s="138">
        <f t="shared" ref="AN217" si="1988">MEDIAN(T217,X217,AB217,AF217,AJ217)</f>
        <v>0</v>
      </c>
      <c r="AO217" s="138">
        <f>AK217</f>
        <v>5.0307496547055193E-2</v>
      </c>
      <c r="AP217" s="138">
        <f t="shared" ref="AP217" si="1989">AL217</f>
        <v>2.5723572595990174E-2</v>
      </c>
      <c r="AQ217" s="138">
        <f t="shared" ref="AQ217" si="1990">AM217</f>
        <v>2.2861448821327068E-2</v>
      </c>
      <c r="AR217" s="138">
        <f t="shared" ref="AR217" si="1991">AN217</f>
        <v>0</v>
      </c>
      <c r="AS217" s="138">
        <f t="shared" ref="AS217" si="1992">AO217</f>
        <v>5.0307496547055193E-2</v>
      </c>
      <c r="AT217" s="138">
        <f t="shared" ref="AT217" si="1993">AP217</f>
        <v>2.5723572595990174E-2</v>
      </c>
      <c r="AU217" s="138">
        <f t="shared" ref="AU217" si="1994">AQ217</f>
        <v>2.2861448821327068E-2</v>
      </c>
      <c r="AV217" s="138">
        <f t="shared" ref="AV217" si="1995">AR217</f>
        <v>0</v>
      </c>
      <c r="AW217" s="138">
        <f t="shared" ref="AW217" si="1996">AS217</f>
        <v>5.0307496547055193E-2</v>
      </c>
      <c r="AX217" s="138">
        <f t="shared" ref="AX217" si="1997">AT217</f>
        <v>2.5723572595990174E-2</v>
      </c>
      <c r="AY217" s="138">
        <f t="shared" ref="AY217" si="1998">AU217</f>
        <v>2.2861448821327068E-2</v>
      </c>
      <c r="AZ217" s="138">
        <f t="shared" ref="AZ217" si="1999">AV217</f>
        <v>0</v>
      </c>
      <c r="BA217" s="138">
        <f t="shared" ref="BA217" si="2000">AW217</f>
        <v>5.0307496547055193E-2</v>
      </c>
      <c r="BB217" s="138">
        <f t="shared" ref="BB217" si="2001">AX217</f>
        <v>2.5723572595990174E-2</v>
      </c>
      <c r="BC217" s="138">
        <f t="shared" ref="BC217" si="2002">AY217</f>
        <v>2.2861448821327068E-2</v>
      </c>
      <c r="BD217" s="138">
        <f t="shared" ref="BD217" si="2003">AZ217</f>
        <v>0</v>
      </c>
    </row>
    <row r="219" spans="2:56" x14ac:dyDescent="0.2">
      <c r="B219" s="1" t="s">
        <v>106</v>
      </c>
      <c r="E219" s="43" t="s">
        <v>33</v>
      </c>
      <c r="F219" s="50">
        <f>T219</f>
        <v>32366</v>
      </c>
      <c r="G219" s="50">
        <f>X219</f>
        <v>33734</v>
      </c>
      <c r="H219" s="50">
        <f>AB219</f>
        <v>0</v>
      </c>
      <c r="I219" s="50">
        <f>AF219</f>
        <v>0</v>
      </c>
      <c r="J219" s="50">
        <f>AJ219</f>
        <v>0</v>
      </c>
      <c r="K219" s="50">
        <f>AN219</f>
        <v>0</v>
      </c>
      <c r="L219" s="50">
        <f>AR219</f>
        <v>0</v>
      </c>
      <c r="M219" s="50">
        <f>AV219</f>
        <v>0</v>
      </c>
      <c r="N219" s="50">
        <f>AZ219</f>
        <v>0</v>
      </c>
      <c r="O219" s="50">
        <f>BD219</f>
        <v>0</v>
      </c>
      <c r="Q219" s="143">
        <f>_xlfn.XLOOKUP('IS &amp; BS Projections'!$B219,'3FS'!$B:$B,'3FS'!P:P)</f>
        <v>29695</v>
      </c>
      <c r="R219" s="143">
        <f>_xlfn.XLOOKUP('IS &amp; BS Projections'!$B219,'3FS'!$B:$B,'3FS'!Q:Q)</f>
        <v>30933</v>
      </c>
      <c r="S219" s="143">
        <f>_xlfn.XLOOKUP('IS &amp; BS Projections'!$B219,'3FS'!$B:$B,'3FS'!R:R)</f>
        <v>31854</v>
      </c>
      <c r="T219" s="143">
        <f>_xlfn.XLOOKUP('IS &amp; BS Projections'!$B219,'3FS'!$B:$B,'3FS'!S:S)</f>
        <v>32366</v>
      </c>
      <c r="U219" s="143">
        <f>_xlfn.XLOOKUP('IS &amp; BS Projections'!$B219,'3FS'!$B:$B,'3FS'!T:T)</f>
        <v>32688</v>
      </c>
      <c r="V219" s="143">
        <f>_xlfn.XLOOKUP('IS &amp; BS Projections'!$B219,'3FS'!$B:$B,'3FS'!U:U)</f>
        <v>34174</v>
      </c>
      <c r="W219" s="143">
        <f>_xlfn.XLOOKUP('IS &amp; BS Projections'!$B219,'3FS'!$B:$B,'3FS'!V:V)</f>
        <v>33025</v>
      </c>
      <c r="X219" s="143">
        <f>_xlfn.XLOOKUP('IS &amp; BS Projections'!$B219,'3FS'!$B:$B,'3FS'!W:W)</f>
        <v>33734</v>
      </c>
      <c r="Y219" s="143">
        <f>_xlfn.XLOOKUP('IS &amp; BS Projections'!$B219,'3FS'!$B:$B,'3FS'!X:X)</f>
        <v>12776</v>
      </c>
      <c r="Z219" s="143">
        <f>_xlfn.XLOOKUP('IS &amp; BS Projections'!$B219,'3FS'!$B:$B,'3FS'!Y:Y)</f>
        <v>12350</v>
      </c>
      <c r="AA219" s="143">
        <f>_xlfn.XLOOKUP('IS &amp; BS Projections'!$B219,'3FS'!$B:$B,'3FS'!Z:Z)</f>
        <v>12015</v>
      </c>
      <c r="AB219" s="143">
        <f>_xlfn.XLOOKUP('IS &amp; BS Projections'!$B219,'3FS'!$B:$B,'3FS'!AA:AA)</f>
        <v>0</v>
      </c>
      <c r="AC219" s="143">
        <f>_xlfn.XLOOKUP('IS &amp; BS Projections'!$B219,'3FS'!$B:$B,'3FS'!AB:AB)</f>
        <v>0</v>
      </c>
      <c r="AD219" s="143">
        <f>_xlfn.XLOOKUP('IS &amp; BS Projections'!$B219,'3FS'!$B:$B,'3FS'!AC:AC)</f>
        <v>0</v>
      </c>
      <c r="AE219" s="143">
        <f>_xlfn.XLOOKUP('IS &amp; BS Projections'!$B219,'3FS'!$B:$B,'3FS'!AD:AD)</f>
        <v>0</v>
      </c>
      <c r="AF219" s="143">
        <f>_xlfn.XLOOKUP('IS &amp; BS Projections'!$B219,'3FS'!$B:$B,'3FS'!AE:AE)</f>
        <v>0</v>
      </c>
      <c r="AG219" s="143">
        <f>_xlfn.XLOOKUP('IS &amp; BS Projections'!$B219,'3FS'!$B:$B,'3FS'!AF:AF)</f>
        <v>0</v>
      </c>
      <c r="AH219" s="143">
        <f>_xlfn.XLOOKUP('IS &amp; BS Projections'!$B219,'3FS'!$B:$B,'3FS'!AG:AG)</f>
        <v>0</v>
      </c>
      <c r="AI219" s="143">
        <f>_xlfn.XLOOKUP('IS &amp; BS Projections'!$B219,'3FS'!$B:$B,'3FS'!AH:AH)</f>
        <v>0</v>
      </c>
      <c r="AJ219" s="143">
        <f>_xlfn.XLOOKUP('IS &amp; BS Projections'!$B219,'3FS'!$B:$B,'3FS'!AI:AI)</f>
        <v>0</v>
      </c>
      <c r="AK219" s="50">
        <f>AK220*AK$10</f>
        <v>30724.057370241586</v>
      </c>
      <c r="AL219" s="50">
        <f t="shared" ref="AL219:BD219" si="2004">AL220*AL$10</f>
        <v>24761.854376150874</v>
      </c>
      <c r="AM219" s="50">
        <f t="shared" si="2004"/>
        <v>42307.553571689539</v>
      </c>
      <c r="AN219" s="50">
        <f t="shared" si="2004"/>
        <v>0</v>
      </c>
      <c r="AO219" s="50">
        <f t="shared" si="2004"/>
        <v>32062.682735173461</v>
      </c>
      <c r="AP219" s="50">
        <f t="shared" si="2004"/>
        <v>28171.085602226878</v>
      </c>
      <c r="AQ219" s="50">
        <f t="shared" si="2004"/>
        <v>48820.946904510136</v>
      </c>
      <c r="AR219" s="50">
        <f t="shared" si="2004"/>
        <v>0</v>
      </c>
      <c r="AS219" s="50">
        <f t="shared" si="2004"/>
        <v>34902.260699446051</v>
      </c>
      <c r="AT219" s="50">
        <f t="shared" si="2004"/>
        <v>32236.838820551216</v>
      </c>
      <c r="AU219" s="50">
        <f t="shared" si="2004"/>
        <v>55015.047704989389</v>
      </c>
      <c r="AV219" s="50">
        <f t="shared" si="2004"/>
        <v>0</v>
      </c>
      <c r="AW219" s="50">
        <f t="shared" si="2004"/>
        <v>38536.417114929558</v>
      </c>
      <c r="AX219" s="50">
        <f t="shared" si="2004"/>
        <v>38339.808680620568</v>
      </c>
      <c r="AY219" s="50">
        <f t="shared" si="2004"/>
        <v>64641.622010198596</v>
      </c>
      <c r="AZ219" s="50">
        <f t="shared" si="2004"/>
        <v>0</v>
      </c>
      <c r="BA219" s="50">
        <f t="shared" si="2004"/>
        <v>44275.867735800544</v>
      </c>
      <c r="BB219" s="50">
        <f t="shared" si="2004"/>
        <v>48212.919464409708</v>
      </c>
      <c r="BC219" s="50">
        <f t="shared" si="2004"/>
        <v>80548.588706165741</v>
      </c>
      <c r="BD219" s="50">
        <f t="shared" si="2004"/>
        <v>0</v>
      </c>
    </row>
    <row r="220" spans="2:56" x14ac:dyDescent="0.2">
      <c r="B220" s="98" t="s">
        <v>293</v>
      </c>
      <c r="C220" s="45"/>
      <c r="D220" s="45"/>
      <c r="E220" s="46" t="s">
        <v>36</v>
      </c>
      <c r="F220" s="126">
        <f t="shared" ref="F220:O220" si="2005">F219/F$10</f>
        <v>4.128608594103282E-3</v>
      </c>
      <c r="G220" s="126">
        <f t="shared" si="2005"/>
        <v>1.0560990392610626E-2</v>
      </c>
      <c r="H220" s="126">
        <f t="shared" si="2005"/>
        <v>0</v>
      </c>
      <c r="I220" s="126">
        <f t="shared" si="2005"/>
        <v>0</v>
      </c>
      <c r="J220" s="126">
        <f t="shared" si="2005"/>
        <v>0</v>
      </c>
      <c r="K220" s="126">
        <f t="shared" si="2005"/>
        <v>0</v>
      </c>
      <c r="L220" s="126">
        <f t="shared" si="2005"/>
        <v>0</v>
      </c>
      <c r="M220" s="126">
        <f t="shared" si="2005"/>
        <v>0</v>
      </c>
      <c r="N220" s="126">
        <f t="shared" si="2005"/>
        <v>0</v>
      </c>
      <c r="O220" s="126">
        <f t="shared" si="2005"/>
        <v>0</v>
      </c>
      <c r="P220" s="81"/>
      <c r="Q220" s="126">
        <f>Q219/Q$10</f>
        <v>1.6487036897205726E-2</v>
      </c>
      <c r="R220" s="126">
        <f t="shared" ref="R220:AJ220" si="2006">R219/R$10</f>
        <v>1.3883989044696454E-2</v>
      </c>
      <c r="S220" s="126">
        <f t="shared" si="2006"/>
        <v>2.428066602231254E-2</v>
      </c>
      <c r="T220" s="126">
        <f t="shared" si="2006"/>
        <v>1.2954364343198198E-2</v>
      </c>
      <c r="U220" s="126">
        <f t="shared" si="2006"/>
        <v>2.8023826425110338E-2</v>
      </c>
      <c r="V220" s="126">
        <f t="shared" si="2006"/>
        <v>4.2277549253085085E-2</v>
      </c>
      <c r="W220" s="126">
        <f t="shared" si="2006"/>
        <v>5.5942433076588201E-2</v>
      </c>
      <c r="X220" s="126">
        <f t="shared" si="2006"/>
        <v>5.3621953623225263E-2</v>
      </c>
      <c r="Y220" s="126">
        <f t="shared" si="2006"/>
        <v>1.6537890486959066E-2</v>
      </c>
      <c r="Z220" s="126">
        <f t="shared" si="2006"/>
        <v>1.7445695857247593E-2</v>
      </c>
      <c r="AA220" s="126">
        <f t="shared" si="2006"/>
        <v>1.7822495950444116E-2</v>
      </c>
      <c r="AB220" s="126">
        <f t="shared" si="2006"/>
        <v>0</v>
      </c>
      <c r="AC220" s="126">
        <f t="shared" si="2006"/>
        <v>0</v>
      </c>
      <c r="AD220" s="126">
        <f t="shared" si="2006"/>
        <v>0</v>
      </c>
      <c r="AE220" s="126">
        <f t="shared" si="2006"/>
        <v>0</v>
      </c>
      <c r="AF220" s="126">
        <f t="shared" si="2006"/>
        <v>0</v>
      </c>
      <c r="AG220" s="126">
        <f t="shared" si="2006"/>
        <v>0</v>
      </c>
      <c r="AH220" s="126">
        <f t="shared" si="2006"/>
        <v>0</v>
      </c>
      <c r="AI220" s="126">
        <f t="shared" si="2006"/>
        <v>0</v>
      </c>
      <c r="AJ220" s="126">
        <f t="shared" si="2006"/>
        <v>0</v>
      </c>
      <c r="AK220" s="138">
        <f>MEDIAN(Q220,U220,Y220,AC220,AG220)</f>
        <v>1.6487036897205726E-2</v>
      </c>
      <c r="AL220" s="138">
        <f t="shared" ref="AL220" si="2007">MEDIAN(R220,V220,Z220,AD220,AH220)</f>
        <v>1.3883989044696454E-2</v>
      </c>
      <c r="AM220" s="138">
        <f t="shared" ref="AM220" si="2008">MEDIAN(S220,W220,AA220,AE220,AI220)</f>
        <v>1.7822495950444116E-2</v>
      </c>
      <c r="AN220" s="138">
        <f t="shared" ref="AN220" si="2009">MEDIAN(T220,X220,AB220,AF220,AJ220)</f>
        <v>0</v>
      </c>
      <c r="AO220" s="138">
        <f>AK220</f>
        <v>1.6487036897205726E-2</v>
      </c>
      <c r="AP220" s="138">
        <f t="shared" ref="AP220" si="2010">AL220</f>
        <v>1.3883989044696454E-2</v>
      </c>
      <c r="AQ220" s="138">
        <f t="shared" ref="AQ220" si="2011">AM220</f>
        <v>1.7822495950444116E-2</v>
      </c>
      <c r="AR220" s="138">
        <f t="shared" ref="AR220" si="2012">AN220</f>
        <v>0</v>
      </c>
      <c r="AS220" s="138">
        <f t="shared" ref="AS220" si="2013">AO220</f>
        <v>1.6487036897205726E-2</v>
      </c>
      <c r="AT220" s="138">
        <f t="shared" ref="AT220" si="2014">AP220</f>
        <v>1.3883989044696454E-2</v>
      </c>
      <c r="AU220" s="138">
        <f t="shared" ref="AU220" si="2015">AQ220</f>
        <v>1.7822495950444116E-2</v>
      </c>
      <c r="AV220" s="138">
        <f t="shared" ref="AV220" si="2016">AR220</f>
        <v>0</v>
      </c>
      <c r="AW220" s="138">
        <f t="shared" ref="AW220" si="2017">AS220</f>
        <v>1.6487036897205726E-2</v>
      </c>
      <c r="AX220" s="138">
        <f t="shared" ref="AX220" si="2018">AT220</f>
        <v>1.3883989044696454E-2</v>
      </c>
      <c r="AY220" s="138">
        <f t="shared" ref="AY220" si="2019">AU220</f>
        <v>1.7822495950444116E-2</v>
      </c>
      <c r="AZ220" s="138">
        <f t="shared" ref="AZ220" si="2020">AV220</f>
        <v>0</v>
      </c>
      <c r="BA220" s="138">
        <f t="shared" ref="BA220" si="2021">AW220</f>
        <v>1.6487036897205726E-2</v>
      </c>
      <c r="BB220" s="138">
        <f t="shared" ref="BB220" si="2022">AX220</f>
        <v>1.3883989044696454E-2</v>
      </c>
      <c r="BC220" s="138">
        <f t="shared" ref="BC220" si="2023">AY220</f>
        <v>1.7822495950444116E-2</v>
      </c>
      <c r="BD220" s="138">
        <f t="shared" ref="BD220" si="2024">AZ220</f>
        <v>0</v>
      </c>
    </row>
    <row r="222" spans="2:56" x14ac:dyDescent="0.2">
      <c r="B222" s="1" t="s">
        <v>118</v>
      </c>
      <c r="E222" s="43" t="s">
        <v>33</v>
      </c>
      <c r="F222" s="50">
        <f>T222</f>
        <v>74078</v>
      </c>
      <c r="G222" s="50">
        <f>X222</f>
        <v>42044</v>
      </c>
      <c r="H222" s="50">
        <f>AB222</f>
        <v>0</v>
      </c>
      <c r="I222" s="50">
        <f>AF222</f>
        <v>0</v>
      </c>
      <c r="J222" s="50">
        <f>AJ222</f>
        <v>0</v>
      </c>
      <c r="K222" s="50">
        <f>AN222</f>
        <v>0</v>
      </c>
      <c r="L222" s="50">
        <f>AR222</f>
        <v>0</v>
      </c>
      <c r="M222" s="50">
        <f>AV222</f>
        <v>0</v>
      </c>
      <c r="N222" s="50">
        <f>AZ222</f>
        <v>0</v>
      </c>
      <c r="O222" s="50">
        <f>BD222</f>
        <v>0</v>
      </c>
      <c r="Q222" s="143">
        <f>_xlfn.XLOOKUP('IS &amp; BS Projections'!$B222,'3FS'!$B:$B,'3FS'!P:P)</f>
        <v>88519</v>
      </c>
      <c r="R222" s="143">
        <f>_xlfn.XLOOKUP('IS &amp; BS Projections'!$B222,'3FS'!$B:$B,'3FS'!Q:Q)</f>
        <v>82292</v>
      </c>
      <c r="S222" s="143">
        <f>_xlfn.XLOOKUP('IS &amp; BS Projections'!$B222,'3FS'!$B:$B,'3FS'!R:R)</f>
        <v>81602</v>
      </c>
      <c r="T222" s="143">
        <f>_xlfn.XLOOKUP('IS &amp; BS Projections'!$B222,'3FS'!$B:$B,'3FS'!S:S)</f>
        <v>74078</v>
      </c>
      <c r="U222" s="143">
        <f>_xlfn.XLOOKUP('IS &amp; BS Projections'!$B222,'3FS'!$B:$B,'3FS'!T:T)</f>
        <v>66425</v>
      </c>
      <c r="V222" s="143">
        <f>_xlfn.XLOOKUP('IS &amp; BS Projections'!$B222,'3FS'!$B:$B,'3FS'!U:U)</f>
        <v>59317</v>
      </c>
      <c r="W222" s="143">
        <f>_xlfn.XLOOKUP('IS &amp; BS Projections'!$B222,'3FS'!$B:$B,'3FS'!V:V)</f>
        <v>50167</v>
      </c>
      <c r="X222" s="143">
        <f>_xlfn.XLOOKUP('IS &amp; BS Projections'!$B222,'3FS'!$B:$B,'3FS'!W:W)</f>
        <v>42044</v>
      </c>
      <c r="Y222" s="143">
        <f>_xlfn.XLOOKUP('IS &amp; BS Projections'!$B222,'3FS'!$B:$B,'3FS'!X:X)</f>
        <v>11289</v>
      </c>
      <c r="Z222" s="143">
        <f>_xlfn.XLOOKUP('IS &amp; BS Projections'!$B222,'3FS'!$B:$B,'3FS'!Y:Y)</f>
        <v>8611</v>
      </c>
      <c r="AA222" s="143">
        <f>_xlfn.XLOOKUP('IS &amp; BS Projections'!$B222,'3FS'!$B:$B,'3FS'!Z:Z)</f>
        <v>5690</v>
      </c>
      <c r="AB222" s="143">
        <f>_xlfn.XLOOKUP('IS &amp; BS Projections'!$B222,'3FS'!$B:$B,'3FS'!AA:AA)</f>
        <v>0</v>
      </c>
      <c r="AC222" s="143">
        <f>_xlfn.XLOOKUP('IS &amp; BS Projections'!$B222,'3FS'!$B:$B,'3FS'!AB:AB)</f>
        <v>0</v>
      </c>
      <c r="AD222" s="143">
        <f>_xlfn.XLOOKUP('IS &amp; BS Projections'!$B222,'3FS'!$B:$B,'3FS'!AC:AC)</f>
        <v>0</v>
      </c>
      <c r="AE222" s="143">
        <f>_xlfn.XLOOKUP('IS &amp; BS Projections'!$B222,'3FS'!$B:$B,'3FS'!AD:AD)</f>
        <v>0</v>
      </c>
      <c r="AF222" s="143">
        <f>_xlfn.XLOOKUP('IS &amp; BS Projections'!$B222,'3FS'!$B:$B,'3FS'!AE:AE)</f>
        <v>0</v>
      </c>
      <c r="AG222" s="143">
        <f>_xlfn.XLOOKUP('IS &amp; BS Projections'!$B222,'3FS'!$B:$B,'3FS'!AF:AF)</f>
        <v>0</v>
      </c>
      <c r="AH222" s="143">
        <f>_xlfn.XLOOKUP('IS &amp; BS Projections'!$B222,'3FS'!$B:$B,'3FS'!AG:AG)</f>
        <v>0</v>
      </c>
      <c r="AI222" s="143">
        <f>_xlfn.XLOOKUP('IS &amp; BS Projections'!$B222,'3FS'!$B:$B,'3FS'!AH:AH)</f>
        <v>0</v>
      </c>
      <c r="AJ222" s="143">
        <f>_xlfn.XLOOKUP('IS &amp; BS Projections'!$B222,'3FS'!$B:$B,'3FS'!AI:AI)</f>
        <v>0</v>
      </c>
      <c r="AK222" s="50">
        <f>AK223*AK$10</f>
        <v>27231.818206000382</v>
      </c>
      <c r="AL222" s="50">
        <f t="shared" ref="AL222:BD222" si="2025">AL223*AL$10</f>
        <v>21694.209578109101</v>
      </c>
      <c r="AM222" s="50">
        <f t="shared" si="2025"/>
        <v>20035.786918261627</v>
      </c>
      <c r="AN222" s="50">
        <f t="shared" si="2025"/>
        <v>0</v>
      </c>
      <c r="AO222" s="50">
        <f t="shared" si="2025"/>
        <v>28418.289190105279</v>
      </c>
      <c r="AP222" s="50">
        <f t="shared" si="2025"/>
        <v>24681.085100241282</v>
      </c>
      <c r="AQ222" s="50">
        <f t="shared" si="2025"/>
        <v>23120.365200720989</v>
      </c>
      <c r="AR222" s="50">
        <f t="shared" si="2025"/>
        <v>0</v>
      </c>
      <c r="AS222" s="50">
        <f t="shared" si="2025"/>
        <v>30935.107524773935</v>
      </c>
      <c r="AT222" s="50">
        <f t="shared" si="2025"/>
        <v>28243.148791890799</v>
      </c>
      <c r="AU222" s="50">
        <f t="shared" si="2025"/>
        <v>26053.73461850933</v>
      </c>
      <c r="AV222" s="50">
        <f t="shared" si="2025"/>
        <v>0</v>
      </c>
      <c r="AW222" s="50">
        <f t="shared" si="2025"/>
        <v>34156.188830736835</v>
      </c>
      <c r="AX222" s="50">
        <f t="shared" si="2025"/>
        <v>33590.046693073295</v>
      </c>
      <c r="AY222" s="50">
        <f t="shared" si="2025"/>
        <v>30612.636640701621</v>
      </c>
      <c r="AZ222" s="50">
        <f t="shared" si="2025"/>
        <v>0</v>
      </c>
      <c r="BA222" s="50">
        <f t="shared" si="2025"/>
        <v>39243.26681742417</v>
      </c>
      <c r="BB222" s="50">
        <f t="shared" si="2025"/>
        <v>42240.018188653397</v>
      </c>
      <c r="BC222" s="50">
        <f t="shared" si="2025"/>
        <v>38145.773594513783</v>
      </c>
      <c r="BD222" s="50">
        <f t="shared" si="2025"/>
        <v>0</v>
      </c>
    </row>
    <row r="223" spans="2:56" x14ac:dyDescent="0.2">
      <c r="B223" s="98" t="s">
        <v>293</v>
      </c>
      <c r="C223" s="45"/>
      <c r="D223" s="45"/>
      <c r="E223" s="46" t="s">
        <v>36</v>
      </c>
      <c r="F223" s="126">
        <f t="shared" ref="F223:O223" si="2026">F222/F$10</f>
        <v>9.449393420069915E-3</v>
      </c>
      <c r="G223" s="126">
        <f t="shared" si="2026"/>
        <v>1.3162574259409532E-2</v>
      </c>
      <c r="H223" s="126">
        <f t="shared" si="2026"/>
        <v>0</v>
      </c>
      <c r="I223" s="126">
        <f t="shared" si="2026"/>
        <v>0</v>
      </c>
      <c r="J223" s="126">
        <f t="shared" si="2026"/>
        <v>0</v>
      </c>
      <c r="K223" s="126">
        <f t="shared" si="2026"/>
        <v>0</v>
      </c>
      <c r="L223" s="126">
        <f t="shared" si="2026"/>
        <v>0</v>
      </c>
      <c r="M223" s="126">
        <f t="shared" si="2026"/>
        <v>0</v>
      </c>
      <c r="N223" s="126">
        <f t="shared" si="2026"/>
        <v>0</v>
      </c>
      <c r="O223" s="126">
        <f t="shared" si="2026"/>
        <v>0</v>
      </c>
      <c r="P223" s="81"/>
      <c r="Q223" s="126">
        <f>Q222/Q$10</f>
        <v>4.914686038402942E-2</v>
      </c>
      <c r="R223" s="126">
        <f t="shared" ref="R223:AJ223" si="2027">R222/R$10</f>
        <v>3.6935998010738068E-2</v>
      </c>
      <c r="S223" s="126">
        <f t="shared" si="2027"/>
        <v>6.220100799751202E-2</v>
      </c>
      <c r="T223" s="126">
        <f t="shared" si="2027"/>
        <v>2.9649428468622511E-2</v>
      </c>
      <c r="U223" s="126">
        <f t="shared" si="2027"/>
        <v>5.6946973515906572E-2</v>
      </c>
      <c r="V223" s="126">
        <f t="shared" si="2027"/>
        <v>7.3382612191878263E-2</v>
      </c>
      <c r="W223" s="126">
        <f t="shared" si="2027"/>
        <v>8.4979986075797126E-2</v>
      </c>
      <c r="X223" s="126">
        <f t="shared" si="2027"/>
        <v>6.6831132333399032E-2</v>
      </c>
      <c r="Y223" s="126">
        <f t="shared" si="2027"/>
        <v>1.4613043652730189E-2</v>
      </c>
      <c r="Z223" s="126">
        <f t="shared" si="2027"/>
        <v>1.2163958463705183E-2</v>
      </c>
      <c r="AA223" s="126">
        <f t="shared" si="2027"/>
        <v>8.440283142574034E-3</v>
      </c>
      <c r="AB223" s="126">
        <f t="shared" si="2027"/>
        <v>0</v>
      </c>
      <c r="AC223" s="126">
        <f t="shared" si="2027"/>
        <v>0</v>
      </c>
      <c r="AD223" s="126">
        <f t="shared" si="2027"/>
        <v>0</v>
      </c>
      <c r="AE223" s="126">
        <f t="shared" si="2027"/>
        <v>0</v>
      </c>
      <c r="AF223" s="126">
        <f t="shared" si="2027"/>
        <v>0</v>
      </c>
      <c r="AG223" s="126">
        <f t="shared" si="2027"/>
        <v>0</v>
      </c>
      <c r="AH223" s="126">
        <f t="shared" si="2027"/>
        <v>0</v>
      </c>
      <c r="AI223" s="126">
        <f t="shared" si="2027"/>
        <v>0</v>
      </c>
      <c r="AJ223" s="126">
        <f t="shared" si="2027"/>
        <v>0</v>
      </c>
      <c r="AK223" s="138">
        <f>MEDIAN(Q223,U223,Y223,AC223,AG223)</f>
        <v>1.4613043652730189E-2</v>
      </c>
      <c r="AL223" s="138">
        <f t="shared" ref="AL223" si="2028">MEDIAN(R223,V223,Z223,AD223,AH223)</f>
        <v>1.2163958463705183E-2</v>
      </c>
      <c r="AM223" s="138">
        <f t="shared" ref="AM223" si="2029">MEDIAN(S223,W223,AA223,AE223,AI223)</f>
        <v>8.440283142574034E-3</v>
      </c>
      <c r="AN223" s="138">
        <f t="shared" ref="AN223" si="2030">MEDIAN(T223,X223,AB223,AF223,AJ223)</f>
        <v>0</v>
      </c>
      <c r="AO223" s="138">
        <f>AK223</f>
        <v>1.4613043652730189E-2</v>
      </c>
      <c r="AP223" s="138">
        <f t="shared" ref="AP223" si="2031">AL223</f>
        <v>1.2163958463705183E-2</v>
      </c>
      <c r="AQ223" s="138">
        <f t="shared" ref="AQ223" si="2032">AM223</f>
        <v>8.440283142574034E-3</v>
      </c>
      <c r="AR223" s="138">
        <f t="shared" ref="AR223" si="2033">AN223</f>
        <v>0</v>
      </c>
      <c r="AS223" s="138">
        <f t="shared" ref="AS223" si="2034">AO223</f>
        <v>1.4613043652730189E-2</v>
      </c>
      <c r="AT223" s="138">
        <f t="shared" ref="AT223" si="2035">AP223</f>
        <v>1.2163958463705183E-2</v>
      </c>
      <c r="AU223" s="138">
        <f t="shared" ref="AU223" si="2036">AQ223</f>
        <v>8.440283142574034E-3</v>
      </c>
      <c r="AV223" s="138">
        <f t="shared" ref="AV223" si="2037">AR223</f>
        <v>0</v>
      </c>
      <c r="AW223" s="138">
        <f t="shared" ref="AW223" si="2038">AS223</f>
        <v>1.4613043652730189E-2</v>
      </c>
      <c r="AX223" s="138">
        <f t="shared" ref="AX223" si="2039">AT223</f>
        <v>1.2163958463705183E-2</v>
      </c>
      <c r="AY223" s="138">
        <f t="shared" ref="AY223" si="2040">AU223</f>
        <v>8.440283142574034E-3</v>
      </c>
      <c r="AZ223" s="138">
        <f t="shared" ref="AZ223" si="2041">AV223</f>
        <v>0</v>
      </c>
      <c r="BA223" s="138">
        <f t="shared" ref="BA223" si="2042">AW223</f>
        <v>1.4613043652730189E-2</v>
      </c>
      <c r="BB223" s="138">
        <f t="shared" ref="BB223" si="2043">AX223</f>
        <v>1.2163958463705183E-2</v>
      </c>
      <c r="BC223" s="138">
        <f t="shared" ref="BC223" si="2044">AY223</f>
        <v>8.440283142574034E-3</v>
      </c>
      <c r="BD223" s="138">
        <f t="shared" ref="BD223" si="2045">AZ223</f>
        <v>0</v>
      </c>
    </row>
    <row r="225" spans="2:56" s="1" customFormat="1" ht="14" outlineLevel="1" x14ac:dyDescent="0.15">
      <c r="B225" s="38" t="s">
        <v>301</v>
      </c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9"/>
      <c r="BD225" s="39"/>
    </row>
    <row r="227" spans="2:56" x14ac:dyDescent="0.2">
      <c r="B227" s="1" t="s">
        <v>127</v>
      </c>
      <c r="E227" s="43" t="s">
        <v>33</v>
      </c>
      <c r="F227" s="50">
        <f>T227</f>
        <v>-3395</v>
      </c>
      <c r="G227" s="50">
        <f>X227</f>
        <v>-38606</v>
      </c>
      <c r="H227" s="50">
        <f>AB227</f>
        <v>-30270</v>
      </c>
      <c r="I227" s="50">
        <f>AF227</f>
        <v>-50051</v>
      </c>
      <c r="J227" s="50">
        <f>AJ227</f>
        <v>4973</v>
      </c>
      <c r="K227" s="50">
        <f>AN227</f>
        <v>-38330.391641901253</v>
      </c>
      <c r="L227" s="50">
        <f>AR227</f>
        <v>-43286.499955307096</v>
      </c>
      <c r="M227" s="50">
        <f>AV227</f>
        <v>-48455.16550125405</v>
      </c>
      <c r="N227" s="50">
        <f>AZ227</f>
        <v>-56594.5862214097</v>
      </c>
      <c r="O227" s="50">
        <f>BD227</f>
        <v>-69694.24635889662</v>
      </c>
      <c r="Q227" s="143">
        <f>_xlfn.XLOOKUP('IS &amp; BS Projections'!$B227,'3FS'!$B:$B,'3FS'!P:P)</f>
        <v>2118</v>
      </c>
      <c r="R227" s="143">
        <f>_xlfn.XLOOKUP('IS &amp; BS Projections'!$B227,'3FS'!$B:$B,'3FS'!Q:Q)</f>
        <v>2774</v>
      </c>
      <c r="S227" s="143">
        <f>_xlfn.XLOOKUP('IS &amp; BS Projections'!$B227,'3FS'!$B:$B,'3FS'!R:R)</f>
        <v>-432</v>
      </c>
      <c r="T227" s="143">
        <f>_xlfn.XLOOKUP('IS &amp; BS Projections'!$B227,'3FS'!$B:$B,'3FS'!S:S)</f>
        <v>-3395</v>
      </c>
      <c r="U227" s="143">
        <f>_xlfn.XLOOKUP('IS &amp; BS Projections'!$B227,'3FS'!$B:$B,'3FS'!T:T)</f>
        <v>-3890</v>
      </c>
      <c r="V227" s="143">
        <f>_xlfn.XLOOKUP('IS &amp; BS Projections'!$B227,'3FS'!$B:$B,'3FS'!U:U)</f>
        <v>-18183</v>
      </c>
      <c r="W227" s="143">
        <f>_xlfn.XLOOKUP('IS &amp; BS Projections'!$B227,'3FS'!$B:$B,'3FS'!V:V)</f>
        <v>-36493</v>
      </c>
      <c r="X227" s="143">
        <f>_xlfn.XLOOKUP('IS &amp; BS Projections'!$B227,'3FS'!$B:$B,'3FS'!W:W)</f>
        <v>-38606</v>
      </c>
      <c r="Y227" s="143">
        <f>_xlfn.XLOOKUP('IS &amp; BS Projections'!$B227,'3FS'!$B:$B,'3FS'!X:X)</f>
        <v>-28409</v>
      </c>
      <c r="Z227" s="143">
        <f>_xlfn.XLOOKUP('IS &amp; BS Projections'!$B227,'3FS'!$B:$B,'3FS'!Y:Y)</f>
        <v>-33792</v>
      </c>
      <c r="AA227" s="143">
        <f>_xlfn.XLOOKUP('IS &amp; BS Projections'!$B227,'3FS'!$B:$B,'3FS'!Z:Z)</f>
        <v>-44113</v>
      </c>
      <c r="AB227" s="143">
        <f>_xlfn.XLOOKUP('IS &amp; BS Projections'!$B227,'3FS'!$B:$B,'3FS'!AA:AA)</f>
        <v>-30270</v>
      </c>
      <c r="AC227" s="143">
        <f>_xlfn.XLOOKUP('IS &amp; BS Projections'!$B227,'3FS'!$B:$B,'3FS'!AB:AB)</f>
        <v>-37496</v>
      </c>
      <c r="AD227" s="143">
        <f>_xlfn.XLOOKUP('IS &amp; BS Projections'!$B227,'3FS'!$B:$B,'3FS'!AC:AC)</f>
        <v>-40271</v>
      </c>
      <c r="AE227" s="143">
        <f>_xlfn.XLOOKUP('IS &amp; BS Projections'!$B227,'3FS'!$B:$B,'3FS'!AD:AD)</f>
        <v>-28843</v>
      </c>
      <c r="AF227" s="143">
        <f>_xlfn.XLOOKUP('IS &amp; BS Projections'!$B227,'3FS'!$B:$B,'3FS'!AE:AE)</f>
        <v>-50051</v>
      </c>
      <c r="AG227" s="143">
        <f>_xlfn.XLOOKUP('IS &amp; BS Projections'!$B227,'3FS'!$B:$B,'3FS'!AF:AF)</f>
        <v>-42092</v>
      </c>
      <c r="AH227" s="143">
        <f>_xlfn.XLOOKUP('IS &amp; BS Projections'!$B227,'3FS'!$B:$B,'3FS'!AG:AG)</f>
        <v>-60</v>
      </c>
      <c r="AI227" s="143">
        <f>_xlfn.XLOOKUP('IS &amp; BS Projections'!$B227,'3FS'!$B:$B,'3FS'!AH:AH)</f>
        <v>3538</v>
      </c>
      <c r="AJ227" s="143">
        <f>_xlfn.XLOOKUP('IS &amp; BS Projections'!$B227,'3FS'!$B:$B,'3FS'!AI:AI)</f>
        <v>4973</v>
      </c>
      <c r="AK227" s="50">
        <f>AK228*AK$10</f>
        <v>-38558.629350926167</v>
      </c>
      <c r="AL227" s="50">
        <f t="shared" ref="AL227:BD227" si="2046">AL228*AL$10</f>
        <v>-40118.845854661391</v>
      </c>
      <c r="AM227" s="50">
        <f t="shared" si="2046"/>
        <v>-56811.102538727559</v>
      </c>
      <c r="AN227" s="50">
        <f t="shared" si="2046"/>
        <v>-38330.391641901253</v>
      </c>
      <c r="AO227" s="50">
        <f t="shared" si="2046"/>
        <v>-40238.601454355121</v>
      </c>
      <c r="AP227" s="50">
        <f t="shared" si="2046"/>
        <v>-45642.439522733941</v>
      </c>
      <c r="AQ227" s="50">
        <f t="shared" si="2046"/>
        <v>-65557.36710065548</v>
      </c>
      <c r="AR227" s="50">
        <f t="shared" si="2046"/>
        <v>-43286.499955307096</v>
      </c>
      <c r="AS227" s="50">
        <f t="shared" si="2046"/>
        <v>-43802.266009398336</v>
      </c>
      <c r="AT227" s="50">
        <f t="shared" si="2046"/>
        <v>-52229.721887424217</v>
      </c>
      <c r="AU227" s="50">
        <f t="shared" si="2046"/>
        <v>-73874.881728745779</v>
      </c>
      <c r="AV227" s="50">
        <f t="shared" si="2046"/>
        <v>-48455.16550125405</v>
      </c>
      <c r="AW227" s="50">
        <f t="shared" si="2046"/>
        <v>-48363.124900504394</v>
      </c>
      <c r="AX227" s="50">
        <f t="shared" si="2046"/>
        <v>-62117.677100810251</v>
      </c>
      <c r="AY227" s="50">
        <f t="shared" si="2046"/>
        <v>-86801.56393510905</v>
      </c>
      <c r="AZ227" s="50">
        <f t="shared" si="2046"/>
        <v>-56594.5862214097</v>
      </c>
      <c r="BA227" s="50">
        <f t="shared" si="2046"/>
        <v>-55566.123726514183</v>
      </c>
      <c r="BB227" s="50">
        <f t="shared" si="2046"/>
        <v>-78113.967347243859</v>
      </c>
      <c r="BC227" s="50">
        <f t="shared" si="2046"/>
        <v>-108161.63417678399</v>
      </c>
      <c r="BD227" s="50">
        <f t="shared" si="2046"/>
        <v>-69694.24635889662</v>
      </c>
    </row>
    <row r="228" spans="2:56" x14ac:dyDescent="0.2">
      <c r="B228" s="98" t="s">
        <v>293</v>
      </c>
      <c r="C228" s="45"/>
      <c r="D228" s="45"/>
      <c r="E228" s="46" t="s">
        <v>36</v>
      </c>
      <c r="F228" s="126">
        <f t="shared" ref="F228:O228" si="2047">F227/F$10</f>
        <v>-4.3306637140766983E-4</v>
      </c>
      <c r="G228" s="126">
        <f t="shared" si="2047"/>
        <v>-1.2086251114517277E-2</v>
      </c>
      <c r="H228" s="126">
        <f t="shared" si="2047"/>
        <v>-9.738182199555202E-3</v>
      </c>
      <c r="I228" s="126">
        <f t="shared" si="2047"/>
        <v>-7.6250436469801775E-3</v>
      </c>
      <c r="J228" s="126">
        <f t="shared" si="2047"/>
        <v>9.2089250093885483E-4</v>
      </c>
      <c r="K228" s="126">
        <f t="shared" si="2047"/>
        <v>-4.9391525690288159E-3</v>
      </c>
      <c r="L228" s="126">
        <f t="shared" si="2047"/>
        <v>-4.9882670064739214E-3</v>
      </c>
      <c r="M228" s="126">
        <f t="shared" si="2047"/>
        <v>-4.9826065983335759E-3</v>
      </c>
      <c r="N228" s="126">
        <f t="shared" si="2047"/>
        <v>-5.0108482606174235E-3</v>
      </c>
      <c r="O228" s="126">
        <f t="shared" si="2047"/>
        <v>-6.5271814329515209E-3</v>
      </c>
      <c r="P228" s="81"/>
      <c r="Q228" s="126">
        <f>Q227/Q$10</f>
        <v>1.1759401969449984E-3</v>
      </c>
      <c r="R228" s="126">
        <f t="shared" ref="R228:AJ228" si="2048">R227/R$10</f>
        <v>1.2450840723495283E-3</v>
      </c>
      <c r="S228" s="126">
        <f t="shared" si="2048"/>
        <v>-3.292913832372392E-4</v>
      </c>
      <c r="T228" s="126">
        <f t="shared" si="2048"/>
        <v>-1.3588354120113045E-3</v>
      </c>
      <c r="U228" s="126">
        <f t="shared" si="2048"/>
        <v>-3.3349450805702156E-3</v>
      </c>
      <c r="V228" s="126">
        <f t="shared" si="2048"/>
        <v>-2.2494664893452511E-2</v>
      </c>
      <c r="W228" s="126">
        <f t="shared" si="2048"/>
        <v>-6.1817023777863231E-2</v>
      </c>
      <c r="X228" s="126">
        <f t="shared" si="2048"/>
        <v>-6.1366251899514869E-2</v>
      </c>
      <c r="Y228" s="126">
        <f t="shared" si="2048"/>
        <v>-3.6774024017221359E-2</v>
      </c>
      <c r="Z228" s="126">
        <f t="shared" si="2048"/>
        <v>-4.7734814122114222E-2</v>
      </c>
      <c r="AA228" s="126">
        <f t="shared" si="2048"/>
        <v>-6.5435186338904813E-2</v>
      </c>
      <c r="AB228" s="126">
        <f t="shared" si="2048"/>
        <v>-3.1736379410670007E-2</v>
      </c>
      <c r="AC228" s="126">
        <f t="shared" si="2048"/>
        <v>-2.2897341793022587E-2</v>
      </c>
      <c r="AD228" s="126">
        <f t="shared" si="2048"/>
        <v>-2.7780230514311256E-2</v>
      </c>
      <c r="AE228" s="126">
        <f t="shared" si="2048"/>
        <v>-2.3932266450269791E-2</v>
      </c>
      <c r="AF228" s="126">
        <f t="shared" si="2048"/>
        <v>-2.2033009675401484E-2</v>
      </c>
      <c r="AG228" s="126">
        <f t="shared" si="2048"/>
        <v>-2.0691197687651004E-2</v>
      </c>
      <c r="AH228" s="126">
        <f t="shared" si="2048"/>
        <v>-4.0074592174233643E-5</v>
      </c>
      <c r="AI228" s="126">
        <f t="shared" si="2048"/>
        <v>1.8933018960310762E-3</v>
      </c>
      <c r="AJ228" s="126">
        <f t="shared" si="2048"/>
        <v>2.7920493125427747E-3</v>
      </c>
      <c r="AK228" s="138">
        <f>MEDIAN(Q228,U228,Y228,AC228,AG228)</f>
        <v>-2.0691197687651004E-2</v>
      </c>
      <c r="AL228" s="138">
        <f t="shared" ref="AL228" si="2049">MEDIAN(R228,V228,Z228,AD228,AH228)</f>
        <v>-2.2494664893452511E-2</v>
      </c>
      <c r="AM228" s="138">
        <f t="shared" ref="AM228" si="2050">MEDIAN(S228,W228,AA228,AE228,AI228)</f>
        <v>-2.3932266450269791E-2</v>
      </c>
      <c r="AN228" s="138">
        <f t="shared" ref="AN228" si="2051">MEDIAN(T228,X228,AB228,AF228,AJ228)</f>
        <v>-2.2033009675401484E-2</v>
      </c>
      <c r="AO228" s="138">
        <f>AK228</f>
        <v>-2.0691197687651004E-2</v>
      </c>
      <c r="AP228" s="138">
        <f t="shared" ref="AP228" si="2052">AL228</f>
        <v>-2.2494664893452511E-2</v>
      </c>
      <c r="AQ228" s="138">
        <f t="shared" ref="AQ228" si="2053">AM228</f>
        <v>-2.3932266450269791E-2</v>
      </c>
      <c r="AR228" s="138">
        <f t="shared" ref="AR228" si="2054">AN228</f>
        <v>-2.2033009675401484E-2</v>
      </c>
      <c r="AS228" s="138">
        <f t="shared" ref="AS228" si="2055">AO228</f>
        <v>-2.0691197687651004E-2</v>
      </c>
      <c r="AT228" s="138">
        <f t="shared" ref="AT228" si="2056">AP228</f>
        <v>-2.2494664893452511E-2</v>
      </c>
      <c r="AU228" s="138">
        <f t="shared" ref="AU228" si="2057">AQ228</f>
        <v>-2.3932266450269791E-2</v>
      </c>
      <c r="AV228" s="138">
        <f t="shared" ref="AV228" si="2058">AR228</f>
        <v>-2.2033009675401484E-2</v>
      </c>
      <c r="AW228" s="138">
        <f t="shared" ref="AW228" si="2059">AS228</f>
        <v>-2.0691197687651004E-2</v>
      </c>
      <c r="AX228" s="138">
        <f t="shared" ref="AX228" si="2060">AT228</f>
        <v>-2.2494664893452511E-2</v>
      </c>
      <c r="AY228" s="138">
        <f t="shared" ref="AY228" si="2061">AU228</f>
        <v>-2.3932266450269791E-2</v>
      </c>
      <c r="AZ228" s="138">
        <f t="shared" ref="AZ228" si="2062">AV228</f>
        <v>-2.2033009675401484E-2</v>
      </c>
      <c r="BA228" s="138">
        <f t="shared" ref="BA228" si="2063">AW228</f>
        <v>-2.0691197687651004E-2</v>
      </c>
      <c r="BB228" s="138">
        <f t="shared" ref="BB228" si="2064">AX228</f>
        <v>-2.2494664893452511E-2</v>
      </c>
      <c r="BC228" s="138">
        <f t="shared" ref="BC228" si="2065">AY228</f>
        <v>-2.3932266450269791E-2</v>
      </c>
      <c r="BD228" s="138">
        <f t="shared" ref="BD228" si="2066">AZ228</f>
        <v>-2.2033009675401484E-2</v>
      </c>
    </row>
  </sheetData>
  <pageMargins left="0.7" right="0.7" top="0.75" bottom="0.75" header="0.3" footer="0.3"/>
  <pageSetup scale="1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A469A-750C-4E51-9FAD-556A6C065383}">
  <sheetPr>
    <tabColor rgb="FFFFFF99"/>
  </sheetPr>
  <dimension ref="A1:O54"/>
  <sheetViews>
    <sheetView showGridLines="0" view="pageBreakPreview" topLeftCell="A23" zoomScale="51" zoomScaleNormal="57" workbookViewId="0">
      <selection activeCell="B42" sqref="B42:O45"/>
    </sheetView>
  </sheetViews>
  <sheetFormatPr baseColWidth="10" defaultColWidth="8.6640625" defaultRowHeight="15" x14ac:dyDescent="0.2"/>
  <cols>
    <col min="1" max="1" width="2.1640625" customWidth="1"/>
    <col min="2" max="2" width="8.6640625" style="1" customWidth="1"/>
    <col min="3" max="3" width="80.5" style="1" customWidth="1"/>
    <col min="4" max="5" width="12.5" style="1" customWidth="1"/>
    <col min="6" max="15" width="15.5" style="1" customWidth="1"/>
    <col min="16" max="16383" width="8.6640625" style="1" customWidth="1"/>
    <col min="16384" max="16384" width="8.6640625" style="1"/>
  </cols>
  <sheetData>
    <row r="1" spans="1:15" customFormat="1" ht="23" x14ac:dyDescent="0.25">
      <c r="A1" s="27" t="str">
        <f>'Cover Page'!$C$3</f>
        <v>Coinbase Global Inc., (NASDAQ: COIN)</v>
      </c>
      <c r="B1" s="1"/>
      <c r="C1" s="1"/>
      <c r="D1" s="1"/>
      <c r="E1" s="1"/>
      <c r="F1" s="28">
        <v>2021</v>
      </c>
      <c r="G1" s="28">
        <f>F1+1</f>
        <v>2022</v>
      </c>
      <c r="H1" s="28">
        <f t="shared" ref="H1:O1" si="0">G1+1</f>
        <v>2023</v>
      </c>
      <c r="I1" s="28">
        <f t="shared" si="0"/>
        <v>2024</v>
      </c>
      <c r="J1" s="28">
        <f t="shared" si="0"/>
        <v>2025</v>
      </c>
      <c r="K1" s="28">
        <f t="shared" si="0"/>
        <v>2026</v>
      </c>
      <c r="L1" s="28">
        <f t="shared" si="0"/>
        <v>2027</v>
      </c>
      <c r="M1" s="28">
        <f t="shared" si="0"/>
        <v>2028</v>
      </c>
      <c r="N1" s="28">
        <f t="shared" si="0"/>
        <v>2029</v>
      </c>
      <c r="O1" s="28">
        <f t="shared" si="0"/>
        <v>2030</v>
      </c>
    </row>
    <row r="2" spans="1:15" customFormat="1" x14ac:dyDescent="0.2">
      <c r="A2" s="1" t="s">
        <v>150</v>
      </c>
      <c r="B2" s="1"/>
      <c r="C2" s="1"/>
      <c r="D2" s="1"/>
      <c r="E2" s="1"/>
      <c r="F2" s="29" t="s">
        <v>20</v>
      </c>
      <c r="G2" s="29" t="s">
        <v>20</v>
      </c>
      <c r="H2" s="29" t="s">
        <v>20</v>
      </c>
      <c r="I2" s="29" t="s">
        <v>20</v>
      </c>
      <c r="J2" s="29" t="s">
        <v>20</v>
      </c>
      <c r="K2" s="29" t="s">
        <v>20</v>
      </c>
      <c r="L2" s="29" t="s">
        <v>20</v>
      </c>
      <c r="M2" s="29" t="s">
        <v>20</v>
      </c>
      <c r="N2" s="29" t="s">
        <v>20</v>
      </c>
      <c r="O2" s="29" t="s">
        <v>20</v>
      </c>
    </row>
    <row r="3" spans="1:15" customFormat="1" x14ac:dyDescent="0.2">
      <c r="A3" s="1"/>
      <c r="B3" s="1"/>
      <c r="C3" s="1"/>
      <c r="D3" s="1"/>
      <c r="E3" s="1"/>
      <c r="F3" s="29">
        <v>12</v>
      </c>
      <c r="G3" s="29">
        <v>12</v>
      </c>
      <c r="H3" s="29">
        <v>12</v>
      </c>
      <c r="I3" s="29">
        <v>12</v>
      </c>
      <c r="J3" s="29">
        <v>12</v>
      </c>
      <c r="K3" s="29">
        <v>12</v>
      </c>
      <c r="L3" s="29">
        <v>12</v>
      </c>
      <c r="M3" s="29">
        <v>12</v>
      </c>
      <c r="N3" s="29">
        <v>12</v>
      </c>
      <c r="O3" s="29">
        <v>12</v>
      </c>
    </row>
    <row r="4" spans="1:15" customFormat="1" x14ac:dyDescent="0.2">
      <c r="A4" s="1"/>
      <c r="B4" s="1"/>
      <c r="C4" s="1"/>
      <c r="D4" s="1"/>
      <c r="E4" s="1"/>
      <c r="F4" s="29">
        <v>365</v>
      </c>
      <c r="G4" s="29">
        <v>365</v>
      </c>
      <c r="H4" s="29">
        <v>365</v>
      </c>
      <c r="I4" s="29">
        <v>366</v>
      </c>
      <c r="J4" s="29">
        <v>365</v>
      </c>
      <c r="K4" s="29">
        <v>365</v>
      </c>
      <c r="L4" s="29">
        <v>365</v>
      </c>
      <c r="M4" s="29">
        <v>366</v>
      </c>
      <c r="N4" s="29">
        <v>365</v>
      </c>
      <c r="O4" s="29">
        <v>365</v>
      </c>
    </row>
    <row r="5" spans="1:15" customFormat="1" x14ac:dyDescent="0.2">
      <c r="A5" s="1"/>
      <c r="B5" s="1"/>
      <c r="C5" s="1"/>
      <c r="D5" s="1"/>
      <c r="E5" s="1"/>
      <c r="F5" s="29" t="s">
        <v>24</v>
      </c>
      <c r="G5" s="29" t="s">
        <v>24</v>
      </c>
      <c r="H5" s="29" t="s">
        <v>24</v>
      </c>
      <c r="I5" s="29" t="s">
        <v>24</v>
      </c>
      <c r="J5" s="29" t="s">
        <v>24</v>
      </c>
      <c r="K5" s="29" t="s">
        <v>25</v>
      </c>
      <c r="L5" s="29" t="s">
        <v>25</v>
      </c>
      <c r="M5" s="29" t="s">
        <v>25</v>
      </c>
      <c r="N5" s="29" t="s">
        <v>25</v>
      </c>
      <c r="O5" s="29" t="s">
        <v>25</v>
      </c>
    </row>
    <row r="6" spans="1:15" customFormat="1" x14ac:dyDescent="0.2">
      <c r="A6" s="30" t="s">
        <v>26</v>
      </c>
      <c r="B6" s="1"/>
      <c r="C6" s="1"/>
      <c r="D6" s="1"/>
      <c r="E6" s="1"/>
      <c r="F6" s="31">
        <v>44561</v>
      </c>
      <c r="G6" s="32">
        <f>EOMONTH(F6,12)</f>
        <v>44926</v>
      </c>
      <c r="H6" s="32">
        <f t="shared" ref="H6:O6" si="1">EOMONTH(G6,12)</f>
        <v>45291</v>
      </c>
      <c r="I6" s="32">
        <f t="shared" si="1"/>
        <v>45657</v>
      </c>
      <c r="J6" s="32">
        <f t="shared" si="1"/>
        <v>46022</v>
      </c>
      <c r="K6" s="32">
        <f t="shared" si="1"/>
        <v>46387</v>
      </c>
      <c r="L6" s="32">
        <f t="shared" si="1"/>
        <v>46752</v>
      </c>
      <c r="M6" s="32">
        <f t="shared" si="1"/>
        <v>47118</v>
      </c>
      <c r="N6" s="32">
        <f t="shared" si="1"/>
        <v>47483</v>
      </c>
      <c r="O6" s="32">
        <f t="shared" si="1"/>
        <v>47848</v>
      </c>
    </row>
    <row r="7" spans="1:15" customFormat="1" ht="3" customHeight="1" x14ac:dyDescent="0.2"/>
    <row r="8" spans="1:15" ht="14" x14ac:dyDescent="0.15">
      <c r="A8" s="1" t="s">
        <v>27</v>
      </c>
      <c r="B8" s="33" t="s">
        <v>302</v>
      </c>
      <c r="C8" s="33"/>
      <c r="D8" s="33"/>
      <c r="E8" s="34" t="s">
        <v>29</v>
      </c>
      <c r="F8" s="35">
        <v>21</v>
      </c>
      <c r="G8" s="35">
        <f>F8+1</f>
        <v>22</v>
      </c>
      <c r="H8" s="35">
        <f t="shared" ref="H8:O8" si="2">G8+1</f>
        <v>23</v>
      </c>
      <c r="I8" s="35">
        <f t="shared" si="2"/>
        <v>24</v>
      </c>
      <c r="J8" s="35">
        <f t="shared" si="2"/>
        <v>25</v>
      </c>
      <c r="K8" s="36">
        <f t="shared" si="2"/>
        <v>26</v>
      </c>
      <c r="L8" s="36">
        <f t="shared" si="2"/>
        <v>27</v>
      </c>
      <c r="M8" s="36">
        <f t="shared" si="2"/>
        <v>28</v>
      </c>
      <c r="N8" s="36">
        <f t="shared" si="2"/>
        <v>29</v>
      </c>
      <c r="O8" s="36">
        <f t="shared" si="2"/>
        <v>30</v>
      </c>
    </row>
    <row r="9" spans="1:15" customFormat="1" ht="16" thickBot="1" x14ac:dyDescent="0.25"/>
    <row r="10" spans="1:15" ht="16" thickBot="1" x14ac:dyDescent="0.25">
      <c r="B10" s="153" t="s">
        <v>303</v>
      </c>
      <c r="C10" s="154"/>
      <c r="D10" s="154"/>
      <c r="E10" s="155" t="s">
        <v>33</v>
      </c>
      <c r="F10" s="156">
        <f>SUM('3FS'!E82:E83)</f>
        <v>59230</v>
      </c>
      <c r="G10" s="156">
        <f>SUM('3FS'!F82:F83)</f>
        <v>171853</v>
      </c>
      <c r="H10" s="156">
        <f>SUM('3FS'!G82:G83)</f>
        <v>192550</v>
      </c>
      <c r="I10" s="156">
        <f>SUM('3FS'!H82:H83)</f>
        <v>200080</v>
      </c>
      <c r="J10" s="156">
        <f>SUM('3FS'!I82:I83)</f>
        <v>264573</v>
      </c>
      <c r="K10" s="176">
        <f>J10-K20+K44</f>
        <v>326749.45502030232</v>
      </c>
      <c r="L10" s="176">
        <f t="shared" ref="L10:O10" si="3">K10-L20+L44</f>
        <v>376528.35619411932</v>
      </c>
      <c r="M10" s="176">
        <f t="shared" si="3"/>
        <v>412867.62129614549</v>
      </c>
      <c r="N10" s="176">
        <f t="shared" si="3"/>
        <v>441876.78501951258</v>
      </c>
      <c r="O10" s="176">
        <f t="shared" si="3"/>
        <v>476497.80286563968</v>
      </c>
    </row>
    <row r="12" spans="1:15" x14ac:dyDescent="0.2">
      <c r="B12" s="157" t="s">
        <v>304</v>
      </c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</row>
    <row r="14" spans="1:15" ht="17" x14ac:dyDescent="0.3">
      <c r="B14" s="75" t="s">
        <v>305</v>
      </c>
      <c r="C14" s="158"/>
      <c r="D14" s="159" t="s">
        <v>306</v>
      </c>
      <c r="E14" s="159" t="s">
        <v>307</v>
      </c>
      <c r="F14" s="159" t="s">
        <v>213</v>
      </c>
    </row>
    <row r="15" spans="1:15" x14ac:dyDescent="0.2">
      <c r="B15" s="1" t="s">
        <v>308</v>
      </c>
      <c r="D15" s="160">
        <v>1</v>
      </c>
      <c r="E15" s="160">
        <v>10</v>
      </c>
      <c r="F15" s="161">
        <f>ROUNDUP(AVERAGE(D15:E15),0)</f>
        <v>6</v>
      </c>
    </row>
    <row r="17" spans="2:15" x14ac:dyDescent="0.2">
      <c r="B17" s="1" t="s">
        <v>31</v>
      </c>
      <c r="E17" s="43" t="s">
        <v>33</v>
      </c>
      <c r="F17" s="50">
        <f>'3FS'!E15</f>
        <v>7839445</v>
      </c>
      <c r="G17" s="50">
        <f>'3FS'!F15</f>
        <v>3194208</v>
      </c>
      <c r="H17" s="50">
        <f>'3FS'!G15</f>
        <v>3108383</v>
      </c>
      <c r="I17" s="50">
        <f>'3FS'!H15</f>
        <v>6564028</v>
      </c>
      <c r="J17" s="50">
        <f>'3FS'!I15</f>
        <v>7181325</v>
      </c>
      <c r="K17" s="50">
        <f>'3FS'!J15</f>
        <v>7760519.8677711934</v>
      </c>
      <c r="L17" s="50">
        <f>'3FS'!K15</f>
        <v>8677662.983783463</v>
      </c>
      <c r="M17" s="50">
        <f>'3FS'!L15</f>
        <v>9724862.789179422</v>
      </c>
      <c r="N17" s="50">
        <f>'3FS'!M15</f>
        <v>11294412.298654651</v>
      </c>
      <c r="O17" s="50">
        <f>'3FS'!N15</f>
        <v>13840714.982593624</v>
      </c>
    </row>
    <row r="18" spans="2:15" x14ac:dyDescent="0.2">
      <c r="B18" s="98" t="s">
        <v>261</v>
      </c>
      <c r="C18" s="45"/>
      <c r="D18" s="45"/>
      <c r="E18" s="46" t="s">
        <v>36</v>
      </c>
      <c r="F18" s="127"/>
      <c r="G18" s="126">
        <f>(G17-F17)/F17</f>
        <v>-0.59254666624997054</v>
      </c>
      <c r="H18" s="126">
        <f t="shared" ref="H18:O18" si="4">(H17-G17)/G17</f>
        <v>-2.6868945290976668E-2</v>
      </c>
      <c r="I18" s="126">
        <f t="shared" si="4"/>
        <v>1.1117178931939855</v>
      </c>
      <c r="J18" s="126">
        <f t="shared" si="4"/>
        <v>9.4042408106729591E-2</v>
      </c>
      <c r="K18" s="126">
        <f t="shared" si="4"/>
        <v>8.065292515952048E-2</v>
      </c>
      <c r="L18" s="126">
        <f t="shared" si="4"/>
        <v>0.11818062857117217</v>
      </c>
      <c r="M18" s="126">
        <f t="shared" si="4"/>
        <v>0.12067763029665156</v>
      </c>
      <c r="N18" s="126">
        <f t="shared" si="4"/>
        <v>0.16139554289872576</v>
      </c>
      <c r="O18" s="126">
        <f t="shared" si="4"/>
        <v>0.22544800177360966</v>
      </c>
    </row>
    <row r="20" spans="2:15" x14ac:dyDescent="0.2">
      <c r="B20" s="1" t="s">
        <v>162</v>
      </c>
      <c r="E20" s="43" t="s">
        <v>33</v>
      </c>
      <c r="F20" s="50">
        <f>'3FS'!E187</f>
        <v>-387313</v>
      </c>
      <c r="G20" s="50">
        <f>'3FS'!F187</f>
        <v>0</v>
      </c>
      <c r="H20" s="50">
        <f>'3FS'!G187</f>
        <v>-18835</v>
      </c>
      <c r="I20" s="50">
        <f>'3FS'!H187</f>
        <v>-59915</v>
      </c>
      <c r="J20" s="50">
        <f>'3FS'!I187</f>
        <v>-377426</v>
      </c>
      <c r="K20" s="50">
        <f>-K21*K17</f>
        <v>-181828.14602436282</v>
      </c>
      <c r="L20" s="50">
        <f t="shared" ref="L20:O20" si="5">-L21*L17</f>
        <v>-203316.71061345292</v>
      </c>
      <c r="M20" s="50">
        <f t="shared" si="5"/>
        <v>-227852.48944999449</v>
      </c>
      <c r="N20" s="50">
        <f t="shared" si="5"/>
        <v>-264626.86568560253</v>
      </c>
      <c r="O20" s="50">
        <f t="shared" si="5"/>
        <v>-324286.46377003501</v>
      </c>
    </row>
    <row r="21" spans="2:15" x14ac:dyDescent="0.2">
      <c r="B21" s="98" t="s">
        <v>293</v>
      </c>
      <c r="C21" s="45"/>
      <c r="D21" s="45"/>
      <c r="E21" s="46" t="s">
        <v>36</v>
      </c>
      <c r="F21" s="126">
        <f>F20/-F17</f>
        <v>4.9405665834762538E-2</v>
      </c>
      <c r="G21" s="126">
        <f t="shared" ref="G21:J21" si="6">G20/-G17</f>
        <v>0</v>
      </c>
      <c r="H21" s="126">
        <f t="shared" si="6"/>
        <v>6.0594206055045339E-3</v>
      </c>
      <c r="I21" s="126">
        <f t="shared" si="6"/>
        <v>9.1277794671198835E-3</v>
      </c>
      <c r="J21" s="126">
        <f t="shared" si="6"/>
        <v>5.2556596449819498E-2</v>
      </c>
      <c r="K21" s="138">
        <f>AVERAGE(F21:J21)</f>
        <v>2.342989247144129E-2</v>
      </c>
      <c r="L21" s="138">
        <f>K21</f>
        <v>2.342989247144129E-2</v>
      </c>
      <c r="M21" s="138">
        <f t="shared" ref="M21:O21" si="7">L21</f>
        <v>2.342989247144129E-2</v>
      </c>
      <c r="N21" s="138">
        <f t="shared" si="7"/>
        <v>2.342989247144129E-2</v>
      </c>
      <c r="O21" s="138">
        <f t="shared" si="7"/>
        <v>2.342989247144129E-2</v>
      </c>
    </row>
    <row r="23" spans="2:15" x14ac:dyDescent="0.2">
      <c r="B23" s="157" t="s">
        <v>309</v>
      </c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</row>
    <row r="25" spans="2:15" x14ac:dyDescent="0.2">
      <c r="B25" s="75" t="s">
        <v>310</v>
      </c>
    </row>
    <row r="26" spans="2:15" x14ac:dyDescent="0.2">
      <c r="B26" s="1" t="s">
        <v>308</v>
      </c>
      <c r="E26" s="43" t="s">
        <v>33</v>
      </c>
      <c r="F26" s="50">
        <v>101476</v>
      </c>
      <c r="G26" s="50">
        <v>256868</v>
      </c>
      <c r="H26" s="50">
        <v>313277</v>
      </c>
      <c r="I26" s="50">
        <v>384698</v>
      </c>
      <c r="J26" s="50">
        <v>536082</v>
      </c>
      <c r="K26" s="50">
        <f>J26+K29</f>
        <v>717910.14602436288</v>
      </c>
      <c r="L26" s="50">
        <f t="shared" ref="L26:O26" si="8">K26+L29</f>
        <v>921226.85663781583</v>
      </c>
      <c r="M26" s="50">
        <f t="shared" si="8"/>
        <v>1149079.3460878104</v>
      </c>
      <c r="N26" s="50">
        <f t="shared" si="8"/>
        <v>1413706.2117734128</v>
      </c>
      <c r="O26" s="50">
        <f t="shared" si="8"/>
        <v>1737992.6755434477</v>
      </c>
    </row>
    <row r="28" spans="2:15" x14ac:dyDescent="0.2">
      <c r="B28" s="75" t="s">
        <v>311</v>
      </c>
    </row>
    <row r="29" spans="2:15" x14ac:dyDescent="0.2">
      <c r="B29" s="1" t="s">
        <v>308</v>
      </c>
      <c r="E29" s="43" t="s">
        <v>33</v>
      </c>
      <c r="F29" s="163"/>
      <c r="G29" s="50">
        <f>G26-F26</f>
        <v>155392</v>
      </c>
      <c r="H29" s="50">
        <f t="shared" ref="H29:J29" si="9">H26-G26</f>
        <v>56409</v>
      </c>
      <c r="I29" s="50">
        <f t="shared" si="9"/>
        <v>71421</v>
      </c>
      <c r="J29" s="50">
        <f t="shared" si="9"/>
        <v>151384</v>
      </c>
      <c r="K29" s="50">
        <f>-K20</f>
        <v>181828.14602436282</v>
      </c>
      <c r="L29" s="50">
        <f t="shared" ref="L29:O29" si="10">-L20</f>
        <v>203316.71061345292</v>
      </c>
      <c r="M29" s="50">
        <f t="shared" si="10"/>
        <v>227852.48944999449</v>
      </c>
      <c r="N29" s="50">
        <f t="shared" si="10"/>
        <v>264626.86568560253</v>
      </c>
      <c r="O29" s="50">
        <f t="shared" si="10"/>
        <v>324286.46377003501</v>
      </c>
    </row>
    <row r="31" spans="2:15" x14ac:dyDescent="0.2">
      <c r="B31" s="157" t="s">
        <v>312</v>
      </c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</row>
    <row r="33" spans="2:15" x14ac:dyDescent="0.2">
      <c r="B33" s="75" t="s">
        <v>313</v>
      </c>
    </row>
    <row r="34" spans="2:15" x14ac:dyDescent="0.2">
      <c r="B34" s="1" t="s">
        <v>314</v>
      </c>
      <c r="E34" s="43" t="s">
        <v>33</v>
      </c>
      <c r="F34" s="119"/>
      <c r="G34" s="119"/>
      <c r="H34" s="119"/>
      <c r="I34" s="119"/>
      <c r="J34" s="119"/>
      <c r="K34" s="50">
        <f>J36</f>
        <v>-271509</v>
      </c>
      <c r="L34" s="50">
        <f t="shared" ref="L34:O34" si="11">K36</f>
        <v>-391160.69100406044</v>
      </c>
      <c r="M34" s="50">
        <f t="shared" si="11"/>
        <v>-544698.50044369639</v>
      </c>
      <c r="N34" s="50">
        <f t="shared" si="11"/>
        <v>-736211.72479166475</v>
      </c>
      <c r="O34" s="50">
        <f t="shared" si="11"/>
        <v>-971829.42675390025</v>
      </c>
    </row>
    <row r="35" spans="2:15" x14ac:dyDescent="0.2">
      <c r="B35" s="1" t="s">
        <v>315</v>
      </c>
      <c r="E35" s="43" t="s">
        <v>33</v>
      </c>
      <c r="F35" s="119"/>
      <c r="G35" s="119"/>
      <c r="H35" s="119"/>
      <c r="I35" s="119"/>
      <c r="J35" s="119"/>
      <c r="K35" s="50">
        <f>K44</f>
        <v>-119651.69100406047</v>
      </c>
      <c r="L35" s="50">
        <f t="shared" ref="L35:O35" si="12">L44</f>
        <v>-153537.80943963595</v>
      </c>
      <c r="M35" s="50">
        <f t="shared" si="12"/>
        <v>-191513.22434796835</v>
      </c>
      <c r="N35" s="50">
        <f t="shared" si="12"/>
        <v>-235617.70196223544</v>
      </c>
      <c r="O35" s="50">
        <f t="shared" si="12"/>
        <v>-289665.44592390792</v>
      </c>
    </row>
    <row r="36" spans="2:15" x14ac:dyDescent="0.2">
      <c r="B36" s="121" t="s">
        <v>316</v>
      </c>
      <c r="C36" s="121"/>
      <c r="D36" s="121"/>
      <c r="E36" s="122" t="s">
        <v>33</v>
      </c>
      <c r="F36" s="123"/>
      <c r="G36" s="123"/>
      <c r="H36" s="123"/>
      <c r="I36" s="123"/>
      <c r="J36" s="166">
        <v>-271509</v>
      </c>
      <c r="K36" s="165">
        <f>SUM(K34:K35)</f>
        <v>-391160.69100406044</v>
      </c>
      <c r="L36" s="165">
        <f t="shared" ref="L36:O36" si="13">SUM(L34:L35)</f>
        <v>-544698.50044369639</v>
      </c>
      <c r="M36" s="165">
        <f t="shared" si="13"/>
        <v>-736211.72479166475</v>
      </c>
      <c r="N36" s="165">
        <f t="shared" si="13"/>
        <v>-971829.42675390025</v>
      </c>
      <c r="O36" s="165">
        <f t="shared" si="13"/>
        <v>-1261494.8726778082</v>
      </c>
    </row>
    <row r="38" spans="2:15" x14ac:dyDescent="0.2">
      <c r="B38" s="148" t="str">
        <f>B15</f>
        <v>Capitalized software &amp; Others</v>
      </c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</row>
    <row r="40" spans="2:15" x14ac:dyDescent="0.2">
      <c r="B40" s="52" t="s">
        <v>317</v>
      </c>
      <c r="D40" s="170">
        <f>F15</f>
        <v>6</v>
      </c>
    </row>
    <row r="42" spans="2:15" x14ac:dyDescent="0.2">
      <c r="B42" s="1" t="s">
        <v>318</v>
      </c>
      <c r="E42" s="43" t="s">
        <v>33</v>
      </c>
      <c r="F42" s="119"/>
      <c r="G42" s="119"/>
      <c r="H42" s="119"/>
      <c r="I42" s="119"/>
      <c r="J42" s="119"/>
      <c r="K42" s="50">
        <f>J26</f>
        <v>536082</v>
      </c>
      <c r="L42" s="50">
        <f>K45</f>
        <v>598258.45502030244</v>
      </c>
      <c r="M42" s="50">
        <f t="shared" ref="M42:O42" si="14">L45</f>
        <v>648037.35619411943</v>
      </c>
      <c r="N42" s="50">
        <f t="shared" si="14"/>
        <v>684376.6212961456</v>
      </c>
      <c r="O42" s="50">
        <f t="shared" si="14"/>
        <v>713385.78501951275</v>
      </c>
    </row>
    <row r="43" spans="2:15" x14ac:dyDescent="0.2">
      <c r="B43" s="1" t="s">
        <v>319</v>
      </c>
      <c r="E43" s="43" t="s">
        <v>33</v>
      </c>
      <c r="F43" s="119"/>
      <c r="G43" s="119"/>
      <c r="H43" s="119"/>
      <c r="I43" s="119"/>
      <c r="J43" s="119"/>
      <c r="K43" s="173">
        <f>K29</f>
        <v>181828.14602436282</v>
      </c>
      <c r="L43" s="173">
        <f t="shared" ref="L43:O43" si="15">L29</f>
        <v>203316.71061345292</v>
      </c>
      <c r="M43" s="173">
        <f t="shared" si="15"/>
        <v>227852.48944999449</v>
      </c>
      <c r="N43" s="173">
        <f t="shared" si="15"/>
        <v>264626.86568560253</v>
      </c>
      <c r="O43" s="173">
        <f t="shared" si="15"/>
        <v>324286.46377003501</v>
      </c>
    </row>
    <row r="44" spans="2:15" x14ac:dyDescent="0.2">
      <c r="B44" s="1" t="s">
        <v>320</v>
      </c>
      <c r="E44" s="43" t="s">
        <v>33</v>
      </c>
      <c r="F44" s="119"/>
      <c r="G44" s="119"/>
      <c r="H44" s="119"/>
      <c r="I44" s="119"/>
      <c r="J44" s="119"/>
      <c r="K44" s="173">
        <f>K54</f>
        <v>-119651.69100406047</v>
      </c>
      <c r="L44" s="173">
        <f t="shared" ref="L44:O44" si="16">L54</f>
        <v>-153537.80943963595</v>
      </c>
      <c r="M44" s="173">
        <f t="shared" si="16"/>
        <v>-191513.22434796835</v>
      </c>
      <c r="N44" s="173">
        <f t="shared" si="16"/>
        <v>-235617.70196223544</v>
      </c>
      <c r="O44" s="173">
        <f t="shared" si="16"/>
        <v>-289665.44592390792</v>
      </c>
    </row>
    <row r="45" spans="2:15" x14ac:dyDescent="0.2">
      <c r="B45" s="168" t="s">
        <v>321</v>
      </c>
      <c r="C45" s="168"/>
      <c r="D45" s="168"/>
      <c r="E45" s="169" t="s">
        <v>33</v>
      </c>
      <c r="F45" s="171"/>
      <c r="G45" s="171"/>
      <c r="H45" s="171"/>
      <c r="I45" s="171"/>
      <c r="J45" s="171"/>
      <c r="K45" s="172">
        <f>SUM(K42:K44)</f>
        <v>598258.45502030244</v>
      </c>
      <c r="L45" s="172">
        <f t="shared" ref="L45:O45" si="17">SUM(L42:L44)</f>
        <v>648037.35619411943</v>
      </c>
      <c r="M45" s="172">
        <f t="shared" si="17"/>
        <v>684376.6212961456</v>
      </c>
      <c r="N45" s="172">
        <f t="shared" si="17"/>
        <v>713385.78501951275</v>
      </c>
      <c r="O45" s="172">
        <f t="shared" si="17"/>
        <v>748006.80286563979</v>
      </c>
    </row>
    <row r="47" spans="2:15" x14ac:dyDescent="0.2">
      <c r="B47" s="158" t="s">
        <v>322</v>
      </c>
      <c r="D47" s="175" t="s">
        <v>323</v>
      </c>
      <c r="E47" s="175" t="s">
        <v>324</v>
      </c>
    </row>
    <row r="48" spans="2:15" x14ac:dyDescent="0.2">
      <c r="B48" s="174">
        <f>K8</f>
        <v>26</v>
      </c>
      <c r="D48" s="50">
        <f>K42</f>
        <v>536082</v>
      </c>
      <c r="E48" s="174">
        <f>B48+$D$40-1</f>
        <v>31</v>
      </c>
      <c r="F48" s="119"/>
      <c r="G48" s="119"/>
      <c r="H48" s="119"/>
      <c r="I48" s="119"/>
      <c r="J48" s="119"/>
      <c r="K48" s="50">
        <f>IF(AND(K$8&lt;=$E48,K$8&gt;=$B48),IFERROR(-$D48/$D$40,0),0)</f>
        <v>-89347</v>
      </c>
      <c r="L48" s="50">
        <f t="shared" ref="L48:O53" si="18">IF(AND(L$8&lt;=$E48,L$8&gt;=$B48),IFERROR(-$D48/$D$40,0),0)</f>
        <v>-89347</v>
      </c>
      <c r="M48" s="50">
        <f t="shared" si="18"/>
        <v>-89347</v>
      </c>
      <c r="N48" s="50">
        <f t="shared" si="18"/>
        <v>-89347</v>
      </c>
      <c r="O48" s="50">
        <f t="shared" si="18"/>
        <v>-89347</v>
      </c>
    </row>
    <row r="49" spans="2:15" x14ac:dyDescent="0.2">
      <c r="B49" s="174" cm="1">
        <f t="array" ref="B49:B53">TRANSPOSE(K8:O8)</f>
        <v>26</v>
      </c>
      <c r="D49" s="50" cm="1">
        <f t="array" ref="D49:D53">TRANSPOSE(K43:O43)</f>
        <v>181828.14602436282</v>
      </c>
      <c r="E49" s="174">
        <f t="shared" ref="E49:E53" si="19">B49+$D$40-1</f>
        <v>31</v>
      </c>
      <c r="F49" s="119"/>
      <c r="G49" s="119"/>
      <c r="H49" s="119"/>
      <c r="I49" s="119"/>
      <c r="J49" s="119"/>
      <c r="K49" s="50">
        <f t="shared" ref="K49:K53" si="20">IF(AND(K$8&lt;=$E49,K$8&gt;=$B49),IFERROR(-$D49/$D$40,0),0)</f>
        <v>-30304.691004060471</v>
      </c>
      <c r="L49" s="50">
        <f t="shared" si="18"/>
        <v>-30304.691004060471</v>
      </c>
      <c r="M49" s="50">
        <f t="shared" si="18"/>
        <v>-30304.691004060471</v>
      </c>
      <c r="N49" s="50">
        <f t="shared" si="18"/>
        <v>-30304.691004060471</v>
      </c>
      <c r="O49" s="50">
        <f t="shared" si="18"/>
        <v>-30304.691004060471</v>
      </c>
    </row>
    <row r="50" spans="2:15" x14ac:dyDescent="0.2">
      <c r="B50" s="174">
        <v>27</v>
      </c>
      <c r="D50" s="50">
        <v>203316.71061345292</v>
      </c>
      <c r="E50" s="174">
        <f t="shared" si="19"/>
        <v>32</v>
      </c>
      <c r="F50" s="119"/>
      <c r="G50" s="119"/>
      <c r="H50" s="119"/>
      <c r="I50" s="119"/>
      <c r="J50" s="119"/>
      <c r="K50" s="50">
        <f t="shared" si="20"/>
        <v>0</v>
      </c>
      <c r="L50" s="50">
        <f t="shared" si="18"/>
        <v>-33886.118435575489</v>
      </c>
      <c r="M50" s="50">
        <f t="shared" si="18"/>
        <v>-33886.118435575489</v>
      </c>
      <c r="N50" s="50">
        <f t="shared" si="18"/>
        <v>-33886.118435575489</v>
      </c>
      <c r="O50" s="50">
        <f t="shared" si="18"/>
        <v>-33886.118435575489</v>
      </c>
    </row>
    <row r="51" spans="2:15" x14ac:dyDescent="0.2">
      <c r="B51" s="174">
        <v>28</v>
      </c>
      <c r="D51" s="50">
        <v>227852.48944999449</v>
      </c>
      <c r="E51" s="174">
        <f t="shared" si="19"/>
        <v>33</v>
      </c>
      <c r="F51" s="119"/>
      <c r="G51" s="119"/>
      <c r="H51" s="119"/>
      <c r="I51" s="119"/>
      <c r="J51" s="119"/>
      <c r="K51" s="50">
        <f t="shared" si="20"/>
        <v>0</v>
      </c>
      <c r="L51" s="50">
        <f t="shared" si="18"/>
        <v>0</v>
      </c>
      <c r="M51" s="50">
        <f t="shared" si="18"/>
        <v>-37975.414908332416</v>
      </c>
      <c r="N51" s="50">
        <f t="shared" si="18"/>
        <v>-37975.414908332416</v>
      </c>
      <c r="O51" s="50">
        <f t="shared" si="18"/>
        <v>-37975.414908332416</v>
      </c>
    </row>
    <row r="52" spans="2:15" x14ac:dyDescent="0.2">
      <c r="B52" s="174">
        <v>29</v>
      </c>
      <c r="D52" s="50">
        <v>264626.86568560253</v>
      </c>
      <c r="E52" s="174">
        <f t="shared" si="19"/>
        <v>34</v>
      </c>
      <c r="F52" s="119"/>
      <c r="G52" s="119"/>
      <c r="H52" s="119"/>
      <c r="I52" s="119"/>
      <c r="J52" s="119"/>
      <c r="K52" s="50">
        <f t="shared" si="20"/>
        <v>0</v>
      </c>
      <c r="L52" s="50">
        <f t="shared" si="18"/>
        <v>0</v>
      </c>
      <c r="M52" s="50">
        <f t="shared" si="18"/>
        <v>0</v>
      </c>
      <c r="N52" s="50">
        <f t="shared" si="18"/>
        <v>-44104.477614267089</v>
      </c>
      <c r="O52" s="50">
        <f t="shared" si="18"/>
        <v>-44104.477614267089</v>
      </c>
    </row>
    <row r="53" spans="2:15" x14ac:dyDescent="0.2">
      <c r="B53" s="174">
        <v>30</v>
      </c>
      <c r="D53" s="50">
        <v>324286.46377003501</v>
      </c>
      <c r="E53" s="174">
        <f t="shared" si="19"/>
        <v>35</v>
      </c>
      <c r="F53" s="119"/>
      <c r="G53" s="119"/>
      <c r="H53" s="119"/>
      <c r="I53" s="119"/>
      <c r="J53" s="119"/>
      <c r="K53" s="50">
        <f t="shared" si="20"/>
        <v>0</v>
      </c>
      <c r="L53" s="50">
        <f t="shared" si="18"/>
        <v>0</v>
      </c>
      <c r="M53" s="50">
        <f t="shared" si="18"/>
        <v>0</v>
      </c>
      <c r="N53" s="50">
        <f t="shared" si="18"/>
        <v>0</v>
      </c>
      <c r="O53" s="50">
        <f t="shared" si="18"/>
        <v>-54047.743961672502</v>
      </c>
    </row>
    <row r="54" spans="2:15" x14ac:dyDescent="0.2">
      <c r="B54" s="168" t="s">
        <v>325</v>
      </c>
      <c r="C54" s="168"/>
      <c r="D54" s="168"/>
      <c r="E54" s="168"/>
      <c r="F54" s="171"/>
      <c r="G54" s="171"/>
      <c r="H54" s="171"/>
      <c r="I54" s="171"/>
      <c r="J54" s="171"/>
      <c r="K54" s="172">
        <f>SUM(K48:K53)</f>
        <v>-119651.69100406047</v>
      </c>
      <c r="L54" s="172">
        <f t="shared" ref="L54:O54" si="21">SUM(L48:L53)</f>
        <v>-153537.80943963595</v>
      </c>
      <c r="M54" s="172">
        <f t="shared" si="21"/>
        <v>-191513.22434796835</v>
      </c>
      <c r="N54" s="172">
        <f t="shared" si="21"/>
        <v>-235617.70196223544</v>
      </c>
      <c r="O54" s="172">
        <f t="shared" si="21"/>
        <v>-289665.44592390792</v>
      </c>
    </row>
  </sheetData>
  <pageMargins left="0.7" right="0.7" top="0.75" bottom="0.75" header="0.3" footer="0.3"/>
  <pageSetup scale="3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E4819-4ACF-4C9B-82E4-A3948FA014CD}">
  <sheetPr>
    <tabColor rgb="FFFFFF99"/>
  </sheetPr>
  <dimension ref="A1:O113"/>
  <sheetViews>
    <sheetView showGridLines="0" view="pageBreakPreview" topLeftCell="A94" zoomScale="71" zoomScaleNormal="53" workbookViewId="0">
      <selection activeCell="C11" sqref="C11"/>
    </sheetView>
  </sheetViews>
  <sheetFormatPr baseColWidth="10" defaultColWidth="9.1640625" defaultRowHeight="14" x14ac:dyDescent="0.15"/>
  <cols>
    <col min="1" max="1" width="2.1640625" style="1" customWidth="1"/>
    <col min="2" max="2" width="8.6640625" style="1" customWidth="1"/>
    <col min="3" max="3" width="80.5" style="1" customWidth="1"/>
    <col min="4" max="5" width="12.5" style="1" customWidth="1"/>
    <col min="6" max="15" width="15.5" style="1" customWidth="1"/>
    <col min="16" max="16383" width="9.1640625" style="1" customWidth="1"/>
    <col min="16384" max="16384" width="9.1640625" style="1"/>
  </cols>
  <sheetData>
    <row r="1" spans="1:15" ht="23" x14ac:dyDescent="0.25">
      <c r="A1" s="27" t="str">
        <f>'Cover Page'!$C$3</f>
        <v>Coinbase Global Inc., (NASDAQ: COIN)</v>
      </c>
      <c r="F1" s="28">
        <v>2021</v>
      </c>
      <c r="G1" s="28">
        <f t="shared" ref="G1:O1" si="0">F1+1</f>
        <v>2022</v>
      </c>
      <c r="H1" s="28">
        <f t="shared" si="0"/>
        <v>2023</v>
      </c>
      <c r="I1" s="28">
        <f t="shared" si="0"/>
        <v>2024</v>
      </c>
      <c r="J1" s="28">
        <f t="shared" si="0"/>
        <v>2025</v>
      </c>
      <c r="K1" s="28">
        <f t="shared" si="0"/>
        <v>2026</v>
      </c>
      <c r="L1" s="28">
        <f t="shared" si="0"/>
        <v>2027</v>
      </c>
      <c r="M1" s="28">
        <f t="shared" si="0"/>
        <v>2028</v>
      </c>
      <c r="N1" s="28">
        <f t="shared" si="0"/>
        <v>2029</v>
      </c>
      <c r="O1" s="28">
        <f t="shared" si="0"/>
        <v>2030</v>
      </c>
    </row>
    <row r="2" spans="1:15" x14ac:dyDescent="0.15">
      <c r="A2" s="1" t="s">
        <v>326</v>
      </c>
      <c r="F2" s="29" t="s">
        <v>20</v>
      </c>
      <c r="G2" s="29" t="s">
        <v>20</v>
      </c>
      <c r="H2" s="29" t="s">
        <v>20</v>
      </c>
      <c r="I2" s="29" t="s">
        <v>20</v>
      </c>
      <c r="J2" s="29" t="s">
        <v>20</v>
      </c>
      <c r="K2" s="29" t="s">
        <v>20</v>
      </c>
      <c r="L2" s="29" t="s">
        <v>20</v>
      </c>
      <c r="M2" s="29" t="s">
        <v>20</v>
      </c>
      <c r="N2" s="29" t="s">
        <v>20</v>
      </c>
      <c r="O2" s="29" t="s">
        <v>20</v>
      </c>
    </row>
    <row r="3" spans="1:15" x14ac:dyDescent="0.15">
      <c r="F3" s="29">
        <v>12</v>
      </c>
      <c r="G3" s="29">
        <v>12</v>
      </c>
      <c r="H3" s="29">
        <v>12</v>
      </c>
      <c r="I3" s="29">
        <v>12</v>
      </c>
      <c r="J3" s="29">
        <v>12</v>
      </c>
      <c r="K3" s="29">
        <v>12</v>
      </c>
      <c r="L3" s="29">
        <v>12</v>
      </c>
      <c r="M3" s="29">
        <v>12</v>
      </c>
      <c r="N3" s="29">
        <v>12</v>
      </c>
      <c r="O3" s="29">
        <v>12</v>
      </c>
    </row>
    <row r="4" spans="1:15" x14ac:dyDescent="0.15">
      <c r="F4" s="29">
        <v>365</v>
      </c>
      <c r="G4" s="29">
        <v>365</v>
      </c>
      <c r="H4" s="29">
        <v>365</v>
      </c>
      <c r="I4" s="29">
        <v>366</v>
      </c>
      <c r="J4" s="29">
        <v>365</v>
      </c>
      <c r="K4" s="29">
        <v>365</v>
      </c>
      <c r="L4" s="29">
        <v>365</v>
      </c>
      <c r="M4" s="29">
        <v>366</v>
      </c>
      <c r="N4" s="29">
        <v>365</v>
      </c>
      <c r="O4" s="29">
        <v>365</v>
      </c>
    </row>
    <row r="5" spans="1:15" x14ac:dyDescent="0.15">
      <c r="F5" s="29" t="s">
        <v>24</v>
      </c>
      <c r="G5" s="29" t="s">
        <v>24</v>
      </c>
      <c r="H5" s="29" t="s">
        <v>24</v>
      </c>
      <c r="I5" s="29" t="s">
        <v>24</v>
      </c>
      <c r="J5" s="29" t="s">
        <v>24</v>
      </c>
      <c r="K5" s="29" t="s">
        <v>25</v>
      </c>
      <c r="L5" s="29" t="s">
        <v>25</v>
      </c>
      <c r="M5" s="29" t="s">
        <v>25</v>
      </c>
      <c r="N5" s="29" t="s">
        <v>25</v>
      </c>
      <c r="O5" s="29" t="s">
        <v>25</v>
      </c>
    </row>
    <row r="6" spans="1:15" x14ac:dyDescent="0.15">
      <c r="A6" s="30" t="s">
        <v>26</v>
      </c>
      <c r="F6" s="31">
        <v>44561</v>
      </c>
      <c r="G6" s="32">
        <f t="shared" ref="G6:O6" si="1">EOMONTH(F6,12)</f>
        <v>44926</v>
      </c>
      <c r="H6" s="32">
        <f t="shared" si="1"/>
        <v>45291</v>
      </c>
      <c r="I6" s="32">
        <f t="shared" si="1"/>
        <v>45657</v>
      </c>
      <c r="J6" s="32">
        <f t="shared" si="1"/>
        <v>46022</v>
      </c>
      <c r="K6" s="32">
        <f t="shared" si="1"/>
        <v>46387</v>
      </c>
      <c r="L6" s="32">
        <f t="shared" si="1"/>
        <v>46752</v>
      </c>
      <c r="M6" s="32">
        <f t="shared" si="1"/>
        <v>47118</v>
      </c>
      <c r="N6" s="32">
        <f t="shared" si="1"/>
        <v>47483</v>
      </c>
      <c r="O6" s="32">
        <f t="shared" si="1"/>
        <v>47848</v>
      </c>
    </row>
    <row r="7" spans="1:15" ht="3" customHeight="1" x14ac:dyDescent="0.15"/>
    <row r="8" spans="1:15" x14ac:dyDescent="0.15">
      <c r="A8" s="1" t="s">
        <v>27</v>
      </c>
      <c r="B8" s="33" t="s">
        <v>327</v>
      </c>
      <c r="C8" s="33"/>
      <c r="D8" s="33"/>
      <c r="E8" s="34" t="s">
        <v>29</v>
      </c>
      <c r="F8" s="35">
        <v>21</v>
      </c>
      <c r="G8" s="35">
        <f t="shared" ref="G8:O8" si="2">F8+1</f>
        <v>22</v>
      </c>
      <c r="H8" s="35">
        <f t="shared" si="2"/>
        <v>23</v>
      </c>
      <c r="I8" s="35">
        <f t="shared" si="2"/>
        <v>24</v>
      </c>
      <c r="J8" s="35">
        <f t="shared" si="2"/>
        <v>25</v>
      </c>
      <c r="K8" s="36">
        <f t="shared" si="2"/>
        <v>26</v>
      </c>
      <c r="L8" s="36">
        <f t="shared" si="2"/>
        <v>27</v>
      </c>
      <c r="M8" s="36">
        <f t="shared" si="2"/>
        <v>28</v>
      </c>
      <c r="N8" s="36">
        <f t="shared" si="2"/>
        <v>29</v>
      </c>
      <c r="O8" s="36">
        <f t="shared" si="2"/>
        <v>30</v>
      </c>
    </row>
    <row r="9" spans="1:15" ht="15" thickBot="1" x14ac:dyDescent="0.2"/>
    <row r="10" spans="1:15" ht="15" thickBot="1" x14ac:dyDescent="0.2">
      <c r="B10" s="153" t="s">
        <v>92</v>
      </c>
      <c r="C10" s="154"/>
      <c r="D10" s="154"/>
      <c r="E10" s="155" t="s">
        <v>33</v>
      </c>
      <c r="F10" s="156">
        <f>'3FS'!E87</f>
        <v>176689</v>
      </c>
      <c r="G10" s="156">
        <f>'3FS'!F87</f>
        <v>135429</v>
      </c>
      <c r="H10" s="156">
        <f>'3FS'!G87</f>
        <v>86422</v>
      </c>
      <c r="I10" s="156">
        <f>'3FS'!H87</f>
        <v>46804</v>
      </c>
      <c r="J10" s="156">
        <f>'3FS'!I87</f>
        <v>1397794</v>
      </c>
      <c r="K10" s="176">
        <f>K35+K59</f>
        <v>1280338.2320838133</v>
      </c>
      <c r="L10" s="176">
        <f t="shared" ref="L10:O10" si="3">L35+L59</f>
        <v>1163446.4347371124</v>
      </c>
      <c r="M10" s="176">
        <f t="shared" si="3"/>
        <v>1047254.7743488171</v>
      </c>
      <c r="N10" s="176">
        <f t="shared" si="3"/>
        <v>933118.11724358366</v>
      </c>
      <c r="O10" s="176">
        <f t="shared" si="3"/>
        <v>823689.06450463948</v>
      </c>
    </row>
    <row r="12" spans="1:15" x14ac:dyDescent="0.15">
      <c r="B12" s="157" t="s">
        <v>304</v>
      </c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</row>
    <row r="14" spans="1:15" ht="17" x14ac:dyDescent="0.3">
      <c r="B14" s="75" t="s">
        <v>305</v>
      </c>
      <c r="C14" s="158"/>
      <c r="D14" s="159" t="s">
        <v>306</v>
      </c>
    </row>
    <row r="15" spans="1:15" x14ac:dyDescent="0.15">
      <c r="B15" s="1" t="s">
        <v>328</v>
      </c>
      <c r="D15" s="160">
        <v>14.6</v>
      </c>
    </row>
    <row r="16" spans="1:15" x14ac:dyDescent="0.15">
      <c r="B16" s="1" t="s">
        <v>329</v>
      </c>
      <c r="D16" s="160">
        <v>5.4</v>
      </c>
    </row>
    <row r="17" spans="2:15" x14ac:dyDescent="0.15">
      <c r="B17" s="1" t="s">
        <v>330</v>
      </c>
      <c r="D17" s="160">
        <v>7.1</v>
      </c>
    </row>
    <row r="19" spans="2:15" x14ac:dyDescent="0.15">
      <c r="B19" s="1" t="s">
        <v>31</v>
      </c>
      <c r="E19" s="43" t="s">
        <v>33</v>
      </c>
      <c r="F19" s="50">
        <f>'3FS'!E15</f>
        <v>7839445</v>
      </c>
      <c r="G19" s="50">
        <f>'3FS'!F15</f>
        <v>3194208</v>
      </c>
      <c r="H19" s="50">
        <f>'3FS'!G15</f>
        <v>3108383</v>
      </c>
      <c r="I19" s="50">
        <f>'3FS'!H15</f>
        <v>6564028</v>
      </c>
      <c r="J19" s="50">
        <f>'3FS'!I15</f>
        <v>7181325</v>
      </c>
      <c r="K19" s="50">
        <f>'3FS'!J15</f>
        <v>7760519.8677711934</v>
      </c>
      <c r="L19" s="50">
        <f>'3FS'!K15</f>
        <v>8677662.983783463</v>
      </c>
      <c r="M19" s="50">
        <f>'3FS'!L15</f>
        <v>9724862.789179422</v>
      </c>
      <c r="N19" s="50">
        <f>'3FS'!M15</f>
        <v>11294412.298654651</v>
      </c>
      <c r="O19" s="50">
        <f>'3FS'!N15</f>
        <v>13840714.982593624</v>
      </c>
    </row>
    <row r="20" spans="2:15" x14ac:dyDescent="0.15">
      <c r="B20" s="98" t="s">
        <v>261</v>
      </c>
      <c r="C20" s="45"/>
      <c r="D20" s="45"/>
      <c r="E20" s="46" t="s">
        <v>36</v>
      </c>
      <c r="F20" s="127"/>
      <c r="G20" s="126">
        <f t="shared" ref="G20:O20" si="4">(G19-F19)/F19</f>
        <v>-0.59254666624997054</v>
      </c>
      <c r="H20" s="126">
        <f t="shared" si="4"/>
        <v>-2.6868945290976668E-2</v>
      </c>
      <c r="I20" s="126">
        <f t="shared" si="4"/>
        <v>1.1117178931939855</v>
      </c>
      <c r="J20" s="126">
        <f t="shared" si="4"/>
        <v>9.4042408106729591E-2</v>
      </c>
      <c r="K20" s="126">
        <f t="shared" si="4"/>
        <v>8.065292515952048E-2</v>
      </c>
      <c r="L20" s="126">
        <f t="shared" si="4"/>
        <v>0.11818062857117217</v>
      </c>
      <c r="M20" s="126">
        <f t="shared" si="4"/>
        <v>0.12067763029665156</v>
      </c>
      <c r="N20" s="126">
        <f t="shared" si="4"/>
        <v>0.16139554289872576</v>
      </c>
      <c r="O20" s="126">
        <f t="shared" si="4"/>
        <v>0.22544800177360966</v>
      </c>
    </row>
    <row r="22" spans="2:15" x14ac:dyDescent="0.15">
      <c r="B22" s="1" t="s">
        <v>331</v>
      </c>
      <c r="E22" s="43" t="s">
        <v>33</v>
      </c>
      <c r="F22" s="50">
        <f>'3FS'!E184</f>
        <v>0</v>
      </c>
      <c r="G22" s="50">
        <f>G45</f>
        <v>-926032</v>
      </c>
      <c r="H22" s="50">
        <f t="shared" ref="H22:J22" si="5">H45</f>
        <v>10925</v>
      </c>
      <c r="I22" s="50">
        <f t="shared" si="5"/>
        <v>-184873</v>
      </c>
      <c r="J22" s="50">
        <f t="shared" si="5"/>
        <v>1346150</v>
      </c>
      <c r="K22" s="50">
        <f>K23*K19</f>
        <v>27275.814967267641</v>
      </c>
      <c r="L22" s="50">
        <f t="shared" ref="L22:O22" si="6">L23*L19</f>
        <v>30499.287924890315</v>
      </c>
      <c r="M22" s="50">
        <f t="shared" si="6"/>
        <v>34179.869717401358</v>
      </c>
      <c r="N22" s="50">
        <f t="shared" si="6"/>
        <v>39696.348346649065</v>
      </c>
      <c r="O22" s="50">
        <f t="shared" si="6"/>
        <v>48645.810759110231</v>
      </c>
    </row>
    <row r="23" spans="2:15" x14ac:dyDescent="0.15">
      <c r="B23" s="98" t="s">
        <v>293</v>
      </c>
      <c r="C23" s="45"/>
      <c r="D23" s="45"/>
      <c r="E23" s="46" t="s">
        <v>36</v>
      </c>
      <c r="F23" s="126">
        <f>F22/-F19</f>
        <v>0</v>
      </c>
      <c r="G23" s="126">
        <f>G22/G19</f>
        <v>-0.28990973662328817</v>
      </c>
      <c r="H23" s="126">
        <f t="shared" ref="H23:J23" si="7">H22/H19</f>
        <v>3.5146891486666863E-3</v>
      </c>
      <c r="I23" s="126">
        <f t="shared" si="7"/>
        <v>-2.8164566025617198E-2</v>
      </c>
      <c r="J23" s="126">
        <f t="shared" si="7"/>
        <v>0.18745148005416828</v>
      </c>
      <c r="K23" s="138">
        <f>H23</f>
        <v>3.5146891486666863E-3</v>
      </c>
      <c r="L23" s="138">
        <f>K23</f>
        <v>3.5146891486666863E-3</v>
      </c>
      <c r="M23" s="138">
        <f>L23</f>
        <v>3.5146891486666863E-3</v>
      </c>
      <c r="N23" s="138">
        <f>M23</f>
        <v>3.5146891486666863E-3</v>
      </c>
      <c r="O23" s="138">
        <f>N23</f>
        <v>3.5146891486666863E-3</v>
      </c>
    </row>
    <row r="25" spans="2:15" x14ac:dyDescent="0.15">
      <c r="B25" s="157" t="s">
        <v>332</v>
      </c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</row>
    <row r="27" spans="2:15" x14ac:dyDescent="0.15">
      <c r="B27" s="75" t="s">
        <v>333</v>
      </c>
    </row>
    <row r="28" spans="2:15" x14ac:dyDescent="0.15">
      <c r="B28" s="1" t="s">
        <v>334</v>
      </c>
      <c r="E28" s="43" t="s">
        <v>33</v>
      </c>
      <c r="F28" s="50">
        <v>100908</v>
      </c>
      <c r="G28" s="50">
        <v>126692</v>
      </c>
      <c r="H28" s="50">
        <v>124291</v>
      </c>
      <c r="I28" s="50">
        <v>30700</v>
      </c>
      <c r="J28" s="50">
        <v>335411</v>
      </c>
      <c r="K28" s="164">
        <f>J28+K38</f>
        <v>343427.77174640179</v>
      </c>
      <c r="L28" s="164">
        <f t="shared" ref="L28:O28" si="8">K28+L38</f>
        <v>352391.9706169049</v>
      </c>
      <c r="M28" s="164">
        <f t="shared" si="8"/>
        <v>362437.94776460825</v>
      </c>
      <c r="N28" s="164">
        <f t="shared" si="8"/>
        <v>374105.30084801343</v>
      </c>
      <c r="O28" s="164">
        <f t="shared" si="8"/>
        <v>388403.03537005943</v>
      </c>
    </row>
    <row r="29" spans="2:15" x14ac:dyDescent="0.15">
      <c r="B29" s="1" t="s">
        <v>335</v>
      </c>
      <c r="E29" s="43" t="s">
        <v>33</v>
      </c>
      <c r="F29" s="50">
        <v>79491</v>
      </c>
      <c r="G29" s="50">
        <v>86691</v>
      </c>
      <c r="H29" s="50">
        <v>103791</v>
      </c>
      <c r="I29" s="50">
        <v>75711</v>
      </c>
      <c r="J29" s="50">
        <v>1072800</v>
      </c>
      <c r="K29" s="164">
        <f t="shared" ref="K29:O34" si="9">J29+K39</f>
        <v>1090856.0664263368</v>
      </c>
      <c r="L29" s="164">
        <f t="shared" si="9"/>
        <v>1111046.0101324609</v>
      </c>
      <c r="M29" s="164">
        <f t="shared" si="9"/>
        <v>1133672.428400863</v>
      </c>
      <c r="N29" s="164">
        <f t="shared" si="9"/>
        <v>1159950.6497295473</v>
      </c>
      <c r="O29" s="164">
        <f t="shared" si="9"/>
        <v>1192153.2435469483</v>
      </c>
    </row>
    <row r="30" spans="2:15" x14ac:dyDescent="0.15">
      <c r="B30" s="1" t="s">
        <v>336</v>
      </c>
      <c r="E30" s="43" t="s">
        <v>33</v>
      </c>
      <c r="F30" s="50">
        <v>60800</v>
      </c>
      <c r="G30" s="50">
        <v>60800</v>
      </c>
      <c r="H30" s="50">
        <v>60800</v>
      </c>
      <c r="I30" s="50">
        <v>0</v>
      </c>
      <c r="J30" s="50">
        <v>0</v>
      </c>
      <c r="K30" s="164">
        <f t="shared" si="9"/>
        <v>0</v>
      </c>
      <c r="L30" s="164">
        <f t="shared" si="9"/>
        <v>0</v>
      </c>
      <c r="M30" s="164">
        <f t="shared" si="9"/>
        <v>0</v>
      </c>
      <c r="N30" s="164">
        <f t="shared" si="9"/>
        <v>0</v>
      </c>
      <c r="O30" s="164">
        <f t="shared" si="9"/>
        <v>0</v>
      </c>
    </row>
    <row r="31" spans="2:15" x14ac:dyDescent="0.15">
      <c r="B31" s="1" t="s">
        <v>337</v>
      </c>
      <c r="E31" s="43" t="s">
        <v>33</v>
      </c>
      <c r="F31" s="50">
        <v>8399</v>
      </c>
      <c r="G31" s="50">
        <v>10676</v>
      </c>
      <c r="H31" s="50">
        <v>5802</v>
      </c>
      <c r="I31" s="50">
        <v>3400</v>
      </c>
      <c r="J31" s="50">
        <v>48000</v>
      </c>
      <c r="K31" s="164">
        <f t="shared" si="9"/>
        <v>45565.516935009291</v>
      </c>
      <c r="L31" s="164">
        <f t="shared" si="9"/>
        <v>42843.325131152109</v>
      </c>
      <c r="M31" s="164">
        <f t="shared" si="9"/>
        <v>39792.62567119248</v>
      </c>
      <c r="N31" s="164">
        <f t="shared" si="9"/>
        <v>36249.556915671812</v>
      </c>
      <c r="O31" s="164">
        <f t="shared" si="9"/>
        <v>31907.710389072501</v>
      </c>
    </row>
    <row r="32" spans="2:15" x14ac:dyDescent="0.15">
      <c r="B32" s="1" t="s">
        <v>338</v>
      </c>
      <c r="E32" s="43" t="s">
        <v>33</v>
      </c>
      <c r="F32" s="50">
        <v>250</v>
      </c>
      <c r="G32" s="50">
        <v>250</v>
      </c>
      <c r="H32" s="50">
        <v>250</v>
      </c>
      <c r="I32" s="50">
        <v>250</v>
      </c>
      <c r="J32" s="50">
        <v>0</v>
      </c>
      <c r="K32" s="164">
        <f t="shared" si="9"/>
        <v>0</v>
      </c>
      <c r="L32" s="164">
        <f t="shared" si="9"/>
        <v>0</v>
      </c>
      <c r="M32" s="164">
        <f t="shared" si="9"/>
        <v>0</v>
      </c>
      <c r="N32" s="164">
        <f t="shared" si="9"/>
        <v>0</v>
      </c>
      <c r="O32" s="164">
        <f t="shared" si="9"/>
        <v>0</v>
      </c>
    </row>
    <row r="33" spans="2:15" x14ac:dyDescent="0.15">
      <c r="B33" s="1" t="s">
        <v>339</v>
      </c>
      <c r="E33" s="43" t="s">
        <v>33</v>
      </c>
      <c r="F33" s="50">
        <v>988193</v>
      </c>
      <c r="G33" s="50">
        <v>0</v>
      </c>
      <c r="H33" s="50">
        <v>0</v>
      </c>
      <c r="I33" s="50">
        <v>0</v>
      </c>
      <c r="J33" s="50">
        <v>0</v>
      </c>
      <c r="K33" s="164">
        <f t="shared" si="9"/>
        <v>0</v>
      </c>
      <c r="L33" s="164">
        <f t="shared" si="9"/>
        <v>0</v>
      </c>
      <c r="M33" s="164">
        <f t="shared" si="9"/>
        <v>0</v>
      </c>
      <c r="N33" s="164">
        <f t="shared" si="9"/>
        <v>0</v>
      </c>
      <c r="O33" s="164">
        <f t="shared" si="9"/>
        <v>0</v>
      </c>
    </row>
    <row r="34" spans="2:15" x14ac:dyDescent="0.15">
      <c r="B34" s="1" t="s">
        <v>340</v>
      </c>
      <c r="E34" s="43" t="s">
        <v>33</v>
      </c>
      <c r="F34" s="50">
        <v>0</v>
      </c>
      <c r="G34" s="50">
        <v>26900</v>
      </c>
      <c r="H34" s="50">
        <v>28000</v>
      </c>
      <c r="I34" s="50">
        <v>28000</v>
      </c>
      <c r="J34" s="50">
        <v>28000</v>
      </c>
      <c r="K34" s="164">
        <f t="shared" si="9"/>
        <v>31637.459859519731</v>
      </c>
      <c r="L34" s="164">
        <f t="shared" si="9"/>
        <v>35704.797011639916</v>
      </c>
      <c r="M34" s="164">
        <f t="shared" si="9"/>
        <v>40262.970772895496</v>
      </c>
      <c r="N34" s="164">
        <f t="shared" si="9"/>
        <v>45556.813462975646</v>
      </c>
      <c r="O34" s="164">
        <f t="shared" si="9"/>
        <v>52044.142409238193</v>
      </c>
    </row>
    <row r="35" spans="2:15" x14ac:dyDescent="0.15">
      <c r="B35" s="121" t="s">
        <v>341</v>
      </c>
      <c r="C35" s="121"/>
      <c r="D35" s="121"/>
      <c r="E35" s="122" t="s">
        <v>33</v>
      </c>
      <c r="F35" s="165">
        <f>SUM(F28:F34)</f>
        <v>1238041</v>
      </c>
      <c r="G35" s="165">
        <f t="shared" ref="G35:J35" si="10">SUM(G28:G34)</f>
        <v>312009</v>
      </c>
      <c r="H35" s="165">
        <f t="shared" si="10"/>
        <v>322934</v>
      </c>
      <c r="I35" s="165">
        <f t="shared" si="10"/>
        <v>138061</v>
      </c>
      <c r="J35" s="165">
        <f t="shared" si="10"/>
        <v>1484211</v>
      </c>
      <c r="K35" s="165">
        <f t="shared" ref="K35" si="11">SUM(K28:K34)</f>
        <v>1511486.8149672674</v>
      </c>
      <c r="L35" s="165">
        <f t="shared" ref="L35" si="12">SUM(L28:L34)</f>
        <v>1541986.1028921579</v>
      </c>
      <c r="M35" s="165">
        <f t="shared" ref="M35" si="13">SUM(M28:M34)</f>
        <v>1576165.9726095593</v>
      </c>
      <c r="N35" s="165">
        <f t="shared" ref="N35" si="14">SUM(N28:N34)</f>
        <v>1615862.3209562083</v>
      </c>
      <c r="O35" s="165">
        <f t="shared" ref="O35" si="15">SUM(O28:O34)</f>
        <v>1664508.1317153184</v>
      </c>
    </row>
    <row r="37" spans="2:15" x14ac:dyDescent="0.15">
      <c r="B37" s="75" t="s">
        <v>331</v>
      </c>
      <c r="F37" s="162"/>
    </row>
    <row r="38" spans="2:15" x14ac:dyDescent="0.15">
      <c r="B38" s="1" t="s">
        <v>334</v>
      </c>
      <c r="E38" s="43" t="s">
        <v>33</v>
      </c>
      <c r="F38" s="177"/>
      <c r="G38" s="50">
        <f>G28-F28</f>
        <v>25784</v>
      </c>
      <c r="H38" s="50">
        <f t="shared" ref="H38:J38" si="16">H28-G28</f>
        <v>-2401</v>
      </c>
      <c r="I38" s="50">
        <f t="shared" si="16"/>
        <v>-93591</v>
      </c>
      <c r="J38" s="50">
        <f t="shared" si="16"/>
        <v>304711</v>
      </c>
      <c r="K38" s="50">
        <f>K48*K$22</f>
        <v>8016.7717464017633</v>
      </c>
      <c r="L38" s="50">
        <f t="shared" ref="L38:O38" si="17">L48*L$22</f>
        <v>8964.1988705031381</v>
      </c>
      <c r="M38" s="50">
        <f t="shared" si="17"/>
        <v>10045.977147703376</v>
      </c>
      <c r="N38" s="50">
        <f t="shared" si="17"/>
        <v>11667.353083405154</v>
      </c>
      <c r="O38" s="50">
        <f t="shared" si="17"/>
        <v>14297.73452204601</v>
      </c>
    </row>
    <row r="39" spans="2:15" x14ac:dyDescent="0.15">
      <c r="B39" s="1" t="s">
        <v>335</v>
      </c>
      <c r="E39" s="43" t="s">
        <v>33</v>
      </c>
      <c r="F39" s="177"/>
      <c r="G39" s="50">
        <f t="shared" ref="G39:J44" si="18">G29-F29</f>
        <v>7200</v>
      </c>
      <c r="H39" s="50">
        <f t="shared" si="18"/>
        <v>17100</v>
      </c>
      <c r="I39" s="50">
        <f t="shared" si="18"/>
        <v>-28080</v>
      </c>
      <c r="J39" s="50">
        <f t="shared" si="18"/>
        <v>997089</v>
      </c>
      <c r="K39" s="50">
        <f>K49*K$22</f>
        <v>18056.066426336849</v>
      </c>
      <c r="L39" s="50">
        <f>L49*L$22</f>
        <v>20189.943706124177</v>
      </c>
      <c r="M39" s="50">
        <f>M49*M$22</f>
        <v>22626.418268402038</v>
      </c>
      <c r="N39" s="50">
        <f>N49*N$22</f>
        <v>26278.221328684427</v>
      </c>
      <c r="O39" s="50">
        <f>O49*O$22</f>
        <v>32202.593817400983</v>
      </c>
    </row>
    <row r="40" spans="2:15" x14ac:dyDescent="0.15">
      <c r="B40" s="1" t="s">
        <v>336</v>
      </c>
      <c r="E40" s="43" t="s">
        <v>33</v>
      </c>
      <c r="F40" s="177"/>
      <c r="G40" s="50">
        <f t="shared" si="18"/>
        <v>0</v>
      </c>
      <c r="H40" s="50">
        <f t="shared" si="18"/>
        <v>0</v>
      </c>
      <c r="I40" s="50">
        <f t="shared" si="18"/>
        <v>-60800</v>
      </c>
      <c r="J40" s="50">
        <f t="shared" si="18"/>
        <v>0</v>
      </c>
      <c r="K40" s="50">
        <v>0</v>
      </c>
      <c r="L40" s="50">
        <v>0</v>
      </c>
      <c r="M40" s="50">
        <v>0</v>
      </c>
      <c r="N40" s="50">
        <v>0</v>
      </c>
      <c r="O40" s="50">
        <v>0</v>
      </c>
    </row>
    <row r="41" spans="2:15" x14ac:dyDescent="0.15">
      <c r="B41" s="1" t="s">
        <v>337</v>
      </c>
      <c r="E41" s="43" t="s">
        <v>33</v>
      </c>
      <c r="F41" s="177"/>
      <c r="G41" s="50">
        <f t="shared" si="18"/>
        <v>2277</v>
      </c>
      <c r="H41" s="50">
        <f t="shared" si="18"/>
        <v>-4874</v>
      </c>
      <c r="I41" s="50">
        <f t="shared" si="18"/>
        <v>-2402</v>
      </c>
      <c r="J41" s="50">
        <f t="shared" si="18"/>
        <v>44600</v>
      </c>
      <c r="K41" s="50">
        <f>K50*K$22</f>
        <v>-2434.4830649907053</v>
      </c>
      <c r="L41" s="50">
        <f t="shared" ref="L41:O41" si="19">L50*L$22</f>
        <v>-2722.1918038571803</v>
      </c>
      <c r="M41" s="50">
        <f t="shared" si="19"/>
        <v>-3050.6994599596323</v>
      </c>
      <c r="N41" s="50">
        <f t="shared" si="19"/>
        <v>-3543.0687555206664</v>
      </c>
      <c r="O41" s="50">
        <f t="shared" si="19"/>
        <v>-4341.8465265993109</v>
      </c>
    </row>
    <row r="42" spans="2:15" x14ac:dyDescent="0.15">
      <c r="B42" s="1" t="s">
        <v>338</v>
      </c>
      <c r="E42" s="43" t="s">
        <v>33</v>
      </c>
      <c r="F42" s="177"/>
      <c r="G42" s="50">
        <f t="shared" si="18"/>
        <v>0</v>
      </c>
      <c r="H42" s="50">
        <f t="shared" si="18"/>
        <v>0</v>
      </c>
      <c r="I42" s="50">
        <f t="shared" si="18"/>
        <v>0</v>
      </c>
      <c r="J42" s="50">
        <f t="shared" si="18"/>
        <v>-250</v>
      </c>
      <c r="K42" s="50">
        <v>0</v>
      </c>
      <c r="L42" s="50">
        <v>0</v>
      </c>
      <c r="M42" s="50">
        <v>0</v>
      </c>
      <c r="N42" s="50">
        <v>0</v>
      </c>
      <c r="O42" s="50">
        <v>0</v>
      </c>
    </row>
    <row r="43" spans="2:15" x14ac:dyDescent="0.15">
      <c r="B43" s="1" t="s">
        <v>339</v>
      </c>
      <c r="E43" s="43" t="s">
        <v>33</v>
      </c>
      <c r="F43" s="177"/>
      <c r="G43" s="50">
        <f t="shared" si="18"/>
        <v>-988193</v>
      </c>
      <c r="H43" s="50">
        <f t="shared" si="18"/>
        <v>0</v>
      </c>
      <c r="I43" s="50">
        <f t="shared" si="18"/>
        <v>0</v>
      </c>
      <c r="J43" s="50">
        <f t="shared" si="18"/>
        <v>0</v>
      </c>
      <c r="K43" s="50">
        <v>0</v>
      </c>
      <c r="L43" s="50">
        <v>0</v>
      </c>
      <c r="M43" s="50">
        <v>0</v>
      </c>
      <c r="N43" s="50">
        <v>0</v>
      </c>
      <c r="O43" s="50">
        <v>0</v>
      </c>
    </row>
    <row r="44" spans="2:15" x14ac:dyDescent="0.15">
      <c r="B44" s="1" t="s">
        <v>340</v>
      </c>
      <c r="E44" s="43" t="s">
        <v>33</v>
      </c>
      <c r="F44" s="177"/>
      <c r="G44" s="50">
        <f t="shared" si="18"/>
        <v>26900</v>
      </c>
      <c r="H44" s="50">
        <f t="shared" si="18"/>
        <v>1100</v>
      </c>
      <c r="I44" s="50">
        <f t="shared" si="18"/>
        <v>0</v>
      </c>
      <c r="J44" s="50">
        <f t="shared" si="18"/>
        <v>0</v>
      </c>
      <c r="K44" s="50">
        <f>K51*K$22</f>
        <v>3637.4598595197331</v>
      </c>
      <c r="L44" s="50">
        <f t="shared" ref="L44:O44" si="20">L51*L$22</f>
        <v>4067.337152120183</v>
      </c>
      <c r="M44" s="50">
        <f t="shared" si="20"/>
        <v>4558.173761255578</v>
      </c>
      <c r="N44" s="50">
        <f t="shared" si="20"/>
        <v>5293.8426900801487</v>
      </c>
      <c r="O44" s="50">
        <f t="shared" si="20"/>
        <v>6487.328946262548</v>
      </c>
    </row>
    <row r="45" spans="2:15" x14ac:dyDescent="0.15">
      <c r="B45" s="121" t="s">
        <v>341</v>
      </c>
      <c r="C45" s="121"/>
      <c r="D45" s="121"/>
      <c r="E45" s="122" t="s">
        <v>33</v>
      </c>
      <c r="F45" s="178"/>
      <c r="G45" s="165">
        <f t="shared" ref="G45" si="21">SUM(G38:G44)</f>
        <v>-926032</v>
      </c>
      <c r="H45" s="165">
        <f t="shared" ref="H45" si="22">SUM(H38:H44)</f>
        <v>10925</v>
      </c>
      <c r="I45" s="165">
        <f t="shared" ref="I45" si="23">SUM(I38:I44)</f>
        <v>-184873</v>
      </c>
      <c r="J45" s="165">
        <f t="shared" ref="J45" si="24">SUM(J38:J44)</f>
        <v>1346150</v>
      </c>
      <c r="K45" s="165">
        <f t="shared" ref="K45" si="25">SUM(K38:K44)</f>
        <v>27275.814967267637</v>
      </c>
      <c r="L45" s="165">
        <f t="shared" ref="L45" si="26">SUM(L38:L44)</f>
        <v>30499.287924890319</v>
      </c>
      <c r="M45" s="165">
        <f t="shared" ref="M45" si="27">SUM(M38:M44)</f>
        <v>34179.869717401358</v>
      </c>
      <c r="N45" s="165">
        <f t="shared" ref="N45" si="28">SUM(N38:N44)</f>
        <v>39696.348346649065</v>
      </c>
      <c r="O45" s="165">
        <f t="shared" ref="O45" si="29">SUM(O38:O44)</f>
        <v>48645.810759110223</v>
      </c>
    </row>
    <row r="47" spans="2:15" x14ac:dyDescent="0.15">
      <c r="B47" s="75" t="s">
        <v>342</v>
      </c>
      <c r="F47" s="162"/>
    </row>
    <row r="48" spans="2:15" x14ac:dyDescent="0.15">
      <c r="B48" s="1" t="s">
        <v>334</v>
      </c>
      <c r="E48" s="43" t="s">
        <v>33</v>
      </c>
      <c r="F48" s="177"/>
      <c r="G48" s="105">
        <f>G38/SUM(G$38:G$39,G$41,G$44)</f>
        <v>0.4147938417979119</v>
      </c>
      <c r="H48" s="105">
        <f t="shared" ref="H48:J48" si="30">H38/SUM(H$38:H$39,H$41,H$44)</f>
        <v>-0.21977116704805491</v>
      </c>
      <c r="I48" s="105">
        <f t="shared" si="30"/>
        <v>0.75432205234015459</v>
      </c>
      <c r="J48" s="105">
        <f t="shared" si="30"/>
        <v>0.22631535947712419</v>
      </c>
      <c r="K48" s="99">
        <f>AVERAGE(G48:J48)</f>
        <v>0.29391502164178396</v>
      </c>
      <c r="L48" s="99">
        <f>K48</f>
        <v>0.29391502164178396</v>
      </c>
      <c r="M48" s="99">
        <f t="shared" ref="M48:O48" si="31">L48</f>
        <v>0.29391502164178396</v>
      </c>
      <c r="N48" s="99">
        <f t="shared" si="31"/>
        <v>0.29391502164178396</v>
      </c>
      <c r="O48" s="99">
        <f t="shared" si="31"/>
        <v>0.29391502164178396</v>
      </c>
    </row>
    <row r="49" spans="1:15" x14ac:dyDescent="0.15">
      <c r="B49" s="1" t="s">
        <v>335</v>
      </c>
      <c r="E49" s="43" t="s">
        <v>33</v>
      </c>
      <c r="F49" s="177"/>
      <c r="G49" s="105">
        <f>G39/SUM(G$38:G$39,G$41,G$44)</f>
        <v>0.11582825244124129</v>
      </c>
      <c r="H49" s="105">
        <f t="shared" ref="H49:J49" si="32">H39/SUM(H$38:H$39,H$41,H$44)</f>
        <v>1.5652173913043479</v>
      </c>
      <c r="I49" s="105">
        <f t="shared" si="32"/>
        <v>0.22631837708445834</v>
      </c>
      <c r="J49" s="105">
        <f t="shared" si="32"/>
        <v>0.74055926916221038</v>
      </c>
      <c r="K49" s="99">
        <f t="shared" ref="K49:K51" si="33">AVERAGE(G49:J49)</f>
        <v>0.66198082249806445</v>
      </c>
      <c r="L49" s="99">
        <f t="shared" ref="L49:O49" si="34">K49</f>
        <v>0.66198082249806445</v>
      </c>
      <c r="M49" s="99">
        <f t="shared" si="34"/>
        <v>0.66198082249806445</v>
      </c>
      <c r="N49" s="99">
        <f t="shared" si="34"/>
        <v>0.66198082249806445</v>
      </c>
      <c r="O49" s="99">
        <f t="shared" si="34"/>
        <v>0.66198082249806445</v>
      </c>
    </row>
    <row r="50" spans="1:15" x14ac:dyDescent="0.15">
      <c r="B50" s="1" t="s">
        <v>337</v>
      </c>
      <c r="E50" s="43" t="s">
        <v>33</v>
      </c>
      <c r="F50" s="177"/>
      <c r="G50" s="105">
        <f>G41/SUM(G$38:G$39,G$41,G$44)</f>
        <v>3.6630684834542557E-2</v>
      </c>
      <c r="H50" s="105">
        <f t="shared" ref="H50:J50" si="35">H41/SUM(H$38:H$39,H$41,H$44)</f>
        <v>-0.44613272311212815</v>
      </c>
      <c r="I50" s="105">
        <f t="shared" si="35"/>
        <v>1.9359570575387071E-2</v>
      </c>
      <c r="J50" s="105">
        <f t="shared" si="35"/>
        <v>3.3125371360665477E-2</v>
      </c>
      <c r="K50" s="99">
        <f t="shared" si="33"/>
        <v>-8.9254274085383264E-2</v>
      </c>
      <c r="L50" s="99">
        <f t="shared" ref="L50:O50" si="36">K50</f>
        <v>-8.9254274085383264E-2</v>
      </c>
      <c r="M50" s="99">
        <f t="shared" si="36"/>
        <v>-8.9254274085383264E-2</v>
      </c>
      <c r="N50" s="99">
        <f t="shared" si="36"/>
        <v>-8.9254274085383264E-2</v>
      </c>
      <c r="O50" s="99">
        <f t="shared" si="36"/>
        <v>-8.9254274085383264E-2</v>
      </c>
    </row>
    <row r="51" spans="1:15" x14ac:dyDescent="0.15">
      <c r="B51" s="1" t="s">
        <v>340</v>
      </c>
      <c r="E51" s="43" t="s">
        <v>33</v>
      </c>
      <c r="F51" s="177"/>
      <c r="G51" s="105">
        <f>G44/SUM(G$38:G$39,G$41,G$44)</f>
        <v>0.4327472209263043</v>
      </c>
      <c r="H51" s="105">
        <f t="shared" ref="H51:J51" si="37">H44/SUM(H$38:H$39,H$41,H$44)</f>
        <v>0.10068649885583524</v>
      </c>
      <c r="I51" s="105">
        <f t="shared" si="37"/>
        <v>0</v>
      </c>
      <c r="J51" s="105">
        <f t="shared" si="37"/>
        <v>0</v>
      </c>
      <c r="K51" s="99">
        <f t="shared" si="33"/>
        <v>0.13335842994553487</v>
      </c>
      <c r="L51" s="99">
        <f t="shared" ref="L51:O51" si="38">K51</f>
        <v>0.13335842994553487</v>
      </c>
      <c r="M51" s="99">
        <f t="shared" si="38"/>
        <v>0.13335842994553487</v>
      </c>
      <c r="N51" s="99">
        <f t="shared" si="38"/>
        <v>0.13335842994553487</v>
      </c>
      <c r="O51" s="99">
        <f t="shared" si="38"/>
        <v>0.13335842994553487</v>
      </c>
    </row>
    <row r="52" spans="1:15" x14ac:dyDescent="0.15">
      <c r="B52" s="121" t="s">
        <v>341</v>
      </c>
      <c r="C52" s="121"/>
      <c r="D52" s="121"/>
      <c r="E52" s="122" t="s">
        <v>33</v>
      </c>
      <c r="F52" s="178"/>
      <c r="G52" s="124">
        <f t="shared" ref="G52:O52" si="39">SUM(G48:G51)</f>
        <v>1</v>
      </c>
      <c r="H52" s="124">
        <f t="shared" si="39"/>
        <v>1</v>
      </c>
      <c r="I52" s="124">
        <f t="shared" si="39"/>
        <v>1</v>
      </c>
      <c r="J52" s="124">
        <f t="shared" si="39"/>
        <v>1</v>
      </c>
      <c r="K52" s="124">
        <f t="shared" si="39"/>
        <v>1</v>
      </c>
      <c r="L52" s="124">
        <f t="shared" si="39"/>
        <v>1</v>
      </c>
      <c r="M52" s="124">
        <f t="shared" si="39"/>
        <v>1</v>
      </c>
      <c r="N52" s="124">
        <f t="shared" si="39"/>
        <v>1</v>
      </c>
      <c r="O52" s="124">
        <f t="shared" si="39"/>
        <v>1</v>
      </c>
    </row>
    <row r="54" spans="1:15" ht="15" x14ac:dyDescent="0.2">
      <c r="A54"/>
      <c r="B54" s="157" t="s">
        <v>312</v>
      </c>
      <c r="C54" s="157"/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</row>
    <row r="55" spans="1:15" ht="15" x14ac:dyDescent="0.2">
      <c r="A55"/>
    </row>
    <row r="56" spans="1:15" ht="15" x14ac:dyDescent="0.2">
      <c r="A56"/>
      <c r="B56" s="75" t="s">
        <v>313</v>
      </c>
    </row>
    <row r="57" spans="1:15" ht="15" x14ac:dyDescent="0.2">
      <c r="A57"/>
      <c r="B57" s="1" t="s">
        <v>314</v>
      </c>
      <c r="E57" s="43" t="s">
        <v>33</v>
      </c>
      <c r="F57" s="119"/>
      <c r="G57" s="119"/>
      <c r="H57" s="119"/>
      <c r="I57" s="119"/>
      <c r="J57" s="119"/>
      <c r="K57" s="50">
        <f>J59</f>
        <v>-86417</v>
      </c>
      <c r="L57" s="50">
        <f t="shared" ref="L57:O57" si="40">K59</f>
        <v>-231148.58288345428</v>
      </c>
      <c r="M57" s="50">
        <f t="shared" si="40"/>
        <v>-378539.66815504548</v>
      </c>
      <c r="N57" s="50">
        <f t="shared" si="40"/>
        <v>-528911.19826074224</v>
      </c>
      <c r="O57" s="50">
        <f t="shared" si="40"/>
        <v>-682744.20371262461</v>
      </c>
    </row>
    <row r="58" spans="1:15" ht="15" x14ac:dyDescent="0.2">
      <c r="A58"/>
      <c r="B58" s="1" t="s">
        <v>315</v>
      </c>
      <c r="E58" s="43" t="s">
        <v>33</v>
      </c>
      <c r="F58" s="119"/>
      <c r="G58" s="119"/>
      <c r="H58" s="119"/>
      <c r="I58" s="119"/>
      <c r="J58" s="119"/>
      <c r="K58" s="50">
        <f>SUM(K67,K85,K103)</f>
        <v>-144731.58288345428</v>
      </c>
      <c r="L58" s="50">
        <f t="shared" ref="L58:O58" si="41">SUM(L67,L85,L103)</f>
        <v>-147391.08527159118</v>
      </c>
      <c r="M58" s="50">
        <f t="shared" si="41"/>
        <v>-150371.5301056967</v>
      </c>
      <c r="N58" s="50">
        <f t="shared" si="41"/>
        <v>-153833.0054518824</v>
      </c>
      <c r="O58" s="50">
        <f t="shared" si="41"/>
        <v>-158074.86349805427</v>
      </c>
    </row>
    <row r="59" spans="1:15" ht="15" x14ac:dyDescent="0.2">
      <c r="A59"/>
      <c r="B59" s="121" t="s">
        <v>316</v>
      </c>
      <c r="C59" s="121"/>
      <c r="D59" s="121"/>
      <c r="E59" s="122" t="s">
        <v>33</v>
      </c>
      <c r="F59" s="123"/>
      <c r="G59" s="123"/>
      <c r="H59" s="123"/>
      <c r="I59" s="123"/>
      <c r="J59" s="166">
        <v>-86417</v>
      </c>
      <c r="K59" s="165">
        <f>SUM(K57:K58)</f>
        <v>-231148.58288345428</v>
      </c>
      <c r="L59" s="165">
        <f t="shared" ref="L59:O59" si="42">SUM(L57:L58)</f>
        <v>-378539.66815504548</v>
      </c>
      <c r="M59" s="165">
        <f t="shared" si="42"/>
        <v>-528911.19826074224</v>
      </c>
      <c r="N59" s="165">
        <f t="shared" si="42"/>
        <v>-682744.20371262461</v>
      </c>
      <c r="O59" s="165">
        <f t="shared" si="42"/>
        <v>-840819.06721067894</v>
      </c>
    </row>
    <row r="60" spans="1:15" ht="15" x14ac:dyDescent="0.2">
      <c r="A60"/>
      <c r="B60" s="52"/>
      <c r="C60" s="52"/>
      <c r="D60" s="52"/>
      <c r="E60" s="152"/>
      <c r="F60" s="179"/>
      <c r="G60" s="179"/>
      <c r="H60" s="179"/>
      <c r="I60" s="179"/>
      <c r="J60" s="180"/>
      <c r="K60" s="181"/>
      <c r="L60" s="181"/>
      <c r="M60" s="181"/>
      <c r="N60" s="181"/>
      <c r="O60" s="181"/>
    </row>
    <row r="61" spans="1:15" ht="15" x14ac:dyDescent="0.2">
      <c r="A61"/>
      <c r="B61" s="148" t="str">
        <f>B16</f>
        <v>Acquired Developed Technology</v>
      </c>
      <c r="C61" s="149"/>
      <c r="D61" s="149"/>
      <c r="E61" s="149"/>
      <c r="F61" s="149"/>
      <c r="G61" s="149"/>
      <c r="H61" s="149"/>
      <c r="I61" s="149"/>
      <c r="J61" s="149"/>
      <c r="K61" s="149"/>
      <c r="L61" s="149"/>
      <c r="M61" s="149"/>
      <c r="N61" s="149"/>
      <c r="O61" s="149"/>
    </row>
    <row r="63" spans="1:15" x14ac:dyDescent="0.15">
      <c r="B63" s="52" t="s">
        <v>317</v>
      </c>
      <c r="D63" s="170">
        <f>D16</f>
        <v>5.4</v>
      </c>
    </row>
    <row r="65" spans="1:15" x14ac:dyDescent="0.15">
      <c r="B65" s="1" t="s">
        <v>318</v>
      </c>
      <c r="E65" s="43" t="s">
        <v>33</v>
      </c>
      <c r="F65" s="119"/>
      <c r="G65" s="119"/>
      <c r="H65" s="119"/>
      <c r="I65" s="119"/>
      <c r="J65" s="119"/>
      <c r="K65" s="50">
        <f>J28</f>
        <v>335411</v>
      </c>
      <c r="L65" s="50">
        <f>K68</f>
        <v>279830.03623780888</v>
      </c>
      <c r="M65" s="50">
        <f t="shared" ref="M65:O65" si="43">L68</f>
        <v>223536.46277184814</v>
      </c>
      <c r="N65" s="50">
        <f t="shared" si="43"/>
        <v>166464.30144462406</v>
      </c>
      <c r="O65" s="50">
        <f t="shared" si="43"/>
        <v>108852.89511173042</v>
      </c>
    </row>
    <row r="66" spans="1:15" x14ac:dyDescent="0.15">
      <c r="B66" s="1" t="s">
        <v>319</v>
      </c>
      <c r="E66" s="43" t="s">
        <v>33</v>
      </c>
      <c r="F66" s="119"/>
      <c r="G66" s="119"/>
      <c r="H66" s="119"/>
      <c r="I66" s="119"/>
      <c r="J66" s="119"/>
      <c r="K66" s="173">
        <f>K38</f>
        <v>8016.7717464017633</v>
      </c>
      <c r="L66" s="173">
        <f t="shared" ref="L66:O66" si="44">L38</f>
        <v>8964.1988705031381</v>
      </c>
      <c r="M66" s="173">
        <f t="shared" si="44"/>
        <v>10045.977147703376</v>
      </c>
      <c r="N66" s="173">
        <f t="shared" si="44"/>
        <v>11667.353083405154</v>
      </c>
      <c r="O66" s="173">
        <f t="shared" si="44"/>
        <v>14297.73452204601</v>
      </c>
    </row>
    <row r="67" spans="1:15" x14ac:dyDescent="0.15">
      <c r="B67" s="1" t="s">
        <v>320</v>
      </c>
      <c r="E67" s="43" t="s">
        <v>33</v>
      </c>
      <c r="F67" s="119"/>
      <c r="G67" s="119"/>
      <c r="H67" s="119"/>
      <c r="I67" s="119"/>
      <c r="J67" s="119"/>
      <c r="K67" s="173">
        <f>K77</f>
        <v>-63597.735508592916</v>
      </c>
      <c r="L67" s="173">
        <f t="shared" ref="L67:O67" si="45">L77</f>
        <v>-65257.772336463866</v>
      </c>
      <c r="M67" s="173">
        <f t="shared" si="45"/>
        <v>-67118.138474927458</v>
      </c>
      <c r="N67" s="173">
        <f t="shared" si="45"/>
        <v>-69278.759416298781</v>
      </c>
      <c r="O67" s="173">
        <f t="shared" si="45"/>
        <v>-71926.488031492481</v>
      </c>
    </row>
    <row r="68" spans="1:15" x14ac:dyDescent="0.15">
      <c r="B68" s="168" t="s">
        <v>321</v>
      </c>
      <c r="C68" s="168"/>
      <c r="D68" s="168"/>
      <c r="E68" s="169" t="s">
        <v>33</v>
      </c>
      <c r="F68" s="171"/>
      <c r="G68" s="171"/>
      <c r="H68" s="171"/>
      <c r="I68" s="171"/>
      <c r="J68" s="171"/>
      <c r="K68" s="172">
        <f>SUM(K65:K67)</f>
        <v>279830.03623780888</v>
      </c>
      <c r="L68" s="172">
        <f t="shared" ref="L68:O68" si="46">SUM(L65:L67)</f>
        <v>223536.46277184814</v>
      </c>
      <c r="M68" s="172">
        <f t="shared" si="46"/>
        <v>166464.30144462406</v>
      </c>
      <c r="N68" s="172">
        <f t="shared" si="46"/>
        <v>108852.89511173042</v>
      </c>
      <c r="O68" s="172">
        <f t="shared" si="46"/>
        <v>51224.141602283955</v>
      </c>
    </row>
    <row r="70" spans="1:15" x14ac:dyDescent="0.15">
      <c r="B70" s="158" t="s">
        <v>322</v>
      </c>
      <c r="D70" s="175" t="s">
        <v>323</v>
      </c>
      <c r="E70" s="175" t="s">
        <v>324</v>
      </c>
    </row>
    <row r="71" spans="1:15" x14ac:dyDescent="0.15">
      <c r="B71" s="174">
        <f>K8</f>
        <v>26</v>
      </c>
      <c r="D71" s="50">
        <f>K65</f>
        <v>335411</v>
      </c>
      <c r="E71" s="174">
        <f>B71+$D$63-1</f>
        <v>30.4</v>
      </c>
      <c r="F71" s="119"/>
      <c r="G71" s="119"/>
      <c r="H71" s="119"/>
      <c r="I71" s="119"/>
      <c r="J71" s="119"/>
      <c r="K71" s="50">
        <f>IF(AND(K$8&lt;=$E71,K$8&gt;=$B71),IFERROR(-$D71/$D$63,0),0)</f>
        <v>-62113.148148148146</v>
      </c>
      <c r="L71" s="50">
        <f t="shared" ref="L71:O71" si="47">IF(AND(L$8&lt;=$E71,L$8&gt;=$B71),IFERROR(-$D71/$D$63,0),0)</f>
        <v>-62113.148148148146</v>
      </c>
      <c r="M71" s="50">
        <f t="shared" si="47"/>
        <v>-62113.148148148146</v>
      </c>
      <c r="N71" s="50">
        <f t="shared" si="47"/>
        <v>-62113.148148148146</v>
      </c>
      <c r="O71" s="50">
        <f t="shared" si="47"/>
        <v>-62113.148148148146</v>
      </c>
    </row>
    <row r="72" spans="1:15" x14ac:dyDescent="0.15">
      <c r="B72" s="174" cm="1">
        <f t="array" ref="B72:B76">TRANSPOSE($K$8:$O$8)</f>
        <v>26</v>
      </c>
      <c r="D72" s="50" cm="1">
        <f t="array" ref="D72:D76">TRANSPOSE(K66:O66)</f>
        <v>8016.7717464017633</v>
      </c>
      <c r="E72" s="174">
        <f t="shared" ref="E72:E76" si="48">B72+$D$63-1</f>
        <v>30.4</v>
      </c>
      <c r="F72" s="119"/>
      <c r="G72" s="119"/>
      <c r="H72" s="119"/>
      <c r="I72" s="119"/>
      <c r="J72" s="119"/>
      <c r="K72" s="50">
        <f t="shared" ref="K72:O76" si="49">IF(AND(K$8&lt;=$E72,K$8&gt;=$B72),IFERROR(-$D72/$D$63,0),0)</f>
        <v>-1484.5873604447709</v>
      </c>
      <c r="L72" s="50">
        <f t="shared" si="49"/>
        <v>-1484.5873604447709</v>
      </c>
      <c r="M72" s="50">
        <f t="shared" si="49"/>
        <v>-1484.5873604447709</v>
      </c>
      <c r="N72" s="50">
        <f t="shared" si="49"/>
        <v>-1484.5873604447709</v>
      </c>
      <c r="O72" s="50">
        <f t="shared" si="49"/>
        <v>-1484.5873604447709</v>
      </c>
    </row>
    <row r="73" spans="1:15" x14ac:dyDescent="0.15">
      <c r="B73" s="174">
        <v>27</v>
      </c>
      <c r="D73" s="50">
        <v>8964.1988705031381</v>
      </c>
      <c r="E73" s="174">
        <f t="shared" si="48"/>
        <v>31.4</v>
      </c>
      <c r="F73" s="119"/>
      <c r="G73" s="119"/>
      <c r="H73" s="119"/>
      <c r="I73" s="119"/>
      <c r="J73" s="119"/>
      <c r="K73" s="50">
        <f t="shared" si="49"/>
        <v>0</v>
      </c>
      <c r="L73" s="50">
        <f t="shared" si="49"/>
        <v>-1660.0368278709514</v>
      </c>
      <c r="M73" s="50">
        <f t="shared" si="49"/>
        <v>-1660.0368278709514</v>
      </c>
      <c r="N73" s="50">
        <f t="shared" si="49"/>
        <v>-1660.0368278709514</v>
      </c>
      <c r="O73" s="50">
        <f t="shared" si="49"/>
        <v>-1660.0368278709514</v>
      </c>
    </row>
    <row r="74" spans="1:15" x14ac:dyDescent="0.15">
      <c r="B74" s="174">
        <v>28</v>
      </c>
      <c r="D74" s="50">
        <v>10045.977147703376</v>
      </c>
      <c r="E74" s="174">
        <f t="shared" si="48"/>
        <v>32.4</v>
      </c>
      <c r="F74" s="119"/>
      <c r="G74" s="119"/>
      <c r="H74" s="119"/>
      <c r="I74" s="119"/>
      <c r="J74" s="119"/>
      <c r="K74" s="50">
        <f t="shared" si="49"/>
        <v>0</v>
      </c>
      <c r="L74" s="50">
        <f t="shared" si="49"/>
        <v>0</v>
      </c>
      <c r="M74" s="50">
        <f t="shared" si="49"/>
        <v>-1860.366138463588</v>
      </c>
      <c r="N74" s="50">
        <f t="shared" si="49"/>
        <v>-1860.366138463588</v>
      </c>
      <c r="O74" s="50">
        <f t="shared" si="49"/>
        <v>-1860.366138463588</v>
      </c>
    </row>
    <row r="75" spans="1:15" x14ac:dyDescent="0.15">
      <c r="B75" s="174">
        <v>29</v>
      </c>
      <c r="D75" s="50">
        <v>11667.353083405154</v>
      </c>
      <c r="E75" s="174">
        <f t="shared" si="48"/>
        <v>33.4</v>
      </c>
      <c r="F75" s="119"/>
      <c r="G75" s="119"/>
      <c r="H75" s="119"/>
      <c r="I75" s="119"/>
      <c r="J75" s="119"/>
      <c r="K75" s="50">
        <f t="shared" si="49"/>
        <v>0</v>
      </c>
      <c r="L75" s="50">
        <f t="shared" si="49"/>
        <v>0</v>
      </c>
      <c r="M75" s="50">
        <f t="shared" si="49"/>
        <v>0</v>
      </c>
      <c r="N75" s="50">
        <f t="shared" si="49"/>
        <v>-2160.6209413713245</v>
      </c>
      <c r="O75" s="50">
        <f t="shared" si="49"/>
        <v>-2160.6209413713245</v>
      </c>
    </row>
    <row r="76" spans="1:15" x14ac:dyDescent="0.15">
      <c r="B76" s="174">
        <v>30</v>
      </c>
      <c r="D76" s="50">
        <v>14297.73452204601</v>
      </c>
      <c r="E76" s="174">
        <f t="shared" si="48"/>
        <v>34.4</v>
      </c>
      <c r="F76" s="119"/>
      <c r="G76" s="119"/>
      <c r="H76" s="119"/>
      <c r="I76" s="119"/>
      <c r="J76" s="119"/>
      <c r="K76" s="50">
        <f t="shared" si="49"/>
        <v>0</v>
      </c>
      <c r="L76" s="50">
        <f t="shared" si="49"/>
        <v>0</v>
      </c>
      <c r="M76" s="50">
        <f t="shared" si="49"/>
        <v>0</v>
      </c>
      <c r="N76" s="50">
        <f t="shared" si="49"/>
        <v>0</v>
      </c>
      <c r="O76" s="50">
        <f t="shared" si="49"/>
        <v>-2647.7286151937055</v>
      </c>
    </row>
    <row r="77" spans="1:15" x14ac:dyDescent="0.15">
      <c r="B77" s="168" t="s">
        <v>325</v>
      </c>
      <c r="C77" s="168"/>
      <c r="D77" s="168"/>
      <c r="E77" s="168"/>
      <c r="F77" s="171"/>
      <c r="G77" s="171"/>
      <c r="H77" s="171"/>
      <c r="I77" s="171"/>
      <c r="J77" s="171"/>
      <c r="K77" s="172">
        <f>SUM(K71:K76)</f>
        <v>-63597.735508592916</v>
      </c>
      <c r="L77" s="172">
        <f t="shared" ref="L77:O77" si="50">SUM(L71:L76)</f>
        <v>-65257.772336463866</v>
      </c>
      <c r="M77" s="172">
        <f t="shared" si="50"/>
        <v>-67118.138474927458</v>
      </c>
      <c r="N77" s="172">
        <f t="shared" si="50"/>
        <v>-69278.759416298781</v>
      </c>
      <c r="O77" s="172">
        <f t="shared" si="50"/>
        <v>-71926.488031492481</v>
      </c>
    </row>
    <row r="79" spans="1:15" ht="15" x14ac:dyDescent="0.2">
      <c r="A79"/>
      <c r="B79" s="148" t="str">
        <f>B15</f>
        <v>Customer Relationships</v>
      </c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</row>
    <row r="81" spans="2:15" x14ac:dyDescent="0.15">
      <c r="B81" s="52" t="s">
        <v>317</v>
      </c>
      <c r="D81" s="170">
        <f>D15</f>
        <v>14.6</v>
      </c>
    </row>
    <row r="83" spans="2:15" x14ac:dyDescent="0.15">
      <c r="B83" s="1" t="s">
        <v>318</v>
      </c>
      <c r="E83" s="43" t="s">
        <v>33</v>
      </c>
      <c r="F83" s="119"/>
      <c r="G83" s="119"/>
      <c r="H83" s="119"/>
      <c r="I83" s="119"/>
      <c r="J83" s="119"/>
      <c r="K83" s="50">
        <f>J29</f>
        <v>1072800</v>
      </c>
      <c r="L83" s="50">
        <f>K86</f>
        <v>1016139.897493026</v>
      </c>
      <c r="M83" s="50">
        <f t="shared" ref="M83:O83" si="51">L86</f>
        <v>960230.79940925562</v>
      </c>
      <c r="N83" s="50">
        <f t="shared" si="51"/>
        <v>905208.42121184501</v>
      </c>
      <c r="O83" s="50">
        <f t="shared" si="51"/>
        <v>852037.96790151938</v>
      </c>
    </row>
    <row r="84" spans="2:15" x14ac:dyDescent="0.15">
      <c r="B84" s="1" t="s">
        <v>319</v>
      </c>
      <c r="E84" s="43" t="s">
        <v>33</v>
      </c>
      <c r="F84" s="119"/>
      <c r="G84" s="119"/>
      <c r="H84" s="119"/>
      <c r="I84" s="119"/>
      <c r="J84" s="119"/>
      <c r="K84" s="173">
        <f>K39</f>
        <v>18056.066426336849</v>
      </c>
      <c r="L84" s="173">
        <f t="shared" ref="L84:O84" si="52">L39</f>
        <v>20189.943706124177</v>
      </c>
      <c r="M84" s="173">
        <f t="shared" si="52"/>
        <v>22626.418268402038</v>
      </c>
      <c r="N84" s="173">
        <f t="shared" si="52"/>
        <v>26278.221328684427</v>
      </c>
      <c r="O84" s="173">
        <f t="shared" si="52"/>
        <v>32202.593817400983</v>
      </c>
    </row>
    <row r="85" spans="2:15" x14ac:dyDescent="0.15">
      <c r="B85" s="1" t="s">
        <v>320</v>
      </c>
      <c r="E85" s="43" t="s">
        <v>33</v>
      </c>
      <c r="F85" s="119"/>
      <c r="G85" s="119"/>
      <c r="H85" s="119"/>
      <c r="I85" s="119"/>
      <c r="J85" s="119"/>
      <c r="K85" s="173">
        <f>K95</f>
        <v>-74716.16893331075</v>
      </c>
      <c r="L85" s="173">
        <f t="shared" ref="L85:O85" si="53">L95</f>
        <v>-76099.041789894603</v>
      </c>
      <c r="M85" s="173">
        <f t="shared" si="53"/>
        <v>-77648.796465812557</v>
      </c>
      <c r="N85" s="173">
        <f t="shared" si="53"/>
        <v>-79448.674639010118</v>
      </c>
      <c r="O85" s="173">
        <f t="shared" si="53"/>
        <v>-81654.331749791003</v>
      </c>
    </row>
    <row r="86" spans="2:15" x14ac:dyDescent="0.15">
      <c r="B86" s="168" t="s">
        <v>321</v>
      </c>
      <c r="C86" s="168"/>
      <c r="D86" s="168"/>
      <c r="E86" s="169" t="s">
        <v>33</v>
      </c>
      <c r="F86" s="171"/>
      <c r="G86" s="171"/>
      <c r="H86" s="171"/>
      <c r="I86" s="171"/>
      <c r="J86" s="171"/>
      <c r="K86" s="172">
        <f>SUM(K83:K85)</f>
        <v>1016139.897493026</v>
      </c>
      <c r="L86" s="172">
        <f t="shared" ref="L86" si="54">SUM(L83:L85)</f>
        <v>960230.79940925562</v>
      </c>
      <c r="M86" s="172">
        <f t="shared" ref="M86" si="55">SUM(M83:M85)</f>
        <v>905208.42121184501</v>
      </c>
      <c r="N86" s="172">
        <f t="shared" ref="N86" si="56">SUM(N83:N85)</f>
        <v>852037.96790151938</v>
      </c>
      <c r="O86" s="172">
        <f t="shared" ref="O86" si="57">SUM(O83:O85)</f>
        <v>802586.22996912932</v>
      </c>
    </row>
    <row r="88" spans="2:15" x14ac:dyDescent="0.15">
      <c r="B88" s="158" t="s">
        <v>322</v>
      </c>
      <c r="D88" s="175" t="s">
        <v>323</v>
      </c>
      <c r="E88" s="175" t="s">
        <v>324</v>
      </c>
    </row>
    <row r="89" spans="2:15" x14ac:dyDescent="0.15">
      <c r="B89" s="174">
        <f>$K$8</f>
        <v>26</v>
      </c>
      <c r="D89" s="50">
        <f>K83</f>
        <v>1072800</v>
      </c>
      <c r="E89" s="174">
        <f>B89+$D$81-1</f>
        <v>39.6</v>
      </c>
      <c r="F89" s="119"/>
      <c r="G89" s="119"/>
      <c r="H89" s="119"/>
      <c r="I89" s="119"/>
      <c r="J89" s="119"/>
      <c r="K89" s="50">
        <f>IF(AND(K$8&lt;=$E89,K$8&gt;=$B89),IFERROR(-$D89/$D$81,0),0)</f>
        <v>-73479.452054794529</v>
      </c>
      <c r="L89" s="50">
        <f t="shared" ref="L89:O89" si="58">IF(AND(L$8&lt;=$E89,L$8&gt;=$B89),IFERROR(-$D89/$D$81,0),0)</f>
        <v>-73479.452054794529</v>
      </c>
      <c r="M89" s="50">
        <f t="shared" si="58"/>
        <v>-73479.452054794529</v>
      </c>
      <c r="N89" s="50">
        <f t="shared" si="58"/>
        <v>-73479.452054794529</v>
      </c>
      <c r="O89" s="50">
        <f t="shared" si="58"/>
        <v>-73479.452054794529</v>
      </c>
    </row>
    <row r="90" spans="2:15" x14ac:dyDescent="0.15">
      <c r="B90" s="174" cm="1">
        <f t="array" ref="B90:B94">TRANSPOSE($K$8:$O$8)</f>
        <v>26</v>
      </c>
      <c r="D90" s="50" cm="1">
        <f t="array" ref="D90:D94">TRANSPOSE(K84:O84)</f>
        <v>18056.066426336849</v>
      </c>
      <c r="E90" s="174">
        <f t="shared" ref="E90:E94" si="59">B90+$D$81-1</f>
        <v>39.6</v>
      </c>
      <c r="F90" s="119"/>
      <c r="G90" s="119"/>
      <c r="H90" s="119"/>
      <c r="I90" s="119"/>
      <c r="J90" s="119"/>
      <c r="K90" s="50">
        <f t="shared" ref="K90:O94" si="60">IF(AND(K$8&lt;=$E90,K$8&gt;=$B90),IFERROR(-$D90/$D$81,0),0)</f>
        <v>-1236.7168785162226</v>
      </c>
      <c r="L90" s="50">
        <f t="shared" si="60"/>
        <v>-1236.7168785162226</v>
      </c>
      <c r="M90" s="50">
        <f t="shared" si="60"/>
        <v>-1236.7168785162226</v>
      </c>
      <c r="N90" s="50">
        <f t="shared" si="60"/>
        <v>-1236.7168785162226</v>
      </c>
      <c r="O90" s="50">
        <f t="shared" si="60"/>
        <v>-1236.7168785162226</v>
      </c>
    </row>
    <row r="91" spans="2:15" x14ac:dyDescent="0.15">
      <c r="B91" s="174">
        <v>27</v>
      </c>
      <c r="D91" s="50">
        <v>20189.943706124177</v>
      </c>
      <c r="E91" s="174">
        <f t="shared" si="59"/>
        <v>40.6</v>
      </c>
      <c r="F91" s="119"/>
      <c r="G91" s="119"/>
      <c r="H91" s="119"/>
      <c r="I91" s="119"/>
      <c r="J91" s="119"/>
      <c r="K91" s="50">
        <f t="shared" si="60"/>
        <v>0</v>
      </c>
      <c r="L91" s="50">
        <f t="shared" si="60"/>
        <v>-1382.8728565838478</v>
      </c>
      <c r="M91" s="50">
        <f t="shared" si="60"/>
        <v>-1382.8728565838478</v>
      </c>
      <c r="N91" s="50">
        <f t="shared" si="60"/>
        <v>-1382.8728565838478</v>
      </c>
      <c r="O91" s="50">
        <f t="shared" si="60"/>
        <v>-1382.8728565838478</v>
      </c>
    </row>
    <row r="92" spans="2:15" x14ac:dyDescent="0.15">
      <c r="B92" s="174">
        <v>28</v>
      </c>
      <c r="D92" s="50">
        <v>22626.418268402038</v>
      </c>
      <c r="E92" s="174">
        <f t="shared" si="59"/>
        <v>41.6</v>
      </c>
      <c r="F92" s="119"/>
      <c r="G92" s="119"/>
      <c r="H92" s="119"/>
      <c r="I92" s="119"/>
      <c r="J92" s="119"/>
      <c r="K92" s="50">
        <f t="shared" si="60"/>
        <v>0</v>
      </c>
      <c r="L92" s="50">
        <f t="shared" si="60"/>
        <v>0</v>
      </c>
      <c r="M92" s="50">
        <f t="shared" si="60"/>
        <v>-1549.7546759179479</v>
      </c>
      <c r="N92" s="50">
        <f t="shared" si="60"/>
        <v>-1549.7546759179479</v>
      </c>
      <c r="O92" s="50">
        <f t="shared" si="60"/>
        <v>-1549.7546759179479</v>
      </c>
    </row>
    <row r="93" spans="2:15" x14ac:dyDescent="0.15">
      <c r="B93" s="174">
        <v>29</v>
      </c>
      <c r="D93" s="50">
        <v>26278.221328684427</v>
      </c>
      <c r="E93" s="174">
        <f t="shared" si="59"/>
        <v>42.6</v>
      </c>
      <c r="F93" s="119"/>
      <c r="G93" s="119"/>
      <c r="H93" s="119"/>
      <c r="I93" s="119"/>
      <c r="J93" s="119"/>
      <c r="K93" s="50">
        <f t="shared" si="60"/>
        <v>0</v>
      </c>
      <c r="L93" s="50">
        <f t="shared" si="60"/>
        <v>0</v>
      </c>
      <c r="M93" s="50">
        <f t="shared" si="60"/>
        <v>0</v>
      </c>
      <c r="N93" s="50">
        <f t="shared" si="60"/>
        <v>-1799.8781731975635</v>
      </c>
      <c r="O93" s="50">
        <f t="shared" si="60"/>
        <v>-1799.8781731975635</v>
      </c>
    </row>
    <row r="94" spans="2:15" x14ac:dyDescent="0.15">
      <c r="B94" s="174">
        <v>30</v>
      </c>
      <c r="D94" s="50">
        <v>32202.593817400983</v>
      </c>
      <c r="E94" s="174">
        <f t="shared" si="59"/>
        <v>43.6</v>
      </c>
      <c r="F94" s="119"/>
      <c r="G94" s="119"/>
      <c r="H94" s="119"/>
      <c r="I94" s="119"/>
      <c r="J94" s="119"/>
      <c r="K94" s="50">
        <f t="shared" si="60"/>
        <v>0</v>
      </c>
      <c r="L94" s="50">
        <f t="shared" si="60"/>
        <v>0</v>
      </c>
      <c r="M94" s="50">
        <f t="shared" si="60"/>
        <v>0</v>
      </c>
      <c r="N94" s="50">
        <f t="shared" si="60"/>
        <v>0</v>
      </c>
      <c r="O94" s="50">
        <f t="shared" si="60"/>
        <v>-2205.6571107808891</v>
      </c>
    </row>
    <row r="95" spans="2:15" x14ac:dyDescent="0.15">
      <c r="B95" s="168" t="s">
        <v>325</v>
      </c>
      <c r="C95" s="168"/>
      <c r="D95" s="168"/>
      <c r="E95" s="168"/>
      <c r="F95" s="171"/>
      <c r="G95" s="171"/>
      <c r="H95" s="171"/>
      <c r="I95" s="171"/>
      <c r="J95" s="171"/>
      <c r="K95" s="172">
        <f>SUM(K89:K94)</f>
        <v>-74716.16893331075</v>
      </c>
      <c r="L95" s="172">
        <f t="shared" ref="L95" si="61">SUM(L89:L94)</f>
        <v>-76099.041789894603</v>
      </c>
      <c r="M95" s="172">
        <f t="shared" ref="M95" si="62">SUM(M89:M94)</f>
        <v>-77648.796465812557</v>
      </c>
      <c r="N95" s="172">
        <f t="shared" ref="N95" si="63">SUM(N89:N94)</f>
        <v>-79448.674639010118</v>
      </c>
      <c r="O95" s="172">
        <f t="shared" ref="O95" si="64">SUM(O89:O94)</f>
        <v>-81654.331749791003</v>
      </c>
    </row>
    <row r="97" spans="1:15" ht="15" x14ac:dyDescent="0.2">
      <c r="A97"/>
      <c r="B97" s="148" t="str">
        <f>B17</f>
        <v>Trade Name and Other</v>
      </c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</row>
    <row r="99" spans="1:15" x14ac:dyDescent="0.15">
      <c r="B99" s="52" t="s">
        <v>317</v>
      </c>
      <c r="D99" s="170">
        <f>D17</f>
        <v>7.1</v>
      </c>
    </row>
    <row r="101" spans="1:15" x14ac:dyDescent="0.15">
      <c r="B101" s="1" t="s">
        <v>318</v>
      </c>
      <c r="E101" s="43" t="s">
        <v>33</v>
      </c>
      <c r="F101" s="119"/>
      <c r="G101" s="119"/>
      <c r="H101" s="119"/>
      <c r="I101" s="119"/>
      <c r="J101" s="119"/>
      <c r="K101" s="50">
        <f>J31</f>
        <v>48000</v>
      </c>
      <c r="L101" s="50">
        <f>K104</f>
        <v>39147.838493458687</v>
      </c>
      <c r="M101" s="50">
        <f t="shared" ref="M101:O101" si="65">L104</f>
        <v>30391.375544368813</v>
      </c>
      <c r="N101" s="50">
        <f t="shared" si="65"/>
        <v>21736.080919452492</v>
      </c>
      <c r="O101" s="50">
        <f t="shared" si="65"/>
        <v>13087.44076735833</v>
      </c>
    </row>
    <row r="102" spans="1:15" x14ac:dyDescent="0.15">
      <c r="B102" s="1" t="s">
        <v>319</v>
      </c>
      <c r="E102" s="43" t="s">
        <v>33</v>
      </c>
      <c r="F102" s="119"/>
      <c r="G102" s="119"/>
      <c r="H102" s="119"/>
      <c r="I102" s="119"/>
      <c r="J102" s="119"/>
      <c r="K102" s="173">
        <f>K41</f>
        <v>-2434.4830649907053</v>
      </c>
      <c r="L102" s="173">
        <f t="shared" ref="L102:O102" si="66">L41</f>
        <v>-2722.1918038571803</v>
      </c>
      <c r="M102" s="173">
        <f t="shared" si="66"/>
        <v>-3050.6994599596323</v>
      </c>
      <c r="N102" s="173">
        <f t="shared" si="66"/>
        <v>-3543.0687555206664</v>
      </c>
      <c r="O102" s="173">
        <f t="shared" si="66"/>
        <v>-4341.8465265993109</v>
      </c>
    </row>
    <row r="103" spans="1:15" x14ac:dyDescent="0.15">
      <c r="B103" s="1" t="s">
        <v>320</v>
      </c>
      <c r="E103" s="43" t="s">
        <v>33</v>
      </c>
      <c r="F103" s="119"/>
      <c r="G103" s="119"/>
      <c r="H103" s="119"/>
      <c r="I103" s="119"/>
      <c r="J103" s="119"/>
      <c r="K103" s="173">
        <f>K113</f>
        <v>-6417.6784415506045</v>
      </c>
      <c r="L103" s="173">
        <f t="shared" ref="L103:O103" si="67">L113</f>
        <v>-6034.2711452326921</v>
      </c>
      <c r="M103" s="173">
        <f t="shared" si="67"/>
        <v>-5604.5951649566878</v>
      </c>
      <c r="N103" s="173">
        <f t="shared" si="67"/>
        <v>-5105.5713965734949</v>
      </c>
      <c r="O103" s="173">
        <f t="shared" si="67"/>
        <v>-4494.0437167707751</v>
      </c>
    </row>
    <row r="104" spans="1:15" x14ac:dyDescent="0.15">
      <c r="B104" s="168" t="s">
        <v>321</v>
      </c>
      <c r="C104" s="168"/>
      <c r="D104" s="168"/>
      <c r="E104" s="169" t="s">
        <v>33</v>
      </c>
      <c r="F104" s="171"/>
      <c r="G104" s="171"/>
      <c r="H104" s="171"/>
      <c r="I104" s="171"/>
      <c r="J104" s="171"/>
      <c r="K104" s="172">
        <f>SUM(K101:K103)</f>
        <v>39147.838493458687</v>
      </c>
      <c r="L104" s="172">
        <f t="shared" ref="L104" si="68">SUM(L101:L103)</f>
        <v>30391.375544368813</v>
      </c>
      <c r="M104" s="172">
        <f t="shared" ref="M104" si="69">SUM(M101:M103)</f>
        <v>21736.080919452492</v>
      </c>
      <c r="N104" s="172">
        <f t="shared" ref="N104" si="70">SUM(N101:N103)</f>
        <v>13087.44076735833</v>
      </c>
      <c r="O104" s="172">
        <f t="shared" ref="O104" si="71">SUM(O101:O103)</f>
        <v>4251.5505239882441</v>
      </c>
    </row>
    <row r="106" spans="1:15" x14ac:dyDescent="0.15">
      <c r="B106" s="158" t="s">
        <v>322</v>
      </c>
      <c r="D106" s="175" t="s">
        <v>323</v>
      </c>
      <c r="E106" s="175" t="s">
        <v>324</v>
      </c>
    </row>
    <row r="107" spans="1:15" x14ac:dyDescent="0.15">
      <c r="B107" s="174">
        <f>$K$8</f>
        <v>26</v>
      </c>
      <c r="D107" s="50">
        <f>K101</f>
        <v>48000</v>
      </c>
      <c r="E107" s="174">
        <f>B107+$D$99-1</f>
        <v>32.1</v>
      </c>
      <c r="F107" s="119"/>
      <c r="G107" s="119"/>
      <c r="H107" s="119"/>
      <c r="I107" s="119"/>
      <c r="J107" s="119"/>
      <c r="K107" s="50">
        <f>IF(AND(K$8&lt;=$E107,K$8&gt;=$B107),IFERROR(-$D107/$D$99,0),0)</f>
        <v>-6760.5633802816901</v>
      </c>
      <c r="L107" s="50">
        <f t="shared" ref="L107:O107" si="72">IF(AND(L$8&lt;=$E107,L$8&gt;=$B107),IFERROR(-$D107/$D$99,0),0)</f>
        <v>-6760.5633802816901</v>
      </c>
      <c r="M107" s="50">
        <f t="shared" si="72"/>
        <v>-6760.5633802816901</v>
      </c>
      <c r="N107" s="50">
        <f t="shared" si="72"/>
        <v>-6760.5633802816901</v>
      </c>
      <c r="O107" s="50">
        <f t="shared" si="72"/>
        <v>-6760.5633802816901</v>
      </c>
    </row>
    <row r="108" spans="1:15" x14ac:dyDescent="0.15">
      <c r="B108" s="174" cm="1">
        <f t="array" ref="B108:B112">TRANSPOSE($K$8:$O$8)</f>
        <v>26</v>
      </c>
      <c r="D108" s="50" cm="1">
        <f t="array" ref="D108:D112">TRANSPOSE(K102:O102)</f>
        <v>-2434.4830649907053</v>
      </c>
      <c r="E108" s="174">
        <f t="shared" ref="E108:E112" si="73">B108+$D$99-1</f>
        <v>32.1</v>
      </c>
      <c r="F108" s="119"/>
      <c r="G108" s="119"/>
      <c r="H108" s="119"/>
      <c r="I108" s="119"/>
      <c r="J108" s="119"/>
      <c r="K108" s="50">
        <f t="shared" ref="K108:O112" si="74">IF(AND(K$8&lt;=$E108,K$8&gt;=$B108),IFERROR(-$D108/$D$99,0),0)</f>
        <v>342.8849387310853</v>
      </c>
      <c r="L108" s="50">
        <f t="shared" si="74"/>
        <v>342.8849387310853</v>
      </c>
      <c r="M108" s="50">
        <f t="shared" si="74"/>
        <v>342.8849387310853</v>
      </c>
      <c r="N108" s="50">
        <f t="shared" si="74"/>
        <v>342.8849387310853</v>
      </c>
      <c r="O108" s="50">
        <f t="shared" si="74"/>
        <v>342.8849387310853</v>
      </c>
    </row>
    <row r="109" spans="1:15" x14ac:dyDescent="0.15">
      <c r="B109" s="174">
        <v>27</v>
      </c>
      <c r="D109" s="50">
        <v>-2722.1918038571803</v>
      </c>
      <c r="E109" s="174">
        <f t="shared" si="73"/>
        <v>33.1</v>
      </c>
      <c r="F109" s="119"/>
      <c r="G109" s="119"/>
      <c r="H109" s="119"/>
      <c r="I109" s="119"/>
      <c r="J109" s="119"/>
      <c r="K109" s="50">
        <f t="shared" si="74"/>
        <v>0</v>
      </c>
      <c r="L109" s="50">
        <f t="shared" si="74"/>
        <v>383.40729631791271</v>
      </c>
      <c r="M109" s="50">
        <f t="shared" si="74"/>
        <v>383.40729631791271</v>
      </c>
      <c r="N109" s="50">
        <f t="shared" si="74"/>
        <v>383.40729631791271</v>
      </c>
      <c r="O109" s="50">
        <f t="shared" si="74"/>
        <v>383.40729631791271</v>
      </c>
    </row>
    <row r="110" spans="1:15" x14ac:dyDescent="0.15">
      <c r="B110" s="174">
        <v>28</v>
      </c>
      <c r="D110" s="50">
        <v>-3050.6994599596323</v>
      </c>
      <c r="E110" s="174">
        <f t="shared" si="73"/>
        <v>34.1</v>
      </c>
      <c r="F110" s="119"/>
      <c r="G110" s="119"/>
      <c r="H110" s="119"/>
      <c r="I110" s="119"/>
      <c r="J110" s="119"/>
      <c r="K110" s="50">
        <f t="shared" si="74"/>
        <v>0</v>
      </c>
      <c r="L110" s="50">
        <f t="shared" si="74"/>
        <v>0</v>
      </c>
      <c r="M110" s="50">
        <f t="shared" si="74"/>
        <v>429.67598027600457</v>
      </c>
      <c r="N110" s="50">
        <f t="shared" si="74"/>
        <v>429.67598027600457</v>
      </c>
      <c r="O110" s="50">
        <f t="shared" si="74"/>
        <v>429.67598027600457</v>
      </c>
    </row>
    <row r="111" spans="1:15" x14ac:dyDescent="0.15">
      <c r="B111" s="174">
        <v>29</v>
      </c>
      <c r="D111" s="50">
        <v>-3543.0687555206664</v>
      </c>
      <c r="E111" s="174">
        <f t="shared" si="73"/>
        <v>35.1</v>
      </c>
      <c r="F111" s="119"/>
      <c r="G111" s="119"/>
      <c r="H111" s="119"/>
      <c r="I111" s="119"/>
      <c r="J111" s="119"/>
      <c r="K111" s="50">
        <f t="shared" si="74"/>
        <v>0</v>
      </c>
      <c r="L111" s="50">
        <f t="shared" si="74"/>
        <v>0</v>
      </c>
      <c r="M111" s="50">
        <f t="shared" si="74"/>
        <v>0</v>
      </c>
      <c r="N111" s="50">
        <f t="shared" si="74"/>
        <v>499.02376838319248</v>
      </c>
      <c r="O111" s="50">
        <f t="shared" si="74"/>
        <v>499.02376838319248</v>
      </c>
    </row>
    <row r="112" spans="1:15" x14ac:dyDescent="0.15">
      <c r="B112" s="174">
        <v>30</v>
      </c>
      <c r="D112" s="50">
        <v>-4341.8465265993109</v>
      </c>
      <c r="E112" s="174">
        <f t="shared" si="73"/>
        <v>36.1</v>
      </c>
      <c r="F112" s="119"/>
      <c r="G112" s="119"/>
      <c r="H112" s="119"/>
      <c r="I112" s="119"/>
      <c r="J112" s="119"/>
      <c r="K112" s="50">
        <f t="shared" si="74"/>
        <v>0</v>
      </c>
      <c r="L112" s="50">
        <f t="shared" si="74"/>
        <v>0</v>
      </c>
      <c r="M112" s="50">
        <f t="shared" si="74"/>
        <v>0</v>
      </c>
      <c r="N112" s="50">
        <f t="shared" si="74"/>
        <v>0</v>
      </c>
      <c r="O112" s="50">
        <f t="shared" si="74"/>
        <v>611.52767980271983</v>
      </c>
    </row>
    <row r="113" spans="2:15" x14ac:dyDescent="0.15">
      <c r="B113" s="168" t="s">
        <v>325</v>
      </c>
      <c r="C113" s="168"/>
      <c r="D113" s="168"/>
      <c r="E113" s="168"/>
      <c r="F113" s="171"/>
      <c r="G113" s="171"/>
      <c r="H113" s="171"/>
      <c r="I113" s="171"/>
      <c r="J113" s="171"/>
      <c r="K113" s="172">
        <f>SUM(K107:K112)</f>
        <v>-6417.6784415506045</v>
      </c>
      <c r="L113" s="172">
        <f t="shared" ref="L113" si="75">SUM(L107:L112)</f>
        <v>-6034.2711452326921</v>
      </c>
      <c r="M113" s="172">
        <f t="shared" ref="M113" si="76">SUM(M107:M112)</f>
        <v>-5604.5951649566878</v>
      </c>
      <c r="N113" s="172">
        <f t="shared" ref="N113" si="77">SUM(N107:N112)</f>
        <v>-5105.5713965734949</v>
      </c>
      <c r="O113" s="172">
        <f t="shared" ref="O113" si="78">SUM(O107:O112)</f>
        <v>-4494.0437167707751</v>
      </c>
    </row>
  </sheetData>
  <pageMargins left="0.7" right="0.7" top="0.75" bottom="0.75" header="0.3" footer="0.3"/>
  <pageSetup scale="3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3FDC5-B5E0-454A-9160-34B3363225C4}">
  <sheetPr>
    <tabColor rgb="FFFFFF99"/>
  </sheetPr>
  <dimension ref="A1:AW124"/>
  <sheetViews>
    <sheetView showGridLines="0" view="pageBreakPreview" zoomScale="69" zoomScaleNormal="42" workbookViewId="0">
      <pane xSplit="4" ySplit="7" topLeftCell="Y8" activePane="bottomRight" state="frozen"/>
      <selection pane="topRight" activeCell="E1" sqref="E1"/>
      <selection pane="bottomLeft" activeCell="A8" sqref="A8"/>
      <selection pane="bottomRight" activeCell="AC1" sqref="AC1"/>
    </sheetView>
  </sheetViews>
  <sheetFormatPr baseColWidth="10" defaultColWidth="0" defaultRowHeight="15" x14ac:dyDescent="0.2"/>
  <cols>
    <col min="1" max="1" width="2.1640625" customWidth="1"/>
    <col min="2" max="2" width="8.6640625" style="1" customWidth="1"/>
    <col min="3" max="3" width="52.6640625" style="1" customWidth="1"/>
    <col min="4" max="4" width="12.5" style="1" customWidth="1"/>
    <col min="5" max="5" width="13" style="1" bestFit="1" customWidth="1"/>
    <col min="6" max="9" width="12.5" style="1" customWidth="1"/>
    <col min="10" max="49" width="15.5" style="1" customWidth="1"/>
    <col min="50" max="16384" width="8.6640625" hidden="1"/>
  </cols>
  <sheetData>
    <row r="1" spans="1:49" ht="23" x14ac:dyDescent="0.25">
      <c r="A1" s="27" t="str">
        <f>'Cover Page'!$C$3</f>
        <v>Coinbase Global Inc., (NASDAQ: COIN)</v>
      </c>
      <c r="I1" s="1">
        <v>2021</v>
      </c>
      <c r="J1" s="1">
        <f>I1</f>
        <v>2021</v>
      </c>
      <c r="K1" s="1">
        <f t="shared" ref="K1:L1" si="0">J1</f>
        <v>2021</v>
      </c>
      <c r="L1" s="1">
        <f t="shared" si="0"/>
        <v>2021</v>
      </c>
      <c r="M1" s="1">
        <f>L1+1</f>
        <v>2022</v>
      </c>
      <c r="N1" s="1">
        <f>M1</f>
        <v>2022</v>
      </c>
      <c r="O1" s="1">
        <f t="shared" ref="O1:P1" si="1">N1</f>
        <v>2022</v>
      </c>
      <c r="P1" s="1">
        <f t="shared" si="1"/>
        <v>2022</v>
      </c>
      <c r="Q1" s="1">
        <f>P1+1</f>
        <v>2023</v>
      </c>
      <c r="R1" s="1">
        <f>Q1</f>
        <v>2023</v>
      </c>
      <c r="S1" s="1">
        <f t="shared" ref="S1:T1" si="2">R1</f>
        <v>2023</v>
      </c>
      <c r="T1" s="1">
        <f t="shared" si="2"/>
        <v>2023</v>
      </c>
      <c r="U1" s="1">
        <f>T1+1</f>
        <v>2024</v>
      </c>
      <c r="V1" s="1">
        <f>U1</f>
        <v>2024</v>
      </c>
      <c r="W1" s="1">
        <f t="shared" ref="W1:X1" si="3">V1</f>
        <v>2024</v>
      </c>
      <c r="X1" s="1">
        <f t="shared" si="3"/>
        <v>2024</v>
      </c>
      <c r="Y1" s="1">
        <f>X1+1</f>
        <v>2025</v>
      </c>
      <c r="Z1" s="1">
        <f>Y1</f>
        <v>2025</v>
      </c>
      <c r="AA1" s="1">
        <f t="shared" ref="AA1:AB1" si="4">Z1</f>
        <v>2025</v>
      </c>
      <c r="AB1" s="1">
        <f t="shared" si="4"/>
        <v>2025</v>
      </c>
      <c r="AC1" s="1">
        <f>AB1+1</f>
        <v>2026</v>
      </c>
      <c r="AD1" s="1">
        <f>AC1</f>
        <v>2026</v>
      </c>
      <c r="AE1" s="1">
        <f t="shared" ref="AE1:AF1" si="5">AD1</f>
        <v>2026</v>
      </c>
      <c r="AF1" s="1">
        <f t="shared" si="5"/>
        <v>2026</v>
      </c>
      <c r="AG1" s="1">
        <f>AF1+1</f>
        <v>2027</v>
      </c>
      <c r="AH1" s="1">
        <f>AG1</f>
        <v>2027</v>
      </c>
      <c r="AI1" s="1">
        <f t="shared" ref="AI1:AJ1" si="6">AH1</f>
        <v>2027</v>
      </c>
      <c r="AJ1" s="1">
        <f t="shared" si="6"/>
        <v>2027</v>
      </c>
      <c r="AK1" s="1">
        <f>AJ1+1</f>
        <v>2028</v>
      </c>
      <c r="AL1" s="1">
        <f>AK1</f>
        <v>2028</v>
      </c>
      <c r="AM1" s="1">
        <f t="shared" ref="AM1:AN1" si="7">AL1</f>
        <v>2028</v>
      </c>
      <c r="AN1" s="1">
        <f t="shared" si="7"/>
        <v>2028</v>
      </c>
      <c r="AO1" s="1">
        <f>AN1+1</f>
        <v>2029</v>
      </c>
      <c r="AP1" s="1">
        <f>AO1</f>
        <v>2029</v>
      </c>
      <c r="AQ1" s="1">
        <f t="shared" ref="AQ1:AR1" si="8">AP1</f>
        <v>2029</v>
      </c>
      <c r="AR1" s="1">
        <f t="shared" si="8"/>
        <v>2029</v>
      </c>
      <c r="AS1" s="1">
        <f>AR1+1</f>
        <v>2030</v>
      </c>
      <c r="AT1" s="1">
        <f>AS1</f>
        <v>2030</v>
      </c>
      <c r="AU1" s="1">
        <f t="shared" ref="AU1:AV1" si="9">AT1</f>
        <v>2030</v>
      </c>
      <c r="AV1" s="1">
        <f t="shared" si="9"/>
        <v>2030</v>
      </c>
      <c r="AW1"/>
    </row>
    <row r="2" spans="1:49" x14ac:dyDescent="0.2">
      <c r="A2" s="1" t="s">
        <v>343</v>
      </c>
      <c r="I2" s="29" t="s">
        <v>21</v>
      </c>
      <c r="J2" s="29" t="s">
        <v>22</v>
      </c>
      <c r="K2" s="29" t="s">
        <v>23</v>
      </c>
      <c r="L2" s="29" t="s">
        <v>20</v>
      </c>
      <c r="M2" s="29" t="s">
        <v>21</v>
      </c>
      <c r="N2" s="29" t="s">
        <v>22</v>
      </c>
      <c r="O2" s="29" t="s">
        <v>23</v>
      </c>
      <c r="P2" s="29" t="s">
        <v>20</v>
      </c>
      <c r="Q2" s="29" t="s">
        <v>21</v>
      </c>
      <c r="R2" s="29" t="s">
        <v>22</v>
      </c>
      <c r="S2" s="29" t="s">
        <v>23</v>
      </c>
      <c r="T2" s="29" t="s">
        <v>20</v>
      </c>
      <c r="U2" s="29" t="s">
        <v>21</v>
      </c>
      <c r="V2" s="29" t="s">
        <v>22</v>
      </c>
      <c r="W2" s="29" t="s">
        <v>23</v>
      </c>
      <c r="X2" s="29" t="s">
        <v>20</v>
      </c>
      <c r="Y2" s="29" t="s">
        <v>21</v>
      </c>
      <c r="Z2" s="29" t="s">
        <v>22</v>
      </c>
      <c r="AA2" s="29" t="s">
        <v>23</v>
      </c>
      <c r="AB2" s="29" t="s">
        <v>20</v>
      </c>
      <c r="AC2" s="204">
        <v>1</v>
      </c>
      <c r="AD2" s="204">
        <v>2</v>
      </c>
      <c r="AE2" s="204">
        <v>3</v>
      </c>
      <c r="AF2" s="204">
        <v>4</v>
      </c>
      <c r="AG2" s="204">
        <v>1</v>
      </c>
      <c r="AH2" s="204">
        <v>2</v>
      </c>
      <c r="AI2" s="204">
        <v>3</v>
      </c>
      <c r="AJ2" s="204">
        <v>4</v>
      </c>
      <c r="AK2" s="204">
        <v>1</v>
      </c>
      <c r="AL2" s="204">
        <v>2</v>
      </c>
      <c r="AM2" s="204">
        <v>3</v>
      </c>
      <c r="AN2" s="204">
        <v>4</v>
      </c>
      <c r="AO2" s="204">
        <v>1</v>
      </c>
      <c r="AP2" s="204">
        <v>2</v>
      </c>
      <c r="AQ2" s="204">
        <v>3</v>
      </c>
      <c r="AR2" s="204">
        <v>4</v>
      </c>
      <c r="AS2" s="204">
        <v>1</v>
      </c>
      <c r="AT2" s="204">
        <v>2</v>
      </c>
      <c r="AU2" s="204">
        <v>3</v>
      </c>
      <c r="AV2" s="204">
        <v>4</v>
      </c>
      <c r="AW2"/>
    </row>
    <row r="3" spans="1:49" x14ac:dyDescent="0.2">
      <c r="A3" s="1"/>
      <c r="I3" s="19">
        <v>3</v>
      </c>
      <c r="J3" s="19">
        <v>3</v>
      </c>
      <c r="K3" s="19">
        <v>3</v>
      </c>
      <c r="L3" s="19">
        <v>3</v>
      </c>
      <c r="M3" s="19">
        <v>3</v>
      </c>
      <c r="N3" s="19">
        <v>3</v>
      </c>
      <c r="O3" s="19">
        <v>3</v>
      </c>
      <c r="P3" s="19">
        <v>3</v>
      </c>
      <c r="Q3" s="19">
        <v>3</v>
      </c>
      <c r="R3" s="19">
        <v>3</v>
      </c>
      <c r="S3" s="19">
        <v>3</v>
      </c>
      <c r="T3" s="19">
        <v>3</v>
      </c>
      <c r="U3" s="19">
        <v>3</v>
      </c>
      <c r="V3" s="19">
        <v>3</v>
      </c>
      <c r="W3" s="19">
        <v>3</v>
      </c>
      <c r="X3" s="19">
        <v>3</v>
      </c>
      <c r="Y3" s="19">
        <v>3</v>
      </c>
      <c r="Z3" s="19">
        <v>3</v>
      </c>
      <c r="AA3" s="19">
        <v>3</v>
      </c>
      <c r="AB3" s="19">
        <v>3</v>
      </c>
      <c r="AC3" s="19">
        <v>3</v>
      </c>
      <c r="AD3" s="19">
        <v>3</v>
      </c>
      <c r="AE3" s="19">
        <v>3</v>
      </c>
      <c r="AF3" s="19">
        <v>3</v>
      </c>
      <c r="AG3" s="19">
        <v>3</v>
      </c>
      <c r="AH3" s="19">
        <v>3</v>
      </c>
      <c r="AI3" s="19">
        <v>3</v>
      </c>
      <c r="AJ3" s="19">
        <v>3</v>
      </c>
      <c r="AK3" s="19">
        <v>3</v>
      </c>
      <c r="AL3" s="19">
        <v>3</v>
      </c>
      <c r="AM3" s="19">
        <v>3</v>
      </c>
      <c r="AN3" s="19">
        <v>3</v>
      </c>
      <c r="AO3" s="19">
        <v>3</v>
      </c>
      <c r="AP3" s="19">
        <v>3</v>
      </c>
      <c r="AQ3" s="19">
        <v>3</v>
      </c>
      <c r="AR3" s="19">
        <v>3</v>
      </c>
      <c r="AS3" s="19">
        <v>3</v>
      </c>
      <c r="AT3" s="19">
        <v>3</v>
      </c>
      <c r="AU3" s="19">
        <v>3</v>
      </c>
      <c r="AV3" s="19">
        <v>3</v>
      </c>
      <c r="AW3"/>
    </row>
    <row r="4" spans="1:49" x14ac:dyDescent="0.2">
      <c r="A4" s="1"/>
      <c r="I4" s="19">
        <v>90</v>
      </c>
      <c r="J4" s="19">
        <f>J6-I6</f>
        <v>91</v>
      </c>
      <c r="K4" s="19">
        <f t="shared" ref="K4:AV4" si="10">K6-J6</f>
        <v>92</v>
      </c>
      <c r="L4" s="19">
        <f t="shared" si="10"/>
        <v>92</v>
      </c>
      <c r="M4" s="19">
        <f t="shared" si="10"/>
        <v>90</v>
      </c>
      <c r="N4" s="19">
        <f t="shared" si="10"/>
        <v>91</v>
      </c>
      <c r="O4" s="19">
        <f t="shared" si="10"/>
        <v>92</v>
      </c>
      <c r="P4" s="19">
        <f t="shared" si="10"/>
        <v>92</v>
      </c>
      <c r="Q4" s="19">
        <f t="shared" si="10"/>
        <v>90</v>
      </c>
      <c r="R4" s="19">
        <f t="shared" si="10"/>
        <v>91</v>
      </c>
      <c r="S4" s="19">
        <f t="shared" si="10"/>
        <v>92</v>
      </c>
      <c r="T4" s="19">
        <f t="shared" si="10"/>
        <v>92</v>
      </c>
      <c r="U4" s="19">
        <f t="shared" si="10"/>
        <v>91</v>
      </c>
      <c r="V4" s="19">
        <f t="shared" si="10"/>
        <v>91</v>
      </c>
      <c r="W4" s="19">
        <f t="shared" si="10"/>
        <v>92</v>
      </c>
      <c r="X4" s="19">
        <f t="shared" si="10"/>
        <v>92</v>
      </c>
      <c r="Y4" s="19">
        <f t="shared" si="10"/>
        <v>90</v>
      </c>
      <c r="Z4" s="19">
        <f t="shared" si="10"/>
        <v>91</v>
      </c>
      <c r="AA4" s="19">
        <f t="shared" si="10"/>
        <v>92</v>
      </c>
      <c r="AB4" s="19">
        <f t="shared" si="10"/>
        <v>92</v>
      </c>
      <c r="AC4" s="19">
        <f t="shared" si="10"/>
        <v>90</v>
      </c>
      <c r="AD4" s="19">
        <f t="shared" si="10"/>
        <v>91</v>
      </c>
      <c r="AE4" s="19">
        <f t="shared" si="10"/>
        <v>92</v>
      </c>
      <c r="AF4" s="19">
        <f t="shared" si="10"/>
        <v>92</v>
      </c>
      <c r="AG4" s="19">
        <f t="shared" si="10"/>
        <v>90</v>
      </c>
      <c r="AH4" s="19">
        <f t="shared" si="10"/>
        <v>91</v>
      </c>
      <c r="AI4" s="19">
        <f t="shared" si="10"/>
        <v>92</v>
      </c>
      <c r="AJ4" s="19">
        <f t="shared" si="10"/>
        <v>92</v>
      </c>
      <c r="AK4" s="19">
        <f t="shared" si="10"/>
        <v>91</v>
      </c>
      <c r="AL4" s="19">
        <f t="shared" si="10"/>
        <v>91</v>
      </c>
      <c r="AM4" s="19">
        <f t="shared" si="10"/>
        <v>92</v>
      </c>
      <c r="AN4" s="19">
        <f t="shared" si="10"/>
        <v>92</v>
      </c>
      <c r="AO4" s="19">
        <f t="shared" si="10"/>
        <v>90</v>
      </c>
      <c r="AP4" s="19">
        <f t="shared" si="10"/>
        <v>91</v>
      </c>
      <c r="AQ4" s="19">
        <f t="shared" si="10"/>
        <v>92</v>
      </c>
      <c r="AR4" s="19">
        <f t="shared" si="10"/>
        <v>92</v>
      </c>
      <c r="AS4" s="19">
        <f t="shared" si="10"/>
        <v>90</v>
      </c>
      <c r="AT4" s="19">
        <f t="shared" si="10"/>
        <v>91</v>
      </c>
      <c r="AU4" s="19">
        <f t="shared" si="10"/>
        <v>92</v>
      </c>
      <c r="AV4" s="19">
        <f t="shared" si="10"/>
        <v>92</v>
      </c>
      <c r="AW4"/>
    </row>
    <row r="5" spans="1:49" x14ac:dyDescent="0.2">
      <c r="A5" s="1"/>
      <c r="I5" s="29" t="s">
        <v>24</v>
      </c>
      <c r="J5" s="29" t="s">
        <v>24</v>
      </c>
      <c r="K5" s="29" t="s">
        <v>24</v>
      </c>
      <c r="L5" s="29" t="s">
        <v>24</v>
      </c>
      <c r="M5" s="29" t="s">
        <v>24</v>
      </c>
      <c r="N5" s="29" t="s">
        <v>24</v>
      </c>
      <c r="O5" s="29" t="s">
        <v>24</v>
      </c>
      <c r="P5" s="29" t="s">
        <v>24</v>
      </c>
      <c r="Q5" s="29" t="s">
        <v>24</v>
      </c>
      <c r="R5" s="29" t="s">
        <v>24</v>
      </c>
      <c r="S5" s="29" t="s">
        <v>24</v>
      </c>
      <c r="T5" s="29" t="s">
        <v>24</v>
      </c>
      <c r="U5" s="29" t="s">
        <v>24</v>
      </c>
      <c r="V5" s="29" t="s">
        <v>24</v>
      </c>
      <c r="W5" s="29" t="s">
        <v>24</v>
      </c>
      <c r="X5" s="29" t="s">
        <v>24</v>
      </c>
      <c r="Y5" s="29" t="s">
        <v>24</v>
      </c>
      <c r="Z5" s="29" t="s">
        <v>24</v>
      </c>
      <c r="AA5" s="29" t="s">
        <v>24</v>
      </c>
      <c r="AB5" s="29" t="s">
        <v>24</v>
      </c>
      <c r="AC5" s="29" t="s">
        <v>25</v>
      </c>
      <c r="AD5" s="29" t="s">
        <v>25</v>
      </c>
      <c r="AE5" s="29" t="s">
        <v>25</v>
      </c>
      <c r="AF5" s="29" t="s">
        <v>25</v>
      </c>
      <c r="AG5" s="29" t="s">
        <v>25</v>
      </c>
      <c r="AH5" s="29" t="s">
        <v>25</v>
      </c>
      <c r="AI5" s="29" t="s">
        <v>25</v>
      </c>
      <c r="AJ5" s="29" t="s">
        <v>25</v>
      </c>
      <c r="AK5" s="29" t="s">
        <v>25</v>
      </c>
      <c r="AL5" s="29" t="s">
        <v>25</v>
      </c>
      <c r="AM5" s="29" t="s">
        <v>25</v>
      </c>
      <c r="AN5" s="29" t="s">
        <v>25</v>
      </c>
      <c r="AO5" s="29" t="s">
        <v>25</v>
      </c>
      <c r="AP5" s="29" t="s">
        <v>25</v>
      </c>
      <c r="AQ5" s="29" t="s">
        <v>25</v>
      </c>
      <c r="AR5" s="29" t="s">
        <v>25</v>
      </c>
      <c r="AS5" s="29" t="s">
        <v>25</v>
      </c>
      <c r="AT5" s="29" t="s">
        <v>25</v>
      </c>
      <c r="AU5" s="29" t="s">
        <v>25</v>
      </c>
      <c r="AV5" s="29" t="s">
        <v>25</v>
      </c>
      <c r="AW5"/>
    </row>
    <row r="6" spans="1:49" x14ac:dyDescent="0.2">
      <c r="A6" s="30" t="s">
        <v>26</v>
      </c>
      <c r="I6" s="32">
        <v>44286</v>
      </c>
      <c r="J6" s="32">
        <f>EOMONTH(I6,3)</f>
        <v>44377</v>
      </c>
      <c r="K6" s="32">
        <f t="shared" ref="K6:AV6" si="11">EOMONTH(J6,3)</f>
        <v>44469</v>
      </c>
      <c r="L6" s="32">
        <f t="shared" si="11"/>
        <v>44561</v>
      </c>
      <c r="M6" s="32">
        <f t="shared" si="11"/>
        <v>44651</v>
      </c>
      <c r="N6" s="32">
        <f t="shared" si="11"/>
        <v>44742</v>
      </c>
      <c r="O6" s="32">
        <f t="shared" si="11"/>
        <v>44834</v>
      </c>
      <c r="P6" s="32">
        <f t="shared" si="11"/>
        <v>44926</v>
      </c>
      <c r="Q6" s="32">
        <f t="shared" si="11"/>
        <v>45016</v>
      </c>
      <c r="R6" s="32">
        <f t="shared" si="11"/>
        <v>45107</v>
      </c>
      <c r="S6" s="32">
        <f t="shared" si="11"/>
        <v>45199</v>
      </c>
      <c r="T6" s="32">
        <f t="shared" si="11"/>
        <v>45291</v>
      </c>
      <c r="U6" s="32">
        <f t="shared" si="11"/>
        <v>45382</v>
      </c>
      <c r="V6" s="32">
        <f t="shared" si="11"/>
        <v>45473</v>
      </c>
      <c r="W6" s="32">
        <f t="shared" si="11"/>
        <v>45565</v>
      </c>
      <c r="X6" s="32">
        <f t="shared" si="11"/>
        <v>45657</v>
      </c>
      <c r="Y6" s="32">
        <f t="shared" si="11"/>
        <v>45747</v>
      </c>
      <c r="Z6" s="32">
        <f t="shared" si="11"/>
        <v>45838</v>
      </c>
      <c r="AA6" s="32">
        <f t="shared" si="11"/>
        <v>45930</v>
      </c>
      <c r="AB6" s="32">
        <f t="shared" si="11"/>
        <v>46022</v>
      </c>
      <c r="AC6" s="32">
        <f t="shared" si="11"/>
        <v>46112</v>
      </c>
      <c r="AD6" s="32">
        <f t="shared" si="11"/>
        <v>46203</v>
      </c>
      <c r="AE6" s="32">
        <f t="shared" si="11"/>
        <v>46295</v>
      </c>
      <c r="AF6" s="32">
        <f t="shared" si="11"/>
        <v>46387</v>
      </c>
      <c r="AG6" s="32">
        <f t="shared" si="11"/>
        <v>46477</v>
      </c>
      <c r="AH6" s="32">
        <f t="shared" si="11"/>
        <v>46568</v>
      </c>
      <c r="AI6" s="32">
        <f t="shared" si="11"/>
        <v>46660</v>
      </c>
      <c r="AJ6" s="32">
        <f t="shared" si="11"/>
        <v>46752</v>
      </c>
      <c r="AK6" s="32">
        <f t="shared" si="11"/>
        <v>46843</v>
      </c>
      <c r="AL6" s="32">
        <f t="shared" si="11"/>
        <v>46934</v>
      </c>
      <c r="AM6" s="32">
        <f t="shared" si="11"/>
        <v>47026</v>
      </c>
      <c r="AN6" s="32">
        <f t="shared" si="11"/>
        <v>47118</v>
      </c>
      <c r="AO6" s="32">
        <f t="shared" si="11"/>
        <v>47208</v>
      </c>
      <c r="AP6" s="32">
        <f t="shared" si="11"/>
        <v>47299</v>
      </c>
      <c r="AQ6" s="32">
        <f t="shared" si="11"/>
        <v>47391</v>
      </c>
      <c r="AR6" s="32">
        <f t="shared" si="11"/>
        <v>47483</v>
      </c>
      <c r="AS6" s="32">
        <f t="shared" si="11"/>
        <v>47573</v>
      </c>
      <c r="AT6" s="32">
        <f t="shared" si="11"/>
        <v>47664</v>
      </c>
      <c r="AU6" s="32">
        <f t="shared" si="11"/>
        <v>47756</v>
      </c>
      <c r="AV6" s="32">
        <f t="shared" si="11"/>
        <v>47848</v>
      </c>
      <c r="AW6"/>
    </row>
    <row r="7" spans="1:49" x14ac:dyDescent="0.2"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</row>
    <row r="8" spans="1:49" x14ac:dyDescent="0.2">
      <c r="A8" s="1" t="s">
        <v>27</v>
      </c>
      <c r="B8" s="33" t="s">
        <v>344</v>
      </c>
      <c r="C8" s="33"/>
      <c r="D8" s="33"/>
      <c r="E8" s="33"/>
      <c r="F8" s="33"/>
      <c r="G8" s="33"/>
      <c r="H8" s="34" t="s">
        <v>29</v>
      </c>
      <c r="I8" s="41">
        <v>44286</v>
      </c>
      <c r="J8" s="41">
        <v>44377</v>
      </c>
      <c r="K8" s="41">
        <v>44469</v>
      </c>
      <c r="L8" s="41">
        <v>44561</v>
      </c>
      <c r="M8" s="41">
        <v>44651</v>
      </c>
      <c r="N8" s="41">
        <v>44742</v>
      </c>
      <c r="O8" s="41">
        <v>44834</v>
      </c>
      <c r="P8" s="41">
        <v>44926</v>
      </c>
      <c r="Q8" s="41">
        <v>45016</v>
      </c>
      <c r="R8" s="41">
        <v>45107</v>
      </c>
      <c r="S8" s="41">
        <v>45199</v>
      </c>
      <c r="T8" s="41">
        <v>45291</v>
      </c>
      <c r="U8" s="41">
        <v>45382</v>
      </c>
      <c r="V8" s="41">
        <v>45473</v>
      </c>
      <c r="W8" s="41">
        <v>45565</v>
      </c>
      <c r="X8" s="41">
        <v>45657</v>
      </c>
      <c r="Y8" s="41">
        <v>45747</v>
      </c>
      <c r="Z8" s="41">
        <v>45838</v>
      </c>
      <c r="AA8" s="41">
        <v>45930</v>
      </c>
      <c r="AB8" s="41">
        <v>46022</v>
      </c>
      <c r="AC8" s="41">
        <v>46112</v>
      </c>
      <c r="AD8" s="41">
        <v>46203</v>
      </c>
      <c r="AE8" s="41">
        <v>46295</v>
      </c>
      <c r="AF8" s="41">
        <v>46387</v>
      </c>
      <c r="AG8" s="41">
        <v>46477</v>
      </c>
      <c r="AH8" s="41">
        <v>46568</v>
      </c>
      <c r="AI8" s="41">
        <v>46660</v>
      </c>
      <c r="AJ8" s="41">
        <v>46752</v>
      </c>
      <c r="AK8" s="41">
        <v>46843</v>
      </c>
      <c r="AL8" s="41">
        <v>46934</v>
      </c>
      <c r="AM8" s="41">
        <v>47026</v>
      </c>
      <c r="AN8" s="41">
        <v>47118</v>
      </c>
      <c r="AO8" s="41">
        <v>47208</v>
      </c>
      <c r="AP8" s="41">
        <v>47299</v>
      </c>
      <c r="AQ8" s="41">
        <v>47391</v>
      </c>
      <c r="AR8" s="41">
        <v>47483</v>
      </c>
      <c r="AS8" s="41">
        <v>47573</v>
      </c>
      <c r="AT8" s="41">
        <v>47664</v>
      </c>
      <c r="AU8" s="41">
        <v>47756</v>
      </c>
      <c r="AV8" s="41">
        <v>47848</v>
      </c>
      <c r="AW8"/>
    </row>
    <row r="9" spans="1:49" x14ac:dyDescent="0.2"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</row>
    <row r="10" spans="1:49" x14ac:dyDescent="0.2">
      <c r="B10" s="1" t="s">
        <v>345</v>
      </c>
      <c r="H10" s="43" t="s">
        <v>33</v>
      </c>
      <c r="I10" s="143">
        <f>'3FS'!P103</f>
        <v>0</v>
      </c>
      <c r="J10" s="143">
        <f>'3FS'!Q103</f>
        <v>0</v>
      </c>
      <c r="K10" s="143">
        <f>'3FS'!R103</f>
        <v>0</v>
      </c>
      <c r="L10" s="143">
        <f>'3FS'!S103</f>
        <v>0</v>
      </c>
      <c r="M10" s="143">
        <f>'3FS'!T103</f>
        <v>0</v>
      </c>
      <c r="N10" s="143">
        <f>'3FS'!U103</f>
        <v>0</v>
      </c>
      <c r="O10" s="143">
        <f>'3FS'!V103</f>
        <v>0</v>
      </c>
      <c r="P10" s="143">
        <f>'3FS'!W103</f>
        <v>0</v>
      </c>
      <c r="Q10" s="143">
        <f>'3FS'!X103</f>
        <v>0</v>
      </c>
      <c r="R10" s="143">
        <f>'3FS'!Y103</f>
        <v>0</v>
      </c>
      <c r="S10" s="143">
        <f>'3FS'!Z103</f>
        <v>0</v>
      </c>
      <c r="T10" s="143">
        <f>'3FS'!AA103</f>
        <v>0</v>
      </c>
      <c r="U10" s="143">
        <f>'3FS'!AB103</f>
        <v>0</v>
      </c>
      <c r="V10" s="143">
        <f>'3FS'!AC103</f>
        <v>0</v>
      </c>
      <c r="W10" s="143">
        <f>'3FS'!AD103</f>
        <v>0</v>
      </c>
      <c r="X10" s="143">
        <f>'3FS'!AE103</f>
        <v>0</v>
      </c>
      <c r="Y10" s="143">
        <f>'3FS'!AF103</f>
        <v>0</v>
      </c>
      <c r="Z10" s="143">
        <f>'3FS'!AG103</f>
        <v>1266577</v>
      </c>
      <c r="AA10" s="143">
        <f>'3FS'!AH103</f>
        <v>1268081</v>
      </c>
      <c r="AB10" s="143">
        <f>'3FS'!AI103</f>
        <v>1269585</v>
      </c>
      <c r="AC10" s="50">
        <f>ABS(AC75)</f>
        <v>0</v>
      </c>
      <c r="AD10" s="50">
        <f t="shared" ref="AD10:AV10" si="12">ABS(AD75)</f>
        <v>1273013</v>
      </c>
      <c r="AE10" s="50">
        <f t="shared" si="12"/>
        <v>0</v>
      </c>
      <c r="AF10" s="50">
        <f t="shared" si="12"/>
        <v>0</v>
      </c>
      <c r="AG10" s="50">
        <f t="shared" si="12"/>
        <v>0</v>
      </c>
      <c r="AH10" s="50">
        <f t="shared" si="12"/>
        <v>0</v>
      </c>
      <c r="AI10" s="50">
        <f t="shared" si="12"/>
        <v>0</v>
      </c>
      <c r="AJ10" s="50">
        <f t="shared" si="12"/>
        <v>0</v>
      </c>
      <c r="AK10" s="50">
        <f t="shared" si="12"/>
        <v>0</v>
      </c>
      <c r="AL10" s="50">
        <f t="shared" si="12"/>
        <v>0</v>
      </c>
      <c r="AM10" s="50">
        <f t="shared" si="12"/>
        <v>0</v>
      </c>
      <c r="AN10" s="50">
        <f t="shared" si="12"/>
        <v>1000000</v>
      </c>
      <c r="AO10" s="50">
        <f t="shared" si="12"/>
        <v>0</v>
      </c>
      <c r="AP10" s="50">
        <f t="shared" si="12"/>
        <v>0</v>
      </c>
      <c r="AQ10" s="50">
        <f t="shared" si="12"/>
        <v>0</v>
      </c>
      <c r="AR10" s="50">
        <f t="shared" si="12"/>
        <v>1500000</v>
      </c>
      <c r="AS10" s="50">
        <f t="shared" si="12"/>
        <v>0</v>
      </c>
      <c r="AT10" s="50">
        <f t="shared" si="12"/>
        <v>1265000</v>
      </c>
      <c r="AU10" s="50">
        <f t="shared" si="12"/>
        <v>0</v>
      </c>
      <c r="AV10" s="50">
        <f t="shared" si="12"/>
        <v>0</v>
      </c>
      <c r="AW10"/>
    </row>
    <row r="11" spans="1:49" x14ac:dyDescent="0.2">
      <c r="B11" s="1" t="s">
        <v>346</v>
      </c>
      <c r="H11" s="43" t="s">
        <v>33</v>
      </c>
      <c r="I11" s="143">
        <f>'3FS'!P115</f>
        <v>0</v>
      </c>
      <c r="J11" s="143">
        <f>'3FS'!Q115</f>
        <v>0</v>
      </c>
      <c r="K11" s="143">
        <f>'3FS'!R115</f>
        <v>3382185</v>
      </c>
      <c r="L11" s="143">
        <f>'3FS'!S115</f>
        <v>3384795</v>
      </c>
      <c r="M11" s="143">
        <f>'3FS'!T115</f>
        <v>3386865</v>
      </c>
      <c r="N11" s="143">
        <f>'3FS'!U115</f>
        <v>3389033</v>
      </c>
      <c r="O11" s="143">
        <f>'3FS'!V115</f>
        <v>3391237</v>
      </c>
      <c r="P11" s="143">
        <f>'3FS'!W115</f>
        <v>3393448</v>
      </c>
      <c r="Q11" s="143">
        <f>'3FS'!X115</f>
        <v>3395613</v>
      </c>
      <c r="R11" s="143">
        <f>'3FS'!Y115</f>
        <v>3334257</v>
      </c>
      <c r="S11" s="143">
        <f>'3FS'!Z115</f>
        <v>3076599</v>
      </c>
      <c r="T11" s="143">
        <f>'3FS'!AA115</f>
        <v>2979957</v>
      </c>
      <c r="U11" s="143">
        <f>'3FS'!AB115</f>
        <v>4225014</v>
      </c>
      <c r="V11" s="143">
        <f>'3FS'!AC115</f>
        <v>4228019</v>
      </c>
      <c r="W11" s="143">
        <f>'3FS'!AD115</f>
        <v>4231047</v>
      </c>
      <c r="X11" s="143">
        <f>'3FS'!AE115</f>
        <v>4234081</v>
      </c>
      <c r="Y11" s="143">
        <f>'3FS'!AF115</f>
        <v>4237090</v>
      </c>
      <c r="Z11" s="143">
        <f>'3FS'!AG115</f>
        <v>2973545</v>
      </c>
      <c r="AA11" s="143">
        <f>'3FS'!AH115</f>
        <v>5933447</v>
      </c>
      <c r="AB11" s="143">
        <f>'3FS'!AI115</f>
        <v>5937034</v>
      </c>
      <c r="AC11" s="50">
        <f>AC12-AC10</f>
        <v>7206619</v>
      </c>
      <c r="AD11" s="50">
        <f t="shared" ref="AD11:AV11" si="13">AD12-AD10</f>
        <v>4660593</v>
      </c>
      <c r="AE11" s="50">
        <f t="shared" si="13"/>
        <v>5933606</v>
      </c>
      <c r="AF11" s="50">
        <f t="shared" si="13"/>
        <v>5933606</v>
      </c>
      <c r="AG11" s="50">
        <f t="shared" si="13"/>
        <v>5933606</v>
      </c>
      <c r="AH11" s="50">
        <f t="shared" si="13"/>
        <v>5933606</v>
      </c>
      <c r="AI11" s="50">
        <f t="shared" si="13"/>
        <v>5933606</v>
      </c>
      <c r="AJ11" s="50">
        <f t="shared" si="13"/>
        <v>5933606</v>
      </c>
      <c r="AK11" s="50">
        <f t="shared" si="13"/>
        <v>5933606</v>
      </c>
      <c r="AL11" s="50">
        <f t="shared" si="13"/>
        <v>5933606</v>
      </c>
      <c r="AM11" s="50">
        <f t="shared" si="13"/>
        <v>5933606</v>
      </c>
      <c r="AN11" s="50">
        <f t="shared" si="13"/>
        <v>3933606</v>
      </c>
      <c r="AO11" s="50">
        <f t="shared" si="13"/>
        <v>4933606</v>
      </c>
      <c r="AP11" s="50">
        <f t="shared" si="13"/>
        <v>4933606</v>
      </c>
      <c r="AQ11" s="50">
        <f t="shared" si="13"/>
        <v>4933606</v>
      </c>
      <c r="AR11" s="50">
        <f t="shared" si="13"/>
        <v>1933606</v>
      </c>
      <c r="AS11" s="50">
        <f t="shared" si="13"/>
        <v>3433606</v>
      </c>
      <c r="AT11" s="50">
        <f t="shared" si="13"/>
        <v>903606</v>
      </c>
      <c r="AU11" s="50">
        <f t="shared" si="13"/>
        <v>2168606</v>
      </c>
      <c r="AV11" s="50">
        <f t="shared" si="13"/>
        <v>2168606</v>
      </c>
      <c r="AW11"/>
    </row>
    <row r="12" spans="1:49" x14ac:dyDescent="0.2">
      <c r="B12" s="182" t="s">
        <v>347</v>
      </c>
      <c r="C12" s="121"/>
      <c r="D12" s="121"/>
      <c r="E12" s="121"/>
      <c r="F12" s="121"/>
      <c r="G12" s="121"/>
      <c r="H12" s="122" t="s">
        <v>33</v>
      </c>
      <c r="I12" s="165">
        <f t="array" ref="I12">SUM(I10:I11)</f>
        <v>0</v>
      </c>
      <c r="J12" s="165">
        <f t="array" ref="J12">SUM(J10:J11)</f>
        <v>0</v>
      </c>
      <c r="K12" s="165">
        <f t="array" ref="K12">SUM(K10:K11)</f>
        <v>3382185</v>
      </c>
      <c r="L12" s="165">
        <f t="array" ref="L12">SUM(L10:L11)</f>
        <v>3384795</v>
      </c>
      <c r="M12" s="165">
        <f t="array" ref="M12">SUM(M10:M11)</f>
        <v>3386865</v>
      </c>
      <c r="N12" s="165">
        <f t="array" ref="N12">SUM(N10:N11)</f>
        <v>3389033</v>
      </c>
      <c r="O12" s="165">
        <f t="array" ref="O12">SUM(O10:O11)</f>
        <v>3391237</v>
      </c>
      <c r="P12" s="165">
        <f t="array" ref="P12">SUM(P10:P11)</f>
        <v>3393448</v>
      </c>
      <c r="Q12" s="165">
        <f t="array" ref="Q12">SUM(Q10:Q11)</f>
        <v>3395613</v>
      </c>
      <c r="R12" s="165">
        <f t="array" ref="R12">SUM(R10:R11)</f>
        <v>3334257</v>
      </c>
      <c r="S12" s="165">
        <f t="array" ref="S12">SUM(S10:S11)</f>
        <v>3076599</v>
      </c>
      <c r="T12" s="165">
        <f t="array" ref="T12">SUM(T10:T11)</f>
        <v>2979957</v>
      </c>
      <c r="U12" s="165">
        <f t="array" ref="U12">SUM(U10:U11)</f>
        <v>4225014</v>
      </c>
      <c r="V12" s="165">
        <f t="array" ref="V12">SUM(V10:V11)</f>
        <v>4228019</v>
      </c>
      <c r="W12" s="165">
        <f t="array" ref="W12">SUM(W10:W11)</f>
        <v>4231047</v>
      </c>
      <c r="X12" s="165">
        <f t="array" ref="X12">SUM(X10:X11)</f>
        <v>4234081</v>
      </c>
      <c r="Y12" s="165">
        <f t="array" ref="Y12">SUM(Y10:Y11)</f>
        <v>4237090</v>
      </c>
      <c r="Z12" s="165">
        <f t="array" ref="Z12">SUM(Z10:Z11)</f>
        <v>4240122</v>
      </c>
      <c r="AA12" s="165">
        <f t="array" ref="AA12">SUM(AA10:AA11)</f>
        <v>7201528</v>
      </c>
      <c r="AB12" s="165">
        <f t="array" ref="AB12">SUM(AB10:AB11)</f>
        <v>7206619</v>
      </c>
      <c r="AC12" s="165">
        <f>AC39</f>
        <v>7206619</v>
      </c>
      <c r="AD12" s="165">
        <f t="shared" ref="AD12:AV12" si="14">AD39</f>
        <v>5933606</v>
      </c>
      <c r="AE12" s="165">
        <f t="shared" si="14"/>
        <v>5933606</v>
      </c>
      <c r="AF12" s="165">
        <f t="shared" si="14"/>
        <v>5933606</v>
      </c>
      <c r="AG12" s="165">
        <f t="shared" si="14"/>
        <v>5933606</v>
      </c>
      <c r="AH12" s="165">
        <f t="shared" si="14"/>
        <v>5933606</v>
      </c>
      <c r="AI12" s="165">
        <f t="shared" si="14"/>
        <v>5933606</v>
      </c>
      <c r="AJ12" s="165">
        <f t="shared" si="14"/>
        <v>5933606</v>
      </c>
      <c r="AK12" s="165">
        <f t="shared" si="14"/>
        <v>5933606</v>
      </c>
      <c r="AL12" s="165">
        <f t="shared" si="14"/>
        <v>5933606</v>
      </c>
      <c r="AM12" s="165">
        <f t="shared" si="14"/>
        <v>5933606</v>
      </c>
      <c r="AN12" s="165">
        <f t="shared" si="14"/>
        <v>4933606</v>
      </c>
      <c r="AO12" s="165">
        <f t="shared" si="14"/>
        <v>4933606</v>
      </c>
      <c r="AP12" s="165">
        <f t="shared" si="14"/>
        <v>4933606</v>
      </c>
      <c r="AQ12" s="165">
        <f t="shared" si="14"/>
        <v>4933606</v>
      </c>
      <c r="AR12" s="165">
        <f t="shared" si="14"/>
        <v>3433606</v>
      </c>
      <c r="AS12" s="165">
        <f t="shared" si="14"/>
        <v>3433606</v>
      </c>
      <c r="AT12" s="165">
        <f t="shared" si="14"/>
        <v>2168606</v>
      </c>
      <c r="AU12" s="165">
        <f t="shared" si="14"/>
        <v>2168606</v>
      </c>
      <c r="AV12" s="183">
        <f t="shared" si="14"/>
        <v>2168606</v>
      </c>
      <c r="AW12"/>
    </row>
    <row r="13" spans="1:49" x14ac:dyDescent="0.2">
      <c r="AW13"/>
    </row>
    <row r="14" spans="1:49" x14ac:dyDescent="0.2">
      <c r="B14" s="148" t="s">
        <v>348</v>
      </c>
      <c r="C14" s="148"/>
      <c r="D14" s="148"/>
      <c r="E14" s="148"/>
      <c r="F14" s="148"/>
      <c r="G14" s="148"/>
      <c r="H14" s="184" t="s">
        <v>29</v>
      </c>
      <c r="I14" s="185">
        <v>44286</v>
      </c>
      <c r="J14" s="185">
        <v>44377</v>
      </c>
      <c r="K14" s="185">
        <v>44469</v>
      </c>
      <c r="L14" s="185">
        <v>44561</v>
      </c>
      <c r="M14" s="185">
        <v>44651</v>
      </c>
      <c r="N14" s="185">
        <v>44742</v>
      </c>
      <c r="O14" s="185">
        <v>44834</v>
      </c>
      <c r="P14" s="185">
        <v>44926</v>
      </c>
      <c r="Q14" s="185">
        <v>45016</v>
      </c>
      <c r="R14" s="185">
        <v>45107</v>
      </c>
      <c r="S14" s="185">
        <v>45199</v>
      </c>
      <c r="T14" s="185">
        <v>45291</v>
      </c>
      <c r="U14" s="185">
        <v>45382</v>
      </c>
      <c r="V14" s="185">
        <v>45473</v>
      </c>
      <c r="W14" s="185">
        <v>45565</v>
      </c>
      <c r="X14" s="185">
        <v>45657</v>
      </c>
      <c r="Y14" s="185">
        <v>45747</v>
      </c>
      <c r="Z14" s="185">
        <v>45838</v>
      </c>
      <c r="AA14" s="185">
        <v>45930</v>
      </c>
      <c r="AB14" s="185">
        <v>46022</v>
      </c>
      <c r="AC14" s="185">
        <v>46112</v>
      </c>
      <c r="AD14" s="185">
        <v>46203</v>
      </c>
      <c r="AE14" s="185">
        <v>46295</v>
      </c>
      <c r="AF14" s="185">
        <v>46387</v>
      </c>
      <c r="AG14" s="185">
        <v>46477</v>
      </c>
      <c r="AH14" s="185">
        <v>46568</v>
      </c>
      <c r="AI14" s="185">
        <v>46660</v>
      </c>
      <c r="AJ14" s="185">
        <v>46752</v>
      </c>
      <c r="AK14" s="185">
        <v>46843</v>
      </c>
      <c r="AL14" s="185">
        <v>46934</v>
      </c>
      <c r="AM14" s="185">
        <v>47026</v>
      </c>
      <c r="AN14" s="185">
        <v>47118</v>
      </c>
      <c r="AO14" s="185">
        <v>47208</v>
      </c>
      <c r="AP14" s="185">
        <v>47299</v>
      </c>
      <c r="AQ14" s="185">
        <v>47391</v>
      </c>
      <c r="AR14" s="185">
        <v>47483</v>
      </c>
      <c r="AS14" s="185">
        <v>47573</v>
      </c>
      <c r="AT14" s="185">
        <v>47664</v>
      </c>
      <c r="AU14" s="185">
        <v>47756</v>
      </c>
      <c r="AV14" s="185">
        <v>47848</v>
      </c>
      <c r="AW14"/>
    </row>
    <row r="15" spans="1:49" ht="16" thickBot="1" x14ac:dyDescent="0.25">
      <c r="AW15"/>
    </row>
    <row r="16" spans="1:49" ht="16" thickBot="1" x14ac:dyDescent="0.25">
      <c r="B16" s="153" t="s">
        <v>349</v>
      </c>
      <c r="C16" s="154"/>
      <c r="D16" s="186" t="s">
        <v>350</v>
      </c>
      <c r="E16" s="198"/>
      <c r="F16" s="198"/>
      <c r="G16" s="198"/>
      <c r="AW16"/>
    </row>
    <row r="17" spans="2:49" x14ac:dyDescent="0.2">
      <c r="AW17"/>
    </row>
    <row r="18" spans="2:49" x14ac:dyDescent="0.2">
      <c r="B18" s="52" t="s">
        <v>223</v>
      </c>
      <c r="C18" s="52"/>
      <c r="D18" s="52"/>
      <c r="E18" s="52"/>
      <c r="F18" s="52"/>
      <c r="G18" s="52"/>
      <c r="H18" s="152" t="s">
        <v>33</v>
      </c>
      <c r="I18" s="187">
        <f>'3FS'!P15</f>
        <v>1801112</v>
      </c>
      <c r="J18" s="187">
        <f>'3FS'!Q15</f>
        <v>2227962</v>
      </c>
      <c r="K18" s="187">
        <f>'3FS'!R15</f>
        <v>1311908</v>
      </c>
      <c r="L18" s="187">
        <f>'3FS'!S15</f>
        <v>2498463</v>
      </c>
      <c r="M18" s="187">
        <f>'3FS'!T15</f>
        <v>1166436</v>
      </c>
      <c r="N18" s="187">
        <f>'3FS'!U15</f>
        <v>808325</v>
      </c>
      <c r="O18" s="187">
        <f>'3FS'!V15</f>
        <v>590339</v>
      </c>
      <c r="P18" s="187">
        <f>'3FS'!W15</f>
        <v>629108</v>
      </c>
      <c r="Q18" s="187">
        <f>'3FS'!X15</f>
        <v>772529</v>
      </c>
      <c r="R18" s="187">
        <f>'3FS'!Y15</f>
        <v>707911</v>
      </c>
      <c r="S18" s="187">
        <f>'3FS'!Z15</f>
        <v>674148</v>
      </c>
      <c r="T18" s="187">
        <f>'3FS'!AA15</f>
        <v>953795</v>
      </c>
      <c r="U18" s="187">
        <f>'3FS'!AB15</f>
        <v>1637570</v>
      </c>
      <c r="V18" s="187">
        <f>'3FS'!AC15</f>
        <v>1449628</v>
      </c>
      <c r="W18" s="187">
        <f>'3FS'!AD15</f>
        <v>1205193</v>
      </c>
      <c r="X18" s="187">
        <f>'3FS'!AE15</f>
        <v>2271637</v>
      </c>
      <c r="Y18" s="187">
        <f>'3FS'!AF15</f>
        <v>2034295</v>
      </c>
      <c r="Z18" s="187">
        <f>'3FS'!AG15</f>
        <v>1497208</v>
      </c>
      <c r="AA18" s="187">
        <f>'3FS'!AH15</f>
        <v>1868693</v>
      </c>
      <c r="AB18" s="187">
        <f>'3FS'!AI15</f>
        <v>1781129</v>
      </c>
      <c r="AC18" s="187">
        <f>'3FS'!AJ15</f>
        <v>1863528.1501340482</v>
      </c>
      <c r="AD18" s="187">
        <f>'3FS'!AK15</f>
        <v>1783482.7077747989</v>
      </c>
      <c r="AE18" s="187">
        <f>'3FS'!AL15</f>
        <v>2373828.7661462636</v>
      </c>
      <c r="AF18" s="187">
        <f>'3FS'!AM15</f>
        <v>1739680.2437160823</v>
      </c>
      <c r="AG18" s="187">
        <f>'3FS'!AN15</f>
        <v>1944720.7484934751</v>
      </c>
      <c r="AH18" s="187">
        <f>'3FS'!AO15</f>
        <v>2029033.9837878188</v>
      </c>
      <c r="AI18" s="187">
        <f>'3FS'!AP15</f>
        <v>2739287.8663155804</v>
      </c>
      <c r="AJ18" s="187">
        <f>'3FS'!AQ15</f>
        <v>1964620.3851865886</v>
      </c>
      <c r="AK18" s="187">
        <f>'3FS'!AR15</f>
        <v>2116951.6946590561</v>
      </c>
      <c r="AL18" s="187">
        <f>'3FS'!AS15</f>
        <v>2321871.5253067249</v>
      </c>
      <c r="AM18" s="187">
        <f>'3FS'!AT15</f>
        <v>3086831.8252370525</v>
      </c>
      <c r="AN18" s="187">
        <f>'3FS'!AU15</f>
        <v>2199207.7439765888</v>
      </c>
      <c r="AO18" s="187">
        <f>'3FS'!AV15</f>
        <v>2337376.7739587473</v>
      </c>
      <c r="AP18" s="187">
        <f>'3FS'!AW15</f>
        <v>2761440.4302102206</v>
      </c>
      <c r="AQ18" s="187">
        <f>'3FS'!AX15</f>
        <v>3626967.9729447658</v>
      </c>
      <c r="AR18" s="187">
        <f>'3FS'!AY15</f>
        <v>2568627.1215409175</v>
      </c>
      <c r="AS18" s="187">
        <f>'3FS'!AZ15</f>
        <v>2685495.763238363</v>
      </c>
      <c r="AT18" s="187">
        <f>'3FS'!BA15</f>
        <v>3472555.2799846497</v>
      </c>
      <c r="AU18" s="187">
        <f>'3FS'!BB15</f>
        <v>4519489.8026703475</v>
      </c>
      <c r="AV18" s="187">
        <f>'3FS'!BC15</f>
        <v>3163174.1367002623</v>
      </c>
      <c r="AW18"/>
    </row>
    <row r="19" spans="2:49" x14ac:dyDescent="0.2">
      <c r="AW19"/>
    </row>
    <row r="20" spans="2:49" x14ac:dyDescent="0.2">
      <c r="B20" s="1" t="s">
        <v>351</v>
      </c>
      <c r="H20" s="43" t="s">
        <v>33</v>
      </c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43">
        <f>'3FS'!AI59</f>
        <v>11285452</v>
      </c>
      <c r="AD20" s="143">
        <f>'3FS'!AJ59</f>
        <v>11810479.200253915</v>
      </c>
      <c r="AE20" s="143">
        <f>'3FS'!AK59</f>
        <v>17329813.662732832</v>
      </c>
      <c r="AF20" s="143">
        <f>'3FS'!AL59</f>
        <v>12853036.016134247</v>
      </c>
      <c r="AG20" s="143">
        <f>'3FS'!AM59</f>
        <v>16507512.538027182</v>
      </c>
      <c r="AH20" s="143">
        <f>'3FS'!AN59</f>
        <v>12462711.104950873</v>
      </c>
      <c r="AI20" s="143">
        <f>'3FS'!AO59</f>
        <v>19325573.722336005</v>
      </c>
      <c r="AJ20" s="143">
        <f>'3FS'!AP59</f>
        <v>14124269.045585111</v>
      </c>
      <c r="AK20" s="143">
        <f>'3FS'!AQ59</f>
        <v>18457012.27266708</v>
      </c>
      <c r="AL20" s="143">
        <f>'3FS'!AR59</f>
        <v>14264501.28132746</v>
      </c>
      <c r="AM20" s="143">
        <f>'3FS'!AS59</f>
        <v>21583331.865307171</v>
      </c>
      <c r="AN20" s="143">
        <f>'3FS'!AT59</f>
        <v>15795959.733865136</v>
      </c>
      <c r="AO20" s="143">
        <f>'3FS'!AU59</f>
        <v>19725501.013035238</v>
      </c>
      <c r="AP20" s="143">
        <f>'3FS'!AV59</f>
        <v>15195310.796293743</v>
      </c>
      <c r="AQ20" s="143">
        <f>'3FS'!AW59</f>
        <v>23018794.868714068</v>
      </c>
      <c r="AR20" s="143">
        <f>'3FS'!AX59</f>
        <v>16297555.597038481</v>
      </c>
      <c r="AS20" s="143">
        <f>'3FS'!AY59</f>
        <v>20646416.535354033</v>
      </c>
      <c r="AT20" s="143">
        <f>'3FS'!AZ59</f>
        <v>15564475.617120245</v>
      </c>
      <c r="AU20" s="143">
        <f>'3FS'!BA59</f>
        <v>22873690.570358835</v>
      </c>
      <c r="AV20" s="143">
        <f>'3FS'!BB59</f>
        <v>14565251.899231829</v>
      </c>
      <c r="AW20"/>
    </row>
    <row r="21" spans="2:49" x14ac:dyDescent="0.2">
      <c r="B21" s="1" t="s">
        <v>352</v>
      </c>
      <c r="H21" s="43" t="s">
        <v>33</v>
      </c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43">
        <f>SUM('3FS'!AJ183,'3FS'!AJ192)</f>
        <v>572302.23951464705</v>
      </c>
      <c r="AD21" s="143">
        <f>SUM('3FS'!AK183,'3FS'!AK192)</f>
        <v>6895898.85731804</v>
      </c>
      <c r="AE21" s="143">
        <f>SUM('3FS'!AL183,'3FS'!AL192)</f>
        <v>-4697970.9542317204</v>
      </c>
      <c r="AF21" s="143">
        <f>SUM('3FS'!AM183,'3FS'!AM192)</f>
        <v>4062075.637916225</v>
      </c>
      <c r="AG21" s="143">
        <f>SUM('3FS'!AN183,'3FS'!AN192)</f>
        <v>-4352396.7902577054</v>
      </c>
      <c r="AH21" s="143">
        <f>SUM('3FS'!AO183,'3FS'!AO192)</f>
        <v>6942571.9006432937</v>
      </c>
      <c r="AI21" s="143">
        <f>SUM('3FS'!AP183,'3FS'!AP192)</f>
        <v>-5461454.0601272555</v>
      </c>
      <c r="AJ21" s="143">
        <f>SUM('3FS'!AQ183,'3FS'!AQ192)</f>
        <v>4805925.6707782075</v>
      </c>
      <c r="AK21" s="143">
        <f>SUM('3FS'!AR183,'3FS'!AR192)</f>
        <v>-4522668.5181384161</v>
      </c>
      <c r="AL21" s="143">
        <f>SUM('3FS'!AS183,'3FS'!AS192)</f>
        <v>7386486.853113099</v>
      </c>
      <c r="AM21" s="143">
        <f>SUM('3FS'!AT183,'3FS'!AT192)</f>
        <v>-6074546.595312641</v>
      </c>
      <c r="AN21" s="143">
        <f>SUM('3FS'!AU183,'3FS'!AU192)</f>
        <v>5463726.9720766982</v>
      </c>
      <c r="AO21" s="143">
        <f>SUM('3FS'!AV183,'3FS'!AV192)</f>
        <v>-4892742.5167543162</v>
      </c>
      <c r="AP21" s="143">
        <f>SUM('3FS'!AW183,'3FS'!AW192)</f>
        <v>7864770.0420124857</v>
      </c>
      <c r="AQ21" s="143">
        <f>SUM('3FS'!AX183,'3FS'!AX192)</f>
        <v>-7053040.8168532588</v>
      </c>
      <c r="AR21" s="143">
        <f>SUM('3FS'!AY183,'3FS'!AY192)</f>
        <v>6477535.697574418</v>
      </c>
      <c r="AS21" s="143">
        <f>SUM('3FS'!AZ183,'3FS'!AZ192)</f>
        <v>-5495724.9304092089</v>
      </c>
      <c r="AT21" s="143">
        <f>SUM('3FS'!BA183,'3FS'!BA192)</f>
        <v>8570999.1803285833</v>
      </c>
      <c r="AU21" s="143">
        <f>SUM('3FS'!BB183,'3FS'!BB192)</f>
        <v>-8716554.7530990932</v>
      </c>
      <c r="AV21" s="143">
        <f>SUM('3FS'!BC183,'3FS'!BC192)</f>
        <v>8174383.0803954285</v>
      </c>
      <c r="AW21"/>
    </row>
    <row r="22" spans="2:49" x14ac:dyDescent="0.2">
      <c r="B22" s="1" t="s">
        <v>353</v>
      </c>
      <c r="H22" s="43" t="s">
        <v>33</v>
      </c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50">
        <f>AC38</f>
        <v>0</v>
      </c>
      <c r="AD22" s="50">
        <f t="shared" ref="AD22:AV22" si="15">AD38</f>
        <v>-1273013</v>
      </c>
      <c r="AE22" s="50">
        <f t="shared" si="15"/>
        <v>0</v>
      </c>
      <c r="AF22" s="50">
        <f t="shared" si="15"/>
        <v>0</v>
      </c>
      <c r="AG22" s="50">
        <f t="shared" si="15"/>
        <v>0</v>
      </c>
      <c r="AH22" s="50">
        <f t="shared" si="15"/>
        <v>0</v>
      </c>
      <c r="AI22" s="50">
        <f t="shared" si="15"/>
        <v>0</v>
      </c>
      <c r="AJ22" s="50">
        <f t="shared" si="15"/>
        <v>0</v>
      </c>
      <c r="AK22" s="50">
        <f t="shared" si="15"/>
        <v>0</v>
      </c>
      <c r="AL22" s="50">
        <f t="shared" si="15"/>
        <v>0</v>
      </c>
      <c r="AM22" s="50">
        <f t="shared" si="15"/>
        <v>0</v>
      </c>
      <c r="AN22" s="50">
        <f t="shared" si="15"/>
        <v>-1000000</v>
      </c>
      <c r="AO22" s="50">
        <f t="shared" si="15"/>
        <v>0</v>
      </c>
      <c r="AP22" s="50">
        <f t="shared" si="15"/>
        <v>0</v>
      </c>
      <c r="AQ22" s="50">
        <f t="shared" si="15"/>
        <v>0</v>
      </c>
      <c r="AR22" s="50">
        <f t="shared" si="15"/>
        <v>-1500000</v>
      </c>
      <c r="AS22" s="50">
        <f t="shared" si="15"/>
        <v>0</v>
      </c>
      <c r="AT22" s="50">
        <f t="shared" si="15"/>
        <v>-1265000</v>
      </c>
      <c r="AU22" s="50">
        <f t="shared" si="15"/>
        <v>0</v>
      </c>
      <c r="AV22" s="50">
        <f t="shared" si="15"/>
        <v>0</v>
      </c>
      <c r="AW22"/>
    </row>
    <row r="23" spans="2:49" x14ac:dyDescent="0.2">
      <c r="B23" s="1" t="s">
        <v>354</v>
      </c>
      <c r="H23" s="43" t="s">
        <v>33</v>
      </c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91">
        <v>0</v>
      </c>
      <c r="AD23" s="91">
        <v>0</v>
      </c>
      <c r="AE23" s="91">
        <v>0</v>
      </c>
      <c r="AF23" s="91">
        <v>0</v>
      </c>
      <c r="AG23" s="91">
        <v>0</v>
      </c>
      <c r="AH23" s="91">
        <v>0</v>
      </c>
      <c r="AI23" s="91">
        <v>0</v>
      </c>
      <c r="AJ23" s="91">
        <v>0</v>
      </c>
      <c r="AK23" s="91">
        <v>0</v>
      </c>
      <c r="AL23" s="91">
        <v>0</v>
      </c>
      <c r="AM23" s="91">
        <v>0</v>
      </c>
      <c r="AN23" s="91">
        <v>0</v>
      </c>
      <c r="AO23" s="91">
        <v>0</v>
      </c>
      <c r="AP23" s="91">
        <v>0</v>
      </c>
      <c r="AQ23" s="91">
        <v>0</v>
      </c>
      <c r="AR23" s="91">
        <v>0</v>
      </c>
      <c r="AS23" s="91">
        <v>0</v>
      </c>
      <c r="AT23" s="91">
        <v>0</v>
      </c>
      <c r="AU23" s="91">
        <v>0</v>
      </c>
      <c r="AV23" s="91">
        <v>0</v>
      </c>
      <c r="AW23"/>
    </row>
    <row r="24" spans="2:49" x14ac:dyDescent="0.2">
      <c r="B24" s="1" t="s">
        <v>355</v>
      </c>
      <c r="H24" s="43" t="s">
        <v>33</v>
      </c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91">
        <v>0</v>
      </c>
      <c r="AD24" s="91">
        <v>0</v>
      </c>
      <c r="AE24" s="91">
        <v>0</v>
      </c>
      <c r="AF24" s="91">
        <v>0</v>
      </c>
      <c r="AG24" s="91">
        <v>0</v>
      </c>
      <c r="AH24" s="91">
        <v>0</v>
      </c>
      <c r="AI24" s="91">
        <v>0</v>
      </c>
      <c r="AJ24" s="91">
        <v>0</v>
      </c>
      <c r="AK24" s="91">
        <v>0</v>
      </c>
      <c r="AL24" s="91">
        <v>0</v>
      </c>
      <c r="AM24" s="91">
        <v>0</v>
      </c>
      <c r="AN24" s="91">
        <v>0</v>
      </c>
      <c r="AO24" s="91">
        <v>0</v>
      </c>
      <c r="AP24" s="91">
        <v>0</v>
      </c>
      <c r="AQ24" s="91">
        <v>0</v>
      </c>
      <c r="AR24" s="91">
        <v>0</v>
      </c>
      <c r="AS24" s="91">
        <v>0</v>
      </c>
      <c r="AT24" s="91">
        <v>0</v>
      </c>
      <c r="AU24" s="91">
        <v>0</v>
      </c>
      <c r="AV24" s="91">
        <v>0</v>
      </c>
      <c r="AW24"/>
    </row>
    <row r="25" spans="2:49" x14ac:dyDescent="0.2">
      <c r="B25" s="1" t="s">
        <v>356</v>
      </c>
      <c r="D25" s="195">
        <v>0.1</v>
      </c>
      <c r="E25" s="199"/>
      <c r="F25" s="199"/>
      <c r="G25" s="199"/>
      <c r="H25" s="43" t="s">
        <v>33</v>
      </c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91">
        <f>-$D$25*AC18</f>
        <v>-186352.81501340482</v>
      </c>
      <c r="AD25" s="91">
        <f t="shared" ref="AD25:AV25" si="16">-$D$25*AD18</f>
        <v>-178348.27077747989</v>
      </c>
      <c r="AE25" s="91">
        <f t="shared" si="16"/>
        <v>-237382.87661462638</v>
      </c>
      <c r="AF25" s="91">
        <f t="shared" si="16"/>
        <v>-173968.02437160825</v>
      </c>
      <c r="AG25" s="91">
        <f t="shared" si="16"/>
        <v>-194472.07484934753</v>
      </c>
      <c r="AH25" s="91">
        <f t="shared" si="16"/>
        <v>-202903.39837878189</v>
      </c>
      <c r="AI25" s="91">
        <f t="shared" si="16"/>
        <v>-273928.78663155803</v>
      </c>
      <c r="AJ25" s="91">
        <f t="shared" si="16"/>
        <v>-196462.03851865887</v>
      </c>
      <c r="AK25" s="91">
        <f t="shared" si="16"/>
        <v>-211695.16946590564</v>
      </c>
      <c r="AL25" s="91">
        <f t="shared" si="16"/>
        <v>-232187.15253067249</v>
      </c>
      <c r="AM25" s="91">
        <f t="shared" si="16"/>
        <v>-308683.18252370524</v>
      </c>
      <c r="AN25" s="91">
        <f t="shared" si="16"/>
        <v>-219920.77439765888</v>
      </c>
      <c r="AO25" s="91">
        <f t="shared" si="16"/>
        <v>-233737.67739587475</v>
      </c>
      <c r="AP25" s="91">
        <f t="shared" si="16"/>
        <v>-276144.04302102205</v>
      </c>
      <c r="AQ25" s="91">
        <f t="shared" si="16"/>
        <v>-362696.79729447659</v>
      </c>
      <c r="AR25" s="91">
        <f t="shared" si="16"/>
        <v>-256862.71215409177</v>
      </c>
      <c r="AS25" s="91">
        <f t="shared" si="16"/>
        <v>-268549.57632383629</v>
      </c>
      <c r="AT25" s="91">
        <f t="shared" si="16"/>
        <v>-347255.527998465</v>
      </c>
      <c r="AU25" s="91">
        <f t="shared" si="16"/>
        <v>-451948.98026703479</v>
      </c>
      <c r="AV25" s="91">
        <f t="shared" si="16"/>
        <v>-316317.41367002623</v>
      </c>
      <c r="AW25"/>
    </row>
    <row r="26" spans="2:49" x14ac:dyDescent="0.2">
      <c r="B26" s="182" t="s">
        <v>357</v>
      </c>
      <c r="C26" s="121"/>
      <c r="D26" s="121"/>
      <c r="E26" s="121"/>
      <c r="F26" s="121"/>
      <c r="G26" s="121"/>
      <c r="H26" s="122" t="s">
        <v>33</v>
      </c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96">
        <f>IF($D$16="OFF",MIN(SUM(AC20:AC25),0),0)</f>
        <v>0</v>
      </c>
      <c r="AD26" s="196">
        <f t="shared" ref="AD26:AV26" si="17">IF($D$16="OFF",MIN(SUM(AD20:AD25),0),0)</f>
        <v>0</v>
      </c>
      <c r="AE26" s="196">
        <f t="shared" si="17"/>
        <v>0</v>
      </c>
      <c r="AF26" s="196">
        <f t="shared" si="17"/>
        <v>0</v>
      </c>
      <c r="AG26" s="196">
        <f t="shared" si="17"/>
        <v>0</v>
      </c>
      <c r="AH26" s="196">
        <f t="shared" si="17"/>
        <v>0</v>
      </c>
      <c r="AI26" s="196">
        <f t="shared" si="17"/>
        <v>0</v>
      </c>
      <c r="AJ26" s="196">
        <f t="shared" si="17"/>
        <v>0</v>
      </c>
      <c r="AK26" s="196">
        <f t="shared" si="17"/>
        <v>0</v>
      </c>
      <c r="AL26" s="196">
        <f t="shared" si="17"/>
        <v>0</v>
      </c>
      <c r="AM26" s="196">
        <f t="shared" si="17"/>
        <v>0</v>
      </c>
      <c r="AN26" s="196">
        <f t="shared" si="17"/>
        <v>0</v>
      </c>
      <c r="AO26" s="196">
        <f t="shared" si="17"/>
        <v>0</v>
      </c>
      <c r="AP26" s="196">
        <f t="shared" si="17"/>
        <v>0</v>
      </c>
      <c r="AQ26" s="196">
        <f t="shared" si="17"/>
        <v>0</v>
      </c>
      <c r="AR26" s="196">
        <f t="shared" si="17"/>
        <v>0</v>
      </c>
      <c r="AS26" s="196">
        <f t="shared" si="17"/>
        <v>0</v>
      </c>
      <c r="AT26" s="196">
        <f t="shared" si="17"/>
        <v>0</v>
      </c>
      <c r="AU26" s="196">
        <f t="shared" si="17"/>
        <v>0</v>
      </c>
      <c r="AV26" s="197">
        <f t="shared" si="17"/>
        <v>0</v>
      </c>
      <c r="AW26"/>
    </row>
    <row r="27" spans="2:49" x14ac:dyDescent="0.2">
      <c r="AW27"/>
    </row>
    <row r="28" spans="2:49" x14ac:dyDescent="0.2">
      <c r="B28" s="52" t="s">
        <v>358</v>
      </c>
      <c r="D28" s="193">
        <v>1</v>
      </c>
      <c r="E28" s="199"/>
      <c r="F28" s="199"/>
      <c r="G28" s="199"/>
      <c r="AW28"/>
    </row>
    <row r="29" spans="2:49" x14ac:dyDescent="0.2">
      <c r="AW29"/>
    </row>
    <row r="30" spans="2:49" x14ac:dyDescent="0.2">
      <c r="B30" s="52" t="s">
        <v>359</v>
      </c>
      <c r="H30" s="152" t="s">
        <v>33</v>
      </c>
      <c r="I30" s="179"/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  <c r="AA30" s="179"/>
      <c r="AB30" s="179"/>
      <c r="AC30" s="194">
        <f>ABS(AC26)</f>
        <v>0</v>
      </c>
      <c r="AD30" s="194">
        <f t="shared" ref="AD30:AV30" si="18">ABS(AD26)</f>
        <v>0</v>
      </c>
      <c r="AE30" s="194">
        <f t="shared" si="18"/>
        <v>0</v>
      </c>
      <c r="AF30" s="194">
        <f t="shared" si="18"/>
        <v>0</v>
      </c>
      <c r="AG30" s="194">
        <f t="shared" si="18"/>
        <v>0</v>
      </c>
      <c r="AH30" s="194">
        <f t="shared" si="18"/>
        <v>0</v>
      </c>
      <c r="AI30" s="194">
        <f t="shared" si="18"/>
        <v>0</v>
      </c>
      <c r="AJ30" s="194">
        <f t="shared" si="18"/>
        <v>0</v>
      </c>
      <c r="AK30" s="194">
        <f t="shared" si="18"/>
        <v>0</v>
      </c>
      <c r="AL30" s="194">
        <f t="shared" si="18"/>
        <v>0</v>
      </c>
      <c r="AM30" s="194">
        <f t="shared" si="18"/>
        <v>0</v>
      </c>
      <c r="AN30" s="194">
        <f t="shared" si="18"/>
        <v>0</v>
      </c>
      <c r="AO30" s="194">
        <f t="shared" si="18"/>
        <v>0</v>
      </c>
      <c r="AP30" s="194">
        <f t="shared" si="18"/>
        <v>0</v>
      </c>
      <c r="AQ30" s="194">
        <f t="shared" si="18"/>
        <v>0</v>
      </c>
      <c r="AR30" s="194">
        <f t="shared" si="18"/>
        <v>0</v>
      </c>
      <c r="AS30" s="194">
        <f t="shared" si="18"/>
        <v>0</v>
      </c>
      <c r="AT30" s="194">
        <f t="shared" si="18"/>
        <v>0</v>
      </c>
      <c r="AU30" s="194">
        <f t="shared" si="18"/>
        <v>0</v>
      </c>
      <c r="AV30" s="194">
        <f t="shared" si="18"/>
        <v>0</v>
      </c>
      <c r="AW30"/>
    </row>
    <row r="31" spans="2:49" x14ac:dyDescent="0.2">
      <c r="B31" s="1" t="s">
        <v>143</v>
      </c>
      <c r="H31" s="43" t="s">
        <v>36</v>
      </c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64">
        <f>AC30*$D$28</f>
        <v>0</v>
      </c>
      <c r="AD31" s="164">
        <f t="shared" ref="AD31:AV31" si="19">AD30*$D$28</f>
        <v>0</v>
      </c>
      <c r="AE31" s="164">
        <f t="shared" si="19"/>
        <v>0</v>
      </c>
      <c r="AF31" s="164">
        <f t="shared" si="19"/>
        <v>0</v>
      </c>
      <c r="AG31" s="164">
        <f t="shared" si="19"/>
        <v>0</v>
      </c>
      <c r="AH31" s="164">
        <f t="shared" si="19"/>
        <v>0</v>
      </c>
      <c r="AI31" s="164">
        <f t="shared" si="19"/>
        <v>0</v>
      </c>
      <c r="AJ31" s="164">
        <f t="shared" si="19"/>
        <v>0</v>
      </c>
      <c r="AK31" s="164">
        <f t="shared" si="19"/>
        <v>0</v>
      </c>
      <c r="AL31" s="164">
        <f t="shared" si="19"/>
        <v>0</v>
      </c>
      <c r="AM31" s="164">
        <f t="shared" si="19"/>
        <v>0</v>
      </c>
      <c r="AN31" s="164">
        <f t="shared" si="19"/>
        <v>0</v>
      </c>
      <c r="AO31" s="164">
        <f t="shared" si="19"/>
        <v>0</v>
      </c>
      <c r="AP31" s="164">
        <f t="shared" si="19"/>
        <v>0</v>
      </c>
      <c r="AQ31" s="164">
        <f t="shared" si="19"/>
        <v>0</v>
      </c>
      <c r="AR31" s="164">
        <f t="shared" si="19"/>
        <v>0</v>
      </c>
      <c r="AS31" s="164">
        <f t="shared" si="19"/>
        <v>0</v>
      </c>
      <c r="AT31" s="164">
        <f t="shared" si="19"/>
        <v>0</v>
      </c>
      <c r="AU31" s="164">
        <f t="shared" si="19"/>
        <v>0</v>
      </c>
      <c r="AV31" s="164">
        <f t="shared" si="19"/>
        <v>0</v>
      </c>
      <c r="AW31"/>
    </row>
    <row r="32" spans="2:49" x14ac:dyDescent="0.2">
      <c r="B32" s="1" t="s">
        <v>144</v>
      </c>
      <c r="H32" s="43" t="s">
        <v>36</v>
      </c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64">
        <f>(1-$D$28)*AC30</f>
        <v>0</v>
      </c>
      <c r="AD32" s="164">
        <f t="shared" ref="AD32:AV32" si="20">(1-$D$28)*AD30</f>
        <v>0</v>
      </c>
      <c r="AE32" s="164">
        <f t="shared" si="20"/>
        <v>0</v>
      </c>
      <c r="AF32" s="164">
        <f t="shared" si="20"/>
        <v>0</v>
      </c>
      <c r="AG32" s="164">
        <f t="shared" si="20"/>
        <v>0</v>
      </c>
      <c r="AH32" s="164">
        <f t="shared" si="20"/>
        <v>0</v>
      </c>
      <c r="AI32" s="164">
        <f t="shared" si="20"/>
        <v>0</v>
      </c>
      <c r="AJ32" s="164">
        <f t="shared" si="20"/>
        <v>0</v>
      </c>
      <c r="AK32" s="164">
        <f t="shared" si="20"/>
        <v>0</v>
      </c>
      <c r="AL32" s="164">
        <f t="shared" si="20"/>
        <v>0</v>
      </c>
      <c r="AM32" s="164">
        <f t="shared" si="20"/>
        <v>0</v>
      </c>
      <c r="AN32" s="164">
        <f t="shared" si="20"/>
        <v>0</v>
      </c>
      <c r="AO32" s="164">
        <f t="shared" si="20"/>
        <v>0</v>
      </c>
      <c r="AP32" s="164">
        <f t="shared" si="20"/>
        <v>0</v>
      </c>
      <c r="AQ32" s="164">
        <f t="shared" si="20"/>
        <v>0</v>
      </c>
      <c r="AR32" s="164">
        <f t="shared" si="20"/>
        <v>0</v>
      </c>
      <c r="AS32" s="164">
        <f t="shared" si="20"/>
        <v>0</v>
      </c>
      <c r="AT32" s="164">
        <f t="shared" si="20"/>
        <v>0</v>
      </c>
      <c r="AU32" s="164">
        <f t="shared" si="20"/>
        <v>0</v>
      </c>
      <c r="AV32" s="164">
        <f t="shared" si="20"/>
        <v>0</v>
      </c>
      <c r="AW32"/>
    </row>
    <row r="33" spans="1:49" x14ac:dyDescent="0.2">
      <c r="AW33"/>
    </row>
    <row r="34" spans="1:49" x14ac:dyDescent="0.2">
      <c r="B34" s="1" t="s">
        <v>360</v>
      </c>
      <c r="H34" s="43" t="s">
        <v>33</v>
      </c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64">
        <v>0</v>
      </c>
      <c r="AD34" s="164">
        <v>0</v>
      </c>
      <c r="AE34" s="164">
        <v>0</v>
      </c>
      <c r="AF34" s="164">
        <v>0</v>
      </c>
      <c r="AG34" s="164">
        <v>0</v>
      </c>
      <c r="AH34" s="164">
        <v>0</v>
      </c>
      <c r="AI34" s="164">
        <v>0</v>
      </c>
      <c r="AJ34" s="164">
        <v>0</v>
      </c>
      <c r="AK34" s="164">
        <v>0</v>
      </c>
      <c r="AL34" s="164">
        <v>0</v>
      </c>
      <c r="AM34" s="164">
        <v>0</v>
      </c>
      <c r="AN34" s="164">
        <v>0</v>
      </c>
      <c r="AO34" s="164">
        <v>0</v>
      </c>
      <c r="AP34" s="164">
        <v>0</v>
      </c>
      <c r="AQ34" s="164">
        <v>0</v>
      </c>
      <c r="AR34" s="164">
        <v>0</v>
      </c>
      <c r="AS34" s="164">
        <v>0</v>
      </c>
      <c r="AT34" s="164">
        <v>0</v>
      </c>
      <c r="AU34" s="164">
        <v>0</v>
      </c>
      <c r="AV34" s="164">
        <v>0</v>
      </c>
      <c r="AW34"/>
    </row>
    <row r="35" spans="1:49" x14ac:dyDescent="0.2">
      <c r="AW35"/>
    </row>
    <row r="36" spans="1:49" x14ac:dyDescent="0.2">
      <c r="B36" s="1" t="s">
        <v>361</v>
      </c>
      <c r="H36" s="43" t="s">
        <v>33</v>
      </c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50">
        <f>AB12</f>
        <v>7206619</v>
      </c>
      <c r="AD36" s="50">
        <f t="shared" ref="AD36:AV36" si="21">AC12</f>
        <v>7206619</v>
      </c>
      <c r="AE36" s="50">
        <f t="shared" si="21"/>
        <v>5933606</v>
      </c>
      <c r="AF36" s="50">
        <f t="shared" si="21"/>
        <v>5933606</v>
      </c>
      <c r="AG36" s="50">
        <f t="shared" si="21"/>
        <v>5933606</v>
      </c>
      <c r="AH36" s="50">
        <f t="shared" si="21"/>
        <v>5933606</v>
      </c>
      <c r="AI36" s="50">
        <f t="shared" si="21"/>
        <v>5933606</v>
      </c>
      <c r="AJ36" s="50">
        <f t="shared" si="21"/>
        <v>5933606</v>
      </c>
      <c r="AK36" s="50">
        <f t="shared" si="21"/>
        <v>5933606</v>
      </c>
      <c r="AL36" s="50">
        <f t="shared" si="21"/>
        <v>5933606</v>
      </c>
      <c r="AM36" s="50">
        <f t="shared" si="21"/>
        <v>5933606</v>
      </c>
      <c r="AN36" s="50">
        <f t="shared" si="21"/>
        <v>5933606</v>
      </c>
      <c r="AO36" s="50">
        <f t="shared" si="21"/>
        <v>4933606</v>
      </c>
      <c r="AP36" s="50">
        <f t="shared" si="21"/>
        <v>4933606</v>
      </c>
      <c r="AQ36" s="50">
        <f t="shared" si="21"/>
        <v>4933606</v>
      </c>
      <c r="AR36" s="50">
        <f t="shared" si="21"/>
        <v>4933606</v>
      </c>
      <c r="AS36" s="50">
        <f t="shared" si="21"/>
        <v>3433606</v>
      </c>
      <c r="AT36" s="50">
        <f t="shared" si="21"/>
        <v>3433606</v>
      </c>
      <c r="AU36" s="50">
        <f t="shared" si="21"/>
        <v>2168606</v>
      </c>
      <c r="AV36" s="50">
        <f t="shared" si="21"/>
        <v>2168606</v>
      </c>
      <c r="AW36"/>
    </row>
    <row r="37" spans="1:49" x14ac:dyDescent="0.2">
      <c r="B37" s="1" t="s">
        <v>362</v>
      </c>
      <c r="H37" s="43" t="s">
        <v>33</v>
      </c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64">
        <f>AC34+AC31</f>
        <v>0</v>
      </c>
      <c r="AD37" s="164">
        <f t="shared" ref="AD37:AV37" si="22">AD34+AD31</f>
        <v>0</v>
      </c>
      <c r="AE37" s="164">
        <f t="shared" si="22"/>
        <v>0</v>
      </c>
      <c r="AF37" s="164">
        <f t="shared" si="22"/>
        <v>0</v>
      </c>
      <c r="AG37" s="164">
        <f t="shared" si="22"/>
        <v>0</v>
      </c>
      <c r="AH37" s="164">
        <f t="shared" si="22"/>
        <v>0</v>
      </c>
      <c r="AI37" s="164">
        <f t="shared" si="22"/>
        <v>0</v>
      </c>
      <c r="AJ37" s="164">
        <f t="shared" si="22"/>
        <v>0</v>
      </c>
      <c r="AK37" s="164">
        <f t="shared" si="22"/>
        <v>0</v>
      </c>
      <c r="AL37" s="164">
        <f t="shared" si="22"/>
        <v>0</v>
      </c>
      <c r="AM37" s="164">
        <f t="shared" si="22"/>
        <v>0</v>
      </c>
      <c r="AN37" s="164">
        <f t="shared" si="22"/>
        <v>0</v>
      </c>
      <c r="AO37" s="164">
        <f t="shared" si="22"/>
        <v>0</v>
      </c>
      <c r="AP37" s="164">
        <f t="shared" si="22"/>
        <v>0</v>
      </c>
      <c r="AQ37" s="164">
        <f t="shared" si="22"/>
        <v>0</v>
      </c>
      <c r="AR37" s="164">
        <f t="shared" si="22"/>
        <v>0</v>
      </c>
      <c r="AS37" s="164">
        <f t="shared" si="22"/>
        <v>0</v>
      </c>
      <c r="AT37" s="164">
        <f t="shared" si="22"/>
        <v>0</v>
      </c>
      <c r="AU37" s="164">
        <f t="shared" si="22"/>
        <v>0</v>
      </c>
      <c r="AV37" s="164">
        <f t="shared" si="22"/>
        <v>0</v>
      </c>
      <c r="AW37"/>
    </row>
    <row r="38" spans="1:49" x14ac:dyDescent="0.2">
      <c r="B38" s="1" t="s">
        <v>363</v>
      </c>
      <c r="H38" s="43" t="s">
        <v>33</v>
      </c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50">
        <f>AC75</f>
        <v>0</v>
      </c>
      <c r="AD38" s="50">
        <f t="shared" ref="AD38:AV38" si="23">AD75</f>
        <v>-1273013</v>
      </c>
      <c r="AE38" s="50">
        <f t="shared" si="23"/>
        <v>0</v>
      </c>
      <c r="AF38" s="50">
        <f t="shared" si="23"/>
        <v>0</v>
      </c>
      <c r="AG38" s="50">
        <f t="shared" si="23"/>
        <v>0</v>
      </c>
      <c r="AH38" s="50">
        <f t="shared" si="23"/>
        <v>0</v>
      </c>
      <c r="AI38" s="50">
        <f t="shared" si="23"/>
        <v>0</v>
      </c>
      <c r="AJ38" s="50">
        <f t="shared" si="23"/>
        <v>0</v>
      </c>
      <c r="AK38" s="50">
        <f t="shared" si="23"/>
        <v>0</v>
      </c>
      <c r="AL38" s="50">
        <f t="shared" si="23"/>
        <v>0</v>
      </c>
      <c r="AM38" s="50">
        <f t="shared" si="23"/>
        <v>0</v>
      </c>
      <c r="AN38" s="50">
        <f t="shared" si="23"/>
        <v>-1000000</v>
      </c>
      <c r="AO38" s="50">
        <f t="shared" si="23"/>
        <v>0</v>
      </c>
      <c r="AP38" s="50">
        <f t="shared" si="23"/>
        <v>0</v>
      </c>
      <c r="AQ38" s="50">
        <f t="shared" si="23"/>
        <v>0</v>
      </c>
      <c r="AR38" s="50">
        <f t="shared" si="23"/>
        <v>-1500000</v>
      </c>
      <c r="AS38" s="50">
        <f t="shared" si="23"/>
        <v>0</v>
      </c>
      <c r="AT38" s="50">
        <f t="shared" si="23"/>
        <v>-1265000</v>
      </c>
      <c r="AU38" s="50">
        <f t="shared" si="23"/>
        <v>0</v>
      </c>
      <c r="AV38" s="50">
        <f t="shared" si="23"/>
        <v>0</v>
      </c>
      <c r="AW38"/>
    </row>
    <row r="39" spans="1:49" x14ac:dyDescent="0.2">
      <c r="B39" s="182" t="s">
        <v>364</v>
      </c>
      <c r="C39" s="121"/>
      <c r="D39" s="121"/>
      <c r="E39" s="121"/>
      <c r="F39" s="121"/>
      <c r="G39" s="121"/>
      <c r="H39" s="122" t="s">
        <v>33</v>
      </c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65">
        <f>SUM(AC36:AC38)</f>
        <v>7206619</v>
      </c>
      <c r="AD39" s="165">
        <f t="shared" ref="AD39:AV39" si="24">SUM(AD36:AD38)</f>
        <v>5933606</v>
      </c>
      <c r="AE39" s="165">
        <f t="shared" si="24"/>
        <v>5933606</v>
      </c>
      <c r="AF39" s="165">
        <f t="shared" si="24"/>
        <v>5933606</v>
      </c>
      <c r="AG39" s="165">
        <f t="shared" si="24"/>
        <v>5933606</v>
      </c>
      <c r="AH39" s="165">
        <f t="shared" si="24"/>
        <v>5933606</v>
      </c>
      <c r="AI39" s="165">
        <f t="shared" si="24"/>
        <v>5933606</v>
      </c>
      <c r="AJ39" s="165">
        <f t="shared" si="24"/>
        <v>5933606</v>
      </c>
      <c r="AK39" s="165">
        <f t="shared" si="24"/>
        <v>5933606</v>
      </c>
      <c r="AL39" s="165">
        <f t="shared" si="24"/>
        <v>5933606</v>
      </c>
      <c r="AM39" s="165">
        <f t="shared" si="24"/>
        <v>5933606</v>
      </c>
      <c r="AN39" s="165">
        <f t="shared" si="24"/>
        <v>4933606</v>
      </c>
      <c r="AO39" s="165">
        <f t="shared" si="24"/>
        <v>4933606</v>
      </c>
      <c r="AP39" s="165">
        <f t="shared" si="24"/>
        <v>4933606</v>
      </c>
      <c r="AQ39" s="165">
        <f t="shared" si="24"/>
        <v>4933606</v>
      </c>
      <c r="AR39" s="165">
        <f t="shared" si="24"/>
        <v>3433606</v>
      </c>
      <c r="AS39" s="165">
        <f t="shared" si="24"/>
        <v>3433606</v>
      </c>
      <c r="AT39" s="165">
        <f t="shared" si="24"/>
        <v>2168606</v>
      </c>
      <c r="AU39" s="165">
        <f t="shared" si="24"/>
        <v>2168606</v>
      </c>
      <c r="AV39" s="183">
        <f t="shared" si="24"/>
        <v>2168606</v>
      </c>
      <c r="AW39"/>
    </row>
    <row r="40" spans="1:49" x14ac:dyDescent="0.2">
      <c r="AW40"/>
    </row>
    <row r="41" spans="1:49" x14ac:dyDescent="0.2">
      <c r="A41" s="1" t="s">
        <v>27</v>
      </c>
      <c r="B41" s="33" t="s">
        <v>365</v>
      </c>
      <c r="C41" s="33"/>
      <c r="D41" s="33"/>
      <c r="E41" s="33"/>
      <c r="F41" s="33"/>
      <c r="G41" s="33"/>
      <c r="H41" s="34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/>
    </row>
    <row r="42" spans="1:49" x14ac:dyDescent="0.2">
      <c r="AW42"/>
    </row>
    <row r="43" spans="1:49" x14ac:dyDescent="0.2">
      <c r="B43" s="148" t="s">
        <v>366</v>
      </c>
      <c r="C43" s="148"/>
      <c r="D43" s="148"/>
      <c r="E43" s="148"/>
      <c r="F43" s="148"/>
      <c r="G43" s="148"/>
      <c r="H43" s="184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Y43" s="185"/>
      <c r="Z43" s="185"/>
      <c r="AA43" s="185"/>
      <c r="AB43" s="185"/>
      <c r="AC43" s="185"/>
      <c r="AD43" s="185"/>
      <c r="AE43" s="185"/>
      <c r="AF43" s="185"/>
      <c r="AG43" s="185"/>
      <c r="AH43" s="185"/>
      <c r="AI43" s="185"/>
      <c r="AJ43" s="185"/>
      <c r="AK43" s="185"/>
      <c r="AL43" s="185"/>
      <c r="AM43" s="185"/>
      <c r="AN43" s="185"/>
      <c r="AO43" s="185"/>
      <c r="AP43" s="185"/>
      <c r="AQ43" s="185"/>
      <c r="AR43" s="185"/>
      <c r="AS43" s="185"/>
      <c r="AT43" s="185"/>
      <c r="AU43" s="185"/>
      <c r="AV43" s="185"/>
      <c r="AW43"/>
    </row>
    <row r="45" spans="1:49" x14ac:dyDescent="0.2">
      <c r="B45" s="75" t="s">
        <v>367</v>
      </c>
      <c r="E45" s="200" t="s">
        <v>368</v>
      </c>
      <c r="F45" s="200" t="s">
        <v>369</v>
      </c>
      <c r="G45" s="200" t="s">
        <v>201</v>
      </c>
      <c r="H45" s="200" t="s">
        <v>370</v>
      </c>
    </row>
    <row r="46" spans="1:49" x14ac:dyDescent="0.2">
      <c r="B46" s="1" t="s">
        <v>371</v>
      </c>
      <c r="E46" s="201">
        <v>1273013</v>
      </c>
      <c r="F46" s="202">
        <v>9.7999999999999997E-3</v>
      </c>
      <c r="G46" s="205">
        <v>2026</v>
      </c>
      <c r="H46" s="203">
        <v>2</v>
      </c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50">
        <f>IF(AND($G46=AC$1,$H46=AC$2),-$E46,0)</f>
        <v>0</v>
      </c>
      <c r="AD46" s="50">
        <f t="shared" ref="AD46:AV51" si="25">IF(AND($G46=AD$1,$H46=AD$2),-$E46,0)</f>
        <v>-1273013</v>
      </c>
      <c r="AE46" s="50">
        <f t="shared" si="25"/>
        <v>0</v>
      </c>
      <c r="AF46" s="50">
        <f t="shared" si="25"/>
        <v>0</v>
      </c>
      <c r="AG46" s="50">
        <f t="shared" si="25"/>
        <v>0</v>
      </c>
      <c r="AH46" s="50">
        <f t="shared" si="25"/>
        <v>0</v>
      </c>
      <c r="AI46" s="50">
        <f t="shared" si="25"/>
        <v>0</v>
      </c>
      <c r="AJ46" s="50">
        <f t="shared" si="25"/>
        <v>0</v>
      </c>
      <c r="AK46" s="50">
        <f t="shared" si="25"/>
        <v>0</v>
      </c>
      <c r="AL46" s="50">
        <f t="shared" si="25"/>
        <v>0</v>
      </c>
      <c r="AM46" s="50">
        <f t="shared" si="25"/>
        <v>0</v>
      </c>
      <c r="AN46" s="50">
        <f t="shared" si="25"/>
        <v>0</v>
      </c>
      <c r="AO46" s="50">
        <f t="shared" si="25"/>
        <v>0</v>
      </c>
      <c r="AP46" s="50">
        <f t="shared" si="25"/>
        <v>0</v>
      </c>
      <c r="AQ46" s="50">
        <f t="shared" si="25"/>
        <v>0</v>
      </c>
      <c r="AR46" s="50">
        <f t="shared" si="25"/>
        <v>0</v>
      </c>
      <c r="AS46" s="50">
        <f t="shared" si="25"/>
        <v>0</v>
      </c>
      <c r="AT46" s="50">
        <f t="shared" si="25"/>
        <v>0</v>
      </c>
      <c r="AU46" s="50">
        <f t="shared" si="25"/>
        <v>0</v>
      </c>
      <c r="AV46" s="50">
        <f t="shared" si="25"/>
        <v>0</v>
      </c>
    </row>
    <row r="47" spans="1:49" x14ac:dyDescent="0.2">
      <c r="B47" s="1" t="s">
        <v>372</v>
      </c>
      <c r="E47" s="201">
        <v>1000000</v>
      </c>
      <c r="F47" s="202">
        <v>3.5700000000000003E-2</v>
      </c>
      <c r="G47" s="205">
        <v>2028</v>
      </c>
      <c r="H47" s="203">
        <v>4</v>
      </c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50">
        <f t="shared" ref="AC47:AC51" si="26">IF(AND($G47=AC$1,$H47=AC$2),-$E47,0)</f>
        <v>0</v>
      </c>
      <c r="AD47" s="50">
        <f t="shared" si="25"/>
        <v>0</v>
      </c>
      <c r="AE47" s="50">
        <f t="shared" si="25"/>
        <v>0</v>
      </c>
      <c r="AF47" s="50">
        <f t="shared" si="25"/>
        <v>0</v>
      </c>
      <c r="AG47" s="50">
        <f t="shared" si="25"/>
        <v>0</v>
      </c>
      <c r="AH47" s="50">
        <f t="shared" si="25"/>
        <v>0</v>
      </c>
      <c r="AI47" s="50">
        <f t="shared" si="25"/>
        <v>0</v>
      </c>
      <c r="AJ47" s="50">
        <f t="shared" si="25"/>
        <v>0</v>
      </c>
      <c r="AK47" s="50">
        <f t="shared" si="25"/>
        <v>0</v>
      </c>
      <c r="AL47" s="50">
        <f t="shared" si="25"/>
        <v>0</v>
      </c>
      <c r="AM47" s="50">
        <f t="shared" si="25"/>
        <v>0</v>
      </c>
      <c r="AN47" s="50">
        <f t="shared" si="25"/>
        <v>-1000000</v>
      </c>
      <c r="AO47" s="50">
        <f t="shared" si="25"/>
        <v>0</v>
      </c>
      <c r="AP47" s="50">
        <f t="shared" si="25"/>
        <v>0</v>
      </c>
      <c r="AQ47" s="50">
        <f t="shared" si="25"/>
        <v>0</v>
      </c>
      <c r="AR47" s="50">
        <f t="shared" si="25"/>
        <v>0</v>
      </c>
      <c r="AS47" s="50">
        <f t="shared" si="25"/>
        <v>0</v>
      </c>
      <c r="AT47" s="50">
        <f t="shared" si="25"/>
        <v>0</v>
      </c>
      <c r="AU47" s="50">
        <f t="shared" si="25"/>
        <v>0</v>
      </c>
      <c r="AV47" s="50">
        <f t="shared" si="25"/>
        <v>0</v>
      </c>
    </row>
    <row r="48" spans="1:49" x14ac:dyDescent="0.2">
      <c r="B48" s="1" t="s">
        <v>373</v>
      </c>
      <c r="E48" s="201">
        <v>1500000</v>
      </c>
      <c r="F48" s="202">
        <v>3.5000000000000001E-3</v>
      </c>
      <c r="G48" s="205">
        <v>2029</v>
      </c>
      <c r="H48" s="203">
        <v>4</v>
      </c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50">
        <f t="shared" si="26"/>
        <v>0</v>
      </c>
      <c r="AD48" s="50">
        <f t="shared" si="25"/>
        <v>0</v>
      </c>
      <c r="AE48" s="50">
        <f t="shared" si="25"/>
        <v>0</v>
      </c>
      <c r="AF48" s="50">
        <f t="shared" si="25"/>
        <v>0</v>
      </c>
      <c r="AG48" s="50">
        <f t="shared" si="25"/>
        <v>0</v>
      </c>
      <c r="AH48" s="50">
        <f t="shared" si="25"/>
        <v>0</v>
      </c>
      <c r="AI48" s="50">
        <f t="shared" si="25"/>
        <v>0</v>
      </c>
      <c r="AJ48" s="50">
        <f t="shared" si="25"/>
        <v>0</v>
      </c>
      <c r="AK48" s="50">
        <f t="shared" si="25"/>
        <v>0</v>
      </c>
      <c r="AL48" s="50">
        <f t="shared" si="25"/>
        <v>0</v>
      </c>
      <c r="AM48" s="50">
        <f t="shared" si="25"/>
        <v>0</v>
      </c>
      <c r="AN48" s="50">
        <f t="shared" si="25"/>
        <v>0</v>
      </c>
      <c r="AO48" s="50">
        <f t="shared" si="25"/>
        <v>0</v>
      </c>
      <c r="AP48" s="50">
        <f t="shared" si="25"/>
        <v>0</v>
      </c>
      <c r="AQ48" s="50">
        <f t="shared" si="25"/>
        <v>0</v>
      </c>
      <c r="AR48" s="50">
        <f t="shared" si="25"/>
        <v>-1500000</v>
      </c>
      <c r="AS48" s="50">
        <f t="shared" si="25"/>
        <v>0</v>
      </c>
      <c r="AT48" s="50">
        <f t="shared" si="25"/>
        <v>0</v>
      </c>
      <c r="AU48" s="50">
        <f t="shared" si="25"/>
        <v>0</v>
      </c>
      <c r="AV48" s="50">
        <f t="shared" si="25"/>
        <v>0</v>
      </c>
    </row>
    <row r="49" spans="2:48" x14ac:dyDescent="0.2">
      <c r="B49" s="1" t="s">
        <v>374</v>
      </c>
      <c r="E49" s="201">
        <v>1265000</v>
      </c>
      <c r="F49" s="202">
        <v>5.4999999999999997E-3</v>
      </c>
      <c r="G49" s="205">
        <v>2030</v>
      </c>
      <c r="H49" s="203">
        <v>2</v>
      </c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50">
        <f t="shared" si="26"/>
        <v>0</v>
      </c>
      <c r="AD49" s="50">
        <f t="shared" si="25"/>
        <v>0</v>
      </c>
      <c r="AE49" s="50">
        <f t="shared" si="25"/>
        <v>0</v>
      </c>
      <c r="AF49" s="50">
        <f t="shared" si="25"/>
        <v>0</v>
      </c>
      <c r="AG49" s="50">
        <f t="shared" si="25"/>
        <v>0</v>
      </c>
      <c r="AH49" s="50">
        <f t="shared" si="25"/>
        <v>0</v>
      </c>
      <c r="AI49" s="50">
        <f t="shared" si="25"/>
        <v>0</v>
      </c>
      <c r="AJ49" s="50">
        <f t="shared" si="25"/>
        <v>0</v>
      </c>
      <c r="AK49" s="50">
        <f t="shared" si="25"/>
        <v>0</v>
      </c>
      <c r="AL49" s="50">
        <f t="shared" si="25"/>
        <v>0</v>
      </c>
      <c r="AM49" s="50">
        <f t="shared" si="25"/>
        <v>0</v>
      </c>
      <c r="AN49" s="50">
        <f t="shared" si="25"/>
        <v>0</v>
      </c>
      <c r="AO49" s="50">
        <f t="shared" si="25"/>
        <v>0</v>
      </c>
      <c r="AP49" s="50">
        <f t="shared" si="25"/>
        <v>0</v>
      </c>
      <c r="AQ49" s="50">
        <f t="shared" si="25"/>
        <v>0</v>
      </c>
      <c r="AR49" s="50">
        <f t="shared" si="25"/>
        <v>0</v>
      </c>
      <c r="AS49" s="50">
        <f t="shared" si="25"/>
        <v>0</v>
      </c>
      <c r="AT49" s="50">
        <f t="shared" si="25"/>
        <v>-1265000</v>
      </c>
      <c r="AU49" s="50">
        <f t="shared" si="25"/>
        <v>0</v>
      </c>
      <c r="AV49" s="50">
        <f t="shared" si="25"/>
        <v>0</v>
      </c>
    </row>
    <row r="50" spans="2:48" x14ac:dyDescent="0.2">
      <c r="B50" s="1" t="s">
        <v>375</v>
      </c>
      <c r="E50" s="201">
        <v>737457</v>
      </c>
      <c r="F50" s="202">
        <v>3.7699999999999997E-2</v>
      </c>
      <c r="G50" s="205">
        <v>2031</v>
      </c>
      <c r="H50" s="203">
        <v>4</v>
      </c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50">
        <f t="shared" si="26"/>
        <v>0</v>
      </c>
      <c r="AD50" s="50">
        <f t="shared" si="25"/>
        <v>0</v>
      </c>
      <c r="AE50" s="50">
        <f t="shared" si="25"/>
        <v>0</v>
      </c>
      <c r="AF50" s="50">
        <f t="shared" si="25"/>
        <v>0</v>
      </c>
      <c r="AG50" s="50">
        <f t="shared" si="25"/>
        <v>0</v>
      </c>
      <c r="AH50" s="50">
        <f t="shared" si="25"/>
        <v>0</v>
      </c>
      <c r="AI50" s="50">
        <f t="shared" si="25"/>
        <v>0</v>
      </c>
      <c r="AJ50" s="50">
        <f t="shared" si="25"/>
        <v>0</v>
      </c>
      <c r="AK50" s="50">
        <f t="shared" si="25"/>
        <v>0</v>
      </c>
      <c r="AL50" s="50">
        <f t="shared" si="25"/>
        <v>0</v>
      </c>
      <c r="AM50" s="50">
        <f t="shared" si="25"/>
        <v>0</v>
      </c>
      <c r="AN50" s="50">
        <f t="shared" si="25"/>
        <v>0</v>
      </c>
      <c r="AO50" s="50">
        <f t="shared" si="25"/>
        <v>0</v>
      </c>
      <c r="AP50" s="50">
        <f t="shared" si="25"/>
        <v>0</v>
      </c>
      <c r="AQ50" s="50">
        <f t="shared" si="25"/>
        <v>0</v>
      </c>
      <c r="AR50" s="50">
        <f t="shared" si="25"/>
        <v>0</v>
      </c>
      <c r="AS50" s="50">
        <f t="shared" si="25"/>
        <v>0</v>
      </c>
      <c r="AT50" s="50">
        <f t="shared" si="25"/>
        <v>0</v>
      </c>
      <c r="AU50" s="50">
        <f t="shared" si="25"/>
        <v>0</v>
      </c>
      <c r="AV50" s="50">
        <f t="shared" si="25"/>
        <v>0</v>
      </c>
    </row>
    <row r="51" spans="2:48" x14ac:dyDescent="0.2">
      <c r="B51" s="1" t="s">
        <v>376</v>
      </c>
      <c r="E51" s="201">
        <v>1500000</v>
      </c>
      <c r="F51" s="202">
        <v>2E-3</v>
      </c>
      <c r="G51" s="205">
        <v>2032</v>
      </c>
      <c r="H51" s="203">
        <v>4</v>
      </c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50">
        <f t="shared" si="26"/>
        <v>0</v>
      </c>
      <c r="AD51" s="50">
        <f t="shared" si="25"/>
        <v>0</v>
      </c>
      <c r="AE51" s="50">
        <f t="shared" si="25"/>
        <v>0</v>
      </c>
      <c r="AF51" s="50">
        <f t="shared" si="25"/>
        <v>0</v>
      </c>
      <c r="AG51" s="50">
        <f t="shared" si="25"/>
        <v>0</v>
      </c>
      <c r="AH51" s="50">
        <f t="shared" si="25"/>
        <v>0</v>
      </c>
      <c r="AI51" s="50">
        <f t="shared" si="25"/>
        <v>0</v>
      </c>
      <c r="AJ51" s="50">
        <f t="shared" si="25"/>
        <v>0</v>
      </c>
      <c r="AK51" s="50">
        <f t="shared" si="25"/>
        <v>0</v>
      </c>
      <c r="AL51" s="50">
        <f t="shared" si="25"/>
        <v>0</v>
      </c>
      <c r="AM51" s="50">
        <f t="shared" si="25"/>
        <v>0</v>
      </c>
      <c r="AN51" s="50">
        <f t="shared" si="25"/>
        <v>0</v>
      </c>
      <c r="AO51" s="50">
        <f t="shared" si="25"/>
        <v>0</v>
      </c>
      <c r="AP51" s="50">
        <f t="shared" si="25"/>
        <v>0</v>
      </c>
      <c r="AQ51" s="50">
        <f t="shared" si="25"/>
        <v>0</v>
      </c>
      <c r="AR51" s="50">
        <f t="shared" si="25"/>
        <v>0</v>
      </c>
      <c r="AS51" s="50">
        <f t="shared" si="25"/>
        <v>0</v>
      </c>
      <c r="AT51" s="50">
        <f t="shared" si="25"/>
        <v>0</v>
      </c>
      <c r="AU51" s="50">
        <f t="shared" si="25"/>
        <v>0</v>
      </c>
      <c r="AV51" s="50">
        <f t="shared" si="25"/>
        <v>0</v>
      </c>
    </row>
    <row r="53" spans="2:48" x14ac:dyDescent="0.2">
      <c r="B53" s="75" t="s">
        <v>377</v>
      </c>
      <c r="E53" s="200" t="s">
        <v>368</v>
      </c>
      <c r="F53" s="200" t="s">
        <v>369</v>
      </c>
      <c r="G53" s="200" t="s">
        <v>201</v>
      </c>
      <c r="H53" s="200" t="s">
        <v>370</v>
      </c>
    </row>
    <row r="54" spans="2:48" x14ac:dyDescent="0.2">
      <c r="B54" s="206" cm="1">
        <f t="array" ref="B54:B73">TRANSPOSE($AC$14:$AV$14)</f>
        <v>46112</v>
      </c>
      <c r="E54" s="201">
        <v>0</v>
      </c>
      <c r="F54" s="202">
        <v>5.0000000000000001E-3</v>
      </c>
      <c r="G54" s="207">
        <f>B54+6</f>
        <v>46118</v>
      </c>
      <c r="H54" s="203">
        <v>1</v>
      </c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50">
        <f t="shared" ref="AC54:AR73" si="27">IF(AND($G54=AC$1,$H54=AC$2),-$E54,0)</f>
        <v>0</v>
      </c>
      <c r="AD54" s="50">
        <f t="shared" si="27"/>
        <v>0</v>
      </c>
      <c r="AE54" s="50">
        <f t="shared" si="27"/>
        <v>0</v>
      </c>
      <c r="AF54" s="50">
        <f t="shared" si="27"/>
        <v>0</v>
      </c>
      <c r="AG54" s="50">
        <f t="shared" si="27"/>
        <v>0</v>
      </c>
      <c r="AH54" s="50">
        <f t="shared" si="27"/>
        <v>0</v>
      </c>
      <c r="AI54" s="50">
        <f t="shared" si="27"/>
        <v>0</v>
      </c>
      <c r="AJ54" s="50">
        <f t="shared" si="27"/>
        <v>0</v>
      </c>
      <c r="AK54" s="50">
        <f t="shared" si="27"/>
        <v>0</v>
      </c>
      <c r="AL54" s="50">
        <f t="shared" si="27"/>
        <v>0</v>
      </c>
      <c r="AM54" s="50">
        <f t="shared" si="27"/>
        <v>0</v>
      </c>
      <c r="AN54" s="50">
        <f t="shared" si="27"/>
        <v>0</v>
      </c>
      <c r="AO54" s="50">
        <f t="shared" si="27"/>
        <v>0</v>
      </c>
      <c r="AP54" s="50">
        <f t="shared" si="27"/>
        <v>0</v>
      </c>
      <c r="AQ54" s="50">
        <f t="shared" si="27"/>
        <v>0</v>
      </c>
      <c r="AR54" s="50">
        <f t="shared" si="27"/>
        <v>0</v>
      </c>
      <c r="AS54" s="50">
        <f t="shared" ref="AD54:AV68" si="28">IF(AND($G54=AS$1,$H54=AS$2),-$E54,0)</f>
        <v>0</v>
      </c>
      <c r="AT54" s="50">
        <f t="shared" si="28"/>
        <v>0</v>
      </c>
      <c r="AU54" s="50">
        <f t="shared" si="28"/>
        <v>0</v>
      </c>
      <c r="AV54" s="50">
        <f t="shared" si="28"/>
        <v>0</v>
      </c>
    </row>
    <row r="55" spans="2:48" x14ac:dyDescent="0.2">
      <c r="B55" s="206">
        <v>46203</v>
      </c>
      <c r="E55" s="201">
        <v>0</v>
      </c>
      <c r="F55" s="202">
        <v>5.0000000000000001E-3</v>
      </c>
      <c r="G55" s="207">
        <f t="shared" ref="G55:G73" si="29">B55+6</f>
        <v>46209</v>
      </c>
      <c r="H55" s="203">
        <v>2</v>
      </c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  <c r="AC55" s="50">
        <f t="shared" si="27"/>
        <v>0</v>
      </c>
      <c r="AD55" s="50">
        <f t="shared" si="28"/>
        <v>0</v>
      </c>
      <c r="AE55" s="50">
        <f t="shared" si="28"/>
        <v>0</v>
      </c>
      <c r="AF55" s="50">
        <f t="shared" si="28"/>
        <v>0</v>
      </c>
      <c r="AG55" s="50">
        <f t="shared" si="28"/>
        <v>0</v>
      </c>
      <c r="AH55" s="50">
        <f t="shared" si="28"/>
        <v>0</v>
      </c>
      <c r="AI55" s="50">
        <f t="shared" si="28"/>
        <v>0</v>
      </c>
      <c r="AJ55" s="50">
        <f t="shared" si="28"/>
        <v>0</v>
      </c>
      <c r="AK55" s="50">
        <f t="shared" si="28"/>
        <v>0</v>
      </c>
      <c r="AL55" s="50">
        <f t="shared" si="28"/>
        <v>0</v>
      </c>
      <c r="AM55" s="50">
        <f t="shared" si="28"/>
        <v>0</v>
      </c>
      <c r="AN55" s="50">
        <f t="shared" si="28"/>
        <v>0</v>
      </c>
      <c r="AO55" s="50">
        <f t="shared" si="28"/>
        <v>0</v>
      </c>
      <c r="AP55" s="50">
        <f t="shared" si="28"/>
        <v>0</v>
      </c>
      <c r="AQ55" s="50">
        <f t="shared" si="28"/>
        <v>0</v>
      </c>
      <c r="AR55" s="50">
        <f t="shared" si="28"/>
        <v>0</v>
      </c>
      <c r="AS55" s="50">
        <f t="shared" si="28"/>
        <v>0</v>
      </c>
      <c r="AT55" s="50">
        <f t="shared" si="28"/>
        <v>0</v>
      </c>
      <c r="AU55" s="50">
        <f t="shared" si="28"/>
        <v>0</v>
      </c>
      <c r="AV55" s="50">
        <f t="shared" si="28"/>
        <v>0</v>
      </c>
    </row>
    <row r="56" spans="2:48" x14ac:dyDescent="0.2">
      <c r="B56" s="206">
        <v>46295</v>
      </c>
      <c r="E56" s="201">
        <v>0</v>
      </c>
      <c r="F56" s="202">
        <v>5.0000000000000001E-3</v>
      </c>
      <c r="G56" s="207">
        <f t="shared" si="29"/>
        <v>46301</v>
      </c>
      <c r="H56" s="203">
        <v>3</v>
      </c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50">
        <f t="shared" si="27"/>
        <v>0</v>
      </c>
      <c r="AD56" s="50">
        <f t="shared" si="28"/>
        <v>0</v>
      </c>
      <c r="AE56" s="50">
        <f t="shared" si="28"/>
        <v>0</v>
      </c>
      <c r="AF56" s="50">
        <f t="shared" si="28"/>
        <v>0</v>
      </c>
      <c r="AG56" s="50">
        <f t="shared" si="28"/>
        <v>0</v>
      </c>
      <c r="AH56" s="50">
        <f t="shared" si="28"/>
        <v>0</v>
      </c>
      <c r="AI56" s="50">
        <f t="shared" si="28"/>
        <v>0</v>
      </c>
      <c r="AJ56" s="50">
        <f t="shared" si="28"/>
        <v>0</v>
      </c>
      <c r="AK56" s="50">
        <f t="shared" si="28"/>
        <v>0</v>
      </c>
      <c r="AL56" s="50">
        <f t="shared" si="28"/>
        <v>0</v>
      </c>
      <c r="AM56" s="50">
        <f t="shared" si="28"/>
        <v>0</v>
      </c>
      <c r="AN56" s="50">
        <f t="shared" si="28"/>
        <v>0</v>
      </c>
      <c r="AO56" s="50">
        <f t="shared" si="28"/>
        <v>0</v>
      </c>
      <c r="AP56" s="50">
        <f t="shared" si="28"/>
        <v>0</v>
      </c>
      <c r="AQ56" s="50">
        <f t="shared" si="28"/>
        <v>0</v>
      </c>
      <c r="AR56" s="50">
        <f t="shared" si="28"/>
        <v>0</v>
      </c>
      <c r="AS56" s="50">
        <f t="shared" si="28"/>
        <v>0</v>
      </c>
      <c r="AT56" s="50">
        <f t="shared" si="28"/>
        <v>0</v>
      </c>
      <c r="AU56" s="50">
        <f t="shared" si="28"/>
        <v>0</v>
      </c>
      <c r="AV56" s="50">
        <f t="shared" si="28"/>
        <v>0</v>
      </c>
    </row>
    <row r="57" spans="2:48" x14ac:dyDescent="0.2">
      <c r="B57" s="206">
        <v>46387</v>
      </c>
      <c r="E57" s="201">
        <v>0</v>
      </c>
      <c r="F57" s="202">
        <v>5.0000000000000001E-3</v>
      </c>
      <c r="G57" s="207">
        <f t="shared" si="29"/>
        <v>46393</v>
      </c>
      <c r="H57" s="203">
        <v>4</v>
      </c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50">
        <f t="shared" si="27"/>
        <v>0</v>
      </c>
      <c r="AD57" s="50">
        <f t="shared" si="28"/>
        <v>0</v>
      </c>
      <c r="AE57" s="50">
        <f t="shared" si="28"/>
        <v>0</v>
      </c>
      <c r="AF57" s="50">
        <f t="shared" si="28"/>
        <v>0</v>
      </c>
      <c r="AG57" s="50">
        <f t="shared" si="28"/>
        <v>0</v>
      </c>
      <c r="AH57" s="50">
        <f t="shared" si="28"/>
        <v>0</v>
      </c>
      <c r="AI57" s="50">
        <f t="shared" si="28"/>
        <v>0</v>
      </c>
      <c r="AJ57" s="50">
        <f t="shared" si="28"/>
        <v>0</v>
      </c>
      <c r="AK57" s="50">
        <f t="shared" si="28"/>
        <v>0</v>
      </c>
      <c r="AL57" s="50">
        <f t="shared" si="28"/>
        <v>0</v>
      </c>
      <c r="AM57" s="50">
        <f t="shared" si="28"/>
        <v>0</v>
      </c>
      <c r="AN57" s="50">
        <f t="shared" si="28"/>
        <v>0</v>
      </c>
      <c r="AO57" s="50">
        <f t="shared" si="28"/>
        <v>0</v>
      </c>
      <c r="AP57" s="50">
        <f t="shared" si="28"/>
        <v>0</v>
      </c>
      <c r="AQ57" s="50">
        <f t="shared" si="28"/>
        <v>0</v>
      </c>
      <c r="AR57" s="50">
        <f t="shared" si="28"/>
        <v>0</v>
      </c>
      <c r="AS57" s="50">
        <f t="shared" si="28"/>
        <v>0</v>
      </c>
      <c r="AT57" s="50">
        <f t="shared" si="28"/>
        <v>0</v>
      </c>
      <c r="AU57" s="50">
        <f t="shared" si="28"/>
        <v>0</v>
      </c>
      <c r="AV57" s="50">
        <f t="shared" si="28"/>
        <v>0</v>
      </c>
    </row>
    <row r="58" spans="2:48" x14ac:dyDescent="0.2">
      <c r="B58" s="206">
        <v>46477</v>
      </c>
      <c r="E58" s="201">
        <v>0</v>
      </c>
      <c r="F58" s="202">
        <v>5.0000000000000001E-3</v>
      </c>
      <c r="G58" s="207">
        <f t="shared" si="29"/>
        <v>46483</v>
      </c>
      <c r="H58" s="203">
        <f>H54</f>
        <v>1</v>
      </c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50">
        <f t="shared" si="27"/>
        <v>0</v>
      </c>
      <c r="AD58" s="50">
        <f t="shared" si="28"/>
        <v>0</v>
      </c>
      <c r="AE58" s="50">
        <f t="shared" si="28"/>
        <v>0</v>
      </c>
      <c r="AF58" s="50">
        <f t="shared" si="28"/>
        <v>0</v>
      </c>
      <c r="AG58" s="50">
        <f t="shared" si="28"/>
        <v>0</v>
      </c>
      <c r="AH58" s="50">
        <f t="shared" si="28"/>
        <v>0</v>
      </c>
      <c r="AI58" s="50">
        <f t="shared" si="28"/>
        <v>0</v>
      </c>
      <c r="AJ58" s="50">
        <f t="shared" si="28"/>
        <v>0</v>
      </c>
      <c r="AK58" s="50">
        <f t="shared" si="28"/>
        <v>0</v>
      </c>
      <c r="AL58" s="50">
        <f t="shared" si="28"/>
        <v>0</v>
      </c>
      <c r="AM58" s="50">
        <f t="shared" si="28"/>
        <v>0</v>
      </c>
      <c r="AN58" s="50">
        <f t="shared" si="28"/>
        <v>0</v>
      </c>
      <c r="AO58" s="50">
        <f t="shared" si="28"/>
        <v>0</v>
      </c>
      <c r="AP58" s="50">
        <f t="shared" si="28"/>
        <v>0</v>
      </c>
      <c r="AQ58" s="50">
        <f t="shared" si="28"/>
        <v>0</v>
      </c>
      <c r="AR58" s="50">
        <f t="shared" si="28"/>
        <v>0</v>
      </c>
      <c r="AS58" s="50">
        <f t="shared" si="28"/>
        <v>0</v>
      </c>
      <c r="AT58" s="50">
        <f t="shared" si="28"/>
        <v>0</v>
      </c>
      <c r="AU58" s="50">
        <f t="shared" si="28"/>
        <v>0</v>
      </c>
      <c r="AV58" s="50">
        <f t="shared" si="28"/>
        <v>0</v>
      </c>
    </row>
    <row r="59" spans="2:48" x14ac:dyDescent="0.2">
      <c r="B59" s="206">
        <v>46568</v>
      </c>
      <c r="E59" s="201">
        <v>0</v>
      </c>
      <c r="F59" s="202">
        <v>5.0000000000000001E-3</v>
      </c>
      <c r="G59" s="207">
        <f t="shared" si="29"/>
        <v>46574</v>
      </c>
      <c r="H59" s="203">
        <f t="shared" ref="H59:H73" si="30">H55</f>
        <v>2</v>
      </c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50">
        <f t="shared" si="27"/>
        <v>0</v>
      </c>
      <c r="AD59" s="50">
        <f t="shared" si="28"/>
        <v>0</v>
      </c>
      <c r="AE59" s="50">
        <f t="shared" si="28"/>
        <v>0</v>
      </c>
      <c r="AF59" s="50">
        <f t="shared" si="28"/>
        <v>0</v>
      </c>
      <c r="AG59" s="50">
        <f t="shared" si="28"/>
        <v>0</v>
      </c>
      <c r="AH59" s="50">
        <f t="shared" si="28"/>
        <v>0</v>
      </c>
      <c r="AI59" s="50">
        <f t="shared" si="28"/>
        <v>0</v>
      </c>
      <c r="AJ59" s="50">
        <f t="shared" si="28"/>
        <v>0</v>
      </c>
      <c r="AK59" s="50">
        <f t="shared" si="28"/>
        <v>0</v>
      </c>
      <c r="AL59" s="50">
        <f t="shared" si="28"/>
        <v>0</v>
      </c>
      <c r="AM59" s="50">
        <f t="shared" si="28"/>
        <v>0</v>
      </c>
      <c r="AN59" s="50">
        <f t="shared" si="28"/>
        <v>0</v>
      </c>
      <c r="AO59" s="50">
        <f t="shared" si="28"/>
        <v>0</v>
      </c>
      <c r="AP59" s="50">
        <f t="shared" si="28"/>
        <v>0</v>
      </c>
      <c r="AQ59" s="50">
        <f t="shared" si="28"/>
        <v>0</v>
      </c>
      <c r="AR59" s="50">
        <f t="shared" si="28"/>
        <v>0</v>
      </c>
      <c r="AS59" s="50">
        <f t="shared" si="28"/>
        <v>0</v>
      </c>
      <c r="AT59" s="50">
        <f t="shared" si="28"/>
        <v>0</v>
      </c>
      <c r="AU59" s="50">
        <f t="shared" si="28"/>
        <v>0</v>
      </c>
      <c r="AV59" s="50">
        <f t="shared" si="28"/>
        <v>0</v>
      </c>
    </row>
    <row r="60" spans="2:48" x14ac:dyDescent="0.2">
      <c r="B60" s="206">
        <v>46660</v>
      </c>
      <c r="E60" s="201">
        <v>0</v>
      </c>
      <c r="F60" s="202">
        <v>5.0000000000000001E-3</v>
      </c>
      <c r="G60" s="207">
        <f t="shared" si="29"/>
        <v>46666</v>
      </c>
      <c r="H60" s="203">
        <f t="shared" si="30"/>
        <v>3</v>
      </c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50">
        <f t="shared" si="27"/>
        <v>0</v>
      </c>
      <c r="AD60" s="50">
        <f t="shared" si="28"/>
        <v>0</v>
      </c>
      <c r="AE60" s="50">
        <f t="shared" si="28"/>
        <v>0</v>
      </c>
      <c r="AF60" s="50">
        <f t="shared" si="28"/>
        <v>0</v>
      </c>
      <c r="AG60" s="50">
        <f t="shared" si="28"/>
        <v>0</v>
      </c>
      <c r="AH60" s="50">
        <f t="shared" si="28"/>
        <v>0</v>
      </c>
      <c r="AI60" s="50">
        <f t="shared" si="28"/>
        <v>0</v>
      </c>
      <c r="AJ60" s="50">
        <f t="shared" si="28"/>
        <v>0</v>
      </c>
      <c r="AK60" s="50">
        <f t="shared" si="28"/>
        <v>0</v>
      </c>
      <c r="AL60" s="50">
        <f t="shared" si="28"/>
        <v>0</v>
      </c>
      <c r="AM60" s="50">
        <f t="shared" si="28"/>
        <v>0</v>
      </c>
      <c r="AN60" s="50">
        <f t="shared" si="28"/>
        <v>0</v>
      </c>
      <c r="AO60" s="50">
        <f t="shared" si="28"/>
        <v>0</v>
      </c>
      <c r="AP60" s="50">
        <f t="shared" si="28"/>
        <v>0</v>
      </c>
      <c r="AQ60" s="50">
        <f t="shared" si="28"/>
        <v>0</v>
      </c>
      <c r="AR60" s="50">
        <f t="shared" si="28"/>
        <v>0</v>
      </c>
      <c r="AS60" s="50">
        <f t="shared" si="28"/>
        <v>0</v>
      </c>
      <c r="AT60" s="50">
        <f t="shared" si="28"/>
        <v>0</v>
      </c>
      <c r="AU60" s="50">
        <f t="shared" si="28"/>
        <v>0</v>
      </c>
      <c r="AV60" s="50">
        <f t="shared" si="28"/>
        <v>0</v>
      </c>
    </row>
    <row r="61" spans="2:48" x14ac:dyDescent="0.2">
      <c r="B61" s="206">
        <v>46752</v>
      </c>
      <c r="E61" s="201">
        <v>0</v>
      </c>
      <c r="F61" s="202">
        <v>5.0000000000000001E-3</v>
      </c>
      <c r="G61" s="207">
        <f t="shared" si="29"/>
        <v>46758</v>
      </c>
      <c r="H61" s="203">
        <f t="shared" si="30"/>
        <v>4</v>
      </c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50">
        <f t="shared" si="27"/>
        <v>0</v>
      </c>
      <c r="AD61" s="50">
        <f t="shared" si="28"/>
        <v>0</v>
      </c>
      <c r="AE61" s="50">
        <f t="shared" si="28"/>
        <v>0</v>
      </c>
      <c r="AF61" s="50">
        <f t="shared" si="28"/>
        <v>0</v>
      </c>
      <c r="AG61" s="50">
        <f t="shared" si="28"/>
        <v>0</v>
      </c>
      <c r="AH61" s="50">
        <f t="shared" si="28"/>
        <v>0</v>
      </c>
      <c r="AI61" s="50">
        <f t="shared" si="28"/>
        <v>0</v>
      </c>
      <c r="AJ61" s="50">
        <f t="shared" si="28"/>
        <v>0</v>
      </c>
      <c r="AK61" s="50">
        <f t="shared" si="28"/>
        <v>0</v>
      </c>
      <c r="AL61" s="50">
        <f t="shared" si="28"/>
        <v>0</v>
      </c>
      <c r="AM61" s="50">
        <f t="shared" si="28"/>
        <v>0</v>
      </c>
      <c r="AN61" s="50">
        <f t="shared" si="28"/>
        <v>0</v>
      </c>
      <c r="AO61" s="50">
        <f t="shared" si="28"/>
        <v>0</v>
      </c>
      <c r="AP61" s="50">
        <f t="shared" si="28"/>
        <v>0</v>
      </c>
      <c r="AQ61" s="50">
        <f t="shared" si="28"/>
        <v>0</v>
      </c>
      <c r="AR61" s="50">
        <f t="shared" si="28"/>
        <v>0</v>
      </c>
      <c r="AS61" s="50">
        <f t="shared" si="28"/>
        <v>0</v>
      </c>
      <c r="AT61" s="50">
        <f t="shared" si="28"/>
        <v>0</v>
      </c>
      <c r="AU61" s="50">
        <f t="shared" si="28"/>
        <v>0</v>
      </c>
      <c r="AV61" s="50">
        <f t="shared" si="28"/>
        <v>0</v>
      </c>
    </row>
    <row r="62" spans="2:48" x14ac:dyDescent="0.2">
      <c r="B62" s="206">
        <v>46843</v>
      </c>
      <c r="E62" s="201">
        <v>0</v>
      </c>
      <c r="F62" s="202">
        <v>5.0000000000000001E-3</v>
      </c>
      <c r="G62" s="207">
        <f t="shared" si="29"/>
        <v>46849</v>
      </c>
      <c r="H62" s="203">
        <f t="shared" si="30"/>
        <v>1</v>
      </c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50">
        <f t="shared" si="27"/>
        <v>0</v>
      </c>
      <c r="AD62" s="50">
        <f t="shared" si="28"/>
        <v>0</v>
      </c>
      <c r="AE62" s="50">
        <f t="shared" si="28"/>
        <v>0</v>
      </c>
      <c r="AF62" s="50">
        <f t="shared" si="28"/>
        <v>0</v>
      </c>
      <c r="AG62" s="50">
        <f t="shared" si="28"/>
        <v>0</v>
      </c>
      <c r="AH62" s="50">
        <f t="shared" si="28"/>
        <v>0</v>
      </c>
      <c r="AI62" s="50">
        <f t="shared" si="28"/>
        <v>0</v>
      </c>
      <c r="AJ62" s="50">
        <f t="shared" si="28"/>
        <v>0</v>
      </c>
      <c r="AK62" s="50">
        <f t="shared" si="28"/>
        <v>0</v>
      </c>
      <c r="AL62" s="50">
        <f t="shared" si="28"/>
        <v>0</v>
      </c>
      <c r="AM62" s="50">
        <f t="shared" si="28"/>
        <v>0</v>
      </c>
      <c r="AN62" s="50">
        <f t="shared" si="28"/>
        <v>0</v>
      </c>
      <c r="AO62" s="50">
        <f t="shared" si="28"/>
        <v>0</v>
      </c>
      <c r="AP62" s="50">
        <f t="shared" si="28"/>
        <v>0</v>
      </c>
      <c r="AQ62" s="50">
        <f t="shared" si="28"/>
        <v>0</v>
      </c>
      <c r="AR62" s="50">
        <f t="shared" si="28"/>
        <v>0</v>
      </c>
      <c r="AS62" s="50">
        <f t="shared" si="28"/>
        <v>0</v>
      </c>
      <c r="AT62" s="50">
        <f t="shared" si="28"/>
        <v>0</v>
      </c>
      <c r="AU62" s="50">
        <f t="shared" si="28"/>
        <v>0</v>
      </c>
      <c r="AV62" s="50">
        <f t="shared" si="28"/>
        <v>0</v>
      </c>
    </row>
    <row r="63" spans="2:48" x14ac:dyDescent="0.2">
      <c r="B63" s="206">
        <v>46934</v>
      </c>
      <c r="E63" s="201">
        <v>0</v>
      </c>
      <c r="F63" s="202">
        <v>5.0000000000000001E-3</v>
      </c>
      <c r="G63" s="207">
        <f t="shared" si="29"/>
        <v>46940</v>
      </c>
      <c r="H63" s="203">
        <f t="shared" si="30"/>
        <v>2</v>
      </c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50">
        <f t="shared" si="27"/>
        <v>0</v>
      </c>
      <c r="AD63" s="50">
        <f t="shared" si="28"/>
        <v>0</v>
      </c>
      <c r="AE63" s="50">
        <f t="shared" si="28"/>
        <v>0</v>
      </c>
      <c r="AF63" s="50">
        <f t="shared" si="28"/>
        <v>0</v>
      </c>
      <c r="AG63" s="50">
        <f t="shared" si="28"/>
        <v>0</v>
      </c>
      <c r="AH63" s="50">
        <f t="shared" si="28"/>
        <v>0</v>
      </c>
      <c r="AI63" s="50">
        <f t="shared" si="28"/>
        <v>0</v>
      </c>
      <c r="AJ63" s="50">
        <f t="shared" si="28"/>
        <v>0</v>
      </c>
      <c r="AK63" s="50">
        <f t="shared" si="28"/>
        <v>0</v>
      </c>
      <c r="AL63" s="50">
        <f t="shared" si="28"/>
        <v>0</v>
      </c>
      <c r="AM63" s="50">
        <f t="shared" si="28"/>
        <v>0</v>
      </c>
      <c r="AN63" s="50">
        <f t="shared" si="28"/>
        <v>0</v>
      </c>
      <c r="AO63" s="50">
        <f t="shared" si="28"/>
        <v>0</v>
      </c>
      <c r="AP63" s="50">
        <f t="shared" si="28"/>
        <v>0</v>
      </c>
      <c r="AQ63" s="50">
        <f t="shared" si="28"/>
        <v>0</v>
      </c>
      <c r="AR63" s="50">
        <f t="shared" si="28"/>
        <v>0</v>
      </c>
      <c r="AS63" s="50">
        <f t="shared" si="28"/>
        <v>0</v>
      </c>
      <c r="AT63" s="50">
        <f t="shared" si="28"/>
        <v>0</v>
      </c>
      <c r="AU63" s="50">
        <f t="shared" si="28"/>
        <v>0</v>
      </c>
      <c r="AV63" s="50">
        <f t="shared" si="28"/>
        <v>0</v>
      </c>
    </row>
    <row r="64" spans="2:48" x14ac:dyDescent="0.2">
      <c r="B64" s="206">
        <v>47026</v>
      </c>
      <c r="E64" s="201">
        <v>0</v>
      </c>
      <c r="F64" s="202">
        <v>5.0000000000000001E-3</v>
      </c>
      <c r="G64" s="207">
        <f t="shared" si="29"/>
        <v>47032</v>
      </c>
      <c r="H64" s="203">
        <f t="shared" si="30"/>
        <v>3</v>
      </c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50">
        <f t="shared" si="27"/>
        <v>0</v>
      </c>
      <c r="AD64" s="50">
        <f t="shared" si="28"/>
        <v>0</v>
      </c>
      <c r="AE64" s="50">
        <f t="shared" si="28"/>
        <v>0</v>
      </c>
      <c r="AF64" s="50">
        <f t="shared" si="28"/>
        <v>0</v>
      </c>
      <c r="AG64" s="50">
        <f t="shared" si="28"/>
        <v>0</v>
      </c>
      <c r="AH64" s="50">
        <f t="shared" si="28"/>
        <v>0</v>
      </c>
      <c r="AI64" s="50">
        <f t="shared" si="28"/>
        <v>0</v>
      </c>
      <c r="AJ64" s="50">
        <f t="shared" si="28"/>
        <v>0</v>
      </c>
      <c r="AK64" s="50">
        <f t="shared" si="28"/>
        <v>0</v>
      </c>
      <c r="AL64" s="50">
        <f t="shared" si="28"/>
        <v>0</v>
      </c>
      <c r="AM64" s="50">
        <f t="shared" si="28"/>
        <v>0</v>
      </c>
      <c r="AN64" s="50">
        <f t="shared" si="28"/>
        <v>0</v>
      </c>
      <c r="AO64" s="50">
        <f t="shared" si="28"/>
        <v>0</v>
      </c>
      <c r="AP64" s="50">
        <f t="shared" si="28"/>
        <v>0</v>
      </c>
      <c r="AQ64" s="50">
        <f t="shared" si="28"/>
        <v>0</v>
      </c>
      <c r="AR64" s="50">
        <f t="shared" si="28"/>
        <v>0</v>
      </c>
      <c r="AS64" s="50">
        <f t="shared" si="28"/>
        <v>0</v>
      </c>
      <c r="AT64" s="50">
        <f t="shared" si="28"/>
        <v>0</v>
      </c>
      <c r="AU64" s="50">
        <f t="shared" si="28"/>
        <v>0</v>
      </c>
      <c r="AV64" s="50">
        <f t="shared" si="28"/>
        <v>0</v>
      </c>
    </row>
    <row r="65" spans="2:49" x14ac:dyDescent="0.2">
      <c r="B65" s="206">
        <v>47118</v>
      </c>
      <c r="E65" s="201">
        <v>0</v>
      </c>
      <c r="F65" s="202">
        <v>5.0000000000000001E-3</v>
      </c>
      <c r="G65" s="207">
        <f t="shared" si="29"/>
        <v>47124</v>
      </c>
      <c r="H65" s="203">
        <f t="shared" si="30"/>
        <v>4</v>
      </c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50">
        <f t="shared" si="27"/>
        <v>0</v>
      </c>
      <c r="AD65" s="50">
        <f t="shared" si="28"/>
        <v>0</v>
      </c>
      <c r="AE65" s="50">
        <f t="shared" si="28"/>
        <v>0</v>
      </c>
      <c r="AF65" s="50">
        <f t="shared" si="28"/>
        <v>0</v>
      </c>
      <c r="AG65" s="50">
        <f t="shared" si="28"/>
        <v>0</v>
      </c>
      <c r="AH65" s="50">
        <f t="shared" si="28"/>
        <v>0</v>
      </c>
      <c r="AI65" s="50">
        <f t="shared" si="28"/>
        <v>0</v>
      </c>
      <c r="AJ65" s="50">
        <f t="shared" si="28"/>
        <v>0</v>
      </c>
      <c r="AK65" s="50">
        <f t="shared" si="28"/>
        <v>0</v>
      </c>
      <c r="AL65" s="50">
        <f t="shared" si="28"/>
        <v>0</v>
      </c>
      <c r="AM65" s="50">
        <f t="shared" si="28"/>
        <v>0</v>
      </c>
      <c r="AN65" s="50">
        <f t="shared" si="28"/>
        <v>0</v>
      </c>
      <c r="AO65" s="50">
        <f t="shared" si="28"/>
        <v>0</v>
      </c>
      <c r="AP65" s="50">
        <f t="shared" si="28"/>
        <v>0</v>
      </c>
      <c r="AQ65" s="50">
        <f t="shared" si="28"/>
        <v>0</v>
      </c>
      <c r="AR65" s="50">
        <f t="shared" si="28"/>
        <v>0</v>
      </c>
      <c r="AS65" s="50">
        <f t="shared" si="28"/>
        <v>0</v>
      </c>
      <c r="AT65" s="50">
        <f t="shared" si="28"/>
        <v>0</v>
      </c>
      <c r="AU65" s="50">
        <f t="shared" si="28"/>
        <v>0</v>
      </c>
      <c r="AV65" s="50">
        <f t="shared" si="28"/>
        <v>0</v>
      </c>
    </row>
    <row r="66" spans="2:49" x14ac:dyDescent="0.2">
      <c r="B66" s="206">
        <v>47208</v>
      </c>
      <c r="E66" s="201">
        <v>0</v>
      </c>
      <c r="F66" s="202">
        <v>5.0000000000000001E-3</v>
      </c>
      <c r="G66" s="207">
        <f t="shared" si="29"/>
        <v>47214</v>
      </c>
      <c r="H66" s="203">
        <f t="shared" si="30"/>
        <v>1</v>
      </c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50">
        <f t="shared" si="27"/>
        <v>0</v>
      </c>
      <c r="AD66" s="50">
        <f t="shared" si="28"/>
        <v>0</v>
      </c>
      <c r="AE66" s="50">
        <f t="shared" si="28"/>
        <v>0</v>
      </c>
      <c r="AF66" s="50">
        <f t="shared" si="28"/>
        <v>0</v>
      </c>
      <c r="AG66" s="50">
        <f t="shared" si="28"/>
        <v>0</v>
      </c>
      <c r="AH66" s="50">
        <f t="shared" si="28"/>
        <v>0</v>
      </c>
      <c r="AI66" s="50">
        <f t="shared" si="28"/>
        <v>0</v>
      </c>
      <c r="AJ66" s="50">
        <f t="shared" si="28"/>
        <v>0</v>
      </c>
      <c r="AK66" s="50">
        <f t="shared" si="28"/>
        <v>0</v>
      </c>
      <c r="AL66" s="50">
        <f t="shared" si="28"/>
        <v>0</v>
      </c>
      <c r="AM66" s="50">
        <f t="shared" si="28"/>
        <v>0</v>
      </c>
      <c r="AN66" s="50">
        <f t="shared" si="28"/>
        <v>0</v>
      </c>
      <c r="AO66" s="50">
        <f t="shared" si="28"/>
        <v>0</v>
      </c>
      <c r="AP66" s="50">
        <f t="shared" si="28"/>
        <v>0</v>
      </c>
      <c r="AQ66" s="50">
        <f t="shared" si="28"/>
        <v>0</v>
      </c>
      <c r="AR66" s="50">
        <f t="shared" si="28"/>
        <v>0</v>
      </c>
      <c r="AS66" s="50">
        <f t="shared" si="28"/>
        <v>0</v>
      </c>
      <c r="AT66" s="50">
        <f t="shared" si="28"/>
        <v>0</v>
      </c>
      <c r="AU66" s="50">
        <f t="shared" si="28"/>
        <v>0</v>
      </c>
      <c r="AV66" s="50">
        <f t="shared" si="28"/>
        <v>0</v>
      </c>
    </row>
    <row r="67" spans="2:49" x14ac:dyDescent="0.2">
      <c r="B67" s="206">
        <v>47299</v>
      </c>
      <c r="E67" s="201">
        <v>0</v>
      </c>
      <c r="F67" s="202">
        <v>5.0000000000000001E-3</v>
      </c>
      <c r="G67" s="207">
        <f t="shared" si="29"/>
        <v>47305</v>
      </c>
      <c r="H67" s="203">
        <f t="shared" si="30"/>
        <v>2</v>
      </c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50">
        <f t="shared" si="27"/>
        <v>0</v>
      </c>
      <c r="AD67" s="50">
        <f t="shared" si="28"/>
        <v>0</v>
      </c>
      <c r="AE67" s="50">
        <f t="shared" si="28"/>
        <v>0</v>
      </c>
      <c r="AF67" s="50">
        <f t="shared" si="28"/>
        <v>0</v>
      </c>
      <c r="AG67" s="50">
        <f t="shared" si="28"/>
        <v>0</v>
      </c>
      <c r="AH67" s="50">
        <f t="shared" si="28"/>
        <v>0</v>
      </c>
      <c r="AI67" s="50">
        <f t="shared" si="28"/>
        <v>0</v>
      </c>
      <c r="AJ67" s="50">
        <f t="shared" si="28"/>
        <v>0</v>
      </c>
      <c r="AK67" s="50">
        <f t="shared" si="28"/>
        <v>0</v>
      </c>
      <c r="AL67" s="50">
        <f t="shared" si="28"/>
        <v>0</v>
      </c>
      <c r="AM67" s="50">
        <f t="shared" si="28"/>
        <v>0</v>
      </c>
      <c r="AN67" s="50">
        <f t="shared" si="28"/>
        <v>0</v>
      </c>
      <c r="AO67" s="50">
        <f t="shared" si="28"/>
        <v>0</v>
      </c>
      <c r="AP67" s="50">
        <f t="shared" si="28"/>
        <v>0</v>
      </c>
      <c r="AQ67" s="50">
        <f t="shared" si="28"/>
        <v>0</v>
      </c>
      <c r="AR67" s="50">
        <f t="shared" si="28"/>
        <v>0</v>
      </c>
      <c r="AS67" s="50">
        <f t="shared" si="28"/>
        <v>0</v>
      </c>
      <c r="AT67" s="50">
        <f t="shared" si="28"/>
        <v>0</v>
      </c>
      <c r="AU67" s="50">
        <f t="shared" si="28"/>
        <v>0</v>
      </c>
      <c r="AV67" s="50">
        <f t="shared" si="28"/>
        <v>0</v>
      </c>
    </row>
    <row r="68" spans="2:49" x14ac:dyDescent="0.2">
      <c r="B68" s="206">
        <v>47391</v>
      </c>
      <c r="E68" s="201">
        <v>0</v>
      </c>
      <c r="F68" s="202">
        <v>5.0000000000000001E-3</v>
      </c>
      <c r="G68" s="207">
        <f t="shared" si="29"/>
        <v>47397</v>
      </c>
      <c r="H68" s="203">
        <f t="shared" si="30"/>
        <v>3</v>
      </c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50">
        <f t="shared" si="27"/>
        <v>0</v>
      </c>
      <c r="AD68" s="50">
        <f t="shared" si="28"/>
        <v>0</v>
      </c>
      <c r="AE68" s="50">
        <f t="shared" si="28"/>
        <v>0</v>
      </c>
      <c r="AF68" s="50">
        <f t="shared" si="28"/>
        <v>0</v>
      </c>
      <c r="AG68" s="50">
        <f t="shared" si="28"/>
        <v>0</v>
      </c>
      <c r="AH68" s="50">
        <f t="shared" ref="AD68:AV73" si="31">IF(AND($G68=AH$1,$H68=AH$2),-$E68,0)</f>
        <v>0</v>
      </c>
      <c r="AI68" s="50">
        <f t="shared" si="31"/>
        <v>0</v>
      </c>
      <c r="AJ68" s="50">
        <f t="shared" si="31"/>
        <v>0</v>
      </c>
      <c r="AK68" s="50">
        <f t="shared" si="31"/>
        <v>0</v>
      </c>
      <c r="AL68" s="50">
        <f t="shared" si="31"/>
        <v>0</v>
      </c>
      <c r="AM68" s="50">
        <f t="shared" si="31"/>
        <v>0</v>
      </c>
      <c r="AN68" s="50">
        <f t="shared" si="31"/>
        <v>0</v>
      </c>
      <c r="AO68" s="50">
        <f t="shared" si="31"/>
        <v>0</v>
      </c>
      <c r="AP68" s="50">
        <f t="shared" si="31"/>
        <v>0</v>
      </c>
      <c r="AQ68" s="50">
        <f t="shared" si="31"/>
        <v>0</v>
      </c>
      <c r="AR68" s="50">
        <f t="shared" si="31"/>
        <v>0</v>
      </c>
      <c r="AS68" s="50">
        <f t="shared" si="31"/>
        <v>0</v>
      </c>
      <c r="AT68" s="50">
        <f t="shared" si="31"/>
        <v>0</v>
      </c>
      <c r="AU68" s="50">
        <f t="shared" si="31"/>
        <v>0</v>
      </c>
      <c r="AV68" s="50">
        <f t="shared" si="31"/>
        <v>0</v>
      </c>
    </row>
    <row r="69" spans="2:49" x14ac:dyDescent="0.2">
      <c r="B69" s="206">
        <v>47483</v>
      </c>
      <c r="E69" s="201">
        <v>0</v>
      </c>
      <c r="F69" s="202">
        <v>5.0000000000000001E-3</v>
      </c>
      <c r="G69" s="207">
        <f t="shared" si="29"/>
        <v>47489</v>
      </c>
      <c r="H69" s="203">
        <f t="shared" si="30"/>
        <v>4</v>
      </c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50">
        <f t="shared" si="27"/>
        <v>0</v>
      </c>
      <c r="AD69" s="50">
        <f t="shared" si="31"/>
        <v>0</v>
      </c>
      <c r="AE69" s="50">
        <f t="shared" si="31"/>
        <v>0</v>
      </c>
      <c r="AF69" s="50">
        <f t="shared" si="31"/>
        <v>0</v>
      </c>
      <c r="AG69" s="50">
        <f t="shared" si="31"/>
        <v>0</v>
      </c>
      <c r="AH69" s="50">
        <f t="shared" si="31"/>
        <v>0</v>
      </c>
      <c r="AI69" s="50">
        <f t="shared" si="31"/>
        <v>0</v>
      </c>
      <c r="AJ69" s="50">
        <f t="shared" si="31"/>
        <v>0</v>
      </c>
      <c r="AK69" s="50">
        <f t="shared" si="31"/>
        <v>0</v>
      </c>
      <c r="AL69" s="50">
        <f t="shared" si="31"/>
        <v>0</v>
      </c>
      <c r="AM69" s="50">
        <f t="shared" si="31"/>
        <v>0</v>
      </c>
      <c r="AN69" s="50">
        <f t="shared" si="31"/>
        <v>0</v>
      </c>
      <c r="AO69" s="50">
        <f t="shared" si="31"/>
        <v>0</v>
      </c>
      <c r="AP69" s="50">
        <f t="shared" si="31"/>
        <v>0</v>
      </c>
      <c r="AQ69" s="50">
        <f t="shared" si="31"/>
        <v>0</v>
      </c>
      <c r="AR69" s="50">
        <f t="shared" si="31"/>
        <v>0</v>
      </c>
      <c r="AS69" s="50">
        <f t="shared" si="31"/>
        <v>0</v>
      </c>
      <c r="AT69" s="50">
        <f t="shared" si="31"/>
        <v>0</v>
      </c>
      <c r="AU69" s="50">
        <f t="shared" si="31"/>
        <v>0</v>
      </c>
      <c r="AV69" s="50">
        <f t="shared" si="31"/>
        <v>0</v>
      </c>
    </row>
    <row r="70" spans="2:49" x14ac:dyDescent="0.2">
      <c r="B70" s="206">
        <v>47573</v>
      </c>
      <c r="E70" s="201">
        <v>0</v>
      </c>
      <c r="F70" s="202">
        <v>5.0000000000000001E-3</v>
      </c>
      <c r="G70" s="207">
        <f t="shared" si="29"/>
        <v>47579</v>
      </c>
      <c r="H70" s="203">
        <f t="shared" si="30"/>
        <v>1</v>
      </c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50">
        <f t="shared" si="27"/>
        <v>0</v>
      </c>
      <c r="AD70" s="50">
        <f t="shared" si="31"/>
        <v>0</v>
      </c>
      <c r="AE70" s="50">
        <f t="shared" si="31"/>
        <v>0</v>
      </c>
      <c r="AF70" s="50">
        <f t="shared" si="31"/>
        <v>0</v>
      </c>
      <c r="AG70" s="50">
        <f t="shared" si="31"/>
        <v>0</v>
      </c>
      <c r="AH70" s="50">
        <f t="shared" si="31"/>
        <v>0</v>
      </c>
      <c r="AI70" s="50">
        <f t="shared" si="31"/>
        <v>0</v>
      </c>
      <c r="AJ70" s="50">
        <f t="shared" si="31"/>
        <v>0</v>
      </c>
      <c r="AK70" s="50">
        <f t="shared" si="31"/>
        <v>0</v>
      </c>
      <c r="AL70" s="50">
        <f t="shared" si="31"/>
        <v>0</v>
      </c>
      <c r="AM70" s="50">
        <f t="shared" si="31"/>
        <v>0</v>
      </c>
      <c r="AN70" s="50">
        <f t="shared" si="31"/>
        <v>0</v>
      </c>
      <c r="AO70" s="50">
        <f t="shared" si="31"/>
        <v>0</v>
      </c>
      <c r="AP70" s="50">
        <f t="shared" si="31"/>
        <v>0</v>
      </c>
      <c r="AQ70" s="50">
        <f t="shared" si="31"/>
        <v>0</v>
      </c>
      <c r="AR70" s="50">
        <f t="shared" si="31"/>
        <v>0</v>
      </c>
      <c r="AS70" s="50">
        <f t="shared" si="31"/>
        <v>0</v>
      </c>
      <c r="AT70" s="50">
        <f t="shared" si="31"/>
        <v>0</v>
      </c>
      <c r="AU70" s="50">
        <f t="shared" si="31"/>
        <v>0</v>
      </c>
      <c r="AV70" s="50">
        <f t="shared" si="31"/>
        <v>0</v>
      </c>
    </row>
    <row r="71" spans="2:49" x14ac:dyDescent="0.2">
      <c r="B71" s="206">
        <v>47664</v>
      </c>
      <c r="E71" s="201">
        <v>0</v>
      </c>
      <c r="F71" s="202">
        <v>5.0000000000000001E-3</v>
      </c>
      <c r="G71" s="207">
        <f t="shared" si="29"/>
        <v>47670</v>
      </c>
      <c r="H71" s="203">
        <f t="shared" si="30"/>
        <v>2</v>
      </c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50">
        <f t="shared" si="27"/>
        <v>0</v>
      </c>
      <c r="AD71" s="50">
        <f t="shared" si="31"/>
        <v>0</v>
      </c>
      <c r="AE71" s="50">
        <f t="shared" si="31"/>
        <v>0</v>
      </c>
      <c r="AF71" s="50">
        <f t="shared" si="31"/>
        <v>0</v>
      </c>
      <c r="AG71" s="50">
        <f t="shared" si="31"/>
        <v>0</v>
      </c>
      <c r="AH71" s="50">
        <f t="shared" si="31"/>
        <v>0</v>
      </c>
      <c r="AI71" s="50">
        <f t="shared" si="31"/>
        <v>0</v>
      </c>
      <c r="AJ71" s="50">
        <f t="shared" si="31"/>
        <v>0</v>
      </c>
      <c r="AK71" s="50">
        <f t="shared" si="31"/>
        <v>0</v>
      </c>
      <c r="AL71" s="50">
        <f t="shared" si="31"/>
        <v>0</v>
      </c>
      <c r="AM71" s="50">
        <f t="shared" si="31"/>
        <v>0</v>
      </c>
      <c r="AN71" s="50">
        <f t="shared" si="31"/>
        <v>0</v>
      </c>
      <c r="AO71" s="50">
        <f t="shared" si="31"/>
        <v>0</v>
      </c>
      <c r="AP71" s="50">
        <f t="shared" si="31"/>
        <v>0</v>
      </c>
      <c r="AQ71" s="50">
        <f t="shared" si="31"/>
        <v>0</v>
      </c>
      <c r="AR71" s="50">
        <f t="shared" si="31"/>
        <v>0</v>
      </c>
      <c r="AS71" s="50">
        <f t="shared" si="31"/>
        <v>0</v>
      </c>
      <c r="AT71" s="50">
        <f t="shared" si="31"/>
        <v>0</v>
      </c>
      <c r="AU71" s="50">
        <f t="shared" si="31"/>
        <v>0</v>
      </c>
      <c r="AV71" s="50">
        <f t="shared" si="31"/>
        <v>0</v>
      </c>
    </row>
    <row r="72" spans="2:49" x14ac:dyDescent="0.2">
      <c r="B72" s="206">
        <v>47756</v>
      </c>
      <c r="E72" s="201">
        <v>0</v>
      </c>
      <c r="F72" s="202">
        <v>5.0000000000000001E-3</v>
      </c>
      <c r="G72" s="207">
        <f t="shared" si="29"/>
        <v>47762</v>
      </c>
      <c r="H72" s="203">
        <f t="shared" si="30"/>
        <v>3</v>
      </c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50">
        <f t="shared" si="27"/>
        <v>0</v>
      </c>
      <c r="AD72" s="50">
        <f t="shared" si="31"/>
        <v>0</v>
      </c>
      <c r="AE72" s="50">
        <f t="shared" si="31"/>
        <v>0</v>
      </c>
      <c r="AF72" s="50">
        <f t="shared" si="31"/>
        <v>0</v>
      </c>
      <c r="AG72" s="50">
        <f t="shared" si="31"/>
        <v>0</v>
      </c>
      <c r="AH72" s="50">
        <f t="shared" si="31"/>
        <v>0</v>
      </c>
      <c r="AI72" s="50">
        <f t="shared" si="31"/>
        <v>0</v>
      </c>
      <c r="AJ72" s="50">
        <f t="shared" si="31"/>
        <v>0</v>
      </c>
      <c r="AK72" s="50">
        <f t="shared" si="31"/>
        <v>0</v>
      </c>
      <c r="AL72" s="50">
        <f t="shared" si="31"/>
        <v>0</v>
      </c>
      <c r="AM72" s="50">
        <f t="shared" si="31"/>
        <v>0</v>
      </c>
      <c r="AN72" s="50">
        <f t="shared" si="31"/>
        <v>0</v>
      </c>
      <c r="AO72" s="50">
        <f t="shared" si="31"/>
        <v>0</v>
      </c>
      <c r="AP72" s="50">
        <f t="shared" si="31"/>
        <v>0</v>
      </c>
      <c r="AQ72" s="50">
        <f t="shared" si="31"/>
        <v>0</v>
      </c>
      <c r="AR72" s="50">
        <f t="shared" si="31"/>
        <v>0</v>
      </c>
      <c r="AS72" s="50">
        <f t="shared" si="31"/>
        <v>0</v>
      </c>
      <c r="AT72" s="50">
        <f t="shared" si="31"/>
        <v>0</v>
      </c>
      <c r="AU72" s="50">
        <f t="shared" si="31"/>
        <v>0</v>
      </c>
      <c r="AV72" s="50">
        <f t="shared" si="31"/>
        <v>0</v>
      </c>
    </row>
    <row r="73" spans="2:49" x14ac:dyDescent="0.2">
      <c r="B73" s="206">
        <v>47848</v>
      </c>
      <c r="E73" s="201">
        <v>0</v>
      </c>
      <c r="F73" s="202">
        <v>5.0000000000000001E-3</v>
      </c>
      <c r="G73" s="207">
        <f t="shared" si="29"/>
        <v>47854</v>
      </c>
      <c r="H73" s="203">
        <f t="shared" si="30"/>
        <v>4</v>
      </c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50">
        <f t="shared" si="27"/>
        <v>0</v>
      </c>
      <c r="AD73" s="50">
        <f t="shared" si="31"/>
        <v>0</v>
      </c>
      <c r="AE73" s="50">
        <f t="shared" si="31"/>
        <v>0</v>
      </c>
      <c r="AF73" s="50">
        <f t="shared" si="31"/>
        <v>0</v>
      </c>
      <c r="AG73" s="50">
        <f t="shared" si="31"/>
        <v>0</v>
      </c>
      <c r="AH73" s="50">
        <f t="shared" si="31"/>
        <v>0</v>
      </c>
      <c r="AI73" s="50">
        <f t="shared" si="31"/>
        <v>0</v>
      </c>
      <c r="AJ73" s="50">
        <f t="shared" si="31"/>
        <v>0</v>
      </c>
      <c r="AK73" s="50">
        <f t="shared" si="31"/>
        <v>0</v>
      </c>
      <c r="AL73" s="50">
        <f t="shared" si="31"/>
        <v>0</v>
      </c>
      <c r="AM73" s="50">
        <f t="shared" si="31"/>
        <v>0</v>
      </c>
      <c r="AN73" s="50">
        <f t="shared" si="31"/>
        <v>0</v>
      </c>
      <c r="AO73" s="50">
        <f t="shared" si="31"/>
        <v>0</v>
      </c>
      <c r="AP73" s="50">
        <f t="shared" si="31"/>
        <v>0</v>
      </c>
      <c r="AQ73" s="50">
        <f t="shared" si="31"/>
        <v>0</v>
      </c>
      <c r="AR73" s="50">
        <f t="shared" si="31"/>
        <v>0</v>
      </c>
      <c r="AS73" s="50">
        <f t="shared" si="31"/>
        <v>0</v>
      </c>
      <c r="AT73" s="50">
        <f t="shared" si="31"/>
        <v>0</v>
      </c>
      <c r="AU73" s="50">
        <f t="shared" si="31"/>
        <v>0</v>
      </c>
      <c r="AV73" s="50">
        <f t="shared" si="31"/>
        <v>0</v>
      </c>
    </row>
    <row r="75" spans="2:49" x14ac:dyDescent="0.2">
      <c r="B75" s="182" t="s">
        <v>378</v>
      </c>
      <c r="C75" s="121"/>
      <c r="D75" s="121"/>
      <c r="E75" s="121"/>
      <c r="F75" s="121"/>
      <c r="G75" s="121"/>
      <c r="H75" s="122" t="s">
        <v>33</v>
      </c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  <c r="AA75" s="123"/>
      <c r="AB75" s="123"/>
      <c r="AC75" s="165">
        <f>SUM(AC46:AC73)</f>
        <v>0</v>
      </c>
      <c r="AD75" s="165">
        <f t="shared" ref="AD75:AV75" si="32">SUM(AD46:AD73)</f>
        <v>-1273013</v>
      </c>
      <c r="AE75" s="165">
        <f t="shared" si="32"/>
        <v>0</v>
      </c>
      <c r="AF75" s="165">
        <f t="shared" si="32"/>
        <v>0</v>
      </c>
      <c r="AG75" s="165">
        <f t="shared" si="32"/>
        <v>0</v>
      </c>
      <c r="AH75" s="165">
        <f t="shared" si="32"/>
        <v>0</v>
      </c>
      <c r="AI75" s="165">
        <f t="shared" si="32"/>
        <v>0</v>
      </c>
      <c r="AJ75" s="165">
        <f t="shared" si="32"/>
        <v>0</v>
      </c>
      <c r="AK75" s="165">
        <f t="shared" si="32"/>
        <v>0</v>
      </c>
      <c r="AL75" s="165">
        <f t="shared" si="32"/>
        <v>0</v>
      </c>
      <c r="AM75" s="165">
        <f t="shared" si="32"/>
        <v>0</v>
      </c>
      <c r="AN75" s="165">
        <f t="shared" si="32"/>
        <v>-1000000</v>
      </c>
      <c r="AO75" s="165">
        <f t="shared" si="32"/>
        <v>0</v>
      </c>
      <c r="AP75" s="165">
        <f t="shared" si="32"/>
        <v>0</v>
      </c>
      <c r="AQ75" s="165">
        <f t="shared" si="32"/>
        <v>0</v>
      </c>
      <c r="AR75" s="165">
        <f t="shared" si="32"/>
        <v>-1500000</v>
      </c>
      <c r="AS75" s="165">
        <f t="shared" si="32"/>
        <v>0</v>
      </c>
      <c r="AT75" s="165">
        <f t="shared" si="32"/>
        <v>-1265000</v>
      </c>
      <c r="AU75" s="165">
        <f t="shared" si="32"/>
        <v>0</v>
      </c>
      <c r="AV75" s="183">
        <f t="shared" si="32"/>
        <v>0</v>
      </c>
    </row>
    <row r="77" spans="2:49" x14ac:dyDescent="0.2">
      <c r="B77" s="148" t="s">
        <v>379</v>
      </c>
      <c r="C77" s="148"/>
      <c r="D77" s="148"/>
      <c r="E77" s="148"/>
      <c r="F77" s="148"/>
      <c r="G77" s="148"/>
      <c r="H77" s="184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/>
      <c r="AD77" s="185"/>
      <c r="AE77" s="185"/>
      <c r="AF77" s="185"/>
      <c r="AG77" s="185"/>
      <c r="AH77" s="185"/>
      <c r="AI77" s="185"/>
      <c r="AJ77" s="185"/>
      <c r="AK77" s="185"/>
      <c r="AL77" s="185"/>
      <c r="AM77" s="185"/>
      <c r="AN77" s="185"/>
      <c r="AO77" s="185"/>
      <c r="AP77" s="185"/>
      <c r="AQ77" s="185"/>
      <c r="AR77" s="185"/>
      <c r="AS77" s="185"/>
      <c r="AT77" s="185"/>
      <c r="AU77" s="185"/>
      <c r="AV77" s="185"/>
      <c r="AW77"/>
    </row>
    <row r="79" spans="2:49" x14ac:dyDescent="0.2">
      <c r="B79" s="75" t="s">
        <v>367</v>
      </c>
      <c r="E79" s="200" t="s">
        <v>368</v>
      </c>
      <c r="F79" s="200" t="s">
        <v>369</v>
      </c>
      <c r="G79" s="200" t="s">
        <v>201</v>
      </c>
      <c r="H79" s="200" t="s">
        <v>370</v>
      </c>
    </row>
    <row r="80" spans="2:49" x14ac:dyDescent="0.2">
      <c r="B80" s="1" t="s">
        <v>371</v>
      </c>
      <c r="E80" s="201">
        <v>1273013</v>
      </c>
      <c r="F80" s="202">
        <v>9.7999999999999997E-3</v>
      </c>
      <c r="G80" s="205">
        <v>2026</v>
      </c>
      <c r="H80" s="203">
        <v>2</v>
      </c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50">
        <f>IF(AND(AC$1&lt;=$G80,AC$2&lt;=$H80),-$E80*$F80/4,0)</f>
        <v>-3118.8818499999998</v>
      </c>
      <c r="AD80" s="50">
        <f t="shared" ref="AD80:AV85" si="33">IF(AND(AD$1&lt;=$G80,AD$2&lt;=$H80),-$E80*$F80/4,0)</f>
        <v>-3118.8818499999998</v>
      </c>
      <c r="AE80" s="50">
        <f t="shared" si="33"/>
        <v>0</v>
      </c>
      <c r="AF80" s="50">
        <f t="shared" si="33"/>
        <v>0</v>
      </c>
      <c r="AG80" s="50">
        <f t="shared" si="33"/>
        <v>0</v>
      </c>
      <c r="AH80" s="50">
        <f t="shared" si="33"/>
        <v>0</v>
      </c>
      <c r="AI80" s="50">
        <f t="shared" si="33"/>
        <v>0</v>
      </c>
      <c r="AJ80" s="50">
        <f t="shared" si="33"/>
        <v>0</v>
      </c>
      <c r="AK80" s="50">
        <f t="shared" si="33"/>
        <v>0</v>
      </c>
      <c r="AL80" s="50">
        <f t="shared" si="33"/>
        <v>0</v>
      </c>
      <c r="AM80" s="50">
        <f t="shared" si="33"/>
        <v>0</v>
      </c>
      <c r="AN80" s="50">
        <f t="shared" si="33"/>
        <v>0</v>
      </c>
      <c r="AO80" s="50">
        <f t="shared" si="33"/>
        <v>0</v>
      </c>
      <c r="AP80" s="50">
        <f t="shared" si="33"/>
        <v>0</v>
      </c>
      <c r="AQ80" s="50">
        <f t="shared" si="33"/>
        <v>0</v>
      </c>
      <c r="AR80" s="50">
        <f t="shared" si="33"/>
        <v>0</v>
      </c>
      <c r="AS80" s="50">
        <f t="shared" si="33"/>
        <v>0</v>
      </c>
      <c r="AT80" s="50">
        <f t="shared" si="33"/>
        <v>0</v>
      </c>
      <c r="AU80" s="50">
        <f t="shared" si="33"/>
        <v>0</v>
      </c>
      <c r="AV80" s="50">
        <f t="shared" si="33"/>
        <v>0</v>
      </c>
    </row>
    <row r="81" spans="2:48" x14ac:dyDescent="0.2">
      <c r="B81" s="1" t="s">
        <v>372</v>
      </c>
      <c r="E81" s="201">
        <v>1000000</v>
      </c>
      <c r="F81" s="202">
        <v>3.5700000000000003E-2</v>
      </c>
      <c r="G81" s="205">
        <v>2028</v>
      </c>
      <c r="H81" s="203">
        <v>4</v>
      </c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50">
        <f t="shared" ref="AC81:AR85" si="34">IF(AND(AC$1&lt;=$G81,AC$2&lt;=$H81),-$E81*$F81/4,0)</f>
        <v>-8925</v>
      </c>
      <c r="AD81" s="50">
        <f t="shared" si="34"/>
        <v>-8925</v>
      </c>
      <c r="AE81" s="50">
        <f t="shared" si="34"/>
        <v>-8925</v>
      </c>
      <c r="AF81" s="50">
        <f t="shared" si="34"/>
        <v>-8925</v>
      </c>
      <c r="AG81" s="50">
        <f t="shared" si="34"/>
        <v>-8925</v>
      </c>
      <c r="AH81" s="50">
        <f t="shared" si="34"/>
        <v>-8925</v>
      </c>
      <c r="AI81" s="50">
        <f t="shared" si="34"/>
        <v>-8925</v>
      </c>
      <c r="AJ81" s="50">
        <f t="shared" si="34"/>
        <v>-8925</v>
      </c>
      <c r="AK81" s="50">
        <f t="shared" si="34"/>
        <v>-8925</v>
      </c>
      <c r="AL81" s="50">
        <f t="shared" si="34"/>
        <v>-8925</v>
      </c>
      <c r="AM81" s="50">
        <f t="shared" si="34"/>
        <v>-8925</v>
      </c>
      <c r="AN81" s="50">
        <f t="shared" si="34"/>
        <v>-8925</v>
      </c>
      <c r="AO81" s="50">
        <f t="shared" si="34"/>
        <v>0</v>
      </c>
      <c r="AP81" s="50">
        <f t="shared" si="34"/>
        <v>0</v>
      </c>
      <c r="AQ81" s="50">
        <f t="shared" si="34"/>
        <v>0</v>
      </c>
      <c r="AR81" s="50">
        <f t="shared" si="34"/>
        <v>0</v>
      </c>
      <c r="AS81" s="50">
        <f t="shared" si="33"/>
        <v>0</v>
      </c>
      <c r="AT81" s="50">
        <f t="shared" si="33"/>
        <v>0</v>
      </c>
      <c r="AU81" s="50">
        <f t="shared" si="33"/>
        <v>0</v>
      </c>
      <c r="AV81" s="50">
        <f t="shared" si="33"/>
        <v>0</v>
      </c>
    </row>
    <row r="82" spans="2:48" x14ac:dyDescent="0.2">
      <c r="B82" s="1" t="s">
        <v>373</v>
      </c>
      <c r="E82" s="201">
        <v>1500000</v>
      </c>
      <c r="F82" s="202">
        <v>3.5000000000000001E-3</v>
      </c>
      <c r="G82" s="205">
        <v>2029</v>
      </c>
      <c r="H82" s="203">
        <v>4</v>
      </c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50">
        <f t="shared" si="34"/>
        <v>-1312.5</v>
      </c>
      <c r="AD82" s="50">
        <f t="shared" si="33"/>
        <v>-1312.5</v>
      </c>
      <c r="AE82" s="50">
        <f t="shared" si="33"/>
        <v>-1312.5</v>
      </c>
      <c r="AF82" s="50">
        <f t="shared" si="33"/>
        <v>-1312.5</v>
      </c>
      <c r="AG82" s="50">
        <f t="shared" si="33"/>
        <v>-1312.5</v>
      </c>
      <c r="AH82" s="50">
        <f t="shared" si="33"/>
        <v>-1312.5</v>
      </c>
      <c r="AI82" s="50">
        <f t="shared" si="33"/>
        <v>-1312.5</v>
      </c>
      <c r="AJ82" s="50">
        <f t="shared" si="33"/>
        <v>-1312.5</v>
      </c>
      <c r="AK82" s="50">
        <f t="shared" si="33"/>
        <v>-1312.5</v>
      </c>
      <c r="AL82" s="50">
        <f t="shared" si="33"/>
        <v>-1312.5</v>
      </c>
      <c r="AM82" s="50">
        <f t="shared" si="33"/>
        <v>-1312.5</v>
      </c>
      <c r="AN82" s="50">
        <f t="shared" si="33"/>
        <v>-1312.5</v>
      </c>
      <c r="AO82" s="50">
        <f t="shared" si="33"/>
        <v>-1312.5</v>
      </c>
      <c r="AP82" s="50">
        <f t="shared" si="33"/>
        <v>-1312.5</v>
      </c>
      <c r="AQ82" s="50">
        <f t="shared" si="33"/>
        <v>-1312.5</v>
      </c>
      <c r="AR82" s="50">
        <f t="shared" si="33"/>
        <v>-1312.5</v>
      </c>
      <c r="AS82" s="50">
        <f t="shared" si="33"/>
        <v>0</v>
      </c>
      <c r="AT82" s="50">
        <f t="shared" si="33"/>
        <v>0</v>
      </c>
      <c r="AU82" s="50">
        <f t="shared" si="33"/>
        <v>0</v>
      </c>
      <c r="AV82" s="50">
        <f t="shared" si="33"/>
        <v>0</v>
      </c>
    </row>
    <row r="83" spans="2:48" x14ac:dyDescent="0.2">
      <c r="B83" s="1" t="s">
        <v>374</v>
      </c>
      <c r="E83" s="201">
        <v>1265000</v>
      </c>
      <c r="F83" s="202">
        <v>5.4999999999999997E-3</v>
      </c>
      <c r="G83" s="205">
        <v>2030</v>
      </c>
      <c r="H83" s="203">
        <v>2</v>
      </c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50">
        <f>IF(AC$1&lt;=$G83,-$E83*$F83/4,0)</f>
        <v>-1739.375</v>
      </c>
      <c r="AD83" s="50">
        <f t="shared" ref="AD83:AT83" si="35">IF(AD$1&lt;=$G83,-$E83*$F83/4,0)</f>
        <v>-1739.375</v>
      </c>
      <c r="AE83" s="50">
        <f t="shared" si="35"/>
        <v>-1739.375</v>
      </c>
      <c r="AF83" s="50">
        <f t="shared" si="35"/>
        <v>-1739.375</v>
      </c>
      <c r="AG83" s="50">
        <f t="shared" si="35"/>
        <v>-1739.375</v>
      </c>
      <c r="AH83" s="50">
        <f t="shared" si="35"/>
        <v>-1739.375</v>
      </c>
      <c r="AI83" s="50">
        <f t="shared" si="35"/>
        <v>-1739.375</v>
      </c>
      <c r="AJ83" s="50">
        <f t="shared" si="35"/>
        <v>-1739.375</v>
      </c>
      <c r="AK83" s="50">
        <f t="shared" si="35"/>
        <v>-1739.375</v>
      </c>
      <c r="AL83" s="50">
        <f t="shared" si="35"/>
        <v>-1739.375</v>
      </c>
      <c r="AM83" s="50">
        <f t="shared" si="35"/>
        <v>-1739.375</v>
      </c>
      <c r="AN83" s="50">
        <f t="shared" si="35"/>
        <v>-1739.375</v>
      </c>
      <c r="AO83" s="50">
        <f t="shared" si="35"/>
        <v>-1739.375</v>
      </c>
      <c r="AP83" s="50">
        <f t="shared" si="35"/>
        <v>-1739.375</v>
      </c>
      <c r="AQ83" s="50">
        <f t="shared" si="35"/>
        <v>-1739.375</v>
      </c>
      <c r="AR83" s="50">
        <f t="shared" si="35"/>
        <v>-1739.375</v>
      </c>
      <c r="AS83" s="50">
        <f t="shared" si="35"/>
        <v>-1739.375</v>
      </c>
      <c r="AT83" s="50">
        <f t="shared" si="35"/>
        <v>-1739.375</v>
      </c>
      <c r="AU83" s="50">
        <v>0</v>
      </c>
      <c r="AV83" s="50">
        <v>0</v>
      </c>
    </row>
    <row r="84" spans="2:48" x14ac:dyDescent="0.2">
      <c r="B84" s="1" t="s">
        <v>375</v>
      </c>
      <c r="E84" s="201">
        <v>737457</v>
      </c>
      <c r="F84" s="202">
        <v>3.7699999999999997E-2</v>
      </c>
      <c r="G84" s="205">
        <v>2031</v>
      </c>
      <c r="H84" s="203">
        <v>4</v>
      </c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50">
        <f t="shared" si="34"/>
        <v>-6950.5322249999999</v>
      </c>
      <c r="AD84" s="50">
        <f t="shared" si="33"/>
        <v>-6950.5322249999999</v>
      </c>
      <c r="AE84" s="50">
        <f t="shared" si="33"/>
        <v>-6950.5322249999999</v>
      </c>
      <c r="AF84" s="50">
        <f t="shared" si="33"/>
        <v>-6950.5322249999999</v>
      </c>
      <c r="AG84" s="50">
        <f t="shared" si="33"/>
        <v>-6950.5322249999999</v>
      </c>
      <c r="AH84" s="50">
        <f t="shared" si="33"/>
        <v>-6950.5322249999999</v>
      </c>
      <c r="AI84" s="50">
        <f t="shared" si="33"/>
        <v>-6950.5322249999999</v>
      </c>
      <c r="AJ84" s="50">
        <f t="shared" si="33"/>
        <v>-6950.5322249999999</v>
      </c>
      <c r="AK84" s="50">
        <f t="shared" si="33"/>
        <v>-6950.5322249999999</v>
      </c>
      <c r="AL84" s="50">
        <f t="shared" si="33"/>
        <v>-6950.5322249999999</v>
      </c>
      <c r="AM84" s="50">
        <f t="shared" si="33"/>
        <v>-6950.5322249999999</v>
      </c>
      <c r="AN84" s="50">
        <f t="shared" si="33"/>
        <v>-6950.5322249999999</v>
      </c>
      <c r="AO84" s="50">
        <f t="shared" si="33"/>
        <v>-6950.5322249999999</v>
      </c>
      <c r="AP84" s="50">
        <f t="shared" si="33"/>
        <v>-6950.5322249999999</v>
      </c>
      <c r="AQ84" s="50">
        <f t="shared" si="33"/>
        <v>-6950.5322249999999</v>
      </c>
      <c r="AR84" s="50">
        <f t="shared" si="33"/>
        <v>-6950.5322249999999</v>
      </c>
      <c r="AS84" s="50">
        <f t="shared" si="33"/>
        <v>-6950.5322249999999</v>
      </c>
      <c r="AT84" s="50">
        <f t="shared" si="33"/>
        <v>-6950.5322249999999</v>
      </c>
      <c r="AU84" s="50">
        <f t="shared" si="33"/>
        <v>-6950.5322249999999</v>
      </c>
      <c r="AV84" s="50">
        <f t="shared" si="33"/>
        <v>-6950.5322249999999</v>
      </c>
    </row>
    <row r="85" spans="2:48" x14ac:dyDescent="0.2">
      <c r="B85" s="1" t="s">
        <v>376</v>
      </c>
      <c r="E85" s="201">
        <v>1500000</v>
      </c>
      <c r="F85" s="202">
        <v>2E-3</v>
      </c>
      <c r="G85" s="205">
        <v>2032</v>
      </c>
      <c r="H85" s="203">
        <v>4</v>
      </c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50">
        <f t="shared" si="34"/>
        <v>-750</v>
      </c>
      <c r="AD85" s="50">
        <f t="shared" si="33"/>
        <v>-750</v>
      </c>
      <c r="AE85" s="50">
        <f t="shared" si="33"/>
        <v>-750</v>
      </c>
      <c r="AF85" s="50">
        <f t="shared" si="33"/>
        <v>-750</v>
      </c>
      <c r="AG85" s="50">
        <f t="shared" si="33"/>
        <v>-750</v>
      </c>
      <c r="AH85" s="50">
        <f t="shared" si="33"/>
        <v>-750</v>
      </c>
      <c r="AI85" s="50">
        <f t="shared" si="33"/>
        <v>-750</v>
      </c>
      <c r="AJ85" s="50">
        <f t="shared" si="33"/>
        <v>-750</v>
      </c>
      <c r="AK85" s="50">
        <f t="shared" si="33"/>
        <v>-750</v>
      </c>
      <c r="AL85" s="50">
        <f t="shared" si="33"/>
        <v>-750</v>
      </c>
      <c r="AM85" s="50">
        <f t="shared" si="33"/>
        <v>-750</v>
      </c>
      <c r="AN85" s="50">
        <f t="shared" si="33"/>
        <v>-750</v>
      </c>
      <c r="AO85" s="50">
        <f t="shared" si="33"/>
        <v>-750</v>
      </c>
      <c r="AP85" s="50">
        <f t="shared" si="33"/>
        <v>-750</v>
      </c>
      <c r="AQ85" s="50">
        <f t="shared" si="33"/>
        <v>-750</v>
      </c>
      <c r="AR85" s="50">
        <f t="shared" si="33"/>
        <v>-750</v>
      </c>
      <c r="AS85" s="50">
        <f t="shared" si="33"/>
        <v>-750</v>
      </c>
      <c r="AT85" s="50">
        <f t="shared" si="33"/>
        <v>-750</v>
      </c>
      <c r="AU85" s="50">
        <f t="shared" si="33"/>
        <v>-750</v>
      </c>
      <c r="AV85" s="50">
        <f t="shared" si="33"/>
        <v>-750</v>
      </c>
    </row>
    <row r="87" spans="2:48" x14ac:dyDescent="0.2">
      <c r="B87" s="75" t="s">
        <v>377</v>
      </c>
      <c r="E87" s="200" t="s">
        <v>368</v>
      </c>
      <c r="F87" s="200" t="s">
        <v>369</v>
      </c>
      <c r="G87" s="200" t="s">
        <v>201</v>
      </c>
      <c r="H87" s="200" t="s">
        <v>370</v>
      </c>
    </row>
    <row r="88" spans="2:48" x14ac:dyDescent="0.2">
      <c r="B88" s="206" cm="1">
        <f t="array" ref="B88:B107">TRANSPOSE($AC$14:$AV$14)</f>
        <v>46112</v>
      </c>
      <c r="E88" s="201">
        <v>0</v>
      </c>
      <c r="F88" s="202">
        <v>5.0000000000000001E-3</v>
      </c>
      <c r="G88" s="207">
        <f>B88+6</f>
        <v>46118</v>
      </c>
      <c r="H88" s="203">
        <v>1</v>
      </c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50">
        <f t="shared" ref="AC88:AV100" si="36">IF(AND(AC$1&lt;=$G88,AC$2&lt;=$H88),-$E88*$F88/4,0)</f>
        <v>0</v>
      </c>
      <c r="AD88" s="50">
        <f t="shared" si="36"/>
        <v>0</v>
      </c>
      <c r="AE88" s="50">
        <f t="shared" si="36"/>
        <v>0</v>
      </c>
      <c r="AF88" s="50">
        <f t="shared" si="36"/>
        <v>0</v>
      </c>
      <c r="AG88" s="50">
        <f t="shared" si="36"/>
        <v>0</v>
      </c>
      <c r="AH88" s="50">
        <f t="shared" si="36"/>
        <v>0</v>
      </c>
      <c r="AI88" s="50">
        <f t="shared" si="36"/>
        <v>0</v>
      </c>
      <c r="AJ88" s="50">
        <f t="shared" si="36"/>
        <v>0</v>
      </c>
      <c r="AK88" s="50">
        <f t="shared" si="36"/>
        <v>0</v>
      </c>
      <c r="AL88" s="50">
        <f t="shared" si="36"/>
        <v>0</v>
      </c>
      <c r="AM88" s="50">
        <f t="shared" si="36"/>
        <v>0</v>
      </c>
      <c r="AN88" s="50">
        <f t="shared" si="36"/>
        <v>0</v>
      </c>
      <c r="AO88" s="50">
        <f t="shared" si="36"/>
        <v>0</v>
      </c>
      <c r="AP88" s="50">
        <f t="shared" si="36"/>
        <v>0</v>
      </c>
      <c r="AQ88" s="50">
        <f t="shared" si="36"/>
        <v>0</v>
      </c>
      <c r="AR88" s="50">
        <f t="shared" si="36"/>
        <v>0</v>
      </c>
      <c r="AS88" s="50">
        <f t="shared" si="36"/>
        <v>0</v>
      </c>
      <c r="AT88" s="50">
        <f t="shared" si="36"/>
        <v>0</v>
      </c>
      <c r="AU88" s="50">
        <f t="shared" si="36"/>
        <v>0</v>
      </c>
      <c r="AV88" s="50">
        <f t="shared" si="36"/>
        <v>0</v>
      </c>
    </row>
    <row r="89" spans="2:48" x14ac:dyDescent="0.2">
      <c r="B89" s="206">
        <v>46203</v>
      </c>
      <c r="E89" s="201">
        <v>0</v>
      </c>
      <c r="F89" s="202">
        <v>5.0000000000000001E-3</v>
      </c>
      <c r="G89" s="207">
        <f t="shared" ref="G89:G107" si="37">B89+6</f>
        <v>46209</v>
      </c>
      <c r="H89" s="203">
        <v>2</v>
      </c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50">
        <f t="shared" si="36"/>
        <v>0</v>
      </c>
      <c r="AD89" s="50">
        <f t="shared" si="36"/>
        <v>0</v>
      </c>
      <c r="AE89" s="50">
        <f t="shared" si="36"/>
        <v>0</v>
      </c>
      <c r="AF89" s="50">
        <f t="shared" si="36"/>
        <v>0</v>
      </c>
      <c r="AG89" s="50">
        <f t="shared" si="36"/>
        <v>0</v>
      </c>
      <c r="AH89" s="50">
        <f t="shared" si="36"/>
        <v>0</v>
      </c>
      <c r="AI89" s="50">
        <f t="shared" si="36"/>
        <v>0</v>
      </c>
      <c r="AJ89" s="50">
        <f t="shared" si="36"/>
        <v>0</v>
      </c>
      <c r="AK89" s="50">
        <f t="shared" si="36"/>
        <v>0</v>
      </c>
      <c r="AL89" s="50">
        <f t="shared" si="36"/>
        <v>0</v>
      </c>
      <c r="AM89" s="50">
        <f t="shared" si="36"/>
        <v>0</v>
      </c>
      <c r="AN89" s="50">
        <f t="shared" si="36"/>
        <v>0</v>
      </c>
      <c r="AO89" s="50">
        <f t="shared" si="36"/>
        <v>0</v>
      </c>
      <c r="AP89" s="50">
        <f t="shared" si="36"/>
        <v>0</v>
      </c>
      <c r="AQ89" s="50">
        <f t="shared" si="36"/>
        <v>0</v>
      </c>
      <c r="AR89" s="50">
        <f t="shared" si="36"/>
        <v>0</v>
      </c>
      <c r="AS89" s="50">
        <f t="shared" si="36"/>
        <v>0</v>
      </c>
      <c r="AT89" s="50">
        <f t="shared" si="36"/>
        <v>0</v>
      </c>
      <c r="AU89" s="50">
        <f t="shared" si="36"/>
        <v>0</v>
      </c>
      <c r="AV89" s="50">
        <f t="shared" si="36"/>
        <v>0</v>
      </c>
    </row>
    <row r="90" spans="2:48" x14ac:dyDescent="0.2">
      <c r="B90" s="206">
        <v>46295</v>
      </c>
      <c r="E90" s="201">
        <v>0</v>
      </c>
      <c r="F90" s="202">
        <v>5.0000000000000001E-3</v>
      </c>
      <c r="G90" s="207">
        <f t="shared" si="37"/>
        <v>46301</v>
      </c>
      <c r="H90" s="203">
        <v>3</v>
      </c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50">
        <f t="shared" si="36"/>
        <v>0</v>
      </c>
      <c r="AD90" s="50">
        <f t="shared" si="36"/>
        <v>0</v>
      </c>
      <c r="AE90" s="50">
        <f t="shared" si="36"/>
        <v>0</v>
      </c>
      <c r="AF90" s="50">
        <f t="shared" si="36"/>
        <v>0</v>
      </c>
      <c r="AG90" s="50">
        <f t="shared" si="36"/>
        <v>0</v>
      </c>
      <c r="AH90" s="50">
        <f t="shared" si="36"/>
        <v>0</v>
      </c>
      <c r="AI90" s="50">
        <f t="shared" si="36"/>
        <v>0</v>
      </c>
      <c r="AJ90" s="50">
        <f t="shared" si="36"/>
        <v>0</v>
      </c>
      <c r="AK90" s="50">
        <f t="shared" si="36"/>
        <v>0</v>
      </c>
      <c r="AL90" s="50">
        <f t="shared" si="36"/>
        <v>0</v>
      </c>
      <c r="AM90" s="50">
        <f t="shared" si="36"/>
        <v>0</v>
      </c>
      <c r="AN90" s="50">
        <f t="shared" si="36"/>
        <v>0</v>
      </c>
      <c r="AO90" s="50">
        <f t="shared" si="36"/>
        <v>0</v>
      </c>
      <c r="AP90" s="50">
        <f t="shared" si="36"/>
        <v>0</v>
      </c>
      <c r="AQ90" s="50">
        <f t="shared" si="36"/>
        <v>0</v>
      </c>
      <c r="AR90" s="50">
        <f t="shared" si="36"/>
        <v>0</v>
      </c>
      <c r="AS90" s="50">
        <f t="shared" si="36"/>
        <v>0</v>
      </c>
      <c r="AT90" s="50">
        <f t="shared" si="36"/>
        <v>0</v>
      </c>
      <c r="AU90" s="50">
        <f t="shared" si="36"/>
        <v>0</v>
      </c>
      <c r="AV90" s="50">
        <f t="shared" si="36"/>
        <v>0</v>
      </c>
    </row>
    <row r="91" spans="2:48" x14ac:dyDescent="0.2">
      <c r="B91" s="206">
        <v>46387</v>
      </c>
      <c r="E91" s="201">
        <v>0</v>
      </c>
      <c r="F91" s="202">
        <v>5.0000000000000001E-3</v>
      </c>
      <c r="G91" s="207">
        <f t="shared" si="37"/>
        <v>46393</v>
      </c>
      <c r="H91" s="203">
        <v>4</v>
      </c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50">
        <f t="shared" si="36"/>
        <v>0</v>
      </c>
      <c r="AD91" s="50">
        <f t="shared" si="36"/>
        <v>0</v>
      </c>
      <c r="AE91" s="50">
        <f t="shared" si="36"/>
        <v>0</v>
      </c>
      <c r="AF91" s="50">
        <f t="shared" si="36"/>
        <v>0</v>
      </c>
      <c r="AG91" s="50">
        <f t="shared" si="36"/>
        <v>0</v>
      </c>
      <c r="AH91" s="50">
        <f t="shared" si="36"/>
        <v>0</v>
      </c>
      <c r="AI91" s="50">
        <f t="shared" si="36"/>
        <v>0</v>
      </c>
      <c r="AJ91" s="50">
        <f t="shared" si="36"/>
        <v>0</v>
      </c>
      <c r="AK91" s="50">
        <f t="shared" si="36"/>
        <v>0</v>
      </c>
      <c r="AL91" s="50">
        <f t="shared" si="36"/>
        <v>0</v>
      </c>
      <c r="AM91" s="50">
        <f t="shared" si="36"/>
        <v>0</v>
      </c>
      <c r="AN91" s="50">
        <f t="shared" si="36"/>
        <v>0</v>
      </c>
      <c r="AO91" s="50">
        <f t="shared" si="36"/>
        <v>0</v>
      </c>
      <c r="AP91" s="50">
        <f t="shared" si="36"/>
        <v>0</v>
      </c>
      <c r="AQ91" s="50">
        <f t="shared" si="36"/>
        <v>0</v>
      </c>
      <c r="AR91" s="50">
        <f t="shared" si="36"/>
        <v>0</v>
      </c>
      <c r="AS91" s="50">
        <f t="shared" si="36"/>
        <v>0</v>
      </c>
      <c r="AT91" s="50">
        <f t="shared" si="36"/>
        <v>0</v>
      </c>
      <c r="AU91" s="50">
        <f t="shared" si="36"/>
        <v>0</v>
      </c>
      <c r="AV91" s="50">
        <f t="shared" si="36"/>
        <v>0</v>
      </c>
    </row>
    <row r="92" spans="2:48" x14ac:dyDescent="0.2">
      <c r="B92" s="206">
        <v>46477</v>
      </c>
      <c r="E92" s="201">
        <v>0</v>
      </c>
      <c r="F92" s="202">
        <v>5.0000000000000001E-3</v>
      </c>
      <c r="G92" s="207">
        <f t="shared" si="37"/>
        <v>46483</v>
      </c>
      <c r="H92" s="203">
        <f>H88</f>
        <v>1</v>
      </c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50">
        <f t="shared" si="36"/>
        <v>0</v>
      </c>
      <c r="AD92" s="50">
        <f t="shared" si="36"/>
        <v>0</v>
      </c>
      <c r="AE92" s="50">
        <f t="shared" si="36"/>
        <v>0</v>
      </c>
      <c r="AF92" s="50">
        <f t="shared" si="36"/>
        <v>0</v>
      </c>
      <c r="AG92" s="50">
        <f t="shared" si="36"/>
        <v>0</v>
      </c>
      <c r="AH92" s="50">
        <f t="shared" si="36"/>
        <v>0</v>
      </c>
      <c r="AI92" s="50">
        <f t="shared" si="36"/>
        <v>0</v>
      </c>
      <c r="AJ92" s="50">
        <f t="shared" si="36"/>
        <v>0</v>
      </c>
      <c r="AK92" s="50">
        <f t="shared" si="36"/>
        <v>0</v>
      </c>
      <c r="AL92" s="50">
        <f t="shared" si="36"/>
        <v>0</v>
      </c>
      <c r="AM92" s="50">
        <f t="shared" si="36"/>
        <v>0</v>
      </c>
      <c r="AN92" s="50">
        <f t="shared" si="36"/>
        <v>0</v>
      </c>
      <c r="AO92" s="50">
        <f t="shared" si="36"/>
        <v>0</v>
      </c>
      <c r="AP92" s="50">
        <f t="shared" si="36"/>
        <v>0</v>
      </c>
      <c r="AQ92" s="50">
        <f t="shared" si="36"/>
        <v>0</v>
      </c>
      <c r="AR92" s="50">
        <f t="shared" si="36"/>
        <v>0</v>
      </c>
      <c r="AS92" s="50">
        <f t="shared" si="36"/>
        <v>0</v>
      </c>
      <c r="AT92" s="50">
        <f t="shared" si="36"/>
        <v>0</v>
      </c>
      <c r="AU92" s="50">
        <f t="shared" si="36"/>
        <v>0</v>
      </c>
      <c r="AV92" s="50">
        <f t="shared" si="36"/>
        <v>0</v>
      </c>
    </row>
    <row r="93" spans="2:48" x14ac:dyDescent="0.2">
      <c r="B93" s="206">
        <v>46568</v>
      </c>
      <c r="E93" s="201">
        <v>0</v>
      </c>
      <c r="F93" s="202">
        <v>5.0000000000000001E-3</v>
      </c>
      <c r="G93" s="207">
        <f t="shared" si="37"/>
        <v>46574</v>
      </c>
      <c r="H93" s="203">
        <f t="shared" ref="H93:H107" si="38">H89</f>
        <v>2</v>
      </c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50">
        <f t="shared" si="36"/>
        <v>0</v>
      </c>
      <c r="AD93" s="50">
        <f t="shared" si="36"/>
        <v>0</v>
      </c>
      <c r="AE93" s="50">
        <f t="shared" si="36"/>
        <v>0</v>
      </c>
      <c r="AF93" s="50">
        <f t="shared" si="36"/>
        <v>0</v>
      </c>
      <c r="AG93" s="50">
        <f t="shared" si="36"/>
        <v>0</v>
      </c>
      <c r="AH93" s="50">
        <f t="shared" si="36"/>
        <v>0</v>
      </c>
      <c r="AI93" s="50">
        <f t="shared" si="36"/>
        <v>0</v>
      </c>
      <c r="AJ93" s="50">
        <f t="shared" si="36"/>
        <v>0</v>
      </c>
      <c r="AK93" s="50">
        <f t="shared" si="36"/>
        <v>0</v>
      </c>
      <c r="AL93" s="50">
        <f t="shared" si="36"/>
        <v>0</v>
      </c>
      <c r="AM93" s="50">
        <f t="shared" si="36"/>
        <v>0</v>
      </c>
      <c r="AN93" s="50">
        <f t="shared" si="36"/>
        <v>0</v>
      </c>
      <c r="AO93" s="50">
        <f t="shared" si="36"/>
        <v>0</v>
      </c>
      <c r="AP93" s="50">
        <f t="shared" si="36"/>
        <v>0</v>
      </c>
      <c r="AQ93" s="50">
        <f t="shared" si="36"/>
        <v>0</v>
      </c>
      <c r="AR93" s="50">
        <f t="shared" si="36"/>
        <v>0</v>
      </c>
      <c r="AS93" s="50">
        <f t="shared" si="36"/>
        <v>0</v>
      </c>
      <c r="AT93" s="50">
        <f t="shared" si="36"/>
        <v>0</v>
      </c>
      <c r="AU93" s="50">
        <f t="shared" si="36"/>
        <v>0</v>
      </c>
      <c r="AV93" s="50">
        <f t="shared" si="36"/>
        <v>0</v>
      </c>
    </row>
    <row r="94" spans="2:48" x14ac:dyDescent="0.2">
      <c r="B94" s="206">
        <v>46660</v>
      </c>
      <c r="E94" s="201">
        <v>0</v>
      </c>
      <c r="F94" s="202">
        <v>5.0000000000000001E-3</v>
      </c>
      <c r="G94" s="207">
        <f t="shared" si="37"/>
        <v>46666</v>
      </c>
      <c r="H94" s="203">
        <f t="shared" si="38"/>
        <v>3</v>
      </c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50">
        <f t="shared" si="36"/>
        <v>0</v>
      </c>
      <c r="AD94" s="50">
        <f t="shared" si="36"/>
        <v>0</v>
      </c>
      <c r="AE94" s="50">
        <f t="shared" si="36"/>
        <v>0</v>
      </c>
      <c r="AF94" s="50">
        <f t="shared" si="36"/>
        <v>0</v>
      </c>
      <c r="AG94" s="50">
        <f t="shared" si="36"/>
        <v>0</v>
      </c>
      <c r="AH94" s="50">
        <f t="shared" si="36"/>
        <v>0</v>
      </c>
      <c r="AI94" s="50">
        <f t="shared" si="36"/>
        <v>0</v>
      </c>
      <c r="AJ94" s="50">
        <f t="shared" si="36"/>
        <v>0</v>
      </c>
      <c r="AK94" s="50">
        <f t="shared" si="36"/>
        <v>0</v>
      </c>
      <c r="AL94" s="50">
        <f t="shared" si="36"/>
        <v>0</v>
      </c>
      <c r="AM94" s="50">
        <f t="shared" si="36"/>
        <v>0</v>
      </c>
      <c r="AN94" s="50">
        <f t="shared" si="36"/>
        <v>0</v>
      </c>
      <c r="AO94" s="50">
        <f t="shared" si="36"/>
        <v>0</v>
      </c>
      <c r="AP94" s="50">
        <f t="shared" si="36"/>
        <v>0</v>
      </c>
      <c r="AQ94" s="50">
        <f t="shared" si="36"/>
        <v>0</v>
      </c>
      <c r="AR94" s="50">
        <f t="shared" si="36"/>
        <v>0</v>
      </c>
      <c r="AS94" s="50">
        <f t="shared" si="36"/>
        <v>0</v>
      </c>
      <c r="AT94" s="50">
        <f t="shared" si="36"/>
        <v>0</v>
      </c>
      <c r="AU94" s="50">
        <f t="shared" si="36"/>
        <v>0</v>
      </c>
      <c r="AV94" s="50">
        <f t="shared" si="36"/>
        <v>0</v>
      </c>
    </row>
    <row r="95" spans="2:48" x14ac:dyDescent="0.2">
      <c r="B95" s="206">
        <v>46752</v>
      </c>
      <c r="E95" s="201">
        <v>0</v>
      </c>
      <c r="F95" s="202">
        <v>5.0000000000000001E-3</v>
      </c>
      <c r="G95" s="207">
        <f t="shared" si="37"/>
        <v>46758</v>
      </c>
      <c r="H95" s="203">
        <f t="shared" si="38"/>
        <v>4</v>
      </c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50">
        <f t="shared" si="36"/>
        <v>0</v>
      </c>
      <c r="AD95" s="50">
        <f t="shared" si="36"/>
        <v>0</v>
      </c>
      <c r="AE95" s="50">
        <f t="shared" si="36"/>
        <v>0</v>
      </c>
      <c r="AF95" s="50">
        <f t="shared" si="36"/>
        <v>0</v>
      </c>
      <c r="AG95" s="50">
        <f t="shared" si="36"/>
        <v>0</v>
      </c>
      <c r="AH95" s="50">
        <f t="shared" si="36"/>
        <v>0</v>
      </c>
      <c r="AI95" s="50">
        <f t="shared" si="36"/>
        <v>0</v>
      </c>
      <c r="AJ95" s="50">
        <f t="shared" si="36"/>
        <v>0</v>
      </c>
      <c r="AK95" s="50">
        <f t="shared" si="36"/>
        <v>0</v>
      </c>
      <c r="AL95" s="50">
        <f t="shared" si="36"/>
        <v>0</v>
      </c>
      <c r="AM95" s="50">
        <f t="shared" si="36"/>
        <v>0</v>
      </c>
      <c r="AN95" s="50">
        <f t="shared" si="36"/>
        <v>0</v>
      </c>
      <c r="AO95" s="50">
        <f t="shared" si="36"/>
        <v>0</v>
      </c>
      <c r="AP95" s="50">
        <f t="shared" si="36"/>
        <v>0</v>
      </c>
      <c r="AQ95" s="50">
        <f t="shared" si="36"/>
        <v>0</v>
      </c>
      <c r="AR95" s="50">
        <f t="shared" si="36"/>
        <v>0</v>
      </c>
      <c r="AS95" s="50">
        <f t="shared" si="36"/>
        <v>0</v>
      </c>
      <c r="AT95" s="50">
        <f t="shared" si="36"/>
        <v>0</v>
      </c>
      <c r="AU95" s="50">
        <f t="shared" si="36"/>
        <v>0</v>
      </c>
      <c r="AV95" s="50">
        <f t="shared" si="36"/>
        <v>0</v>
      </c>
    </row>
    <row r="96" spans="2:48" x14ac:dyDescent="0.2">
      <c r="B96" s="206">
        <v>46843</v>
      </c>
      <c r="E96" s="201">
        <v>0</v>
      </c>
      <c r="F96" s="202">
        <v>5.0000000000000001E-3</v>
      </c>
      <c r="G96" s="207">
        <f t="shared" si="37"/>
        <v>46849</v>
      </c>
      <c r="H96" s="203">
        <f t="shared" si="38"/>
        <v>1</v>
      </c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50">
        <f t="shared" si="36"/>
        <v>0</v>
      </c>
      <c r="AD96" s="50">
        <f t="shared" si="36"/>
        <v>0</v>
      </c>
      <c r="AE96" s="50">
        <f t="shared" si="36"/>
        <v>0</v>
      </c>
      <c r="AF96" s="50">
        <f t="shared" si="36"/>
        <v>0</v>
      </c>
      <c r="AG96" s="50">
        <f t="shared" si="36"/>
        <v>0</v>
      </c>
      <c r="AH96" s="50">
        <f t="shared" si="36"/>
        <v>0</v>
      </c>
      <c r="AI96" s="50">
        <f t="shared" si="36"/>
        <v>0</v>
      </c>
      <c r="AJ96" s="50">
        <f t="shared" si="36"/>
        <v>0</v>
      </c>
      <c r="AK96" s="50">
        <f t="shared" si="36"/>
        <v>0</v>
      </c>
      <c r="AL96" s="50">
        <f t="shared" si="36"/>
        <v>0</v>
      </c>
      <c r="AM96" s="50">
        <f t="shared" si="36"/>
        <v>0</v>
      </c>
      <c r="AN96" s="50">
        <f t="shared" si="36"/>
        <v>0</v>
      </c>
      <c r="AO96" s="50">
        <f t="shared" si="36"/>
        <v>0</v>
      </c>
      <c r="AP96" s="50">
        <f t="shared" si="36"/>
        <v>0</v>
      </c>
      <c r="AQ96" s="50">
        <f t="shared" si="36"/>
        <v>0</v>
      </c>
      <c r="AR96" s="50">
        <f t="shared" si="36"/>
        <v>0</v>
      </c>
      <c r="AS96" s="50">
        <f t="shared" si="36"/>
        <v>0</v>
      </c>
      <c r="AT96" s="50">
        <f t="shared" si="36"/>
        <v>0</v>
      </c>
      <c r="AU96" s="50">
        <f t="shared" si="36"/>
        <v>0</v>
      </c>
      <c r="AV96" s="50">
        <f t="shared" si="36"/>
        <v>0</v>
      </c>
    </row>
    <row r="97" spans="1:49" x14ac:dyDescent="0.2">
      <c r="B97" s="206">
        <v>46934</v>
      </c>
      <c r="E97" s="201">
        <v>0</v>
      </c>
      <c r="F97" s="202">
        <v>5.0000000000000001E-3</v>
      </c>
      <c r="G97" s="207">
        <f t="shared" si="37"/>
        <v>46940</v>
      </c>
      <c r="H97" s="203">
        <f t="shared" si="38"/>
        <v>2</v>
      </c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50">
        <f t="shared" si="36"/>
        <v>0</v>
      </c>
      <c r="AD97" s="50">
        <f t="shared" si="36"/>
        <v>0</v>
      </c>
      <c r="AE97" s="50">
        <f t="shared" si="36"/>
        <v>0</v>
      </c>
      <c r="AF97" s="50">
        <f t="shared" si="36"/>
        <v>0</v>
      </c>
      <c r="AG97" s="50">
        <f t="shared" si="36"/>
        <v>0</v>
      </c>
      <c r="AH97" s="50">
        <f t="shared" si="36"/>
        <v>0</v>
      </c>
      <c r="AI97" s="50">
        <f t="shared" si="36"/>
        <v>0</v>
      </c>
      <c r="AJ97" s="50">
        <f t="shared" si="36"/>
        <v>0</v>
      </c>
      <c r="AK97" s="50">
        <f t="shared" si="36"/>
        <v>0</v>
      </c>
      <c r="AL97" s="50">
        <f t="shared" si="36"/>
        <v>0</v>
      </c>
      <c r="AM97" s="50">
        <f t="shared" si="36"/>
        <v>0</v>
      </c>
      <c r="AN97" s="50">
        <f t="shared" si="36"/>
        <v>0</v>
      </c>
      <c r="AO97" s="50">
        <f t="shared" si="36"/>
        <v>0</v>
      </c>
      <c r="AP97" s="50">
        <f t="shared" si="36"/>
        <v>0</v>
      </c>
      <c r="AQ97" s="50">
        <f t="shared" si="36"/>
        <v>0</v>
      </c>
      <c r="AR97" s="50">
        <f t="shared" si="36"/>
        <v>0</v>
      </c>
      <c r="AS97" s="50">
        <f t="shared" si="36"/>
        <v>0</v>
      </c>
      <c r="AT97" s="50">
        <f t="shared" si="36"/>
        <v>0</v>
      </c>
      <c r="AU97" s="50">
        <f t="shared" si="36"/>
        <v>0</v>
      </c>
      <c r="AV97" s="50">
        <f t="shared" si="36"/>
        <v>0</v>
      </c>
    </row>
    <row r="98" spans="1:49" x14ac:dyDescent="0.2">
      <c r="B98" s="206">
        <v>47026</v>
      </c>
      <c r="E98" s="201">
        <v>0</v>
      </c>
      <c r="F98" s="202">
        <v>5.0000000000000001E-3</v>
      </c>
      <c r="G98" s="207">
        <f t="shared" si="37"/>
        <v>47032</v>
      </c>
      <c r="H98" s="203">
        <f t="shared" si="38"/>
        <v>3</v>
      </c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50">
        <f t="shared" si="36"/>
        <v>0</v>
      </c>
      <c r="AD98" s="50">
        <f t="shared" si="36"/>
        <v>0</v>
      </c>
      <c r="AE98" s="50">
        <f t="shared" si="36"/>
        <v>0</v>
      </c>
      <c r="AF98" s="50">
        <f t="shared" si="36"/>
        <v>0</v>
      </c>
      <c r="AG98" s="50">
        <f t="shared" si="36"/>
        <v>0</v>
      </c>
      <c r="AH98" s="50">
        <f t="shared" si="36"/>
        <v>0</v>
      </c>
      <c r="AI98" s="50">
        <f t="shared" si="36"/>
        <v>0</v>
      </c>
      <c r="AJ98" s="50">
        <f t="shared" si="36"/>
        <v>0</v>
      </c>
      <c r="AK98" s="50">
        <f t="shared" si="36"/>
        <v>0</v>
      </c>
      <c r="AL98" s="50">
        <f t="shared" si="36"/>
        <v>0</v>
      </c>
      <c r="AM98" s="50">
        <f t="shared" si="36"/>
        <v>0</v>
      </c>
      <c r="AN98" s="50">
        <f t="shared" si="36"/>
        <v>0</v>
      </c>
      <c r="AO98" s="50">
        <f t="shared" si="36"/>
        <v>0</v>
      </c>
      <c r="AP98" s="50">
        <f t="shared" si="36"/>
        <v>0</v>
      </c>
      <c r="AQ98" s="50">
        <f t="shared" si="36"/>
        <v>0</v>
      </c>
      <c r="AR98" s="50">
        <f t="shared" si="36"/>
        <v>0</v>
      </c>
      <c r="AS98" s="50">
        <f t="shared" si="36"/>
        <v>0</v>
      </c>
      <c r="AT98" s="50">
        <f t="shared" si="36"/>
        <v>0</v>
      </c>
      <c r="AU98" s="50">
        <f t="shared" si="36"/>
        <v>0</v>
      </c>
      <c r="AV98" s="50">
        <f t="shared" si="36"/>
        <v>0</v>
      </c>
    </row>
    <row r="99" spans="1:49" x14ac:dyDescent="0.2">
      <c r="B99" s="206">
        <v>47118</v>
      </c>
      <c r="E99" s="201">
        <v>0</v>
      </c>
      <c r="F99" s="202">
        <v>5.0000000000000001E-3</v>
      </c>
      <c r="G99" s="207">
        <f t="shared" si="37"/>
        <v>47124</v>
      </c>
      <c r="H99" s="203">
        <f t="shared" si="38"/>
        <v>4</v>
      </c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50">
        <f t="shared" si="36"/>
        <v>0</v>
      </c>
      <c r="AD99" s="50">
        <f t="shared" si="36"/>
        <v>0</v>
      </c>
      <c r="AE99" s="50">
        <f t="shared" si="36"/>
        <v>0</v>
      </c>
      <c r="AF99" s="50">
        <f t="shared" si="36"/>
        <v>0</v>
      </c>
      <c r="AG99" s="50">
        <f t="shared" si="36"/>
        <v>0</v>
      </c>
      <c r="AH99" s="50">
        <f t="shared" si="36"/>
        <v>0</v>
      </c>
      <c r="AI99" s="50">
        <f t="shared" si="36"/>
        <v>0</v>
      </c>
      <c r="AJ99" s="50">
        <f t="shared" si="36"/>
        <v>0</v>
      </c>
      <c r="AK99" s="50">
        <f t="shared" si="36"/>
        <v>0</v>
      </c>
      <c r="AL99" s="50">
        <f t="shared" si="36"/>
        <v>0</v>
      </c>
      <c r="AM99" s="50">
        <f t="shared" si="36"/>
        <v>0</v>
      </c>
      <c r="AN99" s="50">
        <f t="shared" si="36"/>
        <v>0</v>
      </c>
      <c r="AO99" s="50">
        <f t="shared" si="36"/>
        <v>0</v>
      </c>
      <c r="AP99" s="50">
        <f t="shared" si="36"/>
        <v>0</v>
      </c>
      <c r="AQ99" s="50">
        <f t="shared" si="36"/>
        <v>0</v>
      </c>
      <c r="AR99" s="50">
        <f t="shared" si="36"/>
        <v>0</v>
      </c>
      <c r="AS99" s="50">
        <f t="shared" si="36"/>
        <v>0</v>
      </c>
      <c r="AT99" s="50">
        <f t="shared" si="36"/>
        <v>0</v>
      </c>
      <c r="AU99" s="50">
        <f t="shared" si="36"/>
        <v>0</v>
      </c>
      <c r="AV99" s="50">
        <f t="shared" si="36"/>
        <v>0</v>
      </c>
    </row>
    <row r="100" spans="1:49" x14ac:dyDescent="0.2">
      <c r="B100" s="206">
        <v>47208</v>
      </c>
      <c r="E100" s="201">
        <v>0</v>
      </c>
      <c r="F100" s="202">
        <v>5.0000000000000001E-3</v>
      </c>
      <c r="G100" s="207">
        <f t="shared" si="37"/>
        <v>47214</v>
      </c>
      <c r="H100" s="203">
        <f t="shared" si="38"/>
        <v>1</v>
      </c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50">
        <f t="shared" si="36"/>
        <v>0</v>
      </c>
      <c r="AD100" s="50">
        <f t="shared" si="36"/>
        <v>0</v>
      </c>
      <c r="AE100" s="50">
        <f t="shared" si="36"/>
        <v>0</v>
      </c>
      <c r="AF100" s="50">
        <f t="shared" si="36"/>
        <v>0</v>
      </c>
      <c r="AG100" s="50">
        <f t="shared" si="36"/>
        <v>0</v>
      </c>
      <c r="AH100" s="50">
        <f t="shared" si="36"/>
        <v>0</v>
      </c>
      <c r="AI100" s="50">
        <f t="shared" si="36"/>
        <v>0</v>
      </c>
      <c r="AJ100" s="50">
        <f t="shared" si="36"/>
        <v>0</v>
      </c>
      <c r="AK100" s="50">
        <f t="shared" si="36"/>
        <v>0</v>
      </c>
      <c r="AL100" s="50">
        <f t="shared" si="36"/>
        <v>0</v>
      </c>
      <c r="AM100" s="50">
        <f t="shared" si="36"/>
        <v>0</v>
      </c>
      <c r="AN100" s="50">
        <f t="shared" si="36"/>
        <v>0</v>
      </c>
      <c r="AO100" s="50">
        <f t="shared" si="36"/>
        <v>0</v>
      </c>
      <c r="AP100" s="50">
        <f t="shared" si="36"/>
        <v>0</v>
      </c>
      <c r="AQ100" s="50">
        <f t="shared" si="36"/>
        <v>0</v>
      </c>
      <c r="AR100" s="50">
        <f t="shared" ref="AR100:AV107" si="39">IF(AND(AR$1&lt;=$G100,AR$2&lt;=$H100),-$E100*$F100/4,0)</f>
        <v>0</v>
      </c>
      <c r="AS100" s="50">
        <f t="shared" si="39"/>
        <v>0</v>
      </c>
      <c r="AT100" s="50">
        <f t="shared" si="39"/>
        <v>0</v>
      </c>
      <c r="AU100" s="50">
        <f t="shared" si="39"/>
        <v>0</v>
      </c>
      <c r="AV100" s="50">
        <f t="shared" si="39"/>
        <v>0</v>
      </c>
    </row>
    <row r="101" spans="1:49" x14ac:dyDescent="0.2">
      <c r="B101" s="206">
        <v>47299</v>
      </c>
      <c r="E101" s="201">
        <v>0</v>
      </c>
      <c r="F101" s="202">
        <v>5.0000000000000001E-3</v>
      </c>
      <c r="G101" s="207">
        <f t="shared" si="37"/>
        <v>47305</v>
      </c>
      <c r="H101" s="203">
        <f t="shared" si="38"/>
        <v>2</v>
      </c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50">
        <f t="shared" ref="AC101:AR107" si="40">IF(AND(AC$1&lt;=$G101,AC$2&lt;=$H101),-$E101*$F101/4,0)</f>
        <v>0</v>
      </c>
      <c r="AD101" s="50">
        <f t="shared" si="40"/>
        <v>0</v>
      </c>
      <c r="AE101" s="50">
        <f t="shared" si="40"/>
        <v>0</v>
      </c>
      <c r="AF101" s="50">
        <f t="shared" si="40"/>
        <v>0</v>
      </c>
      <c r="AG101" s="50">
        <f t="shared" si="40"/>
        <v>0</v>
      </c>
      <c r="AH101" s="50">
        <f t="shared" si="40"/>
        <v>0</v>
      </c>
      <c r="AI101" s="50">
        <f t="shared" si="40"/>
        <v>0</v>
      </c>
      <c r="AJ101" s="50">
        <f t="shared" si="40"/>
        <v>0</v>
      </c>
      <c r="AK101" s="50">
        <f t="shared" si="40"/>
        <v>0</v>
      </c>
      <c r="AL101" s="50">
        <f t="shared" si="40"/>
        <v>0</v>
      </c>
      <c r="AM101" s="50">
        <f t="shared" si="40"/>
        <v>0</v>
      </c>
      <c r="AN101" s="50">
        <f t="shared" si="40"/>
        <v>0</v>
      </c>
      <c r="AO101" s="50">
        <f t="shared" si="40"/>
        <v>0</v>
      </c>
      <c r="AP101" s="50">
        <f t="shared" si="40"/>
        <v>0</v>
      </c>
      <c r="AQ101" s="50">
        <f t="shared" si="40"/>
        <v>0</v>
      </c>
      <c r="AR101" s="50">
        <f t="shared" si="40"/>
        <v>0</v>
      </c>
      <c r="AS101" s="50">
        <f t="shared" si="39"/>
        <v>0</v>
      </c>
      <c r="AT101" s="50">
        <f t="shared" si="39"/>
        <v>0</v>
      </c>
      <c r="AU101" s="50">
        <f t="shared" si="39"/>
        <v>0</v>
      </c>
      <c r="AV101" s="50">
        <f t="shared" si="39"/>
        <v>0</v>
      </c>
    </row>
    <row r="102" spans="1:49" x14ac:dyDescent="0.2">
      <c r="B102" s="206">
        <v>47391</v>
      </c>
      <c r="E102" s="201">
        <v>0</v>
      </c>
      <c r="F102" s="202">
        <v>5.0000000000000001E-3</v>
      </c>
      <c r="G102" s="207">
        <f t="shared" si="37"/>
        <v>47397</v>
      </c>
      <c r="H102" s="203">
        <f t="shared" si="38"/>
        <v>3</v>
      </c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50">
        <f t="shared" si="40"/>
        <v>0</v>
      </c>
      <c r="AD102" s="50">
        <f t="shared" si="40"/>
        <v>0</v>
      </c>
      <c r="AE102" s="50">
        <f t="shared" si="40"/>
        <v>0</v>
      </c>
      <c r="AF102" s="50">
        <f t="shared" si="40"/>
        <v>0</v>
      </c>
      <c r="AG102" s="50">
        <f t="shared" si="40"/>
        <v>0</v>
      </c>
      <c r="AH102" s="50">
        <f t="shared" si="40"/>
        <v>0</v>
      </c>
      <c r="AI102" s="50">
        <f t="shared" si="40"/>
        <v>0</v>
      </c>
      <c r="AJ102" s="50">
        <f t="shared" si="40"/>
        <v>0</v>
      </c>
      <c r="AK102" s="50">
        <f t="shared" si="40"/>
        <v>0</v>
      </c>
      <c r="AL102" s="50">
        <f t="shared" si="40"/>
        <v>0</v>
      </c>
      <c r="AM102" s="50">
        <f t="shared" si="40"/>
        <v>0</v>
      </c>
      <c r="AN102" s="50">
        <f t="shared" si="40"/>
        <v>0</v>
      </c>
      <c r="AO102" s="50">
        <f t="shared" si="40"/>
        <v>0</v>
      </c>
      <c r="AP102" s="50">
        <f t="shared" si="40"/>
        <v>0</v>
      </c>
      <c r="AQ102" s="50">
        <f t="shared" si="40"/>
        <v>0</v>
      </c>
      <c r="AR102" s="50">
        <f t="shared" si="40"/>
        <v>0</v>
      </c>
      <c r="AS102" s="50">
        <f t="shared" si="39"/>
        <v>0</v>
      </c>
      <c r="AT102" s="50">
        <f t="shared" si="39"/>
        <v>0</v>
      </c>
      <c r="AU102" s="50">
        <f t="shared" si="39"/>
        <v>0</v>
      </c>
      <c r="AV102" s="50">
        <f t="shared" si="39"/>
        <v>0</v>
      </c>
    </row>
    <row r="103" spans="1:49" x14ac:dyDescent="0.2">
      <c r="B103" s="206">
        <v>47483</v>
      </c>
      <c r="E103" s="201">
        <v>0</v>
      </c>
      <c r="F103" s="202">
        <v>5.0000000000000001E-3</v>
      </c>
      <c r="G103" s="207">
        <f t="shared" si="37"/>
        <v>47489</v>
      </c>
      <c r="H103" s="203">
        <f t="shared" si="38"/>
        <v>4</v>
      </c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50">
        <f t="shared" si="40"/>
        <v>0</v>
      </c>
      <c r="AD103" s="50">
        <f t="shared" si="40"/>
        <v>0</v>
      </c>
      <c r="AE103" s="50">
        <f t="shared" si="40"/>
        <v>0</v>
      </c>
      <c r="AF103" s="50">
        <f t="shared" si="40"/>
        <v>0</v>
      </c>
      <c r="AG103" s="50">
        <f t="shared" si="40"/>
        <v>0</v>
      </c>
      <c r="AH103" s="50">
        <f t="shared" si="40"/>
        <v>0</v>
      </c>
      <c r="AI103" s="50">
        <f t="shared" si="40"/>
        <v>0</v>
      </c>
      <c r="AJ103" s="50">
        <f t="shared" si="40"/>
        <v>0</v>
      </c>
      <c r="AK103" s="50">
        <f t="shared" si="40"/>
        <v>0</v>
      </c>
      <c r="AL103" s="50">
        <f t="shared" si="40"/>
        <v>0</v>
      </c>
      <c r="AM103" s="50">
        <f t="shared" si="40"/>
        <v>0</v>
      </c>
      <c r="AN103" s="50">
        <f t="shared" si="40"/>
        <v>0</v>
      </c>
      <c r="AO103" s="50">
        <f t="shared" si="40"/>
        <v>0</v>
      </c>
      <c r="AP103" s="50">
        <f t="shared" si="40"/>
        <v>0</v>
      </c>
      <c r="AQ103" s="50">
        <f t="shared" si="40"/>
        <v>0</v>
      </c>
      <c r="AR103" s="50">
        <f t="shared" si="40"/>
        <v>0</v>
      </c>
      <c r="AS103" s="50">
        <f t="shared" si="39"/>
        <v>0</v>
      </c>
      <c r="AT103" s="50">
        <f t="shared" si="39"/>
        <v>0</v>
      </c>
      <c r="AU103" s="50">
        <f t="shared" si="39"/>
        <v>0</v>
      </c>
      <c r="AV103" s="50">
        <f t="shared" si="39"/>
        <v>0</v>
      </c>
    </row>
    <row r="104" spans="1:49" x14ac:dyDescent="0.2">
      <c r="B104" s="206">
        <v>47573</v>
      </c>
      <c r="E104" s="201">
        <v>0</v>
      </c>
      <c r="F104" s="202">
        <v>5.0000000000000001E-3</v>
      </c>
      <c r="G104" s="207">
        <f t="shared" si="37"/>
        <v>47579</v>
      </c>
      <c r="H104" s="203">
        <f t="shared" si="38"/>
        <v>1</v>
      </c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50">
        <f t="shared" si="40"/>
        <v>0</v>
      </c>
      <c r="AD104" s="50">
        <f t="shared" si="40"/>
        <v>0</v>
      </c>
      <c r="AE104" s="50">
        <f t="shared" si="40"/>
        <v>0</v>
      </c>
      <c r="AF104" s="50">
        <f t="shared" si="40"/>
        <v>0</v>
      </c>
      <c r="AG104" s="50">
        <f t="shared" si="40"/>
        <v>0</v>
      </c>
      <c r="AH104" s="50">
        <f t="shared" si="40"/>
        <v>0</v>
      </c>
      <c r="AI104" s="50">
        <f t="shared" si="40"/>
        <v>0</v>
      </c>
      <c r="AJ104" s="50">
        <f t="shared" si="40"/>
        <v>0</v>
      </c>
      <c r="AK104" s="50">
        <f t="shared" si="40"/>
        <v>0</v>
      </c>
      <c r="AL104" s="50">
        <f t="shared" si="40"/>
        <v>0</v>
      </c>
      <c r="AM104" s="50">
        <f t="shared" si="40"/>
        <v>0</v>
      </c>
      <c r="AN104" s="50">
        <f t="shared" si="40"/>
        <v>0</v>
      </c>
      <c r="AO104" s="50">
        <f t="shared" si="40"/>
        <v>0</v>
      </c>
      <c r="AP104" s="50">
        <f t="shared" si="40"/>
        <v>0</v>
      </c>
      <c r="AQ104" s="50">
        <f t="shared" si="40"/>
        <v>0</v>
      </c>
      <c r="AR104" s="50">
        <f t="shared" si="40"/>
        <v>0</v>
      </c>
      <c r="AS104" s="50">
        <f t="shared" si="39"/>
        <v>0</v>
      </c>
      <c r="AT104" s="50">
        <f t="shared" si="39"/>
        <v>0</v>
      </c>
      <c r="AU104" s="50">
        <f t="shared" si="39"/>
        <v>0</v>
      </c>
      <c r="AV104" s="50">
        <f t="shared" si="39"/>
        <v>0</v>
      </c>
    </row>
    <row r="105" spans="1:49" x14ac:dyDescent="0.2">
      <c r="B105" s="206">
        <v>47664</v>
      </c>
      <c r="E105" s="201">
        <v>0</v>
      </c>
      <c r="F105" s="202">
        <v>5.0000000000000001E-3</v>
      </c>
      <c r="G105" s="207">
        <f t="shared" si="37"/>
        <v>47670</v>
      </c>
      <c r="H105" s="203">
        <f t="shared" si="38"/>
        <v>2</v>
      </c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50">
        <f t="shared" si="40"/>
        <v>0</v>
      </c>
      <c r="AD105" s="50">
        <f t="shared" si="40"/>
        <v>0</v>
      </c>
      <c r="AE105" s="50">
        <f t="shared" si="40"/>
        <v>0</v>
      </c>
      <c r="AF105" s="50">
        <f t="shared" si="40"/>
        <v>0</v>
      </c>
      <c r="AG105" s="50">
        <f t="shared" si="40"/>
        <v>0</v>
      </c>
      <c r="AH105" s="50">
        <f t="shared" si="40"/>
        <v>0</v>
      </c>
      <c r="AI105" s="50">
        <f t="shared" si="40"/>
        <v>0</v>
      </c>
      <c r="AJ105" s="50">
        <f t="shared" si="40"/>
        <v>0</v>
      </c>
      <c r="AK105" s="50">
        <f t="shared" si="40"/>
        <v>0</v>
      </c>
      <c r="AL105" s="50">
        <f t="shared" si="40"/>
        <v>0</v>
      </c>
      <c r="AM105" s="50">
        <f t="shared" si="40"/>
        <v>0</v>
      </c>
      <c r="AN105" s="50">
        <f t="shared" si="40"/>
        <v>0</v>
      </c>
      <c r="AO105" s="50">
        <f t="shared" si="40"/>
        <v>0</v>
      </c>
      <c r="AP105" s="50">
        <f t="shared" si="40"/>
        <v>0</v>
      </c>
      <c r="AQ105" s="50">
        <f t="shared" si="40"/>
        <v>0</v>
      </c>
      <c r="AR105" s="50">
        <f t="shared" si="40"/>
        <v>0</v>
      </c>
      <c r="AS105" s="50">
        <f t="shared" si="39"/>
        <v>0</v>
      </c>
      <c r="AT105" s="50">
        <f t="shared" si="39"/>
        <v>0</v>
      </c>
      <c r="AU105" s="50">
        <f t="shared" si="39"/>
        <v>0</v>
      </c>
      <c r="AV105" s="50">
        <f t="shared" si="39"/>
        <v>0</v>
      </c>
    </row>
    <row r="106" spans="1:49" x14ac:dyDescent="0.2">
      <c r="B106" s="206">
        <v>47756</v>
      </c>
      <c r="E106" s="201">
        <v>0</v>
      </c>
      <c r="F106" s="202">
        <v>5.0000000000000001E-3</v>
      </c>
      <c r="G106" s="207">
        <f t="shared" si="37"/>
        <v>47762</v>
      </c>
      <c r="H106" s="203">
        <f t="shared" si="38"/>
        <v>3</v>
      </c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50">
        <f t="shared" si="40"/>
        <v>0</v>
      </c>
      <c r="AD106" s="50">
        <f t="shared" si="40"/>
        <v>0</v>
      </c>
      <c r="AE106" s="50">
        <f t="shared" si="40"/>
        <v>0</v>
      </c>
      <c r="AF106" s="50">
        <f t="shared" si="40"/>
        <v>0</v>
      </c>
      <c r="AG106" s="50">
        <f t="shared" si="40"/>
        <v>0</v>
      </c>
      <c r="AH106" s="50">
        <f t="shared" si="40"/>
        <v>0</v>
      </c>
      <c r="AI106" s="50">
        <f t="shared" si="40"/>
        <v>0</v>
      </c>
      <c r="AJ106" s="50">
        <f t="shared" si="40"/>
        <v>0</v>
      </c>
      <c r="AK106" s="50">
        <f t="shared" si="40"/>
        <v>0</v>
      </c>
      <c r="AL106" s="50">
        <f t="shared" si="40"/>
        <v>0</v>
      </c>
      <c r="AM106" s="50">
        <f t="shared" si="40"/>
        <v>0</v>
      </c>
      <c r="AN106" s="50">
        <f t="shared" si="40"/>
        <v>0</v>
      </c>
      <c r="AO106" s="50">
        <f t="shared" si="40"/>
        <v>0</v>
      </c>
      <c r="AP106" s="50">
        <f t="shared" si="40"/>
        <v>0</v>
      </c>
      <c r="AQ106" s="50">
        <f t="shared" si="40"/>
        <v>0</v>
      </c>
      <c r="AR106" s="50">
        <f t="shared" si="40"/>
        <v>0</v>
      </c>
      <c r="AS106" s="50">
        <f t="shared" si="39"/>
        <v>0</v>
      </c>
      <c r="AT106" s="50">
        <f t="shared" si="39"/>
        <v>0</v>
      </c>
      <c r="AU106" s="50">
        <f t="shared" si="39"/>
        <v>0</v>
      </c>
      <c r="AV106" s="50">
        <f t="shared" si="39"/>
        <v>0</v>
      </c>
    </row>
    <row r="107" spans="1:49" x14ac:dyDescent="0.2">
      <c r="B107" s="206">
        <v>47848</v>
      </c>
      <c r="E107" s="201">
        <v>0</v>
      </c>
      <c r="F107" s="202">
        <v>5.0000000000000001E-3</v>
      </c>
      <c r="G107" s="207">
        <f t="shared" si="37"/>
        <v>47854</v>
      </c>
      <c r="H107" s="203">
        <f t="shared" si="38"/>
        <v>4</v>
      </c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50">
        <f t="shared" si="40"/>
        <v>0</v>
      </c>
      <c r="AD107" s="50">
        <f t="shared" si="40"/>
        <v>0</v>
      </c>
      <c r="AE107" s="50">
        <f t="shared" si="40"/>
        <v>0</v>
      </c>
      <c r="AF107" s="50">
        <f t="shared" si="40"/>
        <v>0</v>
      </c>
      <c r="AG107" s="50">
        <f t="shared" si="40"/>
        <v>0</v>
      </c>
      <c r="AH107" s="50">
        <f t="shared" si="40"/>
        <v>0</v>
      </c>
      <c r="AI107" s="50">
        <f t="shared" si="40"/>
        <v>0</v>
      </c>
      <c r="AJ107" s="50">
        <f t="shared" si="40"/>
        <v>0</v>
      </c>
      <c r="AK107" s="50">
        <f t="shared" si="40"/>
        <v>0</v>
      </c>
      <c r="AL107" s="50">
        <f t="shared" si="40"/>
        <v>0</v>
      </c>
      <c r="AM107" s="50">
        <f t="shared" si="40"/>
        <v>0</v>
      </c>
      <c r="AN107" s="50">
        <f t="shared" si="40"/>
        <v>0</v>
      </c>
      <c r="AO107" s="50">
        <f t="shared" si="40"/>
        <v>0</v>
      </c>
      <c r="AP107" s="50">
        <f t="shared" si="40"/>
        <v>0</v>
      </c>
      <c r="AQ107" s="50">
        <f t="shared" si="40"/>
        <v>0</v>
      </c>
      <c r="AR107" s="50">
        <f t="shared" si="40"/>
        <v>0</v>
      </c>
      <c r="AS107" s="50">
        <f t="shared" si="39"/>
        <v>0</v>
      </c>
      <c r="AT107" s="50">
        <f t="shared" si="39"/>
        <v>0</v>
      </c>
      <c r="AU107" s="50">
        <f t="shared" si="39"/>
        <v>0</v>
      </c>
      <c r="AV107" s="50">
        <f t="shared" si="39"/>
        <v>0</v>
      </c>
    </row>
    <row r="109" spans="1:49" x14ac:dyDescent="0.2">
      <c r="B109" s="182" t="s">
        <v>380</v>
      </c>
      <c r="C109" s="121"/>
      <c r="D109" s="121"/>
      <c r="E109" s="121"/>
      <c r="F109" s="121"/>
      <c r="G109" s="121"/>
      <c r="H109" s="122" t="s">
        <v>33</v>
      </c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  <c r="AB109" s="123"/>
      <c r="AC109" s="165">
        <f>SUM(AC80:AC107)</f>
        <v>-22796.289075000001</v>
      </c>
      <c r="AD109" s="165">
        <f t="shared" ref="AD109:AV109" si="41">SUM(AD80:AD107)</f>
        <v>-22796.289075000001</v>
      </c>
      <c r="AE109" s="165">
        <f t="shared" si="41"/>
        <v>-19677.407224999999</v>
      </c>
      <c r="AF109" s="165">
        <f t="shared" si="41"/>
        <v>-19677.407224999999</v>
      </c>
      <c r="AG109" s="165">
        <f t="shared" si="41"/>
        <v>-19677.407224999999</v>
      </c>
      <c r="AH109" s="165">
        <f t="shared" si="41"/>
        <v>-19677.407224999999</v>
      </c>
      <c r="AI109" s="165">
        <f t="shared" si="41"/>
        <v>-19677.407224999999</v>
      </c>
      <c r="AJ109" s="165">
        <f t="shared" si="41"/>
        <v>-19677.407224999999</v>
      </c>
      <c r="AK109" s="165">
        <f t="shared" si="41"/>
        <v>-19677.407224999999</v>
      </c>
      <c r="AL109" s="165">
        <f t="shared" si="41"/>
        <v>-19677.407224999999</v>
      </c>
      <c r="AM109" s="165">
        <f t="shared" si="41"/>
        <v>-19677.407224999999</v>
      </c>
      <c r="AN109" s="165">
        <f t="shared" si="41"/>
        <v>-19677.407224999999</v>
      </c>
      <c r="AO109" s="165">
        <f t="shared" si="41"/>
        <v>-10752.407224999999</v>
      </c>
      <c r="AP109" s="165">
        <f t="shared" si="41"/>
        <v>-10752.407224999999</v>
      </c>
      <c r="AQ109" s="165">
        <f t="shared" si="41"/>
        <v>-10752.407224999999</v>
      </c>
      <c r="AR109" s="165">
        <f t="shared" si="41"/>
        <v>-10752.407224999999</v>
      </c>
      <c r="AS109" s="165">
        <f t="shared" si="41"/>
        <v>-9439.907224999999</v>
      </c>
      <c r="AT109" s="165">
        <f t="shared" si="41"/>
        <v>-9439.907224999999</v>
      </c>
      <c r="AU109" s="165">
        <f t="shared" si="41"/>
        <v>-7700.5322249999999</v>
      </c>
      <c r="AV109" s="183">
        <f t="shared" si="41"/>
        <v>-7700.5322249999999</v>
      </c>
    </row>
    <row r="111" spans="1:49" x14ac:dyDescent="0.2">
      <c r="A111" s="1" t="s">
        <v>27</v>
      </c>
      <c r="B111" s="33" t="s">
        <v>381</v>
      </c>
      <c r="C111" s="33"/>
      <c r="D111" s="33"/>
      <c r="E111" s="33"/>
      <c r="F111" s="33"/>
      <c r="G111" s="33"/>
      <c r="H111" s="34" t="s">
        <v>29</v>
      </c>
      <c r="I111" s="41">
        <v>44286</v>
      </c>
      <c r="J111" s="41">
        <v>44377</v>
      </c>
      <c r="K111" s="41">
        <v>44469</v>
      </c>
      <c r="L111" s="41">
        <v>44561</v>
      </c>
      <c r="M111" s="41">
        <v>44651</v>
      </c>
      <c r="N111" s="41">
        <v>44742</v>
      </c>
      <c r="O111" s="41">
        <v>44834</v>
      </c>
      <c r="P111" s="41">
        <v>44926</v>
      </c>
      <c r="Q111" s="41">
        <v>45016</v>
      </c>
      <c r="R111" s="41">
        <v>45107</v>
      </c>
      <c r="S111" s="41">
        <v>45199</v>
      </c>
      <c r="T111" s="41">
        <v>45291</v>
      </c>
      <c r="U111" s="41">
        <v>45382</v>
      </c>
      <c r="V111" s="41">
        <v>45473</v>
      </c>
      <c r="W111" s="41">
        <v>45565</v>
      </c>
      <c r="X111" s="41">
        <v>45657</v>
      </c>
      <c r="Y111" s="41">
        <v>45747</v>
      </c>
      <c r="Z111" s="41">
        <v>45838</v>
      </c>
      <c r="AA111" s="41">
        <v>45930</v>
      </c>
      <c r="AB111" s="41">
        <v>46022</v>
      </c>
      <c r="AC111" s="41">
        <v>46112</v>
      </c>
      <c r="AD111" s="41">
        <v>46203</v>
      </c>
      <c r="AE111" s="41">
        <v>46295</v>
      </c>
      <c r="AF111" s="41">
        <v>46387</v>
      </c>
      <c r="AG111" s="41">
        <v>46477</v>
      </c>
      <c r="AH111" s="41">
        <v>46568</v>
      </c>
      <c r="AI111" s="41">
        <v>46660</v>
      </c>
      <c r="AJ111" s="41">
        <v>46752</v>
      </c>
      <c r="AK111" s="41">
        <v>46843</v>
      </c>
      <c r="AL111" s="41">
        <v>46934</v>
      </c>
      <c r="AM111" s="41">
        <v>47026</v>
      </c>
      <c r="AN111" s="41">
        <v>47118</v>
      </c>
      <c r="AO111" s="41">
        <v>47208</v>
      </c>
      <c r="AP111" s="41">
        <v>47299</v>
      </c>
      <c r="AQ111" s="41">
        <v>47391</v>
      </c>
      <c r="AR111" s="41">
        <v>47483</v>
      </c>
      <c r="AS111" s="41">
        <v>47573</v>
      </c>
      <c r="AT111" s="41">
        <v>47664</v>
      </c>
      <c r="AU111" s="41">
        <v>47756</v>
      </c>
      <c r="AV111" s="41">
        <v>47848</v>
      </c>
      <c r="AW111"/>
    </row>
    <row r="113" spans="2:49" x14ac:dyDescent="0.2">
      <c r="B113" s="148" t="s">
        <v>382</v>
      </c>
      <c r="C113" s="148"/>
      <c r="D113" s="148"/>
      <c r="E113" s="148"/>
      <c r="F113" s="148"/>
      <c r="G113" s="148"/>
      <c r="H113" s="184"/>
      <c r="I113" s="185"/>
      <c r="J113" s="185"/>
      <c r="K113" s="185"/>
      <c r="L113" s="185"/>
      <c r="M113" s="185"/>
      <c r="N113" s="185"/>
      <c r="O113" s="185"/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  <c r="Z113" s="185"/>
      <c r="AA113" s="185"/>
      <c r="AB113" s="185"/>
      <c r="AC113" s="185"/>
      <c r="AD113" s="185"/>
      <c r="AE113" s="185"/>
      <c r="AF113" s="185"/>
      <c r="AG113" s="185"/>
      <c r="AH113" s="185"/>
      <c r="AI113" s="185"/>
      <c r="AJ113" s="185"/>
      <c r="AK113" s="185"/>
      <c r="AL113" s="185"/>
      <c r="AM113" s="185"/>
      <c r="AN113" s="185"/>
      <c r="AO113" s="185"/>
      <c r="AP113" s="185"/>
      <c r="AQ113" s="185"/>
      <c r="AR113" s="185"/>
      <c r="AS113" s="185"/>
      <c r="AT113" s="185"/>
      <c r="AU113" s="185"/>
      <c r="AV113" s="185"/>
      <c r="AW113"/>
    </row>
    <row r="114" spans="2:49" x14ac:dyDescent="0.2">
      <c r="B114" s="1" t="s">
        <v>383</v>
      </c>
      <c r="H114" s="43" t="s">
        <v>33</v>
      </c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50">
        <f>AB118</f>
        <v>6221228</v>
      </c>
      <c r="AD114" s="50">
        <f t="shared" ref="AD114:AV114" si="42">AC118</f>
        <v>7026336.9719819902</v>
      </c>
      <c r="AE114" s="50">
        <f t="shared" si="42"/>
        <v>7460478.0277563436</v>
      </c>
      <c r="AF114" s="50">
        <f t="shared" si="42"/>
        <v>7889199.2261696737</v>
      </c>
      <c r="AG114" s="50">
        <f t="shared" si="42"/>
        <v>8449209.987133313</v>
      </c>
      <c r="AH114" s="50">
        <f t="shared" si="42"/>
        <v>9300315.6079801433</v>
      </c>
      <c r="AI114" s="50">
        <f t="shared" si="42"/>
        <v>9807588.6509314664</v>
      </c>
      <c r="AJ114" s="50">
        <f t="shared" si="42"/>
        <v>10314929.863884469</v>
      </c>
      <c r="AK114" s="50">
        <f t="shared" si="42"/>
        <v>10956770.305056373</v>
      </c>
      <c r="AL114" s="50">
        <f t="shared" si="42"/>
        <v>11892404.701847848</v>
      </c>
      <c r="AM114" s="50">
        <f t="shared" si="42"/>
        <v>12483855.694751982</v>
      </c>
      <c r="AN114" s="50">
        <f t="shared" si="42"/>
        <v>13068865.692965936</v>
      </c>
      <c r="AO114" s="50">
        <f t="shared" si="42"/>
        <v>13797392.526791485</v>
      </c>
      <c r="AP114" s="50">
        <f t="shared" si="42"/>
        <v>14849603.448537748</v>
      </c>
      <c r="AQ114" s="50">
        <f t="shared" si="42"/>
        <v>15575341.255431488</v>
      </c>
      <c r="AR114" s="50">
        <f t="shared" si="42"/>
        <v>16287779.29723159</v>
      </c>
      <c r="AS114" s="50">
        <f t="shared" si="42"/>
        <v>17159903.470280595</v>
      </c>
      <c r="AT114" s="50">
        <f t="shared" si="42"/>
        <v>18381139.379834846</v>
      </c>
      <c r="AU114" s="50">
        <f t="shared" si="42"/>
        <v>19310001.579097733</v>
      </c>
      <c r="AV114" s="50">
        <f t="shared" si="42"/>
        <v>20219271.927579585</v>
      </c>
    </row>
    <row r="115" spans="2:49" x14ac:dyDescent="0.2">
      <c r="B115" s="1" t="s">
        <v>384</v>
      </c>
      <c r="H115" s="43" t="s">
        <v>33</v>
      </c>
      <c r="I115" s="143">
        <f>'3FS'!P51</f>
        <v>771463</v>
      </c>
      <c r="J115" s="143">
        <f>'3FS'!Q51</f>
        <v>1606349</v>
      </c>
      <c r="K115" s="143">
        <f>'3FS'!R51</f>
        <v>406100</v>
      </c>
      <c r="L115" s="143">
        <f>'3FS'!S51</f>
        <v>840208</v>
      </c>
      <c r="M115" s="143">
        <f>'3FS'!T51</f>
        <v>-429659</v>
      </c>
      <c r="N115" s="143">
        <f>'3FS'!U51</f>
        <v>-1093654</v>
      </c>
      <c r="O115" s="143">
        <f>'3FS'!V51</f>
        <v>-544635</v>
      </c>
      <c r="P115" s="143">
        <f>'3FS'!W51</f>
        <v>-557001</v>
      </c>
      <c r="Q115" s="143">
        <f>'3FS'!X51</f>
        <v>-78896</v>
      </c>
      <c r="R115" s="143">
        <f>'3FS'!Y51</f>
        <v>-97405</v>
      </c>
      <c r="S115" s="143">
        <f>'3FS'!Z51</f>
        <v>-2265</v>
      </c>
      <c r="T115" s="143">
        <f>'3FS'!AA51</f>
        <v>273437</v>
      </c>
      <c r="U115" s="143">
        <f>'3FS'!AB51</f>
        <v>1089887</v>
      </c>
      <c r="V115" s="143">
        <f>'3FS'!AC51</f>
        <v>67166</v>
      </c>
      <c r="W115" s="143">
        <f>'3FS'!AD51</f>
        <v>75353</v>
      </c>
      <c r="X115" s="143">
        <f>'3FS'!AE51</f>
        <v>1274935</v>
      </c>
      <c r="Y115" s="143">
        <f>'3FS'!AF51</f>
        <v>99973</v>
      </c>
      <c r="Z115" s="143">
        <f>'3FS'!AG51</f>
        <v>1420198</v>
      </c>
      <c r="AA115" s="143">
        <f>'3FS'!AH51</f>
        <v>396812</v>
      </c>
      <c r="AB115" s="143">
        <f>'3FS'!AI51</f>
        <v>-635952</v>
      </c>
      <c r="AC115" s="208">
        <f>'3FS'!AJ51</f>
        <v>805108.97198199027</v>
      </c>
      <c r="AD115" s="208">
        <f>'3FS'!AK51</f>
        <v>434141.05577435344</v>
      </c>
      <c r="AE115" s="208">
        <f>'3FS'!AL51</f>
        <v>428721.19841332984</v>
      </c>
      <c r="AF115" s="208">
        <f>'3FS'!AM51</f>
        <v>560010.76096363983</v>
      </c>
      <c r="AG115" s="208">
        <f>'3FS'!AN51</f>
        <v>851105.62084682996</v>
      </c>
      <c r="AH115" s="208">
        <f>'3FS'!AO51</f>
        <v>507273.04295132298</v>
      </c>
      <c r="AI115" s="208">
        <f>'3FS'!AP51</f>
        <v>507341.21295300272</v>
      </c>
      <c r="AJ115" s="208">
        <f>'3FS'!AQ51</f>
        <v>641840.44117190246</v>
      </c>
      <c r="AK115" s="208">
        <f>'3FS'!AR51</f>
        <v>935634.39679147478</v>
      </c>
      <c r="AL115" s="208">
        <f>'3FS'!AS51</f>
        <v>591450.99290413351</v>
      </c>
      <c r="AM115" s="208">
        <f>'3FS'!AT51</f>
        <v>585009.99821395427</v>
      </c>
      <c r="AN115" s="208">
        <f>'3FS'!AU51</f>
        <v>728526.83382554841</v>
      </c>
      <c r="AO115" s="208">
        <f>'3FS'!AV51</f>
        <v>1052210.9217462642</v>
      </c>
      <c r="AP115" s="208">
        <f>'3FS'!AW51</f>
        <v>725737.80689373903</v>
      </c>
      <c r="AQ115" s="208">
        <f>'3FS'!AX51</f>
        <v>712438.04180010222</v>
      </c>
      <c r="AR115" s="208">
        <f>'3FS'!AY51</f>
        <v>872124.17304900486</v>
      </c>
      <c r="AS115" s="208">
        <f>'3FS'!AZ51</f>
        <v>1221235.9095542498</v>
      </c>
      <c r="AT115" s="208">
        <f>'3FS'!BA51</f>
        <v>928862.19926288712</v>
      </c>
      <c r="AU115" s="208">
        <f>'3FS'!BB51</f>
        <v>909270.34848185349</v>
      </c>
      <c r="AV115" s="208">
        <f>'3FS'!BC51</f>
        <v>1090602.0952893465</v>
      </c>
    </row>
    <row r="116" spans="2:49" x14ac:dyDescent="0.2">
      <c r="B116" s="1" t="s">
        <v>385</v>
      </c>
      <c r="H116" s="43" t="s">
        <v>33</v>
      </c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209">
        <f>AC32</f>
        <v>0</v>
      </c>
      <c r="AD116" s="209">
        <f t="shared" ref="AD116:AV116" si="43">AD32</f>
        <v>0</v>
      </c>
      <c r="AE116" s="209">
        <f t="shared" si="43"/>
        <v>0</v>
      </c>
      <c r="AF116" s="209">
        <f t="shared" si="43"/>
        <v>0</v>
      </c>
      <c r="AG116" s="209">
        <f t="shared" si="43"/>
        <v>0</v>
      </c>
      <c r="AH116" s="209">
        <f t="shared" si="43"/>
        <v>0</v>
      </c>
      <c r="AI116" s="209">
        <f t="shared" si="43"/>
        <v>0</v>
      </c>
      <c r="AJ116" s="209">
        <f t="shared" si="43"/>
        <v>0</v>
      </c>
      <c r="AK116" s="209">
        <f t="shared" si="43"/>
        <v>0</v>
      </c>
      <c r="AL116" s="209">
        <f t="shared" si="43"/>
        <v>0</v>
      </c>
      <c r="AM116" s="209">
        <f t="shared" si="43"/>
        <v>0</v>
      </c>
      <c r="AN116" s="209">
        <f t="shared" si="43"/>
        <v>0</v>
      </c>
      <c r="AO116" s="209">
        <f t="shared" si="43"/>
        <v>0</v>
      </c>
      <c r="AP116" s="209">
        <f t="shared" si="43"/>
        <v>0</v>
      </c>
      <c r="AQ116" s="209">
        <f t="shared" si="43"/>
        <v>0</v>
      </c>
      <c r="AR116" s="209">
        <f t="shared" si="43"/>
        <v>0</v>
      </c>
      <c r="AS116" s="209">
        <f t="shared" si="43"/>
        <v>0</v>
      </c>
      <c r="AT116" s="209">
        <f t="shared" si="43"/>
        <v>0</v>
      </c>
      <c r="AU116" s="209">
        <f t="shared" si="43"/>
        <v>0</v>
      </c>
      <c r="AV116" s="209">
        <f t="shared" si="43"/>
        <v>0</v>
      </c>
    </row>
    <row r="117" spans="2:49" x14ac:dyDescent="0.2">
      <c r="B117" s="1" t="s">
        <v>355</v>
      </c>
      <c r="H117" s="43" t="s">
        <v>33</v>
      </c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88">
        <v>0</v>
      </c>
      <c r="AD117" s="188">
        <v>0</v>
      </c>
      <c r="AE117" s="188">
        <v>0</v>
      </c>
      <c r="AF117" s="188">
        <v>0</v>
      </c>
      <c r="AG117" s="188">
        <v>0</v>
      </c>
      <c r="AH117" s="188">
        <v>0</v>
      </c>
      <c r="AI117" s="188">
        <v>0</v>
      </c>
      <c r="AJ117" s="188">
        <v>0</v>
      </c>
      <c r="AK117" s="188">
        <v>0</v>
      </c>
      <c r="AL117" s="188">
        <v>0</v>
      </c>
      <c r="AM117" s="188">
        <v>0</v>
      </c>
      <c r="AN117" s="188">
        <v>0</v>
      </c>
      <c r="AO117" s="188">
        <v>0</v>
      </c>
      <c r="AP117" s="188">
        <v>0</v>
      </c>
      <c r="AQ117" s="188">
        <v>0</v>
      </c>
      <c r="AR117" s="188">
        <v>0</v>
      </c>
      <c r="AS117" s="188">
        <v>0</v>
      </c>
      <c r="AT117" s="188">
        <v>0</v>
      </c>
      <c r="AU117" s="188">
        <v>0</v>
      </c>
      <c r="AV117" s="188">
        <v>0</v>
      </c>
    </row>
    <row r="118" spans="2:49" x14ac:dyDescent="0.2">
      <c r="B118" s="182" t="s">
        <v>386</v>
      </c>
      <c r="C118" s="121"/>
      <c r="D118" s="121"/>
      <c r="E118" s="121"/>
      <c r="F118" s="121"/>
      <c r="G118" s="121"/>
      <c r="H118" s="122" t="s">
        <v>33</v>
      </c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  <c r="AA118" s="123"/>
      <c r="AB118" s="210">
        <f>'3FS'!AI129</f>
        <v>6221228</v>
      </c>
      <c r="AC118" s="165">
        <f>SUM(AC114:AC117)</f>
        <v>7026336.9719819902</v>
      </c>
      <c r="AD118" s="165">
        <f t="shared" ref="AD118:AV118" si="44">SUM(AD114:AD117)</f>
        <v>7460478.0277563436</v>
      </c>
      <c r="AE118" s="165">
        <f t="shared" si="44"/>
        <v>7889199.2261696737</v>
      </c>
      <c r="AF118" s="165">
        <f t="shared" si="44"/>
        <v>8449209.987133313</v>
      </c>
      <c r="AG118" s="165">
        <f t="shared" si="44"/>
        <v>9300315.6079801433</v>
      </c>
      <c r="AH118" s="165">
        <f t="shared" si="44"/>
        <v>9807588.6509314664</v>
      </c>
      <c r="AI118" s="165">
        <f t="shared" si="44"/>
        <v>10314929.863884469</v>
      </c>
      <c r="AJ118" s="165">
        <f t="shared" si="44"/>
        <v>10956770.305056373</v>
      </c>
      <c r="AK118" s="165">
        <f t="shared" si="44"/>
        <v>11892404.701847848</v>
      </c>
      <c r="AL118" s="165">
        <f t="shared" si="44"/>
        <v>12483855.694751982</v>
      </c>
      <c r="AM118" s="165">
        <f t="shared" si="44"/>
        <v>13068865.692965936</v>
      </c>
      <c r="AN118" s="165">
        <f t="shared" si="44"/>
        <v>13797392.526791485</v>
      </c>
      <c r="AO118" s="165">
        <f t="shared" si="44"/>
        <v>14849603.448537748</v>
      </c>
      <c r="AP118" s="165">
        <f t="shared" si="44"/>
        <v>15575341.255431488</v>
      </c>
      <c r="AQ118" s="165">
        <f t="shared" si="44"/>
        <v>16287779.29723159</v>
      </c>
      <c r="AR118" s="165">
        <f t="shared" si="44"/>
        <v>17159903.470280595</v>
      </c>
      <c r="AS118" s="165">
        <f t="shared" si="44"/>
        <v>18381139.379834846</v>
      </c>
      <c r="AT118" s="165">
        <f t="shared" si="44"/>
        <v>19310001.579097733</v>
      </c>
      <c r="AU118" s="165">
        <f t="shared" si="44"/>
        <v>20219271.927579585</v>
      </c>
      <c r="AV118" s="183">
        <f t="shared" si="44"/>
        <v>21309874.022868931</v>
      </c>
    </row>
    <row r="120" spans="2:49" x14ac:dyDescent="0.2">
      <c r="B120" s="148" t="s">
        <v>387</v>
      </c>
      <c r="C120" s="148"/>
      <c r="D120" s="148"/>
      <c r="E120" s="148"/>
      <c r="F120" s="148"/>
      <c r="G120" s="148"/>
      <c r="H120" s="184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85"/>
      <c r="AC120" s="185"/>
      <c r="AD120" s="185"/>
      <c r="AE120" s="185"/>
      <c r="AF120" s="185"/>
      <c r="AG120" s="185"/>
      <c r="AH120" s="185"/>
      <c r="AI120" s="185"/>
      <c r="AJ120" s="185"/>
      <c r="AK120" s="185"/>
      <c r="AL120" s="185"/>
      <c r="AM120" s="185"/>
      <c r="AN120" s="185"/>
      <c r="AO120" s="185"/>
      <c r="AP120" s="185"/>
      <c r="AQ120" s="185"/>
      <c r="AR120" s="185"/>
      <c r="AS120" s="185"/>
      <c r="AT120" s="185"/>
      <c r="AU120" s="185"/>
      <c r="AV120" s="185"/>
      <c r="AW120"/>
    </row>
    <row r="121" spans="2:49" x14ac:dyDescent="0.2">
      <c r="B121" s="1" t="s">
        <v>388</v>
      </c>
      <c r="H121" s="43" t="s">
        <v>33</v>
      </c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50">
        <f>AB124</f>
        <v>8566854</v>
      </c>
      <c r="AD121" s="50">
        <f t="shared" ref="AD121:AV121" si="45">AC124</f>
        <v>8566854</v>
      </c>
      <c r="AE121" s="50">
        <f t="shared" si="45"/>
        <v>8566854</v>
      </c>
      <c r="AF121" s="50">
        <f t="shared" si="45"/>
        <v>8566854</v>
      </c>
      <c r="AG121" s="50">
        <f t="shared" si="45"/>
        <v>8566854</v>
      </c>
      <c r="AH121" s="50">
        <f t="shared" si="45"/>
        <v>8566854</v>
      </c>
      <c r="AI121" s="50">
        <f t="shared" si="45"/>
        <v>8566854</v>
      </c>
      <c r="AJ121" s="50">
        <f t="shared" si="45"/>
        <v>8566854</v>
      </c>
      <c r="AK121" s="50">
        <f t="shared" si="45"/>
        <v>8566854</v>
      </c>
      <c r="AL121" s="50">
        <f t="shared" si="45"/>
        <v>8566854</v>
      </c>
      <c r="AM121" s="50">
        <f t="shared" si="45"/>
        <v>8566854</v>
      </c>
      <c r="AN121" s="50">
        <f t="shared" si="45"/>
        <v>8566854</v>
      </c>
      <c r="AO121" s="50">
        <f t="shared" si="45"/>
        <v>8566854</v>
      </c>
      <c r="AP121" s="50">
        <f t="shared" si="45"/>
        <v>8566854</v>
      </c>
      <c r="AQ121" s="50">
        <f t="shared" si="45"/>
        <v>8566854</v>
      </c>
      <c r="AR121" s="50">
        <f t="shared" si="45"/>
        <v>8566854</v>
      </c>
      <c r="AS121" s="50">
        <f t="shared" si="45"/>
        <v>8566854</v>
      </c>
      <c r="AT121" s="50">
        <f t="shared" si="45"/>
        <v>8566854</v>
      </c>
      <c r="AU121" s="50">
        <f t="shared" si="45"/>
        <v>8566854</v>
      </c>
      <c r="AV121" s="50">
        <f t="shared" si="45"/>
        <v>8566854</v>
      </c>
    </row>
    <row r="122" spans="2:49" x14ac:dyDescent="0.2">
      <c r="B122" s="1" t="s">
        <v>389</v>
      </c>
      <c r="H122" s="43" t="s">
        <v>33</v>
      </c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73">
        <v>0</v>
      </c>
      <c r="AD122" s="167"/>
      <c r="AE122" s="167"/>
      <c r="AF122" s="167"/>
      <c r="AG122" s="167"/>
      <c r="AH122" s="167"/>
      <c r="AI122" s="167"/>
      <c r="AJ122" s="167"/>
      <c r="AK122" s="167"/>
      <c r="AL122" s="167"/>
      <c r="AM122" s="167"/>
      <c r="AN122" s="167"/>
      <c r="AO122" s="167"/>
      <c r="AP122" s="167"/>
      <c r="AQ122" s="167"/>
      <c r="AR122" s="167"/>
      <c r="AS122" s="167"/>
      <c r="AT122" s="167"/>
      <c r="AU122" s="167"/>
      <c r="AV122" s="167"/>
    </row>
    <row r="123" spans="2:49" x14ac:dyDescent="0.2">
      <c r="B123" s="1" t="s">
        <v>390</v>
      </c>
      <c r="H123" s="43" t="s">
        <v>33</v>
      </c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88">
        <v>0</v>
      </c>
      <c r="AD123" s="211"/>
      <c r="AE123" s="211"/>
      <c r="AF123" s="211"/>
      <c r="AG123" s="211"/>
      <c r="AH123" s="211"/>
      <c r="AI123" s="211"/>
      <c r="AJ123" s="211"/>
      <c r="AK123" s="211"/>
      <c r="AL123" s="211"/>
      <c r="AM123" s="211"/>
      <c r="AN123" s="211"/>
      <c r="AO123" s="211"/>
      <c r="AP123" s="211"/>
      <c r="AQ123" s="211"/>
      <c r="AR123" s="211"/>
      <c r="AS123" s="211"/>
      <c r="AT123" s="211"/>
      <c r="AU123" s="211"/>
      <c r="AV123" s="211"/>
    </row>
    <row r="124" spans="2:49" x14ac:dyDescent="0.2">
      <c r="B124" s="182" t="s">
        <v>391</v>
      </c>
      <c r="C124" s="121"/>
      <c r="D124" s="121"/>
      <c r="E124" s="121"/>
      <c r="F124" s="121"/>
      <c r="G124" s="121"/>
      <c r="H124" s="122" t="s">
        <v>33</v>
      </c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  <c r="AB124" s="210">
        <f>'3FS'!AI128</f>
        <v>8566854</v>
      </c>
      <c r="AC124" s="165">
        <f>SUM(AC121:AC123)</f>
        <v>8566854</v>
      </c>
      <c r="AD124" s="165">
        <f t="shared" ref="AD124:AV124" si="46">SUM(AD121:AD123)</f>
        <v>8566854</v>
      </c>
      <c r="AE124" s="165">
        <f t="shared" si="46"/>
        <v>8566854</v>
      </c>
      <c r="AF124" s="165">
        <f t="shared" si="46"/>
        <v>8566854</v>
      </c>
      <c r="AG124" s="165">
        <f t="shared" si="46"/>
        <v>8566854</v>
      </c>
      <c r="AH124" s="165">
        <f t="shared" si="46"/>
        <v>8566854</v>
      </c>
      <c r="AI124" s="165">
        <f t="shared" si="46"/>
        <v>8566854</v>
      </c>
      <c r="AJ124" s="165">
        <f t="shared" si="46"/>
        <v>8566854</v>
      </c>
      <c r="AK124" s="165">
        <f t="shared" si="46"/>
        <v>8566854</v>
      </c>
      <c r="AL124" s="165">
        <f t="shared" si="46"/>
        <v>8566854</v>
      </c>
      <c r="AM124" s="165">
        <f t="shared" si="46"/>
        <v>8566854</v>
      </c>
      <c r="AN124" s="165">
        <f t="shared" si="46"/>
        <v>8566854</v>
      </c>
      <c r="AO124" s="165">
        <f t="shared" si="46"/>
        <v>8566854</v>
      </c>
      <c r="AP124" s="165">
        <f t="shared" si="46"/>
        <v>8566854</v>
      </c>
      <c r="AQ124" s="165">
        <f t="shared" si="46"/>
        <v>8566854</v>
      </c>
      <c r="AR124" s="165">
        <f t="shared" si="46"/>
        <v>8566854</v>
      </c>
      <c r="AS124" s="165">
        <f t="shared" si="46"/>
        <v>8566854</v>
      </c>
      <c r="AT124" s="165">
        <f t="shared" si="46"/>
        <v>8566854</v>
      </c>
      <c r="AU124" s="165">
        <f t="shared" si="46"/>
        <v>8566854</v>
      </c>
      <c r="AV124" s="183">
        <f t="shared" si="46"/>
        <v>8566854</v>
      </c>
    </row>
  </sheetData>
  <dataValidations count="1">
    <dataValidation type="list" allowBlank="1" showInputMessage="1" showErrorMessage="1" sqref="D16:G16" xr:uid="{E1F89F43-79B3-4EA3-A552-2C2B47BB1404}">
      <formula1>"ON, OFF"</formula1>
    </dataValidation>
  </dataValidations>
  <pageMargins left="0.7" right="0.7" top="0.75" bottom="0.75" header="0.3" footer="0.3"/>
  <pageSetup scale="11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BB57D-100E-4172-9872-4298FB506F02}">
  <sheetPr>
    <tabColor theme="1"/>
  </sheetPr>
  <dimension ref="A1"/>
  <sheetViews>
    <sheetView showGridLines="0" view="pageBreakPreview" zoomScale="60" zoomScaleNormal="100" workbookViewId="0">
      <selection activeCell="J19" sqref="J19"/>
    </sheetView>
  </sheetViews>
  <sheetFormatPr baseColWidth="10" defaultColWidth="8.83203125" defaultRowHeight="15" x14ac:dyDescent="0.2"/>
  <sheetData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3DC51-737C-44E1-AAE4-FADDDB85AB61}">
  <sheetPr>
    <tabColor theme="0" tint="-0.14999847407452621"/>
  </sheetPr>
  <dimension ref="B2:O214"/>
  <sheetViews>
    <sheetView showGridLines="0" topLeftCell="A178" zoomScale="48" workbookViewId="0">
      <selection activeCell="H9" sqref="H9"/>
    </sheetView>
  </sheetViews>
  <sheetFormatPr baseColWidth="10" defaultColWidth="8.6640625" defaultRowHeight="14" outlineLevelRow="1" x14ac:dyDescent="0.15"/>
  <cols>
    <col min="1" max="1" width="8.6640625" style="1"/>
    <col min="2" max="2" width="33.1640625" style="1" bestFit="1" customWidth="1"/>
    <col min="3" max="3" width="12.1640625" style="1" bestFit="1" customWidth="1"/>
    <col min="4" max="4" width="15.1640625" style="1" bestFit="1" customWidth="1"/>
    <col min="5" max="5" width="19.6640625" style="1" bestFit="1" customWidth="1"/>
    <col min="6" max="6" width="21.1640625" style="1" bestFit="1" customWidth="1"/>
    <col min="7" max="8" width="22.5" style="1" bestFit="1" customWidth="1"/>
    <col min="9" max="10" width="22.6640625" style="1" bestFit="1" customWidth="1"/>
    <col min="11" max="11" width="8.6640625" style="1"/>
    <col min="12" max="12" width="61.33203125" style="1" bestFit="1" customWidth="1"/>
    <col min="13" max="13" width="10.6640625" style="1" bestFit="1" customWidth="1"/>
    <col min="14" max="14" width="10.33203125" style="1" bestFit="1" customWidth="1"/>
    <col min="15" max="15" width="9.5" style="1" bestFit="1" customWidth="1"/>
    <col min="16" max="16384" width="8.6640625" style="1"/>
  </cols>
  <sheetData>
    <row r="2" spans="2:10" x14ac:dyDescent="0.15">
      <c r="C2" s="1">
        <v>2</v>
      </c>
      <c r="E2" s="1">
        <f>C2+1</f>
        <v>3</v>
      </c>
      <c r="F2" s="1">
        <f>E2+1</f>
        <v>4</v>
      </c>
      <c r="G2" s="1">
        <f>F2+1</f>
        <v>5</v>
      </c>
      <c r="H2" s="1">
        <f>G2+1</f>
        <v>6</v>
      </c>
      <c r="I2" s="1">
        <f>H2+1</f>
        <v>7</v>
      </c>
      <c r="J2" s="1">
        <f>I2+1</f>
        <v>8</v>
      </c>
    </row>
    <row r="3" spans="2:10" ht="16" x14ac:dyDescent="0.2">
      <c r="B3" s="519" t="s">
        <v>392</v>
      </c>
      <c r="C3" s="520" t="s">
        <v>393</v>
      </c>
      <c r="D3" s="520" t="s">
        <v>394</v>
      </c>
      <c r="E3" s="521" t="s">
        <v>395</v>
      </c>
      <c r="F3" s="522" t="s">
        <v>396</v>
      </c>
      <c r="G3" s="522" t="s">
        <v>222</v>
      </c>
      <c r="H3" s="522" t="s">
        <v>185</v>
      </c>
      <c r="I3" s="522" t="s">
        <v>397</v>
      </c>
      <c r="J3" s="522" t="s">
        <v>398</v>
      </c>
    </row>
    <row r="4" spans="2:10" ht="16" hidden="1" outlineLevel="1" x14ac:dyDescent="0.2">
      <c r="B4" s="49" t="s">
        <v>399</v>
      </c>
      <c r="C4" s="523" t="e" cm="1">
        <f t="array" aca="1" ref="C4" ca="1">INDEX($B$63:$I$219,MATCH($B4,$B$63:$B$219,0),C$7)</f>
        <v>#N/A</v>
      </c>
      <c r="D4" s="524" t="e">
        <f ca="1">C4/$C$14</f>
        <v>#N/A</v>
      </c>
      <c r="E4" s="525" t="e" cm="1">
        <f t="array" aca="1" ref="E4" ca="1">INDEX($B$63:$I$219,MATCH($B4,$B$63:$B$219,0),E$7)</f>
        <v>#N/A</v>
      </c>
      <c r="F4" s="526" t="e" cm="1">
        <f t="array" aca="1" ref="F4" ca="1">INDEX($B$63:$I$219,MATCH($B4,$B$63:$B$219,0),F$7)</f>
        <v>#N/A</v>
      </c>
      <c r="G4" s="526" t="e" cm="1">
        <f t="array" aca="1" ref="G4" ca="1">INDEX($B$63:$I$219,MATCH($B4,$B$63:$B$219,0),G$7)</f>
        <v>#N/A</v>
      </c>
      <c r="H4" s="527" t="e" cm="1">
        <f t="array" aca="1" ref="H4" ca="1">INDEX($B$63:$I$219,MATCH($B4,$B$63:$B$219,0),H$7)</f>
        <v>#N/A</v>
      </c>
      <c r="I4" s="528" t="e" cm="1">
        <f t="array" aca="1" ref="I4" ca="1">INDEX($B$63:$I$219,MATCH($B4,$B$63:$B$219,0),I$7)</f>
        <v>#N/A</v>
      </c>
      <c r="J4" s="529" t="e" cm="1">
        <f t="array" aca="1" ref="J4" ca="1">INDEX($B$63:$I$219,MATCH($B4,$B$63:$B$219,0),J$7)</f>
        <v>#N/A</v>
      </c>
    </row>
    <row r="5" spans="2:10" ht="16" hidden="1" outlineLevel="1" x14ac:dyDescent="0.2">
      <c r="B5" s="49" t="s">
        <v>400</v>
      </c>
      <c r="C5" s="523" t="e" cm="1">
        <f t="array" aca="1" ref="C5" ca="1">INDEX($B$63:$I$219,MATCH($B5,$B$63:$B$219,0),C$7)</f>
        <v>#N/A</v>
      </c>
      <c r="D5" s="524" t="e">
        <f ca="1">C5/$C$14</f>
        <v>#N/A</v>
      </c>
      <c r="E5" s="525" t="e" cm="1">
        <f t="array" aca="1" ref="E5" ca="1">INDEX($B$63:$I$219,MATCH($B5,$B$63:$B$219,0),E$7)</f>
        <v>#N/A</v>
      </c>
      <c r="F5" s="526" t="e" cm="1">
        <f t="array" aca="1" ref="F5" ca="1">INDEX($B$63:$I$219,MATCH($B5,$B$63:$B$219,0),F$7)</f>
        <v>#N/A</v>
      </c>
      <c r="G5" s="526" t="e" cm="1">
        <f t="array" aca="1" ref="G5" ca="1">INDEX($B$63:$I$219,MATCH($B5,$B$63:$B$219,0),G$7)</f>
        <v>#N/A</v>
      </c>
      <c r="H5" s="527" t="e" cm="1">
        <f t="array" aca="1" ref="H5" ca="1">INDEX($B$63:$I$219,MATCH($B5,$B$63:$B$219,0),H$7)</f>
        <v>#N/A</v>
      </c>
      <c r="I5" s="528" t="e" cm="1">
        <f t="array" aca="1" ref="I5" ca="1">INDEX($B$63:$I$219,MATCH($B5,$B$63:$B$219,0),I$7)</f>
        <v>#N/A</v>
      </c>
      <c r="J5" s="529" t="e" cm="1">
        <f t="array" aca="1" ref="J5" ca="1">INDEX($B$63:$I$219,MATCH($B5,$B$63:$B$219,0),J$7)</f>
        <v>#N/A</v>
      </c>
    </row>
    <row r="6" spans="2:10" ht="16" hidden="1" outlineLevel="1" x14ac:dyDescent="0.2">
      <c r="B6" s="49" t="s">
        <v>401</v>
      </c>
      <c r="C6" s="523" t="e" cm="1">
        <f t="array" aca="1" ref="C6" ca="1">INDEX($B$63:$I$219,MATCH($B6,$B$63:$B$219,0),C$7)</f>
        <v>#N/A</v>
      </c>
      <c r="D6" s="524" t="e">
        <f ca="1">C6/$C$14</f>
        <v>#N/A</v>
      </c>
      <c r="E6" s="525" t="e" cm="1">
        <f t="array" aca="1" ref="E6" ca="1">INDEX($B$63:$I$219,MATCH($B6,$B$63:$B$219,0),E$7)</f>
        <v>#N/A</v>
      </c>
      <c r="F6" s="526" t="e" cm="1">
        <f t="array" aca="1" ref="F6" ca="1">INDEX($B$63:$I$219,MATCH($B6,$B$63:$B$219,0),F$7)</f>
        <v>#N/A</v>
      </c>
      <c r="G6" s="526" t="e" cm="1">
        <f t="array" aca="1" ref="G6" ca="1">INDEX($B$63:$I$219,MATCH($B6,$B$63:$B$219,0),G$7)</f>
        <v>#N/A</v>
      </c>
      <c r="H6" s="527" t="e" cm="1">
        <f t="array" aca="1" ref="H6" ca="1">INDEX($B$63:$I$219,MATCH($B6,$B$63:$B$219,0),H$7)</f>
        <v>#N/A</v>
      </c>
      <c r="I6" s="528" t="e" cm="1">
        <f t="array" aca="1" ref="I6" ca="1">INDEX($B$63:$I$219,MATCH($B6,$B$63:$B$219,0),I$7)</f>
        <v>#N/A</v>
      </c>
      <c r="J6" s="529" t="e" cm="1">
        <f t="array" aca="1" ref="J6" ca="1">INDEX($B$63:$I$219,MATCH($B6,$B$63:$B$219,0),J$7)</f>
        <v>#N/A</v>
      </c>
    </row>
    <row r="7" spans="2:10" ht="16" hidden="1" outlineLevel="1" x14ac:dyDescent="0.2">
      <c r="B7" s="49" t="s">
        <v>402</v>
      </c>
      <c r="C7" s="523" t="e" cm="1">
        <f t="array" aca="1" ref="C7" ca="1">INDEX($B$63:$I$219,MATCH($B7,$B$63:$B$219,0),C$7)</f>
        <v>#N/A</v>
      </c>
      <c r="D7" s="524" t="e">
        <f ca="1">C7/$C$14</f>
        <v>#N/A</v>
      </c>
      <c r="E7" s="525" t="e" cm="1">
        <f t="array" aca="1" ref="E7" ca="1">INDEX($B$63:$I$219,MATCH($B7,$B$63:$B$219,0),E$7)</f>
        <v>#N/A</v>
      </c>
      <c r="F7" s="526" t="e" cm="1">
        <f t="array" aca="1" ref="F7" ca="1">INDEX($B$63:$I$219,MATCH($B7,$B$63:$B$219,0),F$7)</f>
        <v>#N/A</v>
      </c>
      <c r="G7" s="526" t="e" cm="1">
        <f t="array" aca="1" ref="G7" ca="1">INDEX($B$63:$I$219,MATCH($B7,$B$63:$B$219,0),G$7)</f>
        <v>#N/A</v>
      </c>
      <c r="H7" s="527" t="e" cm="1">
        <f t="array" aca="1" ref="H7" ca="1">INDEX($B$63:$I$219,MATCH($B7,$B$63:$B$219,0),H$7)</f>
        <v>#N/A</v>
      </c>
      <c r="I7" s="528" t="e" cm="1">
        <f t="array" aca="1" ref="I7" ca="1">INDEX($B$63:$I$219,MATCH($B7,$B$63:$B$219,0),I$7)</f>
        <v>#N/A</v>
      </c>
      <c r="J7" s="529" t="e" cm="1">
        <f t="array" aca="1" ref="J7" ca="1">INDEX($B$63:$I$219,MATCH($B7,$B$63:$B$219,0),J$7)</f>
        <v>#N/A</v>
      </c>
    </row>
    <row r="8" spans="2:10" ht="16" hidden="1" outlineLevel="1" x14ac:dyDescent="0.2">
      <c r="B8" s="49" t="s">
        <v>403</v>
      </c>
      <c r="C8" s="523" t="e" cm="1">
        <f t="array" aca="1" ref="C8" ca="1">INDEX($B$63:$I$219,MATCH($B8,$B$63:$B$219,0),C$7)</f>
        <v>#N/A</v>
      </c>
      <c r="D8" s="524" t="e">
        <f ca="1">C8/$C$14</f>
        <v>#N/A</v>
      </c>
      <c r="E8" s="525" t="e" cm="1">
        <f t="array" aca="1" ref="E8" ca="1">INDEX($B$63:$I$219,MATCH($B8,$B$63:$B$219,0),E$7)</f>
        <v>#N/A</v>
      </c>
      <c r="F8" s="526" t="e" cm="1">
        <f t="array" aca="1" ref="F8" ca="1">INDEX($B$63:$I$219,MATCH($B8,$B$63:$B$219,0),F$7)</f>
        <v>#N/A</v>
      </c>
      <c r="G8" s="526" t="e" cm="1">
        <f t="array" aca="1" ref="G8" ca="1">INDEX($B$63:$I$219,MATCH($B8,$B$63:$B$219,0),G$7)</f>
        <v>#N/A</v>
      </c>
      <c r="H8" s="527" t="e" cm="1">
        <f t="array" aca="1" ref="H8" ca="1">INDEX($B$63:$I$219,MATCH($B8,$B$63:$B$219,0),H$7)</f>
        <v>#N/A</v>
      </c>
      <c r="I8" s="528" t="e" cm="1">
        <f t="array" aca="1" ref="I8" ca="1">INDEX($B$63:$I$219,MATCH($B8,$B$63:$B$219,0),I$7)</f>
        <v>#N/A</v>
      </c>
      <c r="J8" s="529" t="e" cm="1">
        <f t="array" aca="1" ref="J8" ca="1">INDEX($B$63:$I$219,MATCH($B8,$B$63:$B$219,0),J$7)</f>
        <v>#N/A</v>
      </c>
    </row>
    <row r="9" spans="2:10" collapsed="1" x14ac:dyDescent="0.15">
      <c r="B9" s="530" t="s">
        <v>392</v>
      </c>
      <c r="C9" s="531">
        <v>27534938.983230248</v>
      </c>
      <c r="D9" s="532">
        <v>1</v>
      </c>
      <c r="E9" s="533" t="s">
        <v>404</v>
      </c>
      <c r="F9" s="534">
        <v>8.3278556675771276E-3</v>
      </c>
      <c r="G9" s="534">
        <v>5.462979433993867E-2</v>
      </c>
      <c r="H9" s="534">
        <v>1.2529794339938677E-2</v>
      </c>
      <c r="I9" s="534">
        <v>0.26845142261225696</v>
      </c>
      <c r="J9" s="535"/>
    </row>
    <row r="10" spans="2:10" ht="16" hidden="1" outlineLevel="1" x14ac:dyDescent="0.2">
      <c r="B10" s="49" t="s">
        <v>405</v>
      </c>
      <c r="C10" s="536">
        <v>516034.14411595033</v>
      </c>
      <c r="D10" s="524">
        <v>2.5807470633770493E-2</v>
      </c>
      <c r="E10" s="525" t="s">
        <v>406</v>
      </c>
      <c r="F10" s="537">
        <v>2.6804347826086955E-3</v>
      </c>
      <c r="G10" s="537">
        <v>4.6132886484628086E-2</v>
      </c>
      <c r="H10" s="527">
        <v>4.0328864846280845E-3</v>
      </c>
      <c r="I10" s="528">
        <v>0.24</v>
      </c>
      <c r="J10" s="529" t="e" cm="1">
        <f t="array" aca="1" ref="J10" ca="1">INDEX($B$63:$I$219,MATCH($B10,$B$63:$B$219,0),J$7)</f>
        <v>#N/A</v>
      </c>
    </row>
    <row r="11" spans="2:10" ht="16" hidden="1" outlineLevel="1" x14ac:dyDescent="0.2">
      <c r="B11" s="49" t="s">
        <v>407</v>
      </c>
      <c r="C11" s="536">
        <v>330858.33987168607</v>
      </c>
      <c r="D11" s="524">
        <v>1.6546612249475512E-2</v>
      </c>
      <c r="E11" s="525" t="s">
        <v>408</v>
      </c>
      <c r="F11" s="537">
        <v>5.8935977012113828E-3</v>
      </c>
      <c r="G11" s="537">
        <v>5.0967296704722824E-2</v>
      </c>
      <c r="H11" s="527">
        <v>8.8672967047228254E-3</v>
      </c>
      <c r="I11" s="528">
        <v>0.21</v>
      </c>
      <c r="J11" s="529" t="e" cm="1">
        <f t="array" aca="1" ref="J11" ca="1">INDEX($B$63:$I$219,MATCH($B11,$B$63:$B$219,0),J$7)</f>
        <v>#N/A</v>
      </c>
    </row>
    <row r="12" spans="2:10" ht="16" hidden="1" outlineLevel="1" x14ac:dyDescent="0.2">
      <c r="B12" s="49" t="s">
        <v>409</v>
      </c>
      <c r="C12" s="536">
        <v>404198.75753797416</v>
      </c>
      <c r="D12" s="524">
        <v>2.0214452249547106E-2</v>
      </c>
      <c r="E12" s="525" t="s">
        <v>410</v>
      </c>
      <c r="F12" s="537">
        <v>0</v>
      </c>
      <c r="G12" s="537">
        <v>4.2099999999999999E-2</v>
      </c>
      <c r="H12" s="527">
        <v>0</v>
      </c>
      <c r="I12" s="528">
        <v>0.22</v>
      </c>
      <c r="J12" s="529" t="e" cm="1">
        <f t="array" aca="1" ref="J12" ca="1">INDEX($B$63:$I$219,MATCH($B12,$B$63:$B$219,0),J$7)</f>
        <v>#N/A</v>
      </c>
    </row>
    <row r="13" spans="2:10" ht="16" hidden="1" outlineLevel="1" x14ac:dyDescent="0.2">
      <c r="B13" s="49" t="s">
        <v>411</v>
      </c>
      <c r="C13" s="538" t="s">
        <v>404</v>
      </c>
      <c r="D13" s="538" t="s">
        <v>404</v>
      </c>
      <c r="E13" s="538" t="s">
        <v>404</v>
      </c>
      <c r="F13" s="538" t="s">
        <v>404</v>
      </c>
      <c r="G13" s="538" t="s">
        <v>404</v>
      </c>
      <c r="H13" s="538" t="s">
        <v>404</v>
      </c>
      <c r="I13" s="538" t="s">
        <v>404</v>
      </c>
      <c r="J13" s="538" t="s">
        <v>404</v>
      </c>
    </row>
    <row r="14" spans="2:10" ht="16" hidden="1" outlineLevel="1" x14ac:dyDescent="0.2">
      <c r="B14" s="49" t="s">
        <v>412</v>
      </c>
      <c r="C14" s="536">
        <v>300187.20269608375</v>
      </c>
      <c r="D14" s="524">
        <v>1.5012712834118517E-2</v>
      </c>
      <c r="E14" s="525" t="s">
        <v>406</v>
      </c>
      <c r="F14" s="537">
        <v>2.6804347826086955E-3</v>
      </c>
      <c r="G14" s="537">
        <v>4.6132886484628086E-2</v>
      </c>
      <c r="H14" s="527">
        <v>4.0328864846280845E-3</v>
      </c>
      <c r="I14" s="528">
        <v>0.2</v>
      </c>
      <c r="J14" s="529" t="e" cm="1">
        <f t="array" aca="1" ref="J14" ca="1">INDEX($B$63:$I$219,MATCH($B14,$B$63:$B$219,0),J$7)</f>
        <v>#N/A</v>
      </c>
    </row>
    <row r="15" spans="2:10" ht="16" hidden="1" outlineLevel="1" x14ac:dyDescent="0.2">
      <c r="B15" s="49" t="s">
        <v>413</v>
      </c>
      <c r="C15" s="536">
        <v>3030904.0896078963</v>
      </c>
      <c r="D15" s="524">
        <v>0.15157905572379146</v>
      </c>
      <c r="E15" s="525" t="s">
        <v>408</v>
      </c>
      <c r="F15" s="537">
        <v>5.8935977012113828E-3</v>
      </c>
      <c r="G15" s="537">
        <v>5.0967296704722824E-2</v>
      </c>
      <c r="H15" s="527">
        <v>8.8672967047228254E-3</v>
      </c>
      <c r="I15" s="528">
        <v>0.25</v>
      </c>
      <c r="J15" s="529" t="e" cm="1">
        <f t="array" aca="1" ref="J15" ca="1">INDEX($B$63:$I$219,MATCH($B15,$B$63:$B$219,0),J$7)</f>
        <v>#N/A</v>
      </c>
    </row>
    <row r="16" spans="2:10" ht="16" hidden="1" outlineLevel="1" x14ac:dyDescent="0.2">
      <c r="B16" s="49" t="s">
        <v>414</v>
      </c>
      <c r="C16" s="536">
        <v>4456081.016705961</v>
      </c>
      <c r="D16" s="524">
        <v>0.22285381944513594</v>
      </c>
      <c r="E16" s="525" t="s">
        <v>410</v>
      </c>
      <c r="F16" s="537">
        <v>0</v>
      </c>
      <c r="G16" s="537">
        <v>4.2099999999999999E-2</v>
      </c>
      <c r="H16" s="527">
        <v>0</v>
      </c>
      <c r="I16" s="528">
        <v>0.3</v>
      </c>
      <c r="J16" s="529" t="e" cm="1">
        <f t="array" aca="1" ref="J16" ca="1">INDEX($B$63:$I$219,MATCH($B16,$B$63:$B$219,0),J$7)</f>
        <v>#N/A</v>
      </c>
    </row>
    <row r="17" spans="2:10" ht="16" hidden="1" outlineLevel="1" x14ac:dyDescent="0.2">
      <c r="B17" s="49" t="s">
        <v>415</v>
      </c>
      <c r="C17" s="536">
        <v>545629.45040373516</v>
      </c>
      <c r="D17" s="524">
        <v>2.728756648910954E-2</v>
      </c>
      <c r="E17" s="525" t="s">
        <v>408</v>
      </c>
      <c r="F17" s="537">
        <v>5.8935977012113828E-3</v>
      </c>
      <c r="G17" s="537">
        <v>5.0967296704722824E-2</v>
      </c>
      <c r="H17" s="527">
        <v>8.8672967047228254E-3</v>
      </c>
      <c r="I17" s="528">
        <v>0.125</v>
      </c>
      <c r="J17" s="529" t="e" cm="1">
        <f t="array" aca="1" ref="J17" ca="1">INDEX($B$63:$I$219,MATCH($B17,$B$63:$B$219,0),J$7)</f>
        <v>#N/A</v>
      </c>
    </row>
    <row r="18" spans="2:10" ht="16" hidden="1" outlineLevel="1" x14ac:dyDescent="0.2">
      <c r="B18" s="49" t="s">
        <v>416</v>
      </c>
      <c r="C18" s="536">
        <v>2254851.2127318047</v>
      </c>
      <c r="D18" s="524">
        <v>0.11276774438208952</v>
      </c>
      <c r="E18" s="525" t="s">
        <v>417</v>
      </c>
      <c r="F18" s="537">
        <v>2.160985823777507E-2</v>
      </c>
      <c r="G18" s="537">
        <v>7.4613421250650361E-2</v>
      </c>
      <c r="H18" s="527">
        <v>3.2513421250650362E-2</v>
      </c>
      <c r="I18" s="528">
        <v>0.24</v>
      </c>
      <c r="J18" s="529" t="e" cm="1">
        <f t="array" aca="1" ref="J18" ca="1">INDEX($B$63:$I$219,MATCH($B18,$B$63:$B$219,0),J$7)</f>
        <v>#N/A</v>
      </c>
    </row>
    <row r="19" spans="2:10" ht="16" hidden="1" outlineLevel="1" x14ac:dyDescent="0.2">
      <c r="B19" s="49" t="s">
        <v>418</v>
      </c>
      <c r="C19" s="536">
        <v>1067582.9333333333</v>
      </c>
      <c r="D19" s="524">
        <v>5.3391070174852326E-2</v>
      </c>
      <c r="E19" s="525" t="s">
        <v>408</v>
      </c>
      <c r="F19" s="537">
        <v>5.8935977012113828E-3</v>
      </c>
      <c r="G19" s="537">
        <v>5.0967296704722824E-2</v>
      </c>
      <c r="H19" s="527">
        <v>8.8672967047228254E-3</v>
      </c>
      <c r="I19" s="528">
        <v>0.2</v>
      </c>
      <c r="J19" s="529" t="e" cm="1">
        <f t="array" aca="1" ref="J19" ca="1">INDEX($B$63:$I$219,MATCH($B19,$B$63:$B$219,0),J$7)</f>
        <v>#N/A</v>
      </c>
    </row>
    <row r="20" spans="2:10" ht="16" hidden="1" outlineLevel="1" x14ac:dyDescent="0.2">
      <c r="B20" s="49" t="s">
        <v>419</v>
      </c>
      <c r="C20" s="536">
        <v>77836.396962771963</v>
      </c>
      <c r="D20" s="524">
        <v>3.8926891791173446E-3</v>
      </c>
      <c r="E20" s="525" t="s">
        <v>420</v>
      </c>
      <c r="F20" s="537">
        <v>8.3203732252395985E-3</v>
      </c>
      <c r="G20" s="537">
        <v>5.4618536524314573E-2</v>
      </c>
      <c r="H20" s="527">
        <v>1.2518536524314576E-2</v>
      </c>
      <c r="I20" s="528">
        <v>0.15</v>
      </c>
      <c r="J20" s="529" t="e" cm="1">
        <f t="array" aca="1" ref="J20" ca="1">INDEX($B$63:$I$219,MATCH($B20,$B$63:$B$219,0),J$7)</f>
        <v>#N/A</v>
      </c>
    </row>
    <row r="21" spans="2:10" ht="16" hidden="1" outlineLevel="1" x14ac:dyDescent="0.2">
      <c r="B21" s="49" t="s">
        <v>421</v>
      </c>
      <c r="C21" s="536">
        <v>485513.31650363043</v>
      </c>
      <c r="D21" s="524">
        <v>2.428108837533929E-2</v>
      </c>
      <c r="E21" s="525" t="s">
        <v>410</v>
      </c>
      <c r="F21" s="537">
        <v>0</v>
      </c>
      <c r="G21" s="537">
        <v>4.2099999999999999E-2</v>
      </c>
      <c r="H21" s="527">
        <v>0</v>
      </c>
      <c r="I21" s="528">
        <v>0.22</v>
      </c>
      <c r="J21" s="529" t="e" cm="1">
        <f t="array" aca="1" ref="J21" ca="1">INDEX($B$63:$I$219,MATCH($B21,$B$63:$B$219,0),J$7)</f>
        <v>#N/A</v>
      </c>
    </row>
    <row r="22" spans="2:10" ht="16" hidden="1" outlineLevel="1" x14ac:dyDescent="0.2">
      <c r="B22" s="49" t="s">
        <v>422</v>
      </c>
      <c r="C22" s="536">
        <v>287080.01357449719</v>
      </c>
      <c r="D22" s="524">
        <v>1.4357206987841386E-2</v>
      </c>
      <c r="E22" s="525" t="s">
        <v>423</v>
      </c>
      <c r="F22" s="537">
        <v>1.1787195402422766E-2</v>
      </c>
      <c r="G22" s="537">
        <v>5.9834593409445649E-2</v>
      </c>
      <c r="H22" s="527">
        <v>1.7734593409445651E-2</v>
      </c>
      <c r="I22" s="528">
        <v>0.21</v>
      </c>
      <c r="J22" s="529" t="e" cm="1">
        <f t="array" aca="1" ref="J22" ca="1">INDEX($B$63:$I$219,MATCH($B22,$B$63:$B$219,0),J$7)</f>
        <v>#N/A</v>
      </c>
    </row>
    <row r="23" spans="2:10" ht="16" hidden="1" outlineLevel="1" x14ac:dyDescent="0.2">
      <c r="B23" s="49" t="s">
        <v>424</v>
      </c>
      <c r="C23" s="536">
        <v>132793.62228307096</v>
      </c>
      <c r="D23" s="524">
        <v>6.64116424562077E-3</v>
      </c>
      <c r="E23" s="525" t="s">
        <v>423</v>
      </c>
      <c r="F23" s="537">
        <v>1.1787195402422766E-2</v>
      </c>
      <c r="G23" s="537">
        <v>5.9834593409445649E-2</v>
      </c>
      <c r="H23" s="527">
        <v>1.7734593409445651E-2</v>
      </c>
      <c r="I23" s="528">
        <v>0.21</v>
      </c>
      <c r="J23" s="529" t="e" cm="1">
        <f t="array" aca="1" ref="J23" ca="1">INDEX($B$63:$I$219,MATCH($B23,$B$63:$B$219,0),J$7)</f>
        <v>#N/A</v>
      </c>
    </row>
    <row r="24" spans="2:10" ht="16" hidden="1" outlineLevel="1" x14ac:dyDescent="0.2">
      <c r="B24" s="49" t="s">
        <v>425</v>
      </c>
      <c r="C24" s="536">
        <v>1580694.7125157141</v>
      </c>
      <c r="D24" s="524">
        <v>7.9052389922941668E-2</v>
      </c>
      <c r="E24" s="525" t="s">
        <v>426</v>
      </c>
      <c r="F24" s="537">
        <v>1.5716260536563685E-2</v>
      </c>
      <c r="G24" s="537">
        <v>6.5746124545927528E-2</v>
      </c>
      <c r="H24" s="527">
        <v>2.3646124545927533E-2</v>
      </c>
      <c r="I24" s="528">
        <v>0.25</v>
      </c>
      <c r="J24" s="529" t="e" cm="1">
        <f t="array" aca="1" ref="J24" ca="1">INDEX($B$63:$I$219,MATCH($B24,$B$63:$B$219,0),J$7)</f>
        <v>#N/A</v>
      </c>
    </row>
    <row r="25" spans="2:10" ht="16" hidden="1" outlineLevel="1" x14ac:dyDescent="0.2">
      <c r="B25" s="49" t="s">
        <v>427</v>
      </c>
      <c r="C25" s="536">
        <v>593267.70103340817</v>
      </c>
      <c r="D25" s="524">
        <v>2.9670011077685524E-2</v>
      </c>
      <c r="E25" s="525" t="s">
        <v>410</v>
      </c>
      <c r="F25" s="537">
        <v>0</v>
      </c>
      <c r="G25" s="537">
        <v>4.2099999999999999E-2</v>
      </c>
      <c r="H25" s="527">
        <v>0</v>
      </c>
      <c r="I25" s="528">
        <v>0.20600000000000002</v>
      </c>
      <c r="J25" s="529" t="e" cm="1">
        <f t="array" aca="1" ref="J25" ca="1">INDEX($B$63:$I$219,MATCH($B25,$B$63:$B$219,0),J$7)</f>
        <v>#N/A</v>
      </c>
    </row>
    <row r="26" spans="2:10" ht="16" hidden="1" outlineLevel="1" x14ac:dyDescent="0.2">
      <c r="B26" s="49" t="s">
        <v>428</v>
      </c>
      <c r="C26" s="536">
        <v>1108022.3732595111</v>
      </c>
      <c r="D26" s="524">
        <v>5.5413493826932329E-2</v>
      </c>
      <c r="E26" s="525" t="s">
        <v>429</v>
      </c>
      <c r="F26" s="537">
        <v>4.4259763128705075E-2</v>
      </c>
      <c r="G26" s="537">
        <v>0.10869165956684003</v>
      </c>
      <c r="H26" s="527">
        <v>6.6591659566840031E-2</v>
      </c>
      <c r="I26" s="528">
        <v>0.25</v>
      </c>
      <c r="J26" s="529" t="e" cm="1">
        <f t="array" aca="1" ref="J26" ca="1">INDEX($B$63:$I$219,MATCH($B26,$B$63:$B$219,0),J$7)</f>
        <v>#N/A</v>
      </c>
    </row>
    <row r="27" spans="2:10" ht="16" hidden="1" outlineLevel="1" x14ac:dyDescent="0.2">
      <c r="B27" s="49" t="s">
        <v>430</v>
      </c>
      <c r="C27" s="536">
        <v>3340032.3806680357</v>
      </c>
      <c r="D27" s="524">
        <v>0.16703892283640182</v>
      </c>
      <c r="E27" s="525" t="s">
        <v>408</v>
      </c>
      <c r="F27" s="537">
        <v>5.8935977012113828E-3</v>
      </c>
      <c r="G27" s="537">
        <v>5.0967296704722824E-2</v>
      </c>
      <c r="H27" s="527">
        <v>8.8672967047228254E-3</v>
      </c>
      <c r="I27" s="528">
        <v>0.25</v>
      </c>
      <c r="J27" s="529" t="e" cm="1">
        <f t="array" aca="1" ref="J27" ca="1">INDEX($B$63:$I$219,MATCH($B27,$B$63:$B$219,0),J$7)</f>
        <v>#N/A</v>
      </c>
    </row>
    <row r="28" spans="2:10" collapsed="1" x14ac:dyDescent="0.15">
      <c r="B28" s="530" t="s">
        <v>431</v>
      </c>
      <c r="C28" s="531">
        <v>19995533.519689113</v>
      </c>
      <c r="D28" s="532">
        <v>1</v>
      </c>
      <c r="E28" s="533" t="s">
        <v>404</v>
      </c>
      <c r="F28" s="534">
        <v>8.9720200976558181E-3</v>
      </c>
      <c r="G28" s="534">
        <v>5.6685475658984207E-2</v>
      </c>
      <c r="H28" s="534">
        <v>1.3498981145302465E-2</v>
      </c>
      <c r="I28" s="534">
        <v>0.25484625655555954</v>
      </c>
      <c r="J28" s="535"/>
    </row>
    <row r="29" spans="2:10" ht="16" hidden="1" outlineLevel="1" x14ac:dyDescent="0.2">
      <c r="B29" s="49" t="s">
        <v>432</v>
      </c>
      <c r="C29" s="536">
        <v>3544.7077880566426</v>
      </c>
      <c r="D29" s="524">
        <v>4.5315243898965091E-4</v>
      </c>
      <c r="E29" s="525" t="s">
        <v>417</v>
      </c>
      <c r="F29" s="537">
        <v>2.160985823777507E-2</v>
      </c>
      <c r="G29" s="537">
        <v>7.4613421250650361E-2</v>
      </c>
      <c r="H29" s="527">
        <v>3.2513421250650362E-2</v>
      </c>
      <c r="I29" s="528">
        <v>0.25</v>
      </c>
      <c r="J29" s="529" t="e" cm="1">
        <f t="array" aca="1" ref="J29" ca="1">INDEX($B$63:$I$219,MATCH($B29,$B$63:$B$219,0),J$7)</f>
        <v>#N/A</v>
      </c>
    </row>
    <row r="30" spans="2:10" ht="16" hidden="1" outlineLevel="1" x14ac:dyDescent="0.2">
      <c r="B30" s="49" t="s">
        <v>433</v>
      </c>
      <c r="C30" s="536">
        <v>11210</v>
      </c>
      <c r="D30" s="524">
        <v>1.433076897957495E-3</v>
      </c>
      <c r="E30" s="525" t="s">
        <v>429</v>
      </c>
      <c r="F30" s="537">
        <v>4.4259763128705075E-2</v>
      </c>
      <c r="G30" s="537">
        <v>0.10869165956684003</v>
      </c>
      <c r="H30" s="527">
        <v>6.6591659566840031E-2</v>
      </c>
      <c r="I30" s="528">
        <v>0</v>
      </c>
      <c r="J30" s="529" t="e" cm="1">
        <f t="array" aca="1" ref="J30" ca="1">INDEX($B$63:$I$219,MATCH($B30,$B$63:$B$219,0),J$7)</f>
        <v>#N/A</v>
      </c>
    </row>
    <row r="31" spans="2:10" ht="16" hidden="1" outlineLevel="1" x14ac:dyDescent="0.2">
      <c r="B31" s="49" t="s">
        <v>434</v>
      </c>
      <c r="C31" s="536">
        <v>6393.5641896134503</v>
      </c>
      <c r="D31" s="524">
        <v>8.1734782656051454E-4</v>
      </c>
      <c r="E31" s="525" t="s">
        <v>435</v>
      </c>
      <c r="F31" s="537">
        <v>5.4082425964057379E-2</v>
      </c>
      <c r="G31" s="537">
        <v>0.12347048740804473</v>
      </c>
      <c r="H31" s="527">
        <v>8.1370487408044728E-2</v>
      </c>
      <c r="I31" s="528">
        <v>5.5E-2</v>
      </c>
      <c r="J31" s="529" t="e" cm="1">
        <f t="array" aca="1" ref="J31" ca="1">INDEX($B$63:$I$219,MATCH($B31,$B$63:$B$219,0),J$7)</f>
        <v>#N/A</v>
      </c>
    </row>
    <row r="32" spans="2:10" ht="16" hidden="1" outlineLevel="1" x14ac:dyDescent="0.2">
      <c r="B32" s="49" t="s">
        <v>436</v>
      </c>
      <c r="C32" s="536">
        <v>45849.832906413896</v>
      </c>
      <c r="D32" s="524">
        <v>5.861403774611338E-3</v>
      </c>
      <c r="E32" s="525" t="s">
        <v>437</v>
      </c>
      <c r="F32" s="537">
        <v>0.11798751476346708</v>
      </c>
      <c r="G32" s="537">
        <v>0.21961980265729422</v>
      </c>
      <c r="H32" s="527">
        <v>0.17751980265729422</v>
      </c>
      <c r="I32" s="528">
        <v>0.25</v>
      </c>
      <c r="J32" s="529" t="e" cm="1">
        <f t="array" aca="1" ref="J32" ca="1">INDEX($B$63:$I$219,MATCH($B32,$B$63:$B$219,0),J$7)</f>
        <v>#N/A</v>
      </c>
    </row>
    <row r="33" spans="2:10" ht="16" hidden="1" outlineLevel="1" x14ac:dyDescent="0.2">
      <c r="B33" s="49" t="s">
        <v>438</v>
      </c>
      <c r="C33" s="536">
        <v>2173665.6559372735</v>
      </c>
      <c r="D33" s="524">
        <v>0.27787957496943189</v>
      </c>
      <c r="E33" s="525" t="s">
        <v>439</v>
      </c>
      <c r="F33" s="537">
        <v>2.4614437458000481E-2</v>
      </c>
      <c r="G33" s="537">
        <v>7.913400388443062E-2</v>
      </c>
      <c r="H33" s="527">
        <v>3.7034003884430629E-2</v>
      </c>
      <c r="I33" s="528">
        <v>0.34</v>
      </c>
      <c r="J33" s="529" t="e" cm="1">
        <f t="array" aca="1" ref="J33" ca="1">INDEX($B$63:$I$219,MATCH($B33,$B$63:$B$219,0),J$7)</f>
        <v>#N/A</v>
      </c>
    </row>
    <row r="34" spans="2:10" ht="16" hidden="1" outlineLevel="1" x14ac:dyDescent="0.2">
      <c r="B34" s="49" t="s">
        <v>440</v>
      </c>
      <c r="C34" s="536">
        <v>2140085.5677914512</v>
      </c>
      <c r="D34" s="524">
        <v>0.27358672496469022</v>
      </c>
      <c r="E34" s="525" t="s">
        <v>410</v>
      </c>
      <c r="F34" s="537">
        <v>0</v>
      </c>
      <c r="G34" s="537">
        <v>4.2099999999999999E-2</v>
      </c>
      <c r="H34" s="527">
        <v>0</v>
      </c>
      <c r="I34" s="528">
        <v>0.26500000000000001</v>
      </c>
      <c r="J34" s="529" t="e" cm="1">
        <f t="array" aca="1" ref="J34" ca="1">INDEX($B$63:$I$219,MATCH($B34,$B$63:$B$219,0),J$7)</f>
        <v>#N/A</v>
      </c>
    </row>
    <row r="35" spans="2:10" ht="16" hidden="1" outlineLevel="1" x14ac:dyDescent="0.2">
      <c r="B35" s="49" t="s">
        <v>441</v>
      </c>
      <c r="C35" s="536">
        <v>335533.33166921913</v>
      </c>
      <c r="D35" s="524">
        <v>4.2894296709176438E-2</v>
      </c>
      <c r="E35" s="525" t="s">
        <v>420</v>
      </c>
      <c r="F35" s="537">
        <v>8.3203732252395985E-3</v>
      </c>
      <c r="G35" s="537">
        <v>5.4618536524314573E-2</v>
      </c>
      <c r="H35" s="527">
        <v>1.2518536524314576E-2</v>
      </c>
      <c r="I35" s="528">
        <v>0.27</v>
      </c>
      <c r="J35" s="529" t="e" cm="1">
        <f t="array" aca="1" ref="J35" ca="1">INDEX($B$63:$I$219,MATCH($B35,$B$63:$B$219,0),J$7)</f>
        <v>#N/A</v>
      </c>
    </row>
    <row r="36" spans="2:10" ht="16" hidden="1" outlineLevel="1" x14ac:dyDescent="0.2">
      <c r="B36" s="49" t="s">
        <v>442</v>
      </c>
      <c r="C36" s="536">
        <v>363540.15623486834</v>
      </c>
      <c r="D36" s="524">
        <v>4.6474665421948988E-2</v>
      </c>
      <c r="E36" s="525" t="s">
        <v>417</v>
      </c>
      <c r="F36" s="537">
        <v>2.160985823777507E-2</v>
      </c>
      <c r="G36" s="537">
        <v>7.4613421250650361E-2</v>
      </c>
      <c r="H36" s="527">
        <v>3.2513421250650362E-2</v>
      </c>
      <c r="I36" s="528">
        <v>0.35</v>
      </c>
      <c r="J36" s="529" t="e" cm="1">
        <f t="array" aca="1" ref="J36" ca="1">INDEX($B$63:$I$219,MATCH($B36,$B$63:$B$219,0),J$7)</f>
        <v>#N/A</v>
      </c>
    </row>
    <row r="37" spans="2:10" ht="16" hidden="1" outlineLevel="1" x14ac:dyDescent="0.2">
      <c r="B37" s="49" t="s">
        <v>443</v>
      </c>
      <c r="C37" s="536">
        <v>86497.941439017435</v>
      </c>
      <c r="D37" s="524">
        <v>1.1057823514463529E-2</v>
      </c>
      <c r="E37" s="525" t="s">
        <v>444</v>
      </c>
      <c r="F37" s="537">
        <v>3.5361586207268286E-2</v>
      </c>
      <c r="G37" s="537">
        <v>9.5303780228336937E-2</v>
      </c>
      <c r="H37" s="527">
        <v>5.3203780228336939E-2</v>
      </c>
      <c r="I37" s="528">
        <v>0.3</v>
      </c>
      <c r="J37" s="529" t="e" cm="1">
        <f t="array" aca="1" ref="J37" ca="1">INDEX($B$63:$I$219,MATCH($B37,$B$63:$B$219,0),J$7)</f>
        <v>#N/A</v>
      </c>
    </row>
    <row r="38" spans="2:10" ht="16" hidden="1" outlineLevel="1" x14ac:dyDescent="0.2">
      <c r="B38" s="49" t="s">
        <v>445</v>
      </c>
      <c r="C38" s="536">
        <v>121444.27931393079</v>
      </c>
      <c r="D38" s="524">
        <v>1.5525333726484524E-2</v>
      </c>
      <c r="E38" s="525" t="s">
        <v>444</v>
      </c>
      <c r="F38" s="537">
        <v>3.5361586207268286E-2</v>
      </c>
      <c r="G38" s="537">
        <v>9.5303780228336937E-2</v>
      </c>
      <c r="H38" s="527">
        <v>5.3203780228336939E-2</v>
      </c>
      <c r="I38" s="528">
        <v>0.27</v>
      </c>
      <c r="J38" s="529" t="e" cm="1">
        <f t="array" aca="1" ref="J38" ca="1">INDEX($B$63:$I$219,MATCH($B38,$B$63:$B$219,0),J$7)</f>
        <v>#N/A</v>
      </c>
    </row>
    <row r="39" spans="2:10" ht="16" hidden="1" outlineLevel="1" x14ac:dyDescent="0.2">
      <c r="B39" s="49" t="s">
        <v>446</v>
      </c>
      <c r="C39" s="536">
        <v>118844.826</v>
      </c>
      <c r="D39" s="524">
        <v>1.5193021818231778E-2</v>
      </c>
      <c r="E39" s="525" t="s">
        <v>447</v>
      </c>
      <c r="F39" s="537">
        <v>9.8342189092762475E-2</v>
      </c>
      <c r="G39" s="537">
        <v>0.1900621469748848</v>
      </c>
      <c r="H39" s="527">
        <v>0.1479621469748848</v>
      </c>
      <c r="I39" s="528">
        <v>0.25</v>
      </c>
      <c r="J39" s="529" t="e" cm="1">
        <f t="array" aca="1" ref="J39" ca="1">INDEX($B$63:$I$219,MATCH($B39,$B$63:$B$219,0),J$7)</f>
        <v>#N/A</v>
      </c>
    </row>
    <row r="40" spans="2:10" ht="16" hidden="1" outlineLevel="1" x14ac:dyDescent="0.2">
      <c r="B40" s="49" t="s">
        <v>448</v>
      </c>
      <c r="C40" s="536">
        <v>34015.620000000003</v>
      </c>
      <c r="D40" s="524">
        <v>4.3485280278056137E-3</v>
      </c>
      <c r="E40" s="525" t="s">
        <v>449</v>
      </c>
      <c r="F40" s="537">
        <v>6.3905088799409676E-2</v>
      </c>
      <c r="G40" s="537">
        <v>0.13824931524924944</v>
      </c>
      <c r="H40" s="527">
        <v>9.614931524924944E-2</v>
      </c>
      <c r="I40" s="528">
        <v>0.3</v>
      </c>
      <c r="J40" s="529" t="e" cm="1">
        <f t="array" aca="1" ref="J40" ca="1">INDEX($B$63:$I$219,MATCH($B40,$B$63:$B$219,0),J$7)</f>
        <v>#N/A</v>
      </c>
    </row>
    <row r="41" spans="2:10" ht="16" hidden="1" outlineLevel="1" x14ac:dyDescent="0.2">
      <c r="B41" s="49" t="s">
        <v>450</v>
      </c>
      <c r="C41" s="538" t="s">
        <v>404</v>
      </c>
      <c r="D41" s="538" t="s">
        <v>404</v>
      </c>
      <c r="E41" s="538" t="s">
        <v>404</v>
      </c>
      <c r="F41" s="538" t="s">
        <v>404</v>
      </c>
      <c r="G41" s="538" t="s">
        <v>404</v>
      </c>
      <c r="H41" s="538" t="s">
        <v>404</v>
      </c>
      <c r="I41" s="538" t="s">
        <v>404</v>
      </c>
      <c r="J41" s="538" t="s">
        <v>404</v>
      </c>
    </row>
    <row r="42" spans="2:10" ht="16" hidden="1" outlineLevel="1" x14ac:dyDescent="0.2">
      <c r="B42" s="49" t="s">
        <v>451</v>
      </c>
      <c r="C42" s="536">
        <v>102050.47386363636</v>
      </c>
      <c r="D42" s="524">
        <v>1.3046046076680856E-2</v>
      </c>
      <c r="E42" s="525" t="s">
        <v>439</v>
      </c>
      <c r="F42" s="537">
        <v>2.4614437458000481E-2</v>
      </c>
      <c r="G42" s="537">
        <v>7.913400388443062E-2</v>
      </c>
      <c r="H42" s="527">
        <v>3.7034003884430629E-2</v>
      </c>
      <c r="I42" s="528">
        <v>0.25</v>
      </c>
      <c r="J42" s="529" t="e" cm="1">
        <f t="array" aca="1" ref="J42" ca="1">INDEX($B$63:$I$219,MATCH($B42,$B$63:$B$219,0),J$7)</f>
        <v>#N/A</v>
      </c>
    </row>
    <row r="43" spans="2:10" ht="16" hidden="1" outlineLevel="1" x14ac:dyDescent="0.2">
      <c r="B43" s="49" t="s">
        <v>452</v>
      </c>
      <c r="C43" s="536">
        <v>34400.509852043651</v>
      </c>
      <c r="D43" s="524">
        <v>4.3977320202429043E-3</v>
      </c>
      <c r="E43" s="525" t="s">
        <v>429</v>
      </c>
      <c r="F43" s="537">
        <v>4.4259763128705075E-2</v>
      </c>
      <c r="G43" s="537">
        <v>0.10869165956684003</v>
      </c>
      <c r="H43" s="527">
        <v>6.6591659566840031E-2</v>
      </c>
      <c r="I43" s="528">
        <v>0.25</v>
      </c>
      <c r="J43" s="529" t="e" cm="1">
        <f t="array" aca="1" ref="J43" ca="1">INDEX($B$63:$I$219,MATCH($B43,$B$63:$B$219,0),J$7)</f>
        <v>#N/A</v>
      </c>
    </row>
    <row r="44" spans="2:10" ht="16" hidden="1" outlineLevel="1" x14ac:dyDescent="0.2">
      <c r="B44" s="49" t="s">
        <v>453</v>
      </c>
      <c r="C44" s="536">
        <v>1788886.8210468132</v>
      </c>
      <c r="D44" s="524">
        <v>0.228689774870902</v>
      </c>
      <c r="E44" s="525" t="s">
        <v>454</v>
      </c>
      <c r="F44" s="537">
        <v>1.87208397567891E-2</v>
      </c>
      <c r="G44" s="537">
        <v>7.0266707179707802E-2</v>
      </c>
      <c r="H44" s="527">
        <v>2.8166707179707803E-2</v>
      </c>
      <c r="I44" s="528">
        <v>0.3</v>
      </c>
      <c r="J44" s="529" t="e" cm="1">
        <f t="array" aca="1" ref="J44" ca="1">INDEX($B$63:$I$219,MATCH($B44,$B$63:$B$219,0),J$7)</f>
        <v>#N/A</v>
      </c>
    </row>
    <row r="45" spans="2:10" ht="16" hidden="1" outlineLevel="1" x14ac:dyDescent="0.2">
      <c r="B45" s="49" t="s">
        <v>455</v>
      </c>
      <c r="C45" s="536">
        <v>83382.399999999994</v>
      </c>
      <c r="D45" s="524">
        <v>1.0659535337756558E-2</v>
      </c>
      <c r="E45" s="525" t="s">
        <v>417</v>
      </c>
      <c r="F45" s="537">
        <v>2.160985823777507E-2</v>
      </c>
      <c r="G45" s="537">
        <v>7.4613421250650361E-2</v>
      </c>
      <c r="H45" s="527">
        <v>3.2513421250650362E-2</v>
      </c>
      <c r="I45" s="528">
        <v>0.25</v>
      </c>
      <c r="J45" s="529" t="e" cm="1">
        <f t="array" aca="1" ref="J45" ca="1">INDEX($B$63:$I$219,MATCH($B45,$B$63:$B$219,0),J$7)</f>
        <v>#N/A</v>
      </c>
    </row>
    <row r="46" spans="2:10" ht="16" hidden="1" outlineLevel="1" x14ac:dyDescent="0.2">
      <c r="B46" s="49" t="s">
        <v>456</v>
      </c>
      <c r="C46" s="536">
        <v>267603.24865525268</v>
      </c>
      <c r="D46" s="524">
        <v>3.4210172476915046E-2</v>
      </c>
      <c r="E46" s="525" t="s">
        <v>426</v>
      </c>
      <c r="F46" s="537">
        <v>1.5716260536563685E-2</v>
      </c>
      <c r="G46" s="537">
        <v>6.5746124545927528E-2</v>
      </c>
      <c r="H46" s="527">
        <v>2.3646124545927533E-2</v>
      </c>
      <c r="I46" s="528">
        <v>0.29499999999999998</v>
      </c>
      <c r="J46" s="529" t="e" cm="1">
        <f t="array" aca="1" ref="J46" ca="1">INDEX($B$63:$I$219,MATCH($B46,$B$63:$B$219,0),J$7)</f>
        <v>#N/A</v>
      </c>
    </row>
    <row r="47" spans="2:10" ht="16" hidden="1" outlineLevel="1" x14ac:dyDescent="0.2">
      <c r="B47" s="49" t="s">
        <v>457</v>
      </c>
      <c r="C47" s="538" t="s">
        <v>404</v>
      </c>
      <c r="D47" s="538" t="s">
        <v>404</v>
      </c>
      <c r="E47" s="538" t="s">
        <v>404</v>
      </c>
      <c r="F47" s="538" t="s">
        <v>404</v>
      </c>
      <c r="G47" s="538" t="s">
        <v>404</v>
      </c>
      <c r="H47" s="538" t="s">
        <v>404</v>
      </c>
      <c r="I47" s="538" t="s">
        <v>404</v>
      </c>
      <c r="J47" s="538" t="s">
        <v>404</v>
      </c>
    </row>
    <row r="48" spans="2:10" ht="16" hidden="1" outlineLevel="1" x14ac:dyDescent="0.2">
      <c r="B48" s="49" t="s">
        <v>458</v>
      </c>
      <c r="C48" s="538" t="s">
        <v>404</v>
      </c>
      <c r="D48" s="538" t="s">
        <v>404</v>
      </c>
      <c r="E48" s="538" t="s">
        <v>404</v>
      </c>
      <c r="F48" s="538" t="s">
        <v>404</v>
      </c>
      <c r="G48" s="538" t="s">
        <v>404</v>
      </c>
      <c r="H48" s="538" t="s">
        <v>404</v>
      </c>
      <c r="I48" s="538" t="s">
        <v>404</v>
      </c>
      <c r="J48" s="538" t="s">
        <v>404</v>
      </c>
    </row>
    <row r="49" spans="2:15" ht="16" hidden="1" outlineLevel="1" x14ac:dyDescent="0.2">
      <c r="B49" s="49" t="s">
        <v>459</v>
      </c>
      <c r="C49" s="536">
        <v>28139.944790291105</v>
      </c>
      <c r="D49" s="524">
        <v>3.5973866894527698E-3</v>
      </c>
      <c r="E49" s="525" t="s">
        <v>460</v>
      </c>
      <c r="F49" s="537">
        <v>2.9583549245296346E-2</v>
      </c>
      <c r="G49" s="537">
        <v>8.6610352086451819E-2</v>
      </c>
      <c r="H49" s="527">
        <v>4.4510352086451821E-2</v>
      </c>
      <c r="I49" s="528">
        <v>0.3</v>
      </c>
      <c r="J49" s="529" t="e" cm="1">
        <f t="array" aca="1" ref="J49" ca="1">INDEX($B$63:$I$219,MATCH($B49,$B$63:$B$219,0),J$7)</f>
        <v>#N/A</v>
      </c>
    </row>
    <row r="50" spans="2:15" ht="16" hidden="1" outlineLevel="1" x14ac:dyDescent="0.2">
      <c r="B50" s="49" t="s">
        <v>461</v>
      </c>
      <c r="C50" s="536">
        <v>77240.831587166962</v>
      </c>
      <c r="D50" s="524">
        <v>9.874402437697995E-3</v>
      </c>
      <c r="E50" s="525" t="s">
        <v>426</v>
      </c>
      <c r="F50" s="537">
        <v>1.5716260536563685E-2</v>
      </c>
      <c r="G50" s="537">
        <v>6.5746124545927528E-2</v>
      </c>
      <c r="H50" s="527">
        <v>2.3646124545927533E-2</v>
      </c>
      <c r="I50" s="528">
        <v>0.25</v>
      </c>
      <c r="J50" s="529" t="e" cm="1">
        <f t="array" aca="1" ref="J50" ca="1">INDEX($B$63:$I$219,MATCH($B50,$B$63:$B$219,0),J$7)</f>
        <v>#N/A</v>
      </c>
    </row>
    <row r="51" spans="2:15" collapsed="1" x14ac:dyDescent="0.15">
      <c r="B51" s="530" t="s">
        <v>462</v>
      </c>
      <c r="C51" s="531">
        <v>7822329.7130650477</v>
      </c>
      <c r="D51" s="532">
        <v>1.0000000000000002</v>
      </c>
      <c r="E51" s="533" t="s">
        <v>404</v>
      </c>
      <c r="F51" s="534">
        <v>1.7548731901610878E-2</v>
      </c>
      <c r="G51" s="534">
        <v>6.8503195544078979E-2</v>
      </c>
      <c r="H51" s="534">
        <v>2.6403195544078974E-2</v>
      </c>
      <c r="I51" s="534">
        <v>0.298335303138551</v>
      </c>
      <c r="J51" s="535"/>
    </row>
    <row r="53" spans="2:15" x14ac:dyDescent="0.15">
      <c r="B53" s="158"/>
    </row>
    <row r="57" spans="2:15" s="52" customFormat="1" ht="16" x14ac:dyDescent="0.2">
      <c r="B57" s="539" t="s">
        <v>197</v>
      </c>
      <c r="C57" s="540" t="s">
        <v>393</v>
      </c>
      <c r="D57" s="541" t="s">
        <v>395</v>
      </c>
      <c r="E57" s="542" t="s">
        <v>396</v>
      </c>
      <c r="F57" s="542" t="s">
        <v>222</v>
      </c>
      <c r="G57" s="543" t="s">
        <v>185</v>
      </c>
      <c r="H57" s="543" t="s">
        <v>397</v>
      </c>
      <c r="I57" s="542" t="s">
        <v>398</v>
      </c>
      <c r="L57" s="544" t="s">
        <v>463</v>
      </c>
      <c r="M57" s="544"/>
      <c r="N57" s="544"/>
      <c r="O57" s="544"/>
    </row>
    <row r="58" spans="2:15" ht="16" x14ac:dyDescent="0.2">
      <c r="B58" s="545" t="s">
        <v>402</v>
      </c>
      <c r="C58" s="546">
        <v>4212945.1597814029</v>
      </c>
      <c r="D58" s="547" t="s">
        <v>464</v>
      </c>
      <c r="E58" s="548">
        <v>6.9336443543663332E-3</v>
      </c>
      <c r="F58" s="548">
        <v>5.2532113770262151E-2</v>
      </c>
      <c r="G58" s="549">
        <v>1.0432113770262149E-2</v>
      </c>
      <c r="H58" s="550">
        <v>0.30620000000000003</v>
      </c>
      <c r="I58" s="551" t="s">
        <v>465</v>
      </c>
      <c r="L58" s="552" t="s">
        <v>466</v>
      </c>
      <c r="M58" s="552" t="s">
        <v>467</v>
      </c>
      <c r="N58" s="552" t="s">
        <v>468</v>
      </c>
      <c r="O58" s="552" t="s">
        <v>469</v>
      </c>
    </row>
    <row r="59" spans="2:15" ht="16" x14ac:dyDescent="0.2">
      <c r="B59" s="545" t="s">
        <v>470</v>
      </c>
      <c r="C59" s="546">
        <v>27360935</v>
      </c>
      <c r="D59" s="547" t="s">
        <v>406</v>
      </c>
      <c r="E59" s="548">
        <v>2.6804347826086955E-3</v>
      </c>
      <c r="F59" s="548">
        <v>4.6132886484628086E-2</v>
      </c>
      <c r="G59" s="549">
        <v>4.0328864846280845E-3</v>
      </c>
      <c r="H59" s="550">
        <v>0.25</v>
      </c>
      <c r="I59" s="551" t="s">
        <v>471</v>
      </c>
      <c r="L59" s="553">
        <v>-100000</v>
      </c>
      <c r="M59" s="553">
        <v>0.19999900000000001</v>
      </c>
      <c r="N59" s="553" t="s">
        <v>472</v>
      </c>
      <c r="O59" s="554">
        <v>0.19</v>
      </c>
    </row>
    <row r="60" spans="2:15" ht="16" x14ac:dyDescent="0.2">
      <c r="B60" s="555" t="s">
        <v>473</v>
      </c>
      <c r="C60" s="556">
        <v>310000</v>
      </c>
      <c r="D60" s="557" t="s">
        <v>474</v>
      </c>
      <c r="E60" s="558">
        <v>4.8535510480564323E-3</v>
      </c>
      <c r="F60" s="558">
        <v>4.9402479639183504E-2</v>
      </c>
      <c r="G60" s="559">
        <v>7.3024796391835027E-3</v>
      </c>
      <c r="H60" s="560">
        <v>0.15</v>
      </c>
      <c r="I60" s="561" t="s">
        <v>475</v>
      </c>
      <c r="L60" s="553">
        <v>0.2</v>
      </c>
      <c r="M60" s="553">
        <v>0.64999899999999999</v>
      </c>
      <c r="N60" s="553" t="s">
        <v>476</v>
      </c>
      <c r="O60" s="554">
        <v>0.155</v>
      </c>
    </row>
    <row r="61" spans="2:15" ht="16" x14ac:dyDescent="0.2">
      <c r="B61" s="555" t="s">
        <v>477</v>
      </c>
      <c r="C61" s="556">
        <v>22977.677860797856</v>
      </c>
      <c r="D61" s="557" t="s">
        <v>444</v>
      </c>
      <c r="E61" s="558">
        <v>3.5361586207268286E-2</v>
      </c>
      <c r="F61" s="558">
        <v>9.5303780228336937E-2</v>
      </c>
      <c r="G61" s="559">
        <v>5.3203780228336939E-2</v>
      </c>
      <c r="H61" s="560">
        <v>0.15</v>
      </c>
      <c r="I61" s="561" t="s">
        <v>478</v>
      </c>
      <c r="L61" s="553">
        <v>0.65</v>
      </c>
      <c r="M61" s="553">
        <v>0.79999900000000002</v>
      </c>
      <c r="N61" s="553" t="s">
        <v>479</v>
      </c>
      <c r="O61" s="554">
        <v>0.10100000000000001</v>
      </c>
    </row>
    <row r="62" spans="2:15" ht="16" x14ac:dyDescent="0.2">
      <c r="B62" s="555" t="s">
        <v>480</v>
      </c>
      <c r="C62" s="556">
        <v>3352</v>
      </c>
      <c r="D62" s="557" t="s">
        <v>426</v>
      </c>
      <c r="E62" s="558">
        <v>1.5716260536563685E-2</v>
      </c>
      <c r="F62" s="558">
        <v>6.5746124545927528E-2</v>
      </c>
      <c r="G62" s="559">
        <v>2.3646124545927533E-2</v>
      </c>
      <c r="H62" s="560">
        <v>0.1898</v>
      </c>
      <c r="I62" s="561" t="s">
        <v>481</v>
      </c>
      <c r="L62" s="553">
        <v>0.8</v>
      </c>
      <c r="M62" s="553">
        <v>1.2499990000000001</v>
      </c>
      <c r="N62" s="553" t="s">
        <v>482</v>
      </c>
      <c r="O62" s="554">
        <v>7.2800000000000004E-2</v>
      </c>
    </row>
    <row r="63" spans="2:15" ht="16" x14ac:dyDescent="0.2">
      <c r="B63" s="555" t="s">
        <v>483</v>
      </c>
      <c r="C63" s="556">
        <v>84722.957642375652</v>
      </c>
      <c r="D63" s="557" t="s">
        <v>449</v>
      </c>
      <c r="E63" s="558">
        <v>6.3905088799409676E-2</v>
      </c>
      <c r="F63" s="558">
        <v>0.13824931524924944</v>
      </c>
      <c r="G63" s="559">
        <v>9.614931524924944E-2</v>
      </c>
      <c r="H63" s="560">
        <v>0.25</v>
      </c>
      <c r="I63" s="561" t="s">
        <v>484</v>
      </c>
      <c r="L63" s="553">
        <v>1.25</v>
      </c>
      <c r="M63" s="553">
        <v>1.4999990000000001</v>
      </c>
      <c r="N63" s="553" t="s">
        <v>485</v>
      </c>
      <c r="O63" s="554">
        <v>4.4200000000000003E-2</v>
      </c>
    </row>
    <row r="64" spans="2:15" ht="16" x14ac:dyDescent="0.2">
      <c r="B64" s="555" t="s">
        <v>486</v>
      </c>
      <c r="C64" s="556">
        <v>640591.41066388343</v>
      </c>
      <c r="D64" s="557" t="s">
        <v>447</v>
      </c>
      <c r="E64" s="558">
        <v>9.8342189092762475E-2</v>
      </c>
      <c r="F64" s="558">
        <v>0.1900621469748848</v>
      </c>
      <c r="G64" s="559">
        <v>0.1479621469748848</v>
      </c>
      <c r="H64" s="560">
        <v>0.35</v>
      </c>
      <c r="I64" s="561" t="s">
        <v>487</v>
      </c>
      <c r="L64" s="553">
        <v>1.5</v>
      </c>
      <c r="M64" s="553">
        <v>1.7499990000000001</v>
      </c>
      <c r="N64" s="553" t="s">
        <v>488</v>
      </c>
      <c r="O64" s="554">
        <v>0.03</v>
      </c>
    </row>
    <row r="65" spans="2:15" ht="16" x14ac:dyDescent="0.2">
      <c r="B65" s="555" t="s">
        <v>489</v>
      </c>
      <c r="C65" s="556">
        <v>24212.134631064004</v>
      </c>
      <c r="D65" s="557" t="s">
        <v>444</v>
      </c>
      <c r="E65" s="558">
        <v>3.5361586207268286E-2</v>
      </c>
      <c r="F65" s="558">
        <v>9.5303780228336937E-2</v>
      </c>
      <c r="G65" s="559">
        <v>5.3203780228336939E-2</v>
      </c>
      <c r="H65" s="560">
        <v>0.18</v>
      </c>
      <c r="I65" s="561" t="s">
        <v>478</v>
      </c>
      <c r="L65" s="553">
        <v>1.75</v>
      </c>
      <c r="M65" s="553">
        <v>1.9999990000000001</v>
      </c>
      <c r="N65" s="553" t="s">
        <v>490</v>
      </c>
      <c r="O65" s="554">
        <v>2.6100000000000002E-2</v>
      </c>
    </row>
    <row r="66" spans="2:15" ht="16" x14ac:dyDescent="0.2">
      <c r="B66" s="555" t="s">
        <v>432</v>
      </c>
      <c r="C66" s="556">
        <v>3544.7077880566426</v>
      </c>
      <c r="D66" s="557" t="s">
        <v>417</v>
      </c>
      <c r="E66" s="558">
        <v>2.160985823777507E-2</v>
      </c>
      <c r="F66" s="558">
        <v>7.4613421250650361E-2</v>
      </c>
      <c r="G66" s="559">
        <v>3.2513421250650362E-2</v>
      </c>
      <c r="H66" s="560">
        <v>0.25</v>
      </c>
      <c r="I66" s="561" t="s">
        <v>491</v>
      </c>
      <c r="L66" s="553">
        <v>2</v>
      </c>
      <c r="M66" s="553">
        <v>2.2499999000000002</v>
      </c>
      <c r="N66" s="553" t="s">
        <v>492</v>
      </c>
      <c r="O66" s="554">
        <v>1.83E-2</v>
      </c>
    </row>
    <row r="67" spans="2:15" ht="16" x14ac:dyDescent="0.2">
      <c r="B67" s="555" t="s">
        <v>399</v>
      </c>
      <c r="C67" s="556">
        <v>1723827.2153347062</v>
      </c>
      <c r="D67" s="557" t="s">
        <v>410</v>
      </c>
      <c r="E67" s="558">
        <v>0</v>
      </c>
      <c r="F67" s="558">
        <v>4.2099999999999999E-2</v>
      </c>
      <c r="G67" s="559">
        <v>0</v>
      </c>
      <c r="H67" s="560">
        <v>0.3</v>
      </c>
      <c r="I67" s="561" t="s">
        <v>493</v>
      </c>
      <c r="L67" s="553">
        <v>2.25</v>
      </c>
      <c r="M67" s="553">
        <v>2.4999899999999999</v>
      </c>
      <c r="N67" s="553" t="s">
        <v>494</v>
      </c>
      <c r="O67" s="554">
        <v>1.55E-2</v>
      </c>
    </row>
    <row r="68" spans="2:15" ht="16" x14ac:dyDescent="0.2">
      <c r="B68" s="555" t="s">
        <v>405</v>
      </c>
      <c r="C68" s="556">
        <v>516034.14411595033</v>
      </c>
      <c r="D68" s="557" t="s">
        <v>406</v>
      </c>
      <c r="E68" s="558">
        <v>2.6804347826086955E-3</v>
      </c>
      <c r="F68" s="558">
        <v>4.6132886484628086E-2</v>
      </c>
      <c r="G68" s="559">
        <v>4.0328864846280845E-3</v>
      </c>
      <c r="H68" s="560">
        <v>0.24</v>
      </c>
      <c r="I68" s="561" t="s">
        <v>481</v>
      </c>
      <c r="L68" s="553">
        <v>2.5</v>
      </c>
      <c r="M68" s="553">
        <v>2.9999989999999999</v>
      </c>
      <c r="N68" s="553" t="s">
        <v>495</v>
      </c>
      <c r="O68" s="554">
        <v>1.2E-2</v>
      </c>
    </row>
    <row r="69" spans="2:15" ht="16" x14ac:dyDescent="0.2">
      <c r="B69" s="555" t="s">
        <v>496</v>
      </c>
      <c r="C69" s="556">
        <v>72356.176470588238</v>
      </c>
      <c r="D69" s="557" t="s">
        <v>417</v>
      </c>
      <c r="E69" s="558">
        <v>2.160985823777507E-2</v>
      </c>
      <c r="F69" s="558">
        <v>7.4613421250650361E-2</v>
      </c>
      <c r="G69" s="559">
        <v>3.2513421250650362E-2</v>
      </c>
      <c r="H69" s="560">
        <v>0.2</v>
      </c>
      <c r="I69" s="561" t="s">
        <v>478</v>
      </c>
      <c r="L69" s="553">
        <v>3</v>
      </c>
      <c r="M69" s="553">
        <v>4.2499989999999999</v>
      </c>
      <c r="N69" s="553" t="s">
        <v>497</v>
      </c>
      <c r="O69" s="554">
        <v>9.4999999999999998E-3</v>
      </c>
    </row>
    <row r="70" spans="2:15" ht="16" x14ac:dyDescent="0.2">
      <c r="B70" s="555" t="s">
        <v>433</v>
      </c>
      <c r="C70" s="556">
        <v>11210</v>
      </c>
      <c r="D70" s="557" t="s">
        <v>429</v>
      </c>
      <c r="E70" s="558">
        <v>4.4259763128705075E-2</v>
      </c>
      <c r="F70" s="558">
        <v>0.10869165956684003</v>
      </c>
      <c r="G70" s="559">
        <v>6.6591659566840031E-2</v>
      </c>
      <c r="H70" s="560">
        <v>0</v>
      </c>
      <c r="I70" s="561" t="s">
        <v>491</v>
      </c>
      <c r="L70" s="553">
        <v>4.25</v>
      </c>
      <c r="M70" s="553">
        <v>5.4999989999999999</v>
      </c>
      <c r="N70" s="553" t="s">
        <v>498</v>
      </c>
      <c r="O70" s="554">
        <v>8.5000000000000006E-3</v>
      </c>
    </row>
    <row r="71" spans="2:15" ht="16" x14ac:dyDescent="0.2">
      <c r="B71" s="555" t="s">
        <v>499</v>
      </c>
      <c r="C71" s="556">
        <v>43205</v>
      </c>
      <c r="D71" s="557" t="s">
        <v>435</v>
      </c>
      <c r="E71" s="558">
        <v>5.4082425964057379E-2</v>
      </c>
      <c r="F71" s="558">
        <v>0.12347048740804473</v>
      </c>
      <c r="G71" s="559">
        <v>8.1370487408044728E-2</v>
      </c>
      <c r="H71" s="560">
        <v>0</v>
      </c>
      <c r="I71" s="561" t="s">
        <v>475</v>
      </c>
      <c r="L71" s="553">
        <v>5.5</v>
      </c>
      <c r="M71" s="553">
        <v>6.4999989999999999</v>
      </c>
      <c r="N71" s="553" t="s">
        <v>500</v>
      </c>
      <c r="O71" s="554">
        <v>7.7000000000000002E-3</v>
      </c>
    </row>
    <row r="72" spans="2:15" ht="16" x14ac:dyDescent="0.2">
      <c r="B72" s="555" t="s">
        <v>501</v>
      </c>
      <c r="C72" s="556">
        <v>437415.33104099432</v>
      </c>
      <c r="D72" s="557" t="s">
        <v>435</v>
      </c>
      <c r="E72" s="558">
        <v>5.4082425964057379E-2</v>
      </c>
      <c r="F72" s="558">
        <v>0.12347048740804473</v>
      </c>
      <c r="G72" s="559">
        <v>8.1370487408044728E-2</v>
      </c>
      <c r="H72" s="560">
        <v>0.3</v>
      </c>
      <c r="I72" s="561" t="s">
        <v>465</v>
      </c>
      <c r="L72" s="553">
        <v>6.5</v>
      </c>
      <c r="M72" s="553">
        <v>8.4999990000000007</v>
      </c>
      <c r="N72" s="553" t="s">
        <v>502</v>
      </c>
      <c r="O72" s="554">
        <v>6.0000000000000001E-3</v>
      </c>
    </row>
    <row r="73" spans="2:15" ht="16" x14ac:dyDescent="0.2">
      <c r="B73" s="555" t="s">
        <v>434</v>
      </c>
      <c r="C73" s="556">
        <v>6393.5641896134503</v>
      </c>
      <c r="D73" s="557" t="s">
        <v>435</v>
      </c>
      <c r="E73" s="558">
        <v>5.4082425964057379E-2</v>
      </c>
      <c r="F73" s="558">
        <v>0.12347048740804473</v>
      </c>
      <c r="G73" s="559">
        <v>8.1370487408044728E-2</v>
      </c>
      <c r="H73" s="560">
        <v>5.5E-2</v>
      </c>
      <c r="I73" s="561" t="s">
        <v>491</v>
      </c>
      <c r="L73" s="553">
        <v>8.5</v>
      </c>
      <c r="M73" s="553">
        <v>100000</v>
      </c>
      <c r="N73" s="553" t="s">
        <v>503</v>
      </c>
      <c r="O73" s="554">
        <v>4.4999999999999997E-3</v>
      </c>
    </row>
    <row r="74" spans="2:15" ht="16" x14ac:dyDescent="0.2">
      <c r="B74" s="555" t="s">
        <v>504</v>
      </c>
      <c r="C74" s="556">
        <v>71857.382745606592</v>
      </c>
      <c r="D74" s="557" t="s">
        <v>505</v>
      </c>
      <c r="E74" s="558">
        <v>0.17499999999999999</v>
      </c>
      <c r="F74" s="558">
        <v>0.30539875264603467</v>
      </c>
      <c r="G74" s="559">
        <v>0.26329875264603469</v>
      </c>
      <c r="H74" s="560">
        <v>0.18</v>
      </c>
      <c r="I74" s="561" t="s">
        <v>478</v>
      </c>
    </row>
    <row r="75" spans="2:15" ht="16" x14ac:dyDescent="0.2">
      <c r="B75" s="555" t="s">
        <v>506</v>
      </c>
      <c r="C75" s="556">
        <v>632216.57707510924</v>
      </c>
      <c r="D75" s="557" t="s">
        <v>408</v>
      </c>
      <c r="E75" s="558">
        <v>5.8935977012113828E-3</v>
      </c>
      <c r="F75" s="558">
        <v>5.0967296704722824E-2</v>
      </c>
      <c r="G75" s="559">
        <v>8.8672967047228254E-3</v>
      </c>
      <c r="H75" s="560">
        <v>0.25</v>
      </c>
      <c r="I75" s="561" t="s">
        <v>481</v>
      </c>
    </row>
    <row r="76" spans="2:15" ht="16" x14ac:dyDescent="0.2">
      <c r="B76" s="555" t="s">
        <v>507</v>
      </c>
      <c r="C76" s="556">
        <v>3281.5</v>
      </c>
      <c r="D76" s="557" t="s">
        <v>508</v>
      </c>
      <c r="E76" s="558">
        <v>7.3727751634761987E-2</v>
      </c>
      <c r="F76" s="558">
        <v>0.15302814309045415</v>
      </c>
      <c r="G76" s="559">
        <v>0.11092814309045415</v>
      </c>
      <c r="H76" s="560">
        <v>0.2853</v>
      </c>
      <c r="I76" s="561" t="s">
        <v>487</v>
      </c>
    </row>
    <row r="77" spans="2:15" ht="16" x14ac:dyDescent="0.2">
      <c r="B77" s="555" t="s">
        <v>509</v>
      </c>
      <c r="C77" s="556">
        <v>19673.284686002258</v>
      </c>
      <c r="D77" s="557" t="s">
        <v>429</v>
      </c>
      <c r="E77" s="558">
        <v>4.4259763128705075E-2</v>
      </c>
      <c r="F77" s="558">
        <v>0.10869165956684003</v>
      </c>
      <c r="G77" s="559">
        <v>6.6591659566840031E-2</v>
      </c>
      <c r="H77" s="560">
        <v>0.3</v>
      </c>
      <c r="I77" s="561" t="s">
        <v>484</v>
      </c>
    </row>
    <row r="78" spans="2:15" ht="16" x14ac:dyDescent="0.2">
      <c r="B78" s="555" t="s">
        <v>510</v>
      </c>
      <c r="C78" s="556">
        <v>7827.98</v>
      </c>
      <c r="D78" s="557" t="s">
        <v>420</v>
      </c>
      <c r="E78" s="558">
        <v>8.3203732252395985E-3</v>
      </c>
      <c r="F78" s="558">
        <v>5.4618536524314573E-2</v>
      </c>
      <c r="G78" s="559">
        <v>1.2518536524314576E-2</v>
      </c>
      <c r="H78" s="560">
        <v>0</v>
      </c>
      <c r="I78" s="561" t="s">
        <v>491</v>
      </c>
    </row>
    <row r="79" spans="2:15" ht="16" x14ac:dyDescent="0.2">
      <c r="B79" s="555" t="s">
        <v>436</v>
      </c>
      <c r="C79" s="556">
        <v>45849.832906413896</v>
      </c>
      <c r="D79" s="557" t="s">
        <v>437</v>
      </c>
      <c r="E79" s="558">
        <v>0.11798751476346708</v>
      </c>
      <c r="F79" s="558">
        <v>0.21961980265729422</v>
      </c>
      <c r="G79" s="559">
        <v>0.17751980265729422</v>
      </c>
      <c r="H79" s="560">
        <v>0.25</v>
      </c>
      <c r="I79" s="561" t="s">
        <v>487</v>
      </c>
    </row>
    <row r="80" spans="2:15" ht="16" x14ac:dyDescent="0.2">
      <c r="B80" s="555" t="s">
        <v>511</v>
      </c>
      <c r="C80" s="556">
        <v>27054.889362885206</v>
      </c>
      <c r="D80" s="557" t="s">
        <v>449</v>
      </c>
      <c r="E80" s="558">
        <v>6.3905088799409676E-2</v>
      </c>
      <c r="F80" s="558">
        <v>0.13824931524924944</v>
      </c>
      <c r="G80" s="559">
        <v>9.614931524924944E-2</v>
      </c>
      <c r="H80" s="560">
        <v>0.1</v>
      </c>
      <c r="I80" s="561" t="s">
        <v>478</v>
      </c>
    </row>
    <row r="81" spans="2:9" ht="16" x14ac:dyDescent="0.2">
      <c r="B81" s="555" t="s">
        <v>512</v>
      </c>
      <c r="C81" s="556">
        <v>19395.765126312748</v>
      </c>
      <c r="D81" s="557" t="s">
        <v>423</v>
      </c>
      <c r="E81" s="558">
        <v>1.1787195402422766E-2</v>
      </c>
      <c r="F81" s="558">
        <v>5.9834593409445649E-2</v>
      </c>
      <c r="G81" s="559">
        <v>1.7734593409445651E-2</v>
      </c>
      <c r="H81" s="560">
        <v>0.22</v>
      </c>
      <c r="I81" s="561" t="s">
        <v>484</v>
      </c>
    </row>
    <row r="82" spans="2:9" ht="16" x14ac:dyDescent="0.2">
      <c r="B82" s="555" t="s">
        <v>438</v>
      </c>
      <c r="C82" s="556">
        <v>2173665.6559372735</v>
      </c>
      <c r="D82" s="557" t="s">
        <v>439</v>
      </c>
      <c r="E82" s="558">
        <v>2.4614437458000481E-2</v>
      </c>
      <c r="F82" s="558">
        <v>7.913400388443062E-2</v>
      </c>
      <c r="G82" s="559">
        <v>3.7034003884430629E-2</v>
      </c>
      <c r="H82" s="560">
        <v>0.34</v>
      </c>
      <c r="I82" s="561" t="s">
        <v>487</v>
      </c>
    </row>
    <row r="83" spans="2:9" ht="16" x14ac:dyDescent="0.2">
      <c r="B83" s="555" t="s">
        <v>513</v>
      </c>
      <c r="C83" s="556">
        <v>101584.38467278588</v>
      </c>
      <c r="D83" s="557" t="s">
        <v>426</v>
      </c>
      <c r="E83" s="558">
        <v>1.5716260536563685E-2</v>
      </c>
      <c r="F83" s="558">
        <v>6.5746124545927528E-2</v>
      </c>
      <c r="G83" s="559">
        <v>2.3646124545927533E-2</v>
      </c>
      <c r="H83" s="560">
        <v>0.1</v>
      </c>
      <c r="I83" s="561" t="s">
        <v>478</v>
      </c>
    </row>
    <row r="84" spans="2:9" ht="16" x14ac:dyDescent="0.2">
      <c r="B84" s="555" t="s">
        <v>514</v>
      </c>
      <c r="C84" s="556">
        <v>20324.617838967646</v>
      </c>
      <c r="D84" s="557" t="s">
        <v>508</v>
      </c>
      <c r="E84" s="558">
        <v>7.3727751634761987E-2</v>
      </c>
      <c r="F84" s="558">
        <v>0.15302814309045415</v>
      </c>
      <c r="G84" s="559">
        <v>0.11092814309045415</v>
      </c>
      <c r="H84" s="560">
        <v>0.28000000000000003</v>
      </c>
      <c r="I84" s="561" t="s">
        <v>484</v>
      </c>
    </row>
    <row r="85" spans="2:9" ht="16" x14ac:dyDescent="0.2">
      <c r="B85" s="555" t="s">
        <v>515</v>
      </c>
      <c r="C85" s="556">
        <v>31772.759998857127</v>
      </c>
      <c r="D85" s="557" t="s">
        <v>435</v>
      </c>
      <c r="E85" s="558">
        <v>5.4082425964057379E-2</v>
      </c>
      <c r="F85" s="558">
        <v>0.12347048740804473</v>
      </c>
      <c r="G85" s="559">
        <v>8.1370487408044728E-2</v>
      </c>
      <c r="H85" s="560">
        <v>0.2</v>
      </c>
      <c r="I85" s="561" t="s">
        <v>465</v>
      </c>
    </row>
    <row r="86" spans="2:9" ht="16" x14ac:dyDescent="0.2">
      <c r="B86" s="555" t="s">
        <v>516</v>
      </c>
      <c r="C86" s="556">
        <v>47945.510090052856</v>
      </c>
      <c r="D86" s="557" t="s">
        <v>508</v>
      </c>
      <c r="E86" s="558">
        <v>7.3727751634761987E-2</v>
      </c>
      <c r="F86" s="558">
        <v>0.15302814309045415</v>
      </c>
      <c r="G86" s="559">
        <v>0.11092814309045415</v>
      </c>
      <c r="H86" s="560">
        <v>0.33</v>
      </c>
      <c r="I86" s="561" t="s">
        <v>484</v>
      </c>
    </row>
    <row r="87" spans="2:9" ht="16" x14ac:dyDescent="0.2">
      <c r="B87" s="555" t="s">
        <v>440</v>
      </c>
      <c r="C87" s="556">
        <v>2140085.5677914512</v>
      </c>
      <c r="D87" s="557" t="s">
        <v>410</v>
      </c>
      <c r="E87" s="558">
        <v>0</v>
      </c>
      <c r="F87" s="558">
        <v>4.2099999999999999E-2</v>
      </c>
      <c r="G87" s="559">
        <v>0</v>
      </c>
      <c r="H87" s="560">
        <v>0.26500000000000001</v>
      </c>
      <c r="I87" s="561" t="s">
        <v>471</v>
      </c>
    </row>
    <row r="88" spans="2:9" ht="16" x14ac:dyDescent="0.2">
      <c r="B88" s="555" t="s">
        <v>517</v>
      </c>
      <c r="C88" s="556">
        <v>1936</v>
      </c>
      <c r="D88" s="557" t="s">
        <v>435</v>
      </c>
      <c r="E88" s="558">
        <v>5.4082425964057379E-2</v>
      </c>
      <c r="F88" s="558">
        <v>0.12347048740804473</v>
      </c>
      <c r="G88" s="559">
        <v>8.1370487408044728E-2</v>
      </c>
      <c r="H88" s="560">
        <v>0</v>
      </c>
      <c r="I88" s="561" t="s">
        <v>484</v>
      </c>
    </row>
    <row r="89" spans="2:9" ht="16" x14ac:dyDescent="0.2">
      <c r="B89" s="555" t="s">
        <v>518</v>
      </c>
      <c r="C89" s="556">
        <v>6600.8440015372053</v>
      </c>
      <c r="D89" s="557" t="s">
        <v>408</v>
      </c>
      <c r="E89" s="558">
        <v>5.8935977012113828E-3</v>
      </c>
      <c r="F89" s="558">
        <v>5.0967296704722824E-2</v>
      </c>
      <c r="G89" s="559">
        <v>8.8672967047228254E-3</v>
      </c>
      <c r="H89" s="560">
        <v>0</v>
      </c>
      <c r="I89" s="561" t="s">
        <v>491</v>
      </c>
    </row>
    <row r="90" spans="2:9" ht="16" x14ac:dyDescent="0.2">
      <c r="B90" s="555" t="s">
        <v>441</v>
      </c>
      <c r="C90" s="556">
        <v>335533.33166921913</v>
      </c>
      <c r="D90" s="557" t="s">
        <v>420</v>
      </c>
      <c r="E90" s="558">
        <v>8.3203732252395985E-3</v>
      </c>
      <c r="F90" s="558">
        <v>5.4618536524314573E-2</v>
      </c>
      <c r="G90" s="559">
        <v>1.2518536524314576E-2</v>
      </c>
      <c r="H90" s="560">
        <v>0.27</v>
      </c>
      <c r="I90" s="561" t="s">
        <v>487</v>
      </c>
    </row>
    <row r="91" spans="2:9" ht="16" x14ac:dyDescent="0.2">
      <c r="B91" s="555" t="s">
        <v>400</v>
      </c>
      <c r="C91" s="556">
        <v>17794781.986104459</v>
      </c>
      <c r="D91" s="557" t="s">
        <v>464</v>
      </c>
      <c r="E91" s="558">
        <v>6.9336443543663332E-3</v>
      </c>
      <c r="F91" s="558">
        <v>5.2532113770262151E-2</v>
      </c>
      <c r="G91" s="559">
        <v>1.0432113770262149E-2</v>
      </c>
      <c r="H91" s="560">
        <v>0.25</v>
      </c>
      <c r="I91" s="561" t="s">
        <v>465</v>
      </c>
    </row>
    <row r="92" spans="2:9" ht="16" x14ac:dyDescent="0.2">
      <c r="B92" s="555" t="s">
        <v>442</v>
      </c>
      <c r="C92" s="556">
        <v>363540.15623486834</v>
      </c>
      <c r="D92" s="557" t="s">
        <v>417</v>
      </c>
      <c r="E92" s="558">
        <v>2.160985823777507E-2</v>
      </c>
      <c r="F92" s="558">
        <v>7.4613421250650361E-2</v>
      </c>
      <c r="G92" s="559">
        <v>3.2513421250650362E-2</v>
      </c>
      <c r="H92" s="560">
        <v>0.35</v>
      </c>
      <c r="I92" s="561" t="s">
        <v>487</v>
      </c>
    </row>
    <row r="93" spans="2:9" ht="16" x14ac:dyDescent="0.2">
      <c r="B93" s="555" t="s">
        <v>519</v>
      </c>
      <c r="C93" s="556">
        <v>66383.287002996891</v>
      </c>
      <c r="D93" s="557" t="s">
        <v>449</v>
      </c>
      <c r="E93" s="558">
        <v>6.3905088799409676E-2</v>
      </c>
      <c r="F93" s="558">
        <v>0.13824931524924944</v>
      </c>
      <c r="G93" s="559">
        <v>9.614931524924944E-2</v>
      </c>
      <c r="H93" s="560">
        <v>0.3</v>
      </c>
      <c r="I93" s="561" t="s">
        <v>484</v>
      </c>
    </row>
    <row r="94" spans="2:9" ht="16" x14ac:dyDescent="0.2">
      <c r="B94" s="555" t="s">
        <v>520</v>
      </c>
      <c r="C94" s="556">
        <v>15321.055818326313</v>
      </c>
      <c r="D94" s="557" t="s">
        <v>521</v>
      </c>
      <c r="E94" s="558">
        <v>8.851952625741015E-2</v>
      </c>
      <c r="F94" s="558">
        <v>0.17528331913368006</v>
      </c>
      <c r="G94" s="559">
        <v>0.13318331913368006</v>
      </c>
      <c r="H94" s="560">
        <v>0.28000000000000003</v>
      </c>
      <c r="I94" s="561" t="s">
        <v>484</v>
      </c>
    </row>
    <row r="95" spans="2:9" ht="16" x14ac:dyDescent="0.2">
      <c r="B95" s="555" t="s">
        <v>522</v>
      </c>
      <c r="C95" s="556">
        <v>1414</v>
      </c>
      <c r="D95" s="557" t="s">
        <v>429</v>
      </c>
      <c r="E95" s="558">
        <v>4.4259763128705075E-2</v>
      </c>
      <c r="F95" s="558">
        <v>0.10869165956684003</v>
      </c>
      <c r="G95" s="559">
        <v>6.6591659566840031E-2</v>
      </c>
      <c r="H95" s="560">
        <v>0.2974</v>
      </c>
      <c r="I95" s="561" t="s">
        <v>493</v>
      </c>
    </row>
    <row r="96" spans="2:9" ht="16" x14ac:dyDescent="0.2">
      <c r="B96" s="555" t="s">
        <v>443</v>
      </c>
      <c r="C96" s="556">
        <v>86497.941439017435</v>
      </c>
      <c r="D96" s="557" t="s">
        <v>444</v>
      </c>
      <c r="E96" s="558">
        <v>3.5361586207268286E-2</v>
      </c>
      <c r="F96" s="558">
        <v>9.5303780228336937E-2</v>
      </c>
      <c r="G96" s="559">
        <v>5.3203780228336939E-2</v>
      </c>
      <c r="H96" s="560">
        <v>0.3</v>
      </c>
      <c r="I96" s="561" t="s">
        <v>487</v>
      </c>
    </row>
    <row r="97" spans="2:9" ht="16" x14ac:dyDescent="0.2">
      <c r="B97" s="555" t="s">
        <v>523</v>
      </c>
      <c r="C97" s="556">
        <v>78788.828906863448</v>
      </c>
      <c r="D97" s="557" t="s">
        <v>460</v>
      </c>
      <c r="E97" s="558">
        <v>2.9583549245296346E-2</v>
      </c>
      <c r="F97" s="558">
        <v>8.6610352086451819E-2</v>
      </c>
      <c r="G97" s="559">
        <v>4.4510352086451821E-2</v>
      </c>
      <c r="H97" s="560">
        <v>0.25</v>
      </c>
      <c r="I97" s="561" t="s">
        <v>484</v>
      </c>
    </row>
    <row r="98" spans="2:9" ht="16" x14ac:dyDescent="0.2">
      <c r="B98" s="555" t="s">
        <v>524</v>
      </c>
      <c r="C98" s="556">
        <v>82688.842717392588</v>
      </c>
      <c r="D98" s="557" t="s">
        <v>423</v>
      </c>
      <c r="E98" s="558">
        <v>1.1787195402422766E-2</v>
      </c>
      <c r="F98" s="558">
        <v>5.9834593409445649E-2</v>
      </c>
      <c r="G98" s="559">
        <v>1.7734593409445651E-2</v>
      </c>
      <c r="H98" s="560">
        <v>0.18</v>
      </c>
      <c r="I98" s="561" t="s">
        <v>478</v>
      </c>
    </row>
    <row r="99" spans="2:9" ht="16" x14ac:dyDescent="0.2">
      <c r="B99" s="555" t="s">
        <v>525</v>
      </c>
      <c r="C99" s="556">
        <v>107351</v>
      </c>
      <c r="D99" s="557" t="s">
        <v>437</v>
      </c>
      <c r="E99" s="558">
        <v>0.11798751476346708</v>
      </c>
      <c r="F99" s="558">
        <v>0.21961980265729422</v>
      </c>
      <c r="G99" s="559">
        <v>0.17751980265729422</v>
      </c>
      <c r="H99" s="560">
        <v>0.2853</v>
      </c>
      <c r="I99" s="561" t="s">
        <v>491</v>
      </c>
    </row>
    <row r="100" spans="2:9" ht="16" x14ac:dyDescent="0.2">
      <c r="B100" s="555" t="s">
        <v>526</v>
      </c>
      <c r="C100" s="556">
        <v>3073.8403254328496</v>
      </c>
      <c r="D100" s="557" t="s">
        <v>417</v>
      </c>
      <c r="E100" s="558">
        <v>2.160985823777507E-2</v>
      </c>
      <c r="F100" s="558">
        <v>7.4613421250650361E-2</v>
      </c>
      <c r="G100" s="559">
        <v>3.2513421250650362E-2</v>
      </c>
      <c r="H100" s="560">
        <v>0.22</v>
      </c>
      <c r="I100" s="561" t="s">
        <v>491</v>
      </c>
    </row>
    <row r="101" spans="2:9" ht="16" x14ac:dyDescent="0.2">
      <c r="B101" s="555" t="s">
        <v>527</v>
      </c>
      <c r="C101" s="556">
        <v>32229.622669195112</v>
      </c>
      <c r="D101" s="557" t="s">
        <v>423</v>
      </c>
      <c r="E101" s="558">
        <v>1.1787195402422766E-2</v>
      </c>
      <c r="F101" s="558">
        <v>5.9834593409445649E-2</v>
      </c>
      <c r="G101" s="559">
        <v>1.7734593409445651E-2</v>
      </c>
      <c r="H101" s="560">
        <v>0.125</v>
      </c>
      <c r="I101" s="561" t="s">
        <v>481</v>
      </c>
    </row>
    <row r="102" spans="2:9" ht="16" x14ac:dyDescent="0.2">
      <c r="B102" s="555" t="s">
        <v>407</v>
      </c>
      <c r="C102" s="556">
        <v>330858.33987168607</v>
      </c>
      <c r="D102" s="557" t="s">
        <v>408</v>
      </c>
      <c r="E102" s="558">
        <v>5.8935977012113828E-3</v>
      </c>
      <c r="F102" s="558">
        <v>5.0967296704722824E-2</v>
      </c>
      <c r="G102" s="559">
        <v>8.8672967047228254E-3</v>
      </c>
      <c r="H102" s="560">
        <v>0.21</v>
      </c>
      <c r="I102" s="561" t="s">
        <v>478</v>
      </c>
    </row>
    <row r="103" spans="2:9" ht="16" x14ac:dyDescent="0.2">
      <c r="B103" s="555" t="s">
        <v>409</v>
      </c>
      <c r="C103" s="556">
        <v>404198.75753797416</v>
      </c>
      <c r="D103" s="557" t="s">
        <v>410</v>
      </c>
      <c r="E103" s="558">
        <v>0</v>
      </c>
      <c r="F103" s="558">
        <v>4.2099999999999999E-2</v>
      </c>
      <c r="G103" s="559">
        <v>0</v>
      </c>
      <c r="H103" s="560">
        <v>0.22</v>
      </c>
      <c r="I103" s="561" t="s">
        <v>481</v>
      </c>
    </row>
    <row r="104" spans="2:9" ht="16" x14ac:dyDescent="0.2">
      <c r="B104" s="555" t="s">
        <v>445</v>
      </c>
      <c r="C104" s="556">
        <v>121444.27931393079</v>
      </c>
      <c r="D104" s="557" t="s">
        <v>444</v>
      </c>
      <c r="E104" s="558">
        <v>3.5361586207268286E-2</v>
      </c>
      <c r="F104" s="558">
        <v>9.5303780228336937E-2</v>
      </c>
      <c r="G104" s="559">
        <v>5.3203780228336939E-2</v>
      </c>
      <c r="H104" s="560">
        <v>0.27</v>
      </c>
      <c r="I104" s="561" t="s">
        <v>491</v>
      </c>
    </row>
    <row r="105" spans="2:9" ht="16" x14ac:dyDescent="0.2">
      <c r="B105" s="555" t="s">
        <v>446</v>
      </c>
      <c r="C105" s="556">
        <v>118844.826</v>
      </c>
      <c r="D105" s="557" t="s">
        <v>447</v>
      </c>
      <c r="E105" s="558">
        <v>9.8342189092762475E-2</v>
      </c>
      <c r="F105" s="558">
        <v>0.1900621469748848</v>
      </c>
      <c r="G105" s="559">
        <v>0.1479621469748848</v>
      </c>
      <c r="H105" s="560">
        <v>0.25</v>
      </c>
      <c r="I105" s="561" t="s">
        <v>487</v>
      </c>
    </row>
    <row r="106" spans="2:9" ht="16" x14ac:dyDescent="0.2">
      <c r="B106" s="555" t="s">
        <v>528</v>
      </c>
      <c r="C106" s="556">
        <v>395926.07516300579</v>
      </c>
      <c r="D106" s="557" t="s">
        <v>508</v>
      </c>
      <c r="E106" s="558">
        <v>7.3727751634761987E-2</v>
      </c>
      <c r="F106" s="558">
        <v>0.15302814309045415</v>
      </c>
      <c r="G106" s="559">
        <v>0.11092814309045415</v>
      </c>
      <c r="H106" s="560">
        <v>0.22500000000000001</v>
      </c>
      <c r="I106" s="561" t="s">
        <v>484</v>
      </c>
    </row>
    <row r="107" spans="2:9" ht="16" x14ac:dyDescent="0.2">
      <c r="B107" s="555" t="s">
        <v>448</v>
      </c>
      <c r="C107" s="556">
        <v>34015.620000000003</v>
      </c>
      <c r="D107" s="557" t="s">
        <v>449</v>
      </c>
      <c r="E107" s="558">
        <v>6.3905088799409676E-2</v>
      </c>
      <c r="F107" s="558">
        <v>0.13824931524924944</v>
      </c>
      <c r="G107" s="559">
        <v>9.614931524924944E-2</v>
      </c>
      <c r="H107" s="560">
        <v>0.3</v>
      </c>
      <c r="I107" s="561" t="s">
        <v>487</v>
      </c>
    </row>
    <row r="108" spans="2:9" ht="16" x14ac:dyDescent="0.2">
      <c r="B108" s="555" t="s">
        <v>529</v>
      </c>
      <c r="C108" s="556">
        <v>40744.848827953661</v>
      </c>
      <c r="D108" s="557" t="s">
        <v>464</v>
      </c>
      <c r="E108" s="558">
        <v>6.9336443543663332E-3</v>
      </c>
      <c r="F108" s="558">
        <v>5.2532113770262151E-2</v>
      </c>
      <c r="G108" s="559">
        <v>1.0432113770262149E-2</v>
      </c>
      <c r="H108" s="560">
        <v>0.2</v>
      </c>
      <c r="I108" s="561" t="s">
        <v>478</v>
      </c>
    </row>
    <row r="109" spans="2:9" ht="16" x14ac:dyDescent="0.2">
      <c r="B109" s="555" t="s">
        <v>530</v>
      </c>
      <c r="C109" s="556">
        <v>163697.92759398237</v>
      </c>
      <c r="D109" s="557" t="s">
        <v>521</v>
      </c>
      <c r="E109" s="558">
        <v>8.851952625741015E-2</v>
      </c>
      <c r="F109" s="558">
        <v>0.17528331913368006</v>
      </c>
      <c r="G109" s="559">
        <v>0.13318331913368006</v>
      </c>
      <c r="H109" s="560">
        <v>0.3</v>
      </c>
      <c r="I109" s="561" t="s">
        <v>484</v>
      </c>
    </row>
    <row r="110" spans="2:9" ht="16" x14ac:dyDescent="0.2">
      <c r="B110" s="555" t="s">
        <v>531</v>
      </c>
      <c r="C110" s="556">
        <v>5494.7975407336471</v>
      </c>
      <c r="D110" s="557" t="s">
        <v>429</v>
      </c>
      <c r="E110" s="558">
        <v>4.4259763128705075E-2</v>
      </c>
      <c r="F110" s="558">
        <v>0.10869165956684003</v>
      </c>
      <c r="G110" s="559">
        <v>6.6591659566840031E-2</v>
      </c>
      <c r="H110" s="560">
        <v>0.2</v>
      </c>
      <c r="I110" s="561" t="s">
        <v>465</v>
      </c>
    </row>
    <row r="111" spans="2:9" ht="16" x14ac:dyDescent="0.2">
      <c r="B111" s="555" t="s">
        <v>412</v>
      </c>
      <c r="C111" s="556">
        <v>300187.20269608375</v>
      </c>
      <c r="D111" s="557" t="s">
        <v>406</v>
      </c>
      <c r="E111" s="558">
        <v>2.6804347826086955E-3</v>
      </c>
      <c r="F111" s="558">
        <v>4.6132886484628086E-2</v>
      </c>
      <c r="G111" s="559">
        <v>4.0328864846280845E-3</v>
      </c>
      <c r="H111" s="560">
        <v>0.2</v>
      </c>
      <c r="I111" s="561" t="s">
        <v>481</v>
      </c>
    </row>
    <row r="112" spans="2:9" ht="16" x14ac:dyDescent="0.2">
      <c r="B112" s="555" t="s">
        <v>413</v>
      </c>
      <c r="C112" s="556">
        <v>3030904.0896078963</v>
      </c>
      <c r="D112" s="557" t="s">
        <v>408</v>
      </c>
      <c r="E112" s="558">
        <v>5.8935977012113828E-3</v>
      </c>
      <c r="F112" s="558">
        <v>5.0967296704722824E-2</v>
      </c>
      <c r="G112" s="559">
        <v>8.8672967047228254E-3</v>
      </c>
      <c r="H112" s="560">
        <v>0.25</v>
      </c>
      <c r="I112" s="561" t="s">
        <v>481</v>
      </c>
    </row>
    <row r="113" spans="2:9" ht="16" x14ac:dyDescent="0.2">
      <c r="B113" s="555" t="s">
        <v>532</v>
      </c>
      <c r="C113" s="556">
        <v>20516.134388660783</v>
      </c>
      <c r="D113" s="557" t="s">
        <v>521</v>
      </c>
      <c r="E113" s="558">
        <v>8.851952625741015E-2</v>
      </c>
      <c r="F113" s="558">
        <v>0.17528331913368006</v>
      </c>
      <c r="G113" s="559">
        <v>0.13318331913368006</v>
      </c>
      <c r="H113" s="560">
        <v>0.3</v>
      </c>
      <c r="I113" s="561" t="s">
        <v>484</v>
      </c>
    </row>
    <row r="114" spans="2:9" ht="16" x14ac:dyDescent="0.2">
      <c r="B114" s="555" t="s">
        <v>533</v>
      </c>
      <c r="C114" s="556">
        <v>30535.530479022662</v>
      </c>
      <c r="D114" s="557" t="s">
        <v>460</v>
      </c>
      <c r="E114" s="558">
        <v>2.9583549245296346E-2</v>
      </c>
      <c r="F114" s="558">
        <v>8.6610352086451819E-2</v>
      </c>
      <c r="G114" s="559">
        <v>4.4510352086451821E-2</v>
      </c>
      <c r="H114" s="560">
        <v>0.15</v>
      </c>
      <c r="I114" s="561" t="s">
        <v>478</v>
      </c>
    </row>
    <row r="115" spans="2:9" ht="16" x14ac:dyDescent="0.2">
      <c r="B115" s="555" t="s">
        <v>414</v>
      </c>
      <c r="C115" s="556">
        <v>4456081.016705961</v>
      </c>
      <c r="D115" s="557" t="s">
        <v>410</v>
      </c>
      <c r="E115" s="558">
        <v>0</v>
      </c>
      <c r="F115" s="558">
        <v>4.2099999999999999E-2</v>
      </c>
      <c r="G115" s="559">
        <v>0</v>
      </c>
      <c r="H115" s="560">
        <v>0.3</v>
      </c>
      <c r="I115" s="561" t="s">
        <v>481</v>
      </c>
    </row>
    <row r="116" spans="2:9" ht="16" x14ac:dyDescent="0.2">
      <c r="B116" s="555" t="s">
        <v>534</v>
      </c>
      <c r="C116" s="556">
        <v>76370.394412416266</v>
      </c>
      <c r="D116" s="557" t="s">
        <v>521</v>
      </c>
      <c r="E116" s="558">
        <v>8.851952625741015E-2</v>
      </c>
      <c r="F116" s="558">
        <v>0.17528331913368006</v>
      </c>
      <c r="G116" s="559">
        <v>0.13318331913368006</v>
      </c>
      <c r="H116" s="560">
        <v>0.25</v>
      </c>
      <c r="I116" s="561" t="s">
        <v>484</v>
      </c>
    </row>
    <row r="117" spans="2:9" ht="16" x14ac:dyDescent="0.2">
      <c r="B117" s="555" t="s">
        <v>535</v>
      </c>
      <c r="C117" s="556">
        <v>238206.31263252773</v>
      </c>
      <c r="D117" s="557" t="s">
        <v>417</v>
      </c>
      <c r="E117" s="558">
        <v>2.160985823777507E-2</v>
      </c>
      <c r="F117" s="558">
        <v>7.4613421250650361E-2</v>
      </c>
      <c r="G117" s="559">
        <v>3.2513421250650362E-2</v>
      </c>
      <c r="H117" s="560">
        <v>0.22</v>
      </c>
      <c r="I117" s="561" t="s">
        <v>481</v>
      </c>
    </row>
    <row r="118" spans="2:9" ht="16" x14ac:dyDescent="0.2">
      <c r="B118" s="555" t="s">
        <v>451</v>
      </c>
      <c r="C118" s="556">
        <v>102050.47386363636</v>
      </c>
      <c r="D118" s="557" t="s">
        <v>439</v>
      </c>
      <c r="E118" s="558">
        <v>2.4614437458000481E-2</v>
      </c>
      <c r="F118" s="558">
        <v>7.913400388443062E-2</v>
      </c>
      <c r="G118" s="559">
        <v>3.7034003884430629E-2</v>
      </c>
      <c r="H118" s="560">
        <v>0.25</v>
      </c>
      <c r="I118" s="561" t="s">
        <v>487</v>
      </c>
    </row>
    <row r="119" spans="2:9" ht="16" x14ac:dyDescent="0.2">
      <c r="B119" s="555" t="s">
        <v>536</v>
      </c>
      <c r="C119" s="556">
        <v>3446</v>
      </c>
      <c r="D119" s="557" t="s">
        <v>464</v>
      </c>
      <c r="E119" s="558">
        <v>6.9336443543663332E-3</v>
      </c>
      <c r="F119" s="558">
        <v>5.2532113770262151E-2</v>
      </c>
      <c r="G119" s="559">
        <v>1.0432113770262149E-2</v>
      </c>
      <c r="H119" s="560">
        <v>0</v>
      </c>
      <c r="I119" s="561" t="s">
        <v>481</v>
      </c>
    </row>
    <row r="120" spans="2:9" ht="16" x14ac:dyDescent="0.2">
      <c r="B120" s="555" t="s">
        <v>452</v>
      </c>
      <c r="C120" s="556">
        <v>34400.509852043651</v>
      </c>
      <c r="D120" s="557" t="s">
        <v>429</v>
      </c>
      <c r="E120" s="558">
        <v>4.4259763128705075E-2</v>
      </c>
      <c r="F120" s="558">
        <v>0.10869165956684003</v>
      </c>
      <c r="G120" s="559">
        <v>6.6591659566840031E-2</v>
      </c>
      <c r="H120" s="560">
        <v>0.25</v>
      </c>
      <c r="I120" s="561" t="s">
        <v>487</v>
      </c>
    </row>
    <row r="121" spans="2:9" ht="16" x14ac:dyDescent="0.2">
      <c r="B121" s="555" t="s">
        <v>537</v>
      </c>
      <c r="C121" s="556">
        <v>382054.57429852907</v>
      </c>
      <c r="D121" s="557" t="s">
        <v>408</v>
      </c>
      <c r="E121" s="558">
        <v>5.8935977012113828E-3</v>
      </c>
      <c r="F121" s="558">
        <v>5.0967296704722824E-2</v>
      </c>
      <c r="G121" s="559">
        <v>8.8672967047228254E-3</v>
      </c>
      <c r="H121" s="560">
        <v>0.16500000000000001</v>
      </c>
      <c r="I121" s="561" t="s">
        <v>465</v>
      </c>
    </row>
    <row r="122" spans="2:9" ht="16" x14ac:dyDescent="0.2">
      <c r="B122" s="555" t="s">
        <v>538</v>
      </c>
      <c r="C122" s="556">
        <v>212388.90645872394</v>
      </c>
      <c r="D122" s="557" t="s">
        <v>454</v>
      </c>
      <c r="E122" s="558">
        <v>1.87208397567891E-2</v>
      </c>
      <c r="F122" s="558">
        <v>7.0266707179707802E-2</v>
      </c>
      <c r="G122" s="559">
        <v>2.8166707179707803E-2</v>
      </c>
      <c r="H122" s="560">
        <v>0.09</v>
      </c>
      <c r="I122" s="561" t="s">
        <v>478</v>
      </c>
    </row>
    <row r="123" spans="2:9" ht="16" x14ac:dyDescent="0.2">
      <c r="B123" s="555" t="s">
        <v>539</v>
      </c>
      <c r="C123" s="556">
        <v>31020.032583197215</v>
      </c>
      <c r="D123" s="557" t="s">
        <v>464</v>
      </c>
      <c r="E123" s="558">
        <v>6.9336443543663332E-3</v>
      </c>
      <c r="F123" s="558">
        <v>5.2532113770262151E-2</v>
      </c>
      <c r="G123" s="559">
        <v>1.0432113770262149E-2</v>
      </c>
      <c r="H123" s="560">
        <v>0.2</v>
      </c>
      <c r="I123" s="561" t="s">
        <v>481</v>
      </c>
    </row>
    <row r="124" spans="2:9" ht="16" x14ac:dyDescent="0.2">
      <c r="B124" s="555" t="s">
        <v>401</v>
      </c>
      <c r="C124" s="556">
        <v>3549918.9187775319</v>
      </c>
      <c r="D124" s="557" t="s">
        <v>417</v>
      </c>
      <c r="E124" s="558">
        <v>2.160985823777507E-2</v>
      </c>
      <c r="F124" s="558">
        <v>7.4613421250650361E-2</v>
      </c>
      <c r="G124" s="559">
        <v>3.2513421250650362E-2</v>
      </c>
      <c r="H124" s="560">
        <v>0.3</v>
      </c>
      <c r="I124" s="561" t="s">
        <v>465</v>
      </c>
    </row>
    <row r="125" spans="2:9" ht="16" x14ac:dyDescent="0.2">
      <c r="B125" s="555" t="s">
        <v>540</v>
      </c>
      <c r="C125" s="556">
        <v>1371171.152331155</v>
      </c>
      <c r="D125" s="557" t="s">
        <v>454</v>
      </c>
      <c r="E125" s="558">
        <v>1.87208397567891E-2</v>
      </c>
      <c r="F125" s="558">
        <v>7.0266707179707802E-2</v>
      </c>
      <c r="G125" s="559">
        <v>2.8166707179707803E-2</v>
      </c>
      <c r="H125" s="560">
        <v>0.22</v>
      </c>
      <c r="I125" s="561" t="s">
        <v>465</v>
      </c>
    </row>
    <row r="126" spans="2:9" ht="16" x14ac:dyDescent="0.2">
      <c r="B126" s="555" t="s">
        <v>541</v>
      </c>
      <c r="C126" s="556">
        <v>250842.78213946417</v>
      </c>
      <c r="D126" s="557" t="s">
        <v>508</v>
      </c>
      <c r="E126" s="558">
        <v>7.3727751634761987E-2</v>
      </c>
      <c r="F126" s="558">
        <v>0.15302814309045415</v>
      </c>
      <c r="G126" s="559">
        <v>0.11092814309045415</v>
      </c>
      <c r="H126" s="560">
        <v>0.15</v>
      </c>
      <c r="I126" s="561" t="s">
        <v>475</v>
      </c>
    </row>
    <row r="127" spans="2:9" ht="16" x14ac:dyDescent="0.2">
      <c r="B127" s="555" t="s">
        <v>415</v>
      </c>
      <c r="C127" s="556">
        <v>545629.45040373516</v>
      </c>
      <c r="D127" s="557" t="s">
        <v>408</v>
      </c>
      <c r="E127" s="558">
        <v>5.8935977012113828E-3</v>
      </c>
      <c r="F127" s="558">
        <v>5.0967296704722824E-2</v>
      </c>
      <c r="G127" s="559">
        <v>8.8672967047228254E-3</v>
      </c>
      <c r="H127" s="560">
        <v>0.125</v>
      </c>
      <c r="I127" s="561" t="s">
        <v>481</v>
      </c>
    </row>
    <row r="128" spans="2:9" ht="16" x14ac:dyDescent="0.2">
      <c r="B128" s="555" t="s">
        <v>542</v>
      </c>
      <c r="C128" s="556">
        <v>0</v>
      </c>
      <c r="D128" s="557" t="s">
        <v>408</v>
      </c>
      <c r="E128" s="558">
        <v>5.8935977012113828E-3</v>
      </c>
      <c r="F128" s="558">
        <v>5.0967296704722824E-2</v>
      </c>
      <c r="G128" s="559">
        <v>8.8672967047228254E-3</v>
      </c>
      <c r="H128" s="560">
        <v>0</v>
      </c>
      <c r="I128" s="561" t="s">
        <v>481</v>
      </c>
    </row>
    <row r="129" spans="2:9" ht="16" x14ac:dyDescent="0.2">
      <c r="B129" s="555" t="s">
        <v>543</v>
      </c>
      <c r="C129" s="556">
        <v>509901.49570210325</v>
      </c>
      <c r="D129" s="557" t="s">
        <v>426</v>
      </c>
      <c r="E129" s="558">
        <v>1.5716260536563685E-2</v>
      </c>
      <c r="F129" s="558">
        <v>6.5746124545927528E-2</v>
      </c>
      <c r="G129" s="559">
        <v>2.3646124545927533E-2</v>
      </c>
      <c r="H129" s="560">
        <v>0.23</v>
      </c>
      <c r="I129" s="561" t="s">
        <v>475</v>
      </c>
    </row>
    <row r="130" spans="2:9" ht="16" x14ac:dyDescent="0.2">
      <c r="B130" s="555" t="s">
        <v>416</v>
      </c>
      <c r="C130" s="556">
        <v>2254851.2127318047</v>
      </c>
      <c r="D130" s="557" t="s">
        <v>417</v>
      </c>
      <c r="E130" s="558">
        <v>2.160985823777507E-2</v>
      </c>
      <c r="F130" s="558">
        <v>7.4613421250650361E-2</v>
      </c>
      <c r="G130" s="559">
        <v>3.2513421250650362E-2</v>
      </c>
      <c r="H130" s="560">
        <v>0.24</v>
      </c>
      <c r="I130" s="561" t="s">
        <v>481</v>
      </c>
    </row>
    <row r="131" spans="2:9" ht="16" x14ac:dyDescent="0.2">
      <c r="B131" s="555" t="s">
        <v>544</v>
      </c>
      <c r="C131" s="556">
        <v>19423.355367237178</v>
      </c>
      <c r="D131" s="557" t="s">
        <v>429</v>
      </c>
      <c r="E131" s="558">
        <v>4.4259763128705075E-2</v>
      </c>
      <c r="F131" s="558">
        <v>0.10869165956684003</v>
      </c>
      <c r="G131" s="559">
        <v>6.6591659566840031E-2</v>
      </c>
      <c r="H131" s="560">
        <v>0.25</v>
      </c>
      <c r="I131" s="561" t="s">
        <v>491</v>
      </c>
    </row>
    <row r="132" spans="2:9" ht="16" x14ac:dyDescent="0.2">
      <c r="B132" s="555" t="s">
        <v>545</v>
      </c>
      <c r="C132" s="556">
        <v>4890</v>
      </c>
      <c r="D132" s="557" t="s">
        <v>408</v>
      </c>
      <c r="E132" s="558">
        <v>5.8935977012113828E-3</v>
      </c>
      <c r="F132" s="558">
        <v>5.0967296704722824E-2</v>
      </c>
      <c r="G132" s="559">
        <v>8.8672967047228254E-3</v>
      </c>
      <c r="H132" s="560">
        <v>0</v>
      </c>
      <c r="I132" s="561" t="s">
        <v>481</v>
      </c>
    </row>
    <row r="133" spans="2:9" ht="16" x14ac:dyDescent="0.2">
      <c r="B133" s="555" t="s">
        <v>546</v>
      </c>
      <c r="C133" s="556">
        <v>50813.642348674643</v>
      </c>
      <c r="D133" s="557" t="s">
        <v>444</v>
      </c>
      <c r="E133" s="558">
        <v>3.5361586207268286E-2</v>
      </c>
      <c r="F133" s="558">
        <v>9.5303780228336937E-2</v>
      </c>
      <c r="G133" s="559">
        <v>5.3203780228336939E-2</v>
      </c>
      <c r="H133" s="560">
        <v>0.2</v>
      </c>
      <c r="I133" s="561" t="s">
        <v>475</v>
      </c>
    </row>
    <row r="134" spans="2:9" ht="16" x14ac:dyDescent="0.2">
      <c r="B134" s="555" t="s">
        <v>547</v>
      </c>
      <c r="C134" s="556">
        <v>261421.12108557209</v>
      </c>
      <c r="D134" s="557" t="s">
        <v>426</v>
      </c>
      <c r="E134" s="558">
        <v>1.5716260536563685E-2</v>
      </c>
      <c r="F134" s="558">
        <v>6.5746124545927528E-2</v>
      </c>
      <c r="G134" s="559">
        <v>2.3646124545927533E-2</v>
      </c>
      <c r="H134" s="560">
        <v>0.2</v>
      </c>
      <c r="I134" s="561" t="s">
        <v>478</v>
      </c>
    </row>
    <row r="135" spans="2:9" ht="16" x14ac:dyDescent="0.2">
      <c r="B135" s="555" t="s">
        <v>548</v>
      </c>
      <c r="C135" s="556">
        <v>107440.57583804752</v>
      </c>
      <c r="D135" s="557" t="s">
        <v>508</v>
      </c>
      <c r="E135" s="558">
        <v>7.3727751634761987E-2</v>
      </c>
      <c r="F135" s="558">
        <v>0.15302814309045415</v>
      </c>
      <c r="G135" s="559">
        <v>0.11092814309045415</v>
      </c>
      <c r="H135" s="560">
        <v>0.3</v>
      </c>
      <c r="I135" s="561" t="s">
        <v>484</v>
      </c>
    </row>
    <row r="136" spans="2:9" ht="16" x14ac:dyDescent="0.2">
      <c r="B136" s="555" t="s">
        <v>549</v>
      </c>
      <c r="C136" s="556">
        <v>1712792.8542023688</v>
      </c>
      <c r="D136" s="557" t="s">
        <v>474</v>
      </c>
      <c r="E136" s="558">
        <v>4.8535510480564323E-3</v>
      </c>
      <c r="F136" s="558">
        <v>4.9402479639183504E-2</v>
      </c>
      <c r="G136" s="559">
        <v>7.3024796391835027E-3</v>
      </c>
      <c r="H136" s="560">
        <v>0.25</v>
      </c>
      <c r="I136" s="561" t="s">
        <v>465</v>
      </c>
    </row>
    <row r="137" spans="2:9" ht="16" x14ac:dyDescent="0.2">
      <c r="B137" s="555" t="s">
        <v>550</v>
      </c>
      <c r="C137" s="556">
        <v>11000</v>
      </c>
      <c r="D137" s="557" t="s">
        <v>464</v>
      </c>
      <c r="E137" s="558">
        <v>6.9336443543663332E-3</v>
      </c>
      <c r="F137" s="558">
        <v>5.2532113770262151E-2</v>
      </c>
      <c r="G137" s="559">
        <v>1.0432113770262149E-2</v>
      </c>
      <c r="H137" s="560">
        <v>0.15</v>
      </c>
      <c r="I137" s="561" t="s">
        <v>475</v>
      </c>
    </row>
    <row r="138" spans="2:9" ht="16" x14ac:dyDescent="0.2">
      <c r="B138" s="555" t="s">
        <v>551</v>
      </c>
      <c r="C138" s="556">
        <v>13987.627908838138</v>
      </c>
      <c r="D138" s="557" t="s">
        <v>449</v>
      </c>
      <c r="E138" s="558">
        <v>6.3905088799409676E-2</v>
      </c>
      <c r="F138" s="558">
        <v>0.13824931524924944</v>
      </c>
      <c r="G138" s="559">
        <v>9.614931524924944E-2</v>
      </c>
      <c r="H138" s="560">
        <v>0.1</v>
      </c>
      <c r="I138" s="561" t="s">
        <v>478</v>
      </c>
    </row>
    <row r="139" spans="2:9" ht="16" x14ac:dyDescent="0.2">
      <c r="B139" s="555" t="s">
        <v>552</v>
      </c>
      <c r="C139" s="556">
        <v>15843.155731255179</v>
      </c>
      <c r="D139" s="557" t="s">
        <v>447</v>
      </c>
      <c r="E139" s="558">
        <v>9.8342189092762475E-2</v>
      </c>
      <c r="F139" s="558">
        <v>0.1900621469748848</v>
      </c>
      <c r="G139" s="559">
        <v>0.1479621469748848</v>
      </c>
      <c r="H139" s="560">
        <v>0.26860000000000001</v>
      </c>
      <c r="I139" s="561" t="s">
        <v>465</v>
      </c>
    </row>
    <row r="140" spans="2:9" ht="16" x14ac:dyDescent="0.2">
      <c r="B140" s="555" t="s">
        <v>553</v>
      </c>
      <c r="C140" s="556">
        <v>43627.078481287048</v>
      </c>
      <c r="D140" s="557" t="s">
        <v>423</v>
      </c>
      <c r="E140" s="558">
        <v>1.1787195402422766E-2</v>
      </c>
      <c r="F140" s="558">
        <v>5.9834593409445649E-2</v>
      </c>
      <c r="G140" s="559">
        <v>1.7734593409445651E-2</v>
      </c>
      <c r="H140" s="560">
        <v>0.2</v>
      </c>
      <c r="I140" s="561" t="s">
        <v>478</v>
      </c>
    </row>
    <row r="141" spans="2:9" ht="16" x14ac:dyDescent="0.2">
      <c r="B141" s="555" t="s">
        <v>554</v>
      </c>
      <c r="C141" s="556">
        <v>17937.256175140981</v>
      </c>
      <c r="D141" s="557" t="s">
        <v>505</v>
      </c>
      <c r="E141" s="558">
        <v>0.17499999999999999</v>
      </c>
      <c r="F141" s="558">
        <v>0.30539875264603467</v>
      </c>
      <c r="G141" s="559">
        <v>0.26329875264603469</v>
      </c>
      <c r="H141" s="560">
        <v>0.17</v>
      </c>
      <c r="I141" s="561" t="s">
        <v>475</v>
      </c>
    </row>
    <row r="142" spans="2:9" ht="16" x14ac:dyDescent="0.2">
      <c r="B142" s="555" t="s">
        <v>555</v>
      </c>
      <c r="C142" s="556">
        <v>7364.6545151398359</v>
      </c>
      <c r="D142" s="557" t="s">
        <v>410</v>
      </c>
      <c r="E142" s="558">
        <v>0</v>
      </c>
      <c r="F142" s="558">
        <v>4.2099999999999999E-2</v>
      </c>
      <c r="G142" s="559">
        <v>0</v>
      </c>
      <c r="H142" s="560">
        <v>0.125</v>
      </c>
      <c r="I142" s="561" t="s">
        <v>481</v>
      </c>
    </row>
    <row r="143" spans="2:9" ht="16" x14ac:dyDescent="0.2">
      <c r="B143" s="555" t="s">
        <v>419</v>
      </c>
      <c r="C143" s="556">
        <v>77836.396962771963</v>
      </c>
      <c r="D143" s="557" t="s">
        <v>420</v>
      </c>
      <c r="E143" s="558">
        <v>8.3203732252395985E-3</v>
      </c>
      <c r="F143" s="558">
        <v>5.4618536524314573E-2</v>
      </c>
      <c r="G143" s="559">
        <v>1.2518536524314576E-2</v>
      </c>
      <c r="H143" s="560">
        <v>0.15</v>
      </c>
      <c r="I143" s="561" t="s">
        <v>478</v>
      </c>
    </row>
    <row r="144" spans="2:9" ht="16" x14ac:dyDescent="0.2">
      <c r="B144" s="555" t="s">
        <v>556</v>
      </c>
      <c r="C144" s="556">
        <v>85755.006123597588</v>
      </c>
      <c r="D144" s="557" t="s">
        <v>410</v>
      </c>
      <c r="E144" s="558">
        <v>0</v>
      </c>
      <c r="F144" s="558">
        <v>4.2099999999999999E-2</v>
      </c>
      <c r="G144" s="559">
        <v>0</v>
      </c>
      <c r="H144" s="560">
        <v>0.24940000000000001</v>
      </c>
      <c r="I144" s="561" t="s">
        <v>481</v>
      </c>
    </row>
    <row r="145" spans="2:9" ht="16" x14ac:dyDescent="0.2">
      <c r="B145" s="555" t="s">
        <v>557</v>
      </c>
      <c r="C145" s="556">
        <v>47061.843715856485</v>
      </c>
      <c r="D145" s="557" t="s">
        <v>408</v>
      </c>
      <c r="E145" s="558">
        <v>5.8935977012113828E-3</v>
      </c>
      <c r="F145" s="558">
        <v>5.0967296704722824E-2</v>
      </c>
      <c r="G145" s="559">
        <v>8.8672967047228254E-3</v>
      </c>
      <c r="H145" s="560">
        <v>0.26860000000000001</v>
      </c>
      <c r="I145" s="561" t="s">
        <v>465</v>
      </c>
    </row>
    <row r="146" spans="2:9" ht="16" x14ac:dyDescent="0.2">
      <c r="B146" s="555" t="s">
        <v>558</v>
      </c>
      <c r="C146" s="556">
        <v>14761.237042205697</v>
      </c>
      <c r="D146" s="557" t="s">
        <v>444</v>
      </c>
      <c r="E146" s="558">
        <v>3.5361586207268286E-2</v>
      </c>
      <c r="F146" s="558">
        <v>9.5303780228336937E-2</v>
      </c>
      <c r="G146" s="559">
        <v>5.3203780228336939E-2</v>
      </c>
      <c r="H146" s="560">
        <v>0.1</v>
      </c>
      <c r="I146" s="561" t="s">
        <v>478</v>
      </c>
    </row>
    <row r="147" spans="2:9" ht="16" x14ac:dyDescent="0.2">
      <c r="B147" s="555" t="s">
        <v>559</v>
      </c>
      <c r="C147" s="556">
        <v>399648.82854650426</v>
      </c>
      <c r="D147" s="557" t="s">
        <v>423</v>
      </c>
      <c r="E147" s="558">
        <v>1.1787195402422766E-2</v>
      </c>
      <c r="F147" s="558">
        <v>5.9834593409445649E-2</v>
      </c>
      <c r="G147" s="559">
        <v>1.7734593409445651E-2</v>
      </c>
      <c r="H147" s="560">
        <v>0.24</v>
      </c>
      <c r="I147" s="561" t="s">
        <v>465</v>
      </c>
    </row>
    <row r="148" spans="2:9" ht="16" x14ac:dyDescent="0.2">
      <c r="B148" s="555" t="s">
        <v>560</v>
      </c>
      <c r="C148" s="556">
        <v>6600</v>
      </c>
      <c r="D148" s="557" t="s">
        <v>521</v>
      </c>
      <c r="E148" s="558">
        <v>8.851952625741015E-2</v>
      </c>
      <c r="F148" s="558">
        <v>0.17528331913368006</v>
      </c>
      <c r="G148" s="559">
        <v>0.13318331913368006</v>
      </c>
      <c r="H148" s="560">
        <v>0.26860000000000001</v>
      </c>
      <c r="I148" s="561" t="s">
        <v>465</v>
      </c>
    </row>
    <row r="149" spans="2:9" ht="16" x14ac:dyDescent="0.2">
      <c r="B149" s="555" t="s">
        <v>561</v>
      </c>
      <c r="C149" s="556">
        <v>20904.898296250143</v>
      </c>
      <c r="D149" s="557" t="s">
        <v>521</v>
      </c>
      <c r="E149" s="558">
        <v>8.851952625741015E-2</v>
      </c>
      <c r="F149" s="558">
        <v>0.17528331913368006</v>
      </c>
      <c r="G149" s="559">
        <v>0.13318331913368006</v>
      </c>
      <c r="H149" s="560">
        <v>0.26860000000000001</v>
      </c>
      <c r="I149" s="561" t="s">
        <v>484</v>
      </c>
    </row>
    <row r="150" spans="2:9" ht="16" x14ac:dyDescent="0.2">
      <c r="B150" s="555" t="s">
        <v>562</v>
      </c>
      <c r="C150" s="556">
        <v>20956.999452431664</v>
      </c>
      <c r="D150" s="557" t="s">
        <v>420</v>
      </c>
      <c r="E150" s="558">
        <v>8.3203732252395985E-3</v>
      </c>
      <c r="F150" s="558">
        <v>5.4618536524314573E-2</v>
      </c>
      <c r="G150" s="559">
        <v>1.2518536524314576E-2</v>
      </c>
      <c r="H150" s="560">
        <v>0.35</v>
      </c>
      <c r="I150" s="561" t="s">
        <v>481</v>
      </c>
    </row>
    <row r="151" spans="2:9" ht="16" x14ac:dyDescent="0.2">
      <c r="B151" s="555" t="s">
        <v>563</v>
      </c>
      <c r="C151" s="556">
        <v>14397.127281382942</v>
      </c>
      <c r="D151" s="557" t="s">
        <v>417</v>
      </c>
      <c r="E151" s="558">
        <v>2.160985823777507E-2</v>
      </c>
      <c r="F151" s="558">
        <v>7.4613421250650361E-2</v>
      </c>
      <c r="G151" s="559">
        <v>3.2513421250650362E-2</v>
      </c>
      <c r="H151" s="560">
        <v>0.15</v>
      </c>
      <c r="I151" s="561" t="s">
        <v>484</v>
      </c>
    </row>
    <row r="152" spans="2:9" ht="16" x14ac:dyDescent="0.2">
      <c r="B152" s="555" t="s">
        <v>453</v>
      </c>
      <c r="C152" s="556">
        <v>1788886.8210468132</v>
      </c>
      <c r="D152" s="557" t="s">
        <v>454</v>
      </c>
      <c r="E152" s="558">
        <v>1.87208397567891E-2</v>
      </c>
      <c r="F152" s="558">
        <v>7.0266707179707802E-2</v>
      </c>
      <c r="G152" s="559">
        <v>2.8166707179707803E-2</v>
      </c>
      <c r="H152" s="560">
        <v>0.3</v>
      </c>
      <c r="I152" s="561" t="s">
        <v>487</v>
      </c>
    </row>
    <row r="153" spans="2:9" ht="16" x14ac:dyDescent="0.2">
      <c r="B153" s="555" t="s">
        <v>564</v>
      </c>
      <c r="C153" s="556">
        <v>16539.436547294972</v>
      </c>
      <c r="D153" s="557" t="s">
        <v>449</v>
      </c>
      <c r="E153" s="558">
        <v>6.3905088799409676E-2</v>
      </c>
      <c r="F153" s="558">
        <v>0.13824931524924944</v>
      </c>
      <c r="G153" s="559">
        <v>9.614931524924944E-2</v>
      </c>
      <c r="H153" s="560">
        <v>0.12</v>
      </c>
      <c r="I153" s="561" t="s">
        <v>478</v>
      </c>
    </row>
    <row r="154" spans="2:9" ht="16" x14ac:dyDescent="0.2">
      <c r="B154" s="555" t="s">
        <v>565</v>
      </c>
      <c r="C154" s="556">
        <v>19872.180369627498</v>
      </c>
      <c r="D154" s="557" t="s">
        <v>435</v>
      </c>
      <c r="E154" s="558">
        <v>5.4082425964057379E-2</v>
      </c>
      <c r="F154" s="558">
        <v>0.12347048740804473</v>
      </c>
      <c r="G154" s="559">
        <v>8.1370487408044728E-2</v>
      </c>
      <c r="H154" s="560">
        <v>0.25</v>
      </c>
      <c r="I154" s="561" t="s">
        <v>465</v>
      </c>
    </row>
    <row r="155" spans="2:9" ht="16" x14ac:dyDescent="0.2">
      <c r="B155" s="555" t="s">
        <v>566</v>
      </c>
      <c r="C155" s="556">
        <v>7404.5419645077918</v>
      </c>
      <c r="D155" s="557" t="s">
        <v>429</v>
      </c>
      <c r="E155" s="558">
        <v>4.4259763128705075E-2</v>
      </c>
      <c r="F155" s="558">
        <v>0.10869165956684003</v>
      </c>
      <c r="G155" s="559">
        <v>6.6591659566840031E-2</v>
      </c>
      <c r="H155" s="560">
        <v>0.15</v>
      </c>
      <c r="I155" s="561" t="s">
        <v>478</v>
      </c>
    </row>
    <row r="156" spans="2:9" ht="16" x14ac:dyDescent="0.2">
      <c r="B156" s="555" t="s">
        <v>567</v>
      </c>
      <c r="C156" s="556">
        <v>16199</v>
      </c>
      <c r="D156" s="557" t="s">
        <v>417</v>
      </c>
      <c r="E156" s="558">
        <v>2.160985823777507E-2</v>
      </c>
      <c r="F156" s="558">
        <v>7.4613421250650361E-2</v>
      </c>
      <c r="G156" s="559">
        <v>3.2513421250650362E-2</v>
      </c>
      <c r="H156" s="560">
        <v>0.2853</v>
      </c>
      <c r="I156" s="561" t="s">
        <v>491</v>
      </c>
    </row>
    <row r="157" spans="2:9" ht="16" x14ac:dyDescent="0.2">
      <c r="B157" s="555" t="s">
        <v>568</v>
      </c>
      <c r="C157" s="556">
        <v>141109.37320941436</v>
      </c>
      <c r="D157" s="557" t="s">
        <v>439</v>
      </c>
      <c r="E157" s="558">
        <v>2.4614437458000481E-2</v>
      </c>
      <c r="F157" s="558">
        <v>7.913400388443062E-2</v>
      </c>
      <c r="G157" s="559">
        <v>3.7034003884430629E-2</v>
      </c>
      <c r="H157" s="560">
        <v>0.32</v>
      </c>
      <c r="I157" s="561" t="s">
        <v>484</v>
      </c>
    </row>
    <row r="158" spans="2:9" ht="16" x14ac:dyDescent="0.2">
      <c r="B158" s="555" t="s">
        <v>569</v>
      </c>
      <c r="C158" s="556">
        <v>20624.597846549506</v>
      </c>
      <c r="D158" s="557" t="s">
        <v>447</v>
      </c>
      <c r="E158" s="558">
        <v>9.8342189092762475E-2</v>
      </c>
      <c r="F158" s="558">
        <v>0.1900621469748848</v>
      </c>
      <c r="G158" s="559">
        <v>0.1479621469748848</v>
      </c>
      <c r="H158" s="560">
        <v>0.32</v>
      </c>
      <c r="I158" s="561" t="s">
        <v>484</v>
      </c>
    </row>
    <row r="159" spans="2:9" ht="16" x14ac:dyDescent="0.2">
      <c r="B159" s="555" t="s">
        <v>570</v>
      </c>
      <c r="C159" s="556">
        <v>12351.024843746696</v>
      </c>
      <c r="D159" s="557" t="s">
        <v>429</v>
      </c>
      <c r="E159" s="558">
        <v>4.4259763128705075E-2</v>
      </c>
      <c r="F159" s="558">
        <v>0.10869165956684003</v>
      </c>
      <c r="G159" s="559">
        <v>6.6591659566840031E-2</v>
      </c>
      <c r="H159" s="560">
        <v>0.32</v>
      </c>
      <c r="I159" s="561" t="s">
        <v>484</v>
      </c>
    </row>
    <row r="160" spans="2:9" ht="16" x14ac:dyDescent="0.2">
      <c r="B160" s="555" t="s">
        <v>571</v>
      </c>
      <c r="C160" s="556">
        <v>40908.073366845521</v>
      </c>
      <c r="D160" s="557" t="s">
        <v>444</v>
      </c>
      <c r="E160" s="558">
        <v>3.5361586207268286E-2</v>
      </c>
      <c r="F160" s="558">
        <v>9.5303780228336937E-2</v>
      </c>
      <c r="G160" s="559">
        <v>5.3203780228336939E-2</v>
      </c>
      <c r="H160" s="560">
        <v>0.25</v>
      </c>
      <c r="I160" s="561" t="s">
        <v>465</v>
      </c>
    </row>
    <row r="161" spans="2:9" ht="16" x14ac:dyDescent="0.2">
      <c r="B161" s="555" t="s">
        <v>572</v>
      </c>
      <c r="C161" s="556">
        <v>1118124.7498862941</v>
      </c>
      <c r="D161" s="557" t="s">
        <v>410</v>
      </c>
      <c r="E161" s="558">
        <v>0</v>
      </c>
      <c r="F161" s="558">
        <v>4.2099999999999999E-2</v>
      </c>
      <c r="G161" s="559">
        <v>0</v>
      </c>
      <c r="H161" s="560">
        <v>0.25800000000000001</v>
      </c>
      <c r="I161" s="561" t="s">
        <v>481</v>
      </c>
    </row>
    <row r="162" spans="2:9" ht="16" x14ac:dyDescent="0.2">
      <c r="B162" s="555" t="s">
        <v>403</v>
      </c>
      <c r="C162" s="556">
        <v>253465.70323214593</v>
      </c>
      <c r="D162" s="557" t="s">
        <v>410</v>
      </c>
      <c r="E162" s="558">
        <v>0</v>
      </c>
      <c r="F162" s="558">
        <v>4.2099999999999999E-2</v>
      </c>
      <c r="G162" s="559">
        <v>0</v>
      </c>
      <c r="H162" s="560">
        <v>0.28000000000000003</v>
      </c>
      <c r="I162" s="561" t="s">
        <v>493</v>
      </c>
    </row>
    <row r="163" spans="2:9" ht="16" x14ac:dyDescent="0.2">
      <c r="B163" s="555" t="s">
        <v>573</v>
      </c>
      <c r="C163" s="556">
        <v>17829.215283799655</v>
      </c>
      <c r="D163" s="557" t="s">
        <v>435</v>
      </c>
      <c r="E163" s="558">
        <v>5.4082425964057379E-2</v>
      </c>
      <c r="F163" s="558">
        <v>0.12347048740804473</v>
      </c>
      <c r="G163" s="559">
        <v>8.1370487408044728E-2</v>
      </c>
      <c r="H163" s="560">
        <v>0.3</v>
      </c>
      <c r="I163" s="561" t="s">
        <v>487</v>
      </c>
    </row>
    <row r="164" spans="2:9" ht="16" x14ac:dyDescent="0.2">
      <c r="B164" s="555" t="s">
        <v>574</v>
      </c>
      <c r="C164" s="556">
        <v>16819.170420565319</v>
      </c>
      <c r="D164" s="557" t="s">
        <v>447</v>
      </c>
      <c r="E164" s="558">
        <v>9.8342189092762475E-2</v>
      </c>
      <c r="F164" s="558">
        <v>0.1900621469748848</v>
      </c>
      <c r="G164" s="559">
        <v>0.1479621469748848</v>
      </c>
      <c r="H164" s="560">
        <v>0.26860000000000001</v>
      </c>
      <c r="I164" s="561" t="s">
        <v>484</v>
      </c>
    </row>
    <row r="165" spans="2:9" ht="16" x14ac:dyDescent="0.2">
      <c r="B165" s="555" t="s">
        <v>575</v>
      </c>
      <c r="C165" s="556">
        <v>362814.95169607276</v>
      </c>
      <c r="D165" s="557" t="s">
        <v>449</v>
      </c>
      <c r="E165" s="558">
        <v>6.3905088799409676E-2</v>
      </c>
      <c r="F165" s="558">
        <v>0.13824931524924944</v>
      </c>
      <c r="G165" s="559">
        <v>9.614931524924944E-2</v>
      </c>
      <c r="H165" s="560">
        <v>0.3</v>
      </c>
      <c r="I165" s="561" t="s">
        <v>484</v>
      </c>
    </row>
    <row r="166" spans="2:9" ht="16" x14ac:dyDescent="0.2">
      <c r="B166" s="555" t="s">
        <v>421</v>
      </c>
      <c r="C166" s="556">
        <v>485513.31650363043</v>
      </c>
      <c r="D166" s="557" t="s">
        <v>410</v>
      </c>
      <c r="E166" s="558">
        <v>0</v>
      </c>
      <c r="F166" s="558">
        <v>4.2099999999999999E-2</v>
      </c>
      <c r="G166" s="559">
        <v>0</v>
      </c>
      <c r="H166" s="560">
        <v>0.22</v>
      </c>
      <c r="I166" s="561" t="s">
        <v>481</v>
      </c>
    </row>
    <row r="167" spans="2:9" ht="16" x14ac:dyDescent="0.2">
      <c r="B167" s="555" t="s">
        <v>576</v>
      </c>
      <c r="C167" s="556">
        <v>108192.45773732119</v>
      </c>
      <c r="D167" s="557" t="s">
        <v>439</v>
      </c>
      <c r="E167" s="558">
        <v>2.4614437458000481E-2</v>
      </c>
      <c r="F167" s="558">
        <v>7.913400388443062E-2</v>
      </c>
      <c r="G167" s="559">
        <v>3.7034003884430629E-2</v>
      </c>
      <c r="H167" s="560">
        <v>0.15</v>
      </c>
      <c r="I167" s="561" t="s">
        <v>475</v>
      </c>
    </row>
    <row r="168" spans="2:9" ht="16" x14ac:dyDescent="0.2">
      <c r="B168" s="555" t="s">
        <v>577</v>
      </c>
      <c r="C168" s="556">
        <v>338368.45531787578</v>
      </c>
      <c r="D168" s="557" t="s">
        <v>521</v>
      </c>
      <c r="E168" s="558">
        <v>8.851952625741015E-2</v>
      </c>
      <c r="F168" s="558">
        <v>0.17528331913368006</v>
      </c>
      <c r="G168" s="559">
        <v>0.13318331913368006</v>
      </c>
      <c r="H168" s="560">
        <v>0.28999999999999998</v>
      </c>
      <c r="I168" s="561" t="s">
        <v>465</v>
      </c>
    </row>
    <row r="169" spans="2:9" ht="16" x14ac:dyDescent="0.2">
      <c r="B169" s="555" t="s">
        <v>455</v>
      </c>
      <c r="C169" s="556">
        <v>83382.399999999994</v>
      </c>
      <c r="D169" s="557" t="s">
        <v>417</v>
      </c>
      <c r="E169" s="558">
        <v>2.160985823777507E-2</v>
      </c>
      <c r="F169" s="558">
        <v>7.4613421250650361E-2</v>
      </c>
      <c r="G169" s="559">
        <v>3.2513421250650362E-2</v>
      </c>
      <c r="H169" s="560">
        <v>0.25</v>
      </c>
      <c r="I169" s="561" t="s">
        <v>487</v>
      </c>
    </row>
    <row r="170" spans="2:9" ht="16" x14ac:dyDescent="0.2">
      <c r="B170" s="555" t="s">
        <v>578</v>
      </c>
      <c r="C170" s="556">
        <v>30932.496249791653</v>
      </c>
      <c r="D170" s="557" t="s">
        <v>435</v>
      </c>
      <c r="E170" s="558">
        <v>5.4082425964057379E-2</v>
      </c>
      <c r="F170" s="558">
        <v>0.12347048740804473</v>
      </c>
      <c r="G170" s="559">
        <v>8.1370487408044728E-2</v>
      </c>
      <c r="H170" s="560">
        <v>0.3</v>
      </c>
      <c r="I170" s="561" t="s">
        <v>465</v>
      </c>
    </row>
    <row r="171" spans="2:9" ht="16" x14ac:dyDescent="0.2">
      <c r="B171" s="555" t="s">
        <v>579</v>
      </c>
      <c r="C171" s="556">
        <v>42956.263543948167</v>
      </c>
      <c r="D171" s="557" t="s">
        <v>417</v>
      </c>
      <c r="E171" s="558">
        <v>2.160985823777507E-2</v>
      </c>
      <c r="F171" s="558">
        <v>7.4613421250650361E-2</v>
      </c>
      <c r="G171" s="559">
        <v>3.2513421250650362E-2</v>
      </c>
      <c r="H171" s="560">
        <v>0.1</v>
      </c>
      <c r="I171" s="561" t="s">
        <v>487</v>
      </c>
    </row>
    <row r="172" spans="2:9" ht="16" x14ac:dyDescent="0.2">
      <c r="B172" s="555" t="s">
        <v>456</v>
      </c>
      <c r="C172" s="556">
        <v>267603.24865525268</v>
      </c>
      <c r="D172" s="557" t="s">
        <v>426</v>
      </c>
      <c r="E172" s="558">
        <v>1.5716260536563685E-2</v>
      </c>
      <c r="F172" s="558">
        <v>6.5746124545927528E-2</v>
      </c>
      <c r="G172" s="559">
        <v>2.3646124545927533E-2</v>
      </c>
      <c r="H172" s="560">
        <v>0.29499999999999998</v>
      </c>
      <c r="I172" s="561" t="s">
        <v>487</v>
      </c>
    </row>
    <row r="173" spans="2:9" ht="16" x14ac:dyDescent="0.2">
      <c r="B173" s="555" t="s">
        <v>580</v>
      </c>
      <c r="C173" s="556">
        <v>437146.37272994244</v>
      </c>
      <c r="D173" s="557" t="s">
        <v>454</v>
      </c>
      <c r="E173" s="558">
        <v>1.87208397567891E-2</v>
      </c>
      <c r="F173" s="558">
        <v>7.0266707179707802E-2</v>
      </c>
      <c r="G173" s="559">
        <v>2.8166707179707803E-2</v>
      </c>
      <c r="H173" s="560">
        <v>0.25</v>
      </c>
      <c r="I173" s="561" t="s">
        <v>465</v>
      </c>
    </row>
    <row r="174" spans="2:9" ht="16" x14ac:dyDescent="0.2">
      <c r="B174" s="555" t="s">
        <v>581</v>
      </c>
      <c r="C174" s="556">
        <v>811229.10068756633</v>
      </c>
      <c r="D174" s="557" t="s">
        <v>420</v>
      </c>
      <c r="E174" s="558">
        <v>8.3203732252395985E-3</v>
      </c>
      <c r="F174" s="558">
        <v>5.4618536524314573E-2</v>
      </c>
      <c r="G174" s="559">
        <v>1.2518536524314576E-2</v>
      </c>
      <c r="H174" s="560">
        <v>0.19</v>
      </c>
      <c r="I174" s="561" t="s">
        <v>478</v>
      </c>
    </row>
    <row r="175" spans="2:9" ht="16" x14ac:dyDescent="0.2">
      <c r="B175" s="555" t="s">
        <v>422</v>
      </c>
      <c r="C175" s="556">
        <v>287080.01357449719</v>
      </c>
      <c r="D175" s="557" t="s">
        <v>423</v>
      </c>
      <c r="E175" s="558">
        <v>1.1787195402422766E-2</v>
      </c>
      <c r="F175" s="558">
        <v>5.9834593409445649E-2</v>
      </c>
      <c r="G175" s="559">
        <v>1.7734593409445651E-2</v>
      </c>
      <c r="H175" s="560">
        <v>0.21</v>
      </c>
      <c r="I175" s="561" t="s">
        <v>481</v>
      </c>
    </row>
    <row r="176" spans="2:9" ht="16" x14ac:dyDescent="0.2">
      <c r="B176" s="555" t="s">
        <v>582</v>
      </c>
      <c r="C176" s="556">
        <v>235770.4037349</v>
      </c>
      <c r="D176" s="557" t="s">
        <v>474</v>
      </c>
      <c r="E176" s="558">
        <v>4.8535510480564323E-3</v>
      </c>
      <c r="F176" s="558">
        <v>4.9402479639183504E-2</v>
      </c>
      <c r="G176" s="559">
        <v>7.3024796391835027E-3</v>
      </c>
      <c r="H176" s="560">
        <v>0.1</v>
      </c>
      <c r="I176" s="561" t="s">
        <v>475</v>
      </c>
    </row>
    <row r="177" spans="2:9" ht="16" x14ac:dyDescent="0.2">
      <c r="B177" s="555" t="s">
        <v>583</v>
      </c>
      <c r="C177" s="556">
        <v>11000</v>
      </c>
      <c r="D177" s="557" t="s">
        <v>423</v>
      </c>
      <c r="E177" s="558">
        <v>1.1787195402422766E-2</v>
      </c>
      <c r="F177" s="558">
        <v>5.9834593409445649E-2</v>
      </c>
      <c r="G177" s="559">
        <v>1.7734593409445651E-2</v>
      </c>
      <c r="H177" s="560">
        <v>0</v>
      </c>
      <c r="I177" s="561" t="s">
        <v>475</v>
      </c>
    </row>
    <row r="178" spans="2:9" ht="16" x14ac:dyDescent="0.2">
      <c r="B178" s="555" t="s">
        <v>584</v>
      </c>
      <c r="C178" s="556">
        <v>351002.57962967013</v>
      </c>
      <c r="D178" s="557" t="s">
        <v>417</v>
      </c>
      <c r="E178" s="558">
        <v>2.160985823777507E-2</v>
      </c>
      <c r="F178" s="558">
        <v>7.4613421250650361E-2</v>
      </c>
      <c r="G178" s="559">
        <v>3.2513421250650362E-2</v>
      </c>
      <c r="H178" s="560">
        <v>0.16</v>
      </c>
      <c r="I178" s="561" t="s">
        <v>478</v>
      </c>
    </row>
    <row r="179" spans="2:9" ht="16" x14ac:dyDescent="0.2">
      <c r="B179" s="555" t="s">
        <v>585</v>
      </c>
      <c r="C179" s="556">
        <v>14097.76864766952</v>
      </c>
      <c r="D179" s="557" t="s">
        <v>435</v>
      </c>
      <c r="E179" s="558">
        <v>5.4082425964057379E-2</v>
      </c>
      <c r="F179" s="558">
        <v>0.12347048740804473</v>
      </c>
      <c r="G179" s="559">
        <v>8.1370487408044728E-2</v>
      </c>
      <c r="H179" s="560">
        <v>0.3</v>
      </c>
      <c r="I179" s="561" t="s">
        <v>484</v>
      </c>
    </row>
    <row r="180" spans="2:9" ht="16" x14ac:dyDescent="0.2">
      <c r="B180" s="555" t="s">
        <v>418</v>
      </c>
      <c r="C180" s="556">
        <v>1067582.9333333333</v>
      </c>
      <c r="D180" s="557" t="s">
        <v>408</v>
      </c>
      <c r="E180" s="558">
        <v>5.8935977012113828E-3</v>
      </c>
      <c r="F180" s="558">
        <v>5.0967296704722824E-2</v>
      </c>
      <c r="G180" s="559">
        <v>8.8672967047228254E-3</v>
      </c>
      <c r="H180" s="560">
        <v>0.2</v>
      </c>
      <c r="I180" s="561" t="s">
        <v>475</v>
      </c>
    </row>
    <row r="181" spans="2:9" ht="16" x14ac:dyDescent="0.2">
      <c r="B181" s="555" t="s">
        <v>586</v>
      </c>
      <c r="C181" s="556">
        <v>31013.986429186058</v>
      </c>
      <c r="D181" s="557" t="s">
        <v>449</v>
      </c>
      <c r="E181" s="558">
        <v>6.3905088799409676E-2</v>
      </c>
      <c r="F181" s="558">
        <v>0.13824931524924944</v>
      </c>
      <c r="G181" s="559">
        <v>9.614931524924944E-2</v>
      </c>
      <c r="H181" s="560">
        <v>0.3</v>
      </c>
      <c r="I181" s="561" t="s">
        <v>484</v>
      </c>
    </row>
    <row r="182" spans="2:9" ht="16" x14ac:dyDescent="0.2">
      <c r="B182" s="555" t="s">
        <v>587</v>
      </c>
      <c r="C182" s="556">
        <v>75187.125426737548</v>
      </c>
      <c r="D182" s="557" t="s">
        <v>460</v>
      </c>
      <c r="E182" s="558">
        <v>2.9583549245296346E-2</v>
      </c>
      <c r="F182" s="558">
        <v>8.6610352086451819E-2</v>
      </c>
      <c r="G182" s="559">
        <v>4.4510352086451821E-2</v>
      </c>
      <c r="H182" s="560">
        <v>0.15</v>
      </c>
      <c r="I182" s="561" t="s">
        <v>478</v>
      </c>
    </row>
    <row r="183" spans="2:9" ht="16" x14ac:dyDescent="0.2">
      <c r="B183" s="555" t="s">
        <v>588</v>
      </c>
      <c r="C183" s="556">
        <v>24800</v>
      </c>
      <c r="D183" s="557" t="s">
        <v>439</v>
      </c>
      <c r="E183" s="558">
        <v>2.4614437458000481E-2</v>
      </c>
      <c r="F183" s="558">
        <v>7.913400388443062E-2</v>
      </c>
      <c r="G183" s="559">
        <v>3.7034003884430629E-2</v>
      </c>
      <c r="H183" s="560">
        <v>0</v>
      </c>
      <c r="I183" s="561" t="s">
        <v>475</v>
      </c>
    </row>
    <row r="184" spans="2:9" ht="16" x14ac:dyDescent="0.2">
      <c r="B184" s="555" t="s">
        <v>589</v>
      </c>
      <c r="C184" s="556">
        <v>501427.50008005853</v>
      </c>
      <c r="D184" s="557" t="s">
        <v>410</v>
      </c>
      <c r="E184" s="558">
        <v>0</v>
      </c>
      <c r="F184" s="558">
        <v>4.2099999999999999E-2</v>
      </c>
      <c r="G184" s="559">
        <v>0</v>
      </c>
      <c r="H184" s="560">
        <v>0.17</v>
      </c>
      <c r="I184" s="561" t="s">
        <v>465</v>
      </c>
    </row>
    <row r="185" spans="2:9" ht="16" x14ac:dyDescent="0.2">
      <c r="B185" s="555" t="s">
        <v>424</v>
      </c>
      <c r="C185" s="556">
        <v>132793.62228307096</v>
      </c>
      <c r="D185" s="557" t="s">
        <v>423</v>
      </c>
      <c r="E185" s="558">
        <v>1.1787195402422766E-2</v>
      </c>
      <c r="F185" s="558">
        <v>5.9834593409445649E-2</v>
      </c>
      <c r="G185" s="559">
        <v>1.7734593409445651E-2</v>
      </c>
      <c r="H185" s="560">
        <v>0.21</v>
      </c>
      <c r="I185" s="561" t="s">
        <v>478</v>
      </c>
    </row>
    <row r="186" spans="2:9" ht="16" x14ac:dyDescent="0.2">
      <c r="B186" s="555" t="s">
        <v>590</v>
      </c>
      <c r="C186" s="556">
        <v>68216.781410522774</v>
      </c>
      <c r="D186" s="557" t="s">
        <v>423</v>
      </c>
      <c r="E186" s="558">
        <v>1.1787195402422766E-2</v>
      </c>
      <c r="F186" s="558">
        <v>5.9834593409445649E-2</v>
      </c>
      <c r="G186" s="559">
        <v>1.7734593409445651E-2</v>
      </c>
      <c r="H186" s="560">
        <v>0.19</v>
      </c>
      <c r="I186" s="561" t="s">
        <v>478</v>
      </c>
    </row>
    <row r="187" spans="2:9" ht="16" x14ac:dyDescent="0.2">
      <c r="B187" s="555" t="s">
        <v>591</v>
      </c>
      <c r="C187" s="556">
        <v>1631.2867011151561</v>
      </c>
      <c r="D187" s="557" t="s">
        <v>508</v>
      </c>
      <c r="E187" s="558">
        <v>7.3727751634761987E-2</v>
      </c>
      <c r="F187" s="558">
        <v>0.15302814309045415</v>
      </c>
      <c r="G187" s="559">
        <v>0.11092814309045415</v>
      </c>
      <c r="H187" s="560">
        <v>0.3</v>
      </c>
      <c r="I187" s="561" t="s">
        <v>465</v>
      </c>
    </row>
    <row r="188" spans="2:9" ht="16" x14ac:dyDescent="0.2">
      <c r="B188" s="555" t="s">
        <v>592</v>
      </c>
      <c r="C188" s="556">
        <v>377781.60098587308</v>
      </c>
      <c r="D188" s="557" t="s">
        <v>460</v>
      </c>
      <c r="E188" s="558">
        <v>2.9583549245296346E-2</v>
      </c>
      <c r="F188" s="558">
        <v>8.6610352086451819E-2</v>
      </c>
      <c r="G188" s="559">
        <v>4.4510352086451821E-2</v>
      </c>
      <c r="H188" s="560">
        <v>0.27</v>
      </c>
      <c r="I188" s="561" t="s">
        <v>484</v>
      </c>
    </row>
    <row r="189" spans="2:9" ht="16" x14ac:dyDescent="0.2">
      <c r="B189" s="555" t="s">
        <v>425</v>
      </c>
      <c r="C189" s="556">
        <v>1580694.7125157141</v>
      </c>
      <c r="D189" s="557" t="s">
        <v>426</v>
      </c>
      <c r="E189" s="558">
        <v>1.5716260536563685E-2</v>
      </c>
      <c r="F189" s="558">
        <v>6.5746124545927528E-2</v>
      </c>
      <c r="G189" s="559">
        <v>2.3646124545927533E-2</v>
      </c>
      <c r="H189" s="560">
        <v>0.25</v>
      </c>
      <c r="I189" s="561" t="s">
        <v>481</v>
      </c>
    </row>
    <row r="190" spans="2:9" ht="16" x14ac:dyDescent="0.2">
      <c r="B190" s="555" t="s">
        <v>593</v>
      </c>
      <c r="C190" s="556">
        <v>84356.860421129953</v>
      </c>
      <c r="D190" s="557" t="s">
        <v>437</v>
      </c>
      <c r="E190" s="558">
        <v>0.11798751476346708</v>
      </c>
      <c r="F190" s="558">
        <v>0.21961980265729422</v>
      </c>
      <c r="G190" s="559">
        <v>0.17751980265729422</v>
      </c>
      <c r="H190" s="560">
        <v>0.24</v>
      </c>
      <c r="I190" s="561" t="s">
        <v>465</v>
      </c>
    </row>
    <row r="191" spans="2:9" ht="16" x14ac:dyDescent="0.2">
      <c r="B191" s="555" t="s">
        <v>594</v>
      </c>
      <c r="C191" s="556">
        <v>11900</v>
      </c>
      <c r="D191" s="557" t="s">
        <v>460</v>
      </c>
      <c r="E191" s="558">
        <v>2.9583549245296346E-2</v>
      </c>
      <c r="F191" s="558">
        <v>8.6610352086451819E-2</v>
      </c>
      <c r="G191" s="559">
        <v>4.4510352086451821E-2</v>
      </c>
      <c r="H191" s="560">
        <v>0.2853</v>
      </c>
      <c r="I191" s="561" t="s">
        <v>491</v>
      </c>
    </row>
    <row r="192" spans="2:9" ht="16" x14ac:dyDescent="0.2">
      <c r="B192" s="555" t="s">
        <v>595</v>
      </c>
      <c r="C192" s="556">
        <v>8100</v>
      </c>
      <c r="D192" s="557" t="s">
        <v>449</v>
      </c>
      <c r="E192" s="558">
        <v>6.3905088799409676E-2</v>
      </c>
      <c r="F192" s="558">
        <v>0.13824931524924944</v>
      </c>
      <c r="G192" s="559">
        <v>9.614931524924944E-2</v>
      </c>
      <c r="H192" s="560">
        <v>0.2853</v>
      </c>
      <c r="I192" s="561" t="s">
        <v>491</v>
      </c>
    </row>
    <row r="193" spans="2:9" ht="16" x14ac:dyDescent="0.2">
      <c r="B193" s="555" t="s">
        <v>596</v>
      </c>
      <c r="C193" s="556">
        <v>3782.4372960432288</v>
      </c>
      <c r="D193" s="557" t="s">
        <v>508</v>
      </c>
      <c r="E193" s="558">
        <v>7.3727751634761987E-2</v>
      </c>
      <c r="F193" s="558">
        <v>0.15302814309045415</v>
      </c>
      <c r="G193" s="559">
        <v>0.11092814309045415</v>
      </c>
      <c r="H193" s="560">
        <v>0.36</v>
      </c>
      <c r="I193" s="561" t="s">
        <v>487</v>
      </c>
    </row>
    <row r="194" spans="2:9" ht="16" x14ac:dyDescent="0.2">
      <c r="B194" s="555" t="s">
        <v>597</v>
      </c>
      <c r="C194" s="556">
        <v>4597.8558450427581</v>
      </c>
      <c r="D194" s="557" t="s">
        <v>435</v>
      </c>
      <c r="E194" s="558">
        <v>5.4082425964057379E-2</v>
      </c>
      <c r="F194" s="558">
        <v>0.12347048740804473</v>
      </c>
      <c r="G194" s="559">
        <v>8.1370487408044728E-2</v>
      </c>
      <c r="H194" s="560">
        <v>0.27500000000000002</v>
      </c>
      <c r="I194" s="561" t="s">
        <v>484</v>
      </c>
    </row>
    <row r="195" spans="2:9" ht="16" x14ac:dyDescent="0.2">
      <c r="B195" s="555" t="s">
        <v>427</v>
      </c>
      <c r="C195" s="556">
        <v>593267.70103340817</v>
      </c>
      <c r="D195" s="557" t="s">
        <v>410</v>
      </c>
      <c r="E195" s="558">
        <v>0</v>
      </c>
      <c r="F195" s="558">
        <v>4.2099999999999999E-2</v>
      </c>
      <c r="G195" s="559">
        <v>0</v>
      </c>
      <c r="H195" s="560">
        <v>0.20600000000000002</v>
      </c>
      <c r="I195" s="561" t="s">
        <v>481</v>
      </c>
    </row>
    <row r="196" spans="2:9" ht="16" x14ac:dyDescent="0.2">
      <c r="B196" s="555" t="s">
        <v>598</v>
      </c>
      <c r="C196" s="556">
        <v>884940.40223040886</v>
      </c>
      <c r="D196" s="557" t="s">
        <v>410</v>
      </c>
      <c r="E196" s="558">
        <v>0</v>
      </c>
      <c r="F196" s="558">
        <v>4.2099999999999999E-2</v>
      </c>
      <c r="G196" s="559">
        <v>0</v>
      </c>
      <c r="H196" s="560">
        <v>0.14599999999999999</v>
      </c>
      <c r="I196" s="561" t="s">
        <v>481</v>
      </c>
    </row>
    <row r="197" spans="2:9" ht="16" x14ac:dyDescent="0.2">
      <c r="B197" s="555" t="s">
        <v>599</v>
      </c>
      <c r="C197" s="556">
        <v>791610</v>
      </c>
      <c r="D197" s="557" t="s">
        <v>408</v>
      </c>
      <c r="E197" s="558">
        <v>5.8935977012113828E-3</v>
      </c>
      <c r="F197" s="558">
        <v>5.0967296704722824E-2</v>
      </c>
      <c r="G197" s="559">
        <v>8.8672967047228254E-3</v>
      </c>
      <c r="H197" s="560">
        <v>0.2</v>
      </c>
      <c r="I197" s="561" t="s">
        <v>465</v>
      </c>
    </row>
    <row r="198" spans="2:9" ht="16" x14ac:dyDescent="0.2">
      <c r="B198" s="555" t="s">
        <v>600</v>
      </c>
      <c r="C198" s="556">
        <v>12060.602008847782</v>
      </c>
      <c r="D198" s="557" t="s">
        <v>449</v>
      </c>
      <c r="E198" s="558">
        <v>6.3905088799409676E-2</v>
      </c>
      <c r="F198" s="558">
        <v>0.13824931524924944</v>
      </c>
      <c r="G198" s="559">
        <v>9.614931524924944E-2</v>
      </c>
      <c r="H198" s="560">
        <v>0.18</v>
      </c>
      <c r="I198" s="561" t="s">
        <v>478</v>
      </c>
    </row>
    <row r="199" spans="2:9" ht="16" x14ac:dyDescent="0.2">
      <c r="B199" s="555" t="s">
        <v>601</v>
      </c>
      <c r="C199" s="556">
        <v>79158.286333523982</v>
      </c>
      <c r="D199" s="557" t="s">
        <v>429</v>
      </c>
      <c r="E199" s="558">
        <v>4.4259763128705075E-2</v>
      </c>
      <c r="F199" s="558">
        <v>0.10869165956684003</v>
      </c>
      <c r="G199" s="559">
        <v>6.6591659566840031E-2</v>
      </c>
      <c r="H199" s="560">
        <v>0.3</v>
      </c>
      <c r="I199" s="561" t="s">
        <v>484</v>
      </c>
    </row>
    <row r="200" spans="2:9" ht="16" x14ac:dyDescent="0.2">
      <c r="B200" s="555" t="s">
        <v>602</v>
      </c>
      <c r="C200" s="556">
        <v>514944.99383357755</v>
      </c>
      <c r="D200" s="557" t="s">
        <v>426</v>
      </c>
      <c r="E200" s="558">
        <v>1.5716260536563685E-2</v>
      </c>
      <c r="F200" s="558">
        <v>6.5746124545927528E-2</v>
      </c>
      <c r="G200" s="559">
        <v>2.3646124545927533E-2</v>
      </c>
      <c r="H200" s="560">
        <v>0.2</v>
      </c>
      <c r="I200" s="561" t="s">
        <v>465</v>
      </c>
    </row>
    <row r="201" spans="2:9" ht="16" x14ac:dyDescent="0.2">
      <c r="B201" s="555" t="s">
        <v>603</v>
      </c>
      <c r="C201" s="556">
        <v>9171.2618350626417</v>
      </c>
      <c r="D201" s="557" t="s">
        <v>449</v>
      </c>
      <c r="E201" s="558">
        <v>6.3905088799409676E-2</v>
      </c>
      <c r="F201" s="558">
        <v>0.13824931524924944</v>
      </c>
      <c r="G201" s="559">
        <v>9.614931524924944E-2</v>
      </c>
      <c r="H201" s="560">
        <v>0.26860000000000001</v>
      </c>
      <c r="I201" s="561" t="s">
        <v>484</v>
      </c>
    </row>
    <row r="202" spans="2:9" ht="16" x14ac:dyDescent="0.2">
      <c r="B202" s="555" t="s">
        <v>459</v>
      </c>
      <c r="C202" s="556">
        <v>28139.944790291105</v>
      </c>
      <c r="D202" s="557" t="s">
        <v>460</v>
      </c>
      <c r="E202" s="558">
        <v>2.9583549245296346E-2</v>
      </c>
      <c r="F202" s="558">
        <v>8.6610352086451819E-2</v>
      </c>
      <c r="G202" s="559">
        <v>4.4510352086451821E-2</v>
      </c>
      <c r="H202" s="560">
        <v>0.3</v>
      </c>
      <c r="I202" s="561" t="s">
        <v>491</v>
      </c>
    </row>
    <row r="203" spans="2:9" ht="16" x14ac:dyDescent="0.2">
      <c r="B203" s="555" t="s">
        <v>604</v>
      </c>
      <c r="C203" s="556">
        <v>48529.595416653261</v>
      </c>
      <c r="D203" s="557" t="s">
        <v>508</v>
      </c>
      <c r="E203" s="558">
        <v>7.3727751634761987E-2</v>
      </c>
      <c r="F203" s="558">
        <v>0.15302814309045415</v>
      </c>
      <c r="G203" s="559">
        <v>0.11092814309045415</v>
      </c>
      <c r="H203" s="560">
        <v>0.15</v>
      </c>
      <c r="I203" s="561" t="s">
        <v>484</v>
      </c>
    </row>
    <row r="204" spans="2:9" ht="16" x14ac:dyDescent="0.2">
      <c r="B204" s="555" t="s">
        <v>428</v>
      </c>
      <c r="C204" s="556">
        <v>1108022.3732595111</v>
      </c>
      <c r="D204" s="557" t="s">
        <v>429</v>
      </c>
      <c r="E204" s="558">
        <v>4.4259763128705075E-2</v>
      </c>
      <c r="F204" s="558">
        <v>0.10869165956684003</v>
      </c>
      <c r="G204" s="559">
        <v>6.6591659566840031E-2</v>
      </c>
      <c r="H204" s="560">
        <v>0.25</v>
      </c>
      <c r="I204" s="561" t="s">
        <v>481</v>
      </c>
    </row>
    <row r="205" spans="2:9" ht="16" x14ac:dyDescent="0.2">
      <c r="B205" s="555" t="s">
        <v>605</v>
      </c>
      <c r="C205" s="556">
        <v>1402.0543909473399</v>
      </c>
      <c r="D205" s="557" t="s">
        <v>426</v>
      </c>
      <c r="E205" s="558">
        <v>1.5716260536563685E-2</v>
      </c>
      <c r="F205" s="558">
        <v>6.5746124545927528E-2</v>
      </c>
      <c r="G205" s="559">
        <v>2.3646124545927533E-2</v>
      </c>
      <c r="H205" s="560">
        <v>0</v>
      </c>
      <c r="I205" s="561" t="s">
        <v>491</v>
      </c>
    </row>
    <row r="206" spans="2:9" ht="16" x14ac:dyDescent="0.2">
      <c r="B206" s="555" t="s">
        <v>606</v>
      </c>
      <c r="C206" s="556">
        <v>49272.882213623001</v>
      </c>
      <c r="D206" s="557" t="s">
        <v>449</v>
      </c>
      <c r="E206" s="558">
        <v>6.3905088799409676E-2</v>
      </c>
      <c r="F206" s="558">
        <v>0.13824931524924944</v>
      </c>
      <c r="G206" s="559">
        <v>9.614931524924944E-2</v>
      </c>
      <c r="H206" s="560">
        <v>0.3</v>
      </c>
      <c r="I206" s="561" t="s">
        <v>484</v>
      </c>
    </row>
    <row r="207" spans="2:9" ht="16" x14ac:dyDescent="0.2">
      <c r="B207" s="555" t="s">
        <v>607</v>
      </c>
      <c r="C207" s="556">
        <v>178757.02138680895</v>
      </c>
      <c r="D207" s="557" t="s">
        <v>437</v>
      </c>
      <c r="E207" s="558">
        <v>0.11798751476346708</v>
      </c>
      <c r="F207" s="558">
        <v>0.21961980265729422</v>
      </c>
      <c r="G207" s="559">
        <v>0.17751980265729422</v>
      </c>
      <c r="H207" s="560">
        <v>0.18</v>
      </c>
      <c r="I207" s="561" t="s">
        <v>478</v>
      </c>
    </row>
    <row r="208" spans="2:9" ht="16" x14ac:dyDescent="0.2">
      <c r="B208" s="555" t="s">
        <v>608</v>
      </c>
      <c r="C208" s="556">
        <v>504173.45132743364</v>
      </c>
      <c r="D208" s="557" t="s">
        <v>474</v>
      </c>
      <c r="E208" s="558">
        <v>4.8535510480564323E-3</v>
      </c>
      <c r="F208" s="558">
        <v>4.9402479639183504E-2</v>
      </c>
      <c r="G208" s="559">
        <v>7.3024796391835027E-3</v>
      </c>
      <c r="H208" s="560">
        <v>0.25</v>
      </c>
      <c r="I208" s="561" t="s">
        <v>475</v>
      </c>
    </row>
    <row r="209" spans="2:9" ht="16" x14ac:dyDescent="0.2">
      <c r="B209" s="555" t="s">
        <v>430</v>
      </c>
      <c r="C209" s="556">
        <v>3340032.3806680357</v>
      </c>
      <c r="D209" s="557" t="s">
        <v>408</v>
      </c>
      <c r="E209" s="558">
        <v>5.8935977012113828E-3</v>
      </c>
      <c r="F209" s="558">
        <v>5.0967296704722824E-2</v>
      </c>
      <c r="G209" s="559">
        <v>8.8672967047228254E-3</v>
      </c>
      <c r="H209" s="560">
        <v>0.25</v>
      </c>
      <c r="I209" s="561" t="s">
        <v>481</v>
      </c>
    </row>
    <row r="210" spans="2:9" ht="16" x14ac:dyDescent="0.2">
      <c r="B210" s="555" t="s">
        <v>461</v>
      </c>
      <c r="C210" s="556">
        <v>77240.831587166962</v>
      </c>
      <c r="D210" s="557" t="s">
        <v>426</v>
      </c>
      <c r="E210" s="558">
        <v>1.5716260536563685E-2</v>
      </c>
      <c r="F210" s="558">
        <v>6.5746124545927528E-2</v>
      </c>
      <c r="G210" s="559">
        <v>2.3646124545927533E-2</v>
      </c>
      <c r="H210" s="560">
        <v>0.25</v>
      </c>
      <c r="I210" s="561" t="s">
        <v>487</v>
      </c>
    </row>
    <row r="211" spans="2:9" ht="16" x14ac:dyDescent="0.2">
      <c r="B211" s="555" t="s">
        <v>609</v>
      </c>
      <c r="C211" s="556">
        <v>90889.149306731269</v>
      </c>
      <c r="D211" s="557" t="s">
        <v>444</v>
      </c>
      <c r="E211" s="558">
        <v>3.5361586207268286E-2</v>
      </c>
      <c r="F211" s="558">
        <v>9.5303780228336937E-2</v>
      </c>
      <c r="G211" s="559">
        <v>5.3203780228336939E-2</v>
      </c>
      <c r="H211" s="560">
        <v>0.15</v>
      </c>
      <c r="I211" s="561" t="s">
        <v>478</v>
      </c>
    </row>
    <row r="212" spans="2:9" ht="16" x14ac:dyDescent="0.2">
      <c r="B212" s="555" t="s">
        <v>610</v>
      </c>
      <c r="C212" s="556">
        <v>98400</v>
      </c>
      <c r="D212" s="557" t="s">
        <v>505</v>
      </c>
      <c r="E212" s="558">
        <v>0.17499999999999999</v>
      </c>
      <c r="F212" s="558">
        <v>0.30539875264603467</v>
      </c>
      <c r="G212" s="559">
        <v>0.26329875264603469</v>
      </c>
      <c r="H212" s="560">
        <v>0.34</v>
      </c>
      <c r="I212" s="561" t="s">
        <v>487</v>
      </c>
    </row>
    <row r="213" spans="2:9" ht="16" x14ac:dyDescent="0.2">
      <c r="B213" s="555" t="s">
        <v>611</v>
      </c>
      <c r="C213" s="556">
        <v>429716.96904959279</v>
      </c>
      <c r="D213" s="557" t="s">
        <v>460</v>
      </c>
      <c r="E213" s="558">
        <v>2.9583549245296346E-2</v>
      </c>
      <c r="F213" s="558">
        <v>8.6610352086451819E-2</v>
      </c>
      <c r="G213" s="559">
        <v>4.4510352086451821E-2</v>
      </c>
      <c r="H213" s="560">
        <v>0.2</v>
      </c>
      <c r="I213" s="561" t="s">
        <v>465</v>
      </c>
    </row>
    <row r="214" spans="2:9" ht="16" x14ac:dyDescent="0.2">
      <c r="B214" s="555" t="s">
        <v>612</v>
      </c>
      <c r="C214" s="556">
        <v>28162.630953928499</v>
      </c>
      <c r="D214" s="557" t="s">
        <v>521</v>
      </c>
      <c r="E214" s="558">
        <v>8.851952625741015E-2</v>
      </c>
      <c r="F214" s="558">
        <v>0.17528331913368006</v>
      </c>
      <c r="G214" s="559">
        <v>0.13318331913368006</v>
      </c>
      <c r="H214" s="560">
        <v>0.35</v>
      </c>
      <c r="I214" s="561" t="s">
        <v>484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3E549-F218-4FE4-96D1-F1FD686FA36F}">
  <sheetPr>
    <tabColor theme="0" tint="-0.14999847407452621"/>
  </sheetPr>
  <dimension ref="A1:AY325"/>
  <sheetViews>
    <sheetView showGridLines="0" view="pageBreakPreview" topLeftCell="A262" zoomScale="53" zoomScaleNormal="40" workbookViewId="0">
      <selection activeCell="D325" sqref="D325"/>
    </sheetView>
  </sheetViews>
  <sheetFormatPr baseColWidth="10" defaultColWidth="8.6640625" defaultRowHeight="15" x14ac:dyDescent="0.2"/>
  <cols>
    <col min="1" max="2" width="2.1640625" customWidth="1"/>
    <col min="3" max="3" width="25.5" style="1" bestFit="1" customWidth="1"/>
    <col min="4" max="4" width="15.5" style="1" bestFit="1" customWidth="1"/>
    <col min="5" max="5" width="22" style="1" bestFit="1" customWidth="1"/>
    <col min="6" max="6" width="8.33203125" style="1" bestFit="1" customWidth="1"/>
    <col min="7" max="7" width="15.83203125" style="1" bestFit="1" customWidth="1"/>
    <col min="8" max="9" width="10.6640625" style="1" bestFit="1" customWidth="1"/>
    <col min="10" max="17" width="10.5" style="1" bestFit="1" customWidth="1"/>
    <col min="18" max="16384" width="8.6640625" style="1"/>
  </cols>
  <sheetData>
    <row r="1" spans="1:17" customFormat="1" x14ac:dyDescent="0.2"/>
    <row r="2" spans="1:17" s="112" customFormat="1" x14ac:dyDescent="0.2">
      <c r="A2" s="113">
        <v>1</v>
      </c>
      <c r="B2"/>
      <c r="C2" s="114" t="s">
        <v>613</v>
      </c>
    </row>
    <row r="3" spans="1:17" customFormat="1" x14ac:dyDescent="0.2"/>
    <row r="4" spans="1:17" customFormat="1" x14ac:dyDescent="0.2">
      <c r="C4" s="111" t="s">
        <v>614</v>
      </c>
      <c r="D4" s="111" t="s">
        <v>615</v>
      </c>
      <c r="E4" s="111" t="s">
        <v>616</v>
      </c>
      <c r="F4" s="111" t="s">
        <v>617</v>
      </c>
      <c r="G4" s="111" t="s">
        <v>618</v>
      </c>
      <c r="H4" s="111" t="s">
        <v>619</v>
      </c>
      <c r="I4" s="111" t="s">
        <v>620</v>
      </c>
      <c r="J4" s="111" t="s">
        <v>621</v>
      </c>
      <c r="K4" s="111" t="s">
        <v>622</v>
      </c>
      <c r="L4" s="111" t="s">
        <v>623</v>
      </c>
      <c r="M4" s="111" t="s">
        <v>624</v>
      </c>
      <c r="N4" s="111" t="s">
        <v>625</v>
      </c>
      <c r="O4" s="111" t="s">
        <v>626</v>
      </c>
      <c r="P4" s="111" t="s">
        <v>627</v>
      </c>
      <c r="Q4" s="111" t="s">
        <v>628</v>
      </c>
    </row>
    <row r="5" spans="1:17" customFormat="1" x14ac:dyDescent="0.2">
      <c r="C5" s="107" t="s">
        <v>629</v>
      </c>
      <c r="D5" s="108" t="s">
        <v>630</v>
      </c>
      <c r="E5" s="107" t="s">
        <v>631</v>
      </c>
      <c r="F5" s="107" t="s">
        <v>632</v>
      </c>
      <c r="G5" s="110" t="s">
        <v>633</v>
      </c>
      <c r="H5" s="115">
        <v>-6.0000000000000001E-3</v>
      </c>
      <c r="I5" s="115">
        <v>5.7999999999999996E-2</v>
      </c>
      <c r="J5" s="115">
        <v>5.5E-2</v>
      </c>
      <c r="K5" s="115">
        <v>0.219</v>
      </c>
      <c r="L5" s="115">
        <v>0.20100000000000001</v>
      </c>
      <c r="M5" s="116">
        <v>0.18300000000000002</v>
      </c>
      <c r="N5" s="116">
        <v>0.16700000000000001</v>
      </c>
      <c r="O5" s="116">
        <v>0.154</v>
      </c>
      <c r="P5" s="116">
        <v>0.14400000000000002</v>
      </c>
      <c r="Q5" s="116">
        <v>0.13400000000000001</v>
      </c>
    </row>
    <row r="6" spans="1:17" customFormat="1" x14ac:dyDescent="0.2">
      <c r="C6" s="107" t="s">
        <v>634</v>
      </c>
      <c r="D6" s="108" t="s">
        <v>630</v>
      </c>
      <c r="E6" s="107" t="s">
        <v>631</v>
      </c>
      <c r="F6" s="107" t="s">
        <v>632</v>
      </c>
      <c r="G6" s="110" t="s">
        <v>633</v>
      </c>
      <c r="H6" s="115">
        <v>2.1000000000000001E-2</v>
      </c>
      <c r="I6" s="115">
        <v>0.01</v>
      </c>
      <c r="J6" s="115">
        <v>9.0000000000000011E-3</v>
      </c>
      <c r="K6" s="115">
        <v>8.0000000000000002E-3</v>
      </c>
      <c r="L6" s="115">
        <v>5.0000000000000001E-3</v>
      </c>
      <c r="M6" s="116">
        <v>2E-3</v>
      </c>
      <c r="N6" s="116">
        <v>1E-3</v>
      </c>
      <c r="O6" s="116">
        <v>0</v>
      </c>
      <c r="P6" s="116">
        <v>-1E-3</v>
      </c>
      <c r="Q6" s="116">
        <v>-2E-3</v>
      </c>
    </row>
    <row r="7" spans="1:17" customFormat="1" x14ac:dyDescent="0.2">
      <c r="C7" s="107" t="s">
        <v>489</v>
      </c>
      <c r="D7" s="108" t="s">
        <v>630</v>
      </c>
      <c r="E7" s="107" t="s">
        <v>631</v>
      </c>
      <c r="F7" s="107" t="s">
        <v>632</v>
      </c>
      <c r="G7" s="110" t="s">
        <v>633</v>
      </c>
      <c r="H7" s="115">
        <v>2.2000000000000002E-2</v>
      </c>
      <c r="I7" s="115">
        <v>-1.4999999999999999E-2</v>
      </c>
      <c r="J7" s="115">
        <v>6.2000000000000006E-2</v>
      </c>
      <c r="K7" s="115">
        <v>3.9E-2</v>
      </c>
      <c r="L7" s="115">
        <v>1.8000000000000002E-2</v>
      </c>
      <c r="M7" s="116">
        <v>1.4999999999999999E-2</v>
      </c>
      <c r="N7" s="116">
        <v>1.3000000000000001E-2</v>
      </c>
      <c r="O7" s="116">
        <v>1.1000000000000001E-2</v>
      </c>
      <c r="P7" s="116">
        <v>9.0000000000000011E-3</v>
      </c>
      <c r="Q7" s="116">
        <v>6.9999999999999993E-3</v>
      </c>
    </row>
    <row r="8" spans="1:17" customFormat="1" x14ac:dyDescent="0.2">
      <c r="C8" s="107" t="s">
        <v>496</v>
      </c>
      <c r="D8" s="108" t="s">
        <v>630</v>
      </c>
      <c r="E8" s="107" t="s">
        <v>631</v>
      </c>
      <c r="F8" s="107" t="s">
        <v>632</v>
      </c>
      <c r="G8" s="110" t="s">
        <v>633</v>
      </c>
      <c r="H8" s="115">
        <v>2.7000000000000003E-2</v>
      </c>
      <c r="I8" s="115">
        <v>3.2000000000000001E-2</v>
      </c>
      <c r="J8" s="115">
        <v>0.02</v>
      </c>
      <c r="K8" s="115">
        <v>2.3E-2</v>
      </c>
      <c r="L8" s="115">
        <v>2.2000000000000002E-2</v>
      </c>
      <c r="M8" s="116">
        <v>1.8000000000000002E-2</v>
      </c>
      <c r="N8" s="116">
        <v>1.4999999999999999E-2</v>
      </c>
      <c r="O8" s="116">
        <v>1.4999999999999999E-2</v>
      </c>
      <c r="P8" s="116">
        <v>1.3000000000000001E-2</v>
      </c>
      <c r="Q8" s="116">
        <v>0.01</v>
      </c>
    </row>
    <row r="9" spans="1:17" customFormat="1" x14ac:dyDescent="0.2">
      <c r="C9" s="107" t="s">
        <v>501</v>
      </c>
      <c r="D9" s="108" t="s">
        <v>630</v>
      </c>
      <c r="E9" s="107" t="s">
        <v>631</v>
      </c>
      <c r="F9" s="107" t="s">
        <v>632</v>
      </c>
      <c r="G9" s="110" t="s">
        <v>633</v>
      </c>
      <c r="H9" s="115">
        <v>8.5999999999999993E-2</v>
      </c>
      <c r="I9" s="115">
        <v>0.08</v>
      </c>
      <c r="J9" s="115">
        <v>8.199999999999999E-2</v>
      </c>
      <c r="K9" s="115">
        <v>0.10300000000000001</v>
      </c>
      <c r="L9" s="115">
        <v>9.5000000000000001E-2</v>
      </c>
      <c r="M9" s="116">
        <v>8.6999999999999994E-2</v>
      </c>
      <c r="N9" s="116">
        <v>0.08</v>
      </c>
      <c r="O9" s="116">
        <v>7.2999999999999995E-2</v>
      </c>
      <c r="P9" s="116">
        <v>6.7000000000000004E-2</v>
      </c>
      <c r="Q9" s="116">
        <v>6.0999999999999999E-2</v>
      </c>
    </row>
    <row r="10" spans="1:17" customFormat="1" x14ac:dyDescent="0.2">
      <c r="C10" s="107" t="s">
        <v>635</v>
      </c>
      <c r="D10" s="108" t="s">
        <v>630</v>
      </c>
      <c r="E10" s="107" t="s">
        <v>631</v>
      </c>
      <c r="F10" s="107" t="s">
        <v>632</v>
      </c>
      <c r="G10" s="110" t="s">
        <v>633</v>
      </c>
      <c r="H10" s="115">
        <v>0.125</v>
      </c>
      <c r="I10" s="115">
        <v>1.7000000000000001E-2</v>
      </c>
      <c r="J10" s="115">
        <v>3.3000000000000002E-2</v>
      </c>
      <c r="K10" s="115">
        <v>2.2000000000000002E-2</v>
      </c>
      <c r="L10" s="115">
        <v>2.1000000000000001E-2</v>
      </c>
      <c r="M10" s="116">
        <v>0.02</v>
      </c>
      <c r="N10" s="116">
        <v>1.8000000000000002E-2</v>
      </c>
      <c r="O10" s="116">
        <v>1.6E-2</v>
      </c>
      <c r="P10" s="116">
        <v>1.3999999999999999E-2</v>
      </c>
      <c r="Q10" s="116">
        <v>1.3000000000000001E-2</v>
      </c>
    </row>
    <row r="11" spans="1:17" customFormat="1" x14ac:dyDescent="0.2">
      <c r="C11" s="107" t="s">
        <v>636</v>
      </c>
      <c r="D11" s="108" t="s">
        <v>630</v>
      </c>
      <c r="E11" s="107" t="s">
        <v>631</v>
      </c>
      <c r="F11" s="107" t="s">
        <v>632</v>
      </c>
      <c r="G11" s="110" t="s">
        <v>633</v>
      </c>
      <c r="H11" s="115">
        <v>2.5000000000000001E-2</v>
      </c>
      <c r="I11" s="115">
        <v>2.3E-2</v>
      </c>
      <c r="J11" s="115">
        <v>0.01</v>
      </c>
      <c r="K11" s="115">
        <v>1.1000000000000001E-2</v>
      </c>
      <c r="L11" s="115">
        <v>0.01</v>
      </c>
      <c r="M11" s="116">
        <v>0.01</v>
      </c>
      <c r="N11" s="116">
        <v>9.0000000000000011E-3</v>
      </c>
      <c r="O11" s="116">
        <v>9.0000000000000011E-3</v>
      </c>
      <c r="P11" s="116">
        <v>8.0000000000000002E-3</v>
      </c>
      <c r="Q11" s="116">
        <v>8.0000000000000002E-3</v>
      </c>
    </row>
    <row r="12" spans="1:17" customFormat="1" x14ac:dyDescent="0.2">
      <c r="C12" s="107" t="s">
        <v>515</v>
      </c>
      <c r="D12" s="108" t="s">
        <v>630</v>
      </c>
      <c r="E12" s="107" t="s">
        <v>631</v>
      </c>
      <c r="F12" s="107" t="s">
        <v>632</v>
      </c>
      <c r="G12" s="110" t="s">
        <v>633</v>
      </c>
      <c r="H12" s="115">
        <v>9.8000000000000004E-2</v>
      </c>
      <c r="I12" s="115">
        <v>4.4999999999999998E-2</v>
      </c>
      <c r="J12" s="115">
        <v>3.3000000000000002E-2</v>
      </c>
      <c r="K12" s="115">
        <v>7.2999999999999995E-2</v>
      </c>
      <c r="L12" s="115">
        <v>6.7000000000000004E-2</v>
      </c>
      <c r="M12" s="116">
        <v>6.0999999999999999E-2</v>
      </c>
      <c r="N12" s="116">
        <v>5.5E-2</v>
      </c>
      <c r="O12" s="116">
        <v>0.05</v>
      </c>
      <c r="P12" s="116">
        <v>4.4999999999999998E-2</v>
      </c>
      <c r="Q12" s="116">
        <v>4.0999999999999995E-2</v>
      </c>
    </row>
    <row r="13" spans="1:17" customFormat="1" x14ac:dyDescent="0.2">
      <c r="C13" s="107" t="s">
        <v>400</v>
      </c>
      <c r="D13" s="108" t="s">
        <v>630</v>
      </c>
      <c r="E13" s="107" t="s">
        <v>631</v>
      </c>
      <c r="F13" s="107" t="s">
        <v>632</v>
      </c>
      <c r="G13" s="110" t="s">
        <v>633</v>
      </c>
      <c r="H13" s="115">
        <v>0.05</v>
      </c>
      <c r="I13" s="115">
        <v>4.0999999999999995E-2</v>
      </c>
      <c r="J13" s="115">
        <v>0.20399999999999999</v>
      </c>
      <c r="K13" s="115">
        <v>1.8000000000000002E-2</v>
      </c>
      <c r="L13" s="115">
        <v>1.3000000000000001E-2</v>
      </c>
      <c r="M13" s="116">
        <v>0.01</v>
      </c>
      <c r="N13" s="116">
        <v>8.0000000000000002E-3</v>
      </c>
      <c r="O13" s="116">
        <v>6.0000000000000001E-3</v>
      </c>
      <c r="P13" s="116">
        <v>5.0000000000000001E-3</v>
      </c>
      <c r="Q13" s="116">
        <v>4.0000000000000001E-3</v>
      </c>
    </row>
    <row r="14" spans="1:17" customFormat="1" x14ac:dyDescent="0.2">
      <c r="C14" s="107" t="s">
        <v>531</v>
      </c>
      <c r="D14" s="108" t="s">
        <v>630</v>
      </c>
      <c r="E14" s="107" t="s">
        <v>631</v>
      </c>
      <c r="F14" s="107" t="s">
        <v>632</v>
      </c>
      <c r="G14" s="110" t="s">
        <v>633</v>
      </c>
      <c r="H14" s="115">
        <v>0.09</v>
      </c>
      <c r="I14" s="115">
        <v>5.5999999999999994E-2</v>
      </c>
      <c r="J14" s="115">
        <v>2.1000000000000001E-2</v>
      </c>
      <c r="K14" s="115">
        <v>3.5000000000000003E-2</v>
      </c>
      <c r="L14" s="115">
        <v>3.1000000000000003E-2</v>
      </c>
      <c r="M14" s="116">
        <v>2.7999999999999997E-2</v>
      </c>
      <c r="N14" s="116">
        <v>2.5000000000000001E-2</v>
      </c>
      <c r="O14" s="116">
        <v>2.3E-2</v>
      </c>
      <c r="P14" s="116">
        <v>0.02</v>
      </c>
      <c r="Q14" s="116">
        <v>1.8000000000000002E-2</v>
      </c>
    </row>
    <row r="15" spans="1:17" customFormat="1" x14ac:dyDescent="0.2">
      <c r="C15" s="107" t="s">
        <v>637</v>
      </c>
      <c r="D15" s="108" t="s">
        <v>630</v>
      </c>
      <c r="E15" s="107" t="s">
        <v>631</v>
      </c>
      <c r="F15" s="107" t="s">
        <v>632</v>
      </c>
      <c r="G15" s="110" t="s">
        <v>633</v>
      </c>
      <c r="H15" s="115">
        <v>3.1000000000000003E-2</v>
      </c>
      <c r="I15" s="115">
        <v>2.7999999999999997E-2</v>
      </c>
      <c r="J15" s="115">
        <v>2.6000000000000002E-2</v>
      </c>
      <c r="K15" s="115">
        <v>2.3E-2</v>
      </c>
      <c r="L15" s="115">
        <v>1.9E-2</v>
      </c>
      <c r="M15" s="116">
        <v>1.7000000000000001E-2</v>
      </c>
      <c r="N15" s="116">
        <v>1.6E-2</v>
      </c>
      <c r="O15" s="116">
        <v>1.3999999999999999E-2</v>
      </c>
      <c r="P15" s="116">
        <v>1.3000000000000001E-2</v>
      </c>
      <c r="Q15" s="116">
        <v>1.1000000000000001E-2</v>
      </c>
    </row>
    <row r="16" spans="1:17" customFormat="1" x14ac:dyDescent="0.2">
      <c r="C16" s="107" t="s">
        <v>638</v>
      </c>
      <c r="D16" s="108" t="s">
        <v>630</v>
      </c>
      <c r="E16" s="107" t="s">
        <v>631</v>
      </c>
      <c r="F16" s="107" t="s">
        <v>632</v>
      </c>
      <c r="G16" s="110" t="s">
        <v>633</v>
      </c>
      <c r="H16" s="115">
        <v>0.03</v>
      </c>
      <c r="I16" s="115">
        <v>2.7000000000000003E-2</v>
      </c>
      <c r="J16" s="115">
        <v>2.4E-2</v>
      </c>
      <c r="K16" s="115">
        <v>2.2000000000000002E-2</v>
      </c>
      <c r="L16" s="115">
        <v>0.02</v>
      </c>
      <c r="M16" s="116">
        <v>1.9E-2</v>
      </c>
      <c r="N16" s="116">
        <v>1.7000000000000001E-2</v>
      </c>
      <c r="O16" s="116">
        <v>1.4999999999999999E-2</v>
      </c>
      <c r="P16" s="116">
        <v>1.3999999999999999E-2</v>
      </c>
      <c r="Q16" s="116">
        <v>1.3000000000000001E-2</v>
      </c>
    </row>
    <row r="17" spans="3:17" customFormat="1" x14ac:dyDescent="0.2">
      <c r="C17" s="107" t="s">
        <v>639</v>
      </c>
      <c r="D17" s="108" t="s">
        <v>630</v>
      </c>
      <c r="E17" s="107" t="s">
        <v>631</v>
      </c>
      <c r="F17" s="107" t="s">
        <v>632</v>
      </c>
      <c r="G17" s="110" t="s">
        <v>633</v>
      </c>
      <c r="H17" s="115">
        <v>0</v>
      </c>
      <c r="I17" s="115">
        <v>0.02</v>
      </c>
      <c r="J17" s="115">
        <v>3.2000000000000001E-2</v>
      </c>
      <c r="K17" s="115">
        <v>6.0000000000000001E-3</v>
      </c>
      <c r="L17" s="115">
        <v>9.0000000000000011E-3</v>
      </c>
      <c r="M17" s="116">
        <v>8.0000000000000002E-3</v>
      </c>
      <c r="N17" s="116">
        <v>6.9999999999999993E-3</v>
      </c>
      <c r="O17" s="116">
        <v>6.9999999999999993E-3</v>
      </c>
      <c r="P17" s="116">
        <v>6.9999999999999993E-3</v>
      </c>
      <c r="Q17" s="116">
        <v>6.9999999999999993E-3</v>
      </c>
    </row>
    <row r="18" spans="3:17" customFormat="1" x14ac:dyDescent="0.2">
      <c r="C18" s="107" t="s">
        <v>401</v>
      </c>
      <c r="D18" s="108" t="s">
        <v>630</v>
      </c>
      <c r="E18" s="107" t="s">
        <v>631</v>
      </c>
      <c r="F18" s="107" t="s">
        <v>632</v>
      </c>
      <c r="G18" s="110" t="s">
        <v>633</v>
      </c>
      <c r="H18" s="115">
        <v>0.17800000000000002</v>
      </c>
      <c r="I18" s="115">
        <v>0.115</v>
      </c>
      <c r="J18" s="115">
        <v>0.106</v>
      </c>
      <c r="K18" s="115">
        <v>8.8000000000000009E-2</v>
      </c>
      <c r="L18" s="115">
        <v>7.400000000000001E-2</v>
      </c>
      <c r="M18" s="116">
        <v>5.2000000000000005E-2</v>
      </c>
      <c r="N18" s="116">
        <v>4.7E-2</v>
      </c>
      <c r="O18" s="116">
        <v>4.2999999999999997E-2</v>
      </c>
      <c r="P18" s="116">
        <v>3.9E-2</v>
      </c>
      <c r="Q18" s="116">
        <v>3.5000000000000003E-2</v>
      </c>
    </row>
    <row r="19" spans="3:17" customFormat="1" x14ac:dyDescent="0.2">
      <c r="C19" s="107" t="s">
        <v>540</v>
      </c>
      <c r="D19" s="108" t="s">
        <v>630</v>
      </c>
      <c r="E19" s="107" t="s">
        <v>631</v>
      </c>
      <c r="F19" s="107" t="s">
        <v>632</v>
      </c>
      <c r="G19" s="110" t="s">
        <v>633</v>
      </c>
      <c r="H19" s="115">
        <v>0.16600000000000001</v>
      </c>
      <c r="I19" s="115">
        <v>0.08</v>
      </c>
      <c r="J19" s="115">
        <v>5.0999999999999997E-2</v>
      </c>
      <c r="K19" s="115">
        <v>6.0999999999999999E-2</v>
      </c>
      <c r="L19" s="115">
        <v>4.7E-2</v>
      </c>
      <c r="M19" s="116">
        <v>4.2999999999999997E-2</v>
      </c>
      <c r="N19" s="116">
        <v>3.9E-2</v>
      </c>
      <c r="O19" s="116">
        <v>3.5000000000000003E-2</v>
      </c>
      <c r="P19" s="116">
        <v>3.1000000000000003E-2</v>
      </c>
      <c r="Q19" s="116">
        <v>2.7999999999999997E-2</v>
      </c>
    </row>
    <row r="20" spans="3:17" customFormat="1" x14ac:dyDescent="0.2">
      <c r="C20" s="107" t="s">
        <v>402</v>
      </c>
      <c r="D20" s="108" t="s">
        <v>630</v>
      </c>
      <c r="E20" s="107" t="s">
        <v>631</v>
      </c>
      <c r="F20" s="107" t="s">
        <v>632</v>
      </c>
      <c r="G20" s="110" t="s">
        <v>633</v>
      </c>
      <c r="H20" s="115">
        <v>-1.8000000000000002E-2</v>
      </c>
      <c r="I20" s="115">
        <v>-2.7999999999999997E-2</v>
      </c>
      <c r="J20" s="115">
        <v>-0.03</v>
      </c>
      <c r="K20" s="115">
        <v>1.3999999999999999E-2</v>
      </c>
      <c r="L20" s="115">
        <v>1.1000000000000001E-2</v>
      </c>
      <c r="M20" s="116">
        <v>9.0000000000000011E-3</v>
      </c>
      <c r="N20" s="116">
        <v>6.9999999999999993E-3</v>
      </c>
      <c r="O20" s="116">
        <v>5.0000000000000001E-3</v>
      </c>
      <c r="P20" s="116">
        <v>3.0000000000000001E-3</v>
      </c>
      <c r="Q20" s="116">
        <v>2E-3</v>
      </c>
    </row>
    <row r="21" spans="3:17" customFormat="1" x14ac:dyDescent="0.2">
      <c r="C21" s="107" t="s">
        <v>547</v>
      </c>
      <c r="D21" s="108" t="s">
        <v>630</v>
      </c>
      <c r="E21" s="107" t="s">
        <v>631</v>
      </c>
      <c r="F21" s="107" t="s">
        <v>632</v>
      </c>
      <c r="G21" s="110" t="s">
        <v>633</v>
      </c>
      <c r="H21" s="115">
        <v>7.2999999999999995E-2</v>
      </c>
      <c r="I21" s="115">
        <v>0.03</v>
      </c>
      <c r="J21" s="115">
        <v>2.2000000000000002E-2</v>
      </c>
      <c r="K21" s="115">
        <v>2.3E-2</v>
      </c>
      <c r="L21" s="115">
        <v>2.6000000000000002E-2</v>
      </c>
      <c r="M21" s="116">
        <v>2.5000000000000001E-2</v>
      </c>
      <c r="N21" s="116">
        <v>2.2000000000000002E-2</v>
      </c>
      <c r="O21" s="116">
        <v>1.9E-2</v>
      </c>
      <c r="P21" s="116">
        <v>1.7000000000000001E-2</v>
      </c>
      <c r="Q21" s="116">
        <v>1.4999999999999999E-2</v>
      </c>
    </row>
    <row r="22" spans="3:17" customFormat="1" x14ac:dyDescent="0.2">
      <c r="C22" s="107" t="s">
        <v>640</v>
      </c>
      <c r="D22" s="108" t="s">
        <v>630</v>
      </c>
      <c r="E22" s="107" t="s">
        <v>631</v>
      </c>
      <c r="F22" s="107" t="s">
        <v>632</v>
      </c>
      <c r="G22" s="110" t="s">
        <v>633</v>
      </c>
      <c r="H22" s="115">
        <v>0.28999999999999998</v>
      </c>
      <c r="I22" s="115">
        <v>0.17100000000000001</v>
      </c>
      <c r="J22" s="115">
        <v>0.10099999999999999</v>
      </c>
      <c r="K22" s="115">
        <v>3.4000000000000002E-2</v>
      </c>
      <c r="L22" s="115">
        <v>3.2000000000000001E-2</v>
      </c>
      <c r="M22" s="116">
        <v>0.03</v>
      </c>
      <c r="N22" s="116">
        <v>2.7999999999999997E-2</v>
      </c>
      <c r="O22" s="116">
        <v>2.6000000000000002E-2</v>
      </c>
      <c r="P22" s="116">
        <v>2.4E-2</v>
      </c>
      <c r="Q22" s="116">
        <v>2.2000000000000002E-2</v>
      </c>
    </row>
    <row r="23" spans="3:17" customFormat="1" x14ac:dyDescent="0.2">
      <c r="C23" s="107" t="s">
        <v>551</v>
      </c>
      <c r="D23" s="108" t="s">
        <v>630</v>
      </c>
      <c r="E23" s="107" t="s">
        <v>631</v>
      </c>
      <c r="F23" s="107" t="s">
        <v>632</v>
      </c>
      <c r="G23" s="110" t="s">
        <v>633</v>
      </c>
      <c r="H23" s="115">
        <v>9.8000000000000004E-2</v>
      </c>
      <c r="I23" s="115">
        <v>9.6000000000000002E-2</v>
      </c>
      <c r="J23" s="115">
        <v>9.4E-2</v>
      </c>
      <c r="K23" s="115">
        <v>3.7000000000000005E-2</v>
      </c>
      <c r="L23" s="115">
        <v>3.4000000000000002E-2</v>
      </c>
      <c r="M23" s="116">
        <v>0.03</v>
      </c>
      <c r="N23" s="116">
        <v>2.7000000000000003E-2</v>
      </c>
      <c r="O23" s="116">
        <v>2.5000000000000001E-2</v>
      </c>
      <c r="P23" s="116">
        <v>2.3E-2</v>
      </c>
      <c r="Q23" s="116">
        <v>2.1000000000000001E-2</v>
      </c>
    </row>
    <row r="24" spans="3:17" customFormat="1" x14ac:dyDescent="0.2">
      <c r="C24" s="107" t="s">
        <v>552</v>
      </c>
      <c r="D24" s="108" t="s">
        <v>630</v>
      </c>
      <c r="E24" s="107" t="s">
        <v>631</v>
      </c>
      <c r="F24" s="107" t="s">
        <v>632</v>
      </c>
      <c r="G24" s="110" t="s">
        <v>633</v>
      </c>
      <c r="H24" s="115">
        <v>0.16700000000000001</v>
      </c>
      <c r="I24" s="115">
        <v>2.7999999999999997E-2</v>
      </c>
      <c r="J24" s="115">
        <v>3.1000000000000003E-2</v>
      </c>
      <c r="K24" s="115">
        <v>6.9000000000000006E-2</v>
      </c>
      <c r="L24" s="115">
        <v>6.3E-2</v>
      </c>
      <c r="M24" s="116">
        <v>5.7000000000000002E-2</v>
      </c>
      <c r="N24" s="116">
        <v>5.2000000000000005E-2</v>
      </c>
      <c r="O24" s="116">
        <v>4.8000000000000001E-2</v>
      </c>
      <c r="P24" s="116">
        <v>4.4000000000000004E-2</v>
      </c>
      <c r="Q24" s="116">
        <v>0.04</v>
      </c>
    </row>
    <row r="25" spans="3:17" customFormat="1" x14ac:dyDescent="0.2">
      <c r="C25" s="107" t="s">
        <v>641</v>
      </c>
      <c r="D25" s="108" t="s">
        <v>630</v>
      </c>
      <c r="E25" s="107" t="s">
        <v>631</v>
      </c>
      <c r="F25" s="107" t="s">
        <v>632</v>
      </c>
      <c r="G25" s="110" t="s">
        <v>633</v>
      </c>
      <c r="H25" s="115">
        <v>3.1000000000000003E-2</v>
      </c>
      <c r="I25" s="115">
        <v>1.2E-2</v>
      </c>
      <c r="J25" s="115">
        <v>3.1000000000000003E-2</v>
      </c>
      <c r="K25" s="115">
        <v>2.7000000000000003E-2</v>
      </c>
      <c r="L25" s="115">
        <v>1.8000000000000002E-2</v>
      </c>
      <c r="M25" s="116">
        <v>1.4999999999999999E-2</v>
      </c>
      <c r="N25" s="116">
        <v>1.3000000000000001E-2</v>
      </c>
      <c r="O25" s="116">
        <v>0.01</v>
      </c>
      <c r="P25" s="116">
        <v>0.01</v>
      </c>
      <c r="Q25" s="116">
        <v>9.0000000000000011E-3</v>
      </c>
    </row>
    <row r="26" spans="3:17" customFormat="1" x14ac:dyDescent="0.2">
      <c r="C26" s="107" t="s">
        <v>559</v>
      </c>
      <c r="D26" s="108" t="s">
        <v>630</v>
      </c>
      <c r="E26" s="107" t="s">
        <v>631</v>
      </c>
      <c r="F26" s="107" t="s">
        <v>632</v>
      </c>
      <c r="G26" s="110" t="s">
        <v>633</v>
      </c>
      <c r="H26" s="115">
        <v>0.09</v>
      </c>
      <c r="I26" s="115">
        <v>1.6E-2</v>
      </c>
      <c r="J26" s="115">
        <v>2.7999999999999997E-2</v>
      </c>
      <c r="K26" s="115">
        <v>2.5000000000000001E-2</v>
      </c>
      <c r="L26" s="115">
        <v>1.3999999999999999E-2</v>
      </c>
      <c r="M26" s="116">
        <v>1.3000000000000001E-2</v>
      </c>
      <c r="N26" s="116">
        <v>1.1000000000000001E-2</v>
      </c>
      <c r="O26" s="116">
        <v>1.2E-2</v>
      </c>
      <c r="P26" s="116">
        <v>1.1000000000000001E-2</v>
      </c>
      <c r="Q26" s="116">
        <v>1.1000000000000001E-2</v>
      </c>
    </row>
    <row r="27" spans="3:17" customFormat="1" x14ac:dyDescent="0.2">
      <c r="C27" s="107" t="s">
        <v>560</v>
      </c>
      <c r="D27" s="108" t="s">
        <v>630</v>
      </c>
      <c r="E27" s="107" t="s">
        <v>631</v>
      </c>
      <c r="F27" s="107" t="s">
        <v>632</v>
      </c>
      <c r="G27" s="110" t="s">
        <v>633</v>
      </c>
      <c r="H27" s="115">
        <v>6.9000000000000006E-2</v>
      </c>
      <c r="I27" s="115">
        <v>4.2999999999999997E-2</v>
      </c>
      <c r="J27" s="115">
        <v>1.4999999999999999E-2</v>
      </c>
      <c r="K27" s="115">
        <v>2.6000000000000002E-2</v>
      </c>
      <c r="L27" s="115">
        <v>2.4E-2</v>
      </c>
      <c r="M27" s="116">
        <v>2.2000000000000002E-2</v>
      </c>
      <c r="N27" s="116">
        <v>0.02</v>
      </c>
      <c r="O27" s="116">
        <v>1.8000000000000002E-2</v>
      </c>
      <c r="P27" s="116">
        <v>1.7000000000000001E-2</v>
      </c>
      <c r="Q27" s="116">
        <v>1.4999999999999999E-2</v>
      </c>
    </row>
    <row r="28" spans="3:17" customFormat="1" x14ac:dyDescent="0.2">
      <c r="C28" s="107" t="s">
        <v>565</v>
      </c>
      <c r="D28" s="108" t="s">
        <v>630</v>
      </c>
      <c r="E28" s="107" t="s">
        <v>631</v>
      </c>
      <c r="F28" s="107" t="s">
        <v>632</v>
      </c>
      <c r="G28" s="110" t="s">
        <v>633</v>
      </c>
      <c r="H28" s="115">
        <v>0.33299999999999996</v>
      </c>
      <c r="I28" s="115">
        <v>2.7000000000000003E-2</v>
      </c>
      <c r="J28" s="115">
        <v>2.8999999999999998E-2</v>
      </c>
      <c r="K28" s="115">
        <v>4.0999999999999995E-2</v>
      </c>
      <c r="L28" s="115">
        <v>3.7999999999999999E-2</v>
      </c>
      <c r="M28" s="116">
        <v>3.4000000000000002E-2</v>
      </c>
      <c r="N28" s="116">
        <v>3.1000000000000003E-2</v>
      </c>
      <c r="O28" s="116">
        <v>2.7999999999999997E-2</v>
      </c>
      <c r="P28" s="116">
        <v>2.5000000000000001E-2</v>
      </c>
      <c r="Q28" s="116">
        <v>2.3E-2</v>
      </c>
    </row>
    <row r="29" spans="3:17" customFormat="1" x14ac:dyDescent="0.2">
      <c r="C29" s="107" t="s">
        <v>642</v>
      </c>
      <c r="D29" s="108" t="s">
        <v>630</v>
      </c>
      <c r="E29" s="107" t="s">
        <v>631</v>
      </c>
      <c r="F29" s="107" t="s">
        <v>632</v>
      </c>
      <c r="G29" s="110" t="s">
        <v>633</v>
      </c>
      <c r="H29" s="115">
        <v>0.24300000000000002</v>
      </c>
      <c r="I29" s="115">
        <v>2.3E-2</v>
      </c>
      <c r="J29" s="115">
        <v>1.3999999999999999E-2</v>
      </c>
      <c r="K29" s="115">
        <v>6.7000000000000004E-2</v>
      </c>
      <c r="L29" s="115">
        <v>5.7999999999999996E-2</v>
      </c>
      <c r="M29" s="116">
        <v>4.9000000000000002E-2</v>
      </c>
      <c r="N29" s="116">
        <v>4.4999999999999998E-2</v>
      </c>
      <c r="O29" s="116">
        <v>0.04</v>
      </c>
      <c r="P29" s="116">
        <v>3.5000000000000003E-2</v>
      </c>
      <c r="Q29" s="116">
        <v>3.2000000000000001E-2</v>
      </c>
    </row>
    <row r="30" spans="3:17" customFormat="1" x14ac:dyDescent="0.2">
      <c r="C30" s="107" t="s">
        <v>643</v>
      </c>
      <c r="D30" s="108" t="s">
        <v>630</v>
      </c>
      <c r="E30" s="107" t="s">
        <v>631</v>
      </c>
      <c r="F30" s="107" t="s">
        <v>632</v>
      </c>
      <c r="G30" s="110" t="s">
        <v>633</v>
      </c>
      <c r="H30" s="115">
        <v>3.3000000000000002E-2</v>
      </c>
      <c r="I30" s="115">
        <v>3.2000000000000001E-2</v>
      </c>
      <c r="J30" s="115">
        <v>2.7000000000000003E-2</v>
      </c>
      <c r="K30" s="115">
        <v>2.5000000000000001E-2</v>
      </c>
      <c r="L30" s="115">
        <v>2.5000000000000001E-2</v>
      </c>
      <c r="M30" s="116">
        <v>2.3E-2</v>
      </c>
      <c r="N30" s="116">
        <v>2.4E-2</v>
      </c>
      <c r="O30" s="116">
        <v>2.2000000000000002E-2</v>
      </c>
      <c r="P30" s="116">
        <v>0.02</v>
      </c>
      <c r="Q30" s="116">
        <v>1.8000000000000002E-2</v>
      </c>
    </row>
    <row r="31" spans="3:17" customFormat="1" x14ac:dyDescent="0.2">
      <c r="C31" s="107" t="s">
        <v>571</v>
      </c>
      <c r="D31" s="108" t="s">
        <v>630</v>
      </c>
      <c r="E31" s="107" t="s">
        <v>631</v>
      </c>
      <c r="F31" s="107" t="s">
        <v>632</v>
      </c>
      <c r="G31" s="110" t="s">
        <v>633</v>
      </c>
      <c r="H31" s="115">
        <v>0.189</v>
      </c>
      <c r="I31" s="115">
        <v>0.20100000000000001</v>
      </c>
      <c r="J31" s="115">
        <v>3.5000000000000003E-2</v>
      </c>
      <c r="K31" s="115">
        <v>6.6000000000000003E-2</v>
      </c>
      <c r="L31" s="115">
        <v>0.06</v>
      </c>
      <c r="M31" s="116">
        <v>5.5999999999999994E-2</v>
      </c>
      <c r="N31" s="116">
        <v>5.2999999999999999E-2</v>
      </c>
      <c r="O31" s="116">
        <v>5.2000000000000005E-2</v>
      </c>
      <c r="P31" s="116">
        <v>4.9000000000000002E-2</v>
      </c>
      <c r="Q31" s="116">
        <v>4.4999999999999998E-2</v>
      </c>
    </row>
    <row r="32" spans="3:17" customFormat="1" x14ac:dyDescent="0.2">
      <c r="C32" s="107" t="s">
        <v>644</v>
      </c>
      <c r="D32" s="108" t="s">
        <v>630</v>
      </c>
      <c r="E32" s="107" t="s">
        <v>631</v>
      </c>
      <c r="F32" s="107" t="s">
        <v>632</v>
      </c>
      <c r="G32" s="110" t="s">
        <v>633</v>
      </c>
      <c r="H32" s="115">
        <v>2.1000000000000001E-2</v>
      </c>
      <c r="I32" s="115">
        <v>2.2000000000000002E-2</v>
      </c>
      <c r="J32" s="115">
        <v>2.3E-2</v>
      </c>
      <c r="K32" s="115">
        <v>2.2000000000000002E-2</v>
      </c>
      <c r="L32" s="115">
        <v>2.1000000000000001E-2</v>
      </c>
      <c r="M32" s="116">
        <v>1.9E-2</v>
      </c>
      <c r="N32" s="116">
        <v>1.7000000000000001E-2</v>
      </c>
      <c r="O32" s="116">
        <v>1.6E-2</v>
      </c>
      <c r="P32" s="116">
        <v>1.4999999999999999E-2</v>
      </c>
      <c r="Q32" s="116">
        <v>1.3999999999999999E-2</v>
      </c>
    </row>
    <row r="33" spans="3:17" customFormat="1" x14ac:dyDescent="0.2">
      <c r="C33" s="107" t="s">
        <v>577</v>
      </c>
      <c r="D33" s="108" t="s">
        <v>630</v>
      </c>
      <c r="E33" s="107" t="s">
        <v>631</v>
      </c>
      <c r="F33" s="107" t="s">
        <v>632</v>
      </c>
      <c r="G33" s="110" t="s">
        <v>633</v>
      </c>
      <c r="H33" s="115">
        <v>0.154</v>
      </c>
      <c r="I33" s="115">
        <v>0.152</v>
      </c>
      <c r="J33" s="115">
        <v>0.15</v>
      </c>
      <c r="K33" s="115">
        <v>0.155</v>
      </c>
      <c r="L33" s="115">
        <v>0.14400000000000002</v>
      </c>
      <c r="M33" s="116">
        <v>0.13300000000000001</v>
      </c>
      <c r="N33" s="116">
        <v>0.12300000000000001</v>
      </c>
      <c r="O33" s="116">
        <v>0.113</v>
      </c>
      <c r="P33" s="116">
        <v>0.10400000000000001</v>
      </c>
      <c r="Q33" s="116">
        <v>9.5000000000000001E-2</v>
      </c>
    </row>
    <row r="34" spans="3:17" customFormat="1" x14ac:dyDescent="0.2">
      <c r="C34" s="107" t="s">
        <v>578</v>
      </c>
      <c r="D34" s="108" t="s">
        <v>630</v>
      </c>
      <c r="E34" s="107" t="s">
        <v>631</v>
      </c>
      <c r="F34" s="107" t="s">
        <v>632</v>
      </c>
      <c r="G34" s="110" t="s">
        <v>633</v>
      </c>
      <c r="H34" s="115">
        <v>-2.6000000000000002E-2</v>
      </c>
      <c r="I34" s="115">
        <v>4.2000000000000003E-2</v>
      </c>
      <c r="J34" s="115">
        <v>3.4000000000000002E-2</v>
      </c>
      <c r="K34" s="115">
        <v>0.17300000000000001</v>
      </c>
      <c r="L34" s="115">
        <v>0.157</v>
      </c>
      <c r="M34" s="116">
        <v>0.14499999999999999</v>
      </c>
      <c r="N34" s="116">
        <v>0.13400000000000001</v>
      </c>
      <c r="O34" s="116">
        <v>0.12300000000000001</v>
      </c>
      <c r="P34" s="116">
        <v>0.11199999999999999</v>
      </c>
      <c r="Q34" s="116">
        <v>0.10199999999999999</v>
      </c>
    </row>
    <row r="35" spans="3:17" customFormat="1" x14ac:dyDescent="0.2">
      <c r="C35" s="107" t="s">
        <v>580</v>
      </c>
      <c r="D35" s="108" t="s">
        <v>630</v>
      </c>
      <c r="E35" s="107" t="s">
        <v>631</v>
      </c>
      <c r="F35" s="107" t="s">
        <v>632</v>
      </c>
      <c r="G35" s="110" t="s">
        <v>633</v>
      </c>
      <c r="H35" s="115">
        <v>0.26300000000000001</v>
      </c>
      <c r="I35" s="115">
        <v>0.14000000000000001</v>
      </c>
      <c r="J35" s="115">
        <v>0.129</v>
      </c>
      <c r="K35" s="115">
        <v>3.5000000000000003E-2</v>
      </c>
      <c r="L35" s="115">
        <v>3.1000000000000003E-2</v>
      </c>
      <c r="M35" s="116">
        <v>2.6000000000000002E-2</v>
      </c>
      <c r="N35" s="116">
        <v>2.4E-2</v>
      </c>
      <c r="O35" s="116">
        <v>2.2000000000000002E-2</v>
      </c>
      <c r="P35" s="116">
        <v>0.02</v>
      </c>
      <c r="Q35" s="116">
        <v>1.8000000000000002E-2</v>
      </c>
    </row>
    <row r="36" spans="3:17" customFormat="1" x14ac:dyDescent="0.2">
      <c r="C36" s="107" t="s">
        <v>645</v>
      </c>
      <c r="D36" s="108" t="s">
        <v>630</v>
      </c>
      <c r="E36" s="107" t="s">
        <v>631</v>
      </c>
      <c r="F36" s="107" t="s">
        <v>632</v>
      </c>
      <c r="G36" s="110" t="s">
        <v>633</v>
      </c>
      <c r="H36" s="115">
        <v>0.106</v>
      </c>
      <c r="I36" s="115">
        <v>2.3E-2</v>
      </c>
      <c r="J36" s="115">
        <v>2.5000000000000001E-2</v>
      </c>
      <c r="K36" s="115">
        <v>7.400000000000001E-2</v>
      </c>
      <c r="L36" s="115">
        <v>6.7000000000000004E-2</v>
      </c>
      <c r="M36" s="116">
        <v>0.06</v>
      </c>
      <c r="N36" s="116">
        <v>5.2999999999999999E-2</v>
      </c>
      <c r="O36" s="116">
        <v>4.8000000000000001E-2</v>
      </c>
      <c r="P36" s="116">
        <v>4.2999999999999997E-2</v>
      </c>
      <c r="Q36" s="116">
        <v>3.9E-2</v>
      </c>
    </row>
    <row r="37" spans="3:17" customFormat="1" x14ac:dyDescent="0.2">
      <c r="C37" s="107" t="s">
        <v>589</v>
      </c>
      <c r="D37" s="108" t="s">
        <v>630</v>
      </c>
      <c r="E37" s="107" t="s">
        <v>631</v>
      </c>
      <c r="F37" s="107" t="s">
        <v>632</v>
      </c>
      <c r="G37" s="110" t="s">
        <v>633</v>
      </c>
      <c r="H37" s="115">
        <v>1.1000000000000001E-2</v>
      </c>
      <c r="I37" s="115">
        <v>4.5999999999999999E-2</v>
      </c>
      <c r="J37" s="115">
        <v>6.2000000000000006E-2</v>
      </c>
      <c r="K37" s="115">
        <v>-2.7000000000000003E-2</v>
      </c>
      <c r="L37" s="115">
        <v>1.9E-2</v>
      </c>
      <c r="M37" s="116">
        <v>1.1000000000000001E-2</v>
      </c>
      <c r="N37" s="116">
        <v>9.0000000000000011E-3</v>
      </c>
      <c r="O37" s="116">
        <v>8.0000000000000002E-3</v>
      </c>
      <c r="P37" s="116">
        <v>6.9999999999999993E-3</v>
      </c>
      <c r="Q37" s="116">
        <v>6.0000000000000001E-3</v>
      </c>
    </row>
    <row r="38" spans="3:17" customFormat="1" x14ac:dyDescent="0.2">
      <c r="C38" s="107" t="s">
        <v>591</v>
      </c>
      <c r="D38" s="108" t="s">
        <v>630</v>
      </c>
      <c r="E38" s="107" t="s">
        <v>631</v>
      </c>
      <c r="F38" s="107" t="s">
        <v>632</v>
      </c>
      <c r="G38" s="110" t="s">
        <v>633</v>
      </c>
      <c r="H38" s="115">
        <v>0.20199999999999999</v>
      </c>
      <c r="I38" s="115">
        <v>0.114</v>
      </c>
      <c r="J38" s="115">
        <v>3.6000000000000004E-2</v>
      </c>
      <c r="K38" s="115">
        <v>0.12300000000000001</v>
      </c>
      <c r="L38" s="115">
        <v>0.113</v>
      </c>
      <c r="M38" s="116">
        <v>0.10400000000000001</v>
      </c>
      <c r="N38" s="116">
        <v>9.6000000000000002E-2</v>
      </c>
      <c r="O38" s="116">
        <v>8.8000000000000009E-2</v>
      </c>
      <c r="P38" s="116">
        <v>8.1000000000000003E-2</v>
      </c>
      <c r="Q38" s="116">
        <v>7.4999999999999997E-2</v>
      </c>
    </row>
    <row r="39" spans="3:17" customFormat="1" x14ac:dyDescent="0.2">
      <c r="C39" s="107" t="s">
        <v>646</v>
      </c>
      <c r="D39" s="108" t="s">
        <v>630</v>
      </c>
      <c r="E39" s="107" t="s">
        <v>631</v>
      </c>
      <c r="F39" s="107" t="s">
        <v>632</v>
      </c>
      <c r="G39" s="110" t="s">
        <v>633</v>
      </c>
      <c r="H39" s="115">
        <v>1.2E-2</v>
      </c>
      <c r="I39" s="115">
        <v>-3.0000000000000001E-3</v>
      </c>
      <c r="J39" s="115">
        <v>6.0000000000000001E-3</v>
      </c>
      <c r="K39" s="115">
        <v>6.9999999999999993E-3</v>
      </c>
      <c r="L39" s="115">
        <v>3.0000000000000001E-3</v>
      </c>
      <c r="M39" s="116">
        <v>2E-3</v>
      </c>
      <c r="N39" s="116">
        <v>1E-3</v>
      </c>
      <c r="O39" s="116">
        <v>0</v>
      </c>
      <c r="P39" s="116">
        <v>-1E-3</v>
      </c>
      <c r="Q39" s="116">
        <v>-1E-3</v>
      </c>
    </row>
    <row r="40" spans="3:17" customFormat="1" x14ac:dyDescent="0.2">
      <c r="C40" s="107" t="s">
        <v>593</v>
      </c>
      <c r="D40" s="108" t="s">
        <v>630</v>
      </c>
      <c r="E40" s="107" t="s">
        <v>631</v>
      </c>
      <c r="F40" s="107" t="s">
        <v>632</v>
      </c>
      <c r="G40" s="110" t="s">
        <v>633</v>
      </c>
      <c r="H40" s="115">
        <v>0.23800000000000002</v>
      </c>
      <c r="I40" s="115">
        <v>9.4E-2</v>
      </c>
      <c r="J40" s="115">
        <v>6.8000000000000005E-2</v>
      </c>
      <c r="K40" s="115">
        <v>8.3000000000000004E-2</v>
      </c>
      <c r="L40" s="115">
        <v>7.4999999999999997E-2</v>
      </c>
      <c r="M40" s="116">
        <v>6.8000000000000005E-2</v>
      </c>
      <c r="N40" s="116">
        <v>6.0999999999999999E-2</v>
      </c>
      <c r="O40" s="116">
        <v>5.5E-2</v>
      </c>
      <c r="P40" s="116">
        <v>4.9000000000000002E-2</v>
      </c>
      <c r="Q40" s="116">
        <v>4.4000000000000004E-2</v>
      </c>
    </row>
    <row r="41" spans="3:17" customFormat="1" x14ac:dyDescent="0.2">
      <c r="C41" s="107" t="s">
        <v>599</v>
      </c>
      <c r="D41" s="108" t="s">
        <v>630</v>
      </c>
      <c r="E41" s="107" t="s">
        <v>631</v>
      </c>
      <c r="F41" s="107" t="s">
        <v>632</v>
      </c>
      <c r="G41" s="110" t="s">
        <v>633</v>
      </c>
      <c r="H41" s="115">
        <v>5.0000000000000001E-3</v>
      </c>
      <c r="I41" s="115">
        <v>9.0000000000000011E-3</v>
      </c>
      <c r="J41" s="115">
        <v>2.4E-2</v>
      </c>
      <c r="K41" s="115">
        <v>4.7E-2</v>
      </c>
      <c r="L41" s="115">
        <v>5.0000000000000001E-3</v>
      </c>
      <c r="M41" s="116">
        <v>3.0000000000000001E-3</v>
      </c>
      <c r="N41" s="116">
        <v>2E-3</v>
      </c>
      <c r="O41" s="116">
        <v>0</v>
      </c>
      <c r="P41" s="116">
        <v>-1E-3</v>
      </c>
      <c r="Q41" s="116">
        <v>-1E-3</v>
      </c>
    </row>
    <row r="42" spans="3:17" customFormat="1" x14ac:dyDescent="0.2">
      <c r="C42" s="107" t="s">
        <v>600</v>
      </c>
      <c r="D42" s="108" t="s">
        <v>630</v>
      </c>
      <c r="E42" s="107" t="s">
        <v>631</v>
      </c>
      <c r="F42" s="107" t="s">
        <v>632</v>
      </c>
      <c r="G42" s="110" t="s">
        <v>633</v>
      </c>
      <c r="H42" s="115">
        <v>0.8570000000000001</v>
      </c>
      <c r="I42" s="115">
        <v>9.0999999999999998E-2</v>
      </c>
      <c r="J42" s="115">
        <v>9.4E-2</v>
      </c>
      <c r="K42" s="115">
        <v>8.900000000000001E-2</v>
      </c>
      <c r="L42" s="115">
        <v>8.199999999999999E-2</v>
      </c>
      <c r="M42" s="116">
        <v>7.4999999999999997E-2</v>
      </c>
      <c r="N42" s="116">
        <v>6.9000000000000006E-2</v>
      </c>
      <c r="O42" s="116">
        <v>6.3E-2</v>
      </c>
      <c r="P42" s="116">
        <v>5.7000000000000002E-2</v>
      </c>
      <c r="Q42" s="116">
        <v>5.2000000000000005E-2</v>
      </c>
    </row>
    <row r="43" spans="3:17" customFormat="1" x14ac:dyDescent="0.2">
      <c r="C43" s="107" t="s">
        <v>602</v>
      </c>
      <c r="D43" s="108" t="s">
        <v>630</v>
      </c>
      <c r="E43" s="107" t="s">
        <v>631</v>
      </c>
      <c r="F43" s="107" t="s">
        <v>632</v>
      </c>
      <c r="G43" s="110" t="s">
        <v>633</v>
      </c>
      <c r="H43" s="115">
        <v>9.9000000000000005E-2</v>
      </c>
      <c r="I43" s="115">
        <v>3.3000000000000002E-2</v>
      </c>
      <c r="J43" s="115">
        <v>1.8000000000000002E-2</v>
      </c>
      <c r="K43" s="115">
        <v>1.4999999999999999E-2</v>
      </c>
      <c r="L43" s="115">
        <v>1.3000000000000001E-2</v>
      </c>
      <c r="M43" s="116">
        <v>1.1000000000000001E-2</v>
      </c>
      <c r="N43" s="116">
        <v>9.0000000000000011E-3</v>
      </c>
      <c r="O43" s="116">
        <v>8.0000000000000002E-3</v>
      </c>
      <c r="P43" s="116">
        <v>6.0000000000000001E-3</v>
      </c>
      <c r="Q43" s="116">
        <v>5.0000000000000001E-3</v>
      </c>
    </row>
    <row r="44" spans="3:17" customFormat="1" x14ac:dyDescent="0.2">
      <c r="C44" s="107" t="s">
        <v>647</v>
      </c>
      <c r="D44" s="108" t="s">
        <v>630</v>
      </c>
      <c r="E44" s="107" t="s">
        <v>631</v>
      </c>
      <c r="F44" s="107" t="s">
        <v>632</v>
      </c>
      <c r="G44" s="110" t="s">
        <v>633</v>
      </c>
      <c r="H44" s="115">
        <v>2.2000000000000002E-2</v>
      </c>
      <c r="I44" s="115">
        <v>-1E-3</v>
      </c>
      <c r="J44" s="115">
        <v>0.01</v>
      </c>
      <c r="K44" s="115">
        <v>5.7999999999999996E-2</v>
      </c>
      <c r="L44" s="115">
        <v>5.2000000000000005E-2</v>
      </c>
      <c r="M44" s="116">
        <v>4.5999999999999999E-2</v>
      </c>
      <c r="N44" s="116">
        <v>4.2000000000000003E-2</v>
      </c>
      <c r="O44" s="116">
        <v>3.7000000000000005E-2</v>
      </c>
      <c r="P44" s="116">
        <v>3.3000000000000002E-2</v>
      </c>
      <c r="Q44" s="116">
        <v>0.03</v>
      </c>
    </row>
    <row r="45" spans="3:17" customFormat="1" x14ac:dyDescent="0.2">
      <c r="C45" s="107" t="s">
        <v>648</v>
      </c>
      <c r="D45" s="108" t="s">
        <v>630</v>
      </c>
      <c r="E45" s="107" t="s">
        <v>631</v>
      </c>
      <c r="F45" s="107" t="s">
        <v>632</v>
      </c>
      <c r="G45" s="110" t="s">
        <v>633</v>
      </c>
      <c r="H45" s="115">
        <v>0.14800000000000002</v>
      </c>
      <c r="I45" s="115">
        <v>0.13699999999999998</v>
      </c>
      <c r="J45" s="115">
        <v>0.125</v>
      </c>
      <c r="K45" s="115">
        <v>0.115</v>
      </c>
      <c r="L45" s="115">
        <v>0.10400000000000001</v>
      </c>
      <c r="M45" s="116">
        <v>9.5000000000000001E-2</v>
      </c>
      <c r="N45" s="116">
        <v>8.5999999999999993E-2</v>
      </c>
      <c r="O45" s="116">
        <v>7.8E-2</v>
      </c>
      <c r="P45" s="116">
        <v>7.0000000000000007E-2</v>
      </c>
      <c r="Q45" s="116">
        <v>6.3E-2</v>
      </c>
    </row>
    <row r="46" spans="3:17" customFormat="1" x14ac:dyDescent="0.2">
      <c r="C46" s="107" t="s">
        <v>649</v>
      </c>
      <c r="D46" s="108" t="s">
        <v>630</v>
      </c>
      <c r="E46" s="107" t="s">
        <v>631</v>
      </c>
      <c r="F46" s="107" t="s">
        <v>632</v>
      </c>
      <c r="G46" s="110" t="s">
        <v>633</v>
      </c>
      <c r="H46" s="115">
        <v>0.17699999999999999</v>
      </c>
      <c r="I46" s="115">
        <v>-1.6E-2</v>
      </c>
      <c r="J46" s="115">
        <v>-8.0000000000000002E-3</v>
      </c>
      <c r="K46" s="115">
        <v>0.02</v>
      </c>
      <c r="L46" s="115">
        <v>1.8000000000000002E-2</v>
      </c>
      <c r="M46" s="116">
        <v>1.6E-2</v>
      </c>
      <c r="N46" s="116">
        <v>1.7000000000000001E-2</v>
      </c>
      <c r="O46" s="116">
        <v>1.7000000000000001E-2</v>
      </c>
      <c r="P46" s="116">
        <v>1.4999999999999999E-2</v>
      </c>
      <c r="Q46" s="116">
        <v>1.3000000000000001E-2</v>
      </c>
    </row>
    <row r="47" spans="3:17" customFormat="1" x14ac:dyDescent="0.2">
      <c r="C47" s="107" t="s">
        <v>609</v>
      </c>
      <c r="D47" s="108" t="s">
        <v>630</v>
      </c>
      <c r="E47" s="107" t="s">
        <v>631</v>
      </c>
      <c r="F47" s="107" t="s">
        <v>632</v>
      </c>
      <c r="G47" s="110" t="s">
        <v>633</v>
      </c>
      <c r="H47" s="115">
        <v>9.6000000000000002E-2</v>
      </c>
      <c r="I47" s="115">
        <v>0.114</v>
      </c>
      <c r="J47" s="115">
        <v>7.9000000000000001E-2</v>
      </c>
      <c r="K47" s="115">
        <v>3.3000000000000002E-2</v>
      </c>
      <c r="L47" s="115">
        <v>3.2000000000000001E-2</v>
      </c>
      <c r="M47" s="116">
        <v>3.2000000000000001E-2</v>
      </c>
      <c r="N47" s="116">
        <v>3.1000000000000003E-2</v>
      </c>
      <c r="O47" s="116">
        <v>2.8999999999999998E-2</v>
      </c>
      <c r="P47" s="116">
        <v>2.7999999999999997E-2</v>
      </c>
      <c r="Q47" s="116">
        <v>2.6000000000000002E-2</v>
      </c>
    </row>
    <row r="48" spans="3:17" customFormat="1" x14ac:dyDescent="0.2">
      <c r="C48" s="107" t="s">
        <v>650</v>
      </c>
      <c r="D48" s="108" t="s">
        <v>630</v>
      </c>
      <c r="E48" s="107" t="s">
        <v>631</v>
      </c>
      <c r="F48" s="107" t="s">
        <v>632</v>
      </c>
      <c r="G48" s="110" t="s">
        <v>633</v>
      </c>
      <c r="H48" s="115">
        <v>0.13300000000000001</v>
      </c>
      <c r="I48" s="115">
        <v>2.7000000000000003E-2</v>
      </c>
      <c r="J48" s="115">
        <v>2.7999999999999997E-2</v>
      </c>
      <c r="K48" s="115">
        <v>0.11599999999999999</v>
      </c>
      <c r="L48" s="115">
        <v>0.106</v>
      </c>
      <c r="M48" s="116">
        <v>9.6999999999999989E-2</v>
      </c>
      <c r="N48" s="116">
        <v>8.900000000000001E-2</v>
      </c>
      <c r="O48" s="116">
        <v>8.199999999999999E-2</v>
      </c>
      <c r="P48" s="116">
        <v>7.4999999999999997E-2</v>
      </c>
      <c r="Q48" s="116">
        <v>6.9000000000000006E-2</v>
      </c>
    </row>
    <row r="49" spans="3:17" customFormat="1" x14ac:dyDescent="0.2">
      <c r="C49" s="107" t="s">
        <v>611</v>
      </c>
      <c r="D49" s="108" t="s">
        <v>630</v>
      </c>
      <c r="E49" s="107" t="s">
        <v>631</v>
      </c>
      <c r="F49" s="107" t="s">
        <v>632</v>
      </c>
      <c r="G49" s="110" t="s">
        <v>633</v>
      </c>
      <c r="H49" s="115">
        <v>6.8000000000000005E-2</v>
      </c>
      <c r="I49" s="115">
        <v>7.0000000000000007E-2</v>
      </c>
      <c r="J49" s="115">
        <v>2E-3</v>
      </c>
      <c r="K49" s="115">
        <v>8.5999999999999993E-2</v>
      </c>
      <c r="L49" s="115">
        <v>0.03</v>
      </c>
      <c r="M49" s="116">
        <v>2.7000000000000003E-2</v>
      </c>
      <c r="N49" s="116">
        <v>2.4E-2</v>
      </c>
      <c r="O49" s="116">
        <v>2.2000000000000002E-2</v>
      </c>
      <c r="P49" s="116">
        <v>1.9E-2</v>
      </c>
      <c r="Q49" s="116">
        <v>1.7000000000000001E-2</v>
      </c>
    </row>
    <row r="50" spans="3:17" customFormat="1" x14ac:dyDescent="0.2">
      <c r="C50" s="107" t="s">
        <v>399</v>
      </c>
      <c r="D50" s="108" t="s">
        <v>630</v>
      </c>
      <c r="E50" s="107" t="s">
        <v>631</v>
      </c>
      <c r="F50" s="107" t="s">
        <v>632</v>
      </c>
      <c r="G50" s="110" t="s">
        <v>633</v>
      </c>
      <c r="H50" s="115">
        <v>2.7000000000000003E-2</v>
      </c>
      <c r="I50" s="115">
        <v>1.3999999999999999E-2</v>
      </c>
      <c r="J50" s="115">
        <v>2.6000000000000002E-2</v>
      </c>
      <c r="K50" s="115">
        <v>2.5000000000000001E-2</v>
      </c>
      <c r="L50" s="115">
        <v>1.9E-2</v>
      </c>
      <c r="M50" s="116">
        <v>1.8000000000000002E-2</v>
      </c>
      <c r="N50" s="116">
        <v>1.8000000000000002E-2</v>
      </c>
      <c r="O50" s="116">
        <v>1.6E-2</v>
      </c>
      <c r="P50" s="116">
        <v>1.3999999999999999E-2</v>
      </c>
      <c r="Q50" s="116">
        <v>1.3000000000000001E-2</v>
      </c>
    </row>
    <row r="51" spans="3:17" customFormat="1" x14ac:dyDescent="0.2">
      <c r="C51" s="107" t="s">
        <v>403</v>
      </c>
      <c r="D51" s="108" t="s">
        <v>630</v>
      </c>
      <c r="E51" s="107" t="s">
        <v>631</v>
      </c>
      <c r="F51" s="107" t="s">
        <v>632</v>
      </c>
      <c r="G51" s="110" t="s">
        <v>633</v>
      </c>
      <c r="H51" s="115">
        <v>2.1000000000000001E-2</v>
      </c>
      <c r="I51" s="115">
        <v>2E-3</v>
      </c>
      <c r="J51" s="115">
        <v>8.0000000000000002E-3</v>
      </c>
      <c r="K51" s="115">
        <v>3.5000000000000003E-2</v>
      </c>
      <c r="L51" s="115">
        <v>1.4999999999999999E-2</v>
      </c>
      <c r="M51" s="116">
        <v>1.3999999999999999E-2</v>
      </c>
      <c r="N51" s="116">
        <v>1.4999999999999999E-2</v>
      </c>
      <c r="O51" s="116">
        <v>1.3000000000000001E-2</v>
      </c>
      <c r="P51" s="116">
        <v>1.3000000000000001E-2</v>
      </c>
      <c r="Q51" s="116">
        <v>1.3000000000000001E-2</v>
      </c>
    </row>
    <row r="52" spans="3:17" customFormat="1" x14ac:dyDescent="0.2">
      <c r="C52" s="107" t="s">
        <v>477</v>
      </c>
      <c r="D52" s="108" t="s">
        <v>630</v>
      </c>
      <c r="E52" s="107" t="s">
        <v>631</v>
      </c>
      <c r="F52" s="107" t="s">
        <v>632</v>
      </c>
      <c r="G52" s="110" t="s">
        <v>633</v>
      </c>
      <c r="H52" s="115">
        <v>9.0999999999999998E-2</v>
      </c>
      <c r="I52" s="115">
        <v>3.5000000000000003E-2</v>
      </c>
      <c r="J52" s="115">
        <v>2E-3</v>
      </c>
      <c r="K52" s="115">
        <v>1.6E-2</v>
      </c>
      <c r="L52" s="115">
        <v>1.3999999999999999E-2</v>
      </c>
      <c r="M52" s="116">
        <v>1.1000000000000001E-2</v>
      </c>
      <c r="N52" s="116">
        <v>0.01</v>
      </c>
      <c r="O52" s="116">
        <v>8.0000000000000002E-3</v>
      </c>
      <c r="P52" s="116">
        <v>6.0000000000000001E-3</v>
      </c>
      <c r="Q52" s="116">
        <v>4.0000000000000001E-3</v>
      </c>
    </row>
    <row r="53" spans="3:17" customFormat="1" x14ac:dyDescent="0.2">
      <c r="C53" s="107" t="s">
        <v>504</v>
      </c>
      <c r="D53" s="108" t="s">
        <v>630</v>
      </c>
      <c r="E53" s="107" t="s">
        <v>631</v>
      </c>
      <c r="F53" s="107" t="s">
        <v>632</v>
      </c>
      <c r="G53" s="110" t="s">
        <v>633</v>
      </c>
      <c r="H53" s="115">
        <v>1.9E-2</v>
      </c>
      <c r="I53" s="115">
        <v>2.4E-2</v>
      </c>
      <c r="J53" s="115">
        <v>0.02</v>
      </c>
      <c r="K53" s="115">
        <v>2.7999999999999997E-2</v>
      </c>
      <c r="L53" s="115">
        <v>6.0000000000000001E-3</v>
      </c>
      <c r="M53" s="116">
        <v>3.0000000000000001E-3</v>
      </c>
      <c r="N53" s="116">
        <v>2E-3</v>
      </c>
      <c r="O53" s="116">
        <v>0</v>
      </c>
      <c r="P53" s="116">
        <v>-1E-3</v>
      </c>
      <c r="Q53" s="116">
        <v>-2E-3</v>
      </c>
    </row>
    <row r="54" spans="3:17" customFormat="1" x14ac:dyDescent="0.2">
      <c r="C54" s="107" t="s">
        <v>511</v>
      </c>
      <c r="D54" s="108" t="s">
        <v>630</v>
      </c>
      <c r="E54" s="107" t="s">
        <v>631</v>
      </c>
      <c r="F54" s="107" t="s">
        <v>632</v>
      </c>
      <c r="G54" s="110" t="s">
        <v>633</v>
      </c>
      <c r="H54" s="115">
        <v>3.2000000000000001E-2</v>
      </c>
      <c r="I54" s="115">
        <v>3.9E-2</v>
      </c>
      <c r="J54" s="115">
        <v>0.05</v>
      </c>
      <c r="K54" s="115">
        <v>2.6000000000000002E-2</v>
      </c>
      <c r="L54" s="115">
        <v>1.6E-2</v>
      </c>
      <c r="M54" s="116">
        <v>1.2E-2</v>
      </c>
      <c r="N54" s="116">
        <v>9.0000000000000011E-3</v>
      </c>
      <c r="O54" s="116">
        <v>6.9999999999999993E-3</v>
      </c>
      <c r="P54" s="116">
        <v>6.0000000000000001E-3</v>
      </c>
      <c r="Q54" s="116">
        <v>5.0000000000000001E-3</v>
      </c>
    </row>
    <row r="55" spans="3:17" customFormat="1" x14ac:dyDescent="0.2">
      <c r="C55" s="107" t="s">
        <v>513</v>
      </c>
      <c r="D55" s="108" t="s">
        <v>630</v>
      </c>
      <c r="E55" s="107" t="s">
        <v>631</v>
      </c>
      <c r="F55" s="107" t="s">
        <v>632</v>
      </c>
      <c r="G55" s="110" t="s">
        <v>633</v>
      </c>
      <c r="H55" s="115">
        <v>6.7000000000000004E-2</v>
      </c>
      <c r="I55" s="115">
        <v>4.4000000000000004E-2</v>
      </c>
      <c r="J55" s="115">
        <v>0.01</v>
      </c>
      <c r="K55" s="115">
        <v>2.5000000000000001E-2</v>
      </c>
      <c r="L55" s="115">
        <v>2.3E-2</v>
      </c>
      <c r="M55" s="116">
        <v>1.6E-2</v>
      </c>
      <c r="N55" s="116">
        <v>1.1000000000000001E-2</v>
      </c>
      <c r="O55" s="116">
        <v>9.0000000000000011E-3</v>
      </c>
      <c r="P55" s="116">
        <v>6.9999999999999993E-3</v>
      </c>
      <c r="Q55" s="116">
        <v>4.0000000000000001E-3</v>
      </c>
    </row>
    <row r="56" spans="3:17" customFormat="1" x14ac:dyDescent="0.2">
      <c r="C56" s="107" t="s">
        <v>524</v>
      </c>
      <c r="D56" s="108" t="s">
        <v>630</v>
      </c>
      <c r="E56" s="107" t="s">
        <v>631</v>
      </c>
      <c r="F56" s="107" t="s">
        <v>632</v>
      </c>
      <c r="G56" s="110" t="s">
        <v>633</v>
      </c>
      <c r="H56" s="115">
        <v>2.7000000000000003E-2</v>
      </c>
      <c r="I56" s="115">
        <v>2E-3</v>
      </c>
      <c r="J56" s="115">
        <v>1.1000000000000001E-2</v>
      </c>
      <c r="K56" s="115">
        <v>9.0000000000000011E-3</v>
      </c>
      <c r="L56" s="115">
        <v>2.6000000000000002E-2</v>
      </c>
      <c r="M56" s="116">
        <v>1.7000000000000001E-2</v>
      </c>
      <c r="N56" s="116">
        <v>1.3999999999999999E-2</v>
      </c>
      <c r="O56" s="116">
        <v>1.1000000000000001E-2</v>
      </c>
      <c r="P56" s="116">
        <v>9.0000000000000011E-3</v>
      </c>
      <c r="Q56" s="116">
        <v>6.9999999999999993E-3</v>
      </c>
    </row>
    <row r="57" spans="3:17" customFormat="1" x14ac:dyDescent="0.2">
      <c r="C57" s="107" t="s">
        <v>407</v>
      </c>
      <c r="D57" s="108" t="s">
        <v>630</v>
      </c>
      <c r="E57" s="107" t="s">
        <v>631</v>
      </c>
      <c r="F57" s="107" t="s">
        <v>632</v>
      </c>
      <c r="G57" s="110" t="s">
        <v>633</v>
      </c>
      <c r="H57" s="115">
        <v>1.7000000000000001E-2</v>
      </c>
      <c r="I57" s="115">
        <v>2.5000000000000001E-2</v>
      </c>
      <c r="J57" s="115">
        <v>4.8000000000000001E-2</v>
      </c>
      <c r="K57" s="115">
        <v>2.8999999999999998E-2</v>
      </c>
      <c r="L57" s="115">
        <v>0.02</v>
      </c>
      <c r="M57" s="116">
        <v>1.6E-2</v>
      </c>
      <c r="N57" s="116">
        <v>1.2E-2</v>
      </c>
      <c r="O57" s="116">
        <v>9.0000000000000011E-3</v>
      </c>
      <c r="P57" s="116">
        <v>9.0000000000000011E-3</v>
      </c>
      <c r="Q57" s="116">
        <v>6.9999999999999993E-3</v>
      </c>
    </row>
    <row r="58" spans="3:17" customFormat="1" x14ac:dyDescent="0.2">
      <c r="C58" s="107" t="s">
        <v>529</v>
      </c>
      <c r="D58" s="108" t="s">
        <v>630</v>
      </c>
      <c r="E58" s="107" t="s">
        <v>631</v>
      </c>
      <c r="F58" s="107" t="s">
        <v>632</v>
      </c>
      <c r="G58" s="110" t="s">
        <v>633</v>
      </c>
      <c r="H58" s="115">
        <v>2.3E-2</v>
      </c>
      <c r="I58" s="115">
        <v>8.0000000000000002E-3</v>
      </c>
      <c r="J58" s="115">
        <v>4.5999999999999999E-2</v>
      </c>
      <c r="K58" s="115">
        <v>-1E-3</v>
      </c>
      <c r="L58" s="115">
        <v>1.1000000000000001E-2</v>
      </c>
      <c r="M58" s="116">
        <v>9.0000000000000011E-3</v>
      </c>
      <c r="N58" s="116">
        <v>6.0000000000000001E-3</v>
      </c>
      <c r="O58" s="116">
        <v>3.0000000000000001E-3</v>
      </c>
      <c r="P58" s="116">
        <v>3.0000000000000001E-3</v>
      </c>
      <c r="Q58" s="116">
        <v>2E-3</v>
      </c>
    </row>
    <row r="59" spans="3:17" customFormat="1" x14ac:dyDescent="0.2">
      <c r="C59" s="107" t="s">
        <v>533</v>
      </c>
      <c r="D59" s="108" t="s">
        <v>630</v>
      </c>
      <c r="E59" s="107" t="s">
        <v>631</v>
      </c>
      <c r="F59" s="107" t="s">
        <v>632</v>
      </c>
      <c r="G59" s="110" t="s">
        <v>633</v>
      </c>
      <c r="H59" s="115">
        <v>0.06</v>
      </c>
      <c r="I59" s="115">
        <v>2.2000000000000002E-2</v>
      </c>
      <c r="J59" s="115">
        <v>5.7000000000000002E-2</v>
      </c>
      <c r="K59" s="115">
        <v>1.6E-2</v>
      </c>
      <c r="L59" s="115">
        <v>2.7000000000000003E-2</v>
      </c>
      <c r="M59" s="116">
        <v>2.1000000000000001E-2</v>
      </c>
      <c r="N59" s="116">
        <v>1.8000000000000002E-2</v>
      </c>
      <c r="O59" s="116">
        <v>1.4999999999999999E-2</v>
      </c>
      <c r="P59" s="116">
        <v>1.3000000000000001E-2</v>
      </c>
      <c r="Q59" s="116">
        <v>1.1000000000000001E-2</v>
      </c>
    </row>
    <row r="60" spans="3:17" customFormat="1" x14ac:dyDescent="0.2">
      <c r="C60" s="107" t="s">
        <v>538</v>
      </c>
      <c r="D60" s="108" t="s">
        <v>630</v>
      </c>
      <c r="E60" s="107" t="s">
        <v>631</v>
      </c>
      <c r="F60" s="107" t="s">
        <v>632</v>
      </c>
      <c r="G60" s="110" t="s">
        <v>633</v>
      </c>
      <c r="H60" s="115">
        <v>4.0999999999999995E-2</v>
      </c>
      <c r="I60" s="115">
        <v>1E-3</v>
      </c>
      <c r="J60" s="115">
        <v>2.4E-2</v>
      </c>
      <c r="K60" s="115">
        <v>2.4E-2</v>
      </c>
      <c r="L60" s="115">
        <v>5.0000000000000001E-3</v>
      </c>
      <c r="M60" s="116">
        <v>5.0000000000000001E-3</v>
      </c>
      <c r="N60" s="116">
        <v>4.0000000000000001E-3</v>
      </c>
      <c r="O60" s="116">
        <v>2E-3</v>
      </c>
      <c r="P60" s="116">
        <v>2E-3</v>
      </c>
      <c r="Q60" s="116">
        <v>0</v>
      </c>
    </row>
    <row r="61" spans="3:17" customFormat="1" x14ac:dyDescent="0.2">
      <c r="C61" s="107" t="s">
        <v>651</v>
      </c>
      <c r="D61" s="108" t="s">
        <v>630</v>
      </c>
      <c r="E61" s="107" t="s">
        <v>631</v>
      </c>
      <c r="F61" s="107" t="s">
        <v>632</v>
      </c>
      <c r="G61" s="110" t="s">
        <v>633</v>
      </c>
      <c r="H61" s="115">
        <v>6.9999999999999993E-3</v>
      </c>
      <c r="I61" s="115">
        <v>-3.0000000000000001E-3</v>
      </c>
      <c r="J61" s="115">
        <v>-1E-3</v>
      </c>
      <c r="K61" s="115">
        <v>-1E-3</v>
      </c>
      <c r="L61" s="115">
        <v>1E-3</v>
      </c>
      <c r="M61" s="116">
        <v>2E-3</v>
      </c>
      <c r="N61" s="116">
        <v>3.0000000000000001E-3</v>
      </c>
      <c r="O61" s="116">
        <v>4.0000000000000001E-3</v>
      </c>
      <c r="P61" s="116">
        <v>4.0000000000000001E-3</v>
      </c>
      <c r="Q61" s="116">
        <v>3.0000000000000001E-3</v>
      </c>
    </row>
    <row r="62" spans="3:17" customFormat="1" x14ac:dyDescent="0.2">
      <c r="C62" s="107" t="s">
        <v>553</v>
      </c>
      <c r="D62" s="108" t="s">
        <v>630</v>
      </c>
      <c r="E62" s="107" t="s">
        <v>631</v>
      </c>
      <c r="F62" s="107" t="s">
        <v>632</v>
      </c>
      <c r="G62" s="110" t="s">
        <v>633</v>
      </c>
      <c r="H62" s="115">
        <v>0.02</v>
      </c>
      <c r="I62" s="115">
        <v>-9.0000000000000011E-3</v>
      </c>
      <c r="J62" s="115">
        <v>2.4E-2</v>
      </c>
      <c r="K62" s="115">
        <v>-1E-3</v>
      </c>
      <c r="L62" s="115">
        <v>3.0000000000000001E-3</v>
      </c>
      <c r="M62" s="116">
        <v>2E-3</v>
      </c>
      <c r="N62" s="116">
        <v>1E-3</v>
      </c>
      <c r="O62" s="116">
        <v>-1E-3</v>
      </c>
      <c r="P62" s="116">
        <v>-2E-3</v>
      </c>
      <c r="Q62" s="116">
        <v>-4.0000000000000001E-3</v>
      </c>
    </row>
    <row r="63" spans="3:17" customFormat="1" x14ac:dyDescent="0.2">
      <c r="C63" s="107" t="s">
        <v>419</v>
      </c>
      <c r="D63" s="108" t="s">
        <v>630</v>
      </c>
      <c r="E63" s="107" t="s">
        <v>631</v>
      </c>
      <c r="F63" s="107" t="s">
        <v>632</v>
      </c>
      <c r="G63" s="110" t="s">
        <v>633</v>
      </c>
      <c r="H63" s="115">
        <v>4.9000000000000002E-2</v>
      </c>
      <c r="I63" s="115">
        <v>9.0000000000000011E-3</v>
      </c>
      <c r="J63" s="115">
        <v>2.7999999999999997E-2</v>
      </c>
      <c r="K63" s="115">
        <v>2.8999999999999998E-2</v>
      </c>
      <c r="L63" s="115">
        <v>1.8000000000000002E-2</v>
      </c>
      <c r="M63" s="116">
        <v>1.6E-2</v>
      </c>
      <c r="N63" s="116">
        <v>1.3000000000000001E-2</v>
      </c>
      <c r="O63" s="116">
        <v>0.01</v>
      </c>
      <c r="P63" s="116">
        <v>6.9999999999999993E-3</v>
      </c>
      <c r="Q63" s="116">
        <v>5.0000000000000001E-3</v>
      </c>
    </row>
    <row r="64" spans="3:17" customFormat="1" x14ac:dyDescent="0.2">
      <c r="C64" s="107" t="s">
        <v>564</v>
      </c>
      <c r="D64" s="108" t="s">
        <v>630</v>
      </c>
      <c r="E64" s="107" t="s">
        <v>631</v>
      </c>
      <c r="F64" s="107" t="s">
        <v>632</v>
      </c>
      <c r="G64" s="110" t="s">
        <v>633</v>
      </c>
      <c r="H64" s="115">
        <v>0.26500000000000001</v>
      </c>
      <c r="I64" s="115">
        <v>3.1000000000000003E-2</v>
      </c>
      <c r="J64" s="115">
        <v>5.0999999999999997E-2</v>
      </c>
      <c r="K64" s="115">
        <v>0.02</v>
      </c>
      <c r="L64" s="115">
        <v>1.3999999999999999E-2</v>
      </c>
      <c r="M64" s="116">
        <v>9.0000000000000011E-3</v>
      </c>
      <c r="N64" s="116">
        <v>5.0000000000000001E-3</v>
      </c>
      <c r="O64" s="116">
        <v>4.0000000000000001E-3</v>
      </c>
      <c r="P64" s="116">
        <v>5.0000000000000001E-3</v>
      </c>
      <c r="Q64" s="116">
        <v>3.0000000000000001E-3</v>
      </c>
    </row>
    <row r="65" spans="3:17" customFormat="1" x14ac:dyDescent="0.2">
      <c r="C65" s="107" t="s">
        <v>566</v>
      </c>
      <c r="D65" s="108" t="s">
        <v>630</v>
      </c>
      <c r="E65" s="107" t="s">
        <v>631</v>
      </c>
      <c r="F65" s="107" t="s">
        <v>632</v>
      </c>
      <c r="G65" s="110" t="s">
        <v>633</v>
      </c>
      <c r="H65" s="115">
        <v>5.2999999999999999E-2</v>
      </c>
      <c r="I65" s="115">
        <v>9.3000000000000013E-2</v>
      </c>
      <c r="J65" s="115">
        <v>0.05</v>
      </c>
      <c r="K65" s="115">
        <v>-2E-3</v>
      </c>
      <c r="L65" s="115">
        <v>6.9999999999999993E-3</v>
      </c>
      <c r="M65" s="116">
        <v>4.0000000000000001E-3</v>
      </c>
      <c r="N65" s="116">
        <v>6.9999999999999993E-3</v>
      </c>
      <c r="O65" s="116">
        <v>6.0000000000000001E-3</v>
      </c>
      <c r="P65" s="116">
        <v>4.0000000000000001E-3</v>
      </c>
      <c r="Q65" s="116">
        <v>3.0000000000000001E-3</v>
      </c>
    </row>
    <row r="66" spans="3:17" customFormat="1" x14ac:dyDescent="0.2">
      <c r="C66" s="107" t="s">
        <v>652</v>
      </c>
      <c r="D66" s="108" t="s">
        <v>630</v>
      </c>
      <c r="E66" s="107" t="s">
        <v>631</v>
      </c>
      <c r="F66" s="107" t="s">
        <v>632</v>
      </c>
      <c r="G66" s="110" t="s">
        <v>633</v>
      </c>
      <c r="H66" s="115">
        <v>-5.0000000000000001E-3</v>
      </c>
      <c r="I66" s="115">
        <v>3.6000000000000004E-2</v>
      </c>
      <c r="J66" s="115">
        <v>2.5000000000000001E-2</v>
      </c>
      <c r="K66" s="115">
        <v>1.7000000000000001E-2</v>
      </c>
      <c r="L66" s="115">
        <v>1.4999999999999999E-2</v>
      </c>
      <c r="M66" s="116">
        <v>9.0000000000000011E-3</v>
      </c>
      <c r="N66" s="116">
        <v>6.0000000000000001E-3</v>
      </c>
      <c r="O66" s="116">
        <v>6.0000000000000001E-3</v>
      </c>
      <c r="P66" s="116">
        <v>4.0000000000000001E-3</v>
      </c>
      <c r="Q66" s="116">
        <v>2E-3</v>
      </c>
    </row>
    <row r="67" spans="3:17" customFormat="1" x14ac:dyDescent="0.2">
      <c r="C67" s="107" t="s">
        <v>581</v>
      </c>
      <c r="D67" s="108" t="s">
        <v>630</v>
      </c>
      <c r="E67" s="107" t="s">
        <v>631</v>
      </c>
      <c r="F67" s="107" t="s">
        <v>632</v>
      </c>
      <c r="G67" s="110" t="s">
        <v>633</v>
      </c>
      <c r="H67" s="115">
        <v>2.3E-2</v>
      </c>
      <c r="I67" s="115">
        <v>1.4999999999999999E-2</v>
      </c>
      <c r="J67" s="115">
        <v>1.6E-2</v>
      </c>
      <c r="K67" s="115">
        <v>2.7999999999999997E-2</v>
      </c>
      <c r="L67" s="115">
        <v>1.4999999999999999E-2</v>
      </c>
      <c r="M67" s="116">
        <v>1.2E-2</v>
      </c>
      <c r="N67" s="116">
        <v>8.0000000000000002E-3</v>
      </c>
      <c r="O67" s="116">
        <v>5.0000000000000001E-3</v>
      </c>
      <c r="P67" s="116">
        <v>5.0000000000000001E-3</v>
      </c>
      <c r="Q67" s="116">
        <v>3.0000000000000001E-3</v>
      </c>
    </row>
    <row r="68" spans="3:17" customFormat="1" x14ac:dyDescent="0.2">
      <c r="C68" s="107" t="s">
        <v>584</v>
      </c>
      <c r="D68" s="108" t="s">
        <v>630</v>
      </c>
      <c r="E68" s="107" t="s">
        <v>631</v>
      </c>
      <c r="F68" s="107" t="s">
        <v>632</v>
      </c>
      <c r="G68" s="110" t="s">
        <v>633</v>
      </c>
      <c r="H68" s="115">
        <v>5.9000000000000004E-2</v>
      </c>
      <c r="I68" s="115">
        <v>1.6E-2</v>
      </c>
      <c r="J68" s="115">
        <v>4.4999999999999998E-2</v>
      </c>
      <c r="K68" s="115">
        <v>2.6000000000000002E-2</v>
      </c>
      <c r="L68" s="115">
        <v>1.3000000000000001E-2</v>
      </c>
      <c r="M68" s="116">
        <v>8.0000000000000002E-3</v>
      </c>
      <c r="N68" s="116">
        <v>5.0000000000000001E-3</v>
      </c>
      <c r="O68" s="116">
        <v>3.0000000000000001E-3</v>
      </c>
      <c r="P68" s="116">
        <v>1E-3</v>
      </c>
      <c r="Q68" s="116">
        <v>0</v>
      </c>
    </row>
    <row r="69" spans="3:17" customFormat="1" x14ac:dyDescent="0.2">
      <c r="C69" s="107" t="s">
        <v>653</v>
      </c>
      <c r="D69" s="108" t="s">
        <v>630</v>
      </c>
      <c r="E69" s="107" t="s">
        <v>631</v>
      </c>
      <c r="F69" s="107" t="s">
        <v>632</v>
      </c>
      <c r="G69" s="110" t="s">
        <v>633</v>
      </c>
      <c r="H69" s="115">
        <v>3.7999999999999999E-2</v>
      </c>
      <c r="I69" s="115">
        <v>2.4E-2</v>
      </c>
      <c r="J69" s="115">
        <v>1.9E-2</v>
      </c>
      <c r="K69" s="115">
        <v>2.3E-2</v>
      </c>
      <c r="L69" s="115">
        <v>9.0000000000000011E-3</v>
      </c>
      <c r="M69" s="116">
        <v>6.0000000000000001E-3</v>
      </c>
      <c r="N69" s="116">
        <v>4.0000000000000001E-3</v>
      </c>
      <c r="O69" s="116">
        <v>3.0000000000000001E-3</v>
      </c>
      <c r="P69" s="116">
        <v>2E-3</v>
      </c>
      <c r="Q69" s="116">
        <v>1E-3</v>
      </c>
    </row>
    <row r="70" spans="3:17" customFormat="1" x14ac:dyDescent="0.2">
      <c r="C70" s="107" t="s">
        <v>587</v>
      </c>
      <c r="D70" s="108" t="s">
        <v>630</v>
      </c>
      <c r="E70" s="107" t="s">
        <v>631</v>
      </c>
      <c r="F70" s="107" t="s">
        <v>632</v>
      </c>
      <c r="G70" s="110" t="s">
        <v>633</v>
      </c>
      <c r="H70" s="115">
        <v>2.6000000000000002E-2</v>
      </c>
      <c r="I70" s="115">
        <v>1.4999999999999999E-2</v>
      </c>
      <c r="J70" s="115">
        <v>1.4999999999999999E-2</v>
      </c>
      <c r="K70" s="115">
        <v>2.2000000000000002E-2</v>
      </c>
      <c r="L70" s="115">
        <v>1.1000000000000001E-2</v>
      </c>
      <c r="M70" s="116">
        <v>8.0000000000000002E-3</v>
      </c>
      <c r="N70" s="116">
        <v>6.9999999999999993E-3</v>
      </c>
      <c r="O70" s="116">
        <v>5.0000000000000001E-3</v>
      </c>
      <c r="P70" s="116">
        <v>3.0000000000000001E-3</v>
      </c>
      <c r="Q70" s="116">
        <v>2E-3</v>
      </c>
    </row>
    <row r="71" spans="3:17" customFormat="1" x14ac:dyDescent="0.2">
      <c r="C71" s="107" t="s">
        <v>424</v>
      </c>
      <c r="D71" s="108" t="s">
        <v>630</v>
      </c>
      <c r="E71" s="107" t="s">
        <v>631</v>
      </c>
      <c r="F71" s="107" t="s">
        <v>632</v>
      </c>
      <c r="G71" s="110" t="s">
        <v>633</v>
      </c>
      <c r="H71" s="115">
        <v>-1.1000000000000001E-2</v>
      </c>
      <c r="I71" s="115">
        <v>-1E-3</v>
      </c>
      <c r="J71" s="115">
        <v>2.1000000000000001E-2</v>
      </c>
      <c r="K71" s="115">
        <v>1.1000000000000001E-2</v>
      </c>
      <c r="L71" s="115">
        <v>1.8000000000000002E-2</v>
      </c>
      <c r="M71" s="116">
        <v>1.3999999999999999E-2</v>
      </c>
      <c r="N71" s="116">
        <v>0.01</v>
      </c>
      <c r="O71" s="116">
        <v>6.9999999999999993E-3</v>
      </c>
      <c r="P71" s="116">
        <v>6.9999999999999993E-3</v>
      </c>
      <c r="Q71" s="116">
        <v>5.0000000000000001E-3</v>
      </c>
    </row>
    <row r="72" spans="3:17" customFormat="1" x14ac:dyDescent="0.2">
      <c r="C72" s="107" t="s">
        <v>590</v>
      </c>
      <c r="D72" s="108" t="s">
        <v>630</v>
      </c>
      <c r="E72" s="107" t="s">
        <v>631</v>
      </c>
      <c r="F72" s="107" t="s">
        <v>632</v>
      </c>
      <c r="G72" s="110" t="s">
        <v>633</v>
      </c>
      <c r="H72" s="115">
        <v>3.5000000000000003E-2</v>
      </c>
      <c r="I72" s="115">
        <v>-1E-3</v>
      </c>
      <c r="J72" s="115">
        <v>2.3E-2</v>
      </c>
      <c r="K72" s="115">
        <v>9.0000000000000011E-3</v>
      </c>
      <c r="L72" s="115">
        <v>1.7000000000000001E-2</v>
      </c>
      <c r="M72" s="116">
        <v>1.3999999999999999E-2</v>
      </c>
      <c r="N72" s="116">
        <v>1.2E-2</v>
      </c>
      <c r="O72" s="116">
        <v>9.0000000000000011E-3</v>
      </c>
      <c r="P72" s="116">
        <v>8.0000000000000002E-3</v>
      </c>
      <c r="Q72" s="116">
        <v>6.9999999999999993E-3</v>
      </c>
    </row>
    <row r="73" spans="3:17" customFormat="1" x14ac:dyDescent="0.2">
      <c r="C73" s="107" t="s">
        <v>607</v>
      </c>
      <c r="D73" s="108" t="s">
        <v>630</v>
      </c>
      <c r="E73" s="107" t="s">
        <v>631</v>
      </c>
      <c r="F73" s="107" t="s">
        <v>632</v>
      </c>
      <c r="G73" s="110" t="s">
        <v>633</v>
      </c>
      <c r="H73" s="115">
        <v>0.05</v>
      </c>
      <c r="I73" s="115">
        <v>3.6000000000000004E-2</v>
      </c>
      <c r="J73" s="115">
        <v>-0.14800000000000002</v>
      </c>
      <c r="K73" s="115">
        <v>-4.2000000000000003E-2</v>
      </c>
      <c r="L73" s="115">
        <v>-1.7000000000000001E-2</v>
      </c>
      <c r="M73" s="116">
        <v>3.0000000000000001E-3</v>
      </c>
      <c r="N73" s="116">
        <v>1.3999999999999999E-2</v>
      </c>
      <c r="O73" s="116">
        <v>2.1000000000000001E-2</v>
      </c>
      <c r="P73" s="116">
        <v>5.0000000000000001E-3</v>
      </c>
      <c r="Q73" s="116">
        <v>2E-3</v>
      </c>
    </row>
    <row r="74" spans="3:17" customFormat="1" x14ac:dyDescent="0.2">
      <c r="C74" s="107" t="s">
        <v>654</v>
      </c>
      <c r="D74" s="108" t="s">
        <v>630</v>
      </c>
      <c r="E74" s="107" t="s">
        <v>631</v>
      </c>
      <c r="F74" s="107" t="s">
        <v>632</v>
      </c>
      <c r="G74" s="110" t="s">
        <v>633</v>
      </c>
      <c r="H74" s="115">
        <v>-8.0000000000000002E-3</v>
      </c>
      <c r="I74" s="115">
        <v>-5.0000000000000001E-3</v>
      </c>
      <c r="J74" s="115">
        <v>2.8999999999999998E-2</v>
      </c>
      <c r="K74" s="115">
        <v>2.4E-2</v>
      </c>
      <c r="L74" s="115">
        <v>1.8000000000000002E-2</v>
      </c>
      <c r="M74" s="116">
        <v>1.3999999999999999E-2</v>
      </c>
      <c r="N74" s="116">
        <v>1.1000000000000001E-2</v>
      </c>
      <c r="O74" s="116">
        <v>9.0000000000000011E-3</v>
      </c>
      <c r="P74" s="116">
        <v>6.9999999999999993E-3</v>
      </c>
      <c r="Q74" s="116">
        <v>6.9999999999999993E-3</v>
      </c>
    </row>
    <row r="75" spans="3:17" customFormat="1" x14ac:dyDescent="0.2">
      <c r="C75" s="107" t="s">
        <v>655</v>
      </c>
      <c r="D75" s="108" t="s">
        <v>630</v>
      </c>
      <c r="E75" s="107" t="s">
        <v>631</v>
      </c>
      <c r="F75" s="107" t="s">
        <v>632</v>
      </c>
      <c r="G75" s="110" t="s">
        <v>633</v>
      </c>
      <c r="H75" s="115">
        <v>1.9E-2</v>
      </c>
      <c r="I75" s="115">
        <v>0.02</v>
      </c>
      <c r="J75" s="115">
        <v>0.01</v>
      </c>
      <c r="K75" s="115">
        <v>3.5000000000000003E-2</v>
      </c>
      <c r="L75" s="115">
        <v>3.2000000000000001E-2</v>
      </c>
      <c r="M75" s="116">
        <v>2.8999999999999998E-2</v>
      </c>
      <c r="N75" s="116">
        <v>2.6000000000000002E-2</v>
      </c>
      <c r="O75" s="116">
        <v>2.4E-2</v>
      </c>
      <c r="P75" s="116">
        <v>2.1000000000000001E-2</v>
      </c>
      <c r="Q75" s="116">
        <v>1.9E-2</v>
      </c>
    </row>
    <row r="76" spans="3:17" customFormat="1" x14ac:dyDescent="0.2">
      <c r="C76" s="107" t="s">
        <v>486</v>
      </c>
      <c r="D76" s="108" t="s">
        <v>630</v>
      </c>
      <c r="E76" s="107" t="s">
        <v>631</v>
      </c>
      <c r="F76" s="107" t="s">
        <v>632</v>
      </c>
      <c r="G76" s="110" t="s">
        <v>633</v>
      </c>
      <c r="H76" s="115">
        <v>2.7000000000000003E-2</v>
      </c>
      <c r="I76" s="115">
        <v>2.1000000000000001E-2</v>
      </c>
      <c r="J76" s="115">
        <v>1.8000000000000002E-2</v>
      </c>
      <c r="K76" s="115">
        <v>1.2E-2</v>
      </c>
      <c r="L76" s="115">
        <v>1.9E-2</v>
      </c>
      <c r="M76" s="116">
        <v>1.6E-2</v>
      </c>
      <c r="N76" s="116">
        <v>1.3999999999999999E-2</v>
      </c>
      <c r="O76" s="116">
        <v>1.2E-2</v>
      </c>
      <c r="P76" s="116">
        <v>0.01</v>
      </c>
      <c r="Q76" s="116">
        <v>8.0000000000000002E-3</v>
      </c>
    </row>
    <row r="77" spans="3:17" customFormat="1" x14ac:dyDescent="0.2">
      <c r="C77" s="107" t="s">
        <v>432</v>
      </c>
      <c r="D77" s="108" t="s">
        <v>630</v>
      </c>
      <c r="E77" s="107" t="s">
        <v>631</v>
      </c>
      <c r="F77" s="107" t="s">
        <v>632</v>
      </c>
      <c r="G77" s="110" t="s">
        <v>633</v>
      </c>
      <c r="H77" s="115">
        <v>6.0000000000000001E-3</v>
      </c>
      <c r="I77" s="115">
        <v>6.0000000000000001E-3</v>
      </c>
      <c r="J77" s="115">
        <v>5.0000000000000001E-3</v>
      </c>
      <c r="K77" s="115">
        <v>4.0000000000000001E-3</v>
      </c>
      <c r="L77" s="115">
        <v>3.0000000000000001E-3</v>
      </c>
      <c r="M77" s="116">
        <v>2E-3</v>
      </c>
      <c r="N77" s="116">
        <v>1E-3</v>
      </c>
      <c r="O77" s="116">
        <v>0</v>
      </c>
      <c r="P77" s="116">
        <v>0</v>
      </c>
      <c r="Q77" s="116">
        <v>-1E-3</v>
      </c>
    </row>
    <row r="78" spans="3:17" customFormat="1" x14ac:dyDescent="0.2">
      <c r="C78" s="107" t="s">
        <v>433</v>
      </c>
      <c r="D78" s="108" t="s">
        <v>630</v>
      </c>
      <c r="E78" s="107" t="s">
        <v>631</v>
      </c>
      <c r="F78" s="107" t="s">
        <v>632</v>
      </c>
      <c r="G78" s="110" t="s">
        <v>633</v>
      </c>
      <c r="H78" s="115">
        <v>2.3E-2</v>
      </c>
      <c r="I78" s="115">
        <v>8.0000000000000002E-3</v>
      </c>
      <c r="J78" s="115">
        <v>6.0000000000000001E-3</v>
      </c>
      <c r="K78" s="115">
        <v>1.2E-2</v>
      </c>
      <c r="L78" s="115">
        <v>1.1000000000000001E-2</v>
      </c>
      <c r="M78" s="116">
        <v>0.01</v>
      </c>
      <c r="N78" s="116">
        <v>9.0000000000000011E-3</v>
      </c>
      <c r="O78" s="116">
        <v>8.0000000000000002E-3</v>
      </c>
      <c r="P78" s="116">
        <v>6.9999999999999993E-3</v>
      </c>
      <c r="Q78" s="116">
        <v>6.9999999999999993E-3</v>
      </c>
    </row>
    <row r="79" spans="3:17" customFormat="1" x14ac:dyDescent="0.2">
      <c r="C79" s="107" t="s">
        <v>434</v>
      </c>
      <c r="D79" s="108" t="s">
        <v>630</v>
      </c>
      <c r="E79" s="107" t="s">
        <v>631</v>
      </c>
      <c r="F79" s="107" t="s">
        <v>632</v>
      </c>
      <c r="G79" s="110" t="s">
        <v>633</v>
      </c>
      <c r="H79" s="115">
        <v>2.7000000000000003E-2</v>
      </c>
      <c r="I79" s="115">
        <v>2.1000000000000001E-2</v>
      </c>
      <c r="J79" s="115">
        <v>6.9999999999999993E-3</v>
      </c>
      <c r="K79" s="115">
        <v>2.7999999999999997E-2</v>
      </c>
      <c r="L79" s="115">
        <v>2.5000000000000001E-2</v>
      </c>
      <c r="M79" s="116">
        <v>2.2000000000000002E-2</v>
      </c>
      <c r="N79" s="116">
        <v>0.02</v>
      </c>
      <c r="O79" s="116">
        <v>1.7000000000000001E-2</v>
      </c>
      <c r="P79" s="116">
        <v>1.4999999999999999E-2</v>
      </c>
      <c r="Q79" s="116">
        <v>1.3000000000000001E-2</v>
      </c>
    </row>
    <row r="80" spans="3:17" customFormat="1" x14ac:dyDescent="0.2">
      <c r="C80" s="107" t="s">
        <v>507</v>
      </c>
      <c r="D80" s="108" t="s">
        <v>630</v>
      </c>
      <c r="E80" s="107" t="s">
        <v>631</v>
      </c>
      <c r="F80" s="107" t="s">
        <v>632</v>
      </c>
      <c r="G80" s="110" t="s">
        <v>633</v>
      </c>
      <c r="H80" s="115">
        <v>0.114</v>
      </c>
      <c r="I80" s="115">
        <v>0.04</v>
      </c>
      <c r="J80" s="115">
        <v>3.2000000000000001E-2</v>
      </c>
      <c r="K80" s="115">
        <v>5.5999999999999994E-2</v>
      </c>
      <c r="L80" s="115">
        <v>0.05</v>
      </c>
      <c r="M80" s="116">
        <v>4.4000000000000004E-2</v>
      </c>
      <c r="N80" s="116">
        <v>0.04</v>
      </c>
      <c r="O80" s="116">
        <v>3.7999999999999999E-2</v>
      </c>
      <c r="P80" s="116">
        <v>3.5000000000000003E-2</v>
      </c>
      <c r="Q80" s="116">
        <v>3.2000000000000001E-2</v>
      </c>
    </row>
    <row r="81" spans="3:17" customFormat="1" x14ac:dyDescent="0.2">
      <c r="C81" s="107" t="s">
        <v>510</v>
      </c>
      <c r="D81" s="108" t="s">
        <v>630</v>
      </c>
      <c r="E81" s="107" t="s">
        <v>631</v>
      </c>
      <c r="F81" s="107" t="s">
        <v>632</v>
      </c>
      <c r="G81" s="110" t="s">
        <v>633</v>
      </c>
      <c r="H81" s="115">
        <v>6.0000000000000001E-3</v>
      </c>
      <c r="I81" s="115">
        <v>4.0000000000000001E-3</v>
      </c>
      <c r="J81" s="115">
        <v>1E-3</v>
      </c>
      <c r="K81" s="115">
        <v>1E-3</v>
      </c>
      <c r="L81" s="115">
        <v>0</v>
      </c>
      <c r="M81" s="116">
        <v>0</v>
      </c>
      <c r="N81" s="116">
        <v>-1E-3</v>
      </c>
      <c r="O81" s="116">
        <v>-1E-3</v>
      </c>
      <c r="P81" s="116">
        <v>-2E-3</v>
      </c>
      <c r="Q81" s="116">
        <v>-2E-3</v>
      </c>
    </row>
    <row r="82" spans="3:17" customFormat="1" x14ac:dyDescent="0.2">
      <c r="C82" s="107" t="s">
        <v>436</v>
      </c>
      <c r="D82" s="108" t="s">
        <v>630</v>
      </c>
      <c r="E82" s="107" t="s">
        <v>631</v>
      </c>
      <c r="F82" s="107" t="s">
        <v>632</v>
      </c>
      <c r="G82" s="110" t="s">
        <v>633</v>
      </c>
      <c r="H82" s="115">
        <v>0.111</v>
      </c>
      <c r="I82" s="115">
        <v>3.2000000000000001E-2</v>
      </c>
      <c r="J82" s="115">
        <v>5.4000000000000006E-2</v>
      </c>
      <c r="K82" s="115">
        <v>5.4000000000000006E-2</v>
      </c>
      <c r="L82" s="115">
        <v>4.7E-2</v>
      </c>
      <c r="M82" s="116">
        <v>4.4000000000000004E-2</v>
      </c>
      <c r="N82" s="116">
        <v>0.04</v>
      </c>
      <c r="O82" s="116">
        <v>3.5000000000000003E-2</v>
      </c>
      <c r="P82" s="116">
        <v>3.1000000000000003E-2</v>
      </c>
      <c r="Q82" s="116">
        <v>2.7999999999999997E-2</v>
      </c>
    </row>
    <row r="83" spans="3:17" customFormat="1" x14ac:dyDescent="0.2">
      <c r="C83" s="107" t="s">
        <v>438</v>
      </c>
      <c r="D83" s="108" t="s">
        <v>630</v>
      </c>
      <c r="E83" s="107" t="s">
        <v>631</v>
      </c>
      <c r="F83" s="107" t="s">
        <v>632</v>
      </c>
      <c r="G83" s="110" t="s">
        <v>633</v>
      </c>
      <c r="H83" s="115">
        <v>-2E-3</v>
      </c>
      <c r="I83" s="115">
        <v>4.0000000000000001E-3</v>
      </c>
      <c r="J83" s="115">
        <v>5.2000000000000005E-2</v>
      </c>
      <c r="K83" s="115">
        <v>1.1000000000000001E-2</v>
      </c>
      <c r="L83" s="115">
        <v>2.7000000000000003E-2</v>
      </c>
      <c r="M83" s="116">
        <v>2.4E-2</v>
      </c>
      <c r="N83" s="116">
        <v>2.1000000000000001E-2</v>
      </c>
      <c r="O83" s="116">
        <v>1.9E-2</v>
      </c>
      <c r="P83" s="116">
        <v>1.6E-2</v>
      </c>
      <c r="Q83" s="116">
        <v>1.3999999999999999E-2</v>
      </c>
    </row>
    <row r="84" spans="3:17" customFormat="1" x14ac:dyDescent="0.2">
      <c r="C84" s="107" t="s">
        <v>656</v>
      </c>
      <c r="D84" s="108" t="s">
        <v>630</v>
      </c>
      <c r="E84" s="107" t="s">
        <v>631</v>
      </c>
      <c r="F84" s="107" t="s">
        <v>632</v>
      </c>
      <c r="G84" s="110" t="s">
        <v>633</v>
      </c>
      <c r="H84" s="115">
        <v>4.2000000000000003E-2</v>
      </c>
      <c r="I84" s="115">
        <v>3.5000000000000003E-2</v>
      </c>
      <c r="J84" s="115">
        <v>3.5000000000000003E-2</v>
      </c>
      <c r="K84" s="115">
        <v>2.7000000000000003E-2</v>
      </c>
      <c r="L84" s="115">
        <v>0.02</v>
      </c>
      <c r="M84" s="116">
        <v>1.7000000000000001E-2</v>
      </c>
      <c r="N84" s="116">
        <v>1.4999999999999999E-2</v>
      </c>
      <c r="O84" s="116">
        <v>1.3999999999999999E-2</v>
      </c>
      <c r="P84" s="116">
        <v>1.2E-2</v>
      </c>
      <c r="Q84" s="116">
        <v>1.1000000000000001E-2</v>
      </c>
    </row>
    <row r="85" spans="3:17" customFormat="1" x14ac:dyDescent="0.2">
      <c r="C85" s="107" t="s">
        <v>518</v>
      </c>
      <c r="D85" s="108" t="s">
        <v>630</v>
      </c>
      <c r="E85" s="107" t="s">
        <v>631</v>
      </c>
      <c r="F85" s="107" t="s">
        <v>632</v>
      </c>
      <c r="G85" s="110" t="s">
        <v>633</v>
      </c>
      <c r="H85" s="115">
        <v>3.9E-2</v>
      </c>
      <c r="I85" s="115">
        <v>3.6000000000000004E-2</v>
      </c>
      <c r="J85" s="115">
        <v>3.3000000000000002E-2</v>
      </c>
      <c r="K85" s="115">
        <v>3.1000000000000003E-2</v>
      </c>
      <c r="L85" s="115">
        <v>2.8999999999999998E-2</v>
      </c>
      <c r="M85" s="116">
        <v>2.7999999999999997E-2</v>
      </c>
      <c r="N85" s="116">
        <v>2.7000000000000003E-2</v>
      </c>
      <c r="O85" s="116">
        <v>2.6000000000000002E-2</v>
      </c>
      <c r="P85" s="116">
        <v>2.4E-2</v>
      </c>
      <c r="Q85" s="116">
        <v>2.2000000000000002E-2</v>
      </c>
    </row>
    <row r="86" spans="3:17" customFormat="1" x14ac:dyDescent="0.2">
      <c r="C86" s="107" t="s">
        <v>441</v>
      </c>
      <c r="D86" s="108" t="s">
        <v>630</v>
      </c>
      <c r="E86" s="107" t="s">
        <v>631</v>
      </c>
      <c r="F86" s="107" t="s">
        <v>632</v>
      </c>
      <c r="G86" s="110" t="s">
        <v>633</v>
      </c>
      <c r="H86" s="115">
        <v>0.04</v>
      </c>
      <c r="I86" s="115">
        <v>4.4999999999999998E-2</v>
      </c>
      <c r="J86" s="115">
        <v>1.8000000000000002E-2</v>
      </c>
      <c r="K86" s="115">
        <v>1.6E-2</v>
      </c>
      <c r="L86" s="115">
        <v>1.3000000000000001E-2</v>
      </c>
      <c r="M86" s="116">
        <v>1.1000000000000001E-2</v>
      </c>
      <c r="N86" s="116">
        <v>0.01</v>
      </c>
      <c r="O86" s="116">
        <v>9.0000000000000011E-3</v>
      </c>
      <c r="P86" s="116">
        <v>6.9999999999999993E-3</v>
      </c>
      <c r="Q86" s="116">
        <v>6.0000000000000001E-3</v>
      </c>
    </row>
    <row r="87" spans="3:17" customFormat="1" x14ac:dyDescent="0.2">
      <c r="C87" s="107" t="s">
        <v>442</v>
      </c>
      <c r="D87" s="108" t="s">
        <v>630</v>
      </c>
      <c r="E87" s="107" t="s">
        <v>631</v>
      </c>
      <c r="F87" s="107" t="s">
        <v>632</v>
      </c>
      <c r="G87" s="110" t="s">
        <v>633</v>
      </c>
      <c r="H87" s="115">
        <v>0.06</v>
      </c>
      <c r="I87" s="115">
        <v>8.0000000000000002E-3</v>
      </c>
      <c r="J87" s="115">
        <v>7.4999999999999997E-2</v>
      </c>
      <c r="K87" s="115">
        <v>4.2999999999999997E-2</v>
      </c>
      <c r="L87" s="115">
        <v>3.7999999999999999E-2</v>
      </c>
      <c r="M87" s="116">
        <v>3.4000000000000002E-2</v>
      </c>
      <c r="N87" s="116">
        <v>0.03</v>
      </c>
      <c r="O87" s="116">
        <v>2.6000000000000002E-2</v>
      </c>
      <c r="P87" s="116">
        <v>2.2000000000000002E-2</v>
      </c>
      <c r="Q87" s="116">
        <v>1.9E-2</v>
      </c>
    </row>
    <row r="88" spans="3:17" customFormat="1" x14ac:dyDescent="0.2">
      <c r="C88" s="107" t="s">
        <v>443</v>
      </c>
      <c r="D88" s="108" t="s">
        <v>630</v>
      </c>
      <c r="E88" s="107" t="s">
        <v>631</v>
      </c>
      <c r="F88" s="107" t="s">
        <v>632</v>
      </c>
      <c r="G88" s="110" t="s">
        <v>633</v>
      </c>
      <c r="H88" s="115">
        <v>3.7999999999999999E-2</v>
      </c>
      <c r="I88" s="115">
        <v>6.9999999999999993E-3</v>
      </c>
      <c r="J88" s="115">
        <v>4.4000000000000004E-2</v>
      </c>
      <c r="K88" s="115">
        <v>2.8999999999999998E-2</v>
      </c>
      <c r="L88" s="115">
        <v>2.3E-2</v>
      </c>
      <c r="M88" s="116">
        <v>2.1000000000000001E-2</v>
      </c>
      <c r="N88" s="116">
        <v>1.9E-2</v>
      </c>
      <c r="O88" s="116">
        <v>1.6E-2</v>
      </c>
      <c r="P88" s="116">
        <v>1.3999999999999999E-2</v>
      </c>
      <c r="Q88" s="116">
        <v>1.2E-2</v>
      </c>
    </row>
    <row r="89" spans="3:17" customFormat="1" x14ac:dyDescent="0.2">
      <c r="C89" s="107" t="s">
        <v>525</v>
      </c>
      <c r="D89" s="108" t="s">
        <v>630</v>
      </c>
      <c r="E89" s="107" t="s">
        <v>631</v>
      </c>
      <c r="F89" s="107" t="s">
        <v>632</v>
      </c>
      <c r="G89" s="110" t="s">
        <v>633</v>
      </c>
      <c r="H89" s="115">
        <v>-5.2000000000000005E-2</v>
      </c>
      <c r="I89" s="115">
        <v>5.0000000000000001E-3</v>
      </c>
      <c r="J89" s="115">
        <v>4.2000000000000003E-2</v>
      </c>
      <c r="K89" s="115">
        <v>3.7999999999999999E-2</v>
      </c>
      <c r="L89" s="115">
        <v>3.3000000000000002E-2</v>
      </c>
      <c r="M89" s="116">
        <v>2.7999999999999997E-2</v>
      </c>
      <c r="N89" s="116">
        <v>2.4E-2</v>
      </c>
      <c r="O89" s="116">
        <v>2.1000000000000001E-2</v>
      </c>
      <c r="P89" s="116">
        <v>1.8000000000000002E-2</v>
      </c>
      <c r="Q89" s="116">
        <v>1.4999999999999999E-2</v>
      </c>
    </row>
    <row r="90" spans="3:17" customFormat="1" x14ac:dyDescent="0.2">
      <c r="C90" s="107" t="s">
        <v>526</v>
      </c>
      <c r="D90" s="108" t="s">
        <v>630</v>
      </c>
      <c r="E90" s="107" t="s">
        <v>631</v>
      </c>
      <c r="F90" s="107" t="s">
        <v>632</v>
      </c>
      <c r="G90" s="110" t="s">
        <v>633</v>
      </c>
      <c r="H90" s="115">
        <v>3.7000000000000005E-2</v>
      </c>
      <c r="I90" s="115">
        <v>3.1000000000000003E-2</v>
      </c>
      <c r="J90" s="115">
        <v>2.7999999999999997E-2</v>
      </c>
      <c r="K90" s="115">
        <v>2.4E-2</v>
      </c>
      <c r="L90" s="115">
        <v>0.02</v>
      </c>
      <c r="M90" s="116">
        <v>1.7000000000000001E-2</v>
      </c>
      <c r="N90" s="116">
        <v>1.4999999999999999E-2</v>
      </c>
      <c r="O90" s="116">
        <v>1.3000000000000001E-2</v>
      </c>
      <c r="P90" s="116">
        <v>1.1000000000000001E-2</v>
      </c>
      <c r="Q90" s="116">
        <v>9.0000000000000011E-3</v>
      </c>
    </row>
    <row r="91" spans="3:17" customFormat="1" x14ac:dyDescent="0.2">
      <c r="C91" s="107" t="s">
        <v>657</v>
      </c>
      <c r="D91" s="108" t="s">
        <v>630</v>
      </c>
      <c r="E91" s="107" t="s">
        <v>631</v>
      </c>
      <c r="F91" s="107" t="s">
        <v>632</v>
      </c>
      <c r="G91" s="110" t="s">
        <v>633</v>
      </c>
      <c r="H91" s="115">
        <v>8.8000000000000009E-2</v>
      </c>
      <c r="I91" s="115">
        <v>3.0000000000000001E-3</v>
      </c>
      <c r="J91" s="115">
        <v>2E-3</v>
      </c>
      <c r="K91" s="115">
        <v>1.8000000000000002E-2</v>
      </c>
      <c r="L91" s="115">
        <v>1.4999999999999999E-2</v>
      </c>
      <c r="M91" s="116">
        <v>1.2E-2</v>
      </c>
      <c r="N91" s="116">
        <v>0.01</v>
      </c>
      <c r="O91" s="116">
        <v>8.0000000000000002E-3</v>
      </c>
      <c r="P91" s="116">
        <v>6.9999999999999993E-3</v>
      </c>
      <c r="Q91" s="116">
        <v>6.0000000000000001E-3</v>
      </c>
    </row>
    <row r="92" spans="3:17" customFormat="1" x14ac:dyDescent="0.2">
      <c r="C92" s="107" t="s">
        <v>445</v>
      </c>
      <c r="D92" s="108" t="s">
        <v>630</v>
      </c>
      <c r="E92" s="107" t="s">
        <v>631</v>
      </c>
      <c r="F92" s="107" t="s">
        <v>632</v>
      </c>
      <c r="G92" s="110" t="s">
        <v>633</v>
      </c>
      <c r="H92" s="115">
        <v>5.7000000000000002E-2</v>
      </c>
      <c r="I92" s="115">
        <v>-3.3000000000000002E-2</v>
      </c>
      <c r="J92" s="115">
        <v>4.9000000000000002E-2</v>
      </c>
      <c r="K92" s="115">
        <v>8.6999999999999994E-2</v>
      </c>
      <c r="L92" s="115">
        <v>2.2000000000000002E-2</v>
      </c>
      <c r="M92" s="116">
        <v>0.02</v>
      </c>
      <c r="N92" s="116">
        <v>1.9E-2</v>
      </c>
      <c r="O92" s="116">
        <v>1.7000000000000001E-2</v>
      </c>
      <c r="P92" s="116">
        <v>1.4999999999999999E-2</v>
      </c>
      <c r="Q92" s="116">
        <v>1.3999999999999999E-2</v>
      </c>
    </row>
    <row r="93" spans="3:17" customFormat="1" x14ac:dyDescent="0.2">
      <c r="C93" s="107" t="s">
        <v>446</v>
      </c>
      <c r="D93" s="108" t="s">
        <v>630</v>
      </c>
      <c r="E93" s="107" t="s">
        <v>631</v>
      </c>
      <c r="F93" s="107" t="s">
        <v>632</v>
      </c>
      <c r="G93" s="110" t="s">
        <v>633</v>
      </c>
      <c r="H93" s="115">
        <v>-1.3000000000000001E-2</v>
      </c>
      <c r="I93" s="115">
        <v>1.9E-2</v>
      </c>
      <c r="J93" s="115">
        <v>5.5E-2</v>
      </c>
      <c r="K93" s="115">
        <v>7.400000000000001E-2</v>
      </c>
      <c r="L93" s="115">
        <v>4.0999999999999995E-2</v>
      </c>
      <c r="M93" s="116">
        <v>3.7000000000000005E-2</v>
      </c>
      <c r="N93" s="116">
        <v>3.4000000000000002E-2</v>
      </c>
      <c r="O93" s="116">
        <v>0.03</v>
      </c>
      <c r="P93" s="116">
        <v>2.6000000000000002E-2</v>
      </c>
      <c r="Q93" s="116">
        <v>2.4E-2</v>
      </c>
    </row>
    <row r="94" spans="3:17" customFormat="1" x14ac:dyDescent="0.2">
      <c r="C94" s="107" t="s">
        <v>448</v>
      </c>
      <c r="D94" s="108" t="s">
        <v>630</v>
      </c>
      <c r="E94" s="107" t="s">
        <v>631</v>
      </c>
      <c r="F94" s="107" t="s">
        <v>632</v>
      </c>
      <c r="G94" s="110" t="s">
        <v>633</v>
      </c>
      <c r="H94" s="115">
        <v>0.13699999999999998</v>
      </c>
      <c r="I94" s="115">
        <v>6.7000000000000004E-2</v>
      </c>
      <c r="J94" s="115">
        <v>3.7999999999999999E-2</v>
      </c>
      <c r="K94" s="115">
        <v>5.2000000000000005E-2</v>
      </c>
      <c r="L94" s="115">
        <v>4.7E-2</v>
      </c>
      <c r="M94" s="116">
        <v>4.2000000000000003E-2</v>
      </c>
      <c r="N94" s="116">
        <v>3.7999999999999999E-2</v>
      </c>
      <c r="O94" s="116">
        <v>3.4000000000000002E-2</v>
      </c>
      <c r="P94" s="116">
        <v>0.03</v>
      </c>
      <c r="Q94" s="116">
        <v>2.7000000000000003E-2</v>
      </c>
    </row>
    <row r="95" spans="3:17" customFormat="1" x14ac:dyDescent="0.2">
      <c r="C95" s="107" t="s">
        <v>658</v>
      </c>
      <c r="D95" s="108" t="s">
        <v>630</v>
      </c>
      <c r="E95" s="107" t="s">
        <v>631</v>
      </c>
      <c r="F95" s="107" t="s">
        <v>632</v>
      </c>
      <c r="G95" s="110" t="s">
        <v>633</v>
      </c>
      <c r="H95" s="115">
        <v>6.0999999999999999E-2</v>
      </c>
      <c r="I95" s="115">
        <v>5.9000000000000004E-2</v>
      </c>
      <c r="J95" s="115">
        <v>5.5E-2</v>
      </c>
      <c r="K95" s="115">
        <v>4.9000000000000002E-2</v>
      </c>
      <c r="L95" s="115">
        <v>4.4999999999999998E-2</v>
      </c>
      <c r="M95" s="116">
        <v>4.0999999999999995E-2</v>
      </c>
      <c r="N95" s="116">
        <v>3.7999999999999999E-2</v>
      </c>
      <c r="O95" s="116">
        <v>3.7999999999999999E-2</v>
      </c>
      <c r="P95" s="116">
        <v>3.7999999999999999E-2</v>
      </c>
      <c r="Q95" s="116">
        <v>3.6000000000000004E-2</v>
      </c>
    </row>
    <row r="96" spans="3:17" customFormat="1" x14ac:dyDescent="0.2">
      <c r="C96" s="107" t="s">
        <v>450</v>
      </c>
      <c r="D96" s="108" t="s">
        <v>630</v>
      </c>
      <c r="E96" s="107" t="s">
        <v>631</v>
      </c>
      <c r="F96" s="107" t="s">
        <v>632</v>
      </c>
      <c r="G96" s="110" t="s">
        <v>633</v>
      </c>
      <c r="H96" s="115">
        <v>5.2000000000000005E-2</v>
      </c>
      <c r="I96" s="115">
        <v>5.5E-2</v>
      </c>
      <c r="J96" s="115">
        <v>0</v>
      </c>
      <c r="K96" s="115">
        <v>3.7999999999999999E-2</v>
      </c>
      <c r="L96" s="115">
        <v>3.4000000000000002E-2</v>
      </c>
      <c r="M96" s="116">
        <v>0.03</v>
      </c>
      <c r="N96" s="116">
        <v>2.7000000000000003E-2</v>
      </c>
      <c r="O96" s="116">
        <v>2.4E-2</v>
      </c>
      <c r="P96" s="116">
        <v>2.1000000000000001E-2</v>
      </c>
      <c r="Q96" s="116">
        <v>1.8000000000000002E-2</v>
      </c>
    </row>
    <row r="97" spans="3:17" customFormat="1" x14ac:dyDescent="0.2">
      <c r="C97" s="107" t="s">
        <v>659</v>
      </c>
      <c r="D97" s="108" t="s">
        <v>630</v>
      </c>
      <c r="E97" s="107" t="s">
        <v>631</v>
      </c>
      <c r="F97" s="107" t="s">
        <v>632</v>
      </c>
      <c r="G97" s="110" t="s">
        <v>633</v>
      </c>
      <c r="H97" s="115">
        <v>2.7999999999999997E-2</v>
      </c>
      <c r="I97" s="115">
        <v>6.9999999999999993E-3</v>
      </c>
      <c r="J97" s="115">
        <v>1.8000000000000002E-2</v>
      </c>
      <c r="K97" s="115">
        <v>3.1000000000000003E-2</v>
      </c>
      <c r="L97" s="115">
        <v>2.7999999999999997E-2</v>
      </c>
      <c r="M97" s="116">
        <v>2.4E-2</v>
      </c>
      <c r="N97" s="116">
        <v>0.02</v>
      </c>
      <c r="O97" s="116">
        <v>1.8000000000000002E-2</v>
      </c>
      <c r="P97" s="116">
        <v>1.6E-2</v>
      </c>
      <c r="Q97" s="116">
        <v>1.3999999999999999E-2</v>
      </c>
    </row>
    <row r="98" spans="3:17" customFormat="1" x14ac:dyDescent="0.2">
      <c r="C98" s="107" t="s">
        <v>451</v>
      </c>
      <c r="D98" s="108" t="s">
        <v>630</v>
      </c>
      <c r="E98" s="107" t="s">
        <v>631</v>
      </c>
      <c r="F98" s="107" t="s">
        <v>632</v>
      </c>
      <c r="G98" s="110" t="s">
        <v>633</v>
      </c>
      <c r="H98" s="115">
        <v>8.8000000000000009E-2</v>
      </c>
      <c r="I98" s="115">
        <v>0.10800000000000001</v>
      </c>
      <c r="J98" s="115">
        <v>0.03</v>
      </c>
      <c r="K98" s="115">
        <v>8.4000000000000005E-2</v>
      </c>
      <c r="L98" s="115">
        <v>7.4999999999999997E-2</v>
      </c>
      <c r="M98" s="116">
        <v>6.9000000000000006E-2</v>
      </c>
      <c r="N98" s="116">
        <v>6.2000000000000006E-2</v>
      </c>
      <c r="O98" s="116">
        <v>5.7000000000000002E-2</v>
      </c>
      <c r="P98" s="116">
        <v>5.2000000000000005E-2</v>
      </c>
      <c r="Q98" s="116">
        <v>4.7E-2</v>
      </c>
    </row>
    <row r="99" spans="3:17" customFormat="1" x14ac:dyDescent="0.2">
      <c r="C99" s="107" t="s">
        <v>660</v>
      </c>
      <c r="D99" s="108" t="s">
        <v>630</v>
      </c>
      <c r="E99" s="107" t="s">
        <v>631</v>
      </c>
      <c r="F99" s="107" t="s">
        <v>632</v>
      </c>
      <c r="G99" s="110" t="s">
        <v>633</v>
      </c>
      <c r="H99" s="115">
        <v>0.151</v>
      </c>
      <c r="I99" s="115">
        <v>0.10300000000000001</v>
      </c>
      <c r="J99" s="115">
        <v>0.05</v>
      </c>
      <c r="K99" s="115">
        <v>3.2000000000000001E-2</v>
      </c>
      <c r="L99" s="115">
        <v>0.03</v>
      </c>
      <c r="M99" s="116">
        <v>2.7000000000000003E-2</v>
      </c>
      <c r="N99" s="116">
        <v>2.5000000000000001E-2</v>
      </c>
      <c r="O99" s="116">
        <v>2.3E-2</v>
      </c>
      <c r="P99" s="116">
        <v>2.1000000000000001E-2</v>
      </c>
      <c r="Q99" s="116">
        <v>1.9E-2</v>
      </c>
    </row>
    <row r="100" spans="3:17" customFormat="1" x14ac:dyDescent="0.2">
      <c r="C100" s="107" t="s">
        <v>661</v>
      </c>
      <c r="D100" s="108" t="s">
        <v>630</v>
      </c>
      <c r="E100" s="107" t="s">
        <v>631</v>
      </c>
      <c r="F100" s="107" t="s">
        <v>632</v>
      </c>
      <c r="G100" s="110" t="s">
        <v>633</v>
      </c>
      <c r="H100" s="115">
        <v>0.10800000000000001</v>
      </c>
      <c r="I100" s="115">
        <v>9.8000000000000004E-2</v>
      </c>
      <c r="J100" s="115">
        <v>0.09</v>
      </c>
      <c r="K100" s="115">
        <v>8.199999999999999E-2</v>
      </c>
      <c r="L100" s="115">
        <v>7.4999999999999997E-2</v>
      </c>
      <c r="M100" s="116">
        <v>6.8000000000000005E-2</v>
      </c>
      <c r="N100" s="116">
        <v>6.2000000000000006E-2</v>
      </c>
      <c r="O100" s="116">
        <v>5.5999999999999994E-2</v>
      </c>
      <c r="P100" s="116">
        <v>5.0999999999999997E-2</v>
      </c>
      <c r="Q100" s="116">
        <v>4.7E-2</v>
      </c>
    </row>
    <row r="101" spans="3:17" customFormat="1" x14ac:dyDescent="0.2">
      <c r="C101" s="107" t="s">
        <v>452</v>
      </c>
      <c r="D101" s="108" t="s">
        <v>630</v>
      </c>
      <c r="E101" s="107" t="s">
        <v>631</v>
      </c>
      <c r="F101" s="107" t="s">
        <v>632</v>
      </c>
      <c r="G101" s="110" t="s">
        <v>633</v>
      </c>
      <c r="H101" s="115">
        <v>0.16899999999999998</v>
      </c>
      <c r="I101" s="115">
        <v>0.105</v>
      </c>
      <c r="J101" s="115">
        <v>5.2999999999999999E-2</v>
      </c>
      <c r="K101" s="115">
        <v>8.199999999999999E-2</v>
      </c>
      <c r="L101" s="115">
        <v>7.4999999999999997E-2</v>
      </c>
      <c r="M101" s="116">
        <v>6.8000000000000005E-2</v>
      </c>
      <c r="N101" s="116">
        <v>6.3E-2</v>
      </c>
      <c r="O101" s="116">
        <v>5.7000000000000002E-2</v>
      </c>
      <c r="P101" s="116">
        <v>5.2999999999999999E-2</v>
      </c>
      <c r="Q101" s="116">
        <v>4.8000000000000001E-2</v>
      </c>
    </row>
    <row r="102" spans="3:17" customFormat="1" x14ac:dyDescent="0.2">
      <c r="C102" s="107" t="s">
        <v>544</v>
      </c>
      <c r="D102" s="108" t="s">
        <v>630</v>
      </c>
      <c r="E102" s="107" t="s">
        <v>631</v>
      </c>
      <c r="F102" s="107" t="s">
        <v>632</v>
      </c>
      <c r="G102" s="110" t="s">
        <v>633</v>
      </c>
      <c r="H102" s="115">
        <v>8.199999999999999E-2</v>
      </c>
      <c r="I102" s="115">
        <v>2E-3</v>
      </c>
      <c r="J102" s="115">
        <v>8.5999999999999993E-2</v>
      </c>
      <c r="K102" s="115">
        <v>1.4999999999999999E-2</v>
      </c>
      <c r="L102" s="115">
        <v>1.3000000000000001E-2</v>
      </c>
      <c r="M102" s="116">
        <v>1.1000000000000001E-2</v>
      </c>
      <c r="N102" s="116">
        <v>9.0000000000000011E-3</v>
      </c>
      <c r="O102" s="116">
        <v>6.9999999999999993E-3</v>
      </c>
      <c r="P102" s="116">
        <v>6.0000000000000001E-3</v>
      </c>
      <c r="Q102" s="116">
        <v>5.0000000000000001E-3</v>
      </c>
    </row>
    <row r="103" spans="3:17" customFormat="1" x14ac:dyDescent="0.2">
      <c r="C103" s="107" t="s">
        <v>662</v>
      </c>
      <c r="D103" s="108" t="s">
        <v>630</v>
      </c>
      <c r="E103" s="107" t="s">
        <v>631</v>
      </c>
      <c r="F103" s="107" t="s">
        <v>632</v>
      </c>
      <c r="G103" s="110" t="s">
        <v>633</v>
      </c>
      <c r="H103" s="115">
        <v>1.8000000000000002E-2</v>
      </c>
      <c r="I103" s="115">
        <v>1.3999999999999999E-2</v>
      </c>
      <c r="J103" s="115">
        <v>1.2E-2</v>
      </c>
      <c r="K103" s="115">
        <v>1.1000000000000001E-2</v>
      </c>
      <c r="L103" s="115">
        <v>9.0000000000000011E-3</v>
      </c>
      <c r="M103" s="116">
        <v>6.9999999999999993E-3</v>
      </c>
      <c r="N103" s="116">
        <v>5.0000000000000001E-3</v>
      </c>
      <c r="O103" s="116">
        <v>5.0000000000000001E-3</v>
      </c>
      <c r="P103" s="116">
        <v>4.0000000000000001E-3</v>
      </c>
      <c r="Q103" s="116">
        <v>3.0000000000000001E-3</v>
      </c>
    </row>
    <row r="104" spans="3:17" customFormat="1" x14ac:dyDescent="0.2">
      <c r="C104" s="107" t="s">
        <v>453</v>
      </c>
      <c r="D104" s="108" t="s">
        <v>630</v>
      </c>
      <c r="E104" s="107" t="s">
        <v>631</v>
      </c>
      <c r="F104" s="107" t="s">
        <v>632</v>
      </c>
      <c r="G104" s="110" t="s">
        <v>633</v>
      </c>
      <c r="H104" s="115">
        <v>6.6000000000000003E-2</v>
      </c>
      <c r="I104" s="115">
        <v>0.05</v>
      </c>
      <c r="J104" s="115">
        <v>4.2999999999999997E-2</v>
      </c>
      <c r="K104" s="115">
        <v>3.6000000000000004E-2</v>
      </c>
      <c r="L104" s="115">
        <v>2.8999999999999998E-2</v>
      </c>
      <c r="M104" s="116">
        <v>2.7999999999999997E-2</v>
      </c>
      <c r="N104" s="116">
        <v>2.5000000000000001E-2</v>
      </c>
      <c r="O104" s="116">
        <v>2.3E-2</v>
      </c>
      <c r="P104" s="116">
        <v>0.02</v>
      </c>
      <c r="Q104" s="116">
        <v>1.9E-2</v>
      </c>
    </row>
    <row r="105" spans="3:17" customFormat="1" x14ac:dyDescent="0.2">
      <c r="C105" s="107" t="s">
        <v>573</v>
      </c>
      <c r="D105" s="108" t="s">
        <v>630</v>
      </c>
      <c r="E105" s="107" t="s">
        <v>631</v>
      </c>
      <c r="F105" s="107" t="s">
        <v>632</v>
      </c>
      <c r="G105" s="110" t="s">
        <v>633</v>
      </c>
      <c r="H105" s="115">
        <v>0.13100000000000001</v>
      </c>
      <c r="I105" s="115">
        <v>5.9000000000000004E-2</v>
      </c>
      <c r="J105" s="115">
        <v>0.20399999999999999</v>
      </c>
      <c r="K105" s="115">
        <v>7.9000000000000001E-2</v>
      </c>
      <c r="L105" s="115">
        <v>7.2000000000000008E-2</v>
      </c>
      <c r="M105" s="116">
        <v>6.5000000000000002E-2</v>
      </c>
      <c r="N105" s="116">
        <v>5.9000000000000004E-2</v>
      </c>
      <c r="O105" s="116">
        <v>5.4000000000000006E-2</v>
      </c>
      <c r="P105" s="116">
        <v>4.9000000000000002E-2</v>
      </c>
      <c r="Q105" s="116">
        <v>4.4999999999999998E-2</v>
      </c>
    </row>
    <row r="106" spans="3:17" customFormat="1" x14ac:dyDescent="0.2">
      <c r="C106" s="107" t="s">
        <v>455</v>
      </c>
      <c r="D106" s="108" t="s">
        <v>630</v>
      </c>
      <c r="E106" s="107" t="s">
        <v>631</v>
      </c>
      <c r="F106" s="107" t="s">
        <v>632</v>
      </c>
      <c r="G106" s="110" t="s">
        <v>633</v>
      </c>
      <c r="H106" s="115">
        <v>3.5000000000000003E-2</v>
      </c>
      <c r="I106" s="115">
        <v>3.3000000000000002E-2</v>
      </c>
      <c r="J106" s="115">
        <v>3.3000000000000002E-2</v>
      </c>
      <c r="K106" s="115">
        <v>0.06</v>
      </c>
      <c r="L106" s="115">
        <v>5.4000000000000006E-2</v>
      </c>
      <c r="M106" s="116">
        <v>4.8000000000000001E-2</v>
      </c>
      <c r="N106" s="116">
        <v>4.2999999999999997E-2</v>
      </c>
      <c r="O106" s="116">
        <v>3.7999999999999999E-2</v>
      </c>
      <c r="P106" s="116">
        <v>3.4000000000000002E-2</v>
      </c>
      <c r="Q106" s="116">
        <v>3.1000000000000003E-2</v>
      </c>
    </row>
    <row r="107" spans="3:17" customFormat="1" x14ac:dyDescent="0.2">
      <c r="C107" s="107" t="s">
        <v>579</v>
      </c>
      <c r="D107" s="108" t="s">
        <v>630</v>
      </c>
      <c r="E107" s="107" t="s">
        <v>631</v>
      </c>
      <c r="F107" s="107" t="s">
        <v>632</v>
      </c>
      <c r="G107" s="110" t="s">
        <v>633</v>
      </c>
      <c r="H107" s="115">
        <v>5.5999999999999994E-2</v>
      </c>
      <c r="I107" s="115">
        <v>3.0000000000000001E-3</v>
      </c>
      <c r="J107" s="115">
        <v>3.9E-2</v>
      </c>
      <c r="K107" s="115">
        <v>0.06</v>
      </c>
      <c r="L107" s="115">
        <v>3.9E-2</v>
      </c>
      <c r="M107" s="116">
        <v>3.6000000000000004E-2</v>
      </c>
      <c r="N107" s="116">
        <v>3.3000000000000002E-2</v>
      </c>
      <c r="O107" s="116">
        <v>0.03</v>
      </c>
      <c r="P107" s="116">
        <v>2.7999999999999997E-2</v>
      </c>
      <c r="Q107" s="116">
        <v>2.6000000000000002E-2</v>
      </c>
    </row>
    <row r="108" spans="3:17" customFormat="1" x14ac:dyDescent="0.2">
      <c r="C108" s="107" t="s">
        <v>456</v>
      </c>
      <c r="D108" s="108" t="s">
        <v>630</v>
      </c>
      <c r="E108" s="107" t="s">
        <v>631</v>
      </c>
      <c r="F108" s="107" t="s">
        <v>632</v>
      </c>
      <c r="G108" s="110" t="s">
        <v>633</v>
      </c>
      <c r="H108" s="115">
        <v>0.1</v>
      </c>
      <c r="I108" s="115">
        <v>6.3E-2</v>
      </c>
      <c r="J108" s="115">
        <v>7.9000000000000001E-2</v>
      </c>
      <c r="K108" s="115">
        <v>4.4999999999999998E-2</v>
      </c>
      <c r="L108" s="115">
        <v>3.3000000000000002E-2</v>
      </c>
      <c r="M108" s="116">
        <v>3.3000000000000002E-2</v>
      </c>
      <c r="N108" s="116">
        <v>0.03</v>
      </c>
      <c r="O108" s="116">
        <v>2.6000000000000002E-2</v>
      </c>
      <c r="P108" s="116">
        <v>2.3E-2</v>
      </c>
      <c r="Q108" s="116">
        <v>2.1000000000000001E-2</v>
      </c>
    </row>
    <row r="109" spans="3:17" customFormat="1" x14ac:dyDescent="0.2">
      <c r="C109" s="107" t="s">
        <v>457</v>
      </c>
      <c r="D109" s="108" t="s">
        <v>630</v>
      </c>
      <c r="E109" s="107" t="s">
        <v>631</v>
      </c>
      <c r="F109" s="107" t="s">
        <v>632</v>
      </c>
      <c r="G109" s="110" t="s">
        <v>633</v>
      </c>
      <c r="H109" s="115">
        <v>3.1000000000000003E-2</v>
      </c>
      <c r="I109" s="115">
        <v>2.7000000000000003E-2</v>
      </c>
      <c r="J109" s="115">
        <v>1.8000000000000002E-2</v>
      </c>
      <c r="K109" s="115">
        <v>1.6E-2</v>
      </c>
      <c r="L109" s="115">
        <v>1.1000000000000001E-2</v>
      </c>
      <c r="M109" s="116">
        <v>8.0000000000000002E-3</v>
      </c>
      <c r="N109" s="116">
        <v>5.0000000000000001E-3</v>
      </c>
      <c r="O109" s="116">
        <v>3.0000000000000001E-3</v>
      </c>
      <c r="P109" s="116">
        <v>1E-3</v>
      </c>
      <c r="Q109" s="116">
        <v>-1E-3</v>
      </c>
    </row>
    <row r="110" spans="3:17" customFormat="1" x14ac:dyDescent="0.2">
      <c r="C110" s="107" t="s">
        <v>663</v>
      </c>
      <c r="D110" s="108" t="s">
        <v>630</v>
      </c>
      <c r="E110" s="107" t="s">
        <v>631</v>
      </c>
      <c r="F110" s="107" t="s">
        <v>632</v>
      </c>
      <c r="G110" s="110" t="s">
        <v>633</v>
      </c>
      <c r="H110" s="115">
        <v>5.7000000000000002E-2</v>
      </c>
      <c r="I110" s="115">
        <v>1.6E-2</v>
      </c>
      <c r="J110" s="115">
        <v>1.3999999999999999E-2</v>
      </c>
      <c r="K110" s="115">
        <v>3.5000000000000003E-2</v>
      </c>
      <c r="L110" s="115">
        <v>3.2000000000000001E-2</v>
      </c>
      <c r="M110" s="116">
        <v>2.7999999999999997E-2</v>
      </c>
      <c r="N110" s="116">
        <v>2.5000000000000001E-2</v>
      </c>
      <c r="O110" s="116">
        <v>2.2000000000000002E-2</v>
      </c>
      <c r="P110" s="116">
        <v>1.9E-2</v>
      </c>
      <c r="Q110" s="116">
        <v>1.7000000000000001E-2</v>
      </c>
    </row>
    <row r="111" spans="3:17" customFormat="1" x14ac:dyDescent="0.2">
      <c r="C111" s="107" t="s">
        <v>664</v>
      </c>
      <c r="D111" s="108" t="s">
        <v>630</v>
      </c>
      <c r="E111" s="107" t="s">
        <v>631</v>
      </c>
      <c r="F111" s="107" t="s">
        <v>632</v>
      </c>
      <c r="G111" s="110" t="s">
        <v>633</v>
      </c>
      <c r="H111" s="115">
        <v>1.8000000000000002E-2</v>
      </c>
      <c r="I111" s="115">
        <v>3.7999999999999999E-2</v>
      </c>
      <c r="J111" s="115">
        <v>7.5999999999999998E-2</v>
      </c>
      <c r="K111" s="115">
        <v>4.4999999999999998E-2</v>
      </c>
      <c r="L111" s="115">
        <v>4.0999999999999995E-2</v>
      </c>
      <c r="M111" s="116">
        <v>3.6000000000000004E-2</v>
      </c>
      <c r="N111" s="116">
        <v>3.2000000000000001E-2</v>
      </c>
      <c r="O111" s="116">
        <v>2.7999999999999997E-2</v>
      </c>
      <c r="P111" s="116">
        <v>2.5000000000000001E-2</v>
      </c>
      <c r="Q111" s="116">
        <v>2.2000000000000002E-2</v>
      </c>
    </row>
    <row r="112" spans="3:17" customFormat="1" x14ac:dyDescent="0.2">
      <c r="C112" s="107" t="s">
        <v>665</v>
      </c>
      <c r="D112" s="108" t="s">
        <v>630</v>
      </c>
      <c r="E112" s="107" t="s">
        <v>631</v>
      </c>
      <c r="F112" s="107" t="s">
        <v>632</v>
      </c>
      <c r="G112" s="110" t="s">
        <v>633</v>
      </c>
      <c r="H112" s="115">
        <v>0.06</v>
      </c>
      <c r="I112" s="115">
        <v>5.7999999999999996E-2</v>
      </c>
      <c r="J112" s="115">
        <v>5.4000000000000006E-2</v>
      </c>
      <c r="K112" s="115">
        <v>2.7999999999999997E-2</v>
      </c>
      <c r="L112" s="115">
        <v>2.4E-2</v>
      </c>
      <c r="M112" s="116">
        <v>0.02</v>
      </c>
      <c r="N112" s="116">
        <v>1.7000000000000001E-2</v>
      </c>
      <c r="O112" s="116">
        <v>1.4999999999999999E-2</v>
      </c>
      <c r="P112" s="116">
        <v>1.3000000000000001E-2</v>
      </c>
      <c r="Q112" s="116">
        <v>0.01</v>
      </c>
    </row>
    <row r="113" spans="3:17" customFormat="1" x14ac:dyDescent="0.2">
      <c r="C113" s="107" t="s">
        <v>596</v>
      </c>
      <c r="D113" s="108" t="s">
        <v>630</v>
      </c>
      <c r="E113" s="107" t="s">
        <v>631</v>
      </c>
      <c r="F113" s="107" t="s">
        <v>632</v>
      </c>
      <c r="G113" s="110" t="s">
        <v>633</v>
      </c>
      <c r="H113" s="115">
        <v>0.10800000000000001</v>
      </c>
      <c r="I113" s="115">
        <v>2.4E-2</v>
      </c>
      <c r="J113" s="115">
        <v>0.02</v>
      </c>
      <c r="K113" s="115">
        <v>3.9E-2</v>
      </c>
      <c r="L113" s="115">
        <v>3.6000000000000004E-2</v>
      </c>
      <c r="M113" s="116">
        <v>3.3000000000000002E-2</v>
      </c>
      <c r="N113" s="116">
        <v>0.03</v>
      </c>
      <c r="O113" s="116">
        <v>2.7000000000000003E-2</v>
      </c>
      <c r="P113" s="116">
        <v>2.5000000000000001E-2</v>
      </c>
      <c r="Q113" s="116">
        <v>2.3E-2</v>
      </c>
    </row>
    <row r="114" spans="3:17" customFormat="1" x14ac:dyDescent="0.2">
      <c r="C114" s="107" t="s">
        <v>459</v>
      </c>
      <c r="D114" s="108" t="s">
        <v>630</v>
      </c>
      <c r="E114" s="107" t="s">
        <v>631</v>
      </c>
      <c r="F114" s="107" t="s">
        <v>632</v>
      </c>
      <c r="G114" s="110" t="s">
        <v>633</v>
      </c>
      <c r="H114" s="115">
        <v>9.8000000000000004E-2</v>
      </c>
      <c r="I114" s="115">
        <v>9.0000000000000011E-3</v>
      </c>
      <c r="J114" s="115">
        <v>9.0000000000000011E-3</v>
      </c>
      <c r="K114" s="115">
        <v>2.5000000000000001E-2</v>
      </c>
      <c r="L114" s="115">
        <v>2.2000000000000002E-2</v>
      </c>
      <c r="M114" s="116">
        <v>1.9E-2</v>
      </c>
      <c r="N114" s="116">
        <v>1.6E-2</v>
      </c>
      <c r="O114" s="116">
        <v>1.3999999999999999E-2</v>
      </c>
      <c r="P114" s="116">
        <v>1.2E-2</v>
      </c>
      <c r="Q114" s="116">
        <v>0.01</v>
      </c>
    </row>
    <row r="115" spans="3:17" customFormat="1" x14ac:dyDescent="0.2">
      <c r="C115" s="107" t="s">
        <v>461</v>
      </c>
      <c r="D115" s="108" t="s">
        <v>630</v>
      </c>
      <c r="E115" s="107" t="s">
        <v>631</v>
      </c>
      <c r="F115" s="107" t="s">
        <v>632</v>
      </c>
      <c r="G115" s="110" t="s">
        <v>633</v>
      </c>
      <c r="H115" s="115">
        <v>2.8999999999999998E-2</v>
      </c>
      <c r="I115" s="115">
        <v>2.7999999999999997E-2</v>
      </c>
      <c r="J115" s="115">
        <v>2E-3</v>
      </c>
      <c r="K115" s="115">
        <v>2.5000000000000001E-2</v>
      </c>
      <c r="L115" s="115">
        <v>1.1000000000000001E-2</v>
      </c>
      <c r="M115" s="116">
        <v>0.01</v>
      </c>
      <c r="N115" s="116">
        <v>6.9999999999999993E-3</v>
      </c>
      <c r="O115" s="116">
        <v>6.0000000000000001E-3</v>
      </c>
      <c r="P115" s="116">
        <v>5.0000000000000001E-3</v>
      </c>
      <c r="Q115" s="116">
        <v>4.0000000000000001E-3</v>
      </c>
    </row>
    <row r="116" spans="3:17" customFormat="1" x14ac:dyDescent="0.2">
      <c r="C116" s="107" t="s">
        <v>666</v>
      </c>
      <c r="D116" s="108" t="s">
        <v>630</v>
      </c>
      <c r="E116" s="107" t="s">
        <v>631</v>
      </c>
      <c r="F116" s="107" t="s">
        <v>632</v>
      </c>
      <c r="G116" s="110" t="s">
        <v>633</v>
      </c>
      <c r="H116" s="115">
        <v>2.8999999999999998E-2</v>
      </c>
      <c r="I116" s="115">
        <v>2.3E-2</v>
      </c>
      <c r="J116" s="115">
        <v>1.8000000000000002E-2</v>
      </c>
      <c r="K116" s="115">
        <v>1.4999999999999999E-2</v>
      </c>
      <c r="L116" s="115">
        <v>1.3999999999999999E-2</v>
      </c>
      <c r="M116" s="116">
        <v>1.2E-2</v>
      </c>
      <c r="N116" s="116">
        <v>0.01</v>
      </c>
      <c r="O116" s="116">
        <v>8.0000000000000002E-3</v>
      </c>
      <c r="P116" s="116">
        <v>6.9999999999999993E-3</v>
      </c>
      <c r="Q116" s="116">
        <v>5.0000000000000001E-3</v>
      </c>
    </row>
    <row r="117" spans="3:17" customFormat="1" x14ac:dyDescent="0.2">
      <c r="C117" s="107" t="s">
        <v>610</v>
      </c>
      <c r="D117" s="108" t="s">
        <v>630</v>
      </c>
      <c r="E117" s="107" t="s">
        <v>631</v>
      </c>
      <c r="F117" s="107" t="s">
        <v>632</v>
      </c>
      <c r="G117" s="110" t="s">
        <v>633</v>
      </c>
      <c r="H117" s="115">
        <v>3.9E-2</v>
      </c>
      <c r="I117" s="115">
        <v>3.9E-2</v>
      </c>
      <c r="J117" s="115">
        <v>3.7999999999999999E-2</v>
      </c>
      <c r="K117" s="115">
        <v>3.4000000000000002E-2</v>
      </c>
      <c r="L117" s="115">
        <v>0.03</v>
      </c>
      <c r="M117" s="116">
        <v>2.6000000000000002E-2</v>
      </c>
      <c r="N117" s="116">
        <v>2.4E-2</v>
      </c>
      <c r="O117" s="116">
        <v>2.1000000000000001E-2</v>
      </c>
      <c r="P117" s="116">
        <v>1.9E-2</v>
      </c>
      <c r="Q117" s="116">
        <v>1.8000000000000002E-2</v>
      </c>
    </row>
    <row r="118" spans="3:17" customFormat="1" x14ac:dyDescent="0.2">
      <c r="C118" s="107" t="s">
        <v>667</v>
      </c>
      <c r="D118" s="108" t="s">
        <v>630</v>
      </c>
      <c r="E118" s="107" t="s">
        <v>631</v>
      </c>
      <c r="F118" s="107" t="s">
        <v>632</v>
      </c>
      <c r="G118" s="110" t="s">
        <v>633</v>
      </c>
      <c r="H118" s="115">
        <v>0.16</v>
      </c>
      <c r="I118" s="115">
        <v>5.7000000000000002E-2</v>
      </c>
      <c r="J118" s="115">
        <v>4.8000000000000001E-2</v>
      </c>
      <c r="K118" s="115">
        <v>5.0999999999999997E-2</v>
      </c>
      <c r="L118" s="115">
        <v>4.5999999999999999E-2</v>
      </c>
      <c r="M118" s="116">
        <v>4.2000000000000003E-2</v>
      </c>
      <c r="N118" s="116">
        <v>3.7999999999999999E-2</v>
      </c>
      <c r="O118" s="116">
        <v>3.5000000000000003E-2</v>
      </c>
      <c r="P118" s="116">
        <v>3.1000000000000003E-2</v>
      </c>
      <c r="Q118" s="116">
        <v>2.7999999999999997E-2</v>
      </c>
    </row>
    <row r="119" spans="3:17" customFormat="1" x14ac:dyDescent="0.2">
      <c r="C119" s="107" t="s">
        <v>483</v>
      </c>
      <c r="D119" s="108" t="s">
        <v>630</v>
      </c>
      <c r="E119" s="107" t="s">
        <v>631</v>
      </c>
      <c r="F119" s="107" t="s">
        <v>632</v>
      </c>
      <c r="G119" s="110" t="s">
        <v>633</v>
      </c>
      <c r="H119" s="115">
        <v>0.11199999999999999</v>
      </c>
      <c r="I119" s="115">
        <v>0.10400000000000001</v>
      </c>
      <c r="J119" s="115">
        <v>9.9000000000000005E-2</v>
      </c>
      <c r="K119" s="115">
        <v>0.125</v>
      </c>
      <c r="L119" s="115">
        <v>0.11599999999999999</v>
      </c>
      <c r="M119" s="116">
        <v>0.107</v>
      </c>
      <c r="N119" s="116">
        <v>9.9000000000000005E-2</v>
      </c>
      <c r="O119" s="116">
        <v>9.1999999999999998E-2</v>
      </c>
      <c r="P119" s="116">
        <v>8.5000000000000006E-2</v>
      </c>
      <c r="Q119" s="116">
        <v>7.9000000000000001E-2</v>
      </c>
    </row>
    <row r="120" spans="3:17" customFormat="1" x14ac:dyDescent="0.2">
      <c r="C120" s="107" t="s">
        <v>499</v>
      </c>
      <c r="D120" s="108" t="s">
        <v>630</v>
      </c>
      <c r="E120" s="107" t="s">
        <v>631</v>
      </c>
      <c r="F120" s="107" t="s">
        <v>632</v>
      </c>
      <c r="G120" s="110" t="s">
        <v>633</v>
      </c>
      <c r="H120" s="115">
        <v>2.8999999999999998E-2</v>
      </c>
      <c r="I120" s="115">
        <v>1.8000000000000002E-2</v>
      </c>
      <c r="J120" s="115">
        <v>3.7999999999999999E-2</v>
      </c>
      <c r="K120" s="115">
        <v>9.0000000000000011E-3</v>
      </c>
      <c r="L120" s="115">
        <v>0.02</v>
      </c>
      <c r="M120" s="116">
        <v>1.7000000000000001E-2</v>
      </c>
      <c r="N120" s="116">
        <v>1.2E-2</v>
      </c>
      <c r="O120" s="116">
        <v>1.1000000000000001E-2</v>
      </c>
      <c r="P120" s="116">
        <v>0.01</v>
      </c>
      <c r="Q120" s="116">
        <v>9.0000000000000011E-3</v>
      </c>
    </row>
    <row r="121" spans="3:17" customFormat="1" x14ac:dyDescent="0.2">
      <c r="C121" s="107" t="s">
        <v>509</v>
      </c>
      <c r="D121" s="108" t="s">
        <v>630</v>
      </c>
      <c r="E121" s="107" t="s">
        <v>631</v>
      </c>
      <c r="F121" s="107" t="s">
        <v>632</v>
      </c>
      <c r="G121" s="110" t="s">
        <v>633</v>
      </c>
      <c r="H121" s="115">
        <v>0.313</v>
      </c>
      <c r="I121" s="115">
        <v>9.5000000000000001E-2</v>
      </c>
      <c r="J121" s="115">
        <v>0.10400000000000001</v>
      </c>
      <c r="K121" s="115">
        <v>0.152</v>
      </c>
      <c r="L121" s="115">
        <v>0.14000000000000001</v>
      </c>
      <c r="M121" s="116">
        <v>0.129</v>
      </c>
      <c r="N121" s="116">
        <v>0.11900000000000001</v>
      </c>
      <c r="O121" s="116">
        <v>0.109</v>
      </c>
      <c r="P121" s="116">
        <v>0.1</v>
      </c>
      <c r="Q121" s="116">
        <v>9.1999999999999998E-2</v>
      </c>
    </row>
    <row r="122" spans="3:17" customFormat="1" x14ac:dyDescent="0.2">
      <c r="C122" s="107" t="s">
        <v>512</v>
      </c>
      <c r="D122" s="108" t="s">
        <v>630</v>
      </c>
      <c r="E122" s="107" t="s">
        <v>631</v>
      </c>
      <c r="F122" s="107" t="s">
        <v>632</v>
      </c>
      <c r="G122" s="110" t="s">
        <v>633</v>
      </c>
      <c r="H122" s="115">
        <v>0.14899999999999999</v>
      </c>
      <c r="I122" s="115">
        <v>3.6000000000000004E-2</v>
      </c>
      <c r="J122" s="115">
        <v>2.8999999999999998E-2</v>
      </c>
      <c r="K122" s="115">
        <v>4.2999999999999997E-2</v>
      </c>
      <c r="L122" s="115">
        <v>0.04</v>
      </c>
      <c r="M122" s="116">
        <v>3.9E-2</v>
      </c>
      <c r="N122" s="116">
        <v>3.7000000000000005E-2</v>
      </c>
      <c r="O122" s="116">
        <v>3.4000000000000002E-2</v>
      </c>
      <c r="P122" s="116">
        <v>3.1000000000000003E-2</v>
      </c>
      <c r="Q122" s="116">
        <v>2.8999999999999998E-2</v>
      </c>
    </row>
    <row r="123" spans="3:17" customFormat="1" x14ac:dyDescent="0.2">
      <c r="C123" s="107" t="s">
        <v>514</v>
      </c>
      <c r="D123" s="108" t="s">
        <v>630</v>
      </c>
      <c r="E123" s="107" t="s">
        <v>631</v>
      </c>
      <c r="F123" s="107" t="s">
        <v>632</v>
      </c>
      <c r="G123" s="110" t="s">
        <v>633</v>
      </c>
      <c r="H123" s="115">
        <v>0.19899999999999998</v>
      </c>
      <c r="I123" s="115">
        <v>0.19800000000000001</v>
      </c>
      <c r="J123" s="115">
        <v>0.19600000000000001</v>
      </c>
      <c r="K123" s="115">
        <v>0.217</v>
      </c>
      <c r="L123" s="115">
        <v>0.19899999999999998</v>
      </c>
      <c r="M123" s="116">
        <v>0.18</v>
      </c>
      <c r="N123" s="116">
        <v>0.16399999999999998</v>
      </c>
      <c r="O123" s="116">
        <v>0.151</v>
      </c>
      <c r="P123" s="116">
        <v>0.14000000000000001</v>
      </c>
      <c r="Q123" s="116">
        <v>0.129</v>
      </c>
    </row>
    <row r="124" spans="3:17" customFormat="1" x14ac:dyDescent="0.2">
      <c r="C124" s="107" t="s">
        <v>668</v>
      </c>
      <c r="D124" s="108" t="s">
        <v>630</v>
      </c>
      <c r="E124" s="107" t="s">
        <v>631</v>
      </c>
      <c r="F124" s="107" t="s">
        <v>632</v>
      </c>
      <c r="G124" s="110" t="s">
        <v>633</v>
      </c>
      <c r="H124" s="115">
        <v>0.23699999999999999</v>
      </c>
      <c r="I124" s="115">
        <v>3.3000000000000002E-2</v>
      </c>
      <c r="J124" s="115">
        <v>3.9E-2</v>
      </c>
      <c r="K124" s="115">
        <v>0.249</v>
      </c>
      <c r="L124" s="115">
        <v>0.23500000000000001</v>
      </c>
      <c r="M124" s="116">
        <v>0.222</v>
      </c>
      <c r="N124" s="116">
        <v>0.20600000000000002</v>
      </c>
      <c r="O124" s="116">
        <v>0.189</v>
      </c>
      <c r="P124" s="116">
        <v>0.17100000000000001</v>
      </c>
      <c r="Q124" s="116">
        <v>0.156</v>
      </c>
    </row>
    <row r="125" spans="3:17" customFormat="1" x14ac:dyDescent="0.2">
      <c r="C125" s="107" t="s">
        <v>669</v>
      </c>
      <c r="D125" s="108" t="s">
        <v>630</v>
      </c>
      <c r="E125" s="107" t="s">
        <v>631</v>
      </c>
      <c r="F125" s="107" t="s">
        <v>632</v>
      </c>
      <c r="G125" s="110" t="s">
        <v>633</v>
      </c>
      <c r="H125" s="115">
        <v>2.1000000000000001E-2</v>
      </c>
      <c r="I125" s="115">
        <v>0.05</v>
      </c>
      <c r="J125" s="115">
        <v>2.4E-2</v>
      </c>
      <c r="K125" s="115">
        <v>4.9000000000000002E-2</v>
      </c>
      <c r="L125" s="115">
        <v>4.4000000000000004E-2</v>
      </c>
      <c r="M125" s="116">
        <v>3.7000000000000005E-2</v>
      </c>
      <c r="N125" s="116">
        <v>3.1000000000000003E-2</v>
      </c>
      <c r="O125" s="116">
        <v>2.7999999999999997E-2</v>
      </c>
      <c r="P125" s="116">
        <v>2.5000000000000001E-2</v>
      </c>
      <c r="Q125" s="116">
        <v>2.3E-2</v>
      </c>
    </row>
    <row r="126" spans="3:17" customFormat="1" x14ac:dyDescent="0.2">
      <c r="C126" s="107" t="s">
        <v>516</v>
      </c>
      <c r="D126" s="108" t="s">
        <v>630</v>
      </c>
      <c r="E126" s="107" t="s">
        <v>631</v>
      </c>
      <c r="F126" s="107" t="s">
        <v>632</v>
      </c>
      <c r="G126" s="110" t="s">
        <v>633</v>
      </c>
      <c r="H126" s="115">
        <v>4.9000000000000002E-2</v>
      </c>
      <c r="I126" s="115">
        <v>2.3E-2</v>
      </c>
      <c r="J126" s="115">
        <v>3.3000000000000002E-2</v>
      </c>
      <c r="K126" s="115">
        <v>0.128</v>
      </c>
      <c r="L126" s="115">
        <v>0.11800000000000001</v>
      </c>
      <c r="M126" s="116">
        <v>0.10800000000000001</v>
      </c>
      <c r="N126" s="116">
        <v>0.1</v>
      </c>
      <c r="O126" s="116">
        <v>9.1999999999999998E-2</v>
      </c>
      <c r="P126" s="116">
        <v>8.5000000000000006E-2</v>
      </c>
      <c r="Q126" s="116">
        <v>7.8E-2</v>
      </c>
    </row>
    <row r="127" spans="3:17" customFormat="1" x14ac:dyDescent="0.2">
      <c r="C127" s="107" t="s">
        <v>670</v>
      </c>
      <c r="D127" s="108" t="s">
        <v>630</v>
      </c>
      <c r="E127" s="107" t="s">
        <v>631</v>
      </c>
      <c r="F127" s="107" t="s">
        <v>632</v>
      </c>
      <c r="G127" s="110" t="s">
        <v>633</v>
      </c>
      <c r="H127" s="115">
        <v>0.24100000000000002</v>
      </c>
      <c r="I127" s="115">
        <v>0.21</v>
      </c>
      <c r="J127" s="115">
        <v>0.215</v>
      </c>
      <c r="K127" s="115">
        <v>0.22500000000000001</v>
      </c>
      <c r="L127" s="115">
        <v>0.20899999999999999</v>
      </c>
      <c r="M127" s="116">
        <v>0.192</v>
      </c>
      <c r="N127" s="116">
        <v>0.17500000000000002</v>
      </c>
      <c r="O127" s="116">
        <v>0.16399999999999998</v>
      </c>
      <c r="P127" s="116">
        <v>0.156</v>
      </c>
      <c r="Q127" s="116">
        <v>0.14400000000000002</v>
      </c>
    </row>
    <row r="128" spans="3:17" customFormat="1" x14ac:dyDescent="0.2">
      <c r="C128" s="107" t="s">
        <v>671</v>
      </c>
      <c r="D128" s="108" t="s">
        <v>630</v>
      </c>
      <c r="E128" s="107" t="s">
        <v>631</v>
      </c>
      <c r="F128" s="107" t="s">
        <v>632</v>
      </c>
      <c r="G128" s="110" t="s">
        <v>633</v>
      </c>
      <c r="H128" s="115">
        <v>0.63200000000000001</v>
      </c>
      <c r="I128" s="115">
        <v>-1.3999999999999999E-2</v>
      </c>
      <c r="J128" s="115">
        <v>0.10800000000000001</v>
      </c>
      <c r="K128" s="115">
        <v>0.26700000000000002</v>
      </c>
      <c r="L128" s="115">
        <v>0.23199999999999998</v>
      </c>
      <c r="M128" s="116">
        <v>0.20600000000000002</v>
      </c>
      <c r="N128" s="116">
        <v>0.193</v>
      </c>
      <c r="O128" s="116">
        <v>0.17899999999999999</v>
      </c>
      <c r="P128" s="116">
        <v>0.16600000000000001</v>
      </c>
      <c r="Q128" s="116">
        <v>0.155</v>
      </c>
    </row>
    <row r="129" spans="3:17" customFormat="1" x14ac:dyDescent="0.2">
      <c r="C129" s="107" t="s">
        <v>672</v>
      </c>
      <c r="D129" s="108" t="s">
        <v>630</v>
      </c>
      <c r="E129" s="107" t="s">
        <v>631</v>
      </c>
      <c r="F129" s="107" t="s">
        <v>632</v>
      </c>
      <c r="G129" s="110" t="s">
        <v>633</v>
      </c>
      <c r="H129" s="115">
        <v>0.39799999999999996</v>
      </c>
      <c r="I129" s="115">
        <v>9.0999999999999998E-2</v>
      </c>
      <c r="J129" s="115">
        <v>0.11199999999999999</v>
      </c>
      <c r="K129" s="115">
        <v>0.13500000000000001</v>
      </c>
      <c r="L129" s="115">
        <v>0.12400000000000001</v>
      </c>
      <c r="M129" s="116">
        <v>0.114</v>
      </c>
      <c r="N129" s="116">
        <v>0.10400000000000001</v>
      </c>
      <c r="O129" s="116">
        <v>9.6000000000000002E-2</v>
      </c>
      <c r="P129" s="116">
        <v>8.8000000000000009E-2</v>
      </c>
      <c r="Q129" s="116">
        <v>8.1000000000000003E-2</v>
      </c>
    </row>
    <row r="130" spans="3:17" customFormat="1" x14ac:dyDescent="0.2">
      <c r="C130" s="107" t="s">
        <v>673</v>
      </c>
      <c r="D130" s="108" t="s">
        <v>630</v>
      </c>
      <c r="E130" s="107" t="s">
        <v>631</v>
      </c>
      <c r="F130" s="107" t="s">
        <v>632</v>
      </c>
      <c r="G130" s="110" t="s">
        <v>633</v>
      </c>
      <c r="H130" s="115">
        <v>0.35700000000000004</v>
      </c>
      <c r="I130" s="115">
        <v>7.2999999999999995E-2</v>
      </c>
      <c r="J130" s="115">
        <v>7.0999999999999994E-2</v>
      </c>
      <c r="K130" s="115">
        <v>0.16399999999999998</v>
      </c>
      <c r="L130" s="115">
        <v>0.153</v>
      </c>
      <c r="M130" s="116">
        <v>0.14199999999999999</v>
      </c>
      <c r="N130" s="116">
        <v>0.13200000000000001</v>
      </c>
      <c r="O130" s="116">
        <v>0.122</v>
      </c>
      <c r="P130" s="116">
        <v>0.113</v>
      </c>
      <c r="Q130" s="116">
        <v>0.105</v>
      </c>
    </row>
    <row r="131" spans="3:17" customFormat="1" x14ac:dyDescent="0.2">
      <c r="C131" s="107" t="s">
        <v>674</v>
      </c>
      <c r="D131" s="108" t="s">
        <v>630</v>
      </c>
      <c r="E131" s="107" t="s">
        <v>631</v>
      </c>
      <c r="F131" s="107" t="s">
        <v>632</v>
      </c>
      <c r="G131" s="110" t="s">
        <v>633</v>
      </c>
      <c r="H131" s="115">
        <v>0.38</v>
      </c>
      <c r="I131" s="115">
        <v>0.154</v>
      </c>
      <c r="J131" s="115">
        <v>5.0999999999999997E-2</v>
      </c>
      <c r="K131" s="115">
        <v>0.13400000000000001</v>
      </c>
      <c r="L131" s="115">
        <v>0.12300000000000001</v>
      </c>
      <c r="M131" s="116">
        <v>0.113</v>
      </c>
      <c r="N131" s="116">
        <v>0.10400000000000001</v>
      </c>
      <c r="O131" s="116">
        <v>9.6000000000000002E-2</v>
      </c>
      <c r="P131" s="116">
        <v>8.8000000000000009E-2</v>
      </c>
      <c r="Q131" s="116">
        <v>8.1000000000000003E-2</v>
      </c>
    </row>
    <row r="132" spans="3:17" customFormat="1" x14ac:dyDescent="0.2">
      <c r="C132" s="107" t="s">
        <v>523</v>
      </c>
      <c r="D132" s="108" t="s">
        <v>630</v>
      </c>
      <c r="E132" s="107" t="s">
        <v>631</v>
      </c>
      <c r="F132" s="107" t="s">
        <v>632</v>
      </c>
      <c r="G132" s="110" t="s">
        <v>633</v>
      </c>
      <c r="H132" s="115">
        <v>2.7999999999999997E-2</v>
      </c>
      <c r="I132" s="115">
        <v>0.1</v>
      </c>
      <c r="J132" s="115">
        <v>8.900000000000001E-2</v>
      </c>
      <c r="K132" s="115">
        <v>0.129</v>
      </c>
      <c r="L132" s="115">
        <v>0.11900000000000001</v>
      </c>
      <c r="M132" s="116">
        <v>0.109</v>
      </c>
      <c r="N132" s="116">
        <v>0.1</v>
      </c>
      <c r="O132" s="116">
        <v>9.1999999999999998E-2</v>
      </c>
      <c r="P132" s="116">
        <v>8.5000000000000006E-2</v>
      </c>
      <c r="Q132" s="116">
        <v>7.8E-2</v>
      </c>
    </row>
    <row r="133" spans="3:17" customFormat="1" x14ac:dyDescent="0.2">
      <c r="C133" s="107" t="s">
        <v>675</v>
      </c>
      <c r="D133" s="108" t="s">
        <v>630</v>
      </c>
      <c r="E133" s="107" t="s">
        <v>631</v>
      </c>
      <c r="F133" s="107" t="s">
        <v>632</v>
      </c>
      <c r="G133" s="110" t="s">
        <v>633</v>
      </c>
      <c r="H133" s="115">
        <v>4.0999999999999995E-2</v>
      </c>
      <c r="I133" s="115">
        <v>4.5999999999999999E-2</v>
      </c>
      <c r="J133" s="115">
        <v>4.4000000000000004E-2</v>
      </c>
      <c r="K133" s="115">
        <v>6.6000000000000003E-2</v>
      </c>
      <c r="L133" s="115">
        <v>0.06</v>
      </c>
      <c r="M133" s="116">
        <v>5.4000000000000006E-2</v>
      </c>
      <c r="N133" s="116">
        <v>0.05</v>
      </c>
      <c r="O133" s="116">
        <v>4.5999999999999999E-2</v>
      </c>
      <c r="P133" s="116">
        <v>4.2999999999999997E-2</v>
      </c>
      <c r="Q133" s="116">
        <v>3.9E-2</v>
      </c>
    </row>
    <row r="134" spans="3:17" customFormat="1" x14ac:dyDescent="0.2">
      <c r="C134" s="107" t="s">
        <v>528</v>
      </c>
      <c r="D134" s="108" t="s">
        <v>630</v>
      </c>
      <c r="E134" s="107" t="s">
        <v>631</v>
      </c>
      <c r="F134" s="107" t="s">
        <v>632</v>
      </c>
      <c r="G134" s="110" t="s">
        <v>633</v>
      </c>
      <c r="H134" s="115">
        <v>2.5000000000000001E-2</v>
      </c>
      <c r="I134" s="115">
        <v>2.2000000000000002E-2</v>
      </c>
      <c r="J134" s="115">
        <v>2.8999999999999998E-2</v>
      </c>
      <c r="K134" s="115">
        <v>5.7999999999999996E-2</v>
      </c>
      <c r="L134" s="115">
        <v>5.0999999999999997E-2</v>
      </c>
      <c r="M134" s="116">
        <v>4.7E-2</v>
      </c>
      <c r="N134" s="116">
        <v>4.2999999999999997E-2</v>
      </c>
      <c r="O134" s="116">
        <v>3.7999999999999999E-2</v>
      </c>
      <c r="P134" s="116">
        <v>3.4000000000000002E-2</v>
      </c>
      <c r="Q134" s="116">
        <v>3.1000000000000003E-2</v>
      </c>
    </row>
    <row r="135" spans="3:17" customFormat="1" x14ac:dyDescent="0.2">
      <c r="C135" s="107" t="s">
        <v>676</v>
      </c>
      <c r="D135" s="108" t="s">
        <v>630</v>
      </c>
      <c r="E135" s="107" t="s">
        <v>631</v>
      </c>
      <c r="F135" s="107" t="s">
        <v>632</v>
      </c>
      <c r="G135" s="110" t="s">
        <v>633</v>
      </c>
      <c r="H135" s="115">
        <v>9.6000000000000002E-2</v>
      </c>
      <c r="I135" s="115">
        <v>3.9E-2</v>
      </c>
      <c r="J135" s="115">
        <v>4.4000000000000004E-2</v>
      </c>
      <c r="K135" s="115">
        <v>8.5999999999999993E-2</v>
      </c>
      <c r="L135" s="115">
        <v>7.9000000000000001E-2</v>
      </c>
      <c r="M135" s="116">
        <v>7.2999999999999995E-2</v>
      </c>
      <c r="N135" s="116">
        <v>6.7000000000000004E-2</v>
      </c>
      <c r="O135" s="116">
        <v>6.2000000000000006E-2</v>
      </c>
      <c r="P135" s="116">
        <v>5.7000000000000002E-2</v>
      </c>
      <c r="Q135" s="116">
        <v>5.4000000000000006E-2</v>
      </c>
    </row>
    <row r="136" spans="3:17" customFormat="1" x14ac:dyDescent="0.2">
      <c r="C136" s="107" t="s">
        <v>677</v>
      </c>
      <c r="D136" s="108" t="s">
        <v>630</v>
      </c>
      <c r="E136" s="107" t="s">
        <v>631</v>
      </c>
      <c r="F136" s="107" t="s">
        <v>632</v>
      </c>
      <c r="G136" s="110" t="s">
        <v>633</v>
      </c>
      <c r="H136" s="115">
        <v>0.30599999999999999</v>
      </c>
      <c r="I136" s="115">
        <v>3.7000000000000005E-2</v>
      </c>
      <c r="J136" s="115">
        <v>8.900000000000001E-2</v>
      </c>
      <c r="K136" s="115">
        <v>0.193</v>
      </c>
      <c r="L136" s="115">
        <v>0.17699999999999999</v>
      </c>
      <c r="M136" s="116">
        <v>0.16200000000000001</v>
      </c>
      <c r="N136" s="116">
        <v>0.14899999999999999</v>
      </c>
      <c r="O136" s="116">
        <v>0.13900000000000001</v>
      </c>
      <c r="P136" s="116">
        <v>0.128</v>
      </c>
      <c r="Q136" s="116">
        <v>0.11800000000000001</v>
      </c>
    </row>
    <row r="137" spans="3:17" customFormat="1" x14ac:dyDescent="0.2">
      <c r="C137" s="107" t="s">
        <v>678</v>
      </c>
      <c r="D137" s="108" t="s">
        <v>630</v>
      </c>
      <c r="E137" s="107" t="s">
        <v>631</v>
      </c>
      <c r="F137" s="107" t="s">
        <v>632</v>
      </c>
      <c r="G137" s="110" t="s">
        <v>633</v>
      </c>
      <c r="H137" s="115">
        <v>0.11599999999999999</v>
      </c>
      <c r="I137" s="115">
        <v>7.6999999999999999E-2</v>
      </c>
      <c r="J137" s="115">
        <v>1.3999999999999999E-2</v>
      </c>
      <c r="K137" s="115">
        <v>7.5999999999999998E-2</v>
      </c>
      <c r="L137" s="115">
        <v>7.0000000000000007E-2</v>
      </c>
      <c r="M137" s="116">
        <v>6.5000000000000002E-2</v>
      </c>
      <c r="N137" s="116">
        <v>5.9000000000000004E-2</v>
      </c>
      <c r="O137" s="116">
        <v>5.2999999999999999E-2</v>
      </c>
      <c r="P137" s="116">
        <v>4.8000000000000001E-2</v>
      </c>
      <c r="Q137" s="116">
        <v>4.4000000000000004E-2</v>
      </c>
    </row>
    <row r="138" spans="3:17" customFormat="1" x14ac:dyDescent="0.2">
      <c r="C138" s="107" t="s">
        <v>530</v>
      </c>
      <c r="D138" s="108" t="s">
        <v>630</v>
      </c>
      <c r="E138" s="107" t="s">
        <v>631</v>
      </c>
      <c r="F138" s="107" t="s">
        <v>632</v>
      </c>
      <c r="G138" s="110" t="s">
        <v>633</v>
      </c>
      <c r="H138" s="115">
        <v>6.7000000000000004E-2</v>
      </c>
      <c r="I138" s="115">
        <v>0.219</v>
      </c>
      <c r="J138" s="115">
        <v>0.20300000000000001</v>
      </c>
      <c r="K138" s="115">
        <v>0.18600000000000003</v>
      </c>
      <c r="L138" s="115">
        <v>0.17</v>
      </c>
      <c r="M138" s="116">
        <v>0.157</v>
      </c>
      <c r="N138" s="116">
        <v>0.14599999999999999</v>
      </c>
      <c r="O138" s="116">
        <v>0.13500000000000001</v>
      </c>
      <c r="P138" s="116">
        <v>0.12400000000000001</v>
      </c>
      <c r="Q138" s="116">
        <v>0.114</v>
      </c>
    </row>
    <row r="139" spans="3:17" customFormat="1" x14ac:dyDescent="0.2">
      <c r="C139" s="107" t="s">
        <v>532</v>
      </c>
      <c r="D139" s="108" t="s">
        <v>630</v>
      </c>
      <c r="E139" s="107" t="s">
        <v>631</v>
      </c>
      <c r="F139" s="107" t="s">
        <v>632</v>
      </c>
      <c r="G139" s="110" t="s">
        <v>633</v>
      </c>
      <c r="H139" s="115">
        <v>0.10099999999999999</v>
      </c>
      <c r="I139" s="115">
        <v>5.5999999999999994E-2</v>
      </c>
      <c r="J139" s="115">
        <v>4.2000000000000003E-2</v>
      </c>
      <c r="K139" s="115">
        <v>6.5000000000000002E-2</v>
      </c>
      <c r="L139" s="115">
        <v>0.06</v>
      </c>
      <c r="M139" s="116">
        <v>5.5E-2</v>
      </c>
      <c r="N139" s="116">
        <v>5.0999999999999997E-2</v>
      </c>
      <c r="O139" s="116">
        <v>4.7E-2</v>
      </c>
      <c r="P139" s="116">
        <v>4.4000000000000004E-2</v>
      </c>
      <c r="Q139" s="116">
        <v>4.0999999999999995E-2</v>
      </c>
    </row>
    <row r="140" spans="3:17" customFormat="1" x14ac:dyDescent="0.2">
      <c r="C140" s="107" t="s">
        <v>679</v>
      </c>
      <c r="D140" s="108" t="s">
        <v>630</v>
      </c>
      <c r="E140" s="107" t="s">
        <v>631</v>
      </c>
      <c r="F140" s="107" t="s">
        <v>632</v>
      </c>
      <c r="G140" s="110" t="s">
        <v>633</v>
      </c>
      <c r="H140" s="115">
        <v>0.13</v>
      </c>
      <c r="I140" s="115">
        <v>0.20100000000000001</v>
      </c>
      <c r="J140" s="115">
        <v>6.9000000000000006E-2</v>
      </c>
      <c r="K140" s="115">
        <v>0.114</v>
      </c>
      <c r="L140" s="115">
        <v>0.105</v>
      </c>
      <c r="M140" s="116">
        <v>9.6999999999999989E-2</v>
      </c>
      <c r="N140" s="116">
        <v>8.900000000000001E-2</v>
      </c>
      <c r="O140" s="116">
        <v>8.199999999999999E-2</v>
      </c>
      <c r="P140" s="116">
        <v>7.4999999999999997E-2</v>
      </c>
      <c r="Q140" s="116">
        <v>6.9000000000000006E-2</v>
      </c>
    </row>
    <row r="141" spans="3:17" customFormat="1" x14ac:dyDescent="0.2">
      <c r="C141" s="107" t="s">
        <v>534</v>
      </c>
      <c r="D141" s="108" t="s">
        <v>630</v>
      </c>
      <c r="E141" s="107" t="s">
        <v>631</v>
      </c>
      <c r="F141" s="107" t="s">
        <v>632</v>
      </c>
      <c r="G141" s="110" t="s">
        <v>633</v>
      </c>
      <c r="H141" s="115">
        <v>0.12300000000000001</v>
      </c>
      <c r="I141" s="115">
        <v>3.3000000000000002E-2</v>
      </c>
      <c r="J141" s="115">
        <v>0.03</v>
      </c>
      <c r="K141" s="115">
        <v>6.4000000000000001E-2</v>
      </c>
      <c r="L141" s="115">
        <v>5.9000000000000004E-2</v>
      </c>
      <c r="M141" s="116">
        <v>5.4000000000000006E-2</v>
      </c>
      <c r="N141" s="116">
        <v>0.05</v>
      </c>
      <c r="O141" s="116">
        <v>4.5999999999999999E-2</v>
      </c>
      <c r="P141" s="116">
        <v>4.2000000000000003E-2</v>
      </c>
      <c r="Q141" s="116">
        <v>3.9E-2</v>
      </c>
    </row>
    <row r="142" spans="3:17" customFormat="1" x14ac:dyDescent="0.2">
      <c r="C142" s="107" t="s">
        <v>680</v>
      </c>
      <c r="D142" s="108" t="s">
        <v>630</v>
      </c>
      <c r="E142" s="107" t="s">
        <v>631</v>
      </c>
      <c r="F142" s="107" t="s">
        <v>632</v>
      </c>
      <c r="G142" s="110" t="s">
        <v>633</v>
      </c>
      <c r="H142" s="115">
        <v>6.5000000000000002E-2</v>
      </c>
      <c r="I142" s="115">
        <v>4.4000000000000004E-2</v>
      </c>
      <c r="J142" s="115">
        <v>0.10199999999999999</v>
      </c>
      <c r="K142" s="115">
        <v>0.17</v>
      </c>
      <c r="L142" s="115">
        <v>0.156</v>
      </c>
      <c r="M142" s="116">
        <v>0.14400000000000002</v>
      </c>
      <c r="N142" s="116">
        <v>0.13300000000000001</v>
      </c>
      <c r="O142" s="116">
        <v>0.122</v>
      </c>
      <c r="P142" s="116">
        <v>0.11199999999999999</v>
      </c>
      <c r="Q142" s="116">
        <v>0.10300000000000001</v>
      </c>
    </row>
    <row r="143" spans="3:17" customFormat="1" x14ac:dyDescent="0.2">
      <c r="C143" s="107" t="s">
        <v>681</v>
      </c>
      <c r="D143" s="108" t="s">
        <v>630</v>
      </c>
      <c r="E143" s="107" t="s">
        <v>631</v>
      </c>
      <c r="F143" s="107" t="s">
        <v>632</v>
      </c>
      <c r="G143" s="110" t="s">
        <v>633</v>
      </c>
      <c r="H143" s="115">
        <v>0.17100000000000001</v>
      </c>
      <c r="I143" s="115">
        <v>0.21</v>
      </c>
      <c r="J143" s="115">
        <v>0.20699999999999999</v>
      </c>
      <c r="K143" s="115">
        <v>0.14800000000000002</v>
      </c>
      <c r="L143" s="115">
        <v>0.13699999999999998</v>
      </c>
      <c r="M143" s="116">
        <v>0.126</v>
      </c>
      <c r="N143" s="116">
        <v>0.115</v>
      </c>
      <c r="O143" s="116">
        <v>0.105</v>
      </c>
      <c r="P143" s="116">
        <v>9.6000000000000002E-2</v>
      </c>
      <c r="Q143" s="116">
        <v>8.8000000000000009E-2</v>
      </c>
    </row>
    <row r="144" spans="3:17" customFormat="1" x14ac:dyDescent="0.2">
      <c r="C144" s="107" t="s">
        <v>682</v>
      </c>
      <c r="D144" s="108" t="s">
        <v>630</v>
      </c>
      <c r="E144" s="107" t="s">
        <v>631</v>
      </c>
      <c r="F144" s="107" t="s">
        <v>632</v>
      </c>
      <c r="G144" s="110" t="s">
        <v>633</v>
      </c>
      <c r="H144" s="115">
        <v>5.4000000000000006E-2</v>
      </c>
      <c r="I144" s="115">
        <v>2.3E-2</v>
      </c>
      <c r="J144" s="115">
        <v>2.4E-2</v>
      </c>
      <c r="K144" s="115">
        <v>4.2000000000000003E-2</v>
      </c>
      <c r="L144" s="115">
        <v>3.6000000000000004E-2</v>
      </c>
      <c r="M144" s="116">
        <v>3.2000000000000001E-2</v>
      </c>
      <c r="N144" s="116">
        <v>2.8999999999999998E-2</v>
      </c>
      <c r="O144" s="116">
        <v>2.5000000000000001E-2</v>
      </c>
      <c r="P144" s="116">
        <v>2.3E-2</v>
      </c>
      <c r="Q144" s="116">
        <v>0.02</v>
      </c>
    </row>
    <row r="145" spans="3:17" customFormat="1" x14ac:dyDescent="0.2">
      <c r="C145" s="107" t="s">
        <v>541</v>
      </c>
      <c r="D145" s="108" t="s">
        <v>630</v>
      </c>
      <c r="E145" s="107" t="s">
        <v>631</v>
      </c>
      <c r="F145" s="107" t="s">
        <v>632</v>
      </c>
      <c r="G145" s="110" t="s">
        <v>633</v>
      </c>
      <c r="H145" s="115">
        <v>6.6000000000000003E-2</v>
      </c>
      <c r="I145" s="115">
        <v>3.7000000000000005E-2</v>
      </c>
      <c r="J145" s="115">
        <v>6.4000000000000001E-2</v>
      </c>
      <c r="K145" s="115">
        <v>4.9000000000000002E-2</v>
      </c>
      <c r="L145" s="115">
        <v>4.4999999999999998E-2</v>
      </c>
      <c r="M145" s="116">
        <v>4.2000000000000003E-2</v>
      </c>
      <c r="N145" s="116">
        <v>3.9E-2</v>
      </c>
      <c r="O145" s="116">
        <v>3.7000000000000005E-2</v>
      </c>
      <c r="P145" s="116">
        <v>3.4000000000000002E-2</v>
      </c>
      <c r="Q145" s="116">
        <v>3.3000000000000002E-2</v>
      </c>
    </row>
    <row r="146" spans="3:17" customFormat="1" x14ac:dyDescent="0.2">
      <c r="C146" s="107" t="s">
        <v>543</v>
      </c>
      <c r="D146" s="108" t="s">
        <v>630</v>
      </c>
      <c r="E146" s="107" t="s">
        <v>631</v>
      </c>
      <c r="F146" s="107" t="s">
        <v>632</v>
      </c>
      <c r="G146" s="110" t="s">
        <v>633</v>
      </c>
      <c r="H146" s="115">
        <v>2.1000000000000001E-2</v>
      </c>
      <c r="I146" s="115">
        <v>3.9E-2</v>
      </c>
      <c r="J146" s="115">
        <v>-2.2000000000000002E-2</v>
      </c>
      <c r="K146" s="115">
        <v>0.03</v>
      </c>
      <c r="L146" s="115">
        <v>3.1000000000000003E-2</v>
      </c>
      <c r="M146" s="116">
        <v>2.8999999999999998E-2</v>
      </c>
      <c r="N146" s="116">
        <v>2.7999999999999997E-2</v>
      </c>
      <c r="O146" s="116">
        <v>2.6000000000000002E-2</v>
      </c>
      <c r="P146" s="116">
        <v>2.4E-2</v>
      </c>
      <c r="Q146" s="116">
        <v>2.3E-2</v>
      </c>
    </row>
    <row r="147" spans="3:17" customFormat="1" x14ac:dyDescent="0.2">
      <c r="C147" s="107" t="s">
        <v>546</v>
      </c>
      <c r="D147" s="108" t="s">
        <v>630</v>
      </c>
      <c r="E147" s="107" t="s">
        <v>631</v>
      </c>
      <c r="F147" s="107" t="s">
        <v>632</v>
      </c>
      <c r="G147" s="110" t="s">
        <v>633</v>
      </c>
      <c r="H147" s="115">
        <v>0.12</v>
      </c>
      <c r="I147" s="115">
        <v>7.2999999999999995E-2</v>
      </c>
      <c r="J147" s="115">
        <v>4.0999999999999995E-2</v>
      </c>
      <c r="K147" s="115">
        <v>2.2000000000000002E-2</v>
      </c>
      <c r="L147" s="115">
        <v>8.0000000000000002E-3</v>
      </c>
      <c r="M147" s="116">
        <v>1.6E-2</v>
      </c>
      <c r="N147" s="116">
        <v>2.8999999999999998E-2</v>
      </c>
      <c r="O147" s="116">
        <v>2.6000000000000002E-2</v>
      </c>
      <c r="P147" s="116">
        <v>2.4E-2</v>
      </c>
      <c r="Q147" s="116">
        <v>2.2000000000000002E-2</v>
      </c>
    </row>
    <row r="148" spans="3:17" customFormat="1" x14ac:dyDescent="0.2">
      <c r="C148" s="107" t="s">
        <v>548</v>
      </c>
      <c r="D148" s="108" t="s">
        <v>630</v>
      </c>
      <c r="E148" s="107" t="s">
        <v>631</v>
      </c>
      <c r="F148" s="107" t="s">
        <v>632</v>
      </c>
      <c r="G148" s="110" t="s">
        <v>633</v>
      </c>
      <c r="H148" s="115">
        <v>0.125</v>
      </c>
      <c r="I148" s="115">
        <v>0.11</v>
      </c>
      <c r="J148" s="115">
        <v>0.1</v>
      </c>
      <c r="K148" s="115">
        <v>9.1999999999999998E-2</v>
      </c>
      <c r="L148" s="115">
        <v>0.13699999999999998</v>
      </c>
      <c r="M148" s="116">
        <v>0.126</v>
      </c>
      <c r="N148" s="116">
        <v>0.115</v>
      </c>
      <c r="O148" s="116">
        <v>0.106</v>
      </c>
      <c r="P148" s="116">
        <v>9.6999999999999989E-2</v>
      </c>
      <c r="Q148" s="116">
        <v>8.900000000000001E-2</v>
      </c>
    </row>
    <row r="149" spans="3:17" customFormat="1" x14ac:dyDescent="0.2">
      <c r="C149" s="107" t="s">
        <v>550</v>
      </c>
      <c r="D149" s="108" t="s">
        <v>630</v>
      </c>
      <c r="E149" s="107" t="s">
        <v>631</v>
      </c>
      <c r="F149" s="107" t="s">
        <v>632</v>
      </c>
      <c r="G149" s="110" t="s">
        <v>633</v>
      </c>
      <c r="H149" s="115">
        <v>-2.5000000000000001E-2</v>
      </c>
      <c r="I149" s="115">
        <v>1.6E-2</v>
      </c>
      <c r="J149" s="115">
        <v>9.8000000000000004E-2</v>
      </c>
      <c r="K149" s="115">
        <v>2.7000000000000003E-2</v>
      </c>
      <c r="L149" s="115">
        <v>-6.0000000000000001E-3</v>
      </c>
      <c r="M149" s="116">
        <v>0.02</v>
      </c>
      <c r="N149" s="116">
        <v>1.4999999999999999E-2</v>
      </c>
      <c r="O149" s="116">
        <v>1.3000000000000001E-2</v>
      </c>
      <c r="P149" s="116">
        <v>1.1000000000000001E-2</v>
      </c>
      <c r="Q149" s="116">
        <v>0.01</v>
      </c>
    </row>
    <row r="150" spans="3:17" customFormat="1" x14ac:dyDescent="0.2">
      <c r="C150" s="107" t="s">
        <v>554</v>
      </c>
      <c r="D150" s="108" t="s">
        <v>630</v>
      </c>
      <c r="E150" s="107" t="s">
        <v>631</v>
      </c>
      <c r="F150" s="107" t="s">
        <v>632</v>
      </c>
      <c r="G150" s="110" t="s">
        <v>633</v>
      </c>
      <c r="H150" s="115">
        <v>1.3000000000000001E-2</v>
      </c>
      <c r="I150" s="115">
        <v>9.0000000000000011E-3</v>
      </c>
      <c r="J150" s="115">
        <v>1.4999999999999999E-2</v>
      </c>
      <c r="K150" s="115">
        <v>2.7999999999999997E-2</v>
      </c>
      <c r="L150" s="115">
        <v>2.7999999999999997E-2</v>
      </c>
      <c r="M150" s="116">
        <v>2.7000000000000003E-2</v>
      </c>
      <c r="N150" s="116">
        <v>2.5000000000000001E-2</v>
      </c>
      <c r="O150" s="116">
        <v>2.3E-2</v>
      </c>
      <c r="P150" s="116">
        <v>2.1000000000000001E-2</v>
      </c>
      <c r="Q150" s="116">
        <v>0.02</v>
      </c>
    </row>
    <row r="151" spans="3:17" customFormat="1" x14ac:dyDescent="0.2">
      <c r="C151" s="107" t="s">
        <v>683</v>
      </c>
      <c r="D151" s="108" t="s">
        <v>630</v>
      </c>
      <c r="E151" s="107" t="s">
        <v>631</v>
      </c>
      <c r="F151" s="107" t="s">
        <v>632</v>
      </c>
      <c r="G151" s="110" t="s">
        <v>633</v>
      </c>
      <c r="H151" s="115">
        <v>4.8000000000000001E-2</v>
      </c>
      <c r="I151" s="115">
        <v>4.7E-2</v>
      </c>
      <c r="J151" s="115">
        <v>4.7E-2</v>
      </c>
      <c r="K151" s="115">
        <v>9.8000000000000004E-2</v>
      </c>
      <c r="L151" s="115">
        <v>8.900000000000001E-2</v>
      </c>
      <c r="M151" s="116">
        <v>8.1000000000000003E-2</v>
      </c>
      <c r="N151" s="116">
        <v>7.2999999999999995E-2</v>
      </c>
      <c r="O151" s="116">
        <v>6.6000000000000003E-2</v>
      </c>
      <c r="P151" s="116">
        <v>6.0999999999999999E-2</v>
      </c>
      <c r="Q151" s="116">
        <v>5.5E-2</v>
      </c>
    </row>
    <row r="152" spans="3:17" customFormat="1" x14ac:dyDescent="0.2">
      <c r="C152" s="107" t="s">
        <v>684</v>
      </c>
      <c r="D152" s="108" t="s">
        <v>630</v>
      </c>
      <c r="E152" s="107" t="s">
        <v>631</v>
      </c>
      <c r="F152" s="107" t="s">
        <v>632</v>
      </c>
      <c r="G152" s="110" t="s">
        <v>633</v>
      </c>
      <c r="H152" s="115">
        <v>8.5000000000000006E-2</v>
      </c>
      <c r="I152" s="115">
        <v>8.900000000000001E-2</v>
      </c>
      <c r="J152" s="115">
        <v>9.9000000000000005E-2</v>
      </c>
      <c r="K152" s="115">
        <v>0.18</v>
      </c>
      <c r="L152" s="115">
        <v>0.16300000000000001</v>
      </c>
      <c r="M152" s="116">
        <v>0.151</v>
      </c>
      <c r="N152" s="116">
        <v>0.14199999999999999</v>
      </c>
      <c r="O152" s="116">
        <v>0.13</v>
      </c>
      <c r="P152" s="116">
        <v>0.11900000000000001</v>
      </c>
      <c r="Q152" s="116">
        <v>0.10800000000000001</v>
      </c>
    </row>
    <row r="153" spans="3:17" customFormat="1" x14ac:dyDescent="0.2">
      <c r="C153" s="107" t="s">
        <v>685</v>
      </c>
      <c r="D153" s="108" t="s">
        <v>630</v>
      </c>
      <c r="E153" s="107" t="s">
        <v>631</v>
      </c>
      <c r="F153" s="107" t="s">
        <v>632</v>
      </c>
      <c r="G153" s="110" t="s">
        <v>633</v>
      </c>
      <c r="H153" s="115">
        <v>2.7000000000000003E-2</v>
      </c>
      <c r="I153" s="115">
        <v>1.6E-2</v>
      </c>
      <c r="J153" s="115">
        <v>1.3000000000000001E-2</v>
      </c>
      <c r="K153" s="115">
        <v>2.8999999999999998E-2</v>
      </c>
      <c r="L153" s="115">
        <v>2.7000000000000003E-2</v>
      </c>
      <c r="M153" s="116">
        <v>2.6000000000000002E-2</v>
      </c>
      <c r="N153" s="116">
        <v>2.5000000000000001E-2</v>
      </c>
      <c r="O153" s="116">
        <v>2.3E-2</v>
      </c>
      <c r="P153" s="116">
        <v>2.1000000000000001E-2</v>
      </c>
      <c r="Q153" s="116">
        <v>1.9E-2</v>
      </c>
    </row>
    <row r="154" spans="3:17" customFormat="1" x14ac:dyDescent="0.2">
      <c r="C154" s="107" t="s">
        <v>686</v>
      </c>
      <c r="D154" s="108" t="s">
        <v>630</v>
      </c>
      <c r="E154" s="107" t="s">
        <v>631</v>
      </c>
      <c r="F154" s="107" t="s">
        <v>632</v>
      </c>
      <c r="G154" s="110" t="s">
        <v>633</v>
      </c>
      <c r="H154" s="115">
        <v>0.24199999999999999</v>
      </c>
      <c r="I154" s="115">
        <v>0.38500000000000001</v>
      </c>
      <c r="J154" s="115">
        <v>0.127</v>
      </c>
      <c r="K154" s="115">
        <v>0.19899999999999998</v>
      </c>
      <c r="L154" s="115">
        <v>0.182</v>
      </c>
      <c r="M154" s="116">
        <v>0.16500000000000001</v>
      </c>
      <c r="N154" s="116">
        <v>0.153</v>
      </c>
      <c r="O154" s="116">
        <v>0.14199999999999999</v>
      </c>
      <c r="P154" s="116">
        <v>0.13100000000000001</v>
      </c>
      <c r="Q154" s="116">
        <v>0.12</v>
      </c>
    </row>
    <row r="155" spans="3:17" customFormat="1" x14ac:dyDescent="0.2">
      <c r="C155" s="107" t="s">
        <v>687</v>
      </c>
      <c r="D155" s="108" t="s">
        <v>630</v>
      </c>
      <c r="E155" s="107" t="s">
        <v>631</v>
      </c>
      <c r="F155" s="107" t="s">
        <v>632</v>
      </c>
      <c r="G155" s="110" t="s">
        <v>633</v>
      </c>
      <c r="H155" s="115">
        <v>0.16600000000000001</v>
      </c>
      <c r="I155" s="115">
        <v>0.14300000000000002</v>
      </c>
      <c r="J155" s="115">
        <v>0.13100000000000001</v>
      </c>
      <c r="K155" s="115">
        <v>0.214</v>
      </c>
      <c r="L155" s="115">
        <v>0.19600000000000001</v>
      </c>
      <c r="M155" s="116">
        <v>0.17800000000000002</v>
      </c>
      <c r="N155" s="116">
        <v>0.16300000000000001</v>
      </c>
      <c r="O155" s="116">
        <v>0.151</v>
      </c>
      <c r="P155" s="116">
        <v>0.14099999999999999</v>
      </c>
      <c r="Q155" s="116">
        <v>0.13</v>
      </c>
    </row>
    <row r="156" spans="3:17" customFormat="1" x14ac:dyDescent="0.2">
      <c r="C156" s="107" t="s">
        <v>561</v>
      </c>
      <c r="D156" s="108" t="s">
        <v>630</v>
      </c>
      <c r="E156" s="107" t="s">
        <v>631</v>
      </c>
      <c r="F156" s="107" t="s">
        <v>632</v>
      </c>
      <c r="G156" s="110" t="s">
        <v>633</v>
      </c>
      <c r="H156" s="115">
        <v>0.20600000000000002</v>
      </c>
      <c r="I156" s="115">
        <v>4.5999999999999999E-2</v>
      </c>
      <c r="J156" s="115">
        <v>5.4000000000000006E-2</v>
      </c>
      <c r="K156" s="115">
        <v>0.14899999999999999</v>
      </c>
      <c r="L156" s="115">
        <v>0.13699999999999998</v>
      </c>
      <c r="M156" s="116">
        <v>0.127</v>
      </c>
      <c r="N156" s="116">
        <v>0.11699999999999999</v>
      </c>
      <c r="O156" s="116">
        <v>0.10800000000000001</v>
      </c>
      <c r="P156" s="116">
        <v>0.1</v>
      </c>
      <c r="Q156" s="116">
        <v>9.3000000000000013E-2</v>
      </c>
    </row>
    <row r="157" spans="3:17" customFormat="1" x14ac:dyDescent="0.2">
      <c r="C157" s="107" t="s">
        <v>688</v>
      </c>
      <c r="D157" s="108" t="s">
        <v>630</v>
      </c>
      <c r="E157" s="107" t="s">
        <v>631</v>
      </c>
      <c r="F157" s="107" t="s">
        <v>632</v>
      </c>
      <c r="G157" s="110" t="s">
        <v>633</v>
      </c>
      <c r="H157" s="115">
        <v>0.127</v>
      </c>
      <c r="I157" s="115">
        <v>0.18100000000000002</v>
      </c>
      <c r="J157" s="115">
        <v>0.125</v>
      </c>
      <c r="K157" s="115">
        <v>0.14199999999999999</v>
      </c>
      <c r="L157" s="115">
        <v>0.13</v>
      </c>
      <c r="M157" s="116">
        <v>0.12</v>
      </c>
      <c r="N157" s="116">
        <v>0.11</v>
      </c>
      <c r="O157" s="116">
        <v>0.10199999999999999</v>
      </c>
      <c r="P157" s="116">
        <v>9.4E-2</v>
      </c>
      <c r="Q157" s="116">
        <v>8.6999999999999994E-2</v>
      </c>
    </row>
    <row r="158" spans="3:17" customFormat="1" x14ac:dyDescent="0.2">
      <c r="C158" s="107" t="s">
        <v>563</v>
      </c>
      <c r="D158" s="108" t="s">
        <v>630</v>
      </c>
      <c r="E158" s="107" t="s">
        <v>631</v>
      </c>
      <c r="F158" s="107" t="s">
        <v>632</v>
      </c>
      <c r="G158" s="110" t="s">
        <v>633</v>
      </c>
      <c r="H158" s="115">
        <v>5.4000000000000006E-2</v>
      </c>
      <c r="I158" s="115">
        <v>5.2000000000000005E-2</v>
      </c>
      <c r="J158" s="115">
        <v>5.0999999999999997E-2</v>
      </c>
      <c r="K158" s="115">
        <v>2.7000000000000003E-2</v>
      </c>
      <c r="L158" s="115">
        <v>2.3E-2</v>
      </c>
      <c r="M158" s="116">
        <v>0.02</v>
      </c>
      <c r="N158" s="116">
        <v>1.8000000000000002E-2</v>
      </c>
      <c r="O158" s="116">
        <v>1.4999999999999999E-2</v>
      </c>
      <c r="P158" s="116">
        <v>1.3000000000000001E-2</v>
      </c>
      <c r="Q158" s="116">
        <v>1.1000000000000001E-2</v>
      </c>
    </row>
    <row r="159" spans="3:17" customFormat="1" x14ac:dyDescent="0.2">
      <c r="C159" s="107" t="s">
        <v>568</v>
      </c>
      <c r="D159" s="108" t="s">
        <v>630</v>
      </c>
      <c r="E159" s="107" t="s">
        <v>631</v>
      </c>
      <c r="F159" s="107" t="s">
        <v>632</v>
      </c>
      <c r="G159" s="110" t="s">
        <v>633</v>
      </c>
      <c r="H159" s="115">
        <v>0.06</v>
      </c>
      <c r="I159" s="115">
        <v>3.2000000000000001E-2</v>
      </c>
      <c r="J159" s="115">
        <v>2.5000000000000001E-2</v>
      </c>
      <c r="K159" s="115">
        <v>2.4E-2</v>
      </c>
      <c r="L159" s="115">
        <v>2.2000000000000002E-2</v>
      </c>
      <c r="M159" s="116">
        <v>0.02</v>
      </c>
      <c r="N159" s="116">
        <v>1.8000000000000002E-2</v>
      </c>
      <c r="O159" s="116">
        <v>1.6E-2</v>
      </c>
      <c r="P159" s="116">
        <v>1.4999999999999999E-2</v>
      </c>
      <c r="Q159" s="116">
        <v>1.3999999999999999E-2</v>
      </c>
    </row>
    <row r="160" spans="3:17" customFormat="1" x14ac:dyDescent="0.2">
      <c r="C160" s="107" t="s">
        <v>569</v>
      </c>
      <c r="D160" s="108" t="s">
        <v>630</v>
      </c>
      <c r="E160" s="107" t="s">
        <v>631</v>
      </c>
      <c r="F160" s="107" t="s">
        <v>632</v>
      </c>
      <c r="G160" s="110" t="s">
        <v>633</v>
      </c>
      <c r="H160" s="115">
        <v>0.18100000000000002</v>
      </c>
      <c r="I160" s="115">
        <v>0.185</v>
      </c>
      <c r="J160" s="115">
        <v>8.900000000000001E-2</v>
      </c>
      <c r="K160" s="115">
        <v>0.20800000000000002</v>
      </c>
      <c r="L160" s="115">
        <v>0.19</v>
      </c>
      <c r="M160" s="116">
        <v>0.17300000000000001</v>
      </c>
      <c r="N160" s="116">
        <v>0.16</v>
      </c>
      <c r="O160" s="116">
        <v>0.14899999999999999</v>
      </c>
      <c r="P160" s="116">
        <v>0.13800000000000001</v>
      </c>
      <c r="Q160" s="116">
        <v>0.127</v>
      </c>
    </row>
    <row r="161" spans="3:17" customFormat="1" x14ac:dyDescent="0.2">
      <c r="C161" s="107" t="s">
        <v>570</v>
      </c>
      <c r="D161" s="108" t="s">
        <v>630</v>
      </c>
      <c r="E161" s="107" t="s">
        <v>631</v>
      </c>
      <c r="F161" s="107" t="s">
        <v>632</v>
      </c>
      <c r="G161" s="110" t="s">
        <v>633</v>
      </c>
      <c r="H161" s="115">
        <v>7.2000000000000008E-2</v>
      </c>
      <c r="I161" s="115">
        <v>4.4000000000000004E-2</v>
      </c>
      <c r="J161" s="115">
        <v>8.4000000000000005E-2</v>
      </c>
      <c r="K161" s="115">
        <v>0.08</v>
      </c>
      <c r="L161" s="115">
        <v>7.400000000000001E-2</v>
      </c>
      <c r="M161" s="116">
        <v>6.8000000000000005E-2</v>
      </c>
      <c r="N161" s="116">
        <v>6.0999999999999999E-2</v>
      </c>
      <c r="O161" s="116">
        <v>5.4000000000000006E-2</v>
      </c>
      <c r="P161" s="116">
        <v>4.9000000000000002E-2</v>
      </c>
      <c r="Q161" s="116">
        <v>4.5999999999999999E-2</v>
      </c>
    </row>
    <row r="162" spans="3:17" customFormat="1" x14ac:dyDescent="0.2">
      <c r="C162" s="107" t="s">
        <v>574</v>
      </c>
      <c r="D162" s="108" t="s">
        <v>630</v>
      </c>
      <c r="E162" s="107" t="s">
        <v>631</v>
      </c>
      <c r="F162" s="107" t="s">
        <v>632</v>
      </c>
      <c r="G162" s="110" t="s">
        <v>633</v>
      </c>
      <c r="H162" s="115">
        <v>6.3E-2</v>
      </c>
      <c r="I162" s="115">
        <v>0.38200000000000006</v>
      </c>
      <c r="J162" s="115">
        <v>3.1000000000000003E-2</v>
      </c>
      <c r="K162" s="115">
        <v>0.19500000000000001</v>
      </c>
      <c r="L162" s="115">
        <v>0.17800000000000002</v>
      </c>
      <c r="M162" s="116">
        <v>0.16399999999999998</v>
      </c>
      <c r="N162" s="116">
        <v>0.153</v>
      </c>
      <c r="O162" s="116">
        <v>0.14199999999999999</v>
      </c>
      <c r="P162" s="116">
        <v>0.13100000000000001</v>
      </c>
      <c r="Q162" s="116">
        <v>0.121</v>
      </c>
    </row>
    <row r="163" spans="3:17" customFormat="1" x14ac:dyDescent="0.2">
      <c r="C163" s="107" t="s">
        <v>575</v>
      </c>
      <c r="D163" s="108" t="s">
        <v>630</v>
      </c>
      <c r="E163" s="107" t="s">
        <v>631</v>
      </c>
      <c r="F163" s="107" t="s">
        <v>632</v>
      </c>
      <c r="G163" s="110" t="s">
        <v>633</v>
      </c>
      <c r="H163" s="115">
        <v>0.14199999999999999</v>
      </c>
      <c r="I163" s="115">
        <v>8.8000000000000009E-2</v>
      </c>
      <c r="J163" s="115">
        <v>6.5000000000000002E-2</v>
      </c>
      <c r="K163" s="115">
        <v>0.128</v>
      </c>
      <c r="L163" s="115">
        <v>0.11699999999999999</v>
      </c>
      <c r="M163" s="116">
        <v>0.10800000000000001</v>
      </c>
      <c r="N163" s="116">
        <v>9.9000000000000005E-2</v>
      </c>
      <c r="O163" s="116">
        <v>9.0999999999999998E-2</v>
      </c>
      <c r="P163" s="116">
        <v>8.4000000000000005E-2</v>
      </c>
      <c r="Q163" s="116">
        <v>7.6999999999999999E-2</v>
      </c>
    </row>
    <row r="164" spans="3:17" customFormat="1" x14ac:dyDescent="0.2">
      <c r="C164" s="107" t="s">
        <v>576</v>
      </c>
      <c r="D164" s="108" t="s">
        <v>630</v>
      </c>
      <c r="E164" s="107" t="s">
        <v>631</v>
      </c>
      <c r="F164" s="107" t="s">
        <v>632</v>
      </c>
      <c r="G164" s="110" t="s">
        <v>633</v>
      </c>
      <c r="H164" s="115">
        <v>1.9E-2</v>
      </c>
      <c r="I164" s="115">
        <v>9.6000000000000002E-2</v>
      </c>
      <c r="J164" s="115">
        <v>5.5E-2</v>
      </c>
      <c r="K164" s="115">
        <v>2.7999999999999997E-2</v>
      </c>
      <c r="L164" s="115">
        <v>5.2000000000000005E-2</v>
      </c>
      <c r="M164" s="116">
        <v>4.2999999999999997E-2</v>
      </c>
      <c r="N164" s="116">
        <v>3.6000000000000004E-2</v>
      </c>
      <c r="O164" s="116">
        <v>2.6000000000000002E-2</v>
      </c>
      <c r="P164" s="116">
        <v>2.1000000000000001E-2</v>
      </c>
      <c r="Q164" s="116">
        <v>1.9E-2</v>
      </c>
    </row>
    <row r="165" spans="3:17" customFormat="1" x14ac:dyDescent="0.2">
      <c r="C165" s="107" t="s">
        <v>582</v>
      </c>
      <c r="D165" s="108" t="s">
        <v>630</v>
      </c>
      <c r="E165" s="107" t="s">
        <v>631</v>
      </c>
      <c r="F165" s="107" t="s">
        <v>632</v>
      </c>
      <c r="G165" s="110" t="s">
        <v>633</v>
      </c>
      <c r="H165" s="115">
        <v>-2.8999999999999998E-2</v>
      </c>
      <c r="I165" s="115">
        <v>7.0999999999999994E-2</v>
      </c>
      <c r="J165" s="115">
        <v>4.7E-2</v>
      </c>
      <c r="K165" s="115">
        <v>3.9E-2</v>
      </c>
      <c r="L165" s="115">
        <v>4.4000000000000004E-2</v>
      </c>
      <c r="M165" s="116">
        <v>1.9E-2</v>
      </c>
      <c r="N165" s="116">
        <v>1.3999999999999999E-2</v>
      </c>
      <c r="O165" s="116">
        <v>1.1000000000000001E-2</v>
      </c>
      <c r="P165" s="116">
        <v>0.01</v>
      </c>
      <c r="Q165" s="116">
        <v>9.0000000000000011E-3</v>
      </c>
    </row>
    <row r="166" spans="3:17" customFormat="1" x14ac:dyDescent="0.2">
      <c r="C166" s="107" t="s">
        <v>689</v>
      </c>
      <c r="D166" s="108" t="s">
        <v>630</v>
      </c>
      <c r="E166" s="107" t="s">
        <v>631</v>
      </c>
      <c r="F166" s="107" t="s">
        <v>632</v>
      </c>
      <c r="G166" s="110" t="s">
        <v>633</v>
      </c>
      <c r="H166" s="115">
        <v>4.2000000000000003E-2</v>
      </c>
      <c r="I166" s="115">
        <v>3.4000000000000002E-2</v>
      </c>
      <c r="J166" s="115">
        <v>3.1000000000000003E-2</v>
      </c>
      <c r="K166" s="115">
        <v>2.7999999999999997E-2</v>
      </c>
      <c r="L166" s="115">
        <v>2.6000000000000002E-2</v>
      </c>
      <c r="M166" s="116">
        <v>2.4E-2</v>
      </c>
      <c r="N166" s="116">
        <v>2.2000000000000002E-2</v>
      </c>
      <c r="O166" s="116">
        <v>0.02</v>
      </c>
      <c r="P166" s="116">
        <v>1.8000000000000002E-2</v>
      </c>
      <c r="Q166" s="116">
        <v>1.6E-2</v>
      </c>
    </row>
    <row r="167" spans="3:17" customFormat="1" x14ac:dyDescent="0.2">
      <c r="C167" s="107" t="s">
        <v>585</v>
      </c>
      <c r="D167" s="108" t="s">
        <v>630</v>
      </c>
      <c r="E167" s="107" t="s">
        <v>631</v>
      </c>
      <c r="F167" s="107" t="s">
        <v>632</v>
      </c>
      <c r="G167" s="110" t="s">
        <v>633</v>
      </c>
      <c r="H167" s="115">
        <v>5.2000000000000005E-2</v>
      </c>
      <c r="I167" s="115">
        <v>0.309</v>
      </c>
      <c r="J167" s="115">
        <v>0.122</v>
      </c>
      <c r="K167" s="115">
        <v>0.14199999999999999</v>
      </c>
      <c r="L167" s="115">
        <v>0.13200000000000001</v>
      </c>
      <c r="M167" s="116">
        <v>0.122</v>
      </c>
      <c r="N167" s="116">
        <v>0.11199999999999999</v>
      </c>
      <c r="O167" s="116">
        <v>0.10199999999999999</v>
      </c>
      <c r="P167" s="116">
        <v>9.3000000000000013E-2</v>
      </c>
      <c r="Q167" s="116">
        <v>8.5000000000000006E-2</v>
      </c>
    </row>
    <row r="168" spans="3:17" customFormat="1" x14ac:dyDescent="0.2">
      <c r="C168" s="107" t="s">
        <v>690</v>
      </c>
      <c r="D168" s="108" t="s">
        <v>630</v>
      </c>
      <c r="E168" s="107" t="s">
        <v>631</v>
      </c>
      <c r="F168" s="107" t="s">
        <v>632</v>
      </c>
      <c r="G168" s="110" t="s">
        <v>633</v>
      </c>
      <c r="H168" s="115">
        <v>0.22100000000000003</v>
      </c>
      <c r="I168" s="115">
        <v>2.1000000000000001E-2</v>
      </c>
      <c r="J168" s="115">
        <v>1.9E-2</v>
      </c>
      <c r="K168" s="115">
        <v>7.8E-2</v>
      </c>
      <c r="L168" s="115">
        <v>7.2000000000000008E-2</v>
      </c>
      <c r="M168" s="116">
        <v>6.6000000000000003E-2</v>
      </c>
      <c r="N168" s="116">
        <v>6.0999999999999999E-2</v>
      </c>
      <c r="O168" s="116">
        <v>5.7000000000000002E-2</v>
      </c>
      <c r="P168" s="116">
        <v>5.2999999999999999E-2</v>
      </c>
      <c r="Q168" s="116">
        <v>4.9000000000000002E-2</v>
      </c>
    </row>
    <row r="169" spans="3:17" customFormat="1" x14ac:dyDescent="0.2">
      <c r="C169" s="107" t="s">
        <v>418</v>
      </c>
      <c r="D169" s="108" t="s">
        <v>630</v>
      </c>
      <c r="E169" s="107" t="s">
        <v>631</v>
      </c>
      <c r="F169" s="107" t="s">
        <v>632</v>
      </c>
      <c r="G169" s="110" t="s">
        <v>633</v>
      </c>
      <c r="H169" s="115">
        <v>2E-3</v>
      </c>
      <c r="I169" s="115">
        <v>0.05</v>
      </c>
      <c r="J169" s="115">
        <v>0.05</v>
      </c>
      <c r="K169" s="115">
        <v>4.5999999999999999E-2</v>
      </c>
      <c r="L169" s="115">
        <v>0.02</v>
      </c>
      <c r="M169" s="116">
        <v>1.4999999999999999E-2</v>
      </c>
      <c r="N169" s="116">
        <v>1.4999999999999999E-2</v>
      </c>
      <c r="O169" s="116">
        <v>1.6E-2</v>
      </c>
      <c r="P169" s="116">
        <v>1.7000000000000001E-2</v>
      </c>
      <c r="Q169" s="116">
        <v>1.7000000000000001E-2</v>
      </c>
    </row>
    <row r="170" spans="3:17" customFormat="1" x14ac:dyDescent="0.2">
      <c r="C170" s="107" t="s">
        <v>586</v>
      </c>
      <c r="D170" s="108" t="s">
        <v>630</v>
      </c>
      <c r="E170" s="107" t="s">
        <v>631</v>
      </c>
      <c r="F170" s="107" t="s">
        <v>632</v>
      </c>
      <c r="G170" s="110" t="s">
        <v>633</v>
      </c>
      <c r="H170" s="115">
        <v>0.106</v>
      </c>
      <c r="I170" s="115">
        <v>6.4000000000000001E-2</v>
      </c>
      <c r="J170" s="115">
        <v>0.05</v>
      </c>
      <c r="K170" s="115">
        <v>8.4000000000000005E-2</v>
      </c>
      <c r="L170" s="115">
        <v>7.6999999999999999E-2</v>
      </c>
      <c r="M170" s="116">
        <v>7.0999999999999994E-2</v>
      </c>
      <c r="N170" s="116">
        <v>6.6000000000000003E-2</v>
      </c>
      <c r="O170" s="116">
        <v>6.0999999999999999E-2</v>
      </c>
      <c r="P170" s="116">
        <v>5.7000000000000002E-2</v>
      </c>
      <c r="Q170" s="116">
        <v>5.2999999999999999E-2</v>
      </c>
    </row>
    <row r="171" spans="3:17" customFormat="1" x14ac:dyDescent="0.2">
      <c r="C171" s="107" t="s">
        <v>691</v>
      </c>
      <c r="D171" s="108" t="s">
        <v>630</v>
      </c>
      <c r="E171" s="107" t="s">
        <v>631</v>
      </c>
      <c r="F171" s="107" t="s">
        <v>632</v>
      </c>
      <c r="G171" s="110" t="s">
        <v>633</v>
      </c>
      <c r="H171" s="115">
        <v>4.5999999999999999E-2</v>
      </c>
      <c r="I171" s="115">
        <v>2.6000000000000002E-2</v>
      </c>
      <c r="J171" s="115">
        <v>2.5000000000000001E-2</v>
      </c>
      <c r="K171" s="115">
        <v>3.7999999999999999E-2</v>
      </c>
      <c r="L171" s="115">
        <v>3.4000000000000002E-2</v>
      </c>
      <c r="M171" s="116">
        <v>3.1000000000000003E-2</v>
      </c>
      <c r="N171" s="116">
        <v>2.7000000000000003E-2</v>
      </c>
      <c r="O171" s="116">
        <v>2.3E-2</v>
      </c>
      <c r="P171" s="116">
        <v>1.8000000000000002E-2</v>
      </c>
      <c r="Q171" s="116">
        <v>1.3000000000000001E-2</v>
      </c>
    </row>
    <row r="172" spans="3:17" customFormat="1" x14ac:dyDescent="0.2">
      <c r="C172" s="107" t="s">
        <v>692</v>
      </c>
      <c r="D172" s="108" t="s">
        <v>630</v>
      </c>
      <c r="E172" s="107" t="s">
        <v>631</v>
      </c>
      <c r="F172" s="107" t="s">
        <v>632</v>
      </c>
      <c r="G172" s="110" t="s">
        <v>633</v>
      </c>
      <c r="H172" s="115">
        <v>0.11699999999999999</v>
      </c>
      <c r="I172" s="115">
        <v>5.5999999999999994E-2</v>
      </c>
      <c r="J172" s="115">
        <v>9.9000000000000005E-2</v>
      </c>
      <c r="K172" s="115">
        <v>0.19500000000000001</v>
      </c>
      <c r="L172" s="115">
        <v>0.17600000000000002</v>
      </c>
      <c r="M172" s="116">
        <v>0.16</v>
      </c>
      <c r="N172" s="116">
        <v>0.14800000000000002</v>
      </c>
      <c r="O172" s="116">
        <v>0.13600000000000001</v>
      </c>
      <c r="P172" s="116">
        <v>0.125</v>
      </c>
      <c r="Q172" s="116">
        <v>0.115</v>
      </c>
    </row>
    <row r="173" spans="3:17" customFormat="1" x14ac:dyDescent="0.2">
      <c r="C173" s="107" t="s">
        <v>693</v>
      </c>
      <c r="D173" s="108" t="s">
        <v>630</v>
      </c>
      <c r="E173" s="107" t="s">
        <v>631</v>
      </c>
      <c r="F173" s="107" t="s">
        <v>632</v>
      </c>
      <c r="G173" s="110" t="s">
        <v>633</v>
      </c>
      <c r="H173" s="115">
        <v>0.46799999999999997</v>
      </c>
      <c r="I173" s="115">
        <v>0.34200000000000003</v>
      </c>
      <c r="J173" s="115">
        <v>0.17399999999999999</v>
      </c>
      <c r="K173" s="115">
        <v>0.16600000000000001</v>
      </c>
      <c r="L173" s="115">
        <v>0.154</v>
      </c>
      <c r="M173" s="116">
        <v>0.14199999999999999</v>
      </c>
      <c r="N173" s="116">
        <v>0.13100000000000001</v>
      </c>
      <c r="O173" s="116">
        <v>0.12</v>
      </c>
      <c r="P173" s="116">
        <v>0.111</v>
      </c>
      <c r="Q173" s="116">
        <v>0.10400000000000001</v>
      </c>
    </row>
    <row r="174" spans="3:17" customFormat="1" x14ac:dyDescent="0.2">
      <c r="C174" s="107" t="s">
        <v>592</v>
      </c>
      <c r="D174" s="108" t="s">
        <v>630</v>
      </c>
      <c r="E174" s="107" t="s">
        <v>631</v>
      </c>
      <c r="F174" s="107" t="s">
        <v>632</v>
      </c>
      <c r="G174" s="110" t="s">
        <v>633</v>
      </c>
      <c r="H174" s="115">
        <v>5.5E-2</v>
      </c>
      <c r="I174" s="115">
        <v>0.02</v>
      </c>
      <c r="J174" s="115">
        <v>1.6E-2</v>
      </c>
      <c r="K174" s="115">
        <v>4.8000000000000001E-2</v>
      </c>
      <c r="L174" s="115">
        <v>4.2999999999999997E-2</v>
      </c>
      <c r="M174" s="116">
        <v>0.04</v>
      </c>
      <c r="N174" s="116">
        <v>3.6000000000000004E-2</v>
      </c>
      <c r="O174" s="116">
        <v>3.3000000000000002E-2</v>
      </c>
      <c r="P174" s="116">
        <v>0.03</v>
      </c>
      <c r="Q174" s="116">
        <v>2.7000000000000003E-2</v>
      </c>
    </row>
    <row r="175" spans="3:17" customFormat="1" x14ac:dyDescent="0.2">
      <c r="C175" s="107" t="s">
        <v>694</v>
      </c>
      <c r="D175" s="108" t="s">
        <v>630</v>
      </c>
      <c r="E175" s="107" t="s">
        <v>631</v>
      </c>
      <c r="F175" s="107" t="s">
        <v>632</v>
      </c>
      <c r="G175" s="110" t="s">
        <v>633</v>
      </c>
      <c r="H175" s="115">
        <v>0.24399999999999999</v>
      </c>
      <c r="I175" s="115">
        <v>0.23100000000000001</v>
      </c>
      <c r="J175" s="115">
        <v>0.252</v>
      </c>
      <c r="K175" s="115">
        <v>0.23600000000000002</v>
      </c>
      <c r="L175" s="115">
        <v>0.19700000000000001</v>
      </c>
      <c r="M175" s="116">
        <v>0.17899999999999999</v>
      </c>
      <c r="N175" s="116">
        <v>0.16200000000000001</v>
      </c>
      <c r="O175" s="116">
        <v>0.14899999999999999</v>
      </c>
      <c r="P175" s="116">
        <v>0.13800000000000001</v>
      </c>
      <c r="Q175" s="116">
        <v>0.127</v>
      </c>
    </row>
    <row r="176" spans="3:17" customFormat="1" x14ac:dyDescent="0.2">
      <c r="C176" s="107" t="s">
        <v>695</v>
      </c>
      <c r="D176" s="108" t="s">
        <v>630</v>
      </c>
      <c r="E176" s="107" t="s">
        <v>631</v>
      </c>
      <c r="F176" s="107" t="s">
        <v>632</v>
      </c>
      <c r="G176" s="110" t="s">
        <v>633</v>
      </c>
      <c r="H176" s="115">
        <v>0.17199999999999999</v>
      </c>
      <c r="I176" s="115">
        <v>0.159</v>
      </c>
      <c r="J176" s="115">
        <v>0.13300000000000001</v>
      </c>
      <c r="K176" s="115">
        <v>0.11699999999999999</v>
      </c>
      <c r="L176" s="115">
        <v>0.125</v>
      </c>
      <c r="M176" s="116">
        <v>0.12400000000000001</v>
      </c>
      <c r="N176" s="116">
        <v>0.11</v>
      </c>
      <c r="O176" s="116">
        <v>9.6999999999999989E-2</v>
      </c>
      <c r="P176" s="116">
        <v>0.09</v>
      </c>
      <c r="Q176" s="116">
        <v>8.3000000000000004E-2</v>
      </c>
    </row>
    <row r="177" spans="3:17" customFormat="1" x14ac:dyDescent="0.2">
      <c r="C177" s="107" t="s">
        <v>696</v>
      </c>
      <c r="D177" s="108" t="s">
        <v>630</v>
      </c>
      <c r="E177" s="107" t="s">
        <v>631</v>
      </c>
      <c r="F177" s="107" t="s">
        <v>632</v>
      </c>
      <c r="G177" s="110" t="s">
        <v>633</v>
      </c>
      <c r="H177" s="117" t="s">
        <v>633</v>
      </c>
      <c r="I177" s="117" t="s">
        <v>633</v>
      </c>
      <c r="J177" s="117" t="s">
        <v>633</v>
      </c>
      <c r="K177" s="117" t="s">
        <v>633</v>
      </c>
      <c r="L177" s="117" t="s">
        <v>633</v>
      </c>
      <c r="M177" s="117" t="s">
        <v>633</v>
      </c>
      <c r="N177" s="117" t="s">
        <v>633</v>
      </c>
      <c r="O177" s="117" t="s">
        <v>633</v>
      </c>
      <c r="P177" s="117" t="s">
        <v>633</v>
      </c>
      <c r="Q177" s="117" t="s">
        <v>633</v>
      </c>
    </row>
    <row r="178" spans="3:17" customFormat="1" x14ac:dyDescent="0.2">
      <c r="C178" s="107" t="s">
        <v>601</v>
      </c>
      <c r="D178" s="108" t="s">
        <v>630</v>
      </c>
      <c r="E178" s="107" t="s">
        <v>631</v>
      </c>
      <c r="F178" s="107" t="s">
        <v>632</v>
      </c>
      <c r="G178" s="110" t="s">
        <v>633</v>
      </c>
      <c r="H178" s="115">
        <v>0.105</v>
      </c>
      <c r="I178" s="115">
        <v>0.19800000000000001</v>
      </c>
      <c r="J178" s="115">
        <v>0.35600000000000004</v>
      </c>
      <c r="K178" s="115">
        <v>0.16500000000000001</v>
      </c>
      <c r="L178" s="115">
        <v>0.154</v>
      </c>
      <c r="M178" s="116">
        <v>0.14300000000000002</v>
      </c>
      <c r="N178" s="116">
        <v>0.13200000000000001</v>
      </c>
      <c r="O178" s="116">
        <v>0.122</v>
      </c>
      <c r="P178" s="116">
        <v>0.11199999999999999</v>
      </c>
      <c r="Q178" s="116">
        <v>0.10400000000000001</v>
      </c>
    </row>
    <row r="179" spans="3:17" customFormat="1" x14ac:dyDescent="0.2">
      <c r="C179" s="107" t="s">
        <v>603</v>
      </c>
      <c r="D179" s="108" t="s">
        <v>630</v>
      </c>
      <c r="E179" s="107" t="s">
        <v>631</v>
      </c>
      <c r="F179" s="107" t="s">
        <v>632</v>
      </c>
      <c r="G179" s="110" t="s">
        <v>633</v>
      </c>
      <c r="H179" s="115">
        <v>7.2999999999999995E-2</v>
      </c>
      <c r="I179" s="115">
        <v>0.20100000000000001</v>
      </c>
      <c r="J179" s="115">
        <v>6.9000000000000006E-2</v>
      </c>
      <c r="K179" s="115">
        <v>0.13600000000000001</v>
      </c>
      <c r="L179" s="115">
        <v>0.12400000000000001</v>
      </c>
      <c r="M179" s="116">
        <v>0.114</v>
      </c>
      <c r="N179" s="116">
        <v>0.105</v>
      </c>
      <c r="O179" s="116">
        <v>9.6000000000000002E-2</v>
      </c>
      <c r="P179" s="116">
        <v>8.900000000000001E-2</v>
      </c>
      <c r="Q179" s="116">
        <v>8.199999999999999E-2</v>
      </c>
    </row>
    <row r="180" spans="3:17" customFormat="1" x14ac:dyDescent="0.2">
      <c r="C180" s="107" t="s">
        <v>604</v>
      </c>
      <c r="D180" s="108" t="s">
        <v>630</v>
      </c>
      <c r="E180" s="107" t="s">
        <v>631</v>
      </c>
      <c r="F180" s="107" t="s">
        <v>632</v>
      </c>
      <c r="G180" s="110" t="s">
        <v>633</v>
      </c>
      <c r="H180" s="115">
        <v>6.0000000000000001E-3</v>
      </c>
      <c r="I180" s="115">
        <v>4.2999999999999997E-2</v>
      </c>
      <c r="J180" s="115">
        <v>3.6000000000000004E-2</v>
      </c>
      <c r="K180" s="115">
        <v>4.8000000000000001E-2</v>
      </c>
      <c r="L180" s="115">
        <v>4.2000000000000003E-2</v>
      </c>
      <c r="M180" s="116">
        <v>3.7000000000000005E-2</v>
      </c>
      <c r="N180" s="116">
        <v>3.2000000000000001E-2</v>
      </c>
      <c r="O180" s="116">
        <v>2.7999999999999997E-2</v>
      </c>
      <c r="P180" s="116">
        <v>2.4E-2</v>
      </c>
      <c r="Q180" s="116">
        <v>2.1000000000000001E-2</v>
      </c>
    </row>
    <row r="181" spans="3:17" customFormat="1" x14ac:dyDescent="0.2">
      <c r="C181" s="107" t="s">
        <v>606</v>
      </c>
      <c r="D181" s="108" t="s">
        <v>630</v>
      </c>
      <c r="E181" s="107" t="s">
        <v>631</v>
      </c>
      <c r="F181" s="107" t="s">
        <v>632</v>
      </c>
      <c r="G181" s="110" t="s">
        <v>633</v>
      </c>
      <c r="H181" s="115">
        <v>0.39799999999999996</v>
      </c>
      <c r="I181" s="115">
        <v>6.3E-2</v>
      </c>
      <c r="J181" s="115">
        <v>-3.7000000000000005E-2</v>
      </c>
      <c r="K181" s="115">
        <v>-4.2000000000000003E-2</v>
      </c>
      <c r="L181" s="115">
        <v>0.26100000000000001</v>
      </c>
      <c r="M181" s="116">
        <v>0.25</v>
      </c>
      <c r="N181" s="116">
        <v>0.23800000000000002</v>
      </c>
      <c r="O181" s="116">
        <v>0.22500000000000001</v>
      </c>
      <c r="P181" s="116">
        <v>0.20899999999999999</v>
      </c>
      <c r="Q181" s="116">
        <v>0.19</v>
      </c>
    </row>
    <row r="182" spans="3:17" customFormat="1" x14ac:dyDescent="0.2">
      <c r="C182" s="107" t="s">
        <v>608</v>
      </c>
      <c r="D182" s="108" t="s">
        <v>630</v>
      </c>
      <c r="E182" s="107" t="s">
        <v>631</v>
      </c>
      <c r="F182" s="107" t="s">
        <v>632</v>
      </c>
      <c r="G182" s="110" t="s">
        <v>633</v>
      </c>
      <c r="H182" s="115">
        <v>6.2000000000000006E-2</v>
      </c>
      <c r="I182" s="115">
        <v>4.2999999999999997E-2</v>
      </c>
      <c r="J182" s="115">
        <v>3.7999999999999999E-2</v>
      </c>
      <c r="K182" s="115">
        <v>3.5000000000000003E-2</v>
      </c>
      <c r="L182" s="115">
        <v>2.2000000000000002E-2</v>
      </c>
      <c r="M182" s="116">
        <v>1.7000000000000001E-2</v>
      </c>
      <c r="N182" s="116">
        <v>1.3999999999999999E-2</v>
      </c>
      <c r="O182" s="116">
        <v>1.2E-2</v>
      </c>
      <c r="P182" s="116">
        <v>1.1000000000000001E-2</v>
      </c>
      <c r="Q182" s="116">
        <v>0.01</v>
      </c>
    </row>
    <row r="183" spans="3:17" customFormat="1" x14ac:dyDescent="0.2">
      <c r="C183" s="107" t="s">
        <v>697</v>
      </c>
      <c r="D183" s="108" t="s">
        <v>630</v>
      </c>
      <c r="E183" s="107" t="s">
        <v>631</v>
      </c>
      <c r="F183" s="107" t="s">
        <v>632</v>
      </c>
      <c r="G183" s="110" t="s">
        <v>633</v>
      </c>
      <c r="H183" s="115">
        <v>0.13600000000000001</v>
      </c>
      <c r="I183" s="115">
        <v>0.128</v>
      </c>
      <c r="J183" s="115">
        <v>0.12</v>
      </c>
      <c r="K183" s="115">
        <v>0.111</v>
      </c>
      <c r="L183" s="115">
        <v>0.10300000000000001</v>
      </c>
      <c r="M183" s="116">
        <v>9.6000000000000002E-2</v>
      </c>
      <c r="N183" s="116">
        <v>8.900000000000001E-2</v>
      </c>
      <c r="O183" s="116">
        <v>8.199999999999999E-2</v>
      </c>
      <c r="P183" s="116">
        <v>7.5999999999999998E-2</v>
      </c>
      <c r="Q183" s="116">
        <v>7.0000000000000007E-2</v>
      </c>
    </row>
    <row r="184" spans="3:17" customFormat="1" x14ac:dyDescent="0.2">
      <c r="C184" s="107" t="s">
        <v>612</v>
      </c>
      <c r="D184" s="108" t="s">
        <v>630</v>
      </c>
      <c r="E184" s="107" t="s">
        <v>631</v>
      </c>
      <c r="F184" s="107" t="s">
        <v>632</v>
      </c>
      <c r="G184" s="110" t="s">
        <v>633</v>
      </c>
      <c r="H184" s="115">
        <v>3.6000000000000004E-2</v>
      </c>
      <c r="I184" s="115">
        <v>3.4000000000000002E-2</v>
      </c>
      <c r="J184" s="115">
        <v>0.23100000000000001</v>
      </c>
      <c r="K184" s="115">
        <v>0.218</v>
      </c>
      <c r="L184" s="115">
        <v>0.2</v>
      </c>
      <c r="M184" s="116">
        <v>0.18100000000000002</v>
      </c>
      <c r="N184" s="116">
        <v>0.16600000000000001</v>
      </c>
      <c r="O184" s="116">
        <v>0.154</v>
      </c>
      <c r="P184" s="116">
        <v>0.14300000000000002</v>
      </c>
      <c r="Q184" s="116">
        <v>0.13200000000000001</v>
      </c>
    </row>
    <row r="185" spans="3:17" customFormat="1" x14ac:dyDescent="0.2">
      <c r="C185" s="107" t="s">
        <v>698</v>
      </c>
      <c r="D185" s="108" t="s">
        <v>630</v>
      </c>
      <c r="E185" s="107" t="s">
        <v>631</v>
      </c>
      <c r="F185" s="107" t="s">
        <v>632</v>
      </c>
      <c r="G185" s="110" t="s">
        <v>633</v>
      </c>
      <c r="H185" s="115">
        <v>0.29100000000000004</v>
      </c>
      <c r="I185" s="115">
        <v>0.04</v>
      </c>
      <c r="J185" s="115">
        <v>3.2000000000000001E-2</v>
      </c>
      <c r="K185" s="115">
        <v>0.126</v>
      </c>
      <c r="L185" s="115">
        <v>0.11699999999999999</v>
      </c>
      <c r="M185" s="116">
        <v>0.10800000000000001</v>
      </c>
      <c r="N185" s="116">
        <v>9.9000000000000005E-2</v>
      </c>
      <c r="O185" s="116">
        <v>9.0999999999999998E-2</v>
      </c>
      <c r="P185" s="116">
        <v>8.4000000000000005E-2</v>
      </c>
      <c r="Q185" s="116">
        <v>7.6999999999999999E-2</v>
      </c>
    </row>
    <row r="186" spans="3:17" customFormat="1" x14ac:dyDescent="0.2">
      <c r="C186" s="107" t="s">
        <v>440</v>
      </c>
      <c r="D186" s="108" t="s">
        <v>630</v>
      </c>
      <c r="E186" s="107" t="s">
        <v>631</v>
      </c>
      <c r="F186" s="107" t="s">
        <v>632</v>
      </c>
      <c r="G186" s="110" t="s">
        <v>633</v>
      </c>
      <c r="H186" s="115">
        <v>2.5000000000000001E-2</v>
      </c>
      <c r="I186" s="115">
        <v>0.02</v>
      </c>
      <c r="J186" s="115">
        <v>3.1000000000000003E-2</v>
      </c>
      <c r="K186" s="115">
        <v>0.04</v>
      </c>
      <c r="L186" s="115">
        <v>1.3999999999999999E-2</v>
      </c>
      <c r="M186" s="116">
        <v>9.0000000000000011E-3</v>
      </c>
      <c r="N186" s="116">
        <v>1.1000000000000001E-2</v>
      </c>
      <c r="O186" s="116">
        <v>1.3000000000000001E-2</v>
      </c>
      <c r="P186" s="116">
        <v>1.2E-2</v>
      </c>
      <c r="Q186" s="116">
        <v>1.2E-2</v>
      </c>
    </row>
    <row r="187" spans="3:17" customFormat="1" x14ac:dyDescent="0.2">
      <c r="C187" s="107" t="s">
        <v>699</v>
      </c>
      <c r="D187" s="108" t="s">
        <v>630</v>
      </c>
      <c r="E187" s="107" t="s">
        <v>631</v>
      </c>
      <c r="F187" s="107" t="s">
        <v>632</v>
      </c>
      <c r="G187" s="110" t="s">
        <v>633</v>
      </c>
      <c r="H187" s="115">
        <v>1.3000000000000001E-2</v>
      </c>
      <c r="I187" s="115">
        <v>1.7000000000000001E-2</v>
      </c>
      <c r="J187" s="115">
        <v>1.9E-2</v>
      </c>
      <c r="K187" s="115">
        <v>0.02</v>
      </c>
      <c r="L187" s="115">
        <v>1.1000000000000001E-2</v>
      </c>
      <c r="M187" s="116">
        <v>1.1000000000000001E-2</v>
      </c>
      <c r="N187" s="116">
        <v>0.01</v>
      </c>
      <c r="O187" s="116">
        <v>8.0000000000000002E-3</v>
      </c>
      <c r="P187" s="116">
        <v>6.9999999999999993E-3</v>
      </c>
      <c r="Q187" s="116">
        <v>6.0000000000000001E-3</v>
      </c>
    </row>
    <row r="188" spans="3:17" customFormat="1" x14ac:dyDescent="0.2">
      <c r="C188" s="107" t="s">
        <v>700</v>
      </c>
      <c r="D188" s="108" t="s">
        <v>630</v>
      </c>
      <c r="E188" s="107" t="s">
        <v>631</v>
      </c>
      <c r="F188" s="107" t="s">
        <v>632</v>
      </c>
      <c r="G188" s="110" t="s">
        <v>633</v>
      </c>
      <c r="H188" s="115">
        <v>2.2000000000000002E-2</v>
      </c>
      <c r="I188" s="115">
        <v>2.5000000000000001E-2</v>
      </c>
      <c r="J188" s="115">
        <v>2.5000000000000001E-2</v>
      </c>
      <c r="K188" s="115">
        <v>1.9E-2</v>
      </c>
      <c r="L188" s="115">
        <v>1.4999999999999999E-2</v>
      </c>
      <c r="M188" s="116">
        <v>1.2E-2</v>
      </c>
      <c r="N188" s="116">
        <v>1.1000000000000001E-2</v>
      </c>
      <c r="O188" s="116">
        <v>0.01</v>
      </c>
      <c r="P188" s="116">
        <v>8.0000000000000002E-3</v>
      </c>
      <c r="Q188" s="116">
        <v>6.9999999999999993E-3</v>
      </c>
    </row>
    <row r="189" spans="3:17" customFormat="1" x14ac:dyDescent="0.2">
      <c r="C189" s="107" t="s">
        <v>405</v>
      </c>
      <c r="D189" s="108" t="s">
        <v>630</v>
      </c>
      <c r="E189" s="107" t="s">
        <v>631</v>
      </c>
      <c r="F189" s="107" t="s">
        <v>632</v>
      </c>
      <c r="G189" s="110" t="s">
        <v>633</v>
      </c>
      <c r="H189" s="115">
        <v>6.0999999999999999E-2</v>
      </c>
      <c r="I189" s="115">
        <v>1.7000000000000001E-2</v>
      </c>
      <c r="J189" s="115">
        <v>3.3000000000000002E-2</v>
      </c>
      <c r="K189" s="115">
        <v>3.0000000000000001E-3</v>
      </c>
      <c r="L189" s="115">
        <v>1.2E-2</v>
      </c>
      <c r="M189" s="116">
        <v>0.01</v>
      </c>
      <c r="N189" s="116">
        <v>9.0000000000000011E-3</v>
      </c>
      <c r="O189" s="116">
        <v>8.0000000000000002E-3</v>
      </c>
      <c r="P189" s="116">
        <v>6.9999999999999993E-3</v>
      </c>
      <c r="Q189" s="116">
        <v>6.0000000000000001E-3</v>
      </c>
    </row>
    <row r="190" spans="3:17" customFormat="1" x14ac:dyDescent="0.2">
      <c r="C190" s="107" t="s">
        <v>506</v>
      </c>
      <c r="D190" s="108" t="s">
        <v>630</v>
      </c>
      <c r="E190" s="107" t="s">
        <v>631</v>
      </c>
      <c r="F190" s="107" t="s">
        <v>632</v>
      </c>
      <c r="G190" s="110" t="s">
        <v>633</v>
      </c>
      <c r="H190" s="115">
        <v>1.7000000000000001E-2</v>
      </c>
      <c r="I190" s="115">
        <v>1.9E-2</v>
      </c>
      <c r="J190" s="115">
        <v>1.7000000000000001E-2</v>
      </c>
      <c r="K190" s="115">
        <v>1.9E-2</v>
      </c>
      <c r="L190" s="115">
        <v>1.2E-2</v>
      </c>
      <c r="M190" s="116">
        <v>9.0000000000000011E-3</v>
      </c>
      <c r="N190" s="116">
        <v>9.0000000000000011E-3</v>
      </c>
      <c r="O190" s="116">
        <v>6.9999999999999993E-3</v>
      </c>
      <c r="P190" s="116">
        <v>6.0000000000000001E-3</v>
      </c>
      <c r="Q190" s="116">
        <v>5.0000000000000001E-3</v>
      </c>
    </row>
    <row r="191" spans="3:17" customFormat="1" x14ac:dyDescent="0.2">
      <c r="C191" s="107" t="s">
        <v>527</v>
      </c>
      <c r="D191" s="108" t="s">
        <v>630</v>
      </c>
      <c r="E191" s="107" t="s">
        <v>631</v>
      </c>
      <c r="F191" s="107" t="s">
        <v>632</v>
      </c>
      <c r="G191" s="110" t="s">
        <v>633</v>
      </c>
      <c r="H191" s="115">
        <v>1.3000000000000001E-2</v>
      </c>
      <c r="I191" s="115">
        <v>4.0000000000000001E-3</v>
      </c>
      <c r="J191" s="115">
        <v>3.7999999999999999E-2</v>
      </c>
      <c r="K191" s="115">
        <v>0.03</v>
      </c>
      <c r="L191" s="115">
        <v>2.4E-2</v>
      </c>
      <c r="M191" s="116">
        <v>1.8000000000000002E-2</v>
      </c>
      <c r="N191" s="116">
        <v>1.7000000000000001E-2</v>
      </c>
      <c r="O191" s="116">
        <v>1.6E-2</v>
      </c>
      <c r="P191" s="116">
        <v>1.4999999999999999E-2</v>
      </c>
      <c r="Q191" s="116">
        <v>1.3000000000000001E-2</v>
      </c>
    </row>
    <row r="192" spans="3:17" customFormat="1" x14ac:dyDescent="0.2">
      <c r="C192" s="107" t="s">
        <v>409</v>
      </c>
      <c r="D192" s="108" t="s">
        <v>630</v>
      </c>
      <c r="E192" s="107" t="s">
        <v>631</v>
      </c>
      <c r="F192" s="107" t="s">
        <v>632</v>
      </c>
      <c r="G192" s="110" t="s">
        <v>633</v>
      </c>
      <c r="H192" s="115">
        <v>2.7000000000000003E-2</v>
      </c>
      <c r="I192" s="115">
        <v>-4.0000000000000001E-3</v>
      </c>
      <c r="J192" s="115">
        <v>0.02</v>
      </c>
      <c r="K192" s="115">
        <v>1.6E-2</v>
      </c>
      <c r="L192" s="115">
        <v>6.9999999999999993E-3</v>
      </c>
      <c r="M192" s="116">
        <v>5.0000000000000001E-3</v>
      </c>
      <c r="N192" s="116">
        <v>4.0000000000000001E-3</v>
      </c>
      <c r="O192" s="116">
        <v>3.0000000000000001E-3</v>
      </c>
      <c r="P192" s="116">
        <v>2E-3</v>
      </c>
      <c r="Q192" s="116">
        <v>2E-3</v>
      </c>
    </row>
    <row r="193" spans="3:17" customFormat="1" x14ac:dyDescent="0.2">
      <c r="C193" s="107" t="s">
        <v>412</v>
      </c>
      <c r="D193" s="108" t="s">
        <v>630</v>
      </c>
      <c r="E193" s="107" t="s">
        <v>631</v>
      </c>
      <c r="F193" s="107" t="s">
        <v>632</v>
      </c>
      <c r="G193" s="110" t="s">
        <v>633</v>
      </c>
      <c r="H193" s="115">
        <v>0.01</v>
      </c>
      <c r="I193" s="115">
        <v>5.0000000000000001E-3</v>
      </c>
      <c r="J193" s="115">
        <v>0.01</v>
      </c>
      <c r="K193" s="115">
        <v>1.7000000000000001E-2</v>
      </c>
      <c r="L193" s="115">
        <v>1.3999999999999999E-2</v>
      </c>
      <c r="M193" s="116">
        <v>0.01</v>
      </c>
      <c r="N193" s="116">
        <v>8.0000000000000002E-3</v>
      </c>
      <c r="O193" s="116">
        <v>6.9999999999999993E-3</v>
      </c>
      <c r="P193" s="116">
        <v>6.0000000000000001E-3</v>
      </c>
      <c r="Q193" s="116">
        <v>5.0000000000000001E-3</v>
      </c>
    </row>
    <row r="194" spans="3:17" customFormat="1" x14ac:dyDescent="0.2">
      <c r="C194" s="107" t="s">
        <v>413</v>
      </c>
      <c r="D194" s="108" t="s">
        <v>630</v>
      </c>
      <c r="E194" s="107" t="s">
        <v>631</v>
      </c>
      <c r="F194" s="107" t="s">
        <v>632</v>
      </c>
      <c r="G194" s="110" t="s">
        <v>633</v>
      </c>
      <c r="H194" s="115">
        <v>2.1000000000000001E-2</v>
      </c>
      <c r="I194" s="115">
        <v>-3.0000000000000001E-3</v>
      </c>
      <c r="J194" s="115">
        <v>2.1000000000000001E-2</v>
      </c>
      <c r="K194" s="115">
        <v>2.5000000000000001E-2</v>
      </c>
      <c r="L194" s="115">
        <v>1.9E-2</v>
      </c>
      <c r="M194" s="116">
        <v>1.7000000000000001E-2</v>
      </c>
      <c r="N194" s="116">
        <v>1.4999999999999999E-2</v>
      </c>
      <c r="O194" s="116">
        <v>1.3000000000000001E-2</v>
      </c>
      <c r="P194" s="116">
        <v>1.1000000000000001E-2</v>
      </c>
      <c r="Q194" s="116">
        <v>9.0000000000000011E-3</v>
      </c>
    </row>
    <row r="195" spans="3:17" customFormat="1" x14ac:dyDescent="0.2">
      <c r="C195" s="107" t="s">
        <v>414</v>
      </c>
      <c r="D195" s="108" t="s">
        <v>630</v>
      </c>
      <c r="E195" s="107" t="s">
        <v>631</v>
      </c>
      <c r="F195" s="107" t="s">
        <v>632</v>
      </c>
      <c r="G195" s="110" t="s">
        <v>633</v>
      </c>
      <c r="H195" s="115">
        <v>1.8000000000000002E-2</v>
      </c>
      <c r="I195" s="115">
        <v>3.0000000000000001E-3</v>
      </c>
      <c r="J195" s="115">
        <v>9.0000000000000011E-3</v>
      </c>
      <c r="K195" s="115">
        <v>1.6E-2</v>
      </c>
      <c r="L195" s="115">
        <v>1.2E-2</v>
      </c>
      <c r="M195" s="116">
        <v>8.0000000000000002E-3</v>
      </c>
      <c r="N195" s="116">
        <v>6.0000000000000001E-3</v>
      </c>
      <c r="O195" s="116">
        <v>4.0000000000000001E-3</v>
      </c>
      <c r="P195" s="116">
        <v>3.0000000000000001E-3</v>
      </c>
      <c r="Q195" s="116">
        <v>2E-3</v>
      </c>
    </row>
    <row r="196" spans="3:17" customFormat="1" x14ac:dyDescent="0.2">
      <c r="C196" s="107" t="s">
        <v>701</v>
      </c>
      <c r="D196" s="108" t="s">
        <v>630</v>
      </c>
      <c r="E196" s="107" t="s">
        <v>631</v>
      </c>
      <c r="F196" s="107" t="s">
        <v>632</v>
      </c>
      <c r="G196" s="110" t="s">
        <v>633</v>
      </c>
      <c r="H196" s="115">
        <v>2.4E-2</v>
      </c>
      <c r="I196" s="115">
        <v>2.4E-2</v>
      </c>
      <c r="J196" s="115">
        <v>2.6000000000000002E-2</v>
      </c>
      <c r="K196" s="115">
        <v>2.4E-2</v>
      </c>
      <c r="L196" s="115">
        <v>2.1000000000000001E-2</v>
      </c>
      <c r="M196" s="116">
        <v>0.02</v>
      </c>
      <c r="N196" s="116">
        <v>1.8000000000000002E-2</v>
      </c>
      <c r="O196" s="116">
        <v>1.7000000000000001E-2</v>
      </c>
      <c r="P196" s="116">
        <v>1.6E-2</v>
      </c>
      <c r="Q196" s="116">
        <v>1.4999999999999999E-2</v>
      </c>
    </row>
    <row r="197" spans="3:17" customFormat="1" x14ac:dyDescent="0.2">
      <c r="C197" s="107" t="s">
        <v>535</v>
      </c>
      <c r="D197" s="108" t="s">
        <v>630</v>
      </c>
      <c r="E197" s="107" t="s">
        <v>631</v>
      </c>
      <c r="F197" s="107" t="s">
        <v>632</v>
      </c>
      <c r="G197" s="110" t="s">
        <v>633</v>
      </c>
      <c r="H197" s="115">
        <v>-1E-3</v>
      </c>
      <c r="I197" s="115">
        <v>0.05</v>
      </c>
      <c r="J197" s="115">
        <v>0.02</v>
      </c>
      <c r="K197" s="115">
        <v>1.3999999999999999E-2</v>
      </c>
      <c r="L197" s="115">
        <v>2.1000000000000001E-2</v>
      </c>
      <c r="M197" s="116">
        <v>1.4999999999999999E-2</v>
      </c>
      <c r="N197" s="116">
        <v>1.1000000000000001E-2</v>
      </c>
      <c r="O197" s="116">
        <v>9.0000000000000011E-3</v>
      </c>
      <c r="P197" s="116">
        <v>6.9999999999999993E-3</v>
      </c>
      <c r="Q197" s="116">
        <v>6.0000000000000001E-3</v>
      </c>
    </row>
    <row r="198" spans="3:17" customFormat="1" x14ac:dyDescent="0.2">
      <c r="C198" s="107" t="s">
        <v>539</v>
      </c>
      <c r="D198" s="108" t="s">
        <v>630</v>
      </c>
      <c r="E198" s="107" t="s">
        <v>631</v>
      </c>
      <c r="F198" s="107" t="s">
        <v>632</v>
      </c>
      <c r="G198" s="110" t="s">
        <v>633</v>
      </c>
      <c r="H198" s="115">
        <v>1.3000000000000001E-2</v>
      </c>
      <c r="I198" s="115">
        <v>1.9E-2</v>
      </c>
      <c r="J198" s="115">
        <v>2.8999999999999998E-2</v>
      </c>
      <c r="K198" s="115">
        <v>2.4E-2</v>
      </c>
      <c r="L198" s="115">
        <v>1.7000000000000001E-2</v>
      </c>
      <c r="M198" s="116">
        <v>1.3000000000000001E-2</v>
      </c>
      <c r="N198" s="116">
        <v>1.2E-2</v>
      </c>
      <c r="O198" s="116">
        <v>0.01</v>
      </c>
      <c r="P198" s="116">
        <v>9.0000000000000011E-3</v>
      </c>
      <c r="Q198" s="116">
        <v>8.0000000000000002E-3</v>
      </c>
    </row>
    <row r="199" spans="3:17" customFormat="1" x14ac:dyDescent="0.2">
      <c r="C199" s="107" t="s">
        <v>415</v>
      </c>
      <c r="D199" s="108" t="s">
        <v>630</v>
      </c>
      <c r="E199" s="107" t="s">
        <v>631</v>
      </c>
      <c r="F199" s="107" t="s">
        <v>632</v>
      </c>
      <c r="G199" s="110" t="s">
        <v>633</v>
      </c>
      <c r="H199" s="115">
        <v>6.2000000000000006E-2</v>
      </c>
      <c r="I199" s="115">
        <v>2.2000000000000002E-2</v>
      </c>
      <c r="J199" s="115">
        <v>2.3E-2</v>
      </c>
      <c r="K199" s="115">
        <v>2.2000000000000002E-2</v>
      </c>
      <c r="L199" s="115">
        <v>2.2000000000000002E-2</v>
      </c>
      <c r="M199" s="116">
        <v>1.6E-2</v>
      </c>
      <c r="N199" s="116">
        <v>1.4999999999999999E-2</v>
      </c>
      <c r="O199" s="116">
        <v>1.3000000000000001E-2</v>
      </c>
      <c r="P199" s="116">
        <v>1.2E-2</v>
      </c>
      <c r="Q199" s="116">
        <v>1.1000000000000001E-2</v>
      </c>
    </row>
    <row r="200" spans="3:17" customFormat="1" x14ac:dyDescent="0.2">
      <c r="C200" s="107" t="s">
        <v>416</v>
      </c>
      <c r="D200" s="108" t="s">
        <v>630</v>
      </c>
      <c r="E200" s="107" t="s">
        <v>631</v>
      </c>
      <c r="F200" s="107" t="s">
        <v>632</v>
      </c>
      <c r="G200" s="110" t="s">
        <v>633</v>
      </c>
      <c r="H200" s="115">
        <v>4.4999999999999998E-2</v>
      </c>
      <c r="I200" s="115">
        <v>1.6E-2</v>
      </c>
      <c r="J200" s="115">
        <v>2.3E-2</v>
      </c>
      <c r="K200" s="115">
        <v>0.11199999999999999</v>
      </c>
      <c r="L200" s="115">
        <v>1.4999999999999999E-2</v>
      </c>
      <c r="M200" s="116">
        <v>1.2E-2</v>
      </c>
      <c r="N200" s="116">
        <v>0.01</v>
      </c>
      <c r="O200" s="116">
        <v>8.0000000000000002E-3</v>
      </c>
      <c r="P200" s="116">
        <v>6.0000000000000001E-3</v>
      </c>
      <c r="Q200" s="116">
        <v>5.0000000000000001E-3</v>
      </c>
    </row>
    <row r="201" spans="3:17" customFormat="1" x14ac:dyDescent="0.2">
      <c r="C201" s="107" t="s">
        <v>555</v>
      </c>
      <c r="D201" s="108" t="s">
        <v>630</v>
      </c>
      <c r="E201" s="107" t="s">
        <v>631</v>
      </c>
      <c r="F201" s="107" t="s">
        <v>632</v>
      </c>
      <c r="G201" s="110" t="s">
        <v>633</v>
      </c>
      <c r="H201" s="115">
        <v>2E-3</v>
      </c>
      <c r="I201" s="115">
        <v>0</v>
      </c>
      <c r="J201" s="115">
        <v>0</v>
      </c>
      <c r="K201" s="115">
        <v>1.1000000000000001E-2</v>
      </c>
      <c r="L201" s="115">
        <v>9.0000000000000011E-3</v>
      </c>
      <c r="M201" s="116">
        <v>8.0000000000000002E-3</v>
      </c>
      <c r="N201" s="116">
        <v>8.0000000000000002E-3</v>
      </c>
      <c r="O201" s="116">
        <v>8.0000000000000002E-3</v>
      </c>
      <c r="P201" s="116">
        <v>6.9999999999999993E-3</v>
      </c>
      <c r="Q201" s="116">
        <v>6.9999999999999993E-3</v>
      </c>
    </row>
    <row r="202" spans="3:17" customFormat="1" x14ac:dyDescent="0.2">
      <c r="C202" s="107" t="s">
        <v>556</v>
      </c>
      <c r="D202" s="108" t="s">
        <v>630</v>
      </c>
      <c r="E202" s="107" t="s">
        <v>631</v>
      </c>
      <c r="F202" s="107" t="s">
        <v>632</v>
      </c>
      <c r="G202" s="110" t="s">
        <v>633</v>
      </c>
      <c r="H202" s="115">
        <v>1.6E-2</v>
      </c>
      <c r="I202" s="115">
        <v>1.3000000000000001E-2</v>
      </c>
      <c r="J202" s="115">
        <v>3.6000000000000004E-2</v>
      </c>
      <c r="K202" s="115">
        <v>1.2E-2</v>
      </c>
      <c r="L202" s="115">
        <v>1.7000000000000001E-2</v>
      </c>
      <c r="M202" s="116">
        <v>1.4999999999999999E-2</v>
      </c>
      <c r="N202" s="116">
        <v>1.3999999999999999E-2</v>
      </c>
      <c r="O202" s="116">
        <v>1.3999999999999999E-2</v>
      </c>
      <c r="P202" s="116">
        <v>1.3000000000000001E-2</v>
      </c>
      <c r="Q202" s="116">
        <v>1.2E-2</v>
      </c>
    </row>
    <row r="203" spans="3:17" customFormat="1" x14ac:dyDescent="0.2">
      <c r="C203" s="107" t="s">
        <v>562</v>
      </c>
      <c r="D203" s="108" t="s">
        <v>630</v>
      </c>
      <c r="E203" s="107" t="s">
        <v>631</v>
      </c>
      <c r="F203" s="107" t="s">
        <v>632</v>
      </c>
      <c r="G203" s="110" t="s">
        <v>633</v>
      </c>
      <c r="H203" s="115">
        <v>1.1000000000000001E-2</v>
      </c>
      <c r="I203" s="115">
        <v>5.7999999999999996E-2</v>
      </c>
      <c r="J203" s="115">
        <v>0.05</v>
      </c>
      <c r="K203" s="115">
        <v>5.2999999999999999E-2</v>
      </c>
      <c r="L203" s="115">
        <v>2.8999999999999998E-2</v>
      </c>
      <c r="M203" s="116">
        <v>2.1000000000000001E-2</v>
      </c>
      <c r="N203" s="116">
        <v>1.3999999999999999E-2</v>
      </c>
      <c r="O203" s="116">
        <v>1.2E-2</v>
      </c>
      <c r="P203" s="116">
        <v>1.1000000000000001E-2</v>
      </c>
      <c r="Q203" s="116">
        <v>9.0000000000000011E-3</v>
      </c>
    </row>
    <row r="204" spans="3:17" customFormat="1" x14ac:dyDescent="0.2">
      <c r="C204" s="107" t="s">
        <v>702</v>
      </c>
      <c r="D204" s="108" t="s">
        <v>630</v>
      </c>
      <c r="E204" s="107" t="s">
        <v>631</v>
      </c>
      <c r="F204" s="107" t="s">
        <v>632</v>
      </c>
      <c r="G204" s="110" t="s">
        <v>633</v>
      </c>
      <c r="H204" s="115">
        <v>1.9E-2</v>
      </c>
      <c r="I204" s="115">
        <v>1.2E-2</v>
      </c>
      <c r="J204" s="115">
        <v>0</v>
      </c>
      <c r="K204" s="115">
        <v>-8.0000000000000002E-3</v>
      </c>
      <c r="L204" s="115">
        <v>-6.9999999999999993E-3</v>
      </c>
      <c r="M204" s="116">
        <v>-6.9999999999999993E-3</v>
      </c>
      <c r="N204" s="116">
        <v>-6.0000000000000001E-3</v>
      </c>
      <c r="O204" s="116">
        <v>-5.0000000000000001E-3</v>
      </c>
      <c r="P204" s="116">
        <v>-4.0000000000000001E-3</v>
      </c>
      <c r="Q204" s="116">
        <v>-4.0000000000000001E-3</v>
      </c>
    </row>
    <row r="205" spans="3:17" customFormat="1" x14ac:dyDescent="0.2">
      <c r="C205" s="107" t="s">
        <v>572</v>
      </c>
      <c r="D205" s="108" t="s">
        <v>630</v>
      </c>
      <c r="E205" s="107" t="s">
        <v>631</v>
      </c>
      <c r="F205" s="107" t="s">
        <v>632</v>
      </c>
      <c r="G205" s="110" t="s">
        <v>633</v>
      </c>
      <c r="H205" s="115">
        <v>1.2E-2</v>
      </c>
      <c r="I205" s="115">
        <v>1.2E-2</v>
      </c>
      <c r="J205" s="115">
        <v>6.2000000000000006E-2</v>
      </c>
      <c r="K205" s="115">
        <v>1.2E-2</v>
      </c>
      <c r="L205" s="115">
        <v>9.0000000000000011E-3</v>
      </c>
      <c r="M205" s="116">
        <v>8.0000000000000002E-3</v>
      </c>
      <c r="N205" s="116">
        <v>8.0000000000000002E-3</v>
      </c>
      <c r="O205" s="116">
        <v>6.9999999999999993E-3</v>
      </c>
      <c r="P205" s="116">
        <v>6.0000000000000001E-3</v>
      </c>
      <c r="Q205" s="116">
        <v>5.0000000000000001E-3</v>
      </c>
    </row>
    <row r="206" spans="3:17" customFormat="1" x14ac:dyDescent="0.2">
      <c r="C206" s="107" t="s">
        <v>421</v>
      </c>
      <c r="D206" s="108" t="s">
        <v>630</v>
      </c>
      <c r="E206" s="107" t="s">
        <v>631</v>
      </c>
      <c r="F206" s="107" t="s">
        <v>632</v>
      </c>
      <c r="G206" s="110" t="s">
        <v>633</v>
      </c>
      <c r="H206" s="115">
        <v>3.5000000000000003E-2</v>
      </c>
      <c r="I206" s="115">
        <v>2.4E-2</v>
      </c>
      <c r="J206" s="115">
        <v>1.3000000000000001E-2</v>
      </c>
      <c r="K206" s="115">
        <v>1.3000000000000001E-2</v>
      </c>
      <c r="L206" s="115">
        <v>0.01</v>
      </c>
      <c r="M206" s="116">
        <v>6.9999999999999993E-3</v>
      </c>
      <c r="N206" s="116">
        <v>6.0000000000000001E-3</v>
      </c>
      <c r="O206" s="116">
        <v>5.0000000000000001E-3</v>
      </c>
      <c r="P206" s="116">
        <v>4.0000000000000001E-3</v>
      </c>
      <c r="Q206" s="116">
        <v>4.0000000000000001E-3</v>
      </c>
    </row>
    <row r="207" spans="3:17" customFormat="1" x14ac:dyDescent="0.2">
      <c r="C207" s="107" t="s">
        <v>422</v>
      </c>
      <c r="D207" s="108" t="s">
        <v>630</v>
      </c>
      <c r="E207" s="107" t="s">
        <v>631</v>
      </c>
      <c r="F207" s="107" t="s">
        <v>632</v>
      </c>
      <c r="G207" s="110" t="s">
        <v>633</v>
      </c>
      <c r="H207" s="115">
        <v>5.4000000000000006E-2</v>
      </c>
      <c r="I207" s="115">
        <v>0.03</v>
      </c>
      <c r="J207" s="115">
        <v>2.5000000000000001E-2</v>
      </c>
      <c r="K207" s="115">
        <v>4.4000000000000004E-2</v>
      </c>
      <c r="L207" s="115">
        <v>2.7000000000000003E-2</v>
      </c>
      <c r="M207" s="116">
        <v>1.4999999999999999E-2</v>
      </c>
      <c r="N207" s="116">
        <v>1.1000000000000001E-2</v>
      </c>
      <c r="O207" s="116">
        <v>9.0000000000000011E-3</v>
      </c>
      <c r="P207" s="116">
        <v>8.0000000000000002E-3</v>
      </c>
      <c r="Q207" s="116">
        <v>6.9999999999999993E-3</v>
      </c>
    </row>
    <row r="208" spans="3:17" customFormat="1" x14ac:dyDescent="0.2">
      <c r="C208" s="107" t="s">
        <v>425</v>
      </c>
      <c r="D208" s="108" t="s">
        <v>630</v>
      </c>
      <c r="E208" s="107" t="s">
        <v>631</v>
      </c>
      <c r="F208" s="107" t="s">
        <v>632</v>
      </c>
      <c r="G208" s="110" t="s">
        <v>633</v>
      </c>
      <c r="H208" s="115">
        <v>1.1000000000000001E-2</v>
      </c>
      <c r="I208" s="115">
        <v>0.01</v>
      </c>
      <c r="J208" s="115">
        <v>2.4E-2</v>
      </c>
      <c r="K208" s="115">
        <v>1.6E-2</v>
      </c>
      <c r="L208" s="115">
        <v>1.6E-2</v>
      </c>
      <c r="M208" s="116">
        <v>1.3999999999999999E-2</v>
      </c>
      <c r="N208" s="116">
        <v>1.1000000000000001E-2</v>
      </c>
      <c r="O208" s="116">
        <v>8.0000000000000002E-3</v>
      </c>
      <c r="P208" s="116">
        <v>6.9999999999999993E-3</v>
      </c>
      <c r="Q208" s="116">
        <v>5.0000000000000001E-3</v>
      </c>
    </row>
    <row r="209" spans="1:51" customFormat="1" x14ac:dyDescent="0.2">
      <c r="C209" s="107" t="s">
        <v>427</v>
      </c>
      <c r="D209" s="108" t="s">
        <v>630</v>
      </c>
      <c r="E209" s="107" t="s">
        <v>631</v>
      </c>
      <c r="F209" s="107" t="s">
        <v>632</v>
      </c>
      <c r="G209" s="110" t="s">
        <v>633</v>
      </c>
      <c r="H209" s="115">
        <v>6.9999999999999993E-3</v>
      </c>
      <c r="I209" s="115">
        <v>1.2E-2</v>
      </c>
      <c r="J209" s="115">
        <v>1.6E-2</v>
      </c>
      <c r="K209" s="115">
        <v>3.0000000000000001E-3</v>
      </c>
      <c r="L209" s="115">
        <v>1.1000000000000001E-2</v>
      </c>
      <c r="M209" s="116">
        <v>9.0000000000000011E-3</v>
      </c>
      <c r="N209" s="116">
        <v>8.0000000000000002E-3</v>
      </c>
      <c r="O209" s="116">
        <v>6.0000000000000001E-3</v>
      </c>
      <c r="P209" s="116">
        <v>6.0000000000000001E-3</v>
      </c>
      <c r="Q209" s="116">
        <v>5.0000000000000001E-3</v>
      </c>
    </row>
    <row r="210" spans="1:51" customFormat="1" x14ac:dyDescent="0.2">
      <c r="C210" s="107" t="s">
        <v>598</v>
      </c>
      <c r="D210" s="108" t="s">
        <v>630</v>
      </c>
      <c r="E210" s="107" t="s">
        <v>631</v>
      </c>
      <c r="F210" s="107" t="s">
        <v>632</v>
      </c>
      <c r="G210" s="110" t="s">
        <v>633</v>
      </c>
      <c r="H210" s="115">
        <v>2.1000000000000001E-2</v>
      </c>
      <c r="I210" s="115">
        <v>1.7000000000000001E-2</v>
      </c>
      <c r="J210" s="115">
        <v>1.9E-2</v>
      </c>
      <c r="K210" s="115">
        <v>2.2000000000000002E-2</v>
      </c>
      <c r="L210" s="115">
        <v>1.3999999999999999E-2</v>
      </c>
      <c r="M210" s="116">
        <v>1.1000000000000001E-2</v>
      </c>
      <c r="N210" s="116">
        <v>9.0000000000000011E-3</v>
      </c>
      <c r="O210" s="116">
        <v>8.0000000000000002E-3</v>
      </c>
      <c r="P210" s="116">
        <v>6.9999999999999993E-3</v>
      </c>
      <c r="Q210" s="116">
        <v>6.0000000000000001E-3</v>
      </c>
    </row>
    <row r="211" spans="1:51" customFormat="1" x14ac:dyDescent="0.2">
      <c r="C211" s="107" t="s">
        <v>428</v>
      </c>
      <c r="D211" s="108" t="s">
        <v>630</v>
      </c>
      <c r="E211" s="107" t="s">
        <v>631</v>
      </c>
      <c r="F211" s="107" t="s">
        <v>632</v>
      </c>
      <c r="G211" s="110" t="s">
        <v>633</v>
      </c>
      <c r="H211" s="115">
        <v>5.7000000000000002E-2</v>
      </c>
      <c r="I211" s="115">
        <v>4.2000000000000003E-2</v>
      </c>
      <c r="J211" s="115">
        <v>4.0999999999999995E-2</v>
      </c>
      <c r="K211" s="115">
        <v>2.1000000000000001E-2</v>
      </c>
      <c r="L211" s="115">
        <v>2.4E-2</v>
      </c>
      <c r="M211" s="116">
        <v>2.2000000000000002E-2</v>
      </c>
      <c r="N211" s="116">
        <v>0.02</v>
      </c>
      <c r="O211" s="116">
        <v>1.8000000000000002E-2</v>
      </c>
      <c r="P211" s="116">
        <v>1.4999999999999999E-2</v>
      </c>
      <c r="Q211" s="116">
        <v>1.3000000000000001E-2</v>
      </c>
    </row>
    <row r="212" spans="1:51" customFormat="1" x14ac:dyDescent="0.2">
      <c r="C212" s="107" t="s">
        <v>430</v>
      </c>
      <c r="D212" s="108" t="s">
        <v>630</v>
      </c>
      <c r="E212" s="107" t="s">
        <v>631</v>
      </c>
      <c r="F212" s="107" t="s">
        <v>632</v>
      </c>
      <c r="G212" s="110" t="s">
        <v>633</v>
      </c>
      <c r="H212" s="115">
        <v>0.02</v>
      </c>
      <c r="I212" s="115">
        <v>1.1000000000000001E-2</v>
      </c>
      <c r="J212" s="115">
        <v>0.01</v>
      </c>
      <c r="K212" s="115">
        <v>1.3000000000000001E-2</v>
      </c>
      <c r="L212" s="115">
        <v>1.1000000000000001E-2</v>
      </c>
      <c r="M212" s="116">
        <v>0.01</v>
      </c>
      <c r="N212" s="116">
        <v>9.0000000000000011E-3</v>
      </c>
      <c r="O212" s="116">
        <v>8.0000000000000002E-3</v>
      </c>
      <c r="P212" s="116">
        <v>6.9999999999999993E-3</v>
      </c>
      <c r="Q212" s="116">
        <v>6.0000000000000001E-3</v>
      </c>
    </row>
    <row r="213" spans="1:51" customFormat="1" x14ac:dyDescent="0.2">
      <c r="C213" s="107" t="s">
        <v>213</v>
      </c>
      <c r="D213" s="108" t="s">
        <v>630</v>
      </c>
      <c r="E213" s="107" t="s">
        <v>631</v>
      </c>
      <c r="F213" s="107" t="s">
        <v>632</v>
      </c>
      <c r="G213" s="110" t="s">
        <v>633</v>
      </c>
      <c r="H213" s="105">
        <f>AVERAGE(H5:H212)</f>
        <v>8.8024154589372003E-2</v>
      </c>
      <c r="I213" s="105">
        <f t="shared" ref="I213:Q213" si="0">AVERAGE(I5:I212)</f>
        <v>5.3850241545893705E-2</v>
      </c>
      <c r="J213" s="105">
        <f t="shared" si="0"/>
        <v>4.9091787439613496E-2</v>
      </c>
      <c r="K213" s="105">
        <f t="shared" si="0"/>
        <v>5.972463768115939E-2</v>
      </c>
      <c r="L213" s="105">
        <f t="shared" si="0"/>
        <v>5.4241545893719753E-2</v>
      </c>
      <c r="M213" s="105">
        <f t="shared" si="0"/>
        <v>4.907246376811595E-2</v>
      </c>
      <c r="N213" s="105">
        <f t="shared" si="0"/>
        <v>4.478743961352652E-2</v>
      </c>
      <c r="O213" s="105">
        <f t="shared" si="0"/>
        <v>4.0821256038647287E-2</v>
      </c>
      <c r="P213" s="105">
        <f t="shared" si="0"/>
        <v>3.7154589371980642E-2</v>
      </c>
      <c r="Q213" s="105">
        <f t="shared" si="0"/>
        <v>3.3826086956521714E-2</v>
      </c>
    </row>
    <row r="214" spans="1:51" customFormat="1" x14ac:dyDescent="0.2"/>
    <row r="215" spans="1:51" s="112" customFormat="1" x14ac:dyDescent="0.2">
      <c r="A215" s="113">
        <v>2</v>
      </c>
      <c r="B215"/>
      <c r="C215" s="114" t="s">
        <v>703</v>
      </c>
    </row>
    <row r="216" spans="1:51" customFormat="1" x14ac:dyDescent="0.2"/>
    <row r="217" spans="1:51" customFormat="1" x14ac:dyDescent="0.2">
      <c r="C217" s="128" t="s">
        <v>614</v>
      </c>
      <c r="D217" s="128" t="s">
        <v>615</v>
      </c>
      <c r="E217" s="128" t="s">
        <v>616</v>
      </c>
      <c r="F217" s="128" t="s">
        <v>617</v>
      </c>
      <c r="G217" s="128" t="s">
        <v>618</v>
      </c>
      <c r="H217" s="128" t="s">
        <v>704</v>
      </c>
      <c r="I217" s="128" t="s">
        <v>705</v>
      </c>
      <c r="J217" s="128" t="s">
        <v>706</v>
      </c>
      <c r="K217" s="128" t="s">
        <v>707</v>
      </c>
      <c r="L217" s="128" t="s">
        <v>708</v>
      </c>
      <c r="M217" s="128" t="s">
        <v>709</v>
      </c>
      <c r="N217" s="128" t="s">
        <v>710</v>
      </c>
      <c r="O217" s="128" t="s">
        <v>711</v>
      </c>
      <c r="P217" s="128" t="s">
        <v>712</v>
      </c>
      <c r="Q217" s="128" t="s">
        <v>713</v>
      </c>
      <c r="R217" s="128" t="s">
        <v>714</v>
      </c>
      <c r="S217" s="128" t="s">
        <v>715</v>
      </c>
      <c r="T217" s="128" t="s">
        <v>716</v>
      </c>
      <c r="U217" s="128" t="s">
        <v>717</v>
      </c>
      <c r="V217" s="128" t="s">
        <v>718</v>
      </c>
      <c r="W217" s="128" t="s">
        <v>719</v>
      </c>
      <c r="X217" s="128" t="s">
        <v>720</v>
      </c>
      <c r="Y217" s="128" t="s">
        <v>721</v>
      </c>
      <c r="Z217" s="128" t="s">
        <v>722</v>
      </c>
      <c r="AA217" s="128" t="s">
        <v>723</v>
      </c>
      <c r="AB217" s="128" t="s">
        <v>724</v>
      </c>
      <c r="AC217" s="128" t="s">
        <v>725</v>
      </c>
      <c r="AD217" s="128" t="s">
        <v>726</v>
      </c>
      <c r="AE217" s="128" t="s">
        <v>727</v>
      </c>
      <c r="AF217" s="128" t="s">
        <v>728</v>
      </c>
      <c r="AG217" s="128" t="s">
        <v>729</v>
      </c>
      <c r="AH217" s="128" t="s">
        <v>730</v>
      </c>
      <c r="AI217" s="128" t="s">
        <v>731</v>
      </c>
      <c r="AJ217" s="128" t="s">
        <v>732</v>
      </c>
      <c r="AK217" s="128" t="s">
        <v>733</v>
      </c>
      <c r="AL217" s="128" t="s">
        <v>734</v>
      </c>
      <c r="AM217" s="128" t="s">
        <v>735</v>
      </c>
      <c r="AN217" s="128" t="s">
        <v>736</v>
      </c>
      <c r="AO217" s="128" t="s">
        <v>737</v>
      </c>
      <c r="AP217" s="128" t="s">
        <v>738</v>
      </c>
      <c r="AQ217" s="128" t="s">
        <v>739</v>
      </c>
      <c r="AR217" s="128" t="s">
        <v>740</v>
      </c>
      <c r="AS217" s="128" t="s">
        <v>741</v>
      </c>
      <c r="AT217" s="128" t="s">
        <v>742</v>
      </c>
      <c r="AU217" s="128" t="s">
        <v>743</v>
      </c>
      <c r="AV217" s="128" t="s">
        <v>744</v>
      </c>
      <c r="AW217" s="128" t="s">
        <v>745</v>
      </c>
      <c r="AX217" s="128" t="s">
        <v>746</v>
      </c>
      <c r="AY217" s="128" t="s">
        <v>747</v>
      </c>
    </row>
    <row r="218" spans="1:51" customFormat="1" x14ac:dyDescent="0.2">
      <c r="C218" s="107" t="s">
        <v>496</v>
      </c>
      <c r="D218" s="129" t="s">
        <v>748</v>
      </c>
      <c r="E218" s="107" t="s">
        <v>631</v>
      </c>
      <c r="F218" s="107" t="s">
        <v>749</v>
      </c>
      <c r="G218" s="109" t="s">
        <v>633</v>
      </c>
      <c r="H218" s="130">
        <v>1.9130000000000001E-2</v>
      </c>
      <c r="I218" s="130">
        <v>5.6100000000000004E-3</v>
      </c>
      <c r="J218" s="130">
        <v>-7.6600000000000001E-3</v>
      </c>
      <c r="K218" s="130">
        <v>8.0200000000000011E-3</v>
      </c>
      <c r="L218" s="130">
        <v>3.304E-2</v>
      </c>
      <c r="M218" s="130">
        <v>1.2620000000000001E-2</v>
      </c>
      <c r="N218" s="130">
        <v>1.5049999999999999E-2</v>
      </c>
      <c r="O218" s="130">
        <v>4.5690000000000001E-2</v>
      </c>
      <c r="P218" s="130">
        <v>4.3230000000000005E-2</v>
      </c>
      <c r="Q218" s="130">
        <v>2.5489999999999999E-2</v>
      </c>
      <c r="R218" s="130">
        <v>2.3199999999999998E-2</v>
      </c>
      <c r="S218" s="130">
        <v>5.0279999999999998E-2</v>
      </c>
      <c r="T218" s="130">
        <v>3.2680000000000001E-2</v>
      </c>
      <c r="U218" s="130">
        <v>6.9199999999999999E-3</v>
      </c>
      <c r="V218" s="130">
        <v>-1.5949999999999999E-2</v>
      </c>
      <c r="W218" s="130">
        <v>4.9900000000000005E-3</v>
      </c>
      <c r="X218" s="130">
        <v>1.238E-2</v>
      </c>
      <c r="Y218" s="130">
        <v>1.32E-3</v>
      </c>
      <c r="Z218" s="130">
        <v>1.1690000000000001E-2</v>
      </c>
      <c r="AA218" s="130">
        <v>1.4410000000000001E-2</v>
      </c>
      <c r="AB218" s="130">
        <v>2.5870000000000004E-2</v>
      </c>
      <c r="AC218" s="130">
        <v>7.3200000000000001E-3</v>
      </c>
      <c r="AD218" s="130">
        <v>2.32E-3</v>
      </c>
      <c r="AE218" s="130">
        <v>1.8420000000000002E-2</v>
      </c>
      <c r="AF218" s="130">
        <v>2.606E-2</v>
      </c>
      <c r="AG218" s="130">
        <v>3.1900000000000001E-3</v>
      </c>
      <c r="AH218" s="130">
        <v>-2.14E-3</v>
      </c>
      <c r="AI218" s="130">
        <v>1.711E-2</v>
      </c>
      <c r="AJ218" s="130">
        <v>2.375E-2</v>
      </c>
      <c r="AK218" s="130">
        <v>4.0100000000000005E-3</v>
      </c>
      <c r="AL218" s="130">
        <v>-1.2099999999999999E-3</v>
      </c>
      <c r="AM218" s="130">
        <v>1.7909999999999999E-2</v>
      </c>
      <c r="AN218" s="99">
        <f>AVERAGE(AJ218,AF218,X218,T218,P218,L218,AB218,H218)</f>
        <v>2.7017500000000003E-2</v>
      </c>
      <c r="AO218" s="99">
        <f>AVERAGE(AK218,AG218,Y218,U218,Q218,M218,AC218,I218)</f>
        <v>8.3099999999999997E-3</v>
      </c>
      <c r="AP218" s="99">
        <f>AVERAGE(AL218,AH218,Z218,V218,R218,N218,AD218,J218)</f>
        <v>3.1625000000000004E-3</v>
      </c>
      <c r="AQ218" s="99">
        <f>AVERAGE(AM218,AI218,AA218,W218,S218,O218,AE218,K218)</f>
        <v>2.2103749999999998E-2</v>
      </c>
      <c r="AR218" s="99">
        <f t="shared" ref="AR218:AY233" si="1">AN218</f>
        <v>2.7017500000000003E-2</v>
      </c>
      <c r="AS218" s="99">
        <f t="shared" si="1"/>
        <v>8.3099999999999997E-3</v>
      </c>
      <c r="AT218" s="99">
        <f t="shared" si="1"/>
        <v>3.1625000000000004E-3</v>
      </c>
      <c r="AU218" s="99">
        <f t="shared" si="1"/>
        <v>2.2103749999999998E-2</v>
      </c>
      <c r="AV218" s="99">
        <f t="shared" si="1"/>
        <v>2.7017500000000003E-2</v>
      </c>
      <c r="AW218" s="99">
        <f t="shared" si="1"/>
        <v>8.3099999999999997E-3</v>
      </c>
      <c r="AX218" s="99">
        <f t="shared" si="1"/>
        <v>3.1625000000000004E-3</v>
      </c>
      <c r="AY218" s="99">
        <f t="shared" si="1"/>
        <v>2.2103749999999998E-2</v>
      </c>
    </row>
    <row r="219" spans="1:51" customFormat="1" x14ac:dyDescent="0.2">
      <c r="C219" s="107" t="s">
        <v>501</v>
      </c>
      <c r="D219" s="129" t="s">
        <v>748</v>
      </c>
      <c r="E219" s="107" t="s">
        <v>631</v>
      </c>
      <c r="F219" s="107" t="s">
        <v>749</v>
      </c>
      <c r="G219" s="109" t="s">
        <v>633</v>
      </c>
      <c r="H219" s="130">
        <v>1.0660000000000001E-2</v>
      </c>
      <c r="I219" s="130">
        <v>-7.0999999999999991E-4</v>
      </c>
      <c r="J219" s="130">
        <v>2.4710000000000003E-2</v>
      </c>
      <c r="K219" s="130">
        <v>2.1829999999999999E-2</v>
      </c>
      <c r="L219" s="130">
        <v>6.0699999999999999E-3</v>
      </c>
      <c r="M219" s="130">
        <v>1.3800000000000002E-3</v>
      </c>
      <c r="N219" s="130">
        <v>2.4780000000000003E-2</v>
      </c>
      <c r="O219" s="130">
        <v>2.5830000000000002E-2</v>
      </c>
      <c r="P219" s="130">
        <v>7.7300000000000008E-3</v>
      </c>
      <c r="Q219" s="130">
        <v>1.085E-2</v>
      </c>
      <c r="R219" s="130">
        <v>4.0279999999999996E-2</v>
      </c>
      <c r="S219" s="130">
        <v>2.6970000000000001E-2</v>
      </c>
      <c r="T219" s="130">
        <v>8.3999999999999995E-3</v>
      </c>
      <c r="U219" s="130">
        <v>1.772E-2</v>
      </c>
      <c r="V219" s="130">
        <v>4.1299999999999996E-2</v>
      </c>
      <c r="W219" s="130">
        <v>2.5700000000000001E-2</v>
      </c>
      <c r="X219" s="130">
        <v>9.9500000000000005E-3</v>
      </c>
      <c r="Y219" s="130">
        <v>1.7749999999999998E-2</v>
      </c>
      <c r="Z219" s="130">
        <v>4.9759999999999999E-2</v>
      </c>
      <c r="AA219" s="130">
        <v>2.9140000000000003E-2</v>
      </c>
      <c r="AB219" s="130">
        <v>-3.7799999999999999E-3</v>
      </c>
      <c r="AC219" s="130">
        <v>1.1810000000000001E-2</v>
      </c>
      <c r="AD219" s="130">
        <v>4.4950000000000004E-2</v>
      </c>
      <c r="AE219" s="130">
        <v>2.836E-2</v>
      </c>
      <c r="AF219" s="130">
        <v>9.3200000000000002E-3</v>
      </c>
      <c r="AG219" s="130">
        <v>6.6400000000000001E-3</v>
      </c>
      <c r="AH219" s="130">
        <v>3.3450000000000001E-2</v>
      </c>
      <c r="AI219" s="130">
        <v>2.1240000000000002E-2</v>
      </c>
      <c r="AJ219" s="130">
        <v>-7.6000000000000004E-4</v>
      </c>
      <c r="AK219" s="130">
        <v>1.56E-3</v>
      </c>
      <c r="AL219" s="130">
        <v>2.9520000000000001E-2</v>
      </c>
      <c r="AM219" s="130">
        <v>1.9390000000000001E-2</v>
      </c>
      <c r="AN219" s="99">
        <f t="shared" ref="AN219:AQ282" si="2">AVERAGE(AJ219,AF219,X219,T219,P219,L219,AB219,H219)</f>
        <v>5.94875E-3</v>
      </c>
      <c r="AO219" s="99">
        <f t="shared" si="2"/>
        <v>8.3749999999999988E-3</v>
      </c>
      <c r="AP219" s="99">
        <f t="shared" si="2"/>
        <v>3.6093750000000001E-2</v>
      </c>
      <c r="AQ219" s="99">
        <f t="shared" si="2"/>
        <v>2.4807499999999996E-2</v>
      </c>
      <c r="AR219" s="99">
        <f t="shared" si="1"/>
        <v>5.94875E-3</v>
      </c>
      <c r="AS219" s="99">
        <f t="shared" si="1"/>
        <v>8.3749999999999988E-3</v>
      </c>
      <c r="AT219" s="99">
        <f t="shared" si="1"/>
        <v>3.6093750000000001E-2</v>
      </c>
      <c r="AU219" s="99">
        <f t="shared" si="1"/>
        <v>2.4807499999999996E-2</v>
      </c>
      <c r="AV219" s="99">
        <f t="shared" si="1"/>
        <v>5.94875E-3</v>
      </c>
      <c r="AW219" s="99">
        <f t="shared" si="1"/>
        <v>8.3749999999999988E-3</v>
      </c>
      <c r="AX219" s="99">
        <f t="shared" si="1"/>
        <v>3.6093750000000001E-2</v>
      </c>
      <c r="AY219" s="99">
        <f t="shared" si="1"/>
        <v>2.4807499999999996E-2</v>
      </c>
    </row>
    <row r="220" spans="1:51" customFormat="1" x14ac:dyDescent="0.2">
      <c r="C220" s="107" t="s">
        <v>515</v>
      </c>
      <c r="D220" s="129" t="s">
        <v>748</v>
      </c>
      <c r="E220" s="107" t="s">
        <v>631</v>
      </c>
      <c r="F220" s="107" t="s">
        <v>749</v>
      </c>
      <c r="G220" s="109" t="s">
        <v>633</v>
      </c>
      <c r="H220" s="130">
        <v>1.1590000000000001E-2</v>
      </c>
      <c r="I220" s="130">
        <v>2.6000000000000003E-3</v>
      </c>
      <c r="J220" s="130">
        <v>9.2399999999999999E-3</v>
      </c>
      <c r="K220" s="130">
        <v>1.051E-2</v>
      </c>
      <c r="L220" s="130">
        <v>-1.1300000000000001E-3</v>
      </c>
      <c r="M220" s="130">
        <v>9.3700000000000016E-3</v>
      </c>
      <c r="N220" s="130">
        <v>1.321E-2</v>
      </c>
      <c r="O220" s="130">
        <v>1.2969999999999999E-2</v>
      </c>
      <c r="P220" s="130">
        <v>2.1949999999999997E-2</v>
      </c>
      <c r="Q220" s="130">
        <v>2.4049999999999998E-2</v>
      </c>
      <c r="R220" s="130">
        <v>-1.0249999999999999E-2</v>
      </c>
      <c r="S220" s="130">
        <v>-3.32E-3</v>
      </c>
      <c r="T220" s="130">
        <v>9.11E-3</v>
      </c>
      <c r="U220" s="130">
        <v>9.9699999999999997E-3</v>
      </c>
      <c r="V220" s="130">
        <v>1.353E-2</v>
      </c>
      <c r="W220" s="130">
        <v>-1.92E-3</v>
      </c>
      <c r="X220" s="130">
        <v>-2.3620000000000002E-2</v>
      </c>
      <c r="Y220" s="130">
        <v>2.0219999999999998E-2</v>
      </c>
      <c r="Z220" s="130">
        <v>1.091E-2</v>
      </c>
      <c r="AA220" s="130">
        <v>1.422E-2</v>
      </c>
      <c r="AB220" s="130">
        <v>1.9599999999999999E-3</v>
      </c>
      <c r="AC220" s="130">
        <v>-5.6799999999999993E-3</v>
      </c>
      <c r="AD220" s="130">
        <v>7.8300000000000002E-3</v>
      </c>
      <c r="AE220" s="130">
        <v>9.8200000000000006E-3</v>
      </c>
      <c r="AF220" s="130">
        <v>-3.6800000000000001E-3</v>
      </c>
      <c r="AG220" s="130">
        <v>9.5999999999999992E-3</v>
      </c>
      <c r="AH220" s="130">
        <v>7.43E-3</v>
      </c>
      <c r="AI220" s="130">
        <v>7.2899999999999996E-3</v>
      </c>
      <c r="AJ220" s="130">
        <v>2.8000000000000003E-4</v>
      </c>
      <c r="AK220" s="130">
        <v>1.1040000000000001E-2</v>
      </c>
      <c r="AL220" s="130">
        <v>7.7400000000000004E-3</v>
      </c>
      <c r="AM220" s="130">
        <v>7.0399999999999994E-3</v>
      </c>
      <c r="AN220" s="99">
        <f t="shared" si="2"/>
        <v>2.0574999999999994E-3</v>
      </c>
      <c r="AO220" s="99">
        <f t="shared" si="2"/>
        <v>1.0146249999999999E-2</v>
      </c>
      <c r="AP220" s="99">
        <f t="shared" si="2"/>
        <v>7.4549999999999998E-3</v>
      </c>
      <c r="AQ220" s="99">
        <f t="shared" si="2"/>
        <v>7.0762499999999992E-3</v>
      </c>
      <c r="AR220" s="99">
        <f t="shared" si="1"/>
        <v>2.0574999999999994E-3</v>
      </c>
      <c r="AS220" s="99">
        <f t="shared" si="1"/>
        <v>1.0146249999999999E-2</v>
      </c>
      <c r="AT220" s="99">
        <f t="shared" si="1"/>
        <v>7.4549999999999998E-3</v>
      </c>
      <c r="AU220" s="99">
        <f t="shared" si="1"/>
        <v>7.0762499999999992E-3</v>
      </c>
      <c r="AV220" s="99">
        <f t="shared" si="1"/>
        <v>2.0574999999999994E-3</v>
      </c>
      <c r="AW220" s="99">
        <f t="shared" si="1"/>
        <v>1.0146249999999999E-2</v>
      </c>
      <c r="AX220" s="99">
        <f t="shared" si="1"/>
        <v>7.4549999999999998E-3</v>
      </c>
      <c r="AY220" s="99">
        <f t="shared" si="1"/>
        <v>7.0762499999999992E-3</v>
      </c>
    </row>
    <row r="221" spans="1:51" customFormat="1" x14ac:dyDescent="0.2">
      <c r="C221" s="107" t="s">
        <v>400</v>
      </c>
      <c r="D221" s="129" t="s">
        <v>748</v>
      </c>
      <c r="E221" s="107" t="s">
        <v>631</v>
      </c>
      <c r="F221" s="107" t="s">
        <v>749</v>
      </c>
      <c r="G221" s="109" t="s">
        <v>633</v>
      </c>
      <c r="H221" s="130">
        <v>1.6810000000000002E-2</v>
      </c>
      <c r="I221" s="130">
        <v>-1.9779999999999999E-2</v>
      </c>
      <c r="J221" s="130">
        <v>3.3100000000000004E-3</v>
      </c>
      <c r="K221" s="130">
        <v>1.1999999999999999E-3</v>
      </c>
      <c r="L221" s="130">
        <v>1.448E-2</v>
      </c>
      <c r="M221" s="130">
        <v>-6.2599999999999999E-3</v>
      </c>
      <c r="N221" s="130">
        <v>6.6E-4</v>
      </c>
      <c r="O221" s="130">
        <v>8.9499999999999996E-3</v>
      </c>
      <c r="P221" s="130">
        <v>8.2100000000000003E-3</v>
      </c>
      <c r="Q221" s="130">
        <v>4.5600000000000007E-3</v>
      </c>
      <c r="R221" s="130">
        <v>4.5400000000000006E-3</v>
      </c>
      <c r="S221" s="130">
        <v>9.7000000000000005E-4</v>
      </c>
      <c r="T221" s="130">
        <v>2.2600000000000003E-3</v>
      </c>
      <c r="U221" s="130">
        <v>-6.7600000000000004E-3</v>
      </c>
      <c r="V221" s="130">
        <v>2.9199999999999999E-3</v>
      </c>
      <c r="W221" s="130">
        <v>-1.6200000000000001E-3</v>
      </c>
      <c r="X221" s="130">
        <v>5.1800000000000006E-3</v>
      </c>
      <c r="Y221" s="130">
        <v>-4.1900000000000001E-3</v>
      </c>
      <c r="Z221" s="130">
        <v>5.5000000000000005E-3</v>
      </c>
      <c r="AA221" s="130">
        <v>-4.5000000000000005E-3</v>
      </c>
      <c r="AB221" s="130">
        <v>1.9400000000000001E-3</v>
      </c>
      <c r="AC221" s="130">
        <v>-3.0300000000000001E-3</v>
      </c>
      <c r="AD221" s="130">
        <v>3.5599999999999998E-3</v>
      </c>
      <c r="AE221" s="130">
        <v>3.4200000000000003E-3</v>
      </c>
      <c r="AF221" s="130">
        <v>9.1E-4</v>
      </c>
      <c r="AG221" s="130">
        <v>-3.5299999999999997E-3</v>
      </c>
      <c r="AH221" s="130">
        <v>6.2900000000000005E-3</v>
      </c>
      <c r="AI221" s="130">
        <v>5.2300000000000003E-3</v>
      </c>
      <c r="AJ221" s="130">
        <v>4.6500000000000005E-3</v>
      </c>
      <c r="AK221" s="130">
        <v>-3.7599999999999999E-3</v>
      </c>
      <c r="AL221" s="130">
        <v>5.2400000000000007E-3</v>
      </c>
      <c r="AM221" s="130">
        <v>4.5799999999999999E-3</v>
      </c>
      <c r="AN221" s="99">
        <f t="shared" si="2"/>
        <v>6.8050000000000003E-3</v>
      </c>
      <c r="AO221" s="99">
        <f t="shared" si="2"/>
        <v>-5.3437499999999995E-3</v>
      </c>
      <c r="AP221" s="99">
        <f t="shared" si="2"/>
        <v>4.0025000000000008E-3</v>
      </c>
      <c r="AQ221" s="99">
        <f t="shared" si="2"/>
        <v>2.27875E-3</v>
      </c>
      <c r="AR221" s="99">
        <f t="shared" si="1"/>
        <v>6.8050000000000003E-3</v>
      </c>
      <c r="AS221" s="99">
        <f t="shared" si="1"/>
        <v>-5.3437499999999995E-3</v>
      </c>
      <c r="AT221" s="99">
        <f t="shared" si="1"/>
        <v>4.0025000000000008E-3</v>
      </c>
      <c r="AU221" s="99">
        <f t="shared" si="1"/>
        <v>2.27875E-3</v>
      </c>
      <c r="AV221" s="99">
        <f t="shared" si="1"/>
        <v>6.8050000000000003E-3</v>
      </c>
      <c r="AW221" s="99">
        <f t="shared" si="1"/>
        <v>-5.3437499999999995E-3</v>
      </c>
      <c r="AX221" s="99">
        <f t="shared" si="1"/>
        <v>4.0025000000000008E-3</v>
      </c>
      <c r="AY221" s="99">
        <f t="shared" si="1"/>
        <v>2.27875E-3</v>
      </c>
    </row>
    <row r="222" spans="1:51" customFormat="1" x14ac:dyDescent="0.2">
      <c r="C222" s="107" t="s">
        <v>639</v>
      </c>
      <c r="D222" s="129" t="s">
        <v>748</v>
      </c>
      <c r="E222" s="107" t="s">
        <v>631</v>
      </c>
      <c r="F222" s="107" t="s">
        <v>749</v>
      </c>
      <c r="G222" s="109" t="s">
        <v>633</v>
      </c>
      <c r="H222" s="130">
        <v>-5.3E-3</v>
      </c>
      <c r="I222" s="130">
        <v>6.3200000000000001E-3</v>
      </c>
      <c r="J222" s="130">
        <v>-2.283E-2</v>
      </c>
      <c r="K222" s="130">
        <v>1.6590000000000001E-2</v>
      </c>
      <c r="L222" s="130">
        <v>1.2319999999999999E-2</v>
      </c>
      <c r="M222" s="130">
        <v>2.3E-3</v>
      </c>
      <c r="N222" s="130">
        <v>-8.5299999999999994E-3</v>
      </c>
      <c r="O222" s="130">
        <v>1.4230000000000001E-2</v>
      </c>
      <c r="P222" s="130">
        <v>7.5100000000000002E-3</v>
      </c>
      <c r="Q222" s="130">
        <v>1.6200000000000001E-3</v>
      </c>
      <c r="R222" s="130">
        <v>3.2300000000000002E-3</v>
      </c>
      <c r="S222" s="130">
        <v>5.7999999999999996E-3</v>
      </c>
      <c r="T222" s="130">
        <v>8.6499999999999997E-3</v>
      </c>
      <c r="U222" s="130">
        <v>2.2200000000000002E-3</v>
      </c>
      <c r="V222" s="130">
        <v>1.9E-3</v>
      </c>
      <c r="W222" s="130">
        <v>1.2660000000000001E-2</v>
      </c>
      <c r="X222" s="130">
        <v>2.5000000000000001E-3</v>
      </c>
      <c r="Y222" s="130">
        <v>-4.6800000000000001E-3</v>
      </c>
      <c r="Z222" s="130">
        <v>1.315E-2</v>
      </c>
      <c r="AA222" s="130">
        <v>2.7800000000000004E-3</v>
      </c>
      <c r="AB222" s="130">
        <v>4.62E-3</v>
      </c>
      <c r="AC222" s="130">
        <v>-2.7600000000000003E-3</v>
      </c>
      <c r="AD222" s="130">
        <v>6.1500000000000001E-3</v>
      </c>
      <c r="AE222" s="130">
        <v>4.8900000000000002E-3</v>
      </c>
      <c r="AF222" s="130">
        <v>7.6800000000000002E-3</v>
      </c>
      <c r="AG222" s="130">
        <v>2.3600000000000001E-3</v>
      </c>
      <c r="AH222" s="130">
        <v>2.3E-3</v>
      </c>
      <c r="AI222" s="130">
        <v>9.2900000000000014E-3</v>
      </c>
      <c r="AJ222" s="130">
        <v>5.1400000000000005E-3</v>
      </c>
      <c r="AK222" s="130">
        <v>2.2000000000000001E-3</v>
      </c>
      <c r="AL222" s="130">
        <v>2.2800000000000003E-3</v>
      </c>
      <c r="AM222" s="130">
        <v>9.7699999999999992E-3</v>
      </c>
      <c r="AN222" s="99">
        <f t="shared" si="2"/>
        <v>5.3899999999999998E-3</v>
      </c>
      <c r="AO222" s="99">
        <f t="shared" si="2"/>
        <v>1.1975E-3</v>
      </c>
      <c r="AP222" s="99">
        <f t="shared" si="2"/>
        <v>-2.9374999999999974E-4</v>
      </c>
      <c r="AQ222" s="99">
        <f t="shared" si="2"/>
        <v>9.5012499999999993E-3</v>
      </c>
      <c r="AR222" s="99">
        <f t="shared" si="1"/>
        <v>5.3899999999999998E-3</v>
      </c>
      <c r="AS222" s="99">
        <f t="shared" si="1"/>
        <v>1.1975E-3</v>
      </c>
      <c r="AT222" s="99">
        <f t="shared" si="1"/>
        <v>-2.9374999999999974E-4</v>
      </c>
      <c r="AU222" s="99">
        <f t="shared" si="1"/>
        <v>9.5012499999999993E-3</v>
      </c>
      <c r="AV222" s="99">
        <f t="shared" si="1"/>
        <v>5.3899999999999998E-3</v>
      </c>
      <c r="AW222" s="99">
        <f t="shared" si="1"/>
        <v>1.1975E-3</v>
      </c>
      <c r="AX222" s="99">
        <f t="shared" si="1"/>
        <v>-2.9374999999999974E-4</v>
      </c>
      <c r="AY222" s="99">
        <f t="shared" si="1"/>
        <v>9.5012499999999993E-3</v>
      </c>
    </row>
    <row r="223" spans="1:51" customFormat="1" x14ac:dyDescent="0.2">
      <c r="C223" s="107" t="s">
        <v>401</v>
      </c>
      <c r="D223" s="129" t="s">
        <v>748</v>
      </c>
      <c r="E223" s="107" t="s">
        <v>631</v>
      </c>
      <c r="F223" s="107" t="s">
        <v>749</v>
      </c>
      <c r="G223" s="109" t="s">
        <v>633</v>
      </c>
      <c r="H223" s="130">
        <v>3.81E-3</v>
      </c>
      <c r="I223" s="130">
        <v>1.384E-2</v>
      </c>
      <c r="J223" s="130">
        <v>2.4E-2</v>
      </c>
      <c r="K223" s="130">
        <v>2.0649999999999998E-2</v>
      </c>
      <c r="L223" s="130">
        <v>-1.0320000000000001E-2</v>
      </c>
      <c r="M223" s="130">
        <v>2.086E-2</v>
      </c>
      <c r="N223" s="130">
        <v>1.898E-2</v>
      </c>
      <c r="O223" s="130">
        <v>2.0059999999999998E-2</v>
      </c>
      <c r="P223" s="130">
        <v>2.2100000000000002E-3</v>
      </c>
      <c r="Q223" s="130">
        <v>2.9830000000000002E-2</v>
      </c>
      <c r="R223" s="130">
        <v>1.6719999999999999E-2</v>
      </c>
      <c r="S223" s="130">
        <v>1.1279999999999998E-2</v>
      </c>
      <c r="T223" s="130">
        <v>3.0300000000000001E-3</v>
      </c>
      <c r="U223" s="130">
        <v>1.451E-2</v>
      </c>
      <c r="V223" s="130">
        <v>3.4189999999999998E-2</v>
      </c>
      <c r="W223" s="130">
        <v>1.2600000000000001E-3</v>
      </c>
      <c r="X223" s="130">
        <v>-3.5999999999999997E-4</v>
      </c>
      <c r="Y223" s="130">
        <v>1.3460000000000001E-2</v>
      </c>
      <c r="Z223" s="130">
        <v>2.7450000000000002E-2</v>
      </c>
      <c r="AA223" s="130">
        <v>1.4830000000000001E-2</v>
      </c>
      <c r="AB223" s="130">
        <v>-1.8180000000000002E-2</v>
      </c>
      <c r="AC223" s="130">
        <v>3.1099999999999999E-3</v>
      </c>
      <c r="AD223" s="130">
        <v>1.7760000000000001E-2</v>
      </c>
      <c r="AE223" s="130">
        <v>5.2500000000000003E-3</v>
      </c>
      <c r="AF223" s="130">
        <v>-3.7000000000000002E-3</v>
      </c>
      <c r="AG223" s="130">
        <v>1.4990000000000002E-2</v>
      </c>
      <c r="AH223" s="130">
        <v>2.291E-2</v>
      </c>
      <c r="AI223" s="130">
        <v>1.188E-2</v>
      </c>
      <c r="AJ223" s="130">
        <v>-1.1479999999999999E-2</v>
      </c>
      <c r="AK223" s="130">
        <v>1.286E-2</v>
      </c>
      <c r="AL223" s="130">
        <v>2.0199999999999999E-2</v>
      </c>
      <c r="AM223" s="130">
        <v>1.0069999999999999E-2</v>
      </c>
      <c r="AN223" s="99">
        <f t="shared" si="2"/>
        <v>-4.37375E-3</v>
      </c>
      <c r="AO223" s="99">
        <f t="shared" si="2"/>
        <v>1.5432500000000002E-2</v>
      </c>
      <c r="AP223" s="99">
        <f t="shared" si="2"/>
        <v>2.2776249999999998E-2</v>
      </c>
      <c r="AQ223" s="99">
        <f t="shared" si="2"/>
        <v>1.191E-2</v>
      </c>
      <c r="AR223" s="99">
        <f t="shared" si="1"/>
        <v>-4.37375E-3</v>
      </c>
      <c r="AS223" s="99">
        <f t="shared" si="1"/>
        <v>1.5432500000000002E-2</v>
      </c>
      <c r="AT223" s="99">
        <f t="shared" si="1"/>
        <v>2.2776249999999998E-2</v>
      </c>
      <c r="AU223" s="99">
        <f t="shared" si="1"/>
        <v>1.191E-2</v>
      </c>
      <c r="AV223" s="99">
        <f t="shared" si="1"/>
        <v>-4.37375E-3</v>
      </c>
      <c r="AW223" s="99">
        <f t="shared" si="1"/>
        <v>1.5432500000000002E-2</v>
      </c>
      <c r="AX223" s="99">
        <f t="shared" si="1"/>
        <v>2.2776249999999998E-2</v>
      </c>
      <c r="AY223" s="99">
        <f t="shared" si="1"/>
        <v>1.191E-2</v>
      </c>
    </row>
    <row r="224" spans="1:51" customFormat="1" x14ac:dyDescent="0.2">
      <c r="C224" s="107" t="s">
        <v>540</v>
      </c>
      <c r="D224" s="129" t="s">
        <v>748</v>
      </c>
      <c r="E224" s="107" t="s">
        <v>631</v>
      </c>
      <c r="F224" s="107" t="s">
        <v>749</v>
      </c>
      <c r="G224" s="109" t="s">
        <v>633</v>
      </c>
      <c r="H224" s="130">
        <v>7.8100000000000001E-3</v>
      </c>
      <c r="I224" s="130">
        <v>3.3800000000000002E-3</v>
      </c>
      <c r="J224" s="130">
        <v>-1E-4</v>
      </c>
      <c r="K224" s="130">
        <v>3.5299999999999997E-3</v>
      </c>
      <c r="L224" s="130">
        <v>7.4400000000000004E-3</v>
      </c>
      <c r="M224" s="130">
        <v>3.8400000000000001E-3</v>
      </c>
      <c r="N224" s="130">
        <v>8.1000000000000006E-4</v>
      </c>
      <c r="O224" s="130">
        <v>5.4100000000000007E-3</v>
      </c>
      <c r="P224" s="130">
        <v>1.2700000000000001E-2</v>
      </c>
      <c r="Q224" s="130">
        <v>1.856E-2</v>
      </c>
      <c r="R224" s="130">
        <v>1.4330000000000001E-2</v>
      </c>
      <c r="S224" s="130">
        <v>8.77E-3</v>
      </c>
      <c r="T224" s="130">
        <v>9.7599999999999996E-3</v>
      </c>
      <c r="U224" s="130">
        <v>6.0699999999999999E-3</v>
      </c>
      <c r="V224" s="130">
        <v>3.8300000000000001E-3</v>
      </c>
      <c r="W224" s="130">
        <v>6.8799999999999998E-3</v>
      </c>
      <c r="X224" s="130">
        <v>8.6800000000000002E-3</v>
      </c>
      <c r="Y224" s="130">
        <v>6.7800000000000004E-3</v>
      </c>
      <c r="Z224" s="130">
        <v>-3.0400000000000002E-3</v>
      </c>
      <c r="AA224" s="130">
        <v>3.3300000000000001E-3</v>
      </c>
      <c r="AB224" s="130">
        <v>-1.4099999999999998E-3</v>
      </c>
      <c r="AC224" s="130">
        <v>1.9199999999999998E-2</v>
      </c>
      <c r="AD224" s="130">
        <v>3.2000000000000002E-3</v>
      </c>
      <c r="AE224" s="130">
        <v>7.1500000000000001E-3</v>
      </c>
      <c r="AF224" s="130">
        <v>2.4599999999999999E-3</v>
      </c>
      <c r="AG224" s="130">
        <v>1.119E-2</v>
      </c>
      <c r="AH224" s="130">
        <v>6.2700000000000004E-3</v>
      </c>
      <c r="AI224" s="130">
        <v>6.4900000000000001E-3</v>
      </c>
      <c r="AJ224" s="130">
        <v>4.5600000000000007E-3</v>
      </c>
      <c r="AK224" s="130">
        <v>9.4400000000000005E-3</v>
      </c>
      <c r="AL224" s="130">
        <v>4.3E-3</v>
      </c>
      <c r="AM224" s="130">
        <v>5.1400000000000005E-3</v>
      </c>
      <c r="AN224" s="99">
        <f t="shared" si="2"/>
        <v>6.4999999999999997E-3</v>
      </c>
      <c r="AO224" s="99">
        <f t="shared" si="2"/>
        <v>9.8075000000000002E-3</v>
      </c>
      <c r="AP224" s="99">
        <f t="shared" si="2"/>
        <v>3.7000000000000002E-3</v>
      </c>
      <c r="AQ224" s="99">
        <f t="shared" si="2"/>
        <v>5.8374999999999998E-3</v>
      </c>
      <c r="AR224" s="99">
        <f t="shared" si="1"/>
        <v>6.4999999999999997E-3</v>
      </c>
      <c r="AS224" s="99">
        <f t="shared" si="1"/>
        <v>9.8075000000000002E-3</v>
      </c>
      <c r="AT224" s="99">
        <f t="shared" si="1"/>
        <v>3.7000000000000002E-3</v>
      </c>
      <c r="AU224" s="99">
        <f t="shared" si="1"/>
        <v>5.8374999999999998E-3</v>
      </c>
      <c r="AV224" s="99">
        <f t="shared" si="1"/>
        <v>6.4999999999999997E-3</v>
      </c>
      <c r="AW224" s="99">
        <f t="shared" si="1"/>
        <v>9.8075000000000002E-3</v>
      </c>
      <c r="AX224" s="99">
        <f t="shared" si="1"/>
        <v>3.7000000000000002E-3</v>
      </c>
      <c r="AY224" s="99">
        <f t="shared" si="1"/>
        <v>5.8374999999999998E-3</v>
      </c>
    </row>
    <row r="225" spans="3:51" customFormat="1" x14ac:dyDescent="0.2">
      <c r="C225" s="107" t="s">
        <v>402</v>
      </c>
      <c r="D225" s="129" t="s">
        <v>748</v>
      </c>
      <c r="E225" s="107" t="s">
        <v>631</v>
      </c>
      <c r="F225" s="107" t="s">
        <v>749</v>
      </c>
      <c r="G225" s="109" t="s">
        <v>633</v>
      </c>
      <c r="H225" s="130">
        <v>-1E-3</v>
      </c>
      <c r="I225" s="130">
        <v>-2.99E-3</v>
      </c>
      <c r="J225" s="130">
        <v>-6.7000000000000002E-4</v>
      </c>
      <c r="K225" s="130">
        <v>-4.6700000000000005E-3</v>
      </c>
      <c r="L225" s="130">
        <v>3.0100000000000001E-3</v>
      </c>
      <c r="M225" s="130">
        <v>-5.0099999999999997E-3</v>
      </c>
      <c r="N225" s="130">
        <v>5.0299999999999997E-3</v>
      </c>
      <c r="O225" s="130">
        <v>2E-3</v>
      </c>
      <c r="P225" s="130">
        <v>6.6600000000000001E-3</v>
      </c>
      <c r="Q225" s="130">
        <v>9.9299999999999996E-3</v>
      </c>
      <c r="R225" s="130">
        <v>9.8300000000000002E-3</v>
      </c>
      <c r="S225" s="130">
        <v>1.1679999999999999E-2</v>
      </c>
      <c r="T225" s="130">
        <v>4.4900000000000001E-3</v>
      </c>
      <c r="U225" s="130">
        <v>7.3499999999999998E-3</v>
      </c>
      <c r="V225" s="130">
        <v>7.6100000000000004E-3</v>
      </c>
      <c r="W225" s="130">
        <v>9.4400000000000005E-3</v>
      </c>
      <c r="X225" s="130">
        <v>6.2E-4</v>
      </c>
      <c r="Y225" s="130">
        <v>9.3500000000000007E-3</v>
      </c>
      <c r="Z225" s="130">
        <v>8.0200000000000011E-3</v>
      </c>
      <c r="AA225" s="130">
        <v>1.102E-2</v>
      </c>
      <c r="AB225" s="130">
        <v>8.7799999999999996E-3</v>
      </c>
      <c r="AC225" s="130">
        <v>5.6999999999999993E-3</v>
      </c>
      <c r="AD225" s="130">
        <v>2.99E-3</v>
      </c>
      <c r="AE225" s="130">
        <v>8.9300000000000004E-3</v>
      </c>
      <c r="AF225" s="130">
        <v>4.3899999999999998E-3</v>
      </c>
      <c r="AG225" s="130">
        <v>4.5000000000000005E-3</v>
      </c>
      <c r="AH225" s="130">
        <v>3.4999999999999996E-3</v>
      </c>
      <c r="AI225" s="130">
        <v>6.8600000000000006E-3</v>
      </c>
      <c r="AJ225" s="130">
        <v>4.5100000000000001E-3</v>
      </c>
      <c r="AK225" s="130">
        <v>5.5100000000000001E-3</v>
      </c>
      <c r="AL225" s="130">
        <v>4.64E-3</v>
      </c>
      <c r="AM225" s="130">
        <v>7.4000000000000003E-3</v>
      </c>
      <c r="AN225" s="99">
        <f t="shared" si="2"/>
        <v>3.9325000000000002E-3</v>
      </c>
      <c r="AO225" s="99">
        <f t="shared" si="2"/>
        <v>4.2924999999999994E-3</v>
      </c>
      <c r="AP225" s="99">
        <f t="shared" si="2"/>
        <v>5.11875E-3</v>
      </c>
      <c r="AQ225" s="99">
        <f t="shared" si="2"/>
        <v>6.5824999999999998E-3</v>
      </c>
      <c r="AR225" s="99">
        <f t="shared" si="1"/>
        <v>3.9325000000000002E-3</v>
      </c>
      <c r="AS225" s="99">
        <f t="shared" si="1"/>
        <v>4.2924999999999994E-3</v>
      </c>
      <c r="AT225" s="99">
        <f t="shared" si="1"/>
        <v>5.11875E-3</v>
      </c>
      <c r="AU225" s="99">
        <f t="shared" si="1"/>
        <v>6.5824999999999998E-3</v>
      </c>
      <c r="AV225" s="99">
        <f t="shared" si="1"/>
        <v>3.9325000000000002E-3</v>
      </c>
      <c r="AW225" s="99">
        <f t="shared" si="1"/>
        <v>4.2924999999999994E-3</v>
      </c>
      <c r="AX225" s="99">
        <f t="shared" si="1"/>
        <v>5.11875E-3</v>
      </c>
      <c r="AY225" s="99">
        <f t="shared" si="1"/>
        <v>6.5824999999999998E-3</v>
      </c>
    </row>
    <row r="226" spans="3:51" customFormat="1" x14ac:dyDescent="0.2">
      <c r="C226" s="107" t="s">
        <v>547</v>
      </c>
      <c r="D226" s="129" t="s">
        <v>748</v>
      </c>
      <c r="E226" s="107" t="s">
        <v>631</v>
      </c>
      <c r="F226" s="107" t="s">
        <v>749</v>
      </c>
      <c r="G226" s="109" t="s">
        <v>633</v>
      </c>
      <c r="H226" s="130">
        <v>2.1530000000000001E-2</v>
      </c>
      <c r="I226" s="130">
        <v>2.2189999999999998E-2</v>
      </c>
      <c r="J226" s="130">
        <v>9.1400000000000006E-3</v>
      </c>
      <c r="K226" s="130">
        <v>1.8009999999999998E-2</v>
      </c>
      <c r="L226" s="130">
        <v>2.1429999999999998E-2</v>
      </c>
      <c r="M226" s="130">
        <v>2.3439999999999999E-2</v>
      </c>
      <c r="N226" s="130">
        <v>2.1000000000000001E-2</v>
      </c>
      <c r="O226" s="130">
        <v>1.84E-2</v>
      </c>
      <c r="P226" s="130">
        <v>3.1379999999999998E-2</v>
      </c>
      <c r="Q226" s="130">
        <v>6.241E-2</v>
      </c>
      <c r="R226" s="130">
        <v>4.2220000000000008E-2</v>
      </c>
      <c r="S226" s="130">
        <v>4.6920000000000003E-2</v>
      </c>
      <c r="T226" s="130">
        <v>3.5249999999999997E-2</v>
      </c>
      <c r="U226" s="130">
        <v>2.4760000000000001E-2</v>
      </c>
      <c r="V226" s="130">
        <v>1.7000000000000001E-2</v>
      </c>
      <c r="W226" s="130">
        <v>2.2269999999999998E-2</v>
      </c>
      <c r="X226" s="130">
        <v>2.5899999999999999E-2</v>
      </c>
      <c r="Y226" s="130">
        <v>1.7580000000000002E-2</v>
      </c>
      <c r="Z226" s="130">
        <v>1.6060000000000001E-2</v>
      </c>
      <c r="AA226" s="130">
        <v>2.291E-2</v>
      </c>
      <c r="AB226" s="130">
        <v>3.4750000000000003E-2</v>
      </c>
      <c r="AC226" s="130">
        <v>3.4610000000000002E-2</v>
      </c>
      <c r="AD226" s="130">
        <v>2.5499999999999998E-2</v>
      </c>
      <c r="AE226" s="130">
        <v>2.4100000000000003E-2</v>
      </c>
      <c r="AF226" s="130">
        <v>3.7870000000000001E-2</v>
      </c>
      <c r="AG226" s="130">
        <v>2.419E-2</v>
      </c>
      <c r="AH226" s="130">
        <v>1.536E-2</v>
      </c>
      <c r="AI226" s="130">
        <v>2.018E-2</v>
      </c>
      <c r="AJ226" s="130">
        <v>2.6610000000000002E-2</v>
      </c>
      <c r="AK226" s="130">
        <v>2.2620000000000001E-2</v>
      </c>
      <c r="AL226" s="130">
        <v>1.5509999999999999E-2</v>
      </c>
      <c r="AM226" s="130">
        <v>2.0750000000000001E-2</v>
      </c>
      <c r="AN226" s="99">
        <f t="shared" si="2"/>
        <v>2.9340000000000001E-2</v>
      </c>
      <c r="AO226" s="99">
        <f t="shared" si="2"/>
        <v>2.8974999999999997E-2</v>
      </c>
      <c r="AP226" s="99">
        <f t="shared" si="2"/>
        <v>2.0223750000000002E-2</v>
      </c>
      <c r="AQ226" s="99">
        <f t="shared" si="2"/>
        <v>2.4192500000000002E-2</v>
      </c>
      <c r="AR226" s="99">
        <f t="shared" si="1"/>
        <v>2.9340000000000001E-2</v>
      </c>
      <c r="AS226" s="99">
        <f t="shared" si="1"/>
        <v>2.8974999999999997E-2</v>
      </c>
      <c r="AT226" s="99">
        <f t="shared" si="1"/>
        <v>2.0223750000000002E-2</v>
      </c>
      <c r="AU226" s="99">
        <f t="shared" si="1"/>
        <v>2.4192500000000002E-2</v>
      </c>
      <c r="AV226" s="99">
        <f t="shared" si="1"/>
        <v>2.9340000000000001E-2</v>
      </c>
      <c r="AW226" s="99">
        <f t="shared" si="1"/>
        <v>2.8974999999999997E-2</v>
      </c>
      <c r="AX226" s="99">
        <f t="shared" si="1"/>
        <v>2.0223750000000002E-2</v>
      </c>
      <c r="AY226" s="99">
        <f t="shared" si="1"/>
        <v>2.4192500000000002E-2</v>
      </c>
    </row>
    <row r="227" spans="3:51" customFormat="1" x14ac:dyDescent="0.2">
      <c r="C227" s="107" t="s">
        <v>552</v>
      </c>
      <c r="D227" s="129" t="s">
        <v>748</v>
      </c>
      <c r="E227" s="107" t="s">
        <v>631</v>
      </c>
      <c r="F227" s="107" t="s">
        <v>749</v>
      </c>
      <c r="G227" s="109" t="s">
        <v>633</v>
      </c>
      <c r="H227" s="130">
        <v>7.1999999999999998E-3</v>
      </c>
      <c r="I227" s="130">
        <v>6.6000000000000008E-3</v>
      </c>
      <c r="J227" s="130">
        <v>1.7819999999999999E-2</v>
      </c>
      <c r="K227" s="130">
        <v>6.8000000000000005E-4</v>
      </c>
      <c r="L227" s="130">
        <v>-3.5299999999999997E-3</v>
      </c>
      <c r="M227" s="130">
        <v>2.0670000000000001E-2</v>
      </c>
      <c r="N227" s="130">
        <v>2.4060000000000002E-2</v>
      </c>
      <c r="O227" s="130">
        <v>8.2199999999999999E-3</v>
      </c>
      <c r="P227" s="130">
        <v>1.8850000000000002E-2</v>
      </c>
      <c r="Q227" s="130">
        <v>9.7390000000000004E-2</v>
      </c>
      <c r="R227" s="130">
        <v>0.15223</v>
      </c>
      <c r="S227" s="130">
        <v>7.2450000000000001E-2</v>
      </c>
      <c r="T227" s="130">
        <v>3.866E-2</v>
      </c>
      <c r="U227" s="130">
        <v>5.5890000000000002E-2</v>
      </c>
      <c r="V227" s="130">
        <v>7.4939999999999993E-2</v>
      </c>
      <c r="W227" s="130">
        <v>6.1510000000000002E-2</v>
      </c>
      <c r="X227" s="130">
        <v>3.6900000000000002E-2</v>
      </c>
      <c r="Y227" s="130">
        <v>6.1769999999999999E-2</v>
      </c>
      <c r="Z227" s="130">
        <v>6.0990000000000003E-2</v>
      </c>
      <c r="AA227" s="130">
        <v>1.5640000000000001E-2</v>
      </c>
      <c r="AB227" s="130">
        <v>-1.1399999999999999E-2</v>
      </c>
      <c r="AC227" s="130">
        <v>2.1770000000000001E-2</v>
      </c>
      <c r="AD227" s="130">
        <v>2.2919999999999999E-2</v>
      </c>
      <c r="AE227" s="130">
        <v>1.414E-2</v>
      </c>
      <c r="AF227" s="130">
        <v>-4.8000000000000001E-4</v>
      </c>
      <c r="AG227" s="130">
        <v>2.0760000000000001E-2</v>
      </c>
      <c r="AH227" s="130">
        <v>3.322E-2</v>
      </c>
      <c r="AI227" s="130">
        <v>1.0069999999999999E-2</v>
      </c>
      <c r="AJ227" s="130">
        <v>-1.72E-3</v>
      </c>
      <c r="AK227" s="130">
        <v>2.2770000000000002E-2</v>
      </c>
      <c r="AL227" s="130">
        <v>3.5830000000000001E-2</v>
      </c>
      <c r="AM227" s="130">
        <v>1.218E-2</v>
      </c>
      <c r="AN227" s="99">
        <f t="shared" si="2"/>
        <v>1.0560000000000002E-2</v>
      </c>
      <c r="AO227" s="99">
        <f t="shared" si="2"/>
        <v>3.8452500000000008E-2</v>
      </c>
      <c r="AP227" s="99">
        <f t="shared" si="2"/>
        <v>5.2751250000000006E-2</v>
      </c>
      <c r="AQ227" s="99">
        <f t="shared" si="2"/>
        <v>2.4361250000000001E-2</v>
      </c>
      <c r="AR227" s="99">
        <f t="shared" si="1"/>
        <v>1.0560000000000002E-2</v>
      </c>
      <c r="AS227" s="99">
        <f t="shared" si="1"/>
        <v>3.8452500000000008E-2</v>
      </c>
      <c r="AT227" s="99">
        <f t="shared" si="1"/>
        <v>5.2751250000000006E-2</v>
      </c>
      <c r="AU227" s="99">
        <f t="shared" si="1"/>
        <v>2.4361250000000001E-2</v>
      </c>
      <c r="AV227" s="99">
        <f t="shared" si="1"/>
        <v>1.0560000000000002E-2</v>
      </c>
      <c r="AW227" s="99">
        <f t="shared" si="1"/>
        <v>3.8452500000000008E-2</v>
      </c>
      <c r="AX227" s="99">
        <f t="shared" si="1"/>
        <v>5.2751250000000006E-2</v>
      </c>
      <c r="AY227" s="99">
        <f t="shared" si="1"/>
        <v>2.4361250000000001E-2</v>
      </c>
    </row>
    <row r="228" spans="3:51" customFormat="1" x14ac:dyDescent="0.2">
      <c r="C228" s="107" t="s">
        <v>559</v>
      </c>
      <c r="D228" s="129" t="s">
        <v>748</v>
      </c>
      <c r="E228" s="107" t="s">
        <v>631</v>
      </c>
      <c r="F228" s="107" t="s">
        <v>749</v>
      </c>
      <c r="G228" s="109" t="s">
        <v>633</v>
      </c>
      <c r="H228" s="130">
        <v>-1.91E-3</v>
      </c>
      <c r="I228" s="130">
        <v>-3.0350000000000002E-2</v>
      </c>
      <c r="J228" s="130">
        <v>1.5509999999999999E-2</v>
      </c>
      <c r="K228" s="130">
        <v>1.9400000000000001E-3</v>
      </c>
      <c r="L228" s="130">
        <v>1.857E-2</v>
      </c>
      <c r="M228" s="130">
        <v>5.1700000000000001E-3</v>
      </c>
      <c r="N228" s="130">
        <v>-4.3299999999999996E-3</v>
      </c>
      <c r="O228" s="130">
        <v>1.196E-2</v>
      </c>
      <c r="P228" s="130">
        <v>9.4000000000000004E-3</v>
      </c>
      <c r="Q228" s="130">
        <v>1.1180000000000001E-2</v>
      </c>
      <c r="R228" s="130">
        <v>1.1850000000000001E-2</v>
      </c>
      <c r="S228" s="130">
        <v>6.2399999999999999E-3</v>
      </c>
      <c r="T228" s="130">
        <v>6.1999999999999998E-3</v>
      </c>
      <c r="U228" s="130">
        <v>3.5999999999999999E-3</v>
      </c>
      <c r="V228" s="130">
        <v>3.5799999999999998E-3</v>
      </c>
      <c r="W228" s="130">
        <v>2.5500000000000002E-3</v>
      </c>
      <c r="X228" s="130">
        <v>6.8700000000000011E-3</v>
      </c>
      <c r="Y228" s="130">
        <v>6.3200000000000001E-3</v>
      </c>
      <c r="Z228" s="130">
        <v>3.2600000000000003E-3</v>
      </c>
      <c r="AA228" s="130">
        <v>1.5E-3</v>
      </c>
      <c r="AB228" s="130">
        <v>4.2500000000000003E-3</v>
      </c>
      <c r="AC228" s="130">
        <v>3.48E-3</v>
      </c>
      <c r="AD228" s="130">
        <v>3.9700000000000004E-3</v>
      </c>
      <c r="AE228" s="130">
        <v>2.2200000000000002E-3</v>
      </c>
      <c r="AF228" s="130">
        <v>5.5900000000000004E-3</v>
      </c>
      <c r="AG228" s="130">
        <v>2.5300000000000001E-3</v>
      </c>
      <c r="AH228" s="130">
        <v>6.6000000000000008E-3</v>
      </c>
      <c r="AI228" s="130">
        <v>6.3100000000000005E-3</v>
      </c>
      <c r="AJ228" s="130">
        <v>4.0600000000000002E-3</v>
      </c>
      <c r="AK228" s="130">
        <v>1.72E-3</v>
      </c>
      <c r="AL228" s="130">
        <v>5.1600000000000005E-3</v>
      </c>
      <c r="AM228" s="130">
        <v>5.2200000000000007E-3</v>
      </c>
      <c r="AN228" s="99">
        <f t="shared" si="2"/>
        <v>6.6287500000000001E-3</v>
      </c>
      <c r="AO228" s="99">
        <f t="shared" si="2"/>
        <v>4.5624999999999919E-4</v>
      </c>
      <c r="AP228" s="99">
        <f t="shared" si="2"/>
        <v>5.7000000000000002E-3</v>
      </c>
      <c r="AQ228" s="99">
        <f t="shared" si="2"/>
        <v>4.7425000000000002E-3</v>
      </c>
      <c r="AR228" s="99">
        <f t="shared" si="1"/>
        <v>6.6287500000000001E-3</v>
      </c>
      <c r="AS228" s="99">
        <f t="shared" si="1"/>
        <v>4.5624999999999919E-4</v>
      </c>
      <c r="AT228" s="99">
        <f t="shared" si="1"/>
        <v>5.7000000000000002E-3</v>
      </c>
      <c r="AU228" s="99">
        <f t="shared" si="1"/>
        <v>4.7425000000000002E-3</v>
      </c>
      <c r="AV228" s="99">
        <f t="shared" si="1"/>
        <v>6.6287500000000001E-3</v>
      </c>
      <c r="AW228" s="99">
        <f t="shared" si="1"/>
        <v>4.5624999999999919E-4</v>
      </c>
      <c r="AX228" s="99">
        <f t="shared" si="1"/>
        <v>5.7000000000000002E-3</v>
      </c>
      <c r="AY228" s="99">
        <f t="shared" si="1"/>
        <v>4.7425000000000002E-3</v>
      </c>
    </row>
    <row r="229" spans="3:51" customFormat="1" x14ac:dyDescent="0.2">
      <c r="C229" s="107" t="s">
        <v>642</v>
      </c>
      <c r="D229" s="129" t="s">
        <v>748</v>
      </c>
      <c r="E229" s="107" t="s">
        <v>631</v>
      </c>
      <c r="F229" s="107" t="s">
        <v>749</v>
      </c>
      <c r="G229" s="109" t="s">
        <v>633</v>
      </c>
      <c r="H229" s="130">
        <v>-1.82E-3</v>
      </c>
      <c r="I229" s="130">
        <v>-3.2700000000000003E-3</v>
      </c>
      <c r="J229" s="130">
        <v>1.0789999999999999E-2</v>
      </c>
      <c r="K229" s="130">
        <v>5.0800000000000003E-3</v>
      </c>
      <c r="L229" s="130">
        <v>3.6600000000000001E-3</v>
      </c>
      <c r="M229" s="130">
        <v>2.9929999999999998E-2</v>
      </c>
      <c r="N229" s="130">
        <v>2.828E-2</v>
      </c>
      <c r="O229" s="130">
        <v>4.795E-2</v>
      </c>
      <c r="P229" s="130">
        <v>3.6720000000000003E-2</v>
      </c>
      <c r="Q229" s="130">
        <v>6.0330000000000002E-2</v>
      </c>
      <c r="R229" s="130">
        <v>0.11147</v>
      </c>
      <c r="S229" s="130">
        <v>0.10468999999999999</v>
      </c>
      <c r="T229" s="130">
        <v>-2.069E-2</v>
      </c>
      <c r="U229" s="130">
        <v>6.9370000000000001E-2</v>
      </c>
      <c r="V229" s="130">
        <v>0.12477000000000001</v>
      </c>
      <c r="W229" s="130">
        <v>6.9089999999999999E-2</v>
      </c>
      <c r="X229" s="130">
        <v>-2.4809999999999999E-2</v>
      </c>
      <c r="Y229" s="130">
        <v>7.5090000000000004E-2</v>
      </c>
      <c r="Z229" s="130">
        <v>0.14321999999999999</v>
      </c>
      <c r="AA229" s="130">
        <v>0.11801</v>
      </c>
      <c r="AB229" s="130">
        <v>-5.1130000000000009E-2</v>
      </c>
      <c r="AC229" s="130">
        <v>3.5790000000000002E-2</v>
      </c>
      <c r="AD229" s="130">
        <v>0.17473</v>
      </c>
      <c r="AE229" s="130">
        <v>0.16031999999999999</v>
      </c>
      <c r="AF229" s="130">
        <v>-1.4539999999999999E-2</v>
      </c>
      <c r="AG229" s="130">
        <v>1.3500000000000002E-2</v>
      </c>
      <c r="AH229" s="130">
        <v>4.3099999999999999E-2</v>
      </c>
      <c r="AI229" s="130">
        <v>2.7660000000000001E-2</v>
      </c>
      <c r="AJ229" s="130">
        <v>1.447E-2</v>
      </c>
      <c r="AK229" s="130">
        <v>5.1540000000000002E-2</v>
      </c>
      <c r="AL229" s="130">
        <v>7.5429999999999997E-2</v>
      </c>
      <c r="AM229" s="130">
        <v>5.4900000000000004E-2</v>
      </c>
      <c r="AN229" s="99">
        <f t="shared" si="2"/>
        <v>-7.2675000000000014E-3</v>
      </c>
      <c r="AO229" s="99">
        <f t="shared" si="2"/>
        <v>4.1535000000000002E-2</v>
      </c>
      <c r="AP229" s="99">
        <f t="shared" si="2"/>
        <v>8.8973750000000004E-2</v>
      </c>
      <c r="AQ229" s="99">
        <f t="shared" si="2"/>
        <v>7.34625E-2</v>
      </c>
      <c r="AR229" s="99">
        <f t="shared" si="1"/>
        <v>-7.2675000000000014E-3</v>
      </c>
      <c r="AS229" s="99">
        <f t="shared" si="1"/>
        <v>4.1535000000000002E-2</v>
      </c>
      <c r="AT229" s="99">
        <f t="shared" si="1"/>
        <v>8.8973750000000004E-2</v>
      </c>
      <c r="AU229" s="99">
        <f t="shared" si="1"/>
        <v>7.34625E-2</v>
      </c>
      <c r="AV229" s="99">
        <f t="shared" si="1"/>
        <v>-7.2675000000000014E-3</v>
      </c>
      <c r="AW229" s="99">
        <f t="shared" si="1"/>
        <v>4.1535000000000002E-2</v>
      </c>
      <c r="AX229" s="99">
        <f t="shared" si="1"/>
        <v>8.8973750000000004E-2</v>
      </c>
      <c r="AY229" s="99">
        <f t="shared" si="1"/>
        <v>7.34625E-2</v>
      </c>
    </row>
    <row r="230" spans="3:51" customFormat="1" x14ac:dyDescent="0.2">
      <c r="C230" s="107" t="s">
        <v>577</v>
      </c>
      <c r="D230" s="129" t="s">
        <v>748</v>
      </c>
      <c r="E230" s="107" t="s">
        <v>631</v>
      </c>
      <c r="F230" s="107" t="s">
        <v>749</v>
      </c>
      <c r="G230" s="109" t="s">
        <v>633</v>
      </c>
      <c r="H230" s="130">
        <v>1.6740000000000001E-2</v>
      </c>
      <c r="I230" s="130">
        <v>5.7499999999999999E-3</v>
      </c>
      <c r="J230" s="130">
        <v>3.6429999999999997E-2</v>
      </c>
      <c r="K230" s="130">
        <v>2.2780000000000002E-2</v>
      </c>
      <c r="L230" s="130">
        <v>1.1430000000000001E-2</v>
      </c>
      <c r="M230" s="130">
        <v>3.124E-2</v>
      </c>
      <c r="N230" s="130">
        <v>1.804E-2</v>
      </c>
      <c r="O230" s="130">
        <v>4.5380000000000004E-2</v>
      </c>
      <c r="P230" s="130">
        <v>2.6269999999999998E-2</v>
      </c>
      <c r="Q230" s="130">
        <v>6.3520000000000007E-2</v>
      </c>
      <c r="R230" s="130">
        <v>9.6600000000000005E-2</v>
      </c>
      <c r="S230" s="130">
        <v>4.3970000000000002E-2</v>
      </c>
      <c r="T230" s="130">
        <v>8.0360000000000001E-2</v>
      </c>
      <c r="U230" s="130">
        <v>8.745E-2</v>
      </c>
      <c r="V230" s="130">
        <v>5.2010000000000001E-2</v>
      </c>
      <c r="W230" s="130">
        <v>4.027E-2</v>
      </c>
      <c r="X230" s="130">
        <v>4.1280000000000004E-2</v>
      </c>
      <c r="Y230" s="130">
        <v>-6.3000000000000003E-4</v>
      </c>
      <c r="Z230" s="130">
        <v>8.5299999999999994E-3</v>
      </c>
      <c r="AA230" s="130">
        <v>4.1099999999999999E-3</v>
      </c>
      <c r="AB230" s="130">
        <v>3.1800000000000001E-3</v>
      </c>
      <c r="AC230" s="130">
        <v>7.11E-3</v>
      </c>
      <c r="AD230" s="130">
        <v>2.743E-2</v>
      </c>
      <c r="AE230" s="130">
        <v>2.0830000000000001E-2</v>
      </c>
      <c r="AF230" s="130">
        <v>1.142E-2</v>
      </c>
      <c r="AG230" s="130">
        <v>1.8749999999999999E-2</v>
      </c>
      <c r="AH230" s="130">
        <v>2.3639999999999998E-2</v>
      </c>
      <c r="AI230" s="130">
        <v>1.4760000000000001E-2</v>
      </c>
      <c r="AJ230" s="130">
        <v>1.1180000000000001E-2</v>
      </c>
      <c r="AK230" s="130">
        <v>1.7050000000000003E-2</v>
      </c>
      <c r="AL230" s="130">
        <v>2.2630000000000001E-2</v>
      </c>
      <c r="AM230" s="130">
        <v>1.4150000000000001E-2</v>
      </c>
      <c r="AN230" s="99">
        <f t="shared" si="2"/>
        <v>2.5232499999999998E-2</v>
      </c>
      <c r="AO230" s="99">
        <f t="shared" si="2"/>
        <v>2.8780000000000003E-2</v>
      </c>
      <c r="AP230" s="99">
        <f t="shared" si="2"/>
        <v>3.5663750000000001E-2</v>
      </c>
      <c r="AQ230" s="99">
        <f t="shared" si="2"/>
        <v>2.5781250000000002E-2</v>
      </c>
      <c r="AR230" s="99">
        <f t="shared" si="1"/>
        <v>2.5232499999999998E-2</v>
      </c>
      <c r="AS230" s="99">
        <f t="shared" si="1"/>
        <v>2.8780000000000003E-2</v>
      </c>
      <c r="AT230" s="99">
        <f t="shared" si="1"/>
        <v>3.5663750000000001E-2</v>
      </c>
      <c r="AU230" s="99">
        <f t="shared" si="1"/>
        <v>2.5781250000000002E-2</v>
      </c>
      <c r="AV230" s="99">
        <f t="shared" si="1"/>
        <v>2.5232499999999998E-2</v>
      </c>
      <c r="AW230" s="99">
        <f t="shared" si="1"/>
        <v>2.8780000000000003E-2</v>
      </c>
      <c r="AX230" s="99">
        <f t="shared" si="1"/>
        <v>3.5663750000000001E-2</v>
      </c>
      <c r="AY230" s="99">
        <f t="shared" si="1"/>
        <v>2.5781250000000002E-2</v>
      </c>
    </row>
    <row r="231" spans="3:51" customFormat="1" x14ac:dyDescent="0.2">
      <c r="C231" s="107" t="s">
        <v>580</v>
      </c>
      <c r="D231" s="129" t="s">
        <v>748</v>
      </c>
      <c r="E231" s="107" t="s">
        <v>631</v>
      </c>
      <c r="F231" s="107" t="s">
        <v>749</v>
      </c>
      <c r="G231" s="109" t="s">
        <v>633</v>
      </c>
      <c r="H231" s="130">
        <v>8.8700000000000011E-3</v>
      </c>
      <c r="I231" s="130">
        <v>-1.5200000000000001E-3</v>
      </c>
      <c r="J231" s="130">
        <v>7.9500000000000005E-3</v>
      </c>
      <c r="K231" s="130">
        <v>1.3140000000000001E-2</v>
      </c>
      <c r="L231" s="130">
        <v>1.9970000000000002E-2</v>
      </c>
      <c r="M231" s="130">
        <v>-1.8500000000000001E-3</v>
      </c>
      <c r="N231" s="130">
        <v>9.2399999999999999E-3</v>
      </c>
      <c r="O231" s="130">
        <v>8.2399999999999991E-3</v>
      </c>
      <c r="P231" s="130">
        <v>1.7569999999999999E-2</v>
      </c>
      <c r="Q231" s="130">
        <v>1.8450000000000001E-2</v>
      </c>
      <c r="R231" s="130">
        <v>1.958E-2</v>
      </c>
      <c r="S231" s="130">
        <v>2.121E-2</v>
      </c>
      <c r="T231" s="130">
        <v>2.1330000000000002E-2</v>
      </c>
      <c r="U231" s="130">
        <v>-2.7500000000000003E-3</v>
      </c>
      <c r="V231" s="130">
        <v>1.295E-2</v>
      </c>
      <c r="W231" s="130">
        <v>1.115E-2</v>
      </c>
      <c r="X231" s="130">
        <v>1.1299999999999999E-2</v>
      </c>
      <c r="Y231" s="130">
        <v>2.1299999999999999E-3</v>
      </c>
      <c r="Z231" s="130">
        <v>7.1700000000000002E-3</v>
      </c>
      <c r="AA231" s="130">
        <v>4.7400000000000003E-3</v>
      </c>
      <c r="AB231" s="130">
        <v>8.1300000000000001E-3</v>
      </c>
      <c r="AC231" s="130">
        <v>-6.5100000000000002E-3</v>
      </c>
      <c r="AD231" s="130">
        <v>7.6E-3</v>
      </c>
      <c r="AE231" s="130">
        <v>7.28E-3</v>
      </c>
      <c r="AF231" s="130">
        <v>8.3300000000000006E-3</v>
      </c>
      <c r="AG231" s="130">
        <v>2.1900000000000001E-3</v>
      </c>
      <c r="AH231" s="130">
        <v>1.057E-2</v>
      </c>
      <c r="AI231" s="130">
        <v>9.9100000000000004E-3</v>
      </c>
      <c r="AJ231" s="130">
        <v>6.7400000000000003E-3</v>
      </c>
      <c r="AK231" s="130">
        <v>1.3600000000000001E-3</v>
      </c>
      <c r="AL231" s="130">
        <v>8.9800000000000001E-3</v>
      </c>
      <c r="AM231" s="130">
        <v>8.9499999999999996E-3</v>
      </c>
      <c r="AN231" s="99">
        <f t="shared" si="2"/>
        <v>1.278E-2</v>
      </c>
      <c r="AO231" s="99">
        <f t="shared" si="2"/>
        <v>1.4374999999999998E-3</v>
      </c>
      <c r="AP231" s="99">
        <f t="shared" si="2"/>
        <v>1.0504999999999999E-2</v>
      </c>
      <c r="AQ231" s="99">
        <f t="shared" si="2"/>
        <v>1.05775E-2</v>
      </c>
      <c r="AR231" s="99">
        <f t="shared" si="1"/>
        <v>1.278E-2</v>
      </c>
      <c r="AS231" s="99">
        <f t="shared" si="1"/>
        <v>1.4374999999999998E-3</v>
      </c>
      <c r="AT231" s="99">
        <f t="shared" si="1"/>
        <v>1.0504999999999999E-2</v>
      </c>
      <c r="AU231" s="99">
        <f t="shared" si="1"/>
        <v>1.05775E-2</v>
      </c>
      <c r="AV231" s="99">
        <f t="shared" si="1"/>
        <v>1.278E-2</v>
      </c>
      <c r="AW231" s="99">
        <f t="shared" si="1"/>
        <v>1.4374999999999998E-3</v>
      </c>
      <c r="AX231" s="99">
        <f t="shared" si="1"/>
        <v>1.0504999999999999E-2</v>
      </c>
      <c r="AY231" s="99">
        <f t="shared" si="1"/>
        <v>1.05775E-2</v>
      </c>
    </row>
    <row r="232" spans="3:51" customFormat="1" x14ac:dyDescent="0.2">
      <c r="C232" s="107" t="s">
        <v>589</v>
      </c>
      <c r="D232" s="129" t="s">
        <v>748</v>
      </c>
      <c r="E232" s="107" t="s">
        <v>631</v>
      </c>
      <c r="F232" s="107" t="s">
        <v>749</v>
      </c>
      <c r="G232" s="109" t="s">
        <v>633</v>
      </c>
      <c r="H232" s="130">
        <v>-6.8000000000000005E-4</v>
      </c>
      <c r="I232" s="130">
        <v>-8.0300000000000007E-3</v>
      </c>
      <c r="J232" s="130">
        <v>3.8500000000000001E-3</v>
      </c>
      <c r="K232" s="130">
        <v>3.9199999999999999E-3</v>
      </c>
      <c r="L232" s="130">
        <v>8.0000000000000002E-3</v>
      </c>
      <c r="M232" s="130">
        <v>7.0599999999999994E-3</v>
      </c>
      <c r="N232" s="130">
        <v>5.7599999999999995E-3</v>
      </c>
      <c r="O232" s="130">
        <v>1.5640000000000001E-2</v>
      </c>
      <c r="P232" s="130">
        <v>1.668E-2</v>
      </c>
      <c r="Q232" s="130">
        <v>1.9859999999999999E-2</v>
      </c>
      <c r="R232" s="130">
        <v>1.925E-2</v>
      </c>
      <c r="S232" s="130">
        <v>9.1900000000000003E-3</v>
      </c>
      <c r="T232" s="130">
        <v>1.1950000000000001E-2</v>
      </c>
      <c r="U232" s="130">
        <v>9.7699999999999992E-3</v>
      </c>
      <c r="V232" s="130">
        <v>9.5199999999999989E-3</v>
      </c>
      <c r="W232" s="130">
        <v>8.4499999999999992E-3</v>
      </c>
      <c r="X232" s="130">
        <v>4.2399999999999998E-3</v>
      </c>
      <c r="Y232" s="130">
        <v>5.1000000000000004E-3</v>
      </c>
      <c r="Z232" s="130">
        <v>3.8E-3</v>
      </c>
      <c r="AA232" s="130">
        <v>9.6000000000000002E-4</v>
      </c>
      <c r="AB232" s="130">
        <v>6.0000000000000002E-5</v>
      </c>
      <c r="AC232" s="130">
        <v>3.2400000000000003E-3</v>
      </c>
      <c r="AD232" s="130">
        <v>1.8799999999999999E-3</v>
      </c>
      <c r="AE232" s="130">
        <v>6.7200000000000003E-3</v>
      </c>
      <c r="AF232" s="130">
        <v>-4.2999999999999999E-4</v>
      </c>
      <c r="AG232" s="130">
        <v>4.5000000000000005E-3</v>
      </c>
      <c r="AH232" s="130">
        <v>5.0099999999999997E-3</v>
      </c>
      <c r="AI232" s="130">
        <v>4.4000000000000003E-3</v>
      </c>
      <c r="AJ232" s="130">
        <v>2.3600000000000001E-3</v>
      </c>
      <c r="AK232" s="130">
        <v>5.0800000000000003E-3</v>
      </c>
      <c r="AL232" s="130">
        <v>5.1400000000000005E-3</v>
      </c>
      <c r="AM232" s="130">
        <v>4.5200000000000006E-3</v>
      </c>
      <c r="AN232" s="99">
        <f t="shared" si="2"/>
        <v>5.2724999999999994E-3</v>
      </c>
      <c r="AO232" s="99">
        <f t="shared" si="2"/>
        <v>5.8224999999999996E-3</v>
      </c>
      <c r="AP232" s="99">
        <f t="shared" si="2"/>
        <v>6.7762499999999993E-3</v>
      </c>
      <c r="AQ232" s="99">
        <f t="shared" si="2"/>
        <v>6.7250000000000009E-3</v>
      </c>
      <c r="AR232" s="99">
        <f t="shared" si="1"/>
        <v>5.2724999999999994E-3</v>
      </c>
      <c r="AS232" s="99">
        <f t="shared" si="1"/>
        <v>5.8224999999999996E-3</v>
      </c>
      <c r="AT232" s="99">
        <f t="shared" si="1"/>
        <v>6.7762499999999993E-3</v>
      </c>
      <c r="AU232" s="99">
        <f t="shared" si="1"/>
        <v>6.7250000000000009E-3</v>
      </c>
      <c r="AV232" s="99">
        <f t="shared" si="1"/>
        <v>5.2724999999999994E-3</v>
      </c>
      <c r="AW232" s="99">
        <f t="shared" si="1"/>
        <v>5.8224999999999996E-3</v>
      </c>
      <c r="AX232" s="99">
        <f t="shared" si="1"/>
        <v>6.7762499999999993E-3</v>
      </c>
      <c r="AY232" s="99">
        <f t="shared" si="1"/>
        <v>6.7250000000000009E-3</v>
      </c>
    </row>
    <row r="233" spans="3:51" customFormat="1" x14ac:dyDescent="0.2">
      <c r="C233" s="107" t="s">
        <v>646</v>
      </c>
      <c r="D233" s="129" t="s">
        <v>748</v>
      </c>
      <c r="E233" s="107" t="s">
        <v>631</v>
      </c>
      <c r="F233" s="107" t="s">
        <v>749</v>
      </c>
      <c r="G233" s="109" t="s">
        <v>633</v>
      </c>
      <c r="H233" s="130">
        <v>3.1700000000000001E-3</v>
      </c>
      <c r="I233" s="130">
        <v>-5.13E-3</v>
      </c>
      <c r="J233" s="130">
        <v>6.4000000000000003E-3</v>
      </c>
      <c r="K233" s="130">
        <v>1.2999999999999999E-4</v>
      </c>
      <c r="L233" s="130">
        <v>1.2840000000000001E-2</v>
      </c>
      <c r="M233" s="130">
        <v>5.3200000000000001E-3</v>
      </c>
      <c r="N233" s="130">
        <v>6.8600000000000006E-3</v>
      </c>
      <c r="O233" s="130">
        <v>9.9900000000000006E-3</v>
      </c>
      <c r="P233" s="130">
        <v>1.6420000000000001E-2</v>
      </c>
      <c r="Q233" s="130">
        <v>1.95E-2</v>
      </c>
      <c r="R233" s="130">
        <v>1.129E-2</v>
      </c>
      <c r="S233" s="130">
        <v>4.0200000000000001E-3</v>
      </c>
      <c r="T233" s="130">
        <v>1.047E-2</v>
      </c>
      <c r="U233" s="130">
        <v>6.4700000000000001E-3</v>
      </c>
      <c r="V233" s="130">
        <v>1.009E-2</v>
      </c>
      <c r="W233" s="130">
        <v>6.7200000000000003E-3</v>
      </c>
      <c r="X233" s="130">
        <v>6.5500000000000003E-3</v>
      </c>
      <c r="Y233" s="130">
        <v>3.0799999999999998E-3</v>
      </c>
      <c r="Z233" s="130">
        <v>4.0100000000000005E-3</v>
      </c>
      <c r="AA233" s="130">
        <v>1.98E-3</v>
      </c>
      <c r="AB233" s="130">
        <v>1.1859999999999999E-2</v>
      </c>
      <c r="AC233" s="130">
        <v>2.5300000000000001E-3</v>
      </c>
      <c r="AD233" s="130">
        <v>3.0699999999999998E-3</v>
      </c>
      <c r="AE233" s="130">
        <v>6.1700000000000001E-3</v>
      </c>
      <c r="AF233" s="130">
        <v>7.26E-3</v>
      </c>
      <c r="AG233" s="130">
        <v>4.4299999999999999E-3</v>
      </c>
      <c r="AH233" s="130">
        <v>5.3200000000000001E-3</v>
      </c>
      <c r="AI233" s="130">
        <v>3.2000000000000002E-3</v>
      </c>
      <c r="AJ233" s="130">
        <v>7.2100000000000003E-3</v>
      </c>
      <c r="AK233" s="130">
        <v>4.1599999999999996E-3</v>
      </c>
      <c r="AL233" s="130">
        <v>5.13E-3</v>
      </c>
      <c r="AM233" s="130">
        <v>3.16E-3</v>
      </c>
      <c r="AN233" s="99">
        <f t="shared" si="2"/>
        <v>9.4725000000000018E-3</v>
      </c>
      <c r="AO233" s="99">
        <f t="shared" si="2"/>
        <v>5.0449999999999991E-3</v>
      </c>
      <c r="AP233" s="99">
        <f t="shared" si="2"/>
        <v>6.521250000000001E-3</v>
      </c>
      <c r="AQ233" s="99">
        <f t="shared" si="2"/>
        <v>4.4212499999999998E-3</v>
      </c>
      <c r="AR233" s="99">
        <f t="shared" si="1"/>
        <v>9.4725000000000018E-3</v>
      </c>
      <c r="AS233" s="99">
        <f t="shared" si="1"/>
        <v>5.0449999999999991E-3</v>
      </c>
      <c r="AT233" s="99">
        <f t="shared" si="1"/>
        <v>6.521250000000001E-3</v>
      </c>
      <c r="AU233" s="99">
        <f t="shared" si="1"/>
        <v>4.4212499999999998E-3</v>
      </c>
      <c r="AV233" s="99">
        <f t="shared" si="1"/>
        <v>9.4725000000000018E-3</v>
      </c>
      <c r="AW233" s="99">
        <f t="shared" si="1"/>
        <v>5.0449999999999991E-3</v>
      </c>
      <c r="AX233" s="99">
        <f t="shared" si="1"/>
        <v>6.521250000000001E-3</v>
      </c>
      <c r="AY233" s="99">
        <f t="shared" si="1"/>
        <v>4.4212499999999998E-3</v>
      </c>
    </row>
    <row r="234" spans="3:51" customFormat="1" x14ac:dyDescent="0.2">
      <c r="C234" s="107" t="s">
        <v>593</v>
      </c>
      <c r="D234" s="129" t="s">
        <v>748</v>
      </c>
      <c r="E234" s="107" t="s">
        <v>631</v>
      </c>
      <c r="F234" s="107" t="s">
        <v>749</v>
      </c>
      <c r="G234" s="109" t="s">
        <v>633</v>
      </c>
      <c r="H234" s="130">
        <v>2.351E-2</v>
      </c>
      <c r="I234" s="130">
        <v>-4.15E-3</v>
      </c>
      <c r="J234" s="130">
        <v>1.5949999999999999E-2</v>
      </c>
      <c r="K234" s="130">
        <v>1.4730000000000002E-2</v>
      </c>
      <c r="L234" s="130">
        <v>1.6420000000000001E-2</v>
      </c>
      <c r="M234" s="130">
        <v>1.0540000000000001E-2</v>
      </c>
      <c r="N234" s="130">
        <v>2.2480000000000003E-2</v>
      </c>
      <c r="O234" s="130">
        <v>5.8250000000000003E-2</v>
      </c>
      <c r="P234" s="130">
        <v>8.4849999999999995E-2</v>
      </c>
      <c r="Q234" s="130">
        <v>0.24745999999999999</v>
      </c>
      <c r="R234" s="130">
        <v>0.18117000000000003</v>
      </c>
      <c r="S234" s="130">
        <v>1.6730000000000002E-2</v>
      </c>
      <c r="T234" s="130">
        <v>1.336E-2</v>
      </c>
      <c r="U234" s="130">
        <v>-2.7500000000000003E-3</v>
      </c>
      <c r="V234" s="130">
        <v>-3.0300000000000001E-3</v>
      </c>
      <c r="W234" s="130">
        <v>1.8110000000000001E-2</v>
      </c>
      <c r="X234" s="130">
        <v>3.499E-2</v>
      </c>
      <c r="Y234" s="130">
        <v>-2.6579999999999999E-2</v>
      </c>
      <c r="Z234" s="130">
        <v>-1.401E-2</v>
      </c>
      <c r="AA234" s="130">
        <v>-8.7200000000000003E-3</v>
      </c>
      <c r="AB234" s="130">
        <v>1.5689999999999999E-2</v>
      </c>
      <c r="AC234" s="130">
        <v>6.3500000000000006E-3</v>
      </c>
      <c r="AD234" s="130">
        <v>6.3000000000000003E-4</v>
      </c>
      <c r="AE234" s="130">
        <v>3.65E-3</v>
      </c>
      <c r="AF234" s="130">
        <v>1.8460000000000001E-2</v>
      </c>
      <c r="AG234" s="130">
        <v>1.7100000000000001E-2</v>
      </c>
      <c r="AH234" s="130">
        <v>1.4810000000000002E-2</v>
      </c>
      <c r="AI234" s="130">
        <v>6.0000000000000001E-3</v>
      </c>
      <c r="AJ234" s="130">
        <v>1.0460000000000001E-2</v>
      </c>
      <c r="AK234" s="130">
        <v>1.6920000000000001E-2</v>
      </c>
      <c r="AL234" s="130">
        <v>1.4850000000000002E-2</v>
      </c>
      <c r="AM234" s="130">
        <v>6.3800000000000003E-3</v>
      </c>
      <c r="AN234" s="99">
        <f t="shared" si="2"/>
        <v>2.7217499999999999E-2</v>
      </c>
      <c r="AO234" s="99">
        <f t="shared" si="2"/>
        <v>3.3111250000000002E-2</v>
      </c>
      <c r="AP234" s="99">
        <f t="shared" si="2"/>
        <v>2.910625E-2</v>
      </c>
      <c r="AQ234" s="99">
        <f t="shared" si="2"/>
        <v>1.4391250000000001E-2</v>
      </c>
      <c r="AR234" s="99">
        <f t="shared" ref="AR234:AY265" si="3">AN234</f>
        <v>2.7217499999999999E-2</v>
      </c>
      <c r="AS234" s="99">
        <f t="shared" si="3"/>
        <v>3.3111250000000002E-2</v>
      </c>
      <c r="AT234" s="99">
        <f t="shared" si="3"/>
        <v>2.910625E-2</v>
      </c>
      <c r="AU234" s="99">
        <f t="shared" si="3"/>
        <v>1.4391250000000001E-2</v>
      </c>
      <c r="AV234" s="99">
        <f t="shared" si="3"/>
        <v>2.7217499999999999E-2</v>
      </c>
      <c r="AW234" s="99">
        <f t="shared" si="3"/>
        <v>3.3111250000000002E-2</v>
      </c>
      <c r="AX234" s="99">
        <f t="shared" si="3"/>
        <v>2.910625E-2</v>
      </c>
      <c r="AY234" s="99">
        <f t="shared" si="3"/>
        <v>1.4391250000000001E-2</v>
      </c>
    </row>
    <row r="235" spans="3:51" customFormat="1" x14ac:dyDescent="0.2">
      <c r="C235" s="107" t="s">
        <v>599</v>
      </c>
      <c r="D235" s="129" t="s">
        <v>748</v>
      </c>
      <c r="E235" s="107" t="s">
        <v>631</v>
      </c>
      <c r="F235" s="107" t="s">
        <v>749</v>
      </c>
      <c r="G235" s="109" t="s">
        <v>633</v>
      </c>
      <c r="H235" s="130">
        <v>-3.62E-3</v>
      </c>
      <c r="I235" s="130">
        <v>-6.6600000000000001E-3</v>
      </c>
      <c r="J235" s="130">
        <v>6.94E-3</v>
      </c>
      <c r="K235" s="130">
        <v>2.9499999999999999E-3</v>
      </c>
      <c r="L235" s="130">
        <v>4.7699999999999999E-3</v>
      </c>
      <c r="M235" s="130">
        <v>6.4400000000000004E-3</v>
      </c>
      <c r="N235" s="130">
        <v>8.4700000000000001E-3</v>
      </c>
      <c r="O235" s="130">
        <v>6.8100000000000009E-3</v>
      </c>
      <c r="P235" s="130">
        <v>6.1000000000000004E-3</v>
      </c>
      <c r="Q235" s="130">
        <v>1.272E-2</v>
      </c>
      <c r="R235" s="130">
        <v>3.3700000000000002E-3</v>
      </c>
      <c r="S235" s="130">
        <v>3.6099999999999999E-3</v>
      </c>
      <c r="T235" s="130">
        <v>6.1700000000000001E-3</v>
      </c>
      <c r="U235" s="130">
        <v>7.0899999999999999E-3</v>
      </c>
      <c r="V235" s="130">
        <v>7.3600000000000002E-3</v>
      </c>
      <c r="W235" s="130">
        <v>7.8399999999999997E-3</v>
      </c>
      <c r="X235" s="130">
        <v>9.1E-4</v>
      </c>
      <c r="Y235" s="130">
        <v>5.7399999999999994E-3</v>
      </c>
      <c r="Z235" s="130">
        <v>7.6600000000000001E-3</v>
      </c>
      <c r="AA235" s="130">
        <v>5.1700000000000001E-3</v>
      </c>
      <c r="AB235" s="130">
        <v>3.13E-3</v>
      </c>
      <c r="AC235" s="130">
        <v>6.4000000000000005E-4</v>
      </c>
      <c r="AD235" s="130">
        <v>5.6200000000000009E-3</v>
      </c>
      <c r="AE235" s="130">
        <v>3.8900000000000002E-3</v>
      </c>
      <c r="AF235" s="130">
        <v>8.9999999999999998E-4</v>
      </c>
      <c r="AG235" s="130">
        <v>5.4300000000000008E-3</v>
      </c>
      <c r="AH235" s="130">
        <v>6.43E-3</v>
      </c>
      <c r="AI235" s="130">
        <v>4.5700000000000003E-3</v>
      </c>
      <c r="AJ235" s="130">
        <v>1.2E-4</v>
      </c>
      <c r="AK235" s="130">
        <v>5.0699999999999999E-3</v>
      </c>
      <c r="AL235" s="130">
        <v>5.8500000000000002E-3</v>
      </c>
      <c r="AM235" s="130">
        <v>3.9000000000000003E-3</v>
      </c>
      <c r="AN235" s="99">
        <f t="shared" si="2"/>
        <v>2.3100000000000004E-3</v>
      </c>
      <c r="AO235" s="99">
        <f t="shared" si="2"/>
        <v>4.5587500000000003E-3</v>
      </c>
      <c r="AP235" s="99">
        <f t="shared" si="2"/>
        <v>6.4625000000000004E-3</v>
      </c>
      <c r="AQ235" s="99">
        <f t="shared" si="2"/>
        <v>4.8424999999999996E-3</v>
      </c>
      <c r="AR235" s="99">
        <f t="shared" si="3"/>
        <v>2.3100000000000004E-3</v>
      </c>
      <c r="AS235" s="99">
        <f t="shared" si="3"/>
        <v>4.5587500000000003E-3</v>
      </c>
      <c r="AT235" s="99">
        <f t="shared" si="3"/>
        <v>6.4625000000000004E-3</v>
      </c>
      <c r="AU235" s="99">
        <f t="shared" si="3"/>
        <v>4.8424999999999996E-3</v>
      </c>
      <c r="AV235" s="99">
        <f t="shared" si="3"/>
        <v>2.3100000000000004E-3</v>
      </c>
      <c r="AW235" s="99">
        <f t="shared" si="3"/>
        <v>4.5587500000000003E-3</v>
      </c>
      <c r="AX235" s="99">
        <f t="shared" si="3"/>
        <v>6.4625000000000004E-3</v>
      </c>
      <c r="AY235" s="99">
        <f t="shared" si="3"/>
        <v>4.8424999999999996E-3</v>
      </c>
    </row>
    <row r="236" spans="3:51" customFormat="1" x14ac:dyDescent="0.2">
      <c r="C236" s="107" t="s">
        <v>602</v>
      </c>
      <c r="D236" s="129" t="s">
        <v>748</v>
      </c>
      <c r="E236" s="107" t="s">
        <v>631</v>
      </c>
      <c r="F236" s="107" t="s">
        <v>749</v>
      </c>
      <c r="G236" s="109" t="s">
        <v>633</v>
      </c>
      <c r="H236" s="130">
        <v>-2.1700000000000001E-3</v>
      </c>
      <c r="I236" s="130">
        <v>-2.1110000000000004E-2</v>
      </c>
      <c r="J236" s="130">
        <v>1.8770000000000002E-2</v>
      </c>
      <c r="K236" s="130">
        <v>9.7000000000000005E-4</v>
      </c>
      <c r="L236" s="130">
        <v>-3.5499999999999998E-3</v>
      </c>
      <c r="M236" s="130">
        <v>7.3200000000000001E-3</v>
      </c>
      <c r="N236" s="130">
        <v>2.3E-3</v>
      </c>
      <c r="O236" s="130">
        <v>1.8030000000000001E-2</v>
      </c>
      <c r="P236" s="130">
        <v>1.9050000000000001E-2</v>
      </c>
      <c r="Q236" s="130">
        <v>2.3889999999999998E-2</v>
      </c>
      <c r="R236" s="130">
        <v>1.008E-2</v>
      </c>
      <c r="S236" s="130">
        <v>3.9399999999999999E-3</v>
      </c>
      <c r="T236" s="130">
        <v>4.6000000000000001E-4</v>
      </c>
      <c r="U236" s="130">
        <v>-3.16E-3</v>
      </c>
      <c r="V236" s="130">
        <v>3.9399999999999999E-3</v>
      </c>
      <c r="W236" s="130">
        <v>-6.5100000000000002E-3</v>
      </c>
      <c r="X236" s="130">
        <v>-2.14E-3</v>
      </c>
      <c r="Y236" s="130">
        <v>1.261E-2</v>
      </c>
      <c r="Z236" s="130">
        <v>2.0899999999999998E-3</v>
      </c>
      <c r="AA236" s="130">
        <v>-2.48E-3</v>
      </c>
      <c r="AB236" s="130">
        <v>-1.4199999999999998E-3</v>
      </c>
      <c r="AC236" s="130">
        <v>-1.6900000000000001E-3</v>
      </c>
      <c r="AD236" s="130">
        <v>-1.8600000000000001E-3</v>
      </c>
      <c r="AE236" s="130">
        <v>-2.0000000000000001E-4</v>
      </c>
      <c r="AF236" s="130">
        <v>1.4499999999999999E-3</v>
      </c>
      <c r="AG236" s="130">
        <v>4.13E-3</v>
      </c>
      <c r="AH236" s="130">
        <v>4.6899999999999997E-3</v>
      </c>
      <c r="AI236" s="130">
        <v>2.3700000000000001E-3</v>
      </c>
      <c r="AJ236" s="130">
        <v>-1.0999999999999999E-4</v>
      </c>
      <c r="AK236" s="130">
        <v>5.0699999999999999E-3</v>
      </c>
      <c r="AL236" s="130">
        <v>4.9700000000000005E-3</v>
      </c>
      <c r="AM236" s="130">
        <v>2.5000000000000001E-3</v>
      </c>
      <c r="AN236" s="99">
        <f t="shared" si="2"/>
        <v>1.4462500000000003E-3</v>
      </c>
      <c r="AO236" s="99">
        <f t="shared" si="2"/>
        <v>3.3824999999999992E-3</v>
      </c>
      <c r="AP236" s="99">
        <f t="shared" si="2"/>
        <v>5.6225000000000008E-3</v>
      </c>
      <c r="AQ236" s="99">
        <f t="shared" si="2"/>
        <v>2.3275000000000001E-3</v>
      </c>
      <c r="AR236" s="99">
        <f t="shared" si="3"/>
        <v>1.4462500000000003E-3</v>
      </c>
      <c r="AS236" s="99">
        <f t="shared" si="3"/>
        <v>3.3824999999999992E-3</v>
      </c>
      <c r="AT236" s="99">
        <f t="shared" si="3"/>
        <v>5.6225000000000008E-3</v>
      </c>
      <c r="AU236" s="99">
        <f t="shared" si="3"/>
        <v>2.3275000000000001E-3</v>
      </c>
      <c r="AV236" s="99">
        <f t="shared" si="3"/>
        <v>1.4462500000000003E-3</v>
      </c>
      <c r="AW236" s="99">
        <f t="shared" si="3"/>
        <v>3.3824999999999992E-3</v>
      </c>
      <c r="AX236" s="99">
        <f t="shared" si="3"/>
        <v>5.6225000000000008E-3</v>
      </c>
      <c r="AY236" s="99">
        <f t="shared" si="3"/>
        <v>2.3275000000000001E-3</v>
      </c>
    </row>
    <row r="237" spans="3:51" customFormat="1" x14ac:dyDescent="0.2">
      <c r="C237" s="107" t="s">
        <v>609</v>
      </c>
      <c r="D237" s="129" t="s">
        <v>748</v>
      </c>
      <c r="E237" s="107" t="s">
        <v>631</v>
      </c>
      <c r="F237" s="107" t="s">
        <v>749</v>
      </c>
      <c r="G237" s="109" t="s">
        <v>633</v>
      </c>
      <c r="H237" s="130">
        <v>4.8079999999999998E-2</v>
      </c>
      <c r="I237" s="130">
        <v>3.4520000000000002E-2</v>
      </c>
      <c r="J237" s="130">
        <v>-4.3299999999999996E-3</v>
      </c>
      <c r="K237" s="130">
        <v>3.0960000000000001E-2</v>
      </c>
      <c r="L237" s="130">
        <v>4.8049999999999995E-2</v>
      </c>
      <c r="M237" s="130">
        <v>3.0230000000000003E-2</v>
      </c>
      <c r="N237" s="130">
        <v>-2.8399999999999996E-3</v>
      </c>
      <c r="O237" s="130">
        <v>2.445E-2</v>
      </c>
      <c r="P237" s="130">
        <v>4.5240000000000002E-2</v>
      </c>
      <c r="Q237" s="130">
        <v>4.1440000000000005E-2</v>
      </c>
      <c r="R237" s="130">
        <v>6.8400000000000006E-3</v>
      </c>
      <c r="S237" s="130">
        <v>2.4029999999999999E-2</v>
      </c>
      <c r="T237" s="130">
        <v>4.3289999999999995E-2</v>
      </c>
      <c r="U237" s="130">
        <v>2.419E-2</v>
      </c>
      <c r="V237" s="130">
        <v>-3.5499999999999998E-3</v>
      </c>
      <c r="W237" s="130">
        <v>2.2419999999999999E-2</v>
      </c>
      <c r="X237" s="130">
        <v>3.8199999999999998E-2</v>
      </c>
      <c r="Y237" s="130">
        <v>3.7760000000000002E-2</v>
      </c>
      <c r="Z237" s="130">
        <v>3.1199999999999999E-3</v>
      </c>
      <c r="AA237" s="130">
        <v>1.779E-2</v>
      </c>
      <c r="AB237" s="130">
        <v>3.9169999999999996E-2</v>
      </c>
      <c r="AC237" s="130">
        <v>2.8879999999999999E-2</v>
      </c>
      <c r="AD237" s="130">
        <v>-2.3600000000000001E-3</v>
      </c>
      <c r="AE237" s="130">
        <v>8.1300000000000001E-3</v>
      </c>
      <c r="AF237" s="130" t="s">
        <v>633</v>
      </c>
      <c r="AG237" s="130" t="s">
        <v>633</v>
      </c>
      <c r="AH237" s="130" t="s">
        <v>633</v>
      </c>
      <c r="AI237" s="130" t="s">
        <v>633</v>
      </c>
      <c r="AJ237" s="130" t="s">
        <v>633</v>
      </c>
      <c r="AK237" s="130" t="s">
        <v>633</v>
      </c>
      <c r="AL237" s="130" t="s">
        <v>633</v>
      </c>
      <c r="AM237" s="130" t="s">
        <v>633</v>
      </c>
      <c r="AN237" s="99">
        <f t="shared" si="2"/>
        <v>4.3671666666666664E-2</v>
      </c>
      <c r="AO237" s="99">
        <f t="shared" si="2"/>
        <v>3.2836666666666667E-2</v>
      </c>
      <c r="AP237" s="99">
        <f t="shared" si="2"/>
        <v>-5.1999999999999974E-4</v>
      </c>
      <c r="AQ237" s="99">
        <f t="shared" si="2"/>
        <v>2.1296666666666669E-2</v>
      </c>
      <c r="AR237" s="99">
        <f t="shared" si="3"/>
        <v>4.3671666666666664E-2</v>
      </c>
      <c r="AS237" s="99">
        <f t="shared" si="3"/>
        <v>3.2836666666666667E-2</v>
      </c>
      <c r="AT237" s="99">
        <f t="shared" si="3"/>
        <v>-5.1999999999999974E-4</v>
      </c>
      <c r="AU237" s="99">
        <f t="shared" si="3"/>
        <v>2.1296666666666669E-2</v>
      </c>
      <c r="AV237" s="99">
        <f t="shared" si="3"/>
        <v>4.3671666666666664E-2</v>
      </c>
      <c r="AW237" s="99">
        <f t="shared" si="3"/>
        <v>3.2836666666666667E-2</v>
      </c>
      <c r="AX237" s="99">
        <f t="shared" si="3"/>
        <v>-5.1999999999999974E-4</v>
      </c>
      <c r="AY237" s="99">
        <f t="shared" si="3"/>
        <v>2.1296666666666669E-2</v>
      </c>
    </row>
    <row r="238" spans="3:51" customFormat="1" x14ac:dyDescent="0.2">
      <c r="C238" s="107" t="s">
        <v>611</v>
      </c>
      <c r="D238" s="129" t="s">
        <v>748</v>
      </c>
      <c r="E238" s="107" t="s">
        <v>631</v>
      </c>
      <c r="F238" s="107" t="s">
        <v>749</v>
      </c>
      <c r="G238" s="109" t="s">
        <v>633</v>
      </c>
      <c r="H238" s="130">
        <v>2.1320000000000002E-2</v>
      </c>
      <c r="I238" s="130">
        <v>-1.8740000000000003E-2</v>
      </c>
      <c r="J238" s="130">
        <v>9.2100000000000012E-3</v>
      </c>
      <c r="K238" s="130">
        <v>2.2200000000000002E-3</v>
      </c>
      <c r="L238" s="130">
        <v>1.051E-2</v>
      </c>
      <c r="M238" s="130">
        <v>4.5200000000000006E-3</v>
      </c>
      <c r="N238" s="130">
        <v>7.6E-3</v>
      </c>
      <c r="O238" s="130">
        <v>-3.79E-3</v>
      </c>
      <c r="P238" s="130">
        <v>1.0829999999999999E-2</v>
      </c>
      <c r="Q238" s="130">
        <v>1.4730000000000002E-2</v>
      </c>
      <c r="R238" s="130">
        <v>1.208E-2</v>
      </c>
      <c r="S238" s="130">
        <v>7.11E-3</v>
      </c>
      <c r="T238" s="130">
        <v>8.6200000000000009E-3</v>
      </c>
      <c r="U238" s="130">
        <v>-2.5000000000000001E-3</v>
      </c>
      <c r="V238" s="130">
        <v>1.593E-2</v>
      </c>
      <c r="W238" s="130">
        <v>1.3009999999999999E-2</v>
      </c>
      <c r="X238" s="130">
        <v>1.091E-2</v>
      </c>
      <c r="Y238" s="130">
        <v>3.48E-3</v>
      </c>
      <c r="Z238" s="130">
        <v>6.9699999999999996E-3</v>
      </c>
      <c r="AA238" s="130">
        <v>7.0499999999999998E-3</v>
      </c>
      <c r="AB238" s="130">
        <v>1.4370000000000001E-2</v>
      </c>
      <c r="AC238" s="130">
        <v>4.3499999999999997E-3</v>
      </c>
      <c r="AD238" s="130">
        <v>6.5800000000000008E-3</v>
      </c>
      <c r="AE238" s="130">
        <v>8.6700000000000006E-3</v>
      </c>
      <c r="AF238" s="130">
        <v>1.1479999999999999E-2</v>
      </c>
      <c r="AG238" s="130">
        <v>5.94E-3</v>
      </c>
      <c r="AH238" s="130">
        <v>1.2240000000000001E-2</v>
      </c>
      <c r="AI238" s="130">
        <v>1.0289999999999999E-2</v>
      </c>
      <c r="AJ238" s="130">
        <v>8.5299999999999994E-3</v>
      </c>
      <c r="AK238" s="130">
        <v>4.4400000000000004E-3</v>
      </c>
      <c r="AL238" s="130">
        <v>1.034E-2</v>
      </c>
      <c r="AM238" s="130">
        <v>8.94E-3</v>
      </c>
      <c r="AN238" s="99">
        <f t="shared" si="2"/>
        <v>1.207125E-2</v>
      </c>
      <c r="AO238" s="99">
        <f t="shared" si="2"/>
        <v>2.0275000000000002E-3</v>
      </c>
      <c r="AP238" s="99">
        <f t="shared" si="2"/>
        <v>1.0118750000000001E-2</v>
      </c>
      <c r="AQ238" s="99">
        <f t="shared" si="2"/>
        <v>6.687499999999999E-3</v>
      </c>
      <c r="AR238" s="99">
        <f t="shared" si="3"/>
        <v>1.207125E-2</v>
      </c>
      <c r="AS238" s="99">
        <f t="shared" si="3"/>
        <v>2.0275000000000002E-3</v>
      </c>
      <c r="AT238" s="99">
        <f t="shared" si="3"/>
        <v>1.0118750000000001E-2</v>
      </c>
      <c r="AU238" s="99">
        <f t="shared" si="3"/>
        <v>6.687499999999999E-3</v>
      </c>
      <c r="AV238" s="99">
        <f t="shared" si="3"/>
        <v>1.207125E-2</v>
      </c>
      <c r="AW238" s="99">
        <f t="shared" si="3"/>
        <v>2.0275000000000002E-3</v>
      </c>
      <c r="AX238" s="99">
        <f t="shared" si="3"/>
        <v>1.0118750000000001E-2</v>
      </c>
      <c r="AY238" s="99">
        <f t="shared" si="3"/>
        <v>6.687499999999999E-3</v>
      </c>
    </row>
    <row r="239" spans="3:51" customFormat="1" x14ac:dyDescent="0.2">
      <c r="C239" s="107" t="s">
        <v>399</v>
      </c>
      <c r="D239" s="129" t="s">
        <v>748</v>
      </c>
      <c r="E239" s="107" t="s">
        <v>631</v>
      </c>
      <c r="F239" s="107" t="s">
        <v>749</v>
      </c>
      <c r="G239" s="109" t="s">
        <v>633</v>
      </c>
      <c r="H239" s="130">
        <v>3.4399999999999999E-3</v>
      </c>
      <c r="I239" s="130">
        <v>-1.8870000000000001E-2</v>
      </c>
      <c r="J239" s="130">
        <v>1.5730000000000001E-2</v>
      </c>
      <c r="K239" s="130">
        <v>8.6099999999999996E-3</v>
      </c>
      <c r="L239" s="130">
        <v>5.9699999999999996E-3</v>
      </c>
      <c r="M239" s="130">
        <v>7.6300000000000005E-3</v>
      </c>
      <c r="N239" s="130">
        <v>7.5799999999999999E-3</v>
      </c>
      <c r="O239" s="130">
        <v>1.337E-2</v>
      </c>
      <c r="P239" s="130">
        <v>2.1429999999999998E-2</v>
      </c>
      <c r="Q239" s="130">
        <v>1.7760000000000001E-2</v>
      </c>
      <c r="R239" s="130">
        <v>1.8240000000000003E-2</v>
      </c>
      <c r="S239" s="130">
        <v>1.8690000000000002E-2</v>
      </c>
      <c r="T239" s="130">
        <v>1.376E-2</v>
      </c>
      <c r="U239" s="130">
        <v>8.3000000000000001E-3</v>
      </c>
      <c r="V239" s="130">
        <v>1.1970000000000001E-2</v>
      </c>
      <c r="W239" s="130">
        <v>5.9099999999999995E-3</v>
      </c>
      <c r="X239" s="130">
        <v>9.5499999999999995E-3</v>
      </c>
      <c r="Y239" s="130">
        <v>1.0189999999999999E-2</v>
      </c>
      <c r="Z239" s="130">
        <v>2.4599999999999999E-3</v>
      </c>
      <c r="AA239" s="130">
        <v>1.7599999999999998E-3</v>
      </c>
      <c r="AB239" s="130">
        <v>9.9900000000000006E-3</v>
      </c>
      <c r="AC239" s="130">
        <v>6.8600000000000006E-3</v>
      </c>
      <c r="AD239" s="130">
        <v>1.341E-2</v>
      </c>
      <c r="AE239" s="130">
        <v>5.9800000000000001E-3</v>
      </c>
      <c r="AF239" s="130">
        <v>6.5600000000000007E-3</v>
      </c>
      <c r="AG239" s="130">
        <v>6.3400000000000001E-3</v>
      </c>
      <c r="AH239" s="130">
        <v>8.6099999999999996E-3</v>
      </c>
      <c r="AI239" s="130">
        <v>5.1400000000000005E-3</v>
      </c>
      <c r="AJ239" s="130">
        <v>6.4099999999999999E-3</v>
      </c>
      <c r="AK239" s="130">
        <v>5.28E-3</v>
      </c>
      <c r="AL239" s="130">
        <v>8.1700000000000002E-3</v>
      </c>
      <c r="AM239" s="130">
        <v>5.0899999999999999E-3</v>
      </c>
      <c r="AN239" s="99">
        <f t="shared" si="2"/>
        <v>9.6387499999999997E-3</v>
      </c>
      <c r="AO239" s="99">
        <f t="shared" si="2"/>
        <v>5.4362499999999984E-3</v>
      </c>
      <c r="AP239" s="99">
        <f t="shared" si="2"/>
        <v>1.0771250000000003E-2</v>
      </c>
      <c r="AQ239" s="99">
        <f t="shared" si="2"/>
        <v>8.0687499999999995E-3</v>
      </c>
      <c r="AR239" s="99">
        <f t="shared" si="3"/>
        <v>9.6387499999999997E-3</v>
      </c>
      <c r="AS239" s="99">
        <f t="shared" si="3"/>
        <v>5.4362499999999984E-3</v>
      </c>
      <c r="AT239" s="99">
        <f t="shared" si="3"/>
        <v>1.0771250000000003E-2</v>
      </c>
      <c r="AU239" s="99">
        <f t="shared" si="3"/>
        <v>8.0687499999999995E-3</v>
      </c>
      <c r="AV239" s="99">
        <f t="shared" si="3"/>
        <v>9.6387499999999997E-3</v>
      </c>
      <c r="AW239" s="99">
        <f t="shared" si="3"/>
        <v>5.4362499999999984E-3</v>
      </c>
      <c r="AX239" s="99">
        <f t="shared" si="3"/>
        <v>1.0771250000000003E-2</v>
      </c>
      <c r="AY239" s="99">
        <f t="shared" si="3"/>
        <v>8.0687499999999995E-3</v>
      </c>
    </row>
    <row r="240" spans="3:51" customFormat="1" x14ac:dyDescent="0.2">
      <c r="C240" s="107" t="s">
        <v>403</v>
      </c>
      <c r="D240" s="129" t="s">
        <v>748</v>
      </c>
      <c r="E240" s="107" t="s">
        <v>631</v>
      </c>
      <c r="F240" s="107" t="s">
        <v>749</v>
      </c>
      <c r="G240" s="109" t="s">
        <v>633</v>
      </c>
      <c r="H240" s="130">
        <v>7.6600000000000001E-3</v>
      </c>
      <c r="I240" s="130">
        <v>-4.7499999999999999E-3</v>
      </c>
      <c r="J240" s="130">
        <v>6.6900000000000006E-3</v>
      </c>
      <c r="K240" s="130">
        <v>4.7400000000000003E-3</v>
      </c>
      <c r="L240" s="130">
        <v>8.5000000000000006E-3</v>
      </c>
      <c r="M240" s="130">
        <v>1.311E-2</v>
      </c>
      <c r="N240" s="130">
        <v>2.2180000000000002E-2</v>
      </c>
      <c r="O240" s="130">
        <v>1.447E-2</v>
      </c>
      <c r="P240" s="130">
        <v>1.7829999999999999E-2</v>
      </c>
      <c r="Q240" s="130">
        <v>1.6639999999999999E-2</v>
      </c>
      <c r="R240" s="130">
        <v>2.1530000000000001E-2</v>
      </c>
      <c r="S240" s="130">
        <v>1.4330000000000001E-2</v>
      </c>
      <c r="T240" s="130">
        <v>1.2470000000000002E-2</v>
      </c>
      <c r="U240" s="130">
        <v>1.0669999999999999E-2</v>
      </c>
      <c r="V240" s="130">
        <v>1.787E-2</v>
      </c>
      <c r="W240" s="130">
        <v>4.79E-3</v>
      </c>
      <c r="X240" s="130">
        <v>6.3500000000000006E-3</v>
      </c>
      <c r="Y240" s="130">
        <v>3.9500000000000004E-3</v>
      </c>
      <c r="Z240" s="130">
        <v>6.2900000000000005E-3</v>
      </c>
      <c r="AA240" s="130">
        <v>5.4700000000000009E-3</v>
      </c>
      <c r="AB240" s="130">
        <v>9.3200000000000002E-3</v>
      </c>
      <c r="AC240" s="130">
        <v>5.3900000000000007E-3</v>
      </c>
      <c r="AD240" s="130">
        <v>9.9500000000000005E-3</v>
      </c>
      <c r="AE240" s="130">
        <v>6.0699999999999999E-3</v>
      </c>
      <c r="AF240" s="130">
        <v>1.66E-3</v>
      </c>
      <c r="AG240" s="130">
        <v>5.8799999999999998E-3</v>
      </c>
      <c r="AH240" s="130">
        <v>7.7400000000000004E-3</v>
      </c>
      <c r="AI240" s="130">
        <v>3.8400000000000001E-3</v>
      </c>
      <c r="AJ240" s="130">
        <v>3.8600000000000001E-3</v>
      </c>
      <c r="AK240" s="130">
        <v>5.5300000000000002E-3</v>
      </c>
      <c r="AL240" s="130">
        <v>7.4200000000000004E-3</v>
      </c>
      <c r="AM240" s="130">
        <v>3.4300000000000003E-3</v>
      </c>
      <c r="AN240" s="99">
        <f t="shared" si="2"/>
        <v>8.4562500000000002E-3</v>
      </c>
      <c r="AO240" s="99">
        <f t="shared" si="2"/>
        <v>7.0524999999999997E-3</v>
      </c>
      <c r="AP240" s="99">
        <f t="shared" si="2"/>
        <v>1.2458750000000001E-2</v>
      </c>
      <c r="AQ240" s="99">
        <f t="shared" si="2"/>
        <v>7.1424999999999995E-3</v>
      </c>
      <c r="AR240" s="99">
        <f t="shared" si="3"/>
        <v>8.4562500000000002E-3</v>
      </c>
      <c r="AS240" s="99">
        <f t="shared" si="3"/>
        <v>7.0524999999999997E-3</v>
      </c>
      <c r="AT240" s="99">
        <f t="shared" si="3"/>
        <v>1.2458750000000001E-2</v>
      </c>
      <c r="AU240" s="99">
        <f t="shared" si="3"/>
        <v>7.1424999999999995E-3</v>
      </c>
      <c r="AV240" s="99">
        <f t="shared" si="3"/>
        <v>8.4562500000000002E-3</v>
      </c>
      <c r="AW240" s="99">
        <f t="shared" si="3"/>
        <v>7.0524999999999997E-3</v>
      </c>
      <c r="AX240" s="99">
        <f t="shared" si="3"/>
        <v>1.2458750000000001E-2</v>
      </c>
      <c r="AY240" s="99">
        <f t="shared" si="3"/>
        <v>7.1424999999999995E-3</v>
      </c>
    </row>
    <row r="241" spans="3:51" customFormat="1" x14ac:dyDescent="0.2">
      <c r="C241" s="107" t="s">
        <v>504</v>
      </c>
      <c r="D241" s="129" t="s">
        <v>748</v>
      </c>
      <c r="E241" s="107" t="s">
        <v>631</v>
      </c>
      <c r="F241" s="107" t="s">
        <v>749</v>
      </c>
      <c r="G241" s="109" t="s">
        <v>633</v>
      </c>
      <c r="H241" s="130">
        <v>2.265E-2</v>
      </c>
      <c r="I241" s="130">
        <v>1.4450000000000001E-2</v>
      </c>
      <c r="J241" s="130">
        <v>6.9499999999999996E-3</v>
      </c>
      <c r="K241" s="130">
        <v>2.1389999999999999E-2</v>
      </c>
      <c r="L241" s="130">
        <v>3.7499999999999999E-2</v>
      </c>
      <c r="M241" s="130">
        <v>2.4420000000000001E-2</v>
      </c>
      <c r="N241" s="130">
        <v>1.2540000000000001E-2</v>
      </c>
      <c r="O241" s="130">
        <v>2.4840000000000001E-2</v>
      </c>
      <c r="P241" s="130">
        <v>5.4560000000000004E-2</v>
      </c>
      <c r="Q241" s="130">
        <v>7.034E-2</v>
      </c>
      <c r="R241" s="130">
        <v>1.8240000000000003E-2</v>
      </c>
      <c r="S241" s="130">
        <v>-1.0029999999999999E-2</v>
      </c>
      <c r="T241" s="130">
        <v>1.702E-2</v>
      </c>
      <c r="U241" s="130">
        <v>1.0480000000000001E-2</v>
      </c>
      <c r="V241" s="130">
        <v>3.9199999999999999E-3</v>
      </c>
      <c r="W241" s="130">
        <v>1.686E-2</v>
      </c>
      <c r="X241" s="130">
        <v>2.3879999999999998E-2</v>
      </c>
      <c r="Y241" s="130">
        <v>1.3340000000000001E-2</v>
      </c>
      <c r="Z241" s="130">
        <v>5.6599999999999992E-3</v>
      </c>
      <c r="AA241" s="130">
        <v>1.1040000000000001E-2</v>
      </c>
      <c r="AB241" s="130">
        <v>2.3060000000000001E-2</v>
      </c>
      <c r="AC241" s="130">
        <v>2.6409999999999999E-2</v>
      </c>
      <c r="AD241" s="130">
        <v>9.6900000000000007E-3</v>
      </c>
      <c r="AE241" s="130">
        <v>8.8599999999999998E-3</v>
      </c>
      <c r="AF241" s="130">
        <v>2.8490000000000001E-2</v>
      </c>
      <c r="AG241" s="130">
        <v>1.7230000000000002E-2</v>
      </c>
      <c r="AH241" s="130">
        <v>2.3999999999999998E-3</v>
      </c>
      <c r="AI241" s="130">
        <v>6.8000000000000005E-3</v>
      </c>
      <c r="AJ241" s="130">
        <v>2.6450000000000001E-2</v>
      </c>
      <c r="AK241" s="130">
        <v>1.7909999999999999E-2</v>
      </c>
      <c r="AL241" s="130">
        <v>4.1900000000000001E-3</v>
      </c>
      <c r="AM241" s="130">
        <v>8.5400000000000007E-3</v>
      </c>
      <c r="AN241" s="99">
        <f t="shared" si="2"/>
        <v>2.9201250000000002E-2</v>
      </c>
      <c r="AO241" s="99">
        <f t="shared" si="2"/>
        <v>2.43225E-2</v>
      </c>
      <c r="AP241" s="99">
        <f t="shared" si="2"/>
        <v>7.948750000000001E-3</v>
      </c>
      <c r="AQ241" s="99">
        <f t="shared" si="2"/>
        <v>1.1037499999999999E-2</v>
      </c>
      <c r="AR241" s="99">
        <f t="shared" si="3"/>
        <v>2.9201250000000002E-2</v>
      </c>
      <c r="AS241" s="99">
        <f t="shared" si="3"/>
        <v>2.43225E-2</v>
      </c>
      <c r="AT241" s="99">
        <f t="shared" si="3"/>
        <v>7.948750000000001E-3</v>
      </c>
      <c r="AU241" s="99">
        <f t="shared" si="3"/>
        <v>1.1037499999999999E-2</v>
      </c>
      <c r="AV241" s="99">
        <f t="shared" si="3"/>
        <v>2.9201250000000002E-2</v>
      </c>
      <c r="AW241" s="99">
        <f t="shared" si="3"/>
        <v>2.43225E-2</v>
      </c>
      <c r="AX241" s="99">
        <f t="shared" si="3"/>
        <v>7.948750000000001E-3</v>
      </c>
      <c r="AY241" s="99">
        <f t="shared" si="3"/>
        <v>1.1037499999999999E-2</v>
      </c>
    </row>
    <row r="242" spans="3:51" customFormat="1" x14ac:dyDescent="0.2">
      <c r="C242" s="107" t="s">
        <v>511</v>
      </c>
      <c r="D242" s="129" t="s">
        <v>748</v>
      </c>
      <c r="E242" s="107" t="s">
        <v>631</v>
      </c>
      <c r="F242" s="107" t="s">
        <v>749</v>
      </c>
      <c r="G242" s="109" t="s">
        <v>633</v>
      </c>
      <c r="H242" s="130">
        <v>4.4000000000000003E-3</v>
      </c>
      <c r="I242" s="130">
        <v>-2.1299999999999999E-2</v>
      </c>
      <c r="J242" s="130">
        <v>-6.11E-3</v>
      </c>
      <c r="K242" s="130">
        <v>7.1799999999999998E-3</v>
      </c>
      <c r="L242" s="130">
        <v>8.830000000000001E-3</v>
      </c>
      <c r="M242" s="130">
        <v>4.1199999999999995E-3</v>
      </c>
      <c r="N242" s="130">
        <v>3.65E-3</v>
      </c>
      <c r="O242" s="130">
        <v>3.628E-2</v>
      </c>
      <c r="P242" s="130">
        <v>3.8239999999999996E-2</v>
      </c>
      <c r="Q242" s="130">
        <v>5.9980000000000006E-2</v>
      </c>
      <c r="R242" s="130">
        <v>2.5310000000000003E-2</v>
      </c>
      <c r="S242" s="130">
        <v>2.929E-2</v>
      </c>
      <c r="T242" s="130">
        <v>4.8199999999999996E-3</v>
      </c>
      <c r="U242" s="130">
        <v>3.1800000000000001E-3</v>
      </c>
      <c r="V242" s="130">
        <v>4.9700000000000005E-3</v>
      </c>
      <c r="W242" s="130">
        <v>6.8799999999999998E-3</v>
      </c>
      <c r="X242" s="130">
        <v>4.8700000000000002E-3</v>
      </c>
      <c r="Y242" s="130">
        <v>2.0300000000000001E-3</v>
      </c>
      <c r="Z242" s="130">
        <v>-4.6999999999999999E-4</v>
      </c>
      <c r="AA242" s="130">
        <v>9.0200000000000002E-3</v>
      </c>
      <c r="AB242" s="130">
        <v>2.2790000000000001E-2</v>
      </c>
      <c r="AC242" s="130">
        <v>7.2899999999999996E-3</v>
      </c>
      <c r="AD242" s="130">
        <v>4.0500000000000006E-3</v>
      </c>
      <c r="AE242" s="130">
        <v>7.8500000000000011E-3</v>
      </c>
      <c r="AF242" s="130">
        <v>1.6040000000000002E-2</v>
      </c>
      <c r="AG242" s="130">
        <v>5.9199999999999999E-3</v>
      </c>
      <c r="AH242" s="130">
        <v>6.2E-4</v>
      </c>
      <c r="AI242" s="130">
        <v>1.24E-2</v>
      </c>
      <c r="AJ242" s="130">
        <v>9.2399999999999999E-3</v>
      </c>
      <c r="AK242" s="130">
        <v>5.0099999999999997E-3</v>
      </c>
      <c r="AL242" s="130">
        <v>-3.5999999999999997E-4</v>
      </c>
      <c r="AM242" s="130">
        <v>1.1470000000000001E-2</v>
      </c>
      <c r="AN242" s="99">
        <f t="shared" si="2"/>
        <v>1.3653750000000001E-2</v>
      </c>
      <c r="AO242" s="99">
        <f t="shared" si="2"/>
        <v>8.2787500000000014E-3</v>
      </c>
      <c r="AP242" s="99">
        <f t="shared" si="2"/>
        <v>3.9575000000000001E-3</v>
      </c>
      <c r="AQ242" s="99">
        <f t="shared" si="2"/>
        <v>1.5046249999999999E-2</v>
      </c>
      <c r="AR242" s="99">
        <f t="shared" si="3"/>
        <v>1.3653750000000001E-2</v>
      </c>
      <c r="AS242" s="99">
        <f t="shared" si="3"/>
        <v>8.2787500000000014E-3</v>
      </c>
      <c r="AT242" s="99">
        <f t="shared" si="3"/>
        <v>3.9575000000000001E-3</v>
      </c>
      <c r="AU242" s="99">
        <f t="shared" si="3"/>
        <v>1.5046249999999999E-2</v>
      </c>
      <c r="AV242" s="99">
        <f t="shared" si="3"/>
        <v>1.3653750000000001E-2</v>
      </c>
      <c r="AW242" s="99">
        <f t="shared" si="3"/>
        <v>8.2787500000000014E-3</v>
      </c>
      <c r="AX242" s="99">
        <f t="shared" si="3"/>
        <v>3.9575000000000001E-3</v>
      </c>
      <c r="AY242" s="99">
        <f t="shared" si="3"/>
        <v>1.5046249999999999E-2</v>
      </c>
    </row>
    <row r="243" spans="3:51" customFormat="1" x14ac:dyDescent="0.2">
      <c r="C243" s="107" t="s">
        <v>513</v>
      </c>
      <c r="D243" s="129" t="s">
        <v>748</v>
      </c>
      <c r="E243" s="107" t="s">
        <v>631</v>
      </c>
      <c r="F243" s="107" t="s">
        <v>749</v>
      </c>
      <c r="G243" s="109" t="s">
        <v>633</v>
      </c>
      <c r="H243" s="130">
        <v>1.4279999999999999E-2</v>
      </c>
      <c r="I243" s="130">
        <v>-1.3730000000000001E-2</v>
      </c>
      <c r="J243" s="130">
        <v>-8.8999999999999995E-4</v>
      </c>
      <c r="K243" s="130">
        <v>4.7699999999999999E-3</v>
      </c>
      <c r="L243" s="130">
        <v>9.9699999999999997E-3</v>
      </c>
      <c r="M243" s="130">
        <v>9.6399999999999993E-3</v>
      </c>
      <c r="N243" s="130">
        <v>1.3300000000000001E-2</v>
      </c>
      <c r="O243" s="130">
        <v>3.5910000000000004E-2</v>
      </c>
      <c r="P243" s="130">
        <v>4.308E-2</v>
      </c>
      <c r="Q243" s="130">
        <v>5.5879999999999999E-2</v>
      </c>
      <c r="R243" s="130">
        <v>3.3330000000000005E-2</v>
      </c>
      <c r="S243" s="130">
        <v>2.9049999999999999E-2</v>
      </c>
      <c r="T243" s="130">
        <v>2.9169999999999998E-2</v>
      </c>
      <c r="U243" s="130">
        <v>6.5900000000000004E-3</v>
      </c>
      <c r="V243" s="130">
        <v>8.3700000000000007E-3</v>
      </c>
      <c r="W243" s="130">
        <v>7.8399999999999997E-3</v>
      </c>
      <c r="X243" s="130">
        <v>1.072E-2</v>
      </c>
      <c r="Y243" s="130">
        <v>-3.2000000000000002E-3</v>
      </c>
      <c r="Z243" s="130">
        <v>3.4399999999999999E-3</v>
      </c>
      <c r="AA243" s="130">
        <v>9.41E-3</v>
      </c>
      <c r="AB243" s="130">
        <v>2.9389999999999999E-2</v>
      </c>
      <c r="AC243" s="130">
        <v>-3.9500000000000004E-3</v>
      </c>
      <c r="AD243" s="130">
        <v>1.806E-2</v>
      </c>
      <c r="AE243" s="130">
        <v>7.4700000000000001E-3</v>
      </c>
      <c r="AF243" s="130">
        <v>1.29E-2</v>
      </c>
      <c r="AG243" s="130">
        <v>2.1299999999999999E-3</v>
      </c>
      <c r="AH243" s="130">
        <v>5.13E-3</v>
      </c>
      <c r="AI243" s="130">
        <v>7.980000000000001E-3</v>
      </c>
      <c r="AJ243" s="130">
        <v>1.208E-2</v>
      </c>
      <c r="AK243" s="130">
        <v>1.67E-3</v>
      </c>
      <c r="AL243" s="130">
        <v>4.8399999999999997E-3</v>
      </c>
      <c r="AM243" s="130">
        <v>7.7000000000000002E-3</v>
      </c>
      <c r="AN243" s="99">
        <f t="shared" si="2"/>
        <v>2.0198749999999998E-2</v>
      </c>
      <c r="AO243" s="99">
        <f t="shared" si="2"/>
        <v>6.8787500000000003E-3</v>
      </c>
      <c r="AP243" s="99">
        <f t="shared" si="2"/>
        <v>1.0697500000000002E-2</v>
      </c>
      <c r="AQ243" s="99">
        <f t="shared" si="2"/>
        <v>1.3766250000000001E-2</v>
      </c>
      <c r="AR243" s="99">
        <f t="shared" si="3"/>
        <v>2.0198749999999998E-2</v>
      </c>
      <c r="AS243" s="99">
        <f t="shared" si="3"/>
        <v>6.8787500000000003E-3</v>
      </c>
      <c r="AT243" s="99">
        <f t="shared" si="3"/>
        <v>1.0697500000000002E-2</v>
      </c>
      <c r="AU243" s="99">
        <f t="shared" si="3"/>
        <v>1.3766250000000001E-2</v>
      </c>
      <c r="AV243" s="99">
        <f t="shared" si="3"/>
        <v>2.0198749999999998E-2</v>
      </c>
      <c r="AW243" s="99">
        <f t="shared" si="3"/>
        <v>6.8787500000000003E-3</v>
      </c>
      <c r="AX243" s="99">
        <f t="shared" si="3"/>
        <v>1.0697500000000002E-2</v>
      </c>
      <c r="AY243" s="99">
        <f t="shared" si="3"/>
        <v>1.3766250000000001E-2</v>
      </c>
    </row>
    <row r="244" spans="3:51" customFormat="1" x14ac:dyDescent="0.2">
      <c r="C244" s="107" t="s">
        <v>524</v>
      </c>
      <c r="D244" s="129" t="s">
        <v>748</v>
      </c>
      <c r="E244" s="107" t="s">
        <v>631</v>
      </c>
      <c r="F244" s="107" t="s">
        <v>749</v>
      </c>
      <c r="G244" s="109" t="s">
        <v>633</v>
      </c>
      <c r="H244" s="130">
        <v>-5.5000000000000005E-3</v>
      </c>
      <c r="I244" s="130">
        <v>-6.5000000000000008E-4</v>
      </c>
      <c r="J244" s="130">
        <v>-2.2800000000000003E-3</v>
      </c>
      <c r="K244" s="130">
        <v>5.2200000000000007E-3</v>
      </c>
      <c r="L244" s="130">
        <v>1.6200000000000001E-3</v>
      </c>
      <c r="M244" s="130">
        <v>1.6200000000000003E-2</v>
      </c>
      <c r="N244" s="130">
        <v>7.0199999999999993E-3</v>
      </c>
      <c r="O244" s="130">
        <v>2.1530000000000001E-2</v>
      </c>
      <c r="P244" s="130">
        <v>1.8290000000000001E-2</v>
      </c>
      <c r="Q244" s="130">
        <v>5.7530000000000005E-2</v>
      </c>
      <c r="R244" s="130">
        <v>2.2450000000000001E-2</v>
      </c>
      <c r="S244" s="130">
        <v>2.8719999999999999E-2</v>
      </c>
      <c r="T244" s="130">
        <v>4.9300000000000004E-3</v>
      </c>
      <c r="U244" s="130">
        <v>2.2599999999999999E-2</v>
      </c>
      <c r="V244" s="130">
        <v>1.4650000000000002E-2</v>
      </c>
      <c r="W244" s="130">
        <v>7.0899999999999999E-3</v>
      </c>
      <c r="X244" s="130">
        <v>-3.9100000000000003E-3</v>
      </c>
      <c r="Y244" s="130">
        <v>1.3610000000000001E-2</v>
      </c>
      <c r="Z244" s="130">
        <v>1.81E-3</v>
      </c>
      <c r="AA244" s="130">
        <v>1.6490000000000001E-2</v>
      </c>
      <c r="AB244" s="130">
        <v>4.0600000000000002E-3</v>
      </c>
      <c r="AC244" s="130">
        <v>1.1610000000000001E-2</v>
      </c>
      <c r="AD244" s="130">
        <v>8.7299999999999999E-3</v>
      </c>
      <c r="AE244" s="130">
        <v>1.064E-2</v>
      </c>
      <c r="AF244" s="130">
        <v>-6.4200000000000004E-3</v>
      </c>
      <c r="AG244" s="130">
        <v>1.4610000000000001E-2</v>
      </c>
      <c r="AH244" s="130">
        <v>1.6100000000000001E-3</v>
      </c>
      <c r="AI244" s="130">
        <v>9.4599999999999997E-3</v>
      </c>
      <c r="AJ244" s="130">
        <v>-3.9300000000000003E-3</v>
      </c>
      <c r="AK244" s="130">
        <v>1.4920000000000001E-2</v>
      </c>
      <c r="AL244" s="130">
        <v>1.6300000000000002E-3</v>
      </c>
      <c r="AM244" s="130">
        <v>9.2100000000000012E-3</v>
      </c>
      <c r="AN244" s="99">
        <f t="shared" si="2"/>
        <v>1.1424999999999999E-3</v>
      </c>
      <c r="AO244" s="99">
        <f t="shared" si="2"/>
        <v>1.8803749999999998E-2</v>
      </c>
      <c r="AP244" s="99">
        <f t="shared" si="2"/>
        <v>6.9525000000000012E-3</v>
      </c>
      <c r="AQ244" s="99">
        <f t="shared" si="2"/>
        <v>1.3545E-2</v>
      </c>
      <c r="AR244" s="99">
        <f t="shared" si="3"/>
        <v>1.1424999999999999E-3</v>
      </c>
      <c r="AS244" s="99">
        <f t="shared" si="3"/>
        <v>1.8803749999999998E-2</v>
      </c>
      <c r="AT244" s="99">
        <f t="shared" si="3"/>
        <v>6.9525000000000012E-3</v>
      </c>
      <c r="AU244" s="99">
        <f t="shared" si="3"/>
        <v>1.3545E-2</v>
      </c>
      <c r="AV244" s="99">
        <f t="shared" si="3"/>
        <v>1.1424999999999999E-3</v>
      </c>
      <c r="AW244" s="99">
        <f t="shared" si="3"/>
        <v>1.8803749999999998E-2</v>
      </c>
      <c r="AX244" s="99">
        <f t="shared" si="3"/>
        <v>6.9525000000000012E-3</v>
      </c>
      <c r="AY244" s="99">
        <f t="shared" si="3"/>
        <v>1.3545E-2</v>
      </c>
    </row>
    <row r="245" spans="3:51" customFormat="1" x14ac:dyDescent="0.2">
      <c r="C245" s="107" t="s">
        <v>407</v>
      </c>
      <c r="D245" s="129" t="s">
        <v>748</v>
      </c>
      <c r="E245" s="107" t="s">
        <v>631</v>
      </c>
      <c r="F245" s="107" t="s">
        <v>749</v>
      </c>
      <c r="G245" s="109" t="s">
        <v>633</v>
      </c>
      <c r="H245" s="130">
        <v>1.8859999999999998E-2</v>
      </c>
      <c r="I245" s="130">
        <v>2.3400000000000001E-3</v>
      </c>
      <c r="J245" s="130">
        <v>7.8700000000000003E-3</v>
      </c>
      <c r="K245" s="130">
        <v>-2.8699999999999997E-3</v>
      </c>
      <c r="L245" s="130">
        <v>1.456E-2</v>
      </c>
      <c r="M245" s="130">
        <v>9.5300000000000003E-3</v>
      </c>
      <c r="N245" s="130">
        <v>1.9610000000000002E-2</v>
      </c>
      <c r="O245" s="130">
        <v>1.6289999999999999E-2</v>
      </c>
      <c r="P245" s="130">
        <v>6.3329999999999997E-2</v>
      </c>
      <c r="Q245" s="130">
        <v>5.0990000000000001E-2</v>
      </c>
      <c r="R245" s="130">
        <v>3.5139999999999998E-2</v>
      </c>
      <c r="S245" s="130">
        <v>1.6000000000000001E-4</v>
      </c>
      <c r="T245" s="130">
        <v>6.9650000000000004E-2</v>
      </c>
      <c r="U245" s="130">
        <v>3.7000000000000002E-3</v>
      </c>
      <c r="V245" s="130">
        <v>6.3800000000000003E-3</v>
      </c>
      <c r="W245" s="130">
        <v>-4.4600000000000004E-3</v>
      </c>
      <c r="X245" s="130">
        <v>1.532E-2</v>
      </c>
      <c r="Y245" s="130">
        <v>7.6300000000000005E-3</v>
      </c>
      <c r="Z245" s="130">
        <v>4.7499999999999999E-3</v>
      </c>
      <c r="AA245" s="130">
        <v>7.2999999999999996E-4</v>
      </c>
      <c r="AB245" s="130">
        <v>1.3999999999999999E-2</v>
      </c>
      <c r="AC245" s="130">
        <v>4.0200000000000001E-3</v>
      </c>
      <c r="AD245" s="130">
        <v>6.0600000000000003E-3</v>
      </c>
      <c r="AE245" s="130">
        <v>-1.8799999999999999E-3</v>
      </c>
      <c r="AF245" s="130">
        <v>1.5229999999999999E-2</v>
      </c>
      <c r="AG245" s="130">
        <v>4.1399999999999996E-3</v>
      </c>
      <c r="AH245" s="130">
        <v>4.3200000000000001E-3</v>
      </c>
      <c r="AI245" s="130">
        <v>-4.8700000000000002E-3</v>
      </c>
      <c r="AJ245" s="130">
        <v>1.9220000000000001E-2</v>
      </c>
      <c r="AK245" s="130">
        <v>4.6500000000000005E-3</v>
      </c>
      <c r="AL245" s="130">
        <v>4.5000000000000005E-3</v>
      </c>
      <c r="AM245" s="130">
        <v>-4.9900000000000005E-3</v>
      </c>
      <c r="AN245" s="99">
        <f t="shared" si="2"/>
        <v>2.8771249999999998E-2</v>
      </c>
      <c r="AO245" s="99">
        <f t="shared" si="2"/>
        <v>1.0874999999999999E-2</v>
      </c>
      <c r="AP245" s="99">
        <f t="shared" si="2"/>
        <v>1.107875E-2</v>
      </c>
      <c r="AQ245" s="99">
        <f t="shared" si="2"/>
        <v>-2.3625000000000021E-4</v>
      </c>
      <c r="AR245" s="99">
        <f t="shared" si="3"/>
        <v>2.8771249999999998E-2</v>
      </c>
      <c r="AS245" s="99">
        <f t="shared" si="3"/>
        <v>1.0874999999999999E-2</v>
      </c>
      <c r="AT245" s="99">
        <f t="shared" si="3"/>
        <v>1.107875E-2</v>
      </c>
      <c r="AU245" s="99">
        <f t="shared" si="3"/>
        <v>-2.3625000000000021E-4</v>
      </c>
      <c r="AV245" s="99">
        <f t="shared" si="3"/>
        <v>2.8771249999999998E-2</v>
      </c>
      <c r="AW245" s="99">
        <f t="shared" si="3"/>
        <v>1.0874999999999999E-2</v>
      </c>
      <c r="AX245" s="99">
        <f t="shared" si="3"/>
        <v>1.107875E-2</v>
      </c>
      <c r="AY245" s="99">
        <f t="shared" si="3"/>
        <v>-2.3625000000000021E-4</v>
      </c>
    </row>
    <row r="246" spans="3:51" customFormat="1" x14ac:dyDescent="0.2">
      <c r="C246" s="107" t="s">
        <v>529</v>
      </c>
      <c r="D246" s="129" t="s">
        <v>748</v>
      </c>
      <c r="E246" s="107" t="s">
        <v>631</v>
      </c>
      <c r="F246" s="107" t="s">
        <v>749</v>
      </c>
      <c r="G246" s="109" t="s">
        <v>633</v>
      </c>
      <c r="H246" s="130">
        <v>-5.8500000000000002E-3</v>
      </c>
      <c r="I246" s="130">
        <v>-8.5199999999999998E-3</v>
      </c>
      <c r="J246" s="130">
        <v>7.0799999999999995E-3</v>
      </c>
      <c r="K246" s="130">
        <v>-4.0600000000000002E-3</v>
      </c>
      <c r="L246" s="130">
        <v>1.1939999999999999E-2</v>
      </c>
      <c r="M246" s="130">
        <v>1.576E-2</v>
      </c>
      <c r="N246" s="130">
        <v>3.1040000000000002E-2</v>
      </c>
      <c r="O246" s="130">
        <v>3.1699999999999999E-2</v>
      </c>
      <c r="P246" s="130">
        <v>4.4509999999999994E-2</v>
      </c>
      <c r="Q246" s="130">
        <v>8.2240000000000008E-2</v>
      </c>
      <c r="R246" s="130">
        <v>6.1269999999999998E-2</v>
      </c>
      <c r="S246" s="130">
        <v>3.8800000000000002E-3</v>
      </c>
      <c r="T246" s="130">
        <v>1.5709999999999998E-2</v>
      </c>
      <c r="U246" s="130">
        <v>2.844E-2</v>
      </c>
      <c r="V246" s="130">
        <v>1.92E-3</v>
      </c>
      <c r="W246" s="130">
        <v>-3.2900000000000004E-3</v>
      </c>
      <c r="X246" s="130">
        <v>1.5140000000000001E-2</v>
      </c>
      <c r="Y246" s="130">
        <v>1.34E-2</v>
      </c>
      <c r="Z246" s="130">
        <v>6.7400000000000003E-3</v>
      </c>
      <c r="AA246" s="130">
        <v>3.14E-3</v>
      </c>
      <c r="AB246" s="130">
        <v>2.1259999999999998E-2</v>
      </c>
      <c r="AC246" s="130">
        <v>1.498E-2</v>
      </c>
      <c r="AD246" s="130">
        <v>1.559E-2</v>
      </c>
      <c r="AE246" s="130">
        <v>-7.26E-3</v>
      </c>
      <c r="AF246" s="130">
        <v>1.307E-2</v>
      </c>
      <c r="AG246" s="130">
        <v>1.5460000000000002E-2</v>
      </c>
      <c r="AH246" s="130">
        <v>1.022E-2</v>
      </c>
      <c r="AI246" s="130">
        <v>-4.5700000000000003E-3</v>
      </c>
      <c r="AJ246" s="130">
        <v>6.7300000000000007E-3</v>
      </c>
      <c r="AK246" s="130">
        <v>1.4770000000000002E-2</v>
      </c>
      <c r="AL246" s="130">
        <v>9.5700000000000004E-3</v>
      </c>
      <c r="AM246" s="130">
        <v>-5.2300000000000003E-3</v>
      </c>
      <c r="AN246" s="99">
        <f t="shared" si="2"/>
        <v>1.5313750000000001E-2</v>
      </c>
      <c r="AO246" s="99">
        <f t="shared" si="2"/>
        <v>2.2066249999999999E-2</v>
      </c>
      <c r="AP246" s="99">
        <f t="shared" si="2"/>
        <v>1.792875E-2</v>
      </c>
      <c r="AQ246" s="99">
        <f t="shared" si="2"/>
        <v>1.78875E-3</v>
      </c>
      <c r="AR246" s="99">
        <f t="shared" si="3"/>
        <v>1.5313750000000001E-2</v>
      </c>
      <c r="AS246" s="99">
        <f t="shared" si="3"/>
        <v>2.2066249999999999E-2</v>
      </c>
      <c r="AT246" s="99">
        <f t="shared" si="3"/>
        <v>1.792875E-2</v>
      </c>
      <c r="AU246" s="99">
        <f t="shared" si="3"/>
        <v>1.78875E-3</v>
      </c>
      <c r="AV246" s="99">
        <f t="shared" si="3"/>
        <v>1.5313750000000001E-2</v>
      </c>
      <c r="AW246" s="99">
        <f t="shared" si="3"/>
        <v>2.2066249999999999E-2</v>
      </c>
      <c r="AX246" s="99">
        <f t="shared" si="3"/>
        <v>1.792875E-2</v>
      </c>
      <c r="AY246" s="99">
        <f t="shared" si="3"/>
        <v>1.78875E-3</v>
      </c>
    </row>
    <row r="247" spans="3:51" customFormat="1" x14ac:dyDescent="0.2">
      <c r="C247" s="107" t="s">
        <v>533</v>
      </c>
      <c r="D247" s="129" t="s">
        <v>748</v>
      </c>
      <c r="E247" s="107" t="s">
        <v>631</v>
      </c>
      <c r="F247" s="107" t="s">
        <v>749</v>
      </c>
      <c r="G247" s="109" t="s">
        <v>633</v>
      </c>
      <c r="H247" s="130">
        <v>1.7219999999999999E-2</v>
      </c>
      <c r="I247" s="130">
        <v>1.17E-2</v>
      </c>
      <c r="J247" s="130">
        <v>-1.1000000000000001E-2</v>
      </c>
      <c r="K247" s="130">
        <v>1.5349999999999999E-2</v>
      </c>
      <c r="L247" s="130">
        <v>2.9100000000000001E-2</v>
      </c>
      <c r="M247" s="130">
        <v>4.7570000000000001E-2</v>
      </c>
      <c r="N247" s="130">
        <v>2.6070000000000003E-2</v>
      </c>
      <c r="O247" s="130">
        <v>2.2519999999999998E-2</v>
      </c>
      <c r="P247" s="130">
        <v>2.9510000000000002E-2</v>
      </c>
      <c r="Q247" s="130">
        <v>4.5940000000000002E-2</v>
      </c>
      <c r="R247" s="130">
        <v>1.1010000000000001E-2</v>
      </c>
      <c r="S247" s="130">
        <v>1.3140000000000001E-2</v>
      </c>
      <c r="T247" s="130">
        <v>4.4600000000000004E-3</v>
      </c>
      <c r="U247" s="130">
        <v>-1.277E-2</v>
      </c>
      <c r="V247" s="130">
        <v>1.57E-3</v>
      </c>
      <c r="W247" s="130">
        <v>1.1240000000000002E-2</v>
      </c>
      <c r="X247" s="130">
        <v>2.8100000000000004E-3</v>
      </c>
      <c r="Y247" s="130">
        <v>3.3600000000000001E-3</v>
      </c>
      <c r="Z247" s="130">
        <v>-6.11E-3</v>
      </c>
      <c r="AA247" s="130">
        <v>1.1439999999999999E-2</v>
      </c>
      <c r="AB247" s="130">
        <v>1.7440000000000001E-2</v>
      </c>
      <c r="AC247" s="130">
        <v>1.3040000000000001E-2</v>
      </c>
      <c r="AD247" s="130">
        <v>3.15E-3</v>
      </c>
      <c r="AE247" s="130">
        <v>1.2230000000000001E-2</v>
      </c>
      <c r="AF247" s="130">
        <v>8.6400000000000001E-3</v>
      </c>
      <c r="AG247" s="130">
        <v>1.0480000000000001E-2</v>
      </c>
      <c r="AH247" s="130">
        <v>0</v>
      </c>
      <c r="AI247" s="130">
        <v>1.2490000000000001E-2</v>
      </c>
      <c r="AJ247" s="130">
        <v>1.009E-2</v>
      </c>
      <c r="AK247" s="130">
        <v>9.7400000000000004E-3</v>
      </c>
      <c r="AL247" s="130">
        <v>-1.09E-3</v>
      </c>
      <c r="AM247" s="130">
        <v>1.1379999999999999E-2</v>
      </c>
      <c r="AN247" s="99">
        <f t="shared" si="2"/>
        <v>1.490875E-2</v>
      </c>
      <c r="AO247" s="99">
        <f t="shared" si="2"/>
        <v>1.6132500000000001E-2</v>
      </c>
      <c r="AP247" s="99">
        <f t="shared" si="2"/>
        <v>2.9500000000000004E-3</v>
      </c>
      <c r="AQ247" s="99">
        <f t="shared" si="2"/>
        <v>1.3723750000000002E-2</v>
      </c>
      <c r="AR247" s="99">
        <f t="shared" si="3"/>
        <v>1.490875E-2</v>
      </c>
      <c r="AS247" s="99">
        <f t="shared" si="3"/>
        <v>1.6132500000000001E-2</v>
      </c>
      <c r="AT247" s="99">
        <f t="shared" si="3"/>
        <v>2.9500000000000004E-3</v>
      </c>
      <c r="AU247" s="99">
        <f t="shared" si="3"/>
        <v>1.3723750000000002E-2</v>
      </c>
      <c r="AV247" s="99">
        <f t="shared" si="3"/>
        <v>1.490875E-2</v>
      </c>
      <c r="AW247" s="99">
        <f t="shared" si="3"/>
        <v>1.6132500000000001E-2</v>
      </c>
      <c r="AX247" s="99">
        <f t="shared" si="3"/>
        <v>2.9500000000000004E-3</v>
      </c>
      <c r="AY247" s="99">
        <f t="shared" si="3"/>
        <v>1.3723750000000002E-2</v>
      </c>
    </row>
    <row r="248" spans="3:51" customFormat="1" x14ac:dyDescent="0.2">
      <c r="C248" s="107" t="s">
        <v>538</v>
      </c>
      <c r="D248" s="129" t="s">
        <v>748</v>
      </c>
      <c r="E248" s="107" t="s">
        <v>631</v>
      </c>
      <c r="F248" s="107" t="s">
        <v>749</v>
      </c>
      <c r="G248" s="109" t="s">
        <v>633</v>
      </c>
      <c r="H248" s="130">
        <v>1.43E-2</v>
      </c>
      <c r="I248" s="130">
        <v>8.7999999999999992E-4</v>
      </c>
      <c r="J248" s="130">
        <v>1.4079999999999999E-2</v>
      </c>
      <c r="K248" s="130">
        <v>-1.3000000000000002E-3</v>
      </c>
      <c r="L248" s="130">
        <v>1.7600000000000001E-2</v>
      </c>
      <c r="M248" s="130">
        <v>2.0710000000000003E-2</v>
      </c>
      <c r="N248" s="130">
        <v>1.2130000000000002E-2</v>
      </c>
      <c r="O248" s="130">
        <v>1.8600000000000002E-2</v>
      </c>
      <c r="P248" s="130">
        <v>2.8610000000000003E-2</v>
      </c>
      <c r="Q248" s="130">
        <v>4.2810000000000001E-2</v>
      </c>
      <c r="R248" s="130">
        <v>6.6020000000000009E-2</v>
      </c>
      <c r="S248" s="130">
        <v>7.3289999999999994E-2</v>
      </c>
      <c r="T248" s="130">
        <v>5.1090000000000003E-2</v>
      </c>
      <c r="U248" s="130">
        <v>1.306E-2</v>
      </c>
      <c r="V248" s="130">
        <v>9.3200000000000002E-3</v>
      </c>
      <c r="W248" s="130">
        <v>2.31E-3</v>
      </c>
      <c r="X248" s="130">
        <v>1.1819999999999999E-2</v>
      </c>
      <c r="Y248" s="130">
        <v>1.396E-2</v>
      </c>
      <c r="Z248" s="130">
        <v>6.43E-3</v>
      </c>
      <c r="AA248" s="130">
        <v>5.6499999999999996E-3</v>
      </c>
      <c r="AB248" s="130">
        <v>2.5569999999999999E-2</v>
      </c>
      <c r="AC248" s="130">
        <v>5.6200000000000009E-3</v>
      </c>
      <c r="AD248" s="130">
        <v>5.4500000000000009E-3</v>
      </c>
      <c r="AE248" s="130">
        <v>5.7000000000000009E-4</v>
      </c>
      <c r="AF248" s="130">
        <v>2.0289999999999999E-2</v>
      </c>
      <c r="AG248" s="130">
        <v>7.4400000000000004E-3</v>
      </c>
      <c r="AH248" s="130">
        <v>6.8600000000000006E-3</v>
      </c>
      <c r="AI248" s="130">
        <v>5.8199999999999997E-3</v>
      </c>
      <c r="AJ248" s="130">
        <v>1.261E-2</v>
      </c>
      <c r="AK248" s="130">
        <v>8.2100000000000003E-3</v>
      </c>
      <c r="AL248" s="130">
        <v>7.4600000000000005E-3</v>
      </c>
      <c r="AM248" s="130">
        <v>5.7299999999999999E-3</v>
      </c>
      <c r="AN248" s="99">
        <f t="shared" si="2"/>
        <v>2.2736250000000003E-2</v>
      </c>
      <c r="AO248" s="99">
        <f t="shared" si="2"/>
        <v>1.4086250000000002E-2</v>
      </c>
      <c r="AP248" s="99">
        <f t="shared" si="2"/>
        <v>1.596875E-2</v>
      </c>
      <c r="AQ248" s="99">
        <f t="shared" si="2"/>
        <v>1.3833750000000001E-2</v>
      </c>
      <c r="AR248" s="99">
        <f t="shared" si="3"/>
        <v>2.2736250000000003E-2</v>
      </c>
      <c r="AS248" s="99">
        <f t="shared" si="3"/>
        <v>1.4086250000000002E-2</v>
      </c>
      <c r="AT248" s="99">
        <f t="shared" si="3"/>
        <v>1.596875E-2</v>
      </c>
      <c r="AU248" s="99">
        <f t="shared" si="3"/>
        <v>1.3833750000000001E-2</v>
      </c>
      <c r="AV248" s="99">
        <f t="shared" si="3"/>
        <v>2.2736250000000003E-2</v>
      </c>
      <c r="AW248" s="99">
        <f t="shared" si="3"/>
        <v>1.4086250000000002E-2</v>
      </c>
      <c r="AX248" s="99">
        <f t="shared" si="3"/>
        <v>1.596875E-2</v>
      </c>
      <c r="AY248" s="99">
        <f t="shared" si="3"/>
        <v>1.3833750000000001E-2</v>
      </c>
    </row>
    <row r="249" spans="3:51" customFormat="1" x14ac:dyDescent="0.2">
      <c r="C249" s="107" t="s">
        <v>553</v>
      </c>
      <c r="D249" s="129" t="s">
        <v>748</v>
      </c>
      <c r="E249" s="107" t="s">
        <v>631</v>
      </c>
      <c r="F249" s="107" t="s">
        <v>749</v>
      </c>
      <c r="G249" s="109" t="s">
        <v>633</v>
      </c>
      <c r="H249" s="130">
        <v>3.2800000000000004E-3</v>
      </c>
      <c r="I249" s="130">
        <v>-4.5000000000000005E-3</v>
      </c>
      <c r="J249" s="130">
        <v>-1.0299999999999999E-3</v>
      </c>
      <c r="K249" s="130">
        <v>-3.9000000000000003E-3</v>
      </c>
      <c r="L249" s="130">
        <v>8.4600000000000005E-3</v>
      </c>
      <c r="M249" s="130">
        <v>1.9640000000000001E-2</v>
      </c>
      <c r="N249" s="130">
        <v>1.3440000000000001E-2</v>
      </c>
      <c r="O249" s="130">
        <v>2.811E-2</v>
      </c>
      <c r="P249" s="130">
        <v>2.792E-2</v>
      </c>
      <c r="Q249" s="130">
        <v>8.6720000000000005E-2</v>
      </c>
      <c r="R249" s="130">
        <v>5.9980000000000006E-2</v>
      </c>
      <c r="S249" s="130">
        <v>2.6019999999999998E-2</v>
      </c>
      <c r="T249" s="130">
        <v>1.2359999999999999E-2</v>
      </c>
      <c r="U249" s="130">
        <v>1.393E-2</v>
      </c>
      <c r="V249" s="130">
        <v>-2.7800000000000004E-3</v>
      </c>
      <c r="W249" s="130">
        <v>-1.1299999999999999E-2</v>
      </c>
      <c r="X249" s="130">
        <v>7.9900000000000006E-3</v>
      </c>
      <c r="Y249" s="130">
        <v>1.4760000000000001E-2</v>
      </c>
      <c r="Z249" s="130">
        <v>-1.8400000000000001E-3</v>
      </c>
      <c r="AA249" s="130">
        <v>4.1399999999999996E-3</v>
      </c>
      <c r="AB249" s="130">
        <v>1.619E-2</v>
      </c>
      <c r="AC249" s="130">
        <v>1.8939999999999999E-2</v>
      </c>
      <c r="AD249" s="130">
        <v>2.9999999999999997E-4</v>
      </c>
      <c r="AE249" s="130">
        <v>2.65E-3</v>
      </c>
      <c r="AF249" s="130">
        <v>7.8300000000000002E-3</v>
      </c>
      <c r="AG249" s="130">
        <v>1.719E-2</v>
      </c>
      <c r="AH249" s="130">
        <v>1.66E-3</v>
      </c>
      <c r="AI249" s="130">
        <v>1.4099999999999998E-3</v>
      </c>
      <c r="AJ249" s="130">
        <v>4.7499999999999999E-3</v>
      </c>
      <c r="AK249" s="130">
        <v>1.7240000000000002E-2</v>
      </c>
      <c r="AL249" s="130">
        <v>1.5399999999999999E-3</v>
      </c>
      <c r="AM249" s="130">
        <v>9.1E-4</v>
      </c>
      <c r="AN249" s="99">
        <f t="shared" si="2"/>
        <v>1.10975E-2</v>
      </c>
      <c r="AO249" s="99">
        <f t="shared" si="2"/>
        <v>2.2990000000000003E-2</v>
      </c>
      <c r="AP249" s="99">
        <f t="shared" si="2"/>
        <v>8.90875E-3</v>
      </c>
      <c r="AQ249" s="99">
        <f t="shared" si="2"/>
        <v>6.0049999999999999E-3</v>
      </c>
      <c r="AR249" s="99">
        <f t="shared" si="3"/>
        <v>1.10975E-2</v>
      </c>
      <c r="AS249" s="99">
        <f t="shared" si="3"/>
        <v>2.2990000000000003E-2</v>
      </c>
      <c r="AT249" s="99">
        <f t="shared" si="3"/>
        <v>8.90875E-3</v>
      </c>
      <c r="AU249" s="99">
        <f t="shared" si="3"/>
        <v>6.0049999999999999E-3</v>
      </c>
      <c r="AV249" s="99">
        <f t="shared" si="3"/>
        <v>1.10975E-2</v>
      </c>
      <c r="AW249" s="99">
        <f t="shared" si="3"/>
        <v>2.2990000000000003E-2</v>
      </c>
      <c r="AX249" s="99">
        <f t="shared" si="3"/>
        <v>8.90875E-3</v>
      </c>
      <c r="AY249" s="99">
        <f t="shared" si="3"/>
        <v>6.0049999999999999E-3</v>
      </c>
    </row>
    <row r="250" spans="3:51" customFormat="1" x14ac:dyDescent="0.2">
      <c r="C250" s="107" t="s">
        <v>419</v>
      </c>
      <c r="D250" s="129" t="s">
        <v>748</v>
      </c>
      <c r="E250" s="107" t="s">
        <v>631</v>
      </c>
      <c r="F250" s="107" t="s">
        <v>749</v>
      </c>
      <c r="G250" s="109" t="s">
        <v>633</v>
      </c>
      <c r="H250" s="130">
        <v>5.8999999999999999E-3</v>
      </c>
      <c r="I250" s="130">
        <v>-1.4000000000000002E-3</v>
      </c>
      <c r="J250" s="130">
        <v>-8.9999999999999998E-4</v>
      </c>
      <c r="K250" s="130">
        <v>1.67E-3</v>
      </c>
      <c r="L250" s="130">
        <v>8.9700000000000005E-3</v>
      </c>
      <c r="M250" s="130">
        <v>2.239E-2</v>
      </c>
      <c r="N250" s="130">
        <v>2.0190000000000003E-2</v>
      </c>
      <c r="O250" s="130">
        <v>3.8150000000000003E-2</v>
      </c>
      <c r="P250" s="130">
        <v>5.3850000000000002E-2</v>
      </c>
      <c r="Q250" s="130">
        <v>6.541000000000001E-2</v>
      </c>
      <c r="R250" s="130">
        <v>5.2729999999999999E-2</v>
      </c>
      <c r="S250" s="130">
        <v>3.8269999999999998E-2</v>
      </c>
      <c r="T250" s="130">
        <v>1.702E-2</v>
      </c>
      <c r="U250" s="130">
        <v>4.7799999999999995E-3</v>
      </c>
      <c r="V250" s="130">
        <v>-3.2800000000000004E-3</v>
      </c>
      <c r="W250" s="130">
        <v>1.4399999999999999E-3</v>
      </c>
      <c r="X250" s="130">
        <v>2.0799999999999998E-3</v>
      </c>
      <c r="Y250" s="130">
        <v>4.2399999999999998E-3</v>
      </c>
      <c r="Z250" s="130">
        <v>-9.5E-4</v>
      </c>
      <c r="AA250" s="130">
        <v>6.9199999999999999E-3</v>
      </c>
      <c r="AB250" s="130">
        <v>2.6669999999999999E-2</v>
      </c>
      <c r="AC250" s="130">
        <v>4.3899999999999998E-3</v>
      </c>
      <c r="AD250" s="130">
        <v>8.7999999999999992E-4</v>
      </c>
      <c r="AE250" s="130">
        <v>5.6699999999999997E-3</v>
      </c>
      <c r="AF250" s="130">
        <v>1.6279999999999999E-2</v>
      </c>
      <c r="AG250" s="130">
        <v>1.039E-2</v>
      </c>
      <c r="AH250" s="130">
        <v>1.8700000000000001E-3</v>
      </c>
      <c r="AI250" s="130">
        <v>7.3899999999999999E-3</v>
      </c>
      <c r="AJ250" s="130">
        <v>7.9500000000000005E-3</v>
      </c>
      <c r="AK250" s="130">
        <v>9.300000000000001E-3</v>
      </c>
      <c r="AL250" s="130">
        <v>6.0999999999999997E-4</v>
      </c>
      <c r="AM250" s="130">
        <v>5.9099999999999995E-3</v>
      </c>
      <c r="AN250" s="99">
        <f t="shared" si="2"/>
        <v>1.7339999999999998E-2</v>
      </c>
      <c r="AO250" s="99">
        <f t="shared" si="2"/>
        <v>1.4937500000000001E-2</v>
      </c>
      <c r="AP250" s="99">
        <f t="shared" si="2"/>
        <v>8.8937500000000006E-3</v>
      </c>
      <c r="AQ250" s="99">
        <f t="shared" si="2"/>
        <v>1.31775E-2</v>
      </c>
      <c r="AR250" s="99">
        <f t="shared" si="3"/>
        <v>1.7339999999999998E-2</v>
      </c>
      <c r="AS250" s="99">
        <f t="shared" si="3"/>
        <v>1.4937500000000001E-2</v>
      </c>
      <c r="AT250" s="99">
        <f t="shared" si="3"/>
        <v>8.8937500000000006E-3</v>
      </c>
      <c r="AU250" s="99">
        <f t="shared" si="3"/>
        <v>1.31775E-2</v>
      </c>
      <c r="AV250" s="99">
        <f t="shared" si="3"/>
        <v>1.7339999999999998E-2</v>
      </c>
      <c r="AW250" s="99">
        <f t="shared" si="3"/>
        <v>1.4937500000000001E-2</v>
      </c>
      <c r="AX250" s="99">
        <f t="shared" si="3"/>
        <v>8.8937500000000006E-3</v>
      </c>
      <c r="AY250" s="99">
        <f t="shared" si="3"/>
        <v>1.31775E-2</v>
      </c>
    </row>
    <row r="251" spans="3:51" customFormat="1" x14ac:dyDescent="0.2">
      <c r="C251" s="107" t="s">
        <v>652</v>
      </c>
      <c r="D251" s="129" t="s">
        <v>748</v>
      </c>
      <c r="E251" s="107" t="s">
        <v>631</v>
      </c>
      <c r="F251" s="107" t="s">
        <v>749</v>
      </c>
      <c r="G251" s="109" t="s">
        <v>633</v>
      </c>
      <c r="H251" s="130">
        <v>4.3E-3</v>
      </c>
      <c r="I251" s="130">
        <v>8.2199999999999999E-3</v>
      </c>
      <c r="J251" s="130">
        <v>6.6600000000000001E-3</v>
      </c>
      <c r="K251" s="130">
        <v>2.3700000000000001E-3</v>
      </c>
      <c r="L251" s="130">
        <v>2.31E-3</v>
      </c>
      <c r="M251" s="130">
        <v>1.634E-2</v>
      </c>
      <c r="N251" s="130">
        <v>1.413E-2</v>
      </c>
      <c r="O251" s="130">
        <v>1.2370000000000001E-2</v>
      </c>
      <c r="P251" s="130">
        <v>3.218E-2</v>
      </c>
      <c r="Q251" s="130">
        <v>5.9630000000000002E-2</v>
      </c>
      <c r="R251" s="130">
        <v>5.8339999999999996E-2</v>
      </c>
      <c r="S251" s="130">
        <v>3.1110000000000002E-2</v>
      </c>
      <c r="T251" s="130">
        <v>4.2700000000000004E-3</v>
      </c>
      <c r="U251" s="130">
        <v>1.4310000000000002E-2</v>
      </c>
      <c r="V251" s="130">
        <v>2.5770000000000001E-2</v>
      </c>
      <c r="W251" s="130">
        <v>-1.0109999999999999E-2</v>
      </c>
      <c r="X251" s="130">
        <v>4.13E-3</v>
      </c>
      <c r="Y251" s="130">
        <v>1.9199999999999998E-2</v>
      </c>
      <c r="Z251" s="130">
        <v>1.268E-2</v>
      </c>
      <c r="AA251" s="130">
        <v>3.9199999999999999E-3</v>
      </c>
      <c r="AB251" s="130">
        <v>5.6499999999999996E-3</v>
      </c>
      <c r="AC251" s="130">
        <v>1.204E-2</v>
      </c>
      <c r="AD251" s="130">
        <v>2.1829999999999999E-2</v>
      </c>
      <c r="AE251" s="130">
        <v>2E-3</v>
      </c>
      <c r="AF251" s="130">
        <v>-1.8500000000000001E-3</v>
      </c>
      <c r="AG251" s="130">
        <v>1.448E-2</v>
      </c>
      <c r="AH251" s="130">
        <v>1.2589999999999999E-2</v>
      </c>
      <c r="AI251" s="130">
        <v>-3.5999999999999997E-4</v>
      </c>
      <c r="AJ251" s="130">
        <v>-1.6000000000000001E-3</v>
      </c>
      <c r="AK251" s="130">
        <v>1.3100000000000001E-2</v>
      </c>
      <c r="AL251" s="130">
        <v>1.1270000000000001E-2</v>
      </c>
      <c r="AM251" s="130">
        <v>-1.17E-3</v>
      </c>
      <c r="AN251" s="99">
        <f t="shared" si="2"/>
        <v>6.1737500000000004E-3</v>
      </c>
      <c r="AO251" s="99">
        <f t="shared" si="2"/>
        <v>1.9665000000000002E-2</v>
      </c>
      <c r="AP251" s="99">
        <f t="shared" si="2"/>
        <v>2.040875E-2</v>
      </c>
      <c r="AQ251" s="99">
        <f t="shared" si="2"/>
        <v>5.0162499999999999E-3</v>
      </c>
      <c r="AR251" s="99">
        <f t="shared" si="3"/>
        <v>6.1737500000000004E-3</v>
      </c>
      <c r="AS251" s="99">
        <f t="shared" si="3"/>
        <v>1.9665000000000002E-2</v>
      </c>
      <c r="AT251" s="99">
        <f t="shared" si="3"/>
        <v>2.040875E-2</v>
      </c>
      <c r="AU251" s="99">
        <f t="shared" si="3"/>
        <v>5.0162499999999999E-3</v>
      </c>
      <c r="AV251" s="99">
        <f t="shared" si="3"/>
        <v>6.1737500000000004E-3</v>
      </c>
      <c r="AW251" s="99">
        <f t="shared" si="3"/>
        <v>1.9665000000000002E-2</v>
      </c>
      <c r="AX251" s="99">
        <f t="shared" si="3"/>
        <v>2.040875E-2</v>
      </c>
      <c r="AY251" s="99">
        <f t="shared" si="3"/>
        <v>5.0162499999999999E-3</v>
      </c>
    </row>
    <row r="252" spans="3:51" customFormat="1" x14ac:dyDescent="0.2">
      <c r="C252" s="107" t="s">
        <v>581</v>
      </c>
      <c r="D252" s="129" t="s">
        <v>748</v>
      </c>
      <c r="E252" s="107" t="s">
        <v>631</v>
      </c>
      <c r="F252" s="107" t="s">
        <v>749</v>
      </c>
      <c r="G252" s="109" t="s">
        <v>633</v>
      </c>
      <c r="H252" s="130">
        <v>1.9859999999999999E-2</v>
      </c>
      <c r="I252" s="130">
        <v>3.4999999999999996E-3</v>
      </c>
      <c r="J252" s="130">
        <v>1.24E-3</v>
      </c>
      <c r="K252" s="130">
        <v>2.7300000000000002E-3</v>
      </c>
      <c r="L252" s="130">
        <v>2.0320000000000001E-2</v>
      </c>
      <c r="M252" s="130">
        <v>1.8700000000000001E-2</v>
      </c>
      <c r="N252" s="130">
        <v>1.001E-2</v>
      </c>
      <c r="O252" s="130">
        <v>2.6680000000000002E-2</v>
      </c>
      <c r="P252" s="130">
        <v>3.7940000000000002E-2</v>
      </c>
      <c r="Q252" s="130">
        <v>5.8710000000000005E-2</v>
      </c>
      <c r="R252" s="130">
        <v>3.1600000000000003E-2</v>
      </c>
      <c r="S252" s="130">
        <v>3.671E-2</v>
      </c>
      <c r="T252" s="130">
        <v>4.0500000000000001E-2</v>
      </c>
      <c r="U252" s="130">
        <v>1.8800000000000001E-2</v>
      </c>
      <c r="V252" s="130">
        <v>-3.5099999999999997E-3</v>
      </c>
      <c r="W252" s="130">
        <v>5.3700000000000006E-3</v>
      </c>
      <c r="X252" s="130">
        <v>9.58E-3</v>
      </c>
      <c r="Y252" s="130">
        <v>1.4420000000000001E-2</v>
      </c>
      <c r="Z252" s="130">
        <v>1.619E-2</v>
      </c>
      <c r="AA252" s="130">
        <v>7.4400000000000004E-3</v>
      </c>
      <c r="AB252" s="130">
        <v>1.4410000000000001E-2</v>
      </c>
      <c r="AC252" s="130">
        <v>5.5400000000000007E-3</v>
      </c>
      <c r="AD252" s="130">
        <v>3.0999999999999999E-3</v>
      </c>
      <c r="AE252" s="130">
        <v>1.72E-3</v>
      </c>
      <c r="AF252" s="130">
        <v>1.2789999999999999E-2</v>
      </c>
      <c r="AG252" s="130">
        <v>1.061E-2</v>
      </c>
      <c r="AH252" s="130">
        <v>1.06E-3</v>
      </c>
      <c r="AI252" s="130">
        <v>5.0699999999999999E-3</v>
      </c>
      <c r="AJ252" s="130">
        <v>1.0280000000000001E-2</v>
      </c>
      <c r="AK252" s="130">
        <v>1.1010000000000001E-2</v>
      </c>
      <c r="AL252" s="130">
        <v>1.08E-3</v>
      </c>
      <c r="AM252" s="130">
        <v>4.7599999999999995E-3</v>
      </c>
      <c r="AN252" s="99">
        <f t="shared" si="2"/>
        <v>2.0709999999999999E-2</v>
      </c>
      <c r="AO252" s="99">
        <f t="shared" si="2"/>
        <v>1.766125E-2</v>
      </c>
      <c r="AP252" s="99">
        <f t="shared" si="2"/>
        <v>7.5962499999999997E-3</v>
      </c>
      <c r="AQ252" s="99">
        <f t="shared" si="2"/>
        <v>1.1309999999999999E-2</v>
      </c>
      <c r="AR252" s="99">
        <f t="shared" si="3"/>
        <v>2.0709999999999999E-2</v>
      </c>
      <c r="AS252" s="99">
        <f t="shared" si="3"/>
        <v>1.766125E-2</v>
      </c>
      <c r="AT252" s="99">
        <f t="shared" si="3"/>
        <v>7.5962499999999997E-3</v>
      </c>
      <c r="AU252" s="99">
        <f t="shared" si="3"/>
        <v>1.1309999999999999E-2</v>
      </c>
      <c r="AV252" s="99">
        <f t="shared" si="3"/>
        <v>2.0709999999999999E-2</v>
      </c>
      <c r="AW252" s="99">
        <f t="shared" si="3"/>
        <v>1.766125E-2</v>
      </c>
      <c r="AX252" s="99">
        <f t="shared" si="3"/>
        <v>7.5962499999999997E-3</v>
      </c>
      <c r="AY252" s="99">
        <f t="shared" si="3"/>
        <v>1.1309999999999999E-2</v>
      </c>
    </row>
    <row r="253" spans="3:51" customFormat="1" x14ac:dyDescent="0.2">
      <c r="C253" s="107" t="s">
        <v>584</v>
      </c>
      <c r="D253" s="129" t="s">
        <v>748</v>
      </c>
      <c r="E253" s="107" t="s">
        <v>631</v>
      </c>
      <c r="F253" s="107" t="s">
        <v>749</v>
      </c>
      <c r="G253" s="109" t="s">
        <v>633</v>
      </c>
      <c r="H253" s="130">
        <v>1.1040000000000001E-2</v>
      </c>
      <c r="I253" s="130">
        <v>7.28E-3</v>
      </c>
      <c r="J253" s="130">
        <v>-7.0000000000000007E-5</v>
      </c>
      <c r="K253" s="130">
        <v>3.0999999999999999E-3</v>
      </c>
      <c r="L253" s="130">
        <v>2.0139999999999998E-2</v>
      </c>
      <c r="M253" s="130">
        <v>1.2920000000000001E-2</v>
      </c>
      <c r="N253" s="130">
        <v>1.7770000000000001E-2</v>
      </c>
      <c r="O253" s="130">
        <v>2.6700000000000002E-2</v>
      </c>
      <c r="P253" s="130">
        <v>2.9929999999999998E-2</v>
      </c>
      <c r="Q253" s="130">
        <v>6.3339999999999994E-2</v>
      </c>
      <c r="R253" s="130">
        <v>2.6240000000000003E-2</v>
      </c>
      <c r="S253" s="130">
        <v>3.347E-2</v>
      </c>
      <c r="T253" s="130">
        <v>2.0059999999999998E-2</v>
      </c>
      <c r="U253" s="130">
        <v>2.324E-2</v>
      </c>
      <c r="V253" s="130">
        <v>1.261E-2</v>
      </c>
      <c r="W253" s="130">
        <v>1.357E-2</v>
      </c>
      <c r="X253" s="130">
        <v>1.9630000000000002E-2</v>
      </c>
      <c r="Y253" s="130">
        <v>6.4000000000000003E-3</v>
      </c>
      <c r="Z253" s="130">
        <v>9.9500000000000005E-3</v>
      </c>
      <c r="AA253" s="130">
        <v>1.291E-2</v>
      </c>
      <c r="AB253" s="130">
        <v>1.933E-2</v>
      </c>
      <c r="AC253" s="130">
        <v>9.980000000000001E-3</v>
      </c>
      <c r="AD253" s="130">
        <v>4.7140000000000008E-2</v>
      </c>
      <c r="AE253" s="130">
        <v>1.7899999999999999E-2</v>
      </c>
      <c r="AF253" s="130">
        <v>-4.4900000000000001E-3</v>
      </c>
      <c r="AG253" s="130">
        <v>1.257E-2</v>
      </c>
      <c r="AH253" s="130">
        <v>8.2900000000000005E-3</v>
      </c>
      <c r="AI253" s="130">
        <v>9.4299999999999991E-3</v>
      </c>
      <c r="AJ253" s="130">
        <v>1.2660000000000001E-2</v>
      </c>
      <c r="AK253" s="130">
        <v>1.115E-2</v>
      </c>
      <c r="AL253" s="130">
        <v>6.7100000000000007E-3</v>
      </c>
      <c r="AM253" s="130">
        <v>6.7000000000000002E-3</v>
      </c>
      <c r="AN253" s="99">
        <f t="shared" si="2"/>
        <v>1.60375E-2</v>
      </c>
      <c r="AO253" s="99">
        <f t="shared" si="2"/>
        <v>1.8360000000000001E-2</v>
      </c>
      <c r="AP253" s="99">
        <f t="shared" si="2"/>
        <v>1.6080000000000004E-2</v>
      </c>
      <c r="AQ253" s="99">
        <f t="shared" si="2"/>
        <v>1.54725E-2</v>
      </c>
      <c r="AR253" s="99">
        <f t="shared" si="3"/>
        <v>1.60375E-2</v>
      </c>
      <c r="AS253" s="99">
        <f t="shared" si="3"/>
        <v>1.8360000000000001E-2</v>
      </c>
      <c r="AT253" s="99">
        <f t="shared" si="3"/>
        <v>1.6080000000000004E-2</v>
      </c>
      <c r="AU253" s="99">
        <f t="shared" si="3"/>
        <v>1.54725E-2</v>
      </c>
      <c r="AV253" s="99">
        <f t="shared" si="3"/>
        <v>1.60375E-2</v>
      </c>
      <c r="AW253" s="99">
        <f t="shared" si="3"/>
        <v>1.8360000000000001E-2</v>
      </c>
      <c r="AX253" s="99">
        <f t="shared" si="3"/>
        <v>1.6080000000000004E-2</v>
      </c>
      <c r="AY253" s="99">
        <f t="shared" si="3"/>
        <v>1.54725E-2</v>
      </c>
    </row>
    <row r="254" spans="3:51" customFormat="1" x14ac:dyDescent="0.2">
      <c r="C254" s="107" t="s">
        <v>653</v>
      </c>
      <c r="D254" s="129" t="s">
        <v>748</v>
      </c>
      <c r="E254" s="107" t="s">
        <v>631</v>
      </c>
      <c r="F254" s="107" t="s">
        <v>749</v>
      </c>
      <c r="G254" s="109" t="s">
        <v>633</v>
      </c>
      <c r="H254" s="130">
        <v>1.141E-2</v>
      </c>
      <c r="I254" s="130">
        <v>1.567E-2</v>
      </c>
      <c r="J254" s="130">
        <v>5.3700000000000006E-3</v>
      </c>
      <c r="K254" s="130">
        <v>1.1240000000000002E-2</v>
      </c>
      <c r="L254" s="130">
        <v>2.2160000000000003E-2</v>
      </c>
      <c r="M254" s="130">
        <v>2.017E-2</v>
      </c>
      <c r="N254" s="130">
        <v>1.3340000000000001E-2</v>
      </c>
      <c r="O254" s="130">
        <v>2.5010000000000001E-2</v>
      </c>
      <c r="P254" s="130">
        <v>5.2720000000000003E-2</v>
      </c>
      <c r="Q254" s="130">
        <v>6.9500000000000006E-2</v>
      </c>
      <c r="R254" s="130">
        <v>-9.11E-3</v>
      </c>
      <c r="S254" s="130">
        <v>5.4700000000000009E-3</v>
      </c>
      <c r="T254" s="130">
        <v>1.924E-2</v>
      </c>
      <c r="U254" s="130">
        <v>1.1140000000000001E-2</v>
      </c>
      <c r="V254" s="130">
        <v>1.464E-2</v>
      </c>
      <c r="W254" s="130">
        <v>2.5080000000000002E-2</v>
      </c>
      <c r="X254" s="130">
        <v>2.315E-2</v>
      </c>
      <c r="Y254" s="130">
        <v>1.703E-2</v>
      </c>
      <c r="Z254" s="130">
        <v>2.1180000000000001E-2</v>
      </c>
      <c r="AA254" s="130">
        <v>2.5550000000000003E-2</v>
      </c>
      <c r="AB254" s="130">
        <v>3.3700000000000001E-2</v>
      </c>
      <c r="AC254" s="130">
        <v>1.455E-2</v>
      </c>
      <c r="AD254" s="130">
        <v>6.94E-3</v>
      </c>
      <c r="AE254" s="130">
        <v>9.6799999999999994E-3</v>
      </c>
      <c r="AF254" s="130">
        <v>2.8150000000000001E-2</v>
      </c>
      <c r="AG254" s="130">
        <v>1.4230000000000001E-2</v>
      </c>
      <c r="AH254" s="130">
        <v>1.4399999999999999E-3</v>
      </c>
      <c r="AI254" s="130">
        <v>8.3899999999999999E-3</v>
      </c>
      <c r="AJ254" s="130">
        <v>2.3700000000000002E-2</v>
      </c>
      <c r="AK254" s="130">
        <v>1.5949999999999999E-2</v>
      </c>
      <c r="AL254" s="130">
        <v>3.2400000000000003E-3</v>
      </c>
      <c r="AM254" s="130">
        <v>9.2200000000000008E-3</v>
      </c>
      <c r="AN254" s="99">
        <f t="shared" si="2"/>
        <v>2.6778750000000007E-2</v>
      </c>
      <c r="AO254" s="99">
        <f t="shared" si="2"/>
        <v>2.2280000000000001E-2</v>
      </c>
      <c r="AP254" s="99">
        <f t="shared" si="2"/>
        <v>7.1300000000000009E-3</v>
      </c>
      <c r="AQ254" s="99">
        <f t="shared" si="2"/>
        <v>1.4955000000000001E-2</v>
      </c>
      <c r="AR254" s="99">
        <f t="shared" si="3"/>
        <v>2.6778750000000007E-2</v>
      </c>
      <c r="AS254" s="99">
        <f t="shared" si="3"/>
        <v>2.2280000000000001E-2</v>
      </c>
      <c r="AT254" s="99">
        <f t="shared" si="3"/>
        <v>7.1300000000000009E-3</v>
      </c>
      <c r="AU254" s="99">
        <f t="shared" si="3"/>
        <v>1.4955000000000001E-2</v>
      </c>
      <c r="AV254" s="99">
        <f t="shared" si="3"/>
        <v>2.6778750000000007E-2</v>
      </c>
      <c r="AW254" s="99">
        <f t="shared" si="3"/>
        <v>2.2280000000000001E-2</v>
      </c>
      <c r="AX254" s="99">
        <f t="shared" si="3"/>
        <v>7.1300000000000009E-3</v>
      </c>
      <c r="AY254" s="99">
        <f t="shared" si="3"/>
        <v>1.4955000000000001E-2</v>
      </c>
    </row>
    <row r="255" spans="3:51" customFormat="1" x14ac:dyDescent="0.2">
      <c r="C255" s="107" t="s">
        <v>587</v>
      </c>
      <c r="D255" s="129" t="s">
        <v>748</v>
      </c>
      <c r="E255" s="107" t="s">
        <v>631</v>
      </c>
      <c r="F255" s="107" t="s">
        <v>749</v>
      </c>
      <c r="G255" s="109" t="s">
        <v>633</v>
      </c>
      <c r="H255" s="130">
        <v>1.3140000000000001E-2</v>
      </c>
      <c r="I255" s="130">
        <v>2.16E-3</v>
      </c>
      <c r="J255" s="130">
        <v>2.8199999999999996E-3</v>
      </c>
      <c r="K255" s="130">
        <v>-2.15E-3</v>
      </c>
      <c r="L255" s="130">
        <v>1.095E-2</v>
      </c>
      <c r="M255" s="130">
        <v>2.0339999999999997E-2</v>
      </c>
      <c r="N255" s="130">
        <v>1.4630000000000001E-2</v>
      </c>
      <c r="O255" s="130">
        <v>2.5190000000000001E-2</v>
      </c>
      <c r="P255" s="130">
        <v>2.427E-2</v>
      </c>
      <c r="Q255" s="130">
        <v>3.848E-2</v>
      </c>
      <c r="R255" s="130">
        <v>3.8940000000000002E-2</v>
      </c>
      <c r="S255" s="130">
        <v>4.1260000000000005E-2</v>
      </c>
      <c r="T255" s="130">
        <v>3.2639999999999995E-2</v>
      </c>
      <c r="U255" s="130">
        <v>2.5360000000000001E-2</v>
      </c>
      <c r="V255" s="130">
        <v>1.0660000000000001E-2</v>
      </c>
      <c r="W255" s="130">
        <v>9.5399999999999999E-3</v>
      </c>
      <c r="X255" s="130">
        <v>1.0200000000000001E-2</v>
      </c>
      <c r="Y255" s="130">
        <v>1.3169999999999999E-2</v>
      </c>
      <c r="Z255" s="130">
        <v>8.9899999999999997E-3</v>
      </c>
      <c r="AA255" s="130">
        <v>1.047E-2</v>
      </c>
      <c r="AB255" s="130">
        <v>1.1559999999999999E-2</v>
      </c>
      <c r="AC255" s="130">
        <v>9.6600000000000002E-3</v>
      </c>
      <c r="AD255" s="130">
        <v>9.4500000000000001E-3</v>
      </c>
      <c r="AE255" s="130">
        <v>-3.0000000000000001E-3</v>
      </c>
      <c r="AF255" s="130">
        <v>1.52E-2</v>
      </c>
      <c r="AG255" s="130">
        <v>1.1899999999999999E-2</v>
      </c>
      <c r="AH255" s="130">
        <v>6.1200000000000004E-3</v>
      </c>
      <c r="AI255" s="130">
        <v>6.3E-3</v>
      </c>
      <c r="AJ255" s="130">
        <v>8.5599999999999999E-3</v>
      </c>
      <c r="AK255" s="130">
        <v>1.171E-2</v>
      </c>
      <c r="AL255" s="130">
        <v>5.4400000000000004E-3</v>
      </c>
      <c r="AM255" s="130">
        <v>5.2400000000000007E-3</v>
      </c>
      <c r="AN255" s="99">
        <f t="shared" si="2"/>
        <v>1.5814999999999999E-2</v>
      </c>
      <c r="AO255" s="99">
        <f t="shared" si="2"/>
        <v>1.6597499999999998E-2</v>
      </c>
      <c r="AP255" s="99">
        <f t="shared" si="2"/>
        <v>1.2131250000000001E-2</v>
      </c>
      <c r="AQ255" s="99">
        <f t="shared" si="2"/>
        <v>1.1606250000000002E-2</v>
      </c>
      <c r="AR255" s="99">
        <f t="shared" si="3"/>
        <v>1.5814999999999999E-2</v>
      </c>
      <c r="AS255" s="99">
        <f t="shared" si="3"/>
        <v>1.6597499999999998E-2</v>
      </c>
      <c r="AT255" s="99">
        <f t="shared" si="3"/>
        <v>1.2131250000000001E-2</v>
      </c>
      <c r="AU255" s="99">
        <f t="shared" si="3"/>
        <v>1.1606250000000002E-2</v>
      </c>
      <c r="AV255" s="99">
        <f t="shared" si="3"/>
        <v>1.5814999999999999E-2</v>
      </c>
      <c r="AW255" s="99">
        <f t="shared" si="3"/>
        <v>1.6597499999999998E-2</v>
      </c>
      <c r="AX255" s="99">
        <f t="shared" si="3"/>
        <v>1.2131250000000001E-2</v>
      </c>
      <c r="AY255" s="99">
        <f t="shared" si="3"/>
        <v>1.1606250000000002E-2</v>
      </c>
    </row>
    <row r="256" spans="3:51" customFormat="1" x14ac:dyDescent="0.2">
      <c r="C256" s="107" t="s">
        <v>424</v>
      </c>
      <c r="D256" s="129" t="s">
        <v>748</v>
      </c>
      <c r="E256" s="107" t="s">
        <v>631</v>
      </c>
      <c r="F256" s="107" t="s">
        <v>749</v>
      </c>
      <c r="G256" s="109" t="s">
        <v>633</v>
      </c>
      <c r="H256" s="130">
        <v>1.1850000000000001E-2</v>
      </c>
      <c r="I256" s="130">
        <v>1.5100000000000001E-3</v>
      </c>
      <c r="J256" s="130">
        <v>5.7000000000000009E-4</v>
      </c>
      <c r="K256" s="130">
        <v>1.32E-3</v>
      </c>
      <c r="L256" s="130">
        <v>6.4000000000000003E-3</v>
      </c>
      <c r="M256" s="130">
        <v>1.384E-2</v>
      </c>
      <c r="N256" s="130">
        <v>1.6789999999999999E-2</v>
      </c>
      <c r="O256" s="130">
        <v>1.6879999999999999E-2</v>
      </c>
      <c r="P256" s="130">
        <v>4.2409999999999996E-2</v>
      </c>
      <c r="Q256" s="130">
        <v>4.3899999999999995E-2</v>
      </c>
      <c r="R256" s="130">
        <v>2.9849999999999998E-2</v>
      </c>
      <c r="S256" s="130">
        <v>2.8029999999999999E-2</v>
      </c>
      <c r="T256" s="130">
        <v>4.1520000000000001E-2</v>
      </c>
      <c r="U256" s="130">
        <v>1.7399999999999999E-2</v>
      </c>
      <c r="V256" s="130">
        <v>-2.9E-4</v>
      </c>
      <c r="W256" s="130">
        <v>4.5300000000000002E-3</v>
      </c>
      <c r="X256" s="130">
        <v>1.0189999999999999E-2</v>
      </c>
      <c r="Y256" s="130">
        <v>6.4900000000000001E-3</v>
      </c>
      <c r="Z256" s="130">
        <v>5.3E-3</v>
      </c>
      <c r="AA256" s="130">
        <v>8.1200000000000005E-3</v>
      </c>
      <c r="AB256" s="130">
        <v>1.8509999999999999E-2</v>
      </c>
      <c r="AC256" s="130">
        <v>8.1799999999999998E-3</v>
      </c>
      <c r="AD256" s="130">
        <v>7.43E-3</v>
      </c>
      <c r="AE256" s="130">
        <v>3.0000000000000001E-3</v>
      </c>
      <c r="AF256" s="130">
        <v>1.8350000000000002E-2</v>
      </c>
      <c r="AG256" s="130">
        <v>8.4200000000000004E-3</v>
      </c>
      <c r="AH256" s="130">
        <v>2.7300000000000002E-3</v>
      </c>
      <c r="AI256" s="130">
        <v>2.7400000000000002E-3</v>
      </c>
      <c r="AJ256" s="130">
        <v>1.295E-2</v>
      </c>
      <c r="AK256" s="130">
        <v>7.6100000000000004E-3</v>
      </c>
      <c r="AL256" s="130">
        <v>2.0499999999999997E-3</v>
      </c>
      <c r="AM256" s="130">
        <v>1.92E-3</v>
      </c>
      <c r="AN256" s="99">
        <f t="shared" si="2"/>
        <v>2.0272499999999999E-2</v>
      </c>
      <c r="AO256" s="99">
        <f t="shared" si="2"/>
        <v>1.3418749999999998E-2</v>
      </c>
      <c r="AP256" s="99">
        <f t="shared" si="2"/>
        <v>8.0537500000000001E-3</v>
      </c>
      <c r="AQ256" s="99">
        <f t="shared" si="2"/>
        <v>8.3175000000000002E-3</v>
      </c>
      <c r="AR256" s="99">
        <f t="shared" si="3"/>
        <v>2.0272499999999999E-2</v>
      </c>
      <c r="AS256" s="99">
        <f t="shared" si="3"/>
        <v>1.3418749999999998E-2</v>
      </c>
      <c r="AT256" s="99">
        <f t="shared" si="3"/>
        <v>8.0537500000000001E-3</v>
      </c>
      <c r="AU256" s="99">
        <f t="shared" si="3"/>
        <v>8.3175000000000002E-3</v>
      </c>
      <c r="AV256" s="99">
        <f t="shared" si="3"/>
        <v>2.0272499999999999E-2</v>
      </c>
      <c r="AW256" s="99">
        <f t="shared" si="3"/>
        <v>1.3418749999999998E-2</v>
      </c>
      <c r="AX256" s="99">
        <f t="shared" si="3"/>
        <v>8.0537500000000001E-3</v>
      </c>
      <c r="AY256" s="99">
        <f t="shared" si="3"/>
        <v>8.3175000000000002E-3</v>
      </c>
    </row>
    <row r="257" spans="3:51" customFormat="1" x14ac:dyDescent="0.2">
      <c r="C257" s="107" t="s">
        <v>590</v>
      </c>
      <c r="D257" s="129" t="s">
        <v>748</v>
      </c>
      <c r="E257" s="107" t="s">
        <v>631</v>
      </c>
      <c r="F257" s="107" t="s">
        <v>749</v>
      </c>
      <c r="G257" s="109" t="s">
        <v>633</v>
      </c>
      <c r="H257" s="130">
        <v>-7.5900000000000004E-3</v>
      </c>
      <c r="I257" s="130">
        <v>-2.2000000000000001E-3</v>
      </c>
      <c r="J257" s="130">
        <v>8.5900000000000004E-3</v>
      </c>
      <c r="K257" s="130">
        <v>-5.7599999999999995E-3</v>
      </c>
      <c r="L257" s="130">
        <v>-5.9199999999999999E-3</v>
      </c>
      <c r="M257" s="130">
        <v>2.1940000000000001E-2</v>
      </c>
      <c r="N257" s="130">
        <v>1.153E-2</v>
      </c>
      <c r="O257" s="130">
        <v>1.363E-2</v>
      </c>
      <c r="P257" s="130">
        <v>1.1679999999999999E-2</v>
      </c>
      <c r="Q257" s="130">
        <v>4.6050000000000008E-2</v>
      </c>
      <c r="R257" s="130">
        <v>3.1690000000000003E-2</v>
      </c>
      <c r="S257" s="130">
        <v>7.92E-3</v>
      </c>
      <c r="T257" s="130">
        <v>1.0800000000000001E-2</v>
      </c>
      <c r="U257" s="130">
        <v>2.9489999999999999E-2</v>
      </c>
      <c r="V257" s="130">
        <v>1.5960000000000002E-2</v>
      </c>
      <c r="W257" s="130">
        <v>-4.0500000000000006E-3</v>
      </c>
      <c r="X257" s="130">
        <v>-6.94E-3</v>
      </c>
      <c r="Y257" s="130">
        <v>1.8620000000000001E-2</v>
      </c>
      <c r="Z257" s="130">
        <v>2.0300000000000001E-3</v>
      </c>
      <c r="AA257" s="130">
        <v>-1.8E-3</v>
      </c>
      <c r="AB257" s="130">
        <v>-1.6000000000000001E-4</v>
      </c>
      <c r="AC257" s="130">
        <v>2.0729999999999998E-2</v>
      </c>
      <c r="AD257" s="130">
        <v>9.4000000000000004E-3</v>
      </c>
      <c r="AE257" s="130">
        <v>-3.0899999999999999E-3</v>
      </c>
      <c r="AF257" s="130">
        <v>-2.8100000000000004E-3</v>
      </c>
      <c r="AG257" s="130">
        <v>1.9740000000000001E-2</v>
      </c>
      <c r="AH257" s="130">
        <v>7.3400000000000002E-3</v>
      </c>
      <c r="AI257" s="130">
        <v>-9.6000000000000002E-4</v>
      </c>
      <c r="AJ257" s="130">
        <v>-4.45E-3</v>
      </c>
      <c r="AK257" s="130">
        <v>1.932E-2</v>
      </c>
      <c r="AL257" s="130">
        <v>6.8600000000000006E-3</v>
      </c>
      <c r="AM257" s="130">
        <v>-1.4000000000000002E-3</v>
      </c>
      <c r="AN257" s="99">
        <f t="shared" si="2"/>
        <v>-6.7375000000000009E-4</v>
      </c>
      <c r="AO257" s="99">
        <f t="shared" si="2"/>
        <v>2.1711250000000001E-2</v>
      </c>
      <c r="AP257" s="99">
        <f t="shared" si="2"/>
        <v>1.1675000000000001E-2</v>
      </c>
      <c r="AQ257" s="99">
        <f t="shared" si="2"/>
        <v>5.612499999999999E-4</v>
      </c>
      <c r="AR257" s="99">
        <f t="shared" si="3"/>
        <v>-6.7375000000000009E-4</v>
      </c>
      <c r="AS257" s="99">
        <f t="shared" si="3"/>
        <v>2.1711250000000001E-2</v>
      </c>
      <c r="AT257" s="99">
        <f t="shared" si="3"/>
        <v>1.1675000000000001E-2</v>
      </c>
      <c r="AU257" s="99">
        <f t="shared" si="3"/>
        <v>5.612499999999999E-4</v>
      </c>
      <c r="AV257" s="99">
        <f t="shared" si="3"/>
        <v>-6.7375000000000009E-4</v>
      </c>
      <c r="AW257" s="99">
        <f t="shared" si="3"/>
        <v>2.1711250000000001E-2</v>
      </c>
      <c r="AX257" s="99">
        <f t="shared" si="3"/>
        <v>1.1675000000000001E-2</v>
      </c>
      <c r="AY257" s="99">
        <f t="shared" si="3"/>
        <v>5.612499999999999E-4</v>
      </c>
    </row>
    <row r="258" spans="3:51" customFormat="1" x14ac:dyDescent="0.2">
      <c r="C258" s="107" t="s">
        <v>607</v>
      </c>
      <c r="D258" s="129" t="s">
        <v>748</v>
      </c>
      <c r="E258" s="107" t="s">
        <v>631</v>
      </c>
      <c r="F258" s="107" t="s">
        <v>749</v>
      </c>
      <c r="G258" s="109" t="s">
        <v>633</v>
      </c>
      <c r="H258" s="130">
        <v>1.6400000000000002E-3</v>
      </c>
      <c r="I258" s="130">
        <v>1.4960000000000001E-2</v>
      </c>
      <c r="J258" s="130">
        <v>-3.3400000000000001E-3</v>
      </c>
      <c r="K258" s="130">
        <v>2.4500000000000001E-2</v>
      </c>
      <c r="L258" s="130">
        <v>3.6209999999999999E-2</v>
      </c>
      <c r="M258" s="130">
        <v>3.124E-2</v>
      </c>
      <c r="N258" s="130">
        <v>9.1800000000000007E-3</v>
      </c>
      <c r="O258" s="130">
        <v>2.385E-2</v>
      </c>
      <c r="P258" s="130">
        <v>4.6280000000000002E-2</v>
      </c>
      <c r="Q258" s="130">
        <v>9.7439999999999999E-2</v>
      </c>
      <c r="R258" s="130">
        <v>5.0800000000000005E-2</v>
      </c>
      <c r="S258" s="130">
        <v>4.9020000000000001E-2</v>
      </c>
      <c r="T258" s="130">
        <v>2.4860000000000004E-2</v>
      </c>
      <c r="U258" s="130">
        <v>2.0400000000000001E-2</v>
      </c>
      <c r="V258" s="130">
        <v>-6.7100000000000007E-3</v>
      </c>
      <c r="W258" s="130">
        <v>1.2279999999999999E-2</v>
      </c>
      <c r="X258" s="130">
        <v>1.4119999999999999E-2</v>
      </c>
      <c r="Y258" s="130">
        <v>1.771E-2</v>
      </c>
      <c r="Z258" s="130">
        <v>2.5729999999999999E-2</v>
      </c>
      <c r="AA258" s="130">
        <v>4.8140000000000002E-2</v>
      </c>
      <c r="AB258" s="130">
        <v>3.8390000000000001E-2</v>
      </c>
      <c r="AC258" s="130">
        <v>3.1309999999999998E-2</v>
      </c>
      <c r="AD258" s="130">
        <v>7.3000000000000001E-3</v>
      </c>
      <c r="AE258" s="130">
        <v>1.3720000000000001E-2</v>
      </c>
      <c r="AF258" s="130">
        <v>2.7150000000000001E-2</v>
      </c>
      <c r="AG258" s="130">
        <v>2.1880000000000004E-2</v>
      </c>
      <c r="AH258" s="130">
        <v>-1.5E-3</v>
      </c>
      <c r="AI258" s="130">
        <v>1.5810000000000001E-2</v>
      </c>
      <c r="AJ258" s="130">
        <v>1.4920000000000001E-2</v>
      </c>
      <c r="AK258" s="130">
        <v>2.274E-2</v>
      </c>
      <c r="AL258" s="130">
        <v>-8.5999999999999998E-4</v>
      </c>
      <c r="AM258" s="130">
        <v>1.601E-2</v>
      </c>
      <c r="AN258" s="99">
        <f t="shared" si="2"/>
        <v>2.544625E-2</v>
      </c>
      <c r="AO258" s="99">
        <f t="shared" si="2"/>
        <v>3.2210000000000003E-2</v>
      </c>
      <c r="AP258" s="99">
        <f t="shared" si="2"/>
        <v>1.0075000000000002E-2</v>
      </c>
      <c r="AQ258" s="99">
        <f t="shared" si="2"/>
        <v>2.5416250000000001E-2</v>
      </c>
      <c r="AR258" s="99">
        <f t="shared" si="3"/>
        <v>2.544625E-2</v>
      </c>
      <c r="AS258" s="99">
        <f t="shared" si="3"/>
        <v>3.2210000000000003E-2</v>
      </c>
      <c r="AT258" s="99">
        <f t="shared" si="3"/>
        <v>1.0075000000000002E-2</v>
      </c>
      <c r="AU258" s="99">
        <f t="shared" si="3"/>
        <v>2.5416250000000001E-2</v>
      </c>
      <c r="AV258" s="99">
        <f t="shared" si="3"/>
        <v>2.544625E-2</v>
      </c>
      <c r="AW258" s="99">
        <f t="shared" si="3"/>
        <v>3.2210000000000003E-2</v>
      </c>
      <c r="AX258" s="99">
        <f t="shared" si="3"/>
        <v>1.0075000000000002E-2</v>
      </c>
      <c r="AY258" s="99">
        <f t="shared" si="3"/>
        <v>2.5416250000000001E-2</v>
      </c>
    </row>
    <row r="259" spans="3:51" customFormat="1" x14ac:dyDescent="0.2">
      <c r="C259" s="107" t="s">
        <v>486</v>
      </c>
      <c r="D259" s="129" t="s">
        <v>748</v>
      </c>
      <c r="E259" s="107" t="s">
        <v>631</v>
      </c>
      <c r="F259" s="107" t="s">
        <v>749</v>
      </c>
      <c r="G259" s="109" t="s">
        <v>633</v>
      </c>
      <c r="H259" s="130">
        <v>8.3840000000000012E-2</v>
      </c>
      <c r="I259" s="130">
        <v>6.164E-2</v>
      </c>
      <c r="J259" s="130">
        <v>6.3760000000000011E-2</v>
      </c>
      <c r="K259" s="130">
        <v>9.9559999999999996E-2</v>
      </c>
      <c r="L259" s="130">
        <v>0.11324000000000001</v>
      </c>
      <c r="M259" s="130">
        <v>0.12519</v>
      </c>
      <c r="N259" s="130">
        <v>9.5890000000000003E-2</v>
      </c>
      <c r="O259" s="130">
        <v>0.10436999999999999</v>
      </c>
      <c r="P259" s="130">
        <v>0.13303999999999999</v>
      </c>
      <c r="Q259" s="130">
        <v>0.18210999999999999</v>
      </c>
      <c r="R259" s="130">
        <v>0.20649000000000001</v>
      </c>
      <c r="S259" s="130">
        <v>0.19074000000000002</v>
      </c>
      <c r="T259" s="130">
        <v>0.19486000000000001</v>
      </c>
      <c r="U259" s="130">
        <v>0.25125000000000003</v>
      </c>
      <c r="V259" s="130">
        <v>0.27387</v>
      </c>
      <c r="W259" s="130">
        <v>0.43243000000000004</v>
      </c>
      <c r="X259" s="130">
        <v>0.63714999999999999</v>
      </c>
      <c r="Y259" s="130">
        <v>0.27768000000000004</v>
      </c>
      <c r="Z259" s="130">
        <v>0.12833</v>
      </c>
      <c r="AA259" s="130">
        <v>9.5960000000000004E-2</v>
      </c>
      <c r="AB259" s="130">
        <v>7.7600000000000002E-2</v>
      </c>
      <c r="AC259" s="130">
        <v>7.9710000000000003E-2</v>
      </c>
      <c r="AD259" s="130">
        <v>5.8120000000000005E-2</v>
      </c>
      <c r="AE259" s="130">
        <v>7.2090000000000001E-2</v>
      </c>
      <c r="AF259" s="130">
        <v>4.7119999999999995E-2</v>
      </c>
      <c r="AG259" s="130">
        <v>3.9329999999999997E-2</v>
      </c>
      <c r="AH259" s="130">
        <v>1.661E-2</v>
      </c>
      <c r="AI259" s="130">
        <v>3.4759999999999999E-2</v>
      </c>
      <c r="AJ259" s="130">
        <v>4.4569999999999999E-2</v>
      </c>
      <c r="AK259" s="130">
        <v>2.8410000000000001E-2</v>
      </c>
      <c r="AL259" s="130">
        <v>1.0869999999999999E-2</v>
      </c>
      <c r="AM259" s="130">
        <v>3.0370000000000001E-2</v>
      </c>
      <c r="AN259" s="99">
        <f t="shared" si="2"/>
        <v>0.16642750000000001</v>
      </c>
      <c r="AO259" s="99">
        <f t="shared" si="2"/>
        <v>0.130665</v>
      </c>
      <c r="AP259" s="99">
        <f t="shared" si="2"/>
        <v>0.10674250000000002</v>
      </c>
      <c r="AQ259" s="99">
        <f t="shared" si="2"/>
        <v>0.13253500000000001</v>
      </c>
      <c r="AR259" s="99">
        <f t="shared" si="3"/>
        <v>0.16642750000000001</v>
      </c>
      <c r="AS259" s="99">
        <f t="shared" si="3"/>
        <v>0.130665</v>
      </c>
      <c r="AT259" s="99">
        <f t="shared" si="3"/>
        <v>0.10674250000000002</v>
      </c>
      <c r="AU259" s="99">
        <f t="shared" si="3"/>
        <v>0.13253500000000001</v>
      </c>
      <c r="AV259" s="99">
        <f t="shared" si="3"/>
        <v>0.16642750000000001</v>
      </c>
      <c r="AW259" s="99">
        <f t="shared" si="3"/>
        <v>0.130665</v>
      </c>
      <c r="AX259" s="99">
        <f t="shared" si="3"/>
        <v>0.10674250000000002</v>
      </c>
      <c r="AY259" s="99">
        <f t="shared" si="3"/>
        <v>0.13253500000000001</v>
      </c>
    </row>
    <row r="260" spans="3:51" customFormat="1" x14ac:dyDescent="0.2">
      <c r="C260" s="107" t="s">
        <v>436</v>
      </c>
      <c r="D260" s="129" t="s">
        <v>748</v>
      </c>
      <c r="E260" s="107" t="s">
        <v>631</v>
      </c>
      <c r="F260" s="107" t="s">
        <v>749</v>
      </c>
      <c r="G260" s="109" t="s">
        <v>633</v>
      </c>
      <c r="H260" s="130">
        <v>-6.9699999999999996E-3</v>
      </c>
      <c r="I260" s="130">
        <v>5.7799999999999995E-3</v>
      </c>
      <c r="J260" s="130">
        <v>3.9700000000000004E-3</v>
      </c>
      <c r="K260" s="130">
        <v>-3.2700000000000003E-3</v>
      </c>
      <c r="L260" s="130">
        <v>5.94E-3</v>
      </c>
      <c r="M260" s="130">
        <v>-1.9500000000000001E-3</v>
      </c>
      <c r="N260" s="130">
        <v>3.8500000000000001E-3</v>
      </c>
      <c r="O260" s="130">
        <v>0</v>
      </c>
      <c r="P260" s="130">
        <v>5.4800000000000005E-3</v>
      </c>
      <c r="Q260" s="130">
        <v>4.1900000000000001E-3</v>
      </c>
      <c r="R260" s="130">
        <v>8.5000000000000006E-3</v>
      </c>
      <c r="S260" s="130">
        <v>1.2110000000000001E-2</v>
      </c>
      <c r="T260" s="130">
        <v>2.4299999999999999E-3</v>
      </c>
      <c r="U260" s="130">
        <v>4.4200000000000003E-3</v>
      </c>
      <c r="V260" s="130">
        <v>9.4400000000000005E-3</v>
      </c>
      <c r="W260" s="130">
        <v>2.8699999999999997E-3</v>
      </c>
      <c r="X260" s="130">
        <v>7.8500000000000011E-3</v>
      </c>
      <c r="Y260" s="130">
        <v>1.549E-2</v>
      </c>
      <c r="Z260" s="130">
        <v>2.4080000000000001E-2</v>
      </c>
      <c r="AA260" s="130">
        <v>4.1329999999999999E-2</v>
      </c>
      <c r="AB260" s="130">
        <v>4.623E-2</v>
      </c>
      <c r="AC260" s="130">
        <v>6.8010000000000001E-2</v>
      </c>
      <c r="AD260" s="130">
        <v>6.6570000000000004E-2</v>
      </c>
      <c r="AE260" s="130">
        <v>1.6910000000000001E-2</v>
      </c>
      <c r="AF260" s="130">
        <v>3.1220000000000001E-2</v>
      </c>
      <c r="AG260" s="130">
        <v>3.5459999999999998E-2</v>
      </c>
      <c r="AH260" s="130">
        <v>3.6000000000000004E-2</v>
      </c>
      <c r="AI260" s="130">
        <v>2.7130000000000001E-2</v>
      </c>
      <c r="AJ260" s="130">
        <v>1.7780000000000001E-2</v>
      </c>
      <c r="AK260" s="130">
        <v>2.0539999999999999E-2</v>
      </c>
      <c r="AL260" s="130">
        <v>2.1860000000000001E-2</v>
      </c>
      <c r="AM260" s="130">
        <v>1.1559999999999999E-2</v>
      </c>
      <c r="AN260" s="99">
        <f t="shared" si="2"/>
        <v>1.3745E-2</v>
      </c>
      <c r="AO260" s="99">
        <f t="shared" si="2"/>
        <v>1.8992500000000002E-2</v>
      </c>
      <c r="AP260" s="99">
        <f t="shared" si="2"/>
        <v>2.1783750000000004E-2</v>
      </c>
      <c r="AQ260" s="99">
        <f t="shared" si="2"/>
        <v>1.3580000000000002E-2</v>
      </c>
      <c r="AR260" s="99">
        <f t="shared" si="3"/>
        <v>1.3745E-2</v>
      </c>
      <c r="AS260" s="99">
        <f t="shared" si="3"/>
        <v>1.8992500000000002E-2</v>
      </c>
      <c r="AT260" s="99">
        <f t="shared" si="3"/>
        <v>2.1783750000000004E-2</v>
      </c>
      <c r="AU260" s="99">
        <f t="shared" si="3"/>
        <v>1.3580000000000002E-2</v>
      </c>
      <c r="AV260" s="99">
        <f t="shared" si="3"/>
        <v>1.3745E-2</v>
      </c>
      <c r="AW260" s="99">
        <f t="shared" si="3"/>
        <v>1.8992500000000002E-2</v>
      </c>
      <c r="AX260" s="99">
        <f t="shared" si="3"/>
        <v>2.1783750000000004E-2</v>
      </c>
      <c r="AY260" s="99">
        <f t="shared" si="3"/>
        <v>1.3580000000000002E-2</v>
      </c>
    </row>
    <row r="261" spans="3:51" customFormat="1" x14ac:dyDescent="0.2">
      <c r="C261" s="107" t="s">
        <v>438</v>
      </c>
      <c r="D261" s="129" t="s">
        <v>748</v>
      </c>
      <c r="E261" s="107" t="s">
        <v>631</v>
      </c>
      <c r="F261" s="107" t="s">
        <v>749</v>
      </c>
      <c r="G261" s="109" t="s">
        <v>633</v>
      </c>
      <c r="H261" s="130">
        <v>1.3380000000000001E-2</v>
      </c>
      <c r="I261" s="130">
        <v>-3.47E-3</v>
      </c>
      <c r="J261" s="130">
        <v>7.8200000000000006E-3</v>
      </c>
      <c r="K261" s="130">
        <v>2.4320000000000001E-2</v>
      </c>
      <c r="L261" s="130">
        <v>2.3439999999999999E-2</v>
      </c>
      <c r="M261" s="130">
        <v>1.9570000000000001E-2</v>
      </c>
      <c r="N261" s="130">
        <v>2.58E-2</v>
      </c>
      <c r="O261" s="130">
        <v>3.2219999999999999E-2</v>
      </c>
      <c r="P261" s="130">
        <v>2.581E-2</v>
      </c>
      <c r="Q261" s="130">
        <v>3.0370000000000001E-2</v>
      </c>
      <c r="R261" s="130">
        <v>-4.1799999999999997E-3</v>
      </c>
      <c r="S261" s="130">
        <v>7.5700000000000003E-3</v>
      </c>
      <c r="T261" s="130">
        <v>1.8890000000000001E-2</v>
      </c>
      <c r="U261" s="130">
        <v>1.494E-2</v>
      </c>
      <c r="V261" s="130">
        <v>3.8400000000000001E-3</v>
      </c>
      <c r="W261" s="130">
        <v>8.6599999999999993E-3</v>
      </c>
      <c r="X261" s="130">
        <v>1.4999999999999999E-2</v>
      </c>
      <c r="Y261" s="130">
        <v>1.1430000000000001E-2</v>
      </c>
      <c r="Z261" s="130">
        <v>8.0800000000000004E-3</v>
      </c>
      <c r="AA261" s="130">
        <v>1.285E-2</v>
      </c>
      <c r="AB261" s="130">
        <v>1.7059999999999999E-2</v>
      </c>
      <c r="AC261" s="130">
        <v>1.4970000000000001E-2</v>
      </c>
      <c r="AD261" s="130">
        <v>5.94E-3</v>
      </c>
      <c r="AE261" s="130">
        <v>6.0400000000000002E-3</v>
      </c>
      <c r="AF261" s="130">
        <v>1.746E-2</v>
      </c>
      <c r="AG261" s="130">
        <v>9.6200000000000001E-3</v>
      </c>
      <c r="AH261" s="130">
        <v>3.0600000000000002E-3</v>
      </c>
      <c r="AI261" s="130">
        <v>8.5699999999999995E-3</v>
      </c>
      <c r="AJ261" s="130">
        <v>1.4070000000000001E-2</v>
      </c>
      <c r="AK261" s="130">
        <v>9.9299999999999996E-3</v>
      </c>
      <c r="AL261" s="130">
        <v>3.6099999999999999E-3</v>
      </c>
      <c r="AM261" s="130">
        <v>8.6300000000000005E-3</v>
      </c>
      <c r="AN261" s="99">
        <f t="shared" si="2"/>
        <v>1.8138750000000002E-2</v>
      </c>
      <c r="AO261" s="99">
        <f t="shared" si="2"/>
        <v>1.342E-2</v>
      </c>
      <c r="AP261" s="99">
        <f t="shared" si="2"/>
        <v>6.7462500000000005E-3</v>
      </c>
      <c r="AQ261" s="99">
        <f t="shared" si="2"/>
        <v>1.3607500000000002E-2</v>
      </c>
      <c r="AR261" s="99">
        <f t="shared" si="3"/>
        <v>1.8138750000000002E-2</v>
      </c>
      <c r="AS261" s="99">
        <f t="shared" si="3"/>
        <v>1.342E-2</v>
      </c>
      <c r="AT261" s="99">
        <f t="shared" si="3"/>
        <v>6.7462500000000005E-3</v>
      </c>
      <c r="AU261" s="99">
        <f t="shared" si="3"/>
        <v>1.3607500000000002E-2</v>
      </c>
      <c r="AV261" s="99">
        <f t="shared" si="3"/>
        <v>1.8138750000000002E-2</v>
      </c>
      <c r="AW261" s="99">
        <f t="shared" si="3"/>
        <v>1.342E-2</v>
      </c>
      <c r="AX261" s="99">
        <f t="shared" si="3"/>
        <v>6.7462500000000005E-3</v>
      </c>
      <c r="AY261" s="99">
        <f t="shared" si="3"/>
        <v>1.3607500000000002E-2</v>
      </c>
    </row>
    <row r="262" spans="3:51" customFormat="1" x14ac:dyDescent="0.2">
      <c r="C262" s="107" t="s">
        <v>441</v>
      </c>
      <c r="D262" s="129" t="s">
        <v>748</v>
      </c>
      <c r="E262" s="107" t="s">
        <v>631</v>
      </c>
      <c r="F262" s="107" t="s">
        <v>749</v>
      </c>
      <c r="G262" s="109" t="s">
        <v>633</v>
      </c>
      <c r="H262" s="130">
        <v>1.072E-2</v>
      </c>
      <c r="I262" s="130">
        <v>2.7100000000000002E-3</v>
      </c>
      <c r="J262" s="130">
        <v>3.3700000000000002E-3</v>
      </c>
      <c r="K262" s="130">
        <v>1.1779999999999999E-2</v>
      </c>
      <c r="L262" s="130">
        <v>1.1359999999999999E-2</v>
      </c>
      <c r="M262" s="130">
        <v>8.9700000000000005E-3</v>
      </c>
      <c r="N262" s="130">
        <v>1.5910000000000001E-2</v>
      </c>
      <c r="O262" s="130">
        <v>2.8610000000000003E-2</v>
      </c>
      <c r="P262" s="130">
        <v>2.726E-2</v>
      </c>
      <c r="Q262" s="130">
        <v>3.8870000000000002E-2</v>
      </c>
      <c r="R262" s="130">
        <v>3.5299999999999998E-2</v>
      </c>
      <c r="S262" s="130">
        <v>2.2570000000000003E-2</v>
      </c>
      <c r="T262" s="130">
        <v>1.7420000000000001E-2</v>
      </c>
      <c r="U262" s="130">
        <v>9.0600000000000003E-3</v>
      </c>
      <c r="V262" s="130">
        <v>2.3E-3</v>
      </c>
      <c r="W262" s="130">
        <v>1.076E-2</v>
      </c>
      <c r="X262" s="130">
        <v>1.0880000000000001E-2</v>
      </c>
      <c r="Y262" s="130">
        <v>1.1209999999999999E-2</v>
      </c>
      <c r="Z262" s="130">
        <v>9.6699999999999998E-3</v>
      </c>
      <c r="AA262" s="130">
        <v>1.2230000000000001E-2</v>
      </c>
      <c r="AB262" s="130">
        <v>1.448E-2</v>
      </c>
      <c r="AC262" s="130">
        <v>6.5600000000000007E-3</v>
      </c>
      <c r="AD262" s="130">
        <v>8.3700000000000007E-3</v>
      </c>
      <c r="AE262" s="130">
        <v>4.5999999999999999E-3</v>
      </c>
      <c r="AF262" s="130">
        <v>1.1000000000000001E-2</v>
      </c>
      <c r="AG262" s="130">
        <v>6.6500000000000005E-3</v>
      </c>
      <c r="AH262" s="130">
        <v>5.7299999999999999E-3</v>
      </c>
      <c r="AI262" s="130">
        <v>8.1700000000000002E-3</v>
      </c>
      <c r="AJ262" s="130">
        <v>8.26E-3</v>
      </c>
      <c r="AK262" s="130">
        <v>7.6500000000000005E-3</v>
      </c>
      <c r="AL262" s="130">
        <v>6.5500000000000003E-3</v>
      </c>
      <c r="AM262" s="130">
        <v>8.5199999999999998E-3</v>
      </c>
      <c r="AN262" s="99">
        <f t="shared" si="2"/>
        <v>1.3922500000000001E-2</v>
      </c>
      <c r="AO262" s="99">
        <f t="shared" si="2"/>
        <v>1.1460000000000001E-2</v>
      </c>
      <c r="AP262" s="99">
        <f t="shared" si="2"/>
        <v>1.09E-2</v>
      </c>
      <c r="AQ262" s="99">
        <f t="shared" si="2"/>
        <v>1.3404999999999999E-2</v>
      </c>
      <c r="AR262" s="99">
        <f t="shared" si="3"/>
        <v>1.3922500000000001E-2</v>
      </c>
      <c r="AS262" s="99">
        <f t="shared" si="3"/>
        <v>1.1460000000000001E-2</v>
      </c>
      <c r="AT262" s="99">
        <f t="shared" si="3"/>
        <v>1.09E-2</v>
      </c>
      <c r="AU262" s="99">
        <f t="shared" si="3"/>
        <v>1.3404999999999999E-2</v>
      </c>
      <c r="AV262" s="99">
        <f t="shared" si="3"/>
        <v>1.3922500000000001E-2</v>
      </c>
      <c r="AW262" s="99">
        <f t="shared" si="3"/>
        <v>1.1460000000000001E-2</v>
      </c>
      <c r="AX262" s="99">
        <f t="shared" si="3"/>
        <v>1.09E-2</v>
      </c>
      <c r="AY262" s="99">
        <f t="shared" si="3"/>
        <v>1.3404999999999999E-2</v>
      </c>
    </row>
    <row r="263" spans="3:51" customFormat="1" x14ac:dyDescent="0.2">
      <c r="C263" s="107" t="s">
        <v>442</v>
      </c>
      <c r="D263" s="129" t="s">
        <v>748</v>
      </c>
      <c r="E263" s="107" t="s">
        <v>631</v>
      </c>
      <c r="F263" s="107" t="s">
        <v>749</v>
      </c>
      <c r="G263" s="109" t="s">
        <v>633</v>
      </c>
      <c r="H263" s="130">
        <v>1.268E-2</v>
      </c>
      <c r="I263" s="130">
        <v>4.1900000000000001E-3</v>
      </c>
      <c r="J263" s="130">
        <v>-2.5600000000000002E-3</v>
      </c>
      <c r="K263" s="130">
        <v>1.81E-3</v>
      </c>
      <c r="L263" s="130">
        <v>1.21E-2</v>
      </c>
      <c r="M263" s="130">
        <v>1.805E-2</v>
      </c>
      <c r="N263" s="130">
        <v>1.0480000000000001E-2</v>
      </c>
      <c r="O263" s="130">
        <v>9.980000000000001E-3</v>
      </c>
      <c r="P263" s="130">
        <v>3.7819999999999999E-2</v>
      </c>
      <c r="Q263" s="130">
        <v>3.218E-2</v>
      </c>
      <c r="R263" s="130">
        <v>2.4400000000000002E-2</v>
      </c>
      <c r="S263" s="130">
        <v>2.6339999999999999E-2</v>
      </c>
      <c r="T263" s="130">
        <v>4.3959999999999999E-2</v>
      </c>
      <c r="U263" s="130">
        <v>2.4380000000000002E-2</v>
      </c>
      <c r="V263" s="130">
        <v>1.498E-2</v>
      </c>
      <c r="W263" s="130">
        <v>1.3080000000000001E-2</v>
      </c>
      <c r="X263" s="130">
        <v>2.3559999999999998E-2</v>
      </c>
      <c r="Y263" s="130">
        <v>1.822E-2</v>
      </c>
      <c r="Z263" s="130">
        <v>6.3899999999999998E-3</v>
      </c>
      <c r="AA263" s="130">
        <v>3.64E-3</v>
      </c>
      <c r="AB263" s="130">
        <v>2.2839999999999999E-2</v>
      </c>
      <c r="AC263" s="130">
        <v>1.644E-2</v>
      </c>
      <c r="AD263" s="130">
        <v>6.8400000000000006E-3</v>
      </c>
      <c r="AE263" s="130">
        <v>6.0000000000000001E-3</v>
      </c>
      <c r="AF263" s="130">
        <v>1.409E-2</v>
      </c>
      <c r="AG263" s="130">
        <v>1.149E-2</v>
      </c>
      <c r="AH263" s="130">
        <v>2.5600000000000002E-3</v>
      </c>
      <c r="AI263" s="130">
        <v>2.2200000000000002E-3</v>
      </c>
      <c r="AJ263" s="130">
        <v>1.5940000000000003E-2</v>
      </c>
      <c r="AK263" s="130">
        <v>1.1080000000000001E-2</v>
      </c>
      <c r="AL263" s="130">
        <v>2.2899999999999999E-3</v>
      </c>
      <c r="AM263" s="130">
        <v>1.91E-3</v>
      </c>
      <c r="AN263" s="99">
        <f t="shared" si="2"/>
        <v>2.2873749999999998E-2</v>
      </c>
      <c r="AO263" s="99">
        <f t="shared" si="2"/>
        <v>1.7003750000000002E-2</v>
      </c>
      <c r="AP263" s="99">
        <f t="shared" si="2"/>
        <v>8.1724999999999992E-3</v>
      </c>
      <c r="AQ263" s="99">
        <f t="shared" si="2"/>
        <v>8.1225000000000012E-3</v>
      </c>
      <c r="AR263" s="99">
        <f t="shared" si="3"/>
        <v>2.2873749999999998E-2</v>
      </c>
      <c r="AS263" s="99">
        <f t="shared" si="3"/>
        <v>1.7003750000000002E-2</v>
      </c>
      <c r="AT263" s="99">
        <f t="shared" si="3"/>
        <v>8.1724999999999992E-3</v>
      </c>
      <c r="AU263" s="99">
        <f t="shared" si="3"/>
        <v>8.1225000000000012E-3</v>
      </c>
      <c r="AV263" s="99">
        <f t="shared" si="3"/>
        <v>2.2873749999999998E-2</v>
      </c>
      <c r="AW263" s="99">
        <f t="shared" si="3"/>
        <v>1.7003750000000002E-2</v>
      </c>
      <c r="AX263" s="99">
        <f t="shared" si="3"/>
        <v>8.1724999999999992E-3</v>
      </c>
      <c r="AY263" s="99">
        <f t="shared" si="3"/>
        <v>8.1225000000000012E-3</v>
      </c>
    </row>
    <row r="264" spans="3:51" customFormat="1" x14ac:dyDescent="0.2">
      <c r="C264" s="107" t="s">
        <v>443</v>
      </c>
      <c r="D264" s="129" t="s">
        <v>748</v>
      </c>
      <c r="E264" s="107" t="s">
        <v>631</v>
      </c>
      <c r="F264" s="107" t="s">
        <v>749</v>
      </c>
      <c r="G264" s="109" t="s">
        <v>633</v>
      </c>
      <c r="H264" s="130">
        <v>2.8599999999999997E-3</v>
      </c>
      <c r="I264" s="130">
        <v>-4.6899999999999997E-3</v>
      </c>
      <c r="J264" s="130">
        <v>2.7600000000000003E-3</v>
      </c>
      <c r="K264" s="130">
        <v>4.3699999999999998E-3</v>
      </c>
      <c r="L264" s="130">
        <v>3.7100000000000002E-3</v>
      </c>
      <c r="M264" s="130">
        <v>3.9000000000000003E-3</v>
      </c>
      <c r="N264" s="130">
        <v>5.4100000000000007E-3</v>
      </c>
      <c r="O264" s="130">
        <v>1.72E-2</v>
      </c>
      <c r="P264" s="130">
        <v>2.0030000000000003E-2</v>
      </c>
      <c r="Q264" s="130">
        <v>4.1430000000000002E-2</v>
      </c>
      <c r="R264" s="130">
        <v>3.022E-2</v>
      </c>
      <c r="S264" s="130">
        <v>-9.7300000000000008E-3</v>
      </c>
      <c r="T264" s="130">
        <v>-3.5299999999999997E-3</v>
      </c>
      <c r="U264" s="130">
        <v>-9.0200000000000002E-3</v>
      </c>
      <c r="V264" s="130">
        <v>-3.9399999999999999E-3</v>
      </c>
      <c r="W264" s="130">
        <v>7.9000000000000001E-4</v>
      </c>
      <c r="X264" s="130">
        <v>-1.82E-3</v>
      </c>
      <c r="Y264" s="130">
        <v>2.0699999999999998E-3</v>
      </c>
      <c r="Z264" s="130">
        <v>-4.0000000000000002E-4</v>
      </c>
      <c r="AA264" s="130">
        <v>-3.0000000000000001E-5</v>
      </c>
      <c r="AB264" s="130">
        <v>1.0320000000000001E-2</v>
      </c>
      <c r="AC264" s="130">
        <v>-1.03E-2</v>
      </c>
      <c r="AD264" s="130">
        <v>-8.3400000000000002E-3</v>
      </c>
      <c r="AE264" s="130">
        <v>1.8700000000000001E-3</v>
      </c>
      <c r="AF264" s="130">
        <v>1.0320000000000001E-2</v>
      </c>
      <c r="AG264" s="130">
        <v>4.8700000000000002E-3</v>
      </c>
      <c r="AH264" s="130">
        <v>6.5700000000000003E-3</v>
      </c>
      <c r="AI264" s="130">
        <v>5.2599999999999999E-3</v>
      </c>
      <c r="AJ264" s="130">
        <v>6.0000000000000001E-3</v>
      </c>
      <c r="AK264" s="130">
        <v>6.5300000000000002E-3</v>
      </c>
      <c r="AL264" s="130">
        <v>7.4999999999999997E-3</v>
      </c>
      <c r="AM264" s="130">
        <v>5.8599999999999998E-3</v>
      </c>
      <c r="AN264" s="99">
        <f t="shared" si="2"/>
        <v>5.9862500000000011E-3</v>
      </c>
      <c r="AO264" s="99">
        <f t="shared" si="2"/>
        <v>4.3487500000000002E-3</v>
      </c>
      <c r="AP264" s="99">
        <f t="shared" si="2"/>
        <v>4.9724999999999995E-3</v>
      </c>
      <c r="AQ264" s="99">
        <f t="shared" si="2"/>
        <v>3.1987499999999998E-3</v>
      </c>
      <c r="AR264" s="99">
        <f t="shared" si="3"/>
        <v>5.9862500000000011E-3</v>
      </c>
      <c r="AS264" s="99">
        <f t="shared" si="3"/>
        <v>4.3487500000000002E-3</v>
      </c>
      <c r="AT264" s="99">
        <f t="shared" si="3"/>
        <v>4.9724999999999995E-3</v>
      </c>
      <c r="AU264" s="99">
        <f t="shared" si="3"/>
        <v>3.1987499999999998E-3</v>
      </c>
      <c r="AV264" s="99">
        <f t="shared" si="3"/>
        <v>5.9862500000000011E-3</v>
      </c>
      <c r="AW264" s="99">
        <f t="shared" si="3"/>
        <v>4.3487500000000002E-3</v>
      </c>
      <c r="AX264" s="99">
        <f t="shared" si="3"/>
        <v>4.9724999999999995E-3</v>
      </c>
      <c r="AY264" s="99">
        <f t="shared" si="3"/>
        <v>3.1987499999999998E-3</v>
      </c>
    </row>
    <row r="265" spans="3:51" customFormat="1" x14ac:dyDescent="0.2">
      <c r="C265" s="107" t="s">
        <v>445</v>
      </c>
      <c r="D265" s="129" t="s">
        <v>748</v>
      </c>
      <c r="E265" s="107" t="s">
        <v>631</v>
      </c>
      <c r="F265" s="107" t="s">
        <v>749</v>
      </c>
      <c r="G265" s="109" t="s">
        <v>633</v>
      </c>
      <c r="H265" s="130">
        <v>3.2800000000000004E-3</v>
      </c>
      <c r="I265" s="130">
        <v>-7.2100000000000003E-3</v>
      </c>
      <c r="J265" s="130">
        <v>3.7350000000000001E-2</v>
      </c>
      <c r="K265" s="130">
        <v>1.8919999999999999E-2</v>
      </c>
      <c r="L265" s="130">
        <v>2.1600000000000001E-2</v>
      </c>
      <c r="M265" s="130">
        <v>1.6970000000000002E-2</v>
      </c>
      <c r="N265" s="130">
        <v>1.8690000000000002E-2</v>
      </c>
      <c r="O265" s="130">
        <v>2.1869999999999997E-2</v>
      </c>
      <c r="P265" s="130">
        <v>2.8900000000000002E-2</v>
      </c>
      <c r="Q265" s="130">
        <v>2.265E-2</v>
      </c>
      <c r="R265" s="130">
        <v>1.329E-2</v>
      </c>
      <c r="S265" s="130">
        <v>1.1810000000000001E-2</v>
      </c>
      <c r="T265" s="130">
        <v>1.5789999999999998E-2</v>
      </c>
      <c r="U265" s="130">
        <v>3.65E-3</v>
      </c>
      <c r="V265" s="130">
        <v>1.0249999999999999E-2</v>
      </c>
      <c r="W265" s="130">
        <v>9.4900000000000002E-3</v>
      </c>
      <c r="X265" s="130">
        <v>9.5599999999999991E-3</v>
      </c>
      <c r="Y265" s="130">
        <v>2.64E-3</v>
      </c>
      <c r="Z265" s="130">
        <v>1.2070000000000001E-2</v>
      </c>
      <c r="AA265" s="130">
        <v>7.6600000000000001E-3</v>
      </c>
      <c r="AB265" s="130">
        <v>1.2110000000000001E-2</v>
      </c>
      <c r="AC265" s="130">
        <v>4.6700000000000005E-3</v>
      </c>
      <c r="AD265" s="130">
        <v>1.1319999999999998E-2</v>
      </c>
      <c r="AE265" s="130">
        <v>1.78E-2</v>
      </c>
      <c r="AF265" s="130">
        <v>5.7199999999999994E-3</v>
      </c>
      <c r="AG265" s="130">
        <v>6.7000000000000002E-3</v>
      </c>
      <c r="AH265" s="130">
        <v>1.2829999999999999E-2</v>
      </c>
      <c r="AI265" s="130">
        <v>1.163E-2</v>
      </c>
      <c r="AJ265" s="130">
        <v>8.5400000000000007E-3</v>
      </c>
      <c r="AK265" s="130">
        <v>5.8399999999999997E-3</v>
      </c>
      <c r="AL265" s="130">
        <v>1.217E-2</v>
      </c>
      <c r="AM265" s="130">
        <v>1.1339999999999999E-2</v>
      </c>
      <c r="AN265" s="99">
        <f t="shared" si="2"/>
        <v>1.31875E-2</v>
      </c>
      <c r="AO265" s="99">
        <f t="shared" si="2"/>
        <v>6.988750000000001E-3</v>
      </c>
      <c r="AP265" s="99">
        <f t="shared" si="2"/>
        <v>1.599625E-2</v>
      </c>
      <c r="AQ265" s="99">
        <f t="shared" si="2"/>
        <v>1.3814999999999997E-2</v>
      </c>
      <c r="AR265" s="99">
        <f t="shared" si="3"/>
        <v>1.31875E-2</v>
      </c>
      <c r="AS265" s="99">
        <f t="shared" si="3"/>
        <v>6.988750000000001E-3</v>
      </c>
      <c r="AT265" s="99">
        <f t="shared" si="3"/>
        <v>1.599625E-2</v>
      </c>
      <c r="AU265" s="99">
        <f t="shared" si="3"/>
        <v>1.3814999999999997E-2</v>
      </c>
      <c r="AV265" s="99">
        <f t="shared" si="3"/>
        <v>1.31875E-2</v>
      </c>
      <c r="AW265" s="99">
        <f t="shared" si="3"/>
        <v>6.988750000000001E-3</v>
      </c>
      <c r="AX265" s="99">
        <f t="shared" si="3"/>
        <v>1.599625E-2</v>
      </c>
      <c r="AY265" s="99">
        <f t="shared" ref="AY265:AY319" si="4">AU265</f>
        <v>1.3814999999999997E-2</v>
      </c>
    </row>
    <row r="266" spans="3:51" customFormat="1" x14ac:dyDescent="0.2">
      <c r="C266" s="107" t="s">
        <v>446</v>
      </c>
      <c r="D266" s="129" t="s">
        <v>748</v>
      </c>
      <c r="E266" s="107" t="s">
        <v>631</v>
      </c>
      <c r="F266" s="107" t="s">
        <v>749</v>
      </c>
      <c r="G266" s="109" t="s">
        <v>633</v>
      </c>
      <c r="H266" s="130">
        <v>-5.0999999999999993E-4</v>
      </c>
      <c r="I266" s="130">
        <v>7.0199999999999993E-3</v>
      </c>
      <c r="J266" s="130">
        <v>-1.379E-2</v>
      </c>
      <c r="K266" s="130">
        <v>-4.1700000000000001E-3</v>
      </c>
      <c r="L266" s="130">
        <v>2.1099999999999999E-3</v>
      </c>
      <c r="M266" s="130">
        <v>4.9100000000000003E-3</v>
      </c>
      <c r="N266" s="130">
        <v>5.2100000000000002E-3</v>
      </c>
      <c r="O266" s="130">
        <v>5.1800000000000006E-3</v>
      </c>
      <c r="P266" s="130">
        <v>1.081E-2</v>
      </c>
      <c r="Q266" s="130">
        <v>1.3429999999999999E-2</v>
      </c>
      <c r="R266" s="130">
        <v>9.1400000000000006E-3</v>
      </c>
      <c r="S266" s="130">
        <v>4.13E-3</v>
      </c>
      <c r="T266" s="130">
        <v>2.5700000000000002E-3</v>
      </c>
      <c r="U266" s="130">
        <v>4.3200000000000001E-3</v>
      </c>
      <c r="V266" s="130">
        <v>1.17E-2</v>
      </c>
      <c r="W266" s="130">
        <v>-2.5600000000000002E-3</v>
      </c>
      <c r="X266" s="130">
        <v>1.34E-3</v>
      </c>
      <c r="Y266" s="130">
        <v>1.095E-2</v>
      </c>
      <c r="Z266" s="130">
        <v>4.5300000000000002E-3</v>
      </c>
      <c r="AA266" s="130">
        <v>-5.4800000000000005E-3</v>
      </c>
      <c r="AB266" s="130">
        <v>-7.1900000000000002E-3</v>
      </c>
      <c r="AC266" s="130">
        <v>1.24E-2</v>
      </c>
      <c r="AD266" s="130">
        <v>7.8799999999999999E-3</v>
      </c>
      <c r="AE266" s="130">
        <v>9.6000000000000002E-4</v>
      </c>
      <c r="AF266" s="130">
        <v>5.6100000000000004E-3</v>
      </c>
      <c r="AG266" s="130">
        <v>9.7999999999999997E-3</v>
      </c>
      <c r="AH266" s="130">
        <v>5.6200000000000009E-3</v>
      </c>
      <c r="AI266" s="130">
        <v>1.16E-3</v>
      </c>
      <c r="AJ266" s="130">
        <v>1.1899999999999999E-3</v>
      </c>
      <c r="AK266" s="130">
        <v>7.4700000000000001E-3</v>
      </c>
      <c r="AL266" s="130">
        <v>3.8300000000000001E-3</v>
      </c>
      <c r="AM266" s="130">
        <v>4.3999999999999996E-4</v>
      </c>
      <c r="AN266" s="99">
        <f t="shared" si="2"/>
        <v>1.9912500000000004E-3</v>
      </c>
      <c r="AO266" s="99">
        <f t="shared" si="2"/>
        <v>8.7874999999999984E-3</v>
      </c>
      <c r="AP266" s="99">
        <f t="shared" si="2"/>
        <v>4.2649999999999997E-3</v>
      </c>
      <c r="AQ266" s="99">
        <f t="shared" si="2"/>
        <v>-4.2500000000000111E-5</v>
      </c>
      <c r="AR266" s="99">
        <f t="shared" ref="AR266:AX302" si="5">AN266</f>
        <v>1.9912500000000004E-3</v>
      </c>
      <c r="AS266" s="99">
        <f t="shared" si="5"/>
        <v>8.7874999999999984E-3</v>
      </c>
      <c r="AT266" s="99">
        <f t="shared" si="5"/>
        <v>4.2649999999999997E-3</v>
      </c>
      <c r="AU266" s="99">
        <f t="shared" si="5"/>
        <v>-4.2500000000000111E-5</v>
      </c>
      <c r="AV266" s="99">
        <f t="shared" si="5"/>
        <v>1.9912500000000004E-3</v>
      </c>
      <c r="AW266" s="99">
        <f t="shared" si="5"/>
        <v>8.7874999999999984E-3</v>
      </c>
      <c r="AX266" s="99">
        <f t="shared" si="5"/>
        <v>4.2649999999999997E-3</v>
      </c>
      <c r="AY266" s="99">
        <f t="shared" si="4"/>
        <v>-4.2500000000000111E-5</v>
      </c>
    </row>
    <row r="267" spans="3:51" customFormat="1" x14ac:dyDescent="0.2">
      <c r="C267" s="107" t="s">
        <v>448</v>
      </c>
      <c r="D267" s="129" t="s">
        <v>748</v>
      </c>
      <c r="E267" s="107" t="s">
        <v>631</v>
      </c>
      <c r="F267" s="107" t="s">
        <v>749</v>
      </c>
      <c r="G267" s="109" t="s">
        <v>633</v>
      </c>
      <c r="H267" s="130">
        <v>-7.6999999999999996E-4</v>
      </c>
      <c r="I267" s="130">
        <v>-6.0000000000000002E-5</v>
      </c>
      <c r="J267" s="130">
        <v>-1.0399999999999999E-3</v>
      </c>
      <c r="K267" s="130">
        <v>3.5999999999999997E-4</v>
      </c>
      <c r="L267" s="130">
        <v>1.1220000000000001E-2</v>
      </c>
      <c r="M267" s="130">
        <v>1.5890000000000001E-2</v>
      </c>
      <c r="N267" s="130">
        <v>1.4279999999999999E-2</v>
      </c>
      <c r="O267" s="130">
        <v>1.668E-2</v>
      </c>
      <c r="P267" s="130">
        <v>1.77E-2</v>
      </c>
      <c r="Q267" s="130">
        <v>2.206E-2</v>
      </c>
      <c r="R267" s="130">
        <v>1.6750000000000001E-2</v>
      </c>
      <c r="S267" s="130">
        <v>1.525E-2</v>
      </c>
      <c r="T267" s="130">
        <v>1.073E-2</v>
      </c>
      <c r="U267" s="130">
        <v>1.99E-3</v>
      </c>
      <c r="V267" s="130">
        <v>3.2300000000000002E-3</v>
      </c>
      <c r="W267" s="130">
        <v>3.9100000000000003E-3</v>
      </c>
      <c r="X267" s="130">
        <v>1E-4</v>
      </c>
      <c r="Y267" s="130">
        <v>6.1799999999999997E-3</v>
      </c>
      <c r="Z267" s="130">
        <v>1.5300000000000001E-3</v>
      </c>
      <c r="AA267" s="130">
        <v>-8.0700000000000008E-3</v>
      </c>
      <c r="AB267" s="130">
        <v>2.0999999999999999E-3</v>
      </c>
      <c r="AC267" s="130">
        <v>2.8199999999999996E-3</v>
      </c>
      <c r="AD267" s="130">
        <v>3.5499999999999998E-3</v>
      </c>
      <c r="AE267" s="130">
        <v>1.4499999999999999E-3</v>
      </c>
      <c r="AF267" s="130">
        <v>2.1099999999999999E-3</v>
      </c>
      <c r="AG267" s="130">
        <v>5.1900000000000002E-3</v>
      </c>
      <c r="AH267" s="130">
        <v>3.1900000000000001E-3</v>
      </c>
      <c r="AI267" s="130">
        <v>2.7100000000000002E-3</v>
      </c>
      <c r="AJ267" s="130">
        <v>3.5999999999999999E-3</v>
      </c>
      <c r="AK267" s="130">
        <v>5.8300000000000001E-3</v>
      </c>
      <c r="AL267" s="130">
        <v>3.5899999999999999E-3</v>
      </c>
      <c r="AM267" s="130">
        <v>3.2400000000000003E-3</v>
      </c>
      <c r="AN267" s="99">
        <f t="shared" si="2"/>
        <v>5.8487499999999998E-3</v>
      </c>
      <c r="AO267" s="99">
        <f t="shared" si="2"/>
        <v>7.4875000000000002E-3</v>
      </c>
      <c r="AP267" s="99">
        <f t="shared" si="2"/>
        <v>5.6350000000000003E-3</v>
      </c>
      <c r="AQ267" s="99">
        <f t="shared" si="2"/>
        <v>4.4412499999999999E-3</v>
      </c>
      <c r="AR267" s="99">
        <f t="shared" si="5"/>
        <v>5.8487499999999998E-3</v>
      </c>
      <c r="AS267" s="99">
        <f t="shared" si="5"/>
        <v>7.4875000000000002E-3</v>
      </c>
      <c r="AT267" s="99">
        <f t="shared" si="5"/>
        <v>5.6350000000000003E-3</v>
      </c>
      <c r="AU267" s="99">
        <f t="shared" si="5"/>
        <v>4.4412499999999999E-3</v>
      </c>
      <c r="AV267" s="99">
        <f t="shared" si="5"/>
        <v>5.8487499999999998E-3</v>
      </c>
      <c r="AW267" s="99">
        <f t="shared" si="5"/>
        <v>7.4875000000000002E-3</v>
      </c>
      <c r="AX267" s="99">
        <f t="shared" si="5"/>
        <v>5.6350000000000003E-3</v>
      </c>
      <c r="AY267" s="99">
        <f t="shared" si="4"/>
        <v>4.4412499999999999E-3</v>
      </c>
    </row>
    <row r="268" spans="3:51" customFormat="1" x14ac:dyDescent="0.2">
      <c r="C268" s="107" t="s">
        <v>451</v>
      </c>
      <c r="D268" s="129" t="s">
        <v>748</v>
      </c>
      <c r="E268" s="107" t="s">
        <v>631</v>
      </c>
      <c r="F268" s="107" t="s">
        <v>749</v>
      </c>
      <c r="G268" s="109" t="s">
        <v>633</v>
      </c>
      <c r="H268" s="130">
        <v>1.99E-3</v>
      </c>
      <c r="I268" s="130">
        <v>1.503E-2</v>
      </c>
      <c r="J268" s="130">
        <v>1.745E-2</v>
      </c>
      <c r="K268" s="130">
        <v>1.6719999999999999E-2</v>
      </c>
      <c r="L268" s="130">
        <v>6.5800000000000008E-3</v>
      </c>
      <c r="M268" s="130">
        <v>6.0499999999999998E-3</v>
      </c>
      <c r="N268" s="130">
        <v>7.1900000000000002E-3</v>
      </c>
      <c r="O268" s="130">
        <v>9.5599999999999991E-3</v>
      </c>
      <c r="P268" s="130">
        <v>1.0209999999999999E-2</v>
      </c>
      <c r="Q268" s="130">
        <v>3.1920000000000004E-2</v>
      </c>
      <c r="R268" s="130">
        <v>3.338E-2</v>
      </c>
      <c r="S268" s="130">
        <v>1.525E-2</v>
      </c>
      <c r="T268" s="130">
        <v>1.085E-2</v>
      </c>
      <c r="U268" s="130">
        <v>4.9300000000000004E-3</v>
      </c>
      <c r="V268" s="130">
        <v>1.388E-2</v>
      </c>
      <c r="W268" s="130">
        <v>1.4490000000000001E-2</v>
      </c>
      <c r="X268" s="130">
        <v>7.9000000000000001E-4</v>
      </c>
      <c r="Y268" s="130">
        <v>6.2100000000000002E-3</v>
      </c>
      <c r="Z268" s="130">
        <v>8.0700000000000008E-3</v>
      </c>
      <c r="AA268" s="130">
        <v>-4.0000000000000003E-5</v>
      </c>
      <c r="AB268" s="130">
        <v>4.1599999999999996E-3</v>
      </c>
      <c r="AC268" s="130">
        <v>4.1700000000000001E-3</v>
      </c>
      <c r="AD268" s="130">
        <v>4.3E-3</v>
      </c>
      <c r="AE268" s="130">
        <v>2.7000000000000001E-3</v>
      </c>
      <c r="AF268" s="130">
        <v>5.5100000000000001E-3</v>
      </c>
      <c r="AG268" s="130">
        <v>8.2299999999999995E-3</v>
      </c>
      <c r="AH268" s="130">
        <v>1.035E-2</v>
      </c>
      <c r="AI268" s="130">
        <v>6.7500000000000008E-3</v>
      </c>
      <c r="AJ268" s="130">
        <v>1.32E-3</v>
      </c>
      <c r="AK268" s="130">
        <v>8.3000000000000001E-3</v>
      </c>
      <c r="AL268" s="130">
        <v>1.026E-2</v>
      </c>
      <c r="AM268" s="130">
        <v>7.1399999999999996E-3</v>
      </c>
      <c r="AN268" s="99">
        <f t="shared" si="2"/>
        <v>5.1762499999999994E-3</v>
      </c>
      <c r="AO268" s="99">
        <f t="shared" si="2"/>
        <v>1.0605000000000002E-2</v>
      </c>
      <c r="AP268" s="99">
        <f t="shared" si="2"/>
        <v>1.311E-2</v>
      </c>
      <c r="AQ268" s="99">
        <f t="shared" si="2"/>
        <v>9.0712499999999995E-3</v>
      </c>
      <c r="AR268" s="99">
        <f t="shared" si="5"/>
        <v>5.1762499999999994E-3</v>
      </c>
      <c r="AS268" s="99">
        <f t="shared" si="5"/>
        <v>1.0605000000000002E-2</v>
      </c>
      <c r="AT268" s="99">
        <f t="shared" si="5"/>
        <v>1.311E-2</v>
      </c>
      <c r="AU268" s="99">
        <f t="shared" si="5"/>
        <v>9.0712499999999995E-3</v>
      </c>
      <c r="AV268" s="99">
        <f t="shared" si="5"/>
        <v>5.1762499999999994E-3</v>
      </c>
      <c r="AW268" s="99">
        <f t="shared" si="5"/>
        <v>1.0605000000000002E-2</v>
      </c>
      <c r="AX268" s="99">
        <f t="shared" si="5"/>
        <v>1.311E-2</v>
      </c>
      <c r="AY268" s="99">
        <f t="shared" si="4"/>
        <v>9.0712499999999995E-3</v>
      </c>
    </row>
    <row r="269" spans="3:51" customFormat="1" x14ac:dyDescent="0.2">
      <c r="C269" s="107" t="s">
        <v>452</v>
      </c>
      <c r="D269" s="129" t="s">
        <v>748</v>
      </c>
      <c r="E269" s="107" t="s">
        <v>631</v>
      </c>
      <c r="F269" s="107" t="s">
        <v>749</v>
      </c>
      <c r="G269" s="109" t="s">
        <v>633</v>
      </c>
      <c r="H269" s="130">
        <v>1.034E-2</v>
      </c>
      <c r="I269" s="130">
        <v>4.5300000000000002E-3</v>
      </c>
      <c r="J269" s="130">
        <v>1.009E-2</v>
      </c>
      <c r="K269" s="130">
        <v>1.281E-2</v>
      </c>
      <c r="L269" s="130">
        <v>1.1970000000000001E-2</v>
      </c>
      <c r="M269" s="130">
        <v>9.2800000000000001E-3</v>
      </c>
      <c r="N269" s="130">
        <v>9.75E-3</v>
      </c>
      <c r="O269" s="130">
        <v>1.7829999999999999E-2</v>
      </c>
      <c r="P269" s="130">
        <v>2.674E-2</v>
      </c>
      <c r="Q269" s="130">
        <v>3.5019999999999996E-2</v>
      </c>
      <c r="R269" s="130">
        <v>2.0950000000000003E-2</v>
      </c>
      <c r="S269" s="130">
        <v>1.5140000000000001E-2</v>
      </c>
      <c r="T269" s="130">
        <v>1.856E-2</v>
      </c>
      <c r="U269" s="130">
        <v>9.1900000000000003E-3</v>
      </c>
      <c r="V269" s="130">
        <v>1.257E-2</v>
      </c>
      <c r="W269" s="130">
        <v>1.218E-2</v>
      </c>
      <c r="X269" s="130">
        <v>1.2740000000000001E-2</v>
      </c>
      <c r="Y269" s="130">
        <v>1.0480000000000001E-2</v>
      </c>
      <c r="Z269" s="130">
        <v>1.222E-2</v>
      </c>
      <c r="AA269" s="130">
        <v>3.5699999999999998E-3</v>
      </c>
      <c r="AB269" s="130">
        <v>1.8080000000000002E-2</v>
      </c>
      <c r="AC269" s="130">
        <v>1.0780000000000001E-2</v>
      </c>
      <c r="AD269" s="130">
        <v>1.0660000000000001E-2</v>
      </c>
      <c r="AE269" s="130">
        <v>9.3100000000000006E-3</v>
      </c>
      <c r="AF269" s="130">
        <v>1.17E-2</v>
      </c>
      <c r="AG269" s="130">
        <v>1.061E-2</v>
      </c>
      <c r="AH269" s="130">
        <v>8.9600000000000009E-3</v>
      </c>
      <c r="AI269" s="130">
        <v>8.1000000000000013E-3</v>
      </c>
      <c r="AJ269" s="130">
        <v>1.1950000000000001E-2</v>
      </c>
      <c r="AK269" s="130">
        <v>1.085E-2</v>
      </c>
      <c r="AL269" s="130">
        <v>9.389999999999999E-3</v>
      </c>
      <c r="AM269" s="130">
        <v>8.4399999999999996E-3</v>
      </c>
      <c r="AN269" s="99">
        <f t="shared" si="2"/>
        <v>1.5260000000000003E-2</v>
      </c>
      <c r="AO269" s="99">
        <f t="shared" si="2"/>
        <v>1.25925E-2</v>
      </c>
      <c r="AP269" s="99">
        <f t="shared" si="2"/>
        <v>1.1823750000000001E-2</v>
      </c>
      <c r="AQ269" s="99">
        <f t="shared" si="2"/>
        <v>1.09225E-2</v>
      </c>
      <c r="AR269" s="99">
        <f t="shared" si="5"/>
        <v>1.5260000000000003E-2</v>
      </c>
      <c r="AS269" s="99">
        <f t="shared" si="5"/>
        <v>1.25925E-2</v>
      </c>
      <c r="AT269" s="99">
        <f t="shared" si="5"/>
        <v>1.1823750000000001E-2</v>
      </c>
      <c r="AU269" s="99">
        <f t="shared" si="5"/>
        <v>1.09225E-2</v>
      </c>
      <c r="AV269" s="99">
        <f t="shared" si="5"/>
        <v>1.5260000000000003E-2</v>
      </c>
      <c r="AW269" s="99">
        <f t="shared" si="5"/>
        <v>1.25925E-2</v>
      </c>
      <c r="AX269" s="99">
        <f t="shared" si="5"/>
        <v>1.1823750000000001E-2</v>
      </c>
      <c r="AY269" s="99">
        <f t="shared" si="4"/>
        <v>1.09225E-2</v>
      </c>
    </row>
    <row r="270" spans="3:51" customFormat="1" x14ac:dyDescent="0.2">
      <c r="C270" s="107" t="s">
        <v>453</v>
      </c>
      <c r="D270" s="129" t="s">
        <v>748</v>
      </c>
      <c r="E270" s="107" t="s">
        <v>631</v>
      </c>
      <c r="F270" s="107" t="s">
        <v>749</v>
      </c>
      <c r="G270" s="109" t="s">
        <v>633</v>
      </c>
      <c r="H270" s="130">
        <v>1.391E-2</v>
      </c>
      <c r="I270" s="130">
        <v>-4.7299999999999998E-3</v>
      </c>
      <c r="J270" s="130">
        <v>1.4950000000000001E-2</v>
      </c>
      <c r="K270" s="130">
        <v>1.0749999999999999E-2</v>
      </c>
      <c r="L270" s="130">
        <v>1.848E-2</v>
      </c>
      <c r="M270" s="130">
        <v>1.4070000000000001E-2</v>
      </c>
      <c r="N270" s="130">
        <v>1.349E-2</v>
      </c>
      <c r="O270" s="130">
        <v>2.213E-2</v>
      </c>
      <c r="P270" s="130">
        <v>2.2669999999999999E-2</v>
      </c>
      <c r="Q270" s="130">
        <v>2.018E-2</v>
      </c>
      <c r="R270" s="130">
        <v>2.001E-2</v>
      </c>
      <c r="S270" s="130">
        <v>1.5049999999999999E-2</v>
      </c>
      <c r="T270" s="130">
        <v>1.694E-2</v>
      </c>
      <c r="U270" s="130">
        <v>1.82E-3</v>
      </c>
      <c r="V270" s="130">
        <v>1.039E-2</v>
      </c>
      <c r="W270" s="130">
        <v>1.8509999999999999E-2</v>
      </c>
      <c r="X270" s="130">
        <v>1.414E-2</v>
      </c>
      <c r="Y270" s="130">
        <v>6.7200000000000003E-3</v>
      </c>
      <c r="Z270" s="130">
        <v>1.0629999999999999E-2</v>
      </c>
      <c r="AA270" s="130">
        <v>1.1010000000000001E-2</v>
      </c>
      <c r="AB270" s="130">
        <v>8.9499999999999996E-3</v>
      </c>
      <c r="AC270" s="130">
        <v>8.3999999999999995E-3</v>
      </c>
      <c r="AD270" s="130">
        <v>5.9499999999999996E-3</v>
      </c>
      <c r="AE270" s="130">
        <v>1.111E-2</v>
      </c>
      <c r="AF270" s="130">
        <v>1.166E-2</v>
      </c>
      <c r="AG270" s="130">
        <v>2.33E-3</v>
      </c>
      <c r="AH270" s="130">
        <v>6.43E-3</v>
      </c>
      <c r="AI270" s="130">
        <v>1.043E-2</v>
      </c>
      <c r="AJ270" s="130">
        <v>1.0200000000000001E-2</v>
      </c>
      <c r="AK270" s="130">
        <v>1.1899999999999999E-3</v>
      </c>
      <c r="AL270" s="130">
        <v>6.6200000000000009E-3</v>
      </c>
      <c r="AM270" s="130">
        <v>1.0789999999999999E-2</v>
      </c>
      <c r="AN270" s="99">
        <f t="shared" si="2"/>
        <v>1.461875E-2</v>
      </c>
      <c r="AO270" s="99">
        <f t="shared" si="2"/>
        <v>6.2474999999999996E-3</v>
      </c>
      <c r="AP270" s="99">
        <f t="shared" si="2"/>
        <v>1.1058750000000001E-2</v>
      </c>
      <c r="AQ270" s="99">
        <f t="shared" si="2"/>
        <v>1.3722499999999999E-2</v>
      </c>
      <c r="AR270" s="99">
        <f t="shared" si="5"/>
        <v>1.461875E-2</v>
      </c>
      <c r="AS270" s="99">
        <f t="shared" si="5"/>
        <v>6.2474999999999996E-3</v>
      </c>
      <c r="AT270" s="99">
        <f t="shared" si="5"/>
        <v>1.1058750000000001E-2</v>
      </c>
      <c r="AU270" s="99">
        <f t="shared" si="5"/>
        <v>1.3722499999999999E-2</v>
      </c>
      <c r="AV270" s="99">
        <f t="shared" si="5"/>
        <v>1.461875E-2</v>
      </c>
      <c r="AW270" s="99">
        <f t="shared" si="5"/>
        <v>6.2474999999999996E-3</v>
      </c>
      <c r="AX270" s="99">
        <f t="shared" si="5"/>
        <v>1.1058750000000001E-2</v>
      </c>
      <c r="AY270" s="99">
        <f t="shared" si="4"/>
        <v>1.3722499999999999E-2</v>
      </c>
    </row>
    <row r="271" spans="3:51" customFormat="1" x14ac:dyDescent="0.2">
      <c r="C271" s="107" t="s">
        <v>455</v>
      </c>
      <c r="D271" s="129" t="s">
        <v>748</v>
      </c>
      <c r="E271" s="107" t="s">
        <v>631</v>
      </c>
      <c r="F271" s="107" t="s">
        <v>749</v>
      </c>
      <c r="G271" s="109" t="s">
        <v>633</v>
      </c>
      <c r="H271" s="130">
        <v>-2.8100000000000004E-3</v>
      </c>
      <c r="I271" s="130">
        <v>-1.4810000000000002E-2</v>
      </c>
      <c r="J271" s="130">
        <v>-3.2000000000000003E-4</v>
      </c>
      <c r="K271" s="130">
        <v>-6.6E-4</v>
      </c>
      <c r="L271" s="130">
        <v>1.022E-2</v>
      </c>
      <c r="M271" s="130">
        <v>8.0600000000000012E-3</v>
      </c>
      <c r="N271" s="130">
        <v>6.3700000000000007E-3</v>
      </c>
      <c r="O271" s="130">
        <v>4.79E-3</v>
      </c>
      <c r="P271" s="130">
        <v>8.9800000000000001E-3</v>
      </c>
      <c r="Q271" s="130">
        <v>2.283E-2</v>
      </c>
      <c r="R271" s="130">
        <v>-1.1519999999999999E-2</v>
      </c>
      <c r="S271" s="130">
        <v>-2.63E-3</v>
      </c>
      <c r="T271" s="130">
        <v>1.1819999999999999E-2</v>
      </c>
      <c r="U271" s="130">
        <v>4.8700000000000002E-3</v>
      </c>
      <c r="V271" s="130">
        <v>2.8100000000000004E-3</v>
      </c>
      <c r="W271" s="130">
        <v>4.3999999999999996E-4</v>
      </c>
      <c r="X271" s="130">
        <v>6.6500000000000005E-3</v>
      </c>
      <c r="Y271" s="130">
        <v>2.7900000000000004E-3</v>
      </c>
      <c r="Z271" s="130">
        <v>-6.96E-3</v>
      </c>
      <c r="AA271" s="130">
        <v>-5.0099999999999997E-3</v>
      </c>
      <c r="AB271" s="130">
        <v>6.8100000000000009E-3</v>
      </c>
      <c r="AC271" s="130">
        <v>-7.6999999999999996E-4</v>
      </c>
      <c r="AD271" s="130">
        <v>-4.2300000000000003E-3</v>
      </c>
      <c r="AE271" s="130">
        <v>-1.4499999999999999E-3</v>
      </c>
      <c r="AF271" s="130">
        <v>2.3899999999999998E-3</v>
      </c>
      <c r="AG271" s="130">
        <v>6.0800000000000003E-3</v>
      </c>
      <c r="AH271" s="130">
        <v>3.2000000000000003E-4</v>
      </c>
      <c r="AI271" s="130">
        <v>1.1999999999999999E-3</v>
      </c>
      <c r="AJ271" s="130">
        <v>3.6600000000000001E-3</v>
      </c>
      <c r="AK271" s="130">
        <v>6.3100000000000005E-3</v>
      </c>
      <c r="AL271" s="130">
        <v>-3.6999999999999999E-4</v>
      </c>
      <c r="AM271" s="130">
        <v>7.0999999999999991E-4</v>
      </c>
      <c r="AN271" s="99">
        <f t="shared" si="2"/>
        <v>5.9650000000000007E-3</v>
      </c>
      <c r="AO271" s="99">
        <f t="shared" si="2"/>
        <v>4.4199999999999995E-3</v>
      </c>
      <c r="AP271" s="99">
        <f t="shared" si="2"/>
        <v>-1.7374999999999999E-3</v>
      </c>
      <c r="AQ271" s="99">
        <f t="shared" si="2"/>
        <v>-3.2624999999999993E-4</v>
      </c>
      <c r="AR271" s="99">
        <f t="shared" si="5"/>
        <v>5.9650000000000007E-3</v>
      </c>
      <c r="AS271" s="99">
        <f t="shared" si="5"/>
        <v>4.4199999999999995E-3</v>
      </c>
      <c r="AT271" s="99">
        <f t="shared" si="5"/>
        <v>-1.7374999999999999E-3</v>
      </c>
      <c r="AU271" s="99">
        <f t="shared" si="5"/>
        <v>-3.2624999999999993E-4</v>
      </c>
      <c r="AV271" s="99">
        <f t="shared" si="5"/>
        <v>5.9650000000000007E-3</v>
      </c>
      <c r="AW271" s="99">
        <f t="shared" si="5"/>
        <v>4.4199999999999995E-3</v>
      </c>
      <c r="AX271" s="99">
        <f t="shared" si="5"/>
        <v>-1.7374999999999999E-3</v>
      </c>
      <c r="AY271" s="99">
        <f t="shared" si="4"/>
        <v>-3.2624999999999993E-4</v>
      </c>
    </row>
    <row r="272" spans="3:51" customFormat="1" x14ac:dyDescent="0.2">
      <c r="C272" s="107" t="s">
        <v>579</v>
      </c>
      <c r="D272" s="129" t="s">
        <v>748</v>
      </c>
      <c r="E272" s="107" t="s">
        <v>631</v>
      </c>
      <c r="F272" s="107" t="s">
        <v>749</v>
      </c>
      <c r="G272" s="109" t="s">
        <v>633</v>
      </c>
      <c r="H272" s="130">
        <v>6.3100000000000005E-3</v>
      </c>
      <c r="I272" s="130">
        <v>-5.0200000000000002E-3</v>
      </c>
      <c r="J272" s="130">
        <v>4.4099999999999999E-3</v>
      </c>
      <c r="K272" s="130">
        <v>1.443E-2</v>
      </c>
      <c r="L272" s="130">
        <v>1.1439999999999999E-2</v>
      </c>
      <c r="M272" s="130">
        <v>4.8900000000000002E-3</v>
      </c>
      <c r="N272" s="130">
        <v>2.5559999999999999E-2</v>
      </c>
      <c r="O272" s="130">
        <v>2.9079999999999998E-2</v>
      </c>
      <c r="P272" s="130">
        <v>2.8549999999999999E-2</v>
      </c>
      <c r="Q272" s="130">
        <v>2.8029999999999999E-2</v>
      </c>
      <c r="R272" s="130">
        <v>1.3640000000000001E-2</v>
      </c>
      <c r="S272" s="130">
        <v>9.1500000000000001E-3</v>
      </c>
      <c r="T272" s="130">
        <v>1.7860000000000001E-2</v>
      </c>
      <c r="U272" s="130">
        <v>7.0699999999999999E-3</v>
      </c>
      <c r="V272" s="130">
        <v>-1.56E-3</v>
      </c>
      <c r="W272" s="130">
        <v>1.0940000000000002E-2</v>
      </c>
      <c r="X272" s="130">
        <v>1.6230000000000001E-2</v>
      </c>
      <c r="Y272" s="130">
        <v>1.5970000000000002E-2</v>
      </c>
      <c r="Z272" s="130">
        <v>-1.25E-3</v>
      </c>
      <c r="AA272" s="130">
        <v>4.5000000000000005E-3</v>
      </c>
      <c r="AB272" s="130">
        <v>2.189E-2</v>
      </c>
      <c r="AC272" s="130">
        <v>1.29E-2</v>
      </c>
      <c r="AD272" s="130">
        <v>3.8500000000000001E-3</v>
      </c>
      <c r="AE272" s="130">
        <v>-1.1999999999999999E-3</v>
      </c>
      <c r="AF272" s="130">
        <v>2.0710000000000003E-2</v>
      </c>
      <c r="AG272" s="130">
        <v>9.1900000000000003E-3</v>
      </c>
      <c r="AH272" s="130">
        <v>4.1999999999999997E-3</v>
      </c>
      <c r="AI272" s="130">
        <v>8.6700000000000006E-3</v>
      </c>
      <c r="AJ272" s="130">
        <v>1.307E-2</v>
      </c>
      <c r="AK272" s="130">
        <v>7.9900000000000006E-3</v>
      </c>
      <c r="AL272" s="130">
        <v>4.0200000000000001E-3</v>
      </c>
      <c r="AM272" s="130">
        <v>8.8700000000000011E-3</v>
      </c>
      <c r="AN272" s="99">
        <f t="shared" si="2"/>
        <v>1.7007500000000002E-2</v>
      </c>
      <c r="AO272" s="99">
        <f t="shared" si="2"/>
        <v>1.0127500000000001E-2</v>
      </c>
      <c r="AP272" s="99">
        <f t="shared" si="2"/>
        <v>6.6087499999999992E-3</v>
      </c>
      <c r="AQ272" s="99">
        <f t="shared" si="2"/>
        <v>1.0554999999999998E-2</v>
      </c>
      <c r="AR272" s="99">
        <f t="shared" si="5"/>
        <v>1.7007500000000002E-2</v>
      </c>
      <c r="AS272" s="99">
        <f t="shared" si="5"/>
        <v>1.0127500000000001E-2</v>
      </c>
      <c r="AT272" s="99">
        <f t="shared" si="5"/>
        <v>6.6087499999999992E-3</v>
      </c>
      <c r="AU272" s="99">
        <f t="shared" si="5"/>
        <v>1.0554999999999998E-2</v>
      </c>
      <c r="AV272" s="99">
        <f t="shared" si="5"/>
        <v>1.7007500000000002E-2</v>
      </c>
      <c r="AW272" s="99">
        <f t="shared" si="5"/>
        <v>1.0127500000000001E-2</v>
      </c>
      <c r="AX272" s="99">
        <f t="shared" si="5"/>
        <v>6.6087499999999992E-3</v>
      </c>
      <c r="AY272" s="99">
        <f t="shared" si="4"/>
        <v>1.0554999999999998E-2</v>
      </c>
    </row>
    <row r="273" spans="3:51" customFormat="1" x14ac:dyDescent="0.2">
      <c r="C273" s="107" t="s">
        <v>456</v>
      </c>
      <c r="D273" s="129" t="s">
        <v>748</v>
      </c>
      <c r="E273" s="107" t="s">
        <v>631</v>
      </c>
      <c r="F273" s="107" t="s">
        <v>749</v>
      </c>
      <c r="G273" s="109" t="s">
        <v>633</v>
      </c>
      <c r="H273" s="130">
        <v>5.4700000000000009E-3</v>
      </c>
      <c r="I273" s="130">
        <v>6.2700000000000004E-3</v>
      </c>
      <c r="J273" s="130">
        <v>3.2600000000000003E-3</v>
      </c>
      <c r="K273" s="130">
        <v>4.3600000000000002E-3</v>
      </c>
      <c r="L273" s="130">
        <v>1.1479999999999999E-2</v>
      </c>
      <c r="M273" s="130">
        <v>7.6300000000000005E-3</v>
      </c>
      <c r="N273" s="130">
        <v>2.2499999999999999E-2</v>
      </c>
      <c r="O273" s="130">
        <v>1.685E-2</v>
      </c>
      <c r="P273" s="130">
        <v>1.389E-2</v>
      </c>
      <c r="Q273" s="130">
        <v>2.726E-2</v>
      </c>
      <c r="R273" s="130">
        <v>2.4990000000000002E-2</v>
      </c>
      <c r="S273" s="130">
        <v>1.533E-2</v>
      </c>
      <c r="T273" s="130">
        <v>1.5469999999999999E-2</v>
      </c>
      <c r="U273" s="130">
        <v>1.661E-2</v>
      </c>
      <c r="V273" s="130">
        <v>6.4800000000000005E-3</v>
      </c>
      <c r="W273" s="130">
        <v>-1.58E-3</v>
      </c>
      <c r="X273" s="130">
        <v>9.4599999999999997E-3</v>
      </c>
      <c r="Y273" s="130">
        <v>7.8399999999999997E-3</v>
      </c>
      <c r="Z273" s="130">
        <v>3.98E-3</v>
      </c>
      <c r="AA273" s="130">
        <v>-5.9000000000000003E-4</v>
      </c>
      <c r="AB273" s="130">
        <v>4.0400000000000002E-3</v>
      </c>
      <c r="AC273" s="130">
        <v>9.2700000000000005E-3</v>
      </c>
      <c r="AD273" s="130">
        <v>1.08E-3</v>
      </c>
      <c r="AE273" s="130">
        <v>-3.4000000000000002E-4</v>
      </c>
      <c r="AF273" s="130">
        <v>3.7699999999999999E-3</v>
      </c>
      <c r="AG273" s="130">
        <v>7.3299999999999997E-3</v>
      </c>
      <c r="AH273" s="130">
        <v>5.5200000000000006E-3</v>
      </c>
      <c r="AI273" s="130">
        <v>1.1899999999999999E-3</v>
      </c>
      <c r="AJ273" s="130">
        <v>2.47E-3</v>
      </c>
      <c r="AK273" s="130">
        <v>7.0799999999999995E-3</v>
      </c>
      <c r="AL273" s="130">
        <v>4.8900000000000002E-3</v>
      </c>
      <c r="AM273" s="130">
        <v>8.3000000000000001E-4</v>
      </c>
      <c r="AN273" s="99">
        <f t="shared" si="2"/>
        <v>8.2562499999999997E-3</v>
      </c>
      <c r="AO273" s="99">
        <f t="shared" si="2"/>
        <v>1.1161249999999999E-2</v>
      </c>
      <c r="AP273" s="99">
        <f t="shared" si="2"/>
        <v>9.0875000000000001E-3</v>
      </c>
      <c r="AQ273" s="99">
        <f t="shared" si="2"/>
        <v>4.5062500000000007E-3</v>
      </c>
      <c r="AR273" s="99">
        <f t="shared" si="5"/>
        <v>8.2562499999999997E-3</v>
      </c>
      <c r="AS273" s="99">
        <f t="shared" si="5"/>
        <v>1.1161249999999999E-2</v>
      </c>
      <c r="AT273" s="99">
        <f t="shared" si="5"/>
        <v>9.0875000000000001E-3</v>
      </c>
      <c r="AU273" s="99">
        <f t="shared" si="5"/>
        <v>4.5062500000000007E-3</v>
      </c>
      <c r="AV273" s="99">
        <f t="shared" si="5"/>
        <v>8.2562499999999997E-3</v>
      </c>
      <c r="AW273" s="99">
        <f t="shared" si="5"/>
        <v>1.1161249999999999E-2</v>
      </c>
      <c r="AX273" s="99">
        <f t="shared" si="5"/>
        <v>9.0875000000000001E-3</v>
      </c>
      <c r="AY273" s="99">
        <f t="shared" si="4"/>
        <v>4.5062500000000007E-3</v>
      </c>
    </row>
    <row r="274" spans="3:51" customFormat="1" x14ac:dyDescent="0.2">
      <c r="C274" s="107" t="s">
        <v>461</v>
      </c>
      <c r="D274" s="129" t="s">
        <v>748</v>
      </c>
      <c r="E274" s="107" t="s">
        <v>631</v>
      </c>
      <c r="F274" s="107" t="s">
        <v>749</v>
      </c>
      <c r="G274" s="109" t="s">
        <v>633</v>
      </c>
      <c r="H274" s="130">
        <v>3.0859999999999999E-2</v>
      </c>
      <c r="I274" s="130">
        <v>3.5009999999999999E-2</v>
      </c>
      <c r="J274" s="130">
        <v>1.3560000000000001E-2</v>
      </c>
      <c r="K274" s="130">
        <v>1.3260000000000001E-2</v>
      </c>
      <c r="L274" s="130">
        <v>2.3380000000000001E-2</v>
      </c>
      <c r="M274" s="130">
        <v>1.7219999999999999E-2</v>
      </c>
      <c r="N274" s="130">
        <v>1.847E-2</v>
      </c>
      <c r="O274" s="130">
        <v>1.7770000000000001E-2</v>
      </c>
      <c r="P274" s="130">
        <v>3.1800000000000002E-2</v>
      </c>
      <c r="Q274" s="130">
        <v>2.2339999999999999E-2</v>
      </c>
      <c r="R274" s="130">
        <v>2.1640000000000003E-2</v>
      </c>
      <c r="S274" s="130">
        <v>7.7100000000000007E-3</v>
      </c>
      <c r="T274" s="130">
        <v>2.266E-2</v>
      </c>
      <c r="U274" s="130">
        <v>1.5229999999999999E-2</v>
      </c>
      <c r="V274" s="130">
        <v>-3.5099999999999997E-3</v>
      </c>
      <c r="W274" s="130">
        <v>1.2829999999999999E-2</v>
      </c>
      <c r="X274" s="130">
        <v>2.0160000000000001E-2</v>
      </c>
      <c r="Y274" s="130">
        <v>1.248E-2</v>
      </c>
      <c r="Z274" s="130">
        <v>7.9100000000000004E-3</v>
      </c>
      <c r="AA274" s="130">
        <v>1.0289999999999999E-2</v>
      </c>
      <c r="AB274" s="130">
        <v>2.1139999999999999E-2</v>
      </c>
      <c r="AC274" s="130">
        <v>9.7699999999999992E-3</v>
      </c>
      <c r="AD274" s="130">
        <v>1.5E-3</v>
      </c>
      <c r="AE274" s="130">
        <v>7.3099999999999997E-3</v>
      </c>
      <c r="AF274" s="130">
        <v>2.2940000000000002E-2</v>
      </c>
      <c r="AG274" s="130">
        <v>1.0460000000000001E-2</v>
      </c>
      <c r="AH274" s="130">
        <v>5.6299999999999996E-3</v>
      </c>
      <c r="AI274" s="130">
        <v>6.0099999999999997E-3</v>
      </c>
      <c r="AJ274" s="130">
        <v>2.1070000000000002E-2</v>
      </c>
      <c r="AK274" s="130">
        <v>1.192E-2</v>
      </c>
      <c r="AL274" s="130">
        <v>7.2899999999999996E-3</v>
      </c>
      <c r="AM274" s="130">
        <v>7.1599999999999997E-3</v>
      </c>
      <c r="AN274" s="99">
        <f t="shared" si="2"/>
        <v>2.4251250000000002E-2</v>
      </c>
      <c r="AO274" s="99">
        <f t="shared" si="2"/>
        <v>1.6803749999999999E-2</v>
      </c>
      <c r="AP274" s="99">
        <f t="shared" si="2"/>
        <v>9.0612500000000016E-3</v>
      </c>
      <c r="AQ274" s="99">
        <f t="shared" si="2"/>
        <v>1.02925E-2</v>
      </c>
      <c r="AR274" s="99">
        <f t="shared" si="5"/>
        <v>2.4251250000000002E-2</v>
      </c>
      <c r="AS274" s="99">
        <f t="shared" si="5"/>
        <v>1.6803749999999999E-2</v>
      </c>
      <c r="AT274" s="99">
        <f t="shared" si="5"/>
        <v>9.0612500000000016E-3</v>
      </c>
      <c r="AU274" s="99">
        <f t="shared" si="5"/>
        <v>1.02925E-2</v>
      </c>
      <c r="AV274" s="99">
        <f t="shared" si="5"/>
        <v>2.4251250000000002E-2</v>
      </c>
      <c r="AW274" s="99">
        <f t="shared" si="5"/>
        <v>1.6803749999999999E-2</v>
      </c>
      <c r="AX274" s="99">
        <f t="shared" si="5"/>
        <v>9.0612500000000016E-3</v>
      </c>
      <c r="AY274" s="99">
        <f t="shared" si="4"/>
        <v>1.02925E-2</v>
      </c>
    </row>
    <row r="275" spans="3:51" customFormat="1" x14ac:dyDescent="0.2">
      <c r="C275" s="107" t="s">
        <v>610</v>
      </c>
      <c r="D275" s="129" t="s">
        <v>748</v>
      </c>
      <c r="E275" s="107" t="s">
        <v>631</v>
      </c>
      <c r="F275" s="107" t="s">
        <v>749</v>
      </c>
      <c r="G275" s="109" t="s">
        <v>633</v>
      </c>
      <c r="H275" s="130">
        <v>1.4688700000000001</v>
      </c>
      <c r="I275" s="130">
        <v>1.0149900000000001</v>
      </c>
      <c r="J275" s="130">
        <v>0.93281999999999998</v>
      </c>
      <c r="K275" s="130">
        <v>1.64534</v>
      </c>
      <c r="L275" s="130">
        <v>1.9024799999999999</v>
      </c>
      <c r="M275" s="130">
        <v>0.87608000000000008</v>
      </c>
      <c r="N275" s="130">
        <v>0.60009000000000001</v>
      </c>
      <c r="O275" s="130">
        <v>0.27955999999999998</v>
      </c>
      <c r="P275" s="130">
        <v>0.17672000000000002</v>
      </c>
      <c r="Q275" s="130">
        <v>0.15329999999999999</v>
      </c>
      <c r="R275" s="130">
        <v>0.36299999999999999</v>
      </c>
      <c r="S275" s="130">
        <v>0.55237999999999998</v>
      </c>
      <c r="T275" s="130">
        <v>1.0519700000000001</v>
      </c>
      <c r="U275" s="130">
        <v>0.20306000000000002</v>
      </c>
      <c r="V275" s="130">
        <v>0.21295000000000003</v>
      </c>
      <c r="W275" s="130">
        <v>0.17953</v>
      </c>
      <c r="X275" s="130">
        <v>5.7500000000000002E-2</v>
      </c>
      <c r="Y275" s="130">
        <v>4.5839999999999999E-2</v>
      </c>
      <c r="Z275" s="130">
        <v>3.1050000000000001E-2</v>
      </c>
      <c r="AA275" s="130">
        <v>0.29381000000000002</v>
      </c>
      <c r="AB275" s="130">
        <v>0.47090000000000004</v>
      </c>
      <c r="AC275" s="130">
        <v>0.39432</v>
      </c>
      <c r="AD275" s="130">
        <v>0.53814000000000006</v>
      </c>
      <c r="AE275" s="130">
        <v>0.68224000000000007</v>
      </c>
      <c r="AF275" s="130">
        <v>1.21014</v>
      </c>
      <c r="AG275" s="130">
        <v>0.51812000000000002</v>
      </c>
      <c r="AH275" s="130">
        <v>0.42512</v>
      </c>
      <c r="AI275" s="130">
        <v>0.37790000000000001</v>
      </c>
      <c r="AJ275" s="130">
        <v>0.57165999999999995</v>
      </c>
      <c r="AK275" s="130">
        <v>1.8710000000000001E-2</v>
      </c>
      <c r="AL275" s="130">
        <v>9.1200000000000014E-3</v>
      </c>
      <c r="AM275" s="130">
        <v>1.363E-2</v>
      </c>
      <c r="AN275" s="99">
        <f t="shared" si="2"/>
        <v>0.8637800000000001</v>
      </c>
      <c r="AO275" s="99">
        <f t="shared" si="2"/>
        <v>0.40305250000000004</v>
      </c>
      <c r="AP275" s="99">
        <f t="shared" si="2"/>
        <v>0.38903625000000003</v>
      </c>
      <c r="AQ275" s="99">
        <f t="shared" si="2"/>
        <v>0.50304875000000004</v>
      </c>
      <c r="AR275" s="99">
        <f t="shared" si="5"/>
        <v>0.8637800000000001</v>
      </c>
      <c r="AS275" s="99">
        <f t="shared" si="5"/>
        <v>0.40305250000000004</v>
      </c>
      <c r="AT275" s="99">
        <f t="shared" si="5"/>
        <v>0.38903625000000003</v>
      </c>
      <c r="AU275" s="99">
        <f t="shared" si="5"/>
        <v>0.50304875000000004</v>
      </c>
      <c r="AV275" s="99">
        <f t="shared" si="5"/>
        <v>0.8637800000000001</v>
      </c>
      <c r="AW275" s="99">
        <f t="shared" si="5"/>
        <v>0.40305250000000004</v>
      </c>
      <c r="AX275" s="99">
        <f t="shared" si="5"/>
        <v>0.38903625000000003</v>
      </c>
      <c r="AY275" s="99">
        <f t="shared" si="4"/>
        <v>0.50304875000000004</v>
      </c>
    </row>
    <row r="276" spans="3:51" customFormat="1" x14ac:dyDescent="0.2">
      <c r="C276" s="107" t="s">
        <v>667</v>
      </c>
      <c r="D276" s="129" t="s">
        <v>748</v>
      </c>
      <c r="E276" s="107" t="s">
        <v>631</v>
      </c>
      <c r="F276" s="107" t="s">
        <v>749</v>
      </c>
      <c r="G276" s="109" t="s">
        <v>633</v>
      </c>
      <c r="H276" s="130">
        <v>-2.9999999999999997E-4</v>
      </c>
      <c r="I276" s="130">
        <v>1.7809999999999999E-2</v>
      </c>
      <c r="J276" s="130">
        <v>-9.4900000000000002E-3</v>
      </c>
      <c r="K276" s="130">
        <v>1.8409999999999999E-2</v>
      </c>
      <c r="L276" s="130">
        <v>1.6899999999999998E-2</v>
      </c>
      <c r="M276" s="130">
        <v>2.3710000000000002E-2</v>
      </c>
      <c r="N276" s="130">
        <v>1.8779999999999998E-2</v>
      </c>
      <c r="O276" s="130">
        <v>2.717E-2</v>
      </c>
      <c r="P276" s="130">
        <v>2.0910000000000002E-2</v>
      </c>
      <c r="Q276" s="130">
        <v>3.7139999999999999E-2</v>
      </c>
      <c r="R276" s="130">
        <v>9.0500000000000008E-3</v>
      </c>
      <c r="S276" s="130">
        <v>1.8690000000000002E-2</v>
      </c>
      <c r="T276" s="130">
        <v>2.988E-2</v>
      </c>
      <c r="U276" s="130">
        <v>3.3100000000000004E-2</v>
      </c>
      <c r="V276" s="130">
        <v>1.643E-2</v>
      </c>
      <c r="W276" s="130">
        <v>-1.8799999999999999E-3</v>
      </c>
      <c r="X276" s="130">
        <v>1.5E-3</v>
      </c>
      <c r="Y276" s="130">
        <v>2.6150000000000003E-2</v>
      </c>
      <c r="Z276" s="130">
        <v>2.63E-2</v>
      </c>
      <c r="AA276" s="130">
        <v>-7.3499999999999998E-3</v>
      </c>
      <c r="AB276" s="130">
        <v>9.2700000000000005E-3</v>
      </c>
      <c r="AC276" s="130">
        <v>-8.8000000000000005E-3</v>
      </c>
      <c r="AD276" s="130">
        <v>-4.5000000000000005E-3</v>
      </c>
      <c r="AE276" s="130">
        <v>-4.5799999999999999E-3</v>
      </c>
      <c r="AF276" s="130">
        <v>1.602E-2</v>
      </c>
      <c r="AG276" s="130">
        <v>1.4290000000000001E-2</v>
      </c>
      <c r="AH276" s="130">
        <v>2.14E-3</v>
      </c>
      <c r="AI276" s="130">
        <v>4.3400000000000001E-3</v>
      </c>
      <c r="AJ276" s="130">
        <v>3.7499999999999999E-3</v>
      </c>
      <c r="AK276" s="130">
        <v>1.438E-2</v>
      </c>
      <c r="AL276" s="130">
        <v>2.3E-3</v>
      </c>
      <c r="AM276" s="130">
        <v>4.9199999999999999E-3</v>
      </c>
      <c r="AN276" s="99">
        <f t="shared" si="2"/>
        <v>1.224125E-2</v>
      </c>
      <c r="AO276" s="99">
        <f t="shared" si="2"/>
        <v>1.97225E-2</v>
      </c>
      <c r="AP276" s="99">
        <f t="shared" si="2"/>
        <v>7.6262500000000011E-3</v>
      </c>
      <c r="AQ276" s="99">
        <f t="shared" si="2"/>
        <v>7.4649999999999994E-3</v>
      </c>
      <c r="AR276" s="99">
        <f t="shared" si="5"/>
        <v>1.224125E-2</v>
      </c>
      <c r="AS276" s="99">
        <f t="shared" si="5"/>
        <v>1.97225E-2</v>
      </c>
      <c r="AT276" s="99">
        <f t="shared" si="5"/>
        <v>7.6262500000000011E-3</v>
      </c>
      <c r="AU276" s="99">
        <f t="shared" si="5"/>
        <v>7.4649999999999994E-3</v>
      </c>
      <c r="AV276" s="99">
        <f t="shared" si="5"/>
        <v>1.224125E-2</v>
      </c>
      <c r="AW276" s="99">
        <f t="shared" si="5"/>
        <v>1.97225E-2</v>
      </c>
      <c r="AX276" s="99">
        <f t="shared" si="5"/>
        <v>7.6262500000000011E-3</v>
      </c>
      <c r="AY276" s="99">
        <f t="shared" si="4"/>
        <v>7.4649999999999994E-3</v>
      </c>
    </row>
    <row r="277" spans="3:51" customFormat="1" x14ac:dyDescent="0.2">
      <c r="C277" s="107" t="s">
        <v>483</v>
      </c>
      <c r="D277" s="129" t="s">
        <v>748</v>
      </c>
      <c r="E277" s="107" t="s">
        <v>631</v>
      </c>
      <c r="F277" s="107" t="s">
        <v>749</v>
      </c>
      <c r="G277" s="109" t="s">
        <v>633</v>
      </c>
      <c r="H277" s="130">
        <v>5.6989999999999999E-2</v>
      </c>
      <c r="I277" s="130">
        <v>5.842E-2</v>
      </c>
      <c r="J277" s="130">
        <v>5.4890000000000001E-2</v>
      </c>
      <c r="K277" s="130">
        <v>5.7389999999999997E-2</v>
      </c>
      <c r="L277" s="130">
        <v>5.611E-2</v>
      </c>
      <c r="M277" s="130">
        <v>6.1280000000000001E-2</v>
      </c>
      <c r="N277" s="130">
        <v>6.4259999999999998E-2</v>
      </c>
      <c r="O277" s="130">
        <v>6.4349999999999991E-2</v>
      </c>
      <c r="P277" s="130">
        <v>5.8979999999999998E-2</v>
      </c>
      <c r="Q277" s="130">
        <v>3.6830000000000002E-2</v>
      </c>
      <c r="R277" s="130">
        <v>2.4740000000000002E-2</v>
      </c>
      <c r="S277" s="130">
        <v>2.4240000000000001E-2</v>
      </c>
      <c r="T277" s="130">
        <v>2.5779999999999997E-2</v>
      </c>
      <c r="U277" s="130">
        <v>2.9340000000000001E-2</v>
      </c>
      <c r="V277" s="130">
        <v>5.015E-2</v>
      </c>
      <c r="W277" s="130">
        <v>6.6600000000000006E-2</v>
      </c>
      <c r="X277" s="130">
        <v>7.5980000000000006E-2</v>
      </c>
      <c r="Y277" s="130">
        <v>7.6969999999999997E-2</v>
      </c>
      <c r="Z277" s="130">
        <v>5.5930000000000001E-2</v>
      </c>
      <c r="AA277" s="130">
        <v>4.8890000000000003E-2</v>
      </c>
      <c r="AB277" s="130">
        <v>4.9420000000000006E-2</v>
      </c>
      <c r="AC277" s="130">
        <v>4.0259999999999997E-2</v>
      </c>
      <c r="AD277" s="130">
        <v>3.7819999999999999E-2</v>
      </c>
      <c r="AE277" s="130">
        <v>2.878E-2</v>
      </c>
      <c r="AF277" s="130" t="s">
        <v>633</v>
      </c>
      <c r="AG277" s="130" t="s">
        <v>633</v>
      </c>
      <c r="AH277" s="130" t="s">
        <v>633</v>
      </c>
      <c r="AI277" s="130" t="s">
        <v>633</v>
      </c>
      <c r="AJ277" s="130" t="s">
        <v>633</v>
      </c>
      <c r="AK277" s="130" t="s">
        <v>633</v>
      </c>
      <c r="AL277" s="130" t="s">
        <v>633</v>
      </c>
      <c r="AM277" s="130" t="s">
        <v>633</v>
      </c>
      <c r="AN277" s="99">
        <f t="shared" si="2"/>
        <v>5.3876666666666663E-2</v>
      </c>
      <c r="AO277" s="99">
        <f t="shared" si="2"/>
        <v>5.0516666666666661E-2</v>
      </c>
      <c r="AP277" s="99">
        <f t="shared" si="2"/>
        <v>4.7965000000000008E-2</v>
      </c>
      <c r="AQ277" s="99">
        <f t="shared" si="2"/>
        <v>4.8375000000000001E-2</v>
      </c>
      <c r="AR277" s="99">
        <f t="shared" si="5"/>
        <v>5.3876666666666663E-2</v>
      </c>
      <c r="AS277" s="99">
        <f t="shared" si="5"/>
        <v>5.0516666666666661E-2</v>
      </c>
      <c r="AT277" s="99">
        <f t="shared" si="5"/>
        <v>4.7965000000000008E-2</v>
      </c>
      <c r="AU277" s="99">
        <f t="shared" si="5"/>
        <v>4.8375000000000001E-2</v>
      </c>
      <c r="AV277" s="99">
        <f t="shared" si="5"/>
        <v>5.3876666666666663E-2</v>
      </c>
      <c r="AW277" s="99">
        <f t="shared" si="5"/>
        <v>5.0516666666666661E-2</v>
      </c>
      <c r="AX277" s="99">
        <f t="shared" si="5"/>
        <v>4.7965000000000008E-2</v>
      </c>
      <c r="AY277" s="99">
        <f t="shared" si="4"/>
        <v>4.8375000000000001E-2</v>
      </c>
    </row>
    <row r="278" spans="3:51" customFormat="1" x14ac:dyDescent="0.2">
      <c r="C278" s="107" t="s">
        <v>499</v>
      </c>
      <c r="D278" s="129" t="s">
        <v>748</v>
      </c>
      <c r="E278" s="107" t="s">
        <v>631</v>
      </c>
      <c r="F278" s="107" t="s">
        <v>749</v>
      </c>
      <c r="G278" s="109" t="s">
        <v>633</v>
      </c>
      <c r="H278" s="130">
        <v>-8.9899999999999997E-3</v>
      </c>
      <c r="I278" s="130">
        <v>-2.588E-2</v>
      </c>
      <c r="J278" s="130">
        <v>8.6300000000000005E-3</v>
      </c>
      <c r="K278" s="130">
        <v>-3.0799999999999998E-3</v>
      </c>
      <c r="L278" s="130">
        <v>-5.8300000000000001E-3</v>
      </c>
      <c r="M278" s="130">
        <v>6.9000000000000008E-4</v>
      </c>
      <c r="N278" s="130">
        <v>6.5500000000000003E-3</v>
      </c>
      <c r="O278" s="130">
        <v>2.0599999999999998E-3</v>
      </c>
      <c r="P278" s="130">
        <v>2.4620000000000003E-2</v>
      </c>
      <c r="Q278" s="130">
        <v>3.3E-4</v>
      </c>
      <c r="R278" s="130">
        <v>1.2350000000000002E-2</v>
      </c>
      <c r="S278" s="130">
        <v>0</v>
      </c>
      <c r="T278" s="130">
        <v>-6.5900000000000004E-3</v>
      </c>
      <c r="U278" s="130">
        <v>-5.6399999999999992E-3</v>
      </c>
      <c r="V278" s="130">
        <v>1.1679999999999999E-2</v>
      </c>
      <c r="W278" s="130">
        <v>-1.6500000000000002E-3</v>
      </c>
      <c r="X278" s="130">
        <v>3.63E-3</v>
      </c>
      <c r="Y278" s="130">
        <v>3.2900000000000004E-3</v>
      </c>
      <c r="Z278" s="130">
        <v>2.6200000000000004E-3</v>
      </c>
      <c r="AA278" s="130">
        <v>-5.5500000000000002E-3</v>
      </c>
      <c r="AB278" s="130">
        <v>3.3E-4</v>
      </c>
      <c r="AC278" s="130">
        <v>-3.7200000000000002E-3</v>
      </c>
      <c r="AD278" s="130">
        <v>3.2900000000000004E-3</v>
      </c>
      <c r="AE278" s="130">
        <v>5.7799999999999995E-3</v>
      </c>
      <c r="AF278" s="130">
        <v>4.2999999999999999E-4</v>
      </c>
      <c r="AG278" s="130">
        <v>3.0000000000000001E-5</v>
      </c>
      <c r="AH278" s="130">
        <v>9.0500000000000008E-3</v>
      </c>
      <c r="AI278" s="130">
        <v>1.4099999999999998E-3</v>
      </c>
      <c r="AJ278" s="130">
        <v>2.7800000000000004E-3</v>
      </c>
      <c r="AK278" s="130">
        <v>-4.3999999999999996E-4</v>
      </c>
      <c r="AL278" s="130">
        <v>8.2900000000000005E-3</v>
      </c>
      <c r="AM278" s="130">
        <v>1.16E-3</v>
      </c>
      <c r="AN278" s="99">
        <f t="shared" si="2"/>
        <v>1.2975000000000003E-3</v>
      </c>
      <c r="AO278" s="99">
        <f t="shared" si="2"/>
        <v>-3.9175E-3</v>
      </c>
      <c r="AP278" s="99">
        <f t="shared" si="2"/>
        <v>7.8075000000000002E-3</v>
      </c>
      <c r="AQ278" s="99">
        <f t="shared" si="2"/>
        <v>1.624999999999988E-5</v>
      </c>
      <c r="AR278" s="99">
        <f t="shared" si="5"/>
        <v>1.2975000000000003E-3</v>
      </c>
      <c r="AS278" s="99">
        <f t="shared" si="5"/>
        <v>-3.9175E-3</v>
      </c>
      <c r="AT278" s="99">
        <f t="shared" si="5"/>
        <v>7.8075000000000002E-3</v>
      </c>
      <c r="AU278" s="99">
        <f t="shared" si="5"/>
        <v>1.624999999999988E-5</v>
      </c>
      <c r="AV278" s="99">
        <f t="shared" si="5"/>
        <v>1.2975000000000003E-3</v>
      </c>
      <c r="AW278" s="99">
        <f t="shared" si="5"/>
        <v>-3.9175E-3</v>
      </c>
      <c r="AX278" s="99">
        <f t="shared" si="5"/>
        <v>7.8075000000000002E-3</v>
      </c>
      <c r="AY278" s="99">
        <f t="shared" si="4"/>
        <v>1.624999999999988E-5</v>
      </c>
    </row>
    <row r="279" spans="3:51" customFormat="1" x14ac:dyDescent="0.2">
      <c r="C279" s="107" t="s">
        <v>516</v>
      </c>
      <c r="D279" s="129" t="s">
        <v>748</v>
      </c>
      <c r="E279" s="107" t="s">
        <v>631</v>
      </c>
      <c r="F279" s="107" t="s">
        <v>749</v>
      </c>
      <c r="G279" s="109" t="s">
        <v>633</v>
      </c>
      <c r="H279" s="130">
        <v>4.7699999999999999E-3</v>
      </c>
      <c r="I279" s="130">
        <v>6.3600000000000002E-3</v>
      </c>
      <c r="J279" s="130">
        <v>5.6999999999999993E-3</v>
      </c>
      <c r="K279" s="130">
        <v>5.2400000000000007E-3</v>
      </c>
      <c r="L279" s="130">
        <v>1.3600000000000001E-3</v>
      </c>
      <c r="M279" s="130">
        <v>8.5400000000000007E-3</v>
      </c>
      <c r="N279" s="130">
        <v>8.6400000000000001E-3</v>
      </c>
      <c r="O279" s="130">
        <v>7.8600000000000007E-3</v>
      </c>
      <c r="P279" s="130">
        <v>1.8370000000000001E-2</v>
      </c>
      <c r="Q279" s="130">
        <v>2.2330000000000003E-2</v>
      </c>
      <c r="R279" s="130">
        <v>1.9359999999999999E-2</v>
      </c>
      <c r="S279" s="130">
        <v>1.5460000000000002E-2</v>
      </c>
      <c r="T279" s="130">
        <v>2.0209999999999999E-2</v>
      </c>
      <c r="U279" s="130">
        <v>2.2170000000000002E-2</v>
      </c>
      <c r="V279" s="130">
        <v>1.3740000000000002E-2</v>
      </c>
      <c r="W279" s="130">
        <v>5.1800000000000006E-3</v>
      </c>
      <c r="X279" s="130">
        <v>7.7800000000000005E-3</v>
      </c>
      <c r="Y279" s="130">
        <v>1.7350000000000001E-2</v>
      </c>
      <c r="Z279" s="130">
        <v>9.4699999999999993E-3</v>
      </c>
      <c r="AA279" s="130">
        <v>1.1299999999999999E-2</v>
      </c>
      <c r="AB279" s="130">
        <v>4.1999999999999997E-3</v>
      </c>
      <c r="AC279" s="130">
        <v>8.2900000000000005E-3</v>
      </c>
      <c r="AD279" s="130">
        <v>7.1900000000000002E-3</v>
      </c>
      <c r="AE279" s="130">
        <v>8.6899999999999998E-3</v>
      </c>
      <c r="AF279" s="130" t="s">
        <v>633</v>
      </c>
      <c r="AG279" s="130" t="s">
        <v>633</v>
      </c>
      <c r="AH279" s="130" t="s">
        <v>633</v>
      </c>
      <c r="AI279" s="130" t="s">
        <v>633</v>
      </c>
      <c r="AJ279" s="130" t="s">
        <v>633</v>
      </c>
      <c r="AK279" s="130" t="s">
        <v>633</v>
      </c>
      <c r="AL279" s="130" t="s">
        <v>633</v>
      </c>
      <c r="AM279" s="130" t="s">
        <v>633</v>
      </c>
      <c r="AN279" s="99">
        <f t="shared" si="2"/>
        <v>9.4483333333333346E-3</v>
      </c>
      <c r="AO279" s="99">
        <f t="shared" si="2"/>
        <v>1.4173333333333336E-2</v>
      </c>
      <c r="AP279" s="99">
        <f t="shared" si="2"/>
        <v>1.0683333333333335E-2</v>
      </c>
      <c r="AQ279" s="99">
        <f t="shared" si="2"/>
        <v>8.9550000000000012E-3</v>
      </c>
      <c r="AR279" s="99">
        <f t="shared" si="5"/>
        <v>9.4483333333333346E-3</v>
      </c>
      <c r="AS279" s="99">
        <f t="shared" si="5"/>
        <v>1.4173333333333336E-2</v>
      </c>
      <c r="AT279" s="99">
        <f t="shared" si="5"/>
        <v>1.0683333333333335E-2</v>
      </c>
      <c r="AU279" s="99">
        <f t="shared" si="5"/>
        <v>8.9550000000000012E-3</v>
      </c>
      <c r="AV279" s="99">
        <f t="shared" si="5"/>
        <v>9.4483333333333346E-3</v>
      </c>
      <c r="AW279" s="99">
        <f t="shared" si="5"/>
        <v>1.4173333333333336E-2</v>
      </c>
      <c r="AX279" s="99">
        <f t="shared" si="5"/>
        <v>1.0683333333333335E-2</v>
      </c>
      <c r="AY279" s="99">
        <f t="shared" si="4"/>
        <v>8.9550000000000012E-3</v>
      </c>
    </row>
    <row r="280" spans="3:51" customFormat="1" x14ac:dyDescent="0.2">
      <c r="C280" s="107" t="s">
        <v>523</v>
      </c>
      <c r="D280" s="129" t="s">
        <v>748</v>
      </c>
      <c r="E280" s="107" t="s">
        <v>631</v>
      </c>
      <c r="F280" s="107" t="s">
        <v>749</v>
      </c>
      <c r="G280" s="109" t="s">
        <v>633</v>
      </c>
      <c r="H280" s="130">
        <v>1.4199999999999999E-2</v>
      </c>
      <c r="I280" s="130">
        <v>6.7400000000000003E-3</v>
      </c>
      <c r="J280" s="130">
        <v>-1.2099999999999999E-3</v>
      </c>
      <c r="K280" s="130">
        <v>4.0799999999999994E-3</v>
      </c>
      <c r="L280" s="130">
        <v>1.967E-2</v>
      </c>
      <c r="M280" s="130">
        <v>1.5780000000000002E-2</v>
      </c>
      <c r="N280" s="130">
        <v>5.9099999999999995E-3</v>
      </c>
      <c r="O280" s="130">
        <v>9.5700000000000004E-3</v>
      </c>
      <c r="P280" s="130">
        <v>1.678E-2</v>
      </c>
      <c r="Q280" s="130">
        <v>1.0249999999999999E-2</v>
      </c>
      <c r="R280" s="130">
        <v>2.1680000000000001E-2</v>
      </c>
      <c r="S280" s="130">
        <v>6.8799999999999998E-3</v>
      </c>
      <c r="T280" s="130">
        <v>9.8499999999999994E-3</v>
      </c>
      <c r="U280" s="130">
        <v>7.8300000000000002E-3</v>
      </c>
      <c r="V280" s="130">
        <v>1.6200000000000003E-2</v>
      </c>
      <c r="W280" s="130">
        <v>3.48E-3</v>
      </c>
      <c r="X280" s="130">
        <v>6.7800000000000004E-3</v>
      </c>
      <c r="Y280" s="130">
        <v>1.5089999999999999E-2</v>
      </c>
      <c r="Z280" s="130">
        <v>1.175E-2</v>
      </c>
      <c r="AA280" s="130">
        <v>-9.5199999999999989E-3</v>
      </c>
      <c r="AB280" s="130">
        <v>-7.3000000000000001E-3</v>
      </c>
      <c r="AC280" s="130">
        <v>5.1800000000000006E-3</v>
      </c>
      <c r="AD280" s="130">
        <v>5.6999999999999993E-3</v>
      </c>
      <c r="AE280" s="130">
        <v>-2.1900000000000001E-3</v>
      </c>
      <c r="AF280" s="130">
        <v>-2.3000000000000001E-4</v>
      </c>
      <c r="AG280" s="130">
        <v>9.4599999999999997E-3</v>
      </c>
      <c r="AH280" s="130">
        <v>8.2299999999999995E-3</v>
      </c>
      <c r="AI280" s="130">
        <v>1.89E-3</v>
      </c>
      <c r="AJ280" s="130">
        <v>1.6300000000000002E-3</v>
      </c>
      <c r="AK280" s="130">
        <v>8.1000000000000013E-3</v>
      </c>
      <c r="AL280" s="130">
        <v>6.2599999999999999E-3</v>
      </c>
      <c r="AM280" s="130">
        <v>6.5000000000000008E-4</v>
      </c>
      <c r="AN280" s="99">
        <f t="shared" si="2"/>
        <v>7.6724999999999988E-3</v>
      </c>
      <c r="AO280" s="99">
        <f t="shared" si="2"/>
        <v>9.80375E-3</v>
      </c>
      <c r="AP280" s="99">
        <f t="shared" si="2"/>
        <v>9.3150000000000004E-3</v>
      </c>
      <c r="AQ280" s="99">
        <f t="shared" si="2"/>
        <v>1.8550000000000003E-3</v>
      </c>
      <c r="AR280" s="99">
        <f t="shared" si="5"/>
        <v>7.6724999999999988E-3</v>
      </c>
      <c r="AS280" s="99">
        <f t="shared" si="5"/>
        <v>9.80375E-3</v>
      </c>
      <c r="AT280" s="99">
        <f t="shared" si="5"/>
        <v>9.3150000000000004E-3</v>
      </c>
      <c r="AU280" s="99">
        <f t="shared" si="5"/>
        <v>1.8550000000000003E-3</v>
      </c>
      <c r="AV280" s="99">
        <f t="shared" si="5"/>
        <v>7.6724999999999988E-3</v>
      </c>
      <c r="AW280" s="99">
        <f t="shared" si="5"/>
        <v>9.80375E-3</v>
      </c>
      <c r="AX280" s="99">
        <f t="shared" si="5"/>
        <v>9.3150000000000004E-3</v>
      </c>
      <c r="AY280" s="99">
        <f t="shared" si="4"/>
        <v>1.8550000000000003E-3</v>
      </c>
    </row>
    <row r="281" spans="3:51" customFormat="1" x14ac:dyDescent="0.2">
      <c r="C281" s="107" t="s">
        <v>528</v>
      </c>
      <c r="D281" s="129" t="s">
        <v>748</v>
      </c>
      <c r="E281" s="107" t="s">
        <v>631</v>
      </c>
      <c r="F281" s="107" t="s">
        <v>749</v>
      </c>
      <c r="G281" s="109" t="s">
        <v>633</v>
      </c>
      <c r="H281" s="130">
        <v>6.5700000000000003E-3</v>
      </c>
      <c r="I281" s="130">
        <v>1.065E-2</v>
      </c>
      <c r="J281" s="130">
        <v>1.027E-2</v>
      </c>
      <c r="K281" s="130">
        <v>2.3740000000000001E-2</v>
      </c>
      <c r="L281" s="130">
        <v>-1.17E-3</v>
      </c>
      <c r="M281" s="130">
        <v>1.272E-2</v>
      </c>
      <c r="N281" s="130">
        <v>2.2669999999999999E-2</v>
      </c>
      <c r="O281" s="130">
        <v>2.3780000000000003E-2</v>
      </c>
      <c r="P281" s="130">
        <v>2.6700000000000002E-2</v>
      </c>
      <c r="Q281" s="130">
        <v>5.3680000000000005E-2</v>
      </c>
      <c r="R281" s="130">
        <v>3.3010000000000005E-2</v>
      </c>
      <c r="S281" s="130">
        <v>6.2579999999999997E-2</v>
      </c>
      <c r="T281" s="130">
        <v>0.12560000000000002</v>
      </c>
      <c r="U281" s="130">
        <v>7.6689999999999994E-2</v>
      </c>
      <c r="V281" s="130">
        <v>6.6170000000000007E-2</v>
      </c>
      <c r="W281" s="130">
        <v>4.2229999999999997E-2</v>
      </c>
      <c r="X281" s="130">
        <v>0.11180999999999999</v>
      </c>
      <c r="Y281" s="130">
        <v>4.7130000000000005E-2</v>
      </c>
      <c r="Z281" s="130">
        <v>3.9329999999999997E-2</v>
      </c>
      <c r="AA281" s="130">
        <v>3.6080000000000001E-2</v>
      </c>
      <c r="AB281" s="130">
        <v>3.3550000000000003E-2</v>
      </c>
      <c r="AC281" s="130">
        <v>3.4950000000000002E-2</v>
      </c>
      <c r="AD281" s="130">
        <v>1.5260000000000001E-2</v>
      </c>
      <c r="AE281" s="130">
        <v>3.4680000000000002E-2</v>
      </c>
      <c r="AF281" s="130">
        <v>4.24E-2</v>
      </c>
      <c r="AG281" s="130">
        <v>2.537E-2</v>
      </c>
      <c r="AH281" s="130">
        <v>2.4049999999999998E-2</v>
      </c>
      <c r="AI281" s="130">
        <v>2.3170000000000003E-2</v>
      </c>
      <c r="AJ281" s="130">
        <v>3.7600000000000001E-2</v>
      </c>
      <c r="AK281" s="130">
        <v>2.3559999999999998E-2</v>
      </c>
      <c r="AL281" s="130">
        <v>2.2000000000000002E-2</v>
      </c>
      <c r="AM281" s="130">
        <v>1.916E-2</v>
      </c>
      <c r="AN281" s="99">
        <f t="shared" si="2"/>
        <v>4.7882500000000001E-2</v>
      </c>
      <c r="AO281" s="99">
        <f t="shared" si="2"/>
        <v>3.559375E-2</v>
      </c>
      <c r="AP281" s="99">
        <f t="shared" si="2"/>
        <v>2.9095000000000003E-2</v>
      </c>
      <c r="AQ281" s="99">
        <f t="shared" si="2"/>
        <v>3.3177499999999999E-2</v>
      </c>
      <c r="AR281" s="99">
        <f t="shared" si="5"/>
        <v>4.7882500000000001E-2</v>
      </c>
      <c r="AS281" s="99">
        <f t="shared" si="5"/>
        <v>3.559375E-2</v>
      </c>
      <c r="AT281" s="99">
        <f t="shared" si="5"/>
        <v>2.9095000000000003E-2</v>
      </c>
      <c r="AU281" s="99">
        <f t="shared" si="5"/>
        <v>3.3177499999999999E-2</v>
      </c>
      <c r="AV281" s="99">
        <f t="shared" si="5"/>
        <v>4.7882500000000001E-2</v>
      </c>
      <c r="AW281" s="99">
        <f t="shared" si="5"/>
        <v>3.559375E-2</v>
      </c>
      <c r="AX281" s="99">
        <f t="shared" si="5"/>
        <v>2.9095000000000003E-2</v>
      </c>
      <c r="AY281" s="99">
        <f t="shared" si="4"/>
        <v>3.3177499999999999E-2</v>
      </c>
    </row>
    <row r="282" spans="3:51" customFormat="1" x14ac:dyDescent="0.2">
      <c r="C282" s="107" t="s">
        <v>530</v>
      </c>
      <c r="D282" s="129" t="s">
        <v>748</v>
      </c>
      <c r="E282" s="107" t="s">
        <v>631</v>
      </c>
      <c r="F282" s="107" t="s">
        <v>749</v>
      </c>
      <c r="G282" s="109" t="s">
        <v>633</v>
      </c>
      <c r="H282" s="130">
        <v>4.4020000000000004E-2</v>
      </c>
      <c r="I282" s="130">
        <v>7.2220000000000006E-2</v>
      </c>
      <c r="J282" s="130">
        <v>5.5090000000000007E-2</v>
      </c>
      <c r="K282" s="130">
        <v>8.4899999999999993E-3</v>
      </c>
      <c r="L282" s="130">
        <v>5.314E-2</v>
      </c>
      <c r="M282" s="130">
        <v>8.1379999999999994E-2</v>
      </c>
      <c r="N282" s="130">
        <v>0.13662000000000002</v>
      </c>
      <c r="O282" s="130">
        <v>3.5970000000000002E-2</v>
      </c>
      <c r="P282" s="130">
        <v>5.4460000000000001E-2</v>
      </c>
      <c r="Q282" s="130">
        <v>9.5710000000000003E-2</v>
      </c>
      <c r="R282" s="130">
        <v>0.1045</v>
      </c>
      <c r="S282" s="130">
        <v>4.6360000000000005E-2</v>
      </c>
      <c r="T282" s="130">
        <v>5.3220000000000003E-2</v>
      </c>
      <c r="U282" s="130">
        <v>7.7759999999999996E-2</v>
      </c>
      <c r="V282" s="130">
        <v>8.1280000000000005E-2</v>
      </c>
      <c r="W282" s="130">
        <v>4.8829999999999998E-2</v>
      </c>
      <c r="X282" s="130">
        <v>4.6360000000000005E-2</v>
      </c>
      <c r="Y282" s="130">
        <v>2.9270000000000001E-2</v>
      </c>
      <c r="Z282" s="130">
        <v>4.2470000000000001E-2</v>
      </c>
      <c r="AA282" s="130">
        <v>3.9150000000000004E-2</v>
      </c>
      <c r="AB282" s="130">
        <v>2.8250000000000001E-2</v>
      </c>
      <c r="AC282" s="130">
        <v>2.5530000000000001E-2</v>
      </c>
      <c r="AD282" s="130">
        <v>3.576E-2</v>
      </c>
      <c r="AE282" s="130">
        <v>1.409E-2</v>
      </c>
      <c r="AF282" s="130">
        <v>2.2410000000000003E-2</v>
      </c>
      <c r="AG282" s="130">
        <v>3.5439999999999999E-2</v>
      </c>
      <c r="AH282" s="130">
        <v>4.2670000000000007E-2</v>
      </c>
      <c r="AI282" s="130">
        <v>5.3400000000000001E-3</v>
      </c>
      <c r="AJ282" s="130">
        <v>1.226E-2</v>
      </c>
      <c r="AK282" s="130">
        <v>3.5230000000000004E-2</v>
      </c>
      <c r="AL282" s="130">
        <v>4.342E-2</v>
      </c>
      <c r="AM282" s="130">
        <v>6.3E-3</v>
      </c>
      <c r="AN282" s="99">
        <f t="shared" si="2"/>
        <v>3.9265000000000008E-2</v>
      </c>
      <c r="AO282" s="99">
        <f t="shared" si="2"/>
        <v>5.6567500000000007E-2</v>
      </c>
      <c r="AP282" s="99">
        <f t="shared" si="2"/>
        <v>6.7726250000000002E-2</v>
      </c>
      <c r="AQ282" s="99">
        <f t="shared" ref="AQ282:AQ319" si="6">AVERAGE(AM282,AI282,AA282,W282,S282,O282,AE282,K282)</f>
        <v>2.5566249999999999E-2</v>
      </c>
      <c r="AR282" s="99">
        <f t="shared" si="5"/>
        <v>3.9265000000000008E-2</v>
      </c>
      <c r="AS282" s="99">
        <f t="shared" si="5"/>
        <v>5.6567500000000007E-2</v>
      </c>
      <c r="AT282" s="99">
        <f t="shared" si="5"/>
        <v>6.7726250000000002E-2</v>
      </c>
      <c r="AU282" s="99">
        <f t="shared" si="5"/>
        <v>2.5566249999999999E-2</v>
      </c>
      <c r="AV282" s="99">
        <f t="shared" si="5"/>
        <v>3.9265000000000008E-2</v>
      </c>
      <c r="AW282" s="99">
        <f t="shared" si="5"/>
        <v>5.6567500000000007E-2</v>
      </c>
      <c r="AX282" s="99">
        <f t="shared" si="5"/>
        <v>6.7726250000000002E-2</v>
      </c>
      <c r="AY282" s="99">
        <f t="shared" si="4"/>
        <v>2.5566249999999999E-2</v>
      </c>
    </row>
    <row r="283" spans="3:51" customFormat="1" x14ac:dyDescent="0.2">
      <c r="C283" s="107" t="s">
        <v>534</v>
      </c>
      <c r="D283" s="129" t="s">
        <v>748</v>
      </c>
      <c r="E283" s="107" t="s">
        <v>631</v>
      </c>
      <c r="F283" s="107" t="s">
        <v>749</v>
      </c>
      <c r="G283" s="109" t="s">
        <v>633</v>
      </c>
      <c r="H283" s="130">
        <v>2.9660000000000002E-2</v>
      </c>
      <c r="I283" s="130">
        <v>6.157E-2</v>
      </c>
      <c r="J283" s="130">
        <v>1.24E-3</v>
      </c>
      <c r="K283" s="130">
        <v>6.0299999999999998E-3</v>
      </c>
      <c r="L283" s="130">
        <v>3.0290000000000001E-2</v>
      </c>
      <c r="M283" s="130">
        <v>0.04</v>
      </c>
      <c r="N283" s="130">
        <v>1.821E-2</v>
      </c>
      <c r="O283" s="130">
        <v>2.6010000000000002E-2</v>
      </c>
      <c r="P283" s="130">
        <v>7.0940000000000003E-2</v>
      </c>
      <c r="Q283" s="130">
        <v>0.13528000000000001</v>
      </c>
      <c r="R283" s="130">
        <v>7.6260000000000008E-2</v>
      </c>
      <c r="S283" s="130">
        <v>0.13372999999999999</v>
      </c>
      <c r="T283" s="130">
        <v>8.541E-2</v>
      </c>
      <c r="U283" s="130">
        <v>7.2039999999999993E-2</v>
      </c>
      <c r="V283" s="130">
        <v>6.4349999999999991E-2</v>
      </c>
      <c r="W283" s="130">
        <v>3.3480000000000003E-2</v>
      </c>
      <c r="X283" s="130">
        <v>5.2949999999999997E-2</v>
      </c>
      <c r="Y283" s="130">
        <v>6.719E-2</v>
      </c>
      <c r="Z283" s="130">
        <v>4.1369999999999997E-2</v>
      </c>
      <c r="AA283" s="130">
        <v>5.0930000000000003E-2</v>
      </c>
      <c r="AB283" s="130">
        <v>5.3090000000000005E-2</v>
      </c>
      <c r="AC283" s="130">
        <v>2.1219999999999999E-2</v>
      </c>
      <c r="AD283" s="130">
        <v>-1.7909999999999999E-2</v>
      </c>
      <c r="AE283" s="130">
        <v>8.77E-3</v>
      </c>
      <c r="AF283" s="130">
        <v>4.761E-2</v>
      </c>
      <c r="AG283" s="130">
        <v>3.0750000000000003E-2</v>
      </c>
      <c r="AH283" s="130">
        <v>6.4000000000000005E-4</v>
      </c>
      <c r="AI283" s="130">
        <v>1.089E-2</v>
      </c>
      <c r="AJ283" s="130">
        <v>2.0539999999999999E-2</v>
      </c>
      <c r="AK283" s="130">
        <v>3.1359999999999999E-2</v>
      </c>
      <c r="AL283" s="130">
        <v>1.33E-3</v>
      </c>
      <c r="AM283" s="130">
        <v>1.1240000000000002E-2</v>
      </c>
      <c r="AN283" s="99">
        <f t="shared" ref="AN283:AP319" si="7">AVERAGE(AJ283,AF283,X283,T283,P283,L283,AB283,H283)</f>
        <v>4.881125E-2</v>
      </c>
      <c r="AO283" s="99">
        <f t="shared" si="7"/>
        <v>5.7426250000000005E-2</v>
      </c>
      <c r="AP283" s="99">
        <f t="shared" si="7"/>
        <v>2.3186249999999999E-2</v>
      </c>
      <c r="AQ283" s="99">
        <f t="shared" si="6"/>
        <v>3.5135E-2</v>
      </c>
      <c r="AR283" s="99">
        <f t="shared" si="5"/>
        <v>4.881125E-2</v>
      </c>
      <c r="AS283" s="99">
        <f t="shared" si="5"/>
        <v>5.7426250000000005E-2</v>
      </c>
      <c r="AT283" s="99">
        <f t="shared" si="5"/>
        <v>2.3186249999999999E-2</v>
      </c>
      <c r="AU283" s="99">
        <f t="shared" si="5"/>
        <v>3.5135E-2</v>
      </c>
      <c r="AV283" s="99">
        <f t="shared" si="5"/>
        <v>4.881125E-2</v>
      </c>
      <c r="AW283" s="99">
        <f t="shared" si="5"/>
        <v>5.7426250000000005E-2</v>
      </c>
      <c r="AX283" s="99">
        <f t="shared" si="5"/>
        <v>2.3186249999999999E-2</v>
      </c>
      <c r="AY283" s="99">
        <f t="shared" si="4"/>
        <v>3.5135E-2</v>
      </c>
    </row>
    <row r="284" spans="3:51" customFormat="1" x14ac:dyDescent="0.2">
      <c r="C284" s="107" t="s">
        <v>682</v>
      </c>
      <c r="D284" s="129" t="s">
        <v>748</v>
      </c>
      <c r="E284" s="107" t="s">
        <v>631</v>
      </c>
      <c r="F284" s="107" t="s">
        <v>749</v>
      </c>
      <c r="G284" s="109" t="s">
        <v>633</v>
      </c>
      <c r="H284" s="130">
        <v>4.7660000000000001E-2</v>
      </c>
      <c r="I284" s="130">
        <v>6.2850000000000003E-2</v>
      </c>
      <c r="J284" s="130">
        <v>0.12239000000000001</v>
      </c>
      <c r="K284" s="130">
        <v>0.15396000000000001</v>
      </c>
      <c r="L284" s="130">
        <v>7.3010000000000005E-2</v>
      </c>
      <c r="M284" s="130">
        <v>6.480000000000001E-2</v>
      </c>
      <c r="N284" s="130">
        <v>8.8409999999999989E-2</v>
      </c>
      <c r="O284" s="130">
        <v>9.8849999999999993E-2</v>
      </c>
      <c r="P284" s="130">
        <v>6.2619999999999995E-2</v>
      </c>
      <c r="Q284" s="130">
        <v>0.12172000000000001</v>
      </c>
      <c r="R284" s="130">
        <v>0.15986</v>
      </c>
      <c r="S284" s="130">
        <v>7.3400000000000007E-2</v>
      </c>
      <c r="T284" s="130">
        <v>9.4960000000000003E-2</v>
      </c>
      <c r="U284" s="130">
        <v>0.10423</v>
      </c>
      <c r="V284" s="130">
        <v>7.5370000000000006E-2</v>
      </c>
      <c r="W284" s="130">
        <v>7.3200000000000001E-2</v>
      </c>
      <c r="X284" s="130">
        <v>6.3109999999999999E-2</v>
      </c>
      <c r="Y284" s="130">
        <v>6.9970000000000004E-2</v>
      </c>
      <c r="Z284" s="130">
        <v>7.8509999999999996E-2</v>
      </c>
      <c r="AA284" s="130">
        <v>8.2289999999999988E-2</v>
      </c>
      <c r="AB284" s="130">
        <v>7.8850000000000003E-2</v>
      </c>
      <c r="AC284" s="130">
        <v>0.10382999999999999</v>
      </c>
      <c r="AD284" s="130">
        <v>0.10942</v>
      </c>
      <c r="AE284" s="130">
        <v>6.3520000000000007E-2</v>
      </c>
      <c r="AF284" s="130">
        <v>7.0669999999999997E-2</v>
      </c>
      <c r="AG284" s="130">
        <v>7.6159999999999992E-2</v>
      </c>
      <c r="AH284" s="130">
        <v>8.8610000000000008E-2</v>
      </c>
      <c r="AI284" s="130">
        <v>8.3019999999999997E-2</v>
      </c>
      <c r="AJ284" s="130">
        <v>4.9749999999999996E-2</v>
      </c>
      <c r="AK284" s="130">
        <v>7.400000000000001E-2</v>
      </c>
      <c r="AL284" s="130">
        <v>8.0559999999999993E-2</v>
      </c>
      <c r="AM284" s="130">
        <v>6.9850000000000009E-2</v>
      </c>
      <c r="AN284" s="99">
        <f t="shared" si="7"/>
        <v>6.7578750000000007E-2</v>
      </c>
      <c r="AO284" s="99">
        <f t="shared" si="7"/>
        <v>8.4694999999999993E-2</v>
      </c>
      <c r="AP284" s="99">
        <f t="shared" si="7"/>
        <v>0.10039125</v>
      </c>
      <c r="AQ284" s="99">
        <f t="shared" si="6"/>
        <v>8.7261249999999999E-2</v>
      </c>
      <c r="AR284" s="99">
        <f t="shared" si="5"/>
        <v>6.7578750000000007E-2</v>
      </c>
      <c r="AS284" s="99">
        <f t="shared" si="5"/>
        <v>8.4694999999999993E-2</v>
      </c>
      <c r="AT284" s="99">
        <f t="shared" si="5"/>
        <v>0.10039125</v>
      </c>
      <c r="AU284" s="99">
        <f t="shared" si="5"/>
        <v>8.7261249999999999E-2</v>
      </c>
      <c r="AV284" s="99">
        <f t="shared" si="5"/>
        <v>6.7578750000000007E-2</v>
      </c>
      <c r="AW284" s="99">
        <f t="shared" si="5"/>
        <v>8.4694999999999993E-2</v>
      </c>
      <c r="AX284" s="99">
        <f t="shared" si="5"/>
        <v>0.10039125</v>
      </c>
      <c r="AY284" s="99">
        <f t="shared" si="4"/>
        <v>8.7261249999999999E-2</v>
      </c>
    </row>
    <row r="285" spans="3:51" customFormat="1" x14ac:dyDescent="0.2">
      <c r="C285" s="107" t="s">
        <v>541</v>
      </c>
      <c r="D285" s="129" t="s">
        <v>748</v>
      </c>
      <c r="E285" s="107" t="s">
        <v>631</v>
      </c>
      <c r="F285" s="107" t="s">
        <v>749</v>
      </c>
      <c r="G285" s="109" t="s">
        <v>633</v>
      </c>
      <c r="H285" s="130">
        <v>7.6400000000000001E-3</v>
      </c>
      <c r="I285" s="130">
        <v>-1.0109999999999999E-2</v>
      </c>
      <c r="J285" s="130">
        <v>-3.2000000000000003E-4</v>
      </c>
      <c r="K285" s="130">
        <v>1.468E-2</v>
      </c>
      <c r="L285" s="130">
        <v>3.4599999999999999E-2</v>
      </c>
      <c r="M285" s="130">
        <v>9.1200000000000014E-3</v>
      </c>
      <c r="N285" s="130">
        <v>1.5970000000000002E-2</v>
      </c>
      <c r="O285" s="130">
        <v>7.1199999999999996E-3</v>
      </c>
      <c r="P285" s="130">
        <v>1.796E-2</v>
      </c>
      <c r="Q285" s="130">
        <v>1.1859999999999999E-2</v>
      </c>
      <c r="R285" s="130">
        <v>1.2580000000000001E-2</v>
      </c>
      <c r="S285" s="130">
        <v>5.6000000000000006E-4</v>
      </c>
      <c r="T285" s="130">
        <v>3.9220000000000005E-2</v>
      </c>
      <c r="U285" s="130">
        <v>-1.6289999999999999E-2</v>
      </c>
      <c r="V285" s="130">
        <v>1.2700000000000001E-2</v>
      </c>
      <c r="W285" s="130">
        <v>4.6300000000000004E-3</v>
      </c>
      <c r="X285" s="130">
        <v>6.6000000000000008E-3</v>
      </c>
      <c r="Y285" s="130">
        <v>9.1500000000000001E-3</v>
      </c>
      <c r="Z285" s="130">
        <v>1.3440000000000001E-2</v>
      </c>
      <c r="AA285" s="130">
        <v>-1.5399999999999999E-3</v>
      </c>
      <c r="AB285" s="130">
        <v>6.2E-4</v>
      </c>
      <c r="AC285" s="130">
        <v>-4.3200000000000001E-3</v>
      </c>
      <c r="AD285" s="130">
        <v>-3.0999999999999999E-3</v>
      </c>
      <c r="AE285" s="130">
        <v>3.006E-2</v>
      </c>
      <c r="AF285" s="130">
        <v>-3.7000000000000002E-3</v>
      </c>
      <c r="AG285" s="130">
        <v>1.3600000000000001E-3</v>
      </c>
      <c r="AH285" s="130">
        <v>9.58E-3</v>
      </c>
      <c r="AI285" s="130">
        <v>4.5500000000000002E-3</v>
      </c>
      <c r="AJ285" s="130">
        <v>1.383E-2</v>
      </c>
      <c r="AK285" s="130">
        <v>1.1800000000000001E-3</v>
      </c>
      <c r="AL285" s="130">
        <v>9.7400000000000004E-3</v>
      </c>
      <c r="AM285" s="130">
        <v>4.7699999999999999E-3</v>
      </c>
      <c r="AN285" s="99">
        <f t="shared" si="7"/>
        <v>1.4596249999999998E-2</v>
      </c>
      <c r="AO285" s="99">
        <f t="shared" si="7"/>
        <v>2.4375000000000026E-4</v>
      </c>
      <c r="AP285" s="99">
        <f t="shared" si="7"/>
        <v>8.82375E-3</v>
      </c>
      <c r="AQ285" s="99">
        <f t="shared" si="6"/>
        <v>8.1037499999999998E-3</v>
      </c>
      <c r="AR285" s="99">
        <f t="shared" si="5"/>
        <v>1.4596249999999998E-2</v>
      </c>
      <c r="AS285" s="99">
        <f t="shared" si="5"/>
        <v>2.4375000000000026E-4</v>
      </c>
      <c r="AT285" s="99">
        <f t="shared" si="5"/>
        <v>8.82375E-3</v>
      </c>
      <c r="AU285" s="99">
        <f t="shared" si="5"/>
        <v>8.1037499999999998E-3</v>
      </c>
      <c r="AV285" s="99">
        <f t="shared" si="5"/>
        <v>1.4596249999999998E-2</v>
      </c>
      <c r="AW285" s="99">
        <f t="shared" si="5"/>
        <v>2.4375000000000026E-4</v>
      </c>
      <c r="AX285" s="99">
        <f t="shared" si="5"/>
        <v>8.82375E-3</v>
      </c>
      <c r="AY285" s="99">
        <f t="shared" si="4"/>
        <v>8.1037499999999998E-3</v>
      </c>
    </row>
    <row r="286" spans="3:51" customFormat="1" x14ac:dyDescent="0.2">
      <c r="C286" s="107" t="s">
        <v>543</v>
      </c>
      <c r="D286" s="129" t="s">
        <v>748</v>
      </c>
      <c r="E286" s="107" t="s">
        <v>631</v>
      </c>
      <c r="F286" s="107" t="s">
        <v>749</v>
      </c>
      <c r="G286" s="109" t="s">
        <v>633</v>
      </c>
      <c r="H286" s="130">
        <v>-4.15E-3</v>
      </c>
      <c r="I286" s="130">
        <v>-3.4100000000000003E-3</v>
      </c>
      <c r="J286" s="130">
        <v>0</v>
      </c>
      <c r="K286" s="130">
        <v>7.6000000000000004E-4</v>
      </c>
      <c r="L286" s="130">
        <v>1.5200000000000001E-3</v>
      </c>
      <c r="M286" s="130">
        <v>1.099E-2</v>
      </c>
      <c r="N286" s="130">
        <v>8.6200000000000009E-3</v>
      </c>
      <c r="O286" s="130">
        <v>3.7200000000000002E-3</v>
      </c>
      <c r="P286" s="130">
        <v>1.0369999999999999E-2</v>
      </c>
      <c r="Q286" s="130">
        <v>1.8690000000000002E-2</v>
      </c>
      <c r="R286" s="130">
        <v>1.4030000000000001E-2</v>
      </c>
      <c r="S286" s="130">
        <v>8.5100000000000002E-3</v>
      </c>
      <c r="T286" s="130">
        <v>9.4999999999999998E-3</v>
      </c>
      <c r="U286" s="130">
        <v>1.3240000000000002E-2</v>
      </c>
      <c r="V286" s="130">
        <v>6.8799999999999998E-3</v>
      </c>
      <c r="W286" s="130">
        <v>3.0699999999999998E-3</v>
      </c>
      <c r="X286" s="130">
        <v>3.0600000000000002E-3</v>
      </c>
      <c r="Y286" s="130">
        <v>1.494E-2</v>
      </c>
      <c r="Z286" s="130">
        <v>1.2709999999999999E-2</v>
      </c>
      <c r="AA286" s="130">
        <v>2.97E-3</v>
      </c>
      <c r="AB286" s="130">
        <v>4.28E-3</v>
      </c>
      <c r="AC286" s="130">
        <v>1.311E-2</v>
      </c>
      <c r="AD286" s="130">
        <v>7.4400000000000004E-3</v>
      </c>
      <c r="AE286" s="130">
        <v>0</v>
      </c>
      <c r="AF286" s="130">
        <v>2.2100000000000002E-3</v>
      </c>
      <c r="AG286" s="130">
        <v>1.2130000000000002E-2</v>
      </c>
      <c r="AH286" s="130">
        <v>7.5100000000000002E-3</v>
      </c>
      <c r="AI286" s="130">
        <v>3.1199999999999999E-3</v>
      </c>
      <c r="AJ286" s="130">
        <v>5.5000000000000003E-4</v>
      </c>
      <c r="AK286" s="130">
        <v>1.129E-2</v>
      </c>
      <c r="AL286" s="130">
        <v>6.3300000000000006E-3</v>
      </c>
      <c r="AM286" s="130">
        <v>2.2300000000000002E-3</v>
      </c>
      <c r="AN286" s="99">
        <f t="shared" si="7"/>
        <v>3.4174999999999995E-3</v>
      </c>
      <c r="AO286" s="99">
        <f t="shared" si="7"/>
        <v>1.1372500000000001E-2</v>
      </c>
      <c r="AP286" s="99">
        <f t="shared" si="7"/>
        <v>7.9400000000000009E-3</v>
      </c>
      <c r="AQ286" s="99">
        <f t="shared" si="6"/>
        <v>3.0475000000000003E-3</v>
      </c>
      <c r="AR286" s="99">
        <f t="shared" si="5"/>
        <v>3.4174999999999995E-3</v>
      </c>
      <c r="AS286" s="99">
        <f t="shared" si="5"/>
        <v>1.1372500000000001E-2</v>
      </c>
      <c r="AT286" s="99">
        <f t="shared" si="5"/>
        <v>7.9400000000000009E-3</v>
      </c>
      <c r="AU286" s="99">
        <f t="shared" si="5"/>
        <v>3.0475000000000003E-3</v>
      </c>
      <c r="AV286" s="99">
        <f t="shared" si="5"/>
        <v>3.4174999999999995E-3</v>
      </c>
      <c r="AW286" s="99">
        <f t="shared" si="5"/>
        <v>1.1372500000000001E-2</v>
      </c>
      <c r="AX286" s="99">
        <f t="shared" si="5"/>
        <v>7.9400000000000009E-3</v>
      </c>
      <c r="AY286" s="99">
        <f t="shared" si="4"/>
        <v>3.0475000000000003E-3</v>
      </c>
    </row>
    <row r="287" spans="3:51" customFormat="1" x14ac:dyDescent="0.2">
      <c r="C287" s="107" t="s">
        <v>546</v>
      </c>
      <c r="D287" s="129" t="s">
        <v>748</v>
      </c>
      <c r="E287" s="107" t="s">
        <v>631</v>
      </c>
      <c r="F287" s="107" t="s">
        <v>749</v>
      </c>
      <c r="G287" s="109" t="s">
        <v>633</v>
      </c>
      <c r="H287" s="130">
        <v>3.32E-3</v>
      </c>
      <c r="I287" s="130">
        <v>-1.0480000000000001E-2</v>
      </c>
      <c r="J287" s="130">
        <v>1E-3</v>
      </c>
      <c r="K287" s="130">
        <v>5.2100000000000002E-3</v>
      </c>
      <c r="L287" s="130">
        <v>4.9700000000000005E-3</v>
      </c>
      <c r="M287" s="130">
        <v>4.3E-3</v>
      </c>
      <c r="N287" s="130">
        <v>4.3800000000000002E-3</v>
      </c>
      <c r="O287" s="130">
        <v>4.9399999999999999E-3</v>
      </c>
      <c r="P287" s="130">
        <v>9.1400000000000006E-3</v>
      </c>
      <c r="Q287" s="130">
        <v>2.4820000000000002E-2</v>
      </c>
      <c r="R287" s="130">
        <v>1.38E-2</v>
      </c>
      <c r="S287" s="130">
        <v>1.0999999999999999E-4</v>
      </c>
      <c r="T287" s="130">
        <v>6.9000000000000008E-4</v>
      </c>
      <c r="U287" s="130">
        <v>5.4600000000000004E-3</v>
      </c>
      <c r="V287" s="130">
        <v>3.6600000000000001E-3</v>
      </c>
      <c r="W287" s="130">
        <v>4.3499999999999997E-3</v>
      </c>
      <c r="X287" s="130">
        <v>3.6099999999999999E-3</v>
      </c>
      <c r="Y287" s="130">
        <v>4.47E-3</v>
      </c>
      <c r="Z287" s="130">
        <v>3.47E-3</v>
      </c>
      <c r="AA287" s="130">
        <v>1.32E-3</v>
      </c>
      <c r="AB287" s="130">
        <v>1.0789999999999999E-2</v>
      </c>
      <c r="AC287" s="130">
        <v>3.7300000000000002E-3</v>
      </c>
      <c r="AD287" s="130">
        <v>-1E-4</v>
      </c>
      <c r="AE287" s="130">
        <v>8.0000000000000004E-4</v>
      </c>
      <c r="AF287" s="130">
        <v>1.0120000000000001E-2</v>
      </c>
      <c r="AG287" s="130">
        <v>7.0599999999999994E-3</v>
      </c>
      <c r="AH287" s="130">
        <v>5.6599999999999992E-3</v>
      </c>
      <c r="AI287" s="130">
        <v>3.7000000000000002E-3</v>
      </c>
      <c r="AJ287" s="130">
        <v>4.4299999999999999E-3</v>
      </c>
      <c r="AK287" s="130">
        <v>6.96E-3</v>
      </c>
      <c r="AL287" s="130">
        <v>5.4200000000000003E-3</v>
      </c>
      <c r="AM287" s="130">
        <v>3.6800000000000001E-3</v>
      </c>
      <c r="AN287" s="99">
        <f t="shared" si="7"/>
        <v>5.8837500000000001E-3</v>
      </c>
      <c r="AO287" s="99">
        <f t="shared" si="7"/>
        <v>5.7899999999999991E-3</v>
      </c>
      <c r="AP287" s="99">
        <f t="shared" si="7"/>
        <v>4.6612499999999996E-3</v>
      </c>
      <c r="AQ287" s="99">
        <f t="shared" si="6"/>
        <v>3.0137499999999995E-3</v>
      </c>
      <c r="AR287" s="99">
        <f t="shared" si="5"/>
        <v>5.8837500000000001E-3</v>
      </c>
      <c r="AS287" s="99">
        <f t="shared" si="5"/>
        <v>5.7899999999999991E-3</v>
      </c>
      <c r="AT287" s="99">
        <f t="shared" si="5"/>
        <v>4.6612499999999996E-3</v>
      </c>
      <c r="AU287" s="99">
        <f t="shared" si="5"/>
        <v>3.0137499999999995E-3</v>
      </c>
      <c r="AV287" s="99">
        <f t="shared" si="5"/>
        <v>5.8837500000000001E-3</v>
      </c>
      <c r="AW287" s="99">
        <f t="shared" si="5"/>
        <v>5.7899999999999991E-3</v>
      </c>
      <c r="AX287" s="99">
        <f t="shared" si="5"/>
        <v>4.6612499999999996E-3</v>
      </c>
      <c r="AY287" s="99">
        <f t="shared" si="4"/>
        <v>3.0137499999999995E-3</v>
      </c>
    </row>
    <row r="288" spans="3:51" customFormat="1" x14ac:dyDescent="0.2">
      <c r="C288" s="107" t="s">
        <v>548</v>
      </c>
      <c r="D288" s="129" t="s">
        <v>748</v>
      </c>
      <c r="E288" s="107" t="s">
        <v>631</v>
      </c>
      <c r="F288" s="107" t="s">
        <v>749</v>
      </c>
      <c r="G288" s="109" t="s">
        <v>633</v>
      </c>
      <c r="H288" s="130">
        <v>2.6099999999999998E-2</v>
      </c>
      <c r="I288" s="130">
        <v>3.6740000000000002E-2</v>
      </c>
      <c r="J288" s="130">
        <v>-2.409E-2</v>
      </c>
      <c r="K288" s="130">
        <v>1.396E-2</v>
      </c>
      <c r="L288" s="130">
        <v>3.1220000000000001E-2</v>
      </c>
      <c r="M288" s="130">
        <v>3.8600000000000002E-2</v>
      </c>
      <c r="N288" s="130">
        <v>-1.77E-2</v>
      </c>
      <c r="O288" s="130">
        <v>7.45E-3</v>
      </c>
      <c r="P288" s="130">
        <v>2.4920000000000001E-2</v>
      </c>
      <c r="Q288" s="130">
        <v>5.6440000000000004E-2</v>
      </c>
      <c r="R288" s="130">
        <v>-3.8300000000000001E-3</v>
      </c>
      <c r="S288" s="130">
        <v>1.4239999999999999E-2</v>
      </c>
      <c r="T288" s="130">
        <v>2.2440000000000002E-2</v>
      </c>
      <c r="U288" s="130">
        <v>4.4820000000000006E-2</v>
      </c>
      <c r="V288" s="130">
        <v>-1.3049999999999999E-2</v>
      </c>
      <c r="W288" s="130">
        <v>1.265E-2</v>
      </c>
      <c r="X288" s="130">
        <v>1.7920000000000002E-2</v>
      </c>
      <c r="Y288" s="130">
        <v>3.0790000000000001E-2</v>
      </c>
      <c r="Z288" s="130">
        <v>-2.0270000000000003E-2</v>
      </c>
      <c r="AA288" s="130">
        <v>3.4000000000000002E-4</v>
      </c>
      <c r="AB288" s="130">
        <v>2.4199999999999999E-2</v>
      </c>
      <c r="AC288" s="130">
        <v>3.5099999999999999E-2</v>
      </c>
      <c r="AD288" s="130">
        <v>-1.5570000000000001E-2</v>
      </c>
      <c r="AE288" s="130">
        <v>1.6200000000000001E-3</v>
      </c>
      <c r="AF288" s="130">
        <v>2.3730000000000001E-2</v>
      </c>
      <c r="AG288" s="130">
        <v>3.8109999999999998E-2</v>
      </c>
      <c r="AH288" s="130">
        <v>-1.3680000000000001E-2</v>
      </c>
      <c r="AI288" s="130">
        <v>7.0899999999999999E-3</v>
      </c>
      <c r="AJ288" s="130">
        <v>2.4310000000000002E-2</v>
      </c>
      <c r="AK288" s="130">
        <v>3.8879999999999998E-2</v>
      </c>
      <c r="AL288" s="130">
        <v>-1.3610000000000001E-2</v>
      </c>
      <c r="AM288" s="130">
        <v>6.0699999999999999E-3</v>
      </c>
      <c r="AN288" s="99">
        <f t="shared" si="7"/>
        <v>2.4355000000000002E-2</v>
      </c>
      <c r="AO288" s="99">
        <f t="shared" si="7"/>
        <v>3.9934999999999998E-2</v>
      </c>
      <c r="AP288" s="99">
        <f t="shared" si="7"/>
        <v>-1.5224999999999999E-2</v>
      </c>
      <c r="AQ288" s="99">
        <f t="shared" si="6"/>
        <v>7.9275000000000005E-3</v>
      </c>
      <c r="AR288" s="99">
        <f t="shared" si="5"/>
        <v>2.4355000000000002E-2</v>
      </c>
      <c r="AS288" s="99">
        <f t="shared" si="5"/>
        <v>3.9934999999999998E-2</v>
      </c>
      <c r="AT288" s="99">
        <f t="shared" si="5"/>
        <v>-1.5224999999999999E-2</v>
      </c>
      <c r="AU288" s="99">
        <f t="shared" si="5"/>
        <v>7.9275000000000005E-3</v>
      </c>
      <c r="AV288" s="99">
        <f t="shared" si="5"/>
        <v>2.4355000000000002E-2</v>
      </c>
      <c r="AW288" s="99">
        <f t="shared" si="5"/>
        <v>3.9934999999999998E-2</v>
      </c>
      <c r="AX288" s="99">
        <f t="shared" si="5"/>
        <v>-1.5224999999999999E-2</v>
      </c>
      <c r="AY288" s="99">
        <f t="shared" si="4"/>
        <v>7.9275000000000005E-3</v>
      </c>
    </row>
    <row r="289" spans="3:51" customFormat="1" x14ac:dyDescent="0.2">
      <c r="C289" s="107" t="s">
        <v>550</v>
      </c>
      <c r="D289" s="129" t="s">
        <v>748</v>
      </c>
      <c r="E289" s="107" t="s">
        <v>631</v>
      </c>
      <c r="F289" s="107" t="s">
        <v>749</v>
      </c>
      <c r="G289" s="109" t="s">
        <v>633</v>
      </c>
      <c r="H289" s="130">
        <v>1.3100000000000002E-3</v>
      </c>
      <c r="I289" s="130">
        <v>1.7599999999999998E-3</v>
      </c>
      <c r="J289" s="130">
        <v>1.634E-2</v>
      </c>
      <c r="K289" s="130">
        <v>7.9000000000000008E-3</v>
      </c>
      <c r="L289" s="130">
        <v>4.3299999999999996E-3</v>
      </c>
      <c r="M289" s="130">
        <v>3.3600000000000001E-3</v>
      </c>
      <c r="N289" s="130">
        <v>1.7920000000000002E-2</v>
      </c>
      <c r="O289" s="130">
        <v>1.391E-2</v>
      </c>
      <c r="P289" s="130">
        <v>1.057E-2</v>
      </c>
      <c r="Q289" s="130">
        <v>2.3999999999999998E-3</v>
      </c>
      <c r="R289" s="130">
        <v>1.1180000000000001E-2</v>
      </c>
      <c r="S289" s="130">
        <v>7.4900000000000001E-3</v>
      </c>
      <c r="T289" s="130">
        <v>1.2629999999999999E-2</v>
      </c>
      <c r="U289" s="130">
        <v>5.5700000000000003E-3</v>
      </c>
      <c r="V289" s="130">
        <v>1.1470000000000001E-2</v>
      </c>
      <c r="W289" s="130">
        <v>6.3899999999999998E-3</v>
      </c>
      <c r="X289" s="130">
        <v>8.3999999999999995E-3</v>
      </c>
      <c r="Y289" s="130">
        <v>4.0100000000000005E-3</v>
      </c>
      <c r="Z289" s="130">
        <v>9.8099999999999993E-3</v>
      </c>
      <c r="AA289" s="130">
        <v>1.92E-3</v>
      </c>
      <c r="AB289" s="130">
        <v>8.7299999999999999E-3</v>
      </c>
      <c r="AC289" s="130">
        <v>2.1099999999999999E-3</v>
      </c>
      <c r="AD289" s="130">
        <v>1.119E-2</v>
      </c>
      <c r="AE289" s="130">
        <v>-1.6400000000000002E-3</v>
      </c>
      <c r="AF289" s="130">
        <v>8.2299999999999995E-3</v>
      </c>
      <c r="AG289" s="130">
        <v>2.7400000000000002E-3</v>
      </c>
      <c r="AH289" s="130">
        <v>1.24E-2</v>
      </c>
      <c r="AI289" s="130">
        <v>5.0499999999999998E-3</v>
      </c>
      <c r="AJ289" s="130">
        <v>5.3600000000000002E-3</v>
      </c>
      <c r="AK289" s="130">
        <v>2.5700000000000002E-3</v>
      </c>
      <c r="AL289" s="130">
        <v>1.187E-2</v>
      </c>
      <c r="AM289" s="130">
        <v>4.0300000000000006E-3</v>
      </c>
      <c r="AN289" s="99">
        <f t="shared" si="7"/>
        <v>7.4449999999999994E-3</v>
      </c>
      <c r="AO289" s="99">
        <f t="shared" si="7"/>
        <v>3.0650000000000004E-3</v>
      </c>
      <c r="AP289" s="99">
        <f t="shared" si="7"/>
        <v>1.2772500000000003E-2</v>
      </c>
      <c r="AQ289" s="99">
        <f t="shared" si="6"/>
        <v>5.6312500000000008E-3</v>
      </c>
      <c r="AR289" s="99">
        <f t="shared" si="5"/>
        <v>7.4449999999999994E-3</v>
      </c>
      <c r="AS289" s="99">
        <f t="shared" si="5"/>
        <v>3.0650000000000004E-3</v>
      </c>
      <c r="AT289" s="99">
        <f t="shared" si="5"/>
        <v>1.2772500000000003E-2</v>
      </c>
      <c r="AU289" s="99">
        <f t="shared" si="5"/>
        <v>5.6312500000000008E-3</v>
      </c>
      <c r="AV289" s="99">
        <f t="shared" si="5"/>
        <v>7.4449999999999994E-3</v>
      </c>
      <c r="AW289" s="99">
        <f t="shared" si="5"/>
        <v>3.0650000000000004E-3</v>
      </c>
      <c r="AX289" s="99">
        <f t="shared" si="5"/>
        <v>1.2772500000000003E-2</v>
      </c>
      <c r="AY289" s="99">
        <f t="shared" si="4"/>
        <v>5.6312500000000008E-3</v>
      </c>
    </row>
    <row r="290" spans="3:51" customFormat="1" x14ac:dyDescent="0.2">
      <c r="C290" s="107" t="s">
        <v>554</v>
      </c>
      <c r="D290" s="129" t="s">
        <v>748</v>
      </c>
      <c r="E290" s="107" t="s">
        <v>631</v>
      </c>
      <c r="F290" s="107" t="s">
        <v>749</v>
      </c>
      <c r="G290" s="109" t="s">
        <v>633</v>
      </c>
      <c r="H290" s="130">
        <v>8.1600000000000006E-2</v>
      </c>
      <c r="I290" s="130">
        <v>0.47492000000000001</v>
      </c>
      <c r="J290" s="130">
        <v>0.33517000000000002</v>
      </c>
      <c r="K290" s="130">
        <v>0.12106</v>
      </c>
      <c r="L290" s="130">
        <v>0.14932999999999999</v>
      </c>
      <c r="M290" s="130">
        <v>0.23827000000000001</v>
      </c>
      <c r="N290" s="130">
        <v>0.47537999999999997</v>
      </c>
      <c r="O290" s="130">
        <v>0.43054000000000003</v>
      </c>
      <c r="P290" s="130">
        <v>0.22510000000000002</v>
      </c>
      <c r="Q290" s="130">
        <v>0.19634000000000001</v>
      </c>
      <c r="R290" s="130">
        <v>0.25957000000000002</v>
      </c>
      <c r="S290" s="130">
        <v>0.29668</v>
      </c>
      <c r="T290" s="130">
        <v>0.49973999999999996</v>
      </c>
      <c r="U290" s="130">
        <v>0.47148000000000007</v>
      </c>
      <c r="V290" s="130">
        <v>0.14923</v>
      </c>
      <c r="W290" s="130">
        <v>0.20690999999999998</v>
      </c>
      <c r="X290" s="130">
        <v>5.076E-2</v>
      </c>
      <c r="Y290" s="130">
        <v>3.3650000000000006E-2</v>
      </c>
      <c r="Z290" s="130">
        <v>2.5440000000000001E-2</v>
      </c>
      <c r="AA290" s="130">
        <v>4.5110000000000004E-2</v>
      </c>
      <c r="AB290" s="130">
        <v>4.0820000000000002E-2</v>
      </c>
      <c r="AC290" s="130">
        <v>2.3300000000000001E-2</v>
      </c>
      <c r="AD290" s="130">
        <v>2.86E-2</v>
      </c>
      <c r="AE290" s="130">
        <v>4.4999999999999998E-2</v>
      </c>
      <c r="AF290" s="130">
        <v>2.1080000000000002E-2</v>
      </c>
      <c r="AG290" s="130">
        <v>5.2270000000000004E-2</v>
      </c>
      <c r="AH290" s="130">
        <v>3.3110000000000001E-2</v>
      </c>
      <c r="AI290" s="130">
        <v>3.024E-2</v>
      </c>
      <c r="AJ290" s="130">
        <v>2.6800000000000001E-3</v>
      </c>
      <c r="AK290" s="130">
        <v>5.1230000000000005E-2</v>
      </c>
      <c r="AL290" s="130">
        <v>3.2840000000000001E-2</v>
      </c>
      <c r="AM290" s="130">
        <v>2.9910000000000003E-2</v>
      </c>
      <c r="AN290" s="99">
        <f t="shared" si="7"/>
        <v>0.13388875</v>
      </c>
      <c r="AO290" s="99">
        <f t="shared" si="7"/>
        <v>0.19268250000000003</v>
      </c>
      <c r="AP290" s="99">
        <f t="shared" si="7"/>
        <v>0.1674175</v>
      </c>
      <c r="AQ290" s="99">
        <f t="shared" si="6"/>
        <v>0.15068124999999999</v>
      </c>
      <c r="AR290" s="99">
        <f t="shared" si="5"/>
        <v>0.13388875</v>
      </c>
      <c r="AS290" s="99">
        <f t="shared" si="5"/>
        <v>0.19268250000000003</v>
      </c>
      <c r="AT290" s="99">
        <f t="shared" si="5"/>
        <v>0.1674175</v>
      </c>
      <c r="AU290" s="99">
        <f t="shared" si="5"/>
        <v>0.15068124999999999</v>
      </c>
      <c r="AV290" s="99">
        <f t="shared" si="5"/>
        <v>0.13388875</v>
      </c>
      <c r="AW290" s="99">
        <f t="shared" si="5"/>
        <v>0.19268250000000003</v>
      </c>
      <c r="AX290" s="99">
        <f t="shared" si="5"/>
        <v>0.1674175</v>
      </c>
      <c r="AY290" s="99">
        <f t="shared" si="4"/>
        <v>0.15068124999999999</v>
      </c>
    </row>
    <row r="291" spans="3:51" customFormat="1" x14ac:dyDescent="0.2">
      <c r="C291" s="107" t="s">
        <v>568</v>
      </c>
      <c r="D291" s="129" t="s">
        <v>748</v>
      </c>
      <c r="E291" s="107" t="s">
        <v>631</v>
      </c>
      <c r="F291" s="107" t="s">
        <v>749</v>
      </c>
      <c r="G291" s="109" t="s">
        <v>633</v>
      </c>
      <c r="H291" s="130">
        <v>2.8000000000000003E-4</v>
      </c>
      <c r="I291" s="130">
        <v>-2.2000000000000001E-3</v>
      </c>
      <c r="J291" s="130">
        <v>3.5699999999999998E-3</v>
      </c>
      <c r="K291" s="130">
        <v>2.2600000000000003E-3</v>
      </c>
      <c r="L291" s="130">
        <v>-2.32E-3</v>
      </c>
      <c r="M291" s="130">
        <v>1.2110000000000001E-2</v>
      </c>
      <c r="N291" s="130">
        <v>1.58E-3</v>
      </c>
      <c r="O291" s="130">
        <v>1.3779999999999999E-2</v>
      </c>
      <c r="P291" s="130">
        <v>1.2010000000000002E-2</v>
      </c>
      <c r="Q291" s="130">
        <v>3.4430000000000002E-2</v>
      </c>
      <c r="R291" s="130">
        <v>1.7729999999999999E-2</v>
      </c>
      <c r="S291" s="130">
        <v>1.61E-2</v>
      </c>
      <c r="T291" s="130">
        <v>1.9650000000000001E-2</v>
      </c>
      <c r="U291" s="130">
        <v>1.2869999999999999E-2</v>
      </c>
      <c r="V291" s="130">
        <v>-1.4000000000000001E-4</v>
      </c>
      <c r="W291" s="130">
        <v>4.9199999999999999E-3</v>
      </c>
      <c r="X291" s="130">
        <v>-5.8399999999999997E-3</v>
      </c>
      <c r="Y291" s="130">
        <v>1.018E-2</v>
      </c>
      <c r="Z291" s="130">
        <v>1.23E-3</v>
      </c>
      <c r="AA291" s="130">
        <v>1.5200000000000001E-3</v>
      </c>
      <c r="AB291" s="130">
        <v>7.92E-3</v>
      </c>
      <c r="AC291" s="130">
        <v>-5.5800000000000008E-3</v>
      </c>
      <c r="AD291" s="130">
        <v>8.9999999999999992E-5</v>
      </c>
      <c r="AE291" s="130">
        <v>-4.0500000000000006E-3</v>
      </c>
      <c r="AF291" s="130">
        <v>8.94E-3</v>
      </c>
      <c r="AG291" s="130">
        <v>9.8899999999999995E-3</v>
      </c>
      <c r="AH291" s="130">
        <v>3.0899999999999999E-3</v>
      </c>
      <c r="AI291" s="130">
        <v>5.8100000000000001E-3</v>
      </c>
      <c r="AJ291" s="130">
        <v>1.7000000000000001E-4</v>
      </c>
      <c r="AK291" s="130">
        <v>9.4699999999999993E-3</v>
      </c>
      <c r="AL291" s="130">
        <v>2.0699999999999998E-3</v>
      </c>
      <c r="AM291" s="130">
        <v>4.9100000000000003E-3</v>
      </c>
      <c r="AN291" s="99">
        <f t="shared" si="7"/>
        <v>5.1012499999999999E-3</v>
      </c>
      <c r="AO291" s="99">
        <f t="shared" si="7"/>
        <v>1.0146249999999999E-2</v>
      </c>
      <c r="AP291" s="99">
        <f t="shared" si="7"/>
        <v>3.6524999999999999E-3</v>
      </c>
      <c r="AQ291" s="99">
        <f t="shared" si="6"/>
        <v>5.6562499999999998E-3</v>
      </c>
      <c r="AR291" s="99">
        <f t="shared" si="5"/>
        <v>5.1012499999999999E-3</v>
      </c>
      <c r="AS291" s="99">
        <f t="shared" si="5"/>
        <v>1.0146249999999999E-2</v>
      </c>
      <c r="AT291" s="99">
        <f t="shared" si="5"/>
        <v>3.6524999999999999E-3</v>
      </c>
      <c r="AU291" s="99">
        <f t="shared" si="5"/>
        <v>5.6562499999999998E-3</v>
      </c>
      <c r="AV291" s="99">
        <f t="shared" si="5"/>
        <v>5.1012499999999999E-3</v>
      </c>
      <c r="AW291" s="99">
        <f t="shared" si="5"/>
        <v>1.0146249999999999E-2</v>
      </c>
      <c r="AX291" s="99">
        <f t="shared" si="5"/>
        <v>3.6524999999999999E-3</v>
      </c>
      <c r="AY291" s="99">
        <f t="shared" si="4"/>
        <v>5.6562499999999998E-3</v>
      </c>
    </row>
    <row r="292" spans="3:51" customFormat="1" x14ac:dyDescent="0.2">
      <c r="C292" s="107" t="s">
        <v>575</v>
      </c>
      <c r="D292" s="129" t="s">
        <v>748</v>
      </c>
      <c r="E292" s="107" t="s">
        <v>631</v>
      </c>
      <c r="F292" s="107" t="s">
        <v>749</v>
      </c>
      <c r="G292" s="109" t="s">
        <v>633</v>
      </c>
      <c r="H292" s="130">
        <v>2.6030000000000001E-2</v>
      </c>
      <c r="I292" s="130">
        <v>3.0600000000000002E-2</v>
      </c>
      <c r="J292" s="130">
        <v>3.8789999999999998E-2</v>
      </c>
      <c r="K292" s="130">
        <v>4.6500000000000007E-2</v>
      </c>
      <c r="L292" s="130">
        <v>4.7199999999999999E-2</v>
      </c>
      <c r="M292" s="130">
        <v>3.5889999999999998E-2</v>
      </c>
      <c r="N292" s="130">
        <v>3.0699999999999998E-2</v>
      </c>
      <c r="O292" s="130">
        <v>3.4550000000000004E-2</v>
      </c>
      <c r="P292" s="130">
        <v>4.7880000000000006E-2</v>
      </c>
      <c r="Q292" s="130">
        <v>5.3540000000000004E-2</v>
      </c>
      <c r="R292" s="130">
        <v>5.3350000000000002E-2</v>
      </c>
      <c r="S292" s="130">
        <v>4.308E-2</v>
      </c>
      <c r="T292" s="130">
        <v>5.3310000000000003E-2</v>
      </c>
      <c r="U292" s="130">
        <v>5.8270000000000002E-2</v>
      </c>
      <c r="V292" s="130">
        <v>7.9890000000000003E-2</v>
      </c>
      <c r="W292" s="130">
        <v>6.4680000000000001E-2</v>
      </c>
      <c r="X292" s="130">
        <v>8.1709999999999991E-2</v>
      </c>
      <c r="Y292" s="130">
        <v>7.7100000000000002E-2</v>
      </c>
      <c r="Z292" s="130">
        <v>7.0039999999999991E-2</v>
      </c>
      <c r="AA292" s="130">
        <v>7.8270000000000006E-2</v>
      </c>
      <c r="AB292" s="130">
        <v>2.2530000000000001E-2</v>
      </c>
      <c r="AC292" s="130">
        <v>6.8360000000000004E-2</v>
      </c>
      <c r="AD292" s="130">
        <v>4.4119999999999999E-2</v>
      </c>
      <c r="AE292" s="130">
        <v>2.6779999999999998E-2</v>
      </c>
      <c r="AF292" s="130">
        <v>2.1960000000000004E-2</v>
      </c>
      <c r="AG292" s="130">
        <v>2.8670000000000001E-2</v>
      </c>
      <c r="AH292" s="130">
        <v>2.6949999999999998E-2</v>
      </c>
      <c r="AI292" s="130">
        <v>2.1880000000000004E-2</v>
      </c>
      <c r="AJ292" s="130">
        <v>2.7099999999999999E-2</v>
      </c>
      <c r="AK292" s="130">
        <v>2.955E-2</v>
      </c>
      <c r="AL292" s="130">
        <v>2.9239999999999999E-2</v>
      </c>
      <c r="AM292" s="130">
        <v>2.2759999999999999E-2</v>
      </c>
      <c r="AN292" s="99">
        <f t="shared" si="7"/>
        <v>4.0965000000000001E-2</v>
      </c>
      <c r="AO292" s="99">
        <f t="shared" si="7"/>
        <v>4.7747500000000005E-2</v>
      </c>
      <c r="AP292" s="99">
        <f t="shared" si="7"/>
        <v>4.6634999999999996E-2</v>
      </c>
      <c r="AQ292" s="99">
        <f t="shared" si="6"/>
        <v>4.2312500000000003E-2</v>
      </c>
      <c r="AR292" s="99">
        <f t="shared" si="5"/>
        <v>4.0965000000000001E-2</v>
      </c>
      <c r="AS292" s="99">
        <f t="shared" si="5"/>
        <v>4.7747500000000005E-2</v>
      </c>
      <c r="AT292" s="99">
        <f t="shared" si="5"/>
        <v>4.6634999999999996E-2</v>
      </c>
      <c r="AU292" s="99">
        <f t="shared" si="5"/>
        <v>4.2312500000000003E-2</v>
      </c>
      <c r="AV292" s="99">
        <f t="shared" si="5"/>
        <v>4.0965000000000001E-2</v>
      </c>
      <c r="AW292" s="99">
        <f t="shared" si="5"/>
        <v>4.7747500000000005E-2</v>
      </c>
      <c r="AX292" s="99">
        <f t="shared" si="5"/>
        <v>4.6634999999999996E-2</v>
      </c>
      <c r="AY292" s="99">
        <f t="shared" si="4"/>
        <v>4.2312500000000003E-2</v>
      </c>
    </row>
    <row r="293" spans="3:51" customFormat="1" x14ac:dyDescent="0.2">
      <c r="C293" s="107" t="s">
        <v>576</v>
      </c>
      <c r="D293" s="129" t="s">
        <v>748</v>
      </c>
      <c r="E293" s="107" t="s">
        <v>631</v>
      </c>
      <c r="F293" s="107" t="s">
        <v>749</v>
      </c>
      <c r="G293" s="109" t="s">
        <v>633</v>
      </c>
      <c r="H293" s="130">
        <v>-4.4000000000000003E-3</v>
      </c>
      <c r="I293" s="130">
        <v>-6.6200000000000009E-3</v>
      </c>
      <c r="J293" s="130">
        <v>9.5E-4</v>
      </c>
      <c r="K293" s="130">
        <v>-4.7599999999999995E-3</v>
      </c>
      <c r="L293" s="130">
        <v>-6.4000000000000005E-4</v>
      </c>
      <c r="M293" s="130">
        <v>1.9460000000000002E-2</v>
      </c>
      <c r="N293" s="130">
        <v>8.4499999999999992E-3</v>
      </c>
      <c r="O293" s="130">
        <v>8.0700000000000008E-3</v>
      </c>
      <c r="P293" s="130">
        <v>3.6900000000000001E-3</v>
      </c>
      <c r="Q293" s="130">
        <v>6.13E-3</v>
      </c>
      <c r="R293" s="130">
        <v>6.4000000000000003E-3</v>
      </c>
      <c r="S293" s="130">
        <v>5.1500000000000001E-3</v>
      </c>
      <c r="T293" s="130">
        <v>0</v>
      </c>
      <c r="U293" s="130">
        <v>-2.4099999999999998E-3</v>
      </c>
      <c r="V293" s="130">
        <v>4.8300000000000001E-3</v>
      </c>
      <c r="W293" s="130">
        <v>2.66E-3</v>
      </c>
      <c r="X293" s="130">
        <v>-4.0600000000000002E-3</v>
      </c>
      <c r="Y293" s="130">
        <v>3.47E-3</v>
      </c>
      <c r="Z293" s="130">
        <v>8.1200000000000005E-3</v>
      </c>
      <c r="AA293" s="130">
        <v>-1.1000000000000001E-3</v>
      </c>
      <c r="AB293" s="130">
        <v>-2.0399999999999997E-3</v>
      </c>
      <c r="AC293" s="130">
        <v>3.4999999999999996E-3</v>
      </c>
      <c r="AD293" s="130">
        <v>7.1199999999999996E-3</v>
      </c>
      <c r="AE293" s="130">
        <v>7.0299999999999998E-3</v>
      </c>
      <c r="AF293" s="130">
        <v>-4.8700000000000002E-3</v>
      </c>
      <c r="AG293" s="130">
        <v>6.4000000000000003E-3</v>
      </c>
      <c r="AH293" s="130">
        <v>8.1300000000000001E-3</v>
      </c>
      <c r="AI293" s="130">
        <v>3.8300000000000001E-3</v>
      </c>
      <c r="AJ293" s="130">
        <v>-3.15E-3</v>
      </c>
      <c r="AK293" s="130">
        <v>5.13E-3</v>
      </c>
      <c r="AL293" s="130">
        <v>7.4999999999999997E-3</v>
      </c>
      <c r="AM293" s="130">
        <v>3.9300000000000003E-3</v>
      </c>
      <c r="AN293" s="99">
        <f t="shared" si="7"/>
        <v>-1.9337500000000001E-3</v>
      </c>
      <c r="AO293" s="99">
        <f t="shared" si="7"/>
        <v>4.382500000000001E-3</v>
      </c>
      <c r="AP293" s="99">
        <f t="shared" si="7"/>
        <v>6.4375000000000005E-3</v>
      </c>
      <c r="AQ293" s="99">
        <f t="shared" si="6"/>
        <v>3.1012499999999998E-3</v>
      </c>
      <c r="AR293" s="99">
        <f t="shared" si="5"/>
        <v>-1.9337500000000001E-3</v>
      </c>
      <c r="AS293" s="99">
        <f t="shared" si="5"/>
        <v>4.382500000000001E-3</v>
      </c>
      <c r="AT293" s="99">
        <f t="shared" si="5"/>
        <v>6.4375000000000005E-3</v>
      </c>
      <c r="AU293" s="99">
        <f t="shared" si="5"/>
        <v>3.1012499999999998E-3</v>
      </c>
      <c r="AV293" s="99">
        <f t="shared" si="5"/>
        <v>-1.9337500000000001E-3</v>
      </c>
      <c r="AW293" s="99">
        <f t="shared" si="5"/>
        <v>4.382500000000001E-3</v>
      </c>
      <c r="AX293" s="99">
        <f t="shared" si="5"/>
        <v>6.4375000000000005E-3</v>
      </c>
      <c r="AY293" s="99">
        <f t="shared" si="4"/>
        <v>3.1012499999999998E-3</v>
      </c>
    </row>
    <row r="294" spans="3:51" customFormat="1" x14ac:dyDescent="0.2">
      <c r="C294" s="107" t="s">
        <v>582</v>
      </c>
      <c r="D294" s="129" t="s">
        <v>748</v>
      </c>
      <c r="E294" s="107" t="s">
        <v>631</v>
      </c>
      <c r="F294" s="107" t="s">
        <v>749</v>
      </c>
      <c r="G294" s="109" t="s">
        <v>633</v>
      </c>
      <c r="H294" s="130">
        <v>-9.0699999999999999E-3</v>
      </c>
      <c r="I294" s="130">
        <v>-2.069E-2</v>
      </c>
      <c r="J294" s="130">
        <v>2.47E-3</v>
      </c>
      <c r="K294" s="130">
        <v>-1.8799999999999999E-3</v>
      </c>
      <c r="L294" s="130">
        <v>1.0440000000000001E-2</v>
      </c>
      <c r="M294" s="130">
        <v>7.11E-3</v>
      </c>
      <c r="N294" s="130">
        <v>1.3380000000000001E-2</v>
      </c>
      <c r="O294" s="130">
        <v>2.4129999999999999E-2</v>
      </c>
      <c r="P294" s="130">
        <v>-3.16E-3</v>
      </c>
      <c r="Q294" s="130">
        <v>1.575E-2</v>
      </c>
      <c r="R294" s="130">
        <v>1.5169999999999999E-2</v>
      </c>
      <c r="S294" s="130">
        <v>2.5510000000000001E-2</v>
      </c>
      <c r="T294" s="130">
        <v>-1.4570000000000001E-2</v>
      </c>
      <c r="U294" s="130">
        <v>3.2500000000000003E-3</v>
      </c>
      <c r="V294" s="130">
        <v>1.0280000000000001E-2</v>
      </c>
      <c r="W294" s="130">
        <v>1.9390000000000001E-2</v>
      </c>
      <c r="X294" s="130">
        <v>-1.0629999999999999E-2</v>
      </c>
      <c r="Y294" s="130">
        <v>-9.9900000000000006E-3</v>
      </c>
      <c r="Z294" s="130">
        <v>8.830000000000001E-3</v>
      </c>
      <c r="AA294" s="130">
        <v>1.8800000000000001E-2</v>
      </c>
      <c r="AB294" s="130">
        <v>-2.1480000000000003E-2</v>
      </c>
      <c r="AC294" s="130">
        <v>-4.13E-3</v>
      </c>
      <c r="AD294" s="130">
        <v>1.5789999999999998E-2</v>
      </c>
      <c r="AE294" s="130">
        <v>2.521E-2</v>
      </c>
      <c r="AF294" s="130">
        <v>-1.6979999999999999E-2</v>
      </c>
      <c r="AG294" s="130">
        <v>5.5000000000000005E-3</v>
      </c>
      <c r="AH294" s="130">
        <v>1.559E-2</v>
      </c>
      <c r="AI294" s="130">
        <v>1.822E-2</v>
      </c>
      <c r="AJ294" s="130">
        <v>-1.1939999999999999E-2</v>
      </c>
      <c r="AK294" s="130">
        <v>1.9400000000000001E-3</v>
      </c>
      <c r="AL294" s="130">
        <v>1.1279999999999998E-2</v>
      </c>
      <c r="AM294" s="130">
        <v>1.541E-2</v>
      </c>
      <c r="AN294" s="99">
        <f t="shared" si="7"/>
        <v>-9.6737499999999983E-3</v>
      </c>
      <c r="AO294" s="99">
        <f t="shared" si="7"/>
        <v>-1.5750000000000052E-4</v>
      </c>
      <c r="AP294" s="99">
        <f t="shared" si="7"/>
        <v>1.159875E-2</v>
      </c>
      <c r="AQ294" s="99">
        <f t="shared" si="6"/>
        <v>1.8098750000000004E-2</v>
      </c>
      <c r="AR294" s="99">
        <f t="shared" si="5"/>
        <v>-9.6737499999999983E-3</v>
      </c>
      <c r="AS294" s="99">
        <f t="shared" si="5"/>
        <v>-1.5750000000000052E-4</v>
      </c>
      <c r="AT294" s="99">
        <f t="shared" si="5"/>
        <v>1.159875E-2</v>
      </c>
      <c r="AU294" s="99">
        <f t="shared" si="5"/>
        <v>1.8098750000000004E-2</v>
      </c>
      <c r="AV294" s="99">
        <f t="shared" si="5"/>
        <v>-9.6737499999999983E-3</v>
      </c>
      <c r="AW294" s="99">
        <f t="shared" si="5"/>
        <v>-1.5750000000000052E-4</v>
      </c>
      <c r="AX294" s="99">
        <f t="shared" si="5"/>
        <v>1.159875E-2</v>
      </c>
      <c r="AY294" s="99">
        <f t="shared" si="4"/>
        <v>1.8098750000000004E-2</v>
      </c>
    </row>
    <row r="295" spans="3:51" customFormat="1" x14ac:dyDescent="0.2">
      <c r="C295" s="107" t="s">
        <v>418</v>
      </c>
      <c r="D295" s="129" t="s">
        <v>748</v>
      </c>
      <c r="E295" s="107" t="s">
        <v>631</v>
      </c>
      <c r="F295" s="107" t="s">
        <v>749</v>
      </c>
      <c r="G295" s="109" t="s">
        <v>633</v>
      </c>
      <c r="H295" s="130">
        <v>9.2800000000000001E-3</v>
      </c>
      <c r="I295" s="130">
        <v>-1.1800000000000001E-3</v>
      </c>
      <c r="J295" s="130">
        <v>5.2290000000000003E-2</v>
      </c>
      <c r="K295" s="130">
        <v>-4.2500000000000003E-3</v>
      </c>
      <c r="L295" s="130">
        <v>6.1900000000000002E-3</v>
      </c>
      <c r="M295" s="130">
        <v>2.5300000000000001E-3</v>
      </c>
      <c r="N295" s="130">
        <v>1.0000000000000001E-5</v>
      </c>
      <c r="O295" s="130">
        <v>1.8500000000000001E-3</v>
      </c>
      <c r="P295" s="130">
        <v>1.166E-2</v>
      </c>
      <c r="Q295" s="130">
        <v>9.1599999999999997E-3</v>
      </c>
      <c r="R295" s="130">
        <v>6.1500000000000001E-3</v>
      </c>
      <c r="S295" s="130">
        <v>3.4999999999999996E-3</v>
      </c>
      <c r="T295" s="130">
        <v>1.103E-2</v>
      </c>
      <c r="U295" s="130">
        <v>6.4200000000000004E-3</v>
      </c>
      <c r="V295" s="130">
        <v>-1.23E-3</v>
      </c>
      <c r="W295" s="130">
        <v>-3.3E-4</v>
      </c>
      <c r="X295" s="130">
        <v>1.179E-2</v>
      </c>
      <c r="Y295" s="130">
        <v>5.1800000000000006E-3</v>
      </c>
      <c r="Z295" s="130">
        <v>-6.8000000000000005E-4</v>
      </c>
      <c r="AA295" s="130">
        <v>2.9399999999999999E-3</v>
      </c>
      <c r="AB295" s="130">
        <v>1.332E-2</v>
      </c>
      <c r="AC295" s="130">
        <v>6.9699999999999996E-3</v>
      </c>
      <c r="AD295" s="130">
        <v>-1.2700000000000001E-3</v>
      </c>
      <c r="AE295" s="130">
        <v>1.3600000000000001E-3</v>
      </c>
      <c r="AF295" s="130">
        <v>1.0019999999999999E-2</v>
      </c>
      <c r="AG295" s="130">
        <v>5.0200000000000002E-3</v>
      </c>
      <c r="AH295" s="130">
        <v>6.2100000000000002E-3</v>
      </c>
      <c r="AI295" s="130">
        <v>-5.4000000000000001E-4</v>
      </c>
      <c r="AJ295" s="130">
        <v>8.43E-3</v>
      </c>
      <c r="AK295" s="130">
        <v>4.1900000000000001E-3</v>
      </c>
      <c r="AL295" s="130">
        <v>5.3400000000000001E-3</v>
      </c>
      <c r="AM295" s="130">
        <v>-7.7999999999999999E-4</v>
      </c>
      <c r="AN295" s="99">
        <f t="shared" si="7"/>
        <v>1.0215E-2</v>
      </c>
      <c r="AO295" s="99">
        <f t="shared" si="7"/>
        <v>4.7862499999999997E-3</v>
      </c>
      <c r="AP295" s="99">
        <f t="shared" si="7"/>
        <v>8.3525000000000005E-3</v>
      </c>
      <c r="AQ295" s="99">
        <f t="shared" si="6"/>
        <v>4.6874999999999998E-4</v>
      </c>
      <c r="AR295" s="99">
        <f t="shared" si="5"/>
        <v>1.0215E-2</v>
      </c>
      <c r="AS295" s="99">
        <f t="shared" si="5"/>
        <v>4.7862499999999997E-3</v>
      </c>
      <c r="AT295" s="99">
        <f t="shared" si="5"/>
        <v>8.3525000000000005E-3</v>
      </c>
      <c r="AU295" s="99">
        <f t="shared" si="5"/>
        <v>4.6874999999999998E-4</v>
      </c>
      <c r="AV295" s="99">
        <f t="shared" si="5"/>
        <v>1.0215E-2</v>
      </c>
      <c r="AW295" s="99">
        <f t="shared" si="5"/>
        <v>4.7862499999999997E-3</v>
      </c>
      <c r="AX295" s="99">
        <f t="shared" si="5"/>
        <v>8.3525000000000005E-3</v>
      </c>
      <c r="AY295" s="99">
        <f t="shared" si="4"/>
        <v>4.6874999999999998E-4</v>
      </c>
    </row>
    <row r="296" spans="3:51" customFormat="1" x14ac:dyDescent="0.2">
      <c r="C296" s="107" t="s">
        <v>592</v>
      </c>
      <c r="D296" s="129" t="s">
        <v>748</v>
      </c>
      <c r="E296" s="107" t="s">
        <v>631</v>
      </c>
      <c r="F296" s="107" t="s">
        <v>749</v>
      </c>
      <c r="G296" s="109" t="s">
        <v>633</v>
      </c>
      <c r="H296" s="130">
        <v>1.2310000000000001E-2</v>
      </c>
      <c r="I296" s="130">
        <v>-2.5200000000000001E-3</v>
      </c>
      <c r="J296" s="130">
        <v>1.6390000000000002E-2</v>
      </c>
      <c r="K296" s="130">
        <v>5.3800000000000002E-3</v>
      </c>
      <c r="L296" s="130">
        <v>1.4810000000000002E-2</v>
      </c>
      <c r="M296" s="130">
        <v>1.4190000000000001E-2</v>
      </c>
      <c r="N296" s="130">
        <v>1.6390000000000002E-2</v>
      </c>
      <c r="O296" s="130">
        <v>1.0620000000000001E-2</v>
      </c>
      <c r="P296" s="130">
        <v>1.4790000000000001E-2</v>
      </c>
      <c r="Q296" s="130">
        <v>2.3010000000000003E-2</v>
      </c>
      <c r="R296" s="130">
        <v>2.6240000000000003E-2</v>
      </c>
      <c r="S296" s="130">
        <v>8.0400000000000003E-3</v>
      </c>
      <c r="T296" s="130">
        <v>1.0869999999999999E-2</v>
      </c>
      <c r="U296" s="130">
        <v>1.5049999999999999E-2</v>
      </c>
      <c r="V296" s="130">
        <v>1.4830000000000001E-2</v>
      </c>
      <c r="W296" s="130">
        <v>1.392E-2</v>
      </c>
      <c r="X296" s="130">
        <v>9.6100000000000005E-3</v>
      </c>
      <c r="Y296" s="130">
        <v>1.2240000000000001E-2</v>
      </c>
      <c r="Z296" s="130">
        <v>6.3800000000000003E-3</v>
      </c>
      <c r="AA296" s="130">
        <v>3.3E-4</v>
      </c>
      <c r="AB296" s="130">
        <v>1.1010000000000001E-2</v>
      </c>
      <c r="AC296" s="130">
        <v>1.089E-2</v>
      </c>
      <c r="AD296" s="130">
        <v>1.142E-2</v>
      </c>
      <c r="AE296" s="130">
        <v>1.9400000000000001E-3</v>
      </c>
      <c r="AF296" s="130">
        <v>1.277E-2</v>
      </c>
      <c r="AG296" s="130">
        <v>9.7999999999999997E-3</v>
      </c>
      <c r="AH296" s="130">
        <v>1.031E-2</v>
      </c>
      <c r="AI296" s="130">
        <v>3.16E-3</v>
      </c>
      <c r="AJ296" s="130">
        <v>9.2700000000000005E-3</v>
      </c>
      <c r="AK296" s="130">
        <v>9.7699999999999992E-3</v>
      </c>
      <c r="AL296" s="130">
        <v>1.0970000000000001E-2</v>
      </c>
      <c r="AM296" s="130">
        <v>3.7699999999999999E-3</v>
      </c>
      <c r="AN296" s="99">
        <f t="shared" si="7"/>
        <v>1.1930000000000001E-2</v>
      </c>
      <c r="AO296" s="99">
        <f t="shared" si="7"/>
        <v>1.155375E-2</v>
      </c>
      <c r="AP296" s="99">
        <f t="shared" si="7"/>
        <v>1.411625E-2</v>
      </c>
      <c r="AQ296" s="99">
        <f t="shared" si="6"/>
        <v>5.8950000000000001E-3</v>
      </c>
      <c r="AR296" s="99">
        <f t="shared" si="5"/>
        <v>1.1930000000000001E-2</v>
      </c>
      <c r="AS296" s="99">
        <f t="shared" si="5"/>
        <v>1.155375E-2</v>
      </c>
      <c r="AT296" s="99">
        <f t="shared" si="5"/>
        <v>1.411625E-2</v>
      </c>
      <c r="AU296" s="99">
        <f t="shared" si="5"/>
        <v>5.8950000000000001E-3</v>
      </c>
      <c r="AV296" s="99">
        <f t="shared" si="5"/>
        <v>1.1930000000000001E-2</v>
      </c>
      <c r="AW296" s="99">
        <f t="shared" si="5"/>
        <v>1.155375E-2</v>
      </c>
      <c r="AX296" s="99">
        <f t="shared" si="5"/>
        <v>1.411625E-2</v>
      </c>
      <c r="AY296" s="99">
        <f t="shared" si="4"/>
        <v>5.8950000000000001E-3</v>
      </c>
    </row>
    <row r="297" spans="3:51" customFormat="1" x14ac:dyDescent="0.2">
      <c r="C297" s="107" t="s">
        <v>601</v>
      </c>
      <c r="D297" s="129" t="s">
        <v>748</v>
      </c>
      <c r="E297" s="107" t="s">
        <v>631</v>
      </c>
      <c r="F297" s="107" t="s">
        <v>749</v>
      </c>
      <c r="G297" s="109" t="s">
        <v>633</v>
      </c>
      <c r="H297" s="130">
        <v>2.1150000000000002E-2</v>
      </c>
      <c r="I297" s="130">
        <v>1.575E-2</v>
      </c>
      <c r="J297" s="130">
        <v>-6.7100000000000007E-3</v>
      </c>
      <c r="K297" s="130">
        <v>4.2000000000000002E-4</v>
      </c>
      <c r="L297" s="130">
        <v>2.3730000000000001E-2</v>
      </c>
      <c r="M297" s="130">
        <v>1.6550000000000002E-2</v>
      </c>
      <c r="N297" s="130">
        <v>-2.0399999999999997E-3</v>
      </c>
      <c r="O297" s="130">
        <v>2.5200000000000001E-3</v>
      </c>
      <c r="P297" s="130">
        <v>2.0039999999999999E-2</v>
      </c>
      <c r="Q297" s="130">
        <v>1.9900000000000001E-2</v>
      </c>
      <c r="R297" s="130">
        <v>3.64E-3</v>
      </c>
      <c r="S297" s="130">
        <v>4.5799999999999999E-3</v>
      </c>
      <c r="T297" s="130">
        <v>1.9259999999999999E-2</v>
      </c>
      <c r="U297" s="130">
        <v>1.1510000000000001E-2</v>
      </c>
      <c r="V297" s="130">
        <v>-2.3500000000000001E-3</v>
      </c>
      <c r="W297" s="130">
        <v>2.7400000000000002E-3</v>
      </c>
      <c r="X297" s="130">
        <v>1.7899999999999999E-2</v>
      </c>
      <c r="Y297" s="130">
        <v>1.2450000000000001E-2</v>
      </c>
      <c r="Z297" s="130">
        <v>-2.3999999999999998E-3</v>
      </c>
      <c r="AA297" s="130">
        <v>2.2000000000000001E-3</v>
      </c>
      <c r="AB297" s="130">
        <v>1.9099999999999999E-2</v>
      </c>
      <c r="AC297" s="130">
        <v>1.319E-2</v>
      </c>
      <c r="AD297" s="130">
        <v>-9.1E-4</v>
      </c>
      <c r="AE297" s="130">
        <v>3.5599999999999998E-3</v>
      </c>
      <c r="AF297" s="130">
        <v>1.5560000000000001E-2</v>
      </c>
      <c r="AG297" s="130">
        <v>1.7420000000000001E-2</v>
      </c>
      <c r="AH297" s="130">
        <v>-4.6999999999999999E-4</v>
      </c>
      <c r="AI297" s="130">
        <v>4.9300000000000004E-3</v>
      </c>
      <c r="AJ297" s="130">
        <v>1.899E-2</v>
      </c>
      <c r="AK297" s="130">
        <v>1.7559999999999999E-2</v>
      </c>
      <c r="AL297" s="130">
        <v>-1.1899999999999999E-3</v>
      </c>
      <c r="AM297" s="130">
        <v>4.1799999999999997E-3</v>
      </c>
      <c r="AN297" s="99">
        <f t="shared" si="7"/>
        <v>1.9466250000000001E-2</v>
      </c>
      <c r="AO297" s="99">
        <f t="shared" si="7"/>
        <v>1.5541250000000001E-2</v>
      </c>
      <c r="AP297" s="99">
        <f t="shared" si="7"/>
        <v>-1.55375E-3</v>
      </c>
      <c r="AQ297" s="99">
        <f t="shared" si="6"/>
        <v>3.1412500000000004E-3</v>
      </c>
      <c r="AR297" s="99">
        <f t="shared" si="5"/>
        <v>1.9466250000000001E-2</v>
      </c>
      <c r="AS297" s="99">
        <f t="shared" si="5"/>
        <v>1.5541250000000001E-2</v>
      </c>
      <c r="AT297" s="99">
        <f t="shared" si="5"/>
        <v>-1.55375E-3</v>
      </c>
      <c r="AU297" s="99">
        <f t="shared" si="5"/>
        <v>3.1412500000000004E-3</v>
      </c>
      <c r="AV297" s="99">
        <f t="shared" si="5"/>
        <v>1.9466250000000001E-2</v>
      </c>
      <c r="AW297" s="99">
        <f t="shared" si="5"/>
        <v>1.5541250000000001E-2</v>
      </c>
      <c r="AX297" s="99">
        <f t="shared" si="5"/>
        <v>-1.55375E-3</v>
      </c>
      <c r="AY297" s="99">
        <f t="shared" si="4"/>
        <v>3.1412500000000004E-3</v>
      </c>
    </row>
    <row r="298" spans="3:51" customFormat="1" x14ac:dyDescent="0.2">
      <c r="C298" s="107" t="s">
        <v>604</v>
      </c>
      <c r="D298" s="129" t="s">
        <v>748</v>
      </c>
      <c r="E298" s="107" t="s">
        <v>631</v>
      </c>
      <c r="F298" s="107" t="s">
        <v>749</v>
      </c>
      <c r="G298" s="109" t="s">
        <v>633</v>
      </c>
      <c r="H298" s="130">
        <v>1.21E-2</v>
      </c>
      <c r="I298" s="130">
        <v>1.7310000000000002E-2</v>
      </c>
      <c r="J298" s="130">
        <v>6.0899999999999999E-3</v>
      </c>
      <c r="K298" s="130">
        <v>1.3859999999999999E-2</v>
      </c>
      <c r="L298" s="130">
        <v>1.0460000000000001E-2</v>
      </c>
      <c r="M298" s="130">
        <v>2.085E-2</v>
      </c>
      <c r="N298" s="130">
        <v>1.601E-2</v>
      </c>
      <c r="O298" s="130">
        <v>1.584E-2</v>
      </c>
      <c r="P298" s="130">
        <v>1.541E-2</v>
      </c>
      <c r="Q298" s="130">
        <v>2.8730000000000002E-2</v>
      </c>
      <c r="R298" s="130">
        <v>2.4240000000000001E-2</v>
      </c>
      <c r="S298" s="130">
        <v>2.5550000000000003E-2</v>
      </c>
      <c r="T298" s="130">
        <v>2.0570000000000001E-2</v>
      </c>
      <c r="U298" s="130">
        <v>2.3100000000000002E-2</v>
      </c>
      <c r="V298" s="130">
        <v>1.857E-2</v>
      </c>
      <c r="W298" s="130">
        <v>1.8710000000000001E-2</v>
      </c>
      <c r="X298" s="130">
        <v>1.3730000000000001E-2</v>
      </c>
      <c r="Y298" s="130">
        <v>1.9179999999999999E-2</v>
      </c>
      <c r="Z298" s="130">
        <v>1.4190000000000001E-2</v>
      </c>
      <c r="AA298" s="130">
        <v>1.6050000000000002E-2</v>
      </c>
      <c r="AB298" s="130">
        <v>7.6800000000000002E-3</v>
      </c>
      <c r="AC298" s="130">
        <v>1.5820000000000001E-2</v>
      </c>
      <c r="AD298" s="130">
        <v>1.133E-2</v>
      </c>
      <c r="AE298" s="130">
        <v>1.3440000000000001E-2</v>
      </c>
      <c r="AF298" s="130">
        <v>9.3799999999999994E-3</v>
      </c>
      <c r="AG298" s="130">
        <v>1.26E-2</v>
      </c>
      <c r="AH298" s="130">
        <v>8.0800000000000004E-3</v>
      </c>
      <c r="AI298" s="130">
        <v>1.085E-2</v>
      </c>
      <c r="AJ298" s="130">
        <v>6.7400000000000003E-3</v>
      </c>
      <c r="AK298" s="130">
        <v>1.1939999999999999E-2</v>
      </c>
      <c r="AL298" s="130">
        <v>7.7500000000000008E-3</v>
      </c>
      <c r="AM298" s="130">
        <v>1.035E-2</v>
      </c>
      <c r="AN298" s="99">
        <f t="shared" si="7"/>
        <v>1.200875E-2</v>
      </c>
      <c r="AO298" s="99">
        <f t="shared" si="7"/>
        <v>1.869125E-2</v>
      </c>
      <c r="AP298" s="99">
        <f t="shared" si="7"/>
        <v>1.3282500000000001E-2</v>
      </c>
      <c r="AQ298" s="99">
        <f t="shared" si="6"/>
        <v>1.5581250000000003E-2</v>
      </c>
      <c r="AR298" s="99">
        <f t="shared" si="5"/>
        <v>1.200875E-2</v>
      </c>
      <c r="AS298" s="99">
        <f t="shared" si="5"/>
        <v>1.869125E-2</v>
      </c>
      <c r="AT298" s="99">
        <f t="shared" si="5"/>
        <v>1.3282500000000001E-2</v>
      </c>
      <c r="AU298" s="99">
        <f t="shared" si="5"/>
        <v>1.5581250000000003E-2</v>
      </c>
      <c r="AV298" s="99">
        <f t="shared" si="5"/>
        <v>1.200875E-2</v>
      </c>
      <c r="AW298" s="99">
        <f t="shared" si="5"/>
        <v>1.869125E-2</v>
      </c>
      <c r="AX298" s="99">
        <f t="shared" si="5"/>
        <v>1.3282500000000001E-2</v>
      </c>
      <c r="AY298" s="99">
        <f t="shared" si="4"/>
        <v>1.5581250000000003E-2</v>
      </c>
    </row>
    <row r="299" spans="3:51" customFormat="1" x14ac:dyDescent="0.2">
      <c r="C299" s="107" t="s">
        <v>606</v>
      </c>
      <c r="D299" s="129" t="s">
        <v>748</v>
      </c>
      <c r="E299" s="107" t="s">
        <v>631</v>
      </c>
      <c r="F299" s="107" t="s">
        <v>749</v>
      </c>
      <c r="G299" s="109" t="s">
        <v>633</v>
      </c>
      <c r="H299" s="130">
        <v>5.6999999999999993E-3</v>
      </c>
      <c r="I299" s="130">
        <v>1.2350000000000002E-2</v>
      </c>
      <c r="J299" s="130">
        <v>4.0999999999999995E-3</v>
      </c>
      <c r="K299" s="130">
        <v>4.2599999999999999E-3</v>
      </c>
      <c r="L299" s="130">
        <v>2.49E-3</v>
      </c>
      <c r="M299" s="130">
        <v>8.8800000000000007E-3</v>
      </c>
      <c r="N299" s="130">
        <v>4.7099999999999998E-3</v>
      </c>
      <c r="O299" s="130">
        <v>8.2799999999999992E-3</v>
      </c>
      <c r="P299" s="130">
        <v>9.8600000000000007E-3</v>
      </c>
      <c r="Q299" s="130">
        <v>3.6090000000000004E-2</v>
      </c>
      <c r="R299" s="130">
        <v>3.2899999999999999E-2</v>
      </c>
      <c r="S299" s="130">
        <v>2.2530000000000001E-2</v>
      </c>
      <c r="T299" s="130">
        <v>9.7999999999999997E-4</v>
      </c>
      <c r="U299" s="130">
        <v>6.0299999999999998E-3</v>
      </c>
      <c r="V299" s="130">
        <v>3.5099999999999997E-3</v>
      </c>
      <c r="W299" s="130">
        <v>1.4760000000000001E-2</v>
      </c>
      <c r="X299" s="130">
        <v>7.0399999999999994E-3</v>
      </c>
      <c r="Y299" s="130">
        <v>1.0019999999999999E-2</v>
      </c>
      <c r="Z299" s="130">
        <v>2.7900000000000004E-3</v>
      </c>
      <c r="AA299" s="130">
        <v>1.034E-2</v>
      </c>
      <c r="AB299" s="130">
        <v>1.1779999999999999E-2</v>
      </c>
      <c r="AC299" s="130">
        <v>1.1890000000000001E-2</v>
      </c>
      <c r="AD299" s="130">
        <v>3.7799999999999999E-3</v>
      </c>
      <c r="AE299" s="130">
        <v>4.5100000000000001E-3</v>
      </c>
      <c r="AF299" s="130">
        <v>1.0460000000000001E-2</v>
      </c>
      <c r="AG299" s="130">
        <v>1.66E-2</v>
      </c>
      <c r="AH299" s="130">
        <v>1.1240000000000002E-2</v>
      </c>
      <c r="AI299" s="130">
        <v>1.4239999999999999E-2</v>
      </c>
      <c r="AJ299" s="130">
        <v>4.5000000000000005E-3</v>
      </c>
      <c r="AK299" s="130">
        <v>1.7319999999999999E-2</v>
      </c>
      <c r="AL299" s="130">
        <v>1.0120000000000001E-2</v>
      </c>
      <c r="AM299" s="130">
        <v>1.298E-2</v>
      </c>
      <c r="AN299" s="99">
        <f t="shared" si="7"/>
        <v>6.6012499999999995E-3</v>
      </c>
      <c r="AO299" s="99">
        <f t="shared" si="7"/>
        <v>1.4897499999999999E-2</v>
      </c>
      <c r="AP299" s="99">
        <f t="shared" si="7"/>
        <v>9.1437500000000026E-3</v>
      </c>
      <c r="AQ299" s="99">
        <f t="shared" si="6"/>
        <v>1.1487499999999999E-2</v>
      </c>
      <c r="AR299" s="99">
        <f t="shared" si="5"/>
        <v>6.6012499999999995E-3</v>
      </c>
      <c r="AS299" s="99">
        <f t="shared" si="5"/>
        <v>1.4897499999999999E-2</v>
      </c>
      <c r="AT299" s="99">
        <f t="shared" si="5"/>
        <v>9.1437500000000026E-3</v>
      </c>
      <c r="AU299" s="99">
        <f t="shared" si="5"/>
        <v>1.1487499999999999E-2</v>
      </c>
      <c r="AV299" s="99">
        <f t="shared" si="5"/>
        <v>6.6012499999999995E-3</v>
      </c>
      <c r="AW299" s="99">
        <f t="shared" si="5"/>
        <v>1.4897499999999999E-2</v>
      </c>
      <c r="AX299" s="99">
        <f t="shared" si="5"/>
        <v>9.1437500000000026E-3</v>
      </c>
      <c r="AY299" s="99">
        <f t="shared" si="4"/>
        <v>1.1487499999999999E-2</v>
      </c>
    </row>
    <row r="300" spans="3:51" customFormat="1" x14ac:dyDescent="0.2">
      <c r="C300" s="107" t="s">
        <v>608</v>
      </c>
      <c r="D300" s="129" t="s">
        <v>748</v>
      </c>
      <c r="E300" s="107" t="s">
        <v>631</v>
      </c>
      <c r="F300" s="107" t="s">
        <v>749</v>
      </c>
      <c r="G300" s="109" t="s">
        <v>633</v>
      </c>
      <c r="H300" s="130">
        <v>-6.6800000000000002E-3</v>
      </c>
      <c r="I300" s="130">
        <v>-6.0400000000000002E-3</v>
      </c>
      <c r="J300" s="130">
        <v>-5.7999999999999996E-3</v>
      </c>
      <c r="K300" s="130">
        <v>-3.9500000000000004E-3</v>
      </c>
      <c r="L300" s="130">
        <v>-8.2000000000000009E-4</v>
      </c>
      <c r="M300" s="130">
        <v>5.79E-3</v>
      </c>
      <c r="N300" s="130">
        <v>4.7000000000000002E-3</v>
      </c>
      <c r="O300" s="130">
        <v>1.3310000000000001E-2</v>
      </c>
      <c r="P300" s="130">
        <v>2.0799999999999998E-3</v>
      </c>
      <c r="Q300" s="130">
        <v>3.4980000000000004E-2</v>
      </c>
      <c r="R300" s="130">
        <v>1.319E-2</v>
      </c>
      <c r="S300" s="130">
        <v>-4.4200000000000003E-3</v>
      </c>
      <c r="T300" s="130">
        <v>-9.7300000000000008E-3</v>
      </c>
      <c r="U300" s="130">
        <v>9.5499999999999995E-3</v>
      </c>
      <c r="V300" s="130">
        <v>9.75E-3</v>
      </c>
      <c r="W300" s="130">
        <v>9.1200000000000014E-3</v>
      </c>
      <c r="X300" s="130">
        <v>-9.41E-3</v>
      </c>
      <c r="Y300" s="130">
        <v>1.307E-2</v>
      </c>
      <c r="Z300" s="130">
        <v>2.2600000000000003E-3</v>
      </c>
      <c r="AA300" s="130">
        <v>4.2399999999999998E-3</v>
      </c>
      <c r="AB300" s="130">
        <v>-5.7099999999999998E-3</v>
      </c>
      <c r="AC300" s="130">
        <v>5.6000000000000008E-3</v>
      </c>
      <c r="AD300" s="130">
        <v>6.3700000000000007E-3</v>
      </c>
      <c r="AE300" s="130">
        <v>2.085E-2</v>
      </c>
      <c r="AF300" s="130">
        <v>-1.583E-2</v>
      </c>
      <c r="AG300" s="130">
        <v>1.2310000000000001E-2</v>
      </c>
      <c r="AH300" s="130">
        <v>6.8700000000000011E-3</v>
      </c>
      <c r="AI300" s="130">
        <v>4.7499999999999999E-3</v>
      </c>
      <c r="AJ300" s="130">
        <v>-3.7000000000000002E-3</v>
      </c>
      <c r="AK300" s="130">
        <v>1.0149999999999999E-2</v>
      </c>
      <c r="AL300" s="130">
        <v>5.5800000000000008E-3</v>
      </c>
      <c r="AM300" s="130">
        <v>4.3100000000000005E-3</v>
      </c>
      <c r="AN300" s="99">
        <f t="shared" si="7"/>
        <v>-6.2250000000000005E-3</v>
      </c>
      <c r="AO300" s="99">
        <f t="shared" si="7"/>
        <v>1.067625E-2</v>
      </c>
      <c r="AP300" s="99">
        <f t="shared" si="7"/>
        <v>5.3650000000000008E-3</v>
      </c>
      <c r="AQ300" s="99">
        <f t="shared" si="6"/>
        <v>6.0262500000000004E-3</v>
      </c>
      <c r="AR300" s="99">
        <f t="shared" si="5"/>
        <v>-6.2250000000000005E-3</v>
      </c>
      <c r="AS300" s="99">
        <f t="shared" si="5"/>
        <v>1.067625E-2</v>
      </c>
      <c r="AT300" s="99">
        <f t="shared" si="5"/>
        <v>5.3650000000000008E-3</v>
      </c>
      <c r="AU300" s="99">
        <f t="shared" si="5"/>
        <v>6.0262500000000004E-3</v>
      </c>
      <c r="AV300" s="99">
        <f t="shared" si="5"/>
        <v>-6.2250000000000005E-3</v>
      </c>
      <c r="AW300" s="99">
        <f t="shared" si="5"/>
        <v>1.067625E-2</v>
      </c>
      <c r="AX300" s="99">
        <f t="shared" si="5"/>
        <v>5.3650000000000008E-3</v>
      </c>
      <c r="AY300" s="99">
        <f t="shared" si="4"/>
        <v>6.0262500000000004E-3</v>
      </c>
    </row>
    <row r="301" spans="3:51" customFormat="1" x14ac:dyDescent="0.2">
      <c r="C301" s="107" t="s">
        <v>440</v>
      </c>
      <c r="D301" s="129" t="s">
        <v>748</v>
      </c>
      <c r="E301" s="107" t="s">
        <v>631</v>
      </c>
      <c r="F301" s="107" t="s">
        <v>749</v>
      </c>
      <c r="G301" s="109" t="s">
        <v>633</v>
      </c>
      <c r="H301" s="130">
        <v>3.4200000000000003E-3</v>
      </c>
      <c r="I301" s="130">
        <v>-4.3800000000000002E-3</v>
      </c>
      <c r="J301" s="130">
        <v>5.13E-3</v>
      </c>
      <c r="K301" s="130">
        <v>3.65E-3</v>
      </c>
      <c r="L301" s="130">
        <v>9.9400000000000009E-3</v>
      </c>
      <c r="M301" s="130">
        <v>1.44E-2</v>
      </c>
      <c r="N301" s="130">
        <v>1.2070000000000001E-2</v>
      </c>
      <c r="O301" s="130">
        <v>1.005E-2</v>
      </c>
      <c r="P301" s="130">
        <v>2.06E-2</v>
      </c>
      <c r="Q301" s="130">
        <v>3.0840000000000003E-2</v>
      </c>
      <c r="R301" s="130">
        <v>8.3599999999999994E-3</v>
      </c>
      <c r="S301" s="130">
        <v>5.4500000000000009E-3</v>
      </c>
      <c r="T301" s="130">
        <v>6.0800000000000003E-3</v>
      </c>
      <c r="U301" s="130">
        <v>1.4880000000000001E-2</v>
      </c>
      <c r="V301" s="130">
        <v>9.9900000000000006E-3</v>
      </c>
      <c r="W301" s="130">
        <v>8.4000000000000003E-4</v>
      </c>
      <c r="X301" s="130">
        <v>2.5200000000000001E-3</v>
      </c>
      <c r="Y301" s="130">
        <v>1.384E-2</v>
      </c>
      <c r="Z301" s="130">
        <v>3.0999999999999999E-3</v>
      </c>
      <c r="AA301" s="130">
        <v>-4.1000000000000005E-4</v>
      </c>
      <c r="AB301" s="130">
        <v>6.1900000000000002E-3</v>
      </c>
      <c r="AC301" s="130">
        <v>8.8199999999999997E-3</v>
      </c>
      <c r="AD301" s="130">
        <v>5.0800000000000003E-3</v>
      </c>
      <c r="AE301" s="130">
        <v>2.2200000000000002E-3</v>
      </c>
      <c r="AF301" s="130">
        <v>3.1199999999999999E-3</v>
      </c>
      <c r="AG301" s="130">
        <v>1.221E-2</v>
      </c>
      <c r="AH301" s="130">
        <v>3.98E-3</v>
      </c>
      <c r="AI301" s="130">
        <v>-1.0000000000000001E-5</v>
      </c>
      <c r="AJ301" s="130">
        <v>4.0799999999999994E-3</v>
      </c>
      <c r="AK301" s="130">
        <v>1.2540000000000001E-2</v>
      </c>
      <c r="AL301" s="130">
        <v>4.2399999999999998E-3</v>
      </c>
      <c r="AM301" s="130">
        <v>1.6000000000000001E-4</v>
      </c>
      <c r="AN301" s="99">
        <f t="shared" si="7"/>
        <v>6.9937500000000008E-3</v>
      </c>
      <c r="AO301" s="99">
        <f t="shared" si="7"/>
        <v>1.2893750000000001E-2</v>
      </c>
      <c r="AP301" s="99">
        <f t="shared" si="7"/>
        <v>6.4937500000000004E-3</v>
      </c>
      <c r="AQ301" s="99">
        <f t="shared" si="6"/>
        <v>2.7437500000000001E-3</v>
      </c>
      <c r="AR301" s="99">
        <f t="shared" si="5"/>
        <v>6.9937500000000008E-3</v>
      </c>
      <c r="AS301" s="99">
        <f t="shared" si="5"/>
        <v>1.2893750000000001E-2</v>
      </c>
      <c r="AT301" s="99">
        <f t="shared" si="5"/>
        <v>6.4937500000000004E-3</v>
      </c>
      <c r="AU301" s="99">
        <f t="shared" si="5"/>
        <v>2.7437500000000001E-3</v>
      </c>
      <c r="AV301" s="99">
        <f t="shared" si="5"/>
        <v>6.9937500000000008E-3</v>
      </c>
      <c r="AW301" s="99">
        <f t="shared" si="5"/>
        <v>1.2893750000000001E-2</v>
      </c>
      <c r="AX301" s="99">
        <f t="shared" si="5"/>
        <v>6.4937500000000004E-3</v>
      </c>
      <c r="AY301" s="99">
        <f t="shared" si="4"/>
        <v>2.7437500000000001E-3</v>
      </c>
    </row>
    <row r="302" spans="3:51" customFormat="1" x14ac:dyDescent="0.2">
      <c r="C302" s="107" t="s">
        <v>699</v>
      </c>
      <c r="D302" s="129" t="s">
        <v>748</v>
      </c>
      <c r="E302" s="107" t="s">
        <v>631</v>
      </c>
      <c r="F302" s="107" t="s">
        <v>749</v>
      </c>
      <c r="G302" s="109" t="s">
        <v>633</v>
      </c>
      <c r="H302" s="130">
        <v>4.1900000000000001E-3</v>
      </c>
      <c r="I302" s="130">
        <v>-5.4000000000000003E-3</v>
      </c>
      <c r="J302" s="130">
        <v>1.1310000000000001E-2</v>
      </c>
      <c r="K302" s="130">
        <v>2.3E-3</v>
      </c>
      <c r="L302" s="130">
        <v>1.073E-2</v>
      </c>
      <c r="M302" s="130">
        <v>2.3400000000000001E-2</v>
      </c>
      <c r="N302" s="130">
        <v>1.601E-2</v>
      </c>
      <c r="O302" s="130">
        <v>1.5180000000000001E-2</v>
      </c>
      <c r="P302" s="130">
        <v>2.283E-2</v>
      </c>
      <c r="Q302" s="130">
        <v>2.9740000000000003E-2</v>
      </c>
      <c r="R302" s="130">
        <v>1.315E-2</v>
      </c>
      <c r="S302" s="130">
        <v>3.6700000000000001E-3</v>
      </c>
      <c r="T302" s="130">
        <v>1.0449999999999999E-2</v>
      </c>
      <c r="U302" s="130">
        <v>1.192E-2</v>
      </c>
      <c r="V302" s="130">
        <v>8.6599999999999993E-3</v>
      </c>
      <c r="W302" s="130">
        <v>1.0499999999999999E-3</v>
      </c>
      <c r="X302" s="130">
        <v>1.043E-2</v>
      </c>
      <c r="Y302" s="130">
        <v>1.1510000000000001E-2</v>
      </c>
      <c r="Z302" s="130">
        <v>3.0200000000000001E-3</v>
      </c>
      <c r="AA302" s="130">
        <v>2.2500000000000003E-3</v>
      </c>
      <c r="AB302" s="130">
        <v>1.034E-2</v>
      </c>
      <c r="AC302" s="130">
        <v>8.6400000000000001E-3</v>
      </c>
      <c r="AD302" s="130">
        <v>7.26E-3</v>
      </c>
      <c r="AE302" s="130">
        <v>1.1400000000000002E-3</v>
      </c>
      <c r="AF302" s="130">
        <v>9.3700000000000016E-3</v>
      </c>
      <c r="AG302" s="130">
        <v>1.0800000000000001E-2</v>
      </c>
      <c r="AH302" s="130">
        <v>5.5400000000000007E-3</v>
      </c>
      <c r="AI302" s="130">
        <v>6.4000000000000005E-4</v>
      </c>
      <c r="AJ302" s="130">
        <v>6.8200000000000005E-3</v>
      </c>
      <c r="AK302" s="130">
        <v>1.0059999999999999E-2</v>
      </c>
      <c r="AL302" s="130">
        <v>5.1800000000000006E-3</v>
      </c>
      <c r="AM302" s="130">
        <v>4.8999999999999998E-4</v>
      </c>
      <c r="AN302" s="99">
        <f t="shared" si="7"/>
        <v>1.0645000000000002E-2</v>
      </c>
      <c r="AO302" s="99">
        <f t="shared" si="7"/>
        <v>1.2583750000000001E-2</v>
      </c>
      <c r="AP302" s="99">
        <f t="shared" si="7"/>
        <v>8.7662499999999997E-3</v>
      </c>
      <c r="AQ302" s="99">
        <f t="shared" si="6"/>
        <v>3.3400000000000001E-3</v>
      </c>
      <c r="AR302" s="99">
        <f t="shared" si="5"/>
        <v>1.0645000000000002E-2</v>
      </c>
      <c r="AS302" s="99">
        <f t="shared" si="5"/>
        <v>1.2583750000000001E-2</v>
      </c>
      <c r="AT302" s="99">
        <f t="shared" si="5"/>
        <v>8.7662499999999997E-3</v>
      </c>
      <c r="AU302" s="99">
        <f t="shared" ref="AU302:AX319" si="8">AQ302</f>
        <v>3.3400000000000001E-3</v>
      </c>
      <c r="AV302" s="99">
        <f t="shared" si="8"/>
        <v>1.0645000000000002E-2</v>
      </c>
      <c r="AW302" s="99">
        <f t="shared" si="8"/>
        <v>1.2583750000000001E-2</v>
      </c>
      <c r="AX302" s="99">
        <f t="shared" si="8"/>
        <v>8.7662499999999997E-3</v>
      </c>
      <c r="AY302" s="99">
        <f t="shared" si="4"/>
        <v>3.3400000000000001E-3</v>
      </c>
    </row>
    <row r="303" spans="3:51" customFormat="1" x14ac:dyDescent="0.2">
      <c r="C303" s="107" t="s">
        <v>405</v>
      </c>
      <c r="D303" s="129" t="s">
        <v>748</v>
      </c>
      <c r="E303" s="107" t="s">
        <v>631</v>
      </c>
      <c r="F303" s="107" t="s">
        <v>749</v>
      </c>
      <c r="G303" s="109" t="s">
        <v>633</v>
      </c>
      <c r="H303" s="130">
        <v>1.99E-3</v>
      </c>
      <c r="I303" s="130">
        <v>0</v>
      </c>
      <c r="J303" s="130">
        <v>3.3400000000000001E-3</v>
      </c>
      <c r="K303" s="130">
        <v>6.6700000000000006E-3</v>
      </c>
      <c r="L303" s="130">
        <v>3.3100000000000004E-3</v>
      </c>
      <c r="M303" s="130">
        <v>1.1550000000000001E-2</v>
      </c>
      <c r="N303" s="130">
        <v>9.4599999999999997E-3</v>
      </c>
      <c r="O303" s="130">
        <v>1.584E-2</v>
      </c>
      <c r="P303" s="130">
        <v>2.036E-2</v>
      </c>
      <c r="Q303" s="130">
        <v>3.0870000000000002E-2</v>
      </c>
      <c r="R303" s="130">
        <v>2.7530000000000002E-2</v>
      </c>
      <c r="S303" s="130">
        <v>2.3259999999999999E-2</v>
      </c>
      <c r="T303" s="130">
        <v>1.8700000000000001E-2</v>
      </c>
      <c r="U303" s="130">
        <v>1.61E-2</v>
      </c>
      <c r="V303" s="130">
        <v>8.3400000000000002E-3</v>
      </c>
      <c r="W303" s="130">
        <v>1.0200000000000001E-2</v>
      </c>
      <c r="X303" s="130">
        <v>7.6400000000000001E-3</v>
      </c>
      <c r="Y303" s="130">
        <v>5.96E-3</v>
      </c>
      <c r="Z303" s="130">
        <v>-5.4000000000000001E-4</v>
      </c>
      <c r="AA303" s="130">
        <v>5.9299999999999995E-3</v>
      </c>
      <c r="AB303" s="130">
        <v>1.9810000000000001E-2</v>
      </c>
      <c r="AC303" s="130">
        <v>5.7799999999999995E-3</v>
      </c>
      <c r="AD303" s="130">
        <v>7.0499999999999998E-3</v>
      </c>
      <c r="AE303" s="130">
        <v>6.2199999999999998E-3</v>
      </c>
      <c r="AF303" s="130">
        <v>9.3600000000000003E-3</v>
      </c>
      <c r="AG303" s="130">
        <v>7.2499999999999995E-3</v>
      </c>
      <c r="AH303" s="130">
        <v>3.2100000000000002E-3</v>
      </c>
      <c r="AI303" s="130">
        <v>6.7700000000000008E-3</v>
      </c>
      <c r="AJ303" s="130">
        <v>6.3800000000000003E-3</v>
      </c>
      <c r="AK303" s="130">
        <v>7.4200000000000004E-3</v>
      </c>
      <c r="AL303" s="130">
        <v>3.4300000000000003E-3</v>
      </c>
      <c r="AM303" s="130">
        <v>6.5500000000000003E-3</v>
      </c>
      <c r="AN303" s="99">
        <f t="shared" si="7"/>
        <v>1.094375E-2</v>
      </c>
      <c r="AO303" s="99">
        <f t="shared" si="7"/>
        <v>1.0616249999999999E-2</v>
      </c>
      <c r="AP303" s="99">
        <f t="shared" si="7"/>
        <v>7.7275000000000009E-3</v>
      </c>
      <c r="AQ303" s="99">
        <f t="shared" si="6"/>
        <v>1.018E-2</v>
      </c>
      <c r="AR303" s="99">
        <f t="shared" ref="AR303:AT319" si="9">AN303</f>
        <v>1.094375E-2</v>
      </c>
      <c r="AS303" s="99">
        <f t="shared" si="9"/>
        <v>1.0616249999999999E-2</v>
      </c>
      <c r="AT303" s="99">
        <f t="shared" si="9"/>
        <v>7.7275000000000009E-3</v>
      </c>
      <c r="AU303" s="99">
        <f t="shared" si="8"/>
        <v>1.018E-2</v>
      </c>
      <c r="AV303" s="99">
        <f t="shared" si="8"/>
        <v>1.094375E-2</v>
      </c>
      <c r="AW303" s="99">
        <f t="shared" si="8"/>
        <v>1.0616249999999999E-2</v>
      </c>
      <c r="AX303" s="99">
        <f t="shared" si="8"/>
        <v>7.7275000000000009E-3</v>
      </c>
      <c r="AY303" s="99">
        <f t="shared" si="4"/>
        <v>1.018E-2</v>
      </c>
    </row>
    <row r="304" spans="3:51" customFormat="1" x14ac:dyDescent="0.2">
      <c r="C304" s="107" t="s">
        <v>506</v>
      </c>
      <c r="D304" s="129" t="s">
        <v>748</v>
      </c>
      <c r="E304" s="107" t="s">
        <v>631</v>
      </c>
      <c r="F304" s="107" t="s">
        <v>749</v>
      </c>
      <c r="G304" s="109" t="s">
        <v>633</v>
      </c>
      <c r="H304" s="130">
        <v>6.6100000000000004E-3</v>
      </c>
      <c r="I304" s="130">
        <v>-1.3100000000000002E-3</v>
      </c>
      <c r="J304" s="130">
        <v>1.5499999999999999E-3</v>
      </c>
      <c r="K304" s="130">
        <v>-1.2800000000000001E-3</v>
      </c>
      <c r="L304" s="130">
        <v>6.3899999999999998E-3</v>
      </c>
      <c r="M304" s="130">
        <v>7.6800000000000002E-3</v>
      </c>
      <c r="N304" s="130">
        <v>1.3200000000000002E-2</v>
      </c>
      <c r="O304" s="130">
        <v>2.3519999999999999E-2</v>
      </c>
      <c r="P304" s="130">
        <v>3.3309999999999999E-2</v>
      </c>
      <c r="Q304" s="130">
        <v>1.6970000000000002E-2</v>
      </c>
      <c r="R304" s="130">
        <v>2.5329999999999998E-2</v>
      </c>
      <c r="S304" s="130">
        <v>3.0910000000000003E-2</v>
      </c>
      <c r="T304" s="130">
        <v>-3.62E-3</v>
      </c>
      <c r="U304" s="130">
        <v>-3.2200000000000002E-3</v>
      </c>
      <c r="V304" s="130">
        <v>1.1169999999999999E-2</v>
      </c>
      <c r="W304" s="130">
        <v>3.9399999999999999E-3</v>
      </c>
      <c r="X304" s="130">
        <v>1.5009999999999999E-2</v>
      </c>
      <c r="Y304" s="130">
        <v>4.4000000000000003E-3</v>
      </c>
      <c r="Z304" s="130">
        <v>8.1599999999999989E-3</v>
      </c>
      <c r="AA304" s="130">
        <v>3.9500000000000004E-3</v>
      </c>
      <c r="AB304" s="130">
        <v>1.8200000000000001E-2</v>
      </c>
      <c r="AC304" s="130">
        <v>-7.9700000000000014E-3</v>
      </c>
      <c r="AD304" s="130">
        <v>5.6799999999999993E-3</v>
      </c>
      <c r="AE304" s="130">
        <v>5.6000000000000008E-3</v>
      </c>
      <c r="AF304" s="130">
        <v>7.9700000000000014E-3</v>
      </c>
      <c r="AG304" s="130">
        <v>-8.8999999999999995E-4</v>
      </c>
      <c r="AH304" s="130">
        <v>5.0899999999999999E-3</v>
      </c>
      <c r="AI304" s="130">
        <v>6.1999999999999998E-3</v>
      </c>
      <c r="AJ304" s="130">
        <v>8.7299999999999999E-3</v>
      </c>
      <c r="AK304" s="130">
        <v>8.5999999999999998E-4</v>
      </c>
      <c r="AL304" s="130">
        <v>6.2199999999999998E-3</v>
      </c>
      <c r="AM304" s="130">
        <v>6.3700000000000007E-3</v>
      </c>
      <c r="AN304" s="99">
        <f t="shared" si="7"/>
        <v>1.1575000000000002E-2</v>
      </c>
      <c r="AO304" s="99">
        <f t="shared" si="7"/>
        <v>2.0650000000000004E-3</v>
      </c>
      <c r="AP304" s="99">
        <f t="shared" si="7"/>
        <v>9.5499999999999995E-3</v>
      </c>
      <c r="AQ304" s="99">
        <f t="shared" si="6"/>
        <v>9.9012500000000003E-3</v>
      </c>
      <c r="AR304" s="99">
        <f t="shared" si="9"/>
        <v>1.1575000000000002E-2</v>
      </c>
      <c r="AS304" s="99">
        <f t="shared" si="9"/>
        <v>2.0650000000000004E-3</v>
      </c>
      <c r="AT304" s="99">
        <f t="shared" si="9"/>
        <v>9.5499999999999995E-3</v>
      </c>
      <c r="AU304" s="99">
        <f t="shared" si="8"/>
        <v>9.9012500000000003E-3</v>
      </c>
      <c r="AV304" s="99">
        <f t="shared" si="8"/>
        <v>1.1575000000000002E-2</v>
      </c>
      <c r="AW304" s="99">
        <f t="shared" si="8"/>
        <v>2.0650000000000004E-3</v>
      </c>
      <c r="AX304" s="99">
        <f t="shared" si="8"/>
        <v>9.5499999999999995E-3</v>
      </c>
      <c r="AY304" s="99">
        <f t="shared" si="4"/>
        <v>9.9012500000000003E-3</v>
      </c>
    </row>
    <row r="305" spans="3:51" customFormat="1" x14ac:dyDescent="0.2">
      <c r="C305" s="107" t="s">
        <v>409</v>
      </c>
      <c r="D305" s="129" t="s">
        <v>748</v>
      </c>
      <c r="E305" s="107" t="s">
        <v>631</v>
      </c>
      <c r="F305" s="107" t="s">
        <v>749</v>
      </c>
      <c r="G305" s="109" t="s">
        <v>633</v>
      </c>
      <c r="H305" s="130">
        <v>1.9400000000000001E-3</v>
      </c>
      <c r="I305" s="130">
        <v>-1.2900000000000001E-3</v>
      </c>
      <c r="J305" s="130">
        <v>5.1700000000000001E-3</v>
      </c>
      <c r="K305" s="130">
        <v>-1.2900000000000001E-3</v>
      </c>
      <c r="L305" s="130">
        <v>4.5100000000000001E-3</v>
      </c>
      <c r="M305" s="130">
        <v>8.0099999999999998E-3</v>
      </c>
      <c r="N305" s="130">
        <v>7.6300000000000005E-3</v>
      </c>
      <c r="O305" s="130">
        <v>1.1040000000000001E-2</v>
      </c>
      <c r="P305" s="130">
        <v>2.0899999999999998E-2</v>
      </c>
      <c r="Q305" s="130">
        <v>3.3010000000000005E-2</v>
      </c>
      <c r="R305" s="130">
        <v>2.4260000000000004E-2</v>
      </c>
      <c r="S305" s="130">
        <v>1.1270000000000001E-2</v>
      </c>
      <c r="T305" s="130">
        <v>3.14E-3</v>
      </c>
      <c r="U305" s="130">
        <v>-3.4200000000000003E-3</v>
      </c>
      <c r="V305" s="130">
        <v>1.0289999999999999E-2</v>
      </c>
      <c r="W305" s="130">
        <v>-5.3700000000000006E-3</v>
      </c>
      <c r="X305" s="130">
        <v>8.2500000000000004E-3</v>
      </c>
      <c r="Y305" s="130">
        <v>2.5400000000000002E-3</v>
      </c>
      <c r="Z305" s="130">
        <v>7.0299999999999998E-3</v>
      </c>
      <c r="AA305" s="130">
        <v>-8.4000000000000003E-4</v>
      </c>
      <c r="AB305" s="130">
        <v>8.1100000000000009E-3</v>
      </c>
      <c r="AC305" s="130">
        <v>2.2200000000000002E-3</v>
      </c>
      <c r="AD305" s="130">
        <v>1.217E-2</v>
      </c>
      <c r="AE305" s="130">
        <v>-2.1900000000000001E-3</v>
      </c>
      <c r="AF305" s="130">
        <v>3.7100000000000002E-3</v>
      </c>
      <c r="AG305" s="130">
        <v>5.5400000000000007E-3</v>
      </c>
      <c r="AH305" s="130">
        <v>7.9300000000000013E-3</v>
      </c>
      <c r="AI305" s="130">
        <v>1.0000000000000001E-5</v>
      </c>
      <c r="AJ305" s="130">
        <v>4.3800000000000002E-3</v>
      </c>
      <c r="AK305" s="130">
        <v>5.7499999999999999E-3</v>
      </c>
      <c r="AL305" s="130">
        <v>8.3300000000000006E-3</v>
      </c>
      <c r="AM305" s="130">
        <v>2.9E-4</v>
      </c>
      <c r="AN305" s="99">
        <f t="shared" si="7"/>
        <v>6.8674999999999995E-3</v>
      </c>
      <c r="AO305" s="99">
        <f t="shared" si="7"/>
        <v>6.5450000000000005E-3</v>
      </c>
      <c r="AP305" s="99">
        <f t="shared" si="7"/>
        <v>1.0351250000000001E-2</v>
      </c>
      <c r="AQ305" s="99">
        <f t="shared" si="6"/>
        <v>1.6150000000000001E-3</v>
      </c>
      <c r="AR305" s="99">
        <f t="shared" si="9"/>
        <v>6.8674999999999995E-3</v>
      </c>
      <c r="AS305" s="99">
        <f t="shared" si="9"/>
        <v>6.5450000000000005E-3</v>
      </c>
      <c r="AT305" s="99">
        <f t="shared" si="9"/>
        <v>1.0351250000000001E-2</v>
      </c>
      <c r="AU305" s="99">
        <f t="shared" si="8"/>
        <v>1.6150000000000001E-3</v>
      </c>
      <c r="AV305" s="99">
        <f t="shared" si="8"/>
        <v>6.8674999999999995E-3</v>
      </c>
      <c r="AW305" s="99">
        <f t="shared" si="8"/>
        <v>6.5450000000000005E-3</v>
      </c>
      <c r="AX305" s="99">
        <f t="shared" si="8"/>
        <v>1.0351250000000001E-2</v>
      </c>
      <c r="AY305" s="99">
        <f t="shared" si="4"/>
        <v>1.6150000000000001E-3</v>
      </c>
    </row>
    <row r="306" spans="3:51" customFormat="1" x14ac:dyDescent="0.2">
      <c r="C306" s="107" t="s">
        <v>412</v>
      </c>
      <c r="D306" s="129" t="s">
        <v>748</v>
      </c>
      <c r="E306" s="107" t="s">
        <v>631</v>
      </c>
      <c r="F306" s="107" t="s">
        <v>749</v>
      </c>
      <c r="G306" s="109" t="s">
        <v>633</v>
      </c>
      <c r="H306" s="130">
        <v>-1E-3</v>
      </c>
      <c r="I306" s="130">
        <v>-2.8999999999999998E-3</v>
      </c>
      <c r="J306" s="130">
        <v>4.9399999999999999E-3</v>
      </c>
      <c r="K306" s="130">
        <v>1.06E-3</v>
      </c>
      <c r="L306" s="130">
        <v>7.3499999999999998E-3</v>
      </c>
      <c r="M306" s="130">
        <v>7.3600000000000002E-3</v>
      </c>
      <c r="N306" s="130">
        <v>6.0800000000000003E-3</v>
      </c>
      <c r="O306" s="130">
        <v>1.3180000000000001E-2</v>
      </c>
      <c r="P306" s="130">
        <v>2.1600000000000001E-2</v>
      </c>
      <c r="Q306" s="130">
        <v>2.589E-2</v>
      </c>
      <c r="R306" s="130">
        <v>1.558E-2</v>
      </c>
      <c r="S306" s="130">
        <v>2.281E-2</v>
      </c>
      <c r="T306" s="130">
        <v>1.7139999999999999E-2</v>
      </c>
      <c r="U306" s="130">
        <v>1.273E-2</v>
      </c>
      <c r="V306" s="130">
        <v>4.8399999999999997E-3</v>
      </c>
      <c r="W306" s="130">
        <v>3.7699999999999999E-3</v>
      </c>
      <c r="X306" s="130">
        <v>6.3899999999999998E-3</v>
      </c>
      <c r="Y306" s="130">
        <v>4.3999999999999996E-4</v>
      </c>
      <c r="Z306" s="130">
        <v>-6.3000000000000003E-4</v>
      </c>
      <c r="AA306" s="130">
        <v>3.1099999999999999E-3</v>
      </c>
      <c r="AB306" s="130">
        <v>2.66E-3</v>
      </c>
      <c r="AC306" s="130">
        <v>-1.17E-3</v>
      </c>
      <c r="AD306" s="130">
        <v>-5.9999999999999995E-4</v>
      </c>
      <c r="AE306" s="130">
        <v>-9.5E-4</v>
      </c>
      <c r="AF306" s="130">
        <v>9.1000000000000004E-3</v>
      </c>
      <c r="AG306" s="130">
        <v>5.0800000000000003E-3</v>
      </c>
      <c r="AH306" s="130">
        <v>2.32E-3</v>
      </c>
      <c r="AI306" s="130">
        <v>4.7200000000000002E-3</v>
      </c>
      <c r="AJ306" s="130">
        <v>5.0899999999999999E-3</v>
      </c>
      <c r="AK306" s="130">
        <v>5.5400000000000007E-3</v>
      </c>
      <c r="AL306" s="130">
        <v>2.7700000000000003E-3</v>
      </c>
      <c r="AM306" s="130">
        <v>5.1400000000000005E-3</v>
      </c>
      <c r="AN306" s="99">
        <f t="shared" si="7"/>
        <v>8.5412500000000002E-3</v>
      </c>
      <c r="AO306" s="99">
        <f t="shared" si="7"/>
        <v>6.6212500000000004E-3</v>
      </c>
      <c r="AP306" s="99">
        <f t="shared" si="7"/>
        <v>4.4124999999999998E-3</v>
      </c>
      <c r="AQ306" s="99">
        <f t="shared" si="6"/>
        <v>6.6049999999999998E-3</v>
      </c>
      <c r="AR306" s="99">
        <f t="shared" si="9"/>
        <v>8.5412500000000002E-3</v>
      </c>
      <c r="AS306" s="99">
        <f t="shared" si="9"/>
        <v>6.6212500000000004E-3</v>
      </c>
      <c r="AT306" s="99">
        <f t="shared" si="9"/>
        <v>4.4124999999999998E-3</v>
      </c>
      <c r="AU306" s="99">
        <f t="shared" si="8"/>
        <v>6.6049999999999998E-3</v>
      </c>
      <c r="AV306" s="99">
        <f t="shared" si="8"/>
        <v>8.5412500000000002E-3</v>
      </c>
      <c r="AW306" s="99">
        <f t="shared" si="8"/>
        <v>6.6212500000000004E-3</v>
      </c>
      <c r="AX306" s="99">
        <f t="shared" si="8"/>
        <v>4.4124999999999998E-3</v>
      </c>
      <c r="AY306" s="99">
        <f t="shared" si="4"/>
        <v>6.6049999999999998E-3</v>
      </c>
    </row>
    <row r="307" spans="3:51" customFormat="1" x14ac:dyDescent="0.2">
      <c r="C307" s="107" t="s">
        <v>413</v>
      </c>
      <c r="D307" s="129" t="s">
        <v>748</v>
      </c>
      <c r="E307" s="107" t="s">
        <v>631</v>
      </c>
      <c r="F307" s="107" t="s">
        <v>749</v>
      </c>
      <c r="G307" s="109" t="s">
        <v>633</v>
      </c>
      <c r="H307" s="130">
        <v>-9.6000000000000002E-4</v>
      </c>
      <c r="I307" s="130">
        <v>1.2800000000000001E-3</v>
      </c>
      <c r="J307" s="130">
        <v>2.4499999999999999E-3</v>
      </c>
      <c r="K307" s="130">
        <v>-2E-3</v>
      </c>
      <c r="L307" s="130">
        <v>5.6999999999999993E-3</v>
      </c>
      <c r="M307" s="130">
        <v>7.6300000000000005E-3</v>
      </c>
      <c r="N307" s="130">
        <v>5.8399999999999997E-3</v>
      </c>
      <c r="O307" s="130">
        <v>7.7400000000000004E-3</v>
      </c>
      <c r="P307" s="130">
        <v>1.49E-2</v>
      </c>
      <c r="Q307" s="130">
        <v>2.3480000000000001E-2</v>
      </c>
      <c r="R307" s="130">
        <v>1.119E-2</v>
      </c>
      <c r="S307" s="130">
        <v>9.8200000000000006E-3</v>
      </c>
      <c r="T307" s="130">
        <v>1.417E-2</v>
      </c>
      <c r="U307" s="130">
        <v>1.5610000000000001E-2</v>
      </c>
      <c r="V307" s="130">
        <v>6.4400000000000004E-3</v>
      </c>
      <c r="W307" s="130">
        <v>5.4000000000000001E-4</v>
      </c>
      <c r="X307" s="130">
        <v>5.13E-3</v>
      </c>
      <c r="Y307" s="130">
        <v>9.8399999999999998E-3</v>
      </c>
      <c r="Z307" s="130">
        <v>1.83E-3</v>
      </c>
      <c r="AA307" s="130">
        <v>-4.0999999999999995E-3</v>
      </c>
      <c r="AB307" s="130">
        <v>3.1099999999999999E-3</v>
      </c>
      <c r="AC307" s="130">
        <v>7.3200000000000001E-3</v>
      </c>
      <c r="AD307" s="130">
        <v>3.8E-3</v>
      </c>
      <c r="AE307" s="130">
        <v>-5.4300000000000008E-3</v>
      </c>
      <c r="AF307" s="130">
        <v>6.96E-3</v>
      </c>
      <c r="AG307" s="130">
        <v>9.7199999999999995E-3</v>
      </c>
      <c r="AH307" s="130">
        <v>2.9099999999999998E-3</v>
      </c>
      <c r="AI307" s="130">
        <v>-1.58E-3</v>
      </c>
      <c r="AJ307" s="130">
        <v>6.7000000000000002E-3</v>
      </c>
      <c r="AK307" s="130">
        <v>1.059E-2</v>
      </c>
      <c r="AL307" s="130">
        <v>3.7100000000000002E-3</v>
      </c>
      <c r="AM307" s="130">
        <v>-1.1899999999999999E-3</v>
      </c>
      <c r="AN307" s="99">
        <f t="shared" si="7"/>
        <v>6.9637499999999995E-3</v>
      </c>
      <c r="AO307" s="99">
        <f t="shared" si="7"/>
        <v>1.0683749999999999E-2</v>
      </c>
      <c r="AP307" s="99">
        <f t="shared" si="7"/>
        <v>4.7712499999999994E-3</v>
      </c>
      <c r="AQ307" s="99">
        <f t="shared" si="6"/>
        <v>4.7499999999999994E-4</v>
      </c>
      <c r="AR307" s="99">
        <f t="shared" si="9"/>
        <v>6.9637499999999995E-3</v>
      </c>
      <c r="AS307" s="99">
        <f t="shared" si="9"/>
        <v>1.0683749999999999E-2</v>
      </c>
      <c r="AT307" s="99">
        <f t="shared" si="9"/>
        <v>4.7712499999999994E-3</v>
      </c>
      <c r="AU307" s="99">
        <f t="shared" si="8"/>
        <v>4.7499999999999994E-4</v>
      </c>
      <c r="AV307" s="99">
        <f t="shared" si="8"/>
        <v>6.9637499999999995E-3</v>
      </c>
      <c r="AW307" s="99">
        <f t="shared" si="8"/>
        <v>1.0683749999999999E-2</v>
      </c>
      <c r="AX307" s="99">
        <f t="shared" si="8"/>
        <v>4.7712499999999994E-3</v>
      </c>
      <c r="AY307" s="99">
        <f t="shared" si="4"/>
        <v>4.7499999999999994E-4</v>
      </c>
    </row>
    <row r="308" spans="3:51" customFormat="1" x14ac:dyDescent="0.2">
      <c r="C308" s="107" t="s">
        <v>414</v>
      </c>
      <c r="D308" s="129" t="s">
        <v>748</v>
      </c>
      <c r="E308" s="107" t="s">
        <v>631</v>
      </c>
      <c r="F308" s="107" t="s">
        <v>749</v>
      </c>
      <c r="G308" s="109" t="s">
        <v>633</v>
      </c>
      <c r="H308" s="130">
        <v>1.67E-3</v>
      </c>
      <c r="I308" s="130">
        <v>3.6600000000000001E-3</v>
      </c>
      <c r="J308" s="130">
        <v>-7.3000000000000001E-3</v>
      </c>
      <c r="K308" s="130">
        <v>1E-3</v>
      </c>
      <c r="L308" s="130">
        <v>1.77E-2</v>
      </c>
      <c r="M308" s="130">
        <v>1.0500000000000001E-2</v>
      </c>
      <c r="N308" s="130">
        <v>9.0900000000000009E-3</v>
      </c>
      <c r="O308" s="130">
        <v>9.0100000000000006E-3</v>
      </c>
      <c r="P308" s="130">
        <v>1.8500000000000003E-2</v>
      </c>
      <c r="Q308" s="130">
        <v>2.8500000000000001E-2</v>
      </c>
      <c r="R308" s="130">
        <v>1.6140000000000002E-2</v>
      </c>
      <c r="S308" s="130">
        <v>2.0080000000000001E-2</v>
      </c>
      <c r="T308" s="130">
        <v>1.528E-2</v>
      </c>
      <c r="U308" s="130">
        <v>1.244E-2</v>
      </c>
      <c r="V308" s="130">
        <v>7.1399999999999996E-3</v>
      </c>
      <c r="W308" s="130">
        <v>2.8000000000000003E-4</v>
      </c>
      <c r="X308" s="130">
        <v>5.11E-3</v>
      </c>
      <c r="Y308" s="130">
        <v>1.0160000000000001E-2</v>
      </c>
      <c r="Z308" s="130">
        <v>3.63E-3</v>
      </c>
      <c r="AA308" s="130">
        <v>3.9000000000000003E-3</v>
      </c>
      <c r="AB308" s="130">
        <v>4.7099999999999998E-3</v>
      </c>
      <c r="AC308" s="130">
        <v>8.2799999999999992E-3</v>
      </c>
      <c r="AD308" s="130">
        <v>4.9300000000000004E-3</v>
      </c>
      <c r="AE308" s="130">
        <v>3.5399999999999997E-3</v>
      </c>
      <c r="AF308" s="130">
        <v>3.0300000000000001E-3</v>
      </c>
      <c r="AG308" s="130">
        <v>7.7600000000000004E-3</v>
      </c>
      <c r="AH308" s="130">
        <v>3.49E-3</v>
      </c>
      <c r="AI308" s="130">
        <v>2.4299999999999999E-3</v>
      </c>
      <c r="AJ308" s="130">
        <v>4.9500000000000004E-3</v>
      </c>
      <c r="AK308" s="130">
        <v>8.77E-3</v>
      </c>
      <c r="AL308" s="130">
        <v>4.2500000000000003E-3</v>
      </c>
      <c r="AM308" s="130">
        <v>2.8000000000000004E-3</v>
      </c>
      <c r="AN308" s="99">
        <f t="shared" si="7"/>
        <v>8.8687500000000016E-3</v>
      </c>
      <c r="AO308" s="99">
        <f t="shared" si="7"/>
        <v>1.1258749999999998E-2</v>
      </c>
      <c r="AP308" s="99">
        <f t="shared" si="7"/>
        <v>5.1712500000000005E-3</v>
      </c>
      <c r="AQ308" s="99">
        <f t="shared" si="6"/>
        <v>5.3800000000000011E-3</v>
      </c>
      <c r="AR308" s="99">
        <f t="shared" si="9"/>
        <v>8.8687500000000016E-3</v>
      </c>
      <c r="AS308" s="99">
        <f t="shared" si="9"/>
        <v>1.1258749999999998E-2</v>
      </c>
      <c r="AT308" s="99">
        <f t="shared" si="9"/>
        <v>5.1712500000000005E-3</v>
      </c>
      <c r="AU308" s="99">
        <f t="shared" si="8"/>
        <v>5.3800000000000011E-3</v>
      </c>
      <c r="AV308" s="99">
        <f t="shared" si="8"/>
        <v>8.8687500000000016E-3</v>
      </c>
      <c r="AW308" s="99">
        <f t="shared" si="8"/>
        <v>1.1258749999999998E-2</v>
      </c>
      <c r="AX308" s="99">
        <f t="shared" si="8"/>
        <v>5.1712500000000005E-3</v>
      </c>
      <c r="AY308" s="99">
        <f t="shared" si="4"/>
        <v>5.3800000000000011E-3</v>
      </c>
    </row>
    <row r="309" spans="3:51" customFormat="1" x14ac:dyDescent="0.2">
      <c r="C309" s="107" t="s">
        <v>535</v>
      </c>
      <c r="D309" s="129" t="s">
        <v>748</v>
      </c>
      <c r="E309" s="107" t="s">
        <v>631</v>
      </c>
      <c r="F309" s="107" t="s">
        <v>749</v>
      </c>
      <c r="G309" s="109" t="s">
        <v>633</v>
      </c>
      <c r="H309" s="130">
        <v>-1.2540000000000001E-2</v>
      </c>
      <c r="I309" s="130">
        <v>-1.08E-3</v>
      </c>
      <c r="J309" s="130">
        <v>-1.704E-2</v>
      </c>
      <c r="K309" s="130">
        <v>1.0209999999999999E-2</v>
      </c>
      <c r="L309" s="130">
        <v>-8.2399999999999991E-3</v>
      </c>
      <c r="M309" s="130">
        <v>1.8360000000000001E-2</v>
      </c>
      <c r="N309" s="130">
        <v>-2.0899999999999998E-3</v>
      </c>
      <c r="O309" s="130">
        <v>3.6339999999999997E-2</v>
      </c>
      <c r="P309" s="130">
        <v>2.0209999999999999E-2</v>
      </c>
      <c r="Q309" s="130">
        <v>5.3960000000000001E-2</v>
      </c>
      <c r="R309" s="130">
        <v>2.1700000000000001E-3</v>
      </c>
      <c r="S309" s="130">
        <v>4.7599999999999995E-3</v>
      </c>
      <c r="T309" s="130">
        <v>-2.33E-3</v>
      </c>
      <c r="U309" s="130">
        <v>2.053E-2</v>
      </c>
      <c r="V309" s="130">
        <v>-2.4000000000000001E-4</v>
      </c>
      <c r="W309" s="130">
        <v>1.4920000000000001E-2</v>
      </c>
      <c r="X309" s="130">
        <v>-4.4099999999999999E-3</v>
      </c>
      <c r="Y309" s="130">
        <v>1.536E-2</v>
      </c>
      <c r="Z309" s="130">
        <v>2.7000000000000001E-3</v>
      </c>
      <c r="AA309" s="130">
        <v>1.0629999999999999E-2</v>
      </c>
      <c r="AB309" s="130">
        <v>-3.14E-3</v>
      </c>
      <c r="AC309" s="130">
        <v>1.371E-2</v>
      </c>
      <c r="AD309" s="130">
        <v>4.8799999999999998E-3</v>
      </c>
      <c r="AE309" s="130">
        <v>7.7600000000000004E-3</v>
      </c>
      <c r="AF309" s="130">
        <v>-3.7200000000000002E-3</v>
      </c>
      <c r="AG309" s="130">
        <v>1.9039999999999998E-2</v>
      </c>
      <c r="AH309" s="130">
        <v>-4.3100000000000005E-3</v>
      </c>
      <c r="AI309" s="130">
        <v>1.146E-2</v>
      </c>
      <c r="AJ309" s="130">
        <v>-5.4800000000000005E-3</v>
      </c>
      <c r="AK309" s="130">
        <v>1.8350000000000002E-2</v>
      </c>
      <c r="AL309" s="130">
        <v>-4.5999999999999999E-3</v>
      </c>
      <c r="AM309" s="130">
        <v>1.153E-2</v>
      </c>
      <c r="AN309" s="99">
        <f t="shared" si="7"/>
        <v>-2.4562500000000001E-3</v>
      </c>
      <c r="AO309" s="99">
        <f t="shared" si="7"/>
        <v>1.9778750000000001E-2</v>
      </c>
      <c r="AP309" s="99">
        <f t="shared" si="7"/>
        <v>-2.3162500000000002E-3</v>
      </c>
      <c r="AQ309" s="99">
        <f t="shared" si="6"/>
        <v>1.345125E-2</v>
      </c>
      <c r="AR309" s="99">
        <f t="shared" si="9"/>
        <v>-2.4562500000000001E-3</v>
      </c>
      <c r="AS309" s="99">
        <f t="shared" si="9"/>
        <v>1.9778750000000001E-2</v>
      </c>
      <c r="AT309" s="99">
        <f t="shared" si="9"/>
        <v>-2.3162500000000002E-3</v>
      </c>
      <c r="AU309" s="99">
        <f t="shared" si="8"/>
        <v>1.345125E-2</v>
      </c>
      <c r="AV309" s="99">
        <f t="shared" si="8"/>
        <v>-2.4562500000000001E-3</v>
      </c>
      <c r="AW309" s="99">
        <f t="shared" si="8"/>
        <v>1.9778750000000001E-2</v>
      </c>
      <c r="AX309" s="99">
        <f t="shared" si="8"/>
        <v>-2.3162500000000002E-3</v>
      </c>
      <c r="AY309" s="99">
        <f t="shared" si="4"/>
        <v>1.345125E-2</v>
      </c>
    </row>
    <row r="310" spans="3:51" customFormat="1" x14ac:dyDescent="0.2">
      <c r="C310" s="107" t="s">
        <v>415</v>
      </c>
      <c r="D310" s="129" t="s">
        <v>748</v>
      </c>
      <c r="E310" s="107" t="s">
        <v>631</v>
      </c>
      <c r="F310" s="107" t="s">
        <v>749</v>
      </c>
      <c r="G310" s="109" t="s">
        <v>633</v>
      </c>
      <c r="H310" s="130">
        <v>-3.8999999999999999E-4</v>
      </c>
      <c r="I310" s="130">
        <v>-1.97E-3</v>
      </c>
      <c r="J310" s="130">
        <v>-3.96E-3</v>
      </c>
      <c r="K310" s="130">
        <v>-5.1600000000000005E-3</v>
      </c>
      <c r="L310" s="130">
        <v>8.7799999999999996E-3</v>
      </c>
      <c r="M310" s="130">
        <v>1.464E-2</v>
      </c>
      <c r="N310" s="130">
        <v>1.0920000000000001E-2</v>
      </c>
      <c r="O310" s="130">
        <v>1.736E-2</v>
      </c>
      <c r="P310" s="130">
        <v>1.3650000000000001E-2</v>
      </c>
      <c r="Q310" s="130">
        <v>3.5910000000000004E-2</v>
      </c>
      <c r="R310" s="130">
        <v>1.7330000000000002E-2</v>
      </c>
      <c r="S310" s="130">
        <v>1.8460000000000001E-2</v>
      </c>
      <c r="T310" s="130">
        <v>5.9299999999999995E-3</v>
      </c>
      <c r="U310" s="130">
        <v>2.3220000000000001E-2</v>
      </c>
      <c r="V310" s="130">
        <v>1.321E-2</v>
      </c>
      <c r="W310" s="130">
        <v>2.0100000000000001E-3</v>
      </c>
      <c r="X310" s="130">
        <v>-4.0000000000000001E-3</v>
      </c>
      <c r="Y310" s="130">
        <v>1.34E-2</v>
      </c>
      <c r="Z310" s="130">
        <v>3.9700000000000004E-3</v>
      </c>
      <c r="AA310" s="130">
        <v>-2.96E-3</v>
      </c>
      <c r="AB310" s="130">
        <v>4.62E-3</v>
      </c>
      <c r="AC310" s="130">
        <v>1.315E-2</v>
      </c>
      <c r="AD310" s="130">
        <v>6.1599999999999997E-3</v>
      </c>
      <c r="AE310" s="130">
        <v>5.1600000000000005E-3</v>
      </c>
      <c r="AF310" s="130">
        <v>-4.1599999999999996E-3</v>
      </c>
      <c r="AG310" s="130">
        <v>1.17E-2</v>
      </c>
      <c r="AH310" s="130">
        <v>3.8900000000000002E-3</v>
      </c>
      <c r="AI310" s="130">
        <v>7.5000000000000002E-4</v>
      </c>
      <c r="AJ310" s="130">
        <v>-1.4000000000000001E-4</v>
      </c>
      <c r="AK310" s="130">
        <v>1.3380000000000001E-2</v>
      </c>
      <c r="AL310" s="130">
        <v>4.79E-3</v>
      </c>
      <c r="AM310" s="130">
        <v>8.0000000000000004E-4</v>
      </c>
      <c r="AN310" s="99">
        <f t="shared" si="7"/>
        <v>3.0362499999999999E-3</v>
      </c>
      <c r="AO310" s="99">
        <f t="shared" si="7"/>
        <v>1.5428750000000001E-2</v>
      </c>
      <c r="AP310" s="99">
        <f t="shared" si="7"/>
        <v>7.0387500000000007E-3</v>
      </c>
      <c r="AQ310" s="99">
        <f t="shared" si="6"/>
        <v>4.5525000000000001E-3</v>
      </c>
      <c r="AR310" s="99">
        <f t="shared" si="9"/>
        <v>3.0362499999999999E-3</v>
      </c>
      <c r="AS310" s="99">
        <f t="shared" si="9"/>
        <v>1.5428750000000001E-2</v>
      </c>
      <c r="AT310" s="99">
        <f t="shared" si="9"/>
        <v>7.0387500000000007E-3</v>
      </c>
      <c r="AU310" s="99">
        <f t="shared" si="8"/>
        <v>4.5525000000000001E-3</v>
      </c>
      <c r="AV310" s="99">
        <f t="shared" si="8"/>
        <v>3.0362499999999999E-3</v>
      </c>
      <c r="AW310" s="99">
        <f t="shared" si="8"/>
        <v>1.5428750000000001E-2</v>
      </c>
      <c r="AX310" s="99">
        <f t="shared" si="8"/>
        <v>7.0387500000000007E-3</v>
      </c>
      <c r="AY310" s="99">
        <f t="shared" si="4"/>
        <v>4.5525000000000001E-3</v>
      </c>
    </row>
    <row r="311" spans="3:51" customFormat="1" x14ac:dyDescent="0.2">
      <c r="C311" s="107" t="s">
        <v>416</v>
      </c>
      <c r="D311" s="129" t="s">
        <v>748</v>
      </c>
      <c r="E311" s="107" t="s">
        <v>631</v>
      </c>
      <c r="F311" s="107" t="s">
        <v>749</v>
      </c>
      <c r="G311" s="109" t="s">
        <v>633</v>
      </c>
      <c r="H311" s="130">
        <v>1.3000000000000002E-3</v>
      </c>
      <c r="I311" s="130">
        <v>3.2000000000000003E-4</v>
      </c>
      <c r="J311" s="130">
        <v>-2.2700000000000003E-3</v>
      </c>
      <c r="K311" s="130">
        <v>-1.6200000000000001E-3</v>
      </c>
      <c r="L311" s="130">
        <v>9.4299999999999991E-3</v>
      </c>
      <c r="M311" s="130">
        <v>6.4400000000000004E-3</v>
      </c>
      <c r="N311" s="130">
        <v>7.3600000000000002E-3</v>
      </c>
      <c r="O311" s="130">
        <v>1.176E-2</v>
      </c>
      <c r="P311" s="130">
        <v>3.0150000000000003E-2</v>
      </c>
      <c r="Q311" s="130">
        <v>1.8290000000000001E-2</v>
      </c>
      <c r="R311" s="130">
        <v>2.1259999999999998E-2</v>
      </c>
      <c r="S311" s="130">
        <v>4.3099999999999999E-2</v>
      </c>
      <c r="T311" s="130">
        <v>3.9300000000000003E-3</v>
      </c>
      <c r="U311" s="130">
        <v>4.1999999999999997E-3</v>
      </c>
      <c r="V311" s="130">
        <v>3.9000000000000003E-3</v>
      </c>
      <c r="W311" s="130">
        <v>-2.2200000000000002E-3</v>
      </c>
      <c r="X311" s="130">
        <v>3.3400000000000001E-3</v>
      </c>
      <c r="Y311" s="130">
        <v>3.0500000000000002E-3</v>
      </c>
      <c r="Z311" s="130">
        <v>6.0800000000000003E-3</v>
      </c>
      <c r="AA311" s="130">
        <v>-8.2000000000000009E-4</v>
      </c>
      <c r="AB311" s="130">
        <v>8.2500000000000004E-3</v>
      </c>
      <c r="AC311" s="130">
        <v>3.5499999999999998E-3</v>
      </c>
      <c r="AD311" s="130">
        <v>4.8900000000000002E-3</v>
      </c>
      <c r="AE311" s="130">
        <v>-5.1400000000000005E-3</v>
      </c>
      <c r="AF311" s="130">
        <v>1.3850000000000001E-2</v>
      </c>
      <c r="AG311" s="130">
        <v>3.62E-3</v>
      </c>
      <c r="AH311" s="130">
        <v>4.3400000000000001E-3</v>
      </c>
      <c r="AI311" s="130">
        <v>2.9299999999999999E-3</v>
      </c>
      <c r="AJ311" s="130">
        <v>7.79E-3</v>
      </c>
      <c r="AK311" s="130">
        <v>4.3699999999999998E-3</v>
      </c>
      <c r="AL311" s="130">
        <v>5.2000000000000006E-3</v>
      </c>
      <c r="AM311" s="130">
        <v>3.64E-3</v>
      </c>
      <c r="AN311" s="99">
        <f t="shared" si="7"/>
        <v>9.7549999999999998E-3</v>
      </c>
      <c r="AO311" s="99">
        <f t="shared" si="7"/>
        <v>5.4800000000000005E-3</v>
      </c>
      <c r="AP311" s="99">
        <f t="shared" si="7"/>
        <v>6.3449999999999991E-3</v>
      </c>
      <c r="AQ311" s="99">
        <f t="shared" si="6"/>
        <v>6.4537499999999994E-3</v>
      </c>
      <c r="AR311" s="99">
        <f t="shared" si="9"/>
        <v>9.7549999999999998E-3</v>
      </c>
      <c r="AS311" s="99">
        <f t="shared" si="9"/>
        <v>5.4800000000000005E-3</v>
      </c>
      <c r="AT311" s="99">
        <f t="shared" si="9"/>
        <v>6.3449999999999991E-3</v>
      </c>
      <c r="AU311" s="99">
        <f t="shared" si="8"/>
        <v>6.4537499999999994E-3</v>
      </c>
      <c r="AV311" s="99">
        <f t="shared" si="8"/>
        <v>9.7549999999999998E-3</v>
      </c>
      <c r="AW311" s="99">
        <f t="shared" si="8"/>
        <v>5.4800000000000005E-3</v>
      </c>
      <c r="AX311" s="99">
        <f t="shared" si="8"/>
        <v>6.3449999999999991E-3</v>
      </c>
      <c r="AY311" s="99">
        <f t="shared" si="4"/>
        <v>6.4537499999999994E-3</v>
      </c>
    </row>
    <row r="312" spans="3:51" customFormat="1" x14ac:dyDescent="0.2">
      <c r="C312" s="107" t="s">
        <v>572</v>
      </c>
      <c r="D312" s="129" t="s">
        <v>748</v>
      </c>
      <c r="E312" s="107" t="s">
        <v>631</v>
      </c>
      <c r="F312" s="107" t="s">
        <v>749</v>
      </c>
      <c r="G312" s="109" t="s">
        <v>633</v>
      </c>
      <c r="H312" s="130">
        <v>-3.8400000000000001E-3</v>
      </c>
      <c r="I312" s="130">
        <v>8.0400000000000003E-3</v>
      </c>
      <c r="J312" s="130">
        <v>8.2900000000000005E-3</v>
      </c>
      <c r="K312" s="130">
        <v>-2.3700000000000001E-3</v>
      </c>
      <c r="L312" s="130">
        <v>3.49E-3</v>
      </c>
      <c r="M312" s="130">
        <v>1.055E-2</v>
      </c>
      <c r="N312" s="130">
        <v>9.8600000000000007E-3</v>
      </c>
      <c r="O312" s="130">
        <v>2.3E-2</v>
      </c>
      <c r="P312" s="130">
        <v>2.9169999999999998E-2</v>
      </c>
      <c r="Q312" s="130">
        <v>2.477E-2</v>
      </c>
      <c r="R312" s="130">
        <v>4.0510000000000004E-2</v>
      </c>
      <c r="S312" s="130">
        <v>1.3779999999999999E-2</v>
      </c>
      <c r="T312" s="130">
        <v>-1.367E-2</v>
      </c>
      <c r="U312" s="130">
        <v>1.536E-2</v>
      </c>
      <c r="V312" s="130">
        <v>1.0289999999999999E-2</v>
      </c>
      <c r="W312" s="130">
        <v>-3.6900000000000001E-3</v>
      </c>
      <c r="X312" s="130">
        <v>8.0400000000000003E-3</v>
      </c>
      <c r="Y312" s="130">
        <v>1.4019999999999999E-2</v>
      </c>
      <c r="Z312" s="130">
        <v>1.7090000000000001E-2</v>
      </c>
      <c r="AA312" s="130">
        <v>-7.6000000000000004E-4</v>
      </c>
      <c r="AB312" s="130">
        <v>5.3400000000000001E-3</v>
      </c>
      <c r="AC312" s="130">
        <v>1.3080000000000001E-2</v>
      </c>
      <c r="AD312" s="130">
        <v>1.222E-2</v>
      </c>
      <c r="AE312" s="130">
        <v>-1.6900000000000001E-3</v>
      </c>
      <c r="AF312" s="130">
        <v>5.0000000000000001E-3</v>
      </c>
      <c r="AG312" s="130">
        <v>1.0500000000000001E-2</v>
      </c>
      <c r="AH312" s="130">
        <v>1.146E-2</v>
      </c>
      <c r="AI312" s="130">
        <v>3.2000000000000003E-4</v>
      </c>
      <c r="AJ312" s="130">
        <v>2.4199999999999998E-3</v>
      </c>
      <c r="AK312" s="130">
        <v>1.065E-2</v>
      </c>
      <c r="AL312" s="130">
        <v>1.172E-2</v>
      </c>
      <c r="AM312" s="130">
        <v>-1.9000000000000001E-4</v>
      </c>
      <c r="AN312" s="99">
        <f t="shared" si="7"/>
        <v>4.4937499999999986E-3</v>
      </c>
      <c r="AO312" s="99">
        <f t="shared" si="7"/>
        <v>1.3371250000000003E-2</v>
      </c>
      <c r="AP312" s="99">
        <f t="shared" si="7"/>
        <v>1.5180000000000003E-2</v>
      </c>
      <c r="AQ312" s="99">
        <f t="shared" si="6"/>
        <v>3.5500000000000002E-3</v>
      </c>
      <c r="AR312" s="99">
        <f t="shared" si="9"/>
        <v>4.4937499999999986E-3</v>
      </c>
      <c r="AS312" s="99">
        <f t="shared" si="9"/>
        <v>1.3371250000000003E-2</v>
      </c>
      <c r="AT312" s="99">
        <f t="shared" si="9"/>
        <v>1.5180000000000003E-2</v>
      </c>
      <c r="AU312" s="99">
        <f t="shared" si="8"/>
        <v>3.5500000000000002E-3</v>
      </c>
      <c r="AV312" s="99">
        <f t="shared" si="8"/>
        <v>4.4937499999999986E-3</v>
      </c>
      <c r="AW312" s="99">
        <f t="shared" si="8"/>
        <v>1.3371250000000003E-2</v>
      </c>
      <c r="AX312" s="99">
        <f t="shared" si="8"/>
        <v>1.5180000000000003E-2</v>
      </c>
      <c r="AY312" s="99">
        <f t="shared" si="4"/>
        <v>3.5500000000000002E-3</v>
      </c>
    </row>
    <row r="313" spans="3:51" customFormat="1" x14ac:dyDescent="0.2">
      <c r="C313" s="107" t="s">
        <v>421</v>
      </c>
      <c r="D313" s="129" t="s">
        <v>748</v>
      </c>
      <c r="E313" s="107" t="s">
        <v>631</v>
      </c>
      <c r="F313" s="107" t="s">
        <v>749</v>
      </c>
      <c r="G313" s="109" t="s">
        <v>633</v>
      </c>
      <c r="H313" s="130">
        <v>-1.5E-3</v>
      </c>
      <c r="I313" s="130">
        <v>5.9899999999999997E-3</v>
      </c>
      <c r="J313" s="130">
        <v>7.7500000000000008E-3</v>
      </c>
      <c r="K313" s="130">
        <v>5.9000000000000003E-4</v>
      </c>
      <c r="L313" s="130">
        <v>1.507E-2</v>
      </c>
      <c r="M313" s="130">
        <v>4.6600000000000001E-3</v>
      </c>
      <c r="N313" s="130">
        <v>1.4190000000000001E-2</v>
      </c>
      <c r="O313" s="130">
        <v>1.171E-2</v>
      </c>
      <c r="P313" s="130">
        <v>7.0599999999999994E-3</v>
      </c>
      <c r="Q313" s="130">
        <v>2.4109999999999999E-2</v>
      </c>
      <c r="R313" s="130">
        <v>2.299E-2</v>
      </c>
      <c r="S313" s="130">
        <v>1.0700000000000001E-2</v>
      </c>
      <c r="T313" s="130">
        <v>6.8799999999999998E-3</v>
      </c>
      <c r="U313" s="130">
        <v>2.2879999999999998E-2</v>
      </c>
      <c r="V313" s="130">
        <v>4.1099999999999999E-3</v>
      </c>
      <c r="W313" s="130">
        <v>1.0749999999999999E-2</v>
      </c>
      <c r="X313" s="130">
        <v>5.3200000000000001E-3</v>
      </c>
      <c r="Y313" s="130">
        <v>1.0329999999999999E-2</v>
      </c>
      <c r="Z313" s="130">
        <v>1.25E-3</v>
      </c>
      <c r="AA313" s="130">
        <v>6.7200000000000003E-3</v>
      </c>
      <c r="AB313" s="130">
        <v>9.9000000000000008E-3</v>
      </c>
      <c r="AC313" s="130">
        <v>1.004E-2</v>
      </c>
      <c r="AD313" s="130">
        <v>7.5199999999999998E-3</v>
      </c>
      <c r="AE313" s="130">
        <v>3.13E-3</v>
      </c>
      <c r="AF313" s="130">
        <v>4.0000000000000001E-3</v>
      </c>
      <c r="AG313" s="130">
        <v>9.0100000000000006E-3</v>
      </c>
      <c r="AH313" s="130">
        <v>5.4100000000000007E-3</v>
      </c>
      <c r="AI313" s="130">
        <v>2.97E-3</v>
      </c>
      <c r="AJ313" s="130">
        <v>3.3900000000000002E-3</v>
      </c>
      <c r="AK313" s="130">
        <v>8.8900000000000003E-3</v>
      </c>
      <c r="AL313" s="130">
        <v>5.6499999999999996E-3</v>
      </c>
      <c r="AM313" s="130">
        <v>3.1099999999999999E-3</v>
      </c>
      <c r="AN313" s="99">
        <f t="shared" si="7"/>
        <v>6.2649999999999997E-3</v>
      </c>
      <c r="AO313" s="99">
        <f t="shared" si="7"/>
        <v>1.1988749999999999E-2</v>
      </c>
      <c r="AP313" s="99">
        <f t="shared" si="7"/>
        <v>8.6087500000000001E-3</v>
      </c>
      <c r="AQ313" s="99">
        <f t="shared" si="6"/>
        <v>6.2100000000000002E-3</v>
      </c>
      <c r="AR313" s="99">
        <f t="shared" si="9"/>
        <v>6.2649999999999997E-3</v>
      </c>
      <c r="AS313" s="99">
        <f t="shared" si="9"/>
        <v>1.1988749999999999E-2</v>
      </c>
      <c r="AT313" s="99">
        <f t="shared" si="9"/>
        <v>8.6087500000000001E-3</v>
      </c>
      <c r="AU313" s="99">
        <f t="shared" si="8"/>
        <v>6.2100000000000002E-3</v>
      </c>
      <c r="AV313" s="99">
        <f t="shared" si="8"/>
        <v>6.2649999999999997E-3</v>
      </c>
      <c r="AW313" s="99">
        <f t="shared" si="8"/>
        <v>1.1988749999999999E-2</v>
      </c>
      <c r="AX313" s="99">
        <f t="shared" si="8"/>
        <v>8.6087500000000001E-3</v>
      </c>
      <c r="AY313" s="99">
        <f t="shared" si="4"/>
        <v>6.2100000000000002E-3</v>
      </c>
    </row>
    <row r="314" spans="3:51" customFormat="1" x14ac:dyDescent="0.2">
      <c r="C314" s="107" t="s">
        <v>422</v>
      </c>
      <c r="D314" s="129" t="s">
        <v>748</v>
      </c>
      <c r="E314" s="107" t="s">
        <v>631</v>
      </c>
      <c r="F314" s="107" t="s">
        <v>749</v>
      </c>
      <c r="G314" s="109" t="s">
        <v>633</v>
      </c>
      <c r="H314" s="130">
        <v>-9.1500000000000001E-3</v>
      </c>
      <c r="I314" s="130">
        <v>1.052E-2</v>
      </c>
      <c r="J314" s="130">
        <v>-7.1300000000000001E-3</v>
      </c>
      <c r="K314" s="130">
        <v>4.15E-3</v>
      </c>
      <c r="L314" s="130">
        <v>-3.3300000000000001E-3</v>
      </c>
      <c r="M314" s="130">
        <v>1.409E-2</v>
      </c>
      <c r="N314" s="130">
        <v>3.0000000000000001E-5</v>
      </c>
      <c r="O314" s="130">
        <v>1.298E-2</v>
      </c>
      <c r="P314" s="130">
        <v>1.5220000000000001E-2</v>
      </c>
      <c r="Q314" s="130">
        <v>4.9930000000000002E-2</v>
      </c>
      <c r="R314" s="130">
        <v>1.038E-2</v>
      </c>
      <c r="S314" s="130">
        <v>2.0339999999999997E-2</v>
      </c>
      <c r="T314" s="130">
        <v>-2.15E-3</v>
      </c>
      <c r="U314" s="130">
        <v>1.4420000000000001E-2</v>
      </c>
      <c r="V314" s="130">
        <v>1.6400000000000002E-3</v>
      </c>
      <c r="W314" s="130">
        <v>2.99E-3</v>
      </c>
      <c r="X314" s="130">
        <v>3.0200000000000001E-3</v>
      </c>
      <c r="Y314" s="130">
        <v>1.9060000000000001E-2</v>
      </c>
      <c r="Z314" s="130">
        <v>-3.5699999999999998E-3</v>
      </c>
      <c r="AA314" s="130">
        <v>7.3899999999999999E-3</v>
      </c>
      <c r="AB314" s="130">
        <v>-3.5000000000000005E-4</v>
      </c>
      <c r="AC314" s="130">
        <v>1.8919999999999999E-2</v>
      </c>
      <c r="AD314" s="130">
        <v>-8.9999999999999992E-5</v>
      </c>
      <c r="AE314" s="130">
        <v>3.9000000000000003E-3</v>
      </c>
      <c r="AF314" s="130">
        <v>-2.2500000000000003E-3</v>
      </c>
      <c r="AG314" s="130">
        <v>1.934E-2</v>
      </c>
      <c r="AH314" s="130">
        <v>-2.48E-3</v>
      </c>
      <c r="AI314" s="130">
        <v>6.2900000000000005E-3</v>
      </c>
      <c r="AJ314" s="130">
        <v>-2.7500000000000003E-3</v>
      </c>
      <c r="AK314" s="130">
        <v>1.9380000000000001E-2</v>
      </c>
      <c r="AL314" s="130">
        <v>-2.14E-3</v>
      </c>
      <c r="AM314" s="130">
        <v>6.6800000000000002E-3</v>
      </c>
      <c r="AN314" s="99">
        <f t="shared" si="7"/>
        <v>-2.1750000000000003E-4</v>
      </c>
      <c r="AO314" s="99">
        <f t="shared" si="7"/>
        <v>2.07075E-2</v>
      </c>
      <c r="AP314" s="99">
        <f t="shared" si="7"/>
        <v>-4.1999999999999985E-4</v>
      </c>
      <c r="AQ314" s="99">
        <f t="shared" si="6"/>
        <v>8.0899999999999982E-3</v>
      </c>
      <c r="AR314" s="99">
        <f t="shared" si="9"/>
        <v>-2.1750000000000003E-4</v>
      </c>
      <c r="AS314" s="99">
        <f t="shared" si="9"/>
        <v>2.07075E-2</v>
      </c>
      <c r="AT314" s="99">
        <f t="shared" si="9"/>
        <v>-4.1999999999999985E-4</v>
      </c>
      <c r="AU314" s="99">
        <f t="shared" si="8"/>
        <v>8.0899999999999982E-3</v>
      </c>
      <c r="AV314" s="99">
        <f t="shared" si="8"/>
        <v>-2.1750000000000003E-4</v>
      </c>
      <c r="AW314" s="99">
        <f t="shared" si="8"/>
        <v>2.07075E-2</v>
      </c>
      <c r="AX314" s="99">
        <f t="shared" si="8"/>
        <v>-4.1999999999999985E-4</v>
      </c>
      <c r="AY314" s="99">
        <f t="shared" si="4"/>
        <v>8.0899999999999982E-3</v>
      </c>
    </row>
    <row r="315" spans="3:51" customFormat="1" x14ac:dyDescent="0.2">
      <c r="C315" s="107" t="s">
        <v>425</v>
      </c>
      <c r="D315" s="129" t="s">
        <v>748</v>
      </c>
      <c r="E315" s="107" t="s">
        <v>631</v>
      </c>
      <c r="F315" s="107" t="s">
        <v>749</v>
      </c>
      <c r="G315" s="109" t="s">
        <v>633</v>
      </c>
      <c r="H315" s="130">
        <v>-1.172E-2</v>
      </c>
      <c r="I315" s="130">
        <v>1.5499999999999999E-3</v>
      </c>
      <c r="J315" s="130">
        <v>-5.1500000000000001E-3</v>
      </c>
      <c r="K315" s="130">
        <v>8.2199999999999999E-3</v>
      </c>
      <c r="L315" s="130">
        <v>1.34E-3</v>
      </c>
      <c r="M315" s="130">
        <v>2.1139999999999999E-2</v>
      </c>
      <c r="N315" s="130">
        <v>2.97E-3</v>
      </c>
      <c r="O315" s="130">
        <v>3.177E-2</v>
      </c>
      <c r="P315" s="130">
        <v>2.0729999999999998E-2</v>
      </c>
      <c r="Q315" s="130">
        <v>3.286E-2</v>
      </c>
      <c r="R315" s="130">
        <v>1.18E-2</v>
      </c>
      <c r="S315" s="130">
        <v>-7.6000000000000004E-4</v>
      </c>
      <c r="T315" s="130">
        <v>6.0200000000000002E-3</v>
      </c>
      <c r="U315" s="130">
        <v>1.3169999999999999E-2</v>
      </c>
      <c r="V315" s="130">
        <v>9.5099999999999994E-3</v>
      </c>
      <c r="W315" s="130">
        <v>3.6099999999999999E-3</v>
      </c>
      <c r="X315" s="130">
        <v>4.7599999999999995E-3</v>
      </c>
      <c r="Y315" s="130">
        <v>1.6310000000000002E-2</v>
      </c>
      <c r="Z315" s="130">
        <v>-3.1199999999999999E-3</v>
      </c>
      <c r="AA315" s="130">
        <v>5.4700000000000009E-3</v>
      </c>
      <c r="AB315" s="130">
        <v>8.3700000000000007E-3</v>
      </c>
      <c r="AC315" s="130">
        <v>1.0700000000000001E-2</v>
      </c>
      <c r="AD315" s="130">
        <v>3.2300000000000002E-3</v>
      </c>
      <c r="AE315" s="130">
        <v>7.5500000000000003E-3</v>
      </c>
      <c r="AF315" s="130">
        <v>5.7000000000000009E-4</v>
      </c>
      <c r="AG315" s="130">
        <v>1.4030000000000001E-2</v>
      </c>
      <c r="AH315" s="130">
        <v>-1.2E-4</v>
      </c>
      <c r="AI315" s="130">
        <v>7.5199999999999998E-3</v>
      </c>
      <c r="AJ315" s="130">
        <v>-2.1000000000000001E-4</v>
      </c>
      <c r="AK315" s="130">
        <v>1.379E-2</v>
      </c>
      <c r="AL315" s="130">
        <v>-2.8000000000000003E-4</v>
      </c>
      <c r="AM315" s="130">
        <v>7.3000000000000001E-3</v>
      </c>
      <c r="AN315" s="99">
        <f t="shared" si="7"/>
        <v>3.7324999999999997E-3</v>
      </c>
      <c r="AO315" s="99">
        <f t="shared" si="7"/>
        <v>1.5443750000000001E-2</v>
      </c>
      <c r="AP315" s="99">
        <f t="shared" si="7"/>
        <v>2.3550000000000003E-3</v>
      </c>
      <c r="AQ315" s="99">
        <f t="shared" si="6"/>
        <v>8.8350000000000008E-3</v>
      </c>
      <c r="AR315" s="99">
        <f t="shared" si="9"/>
        <v>3.7324999999999997E-3</v>
      </c>
      <c r="AS315" s="99">
        <f t="shared" si="9"/>
        <v>1.5443750000000001E-2</v>
      </c>
      <c r="AT315" s="99">
        <f t="shared" si="9"/>
        <v>2.3550000000000003E-3</v>
      </c>
      <c r="AU315" s="99">
        <f t="shared" si="8"/>
        <v>8.8350000000000008E-3</v>
      </c>
      <c r="AV315" s="99">
        <f t="shared" si="8"/>
        <v>3.7324999999999997E-3</v>
      </c>
      <c r="AW315" s="99">
        <f t="shared" si="8"/>
        <v>1.5443750000000001E-2</v>
      </c>
      <c r="AX315" s="99">
        <f t="shared" si="8"/>
        <v>2.3550000000000003E-3</v>
      </c>
      <c r="AY315" s="99">
        <f t="shared" si="4"/>
        <v>8.8350000000000008E-3</v>
      </c>
    </row>
    <row r="316" spans="3:51" customFormat="1" x14ac:dyDescent="0.2">
      <c r="C316" s="107" t="s">
        <v>427</v>
      </c>
      <c r="D316" s="129" t="s">
        <v>748</v>
      </c>
      <c r="E316" s="107" t="s">
        <v>631</v>
      </c>
      <c r="F316" s="107" t="s">
        <v>749</v>
      </c>
      <c r="G316" s="109" t="s">
        <v>633</v>
      </c>
      <c r="H316" s="130">
        <v>-8.7900000000000009E-3</v>
      </c>
      <c r="I316" s="130">
        <v>3.4499999999999999E-3</v>
      </c>
      <c r="J316" s="130">
        <v>7.2300000000000003E-3</v>
      </c>
      <c r="K316" s="130">
        <v>1.3800000000000002E-3</v>
      </c>
      <c r="L316" s="130">
        <v>3.2900000000000004E-3</v>
      </c>
      <c r="M316" s="130">
        <v>5.9899999999999997E-3</v>
      </c>
      <c r="N316" s="130">
        <v>9.0299999999999998E-3</v>
      </c>
      <c r="O316" s="130">
        <v>1.452E-2</v>
      </c>
      <c r="P316" s="130">
        <v>1.6220000000000002E-2</v>
      </c>
      <c r="Q316" s="130">
        <v>3.2780000000000004E-2</v>
      </c>
      <c r="R316" s="130">
        <v>3.0499999999999999E-2</v>
      </c>
      <c r="S316" s="130">
        <v>3.1469999999999998E-2</v>
      </c>
      <c r="T316" s="130">
        <v>1.4960000000000001E-2</v>
      </c>
      <c r="U316" s="130">
        <v>1.789E-2</v>
      </c>
      <c r="V316" s="130">
        <v>1.0840000000000001E-2</v>
      </c>
      <c r="W316" s="130">
        <v>1.072E-2</v>
      </c>
      <c r="X316" s="130">
        <v>6.4900000000000001E-3</v>
      </c>
      <c r="Y316" s="130">
        <v>5.4600000000000004E-3</v>
      </c>
      <c r="Z316" s="130">
        <v>-2.3799999999999997E-3</v>
      </c>
      <c r="AA316" s="130">
        <v>3.5399999999999997E-3</v>
      </c>
      <c r="AB316" s="130">
        <v>2.31E-3</v>
      </c>
      <c r="AC316" s="130">
        <v>5.8E-4</v>
      </c>
      <c r="AD316" s="130">
        <v>2.8399999999999996E-3</v>
      </c>
      <c r="AE316" s="130">
        <v>-8.0000000000000004E-4</v>
      </c>
      <c r="AF316" s="130">
        <v>3.1700000000000001E-3</v>
      </c>
      <c r="AG316" s="130">
        <v>7.62E-3</v>
      </c>
      <c r="AH316" s="130">
        <v>5.3900000000000007E-3</v>
      </c>
      <c r="AI316" s="130">
        <v>5.5000000000000005E-3</v>
      </c>
      <c r="AJ316" s="130">
        <v>-8.0000000000000007E-5</v>
      </c>
      <c r="AK316" s="130">
        <v>8.0400000000000003E-3</v>
      </c>
      <c r="AL316" s="130">
        <v>5.4800000000000005E-3</v>
      </c>
      <c r="AM316" s="130">
        <v>5.8399999999999997E-3</v>
      </c>
      <c r="AN316" s="99">
        <f t="shared" si="7"/>
        <v>4.6962500000000008E-3</v>
      </c>
      <c r="AO316" s="99">
        <f t="shared" si="7"/>
        <v>1.0226249999999999E-2</v>
      </c>
      <c r="AP316" s="99">
        <f t="shared" si="7"/>
        <v>8.6162499999999989E-3</v>
      </c>
      <c r="AQ316" s="99">
        <f t="shared" si="6"/>
        <v>9.0212500000000015E-3</v>
      </c>
      <c r="AR316" s="99">
        <f t="shared" si="9"/>
        <v>4.6962500000000008E-3</v>
      </c>
      <c r="AS316" s="99">
        <f t="shared" si="9"/>
        <v>1.0226249999999999E-2</v>
      </c>
      <c r="AT316" s="99">
        <f t="shared" si="9"/>
        <v>8.6162499999999989E-3</v>
      </c>
      <c r="AU316" s="99">
        <f t="shared" si="8"/>
        <v>9.0212500000000015E-3</v>
      </c>
      <c r="AV316" s="99">
        <f t="shared" si="8"/>
        <v>4.6962500000000008E-3</v>
      </c>
      <c r="AW316" s="99">
        <f t="shared" si="8"/>
        <v>1.0226249999999999E-2</v>
      </c>
      <c r="AX316" s="99">
        <f t="shared" si="8"/>
        <v>8.6162499999999989E-3</v>
      </c>
      <c r="AY316" s="99">
        <f t="shared" si="4"/>
        <v>9.0212500000000015E-3</v>
      </c>
    </row>
    <row r="317" spans="3:51" customFormat="1" x14ac:dyDescent="0.2">
      <c r="C317" s="107" t="s">
        <v>598</v>
      </c>
      <c r="D317" s="129" t="s">
        <v>748</v>
      </c>
      <c r="E317" s="107" t="s">
        <v>631</v>
      </c>
      <c r="F317" s="107" t="s">
        <v>749</v>
      </c>
      <c r="G317" s="109" t="s">
        <v>633</v>
      </c>
      <c r="H317" s="130">
        <v>-1.32E-3</v>
      </c>
      <c r="I317" s="130">
        <v>-2.3700000000000001E-3</v>
      </c>
      <c r="J317" s="130">
        <v>-1.16E-3</v>
      </c>
      <c r="K317" s="130">
        <v>-2.0599999999999998E-3</v>
      </c>
      <c r="L317" s="130">
        <v>1.2800000000000001E-3</v>
      </c>
      <c r="M317" s="130">
        <v>6.9099999999999995E-3</v>
      </c>
      <c r="N317" s="130">
        <v>2.2200000000000002E-3</v>
      </c>
      <c r="O317" s="130">
        <v>3.8800000000000002E-3</v>
      </c>
      <c r="P317" s="130">
        <v>7.4700000000000001E-3</v>
      </c>
      <c r="Q317" s="130">
        <v>1.575E-2</v>
      </c>
      <c r="R317" s="130">
        <v>6.3100000000000005E-3</v>
      </c>
      <c r="S317" s="130">
        <v>-4.6000000000000001E-4</v>
      </c>
      <c r="T317" s="130">
        <v>1.008E-2</v>
      </c>
      <c r="U317" s="130">
        <v>5.3600000000000002E-3</v>
      </c>
      <c r="V317" s="130">
        <v>1.01E-3</v>
      </c>
      <c r="W317" s="130">
        <v>-3.4000000000000002E-4</v>
      </c>
      <c r="X317" s="130">
        <v>5.5700000000000003E-3</v>
      </c>
      <c r="Y317" s="130">
        <v>7.3299999999999997E-3</v>
      </c>
      <c r="Z317" s="130">
        <v>-1.9300000000000001E-3</v>
      </c>
      <c r="AA317" s="130">
        <v>-4.3400000000000001E-3</v>
      </c>
      <c r="AB317" s="130">
        <v>2.5400000000000002E-3</v>
      </c>
      <c r="AC317" s="130">
        <v>3.79E-3</v>
      </c>
      <c r="AD317" s="130">
        <v>0</v>
      </c>
      <c r="AE317" s="130">
        <v>-5.7099999999999998E-3</v>
      </c>
      <c r="AF317" s="130">
        <v>3.4300000000000003E-3</v>
      </c>
      <c r="AG317" s="130">
        <v>6.3600000000000002E-3</v>
      </c>
      <c r="AH317" s="130">
        <v>0</v>
      </c>
      <c r="AI317" s="130">
        <v>-1.7799999999999999E-3</v>
      </c>
      <c r="AJ317" s="130">
        <v>2.3500000000000001E-3</v>
      </c>
      <c r="AK317" s="130">
        <v>6.4700000000000001E-3</v>
      </c>
      <c r="AL317" s="130">
        <v>-1.2999999999999999E-4</v>
      </c>
      <c r="AM317" s="130">
        <v>-1.9599999999999999E-3</v>
      </c>
      <c r="AN317" s="99">
        <f t="shared" si="7"/>
        <v>3.9249999999999997E-3</v>
      </c>
      <c r="AO317" s="99">
        <f t="shared" si="7"/>
        <v>6.2000000000000006E-3</v>
      </c>
      <c r="AP317" s="99">
        <f t="shared" si="7"/>
        <v>7.9000000000000012E-4</v>
      </c>
      <c r="AQ317" s="99">
        <f t="shared" si="6"/>
        <v>-1.59625E-3</v>
      </c>
      <c r="AR317" s="99">
        <f t="shared" si="9"/>
        <v>3.9249999999999997E-3</v>
      </c>
      <c r="AS317" s="99">
        <f t="shared" si="9"/>
        <v>6.2000000000000006E-3</v>
      </c>
      <c r="AT317" s="99">
        <f t="shared" si="9"/>
        <v>7.9000000000000012E-4</v>
      </c>
      <c r="AU317" s="99">
        <f t="shared" si="8"/>
        <v>-1.59625E-3</v>
      </c>
      <c r="AV317" s="99">
        <f t="shared" si="8"/>
        <v>3.9249999999999997E-3</v>
      </c>
      <c r="AW317" s="99">
        <f t="shared" si="8"/>
        <v>6.2000000000000006E-3</v>
      </c>
      <c r="AX317" s="99">
        <f t="shared" si="8"/>
        <v>7.9000000000000012E-4</v>
      </c>
      <c r="AY317" s="99">
        <f t="shared" si="4"/>
        <v>-1.59625E-3</v>
      </c>
    </row>
    <row r="318" spans="3:51" customFormat="1" x14ac:dyDescent="0.2">
      <c r="C318" s="107" t="s">
        <v>428</v>
      </c>
      <c r="D318" s="129" t="s">
        <v>748</v>
      </c>
      <c r="E318" s="107" t="s">
        <v>631</v>
      </c>
      <c r="F318" s="107" t="s">
        <v>749</v>
      </c>
      <c r="G318" s="109" t="s">
        <v>633</v>
      </c>
      <c r="H318" s="130">
        <v>2.4140000000000002E-2</v>
      </c>
      <c r="I318" s="130">
        <v>2.665E-2</v>
      </c>
      <c r="J318" s="130">
        <v>2.7150000000000001E-2</v>
      </c>
      <c r="K318" s="130">
        <v>5.1040000000000002E-2</v>
      </c>
      <c r="L318" s="130">
        <v>4.2939999999999999E-2</v>
      </c>
      <c r="M318" s="130">
        <v>3.9920000000000004E-2</v>
      </c>
      <c r="N318" s="130">
        <v>4.6239999999999996E-2</v>
      </c>
      <c r="O318" s="130">
        <v>0.10906</v>
      </c>
      <c r="P318" s="130">
        <v>0.28287000000000001</v>
      </c>
      <c r="Q318" s="130">
        <v>0.16937000000000002</v>
      </c>
      <c r="R318" s="130">
        <v>8.8510000000000005E-2</v>
      </c>
      <c r="S318" s="130">
        <v>8.6220000000000005E-2</v>
      </c>
      <c r="T318" s="130">
        <v>0.11625000000000001</v>
      </c>
      <c r="U318" s="130">
        <v>6.3979999999999995E-2</v>
      </c>
      <c r="V318" s="130">
        <v>0.21076</v>
      </c>
      <c r="W318" s="130">
        <v>0.13161</v>
      </c>
      <c r="X318" s="130">
        <v>0.14448</v>
      </c>
      <c r="Y318" s="130">
        <v>9.8629999999999995E-2</v>
      </c>
      <c r="Z318" s="130">
        <v>8.2979999999999998E-2</v>
      </c>
      <c r="AA318" s="130">
        <v>7.6910000000000006E-2</v>
      </c>
      <c r="AB318" s="130">
        <v>9.0340000000000004E-2</v>
      </c>
      <c r="AC318" s="130">
        <v>7.0110000000000006E-2</v>
      </c>
      <c r="AD318" s="130">
        <v>6.0490000000000002E-2</v>
      </c>
      <c r="AE318" s="130">
        <v>6.3539999999999999E-2</v>
      </c>
      <c r="AF318" s="130">
        <v>7.0370000000000002E-2</v>
      </c>
      <c r="AG318" s="130">
        <v>4.7640000000000002E-2</v>
      </c>
      <c r="AH318" s="130">
        <v>4.6689999999999995E-2</v>
      </c>
      <c r="AI318" s="130">
        <v>4.4320000000000005E-2</v>
      </c>
      <c r="AJ318" s="130">
        <v>4.403E-2</v>
      </c>
      <c r="AK318" s="130">
        <v>2.7090000000000003E-2</v>
      </c>
      <c r="AL318" s="130">
        <v>3.3710000000000004E-2</v>
      </c>
      <c r="AM318" s="130">
        <v>3.4230000000000003E-2</v>
      </c>
      <c r="AN318" s="99">
        <f t="shared" si="7"/>
        <v>0.1019275</v>
      </c>
      <c r="AO318" s="99">
        <f t="shared" si="7"/>
        <v>6.7923749999999991E-2</v>
      </c>
      <c r="AP318" s="99">
        <f t="shared" si="7"/>
        <v>7.4566250000000001E-2</v>
      </c>
      <c r="AQ318" s="99">
        <f t="shared" si="6"/>
        <v>7.4616250000000009E-2</v>
      </c>
      <c r="AR318" s="99">
        <f t="shared" si="9"/>
        <v>0.1019275</v>
      </c>
      <c r="AS318" s="99">
        <f t="shared" si="9"/>
        <v>6.7923749999999991E-2</v>
      </c>
      <c r="AT318" s="99">
        <f t="shared" si="9"/>
        <v>7.4566250000000001E-2</v>
      </c>
      <c r="AU318" s="99">
        <f t="shared" si="8"/>
        <v>7.4616250000000009E-2</v>
      </c>
      <c r="AV318" s="99">
        <f t="shared" si="8"/>
        <v>0.1019275</v>
      </c>
      <c r="AW318" s="99">
        <f t="shared" si="8"/>
        <v>6.7923749999999991E-2</v>
      </c>
      <c r="AX318" s="99">
        <f t="shared" si="8"/>
        <v>7.4566250000000001E-2</v>
      </c>
      <c r="AY318" s="99">
        <f t="shared" si="4"/>
        <v>7.4616250000000009E-2</v>
      </c>
    </row>
    <row r="319" spans="3:51" customFormat="1" x14ac:dyDescent="0.2">
      <c r="C319" s="107" t="s">
        <v>430</v>
      </c>
      <c r="D319" s="129" t="s">
        <v>748</v>
      </c>
      <c r="E319" s="107" t="s">
        <v>631</v>
      </c>
      <c r="F319" s="107" t="s">
        <v>749</v>
      </c>
      <c r="G319" s="109" t="s">
        <v>633</v>
      </c>
      <c r="H319" s="130">
        <v>3.1E-4</v>
      </c>
      <c r="I319" s="130">
        <v>6.0999999999999997E-4</v>
      </c>
      <c r="J319" s="130">
        <v>3.6900000000000001E-3</v>
      </c>
      <c r="K319" s="130">
        <v>1.2199999999999999E-3</v>
      </c>
      <c r="L319" s="130">
        <v>9.2000000000000003E-4</v>
      </c>
      <c r="M319" s="130">
        <v>1.4350000000000002E-2</v>
      </c>
      <c r="N319" s="130">
        <v>1.0840000000000001E-2</v>
      </c>
      <c r="O319" s="130">
        <v>2.2040000000000001E-2</v>
      </c>
      <c r="P319" s="130">
        <v>1.34E-2</v>
      </c>
      <c r="Q319" s="130">
        <v>4.2549999999999998E-2</v>
      </c>
      <c r="R319" s="130">
        <v>1.8749999999999999E-2</v>
      </c>
      <c r="S319" s="130">
        <v>2.8969999999999999E-2</v>
      </c>
      <c r="T319" s="130">
        <v>8.1599999999999989E-3</v>
      </c>
      <c r="U319" s="130">
        <v>2.6099999999999998E-2</v>
      </c>
      <c r="V319" s="130">
        <v>2.5400000000000002E-3</v>
      </c>
      <c r="W319" s="130">
        <v>4.3100000000000005E-3</v>
      </c>
      <c r="X319" s="130">
        <v>2.2700000000000003E-3</v>
      </c>
      <c r="Y319" s="130">
        <v>1.184E-2</v>
      </c>
      <c r="Z319" s="130">
        <v>1.99E-3</v>
      </c>
      <c r="AA319" s="130">
        <v>8.4499999999999992E-3</v>
      </c>
      <c r="AB319" s="130">
        <v>5.4200000000000003E-3</v>
      </c>
      <c r="AC319" s="130">
        <v>1.8630000000000001E-2</v>
      </c>
      <c r="AD319" s="130">
        <v>5.0499999999999998E-3</v>
      </c>
      <c r="AE319" s="130">
        <v>4.3100000000000005E-3</v>
      </c>
      <c r="AF319" s="130">
        <v>2.4599999999999999E-3</v>
      </c>
      <c r="AG319" s="130">
        <v>1.29E-2</v>
      </c>
      <c r="AH319" s="130">
        <v>2.2700000000000003E-3</v>
      </c>
      <c r="AI319" s="130">
        <v>5.4300000000000008E-3</v>
      </c>
      <c r="AJ319" s="130">
        <v>-2.7E-4</v>
      </c>
      <c r="AK319" s="130">
        <v>1.2800000000000001E-2</v>
      </c>
      <c r="AL319" s="130">
        <v>2.47E-3</v>
      </c>
      <c r="AM319" s="130">
        <v>5.5900000000000004E-3</v>
      </c>
      <c r="AN319" s="99">
        <f t="shared" si="7"/>
        <v>4.0837499999999997E-3</v>
      </c>
      <c r="AO319" s="99">
        <f t="shared" si="7"/>
        <v>1.7472500000000002E-2</v>
      </c>
      <c r="AP319" s="99">
        <f t="shared" si="7"/>
        <v>5.9499999999999996E-3</v>
      </c>
      <c r="AQ319" s="99">
        <f t="shared" si="6"/>
        <v>1.004E-2</v>
      </c>
      <c r="AR319" s="99">
        <f t="shared" si="9"/>
        <v>4.0837499999999997E-3</v>
      </c>
      <c r="AS319" s="99">
        <f t="shared" si="9"/>
        <v>1.7472500000000002E-2</v>
      </c>
      <c r="AT319" s="99">
        <f t="shared" si="9"/>
        <v>5.9499999999999996E-3</v>
      </c>
      <c r="AU319" s="99">
        <f t="shared" si="8"/>
        <v>1.004E-2</v>
      </c>
      <c r="AV319" s="99">
        <f t="shared" si="8"/>
        <v>4.0837499999999997E-3</v>
      </c>
      <c r="AW319" s="99">
        <f t="shared" si="8"/>
        <v>1.7472500000000002E-2</v>
      </c>
      <c r="AX319" s="99">
        <f t="shared" si="8"/>
        <v>5.9499999999999996E-3</v>
      </c>
      <c r="AY319" s="99">
        <f t="shared" si="4"/>
        <v>1.004E-2</v>
      </c>
    </row>
    <row r="320" spans="3:51" x14ac:dyDescent="0.2">
      <c r="C320" s="107" t="s">
        <v>213</v>
      </c>
      <c r="D320" s="129" t="s">
        <v>748</v>
      </c>
      <c r="E320" s="107" t="s">
        <v>631</v>
      </c>
      <c r="F320" s="107" t="s">
        <v>749</v>
      </c>
      <c r="G320" s="109" t="s">
        <v>633</v>
      </c>
      <c r="H320" s="105">
        <f>AVERAGE(H218:H319)</f>
        <v>2.3479705882352944E-2</v>
      </c>
      <c r="I320" s="105">
        <f t="shared" ref="I320:AY320" si="10">AVERAGE(I218:I319)</f>
        <v>1.9025392156862744E-2</v>
      </c>
      <c r="J320" s="105">
        <f t="shared" si="10"/>
        <v>2.0314313725490196E-2</v>
      </c>
      <c r="K320" s="105">
        <f t="shared" si="10"/>
        <v>2.6778333333333331E-2</v>
      </c>
      <c r="L320" s="105">
        <f t="shared" si="10"/>
        <v>3.3641274509803927E-2</v>
      </c>
      <c r="M320" s="105">
        <f t="shared" si="10"/>
        <v>2.6907843137254903E-2</v>
      </c>
      <c r="N320" s="105">
        <f t="shared" si="10"/>
        <v>2.521019607843138E-2</v>
      </c>
      <c r="O320" s="105">
        <f t="shared" si="10"/>
        <v>2.7516274509803935E-2</v>
      </c>
      <c r="P320" s="105">
        <f t="shared" si="10"/>
        <v>3.147441176470589E-2</v>
      </c>
      <c r="Q320" s="105">
        <f t="shared" si="10"/>
        <v>4.3925000000000013E-2</v>
      </c>
      <c r="R320" s="105">
        <f t="shared" si="10"/>
        <v>3.5967745098039197E-2</v>
      </c>
      <c r="S320" s="105">
        <f t="shared" si="10"/>
        <v>3.063637254901961E-2</v>
      </c>
      <c r="T320" s="105">
        <f t="shared" si="10"/>
        <v>3.5477647058823537E-2</v>
      </c>
      <c r="U320" s="105">
        <f t="shared" si="10"/>
        <v>2.5155784313725473E-2</v>
      </c>
      <c r="V320" s="105">
        <f t="shared" si="10"/>
        <v>2.1344803921568612E-2</v>
      </c>
      <c r="W320" s="105">
        <f t="shared" si="10"/>
        <v>1.9710980392156855E-2</v>
      </c>
      <c r="X320" s="105">
        <f t="shared" si="10"/>
        <v>2.0057352941176471E-2</v>
      </c>
      <c r="Y320" s="105">
        <f t="shared" si="10"/>
        <v>1.7782058823529418E-2</v>
      </c>
      <c r="Z320" s="105">
        <f t="shared" si="10"/>
        <v>1.3335980392156865E-2</v>
      </c>
      <c r="AA320" s="105">
        <f t="shared" si="10"/>
        <v>1.4759117647058815E-2</v>
      </c>
      <c r="AB320" s="105">
        <f t="shared" si="10"/>
        <v>1.7774803921568626E-2</v>
      </c>
      <c r="AC320" s="105">
        <f t="shared" si="10"/>
        <v>1.6484215686274513E-2</v>
      </c>
      <c r="AD320" s="105">
        <f t="shared" si="10"/>
        <v>1.7301666666666663E-2</v>
      </c>
      <c r="AE320" s="105">
        <f t="shared" si="10"/>
        <v>1.6828529411764711E-2</v>
      </c>
      <c r="AF320" s="105">
        <f t="shared" si="10"/>
        <v>2.2777878787878788E-2</v>
      </c>
      <c r="AG320" s="105">
        <f t="shared" si="10"/>
        <v>1.7712121212121207E-2</v>
      </c>
      <c r="AH320" s="105">
        <f t="shared" si="10"/>
        <v>1.3553434343434343E-2</v>
      </c>
      <c r="AI320" s="105">
        <f t="shared" si="10"/>
        <v>1.2247575757575763E-2</v>
      </c>
      <c r="AJ320" s="105">
        <f t="shared" si="10"/>
        <v>1.4166161616161613E-2</v>
      </c>
      <c r="AK320" s="105">
        <f t="shared" si="10"/>
        <v>1.2355252525252526E-2</v>
      </c>
      <c r="AL320" s="105">
        <f t="shared" si="10"/>
        <v>9.0474747474747503E-3</v>
      </c>
      <c r="AM320" s="105">
        <f t="shared" si="10"/>
        <v>8.1786868686868682E-3</v>
      </c>
      <c r="AN320" s="105">
        <f t="shared" si="10"/>
        <v>2.4982577614379081E-2</v>
      </c>
      <c r="AO320" s="105">
        <f t="shared" si="10"/>
        <v>2.2546952614379084E-2</v>
      </c>
      <c r="AP320" s="105">
        <f t="shared" si="10"/>
        <v>1.9568831699346409E-2</v>
      </c>
      <c r="AQ320" s="105">
        <f t="shared" si="10"/>
        <v>1.9699599673202617E-2</v>
      </c>
      <c r="AR320" s="105">
        <f t="shared" si="10"/>
        <v>2.4982577614379081E-2</v>
      </c>
      <c r="AS320" s="105">
        <f t="shared" si="10"/>
        <v>2.2546952614379084E-2</v>
      </c>
      <c r="AT320" s="105">
        <f t="shared" si="10"/>
        <v>1.9568831699346409E-2</v>
      </c>
      <c r="AU320" s="105">
        <f t="shared" si="10"/>
        <v>1.9699599673202617E-2</v>
      </c>
      <c r="AV320" s="105">
        <f t="shared" si="10"/>
        <v>2.4982577614379081E-2</v>
      </c>
      <c r="AW320" s="105">
        <f t="shared" si="10"/>
        <v>2.2546952614379084E-2</v>
      </c>
      <c r="AX320" s="105">
        <f t="shared" si="10"/>
        <v>1.9568831699346409E-2</v>
      </c>
      <c r="AY320" s="105">
        <f t="shared" si="10"/>
        <v>1.9699599673202617E-2</v>
      </c>
    </row>
    <row r="322" spans="1:9" s="112" customFormat="1" x14ac:dyDescent="0.2">
      <c r="A322" s="113">
        <v>2</v>
      </c>
      <c r="B322"/>
      <c r="C322" s="114" t="s">
        <v>750</v>
      </c>
    </row>
    <row r="324" spans="1:9" x14ac:dyDescent="0.2">
      <c r="D324" s="35">
        <v>25</v>
      </c>
      <c r="E324" s="36">
        <f>D324+1</f>
        <v>26</v>
      </c>
      <c r="F324" s="36">
        <f t="shared" ref="F324:I324" si="11">E324+1</f>
        <v>27</v>
      </c>
      <c r="G324" s="36">
        <f t="shared" si="11"/>
        <v>28</v>
      </c>
      <c r="H324" s="36">
        <f t="shared" si="11"/>
        <v>29</v>
      </c>
      <c r="I324" s="36">
        <f t="shared" si="11"/>
        <v>30</v>
      </c>
    </row>
    <row r="325" spans="1:9" x14ac:dyDescent="0.2">
      <c r="C325" s="1" t="s">
        <v>751</v>
      </c>
      <c r="D325" s="130">
        <v>0.26488706365503079</v>
      </c>
      <c r="E325" s="130">
        <v>0.26488706365503079</v>
      </c>
      <c r="F325" s="130">
        <v>0.26488706365503079</v>
      </c>
      <c r="G325" s="130">
        <v>0.26488706365503079</v>
      </c>
      <c r="H325" s="130">
        <v>0.26488706365503079</v>
      </c>
      <c r="I325" s="130">
        <v>0.26488706365503079</v>
      </c>
    </row>
  </sheetData>
  <pageMargins left="0.7" right="0.7" top="0.75" bottom="0.75" header="0.3" footer="0.3"/>
  <pageSetup scale="13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A63B8-08B1-AA47-8C98-D2AC4D790DA8}">
  <dimension ref="A1:V360"/>
  <sheetViews>
    <sheetView showGridLines="0" zoomScale="124" workbookViewId="0">
      <selection activeCell="V20" sqref="V20"/>
    </sheetView>
  </sheetViews>
  <sheetFormatPr baseColWidth="10" defaultColWidth="9.1640625" defaultRowHeight="14" outlineLevelRow="1" x14ac:dyDescent="0.15"/>
  <cols>
    <col min="1" max="1" width="4.6640625" style="298" customWidth="1"/>
    <col min="2" max="2" width="14.5" style="298" customWidth="1"/>
    <col min="3" max="3" width="11.83203125" style="298" customWidth="1"/>
    <col min="4" max="4" width="9.1640625" style="298"/>
    <col min="5" max="16" width="13.33203125" style="298" customWidth="1"/>
    <col min="17" max="18" width="9.1640625" style="298"/>
    <col min="19" max="19" width="11.6640625" style="298" customWidth="1"/>
    <col min="20" max="20" width="27.83203125" style="298" customWidth="1"/>
    <col min="21" max="21" width="14" style="298" customWidth="1"/>
    <col min="22" max="22" width="16" style="298" customWidth="1"/>
    <col min="23" max="16384" width="9.1640625" style="298"/>
  </cols>
  <sheetData>
    <row r="1" spans="1:22" s="288" customFormat="1" x14ac:dyDescent="0.2">
      <c r="G1" s="289"/>
      <c r="M1" s="290" t="s">
        <v>1103</v>
      </c>
      <c r="N1" s="291">
        <v>46149</v>
      </c>
      <c r="O1" s="290" t="s">
        <v>1104</v>
      </c>
      <c r="P1" s="291">
        <v>46111</v>
      </c>
    </row>
    <row r="2" spans="1:22" s="288" customFormat="1" x14ac:dyDescent="0.2">
      <c r="A2" s="292"/>
      <c r="B2" s="287" t="s">
        <v>1105</v>
      </c>
      <c r="G2" s="289"/>
      <c r="M2" s="290" t="s">
        <v>1106</v>
      </c>
      <c r="N2" s="291">
        <v>46022</v>
      </c>
      <c r="O2" s="293"/>
      <c r="P2" s="293"/>
    </row>
    <row r="3" spans="1:22" s="295" customFormat="1" x14ac:dyDescent="0.2">
      <c r="A3" s="292"/>
      <c r="B3" s="294"/>
      <c r="F3" s="296"/>
      <c r="M3" s="296"/>
      <c r="N3" s="297"/>
      <c r="O3" s="297"/>
      <c r="P3" s="297"/>
    </row>
    <row r="4" spans="1:22" s="299" customFormat="1" x14ac:dyDescent="0.15">
      <c r="A4" s="298"/>
      <c r="B4" s="158" t="s">
        <v>1107</v>
      </c>
      <c r="F4" s="300"/>
      <c r="M4" s="300"/>
      <c r="N4" s="301"/>
      <c r="O4" s="301"/>
      <c r="P4" s="301"/>
    </row>
    <row r="6" spans="1:22" x14ac:dyDescent="0.15">
      <c r="B6" s="302"/>
      <c r="C6" s="303"/>
    </row>
    <row r="7" spans="1:22" x14ac:dyDescent="0.15">
      <c r="B7" s="304" t="s">
        <v>1108</v>
      </c>
      <c r="C7" s="305" t="s">
        <v>1109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22" x14ac:dyDescent="0.15">
      <c r="B8" s="304" t="s">
        <v>1110</v>
      </c>
      <c r="C8" s="306" t="s">
        <v>1111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22" x14ac:dyDescent="0.15">
      <c r="B9" s="304" t="s">
        <v>1028</v>
      </c>
      <c r="C9" s="307" t="s">
        <v>1202</v>
      </c>
      <c r="D9" s="5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22" x14ac:dyDescent="0.15">
      <c r="B10" s="308"/>
      <c r="C10" s="309"/>
      <c r="D10" s="5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22" ht="15" thickBot="1" x14ac:dyDescent="0.2">
      <c r="D11" s="267"/>
      <c r="E11" s="267"/>
      <c r="F11" s="267"/>
      <c r="G11" s="267"/>
      <c r="H11" s="267"/>
      <c r="I11" s="267"/>
      <c r="J11" s="267"/>
      <c r="K11" s="267"/>
      <c r="L11" s="267"/>
      <c r="M11" s="267"/>
      <c r="N11" s="267"/>
      <c r="O11" s="267"/>
      <c r="P11" s="267"/>
      <c r="V11" s="1"/>
    </row>
    <row r="12" spans="1:22" ht="15" thickBot="1" x14ac:dyDescent="0.2">
      <c r="B12" s="239" t="s">
        <v>826</v>
      </c>
      <c r="C12" s="240"/>
      <c r="D12" s="240"/>
      <c r="E12" s="240"/>
      <c r="F12" s="240"/>
      <c r="G12" s="240"/>
      <c r="H12" s="240"/>
      <c r="I12" s="240"/>
      <c r="J12" s="240"/>
      <c r="K12" s="240"/>
      <c r="L12" s="310"/>
      <c r="M12" s="262"/>
      <c r="N12" s="262"/>
      <c r="O12" s="240"/>
      <c r="P12" s="240"/>
      <c r="S12" s="311" t="s">
        <v>1112</v>
      </c>
      <c r="T12" s="311"/>
      <c r="U12" s="312"/>
      <c r="V12" s="52"/>
    </row>
    <row r="13" spans="1:22" ht="15" thickTop="1" x14ac:dyDescent="0.15">
      <c r="B13" s="241"/>
      <c r="C13" s="241"/>
      <c r="D13" s="241"/>
      <c r="E13" s="242"/>
      <c r="F13" s="243" t="s">
        <v>827</v>
      </c>
      <c r="G13" s="244"/>
      <c r="H13" s="244">
        <v>46022</v>
      </c>
      <c r="I13" s="244"/>
      <c r="J13" s="244">
        <v>45657</v>
      </c>
      <c r="K13" s="244"/>
      <c r="L13" s="244">
        <v>45291</v>
      </c>
      <c r="M13" s="244"/>
      <c r="N13" s="244">
        <v>44926</v>
      </c>
      <c r="O13" s="244"/>
      <c r="P13" s="244">
        <v>44561</v>
      </c>
      <c r="S13" s="313"/>
      <c r="U13" s="314"/>
    </row>
    <row r="14" spans="1:22" x14ac:dyDescent="0.15">
      <c r="B14" s="245"/>
      <c r="C14" s="245"/>
      <c r="D14" s="245"/>
      <c r="E14" s="246" t="s">
        <v>828</v>
      </c>
      <c r="F14" s="246" t="s">
        <v>776</v>
      </c>
      <c r="G14" s="246" t="s">
        <v>828</v>
      </c>
      <c r="H14" s="246" t="s">
        <v>776</v>
      </c>
      <c r="I14" s="246" t="s">
        <v>828</v>
      </c>
      <c r="J14" s="246" t="s">
        <v>776</v>
      </c>
      <c r="K14" s="246" t="s">
        <v>828</v>
      </c>
      <c r="L14" s="246" t="s">
        <v>776</v>
      </c>
      <c r="M14" s="246" t="s">
        <v>828</v>
      </c>
      <c r="N14" s="246" t="s">
        <v>776</v>
      </c>
      <c r="O14" s="246" t="s">
        <v>828</v>
      </c>
      <c r="P14" s="246" t="s">
        <v>776</v>
      </c>
      <c r="S14" s="219" t="s">
        <v>1113</v>
      </c>
      <c r="T14" s="1"/>
      <c r="U14" s="315" t="s" cm="1">
        <v>1114</v>
      </c>
      <c r="V14" s="1"/>
    </row>
    <row r="15" spans="1:22" x14ac:dyDescent="0.15">
      <c r="B15" s="247" t="s">
        <v>829</v>
      </c>
      <c r="C15" s="248"/>
      <c r="D15" s="248"/>
      <c r="E15" s="249">
        <v>264.07516900000002</v>
      </c>
      <c r="F15" s="249">
        <v>42553.072732660003</v>
      </c>
      <c r="G15" s="249">
        <v>267.83600000000001</v>
      </c>
      <c r="H15" s="249">
        <v>60568.433040000004</v>
      </c>
      <c r="I15" s="249">
        <v>253.64</v>
      </c>
      <c r="J15" s="249">
        <v>62978.811999999998</v>
      </c>
      <c r="K15" s="249">
        <v>242.048</v>
      </c>
      <c r="L15" s="249">
        <v>42096.988160000001</v>
      </c>
      <c r="M15" s="249">
        <v>230.86600000000001</v>
      </c>
      <c r="N15" s="249">
        <v>8170.3477400000002</v>
      </c>
      <c r="O15" s="249">
        <v>217.11699999999999</v>
      </c>
      <c r="P15" s="249">
        <v>54793.817289999999</v>
      </c>
      <c r="S15" s="316" t="s">
        <v>1115</v>
      </c>
      <c r="T15" s="240"/>
      <c r="U15" s="315">
        <v>283.77591319759199</v>
      </c>
    </row>
    <row r="16" spans="1:22" x14ac:dyDescent="0.15">
      <c r="B16" s="247"/>
      <c r="C16" s="248"/>
      <c r="D16" s="248"/>
      <c r="E16" s="248"/>
      <c r="F16" s="248"/>
      <c r="G16" s="248"/>
      <c r="H16" s="248"/>
      <c r="I16" s="248"/>
      <c r="J16" s="248"/>
      <c r="K16" s="248"/>
      <c r="L16" s="248"/>
      <c r="M16" s="248"/>
      <c r="N16" s="248"/>
      <c r="O16" s="248"/>
      <c r="P16" s="248"/>
      <c r="S16" s="317"/>
      <c r="T16" s="318"/>
      <c r="U16" s="319"/>
    </row>
    <row r="17" spans="2:22" x14ac:dyDescent="0.15">
      <c r="B17" s="250" t="s">
        <v>830</v>
      </c>
      <c r="C17" s="251"/>
      <c r="D17" s="251"/>
      <c r="E17" s="252">
        <v>19.700744197592201</v>
      </c>
      <c r="F17" s="252">
        <v>3174.5779200000002</v>
      </c>
      <c r="G17" s="252">
        <v>20.599619000000001</v>
      </c>
      <c r="H17" s="252">
        <v>4658.3979200000003</v>
      </c>
      <c r="I17" s="252">
        <v>23.979918999999999</v>
      </c>
      <c r="J17" s="252">
        <v>5954.2137899999998</v>
      </c>
      <c r="K17" s="252">
        <v>28.933320999999999</v>
      </c>
      <c r="L17" s="252">
        <v>5032.0832300000002</v>
      </c>
      <c r="M17" s="252">
        <v>21.533930999999999</v>
      </c>
      <c r="N17" s="252">
        <v>762.085824</v>
      </c>
      <c r="O17" s="252">
        <v>44.331071000000001</v>
      </c>
      <c r="P17" s="252">
        <v>11187.832234</v>
      </c>
      <c r="S17" s="320" t="s">
        <v>1116</v>
      </c>
      <c r="T17" s="52"/>
      <c r="U17" s="321">
        <v>45727.650652659999</v>
      </c>
    </row>
    <row r="18" spans="2:22" x14ac:dyDescent="0.15">
      <c r="B18" s="253"/>
      <c r="C18" s="248"/>
      <c r="D18" s="248"/>
      <c r="E18" s="248"/>
      <c r="F18" s="248"/>
      <c r="G18" s="248"/>
      <c r="H18" s="248"/>
      <c r="I18" s="248"/>
      <c r="J18" s="248"/>
      <c r="K18" s="248"/>
      <c r="L18" s="248"/>
      <c r="M18" s="248"/>
      <c r="N18" s="248"/>
      <c r="O18" s="248"/>
      <c r="P18" s="248"/>
      <c r="S18" s="317"/>
      <c r="T18" s="318"/>
      <c r="U18" s="319"/>
      <c r="V18" s="725"/>
    </row>
    <row r="19" spans="2:22" x14ac:dyDescent="0.15">
      <c r="B19" s="254" t="s">
        <v>831</v>
      </c>
      <c r="C19" s="248"/>
      <c r="D19" s="248"/>
      <c r="E19" s="249" t="s" cm="1">
        <v>832</v>
      </c>
      <c r="F19" s="249" t="s" cm="1">
        <v>832</v>
      </c>
      <c r="G19" s="249" t="s" cm="1">
        <v>832</v>
      </c>
      <c r="H19" s="249" t="s" cm="1">
        <v>832</v>
      </c>
      <c r="I19" s="249" t="s" cm="1">
        <v>832</v>
      </c>
      <c r="J19" s="249" t="s" cm="1">
        <v>832</v>
      </c>
      <c r="K19" s="249" t="s" cm="1">
        <v>832</v>
      </c>
      <c r="L19" s="249" t="s" cm="1">
        <v>832</v>
      </c>
      <c r="M19" s="249" t="s" cm="1">
        <v>832</v>
      </c>
      <c r="N19" s="249" t="s" cm="1">
        <v>832</v>
      </c>
      <c r="O19" s="249" t="s" cm="1">
        <v>832</v>
      </c>
      <c r="P19" s="249" t="s" cm="1">
        <v>832</v>
      </c>
      <c r="S19" s="322" t="s">
        <v>872</v>
      </c>
      <c r="T19" s="240"/>
      <c r="U19" s="315">
        <v>7658.7240000000002</v>
      </c>
    </row>
    <row r="20" spans="2:22" x14ac:dyDescent="0.15">
      <c r="B20" s="255" t="s">
        <v>833</v>
      </c>
      <c r="C20" s="251"/>
      <c r="D20" s="251"/>
      <c r="E20" s="252" t="s" cm="1">
        <v>832</v>
      </c>
      <c r="F20" s="252" t="s" cm="1">
        <v>832</v>
      </c>
      <c r="G20" s="252" t="s" cm="1">
        <v>832</v>
      </c>
      <c r="H20" s="252" t="s" cm="1">
        <v>832</v>
      </c>
      <c r="I20" s="252" t="s" cm="1">
        <v>832</v>
      </c>
      <c r="J20" s="252" t="s" cm="1">
        <v>832</v>
      </c>
      <c r="K20" s="252" t="s" cm="1">
        <v>832</v>
      </c>
      <c r="L20" s="252" t="s" cm="1">
        <v>832</v>
      </c>
      <c r="M20" s="252" t="s" cm="1">
        <v>832</v>
      </c>
      <c r="N20" s="252" t="s" cm="1">
        <v>832</v>
      </c>
      <c r="O20" s="252" t="s" cm="1">
        <v>832</v>
      </c>
      <c r="P20" s="252" t="s" cm="1">
        <v>832</v>
      </c>
      <c r="S20" s="323" t="s">
        <v>875</v>
      </c>
      <c r="U20" s="315">
        <v>11929.535</v>
      </c>
    </row>
    <row r="21" spans="2:22" x14ac:dyDescent="0.15">
      <c r="B21" s="255" t="s">
        <v>835</v>
      </c>
      <c r="C21" s="251"/>
      <c r="D21" s="251"/>
      <c r="E21" s="252">
        <v>19.700744197592201</v>
      </c>
      <c r="F21" s="252">
        <v>3174.5779200000002</v>
      </c>
      <c r="G21" s="252">
        <v>20.599619000000001</v>
      </c>
      <c r="H21" s="252">
        <v>4658.3979200000003</v>
      </c>
      <c r="I21" s="252">
        <v>23.979918999999999</v>
      </c>
      <c r="J21" s="252">
        <v>5954.2137899999998</v>
      </c>
      <c r="K21" s="252">
        <v>28.933320999999999</v>
      </c>
      <c r="L21" s="252">
        <v>5032.0832300000002</v>
      </c>
      <c r="M21" s="252">
        <v>21.533930999999999</v>
      </c>
      <c r="N21" s="252">
        <v>762.085824</v>
      </c>
      <c r="O21" s="252">
        <v>44.331071000000001</v>
      </c>
      <c r="P21" s="252">
        <v>11187.832234</v>
      </c>
      <c r="S21" s="322" t="s">
        <v>1117</v>
      </c>
      <c r="T21" s="240"/>
      <c r="U21" s="315">
        <v>0</v>
      </c>
    </row>
    <row r="22" spans="2:22" x14ac:dyDescent="0.15">
      <c r="B22" s="256"/>
      <c r="C22" s="256" t="s">
        <v>836</v>
      </c>
      <c r="D22" s="248"/>
      <c r="E22" s="249">
        <v>0.34</v>
      </c>
      <c r="F22" s="249">
        <v>54.787599999999998</v>
      </c>
      <c r="G22" s="249">
        <v>0.34</v>
      </c>
      <c r="H22" s="249">
        <v>76.887600000000006</v>
      </c>
      <c r="I22" s="249">
        <v>0.34</v>
      </c>
      <c r="J22" s="249">
        <v>84.421999999999997</v>
      </c>
      <c r="K22" s="249">
        <v>0.54300000000000004</v>
      </c>
      <c r="L22" s="249">
        <v>94.438559999999995</v>
      </c>
      <c r="M22" s="249">
        <v>1.2749999999999999</v>
      </c>
      <c r="N22" s="249">
        <v>45.122250000000001</v>
      </c>
      <c r="O22" s="249">
        <v>2.0139999999999998</v>
      </c>
      <c r="P22" s="249">
        <v>508.27318000000002</v>
      </c>
      <c r="S22" s="324" t="s">
        <v>1118</v>
      </c>
      <c r="T22" s="1"/>
      <c r="U22" s="315">
        <v>0</v>
      </c>
    </row>
    <row r="23" spans="2:22" x14ac:dyDescent="0.15">
      <c r="B23" s="257"/>
      <c r="C23" s="257" t="s">
        <v>837</v>
      </c>
      <c r="D23" s="251"/>
      <c r="E23" s="252">
        <v>2.7879999999999998</v>
      </c>
      <c r="F23" s="252">
        <v>449.25832000000003</v>
      </c>
      <c r="G23" s="252">
        <v>2.7879999999999998</v>
      </c>
      <c r="H23" s="252">
        <v>630.47832000000005</v>
      </c>
      <c r="I23" s="252">
        <v>3.0739999999999998</v>
      </c>
      <c r="J23" s="252">
        <v>763.27419999999995</v>
      </c>
      <c r="K23" s="252">
        <v>3.82</v>
      </c>
      <c r="L23" s="252">
        <v>664.37440000000004</v>
      </c>
      <c r="M23" s="252">
        <v>5.3289999999999997</v>
      </c>
      <c r="N23" s="252">
        <v>188.59331</v>
      </c>
      <c r="O23" s="252">
        <v>7.4828919999999997</v>
      </c>
      <c r="P23" s="252">
        <v>1888.4574540000001</v>
      </c>
      <c r="S23" s="325" t="s">
        <v>1119</v>
      </c>
      <c r="T23" s="1"/>
      <c r="U23" s="315">
        <v>622.98500000000001</v>
      </c>
    </row>
    <row r="24" spans="2:22" x14ac:dyDescent="0.15">
      <c r="B24" s="256"/>
      <c r="C24" s="256" t="s">
        <v>839</v>
      </c>
      <c r="D24" s="248"/>
      <c r="E24" s="249">
        <v>16.572744197592201</v>
      </c>
      <c r="F24" s="249">
        <v>2670.5320000000002</v>
      </c>
      <c r="G24" s="249">
        <v>17.471619</v>
      </c>
      <c r="H24" s="249">
        <v>3951.0320000000002</v>
      </c>
      <c r="I24" s="249">
        <v>20.565919000000001</v>
      </c>
      <c r="J24" s="249">
        <v>5106.5175900000004</v>
      </c>
      <c r="K24" s="249">
        <v>24.570321</v>
      </c>
      <c r="L24" s="249">
        <v>4273.27027</v>
      </c>
      <c r="M24" s="249">
        <v>14.929931</v>
      </c>
      <c r="N24" s="249">
        <v>528.37026400000002</v>
      </c>
      <c r="O24" s="249">
        <v>34.834178999999999</v>
      </c>
      <c r="P24" s="249">
        <v>8791.1016</v>
      </c>
      <c r="S24" s="326" t="s">
        <v>881</v>
      </c>
      <c r="T24" s="240"/>
      <c r="U24" s="327">
        <v>0</v>
      </c>
    </row>
    <row r="25" spans="2:22" x14ac:dyDescent="0.15">
      <c r="B25" s="257"/>
      <c r="C25" s="257" t="s">
        <v>840</v>
      </c>
      <c r="D25" s="251"/>
      <c r="E25" s="252" t="s" cm="1">
        <v>832</v>
      </c>
      <c r="F25" s="252" t="s" cm="1">
        <v>832</v>
      </c>
      <c r="G25" s="252" t="s" cm="1">
        <v>832</v>
      </c>
      <c r="H25" s="252" t="s" cm="1">
        <v>832</v>
      </c>
      <c r="I25" s="252" t="s" cm="1">
        <v>832</v>
      </c>
      <c r="J25" s="252" t="s" cm="1">
        <v>832</v>
      </c>
      <c r="K25" s="252" t="s" cm="1">
        <v>832</v>
      </c>
      <c r="L25" s="252" t="s" cm="1">
        <v>832</v>
      </c>
      <c r="M25" s="252" t="s" cm="1">
        <v>832</v>
      </c>
      <c r="N25" s="252" t="s" cm="1">
        <v>832</v>
      </c>
      <c r="O25" s="252" t="s" cm="1">
        <v>832</v>
      </c>
      <c r="P25" s="252" t="s" cm="1">
        <v>832</v>
      </c>
      <c r="S25" s="328" t="s">
        <v>882</v>
      </c>
      <c r="T25" s="329"/>
      <c r="U25" s="330">
        <v>0</v>
      </c>
    </row>
    <row r="26" spans="2:22" x14ac:dyDescent="0.15">
      <c r="B26" s="256"/>
      <c r="C26" s="256" t="s">
        <v>843</v>
      </c>
      <c r="D26" s="248"/>
      <c r="E26" s="249" t="s" cm="1">
        <v>832</v>
      </c>
      <c r="F26" s="249" t="s" cm="1">
        <v>832</v>
      </c>
      <c r="G26" s="249" t="s" cm="1">
        <v>832</v>
      </c>
      <c r="H26" s="249" t="s" cm="1">
        <v>832</v>
      </c>
      <c r="I26" s="249" t="s" cm="1">
        <v>832</v>
      </c>
      <c r="J26" s="249" t="s" cm="1">
        <v>832</v>
      </c>
      <c r="K26" s="249" t="s" cm="1">
        <v>832</v>
      </c>
      <c r="L26" s="249" t="s" cm="1">
        <v>832</v>
      </c>
      <c r="M26" s="249" t="s" cm="1">
        <v>832</v>
      </c>
      <c r="N26" s="249" t="s" cm="1">
        <v>832</v>
      </c>
      <c r="O26" s="249" t="s" cm="1">
        <v>832</v>
      </c>
      <c r="P26" s="249" t="s" cm="1">
        <v>832</v>
      </c>
      <c r="S26" s="331" t="s">
        <v>1120</v>
      </c>
      <c r="T26" s="1"/>
      <c r="U26" s="332">
        <f>U17+U19-U20+U21-U23+U24+U25</f>
        <v>40833.854652659997</v>
      </c>
    </row>
    <row r="27" spans="2:22" x14ac:dyDescent="0.15">
      <c r="B27" s="257"/>
      <c r="C27" s="257" t="s">
        <v>844</v>
      </c>
      <c r="D27" s="251"/>
      <c r="E27" s="252" t="s" cm="1">
        <v>832</v>
      </c>
      <c r="F27" s="252" t="s" cm="1">
        <v>832</v>
      </c>
      <c r="G27" s="252" t="s" cm="1">
        <v>832</v>
      </c>
      <c r="H27" s="252" t="s" cm="1">
        <v>832</v>
      </c>
      <c r="I27" s="252" t="s" cm="1">
        <v>832</v>
      </c>
      <c r="J27" s="252" t="s" cm="1">
        <v>832</v>
      </c>
      <c r="K27" s="252" t="s" cm="1">
        <v>832</v>
      </c>
      <c r="L27" s="252" t="s" cm="1">
        <v>832</v>
      </c>
      <c r="M27" s="252" t="s" cm="1">
        <v>832</v>
      </c>
      <c r="N27" s="252" t="s" cm="1">
        <v>832</v>
      </c>
      <c r="O27" s="252" t="s" cm="1">
        <v>832</v>
      </c>
      <c r="P27" s="252" t="s">
        <v>832</v>
      </c>
      <c r="S27" s="313"/>
      <c r="U27" s="314"/>
    </row>
    <row r="28" spans="2:22" ht="15" thickBot="1" x14ac:dyDescent="0.2">
      <c r="B28" s="258"/>
      <c r="C28" s="259"/>
      <c r="D28" s="259"/>
      <c r="E28" s="259"/>
      <c r="F28" s="259"/>
      <c r="G28" s="260"/>
      <c r="H28" s="260"/>
      <c r="I28" s="260"/>
      <c r="J28" s="260"/>
      <c r="K28" s="260"/>
      <c r="L28" s="260"/>
      <c r="M28" s="260"/>
      <c r="N28" s="260"/>
      <c r="O28" s="260"/>
      <c r="P28" s="260"/>
      <c r="S28" s="313"/>
      <c r="U28" s="314"/>
    </row>
    <row r="29" spans="2:22" ht="16" thickTop="1" thickBot="1" x14ac:dyDescent="0.2">
      <c r="B29" s="261" t="s">
        <v>845</v>
      </c>
      <c r="C29" s="262"/>
      <c r="D29" s="262"/>
      <c r="E29" s="263">
        <v>283.77591319759199</v>
      </c>
      <c r="F29" s="264">
        <v>45727.650652659999</v>
      </c>
      <c r="G29" s="263">
        <v>288.43561899999997</v>
      </c>
      <c r="H29" s="264">
        <v>65226.830959999999</v>
      </c>
      <c r="I29" s="263">
        <v>277.61991899999998</v>
      </c>
      <c r="J29" s="264">
        <v>68933.02579</v>
      </c>
      <c r="K29" s="263">
        <v>270.98132099999998</v>
      </c>
      <c r="L29" s="264">
        <v>47129.071389999997</v>
      </c>
      <c r="M29" s="263">
        <v>252.39993100000001</v>
      </c>
      <c r="N29" s="264">
        <v>8932.4335640000008</v>
      </c>
      <c r="O29" s="263">
        <v>261.44807100000003</v>
      </c>
      <c r="P29" s="264">
        <v>65981.649523999993</v>
      </c>
      <c r="S29" s="333" t="s">
        <v>1121</v>
      </c>
      <c r="T29" s="62"/>
      <c r="U29" s="334"/>
    </row>
    <row r="30" spans="2:22" x14ac:dyDescent="0.15">
      <c r="B30" s="265"/>
      <c r="C30" s="240"/>
      <c r="D30" s="240"/>
      <c r="E30" s="240"/>
      <c r="F30" s="240"/>
      <c r="G30" s="240"/>
      <c r="H30" s="240"/>
      <c r="I30" s="240"/>
      <c r="J30" s="240"/>
      <c r="K30" s="240"/>
      <c r="L30" s="240"/>
      <c r="M30" s="240"/>
      <c r="N30" s="240"/>
      <c r="O30" s="240"/>
      <c r="P30" s="240"/>
    </row>
    <row r="31" spans="2:22" x14ac:dyDescent="0.15">
      <c r="B31" s="266" t="str">
        <f>CONCATENATE("All figures in millions of ",C9)</f>
        <v>All figures in millions of USD Millions</v>
      </c>
      <c r="C31" s="240"/>
      <c r="D31" s="240"/>
      <c r="E31" s="240"/>
      <c r="F31" s="240"/>
      <c r="G31" s="267"/>
      <c r="H31" s="240"/>
      <c r="I31" s="240"/>
      <c r="J31" s="240"/>
      <c r="K31" s="240"/>
      <c r="L31" s="240"/>
      <c r="M31" s="240"/>
      <c r="N31" s="240"/>
      <c r="O31" s="240"/>
      <c r="P31" s="240"/>
    </row>
    <row r="32" spans="2:22" x14ac:dyDescent="0.15">
      <c r="B32" s="268" t="s">
        <v>847</v>
      </c>
      <c r="C32" s="240"/>
      <c r="D32" s="240"/>
      <c r="E32" s="240"/>
      <c r="F32" s="240"/>
      <c r="G32" s="240"/>
      <c r="H32" s="240"/>
      <c r="I32" s="240"/>
      <c r="J32" s="240"/>
      <c r="K32" s="240"/>
      <c r="L32" s="240"/>
      <c r="M32" s="240"/>
      <c r="N32" s="240"/>
      <c r="O32" s="240"/>
      <c r="P32" s="240"/>
    </row>
    <row r="33" spans="2:16" x14ac:dyDescent="0.15">
      <c r="B33" s="269"/>
      <c r="C33" s="240"/>
      <c r="D33" s="240"/>
      <c r="E33" s="240"/>
      <c r="F33" s="240"/>
      <c r="G33" s="267"/>
      <c r="H33" s="267"/>
      <c r="I33" s="267"/>
      <c r="J33" s="267"/>
      <c r="K33" s="267"/>
      <c r="L33" s="267"/>
      <c r="M33" s="267"/>
      <c r="N33" s="267"/>
      <c r="O33" s="267"/>
      <c r="P33" s="267"/>
    </row>
    <row r="34" spans="2:16" x14ac:dyDescent="0.15">
      <c r="B34" s="269"/>
      <c r="C34" s="240"/>
      <c r="D34" s="240"/>
      <c r="E34" s="240"/>
      <c r="F34" s="240"/>
      <c r="G34" s="267"/>
      <c r="H34" s="267"/>
      <c r="I34" s="267"/>
      <c r="J34" s="267"/>
      <c r="K34" s="267"/>
      <c r="L34" s="267"/>
      <c r="M34" s="267"/>
      <c r="N34" s="267"/>
      <c r="O34" s="267"/>
      <c r="P34" s="267"/>
    </row>
    <row r="35" spans="2:16" x14ac:dyDescent="0.15">
      <c r="B35" s="239" t="s">
        <v>849</v>
      </c>
      <c r="C35" s="240"/>
      <c r="D35" s="240"/>
      <c r="E35" s="240"/>
      <c r="F35" s="240"/>
      <c r="G35" s="267"/>
      <c r="H35" s="267"/>
      <c r="I35" s="267"/>
      <c r="J35" s="267"/>
      <c r="K35" s="267"/>
      <c r="L35" s="267"/>
      <c r="M35" s="267"/>
      <c r="N35" s="267"/>
      <c r="O35" s="267"/>
      <c r="P35" s="267"/>
    </row>
    <row r="36" spans="2:16" x14ac:dyDescent="0.15">
      <c r="B36" s="270"/>
      <c r="C36" s="241"/>
      <c r="D36" s="241"/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241"/>
    </row>
    <row r="37" spans="2:16" x14ac:dyDescent="0.15">
      <c r="B37" s="270"/>
      <c r="C37" s="241"/>
      <c r="D37" s="241"/>
      <c r="E37" s="271"/>
      <c r="F37" s="243" t="s">
        <v>827</v>
      </c>
      <c r="G37" s="241"/>
      <c r="H37" s="272">
        <v>46022</v>
      </c>
      <c r="I37" s="335"/>
      <c r="J37" s="272">
        <v>45657</v>
      </c>
      <c r="K37" s="335"/>
      <c r="L37" s="272">
        <v>45291</v>
      </c>
      <c r="M37" s="335"/>
      <c r="N37" s="272">
        <v>44926</v>
      </c>
      <c r="O37" s="335"/>
      <c r="P37" s="272">
        <v>44561</v>
      </c>
    </row>
    <row r="38" spans="2:16" x14ac:dyDescent="0.15">
      <c r="B38" s="265"/>
      <c r="C38" s="240"/>
      <c r="D38" s="240"/>
      <c r="E38" s="240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</row>
    <row r="39" spans="2:16" x14ac:dyDescent="0.15">
      <c r="B39" s="273" t="s">
        <v>855</v>
      </c>
      <c r="C39" s="274"/>
      <c r="D39" s="274"/>
      <c r="E39" s="274"/>
      <c r="F39" s="275">
        <v>1721.69</v>
      </c>
      <c r="G39" s="274"/>
      <c r="H39" s="275">
        <v>1721.69</v>
      </c>
      <c r="I39" s="336"/>
      <c r="J39" s="275" t="s" cm="1">
        <v>832</v>
      </c>
      <c r="K39" s="337"/>
      <c r="L39" s="275" t="s" cm="1">
        <v>832</v>
      </c>
      <c r="M39" s="337"/>
      <c r="N39" s="275">
        <v>20.518999999999998</v>
      </c>
      <c r="O39" s="337"/>
      <c r="P39" s="275" t="s" cm="1">
        <v>832</v>
      </c>
    </row>
    <row r="40" spans="2:16" x14ac:dyDescent="0.15">
      <c r="B40" s="276" t="s">
        <v>857</v>
      </c>
      <c r="C40" s="267"/>
      <c r="D40" s="267"/>
      <c r="E40" s="267"/>
      <c r="F40" s="277" t="s" cm="1">
        <v>832</v>
      </c>
      <c r="G40" s="267"/>
      <c r="H40" s="277" t="s" cm="1">
        <v>832</v>
      </c>
      <c r="I40" s="338"/>
      <c r="J40" s="277" t="s" cm="1">
        <v>832</v>
      </c>
      <c r="K40" s="339"/>
      <c r="L40" s="277" t="s" cm="1">
        <v>832</v>
      </c>
      <c r="M40" s="339"/>
      <c r="N40" s="277" t="s" cm="1">
        <v>832</v>
      </c>
      <c r="O40" s="339"/>
      <c r="P40" s="277" t="s" cm="1">
        <v>832</v>
      </c>
    </row>
    <row r="41" spans="2:16" x14ac:dyDescent="0.15">
      <c r="B41" s="273" t="s">
        <v>859</v>
      </c>
      <c r="C41" s="274"/>
      <c r="D41" s="274"/>
      <c r="E41" s="274"/>
      <c r="F41" s="275" t="s" cm="1">
        <v>832</v>
      </c>
      <c r="G41" s="274"/>
      <c r="H41" s="275" t="s" cm="1">
        <v>832</v>
      </c>
      <c r="I41" s="336"/>
      <c r="J41" s="275" t="s" cm="1">
        <v>832</v>
      </c>
      <c r="K41" s="337"/>
      <c r="L41" s="275" t="s" cm="1">
        <v>832</v>
      </c>
      <c r="M41" s="337"/>
      <c r="N41" s="275" t="s" cm="1">
        <v>832</v>
      </c>
      <c r="O41" s="337"/>
      <c r="P41" s="275" t="s" cm="1">
        <v>832</v>
      </c>
    </row>
    <row r="42" spans="2:16" x14ac:dyDescent="0.15">
      <c r="B42" s="276" t="s">
        <v>861</v>
      </c>
      <c r="C42" s="267"/>
      <c r="D42" s="267"/>
      <c r="E42" s="267"/>
      <c r="F42" s="277">
        <v>7275.47</v>
      </c>
      <c r="G42" s="267"/>
      <c r="H42" s="277">
        <v>7275.47</v>
      </c>
      <c r="I42" s="338"/>
      <c r="J42" s="277">
        <v>4275.47</v>
      </c>
      <c r="K42" s="339"/>
      <c r="L42" s="277">
        <v>3010.47</v>
      </c>
      <c r="M42" s="339"/>
      <c r="N42" s="277">
        <v>3437.5</v>
      </c>
      <c r="O42" s="339"/>
      <c r="P42" s="277">
        <v>3437.5</v>
      </c>
    </row>
    <row r="43" spans="2:16" x14ac:dyDescent="0.15">
      <c r="B43" s="273" t="s">
        <v>337</v>
      </c>
      <c r="C43" s="274"/>
      <c r="D43" s="274"/>
      <c r="E43" s="274"/>
      <c r="F43" s="275">
        <v>-68.850999999999999</v>
      </c>
      <c r="G43" s="274"/>
      <c r="H43" s="275">
        <v>-68.850999999999999</v>
      </c>
      <c r="I43" s="336"/>
      <c r="J43" s="275">
        <v>-41.389000000000003</v>
      </c>
      <c r="K43" s="337"/>
      <c r="L43" s="275">
        <v>-30.513000000000002</v>
      </c>
      <c r="M43" s="337"/>
      <c r="N43" s="275">
        <v>-44.052</v>
      </c>
      <c r="O43" s="337"/>
      <c r="P43" s="275">
        <v>-52.704999999999998</v>
      </c>
    </row>
    <row r="44" spans="2:16" x14ac:dyDescent="0.15">
      <c r="B44" s="276" t="s">
        <v>863</v>
      </c>
      <c r="C44" s="267"/>
      <c r="D44" s="267"/>
      <c r="E44" s="267"/>
      <c r="F44" s="277">
        <v>7206.6189999999997</v>
      </c>
      <c r="G44" s="267"/>
      <c r="H44" s="277">
        <v>7206.6189999999997</v>
      </c>
      <c r="I44" s="338"/>
      <c r="J44" s="277">
        <v>4234.0810000000001</v>
      </c>
      <c r="K44" s="339"/>
      <c r="L44" s="277">
        <v>2979.9569999999999</v>
      </c>
      <c r="M44" s="339"/>
      <c r="N44" s="277">
        <v>3393.4479999999999</v>
      </c>
      <c r="O44" s="339"/>
      <c r="P44" s="277">
        <v>3384.7950000000001</v>
      </c>
    </row>
    <row r="45" spans="2:16" x14ac:dyDescent="0.15">
      <c r="B45" s="273" t="s">
        <v>864</v>
      </c>
      <c r="C45" s="274"/>
      <c r="D45" s="274"/>
      <c r="E45" s="274"/>
      <c r="F45" s="275">
        <v>1269.585</v>
      </c>
      <c r="G45" s="274"/>
      <c r="H45" s="275">
        <v>-1269.585</v>
      </c>
      <c r="I45" s="336"/>
      <c r="J45" s="275" t="s" cm="1">
        <v>832</v>
      </c>
      <c r="K45" s="340"/>
      <c r="L45" s="275" t="s" cm="1">
        <v>832</v>
      </c>
      <c r="M45" s="340"/>
      <c r="N45" s="275" t="s" cm="1">
        <v>832</v>
      </c>
      <c r="O45" s="340"/>
      <c r="P45" s="275" t="s" cm="1">
        <v>832</v>
      </c>
    </row>
    <row r="46" spans="2:16" x14ac:dyDescent="0.15">
      <c r="B46" s="276" t="s">
        <v>865</v>
      </c>
      <c r="C46" s="267"/>
      <c r="D46" s="267"/>
      <c r="E46" s="267"/>
      <c r="F46" s="277">
        <v>5937.0339999999997</v>
      </c>
      <c r="G46" s="267"/>
      <c r="H46" s="277">
        <v>5937.0339999999997</v>
      </c>
      <c r="I46" s="338"/>
      <c r="J46" s="277">
        <v>4234.0810000000001</v>
      </c>
      <c r="K46" s="339"/>
      <c r="L46" s="277">
        <v>2979.9569999999999</v>
      </c>
      <c r="M46" s="339"/>
      <c r="N46" s="277">
        <v>3393.4479999999999</v>
      </c>
      <c r="O46" s="339"/>
      <c r="P46" s="277">
        <v>3384.7950000000001</v>
      </c>
    </row>
    <row r="47" spans="2:16" ht="15" thickBot="1" x14ac:dyDescent="0.2">
      <c r="B47" s="278"/>
      <c r="C47" s="279"/>
      <c r="D47" s="279"/>
      <c r="E47" s="279"/>
      <c r="F47" s="279"/>
      <c r="G47" s="279"/>
      <c r="H47" s="280"/>
      <c r="I47" s="280"/>
      <c r="J47" s="280"/>
      <c r="K47" s="341"/>
      <c r="L47" s="280"/>
      <c r="M47" s="341"/>
      <c r="N47" s="280"/>
      <c r="O47" s="341"/>
      <c r="P47" s="280"/>
    </row>
    <row r="48" spans="2:16" ht="15" thickTop="1" x14ac:dyDescent="0.15">
      <c r="B48" s="281" t="s">
        <v>347</v>
      </c>
      <c r="C48" s="282"/>
      <c r="D48" s="282"/>
      <c r="E48" s="282"/>
      <c r="F48" s="283">
        <v>7658.7240000000002</v>
      </c>
      <c r="G48" s="282"/>
      <c r="H48" s="283">
        <v>7658.7240000000002</v>
      </c>
      <c r="I48" s="342"/>
      <c r="J48" s="283">
        <v>4234.0810000000001</v>
      </c>
      <c r="K48" s="342"/>
      <c r="L48" s="283">
        <v>2979.9569999999999</v>
      </c>
      <c r="M48" s="342"/>
      <c r="N48" s="283">
        <v>3413.9670000000001</v>
      </c>
      <c r="O48" s="342"/>
      <c r="P48" s="283">
        <v>3384.7950000000001</v>
      </c>
    </row>
    <row r="49" spans="2:16" x14ac:dyDescent="0.15">
      <c r="B49" s="267"/>
      <c r="C49" s="267"/>
      <c r="D49" s="267"/>
      <c r="E49" s="267"/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/>
    </row>
    <row r="50" spans="2:16" x14ac:dyDescent="0.15">
      <c r="B50" s="266" t="str">
        <f>CONCATENATE("All figures in millions of ",C9)</f>
        <v>All figures in millions of USD Millions</v>
      </c>
      <c r="C50" s="267"/>
      <c r="D50" s="267"/>
      <c r="E50" s="267"/>
      <c r="F50" s="267"/>
      <c r="G50" s="267"/>
      <c r="H50" s="267"/>
      <c r="I50" s="267"/>
      <c r="J50" s="267"/>
      <c r="K50" s="267"/>
      <c r="L50" s="267"/>
      <c r="M50" s="267"/>
      <c r="N50" s="267"/>
      <c r="O50" s="267"/>
      <c r="P50" s="267"/>
    </row>
    <row r="51" spans="2:16" x14ac:dyDescent="0.15">
      <c r="B51" s="268" t="s">
        <v>867</v>
      </c>
      <c r="C51" s="267"/>
      <c r="D51" s="267"/>
      <c r="E51" s="267"/>
      <c r="F51" s="267"/>
      <c r="G51" s="267"/>
      <c r="H51" s="267"/>
      <c r="I51" s="267"/>
      <c r="J51" s="267"/>
      <c r="K51" s="267"/>
      <c r="L51" s="267"/>
      <c r="M51" s="267"/>
      <c r="N51" s="267"/>
      <c r="O51" s="267"/>
      <c r="P51" s="267"/>
    </row>
    <row r="52" spans="2:16" x14ac:dyDescent="0.15">
      <c r="B52" s="267"/>
      <c r="C52" s="267"/>
      <c r="D52" s="267"/>
      <c r="E52" s="267"/>
      <c r="F52" s="267"/>
      <c r="G52" s="267"/>
      <c r="H52" s="267"/>
      <c r="I52" s="267"/>
      <c r="J52" s="267"/>
      <c r="K52" s="267"/>
      <c r="L52" s="267"/>
      <c r="M52" s="267"/>
      <c r="N52" s="267"/>
      <c r="O52" s="267"/>
      <c r="P52" s="267"/>
    </row>
    <row r="53" spans="2:16" x14ac:dyDescent="0.15">
      <c r="B53" s="267"/>
      <c r="C53" s="267"/>
      <c r="D53" s="267"/>
      <c r="E53" s="267"/>
      <c r="F53" s="267"/>
      <c r="G53" s="267"/>
      <c r="H53" s="267"/>
      <c r="I53" s="267"/>
      <c r="J53" s="267"/>
      <c r="K53" s="267"/>
      <c r="L53" s="267"/>
      <c r="M53" s="267"/>
      <c r="N53" s="267"/>
      <c r="O53" s="267"/>
      <c r="P53" s="267"/>
    </row>
    <row r="54" spans="2:16" x14ac:dyDescent="0.15">
      <c r="B54" s="239" t="s">
        <v>179</v>
      </c>
      <c r="C54" s="240"/>
      <c r="D54" s="240"/>
      <c r="E54" s="240"/>
      <c r="F54" s="240"/>
      <c r="G54" s="267"/>
      <c r="H54" s="267"/>
      <c r="I54" s="267"/>
      <c r="J54" s="267"/>
      <c r="K54" s="267"/>
      <c r="L54" s="267"/>
      <c r="M54" s="267"/>
      <c r="N54" s="267"/>
      <c r="O54" s="267"/>
      <c r="P54" s="267"/>
    </row>
    <row r="55" spans="2:16" x14ac:dyDescent="0.15">
      <c r="B55" s="270"/>
      <c r="C55" s="241"/>
      <c r="D55" s="241"/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241"/>
    </row>
    <row r="56" spans="2:16" x14ac:dyDescent="0.15">
      <c r="B56" s="270"/>
      <c r="C56" s="241"/>
      <c r="D56" s="241"/>
      <c r="E56" s="825" t="s">
        <v>827</v>
      </c>
      <c r="F56" s="825"/>
      <c r="G56" s="241"/>
      <c r="H56" s="272">
        <v>46022</v>
      </c>
      <c r="I56" s="335"/>
      <c r="J56" s="272">
        <v>45657</v>
      </c>
      <c r="K56" s="335"/>
      <c r="L56" s="272">
        <v>45291</v>
      </c>
      <c r="M56" s="335"/>
      <c r="N56" s="272">
        <v>44926</v>
      </c>
      <c r="O56" s="335"/>
      <c r="P56" s="272">
        <v>44561</v>
      </c>
    </row>
    <row r="57" spans="2:16" x14ac:dyDescent="0.15">
      <c r="B57" s="265"/>
      <c r="C57" s="240"/>
      <c r="D57" s="240"/>
      <c r="E57" s="240"/>
      <c r="F57" s="240"/>
      <c r="G57" s="240"/>
      <c r="H57" s="240"/>
      <c r="I57" s="240"/>
      <c r="J57" s="240"/>
      <c r="K57" s="240"/>
      <c r="L57" s="240"/>
      <c r="M57" s="240"/>
      <c r="N57" s="240"/>
      <c r="O57" s="240"/>
      <c r="P57" s="240"/>
    </row>
    <row r="58" spans="2:16" x14ac:dyDescent="0.15">
      <c r="B58" s="273" t="s">
        <v>871</v>
      </c>
      <c r="C58" s="274"/>
      <c r="D58" s="274"/>
      <c r="E58" s="274"/>
      <c r="F58" s="275">
        <v>45727.650652659999</v>
      </c>
      <c r="G58" s="274"/>
      <c r="H58" s="275">
        <v>65226.830959999999</v>
      </c>
      <c r="I58" s="336"/>
      <c r="J58" s="275">
        <v>68933.02579</v>
      </c>
      <c r="K58" s="337"/>
      <c r="L58" s="275">
        <v>47129.071389999997</v>
      </c>
      <c r="M58" s="337"/>
      <c r="N58" s="275">
        <v>8932.4335640000008</v>
      </c>
      <c r="O58" s="337"/>
      <c r="P58" s="275">
        <v>65981.649523999993</v>
      </c>
    </row>
    <row r="59" spans="2:16" x14ac:dyDescent="0.15">
      <c r="B59" s="284" t="s">
        <v>872</v>
      </c>
      <c r="C59" s="267"/>
      <c r="D59" s="267"/>
      <c r="E59" s="267"/>
      <c r="F59" s="277">
        <v>7658.7240000000002</v>
      </c>
      <c r="G59" s="267"/>
      <c r="H59" s="277">
        <v>7658.7240000000002</v>
      </c>
      <c r="I59" s="338"/>
      <c r="J59" s="277">
        <v>4234.0810000000001</v>
      </c>
      <c r="K59" s="339"/>
      <c r="L59" s="277">
        <v>2979.9569999999999</v>
      </c>
      <c r="M59" s="339"/>
      <c r="N59" s="277">
        <v>3413.9670000000001</v>
      </c>
      <c r="O59" s="339"/>
      <c r="P59" s="277">
        <v>3384.7950000000001</v>
      </c>
    </row>
    <row r="60" spans="2:16" x14ac:dyDescent="0.15">
      <c r="B60" s="285" t="s">
        <v>874</v>
      </c>
      <c r="C60" s="274"/>
      <c r="D60" s="274"/>
      <c r="E60" s="274"/>
      <c r="F60" s="275" t="s" cm="1">
        <v>832</v>
      </c>
      <c r="G60" s="274"/>
      <c r="H60" s="275" t="s" cm="1">
        <v>832</v>
      </c>
      <c r="I60" s="336"/>
      <c r="J60" s="275" t="s" cm="1">
        <v>832</v>
      </c>
      <c r="K60" s="337"/>
      <c r="L60" s="275" t="s" cm="1">
        <v>832</v>
      </c>
      <c r="M60" s="337"/>
      <c r="N60" s="275" t="s" cm="1">
        <v>832</v>
      </c>
      <c r="O60" s="337"/>
      <c r="P60" s="275" t="s" cm="1">
        <v>832</v>
      </c>
    </row>
    <row r="61" spans="2:16" x14ac:dyDescent="0.15">
      <c r="B61" s="284" t="s">
        <v>875</v>
      </c>
      <c r="C61" s="267"/>
      <c r="D61" s="267"/>
      <c r="E61" s="267"/>
      <c r="F61" s="277">
        <v>11929.535</v>
      </c>
      <c r="G61" s="267"/>
      <c r="H61" s="277">
        <v>11929.535</v>
      </c>
      <c r="I61" s="338"/>
      <c r="J61" s="277">
        <v>9655.4349999999995</v>
      </c>
      <c r="K61" s="339"/>
      <c r="L61" s="277">
        <v>5738.3710000000001</v>
      </c>
      <c r="M61" s="339"/>
      <c r="N61" s="277">
        <v>5312.0429999999997</v>
      </c>
      <c r="O61" s="339"/>
      <c r="P61" s="277">
        <v>7254.5249999999996</v>
      </c>
    </row>
    <row r="62" spans="2:16" x14ac:dyDescent="0.15">
      <c r="B62" s="285" t="s">
        <v>876</v>
      </c>
      <c r="C62" s="274"/>
      <c r="D62" s="274"/>
      <c r="E62" s="274"/>
      <c r="F62" s="275" t="s" cm="1">
        <v>832</v>
      </c>
      <c r="G62" s="274"/>
      <c r="H62" s="275" t="s" cm="1">
        <v>832</v>
      </c>
      <c r="I62" s="336"/>
      <c r="J62" s="275" t="s" cm="1">
        <v>832</v>
      </c>
      <c r="K62" s="337"/>
      <c r="L62" s="275" t="s" cm="1">
        <v>832</v>
      </c>
      <c r="M62" s="337"/>
      <c r="N62" s="275" t="s" cm="1">
        <v>832</v>
      </c>
      <c r="O62" s="337"/>
      <c r="P62" s="275" t="s" cm="1">
        <v>832</v>
      </c>
    </row>
    <row r="63" spans="2:16" x14ac:dyDescent="0.15">
      <c r="B63" s="284" t="s">
        <v>878</v>
      </c>
      <c r="C63" s="267"/>
      <c r="D63" s="267"/>
      <c r="E63" s="267"/>
      <c r="F63" s="277" t="s" cm="1">
        <v>832</v>
      </c>
      <c r="G63" s="267"/>
      <c r="H63" s="277" t="s" cm="1">
        <v>832</v>
      </c>
      <c r="I63" s="338"/>
      <c r="J63" s="277" t="s" cm="1">
        <v>832</v>
      </c>
      <c r="K63" s="339"/>
      <c r="L63" s="277" t="s" cm="1">
        <v>832</v>
      </c>
      <c r="M63" s="339"/>
      <c r="N63" s="277" t="s" cm="1">
        <v>832</v>
      </c>
      <c r="O63" s="339"/>
      <c r="P63" s="277" t="s" cm="1">
        <v>832</v>
      </c>
    </row>
    <row r="64" spans="2:16" x14ac:dyDescent="0.15">
      <c r="B64" s="285" t="s">
        <v>880</v>
      </c>
      <c r="C64" s="274"/>
      <c r="D64" s="274"/>
      <c r="E64" s="274"/>
      <c r="F64" s="275">
        <v>622.98500000000001</v>
      </c>
      <c r="G64" s="274"/>
      <c r="H64" s="275">
        <v>622.98500000000001</v>
      </c>
      <c r="I64" s="336"/>
      <c r="J64" s="275">
        <v>374.161</v>
      </c>
      <c r="K64" s="340"/>
      <c r="L64" s="275">
        <v>343.04500000000002</v>
      </c>
      <c r="M64" s="340"/>
      <c r="N64" s="275">
        <v>326.68299999999999</v>
      </c>
      <c r="O64" s="340"/>
      <c r="P64" s="275">
        <v>1.4630000000000001</v>
      </c>
    </row>
    <row r="65" spans="2:16" x14ac:dyDescent="0.15">
      <c r="B65" s="284" t="s">
        <v>881</v>
      </c>
      <c r="C65" s="267"/>
      <c r="D65" s="267"/>
      <c r="E65" s="267"/>
      <c r="F65" s="277">
        <v>0</v>
      </c>
      <c r="G65" s="267"/>
      <c r="H65" s="277">
        <v>0</v>
      </c>
      <c r="I65" s="338"/>
      <c r="J65" s="277">
        <v>0</v>
      </c>
      <c r="K65" s="339"/>
      <c r="L65" s="277">
        <v>0</v>
      </c>
      <c r="M65" s="339"/>
      <c r="N65" s="277">
        <v>0</v>
      </c>
      <c r="O65" s="339"/>
      <c r="P65" s="277">
        <v>0</v>
      </c>
    </row>
    <row r="66" spans="2:16" x14ac:dyDescent="0.15">
      <c r="B66" s="285" t="s">
        <v>882</v>
      </c>
      <c r="C66" s="274"/>
      <c r="D66" s="274"/>
      <c r="E66" s="274"/>
      <c r="F66" s="275" t="s">
        <v>832</v>
      </c>
      <c r="G66" s="274"/>
      <c r="H66" s="275" t="s">
        <v>832</v>
      </c>
      <c r="I66" s="336"/>
      <c r="J66" s="275" t="s">
        <v>832</v>
      </c>
      <c r="K66" s="337"/>
      <c r="L66" s="275" t="s">
        <v>832</v>
      </c>
      <c r="M66" s="337"/>
      <c r="N66" s="275" t="s">
        <v>832</v>
      </c>
      <c r="O66" s="337"/>
      <c r="P66" s="275" t="s">
        <v>832</v>
      </c>
    </row>
    <row r="67" spans="2:16" ht="15" thickBot="1" x14ac:dyDescent="0.2">
      <c r="B67" s="279"/>
      <c r="C67" s="279"/>
      <c r="D67" s="279"/>
      <c r="E67" s="279"/>
      <c r="F67" s="279"/>
      <c r="G67" s="279"/>
      <c r="H67" s="280"/>
      <c r="I67" s="280"/>
      <c r="J67" s="280"/>
      <c r="K67" s="341"/>
      <c r="L67" s="280"/>
      <c r="M67" s="341"/>
      <c r="N67" s="280"/>
      <c r="O67" s="341"/>
      <c r="P67" s="280"/>
    </row>
    <row r="68" spans="2:16" ht="15" thickTop="1" x14ac:dyDescent="0.15">
      <c r="B68" s="281" t="s">
        <v>179</v>
      </c>
      <c r="C68" s="282"/>
      <c r="D68" s="282"/>
      <c r="E68" s="282"/>
      <c r="F68" s="286">
        <v>40833.854652659997</v>
      </c>
      <c r="G68" s="282"/>
      <c r="H68" s="286">
        <f>H58+H59-H61-H64</f>
        <v>60333.03495999999</v>
      </c>
      <c r="I68" s="286"/>
      <c r="J68" s="286">
        <f t="shared" ref="J68:P68" si="0">J58+J59-J61-J64</f>
        <v>63137.510790000008</v>
      </c>
      <c r="K68" s="286"/>
      <c r="L68" s="286">
        <f t="shared" si="0"/>
        <v>44027.612390000002</v>
      </c>
      <c r="M68" s="286"/>
      <c r="N68" s="286">
        <f t="shared" si="0"/>
        <v>6707.6745640000017</v>
      </c>
      <c r="O68" s="286"/>
      <c r="P68" s="286">
        <f t="shared" si="0"/>
        <v>62110.456523999987</v>
      </c>
    </row>
    <row r="69" spans="2:16" x14ac:dyDescent="0.15"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7"/>
    </row>
    <row r="70" spans="2:16" x14ac:dyDescent="0.15">
      <c r="B70" s="266" t="str">
        <f>CONCATENATE("All figures in millions of ",C9)</f>
        <v>All figures in millions of USD Millions</v>
      </c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</row>
    <row r="71" spans="2:16" x14ac:dyDescent="0.15">
      <c r="B71" s="268" t="s">
        <v>1122</v>
      </c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7"/>
    </row>
    <row r="72" spans="2:16" x14ac:dyDescent="0.15">
      <c r="B72" s="267"/>
      <c r="C72" s="267"/>
      <c r="D72" s="267"/>
      <c r="E72" s="267"/>
      <c r="F72" s="267"/>
      <c r="G72" s="267"/>
      <c r="H72" s="267"/>
      <c r="I72" s="267"/>
      <c r="J72" s="267"/>
      <c r="K72" s="267"/>
      <c r="L72" s="267"/>
      <c r="M72" s="267"/>
      <c r="N72" s="267"/>
      <c r="O72" s="267"/>
      <c r="P72" s="267"/>
    </row>
    <row r="73" spans="2:16" hidden="1" outlineLevel="1" x14ac:dyDescent="0.15">
      <c r="B73" s="19" t="s">
        <v>1111</v>
      </c>
      <c r="C73" s="19" t="s">
        <v>1123</v>
      </c>
      <c r="D73" s="19" t="str">
        <f>VLOOKUP($C$8,$B$73:$C$75,2,FALSE)</f>
        <v>ANN</v>
      </c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7"/>
    </row>
    <row r="74" spans="2:16" hidden="1" outlineLevel="1" x14ac:dyDescent="0.15">
      <c r="B74" s="19" t="s">
        <v>1124</v>
      </c>
      <c r="C74" s="19" t="s">
        <v>1125</v>
      </c>
      <c r="D74" s="19"/>
      <c r="E74" s="267"/>
      <c r="F74" s="267"/>
      <c r="G74" s="267"/>
      <c r="H74" s="267"/>
      <c r="I74" s="267"/>
      <c r="J74" s="267"/>
      <c r="K74" s="267"/>
      <c r="L74" s="267"/>
      <c r="M74" s="267"/>
      <c r="N74" s="267"/>
      <c r="O74" s="267"/>
      <c r="P74" s="267"/>
    </row>
    <row r="75" spans="2:16" hidden="1" outlineLevel="1" x14ac:dyDescent="0.15">
      <c r="B75" s="19" t="s">
        <v>1126</v>
      </c>
      <c r="C75" s="19" t="s">
        <v>1127</v>
      </c>
      <c r="D75" s="19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7"/>
    </row>
    <row r="76" spans="2:16" collapsed="1" x14ac:dyDescent="0.15">
      <c r="B76" s="1"/>
      <c r="C76" s="1"/>
      <c r="D76" s="267"/>
      <c r="E76" s="267"/>
      <c r="F76" s="343"/>
      <c r="G76" s="267"/>
      <c r="H76" s="344"/>
      <c r="I76" s="267"/>
      <c r="J76" s="267"/>
      <c r="K76" s="267"/>
      <c r="L76" s="267"/>
      <c r="M76" s="267"/>
      <c r="N76" s="267"/>
      <c r="O76" s="267"/>
      <c r="P76" s="267"/>
    </row>
    <row r="77" spans="2:16" x14ac:dyDescent="0.15">
      <c r="B77" s="1"/>
      <c r="C77" s="249"/>
      <c r="D77" s="267"/>
      <c r="E77" s="267"/>
      <c r="F77" s="345"/>
      <c r="G77" s="267"/>
      <c r="H77" s="267"/>
      <c r="I77" s="267"/>
      <c r="J77" s="267"/>
      <c r="K77" s="267"/>
      <c r="L77" s="267"/>
      <c r="M77" s="267"/>
      <c r="N77" s="267"/>
      <c r="O77" s="267"/>
      <c r="P77" s="267"/>
    </row>
    <row r="78" spans="2:16" x14ac:dyDescent="0.15">
      <c r="B78" s="1"/>
      <c r="C78" s="346"/>
      <c r="D78" s="267"/>
      <c r="E78" s="267"/>
      <c r="F78" s="267"/>
      <c r="G78" s="267"/>
      <c r="H78" s="344"/>
      <c r="I78" s="267"/>
      <c r="J78" s="267"/>
      <c r="K78" s="267"/>
      <c r="L78" s="267"/>
      <c r="M78" s="267"/>
      <c r="N78" s="267"/>
      <c r="O78" s="267"/>
      <c r="P78" s="267"/>
    </row>
    <row r="79" spans="2:16" x14ac:dyDescent="0.15">
      <c r="B79" s="1"/>
      <c r="C79" s="346"/>
      <c r="D79" s="347"/>
      <c r="E79" s="348"/>
      <c r="F79" s="349"/>
    </row>
    <row r="80" spans="2:16" x14ac:dyDescent="0.15">
      <c r="B80" s="1"/>
      <c r="C80" s="346"/>
      <c r="D80" s="347"/>
      <c r="E80" s="348"/>
      <c r="F80" s="349"/>
    </row>
    <row r="81" spans="2:6" x14ac:dyDescent="0.15">
      <c r="B81" s="1"/>
      <c r="C81" s="346"/>
      <c r="D81" s="347"/>
      <c r="E81" s="348"/>
      <c r="F81" s="349"/>
    </row>
    <row r="82" spans="2:6" x14ac:dyDescent="0.15">
      <c r="B82" s="1"/>
      <c r="C82" s="346"/>
      <c r="D82" s="347"/>
      <c r="E82" s="348"/>
      <c r="F82" s="349"/>
    </row>
    <row r="83" spans="2:6" x14ac:dyDescent="0.15">
      <c r="B83" s="1"/>
      <c r="C83" s="346"/>
      <c r="D83" s="347"/>
      <c r="E83" s="348"/>
      <c r="F83" s="349"/>
    </row>
    <row r="84" spans="2:6" x14ac:dyDescent="0.15">
      <c r="B84" s="1"/>
      <c r="C84" s="346"/>
      <c r="D84" s="347"/>
      <c r="E84" s="348"/>
      <c r="F84" s="349"/>
    </row>
    <row r="85" spans="2:6" x14ac:dyDescent="0.15">
      <c r="B85" s="1"/>
      <c r="C85" s="346"/>
      <c r="D85" s="347"/>
      <c r="E85" s="348"/>
      <c r="F85" s="349"/>
    </row>
    <row r="86" spans="2:6" x14ac:dyDescent="0.15">
      <c r="B86" s="1"/>
      <c r="C86" s="346"/>
      <c r="D86" s="347"/>
      <c r="E86" s="348"/>
      <c r="F86" s="349"/>
    </row>
    <row r="87" spans="2:6" x14ac:dyDescent="0.15">
      <c r="B87" s="1"/>
      <c r="C87" s="346"/>
      <c r="D87" s="347"/>
      <c r="E87" s="348"/>
      <c r="F87" s="349"/>
    </row>
    <row r="88" spans="2:6" x14ac:dyDescent="0.15">
      <c r="B88" s="1"/>
      <c r="C88" s="346"/>
      <c r="D88" s="347"/>
      <c r="E88" s="348"/>
      <c r="F88" s="349"/>
    </row>
    <row r="89" spans="2:6" x14ac:dyDescent="0.15">
      <c r="B89" s="1"/>
      <c r="C89" s="346"/>
      <c r="D89" s="347"/>
      <c r="E89" s="348"/>
      <c r="F89" s="349"/>
    </row>
    <row r="90" spans="2:6" x14ac:dyDescent="0.15">
      <c r="B90" s="1"/>
      <c r="C90" s="346"/>
      <c r="D90" s="347"/>
      <c r="E90" s="348"/>
      <c r="F90" s="349"/>
    </row>
    <row r="91" spans="2:6" x14ac:dyDescent="0.15">
      <c r="B91" s="1"/>
      <c r="C91" s="346"/>
      <c r="D91" s="347"/>
      <c r="E91" s="348"/>
      <c r="F91" s="349"/>
    </row>
    <row r="92" spans="2:6" x14ac:dyDescent="0.15">
      <c r="B92" s="1"/>
      <c r="C92" s="346"/>
      <c r="D92" s="347"/>
      <c r="E92" s="348"/>
      <c r="F92" s="349"/>
    </row>
    <row r="93" spans="2:6" x14ac:dyDescent="0.15">
      <c r="B93" s="1"/>
      <c r="C93" s="346"/>
      <c r="D93" s="347"/>
      <c r="E93" s="348"/>
      <c r="F93" s="349"/>
    </row>
    <row r="94" spans="2:6" x14ac:dyDescent="0.15">
      <c r="B94" s="1"/>
      <c r="C94" s="346"/>
      <c r="D94" s="347"/>
      <c r="E94" s="348"/>
      <c r="F94" s="349"/>
    </row>
    <row r="95" spans="2:6" x14ac:dyDescent="0.15">
      <c r="B95" s="1"/>
      <c r="C95" s="346"/>
      <c r="D95" s="347"/>
      <c r="E95" s="348"/>
      <c r="F95" s="349"/>
    </row>
    <row r="96" spans="2:6" x14ac:dyDescent="0.15">
      <c r="B96" s="1"/>
      <c r="C96" s="346"/>
      <c r="D96" s="347"/>
      <c r="E96" s="348"/>
      <c r="F96" s="349"/>
    </row>
    <row r="97" spans="2:6" x14ac:dyDescent="0.15">
      <c r="B97" s="1"/>
      <c r="C97" s="346"/>
      <c r="D97" s="347"/>
      <c r="E97" s="348"/>
      <c r="F97" s="349"/>
    </row>
    <row r="98" spans="2:6" x14ac:dyDescent="0.15">
      <c r="B98" s="1"/>
      <c r="C98" s="346"/>
      <c r="D98" s="347"/>
      <c r="E98" s="348"/>
      <c r="F98" s="349"/>
    </row>
    <row r="99" spans="2:6" x14ac:dyDescent="0.15">
      <c r="B99" s="1"/>
      <c r="C99" s="346"/>
      <c r="D99" s="347"/>
      <c r="E99" s="348"/>
      <c r="F99" s="349"/>
    </row>
    <row r="100" spans="2:6" x14ac:dyDescent="0.15">
      <c r="B100" s="1"/>
      <c r="C100" s="346"/>
      <c r="D100" s="347"/>
      <c r="E100" s="348"/>
      <c r="F100" s="349"/>
    </row>
    <row r="101" spans="2:6" x14ac:dyDescent="0.15">
      <c r="B101" s="1"/>
      <c r="C101" s="346"/>
      <c r="D101" s="347"/>
      <c r="E101" s="348"/>
      <c r="F101" s="349"/>
    </row>
    <row r="102" spans="2:6" x14ac:dyDescent="0.15">
      <c r="B102" s="1"/>
      <c r="C102" s="346"/>
      <c r="D102" s="347"/>
      <c r="E102" s="348"/>
      <c r="F102" s="349"/>
    </row>
    <row r="103" spans="2:6" x14ac:dyDescent="0.15">
      <c r="B103" s="1"/>
      <c r="C103" s="346"/>
      <c r="D103" s="347"/>
      <c r="E103" s="348"/>
      <c r="F103" s="349"/>
    </row>
    <row r="104" spans="2:6" x14ac:dyDescent="0.15">
      <c r="B104" s="1"/>
      <c r="C104" s="346"/>
      <c r="D104" s="347"/>
      <c r="E104" s="348"/>
      <c r="F104" s="349"/>
    </row>
    <row r="105" spans="2:6" x14ac:dyDescent="0.15">
      <c r="B105" s="1"/>
      <c r="C105" s="346"/>
      <c r="D105" s="347"/>
      <c r="E105" s="348"/>
      <c r="F105" s="349"/>
    </row>
    <row r="106" spans="2:6" x14ac:dyDescent="0.15">
      <c r="B106" s="1"/>
      <c r="C106" s="346"/>
      <c r="D106" s="347"/>
      <c r="E106" s="348"/>
      <c r="F106" s="349"/>
    </row>
    <row r="107" spans="2:6" x14ac:dyDescent="0.15">
      <c r="B107" s="1"/>
      <c r="C107" s="346"/>
      <c r="D107" s="347"/>
      <c r="E107" s="348"/>
      <c r="F107" s="349"/>
    </row>
    <row r="108" spans="2:6" x14ac:dyDescent="0.15">
      <c r="B108" s="1"/>
      <c r="C108" s="346"/>
      <c r="D108" s="347"/>
      <c r="E108" s="348"/>
      <c r="F108" s="349"/>
    </row>
    <row r="109" spans="2:6" x14ac:dyDescent="0.15">
      <c r="B109" s="1"/>
      <c r="C109" s="346"/>
      <c r="D109" s="347"/>
      <c r="E109" s="348"/>
      <c r="F109" s="349"/>
    </row>
    <row r="110" spans="2:6" x14ac:dyDescent="0.15">
      <c r="B110" s="1"/>
      <c r="C110" s="346"/>
      <c r="D110" s="347"/>
      <c r="E110" s="348"/>
      <c r="F110" s="349"/>
    </row>
    <row r="111" spans="2:6" x14ac:dyDescent="0.15">
      <c r="B111" s="1"/>
      <c r="C111" s="346"/>
      <c r="D111" s="347"/>
      <c r="E111" s="348"/>
      <c r="F111" s="349"/>
    </row>
    <row r="112" spans="2:6" x14ac:dyDescent="0.15">
      <c r="B112" s="1"/>
      <c r="C112" s="346"/>
      <c r="D112" s="347"/>
      <c r="E112" s="348"/>
      <c r="F112" s="349"/>
    </row>
    <row r="113" spans="2:6" x14ac:dyDescent="0.15">
      <c r="B113" s="1"/>
      <c r="C113" s="346"/>
      <c r="D113" s="347"/>
      <c r="E113" s="348"/>
      <c r="F113" s="349"/>
    </row>
    <row r="114" spans="2:6" x14ac:dyDescent="0.15">
      <c r="B114" s="1"/>
      <c r="C114" s="346"/>
      <c r="D114" s="347"/>
      <c r="E114" s="348"/>
      <c r="F114" s="349"/>
    </row>
    <row r="115" spans="2:6" x14ac:dyDescent="0.15">
      <c r="B115" s="1"/>
      <c r="C115" s="346"/>
      <c r="D115" s="347"/>
      <c r="E115" s="348"/>
      <c r="F115" s="349"/>
    </row>
    <row r="116" spans="2:6" x14ac:dyDescent="0.15">
      <c r="B116" s="1"/>
      <c r="C116" s="346"/>
      <c r="D116" s="347"/>
      <c r="E116" s="348"/>
      <c r="F116" s="349"/>
    </row>
    <row r="117" spans="2:6" x14ac:dyDescent="0.15">
      <c r="B117" s="1"/>
      <c r="C117" s="346"/>
      <c r="D117" s="347"/>
      <c r="E117" s="348"/>
      <c r="F117" s="349"/>
    </row>
    <row r="118" spans="2:6" x14ac:dyDescent="0.15">
      <c r="B118" s="348"/>
      <c r="C118" s="349"/>
      <c r="D118" s="347"/>
      <c r="E118" s="348"/>
      <c r="F118" s="349"/>
    </row>
    <row r="119" spans="2:6" x14ac:dyDescent="0.15">
      <c r="B119" s="348"/>
      <c r="C119" s="349"/>
      <c r="D119" s="347"/>
      <c r="E119" s="348"/>
      <c r="F119" s="349"/>
    </row>
    <row r="120" spans="2:6" x14ac:dyDescent="0.15">
      <c r="B120" s="348"/>
      <c r="C120" s="349"/>
      <c r="D120" s="347"/>
      <c r="E120" s="348"/>
      <c r="F120" s="349"/>
    </row>
    <row r="121" spans="2:6" x14ac:dyDescent="0.15">
      <c r="B121" s="348"/>
      <c r="C121" s="349"/>
      <c r="D121" s="347"/>
      <c r="E121" s="348"/>
      <c r="F121" s="349"/>
    </row>
    <row r="122" spans="2:6" x14ac:dyDescent="0.15">
      <c r="B122" s="348"/>
      <c r="C122" s="349"/>
      <c r="D122" s="347"/>
      <c r="E122" s="348"/>
      <c r="F122" s="349"/>
    </row>
    <row r="123" spans="2:6" x14ac:dyDescent="0.15">
      <c r="B123" s="348"/>
      <c r="C123" s="349"/>
      <c r="D123" s="347"/>
      <c r="E123" s="348"/>
      <c r="F123" s="349"/>
    </row>
    <row r="124" spans="2:6" x14ac:dyDescent="0.15">
      <c r="B124" s="348"/>
      <c r="C124" s="349"/>
      <c r="D124" s="347"/>
      <c r="E124" s="348"/>
      <c r="F124" s="349"/>
    </row>
    <row r="125" spans="2:6" x14ac:dyDescent="0.15">
      <c r="B125" s="348"/>
      <c r="C125" s="349"/>
      <c r="D125" s="347"/>
      <c r="E125" s="348"/>
      <c r="F125" s="349"/>
    </row>
    <row r="126" spans="2:6" x14ac:dyDescent="0.15">
      <c r="B126" s="348"/>
      <c r="C126" s="349"/>
      <c r="D126" s="347"/>
      <c r="E126" s="348"/>
      <c r="F126" s="349"/>
    </row>
    <row r="127" spans="2:6" x14ac:dyDescent="0.15">
      <c r="B127" s="348"/>
      <c r="C127" s="349"/>
      <c r="D127" s="347"/>
      <c r="E127" s="348"/>
      <c r="F127" s="349"/>
    </row>
    <row r="128" spans="2:6" x14ac:dyDescent="0.15">
      <c r="B128" s="348"/>
      <c r="C128" s="349"/>
      <c r="D128" s="347"/>
      <c r="E128" s="348"/>
      <c r="F128" s="349"/>
    </row>
    <row r="129" spans="2:6" x14ac:dyDescent="0.15">
      <c r="B129" s="348"/>
      <c r="C129" s="349"/>
      <c r="D129" s="347"/>
      <c r="E129" s="348"/>
      <c r="F129" s="349"/>
    </row>
    <row r="130" spans="2:6" x14ac:dyDescent="0.15">
      <c r="B130" s="348"/>
      <c r="C130" s="349"/>
      <c r="D130" s="347"/>
      <c r="E130" s="348"/>
      <c r="F130" s="349"/>
    </row>
    <row r="131" spans="2:6" x14ac:dyDescent="0.15">
      <c r="B131" s="348"/>
      <c r="C131" s="349"/>
      <c r="D131" s="347"/>
      <c r="E131" s="348"/>
      <c r="F131" s="349"/>
    </row>
    <row r="132" spans="2:6" x14ac:dyDescent="0.15">
      <c r="B132" s="348"/>
      <c r="C132" s="349"/>
      <c r="D132" s="347"/>
      <c r="E132" s="348"/>
      <c r="F132" s="349"/>
    </row>
    <row r="133" spans="2:6" x14ac:dyDescent="0.15">
      <c r="B133" s="348"/>
      <c r="C133" s="349"/>
      <c r="D133" s="347"/>
      <c r="E133" s="348"/>
      <c r="F133" s="349"/>
    </row>
    <row r="134" spans="2:6" x14ac:dyDescent="0.15">
      <c r="B134" s="348"/>
      <c r="C134" s="349"/>
      <c r="D134" s="347"/>
      <c r="E134" s="348"/>
      <c r="F134" s="349"/>
    </row>
    <row r="135" spans="2:6" x14ac:dyDescent="0.15">
      <c r="B135" s="348"/>
      <c r="C135" s="349"/>
      <c r="D135" s="347"/>
      <c r="E135" s="348"/>
      <c r="F135" s="349"/>
    </row>
    <row r="136" spans="2:6" x14ac:dyDescent="0.15">
      <c r="B136" s="348"/>
      <c r="C136" s="349"/>
      <c r="D136" s="347"/>
      <c r="E136" s="348"/>
      <c r="F136" s="349"/>
    </row>
    <row r="137" spans="2:6" x14ac:dyDescent="0.15">
      <c r="B137" s="348"/>
      <c r="C137" s="349"/>
      <c r="D137" s="347"/>
      <c r="E137" s="348"/>
      <c r="F137" s="349"/>
    </row>
    <row r="138" spans="2:6" x14ac:dyDescent="0.15">
      <c r="B138" s="348"/>
      <c r="C138" s="349"/>
      <c r="D138" s="347"/>
      <c r="E138" s="348"/>
      <c r="F138" s="349"/>
    </row>
    <row r="139" spans="2:6" x14ac:dyDescent="0.15">
      <c r="B139" s="348"/>
      <c r="C139" s="349"/>
      <c r="D139" s="347"/>
      <c r="E139" s="348"/>
      <c r="F139" s="349"/>
    </row>
    <row r="140" spans="2:6" x14ac:dyDescent="0.15">
      <c r="B140" s="348"/>
      <c r="C140" s="349"/>
      <c r="D140" s="347"/>
      <c r="E140" s="348"/>
      <c r="F140" s="349"/>
    </row>
    <row r="141" spans="2:6" x14ac:dyDescent="0.15">
      <c r="B141" s="348"/>
      <c r="C141" s="349"/>
      <c r="D141" s="347"/>
      <c r="E141" s="348"/>
      <c r="F141" s="349"/>
    </row>
    <row r="142" spans="2:6" x14ac:dyDescent="0.15">
      <c r="B142" s="348"/>
      <c r="C142" s="349"/>
      <c r="D142" s="347"/>
      <c r="E142" s="348"/>
      <c r="F142" s="349"/>
    </row>
    <row r="143" spans="2:6" x14ac:dyDescent="0.15">
      <c r="B143" s="348"/>
      <c r="C143" s="349"/>
      <c r="D143" s="347"/>
      <c r="E143" s="348"/>
      <c r="F143" s="349"/>
    </row>
    <row r="144" spans="2:6" x14ac:dyDescent="0.15">
      <c r="B144" s="348"/>
      <c r="C144" s="349"/>
      <c r="D144" s="347"/>
      <c r="E144" s="348"/>
      <c r="F144" s="349"/>
    </row>
    <row r="145" spans="2:6" x14ac:dyDescent="0.15">
      <c r="B145" s="348"/>
      <c r="C145" s="349"/>
      <c r="D145" s="347"/>
      <c r="E145" s="348"/>
      <c r="F145" s="349"/>
    </row>
    <row r="146" spans="2:6" x14ac:dyDescent="0.15">
      <c r="B146" s="348"/>
      <c r="C146" s="349"/>
      <c r="D146" s="347"/>
      <c r="E146" s="348"/>
      <c r="F146" s="349"/>
    </row>
    <row r="147" spans="2:6" x14ac:dyDescent="0.15">
      <c r="B147" s="348"/>
      <c r="C147" s="349"/>
      <c r="D147" s="347"/>
      <c r="E147" s="348"/>
      <c r="F147" s="349"/>
    </row>
    <row r="148" spans="2:6" x14ac:dyDescent="0.15">
      <c r="B148" s="348"/>
      <c r="C148" s="349"/>
      <c r="D148" s="347"/>
      <c r="E148" s="348"/>
      <c r="F148" s="349"/>
    </row>
    <row r="149" spans="2:6" x14ac:dyDescent="0.15">
      <c r="B149" s="348"/>
      <c r="C149" s="349"/>
      <c r="D149" s="347"/>
      <c r="E149" s="348"/>
      <c r="F149" s="349"/>
    </row>
    <row r="150" spans="2:6" x14ac:dyDescent="0.15">
      <c r="B150" s="348"/>
      <c r="C150" s="349"/>
      <c r="D150" s="347"/>
      <c r="E150" s="348"/>
      <c r="F150" s="349"/>
    </row>
    <row r="151" spans="2:6" x14ac:dyDescent="0.15">
      <c r="B151" s="348"/>
      <c r="C151" s="349"/>
      <c r="D151" s="347"/>
      <c r="E151" s="348"/>
      <c r="F151" s="349"/>
    </row>
    <row r="152" spans="2:6" x14ac:dyDescent="0.15">
      <c r="B152" s="348"/>
      <c r="C152" s="349"/>
      <c r="D152" s="347"/>
      <c r="E152" s="348"/>
      <c r="F152" s="349"/>
    </row>
    <row r="153" spans="2:6" x14ac:dyDescent="0.15">
      <c r="B153" s="348"/>
      <c r="C153" s="349"/>
      <c r="D153" s="347"/>
      <c r="E153" s="348"/>
      <c r="F153" s="349"/>
    </row>
    <row r="154" spans="2:6" x14ac:dyDescent="0.15">
      <c r="B154" s="348"/>
      <c r="C154" s="349"/>
      <c r="D154" s="347"/>
      <c r="E154" s="348"/>
      <c r="F154" s="349"/>
    </row>
    <row r="155" spans="2:6" x14ac:dyDescent="0.15">
      <c r="B155" s="348"/>
      <c r="C155" s="349"/>
      <c r="D155" s="347"/>
      <c r="E155" s="348"/>
      <c r="F155" s="349"/>
    </row>
    <row r="156" spans="2:6" x14ac:dyDescent="0.15">
      <c r="B156" s="348"/>
      <c r="C156" s="349"/>
      <c r="D156" s="347"/>
      <c r="E156" s="348"/>
      <c r="F156" s="349"/>
    </row>
    <row r="157" spans="2:6" x14ac:dyDescent="0.15">
      <c r="B157" s="348"/>
      <c r="C157" s="349"/>
      <c r="D157" s="347"/>
      <c r="E157" s="348"/>
      <c r="F157" s="349"/>
    </row>
    <row r="158" spans="2:6" x14ac:dyDescent="0.15">
      <c r="B158" s="348"/>
      <c r="C158" s="349"/>
      <c r="D158" s="347"/>
      <c r="E158" s="348"/>
      <c r="F158" s="349"/>
    </row>
    <row r="159" spans="2:6" x14ac:dyDescent="0.15">
      <c r="B159" s="348"/>
      <c r="C159" s="349"/>
      <c r="D159" s="347"/>
      <c r="E159" s="348"/>
      <c r="F159" s="349"/>
    </row>
    <row r="160" spans="2:6" x14ac:dyDescent="0.15">
      <c r="B160" s="348"/>
      <c r="C160" s="349"/>
      <c r="D160" s="347"/>
      <c r="E160" s="348"/>
      <c r="F160" s="349"/>
    </row>
    <row r="161" spans="2:6" x14ac:dyDescent="0.15">
      <c r="B161" s="348"/>
      <c r="C161" s="349"/>
      <c r="D161" s="347"/>
      <c r="E161" s="348"/>
      <c r="F161" s="349"/>
    </row>
    <row r="162" spans="2:6" x14ac:dyDescent="0.15">
      <c r="B162" s="348"/>
      <c r="C162" s="349"/>
      <c r="D162" s="347"/>
      <c r="E162" s="348"/>
      <c r="F162" s="349"/>
    </row>
    <row r="163" spans="2:6" x14ac:dyDescent="0.15">
      <c r="B163" s="348"/>
      <c r="C163" s="349"/>
      <c r="D163" s="347"/>
      <c r="E163" s="348"/>
      <c r="F163" s="349"/>
    </row>
    <row r="164" spans="2:6" x14ac:dyDescent="0.15">
      <c r="B164" s="348"/>
      <c r="C164" s="349"/>
      <c r="D164" s="347"/>
      <c r="E164" s="348"/>
      <c r="F164" s="349"/>
    </row>
    <row r="165" spans="2:6" x14ac:dyDescent="0.15">
      <c r="B165" s="348"/>
      <c r="C165" s="349"/>
      <c r="D165" s="347"/>
      <c r="E165" s="348"/>
      <c r="F165" s="349"/>
    </row>
    <row r="166" spans="2:6" x14ac:dyDescent="0.15">
      <c r="B166" s="348"/>
      <c r="C166" s="349"/>
      <c r="D166" s="347"/>
      <c r="E166" s="348"/>
      <c r="F166" s="349"/>
    </row>
    <row r="167" spans="2:6" x14ac:dyDescent="0.15">
      <c r="B167" s="348"/>
      <c r="C167" s="349"/>
      <c r="D167" s="347"/>
      <c r="E167" s="348"/>
      <c r="F167" s="349"/>
    </row>
    <row r="168" spans="2:6" x14ac:dyDescent="0.15">
      <c r="B168" s="348"/>
      <c r="C168" s="349"/>
      <c r="D168" s="347"/>
      <c r="E168" s="348"/>
      <c r="F168" s="349"/>
    </row>
    <row r="169" spans="2:6" x14ac:dyDescent="0.15">
      <c r="B169" s="348"/>
      <c r="C169" s="349"/>
      <c r="D169" s="347"/>
      <c r="E169" s="348"/>
      <c r="F169" s="349"/>
    </row>
    <row r="170" spans="2:6" x14ac:dyDescent="0.15">
      <c r="B170" s="348"/>
      <c r="C170" s="349"/>
      <c r="D170" s="347"/>
      <c r="E170" s="348"/>
      <c r="F170" s="349"/>
    </row>
    <row r="171" spans="2:6" x14ac:dyDescent="0.15">
      <c r="B171" s="348"/>
      <c r="C171" s="349"/>
      <c r="D171" s="347"/>
      <c r="E171" s="348"/>
      <c r="F171" s="349"/>
    </row>
    <row r="172" spans="2:6" x14ac:dyDescent="0.15">
      <c r="B172" s="348"/>
      <c r="C172" s="349"/>
      <c r="D172" s="347"/>
      <c r="E172" s="348"/>
      <c r="F172" s="349"/>
    </row>
    <row r="173" spans="2:6" x14ac:dyDescent="0.15">
      <c r="B173" s="348"/>
      <c r="C173" s="349"/>
      <c r="D173" s="347"/>
      <c r="E173" s="348"/>
      <c r="F173" s="349"/>
    </row>
    <row r="174" spans="2:6" x14ac:dyDescent="0.15">
      <c r="B174" s="348"/>
      <c r="C174" s="349"/>
      <c r="D174" s="347"/>
      <c r="E174" s="348"/>
      <c r="F174" s="349"/>
    </row>
    <row r="175" spans="2:6" x14ac:dyDescent="0.15">
      <c r="B175" s="348"/>
      <c r="C175" s="349"/>
      <c r="D175" s="347"/>
      <c r="E175" s="348"/>
      <c r="F175" s="349"/>
    </row>
    <row r="176" spans="2:6" x14ac:dyDescent="0.15">
      <c r="B176" s="348"/>
      <c r="C176" s="349"/>
      <c r="D176" s="347"/>
      <c r="E176" s="348"/>
      <c r="F176" s="349"/>
    </row>
    <row r="177" spans="2:6" x14ac:dyDescent="0.15">
      <c r="B177" s="348"/>
      <c r="C177" s="349"/>
      <c r="D177" s="347"/>
      <c r="E177" s="348"/>
      <c r="F177" s="349"/>
    </row>
    <row r="178" spans="2:6" x14ac:dyDescent="0.15">
      <c r="B178" s="348"/>
      <c r="C178" s="349"/>
      <c r="D178" s="347"/>
      <c r="E178" s="348"/>
      <c r="F178" s="349"/>
    </row>
    <row r="179" spans="2:6" x14ac:dyDescent="0.15">
      <c r="B179" s="348"/>
      <c r="C179" s="349"/>
      <c r="D179" s="347"/>
      <c r="E179" s="348"/>
      <c r="F179" s="349"/>
    </row>
    <row r="180" spans="2:6" x14ac:dyDescent="0.15">
      <c r="B180" s="348"/>
      <c r="C180" s="349"/>
      <c r="D180" s="347"/>
      <c r="E180" s="348"/>
      <c r="F180" s="349"/>
    </row>
    <row r="181" spans="2:6" x14ac:dyDescent="0.15">
      <c r="B181" s="348"/>
      <c r="C181" s="349"/>
      <c r="D181" s="347"/>
      <c r="E181" s="348"/>
      <c r="F181" s="349"/>
    </row>
    <row r="182" spans="2:6" x14ac:dyDescent="0.15">
      <c r="B182" s="348"/>
      <c r="C182" s="349"/>
      <c r="D182" s="347"/>
      <c r="E182" s="348"/>
      <c r="F182" s="349"/>
    </row>
    <row r="183" spans="2:6" x14ac:dyDescent="0.15">
      <c r="B183" s="348"/>
      <c r="C183" s="349"/>
      <c r="D183" s="347"/>
      <c r="E183" s="348"/>
      <c r="F183" s="349"/>
    </row>
    <row r="184" spans="2:6" x14ac:dyDescent="0.15">
      <c r="B184" s="348"/>
      <c r="C184" s="349"/>
      <c r="D184" s="347"/>
      <c r="E184" s="348"/>
      <c r="F184" s="349"/>
    </row>
    <row r="185" spans="2:6" x14ac:dyDescent="0.15">
      <c r="B185" s="348"/>
      <c r="C185" s="349"/>
      <c r="D185" s="347"/>
      <c r="E185" s="348"/>
      <c r="F185" s="349"/>
    </row>
    <row r="186" spans="2:6" x14ac:dyDescent="0.15">
      <c r="B186" s="348"/>
      <c r="C186" s="349"/>
      <c r="D186" s="347"/>
      <c r="E186" s="348"/>
      <c r="F186" s="349"/>
    </row>
    <row r="187" spans="2:6" x14ac:dyDescent="0.15">
      <c r="B187" s="348"/>
      <c r="C187" s="349"/>
      <c r="D187" s="347"/>
      <c r="E187" s="348"/>
      <c r="F187" s="349"/>
    </row>
    <row r="188" spans="2:6" x14ac:dyDescent="0.15">
      <c r="B188" s="348"/>
      <c r="C188" s="349"/>
      <c r="D188" s="347"/>
      <c r="E188" s="348"/>
      <c r="F188" s="349"/>
    </row>
    <row r="189" spans="2:6" x14ac:dyDescent="0.15">
      <c r="B189" s="348"/>
      <c r="C189" s="349"/>
      <c r="D189" s="347"/>
      <c r="E189" s="348"/>
      <c r="F189" s="349"/>
    </row>
    <row r="190" spans="2:6" x14ac:dyDescent="0.15">
      <c r="B190" s="348"/>
      <c r="C190" s="349"/>
      <c r="D190" s="347"/>
      <c r="E190" s="348"/>
      <c r="F190" s="349"/>
    </row>
    <row r="191" spans="2:6" x14ac:dyDescent="0.15">
      <c r="B191" s="348"/>
      <c r="C191" s="349"/>
      <c r="D191" s="347"/>
      <c r="E191" s="348"/>
      <c r="F191" s="349"/>
    </row>
    <row r="192" spans="2:6" x14ac:dyDescent="0.15">
      <c r="B192" s="348"/>
      <c r="C192" s="349"/>
      <c r="D192" s="347"/>
      <c r="E192" s="348"/>
      <c r="F192" s="349"/>
    </row>
    <row r="193" spans="2:6" x14ac:dyDescent="0.15">
      <c r="B193" s="348"/>
      <c r="C193" s="349"/>
      <c r="D193" s="347"/>
      <c r="E193" s="348"/>
      <c r="F193" s="349"/>
    </row>
    <row r="194" spans="2:6" x14ac:dyDescent="0.15">
      <c r="B194" s="348"/>
      <c r="C194" s="349"/>
      <c r="D194" s="347"/>
      <c r="E194" s="348"/>
      <c r="F194" s="349"/>
    </row>
    <row r="195" spans="2:6" x14ac:dyDescent="0.15">
      <c r="B195" s="348"/>
      <c r="C195" s="349"/>
      <c r="D195" s="347"/>
      <c r="E195" s="348"/>
      <c r="F195" s="349"/>
    </row>
    <row r="196" spans="2:6" x14ac:dyDescent="0.15">
      <c r="B196" s="348"/>
      <c r="C196" s="349"/>
      <c r="D196" s="347"/>
      <c r="E196" s="348"/>
      <c r="F196" s="349"/>
    </row>
    <row r="197" spans="2:6" x14ac:dyDescent="0.15">
      <c r="B197" s="348"/>
      <c r="C197" s="349"/>
      <c r="D197" s="347"/>
      <c r="E197" s="348"/>
      <c r="F197" s="349"/>
    </row>
    <row r="198" spans="2:6" x14ac:dyDescent="0.15">
      <c r="B198" s="348"/>
      <c r="C198" s="349"/>
      <c r="D198" s="347"/>
      <c r="E198" s="348"/>
      <c r="F198" s="349"/>
    </row>
    <row r="199" spans="2:6" x14ac:dyDescent="0.15">
      <c r="B199" s="348"/>
      <c r="C199" s="349"/>
      <c r="D199" s="347"/>
      <c r="E199" s="348"/>
      <c r="F199" s="349"/>
    </row>
    <row r="200" spans="2:6" x14ac:dyDescent="0.15">
      <c r="B200" s="348"/>
      <c r="C200" s="349"/>
      <c r="D200" s="347"/>
      <c r="E200" s="348"/>
      <c r="F200" s="349"/>
    </row>
    <row r="201" spans="2:6" x14ac:dyDescent="0.15">
      <c r="B201" s="348"/>
      <c r="C201" s="349"/>
      <c r="D201" s="347"/>
      <c r="E201" s="348"/>
      <c r="F201" s="349"/>
    </row>
    <row r="202" spans="2:6" x14ac:dyDescent="0.15">
      <c r="B202" s="348"/>
      <c r="C202" s="349"/>
      <c r="D202" s="347"/>
      <c r="E202" s="348"/>
      <c r="F202" s="349"/>
    </row>
    <row r="203" spans="2:6" x14ac:dyDescent="0.15">
      <c r="B203" s="348"/>
      <c r="C203" s="349"/>
      <c r="D203" s="347"/>
      <c r="E203" s="348"/>
      <c r="F203" s="349"/>
    </row>
    <row r="204" spans="2:6" x14ac:dyDescent="0.15">
      <c r="B204" s="348"/>
      <c r="C204" s="349"/>
      <c r="D204" s="347"/>
      <c r="E204" s="348"/>
      <c r="F204" s="349"/>
    </row>
    <row r="205" spans="2:6" x14ac:dyDescent="0.15">
      <c r="B205" s="348"/>
      <c r="C205" s="349"/>
      <c r="D205" s="347"/>
      <c r="E205" s="348"/>
      <c r="F205" s="349"/>
    </row>
    <row r="206" spans="2:6" x14ac:dyDescent="0.15">
      <c r="B206" s="348"/>
      <c r="C206" s="349"/>
      <c r="D206" s="347"/>
      <c r="E206" s="348"/>
      <c r="F206" s="349"/>
    </row>
    <row r="207" spans="2:6" x14ac:dyDescent="0.15">
      <c r="B207" s="348"/>
      <c r="C207" s="349"/>
      <c r="D207" s="347"/>
      <c r="E207" s="348"/>
      <c r="F207" s="349"/>
    </row>
    <row r="208" spans="2:6" x14ac:dyDescent="0.15">
      <c r="B208" s="348"/>
      <c r="C208" s="349"/>
      <c r="D208" s="347"/>
      <c r="E208" s="348"/>
      <c r="F208" s="349"/>
    </row>
    <row r="209" spans="2:6" x14ac:dyDescent="0.15">
      <c r="B209" s="348"/>
      <c r="C209" s="349"/>
      <c r="D209" s="347"/>
      <c r="E209" s="348"/>
      <c r="F209" s="349"/>
    </row>
    <row r="210" spans="2:6" x14ac:dyDescent="0.15">
      <c r="B210" s="348"/>
      <c r="C210" s="349"/>
      <c r="D210" s="347"/>
      <c r="E210" s="348"/>
      <c r="F210" s="349"/>
    </row>
    <row r="211" spans="2:6" x14ac:dyDescent="0.15">
      <c r="B211" s="348"/>
      <c r="C211" s="349"/>
      <c r="D211" s="347"/>
      <c r="E211" s="348"/>
      <c r="F211" s="349"/>
    </row>
    <row r="212" spans="2:6" x14ac:dyDescent="0.15">
      <c r="B212" s="348"/>
      <c r="C212" s="349"/>
      <c r="D212" s="347"/>
      <c r="E212" s="348"/>
      <c r="F212" s="349"/>
    </row>
    <row r="213" spans="2:6" x14ac:dyDescent="0.15">
      <c r="B213" s="348"/>
      <c r="C213" s="349"/>
      <c r="D213" s="347"/>
      <c r="E213" s="348"/>
      <c r="F213" s="349"/>
    </row>
    <row r="214" spans="2:6" x14ac:dyDescent="0.15">
      <c r="B214" s="348"/>
      <c r="C214" s="349"/>
      <c r="D214" s="347"/>
      <c r="E214" s="348"/>
      <c r="F214" s="349"/>
    </row>
    <row r="215" spans="2:6" x14ac:dyDescent="0.15">
      <c r="B215" s="348"/>
      <c r="C215" s="349"/>
      <c r="D215" s="347"/>
      <c r="E215" s="348"/>
      <c r="F215" s="349"/>
    </row>
    <row r="216" spans="2:6" x14ac:dyDescent="0.15">
      <c r="B216" s="348"/>
      <c r="C216" s="349"/>
      <c r="D216" s="347"/>
      <c r="E216" s="348"/>
      <c r="F216" s="349"/>
    </row>
    <row r="217" spans="2:6" x14ac:dyDescent="0.15">
      <c r="B217" s="348"/>
      <c r="C217" s="349"/>
      <c r="D217" s="347"/>
      <c r="E217" s="348"/>
      <c r="F217" s="349"/>
    </row>
    <row r="218" spans="2:6" x14ac:dyDescent="0.15">
      <c r="B218" s="348"/>
      <c r="C218" s="349"/>
      <c r="D218" s="347"/>
      <c r="E218" s="348"/>
      <c r="F218" s="349"/>
    </row>
    <row r="219" spans="2:6" x14ac:dyDescent="0.15">
      <c r="B219" s="348"/>
      <c r="C219" s="349"/>
      <c r="D219" s="347"/>
      <c r="E219" s="348"/>
      <c r="F219" s="349"/>
    </row>
    <row r="220" spans="2:6" x14ac:dyDescent="0.15">
      <c r="B220" s="348"/>
      <c r="C220" s="349"/>
      <c r="D220" s="347"/>
      <c r="E220" s="348"/>
      <c r="F220" s="349"/>
    </row>
    <row r="221" spans="2:6" x14ac:dyDescent="0.15">
      <c r="B221" s="348"/>
      <c r="C221" s="349"/>
      <c r="D221" s="347"/>
      <c r="E221" s="348"/>
      <c r="F221" s="349"/>
    </row>
    <row r="222" spans="2:6" x14ac:dyDescent="0.15">
      <c r="B222" s="348"/>
      <c r="C222" s="349"/>
      <c r="D222" s="347"/>
      <c r="E222" s="348"/>
      <c r="F222" s="349"/>
    </row>
    <row r="223" spans="2:6" x14ac:dyDescent="0.15">
      <c r="B223" s="348"/>
      <c r="C223" s="349"/>
      <c r="D223" s="347"/>
      <c r="E223" s="348"/>
      <c r="F223" s="349"/>
    </row>
    <row r="224" spans="2:6" x14ac:dyDescent="0.15">
      <c r="B224" s="348"/>
      <c r="C224" s="349"/>
      <c r="D224" s="347"/>
      <c r="E224" s="348"/>
      <c r="F224" s="349"/>
    </row>
    <row r="225" spans="2:6" x14ac:dyDescent="0.15">
      <c r="B225" s="348"/>
      <c r="C225" s="349"/>
      <c r="D225" s="347"/>
      <c r="E225" s="348"/>
      <c r="F225" s="349"/>
    </row>
    <row r="226" spans="2:6" x14ac:dyDescent="0.15">
      <c r="B226" s="348"/>
      <c r="C226" s="349"/>
      <c r="D226" s="347"/>
      <c r="E226" s="348"/>
      <c r="F226" s="349"/>
    </row>
    <row r="227" spans="2:6" x14ac:dyDescent="0.15">
      <c r="B227" s="348"/>
      <c r="C227" s="349"/>
      <c r="D227" s="347"/>
      <c r="E227" s="348"/>
      <c r="F227" s="349"/>
    </row>
    <row r="228" spans="2:6" x14ac:dyDescent="0.15">
      <c r="B228" s="348"/>
      <c r="C228" s="349"/>
      <c r="D228" s="347"/>
      <c r="E228" s="348"/>
      <c r="F228" s="349"/>
    </row>
    <row r="229" spans="2:6" x14ac:dyDescent="0.15">
      <c r="B229" s="348"/>
      <c r="C229" s="349"/>
      <c r="D229" s="347"/>
      <c r="E229" s="348"/>
      <c r="F229" s="349"/>
    </row>
    <row r="230" spans="2:6" x14ac:dyDescent="0.15">
      <c r="B230" s="348"/>
      <c r="C230" s="349"/>
      <c r="D230" s="347"/>
      <c r="E230" s="348"/>
      <c r="F230" s="349"/>
    </row>
    <row r="231" spans="2:6" x14ac:dyDescent="0.15">
      <c r="B231" s="348"/>
      <c r="C231" s="349"/>
      <c r="D231" s="347"/>
      <c r="E231" s="348"/>
      <c r="F231" s="349"/>
    </row>
    <row r="232" spans="2:6" x14ac:dyDescent="0.15">
      <c r="B232" s="348"/>
      <c r="C232" s="349"/>
      <c r="D232" s="347"/>
      <c r="E232" s="348"/>
      <c r="F232" s="349"/>
    </row>
    <row r="233" spans="2:6" x14ac:dyDescent="0.15">
      <c r="B233" s="348"/>
      <c r="C233" s="349"/>
      <c r="D233" s="347"/>
      <c r="E233" s="348"/>
      <c r="F233" s="349"/>
    </row>
    <row r="234" spans="2:6" x14ac:dyDescent="0.15">
      <c r="B234" s="348"/>
      <c r="C234" s="349"/>
      <c r="D234" s="347"/>
      <c r="E234" s="348"/>
      <c r="F234" s="349"/>
    </row>
    <row r="235" spans="2:6" x14ac:dyDescent="0.15">
      <c r="B235" s="348"/>
      <c r="C235" s="349"/>
      <c r="D235" s="347"/>
      <c r="E235" s="348"/>
      <c r="F235" s="349"/>
    </row>
    <row r="236" spans="2:6" x14ac:dyDescent="0.15">
      <c r="B236" s="348"/>
      <c r="C236" s="349"/>
      <c r="D236" s="347"/>
      <c r="E236" s="348"/>
      <c r="F236" s="349"/>
    </row>
    <row r="237" spans="2:6" x14ac:dyDescent="0.15">
      <c r="B237" s="348"/>
      <c r="C237" s="349"/>
      <c r="D237" s="347"/>
      <c r="E237" s="348"/>
      <c r="F237" s="349"/>
    </row>
    <row r="238" spans="2:6" x14ac:dyDescent="0.15">
      <c r="B238" s="348"/>
      <c r="C238" s="349"/>
      <c r="D238" s="347"/>
      <c r="E238" s="348"/>
      <c r="F238" s="349"/>
    </row>
    <row r="239" spans="2:6" x14ac:dyDescent="0.15">
      <c r="B239" s="348"/>
      <c r="C239" s="349"/>
      <c r="D239" s="347"/>
      <c r="E239" s="348"/>
      <c r="F239" s="349"/>
    </row>
    <row r="240" spans="2:6" x14ac:dyDescent="0.15">
      <c r="B240" s="348"/>
      <c r="C240" s="349"/>
      <c r="D240" s="347"/>
      <c r="E240" s="348"/>
      <c r="F240" s="349"/>
    </row>
    <row r="241" spans="2:6" x14ac:dyDescent="0.15">
      <c r="B241" s="348"/>
      <c r="C241" s="349"/>
      <c r="D241" s="347"/>
      <c r="E241" s="348"/>
      <c r="F241" s="349"/>
    </row>
    <row r="242" spans="2:6" x14ac:dyDescent="0.15">
      <c r="B242" s="348"/>
      <c r="C242" s="349"/>
      <c r="D242" s="347"/>
      <c r="E242" s="348"/>
      <c r="F242" s="349"/>
    </row>
    <row r="243" spans="2:6" x14ac:dyDescent="0.15">
      <c r="B243" s="348"/>
      <c r="C243" s="349"/>
      <c r="D243" s="347"/>
      <c r="E243" s="348"/>
      <c r="F243" s="349"/>
    </row>
    <row r="244" spans="2:6" x14ac:dyDescent="0.15">
      <c r="B244" s="348"/>
      <c r="C244" s="349"/>
      <c r="D244" s="347"/>
      <c r="E244" s="348"/>
      <c r="F244" s="349"/>
    </row>
    <row r="245" spans="2:6" x14ac:dyDescent="0.15">
      <c r="B245" s="348"/>
      <c r="C245" s="349"/>
      <c r="D245" s="347"/>
      <c r="E245" s="348"/>
      <c r="F245" s="349"/>
    </row>
    <row r="246" spans="2:6" x14ac:dyDescent="0.15">
      <c r="B246" s="348"/>
      <c r="C246" s="349"/>
      <c r="D246" s="347"/>
      <c r="E246" s="348"/>
      <c r="F246" s="349"/>
    </row>
    <row r="247" spans="2:6" x14ac:dyDescent="0.15">
      <c r="B247" s="348"/>
      <c r="C247" s="349"/>
      <c r="D247" s="347"/>
      <c r="E247" s="348"/>
      <c r="F247" s="349"/>
    </row>
    <row r="248" spans="2:6" x14ac:dyDescent="0.15">
      <c r="B248" s="348"/>
      <c r="C248" s="349"/>
      <c r="D248" s="347"/>
      <c r="E248" s="348"/>
      <c r="F248" s="349"/>
    </row>
    <row r="249" spans="2:6" x14ac:dyDescent="0.15">
      <c r="B249" s="348"/>
      <c r="C249" s="349"/>
      <c r="D249" s="347"/>
      <c r="E249" s="348"/>
      <c r="F249" s="349"/>
    </row>
    <row r="250" spans="2:6" x14ac:dyDescent="0.15">
      <c r="B250" s="348"/>
      <c r="C250" s="349"/>
      <c r="D250" s="347"/>
      <c r="E250" s="348"/>
      <c r="F250" s="349"/>
    </row>
    <row r="251" spans="2:6" x14ac:dyDescent="0.15">
      <c r="B251" s="348"/>
      <c r="C251" s="349"/>
      <c r="D251" s="347"/>
      <c r="E251" s="348"/>
      <c r="F251" s="349"/>
    </row>
    <row r="252" spans="2:6" x14ac:dyDescent="0.15">
      <c r="B252" s="348"/>
      <c r="C252" s="349"/>
      <c r="D252" s="347"/>
      <c r="E252" s="348"/>
      <c r="F252" s="349"/>
    </row>
    <row r="253" spans="2:6" x14ac:dyDescent="0.15">
      <c r="B253" s="348"/>
      <c r="C253" s="349"/>
      <c r="D253" s="347"/>
      <c r="E253" s="348"/>
      <c r="F253" s="349"/>
    </row>
    <row r="254" spans="2:6" x14ac:dyDescent="0.15">
      <c r="B254" s="348"/>
      <c r="C254" s="349"/>
      <c r="D254" s="347"/>
      <c r="E254" s="348"/>
      <c r="F254" s="349"/>
    </row>
    <row r="255" spans="2:6" x14ac:dyDescent="0.15">
      <c r="B255" s="348"/>
      <c r="C255" s="349"/>
      <c r="D255" s="347"/>
      <c r="E255" s="348"/>
      <c r="F255" s="349"/>
    </row>
    <row r="256" spans="2:6" x14ac:dyDescent="0.15">
      <c r="B256" s="348"/>
      <c r="C256" s="349"/>
      <c r="D256" s="347"/>
      <c r="E256" s="348"/>
      <c r="F256" s="349"/>
    </row>
    <row r="257" spans="2:6" x14ac:dyDescent="0.15">
      <c r="B257" s="348"/>
      <c r="C257" s="349"/>
      <c r="D257" s="347"/>
      <c r="E257" s="348"/>
      <c r="F257" s="349"/>
    </row>
    <row r="258" spans="2:6" x14ac:dyDescent="0.15">
      <c r="B258" s="348"/>
      <c r="C258" s="349"/>
      <c r="D258" s="347"/>
      <c r="E258" s="348"/>
      <c r="F258" s="349"/>
    </row>
    <row r="259" spans="2:6" x14ac:dyDescent="0.15">
      <c r="B259" s="348"/>
      <c r="C259" s="349"/>
      <c r="D259" s="347"/>
      <c r="E259" s="348"/>
      <c r="F259" s="349"/>
    </row>
    <row r="260" spans="2:6" x14ac:dyDescent="0.15">
      <c r="B260" s="348"/>
      <c r="C260" s="349"/>
      <c r="D260" s="347"/>
      <c r="E260" s="348"/>
      <c r="F260" s="349"/>
    </row>
    <row r="261" spans="2:6" x14ac:dyDescent="0.15">
      <c r="B261" s="348"/>
      <c r="C261" s="349"/>
      <c r="D261" s="347"/>
      <c r="E261" s="348"/>
      <c r="F261" s="349"/>
    </row>
    <row r="262" spans="2:6" x14ac:dyDescent="0.15">
      <c r="B262" s="348"/>
      <c r="C262" s="349"/>
      <c r="D262" s="347"/>
      <c r="E262" s="348"/>
      <c r="F262" s="349"/>
    </row>
    <row r="263" spans="2:6" x14ac:dyDescent="0.15">
      <c r="B263" s="348"/>
      <c r="C263" s="349"/>
      <c r="D263" s="347"/>
      <c r="E263" s="348"/>
      <c r="F263" s="349"/>
    </row>
    <row r="264" spans="2:6" x14ac:dyDescent="0.15">
      <c r="B264" s="348"/>
      <c r="C264" s="349"/>
      <c r="D264" s="347"/>
      <c r="E264" s="348"/>
      <c r="F264" s="349"/>
    </row>
    <row r="265" spans="2:6" x14ac:dyDescent="0.15">
      <c r="B265" s="348"/>
      <c r="C265" s="349"/>
      <c r="D265" s="347"/>
      <c r="E265" s="348"/>
      <c r="F265" s="349"/>
    </row>
    <row r="266" spans="2:6" x14ac:dyDescent="0.15">
      <c r="B266" s="348"/>
      <c r="C266" s="349"/>
      <c r="D266" s="347"/>
      <c r="E266" s="348"/>
      <c r="F266" s="349"/>
    </row>
    <row r="267" spans="2:6" x14ac:dyDescent="0.15">
      <c r="B267" s="348"/>
      <c r="C267" s="349"/>
      <c r="D267" s="347"/>
      <c r="E267" s="348"/>
      <c r="F267" s="349"/>
    </row>
    <row r="268" spans="2:6" x14ac:dyDescent="0.15">
      <c r="B268" s="348"/>
      <c r="C268" s="349"/>
      <c r="D268" s="347"/>
      <c r="E268" s="348"/>
      <c r="F268" s="349"/>
    </row>
    <row r="269" spans="2:6" x14ac:dyDescent="0.15">
      <c r="B269" s="348"/>
      <c r="C269" s="349"/>
      <c r="D269" s="347"/>
      <c r="E269" s="348"/>
      <c r="F269" s="349"/>
    </row>
    <row r="270" spans="2:6" x14ac:dyDescent="0.15">
      <c r="B270" s="348"/>
      <c r="C270" s="349"/>
      <c r="D270" s="347"/>
      <c r="E270" s="348"/>
      <c r="F270" s="349"/>
    </row>
    <row r="271" spans="2:6" x14ac:dyDescent="0.15">
      <c r="B271" s="348"/>
      <c r="C271" s="349"/>
      <c r="D271" s="347"/>
      <c r="E271" s="348"/>
      <c r="F271" s="349"/>
    </row>
    <row r="272" spans="2:6" x14ac:dyDescent="0.15">
      <c r="B272" s="348"/>
      <c r="C272" s="349"/>
      <c r="D272" s="347"/>
      <c r="E272" s="348"/>
      <c r="F272" s="349"/>
    </row>
    <row r="273" spans="2:6" x14ac:dyDescent="0.15">
      <c r="B273" s="348"/>
      <c r="C273" s="349"/>
      <c r="D273" s="347"/>
      <c r="E273" s="348"/>
      <c r="F273" s="349"/>
    </row>
    <row r="274" spans="2:6" x14ac:dyDescent="0.15">
      <c r="B274" s="348"/>
      <c r="C274" s="349"/>
      <c r="D274" s="347"/>
      <c r="E274" s="348"/>
      <c r="F274" s="349"/>
    </row>
    <row r="275" spans="2:6" x14ac:dyDescent="0.15">
      <c r="B275" s="348"/>
      <c r="C275" s="349"/>
      <c r="D275" s="347"/>
      <c r="E275" s="348"/>
      <c r="F275" s="349"/>
    </row>
    <row r="276" spans="2:6" x14ac:dyDescent="0.15">
      <c r="B276" s="348"/>
      <c r="C276" s="349"/>
      <c r="D276" s="347"/>
      <c r="E276" s="348"/>
      <c r="F276" s="349"/>
    </row>
    <row r="277" spans="2:6" x14ac:dyDescent="0.15">
      <c r="B277" s="348"/>
      <c r="C277" s="349"/>
      <c r="D277" s="347"/>
      <c r="E277" s="348"/>
      <c r="F277" s="349"/>
    </row>
    <row r="278" spans="2:6" x14ac:dyDescent="0.15">
      <c r="B278" s="348"/>
      <c r="C278" s="349"/>
      <c r="D278" s="347"/>
      <c r="E278" s="348"/>
      <c r="F278" s="349"/>
    </row>
    <row r="279" spans="2:6" x14ac:dyDescent="0.15">
      <c r="B279" s="348"/>
      <c r="C279" s="349"/>
      <c r="D279" s="347"/>
      <c r="E279" s="348"/>
      <c r="F279" s="349"/>
    </row>
    <row r="280" spans="2:6" x14ac:dyDescent="0.15">
      <c r="B280" s="348"/>
      <c r="C280" s="349"/>
      <c r="D280" s="347"/>
      <c r="E280" s="348"/>
      <c r="F280" s="349"/>
    </row>
    <row r="281" spans="2:6" x14ac:dyDescent="0.15">
      <c r="B281" s="348"/>
      <c r="C281" s="349"/>
      <c r="D281" s="347"/>
      <c r="E281" s="348"/>
      <c r="F281" s="349"/>
    </row>
    <row r="282" spans="2:6" x14ac:dyDescent="0.15">
      <c r="B282" s="348"/>
      <c r="C282" s="349"/>
      <c r="D282" s="347"/>
      <c r="E282" s="348"/>
      <c r="F282" s="349"/>
    </row>
    <row r="283" spans="2:6" x14ac:dyDescent="0.15">
      <c r="B283" s="348"/>
      <c r="C283" s="349"/>
      <c r="D283" s="347"/>
      <c r="E283" s="348"/>
      <c r="F283" s="349"/>
    </row>
    <row r="284" spans="2:6" x14ac:dyDescent="0.15">
      <c r="B284" s="348"/>
      <c r="C284" s="349"/>
      <c r="D284" s="347"/>
      <c r="E284" s="348"/>
      <c r="F284" s="349"/>
    </row>
    <row r="285" spans="2:6" x14ac:dyDescent="0.15">
      <c r="B285" s="348"/>
      <c r="C285" s="349"/>
      <c r="D285" s="347"/>
      <c r="E285" s="348"/>
      <c r="F285" s="349"/>
    </row>
    <row r="286" spans="2:6" x14ac:dyDescent="0.15">
      <c r="B286" s="348"/>
      <c r="C286" s="349"/>
      <c r="D286" s="347"/>
      <c r="E286" s="348"/>
      <c r="F286" s="349"/>
    </row>
    <row r="287" spans="2:6" x14ac:dyDescent="0.15">
      <c r="B287" s="348"/>
      <c r="C287" s="349"/>
      <c r="D287" s="347"/>
      <c r="E287" s="348"/>
      <c r="F287" s="349"/>
    </row>
    <row r="288" spans="2:6" x14ac:dyDescent="0.15">
      <c r="B288" s="350"/>
      <c r="C288" s="349"/>
      <c r="E288" s="350"/>
      <c r="F288" s="349"/>
    </row>
    <row r="289" spans="2:6" x14ac:dyDescent="0.15">
      <c r="B289" s="350"/>
      <c r="C289" s="349"/>
      <c r="E289" s="350"/>
      <c r="F289" s="349"/>
    </row>
    <row r="290" spans="2:6" x14ac:dyDescent="0.15">
      <c r="B290" s="350"/>
      <c r="C290" s="349"/>
      <c r="E290" s="350"/>
      <c r="F290" s="349"/>
    </row>
    <row r="291" spans="2:6" x14ac:dyDescent="0.15">
      <c r="B291" s="350"/>
      <c r="C291" s="349"/>
      <c r="E291" s="350"/>
      <c r="F291" s="349"/>
    </row>
    <row r="292" spans="2:6" x14ac:dyDescent="0.15">
      <c r="B292" s="350"/>
      <c r="C292" s="349"/>
      <c r="E292" s="350"/>
      <c r="F292" s="349"/>
    </row>
    <row r="293" spans="2:6" x14ac:dyDescent="0.15">
      <c r="B293" s="350"/>
      <c r="C293" s="349"/>
      <c r="E293" s="350"/>
      <c r="F293" s="349"/>
    </row>
    <row r="294" spans="2:6" x14ac:dyDescent="0.15">
      <c r="B294" s="350"/>
      <c r="C294" s="349"/>
      <c r="E294" s="350"/>
      <c r="F294" s="349"/>
    </row>
    <row r="295" spans="2:6" x14ac:dyDescent="0.15">
      <c r="B295" s="350"/>
      <c r="C295" s="349"/>
      <c r="E295" s="350"/>
      <c r="F295" s="349"/>
    </row>
    <row r="296" spans="2:6" x14ac:dyDescent="0.15">
      <c r="B296" s="350"/>
      <c r="C296" s="349"/>
      <c r="E296" s="350"/>
      <c r="F296" s="349"/>
    </row>
    <row r="297" spans="2:6" x14ac:dyDescent="0.15">
      <c r="B297" s="350"/>
      <c r="C297" s="349"/>
      <c r="E297" s="350"/>
      <c r="F297" s="349"/>
    </row>
    <row r="298" spans="2:6" x14ac:dyDescent="0.15">
      <c r="B298" s="350"/>
      <c r="C298" s="349"/>
      <c r="E298" s="350"/>
      <c r="F298" s="349"/>
    </row>
    <row r="299" spans="2:6" x14ac:dyDescent="0.15">
      <c r="B299" s="350"/>
      <c r="C299" s="349"/>
      <c r="E299" s="350"/>
      <c r="F299" s="349"/>
    </row>
    <row r="300" spans="2:6" x14ac:dyDescent="0.15">
      <c r="B300" s="350"/>
      <c r="C300" s="349"/>
      <c r="E300" s="350"/>
      <c r="F300" s="349"/>
    </row>
    <row r="301" spans="2:6" x14ac:dyDescent="0.15">
      <c r="B301" s="350"/>
      <c r="C301" s="349"/>
      <c r="E301" s="350"/>
      <c r="F301" s="349"/>
    </row>
    <row r="302" spans="2:6" x14ac:dyDescent="0.15">
      <c r="B302" s="350"/>
      <c r="C302" s="349"/>
      <c r="E302" s="350"/>
      <c r="F302" s="349"/>
    </row>
    <row r="303" spans="2:6" x14ac:dyDescent="0.15">
      <c r="B303" s="350"/>
      <c r="C303" s="349"/>
      <c r="E303" s="350"/>
      <c r="F303" s="349"/>
    </row>
    <row r="304" spans="2:6" x14ac:dyDescent="0.15">
      <c r="B304" s="350"/>
      <c r="C304" s="349"/>
      <c r="E304" s="350"/>
      <c r="F304" s="349"/>
    </row>
    <row r="305" spans="2:6" x14ac:dyDescent="0.15">
      <c r="B305" s="350"/>
      <c r="C305" s="349"/>
      <c r="E305" s="350"/>
      <c r="F305" s="349"/>
    </row>
    <row r="306" spans="2:6" x14ac:dyDescent="0.15">
      <c r="B306" s="350"/>
      <c r="C306" s="349"/>
      <c r="E306" s="350"/>
      <c r="F306" s="349"/>
    </row>
    <row r="307" spans="2:6" x14ac:dyDescent="0.15">
      <c r="B307" s="350"/>
      <c r="C307" s="349"/>
      <c r="E307" s="350"/>
      <c r="F307" s="349"/>
    </row>
    <row r="308" spans="2:6" x14ac:dyDescent="0.15">
      <c r="B308" s="350"/>
      <c r="C308" s="349"/>
      <c r="E308" s="350"/>
      <c r="F308" s="349"/>
    </row>
    <row r="309" spans="2:6" x14ac:dyDescent="0.15">
      <c r="B309" s="350"/>
      <c r="C309" s="349"/>
      <c r="E309" s="350"/>
      <c r="F309" s="349"/>
    </row>
    <row r="310" spans="2:6" x14ac:dyDescent="0.15">
      <c r="B310" s="350"/>
      <c r="C310" s="349"/>
      <c r="E310" s="350"/>
      <c r="F310" s="349"/>
    </row>
    <row r="311" spans="2:6" x14ac:dyDescent="0.15">
      <c r="B311" s="350"/>
      <c r="C311" s="349"/>
      <c r="E311" s="350"/>
      <c r="F311" s="349"/>
    </row>
    <row r="312" spans="2:6" x14ac:dyDescent="0.15">
      <c r="B312" s="350"/>
      <c r="C312" s="349"/>
      <c r="E312" s="350"/>
      <c r="F312" s="349"/>
    </row>
    <row r="313" spans="2:6" x14ac:dyDescent="0.15">
      <c r="B313" s="350"/>
      <c r="C313" s="349"/>
      <c r="E313" s="350"/>
      <c r="F313" s="349"/>
    </row>
    <row r="314" spans="2:6" x14ac:dyDescent="0.15">
      <c r="B314" s="350"/>
      <c r="C314" s="349"/>
      <c r="E314" s="350"/>
      <c r="F314" s="349"/>
    </row>
    <row r="315" spans="2:6" x14ac:dyDescent="0.15">
      <c r="B315" s="350"/>
      <c r="C315" s="349"/>
      <c r="E315" s="350"/>
      <c r="F315" s="349"/>
    </row>
    <row r="316" spans="2:6" x14ac:dyDescent="0.15">
      <c r="B316" s="350"/>
      <c r="C316" s="349"/>
      <c r="E316" s="350"/>
      <c r="F316" s="349"/>
    </row>
    <row r="317" spans="2:6" x14ac:dyDescent="0.15">
      <c r="B317" s="350"/>
      <c r="C317" s="349"/>
      <c r="E317" s="350"/>
      <c r="F317" s="349"/>
    </row>
    <row r="318" spans="2:6" x14ac:dyDescent="0.15">
      <c r="B318" s="350"/>
      <c r="C318" s="349"/>
      <c r="E318" s="350"/>
      <c r="F318" s="349"/>
    </row>
    <row r="319" spans="2:6" x14ac:dyDescent="0.15">
      <c r="B319" s="350"/>
      <c r="C319" s="349"/>
      <c r="E319" s="350"/>
      <c r="F319" s="349"/>
    </row>
    <row r="320" spans="2:6" x14ac:dyDescent="0.15">
      <c r="B320" s="350"/>
      <c r="C320" s="349"/>
      <c r="E320" s="350"/>
      <c r="F320" s="349"/>
    </row>
    <row r="321" spans="2:6" x14ac:dyDescent="0.15">
      <c r="B321" s="350"/>
      <c r="C321" s="349"/>
      <c r="E321" s="350"/>
      <c r="F321" s="349"/>
    </row>
    <row r="322" spans="2:6" x14ac:dyDescent="0.15">
      <c r="B322" s="350"/>
      <c r="C322" s="349"/>
      <c r="E322" s="350"/>
      <c r="F322" s="349"/>
    </row>
    <row r="323" spans="2:6" x14ac:dyDescent="0.15">
      <c r="B323" s="350"/>
      <c r="C323" s="349"/>
      <c r="E323" s="350"/>
      <c r="F323" s="349"/>
    </row>
    <row r="324" spans="2:6" x14ac:dyDescent="0.15">
      <c r="B324" s="350"/>
      <c r="C324" s="349"/>
      <c r="E324" s="350"/>
      <c r="F324" s="349"/>
    </row>
    <row r="325" spans="2:6" x14ac:dyDescent="0.15">
      <c r="B325" s="350"/>
      <c r="C325" s="349"/>
      <c r="E325" s="350"/>
      <c r="F325" s="349"/>
    </row>
    <row r="326" spans="2:6" x14ac:dyDescent="0.15">
      <c r="B326" s="350"/>
      <c r="C326" s="349"/>
      <c r="E326" s="350"/>
      <c r="F326" s="349"/>
    </row>
    <row r="327" spans="2:6" x14ac:dyDescent="0.15">
      <c r="B327" s="350"/>
      <c r="C327" s="349"/>
      <c r="E327" s="350"/>
      <c r="F327" s="349"/>
    </row>
    <row r="328" spans="2:6" x14ac:dyDescent="0.15">
      <c r="B328" s="350"/>
      <c r="C328" s="349"/>
      <c r="E328" s="350"/>
      <c r="F328" s="349"/>
    </row>
    <row r="329" spans="2:6" x14ac:dyDescent="0.15">
      <c r="B329" s="350"/>
      <c r="C329" s="349"/>
      <c r="E329" s="350"/>
      <c r="F329" s="349"/>
    </row>
    <row r="330" spans="2:6" x14ac:dyDescent="0.15">
      <c r="B330" s="350"/>
      <c r="C330" s="349"/>
      <c r="E330" s="350"/>
      <c r="F330" s="349"/>
    </row>
    <row r="331" spans="2:6" x14ac:dyDescent="0.15">
      <c r="B331" s="350"/>
      <c r="C331" s="349"/>
      <c r="E331" s="350"/>
      <c r="F331" s="349"/>
    </row>
    <row r="332" spans="2:6" x14ac:dyDescent="0.15">
      <c r="B332" s="350"/>
      <c r="C332" s="349"/>
      <c r="E332" s="350"/>
      <c r="F332" s="349"/>
    </row>
    <row r="333" spans="2:6" x14ac:dyDescent="0.15">
      <c r="B333" s="350"/>
      <c r="C333" s="349"/>
      <c r="E333" s="350"/>
      <c r="F333" s="349"/>
    </row>
    <row r="334" spans="2:6" x14ac:dyDescent="0.15">
      <c r="B334" s="350"/>
      <c r="C334" s="349"/>
      <c r="E334" s="350"/>
      <c r="F334" s="349"/>
    </row>
    <row r="335" spans="2:6" x14ac:dyDescent="0.15">
      <c r="B335" s="350"/>
      <c r="C335" s="349"/>
      <c r="E335" s="350"/>
      <c r="F335" s="349"/>
    </row>
    <row r="336" spans="2:6" x14ac:dyDescent="0.15">
      <c r="B336" s="350"/>
      <c r="C336" s="349"/>
      <c r="E336" s="350"/>
      <c r="F336" s="349"/>
    </row>
    <row r="337" spans="2:6" x14ac:dyDescent="0.15">
      <c r="B337" s="350"/>
      <c r="C337" s="349"/>
      <c r="E337" s="350"/>
      <c r="F337" s="349"/>
    </row>
    <row r="338" spans="2:6" x14ac:dyDescent="0.15">
      <c r="B338" s="350"/>
      <c r="C338" s="349"/>
      <c r="E338" s="350"/>
      <c r="F338" s="349"/>
    </row>
    <row r="339" spans="2:6" x14ac:dyDescent="0.15">
      <c r="B339" s="350"/>
      <c r="C339" s="349"/>
      <c r="E339" s="350"/>
      <c r="F339" s="349"/>
    </row>
    <row r="340" spans="2:6" x14ac:dyDescent="0.15">
      <c r="B340" s="350"/>
      <c r="C340" s="349"/>
      <c r="E340" s="350"/>
      <c r="F340" s="349"/>
    </row>
    <row r="341" spans="2:6" x14ac:dyDescent="0.15">
      <c r="B341" s="350"/>
      <c r="C341" s="349"/>
      <c r="E341" s="350"/>
      <c r="F341" s="349"/>
    </row>
    <row r="342" spans="2:6" x14ac:dyDescent="0.15">
      <c r="B342" s="350"/>
      <c r="C342" s="349"/>
      <c r="E342" s="350"/>
      <c r="F342" s="349"/>
    </row>
    <row r="343" spans="2:6" x14ac:dyDescent="0.15">
      <c r="B343" s="350"/>
      <c r="C343" s="349"/>
      <c r="E343" s="350"/>
      <c r="F343" s="349"/>
    </row>
    <row r="344" spans="2:6" x14ac:dyDescent="0.15">
      <c r="B344" s="350"/>
      <c r="C344" s="349"/>
      <c r="E344" s="350"/>
      <c r="F344" s="349"/>
    </row>
    <row r="345" spans="2:6" x14ac:dyDescent="0.15">
      <c r="B345" s="350"/>
      <c r="C345" s="349"/>
      <c r="E345" s="350"/>
      <c r="F345" s="349"/>
    </row>
    <row r="346" spans="2:6" x14ac:dyDescent="0.15">
      <c r="B346" s="350"/>
      <c r="C346" s="349"/>
      <c r="E346" s="350"/>
      <c r="F346" s="349"/>
    </row>
    <row r="347" spans="2:6" x14ac:dyDescent="0.15">
      <c r="B347" s="350"/>
      <c r="C347" s="349"/>
      <c r="E347" s="350"/>
      <c r="F347" s="349"/>
    </row>
    <row r="348" spans="2:6" x14ac:dyDescent="0.15">
      <c r="B348" s="350"/>
      <c r="C348" s="349"/>
      <c r="E348" s="350"/>
      <c r="F348" s="349"/>
    </row>
    <row r="349" spans="2:6" x14ac:dyDescent="0.15">
      <c r="B349" s="350"/>
      <c r="C349" s="349"/>
      <c r="E349" s="350"/>
      <c r="F349" s="349"/>
    </row>
    <row r="350" spans="2:6" x14ac:dyDescent="0.15">
      <c r="B350" s="350"/>
      <c r="C350" s="349"/>
      <c r="E350" s="350"/>
      <c r="F350" s="349"/>
    </row>
    <row r="351" spans="2:6" x14ac:dyDescent="0.15">
      <c r="B351" s="350"/>
      <c r="C351" s="349"/>
      <c r="E351" s="350"/>
      <c r="F351" s="349"/>
    </row>
    <row r="352" spans="2:6" x14ac:dyDescent="0.15">
      <c r="B352" s="350"/>
      <c r="C352" s="349"/>
      <c r="E352" s="350"/>
      <c r="F352" s="349"/>
    </row>
    <row r="353" spans="2:6" x14ac:dyDescent="0.15">
      <c r="B353" s="350"/>
      <c r="C353" s="349"/>
      <c r="E353" s="350"/>
      <c r="F353" s="349"/>
    </row>
    <row r="354" spans="2:6" x14ac:dyDescent="0.15">
      <c r="B354" s="350"/>
      <c r="C354" s="349"/>
      <c r="E354" s="350"/>
      <c r="F354" s="349"/>
    </row>
    <row r="355" spans="2:6" x14ac:dyDescent="0.15">
      <c r="B355" s="350"/>
      <c r="C355" s="349"/>
      <c r="E355" s="350"/>
      <c r="F355" s="349"/>
    </row>
    <row r="356" spans="2:6" x14ac:dyDescent="0.15">
      <c r="B356" s="350"/>
      <c r="C356" s="349"/>
      <c r="E356" s="350"/>
      <c r="F356" s="349"/>
    </row>
    <row r="357" spans="2:6" x14ac:dyDescent="0.15">
      <c r="B357" s="350"/>
      <c r="C357" s="349"/>
      <c r="E357" s="350"/>
      <c r="F357" s="349"/>
    </row>
    <row r="358" spans="2:6" x14ac:dyDescent="0.15">
      <c r="B358" s="350"/>
      <c r="C358" s="349"/>
      <c r="E358" s="350"/>
      <c r="F358" s="349"/>
    </row>
    <row r="359" spans="2:6" x14ac:dyDescent="0.15">
      <c r="B359" s="350"/>
      <c r="C359" s="349"/>
      <c r="E359" s="350"/>
      <c r="F359" s="349"/>
    </row>
    <row r="360" spans="2:6" x14ac:dyDescent="0.15">
      <c r="B360" s="350"/>
      <c r="C360" s="349"/>
      <c r="E360" s="350"/>
      <c r="F360" s="349"/>
    </row>
  </sheetData>
  <mergeCells count="1">
    <mergeCell ref="E56:F56"/>
  </mergeCells>
  <conditionalFormatting sqref="N3:O4">
    <cfRule type="containsText" dxfId="15" priority="1" operator="containsText" text="NO">
      <formula>NOT(ISERROR(SEARCH("NO",N3)))</formula>
    </cfRule>
  </conditionalFormatting>
  <dataValidations count="2">
    <dataValidation allowBlank="1" showErrorMessage="1" sqref="C7" xr:uid="{A4F6DF86-07C6-1144-8F9D-4282A4984724}"/>
    <dataValidation type="list" allowBlank="1" showInputMessage="1" showErrorMessage="1" sqref="C8" xr:uid="{A959594C-7C73-9644-A510-6BBAE7580969}">
      <formula1>$B$73:$B$75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E234-62FA-4C2D-9A27-B1A85E9A82B3}">
  <sheetPr>
    <tabColor theme="0" tint="-0.14999847407452621"/>
  </sheetPr>
  <dimension ref="A2:BS364"/>
  <sheetViews>
    <sheetView showGridLines="0" topLeftCell="AC106" zoomScale="81" zoomScaleNormal="323" workbookViewId="0">
      <selection activeCell="AT83" sqref="AT83:AT130"/>
    </sheetView>
  </sheetViews>
  <sheetFormatPr baseColWidth="10" defaultColWidth="8.6640625" defaultRowHeight="14" x14ac:dyDescent="0.15"/>
  <cols>
    <col min="1" max="2" width="2.1640625" style="1" customWidth="1"/>
    <col min="3" max="3" width="14.5" style="1" bestFit="1" customWidth="1"/>
    <col min="4" max="4" width="19.33203125" style="1" customWidth="1"/>
    <col min="5" max="5" width="15.5" style="1" customWidth="1"/>
    <col min="6" max="7" width="11.5" style="1" bestFit="1" customWidth="1"/>
    <col min="8" max="15" width="8.6640625" style="1"/>
    <col min="16" max="16" width="8.6640625" style="226"/>
    <col min="17" max="17" width="8.6640625" style="1"/>
    <col min="18" max="18" width="29.6640625" style="1" customWidth="1"/>
    <col min="19" max="19" width="18.83203125" style="1" customWidth="1"/>
    <col min="20" max="20" width="19.83203125" style="1" bestFit="1" customWidth="1"/>
    <col min="21" max="21" width="15.1640625" style="1" customWidth="1"/>
    <col min="22" max="22" width="13.83203125" style="1" customWidth="1"/>
    <col min="23" max="23" width="23.6640625" style="1" bestFit="1" customWidth="1"/>
    <col min="24" max="24" width="15.83203125" style="1" bestFit="1" customWidth="1"/>
    <col min="25" max="25" width="8.83203125" style="1" bestFit="1" customWidth="1"/>
    <col min="26" max="26" width="19.1640625" style="1" bestFit="1" customWidth="1"/>
    <col min="27" max="27" width="27.1640625" style="1" bestFit="1" customWidth="1"/>
    <col min="28" max="30" width="12.6640625" style="1" bestFit="1" customWidth="1"/>
    <col min="31" max="31" width="15" style="1" customWidth="1"/>
    <col min="32" max="32" width="12.6640625" style="1" bestFit="1" customWidth="1"/>
    <col min="33" max="33" width="12.83203125" style="1" bestFit="1" customWidth="1"/>
    <col min="34" max="34" width="12.6640625" style="1" bestFit="1" customWidth="1"/>
    <col min="35" max="36" width="13" style="1" bestFit="1" customWidth="1"/>
    <col min="37" max="37" width="13.1640625" style="1" bestFit="1" customWidth="1"/>
    <col min="38" max="38" width="7" style="1" bestFit="1" customWidth="1"/>
    <col min="39" max="44" width="8.6640625" style="1"/>
    <col min="45" max="45" width="12" style="1" bestFit="1" customWidth="1"/>
    <col min="46" max="49" width="12.33203125" style="1" bestFit="1" customWidth="1"/>
    <col min="50" max="50" width="13" style="1" bestFit="1" customWidth="1"/>
    <col min="51" max="52" width="12.33203125" style="1" bestFit="1" customWidth="1"/>
    <col min="53" max="55" width="13.33203125" style="1" bestFit="1" customWidth="1"/>
    <col min="56" max="56" width="8.83203125" style="1" customWidth="1"/>
    <col min="57" max="57" width="8.6640625" style="1"/>
    <col min="58" max="58" width="8.83203125" style="1" bestFit="1" customWidth="1"/>
    <col min="59" max="59" width="8.83203125" style="1" customWidth="1"/>
    <col min="60" max="60" width="10" style="1" bestFit="1" customWidth="1"/>
    <col min="61" max="70" width="12.83203125" style="1" bestFit="1" customWidth="1"/>
    <col min="71" max="71" width="8.83203125" style="1" bestFit="1" customWidth="1"/>
    <col min="72" max="16384" width="8.6640625" style="1"/>
  </cols>
  <sheetData>
    <row r="2" spans="1:26" s="226" customFormat="1" x14ac:dyDescent="0.15">
      <c r="A2" s="227">
        <v>1</v>
      </c>
      <c r="B2" s="1"/>
      <c r="C2" s="33" t="s">
        <v>752</v>
      </c>
      <c r="Z2" s="1"/>
    </row>
    <row r="3" spans="1:26" x14ac:dyDescent="0.15">
      <c r="Q3" s="1" t="s">
        <v>753</v>
      </c>
      <c r="R3" s="1" t="s">
        <v>754</v>
      </c>
    </row>
    <row r="4" spans="1:26" x14ac:dyDescent="0.15">
      <c r="D4" s="228">
        <v>22</v>
      </c>
      <c r="E4" s="228">
        <f>D4+1</f>
        <v>23</v>
      </c>
      <c r="F4" s="228">
        <f t="shared" ref="F4:G4" si="0">E4+1</f>
        <v>24</v>
      </c>
      <c r="G4" s="228">
        <f t="shared" si="0"/>
        <v>25</v>
      </c>
      <c r="S4" s="1">
        <v>2025</v>
      </c>
      <c r="T4" s="1">
        <v>2025</v>
      </c>
      <c r="U4" s="1">
        <v>2025</v>
      </c>
      <c r="V4" s="1">
        <v>2025</v>
      </c>
    </row>
    <row r="5" spans="1:26" x14ac:dyDescent="0.15">
      <c r="C5" s="1" t="s">
        <v>31</v>
      </c>
      <c r="D5" s="143">
        <f>(('3FS'!F15)*0.001)*0.001</f>
        <v>3.1942080000000002</v>
      </c>
      <c r="E5" s="143">
        <f>(('3FS'!G15)*0.001)*0.001</f>
        <v>3.1083830000000003</v>
      </c>
      <c r="F5" s="143">
        <f>(('3FS'!H15)*0.001)*0.001</f>
        <v>6.5640280000000004</v>
      </c>
      <c r="G5" s="143">
        <f>(('3FS'!I15)*0.001)*0.001</f>
        <v>7.1813250000000002</v>
      </c>
      <c r="R5" s="52" t="s">
        <v>233</v>
      </c>
      <c r="S5" s="29" t="s">
        <v>21</v>
      </c>
      <c r="T5" s="29" t="s">
        <v>22</v>
      </c>
      <c r="U5" s="29" t="s">
        <v>23</v>
      </c>
      <c r="V5" s="29" t="s">
        <v>20</v>
      </c>
    </row>
    <row r="6" spans="1:26" x14ac:dyDescent="0.15">
      <c r="C6" s="1" t="s">
        <v>755</v>
      </c>
      <c r="D6" s="118">
        <f>('3FS'!F15-'3FS'!E15)/'3FS'!E15</f>
        <v>-0.59254666624997054</v>
      </c>
      <c r="E6" s="118">
        <f>('3FS'!G15-'3FS'!F15)/'3FS'!F15</f>
        <v>-2.6868945290976668E-2</v>
      </c>
      <c r="F6" s="118">
        <f>('3FS'!H15-'3FS'!G15)/'3FS'!G15</f>
        <v>1.1117178931939855</v>
      </c>
      <c r="G6" s="118">
        <f>('3FS'!I15-'3FS'!H15)/'3FS'!H15</f>
        <v>9.4042408106729591E-2</v>
      </c>
      <c r="R6" s="95" t="s">
        <v>234</v>
      </c>
      <c r="S6" s="97">
        <v>1095500</v>
      </c>
      <c r="T6" s="97">
        <v>649900</v>
      </c>
      <c r="U6" s="97">
        <v>843500</v>
      </c>
      <c r="V6" s="97">
        <v>733900</v>
      </c>
    </row>
    <row r="7" spans="1:26" x14ac:dyDescent="0.15">
      <c r="R7" s="1" t="s">
        <v>235</v>
      </c>
      <c r="S7" s="51">
        <v>98900</v>
      </c>
      <c r="T7" s="51">
        <v>60800</v>
      </c>
      <c r="U7" s="51">
        <v>135000</v>
      </c>
      <c r="V7" s="51">
        <v>185000</v>
      </c>
    </row>
    <row r="8" spans="1:26" x14ac:dyDescent="0.15">
      <c r="D8" s="228">
        <v>21</v>
      </c>
      <c r="E8" s="228">
        <v>22</v>
      </c>
      <c r="F8" s="228">
        <f>E8+1</f>
        <v>23</v>
      </c>
      <c r="G8" s="228">
        <f t="shared" ref="G8:H8" si="1">F8+1</f>
        <v>24</v>
      </c>
      <c r="H8" s="228">
        <f t="shared" si="1"/>
        <v>25</v>
      </c>
      <c r="S8" s="51"/>
      <c r="T8" s="51"/>
      <c r="U8" s="51"/>
      <c r="V8" s="51"/>
    </row>
    <row r="9" spans="1:26" x14ac:dyDescent="0.15">
      <c r="C9" s="1" t="s">
        <v>756</v>
      </c>
      <c r="D9" s="143">
        <f>('Revenue Build'!F14)*0.000001</f>
        <v>6.88</v>
      </c>
      <c r="E9" s="143">
        <f>('Revenue Build'!G14)*0.000001</f>
        <v>2.3563000000000001</v>
      </c>
      <c r="F9" s="143">
        <f>('Revenue Build'!H14)*0.000001</f>
        <v>1.5770999999999999</v>
      </c>
      <c r="G9" s="143">
        <f>('Revenue Build'!I14)*0.000001</f>
        <v>3.9861999999999997</v>
      </c>
      <c r="H9" s="143">
        <f>('Revenue Build'!J14)*0.000001</f>
        <v>4.0552999999999999</v>
      </c>
      <c r="R9" s="52" t="s">
        <v>233</v>
      </c>
      <c r="S9" s="69"/>
      <c r="T9" s="69"/>
      <c r="U9" s="69"/>
      <c r="V9" s="69"/>
    </row>
    <row r="10" spans="1:26" x14ac:dyDescent="0.15">
      <c r="C10" s="1" t="s">
        <v>757</v>
      </c>
      <c r="D10" s="143">
        <f>('Revenue Build'!F22)*0.000001</f>
        <v>0.49509999999999998</v>
      </c>
      <c r="E10" s="143">
        <f>('Revenue Build'!G22)*0.000001</f>
        <v>1.3865999999999998</v>
      </c>
      <c r="F10" s="143">
        <f>('Revenue Build'!H22)*0.000001</f>
        <v>1.2584</v>
      </c>
      <c r="G10" s="143">
        <f>('Revenue Build'!I22)*0.000001</f>
        <v>2.3069999999999999</v>
      </c>
      <c r="H10" s="143">
        <f>('Revenue Build'!J22)*0.000001</f>
        <v>2.8279999999999998</v>
      </c>
      <c r="R10" s="95" t="s">
        <v>234</v>
      </c>
      <c r="S10" s="97">
        <v>935200</v>
      </c>
      <c r="T10" s="97">
        <v>664800</v>
      </c>
      <c r="U10" s="97">
        <v>483300</v>
      </c>
      <c r="V10" s="97">
        <v>1347100</v>
      </c>
    </row>
    <row r="11" spans="1:26" x14ac:dyDescent="0.15">
      <c r="C11" s="1" t="s">
        <v>758</v>
      </c>
      <c r="D11" s="143">
        <f>('Revenue Build'!F26)*0.000001</f>
        <v>0.51400000000000001</v>
      </c>
      <c r="E11" s="143">
        <f>('Revenue Build'!G26)*0.000001</f>
        <v>5.9999999999999995E-4</v>
      </c>
      <c r="F11" s="143">
        <f>('Revenue Build'!H26)*0.000001</f>
        <v>4.9200000000000001E-2</v>
      </c>
      <c r="G11" s="143">
        <f>('Revenue Build'!I26)*0.000001</f>
        <v>0.27079999999999999</v>
      </c>
      <c r="H11" s="143">
        <f>('Revenue Build'!J26)*0.000001</f>
        <v>0.2979</v>
      </c>
      <c r="R11" s="1" t="s">
        <v>235</v>
      </c>
      <c r="S11" s="51">
        <v>85400</v>
      </c>
      <c r="T11" s="51">
        <v>63600</v>
      </c>
      <c r="U11" s="51">
        <v>55300</v>
      </c>
      <c r="V11" s="51">
        <v>141300</v>
      </c>
    </row>
    <row r="13" spans="1:26" x14ac:dyDescent="0.15">
      <c r="D13" s="228">
        <v>21</v>
      </c>
      <c r="E13" s="228">
        <v>22</v>
      </c>
      <c r="F13" s="228">
        <f>E13+1</f>
        <v>23</v>
      </c>
      <c r="G13" s="228">
        <f t="shared" ref="G13:H13" si="2">F13+1</f>
        <v>24</v>
      </c>
      <c r="H13" s="228">
        <f t="shared" si="2"/>
        <v>25</v>
      </c>
      <c r="R13" s="52" t="s">
        <v>759</v>
      </c>
      <c r="S13" s="29" t="s">
        <v>21</v>
      </c>
      <c r="T13" s="29" t="s">
        <v>22</v>
      </c>
      <c r="U13" s="29" t="s">
        <v>23</v>
      </c>
      <c r="V13" s="29" t="s">
        <v>20</v>
      </c>
    </row>
    <row r="14" spans="1:26" x14ac:dyDescent="0.15">
      <c r="C14" s="1" t="s">
        <v>760</v>
      </c>
      <c r="D14" s="143">
        <f>('3FS'!E46)*0.000001</f>
        <v>3.119758</v>
      </c>
      <c r="E14" s="143">
        <f>('3FS'!F46)*0.000001</f>
        <v>-2.821612</v>
      </c>
      <c r="F14" s="143">
        <f>('3FS'!G46)*0.000001</f>
        <v>0.145563</v>
      </c>
      <c r="G14" s="143">
        <f>('3FS'!H46)*0.000001</f>
        <v>3.0790819999999997</v>
      </c>
      <c r="H14" s="143">
        <f>('3FS'!I46)*0.000001</f>
        <v>1.8166099999999998</v>
      </c>
      <c r="R14" s="95" t="s">
        <v>761</v>
      </c>
      <c r="S14" s="467">
        <f>S6/S10-1</f>
        <v>0.17140718562874246</v>
      </c>
      <c r="T14" s="467">
        <f t="shared" ref="T14:V14" si="3">T6/T10-1</f>
        <v>-2.2412755716004762E-2</v>
      </c>
      <c r="U14" s="467">
        <f t="shared" si="3"/>
        <v>0.7452927788123318</v>
      </c>
      <c r="V14" s="467">
        <f t="shared" si="3"/>
        <v>-0.45520005938683095</v>
      </c>
    </row>
    <row r="15" spans="1:26" x14ac:dyDescent="0.15">
      <c r="C15" s="1" t="s">
        <v>58</v>
      </c>
      <c r="D15" s="118">
        <f>'3FS'!E47</f>
        <v>0.39795648799117794</v>
      </c>
      <c r="E15" s="118">
        <f>'3FS'!F47</f>
        <v>-0.88335261823901257</v>
      </c>
      <c r="F15" s="118">
        <f>'3FS'!G47</f>
        <v>4.8800398548489617E-2</v>
      </c>
      <c r="G15" s="118">
        <f>'3FS'!H47</f>
        <v>0.46908422694114044</v>
      </c>
      <c r="H15" s="118">
        <f>'3FS'!I47</f>
        <v>0.25296306740051455</v>
      </c>
      <c r="R15" s="1" t="s">
        <v>762</v>
      </c>
      <c r="S15" s="467">
        <f>S7/S11-1</f>
        <v>0.15807962529274011</v>
      </c>
      <c r="T15" s="467">
        <f t="shared" ref="T15:V15" si="4">T7/T11-1</f>
        <v>-4.4025157232704393E-2</v>
      </c>
      <c r="U15" s="467">
        <f t="shared" si="4"/>
        <v>1.4412296564195297</v>
      </c>
      <c r="V15" s="467">
        <f t="shared" si="4"/>
        <v>0.30927105449398451</v>
      </c>
    </row>
    <row r="17" spans="1:58" s="226" customFormat="1" x14ac:dyDescent="0.15">
      <c r="A17" s="227">
        <v>2</v>
      </c>
      <c r="B17" s="1"/>
      <c r="C17" s="33" t="s">
        <v>763</v>
      </c>
      <c r="Z17" s="1"/>
    </row>
    <row r="18" spans="1:58" x14ac:dyDescent="0.15">
      <c r="AC18" s="35">
        <v>21</v>
      </c>
      <c r="AD18" s="35">
        <v>22</v>
      </c>
      <c r="AE18" s="35">
        <v>23</v>
      </c>
      <c r="AF18" s="35">
        <v>24</v>
      </c>
      <c r="AG18" s="35">
        <v>25</v>
      </c>
      <c r="AH18" s="36"/>
      <c r="AI18" s="36">
        <v>30</v>
      </c>
    </row>
    <row r="19" spans="1:58" ht="15" x14ac:dyDescent="0.2">
      <c r="D19" s="228">
        <v>25</v>
      </c>
      <c r="E19" s="229">
        <f>D19+1</f>
        <v>26</v>
      </c>
      <c r="F19" s="229">
        <f t="shared" ref="F19:I19" si="5">E19+1</f>
        <v>27</v>
      </c>
      <c r="G19" s="229">
        <f t="shared" si="5"/>
        <v>28</v>
      </c>
      <c r="H19" s="229">
        <f t="shared" si="5"/>
        <v>29</v>
      </c>
      <c r="I19" s="229">
        <f t="shared" si="5"/>
        <v>30</v>
      </c>
      <c r="J19" s="229"/>
      <c r="K19" s="229"/>
      <c r="L19" s="229"/>
      <c r="M19" s="229"/>
      <c r="N19" s="229"/>
      <c r="R19" s="232" t="s">
        <v>764</v>
      </c>
      <c r="S19" s="232" t="s">
        <v>765</v>
      </c>
      <c r="T19" s="232" t="s">
        <v>766</v>
      </c>
      <c r="U19" s="232" t="s">
        <v>767</v>
      </c>
      <c r="V19" s="232" t="s">
        <v>768</v>
      </c>
      <c r="W19" s="232"/>
      <c r="X19" s="232" t="s">
        <v>769</v>
      </c>
      <c r="Y19" s="232"/>
      <c r="Z19" s="232"/>
      <c r="AC19"/>
      <c r="AD19"/>
      <c r="AE19"/>
      <c r="AF19"/>
      <c r="AG19"/>
    </row>
    <row r="20" spans="1:58" x14ac:dyDescent="0.15">
      <c r="C20" s="1" t="s">
        <v>770</v>
      </c>
      <c r="D20" s="91">
        <v>4.87</v>
      </c>
      <c r="E20" s="91">
        <f>D20*(1+26.56%)</f>
        <v>6.1634720000000005</v>
      </c>
      <c r="F20" s="91">
        <f t="shared" ref="F20:I20" si="6">E20*(1+26.56%)</f>
        <v>7.800490163200001</v>
      </c>
      <c r="G20" s="91">
        <f t="shared" si="6"/>
        <v>9.8723003505459221</v>
      </c>
      <c r="H20" s="91">
        <f t="shared" si="6"/>
        <v>12.49438332365092</v>
      </c>
      <c r="I20" s="91">
        <f t="shared" si="6"/>
        <v>15.812891534412605</v>
      </c>
      <c r="J20" s="91"/>
      <c r="K20" s="91"/>
      <c r="L20" s="91"/>
      <c r="M20" s="91"/>
      <c r="N20" s="91"/>
      <c r="O20" s="91"/>
      <c r="R20" s="233" t="s">
        <v>771</v>
      </c>
      <c r="S20" s="233" t="s">
        <v>772</v>
      </c>
      <c r="T20" s="234" t="s">
        <v>773</v>
      </c>
      <c r="U20" s="232" t="s">
        <v>774</v>
      </c>
      <c r="V20" s="235" t="s">
        <v>775</v>
      </c>
      <c r="W20" s="234"/>
      <c r="X20" s="377" t="s">
        <v>776</v>
      </c>
      <c r="Y20" s="373">
        <f>X81</f>
        <v>65226.830959999999</v>
      </c>
      <c r="Z20" s="233"/>
      <c r="AA20" s="52" t="s">
        <v>233</v>
      </c>
    </row>
    <row r="21" spans="1:58" x14ac:dyDescent="0.15">
      <c r="R21" s="233" t="s">
        <v>777</v>
      </c>
      <c r="S21" s="233" t="s">
        <v>778</v>
      </c>
      <c r="T21" s="234" t="s">
        <v>779</v>
      </c>
      <c r="U21" s="232" t="s">
        <v>774</v>
      </c>
      <c r="V21" s="235" t="s">
        <v>780</v>
      </c>
      <c r="W21" s="234"/>
      <c r="X21" s="378" t="s">
        <v>781</v>
      </c>
      <c r="Y21" s="373">
        <f>X82</f>
        <v>7658.7240000000002</v>
      </c>
      <c r="Z21" s="233"/>
      <c r="AA21" s="95" t="s">
        <v>234</v>
      </c>
      <c r="AB21" s="94"/>
      <c r="AC21" s="94">
        <f>'Revenue Build'!F11</f>
        <v>6533700</v>
      </c>
      <c r="AD21" s="94">
        <f>'Revenue Build'!G11</f>
        <v>2236900</v>
      </c>
      <c r="AE21" s="94">
        <f>'Revenue Build'!H11</f>
        <v>1457500</v>
      </c>
      <c r="AF21" s="94">
        <f>'Revenue Build'!I11</f>
        <v>3430400</v>
      </c>
      <c r="AG21" s="94">
        <f>'Revenue Build'!J11</f>
        <v>3322800</v>
      </c>
      <c r="AI21" s="94">
        <v>8996525.8562381584</v>
      </c>
    </row>
    <row r="22" spans="1:58" x14ac:dyDescent="0.15">
      <c r="C22" s="38" t="s">
        <v>782</v>
      </c>
      <c r="D22" s="38" t="s">
        <v>783</v>
      </c>
      <c r="R22" s="233" t="s">
        <v>784</v>
      </c>
      <c r="S22" s="233" t="s">
        <v>785</v>
      </c>
      <c r="T22" s="234" t="s">
        <v>786</v>
      </c>
      <c r="U22" s="232" t="s">
        <v>787</v>
      </c>
      <c r="V22" s="232" t="s">
        <v>788</v>
      </c>
      <c r="W22" s="234"/>
      <c r="X22" s="378" t="s">
        <v>789</v>
      </c>
      <c r="Y22" s="374">
        <f>-X84</f>
        <v>-11929.535</v>
      </c>
      <c r="Z22" s="233"/>
      <c r="AA22" s="1" t="s">
        <v>235</v>
      </c>
      <c r="AC22" s="50">
        <f>'Revenue Build'!F12</f>
        <v>346300</v>
      </c>
      <c r="AD22" s="50">
        <f>'Revenue Build'!G12</f>
        <v>119400</v>
      </c>
      <c r="AE22" s="50">
        <f>'Revenue Build'!H12</f>
        <v>96000</v>
      </c>
      <c r="AF22" s="50">
        <f>'Revenue Build'!I12</f>
        <v>345600</v>
      </c>
      <c r="AG22" s="50">
        <f>'Revenue Build'!J12</f>
        <v>479700</v>
      </c>
      <c r="AI22" s="50">
        <v>749104.36763286148</v>
      </c>
    </row>
    <row r="23" spans="1:58" x14ac:dyDescent="0.15">
      <c r="C23" s="206">
        <v>44197</v>
      </c>
      <c r="D23" s="1">
        <v>106</v>
      </c>
      <c r="R23" s="233" t="s">
        <v>790</v>
      </c>
      <c r="S23" s="233" t="s">
        <v>791</v>
      </c>
      <c r="T23" s="234" t="s">
        <v>792</v>
      </c>
      <c r="U23" s="232" t="s">
        <v>787</v>
      </c>
      <c r="V23" s="236" t="s">
        <v>793</v>
      </c>
      <c r="W23" s="234"/>
      <c r="X23" s="379" t="s">
        <v>794</v>
      </c>
      <c r="Y23" s="375">
        <f>-X87</f>
        <v>-622.98500000000001</v>
      </c>
      <c r="Z23" s="233"/>
      <c r="AA23" s="1" t="s">
        <v>236</v>
      </c>
      <c r="AC23" s="50">
        <f>'Revenue Build'!F13</f>
        <v>0</v>
      </c>
      <c r="AD23" s="50">
        <f>'Revenue Build'!G13</f>
        <v>0</v>
      </c>
      <c r="AE23" s="50">
        <f>'Revenue Build'!H13</f>
        <v>23600</v>
      </c>
      <c r="AF23" s="50">
        <f>'Revenue Build'!I13</f>
        <v>210200</v>
      </c>
      <c r="AG23" s="50">
        <f>'Revenue Build'!J13</f>
        <v>252800</v>
      </c>
      <c r="AI23" s="50">
        <v>352264.33035172976</v>
      </c>
    </row>
    <row r="24" spans="1:58" x14ac:dyDescent="0.15">
      <c r="C24" s="206">
        <v>44228</v>
      </c>
      <c r="D24" s="1">
        <v>125</v>
      </c>
      <c r="R24" s="233" t="s">
        <v>795</v>
      </c>
      <c r="S24" s="233" t="s">
        <v>796</v>
      </c>
      <c r="T24" s="234" t="s">
        <v>797</v>
      </c>
      <c r="U24" s="232" t="s">
        <v>798</v>
      </c>
      <c r="V24" s="232" t="s">
        <v>799</v>
      </c>
      <c r="W24" s="234"/>
      <c r="X24" s="232" t="s">
        <v>179</v>
      </c>
      <c r="Y24" s="376">
        <f>SUM(Y20:Y23)</f>
        <v>60333.03495999999</v>
      </c>
      <c r="Z24" s="233"/>
      <c r="AA24" s="67" t="s">
        <v>237</v>
      </c>
      <c r="AB24" s="67"/>
      <c r="AC24" s="69"/>
      <c r="AD24" s="69"/>
      <c r="AE24" s="69"/>
      <c r="AF24" s="69"/>
      <c r="AG24" s="69">
        <f t="shared" ref="AG24" si="7">SUM(AG21:AG23)</f>
        <v>4055300</v>
      </c>
      <c r="AI24" s="69">
        <v>10097894.55422275</v>
      </c>
    </row>
    <row r="25" spans="1:58" x14ac:dyDescent="0.15">
      <c r="C25" s="206">
        <v>44256</v>
      </c>
      <c r="D25" s="1">
        <v>129</v>
      </c>
      <c r="R25" s="233" t="s">
        <v>800</v>
      </c>
      <c r="S25" s="233" t="s">
        <v>801</v>
      </c>
      <c r="T25" s="234" t="s">
        <v>802</v>
      </c>
      <c r="U25" s="232" t="s">
        <v>803</v>
      </c>
      <c r="V25" s="235" t="s">
        <v>775</v>
      </c>
      <c r="W25" s="234"/>
      <c r="X25" s="232"/>
      <c r="Y25" s="235"/>
      <c r="Z25" s="233"/>
    </row>
    <row r="26" spans="1:58" x14ac:dyDescent="0.15">
      <c r="C26" s="206">
        <v>44287</v>
      </c>
      <c r="D26" s="1">
        <v>142</v>
      </c>
      <c r="R26" s="233" t="s">
        <v>804</v>
      </c>
      <c r="S26" s="233" t="s">
        <v>805</v>
      </c>
      <c r="T26" s="234" t="s">
        <v>806</v>
      </c>
      <c r="U26" s="232" t="s">
        <v>807</v>
      </c>
      <c r="V26" s="235" t="s">
        <v>775</v>
      </c>
      <c r="W26" s="234"/>
      <c r="X26" s="232"/>
      <c r="Y26" s="235"/>
      <c r="Z26" s="233"/>
      <c r="AA26" s="52" t="s">
        <v>238</v>
      </c>
      <c r="AS26" s="35">
        <v>25</v>
      </c>
      <c r="AT26" s="36">
        <v>26</v>
      </c>
      <c r="AU26" s="36">
        <v>27</v>
      </c>
      <c r="AV26" s="36">
        <v>28</v>
      </c>
      <c r="AW26" s="36">
        <v>29</v>
      </c>
      <c r="AX26" s="36">
        <v>30</v>
      </c>
    </row>
    <row r="27" spans="1:58" ht="15" x14ac:dyDescent="0.2">
      <c r="C27" s="206">
        <v>44317</v>
      </c>
      <c r="D27" s="1">
        <v>203</v>
      </c>
      <c r="R27" s="233" t="s">
        <v>808</v>
      </c>
      <c r="S27" s="233" t="s">
        <v>809</v>
      </c>
      <c r="T27" s="234" t="s">
        <v>810</v>
      </c>
      <c r="U27" s="232" t="s">
        <v>774</v>
      </c>
      <c r="V27" s="235" t="s">
        <v>775</v>
      </c>
      <c r="W27" s="234"/>
      <c r="X27" s="232"/>
      <c r="Y27" s="235"/>
      <c r="Z27" s="238"/>
      <c r="AA27" s="95" t="s">
        <v>239</v>
      </c>
      <c r="AB27" s="94"/>
      <c r="AC27" s="94">
        <f>'Revenue Build'!F17</f>
        <v>0</v>
      </c>
      <c r="AD27" s="94">
        <f>'Revenue Build'!G17</f>
        <v>593000</v>
      </c>
      <c r="AE27" s="94">
        <f>'Revenue Build'!H17</f>
        <v>693600</v>
      </c>
      <c r="AF27" s="94">
        <f>'Revenue Build'!I17</f>
        <v>910500</v>
      </c>
      <c r="AG27" s="94">
        <f>'Revenue Build'!J17</f>
        <v>1348800</v>
      </c>
      <c r="AI27" s="94">
        <v>2390793.8120092787</v>
      </c>
      <c r="AS27"/>
      <c r="AT27"/>
      <c r="AU27"/>
      <c r="AV27"/>
      <c r="AW27"/>
      <c r="AX27"/>
    </row>
    <row r="28" spans="1:58" x14ac:dyDescent="0.15">
      <c r="C28" s="206">
        <v>44348</v>
      </c>
      <c r="D28" s="1">
        <v>221</v>
      </c>
      <c r="R28" s="233" t="s">
        <v>811</v>
      </c>
      <c r="S28" s="233" t="s">
        <v>812</v>
      </c>
      <c r="T28" s="234" t="s">
        <v>813</v>
      </c>
      <c r="U28" s="232" t="s">
        <v>774</v>
      </c>
      <c r="V28" s="235" t="s">
        <v>775</v>
      </c>
      <c r="W28" s="234"/>
      <c r="X28" s="232"/>
      <c r="Y28" s="235"/>
      <c r="Z28" s="233"/>
      <c r="AA28" s="1" t="s">
        <v>240</v>
      </c>
      <c r="AC28" s="91">
        <f>'Revenue Build'!F18</f>
        <v>223200</v>
      </c>
      <c r="AD28" s="91">
        <f>'Revenue Build'!G18</f>
        <v>275500</v>
      </c>
      <c r="AE28" s="91">
        <f>'Revenue Build'!H18</f>
        <v>305100</v>
      </c>
      <c r="AF28" s="91">
        <f>'Revenue Build'!I18</f>
        <v>705700</v>
      </c>
      <c r="AG28" s="91">
        <f>'Revenue Build'!J18</f>
        <v>677300</v>
      </c>
      <c r="AI28" s="91">
        <v>1408713.5943951199</v>
      </c>
      <c r="AP28" s="52"/>
      <c r="AR28" s="52" t="s">
        <v>233</v>
      </c>
    </row>
    <row r="29" spans="1:58" x14ac:dyDescent="0.15">
      <c r="C29" s="206">
        <v>44531</v>
      </c>
      <c r="D29" s="1">
        <v>295</v>
      </c>
      <c r="R29" s="233" t="s">
        <v>814</v>
      </c>
      <c r="S29" s="233" t="s">
        <v>815</v>
      </c>
      <c r="T29" s="234" t="s">
        <v>816</v>
      </c>
      <c r="U29" s="232" t="s">
        <v>774</v>
      </c>
      <c r="V29" s="237" t="s">
        <v>817</v>
      </c>
      <c r="W29" s="234"/>
      <c r="X29" s="232"/>
      <c r="Y29" s="237"/>
      <c r="Z29" s="233"/>
      <c r="AA29" s="1" t="s">
        <v>241</v>
      </c>
      <c r="AC29" s="91">
        <f>'Revenue Build'!F19</f>
        <v>22500</v>
      </c>
      <c r="AD29" s="91">
        <f>'Revenue Build'!G19</f>
        <v>327000</v>
      </c>
      <c r="AE29" s="91">
        <f>'Revenue Build'!H19</f>
        <v>119900</v>
      </c>
      <c r="AF29" s="91">
        <f>'Revenue Build'!I19</f>
        <v>265800</v>
      </c>
      <c r="AG29" s="91">
        <f>'Revenue Build'!J19</f>
        <v>247100</v>
      </c>
      <c r="AI29" s="91">
        <v>595223.88494741218</v>
      </c>
      <c r="AP29" s="95"/>
      <c r="AR29" s="95" t="s">
        <v>234</v>
      </c>
      <c r="AS29" s="94">
        <v>3322800</v>
      </c>
      <c r="AT29" s="94">
        <v>3356914.381188707</v>
      </c>
      <c r="AU29" s="94">
        <v>3774086.2649983908</v>
      </c>
      <c r="AV29" s="94">
        <v>4671798.4195604352</v>
      </c>
      <c r="AW29" s="94">
        <v>6261933.7810055558</v>
      </c>
      <c r="AX29" s="94">
        <v>8996525.8562381584</v>
      </c>
      <c r="BE29" s="1" t="s">
        <v>1334</v>
      </c>
      <c r="BF29" s="1" t="s">
        <v>1335</v>
      </c>
    </row>
    <row r="30" spans="1:58" x14ac:dyDescent="0.15">
      <c r="C30" s="206">
        <v>44562</v>
      </c>
      <c r="D30" s="1">
        <v>306</v>
      </c>
      <c r="R30" s="233" t="s">
        <v>818</v>
      </c>
      <c r="S30" s="233" t="s">
        <v>819</v>
      </c>
      <c r="T30" s="234" t="s">
        <v>820</v>
      </c>
      <c r="U30" s="232" t="s">
        <v>821</v>
      </c>
      <c r="V30" s="235" t="s">
        <v>775</v>
      </c>
      <c r="W30" s="234"/>
      <c r="X30" s="232"/>
      <c r="Y30" s="235"/>
      <c r="Z30" s="233"/>
      <c r="AA30" s="1" t="s">
        <v>242</v>
      </c>
      <c r="AC30" s="91">
        <f>'Revenue Build'!F20</f>
        <v>136300</v>
      </c>
      <c r="AD30" s="91">
        <f>'Revenue Build'!G20</f>
        <v>79800</v>
      </c>
      <c r="AE30" s="91">
        <f>'Revenue Build'!H20</f>
        <v>19700</v>
      </c>
      <c r="AF30" s="91">
        <f>'Revenue Build'!I20</f>
        <v>141600</v>
      </c>
      <c r="AG30" s="91">
        <f>'Revenue Build'!J20</f>
        <v>0</v>
      </c>
      <c r="AI30" s="91">
        <v>0</v>
      </c>
      <c r="AR30" s="1" t="s">
        <v>235</v>
      </c>
      <c r="AS30" s="50">
        <v>479700</v>
      </c>
      <c r="AT30" s="50">
        <v>519600.78864324419</v>
      </c>
      <c r="AU30" s="50">
        <v>562932.71472782851</v>
      </c>
      <c r="AV30" s="50">
        <v>614614.99940719537</v>
      </c>
      <c r="AW30" s="50">
        <v>676099.67525163235</v>
      </c>
      <c r="AX30" s="50">
        <v>749104.36763286148</v>
      </c>
      <c r="BE30" s="1" t="s">
        <v>1100</v>
      </c>
      <c r="BF30" s="1">
        <v>8</v>
      </c>
    </row>
    <row r="31" spans="1:58" x14ac:dyDescent="0.15">
      <c r="C31" s="206">
        <v>44593</v>
      </c>
      <c r="D31" s="1">
        <v>319</v>
      </c>
      <c r="R31" s="238" t="s">
        <v>822</v>
      </c>
      <c r="S31" s="233" t="s">
        <v>823</v>
      </c>
      <c r="T31" s="238"/>
      <c r="U31" s="232" t="s">
        <v>798</v>
      </c>
      <c r="V31" s="236" t="s">
        <v>793</v>
      </c>
      <c r="W31" s="238"/>
      <c r="X31" s="232"/>
      <c r="Y31" s="236"/>
      <c r="Z31" s="233"/>
      <c r="AA31" s="1" t="s">
        <v>243</v>
      </c>
      <c r="AC31" s="91">
        <f>'Revenue Build'!F21</f>
        <v>113100</v>
      </c>
      <c r="AD31" s="91">
        <f>'Revenue Build'!G21</f>
        <v>111300</v>
      </c>
      <c r="AE31" s="91">
        <f>'Revenue Build'!H21</f>
        <v>120100</v>
      </c>
      <c r="AF31" s="91">
        <f>'Revenue Build'!I21</f>
        <v>283400</v>
      </c>
      <c r="AG31" s="91">
        <f>'Revenue Build'!J21</f>
        <v>554800</v>
      </c>
      <c r="AI31" s="91">
        <v>798073.24647529877</v>
      </c>
      <c r="AR31" s="1" t="s">
        <v>236</v>
      </c>
      <c r="AS31" s="50">
        <v>252800</v>
      </c>
      <c r="AT31" s="50">
        <v>256010.30802616157</v>
      </c>
      <c r="AU31" s="50">
        <v>266582.21186081594</v>
      </c>
      <c r="AV31" s="50">
        <v>285267.43157572049</v>
      </c>
      <c r="AW31" s="50">
        <v>313260.25183432101</v>
      </c>
      <c r="AX31" s="50">
        <v>352264.33035172976</v>
      </c>
      <c r="BE31" s="1" t="s">
        <v>860</v>
      </c>
      <c r="BF31" s="1">
        <v>3</v>
      </c>
    </row>
    <row r="32" spans="1:58" x14ac:dyDescent="0.15">
      <c r="C32" s="206">
        <v>44621</v>
      </c>
      <c r="D32" s="1">
        <v>319</v>
      </c>
      <c r="R32" s="238" t="s">
        <v>824</v>
      </c>
      <c r="S32" s="233" t="s">
        <v>825</v>
      </c>
      <c r="T32" s="238"/>
      <c r="U32" s="232" t="s">
        <v>774</v>
      </c>
      <c r="V32" s="235" t="s">
        <v>775</v>
      </c>
      <c r="W32" s="238"/>
      <c r="X32" s="232"/>
      <c r="Y32" s="235"/>
      <c r="Z32" s="233"/>
      <c r="AA32" s="67" t="s">
        <v>244</v>
      </c>
      <c r="AB32" s="67"/>
      <c r="AC32" s="69">
        <f>'Revenue Build'!F22</f>
        <v>495100</v>
      </c>
      <c r="AD32" s="69">
        <f>'Revenue Build'!G22</f>
        <v>1386600</v>
      </c>
      <c r="AE32" s="69">
        <f>'Revenue Build'!H22</f>
        <v>1258400</v>
      </c>
      <c r="AF32" s="69">
        <f>'Revenue Build'!I22</f>
        <v>2307000</v>
      </c>
      <c r="AG32" s="69">
        <f>'Revenue Build'!J22</f>
        <v>2828000</v>
      </c>
      <c r="AI32" s="69">
        <v>5192804.537827109</v>
      </c>
      <c r="AP32" s="67"/>
      <c r="AR32" s="67" t="s">
        <v>237</v>
      </c>
      <c r="AS32" s="69">
        <v>4055300</v>
      </c>
      <c r="AT32" s="69">
        <v>4132525.4778581127</v>
      </c>
      <c r="AU32" s="69">
        <v>4603601.1915870355</v>
      </c>
      <c r="AV32" s="69">
        <v>5571680.8505433509</v>
      </c>
      <c r="AW32" s="69">
        <v>7251293.7080915086</v>
      </c>
      <c r="AX32" s="69">
        <v>10097894.55422275</v>
      </c>
    </row>
    <row r="33" spans="3:70" ht="15" thickBot="1" x14ac:dyDescent="0.2">
      <c r="C33" s="206">
        <v>44652</v>
      </c>
      <c r="D33" s="1">
        <v>320</v>
      </c>
      <c r="U33" s="238"/>
      <c r="V33" s="233"/>
      <c r="W33" s="238"/>
      <c r="X33" s="232"/>
      <c r="Y33" s="235"/>
      <c r="Z33" s="233"/>
    </row>
    <row r="34" spans="3:70" ht="15" thickBot="1" x14ac:dyDescent="0.2">
      <c r="C34" s="206">
        <v>44682</v>
      </c>
      <c r="D34" s="1">
        <v>334</v>
      </c>
      <c r="R34" s="1" t="s">
        <v>269</v>
      </c>
      <c r="AA34" s="76" t="s">
        <v>245</v>
      </c>
      <c r="AB34" s="77"/>
      <c r="AC34" s="79">
        <f>'Revenue Build'!F24</f>
        <v>7375100</v>
      </c>
      <c r="AD34" s="79">
        <f>'Revenue Build'!G24</f>
        <v>3742900</v>
      </c>
      <c r="AE34" s="79">
        <f>'Revenue Build'!H24</f>
        <v>2835500</v>
      </c>
      <c r="AF34" s="79">
        <f>'Revenue Build'!I24</f>
        <v>6293200</v>
      </c>
      <c r="AG34" s="79">
        <f>'Revenue Build'!J24</f>
        <v>6883300</v>
      </c>
      <c r="AP34" s="52"/>
      <c r="AR34" s="52" t="s">
        <v>238</v>
      </c>
      <c r="AS34" s="35">
        <v>25</v>
      </c>
      <c r="AT34" s="36">
        <v>26</v>
      </c>
      <c r="AU34" s="36">
        <v>27</v>
      </c>
      <c r="AV34" s="36">
        <v>28</v>
      </c>
      <c r="AW34" s="36">
        <v>29</v>
      </c>
      <c r="AX34" s="36">
        <v>30</v>
      </c>
    </row>
    <row r="35" spans="3:70" x14ac:dyDescent="0.15">
      <c r="C35" s="206">
        <v>44713</v>
      </c>
      <c r="D35" s="1">
        <v>338</v>
      </c>
      <c r="R35" s="239" t="s">
        <v>826</v>
      </c>
      <c r="S35" s="240"/>
      <c r="T35" s="240"/>
      <c r="U35" s="240"/>
      <c r="V35" s="240"/>
      <c r="W35" s="240"/>
      <c r="X35" s="240"/>
      <c r="AP35" s="95"/>
      <c r="AR35" s="95" t="s">
        <v>239</v>
      </c>
      <c r="AS35" s="94">
        <f t="shared" ref="AS35:AX35" si="8">AX55/1000000</f>
        <v>1.3488</v>
      </c>
      <c r="AT35" s="94">
        <f t="shared" si="8"/>
        <v>1.577801345252035</v>
      </c>
      <c r="AU35" s="94">
        <f t="shared" si="8"/>
        <v>2.0193559877862191</v>
      </c>
      <c r="AV35" s="94">
        <f t="shared" si="8"/>
        <v>2.12221396557978</v>
      </c>
      <c r="AW35" s="94">
        <f t="shared" si="8"/>
        <v>2.2154119150220342</v>
      </c>
      <c r="AX35" s="94">
        <f t="shared" si="8"/>
        <v>2.3907938120092789</v>
      </c>
    </row>
    <row r="36" spans="3:70" x14ac:dyDescent="0.15">
      <c r="C36" s="206">
        <v>44743</v>
      </c>
      <c r="D36" s="1">
        <v>340</v>
      </c>
      <c r="R36" s="241"/>
      <c r="S36" s="241"/>
      <c r="T36" s="241"/>
      <c r="U36" s="351"/>
      <c r="V36" s="352" t="s">
        <v>827</v>
      </c>
      <c r="W36" s="353"/>
      <c r="X36" s="353">
        <v>46022</v>
      </c>
      <c r="AA36" s="1" t="s">
        <v>34</v>
      </c>
      <c r="AC36" s="91">
        <f>'Revenue Build'!F26</f>
        <v>514000</v>
      </c>
      <c r="AD36" s="91">
        <f>'Revenue Build'!G26</f>
        <v>600</v>
      </c>
      <c r="AE36" s="91">
        <f>'Revenue Build'!H26</f>
        <v>49200</v>
      </c>
      <c r="AF36" s="91">
        <f>'Revenue Build'!I26</f>
        <v>270800</v>
      </c>
      <c r="AG36" s="91">
        <f>'Revenue Build'!J26</f>
        <v>297900</v>
      </c>
      <c r="AR36" s="67" t="s">
        <v>244</v>
      </c>
      <c r="AS36" s="91">
        <f t="shared" ref="AS36:AX36" si="9">AX60/1000000</f>
        <v>2.8279999999999998</v>
      </c>
      <c r="AT36" s="91">
        <f t="shared" si="9"/>
        <v>3.6775713474313849</v>
      </c>
      <c r="AU36" s="91">
        <f t="shared" si="9"/>
        <v>4.2749671727987488</v>
      </c>
      <c r="AV36" s="91">
        <f t="shared" si="9"/>
        <v>4.5614065272153708</v>
      </c>
      <c r="AW36" s="91">
        <f t="shared" si="9"/>
        <v>4.8623952710534031</v>
      </c>
      <c r="AX36" s="91">
        <f t="shared" si="9"/>
        <v>5.1928045378271088</v>
      </c>
    </row>
    <row r="37" spans="3:70" ht="15" thickBot="1" x14ac:dyDescent="0.2">
      <c r="C37" s="206">
        <v>44774</v>
      </c>
      <c r="D37" s="1">
        <v>356</v>
      </c>
      <c r="R37" s="245"/>
      <c r="S37" s="245"/>
      <c r="T37" s="245"/>
      <c r="U37" s="354" t="s">
        <v>828</v>
      </c>
      <c r="V37" s="354" t="s">
        <v>776</v>
      </c>
      <c r="W37" s="354" t="s">
        <v>828</v>
      </c>
      <c r="X37" s="354" t="s">
        <v>776</v>
      </c>
      <c r="AS37" s="91"/>
      <c r="AT37" s="91"/>
      <c r="AU37" s="91"/>
      <c r="AV37" s="91"/>
      <c r="AW37" s="91"/>
      <c r="AX37" s="91"/>
    </row>
    <row r="38" spans="3:70" ht="15" thickBot="1" x14ac:dyDescent="0.2">
      <c r="C38" s="206">
        <v>44805</v>
      </c>
      <c r="D38" s="1">
        <v>385</v>
      </c>
      <c r="R38" s="247" t="s">
        <v>829</v>
      </c>
      <c r="S38" s="248"/>
      <c r="T38" s="248"/>
      <c r="U38" s="355">
        <v>264.07516900000002</v>
      </c>
      <c r="V38" s="355">
        <v>42553.072732660003</v>
      </c>
      <c r="W38" s="355">
        <v>267.83600000000001</v>
      </c>
      <c r="X38" s="355">
        <v>60568.433040000004</v>
      </c>
      <c r="AA38" s="76" t="s">
        <v>246</v>
      </c>
      <c r="AB38" s="77"/>
      <c r="AC38" s="79">
        <f>'Revenue Build'!F28</f>
        <v>7889100</v>
      </c>
      <c r="AD38" s="79">
        <f>'Revenue Build'!G28</f>
        <v>3743500</v>
      </c>
      <c r="AE38" s="79">
        <f>'Revenue Build'!H28</f>
        <v>2884700</v>
      </c>
      <c r="AF38" s="79">
        <f>'Revenue Build'!I28</f>
        <v>6564000</v>
      </c>
      <c r="AG38" s="79">
        <f>'Revenue Build'!J28</f>
        <v>7181200</v>
      </c>
      <c r="AR38" s="52"/>
      <c r="AS38" s="35">
        <v>25</v>
      </c>
      <c r="AT38" s="36">
        <v>26</v>
      </c>
      <c r="AU38" s="36">
        <v>27</v>
      </c>
      <c r="AV38" s="36">
        <v>28</v>
      </c>
      <c r="AW38" s="36">
        <v>29</v>
      </c>
      <c r="AX38" s="36">
        <v>30</v>
      </c>
    </row>
    <row r="39" spans="3:70" x14ac:dyDescent="0.15">
      <c r="C39" s="206">
        <v>44835</v>
      </c>
      <c r="D39" s="1">
        <v>396</v>
      </c>
      <c r="R39" s="247"/>
      <c r="S39" s="248"/>
      <c r="T39" s="248"/>
      <c r="U39" s="355"/>
      <c r="V39" s="355"/>
      <c r="W39" s="355"/>
      <c r="X39" s="355"/>
      <c r="AR39" s="1" t="s">
        <v>1336</v>
      </c>
      <c r="AS39" s="94">
        <f>AX50/1000000</f>
        <v>0.47970000000000002</v>
      </c>
      <c r="AT39" s="94">
        <f t="shared" ref="AT39:AX39" si="10">AY50/1000000</f>
        <v>0.51960078864324422</v>
      </c>
      <c r="AU39" s="94">
        <f t="shared" si="10"/>
        <v>0.56293271472782846</v>
      </c>
      <c r="AV39" s="94">
        <f t="shared" si="10"/>
        <v>0.61461499940719533</v>
      </c>
      <c r="AW39" s="94">
        <f t="shared" si="10"/>
        <v>0.67609967525163239</v>
      </c>
      <c r="AX39" s="94">
        <f t="shared" si="10"/>
        <v>0.74910436763286148</v>
      </c>
    </row>
    <row r="40" spans="3:70" x14ac:dyDescent="0.15">
      <c r="C40" s="206">
        <v>44866</v>
      </c>
      <c r="D40" s="1">
        <v>402</v>
      </c>
      <c r="R40" s="250" t="s">
        <v>830</v>
      </c>
      <c r="S40" s="251"/>
      <c r="T40" s="251"/>
      <c r="U40" s="356">
        <v>19.700744197592201</v>
      </c>
      <c r="V40" s="356">
        <v>3174.5779200000002</v>
      </c>
      <c r="W40" s="356">
        <v>20.599619000000001</v>
      </c>
      <c r="X40" s="356">
        <v>4658.3979200000003</v>
      </c>
      <c r="AP40" s="67"/>
      <c r="AR40" s="1" t="s">
        <v>1337</v>
      </c>
      <c r="AS40" s="91">
        <f>AX56/1000000</f>
        <v>0.67730000000000001</v>
      </c>
      <c r="AT40" s="91">
        <f t="shared" ref="AT40:AX40" si="11">AY56/1000000</f>
        <v>1.0948397052919745</v>
      </c>
      <c r="AU40" s="91">
        <f t="shared" si="11"/>
        <v>1.1315204980073632</v>
      </c>
      <c r="AV40" s="91">
        <f t="shared" si="11"/>
        <v>1.2568026815206135</v>
      </c>
      <c r="AW40" s="91">
        <f t="shared" si="11"/>
        <v>1.3474078171095345</v>
      </c>
      <c r="AX40" s="91">
        <f t="shared" si="11"/>
        <v>1.4087135943951199</v>
      </c>
    </row>
    <row r="41" spans="3:70" x14ac:dyDescent="0.15">
      <c r="C41" s="206">
        <v>44896</v>
      </c>
      <c r="D41" s="1">
        <v>425</v>
      </c>
      <c r="R41" s="253"/>
      <c r="S41" s="248"/>
      <c r="T41" s="248"/>
      <c r="U41" s="355"/>
      <c r="V41" s="355"/>
      <c r="W41" s="355"/>
      <c r="X41" s="355"/>
      <c r="AA41" s="468"/>
      <c r="AB41" s="468"/>
      <c r="AC41" s="468"/>
      <c r="AD41" s="468"/>
      <c r="AE41" s="468"/>
      <c r="AF41" s="468"/>
      <c r="AG41" s="468"/>
      <c r="AH41" s="468"/>
      <c r="AI41" s="468"/>
      <c r="AJ41" s="468"/>
      <c r="AK41" s="468"/>
      <c r="AL41" s="468"/>
      <c r="AM41" s="468"/>
      <c r="AN41" s="468"/>
      <c r="AO41" s="468"/>
      <c r="AP41" s="468"/>
      <c r="AQ41" s="468"/>
      <c r="AR41" s="468"/>
      <c r="AS41" s="468"/>
      <c r="AT41" s="468"/>
      <c r="AU41" s="468"/>
      <c r="AV41" s="468"/>
      <c r="AW41" s="468"/>
      <c r="AX41" s="468"/>
      <c r="AY41" s="468"/>
      <c r="AZ41" s="468"/>
      <c r="BA41" s="468"/>
      <c r="BB41" s="468"/>
      <c r="BC41" s="468"/>
    </row>
    <row r="42" spans="3:70" x14ac:dyDescent="0.15">
      <c r="C42" s="206">
        <v>44927</v>
      </c>
      <c r="D42" s="1">
        <v>432</v>
      </c>
      <c r="R42" s="254" t="s">
        <v>831</v>
      </c>
      <c r="S42" s="248"/>
      <c r="T42" s="248"/>
      <c r="U42" s="355" t="s" cm="1">
        <v>832</v>
      </c>
      <c r="V42" s="355" t="s" cm="1">
        <v>832</v>
      </c>
      <c r="W42" s="355" t="s" cm="1">
        <v>832</v>
      </c>
      <c r="X42" s="355" t="s" cm="1">
        <v>832</v>
      </c>
      <c r="AS42" s="35">
        <v>25</v>
      </c>
      <c r="AX42" s="36">
        <v>30</v>
      </c>
    </row>
    <row r="43" spans="3:70" x14ac:dyDescent="0.15">
      <c r="C43" s="206">
        <v>44958</v>
      </c>
      <c r="D43" s="1">
        <v>447</v>
      </c>
      <c r="R43" s="255" t="s">
        <v>833</v>
      </c>
      <c r="S43" s="251"/>
      <c r="T43" s="251"/>
      <c r="U43" s="356" t="s" cm="1">
        <v>832</v>
      </c>
      <c r="V43" s="356" t="s" cm="1">
        <v>832</v>
      </c>
      <c r="W43" s="356" t="s" cm="1">
        <v>832</v>
      </c>
      <c r="X43" s="356" t="s" cm="1">
        <v>832</v>
      </c>
      <c r="AA43" s="1" t="s">
        <v>834</v>
      </c>
      <c r="AS43" s="1">
        <f>AX50/1000000</f>
        <v>0.47970000000000002</v>
      </c>
      <c r="AX43" s="815">
        <f>BC50/1000000</f>
        <v>0.74910436763286148</v>
      </c>
    </row>
    <row r="44" spans="3:70" x14ac:dyDescent="0.15">
      <c r="C44" s="206">
        <v>44986</v>
      </c>
      <c r="D44" s="1">
        <v>457</v>
      </c>
      <c r="R44" s="255" t="s">
        <v>835</v>
      </c>
      <c r="S44" s="251"/>
      <c r="T44" s="251"/>
      <c r="U44" s="356">
        <v>19.700744197592201</v>
      </c>
      <c r="V44" s="356">
        <v>3174.5779200000002</v>
      </c>
      <c r="W44" s="356">
        <v>20.599619000000001</v>
      </c>
      <c r="X44" s="356">
        <v>4658.3979200000003</v>
      </c>
      <c r="AS44" s="1">
        <f>AX56/1000000</f>
        <v>0.67730000000000001</v>
      </c>
      <c r="AX44" s="1">
        <f>BC56/1000000</f>
        <v>1.4087135943951199</v>
      </c>
    </row>
    <row r="45" spans="3:70" x14ac:dyDescent="0.15">
      <c r="C45" s="206">
        <v>45017</v>
      </c>
      <c r="D45" s="1">
        <v>480</v>
      </c>
      <c r="R45" s="256"/>
      <c r="S45" s="256" t="s">
        <v>836</v>
      </c>
      <c r="T45" s="248"/>
      <c r="U45" s="355">
        <v>0.34</v>
      </c>
      <c r="V45" s="355">
        <v>54.787599999999998</v>
      </c>
      <c r="W45" s="355">
        <v>0.34</v>
      </c>
      <c r="X45" s="355">
        <v>76.887600000000006</v>
      </c>
    </row>
    <row r="46" spans="3:70" x14ac:dyDescent="0.15">
      <c r="C46" s="206">
        <v>45047</v>
      </c>
      <c r="D46" s="1">
        <v>512</v>
      </c>
      <c r="R46" s="257"/>
      <c r="S46" s="257" t="s">
        <v>837</v>
      </c>
      <c r="T46" s="251"/>
      <c r="U46" s="356">
        <v>2.7879999999999998</v>
      </c>
      <c r="V46" s="356">
        <v>449.25832000000003</v>
      </c>
      <c r="W46" s="356">
        <v>2.7879999999999998</v>
      </c>
      <c r="X46" s="356">
        <v>630.47832000000005</v>
      </c>
      <c r="AA46" s="1" t="s">
        <v>838</v>
      </c>
      <c r="AP46" s="33" t="s">
        <v>232</v>
      </c>
      <c r="AQ46" s="33"/>
      <c r="AR46" s="33"/>
      <c r="AS46" s="34"/>
      <c r="AT46" s="35">
        <v>21</v>
      </c>
      <c r="AU46" s="35">
        <v>22</v>
      </c>
      <c r="AV46" s="35">
        <v>23</v>
      </c>
      <c r="AW46" s="35">
        <v>24</v>
      </c>
      <c r="AX46" s="35">
        <v>25</v>
      </c>
      <c r="AY46" s="36">
        <v>26</v>
      </c>
      <c r="AZ46" s="36">
        <v>27</v>
      </c>
      <c r="BA46" s="36">
        <v>28</v>
      </c>
      <c r="BB46" s="36">
        <v>29</v>
      </c>
      <c r="BC46" s="36">
        <v>30</v>
      </c>
      <c r="BE46" s="33"/>
      <c r="BF46" s="33"/>
      <c r="BG46" s="33"/>
      <c r="BH46" s="33" t="s">
        <v>232</v>
      </c>
      <c r="BI46" s="35">
        <v>21</v>
      </c>
      <c r="BJ46" s="35">
        <v>22</v>
      </c>
      <c r="BK46" s="35">
        <v>23</v>
      </c>
      <c r="BL46" s="35">
        <v>24</v>
      </c>
      <c r="BM46" s="35">
        <v>25</v>
      </c>
      <c r="BN46" s="36">
        <v>26</v>
      </c>
      <c r="BO46" s="36">
        <v>27</v>
      </c>
      <c r="BP46" s="36">
        <v>28</v>
      </c>
      <c r="BQ46" s="36">
        <v>29</v>
      </c>
      <c r="BR46" s="36">
        <v>30</v>
      </c>
    </row>
    <row r="47" spans="3:70" ht="15" x14ac:dyDescent="0.2">
      <c r="C47" s="206">
        <v>45078</v>
      </c>
      <c r="D47" s="1">
        <v>516</v>
      </c>
      <c r="R47" s="256"/>
      <c r="S47" s="256" t="s">
        <v>839</v>
      </c>
      <c r="T47" s="248"/>
      <c r="U47" s="355">
        <v>16.572744197592201</v>
      </c>
      <c r="V47" s="355">
        <v>2670.5320000000002</v>
      </c>
      <c r="W47" s="355">
        <v>17.471619</v>
      </c>
      <c r="X47" s="355">
        <v>3951.0320000000002</v>
      </c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E47" s="67"/>
      <c r="BF47" s="67"/>
      <c r="BG47" s="67"/>
      <c r="BH47" s="67" t="s">
        <v>244</v>
      </c>
      <c r="BI47" s="69">
        <v>495100</v>
      </c>
      <c r="BJ47" s="69">
        <v>1386600</v>
      </c>
      <c r="BK47" s="69">
        <v>1258400</v>
      </c>
      <c r="BL47" s="69">
        <v>2307000</v>
      </c>
      <c r="BM47" s="69">
        <v>2828000</v>
      </c>
      <c r="BN47" s="69">
        <v>3677571.347431385</v>
      </c>
      <c r="BO47" s="69">
        <v>4274967.1727987491</v>
      </c>
      <c r="BP47" s="69">
        <v>4561406.5272153709</v>
      </c>
      <c r="BQ47" s="69">
        <v>4862395.2710534027</v>
      </c>
      <c r="BR47" s="69">
        <v>5192804.537827109</v>
      </c>
    </row>
    <row r="48" spans="3:70" x14ac:dyDescent="0.15">
      <c r="C48" s="206">
        <v>45231</v>
      </c>
      <c r="D48" s="1">
        <v>575</v>
      </c>
      <c r="R48" s="257"/>
      <c r="S48" s="257" t="s">
        <v>840</v>
      </c>
      <c r="T48" s="251"/>
      <c r="U48" s="356" t="s" cm="1">
        <v>832</v>
      </c>
      <c r="V48" s="356" t="s" cm="1">
        <v>832</v>
      </c>
      <c r="W48" s="356" t="s" cm="1">
        <v>832</v>
      </c>
      <c r="X48" s="356" t="s" cm="1">
        <v>832</v>
      </c>
      <c r="AA48" s="488"/>
      <c r="AB48" s="494" t="s">
        <v>841</v>
      </c>
      <c r="AC48" s="158" t="s">
        <v>838</v>
      </c>
      <c r="AP48" s="52" t="s">
        <v>233</v>
      </c>
      <c r="BH48" s="1" t="s">
        <v>842</v>
      </c>
      <c r="BI48" s="50">
        <f>BI49+BI50</f>
        <v>2200953</v>
      </c>
      <c r="BJ48" s="50">
        <f t="shared" ref="BJ48:BR48" si="12">BJ49+BJ50</f>
        <v>3926940</v>
      </c>
      <c r="BK48" s="50">
        <f t="shared" si="12"/>
        <v>2398849</v>
      </c>
      <c r="BL48" s="50">
        <f t="shared" si="12"/>
        <v>2768509</v>
      </c>
      <c r="BM48" s="50">
        <f t="shared" si="12"/>
        <v>3290247</v>
      </c>
      <c r="BN48" s="50">
        <f t="shared" si="12"/>
        <v>3391702.2065578289</v>
      </c>
      <c r="BO48" s="50">
        <f t="shared" si="12"/>
        <v>3790913.2582008829</v>
      </c>
      <c r="BP48" s="50">
        <f t="shared" si="12"/>
        <v>4230706.7964792037</v>
      </c>
      <c r="BQ48" s="50">
        <f t="shared" si="12"/>
        <v>4899731.4156453218</v>
      </c>
      <c r="BR48" s="50">
        <f t="shared" si="12"/>
        <v>5992039.1770849358</v>
      </c>
    </row>
    <row r="49" spans="3:71" x14ac:dyDescent="0.15">
      <c r="C49" s="206">
        <v>45261</v>
      </c>
      <c r="D49" s="1">
        <v>580</v>
      </c>
      <c r="R49" s="256"/>
      <c r="S49" s="256" t="s">
        <v>843</v>
      </c>
      <c r="T49" s="248"/>
      <c r="U49" s="355" t="s" cm="1">
        <v>832</v>
      </c>
      <c r="V49" s="355" t="s" cm="1">
        <v>832</v>
      </c>
      <c r="W49" s="355" t="s" cm="1">
        <v>832</v>
      </c>
      <c r="X49" s="355" t="s" cm="1">
        <v>832</v>
      </c>
      <c r="AA49" s="491" cm="1">
        <f t="array" ref="AA49:AA68">TRANSPOSE('Revenue Build'!Q8:AJ8)</f>
        <v>44286</v>
      </c>
      <c r="AB49" s="492" cm="1">
        <f t="array" ref="AB49:AB68">TRANSPOSE('Revenue Build'!Q14:AJ14)/1000000</f>
        <v>1.5832999999999999</v>
      </c>
      <c r="AC49" s="493">
        <v>58794.94</v>
      </c>
      <c r="AD49" s="488"/>
      <c r="AP49" s="95" t="s">
        <v>234</v>
      </c>
      <c r="AQ49" s="94"/>
      <c r="AR49" s="94"/>
      <c r="AS49" s="96"/>
      <c r="AT49" s="94">
        <v>6533700</v>
      </c>
      <c r="AU49" s="94">
        <v>2236900</v>
      </c>
      <c r="AV49" s="94">
        <v>1457500</v>
      </c>
      <c r="AW49" s="94">
        <v>3430400</v>
      </c>
      <c r="AX49" s="94">
        <v>3322800</v>
      </c>
      <c r="AY49" s="94">
        <v>3356914.381188707</v>
      </c>
      <c r="AZ49" s="94">
        <v>3774086.2649983908</v>
      </c>
      <c r="BA49" s="94">
        <v>4671798.4195604352</v>
      </c>
      <c r="BB49" s="94">
        <v>6261933.7810055558</v>
      </c>
      <c r="BC49" s="94">
        <v>8996525.8562381584</v>
      </c>
      <c r="BH49" s="1" t="s">
        <v>42</v>
      </c>
      <c r="BI49" s="50">
        <f>-'3FS'!E27</f>
        <v>909392</v>
      </c>
      <c r="BJ49" s="50">
        <f>-'3FS'!F27</f>
        <v>1600586</v>
      </c>
      <c r="BK49" s="50">
        <f>-'3FS'!G27</f>
        <v>1074308</v>
      </c>
      <c r="BL49" s="50">
        <f>-'3FS'!H27</f>
        <v>1300257</v>
      </c>
      <c r="BM49" s="50">
        <f>-'3FS'!I27</f>
        <v>1619642</v>
      </c>
      <c r="BN49" s="50">
        <f>-'3FS'!J27</f>
        <v>1875931.0394125634</v>
      </c>
      <c r="BO49" s="50">
        <f>-'3FS'!K27</f>
        <v>2107093.5898876041</v>
      </c>
      <c r="BP49" s="50">
        <f>-'3FS'!L27</f>
        <v>2364618.1385795875</v>
      </c>
      <c r="BQ49" s="50">
        <f>-'3FS'!M27</f>
        <v>2753249.0849329252</v>
      </c>
      <c r="BR49" s="50">
        <f>-'3FS'!N27</f>
        <v>3384661.7128533726</v>
      </c>
    </row>
    <row r="50" spans="3:71" x14ac:dyDescent="0.15">
      <c r="C50" s="206">
        <v>45292</v>
      </c>
      <c r="D50" s="1">
        <v>583</v>
      </c>
      <c r="R50" s="257"/>
      <c r="S50" s="257" t="s">
        <v>844</v>
      </c>
      <c r="T50" s="251"/>
      <c r="U50" s="356" t="s" cm="1">
        <v>832</v>
      </c>
      <c r="V50" s="356" t="s" cm="1">
        <v>832</v>
      </c>
      <c r="W50" s="356" t="s" cm="1">
        <v>832</v>
      </c>
      <c r="X50" s="356" t="s" cm="1">
        <v>832</v>
      </c>
      <c r="AA50" s="491">
        <v>44377</v>
      </c>
      <c r="AB50" s="492">
        <v>1.9303999999999999</v>
      </c>
      <c r="AC50" s="493">
        <v>35031.71</v>
      </c>
      <c r="AD50" s="495"/>
      <c r="AP50" s="1" t="s">
        <v>235</v>
      </c>
      <c r="AS50" s="43"/>
      <c r="AT50" s="50">
        <v>346300</v>
      </c>
      <c r="AU50" s="50">
        <v>119400</v>
      </c>
      <c r="AV50" s="50">
        <v>96000</v>
      </c>
      <c r="AW50" s="50">
        <v>345600</v>
      </c>
      <c r="AX50" s="50">
        <v>479700</v>
      </c>
      <c r="AY50" s="50">
        <v>519600.78864324419</v>
      </c>
      <c r="AZ50" s="50">
        <v>562932.71472782851</v>
      </c>
      <c r="BA50" s="50">
        <v>614614.99940719537</v>
      </c>
      <c r="BB50" s="50">
        <v>676099.67525163235</v>
      </c>
      <c r="BC50" s="50">
        <v>749104.36763286148</v>
      </c>
      <c r="BH50" s="1" t="s">
        <v>43</v>
      </c>
      <c r="BI50" s="50">
        <f>-'3FS'!E28</f>
        <v>1291561</v>
      </c>
      <c r="BJ50" s="50">
        <f>-'3FS'!F28</f>
        <v>2326354</v>
      </c>
      <c r="BK50" s="50">
        <f>-'3FS'!G28</f>
        <v>1324541</v>
      </c>
      <c r="BL50" s="50">
        <f>-'3FS'!H28</f>
        <v>1468252</v>
      </c>
      <c r="BM50" s="50">
        <f>-'3FS'!I28</f>
        <v>1670605</v>
      </c>
      <c r="BN50" s="50">
        <f>-'3FS'!J28</f>
        <v>1515771.1671452657</v>
      </c>
      <c r="BO50" s="50">
        <f>-'3FS'!K28</f>
        <v>1683819.6683132788</v>
      </c>
      <c r="BP50" s="50">
        <f>-'3FS'!L28</f>
        <v>1866088.6578996165</v>
      </c>
      <c r="BQ50" s="50">
        <f>-'3FS'!M28</f>
        <v>2146482.3307123967</v>
      </c>
      <c r="BR50" s="50">
        <f>-'3FS'!N28</f>
        <v>2607377.4642315628</v>
      </c>
    </row>
    <row r="51" spans="3:71" ht="15" thickBot="1" x14ac:dyDescent="0.2">
      <c r="C51" s="206">
        <v>45323</v>
      </c>
      <c r="D51" s="1">
        <v>587</v>
      </c>
      <c r="R51" s="258"/>
      <c r="S51" s="259"/>
      <c r="T51" s="259"/>
      <c r="U51" s="357"/>
      <c r="V51" s="357"/>
      <c r="W51" s="358"/>
      <c r="X51" s="358"/>
      <c r="AA51" s="491">
        <v>44469</v>
      </c>
      <c r="AB51" s="492">
        <v>1.0896999999999999</v>
      </c>
      <c r="AC51" s="493">
        <v>43788.04</v>
      </c>
      <c r="AD51" s="495"/>
      <c r="AP51" s="1" t="s">
        <v>236</v>
      </c>
      <c r="AS51" s="43"/>
      <c r="AT51" s="50">
        <v>0</v>
      </c>
      <c r="AU51" s="50">
        <v>0</v>
      </c>
      <c r="AV51" s="50">
        <v>23600</v>
      </c>
      <c r="AW51" s="50">
        <v>210200</v>
      </c>
      <c r="AX51" s="50">
        <v>252800</v>
      </c>
      <c r="AY51" s="50">
        <v>256010.30802616157</v>
      </c>
      <c r="AZ51" s="50">
        <v>266582.21186081594</v>
      </c>
      <c r="BA51" s="50">
        <v>285267.43157572049</v>
      </c>
      <c r="BB51" s="50">
        <v>313260.25183432101</v>
      </c>
      <c r="BC51" s="50">
        <v>352264.33035172976</v>
      </c>
    </row>
    <row r="52" spans="3:71" ht="15" thickTop="1" x14ac:dyDescent="0.15">
      <c r="C52" s="206">
        <v>45352</v>
      </c>
      <c r="D52" s="1">
        <v>597</v>
      </c>
      <c r="R52" s="261" t="s">
        <v>845</v>
      </c>
      <c r="S52" s="262"/>
      <c r="T52" s="262"/>
      <c r="U52" s="359">
        <f>U38+U40</f>
        <v>283.77591319759222</v>
      </c>
      <c r="V52" s="359">
        <f>V38+V40</f>
        <v>45727.650652660006</v>
      </c>
      <c r="W52" s="360">
        <f>W38+W40</f>
        <v>288.43561900000003</v>
      </c>
      <c r="X52" s="359">
        <v>65226.830959999999</v>
      </c>
      <c r="AA52" s="491">
        <v>44561</v>
      </c>
      <c r="AB52" s="492">
        <v>2.2766000000000002</v>
      </c>
      <c r="AC52" s="493">
        <v>46203.3</v>
      </c>
      <c r="AD52" s="495"/>
      <c r="AP52" s="67" t="s">
        <v>237</v>
      </c>
      <c r="AQ52" s="67"/>
      <c r="AR52" s="67"/>
      <c r="AS52" s="68"/>
      <c r="AT52" s="69">
        <v>6880000</v>
      </c>
      <c r="AU52" s="69">
        <v>2356300</v>
      </c>
      <c r="AV52" s="69">
        <v>1577100</v>
      </c>
      <c r="AW52" s="69">
        <v>3986200</v>
      </c>
      <c r="AX52" s="69">
        <v>4055300</v>
      </c>
      <c r="AY52" s="69">
        <v>4132525.4778581127</v>
      </c>
      <c r="AZ52" s="69">
        <v>4603601.1915870355</v>
      </c>
      <c r="BA52" s="69">
        <v>5571680.8505433509</v>
      </c>
      <c r="BB52" s="69">
        <v>7251293.7080915086</v>
      </c>
      <c r="BC52" s="69">
        <v>10097894.55422275</v>
      </c>
      <c r="BM52" s="33" t="s">
        <v>846</v>
      </c>
      <c r="BN52" s="645">
        <v>25</v>
      </c>
      <c r="BO52" s="174">
        <v>26</v>
      </c>
      <c r="BP52" s="174">
        <v>27</v>
      </c>
      <c r="BQ52" s="174">
        <v>28</v>
      </c>
      <c r="BR52" s="174">
        <v>29</v>
      </c>
      <c r="BS52" s="174">
        <v>30</v>
      </c>
    </row>
    <row r="53" spans="3:71" x14ac:dyDescent="0.15">
      <c r="C53" s="206">
        <v>45383</v>
      </c>
      <c r="D53" s="1">
        <v>607</v>
      </c>
      <c r="R53" s="265"/>
      <c r="S53" s="240"/>
      <c r="T53" s="240"/>
      <c r="U53" s="19"/>
      <c r="V53" s="19"/>
      <c r="W53" s="19"/>
      <c r="X53" s="19"/>
      <c r="AA53" s="496">
        <v>44651</v>
      </c>
      <c r="AB53" s="497">
        <v>1.0129999999999999</v>
      </c>
      <c r="AC53" s="498">
        <v>45521.5</v>
      </c>
      <c r="AD53" s="499">
        <f>(AB56-AB53)/AB53</f>
        <v>-0.68193484698914109</v>
      </c>
      <c r="AE53" s="499">
        <f>(AC56-AC53)/AC53</f>
        <v>-0.6368924574102347</v>
      </c>
      <c r="BM53" s="67" t="s">
        <v>244</v>
      </c>
      <c r="BN53" s="50">
        <f>BM47/1000000</f>
        <v>2.8279999999999998</v>
      </c>
      <c r="BO53" s="50">
        <f t="shared" ref="BO53:BS54" si="13">BN47/1000000</f>
        <v>3.6775713474313849</v>
      </c>
      <c r="BP53" s="50">
        <f t="shared" si="13"/>
        <v>4.2749671727987488</v>
      </c>
      <c r="BQ53" s="50">
        <f t="shared" si="13"/>
        <v>4.5614065272153708</v>
      </c>
      <c r="BR53" s="50">
        <f t="shared" si="13"/>
        <v>4.8623952710534031</v>
      </c>
      <c r="BS53" s="50">
        <f t="shared" si="13"/>
        <v>5.1928045378271088</v>
      </c>
    </row>
    <row r="54" spans="3:71" x14ac:dyDescent="0.15">
      <c r="C54" s="206">
        <v>45413</v>
      </c>
      <c r="D54" s="1">
        <v>609</v>
      </c>
      <c r="R54" s="266" t="str">
        <f>CONCATENATE("All figures in millions of ",R34)</f>
        <v>All figures in millions of USD</v>
      </c>
      <c r="S54" s="240"/>
      <c r="T54" s="240"/>
      <c r="U54" s="19"/>
      <c r="V54" s="19"/>
      <c r="W54" s="361"/>
      <c r="X54" s="19"/>
      <c r="AA54" s="496">
        <v>44742</v>
      </c>
      <c r="AB54" s="497">
        <v>0.6552</v>
      </c>
      <c r="AC54" s="498">
        <v>19913.14</v>
      </c>
      <c r="AD54" s="495"/>
      <c r="AP54" s="52" t="s">
        <v>238</v>
      </c>
      <c r="BM54" s="1" t="s">
        <v>842</v>
      </c>
      <c r="BN54" s="50">
        <f>BM48/1000000</f>
        <v>3.2902469999999999</v>
      </c>
      <c r="BO54" s="50">
        <f t="shared" si="13"/>
        <v>3.3917022065578291</v>
      </c>
      <c r="BP54" s="50">
        <f t="shared" si="13"/>
        <v>3.7909132582008831</v>
      </c>
      <c r="BQ54" s="50">
        <f t="shared" si="13"/>
        <v>4.230706796479204</v>
      </c>
      <c r="BR54" s="50">
        <f t="shared" si="13"/>
        <v>4.8997314156453218</v>
      </c>
      <c r="BS54" s="50">
        <f t="shared" si="13"/>
        <v>5.9920391770849362</v>
      </c>
    </row>
    <row r="55" spans="3:71" x14ac:dyDescent="0.15">
      <c r="C55" s="206">
        <v>45444</v>
      </c>
      <c r="D55" s="1">
        <v>617</v>
      </c>
      <c r="R55" s="268" t="s">
        <v>847</v>
      </c>
      <c r="S55" s="240"/>
      <c r="T55" s="240"/>
      <c r="U55" s="19"/>
      <c r="V55" s="19"/>
      <c r="W55" s="19"/>
      <c r="X55" s="19"/>
      <c r="AA55" s="496">
        <v>44834</v>
      </c>
      <c r="AB55" s="497">
        <v>0.3659</v>
      </c>
      <c r="AC55" s="498">
        <v>19424.580000000002</v>
      </c>
      <c r="AD55" s="495"/>
      <c r="AP55" s="95" t="s">
        <v>239</v>
      </c>
      <c r="AQ55" s="94"/>
      <c r="AR55" s="94"/>
      <c r="AS55" s="96"/>
      <c r="AT55" s="94">
        <v>0</v>
      </c>
      <c r="AU55" s="94">
        <v>593000</v>
      </c>
      <c r="AV55" s="94">
        <v>693600</v>
      </c>
      <c r="AW55" s="94">
        <v>910500</v>
      </c>
      <c r="AX55" s="94">
        <v>1348800</v>
      </c>
      <c r="AY55" s="94">
        <v>1577801.345252035</v>
      </c>
      <c r="AZ55" s="94">
        <v>2019355.9877862192</v>
      </c>
      <c r="BA55" s="94">
        <v>2122213.9655797798</v>
      </c>
      <c r="BB55" s="94">
        <v>2215411.9150220342</v>
      </c>
      <c r="BC55" s="94">
        <v>2390793.8120092787</v>
      </c>
      <c r="BM55" s="1" t="s">
        <v>848</v>
      </c>
      <c r="BN55" s="487">
        <f>BN53/BN54</f>
        <v>0.85950993952733634</v>
      </c>
      <c r="BO55" s="487">
        <f t="shared" ref="BO55:BS55" si="14">BO53/BO54</f>
        <v>1.0842848585942568</v>
      </c>
      <c r="BP55" s="487">
        <f t="shared" si="14"/>
        <v>1.1276879426219293</v>
      </c>
      <c r="BQ55" s="487">
        <f t="shared" si="14"/>
        <v>1.0781665444202788</v>
      </c>
      <c r="BR55" s="487">
        <f t="shared" si="14"/>
        <v>0.99237996097649339</v>
      </c>
      <c r="BS55" s="487">
        <f t="shared" si="14"/>
        <v>0.86661725405362811</v>
      </c>
    </row>
    <row r="56" spans="3:71" x14ac:dyDescent="0.15">
      <c r="C56" s="206">
        <v>45597</v>
      </c>
      <c r="D56" s="1">
        <v>653</v>
      </c>
      <c r="R56" s="269"/>
      <c r="S56" s="240"/>
      <c r="T56" s="240"/>
      <c r="U56" s="19"/>
      <c r="V56" s="19"/>
      <c r="W56" s="361"/>
      <c r="X56" s="361"/>
      <c r="AA56" s="496">
        <v>44926</v>
      </c>
      <c r="AB56" s="497">
        <v>0.32219999999999999</v>
      </c>
      <c r="AC56" s="498">
        <v>16529.2</v>
      </c>
      <c r="AD56" s="495"/>
      <c r="AP56" s="1" t="s">
        <v>240</v>
      </c>
      <c r="AS56" s="43"/>
      <c r="AT56" s="91">
        <v>223200</v>
      </c>
      <c r="AU56" s="91">
        <v>275500</v>
      </c>
      <c r="AV56" s="91">
        <v>305100</v>
      </c>
      <c r="AW56" s="91">
        <v>705700</v>
      </c>
      <c r="AX56" s="91">
        <v>677300</v>
      </c>
      <c r="AY56" s="91">
        <v>1094839.7052919746</v>
      </c>
      <c r="AZ56" s="91">
        <v>1131520.4980073632</v>
      </c>
      <c r="BA56" s="91">
        <v>1256802.6815206134</v>
      </c>
      <c r="BB56" s="91">
        <v>1347407.8171095345</v>
      </c>
      <c r="BC56" s="91">
        <v>1408713.5943951199</v>
      </c>
    </row>
    <row r="57" spans="3:71" x14ac:dyDescent="0.15">
      <c r="C57" s="206">
        <v>45748</v>
      </c>
      <c r="D57" s="1">
        <v>700</v>
      </c>
      <c r="R57" s="269"/>
      <c r="S57" s="240"/>
      <c r="T57" s="240"/>
      <c r="U57" s="19"/>
      <c r="V57" s="19"/>
      <c r="W57" s="361"/>
      <c r="X57" s="361"/>
      <c r="AA57" s="491">
        <v>45016</v>
      </c>
      <c r="AB57" s="492">
        <v>0.38400000000000001</v>
      </c>
      <c r="AC57" s="493">
        <v>28474.26</v>
      </c>
      <c r="AD57" s="495"/>
      <c r="AP57" s="1" t="s">
        <v>241</v>
      </c>
      <c r="AS57" s="43"/>
      <c r="AT57" s="91">
        <v>22500</v>
      </c>
      <c r="AU57" s="91">
        <v>327000</v>
      </c>
      <c r="AV57" s="91">
        <v>119900</v>
      </c>
      <c r="AW57" s="91">
        <v>265800</v>
      </c>
      <c r="AX57" s="91">
        <v>247100</v>
      </c>
      <c r="AY57" s="91">
        <v>450893.47105197998</v>
      </c>
      <c r="AZ57" s="91">
        <v>548607.64567449572</v>
      </c>
      <c r="BA57" s="91">
        <v>518406.54979730723</v>
      </c>
      <c r="BB57" s="91">
        <v>553330.17627287318</v>
      </c>
      <c r="BC57" s="91">
        <v>595223.88494741218</v>
      </c>
    </row>
    <row r="58" spans="3:71" x14ac:dyDescent="0.15">
      <c r="R58" s="239" t="s">
        <v>849</v>
      </c>
      <c r="S58" s="240"/>
      <c r="T58" s="240"/>
      <c r="U58" s="19"/>
      <c r="V58" s="19"/>
      <c r="W58" s="361"/>
      <c r="X58" s="361"/>
      <c r="AA58" s="491">
        <v>45107</v>
      </c>
      <c r="AB58" s="492">
        <v>0.37540000000000001</v>
      </c>
      <c r="AC58" s="493">
        <v>30472.82</v>
      </c>
      <c r="AD58" s="495"/>
      <c r="AP58" s="1" t="s">
        <v>242</v>
      </c>
      <c r="AS58" s="43"/>
      <c r="AT58" s="91">
        <v>136300</v>
      </c>
      <c r="AU58" s="91">
        <v>79800</v>
      </c>
      <c r="AV58" s="91">
        <v>19700</v>
      </c>
      <c r="AW58" s="91">
        <v>141600</v>
      </c>
      <c r="AX58" s="91">
        <v>0</v>
      </c>
      <c r="AY58" s="91">
        <v>0</v>
      </c>
      <c r="AZ58" s="91">
        <v>0</v>
      </c>
      <c r="BA58" s="91">
        <v>0</v>
      </c>
      <c r="BB58" s="91">
        <v>0</v>
      </c>
      <c r="BC58" s="91">
        <v>0</v>
      </c>
    </row>
    <row r="59" spans="3:71" x14ac:dyDescent="0.15">
      <c r="C59" s="230" t="s">
        <v>850</v>
      </c>
      <c r="D59" s="230" t="s">
        <v>851</v>
      </c>
      <c r="R59" s="270"/>
      <c r="S59" s="241"/>
      <c r="T59" s="241"/>
      <c r="U59" s="362"/>
      <c r="V59" s="362"/>
      <c r="W59" s="362"/>
      <c r="X59" s="362"/>
      <c r="AA59" s="491">
        <v>45199</v>
      </c>
      <c r="AB59" s="492">
        <v>0.28849999999999998</v>
      </c>
      <c r="AC59" s="493">
        <v>26968.959999999999</v>
      </c>
      <c r="AD59" s="495"/>
      <c r="AP59" s="1" t="s">
        <v>243</v>
      </c>
      <c r="AS59" s="43"/>
      <c r="AT59" s="91">
        <v>113100</v>
      </c>
      <c r="AU59" s="91">
        <v>111300</v>
      </c>
      <c r="AV59" s="91">
        <v>120100</v>
      </c>
      <c r="AW59" s="91">
        <v>283400</v>
      </c>
      <c r="AX59" s="91">
        <v>554800</v>
      </c>
      <c r="AY59" s="91">
        <v>554036.82583539572</v>
      </c>
      <c r="AZ59" s="91">
        <v>575483.04133067071</v>
      </c>
      <c r="BA59" s="91">
        <v>663983.33031767095</v>
      </c>
      <c r="BB59" s="91">
        <v>746245.36264896032</v>
      </c>
      <c r="BC59" s="91">
        <v>798073.24647529877</v>
      </c>
    </row>
    <row r="60" spans="3:71" x14ac:dyDescent="0.15">
      <c r="C60" s="1" t="s">
        <v>852</v>
      </c>
      <c r="D60" s="105">
        <v>0.59229999999999994</v>
      </c>
      <c r="R60" s="270"/>
      <c r="S60" s="241"/>
      <c r="T60" s="241"/>
      <c r="U60" s="363"/>
      <c r="V60" s="352" t="s">
        <v>827</v>
      </c>
      <c r="W60" s="362"/>
      <c r="X60" s="364">
        <v>46022</v>
      </c>
      <c r="AA60" s="491">
        <v>45291</v>
      </c>
      <c r="AB60" s="492">
        <v>0.5292</v>
      </c>
      <c r="AC60" s="493">
        <v>42291.37</v>
      </c>
      <c r="AD60" s="495"/>
      <c r="AP60" s="67" t="s">
        <v>244</v>
      </c>
      <c r="AQ60" s="67"/>
      <c r="AR60" s="67"/>
      <c r="AS60" s="68"/>
      <c r="AT60" s="69">
        <v>495100</v>
      </c>
      <c r="AU60" s="69">
        <v>1386600</v>
      </c>
      <c r="AV60" s="69">
        <v>1258400</v>
      </c>
      <c r="AW60" s="69">
        <v>2307000</v>
      </c>
      <c r="AX60" s="69">
        <v>2828000</v>
      </c>
      <c r="AY60" s="69">
        <v>3677571.347431385</v>
      </c>
      <c r="AZ60" s="69">
        <v>4274967.1727987491</v>
      </c>
      <c r="BA60" s="69">
        <v>4561406.5272153709</v>
      </c>
      <c r="BB60" s="69">
        <v>4862395.2710534027</v>
      </c>
      <c r="BC60" s="69">
        <v>5192804.537827109</v>
      </c>
    </row>
    <row r="61" spans="3:71" ht="15" thickBot="1" x14ac:dyDescent="0.2">
      <c r="C61" s="1" t="s">
        <v>853</v>
      </c>
      <c r="D61" s="105">
        <v>0.11810000000000001</v>
      </c>
      <c r="R61" s="265"/>
      <c r="S61" s="240"/>
      <c r="T61" s="240"/>
      <c r="U61" s="19"/>
      <c r="V61" s="19"/>
      <c r="W61" s="19"/>
      <c r="X61" s="19"/>
      <c r="AA61" s="491">
        <v>45382</v>
      </c>
      <c r="AB61" s="492">
        <v>1.0767</v>
      </c>
      <c r="AC61" s="493">
        <v>71341.710000000006</v>
      </c>
      <c r="AD61" s="495"/>
    </row>
    <row r="62" spans="3:71" ht="15" thickBot="1" x14ac:dyDescent="0.2">
      <c r="C62" s="1" t="s">
        <v>854</v>
      </c>
      <c r="D62" s="105">
        <v>6.0300000000000006E-2</v>
      </c>
      <c r="R62" s="273" t="s">
        <v>855</v>
      </c>
      <c r="S62" s="274"/>
      <c r="T62" s="274"/>
      <c r="U62" s="365"/>
      <c r="V62" s="366">
        <v>1721.69</v>
      </c>
      <c r="W62" s="365"/>
      <c r="X62" s="366">
        <v>1721.69</v>
      </c>
      <c r="AA62" s="491">
        <v>45473</v>
      </c>
      <c r="AB62" s="492">
        <v>0.78090000000000004</v>
      </c>
      <c r="AC62" s="493">
        <v>60860.1</v>
      </c>
      <c r="AD62" s="495"/>
      <c r="AP62" s="76" t="s">
        <v>245</v>
      </c>
      <c r="AQ62" s="77"/>
      <c r="AR62" s="77"/>
      <c r="AS62" s="78"/>
      <c r="AT62" s="79">
        <v>7375100</v>
      </c>
      <c r="AU62" s="79">
        <v>3742900</v>
      </c>
      <c r="AV62" s="79">
        <v>2835500</v>
      </c>
      <c r="AW62" s="79">
        <v>6293200</v>
      </c>
      <c r="AX62" s="79">
        <v>6883300</v>
      </c>
      <c r="AY62" s="79">
        <v>7810096.8252894972</v>
      </c>
      <c r="AZ62" s="79">
        <v>8878568.3643857837</v>
      </c>
      <c r="BA62" s="79">
        <v>10133087.377758723</v>
      </c>
      <c r="BB62" s="79">
        <v>12113688.979144912</v>
      </c>
      <c r="BC62" s="80">
        <v>15290699.092049859</v>
      </c>
    </row>
    <row r="63" spans="3:71" x14ac:dyDescent="0.15">
      <c r="C63" s="1" t="s">
        <v>856</v>
      </c>
      <c r="D63" s="105">
        <v>4.3099999999999999E-2</v>
      </c>
      <c r="R63" s="276" t="s">
        <v>857</v>
      </c>
      <c r="S63" s="267"/>
      <c r="T63" s="267"/>
      <c r="U63" s="361"/>
      <c r="V63" s="367" t="s" cm="1">
        <v>832</v>
      </c>
      <c r="W63" s="361"/>
      <c r="X63" s="367" t="s" cm="1">
        <v>832</v>
      </c>
      <c r="AA63" s="491">
        <v>45565</v>
      </c>
      <c r="AB63" s="492">
        <v>0.5726</v>
      </c>
      <c r="AC63" s="493">
        <v>64544.22</v>
      </c>
      <c r="AD63" s="495"/>
      <c r="AJ63" s="488"/>
      <c r="AK63" s="488"/>
    </row>
    <row r="64" spans="3:71" x14ac:dyDescent="0.15">
      <c r="C64" s="1" t="s">
        <v>858</v>
      </c>
      <c r="D64" s="105">
        <v>0.04</v>
      </c>
      <c r="R64" s="273" t="s">
        <v>859</v>
      </c>
      <c r="S64" s="274"/>
      <c r="T64" s="274"/>
      <c r="U64" s="365"/>
      <c r="V64" s="366" t="s" cm="1">
        <v>832</v>
      </c>
      <c r="W64" s="365"/>
      <c r="X64" s="366" t="s" cm="1">
        <v>832</v>
      </c>
      <c r="AA64" s="491">
        <v>45657</v>
      </c>
      <c r="AB64" s="492">
        <v>1.556</v>
      </c>
      <c r="AC64" s="493">
        <v>92382.89</v>
      </c>
      <c r="AD64" s="495"/>
      <c r="AJ64" s="489"/>
      <c r="AK64" s="495"/>
      <c r="AP64" s="1" t="s">
        <v>34</v>
      </c>
      <c r="AS64" s="43"/>
      <c r="AT64" s="91">
        <v>514000</v>
      </c>
      <c r="AU64" s="91">
        <v>600</v>
      </c>
      <c r="AV64" s="91">
        <v>49200</v>
      </c>
      <c r="AW64" s="91">
        <v>270800</v>
      </c>
      <c r="AX64" s="91">
        <v>297900</v>
      </c>
      <c r="AY64" s="91">
        <v>283923.45844504016</v>
      </c>
      <c r="AZ64" s="91">
        <v>270602.65275391896</v>
      </c>
      <c r="BA64" s="91">
        <v>257906.81783919083</v>
      </c>
      <c r="BB64" s="91">
        <v>245806.63201563628</v>
      </c>
      <c r="BC64" s="91">
        <v>234274.14928031823</v>
      </c>
    </row>
    <row r="65" spans="3:58" ht="15" thickBot="1" x14ac:dyDescent="0.2">
      <c r="C65" s="1" t="s">
        <v>860</v>
      </c>
      <c r="D65" s="105">
        <v>0.14400000000000002</v>
      </c>
      <c r="F65" s="105"/>
      <c r="R65" s="276" t="s">
        <v>861</v>
      </c>
      <c r="S65" s="267"/>
      <c r="T65" s="267"/>
      <c r="U65" s="361"/>
      <c r="V65" s="367">
        <v>7275.47</v>
      </c>
      <c r="W65" s="361"/>
      <c r="X65" s="367">
        <v>7275.47</v>
      </c>
      <c r="AA65" s="491">
        <v>45747</v>
      </c>
      <c r="AB65" s="492">
        <v>1.2622</v>
      </c>
      <c r="AC65" s="493">
        <v>81559.22</v>
      </c>
      <c r="AD65" s="495"/>
      <c r="AJ65" s="489"/>
      <c r="AK65" s="495"/>
    </row>
    <row r="66" spans="3:58" ht="15" thickBot="1" x14ac:dyDescent="0.2">
      <c r="D66" s="105"/>
      <c r="R66" s="273" t="s">
        <v>337</v>
      </c>
      <c r="S66" s="274"/>
      <c r="T66" s="274"/>
      <c r="U66" s="365"/>
      <c r="V66" s="366">
        <v>-68.850999999999999</v>
      </c>
      <c r="W66" s="365"/>
      <c r="X66" s="366">
        <v>-68.850999999999999</v>
      </c>
      <c r="AA66" s="491">
        <v>45838</v>
      </c>
      <c r="AB66" s="492">
        <v>0.76419999999999999</v>
      </c>
      <c r="AC66" s="493">
        <v>108527.5</v>
      </c>
      <c r="AD66" s="495"/>
      <c r="AJ66" s="489"/>
      <c r="AK66" s="495"/>
      <c r="AP66" s="76" t="s">
        <v>246</v>
      </c>
      <c r="AQ66" s="77"/>
      <c r="AR66" s="77"/>
      <c r="AS66" s="78"/>
      <c r="AT66" s="79">
        <v>7889100</v>
      </c>
      <c r="AU66" s="79">
        <v>3743500</v>
      </c>
      <c r="AV66" s="79">
        <v>2884700</v>
      </c>
      <c r="AW66" s="79">
        <v>6564000</v>
      </c>
      <c r="AX66" s="79">
        <v>7181200</v>
      </c>
      <c r="AY66" s="79">
        <v>8094020.2837345377</v>
      </c>
      <c r="AZ66" s="79">
        <v>9149171.017139703</v>
      </c>
      <c r="BA66" s="79">
        <v>10390994.195597913</v>
      </c>
      <c r="BB66" s="79">
        <v>12359495.611160548</v>
      </c>
      <c r="BC66" s="80">
        <v>15524973.241330178</v>
      </c>
    </row>
    <row r="67" spans="3:58" x14ac:dyDescent="0.15">
      <c r="C67" s="230" t="s">
        <v>782</v>
      </c>
      <c r="D67" s="231" t="s">
        <v>862</v>
      </c>
      <c r="R67" s="276" t="s">
        <v>863</v>
      </c>
      <c r="S67" s="267"/>
      <c r="T67" s="267"/>
      <c r="U67" s="361"/>
      <c r="V67" s="367">
        <v>7206.6189999999997</v>
      </c>
      <c r="W67" s="361"/>
      <c r="X67" s="367">
        <v>7206.6189999999997</v>
      </c>
      <c r="AA67" s="491">
        <v>45930</v>
      </c>
      <c r="AB67" s="492">
        <v>1.0462</v>
      </c>
      <c r="AC67" s="493">
        <v>114433.1</v>
      </c>
      <c r="AD67" s="495"/>
      <c r="AJ67" s="489"/>
      <c r="AK67" s="495"/>
    </row>
    <row r="68" spans="3:58" x14ac:dyDescent="0.15">
      <c r="C68" s="206">
        <v>39814</v>
      </c>
      <c r="D68" s="1">
        <v>1</v>
      </c>
      <c r="R68" s="273" t="s">
        <v>864</v>
      </c>
      <c r="S68" s="274"/>
      <c r="T68" s="274"/>
      <c r="U68" s="365"/>
      <c r="V68" s="366">
        <v>1269.585</v>
      </c>
      <c r="W68" s="365"/>
      <c r="X68" s="366">
        <v>-1269.585</v>
      </c>
      <c r="AA68" s="491">
        <v>46022</v>
      </c>
      <c r="AB68" s="492">
        <v>0.98270000000000002</v>
      </c>
      <c r="AC68" s="493">
        <v>88262.84</v>
      </c>
      <c r="AD68" s="495"/>
      <c r="AJ68" s="489"/>
      <c r="AK68" s="495"/>
    </row>
    <row r="69" spans="3:58" x14ac:dyDescent="0.15">
      <c r="C69" s="206">
        <v>39845</v>
      </c>
      <c r="D69" s="1">
        <v>1</v>
      </c>
      <c r="R69" s="276" t="s">
        <v>865</v>
      </c>
      <c r="S69" s="267"/>
      <c r="T69" s="267"/>
      <c r="U69" s="361"/>
      <c r="V69" s="367">
        <v>5937.0339999999997</v>
      </c>
      <c r="W69" s="361"/>
      <c r="X69" s="367">
        <v>5937.0339999999997</v>
      </c>
      <c r="AA69" s="489"/>
      <c r="AB69" s="490"/>
      <c r="AC69" s="489"/>
      <c r="AD69" s="495"/>
      <c r="AJ69" s="489"/>
      <c r="AK69" s="495"/>
      <c r="AX69" s="35">
        <v>25</v>
      </c>
      <c r="AY69" s="36"/>
      <c r="AZ69" s="36"/>
      <c r="BA69" s="36"/>
      <c r="BB69" s="36"/>
      <c r="BC69" s="36">
        <v>30</v>
      </c>
    </row>
    <row r="70" spans="3:58" ht="15" thickBot="1" x14ac:dyDescent="0.2">
      <c r="C70" s="206">
        <v>39873</v>
      </c>
      <c r="D70" s="1">
        <v>1</v>
      </c>
      <c r="R70" s="278"/>
      <c r="S70" s="279"/>
      <c r="T70" s="279"/>
      <c r="U70" s="368"/>
      <c r="V70" s="368"/>
      <c r="W70" s="368"/>
      <c r="X70" s="369"/>
      <c r="AA70" s="489"/>
      <c r="AB70" s="490"/>
      <c r="AJ70" s="489"/>
      <c r="AK70" s="495"/>
      <c r="AW70" s="67" t="s">
        <v>244</v>
      </c>
      <c r="AX70" s="69">
        <f>AX60/1000000</f>
        <v>2.8279999999999998</v>
      </c>
      <c r="AY70" s="69"/>
      <c r="AZ70" s="69"/>
      <c r="BA70" s="69"/>
      <c r="BB70" s="69"/>
      <c r="BC70" s="69">
        <f>BC60/1000000</f>
        <v>5.1928045378271088</v>
      </c>
    </row>
    <row r="71" spans="3:58" ht="15" thickTop="1" x14ac:dyDescent="0.15">
      <c r="C71" s="206">
        <v>39904</v>
      </c>
      <c r="D71" s="1">
        <v>0</v>
      </c>
      <c r="R71" s="281" t="s">
        <v>347</v>
      </c>
      <c r="S71" s="282"/>
      <c r="T71" s="282"/>
      <c r="U71" s="370"/>
      <c r="V71" s="371">
        <v>7658.7240000000002</v>
      </c>
      <c r="W71" s="370"/>
      <c r="X71" s="371">
        <v>7658.7240000000002</v>
      </c>
      <c r="AA71" s="468"/>
      <c r="AB71" s="468"/>
      <c r="AC71" s="468"/>
      <c r="AD71" s="468"/>
      <c r="AE71" s="468"/>
      <c r="AF71" s="468"/>
      <c r="AG71" s="468"/>
      <c r="AH71" s="468"/>
      <c r="AI71" s="468"/>
      <c r="AJ71" s="468"/>
      <c r="AK71" s="468"/>
      <c r="AL71" s="468"/>
    </row>
    <row r="72" spans="3:58" x14ac:dyDescent="0.15">
      <c r="C72" s="206">
        <v>39934</v>
      </c>
      <c r="D72" s="1">
        <v>0</v>
      </c>
      <c r="R72" s="267"/>
      <c r="S72" s="267"/>
      <c r="T72" s="267"/>
      <c r="U72" s="361"/>
      <c r="V72" s="361"/>
      <c r="W72" s="361"/>
      <c r="X72" s="361"/>
      <c r="AW72" s="95" t="s">
        <v>239</v>
      </c>
      <c r="AX72" s="105">
        <f>AX55/AX$60</f>
        <v>0.47694483734087695</v>
      </c>
      <c r="AY72" s="105">
        <f t="shared" ref="AY72:BA72" si="15">AY55/AY$60</f>
        <v>0.42903351048622262</v>
      </c>
      <c r="AZ72" s="105">
        <f t="shared" si="15"/>
        <v>0.47236760100409869</v>
      </c>
      <c r="BA72" s="105">
        <f t="shared" si="15"/>
        <v>0.46525429227097204</v>
      </c>
      <c r="BB72" s="95" t="s">
        <v>239</v>
      </c>
      <c r="BC72" s="105">
        <f>BC55/BC$60</f>
        <v>0.46040512301079001</v>
      </c>
      <c r="BE72" s="95" t="s">
        <v>239</v>
      </c>
      <c r="BF72" s="105">
        <v>0.46040512301079001</v>
      </c>
    </row>
    <row r="73" spans="3:58" x14ac:dyDescent="0.15">
      <c r="C73" s="206">
        <v>39965</v>
      </c>
      <c r="D73" s="1">
        <v>0</v>
      </c>
      <c r="R73" s="266" t="str">
        <f>CONCATENATE("All figures in millions of ",R34)</f>
        <v>All figures in millions of USD</v>
      </c>
      <c r="S73" s="267"/>
      <c r="T73" s="267"/>
      <c r="U73" s="267"/>
      <c r="V73" s="267"/>
      <c r="W73" s="267"/>
      <c r="X73" s="267"/>
      <c r="AA73" s="1" t="s">
        <v>866</v>
      </c>
      <c r="AW73" s="1" t="s">
        <v>240</v>
      </c>
      <c r="AX73" s="105">
        <f t="shared" ref="AX73:BA76" si="16">AX56/$AX$60</f>
        <v>0.2394978783592645</v>
      </c>
      <c r="AY73" s="105">
        <f t="shared" si="16"/>
        <v>0.38714275293209849</v>
      </c>
      <c r="AZ73" s="105">
        <f t="shared" si="16"/>
        <v>0.40011333027134482</v>
      </c>
      <c r="BA73" s="105">
        <f t="shared" si="16"/>
        <v>0.44441396093373881</v>
      </c>
      <c r="BB73" s="1" t="s">
        <v>240</v>
      </c>
      <c r="BC73" s="105">
        <f t="shared" ref="BC73:BC74" si="17">BC56/BC$60</f>
        <v>0.27128184473983413</v>
      </c>
      <c r="BE73" s="1" t="s">
        <v>240</v>
      </c>
      <c r="BF73" s="105">
        <v>0.27128184473983413</v>
      </c>
    </row>
    <row r="74" spans="3:58" x14ac:dyDescent="0.15">
      <c r="C74" s="206">
        <v>39995</v>
      </c>
      <c r="D74" s="1">
        <v>0</v>
      </c>
      <c r="R74" s="268" t="s">
        <v>867</v>
      </c>
      <c r="S74" s="267"/>
      <c r="T74" s="267"/>
      <c r="U74" s="267"/>
      <c r="V74" s="267"/>
      <c r="W74" s="267"/>
      <c r="X74" s="267"/>
      <c r="AB74" s="35">
        <v>21</v>
      </c>
      <c r="AC74" s="35">
        <f>AB74+1</f>
        <v>22</v>
      </c>
      <c r="AD74" s="35">
        <f>AC74+1</f>
        <v>23</v>
      </c>
      <c r="AE74" s="35">
        <f>AD74+1</f>
        <v>24</v>
      </c>
      <c r="AF74" s="35">
        <f>AE74+1</f>
        <v>25</v>
      </c>
      <c r="AG74" s="36">
        <f>AF74+1</f>
        <v>26</v>
      </c>
      <c r="AW74" s="1" t="s">
        <v>868</v>
      </c>
      <c r="AX74" s="105">
        <f t="shared" si="16"/>
        <v>8.7376237623762371E-2</v>
      </c>
      <c r="AY74" s="105">
        <f t="shared" si="16"/>
        <v>0.15943899259263791</v>
      </c>
      <c r="AZ74" s="105">
        <f t="shared" si="16"/>
        <v>0.19399138814515407</v>
      </c>
      <c r="BA74" s="105">
        <f t="shared" si="16"/>
        <v>0.18331207560017937</v>
      </c>
      <c r="BB74" s="1" t="s">
        <v>241</v>
      </c>
      <c r="BC74" s="105">
        <f t="shared" si="17"/>
        <v>0.11462474287477789</v>
      </c>
      <c r="BE74" s="1" t="s">
        <v>241</v>
      </c>
      <c r="BF74" s="105">
        <v>0.11462474287477789</v>
      </c>
    </row>
    <row r="75" spans="3:58" x14ac:dyDescent="0.15">
      <c r="C75" s="206">
        <v>40026</v>
      </c>
      <c r="D75" s="1">
        <v>1</v>
      </c>
      <c r="R75" s="267"/>
      <c r="S75" s="267"/>
      <c r="T75" s="267"/>
      <c r="U75" s="267"/>
      <c r="V75" s="267"/>
      <c r="W75" s="267"/>
      <c r="X75" s="267"/>
      <c r="AA75" s="53" t="s">
        <v>869</v>
      </c>
      <c r="AB75" s="492">
        <f>'3FS'!E13</f>
        <v>7354754</v>
      </c>
      <c r="AC75" s="492">
        <f>'3FS'!F13</f>
        <v>3148815</v>
      </c>
      <c r="AD75" s="492">
        <f>'3FS'!G13</f>
        <v>2926540</v>
      </c>
      <c r="AE75" s="492">
        <f>'3FS'!H13</f>
        <v>6293246</v>
      </c>
      <c r="AF75" s="492">
        <f>'3FS'!I13</f>
        <v>6883438</v>
      </c>
      <c r="AG75" s="492">
        <f>'3FS'!J13</f>
        <v>7476596.4093261529</v>
      </c>
      <c r="AH75" s="492">
        <f>'3FS'!K13</f>
        <v>8407060.3310295437</v>
      </c>
      <c r="AI75" s="492">
        <f>'3FS'!L13</f>
        <v>9466955.9713402316</v>
      </c>
      <c r="AJ75" s="492">
        <f>'3FS'!M13</f>
        <v>11048605.666639015</v>
      </c>
      <c r="AK75" s="492">
        <f>'3FS'!N13</f>
        <v>13606440.833313305</v>
      </c>
      <c r="AX75" s="105"/>
      <c r="AY75" s="105"/>
      <c r="AZ75" s="105">
        <f t="shared" si="16"/>
        <v>0</v>
      </c>
      <c r="BA75" s="105">
        <f t="shared" si="16"/>
        <v>0</v>
      </c>
      <c r="BC75" s="105"/>
      <c r="BE75" s="1" t="s">
        <v>243</v>
      </c>
      <c r="BF75" s="105">
        <v>0.15368828937459808</v>
      </c>
    </row>
    <row r="76" spans="3:58" x14ac:dyDescent="0.15">
      <c r="C76" s="206">
        <v>40057</v>
      </c>
      <c r="D76" s="1">
        <v>0</v>
      </c>
      <c r="R76" s="267"/>
      <c r="S76" s="267"/>
      <c r="T76" s="267"/>
      <c r="U76" s="267"/>
      <c r="V76" s="267"/>
      <c r="W76" s="267"/>
      <c r="X76" s="267"/>
      <c r="AA76" s="1" t="s">
        <v>41</v>
      </c>
      <c r="AB76" s="492">
        <f>'3FS'!E26</f>
        <v>-663690</v>
      </c>
      <c r="AC76" s="492">
        <f>'3FS'!F26</f>
        <v>-510089</v>
      </c>
      <c r="AD76" s="492">
        <f>'3FS'!G26</f>
        <v>-332312</v>
      </c>
      <c r="AE76" s="492">
        <f>'3FS'!H26</f>
        <v>-654444</v>
      </c>
      <c r="AF76" s="492">
        <f>'3FS'!I26</f>
        <v>-1058577</v>
      </c>
      <c r="AG76" s="492">
        <f>'3FS'!J26</f>
        <v>-787027.42871742952</v>
      </c>
      <c r="AH76" s="492">
        <f>'3FS'!K26</f>
        <v>-877038.44099667727</v>
      </c>
      <c r="AI76" s="492">
        <f>'3FS'!L26</f>
        <v>-975567.07139289426</v>
      </c>
      <c r="AJ76" s="492">
        <f>'3FS'!M26</f>
        <v>-1126367.7882924157</v>
      </c>
      <c r="AK76" s="492">
        <f>'3FS'!N26</f>
        <v>-1373485.3290253468</v>
      </c>
      <c r="AW76" s="1" t="s">
        <v>243</v>
      </c>
      <c r="AX76" s="105">
        <f t="shared" si="16"/>
        <v>0.19618104667609618</v>
      </c>
      <c r="AY76" s="105">
        <f t="shared" si="16"/>
        <v>0.19591118311011163</v>
      </c>
      <c r="AZ76" s="105">
        <f t="shared" si="16"/>
        <v>0.203494710512967</v>
      </c>
      <c r="BA76" s="105">
        <f t="shared" si="16"/>
        <v>0.23478901354938858</v>
      </c>
      <c r="BB76" s="1" t="s">
        <v>243</v>
      </c>
      <c r="BC76" s="105">
        <f>BC59/BC$60</f>
        <v>0.15368828937459808</v>
      </c>
      <c r="BF76" s="105"/>
    </row>
    <row r="77" spans="3:58" x14ac:dyDescent="0.15">
      <c r="C77" s="206">
        <v>40087</v>
      </c>
      <c r="D77" s="1">
        <v>0</v>
      </c>
      <c r="R77" s="239" t="s">
        <v>179</v>
      </c>
      <c r="S77" s="240"/>
      <c r="T77" s="240"/>
      <c r="U77" s="240"/>
      <c r="V77" s="240"/>
      <c r="W77" s="267"/>
      <c r="X77" s="267"/>
      <c r="AA77" s="489"/>
      <c r="AB77" s="490"/>
      <c r="AJ77" s="489"/>
      <c r="AK77" s="495"/>
      <c r="BF77" s="105"/>
    </row>
    <row r="78" spans="3:58" x14ac:dyDescent="0.15">
      <c r="C78" s="206">
        <v>40118</v>
      </c>
      <c r="D78" s="1">
        <v>0</v>
      </c>
      <c r="R78" s="270"/>
      <c r="S78" s="241"/>
      <c r="T78" s="241"/>
      <c r="U78" s="241"/>
      <c r="V78" s="241"/>
      <c r="W78" s="241"/>
      <c r="X78" s="241"/>
      <c r="AB78" s="35">
        <v>21</v>
      </c>
      <c r="AC78" s="35">
        <f t="shared" ref="AC78:AL78" si="18">AB78+1</f>
        <v>22</v>
      </c>
      <c r="AD78" s="35">
        <f t="shared" si="18"/>
        <v>23</v>
      </c>
      <c r="AE78" s="35">
        <f t="shared" si="18"/>
        <v>24</v>
      </c>
      <c r="AF78" s="35">
        <f t="shared" si="18"/>
        <v>25</v>
      </c>
      <c r="AG78" s="36">
        <f t="shared" si="18"/>
        <v>26</v>
      </c>
      <c r="AH78" s="36">
        <f t="shared" si="18"/>
        <v>27</v>
      </c>
      <c r="AI78" s="36">
        <f t="shared" si="18"/>
        <v>28</v>
      </c>
      <c r="AJ78" s="36">
        <f t="shared" si="18"/>
        <v>29</v>
      </c>
      <c r="AK78" s="36">
        <f t="shared" si="18"/>
        <v>30</v>
      </c>
      <c r="AL78" s="36">
        <f t="shared" si="18"/>
        <v>31</v>
      </c>
    </row>
    <row r="79" spans="3:58" x14ac:dyDescent="0.15">
      <c r="C79" s="206">
        <v>40148</v>
      </c>
      <c r="D79" s="1">
        <v>0</v>
      </c>
      <c r="R79" s="270"/>
      <c r="S79" s="241"/>
      <c r="T79" s="241"/>
      <c r="U79" s="826" t="s">
        <v>827</v>
      </c>
      <c r="V79" s="826"/>
      <c r="W79" s="362"/>
      <c r="X79" s="364">
        <v>46022</v>
      </c>
      <c r="AA79" s="53" t="s">
        <v>245</v>
      </c>
      <c r="AB79" s="492">
        <f t="shared" ref="AB79:AK79" si="19">AB75/1000000</f>
        <v>7.3547539999999998</v>
      </c>
      <c r="AC79" s="492">
        <f t="shared" si="19"/>
        <v>3.1488149999999999</v>
      </c>
      <c r="AD79" s="492">
        <f t="shared" si="19"/>
        <v>2.9265400000000001</v>
      </c>
      <c r="AE79" s="492">
        <f t="shared" si="19"/>
        <v>6.2932459999999999</v>
      </c>
      <c r="AF79" s="492">
        <f t="shared" si="19"/>
        <v>6.8834379999999999</v>
      </c>
      <c r="AG79" s="492">
        <f t="shared" si="19"/>
        <v>7.4765964093261532</v>
      </c>
      <c r="AH79" s="492">
        <f t="shared" si="19"/>
        <v>8.4070603310295429</v>
      </c>
      <c r="AI79" s="492">
        <f t="shared" si="19"/>
        <v>9.4669559713402318</v>
      </c>
      <c r="AJ79" s="492">
        <f t="shared" si="19"/>
        <v>11.048605666639014</v>
      </c>
      <c r="AK79" s="492">
        <f t="shared" si="19"/>
        <v>13.606440833313306</v>
      </c>
    </row>
    <row r="80" spans="3:58" x14ac:dyDescent="0.15">
      <c r="C80" s="206">
        <v>40179</v>
      </c>
      <c r="D80" s="1">
        <v>2</v>
      </c>
      <c r="R80" s="265"/>
      <c r="S80" s="240"/>
      <c r="T80" s="240"/>
      <c r="U80" s="19"/>
      <c r="V80" s="19"/>
      <c r="W80" s="19"/>
      <c r="X80" s="19"/>
      <c r="AA80" s="1" t="s">
        <v>870</v>
      </c>
      <c r="AB80" s="492">
        <f t="shared" ref="AB80:AK80" si="20">-AB76/1000000</f>
        <v>0.66369</v>
      </c>
      <c r="AC80" s="492">
        <f t="shared" si="20"/>
        <v>0.51008900000000001</v>
      </c>
      <c r="AD80" s="492">
        <f t="shared" si="20"/>
        <v>0.332312</v>
      </c>
      <c r="AE80" s="492">
        <f t="shared" si="20"/>
        <v>0.65444400000000003</v>
      </c>
      <c r="AF80" s="492">
        <f t="shared" si="20"/>
        <v>1.0585770000000001</v>
      </c>
      <c r="AG80" s="492">
        <f t="shared" si="20"/>
        <v>0.78702742871742948</v>
      </c>
      <c r="AH80" s="492">
        <f t="shared" si="20"/>
        <v>0.87703844099667727</v>
      </c>
      <c r="AI80" s="492">
        <f t="shared" si="20"/>
        <v>0.97556707139289423</v>
      </c>
      <c r="AJ80" s="492">
        <f t="shared" si="20"/>
        <v>1.1263677882924157</v>
      </c>
      <c r="AK80" s="492">
        <f t="shared" si="20"/>
        <v>1.3734853290253468</v>
      </c>
    </row>
    <row r="81" spans="3:59" x14ac:dyDescent="0.15">
      <c r="C81" s="206">
        <v>40210</v>
      </c>
      <c r="D81" s="1">
        <v>3</v>
      </c>
      <c r="R81" s="273" t="s">
        <v>871</v>
      </c>
      <c r="S81" s="274"/>
      <c r="T81" s="274"/>
      <c r="U81" s="365"/>
      <c r="V81" s="366">
        <v>45727.650652659999</v>
      </c>
      <c r="W81" s="365"/>
      <c r="X81" s="366">
        <f>X52</f>
        <v>65226.830959999999</v>
      </c>
      <c r="AA81" s="489"/>
      <c r="AB81" s="490"/>
      <c r="AJ81" s="489"/>
      <c r="AK81" s="495"/>
    </row>
    <row r="82" spans="3:59" x14ac:dyDescent="0.15">
      <c r="C82" s="206">
        <v>40238</v>
      </c>
      <c r="D82" s="1">
        <v>7</v>
      </c>
      <c r="R82" s="284" t="s">
        <v>872</v>
      </c>
      <c r="S82" s="267"/>
      <c r="T82" s="267"/>
      <c r="U82" s="361"/>
      <c r="V82" s="367">
        <v>7658.7240000000002</v>
      </c>
      <c r="W82" s="361"/>
      <c r="X82" s="367">
        <f>X71</f>
        <v>7658.7240000000002</v>
      </c>
      <c r="AA82" s="489"/>
      <c r="AB82" s="490"/>
      <c r="AF82" s="510">
        <f>AF76-AG76</f>
        <v>-271549.57128257048</v>
      </c>
      <c r="AG82" s="1">
        <f>(AG80-AF80)/AF80</f>
        <v>-0.25652321114342236</v>
      </c>
      <c r="AJ82" s="489"/>
      <c r="AK82" s="495"/>
      <c r="BG82" s="1" t="s">
        <v>873</v>
      </c>
    </row>
    <row r="83" spans="3:59" x14ac:dyDescent="0.15">
      <c r="C83" s="206">
        <v>40269</v>
      </c>
      <c r="D83" s="1">
        <v>25</v>
      </c>
      <c r="R83" s="285" t="s">
        <v>874</v>
      </c>
      <c r="S83" s="274"/>
      <c r="T83" s="274"/>
      <c r="U83" s="365"/>
      <c r="V83" s="366" t="s" cm="1">
        <v>832</v>
      </c>
      <c r="W83" s="365"/>
      <c r="X83" s="366" t="s" cm="1">
        <v>832</v>
      </c>
      <c r="AA83" s="489"/>
      <c r="AB83" s="490"/>
      <c r="AJ83" s="489"/>
      <c r="AK83" s="495"/>
    </row>
    <row r="84" spans="3:59" x14ac:dyDescent="0.15">
      <c r="C84" s="206">
        <v>40299</v>
      </c>
      <c r="D84" s="1">
        <v>47</v>
      </c>
      <c r="R84" s="284" t="s">
        <v>875</v>
      </c>
      <c r="S84" s="267"/>
      <c r="T84" s="267"/>
      <c r="U84" s="361"/>
      <c r="V84" s="367">
        <v>11929.535</v>
      </c>
      <c r="W84" s="361"/>
      <c r="X84" s="367">
        <v>11929.535</v>
      </c>
      <c r="AA84" s="489" t="s">
        <v>259</v>
      </c>
      <c r="AB84" s="490"/>
      <c r="AE84" s="489" t="s">
        <v>259</v>
      </c>
      <c r="AF84" s="50">
        <f>'Revenue Build'!J53</f>
        <v>35.029403209374905</v>
      </c>
      <c r="AG84" s="50">
        <f>'Revenue Build'!K53</f>
        <v>35.032592061015634</v>
      </c>
      <c r="AH84" s="50">
        <f>'Revenue Build'!L53</f>
        <v>37.482987290638931</v>
      </c>
      <c r="AI84" s="50">
        <f>'Revenue Build'!M53</f>
        <v>42.193305202957561</v>
      </c>
      <c r="AJ84" s="50">
        <f>'Revenue Build'!N53</f>
        <v>49.758923278538518</v>
      </c>
      <c r="AK84" s="50">
        <f>'Revenue Build'!O53</f>
        <v>61.245944136092405</v>
      </c>
      <c r="AL84" s="50">
        <f>J20</f>
        <v>0</v>
      </c>
    </row>
    <row r="85" spans="3:59" x14ac:dyDescent="0.15">
      <c r="C85" s="206">
        <v>40330</v>
      </c>
      <c r="D85" s="1">
        <v>87</v>
      </c>
      <c r="R85" s="285" t="s">
        <v>876</v>
      </c>
      <c r="S85" s="274"/>
      <c r="T85" s="274"/>
      <c r="U85" s="365"/>
      <c r="V85" s="366" t="s" cm="1">
        <v>832</v>
      </c>
      <c r="W85" s="365"/>
      <c r="X85" s="366" t="s" cm="1">
        <v>832</v>
      </c>
      <c r="AA85" s="489" t="s">
        <v>877</v>
      </c>
      <c r="AB85" s="490"/>
      <c r="AE85" s="489" t="s">
        <v>877</v>
      </c>
      <c r="AF85" s="511">
        <f t="shared" ref="AF85:AK85" si="21">AF80/AF84</f>
        <v>3.0219669849148145E-2</v>
      </c>
      <c r="AG85" s="512">
        <f t="shared" si="21"/>
        <v>2.2465577977977706E-2</v>
      </c>
      <c r="AH85" s="512">
        <f t="shared" si="21"/>
        <v>2.3398306922450401E-2</v>
      </c>
      <c r="AI85" s="512">
        <f t="shared" si="21"/>
        <v>2.3121371191477821E-2</v>
      </c>
      <c r="AJ85" s="512">
        <f t="shared" si="21"/>
        <v>2.2636498422348873E-2</v>
      </c>
      <c r="AK85" s="512">
        <f t="shared" si="21"/>
        <v>2.2425735261315829E-2</v>
      </c>
    </row>
    <row r="86" spans="3:59" x14ac:dyDescent="0.15">
      <c r="C86" s="206">
        <v>40360</v>
      </c>
      <c r="D86" s="1">
        <v>94</v>
      </c>
      <c r="R86" s="284" t="s">
        <v>878</v>
      </c>
      <c r="S86" s="267"/>
      <c r="T86" s="267"/>
      <c r="U86" s="361"/>
      <c r="V86" s="367" t="s" cm="1">
        <v>832</v>
      </c>
      <c r="W86" s="361"/>
      <c r="X86" s="367" t="s" cm="1">
        <v>832</v>
      </c>
      <c r="AA86" s="489"/>
      <c r="AB86" s="490"/>
      <c r="AE86" s="1" t="s">
        <v>879</v>
      </c>
      <c r="AF86" s="511">
        <f t="shared" ref="AF86:AK86" si="22">AF79/AF84</f>
        <v>0.19650457528085399</v>
      </c>
      <c r="AG86" s="512">
        <f t="shared" si="22"/>
        <v>0.21341830476900767</v>
      </c>
      <c r="AH86" s="512">
        <f t="shared" si="22"/>
        <v>0.22429002965644462</v>
      </c>
      <c r="AI86" s="512">
        <f t="shared" si="22"/>
        <v>0.22437104478548034</v>
      </c>
      <c r="AJ86" s="512">
        <f t="shared" si="22"/>
        <v>0.22204269985488975</v>
      </c>
      <c r="AK86" s="512">
        <f t="shared" si="22"/>
        <v>0.22216068386632956</v>
      </c>
    </row>
    <row r="87" spans="3:59" x14ac:dyDescent="0.15">
      <c r="C87" s="206">
        <v>40391</v>
      </c>
      <c r="D87" s="1">
        <v>254</v>
      </c>
      <c r="R87" s="285" t="s">
        <v>880</v>
      </c>
      <c r="S87" s="274"/>
      <c r="T87" s="274"/>
      <c r="U87" s="365"/>
      <c r="V87" s="366">
        <v>622.98500000000001</v>
      </c>
      <c r="W87" s="365"/>
      <c r="X87" s="366">
        <v>622.98500000000001</v>
      </c>
      <c r="AA87" s="489"/>
      <c r="AB87" s="490"/>
    </row>
    <row r="88" spans="3:59" ht="15" thickBot="1" x14ac:dyDescent="0.2">
      <c r="C88" s="206">
        <v>40422</v>
      </c>
      <c r="D88" s="1">
        <v>215</v>
      </c>
      <c r="R88" s="284" t="s">
        <v>881</v>
      </c>
      <c r="S88" s="267"/>
      <c r="T88" s="267"/>
      <c r="U88" s="361"/>
      <c r="V88" s="367">
        <v>0</v>
      </c>
      <c r="W88" s="361"/>
      <c r="X88" s="367">
        <v>0</v>
      </c>
      <c r="AA88" s="489"/>
      <c r="AB88" s="35">
        <v>21</v>
      </c>
      <c r="AC88" s="35">
        <f t="shared" ref="AC88" si="23">AB88+1</f>
        <v>22</v>
      </c>
      <c r="AD88" s="35">
        <f t="shared" ref="AD88" si="24">AC88+1</f>
        <v>23</v>
      </c>
      <c r="AE88" s="35">
        <f t="shared" ref="AE88" si="25">AD88+1</f>
        <v>24</v>
      </c>
      <c r="AF88" s="35">
        <f t="shared" ref="AF88" si="26">AE88+1</f>
        <v>25</v>
      </c>
      <c r="AG88" s="36">
        <f t="shared" ref="AG88" si="27">AF88+1</f>
        <v>26</v>
      </c>
      <c r="AH88" s="36">
        <f t="shared" ref="AH88" si="28">AG88+1</f>
        <v>27</v>
      </c>
      <c r="AI88" s="36">
        <f t="shared" ref="AI88" si="29">AH88+1</f>
        <v>28</v>
      </c>
      <c r="AJ88" s="36">
        <f t="shared" ref="AJ88" si="30">AI88+1</f>
        <v>29</v>
      </c>
      <c r="AK88" s="36">
        <f t="shared" ref="AK88" si="31">AJ88+1</f>
        <v>30</v>
      </c>
    </row>
    <row r="89" spans="3:59" ht="15" thickBot="1" x14ac:dyDescent="0.2">
      <c r="C89" s="206">
        <v>40452</v>
      </c>
      <c r="D89" s="1">
        <v>129</v>
      </c>
      <c r="R89" s="285" t="s">
        <v>882</v>
      </c>
      <c r="S89" s="274"/>
      <c r="T89" s="274"/>
      <c r="U89" s="365"/>
      <c r="V89" s="366" t="s">
        <v>832</v>
      </c>
      <c r="W89" s="365"/>
      <c r="X89" s="366" t="s">
        <v>832</v>
      </c>
      <c r="AA89" s="76" t="s">
        <v>245</v>
      </c>
      <c r="AB89" s="79">
        <v>7375100</v>
      </c>
      <c r="AC89" s="79">
        <v>3742900</v>
      </c>
      <c r="AD89" s="79">
        <v>2835500</v>
      </c>
      <c r="AE89" s="76" t="s">
        <v>245</v>
      </c>
      <c r="AF89" s="79">
        <v>6883300</v>
      </c>
      <c r="AG89" s="79">
        <v>7810096.8252894972</v>
      </c>
      <c r="AH89" s="79">
        <v>8878568.3643857837</v>
      </c>
      <c r="AI89" s="79">
        <v>10133087.377758723</v>
      </c>
      <c r="AJ89" s="79">
        <v>12113688.979144912</v>
      </c>
      <c r="AK89" s="80">
        <v>15290699.092049859</v>
      </c>
    </row>
    <row r="90" spans="3:59" ht="15" thickBot="1" x14ac:dyDescent="0.2">
      <c r="C90" s="206">
        <v>40483</v>
      </c>
      <c r="D90" s="1">
        <v>261</v>
      </c>
      <c r="R90" s="279"/>
      <c r="S90" s="279"/>
      <c r="T90" s="279"/>
      <c r="U90" s="368"/>
      <c r="V90" s="368"/>
      <c r="W90" s="368"/>
      <c r="X90" s="369"/>
      <c r="AA90" s="1" t="s">
        <v>40</v>
      </c>
      <c r="AB90" s="50">
        <v>-1267924</v>
      </c>
      <c r="AC90" s="50">
        <v>-629880</v>
      </c>
      <c r="AD90" s="50">
        <v>-295146</v>
      </c>
      <c r="AE90" s="1" t="s">
        <v>40</v>
      </c>
      <c r="AF90" s="50">
        <v>-1020230</v>
      </c>
      <c r="AG90" s="50">
        <v>-1087847.810170586</v>
      </c>
      <c r="AH90" s="50">
        <v>-1217922.2811011479</v>
      </c>
      <c r="AI90" s="50">
        <v>-1366029.7363773452</v>
      </c>
      <c r="AJ90" s="50">
        <v>-1588200.3377905455</v>
      </c>
      <c r="AK90" s="50">
        <v>-1948753.4737733954</v>
      </c>
    </row>
    <row r="91" spans="3:59" ht="15" thickTop="1" x14ac:dyDescent="0.15">
      <c r="C91" s="206">
        <v>40513</v>
      </c>
      <c r="D91" s="1">
        <v>382</v>
      </c>
      <c r="R91" s="281" t="s">
        <v>179</v>
      </c>
      <c r="S91" s="282"/>
      <c r="T91" s="282"/>
      <c r="U91" s="370"/>
      <c r="V91" s="372">
        <v>40833.854652659997</v>
      </c>
      <c r="W91" s="370"/>
      <c r="X91" s="372">
        <f>X81+X82-X84-X87</f>
        <v>60333.03495999999</v>
      </c>
      <c r="AA91" s="1" t="s">
        <v>41</v>
      </c>
      <c r="AB91" s="50">
        <v>-663690</v>
      </c>
      <c r="AC91" s="50">
        <v>-510089</v>
      </c>
      <c r="AD91" s="50">
        <v>-332312</v>
      </c>
      <c r="AE91" s="1" t="s">
        <v>41</v>
      </c>
      <c r="AF91" s="50">
        <v>-1058577</v>
      </c>
      <c r="AG91" s="50">
        <v>-787027.42871742952</v>
      </c>
      <c r="AH91" s="50">
        <v>-877038.44099667727</v>
      </c>
      <c r="AI91" s="50">
        <v>-975567.07139289426</v>
      </c>
      <c r="AJ91" s="50">
        <v>-1126367.7882924157</v>
      </c>
      <c r="AK91" s="50">
        <v>-1373485.3290253468</v>
      </c>
    </row>
    <row r="92" spans="3:59" ht="15" thickBot="1" x14ac:dyDescent="0.2">
      <c r="C92" s="206">
        <v>40544</v>
      </c>
      <c r="D92" s="162">
        <v>1055</v>
      </c>
      <c r="AA92" s="1" t="s">
        <v>42</v>
      </c>
      <c r="AB92" s="50">
        <v>-909392</v>
      </c>
      <c r="AC92" s="50">
        <v>-1600586</v>
      </c>
      <c r="AD92" s="50">
        <v>-1074308</v>
      </c>
      <c r="AE92" s="1" t="s">
        <v>42</v>
      </c>
      <c r="AF92" s="50">
        <v>-1619642</v>
      </c>
      <c r="AG92" s="50">
        <v>-1875931.0394125634</v>
      </c>
      <c r="AH92" s="50">
        <v>-2107093.5898876041</v>
      </c>
      <c r="AI92" s="50">
        <v>-2364618.1385795875</v>
      </c>
      <c r="AJ92" s="50">
        <v>-2753249.0849329252</v>
      </c>
      <c r="AK92" s="50">
        <v>-3384661.7128533726</v>
      </c>
    </row>
    <row r="93" spans="3:59" ht="15" thickBot="1" x14ac:dyDescent="0.2">
      <c r="C93" s="206">
        <v>40575</v>
      </c>
      <c r="D93" s="162">
        <v>1549</v>
      </c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AA93" s="1" t="s">
        <v>43</v>
      </c>
      <c r="AB93" s="50">
        <v>-1291561</v>
      </c>
      <c r="AC93" s="50">
        <v>-2326354</v>
      </c>
      <c r="AD93" s="50">
        <v>-1324541</v>
      </c>
      <c r="AE93" s="1" t="s">
        <v>43</v>
      </c>
      <c r="AF93" s="50">
        <v>-1670605</v>
      </c>
      <c r="AG93" s="50">
        <v>-1515771.1671452657</v>
      </c>
      <c r="AH93" s="50">
        <v>-1683819.6683132788</v>
      </c>
      <c r="AI93" s="50">
        <v>-1866088.6578996165</v>
      </c>
      <c r="AJ93" s="50">
        <v>-2146482.3307123967</v>
      </c>
      <c r="AK93" s="50">
        <v>-2607377.4642315628</v>
      </c>
      <c r="AL93" s="79"/>
      <c r="AM93" s="79"/>
      <c r="AN93" s="80"/>
    </row>
    <row r="94" spans="3:59" x14ac:dyDescent="0.15">
      <c r="C94" s="206">
        <v>40603</v>
      </c>
      <c r="D94" s="162">
        <v>1885</v>
      </c>
      <c r="AA94" s="1" t="s">
        <v>44</v>
      </c>
      <c r="AB94" s="50">
        <v>0</v>
      </c>
      <c r="AC94" s="50">
        <v>0</v>
      </c>
      <c r="AD94" s="50">
        <v>34675</v>
      </c>
      <c r="AE94" s="1" t="s">
        <v>44</v>
      </c>
      <c r="AF94" s="50">
        <v>0</v>
      </c>
      <c r="AG94" s="50">
        <v>0</v>
      </c>
      <c r="AH94" s="50">
        <v>0</v>
      </c>
      <c r="AI94" s="50">
        <v>0</v>
      </c>
      <c r="AJ94" s="50">
        <v>0</v>
      </c>
      <c r="AK94" s="50">
        <v>0</v>
      </c>
    </row>
    <row r="95" spans="3:59" x14ac:dyDescent="0.15">
      <c r="C95" s="206">
        <v>40634</v>
      </c>
      <c r="D95" s="162">
        <v>4208</v>
      </c>
      <c r="R95" s="1" t="s">
        <v>834</v>
      </c>
      <c r="AA95" s="1" t="s">
        <v>45</v>
      </c>
      <c r="AB95" s="50">
        <v>-630308</v>
      </c>
      <c r="AC95" s="50">
        <v>-717405</v>
      </c>
      <c r="AD95" s="50">
        <v>-10260</v>
      </c>
      <c r="AE95" s="1" t="s">
        <v>45</v>
      </c>
      <c r="AF95" s="50">
        <v>-363406</v>
      </c>
      <c r="AG95" s="50">
        <v>-306627.4536292305</v>
      </c>
      <c r="AH95" s="50">
        <v>-349856.43900111748</v>
      </c>
      <c r="AI95" s="50">
        <v>-398624.14845246612</v>
      </c>
      <c r="AJ95" s="50">
        <v>-472377.48705014936</v>
      </c>
      <c r="AK95" s="50">
        <v>-592293.71375467686</v>
      </c>
    </row>
    <row r="96" spans="3:59" x14ac:dyDescent="0.15">
      <c r="C96" s="206">
        <v>40664</v>
      </c>
      <c r="D96" s="162">
        <v>5927</v>
      </c>
      <c r="AA96" s="1" t="s">
        <v>46</v>
      </c>
      <c r="AB96" s="50">
        <v>0</v>
      </c>
      <c r="AC96" s="50">
        <v>0</v>
      </c>
      <c r="AD96" s="50">
        <v>0</v>
      </c>
      <c r="AE96" s="1" t="s">
        <v>46</v>
      </c>
      <c r="AF96" s="50">
        <v>7280</v>
      </c>
      <c r="AG96" s="50">
        <v>0</v>
      </c>
      <c r="AH96" s="50">
        <v>0</v>
      </c>
      <c r="AI96" s="50">
        <v>0</v>
      </c>
      <c r="AJ96" s="50">
        <v>0</v>
      </c>
      <c r="AK96" s="50">
        <v>0</v>
      </c>
    </row>
    <row r="97" spans="3:37" x14ac:dyDescent="0.15">
      <c r="C97" s="206">
        <v>40695</v>
      </c>
      <c r="D97" s="162">
        <v>9348</v>
      </c>
      <c r="R97" s="469" t="s">
        <v>883</v>
      </c>
      <c r="AA97" s="67" t="s">
        <v>47</v>
      </c>
      <c r="AB97" s="69">
        <v>-4762875</v>
      </c>
      <c r="AC97" s="69">
        <v>-5784314</v>
      </c>
      <c r="AD97" s="69">
        <v>-3001892</v>
      </c>
      <c r="AE97" s="67" t="s">
        <v>47</v>
      </c>
      <c r="AF97" s="69">
        <v>-5725180</v>
      </c>
      <c r="AG97" s="69">
        <v>-5573204.8990750751</v>
      </c>
      <c r="AH97" s="69">
        <v>-6235730.419299826</v>
      </c>
      <c r="AI97" s="69">
        <v>-6970927.7527019093</v>
      </c>
      <c r="AJ97" s="69">
        <v>-8086677.0287784329</v>
      </c>
      <c r="AK97" s="69">
        <v>-9906571.6936383545</v>
      </c>
    </row>
    <row r="98" spans="3:37" x14ac:dyDescent="0.15">
      <c r="C98" s="206">
        <v>40725</v>
      </c>
      <c r="D98" s="162">
        <v>8112</v>
      </c>
      <c r="S98" s="35">
        <v>25</v>
      </c>
      <c r="T98" s="36">
        <f t="shared" ref="T98" si="32">S98+1</f>
        <v>26</v>
      </c>
      <c r="AA98" s="489"/>
      <c r="AB98" s="490"/>
    </row>
    <row r="99" spans="3:37" x14ac:dyDescent="0.15">
      <c r="C99" s="206">
        <v>40756</v>
      </c>
      <c r="D99" s="162">
        <v>7143</v>
      </c>
      <c r="R99" s="1" t="s">
        <v>40</v>
      </c>
      <c r="S99" s="50">
        <v>-1020230</v>
      </c>
      <c r="AA99" s="489"/>
      <c r="AB99" s="490"/>
      <c r="AG99" s="1" t="s">
        <v>884</v>
      </c>
      <c r="AH99" s="1" t="s">
        <v>885</v>
      </c>
    </row>
    <row r="100" spans="3:37" x14ac:dyDescent="0.15">
      <c r="C100" s="206">
        <v>40787</v>
      </c>
      <c r="D100" s="162">
        <v>5835</v>
      </c>
      <c r="R100" s="1" t="s">
        <v>41</v>
      </c>
      <c r="S100" s="50">
        <v>-1058577</v>
      </c>
      <c r="AA100" s="489"/>
      <c r="AB100" s="490"/>
      <c r="AE100" s="1" t="s">
        <v>886</v>
      </c>
      <c r="AF100" s="487">
        <f>-AF97/AF89</f>
        <v>0.83174930629204014</v>
      </c>
    </row>
    <row r="101" spans="3:37" x14ac:dyDescent="0.15">
      <c r="C101" s="206">
        <v>40817</v>
      </c>
      <c r="D101" s="162">
        <v>5106</v>
      </c>
      <c r="R101" s="1" t="s">
        <v>42</v>
      </c>
      <c r="S101" s="50">
        <v>-1619642</v>
      </c>
      <c r="AA101" s="489"/>
      <c r="AB101" s="490"/>
      <c r="AE101" s="1" t="s">
        <v>887</v>
      </c>
      <c r="AF101" s="646">
        <f>AG101-AH101</f>
        <v>-5.3018662366418168E-2</v>
      </c>
      <c r="AG101" s="487">
        <f>AF91/AF89</f>
        <v>-0.15378917089186872</v>
      </c>
      <c r="AH101" s="487">
        <f>AG91/AG89</f>
        <v>-0.10077050852545055</v>
      </c>
    </row>
    <row r="102" spans="3:37" x14ac:dyDescent="0.15">
      <c r="C102" s="206">
        <v>40848</v>
      </c>
      <c r="D102" s="162">
        <v>6603</v>
      </c>
      <c r="R102" s="1" t="s">
        <v>43</v>
      </c>
      <c r="S102" s="50">
        <v>-1670605</v>
      </c>
      <c r="AA102" s="489"/>
      <c r="AB102" s="490"/>
      <c r="AE102" s="1" t="s">
        <v>888</v>
      </c>
      <c r="AF102" s="646">
        <f t="shared" ref="AF102:AF104" si="33">AG102-AH102</f>
        <v>-4.8625671743274784E-2</v>
      </c>
      <c r="AG102" s="487">
        <f>AF93/AF89</f>
        <v>-0.24270408089143289</v>
      </c>
      <c r="AH102" s="487">
        <f>AG93/AG89</f>
        <v>-0.1940784091481581</v>
      </c>
    </row>
    <row r="103" spans="3:37" x14ac:dyDescent="0.15">
      <c r="C103" s="206">
        <v>40878</v>
      </c>
      <c r="D103" s="162">
        <v>5027</v>
      </c>
      <c r="R103" s="1" t="s">
        <v>44</v>
      </c>
      <c r="S103" s="50">
        <v>0</v>
      </c>
      <c r="AA103" s="489"/>
      <c r="AB103" s="490"/>
      <c r="AE103" s="1" t="s">
        <v>889</v>
      </c>
      <c r="AF103" s="646">
        <f t="shared" si="33"/>
        <v>4.8928385862486157E-3</v>
      </c>
      <c r="AG103" s="487">
        <f>AF92/AF89</f>
        <v>-0.23530021937152237</v>
      </c>
      <c r="AH103" s="487">
        <f>AG92/AG89</f>
        <v>-0.24019305795777099</v>
      </c>
    </row>
    <row r="104" spans="3:37" x14ac:dyDescent="0.15">
      <c r="C104" s="206">
        <v>40909</v>
      </c>
      <c r="D104" s="162">
        <v>6933</v>
      </c>
      <c r="R104" s="1" t="s">
        <v>45</v>
      </c>
      <c r="S104" s="50">
        <v>-363406</v>
      </c>
      <c r="AA104" s="489"/>
      <c r="AB104" s="490"/>
      <c r="AE104" s="1" t="s">
        <v>337</v>
      </c>
      <c r="AF104" s="646">
        <f t="shared" si="33"/>
        <v>-2.140807894494548E-2</v>
      </c>
      <c r="AG104" s="487">
        <f>(AF90+AF96+AF95)/AF89</f>
        <v>-0.19995583513721615</v>
      </c>
      <c r="AH104" s="487">
        <f>(AG90+AG96+AG95)/AG89</f>
        <v>-0.17854775619227067</v>
      </c>
    </row>
    <row r="105" spans="3:37" x14ac:dyDescent="0.15">
      <c r="C105" s="206">
        <v>40940</v>
      </c>
      <c r="D105" s="162">
        <v>6632</v>
      </c>
      <c r="R105" s="1" t="s">
        <v>46</v>
      </c>
      <c r="S105" s="50">
        <v>7280</v>
      </c>
      <c r="AA105" s="489"/>
      <c r="AB105" s="490"/>
      <c r="AE105" s="1" t="s">
        <v>890</v>
      </c>
      <c r="AF105" s="487">
        <f>SUM(AF100:AF104)</f>
        <v>0.71358973182365026</v>
      </c>
      <c r="AG105" s="512">
        <f>-AG97/AG89</f>
        <v>0.71358973182365038</v>
      </c>
    </row>
    <row r="106" spans="3:37" x14ac:dyDescent="0.15">
      <c r="C106" s="206">
        <v>40969</v>
      </c>
      <c r="D106" s="162">
        <v>6047</v>
      </c>
      <c r="R106" s="67" t="s">
        <v>47</v>
      </c>
      <c r="S106" s="50">
        <v>-5725180</v>
      </c>
      <c r="AA106" s="489"/>
      <c r="AB106" s="490"/>
    </row>
    <row r="107" spans="3:37" x14ac:dyDescent="0.15">
      <c r="C107" s="206">
        <v>41000</v>
      </c>
      <c r="D107" s="162">
        <v>9138</v>
      </c>
      <c r="AA107" s="489"/>
      <c r="AB107" s="490"/>
    </row>
    <row r="108" spans="3:37" x14ac:dyDescent="0.15">
      <c r="C108" s="206">
        <v>41030</v>
      </c>
      <c r="D108" s="162">
        <v>20325</v>
      </c>
      <c r="AA108" s="489"/>
      <c r="AB108" s="490"/>
    </row>
    <row r="109" spans="3:37" x14ac:dyDescent="0.15">
      <c r="C109" s="206">
        <v>41061</v>
      </c>
      <c r="D109" s="162">
        <v>22016</v>
      </c>
      <c r="AA109" s="489"/>
      <c r="AB109" s="490"/>
    </row>
    <row r="110" spans="3:37" x14ac:dyDescent="0.15">
      <c r="C110" s="206">
        <v>41091</v>
      </c>
      <c r="D110" s="162">
        <v>42334</v>
      </c>
    </row>
    <row r="111" spans="3:37" x14ac:dyDescent="0.15">
      <c r="C111" s="206">
        <v>41122</v>
      </c>
      <c r="D111" s="162">
        <v>41055</v>
      </c>
    </row>
    <row r="112" spans="3:37" x14ac:dyDescent="0.15">
      <c r="C112" s="206">
        <v>41153</v>
      </c>
      <c r="D112" s="162">
        <v>20957</v>
      </c>
    </row>
    <row r="113" spans="3:4" x14ac:dyDescent="0.15">
      <c r="C113" s="206">
        <v>41183</v>
      </c>
      <c r="D113" s="162">
        <v>26449</v>
      </c>
    </row>
    <row r="114" spans="3:4" x14ac:dyDescent="0.15">
      <c r="C114" s="206">
        <v>41214</v>
      </c>
      <c r="D114" s="162">
        <v>30667</v>
      </c>
    </row>
    <row r="115" spans="3:4" x14ac:dyDescent="0.15">
      <c r="C115" s="206">
        <v>41244</v>
      </c>
      <c r="D115" s="162">
        <v>30885</v>
      </c>
    </row>
    <row r="116" spans="3:4" x14ac:dyDescent="0.15">
      <c r="C116" s="206">
        <v>41275</v>
      </c>
      <c r="D116" s="162">
        <v>52467</v>
      </c>
    </row>
    <row r="117" spans="3:4" x14ac:dyDescent="0.15">
      <c r="C117" s="206">
        <v>41306</v>
      </c>
      <c r="D117" s="162">
        <v>62763</v>
      </c>
    </row>
    <row r="118" spans="3:4" x14ac:dyDescent="0.15">
      <c r="C118" s="206">
        <v>41334</v>
      </c>
      <c r="D118" s="162">
        <v>43434</v>
      </c>
    </row>
    <row r="119" spans="3:4" x14ac:dyDescent="0.15">
      <c r="C119" s="206">
        <v>41365</v>
      </c>
      <c r="D119" s="162">
        <v>46575</v>
      </c>
    </row>
    <row r="120" spans="3:4" x14ac:dyDescent="0.15">
      <c r="C120" s="206">
        <v>41395</v>
      </c>
      <c r="D120" s="162">
        <v>54306</v>
      </c>
    </row>
    <row r="121" spans="3:4" x14ac:dyDescent="0.15">
      <c r="C121" s="206">
        <v>41426</v>
      </c>
      <c r="D121" s="162">
        <v>30124</v>
      </c>
    </row>
    <row r="122" spans="3:4" x14ac:dyDescent="0.15">
      <c r="C122" s="206">
        <v>41456</v>
      </c>
      <c r="D122" s="162">
        <v>48569</v>
      </c>
    </row>
    <row r="123" spans="3:4" x14ac:dyDescent="0.15">
      <c r="C123" s="206">
        <v>41487</v>
      </c>
      <c r="D123" s="162">
        <v>46466</v>
      </c>
    </row>
    <row r="124" spans="3:4" x14ac:dyDescent="0.15">
      <c r="C124" s="206">
        <v>41518</v>
      </c>
      <c r="D124" s="162">
        <v>46872</v>
      </c>
    </row>
    <row r="125" spans="3:4" x14ac:dyDescent="0.15">
      <c r="C125" s="206">
        <v>41548</v>
      </c>
      <c r="D125" s="162">
        <v>56611</v>
      </c>
    </row>
    <row r="126" spans="3:4" x14ac:dyDescent="0.15">
      <c r="C126" s="206">
        <v>41579</v>
      </c>
      <c r="D126" s="162">
        <v>73916</v>
      </c>
    </row>
    <row r="127" spans="3:4" x14ac:dyDescent="0.15">
      <c r="C127" s="206">
        <v>41609</v>
      </c>
      <c r="D127" s="162">
        <v>48534</v>
      </c>
    </row>
    <row r="128" spans="3:4" x14ac:dyDescent="0.15">
      <c r="C128" s="206">
        <v>41640</v>
      </c>
      <c r="D128" s="162">
        <v>58927</v>
      </c>
    </row>
    <row r="129" spans="3:4" x14ac:dyDescent="0.15">
      <c r="C129" s="206">
        <v>41671</v>
      </c>
      <c r="D129" s="162">
        <v>71210</v>
      </c>
    </row>
    <row r="130" spans="3:4" x14ac:dyDescent="0.15">
      <c r="C130" s="206">
        <v>41699</v>
      </c>
      <c r="D130" s="162">
        <v>65788</v>
      </c>
    </row>
    <row r="131" spans="3:4" x14ac:dyDescent="0.15">
      <c r="C131" s="206">
        <v>41730</v>
      </c>
      <c r="D131" s="162">
        <v>63995</v>
      </c>
    </row>
    <row r="132" spans="3:4" x14ac:dyDescent="0.15">
      <c r="C132" s="206">
        <v>41760</v>
      </c>
      <c r="D132" s="162">
        <v>51139</v>
      </c>
    </row>
    <row r="133" spans="3:4" x14ac:dyDescent="0.15">
      <c r="C133" s="206">
        <v>41791</v>
      </c>
      <c r="D133" s="162">
        <v>69802</v>
      </c>
    </row>
    <row r="134" spans="3:4" x14ac:dyDescent="0.15">
      <c r="C134" s="206">
        <v>41821</v>
      </c>
      <c r="D134" s="162">
        <v>69650</v>
      </c>
    </row>
    <row r="135" spans="3:4" x14ac:dyDescent="0.15">
      <c r="C135" s="206">
        <v>41852</v>
      </c>
      <c r="D135" s="162">
        <v>58486</v>
      </c>
    </row>
    <row r="136" spans="3:4" x14ac:dyDescent="0.15">
      <c r="C136" s="206">
        <v>41883</v>
      </c>
      <c r="D136" s="162">
        <v>77225</v>
      </c>
    </row>
    <row r="137" spans="3:4" x14ac:dyDescent="0.15">
      <c r="C137" s="206">
        <v>41913</v>
      </c>
      <c r="D137" s="162">
        <v>84518</v>
      </c>
    </row>
    <row r="138" spans="3:4" x14ac:dyDescent="0.15">
      <c r="C138" s="206">
        <v>41944</v>
      </c>
      <c r="D138" s="162">
        <v>84409</v>
      </c>
    </row>
    <row r="139" spans="3:4" x14ac:dyDescent="0.15">
      <c r="C139" s="206">
        <v>41974</v>
      </c>
      <c r="D139" s="162">
        <v>75829</v>
      </c>
    </row>
    <row r="140" spans="3:4" x14ac:dyDescent="0.15">
      <c r="C140" s="206">
        <v>42005</v>
      </c>
      <c r="D140" s="162">
        <v>86631</v>
      </c>
    </row>
    <row r="141" spans="3:4" x14ac:dyDescent="0.15">
      <c r="C141" s="206">
        <v>42036</v>
      </c>
      <c r="D141" s="162">
        <v>87971</v>
      </c>
    </row>
    <row r="142" spans="3:4" x14ac:dyDescent="0.15">
      <c r="C142" s="206">
        <v>42064</v>
      </c>
      <c r="D142" s="162">
        <v>114677</v>
      </c>
    </row>
    <row r="143" spans="3:4" x14ac:dyDescent="0.15">
      <c r="C143" s="206">
        <v>42095</v>
      </c>
      <c r="D143" s="162">
        <v>110679</v>
      </c>
    </row>
    <row r="144" spans="3:4" x14ac:dyDescent="0.15">
      <c r="C144" s="206">
        <v>42125</v>
      </c>
      <c r="D144" s="162">
        <v>97356</v>
      </c>
    </row>
    <row r="145" spans="3:4" x14ac:dyDescent="0.15">
      <c r="C145" s="206">
        <v>42156</v>
      </c>
      <c r="D145" s="162">
        <v>155748</v>
      </c>
    </row>
    <row r="146" spans="3:4" x14ac:dyDescent="0.15">
      <c r="C146" s="206">
        <v>42186</v>
      </c>
      <c r="D146" s="162">
        <v>145443</v>
      </c>
    </row>
    <row r="147" spans="3:4" x14ac:dyDescent="0.15">
      <c r="C147" s="206">
        <v>42217</v>
      </c>
      <c r="D147" s="162">
        <v>129082</v>
      </c>
    </row>
    <row r="148" spans="3:4" x14ac:dyDescent="0.15">
      <c r="C148" s="206">
        <v>42248</v>
      </c>
      <c r="D148" s="162">
        <v>140556</v>
      </c>
    </row>
    <row r="149" spans="3:4" x14ac:dyDescent="0.15">
      <c r="C149" s="206">
        <v>42278</v>
      </c>
      <c r="D149" s="162">
        <v>155851</v>
      </c>
    </row>
    <row r="150" spans="3:4" x14ac:dyDescent="0.15">
      <c r="C150" s="206">
        <v>42309</v>
      </c>
      <c r="D150" s="162">
        <v>184974</v>
      </c>
    </row>
    <row r="151" spans="3:4" x14ac:dyDescent="0.15">
      <c r="C151" s="206">
        <v>42339</v>
      </c>
      <c r="D151" s="162">
        <v>153350</v>
      </c>
    </row>
    <row r="152" spans="3:4" x14ac:dyDescent="0.15">
      <c r="C152" s="206">
        <v>42370</v>
      </c>
      <c r="D152" s="162">
        <v>177814</v>
      </c>
    </row>
    <row r="153" spans="3:4" x14ac:dyDescent="0.15">
      <c r="C153" s="206">
        <v>42401</v>
      </c>
      <c r="D153" s="162">
        <v>264062</v>
      </c>
    </row>
    <row r="154" spans="3:4" x14ac:dyDescent="0.15">
      <c r="C154" s="206">
        <v>42430</v>
      </c>
      <c r="D154" s="162">
        <v>209977</v>
      </c>
    </row>
    <row r="155" spans="3:4" x14ac:dyDescent="0.15">
      <c r="C155" s="206">
        <v>42461</v>
      </c>
      <c r="D155" s="162">
        <v>217887</v>
      </c>
    </row>
    <row r="156" spans="3:4" x14ac:dyDescent="0.15">
      <c r="C156" s="206">
        <v>42491</v>
      </c>
      <c r="D156" s="162">
        <v>218981</v>
      </c>
    </row>
    <row r="157" spans="3:4" x14ac:dyDescent="0.15">
      <c r="C157" s="206">
        <v>42522</v>
      </c>
      <c r="D157" s="162">
        <v>227705</v>
      </c>
    </row>
    <row r="158" spans="3:4" x14ac:dyDescent="0.15">
      <c r="C158" s="206">
        <v>42552</v>
      </c>
      <c r="D158" s="162">
        <v>192596</v>
      </c>
    </row>
    <row r="159" spans="3:4" x14ac:dyDescent="0.15">
      <c r="C159" s="206">
        <v>42583</v>
      </c>
      <c r="D159" s="162">
        <v>226351</v>
      </c>
    </row>
    <row r="160" spans="3:4" x14ac:dyDescent="0.15">
      <c r="C160" s="206">
        <v>42614</v>
      </c>
      <c r="D160" s="162">
        <v>248141</v>
      </c>
    </row>
    <row r="161" spans="3:4" x14ac:dyDescent="0.15">
      <c r="C161" s="206">
        <v>42644</v>
      </c>
      <c r="D161" s="162">
        <v>244943</v>
      </c>
    </row>
    <row r="162" spans="3:4" x14ac:dyDescent="0.15">
      <c r="C162" s="206">
        <v>42675</v>
      </c>
      <c r="D162" s="162">
        <v>292055</v>
      </c>
    </row>
    <row r="163" spans="3:4" x14ac:dyDescent="0.15">
      <c r="C163" s="206">
        <v>42705</v>
      </c>
      <c r="D163" s="162">
        <v>246244</v>
      </c>
    </row>
    <row r="164" spans="3:4" x14ac:dyDescent="0.15">
      <c r="C164" s="206">
        <v>42736</v>
      </c>
      <c r="D164" s="162">
        <v>310555</v>
      </c>
    </row>
    <row r="165" spans="3:4" x14ac:dyDescent="0.15">
      <c r="C165" s="206">
        <v>42767</v>
      </c>
      <c r="D165" s="162">
        <v>327840</v>
      </c>
    </row>
    <row r="166" spans="3:4" x14ac:dyDescent="0.15">
      <c r="C166" s="206">
        <v>42795</v>
      </c>
      <c r="D166" s="162">
        <v>264354</v>
      </c>
    </row>
    <row r="167" spans="3:4" x14ac:dyDescent="0.15">
      <c r="C167" s="206">
        <v>42826</v>
      </c>
      <c r="D167" s="162">
        <v>277080</v>
      </c>
    </row>
    <row r="168" spans="3:4" x14ac:dyDescent="0.15">
      <c r="C168" s="206">
        <v>42856</v>
      </c>
      <c r="D168" s="162">
        <v>320406</v>
      </c>
    </row>
    <row r="169" spans="3:4" x14ac:dyDescent="0.15">
      <c r="C169" s="206">
        <v>42887</v>
      </c>
      <c r="D169" s="162">
        <v>266457</v>
      </c>
    </row>
    <row r="170" spans="3:4" x14ac:dyDescent="0.15">
      <c r="C170" s="206">
        <v>42917</v>
      </c>
      <c r="D170" s="162">
        <v>220968</v>
      </c>
    </row>
    <row r="171" spans="3:4" x14ac:dyDescent="0.15">
      <c r="C171" s="206">
        <v>42948</v>
      </c>
      <c r="D171" s="162">
        <v>281321</v>
      </c>
    </row>
    <row r="172" spans="3:4" x14ac:dyDescent="0.15">
      <c r="C172" s="206">
        <v>42979</v>
      </c>
      <c r="D172" s="162">
        <v>211916</v>
      </c>
    </row>
    <row r="173" spans="3:4" x14ac:dyDescent="0.15">
      <c r="C173" s="206">
        <v>43009</v>
      </c>
      <c r="D173" s="162">
        <v>280319</v>
      </c>
    </row>
    <row r="174" spans="3:4" x14ac:dyDescent="0.15">
      <c r="C174" s="206">
        <v>43040</v>
      </c>
      <c r="D174" s="162">
        <v>383941</v>
      </c>
    </row>
    <row r="175" spans="3:4" x14ac:dyDescent="0.15">
      <c r="C175" s="206">
        <v>43070</v>
      </c>
      <c r="D175" s="162">
        <v>292987</v>
      </c>
    </row>
    <row r="176" spans="3:4" x14ac:dyDescent="0.15">
      <c r="C176" s="206">
        <v>43101</v>
      </c>
      <c r="D176" s="162">
        <v>208360</v>
      </c>
    </row>
    <row r="177" spans="3:4" x14ac:dyDescent="0.15">
      <c r="C177" s="206">
        <v>43132</v>
      </c>
      <c r="D177" s="162">
        <v>190181</v>
      </c>
    </row>
    <row r="178" spans="3:4" x14ac:dyDescent="0.15">
      <c r="C178" s="206">
        <v>43160</v>
      </c>
      <c r="D178" s="162">
        <v>149294</v>
      </c>
    </row>
    <row r="179" spans="3:4" x14ac:dyDescent="0.15">
      <c r="C179" s="206">
        <v>43191</v>
      </c>
      <c r="D179" s="162">
        <v>215603</v>
      </c>
    </row>
    <row r="180" spans="3:4" x14ac:dyDescent="0.15">
      <c r="C180" s="206">
        <v>43221</v>
      </c>
      <c r="D180" s="162">
        <v>206264</v>
      </c>
    </row>
    <row r="181" spans="3:4" x14ac:dyDescent="0.15">
      <c r="C181" s="206">
        <v>43252</v>
      </c>
      <c r="D181" s="162">
        <v>177709</v>
      </c>
    </row>
    <row r="182" spans="3:4" x14ac:dyDescent="0.15">
      <c r="C182" s="206">
        <v>43282</v>
      </c>
      <c r="D182" s="162">
        <v>243458</v>
      </c>
    </row>
    <row r="183" spans="3:4" x14ac:dyDescent="0.15">
      <c r="C183" s="206">
        <v>43313</v>
      </c>
      <c r="D183" s="162">
        <v>238587</v>
      </c>
    </row>
    <row r="184" spans="3:4" x14ac:dyDescent="0.15">
      <c r="C184" s="206">
        <v>43344</v>
      </c>
      <c r="D184" s="162">
        <v>202606</v>
      </c>
    </row>
    <row r="185" spans="3:4" x14ac:dyDescent="0.15">
      <c r="C185" s="206">
        <v>43374</v>
      </c>
      <c r="D185" s="162">
        <v>283381</v>
      </c>
    </row>
    <row r="186" spans="3:4" x14ac:dyDescent="0.15">
      <c r="C186" s="206">
        <v>43405</v>
      </c>
      <c r="D186" s="162">
        <v>248304</v>
      </c>
    </row>
    <row r="187" spans="3:4" x14ac:dyDescent="0.15">
      <c r="C187" s="206">
        <v>43435</v>
      </c>
      <c r="D187" s="162">
        <v>262001</v>
      </c>
    </row>
    <row r="188" spans="3:4" x14ac:dyDescent="0.15">
      <c r="C188" s="206">
        <v>43466</v>
      </c>
      <c r="D188" s="162">
        <v>355308</v>
      </c>
    </row>
    <row r="189" spans="3:4" x14ac:dyDescent="0.15">
      <c r="C189" s="206">
        <v>43497</v>
      </c>
      <c r="D189" s="162">
        <v>363432</v>
      </c>
    </row>
    <row r="190" spans="3:4" x14ac:dyDescent="0.15">
      <c r="C190" s="206">
        <v>43525</v>
      </c>
      <c r="D190" s="162">
        <v>380878</v>
      </c>
    </row>
    <row r="191" spans="3:4" x14ac:dyDescent="0.15">
      <c r="C191" s="206">
        <v>43556</v>
      </c>
      <c r="D191" s="162">
        <v>343390</v>
      </c>
    </row>
    <row r="192" spans="3:4" x14ac:dyDescent="0.15">
      <c r="C192" s="206">
        <v>43586</v>
      </c>
      <c r="D192" s="162">
        <v>297215</v>
      </c>
    </row>
    <row r="193" spans="3:4" x14ac:dyDescent="0.15">
      <c r="C193" s="206">
        <v>43617</v>
      </c>
      <c r="D193" s="162">
        <v>331336</v>
      </c>
    </row>
    <row r="194" spans="3:4" x14ac:dyDescent="0.15">
      <c r="C194" s="206">
        <v>43647</v>
      </c>
      <c r="D194" s="162">
        <v>365194</v>
      </c>
    </row>
    <row r="195" spans="3:4" x14ac:dyDescent="0.15">
      <c r="C195" s="206">
        <v>43678</v>
      </c>
      <c r="D195" s="162">
        <v>334787</v>
      </c>
    </row>
    <row r="196" spans="3:4" x14ac:dyDescent="0.15">
      <c r="C196" s="206">
        <v>43709</v>
      </c>
      <c r="D196" s="162">
        <v>310433</v>
      </c>
    </row>
    <row r="197" spans="3:4" x14ac:dyDescent="0.15">
      <c r="C197" s="206">
        <v>43739</v>
      </c>
      <c r="D197" s="162">
        <v>300632</v>
      </c>
    </row>
    <row r="198" spans="3:4" x14ac:dyDescent="0.15">
      <c r="C198" s="206">
        <v>43770</v>
      </c>
      <c r="D198" s="162">
        <v>284912</v>
      </c>
    </row>
    <row r="199" spans="3:4" x14ac:dyDescent="0.15">
      <c r="C199" s="206">
        <v>43800</v>
      </c>
      <c r="D199" s="162">
        <v>289968</v>
      </c>
    </row>
    <row r="200" spans="3:4" x14ac:dyDescent="0.15">
      <c r="C200" s="206">
        <v>43831</v>
      </c>
      <c r="D200" s="162">
        <v>329369</v>
      </c>
    </row>
    <row r="201" spans="3:4" x14ac:dyDescent="0.15">
      <c r="C201" s="206">
        <v>43862</v>
      </c>
      <c r="D201" s="162">
        <v>309086</v>
      </c>
    </row>
    <row r="202" spans="3:4" x14ac:dyDescent="0.15">
      <c r="C202" s="206">
        <v>43891</v>
      </c>
      <c r="D202" s="162">
        <v>288338</v>
      </c>
    </row>
    <row r="203" spans="3:4" x14ac:dyDescent="0.15">
      <c r="C203" s="206">
        <v>43922</v>
      </c>
      <c r="D203" s="162">
        <v>320861</v>
      </c>
    </row>
    <row r="204" spans="3:4" x14ac:dyDescent="0.15">
      <c r="C204" s="206">
        <v>43952</v>
      </c>
      <c r="D204" s="162">
        <v>258529</v>
      </c>
    </row>
    <row r="205" spans="3:4" x14ac:dyDescent="0.15">
      <c r="C205" s="206">
        <v>43983</v>
      </c>
      <c r="D205" s="162">
        <v>306323</v>
      </c>
    </row>
    <row r="206" spans="3:4" x14ac:dyDescent="0.15">
      <c r="C206" s="206">
        <v>44013</v>
      </c>
      <c r="D206" s="162">
        <v>355688</v>
      </c>
    </row>
    <row r="207" spans="3:4" x14ac:dyDescent="0.15">
      <c r="C207" s="206">
        <v>44044</v>
      </c>
      <c r="D207" s="162">
        <v>310357</v>
      </c>
    </row>
    <row r="208" spans="3:4" x14ac:dyDescent="0.15">
      <c r="C208" s="206">
        <v>44075</v>
      </c>
      <c r="D208" s="162">
        <v>351403</v>
      </c>
    </row>
    <row r="209" spans="3:4" x14ac:dyDescent="0.15">
      <c r="C209" s="206">
        <v>44105</v>
      </c>
      <c r="D209" s="162">
        <v>274513</v>
      </c>
    </row>
    <row r="210" spans="3:4" x14ac:dyDescent="0.15">
      <c r="C210" s="206">
        <v>44136</v>
      </c>
      <c r="D210" s="162">
        <v>262264</v>
      </c>
    </row>
    <row r="211" spans="3:4" x14ac:dyDescent="0.15">
      <c r="C211" s="206">
        <v>44166</v>
      </c>
      <c r="D211" s="162">
        <v>338444</v>
      </c>
    </row>
    <row r="212" spans="3:4" x14ac:dyDescent="0.15">
      <c r="C212" s="206">
        <v>44197</v>
      </c>
      <c r="D212" s="162">
        <v>287082</v>
      </c>
    </row>
    <row r="213" spans="3:4" x14ac:dyDescent="0.15">
      <c r="C213" s="206">
        <v>44228</v>
      </c>
      <c r="D213" s="162">
        <v>252499</v>
      </c>
    </row>
    <row r="214" spans="3:4" x14ac:dyDescent="0.15">
      <c r="C214" s="206">
        <v>44256</v>
      </c>
      <c r="D214" s="162">
        <v>330775</v>
      </c>
    </row>
    <row r="215" spans="3:4" x14ac:dyDescent="0.15">
      <c r="C215" s="206">
        <v>44287</v>
      </c>
      <c r="D215" s="162">
        <v>292939</v>
      </c>
    </row>
    <row r="216" spans="3:4" x14ac:dyDescent="0.15">
      <c r="C216" s="206">
        <v>44317</v>
      </c>
      <c r="D216" s="162">
        <v>229620</v>
      </c>
    </row>
    <row r="217" spans="3:4" x14ac:dyDescent="0.15">
      <c r="C217" s="206">
        <v>44348</v>
      </c>
      <c r="D217" s="162">
        <v>217133</v>
      </c>
    </row>
    <row r="218" spans="3:4" x14ac:dyDescent="0.15">
      <c r="C218" s="206">
        <v>44378</v>
      </c>
      <c r="D218" s="162">
        <v>204354</v>
      </c>
    </row>
    <row r="219" spans="3:4" x14ac:dyDescent="0.15">
      <c r="C219" s="206">
        <v>44409</v>
      </c>
      <c r="D219" s="162">
        <v>273720</v>
      </c>
    </row>
    <row r="220" spans="3:4" x14ac:dyDescent="0.15">
      <c r="C220" s="206">
        <v>44440</v>
      </c>
      <c r="D220" s="162">
        <v>289577</v>
      </c>
    </row>
    <row r="221" spans="3:4" x14ac:dyDescent="0.15">
      <c r="C221" s="206">
        <v>44470</v>
      </c>
      <c r="D221" s="162">
        <v>216741</v>
      </c>
    </row>
    <row r="222" spans="3:4" x14ac:dyDescent="0.15">
      <c r="C222" s="206">
        <v>44501</v>
      </c>
      <c r="D222" s="162">
        <v>296340</v>
      </c>
    </row>
    <row r="223" spans="3:4" x14ac:dyDescent="0.15">
      <c r="C223" s="206">
        <v>44531</v>
      </c>
      <c r="D223" s="162">
        <v>262509</v>
      </c>
    </row>
    <row r="224" spans="3:4" x14ac:dyDescent="0.15">
      <c r="C224" s="206">
        <v>44562</v>
      </c>
      <c r="D224" s="162">
        <v>262993</v>
      </c>
    </row>
    <row r="225" spans="3:4" x14ac:dyDescent="0.15">
      <c r="C225" s="206">
        <v>44593</v>
      </c>
      <c r="D225" s="162">
        <v>274389</v>
      </c>
    </row>
    <row r="226" spans="3:4" x14ac:dyDescent="0.15">
      <c r="C226" s="206">
        <v>44621</v>
      </c>
      <c r="D226" s="162">
        <v>280038</v>
      </c>
    </row>
    <row r="227" spans="3:4" x14ac:dyDescent="0.15">
      <c r="C227" s="206">
        <v>44652</v>
      </c>
      <c r="D227" s="162">
        <v>256188</v>
      </c>
    </row>
    <row r="228" spans="3:4" x14ac:dyDescent="0.15">
      <c r="C228" s="206">
        <v>44682</v>
      </c>
      <c r="D228" s="162">
        <v>277824</v>
      </c>
    </row>
    <row r="229" spans="3:4" x14ac:dyDescent="0.15">
      <c r="C229" s="206">
        <v>44713</v>
      </c>
      <c r="D229" s="162">
        <v>275120</v>
      </c>
    </row>
    <row r="230" spans="3:4" x14ac:dyDescent="0.15">
      <c r="C230" s="206">
        <v>44743</v>
      </c>
      <c r="D230" s="162">
        <v>215224</v>
      </c>
    </row>
    <row r="231" spans="3:4" x14ac:dyDescent="0.15">
      <c r="C231" s="206">
        <v>44774</v>
      </c>
      <c r="D231" s="162">
        <v>258575</v>
      </c>
    </row>
    <row r="232" spans="3:4" x14ac:dyDescent="0.15">
      <c r="C232" s="206">
        <v>44805</v>
      </c>
      <c r="D232" s="162">
        <v>292553</v>
      </c>
    </row>
    <row r="233" spans="3:4" x14ac:dyDescent="0.15">
      <c r="C233" s="206">
        <v>44835</v>
      </c>
      <c r="D233" s="162">
        <v>290008</v>
      </c>
    </row>
    <row r="234" spans="3:4" x14ac:dyDescent="0.15">
      <c r="C234" s="206">
        <v>44866</v>
      </c>
      <c r="D234" s="162">
        <v>272102</v>
      </c>
    </row>
    <row r="235" spans="3:4" x14ac:dyDescent="0.15">
      <c r="C235" s="206">
        <v>44896</v>
      </c>
      <c r="D235" s="162">
        <v>243946</v>
      </c>
    </row>
    <row r="236" spans="3:4" x14ac:dyDescent="0.15">
      <c r="C236" s="206">
        <v>44927</v>
      </c>
      <c r="D236" s="162">
        <v>312359</v>
      </c>
    </row>
    <row r="237" spans="3:4" x14ac:dyDescent="0.15">
      <c r="C237" s="206">
        <v>44958</v>
      </c>
      <c r="D237" s="162">
        <v>335341</v>
      </c>
    </row>
    <row r="238" spans="3:4" x14ac:dyDescent="0.15">
      <c r="C238" s="206">
        <v>44986</v>
      </c>
      <c r="D238" s="162">
        <v>308895</v>
      </c>
    </row>
    <row r="239" spans="3:4" x14ac:dyDescent="0.15">
      <c r="C239" s="206">
        <v>45017</v>
      </c>
      <c r="D239" s="162">
        <v>561448</v>
      </c>
    </row>
    <row r="240" spans="3:4" x14ac:dyDescent="0.15">
      <c r="C240" s="206">
        <v>45047</v>
      </c>
      <c r="D240" s="162">
        <v>421021</v>
      </c>
    </row>
    <row r="241" spans="3:4" x14ac:dyDescent="0.15">
      <c r="C241" s="206">
        <v>45078</v>
      </c>
      <c r="D241" s="162">
        <v>446825</v>
      </c>
    </row>
    <row r="242" spans="3:4" x14ac:dyDescent="0.15">
      <c r="C242" s="206">
        <v>45108</v>
      </c>
      <c r="D242" s="162">
        <v>446746</v>
      </c>
    </row>
    <row r="243" spans="3:4" x14ac:dyDescent="0.15">
      <c r="C243" s="206">
        <v>45139</v>
      </c>
      <c r="D243" s="162">
        <v>433684</v>
      </c>
    </row>
    <row r="244" spans="3:4" x14ac:dyDescent="0.15">
      <c r="C244" s="206">
        <v>45170</v>
      </c>
      <c r="D244" s="162">
        <v>280334</v>
      </c>
    </row>
    <row r="245" spans="3:4" x14ac:dyDescent="0.15">
      <c r="C245" s="206">
        <v>45200</v>
      </c>
      <c r="D245" s="162">
        <v>437895</v>
      </c>
    </row>
    <row r="246" spans="3:4" x14ac:dyDescent="0.15">
      <c r="C246" s="206">
        <v>45231</v>
      </c>
      <c r="D246" s="162">
        <v>410936</v>
      </c>
    </row>
    <row r="247" spans="3:4" x14ac:dyDescent="0.15">
      <c r="C247" s="206">
        <v>45261</v>
      </c>
      <c r="D247" s="162">
        <v>724837</v>
      </c>
    </row>
    <row r="248" spans="3:4" x14ac:dyDescent="0.15">
      <c r="C248" s="206">
        <v>45292</v>
      </c>
      <c r="D248" s="162">
        <v>437107</v>
      </c>
    </row>
    <row r="249" spans="3:4" x14ac:dyDescent="0.15">
      <c r="C249" s="206">
        <v>45323</v>
      </c>
      <c r="D249" s="162">
        <v>407609</v>
      </c>
    </row>
    <row r="250" spans="3:4" x14ac:dyDescent="0.15">
      <c r="C250" s="206">
        <v>45352</v>
      </c>
      <c r="D250" s="162">
        <v>315001</v>
      </c>
    </row>
    <row r="251" spans="3:4" x14ac:dyDescent="0.15">
      <c r="C251" s="206">
        <v>45383</v>
      </c>
      <c r="D251" s="162">
        <v>501881</v>
      </c>
    </row>
    <row r="252" spans="3:4" x14ac:dyDescent="0.15">
      <c r="C252" s="206">
        <v>45413</v>
      </c>
      <c r="D252" s="162">
        <v>713689</v>
      </c>
    </row>
    <row r="253" spans="3:4" x14ac:dyDescent="0.15">
      <c r="C253" s="206">
        <v>45444</v>
      </c>
      <c r="D253" s="162">
        <v>518698</v>
      </c>
    </row>
    <row r="254" spans="3:4" x14ac:dyDescent="0.15">
      <c r="C254" s="206">
        <v>45474</v>
      </c>
      <c r="D254" s="162">
        <v>578053</v>
      </c>
    </row>
    <row r="255" spans="3:4" x14ac:dyDescent="0.15">
      <c r="C255" s="206">
        <v>45505</v>
      </c>
      <c r="D255" s="162">
        <v>695519</v>
      </c>
    </row>
    <row r="256" spans="3:4" x14ac:dyDescent="0.15">
      <c r="C256" s="206">
        <v>45536</v>
      </c>
      <c r="D256" s="162">
        <v>593815</v>
      </c>
    </row>
    <row r="257" spans="3:4" x14ac:dyDescent="0.15">
      <c r="C257" s="206">
        <v>45566</v>
      </c>
      <c r="D257" s="162">
        <v>562286</v>
      </c>
    </row>
    <row r="258" spans="3:4" x14ac:dyDescent="0.15">
      <c r="C258" s="206">
        <v>45597</v>
      </c>
      <c r="D258" s="162">
        <v>633055</v>
      </c>
    </row>
    <row r="259" spans="3:4" x14ac:dyDescent="0.15">
      <c r="C259" s="206">
        <v>45627</v>
      </c>
      <c r="D259" s="162">
        <v>315699</v>
      </c>
    </row>
    <row r="260" spans="3:4" x14ac:dyDescent="0.15">
      <c r="C260" s="206">
        <v>45658</v>
      </c>
      <c r="D260" s="162">
        <v>317922</v>
      </c>
    </row>
    <row r="261" spans="3:4" x14ac:dyDescent="0.15">
      <c r="C261" s="206">
        <v>45689</v>
      </c>
      <c r="D261" s="162">
        <v>388679</v>
      </c>
    </row>
    <row r="262" spans="3:4" x14ac:dyDescent="0.15">
      <c r="C262" s="206">
        <v>45717</v>
      </c>
      <c r="D262" s="162">
        <v>319360</v>
      </c>
    </row>
    <row r="263" spans="3:4" x14ac:dyDescent="0.15">
      <c r="C263" s="206">
        <v>45748</v>
      </c>
      <c r="D263" s="162">
        <v>344716</v>
      </c>
    </row>
    <row r="264" spans="3:4" x14ac:dyDescent="0.15">
      <c r="C264" s="206">
        <v>45778</v>
      </c>
      <c r="D264" s="162">
        <v>300176</v>
      </c>
    </row>
    <row r="265" spans="3:4" x14ac:dyDescent="0.15">
      <c r="C265" s="206">
        <v>45809</v>
      </c>
      <c r="D265" s="162">
        <v>342103</v>
      </c>
    </row>
    <row r="266" spans="3:4" x14ac:dyDescent="0.15">
      <c r="C266" s="206">
        <v>45839</v>
      </c>
      <c r="D266" s="162">
        <v>477852</v>
      </c>
    </row>
    <row r="267" spans="3:4" x14ac:dyDescent="0.15">
      <c r="C267" s="206">
        <v>45870</v>
      </c>
      <c r="D267" s="162">
        <v>628355</v>
      </c>
    </row>
    <row r="268" spans="3:4" x14ac:dyDescent="0.15">
      <c r="C268" s="206">
        <v>45901</v>
      </c>
      <c r="D268" s="162">
        <v>444320</v>
      </c>
    </row>
    <row r="269" spans="3:4" x14ac:dyDescent="0.15">
      <c r="C269" s="206">
        <v>45931</v>
      </c>
      <c r="D269" s="162">
        <v>553898</v>
      </c>
    </row>
    <row r="274" spans="3:8" x14ac:dyDescent="0.15">
      <c r="C274" s="232" t="s">
        <v>764</v>
      </c>
      <c r="D274" s="232" t="s">
        <v>766</v>
      </c>
      <c r="E274" s="232" t="s">
        <v>767</v>
      </c>
      <c r="F274" s="232" t="s">
        <v>768</v>
      </c>
      <c r="G274" s="232" t="s">
        <v>765</v>
      </c>
      <c r="H274" s="232"/>
    </row>
    <row r="275" spans="3:8" x14ac:dyDescent="0.15">
      <c r="C275" s="233" t="s">
        <v>771</v>
      </c>
      <c r="D275" s="234" t="s">
        <v>773</v>
      </c>
      <c r="E275" s="232" t="s">
        <v>774</v>
      </c>
      <c r="F275" s="235" t="s">
        <v>775</v>
      </c>
      <c r="G275" s="233" t="s">
        <v>772</v>
      </c>
      <c r="H275" s="233"/>
    </row>
    <row r="276" spans="3:8" x14ac:dyDescent="0.15">
      <c r="C276" s="233" t="s">
        <v>777</v>
      </c>
      <c r="D276" s="234" t="s">
        <v>779</v>
      </c>
      <c r="E276" s="232" t="s">
        <v>774</v>
      </c>
      <c r="F276" s="235" t="s">
        <v>780</v>
      </c>
      <c r="G276" s="233" t="s">
        <v>778</v>
      </c>
      <c r="H276" s="233"/>
    </row>
    <row r="277" spans="3:8" x14ac:dyDescent="0.15">
      <c r="C277" s="233" t="s">
        <v>784</v>
      </c>
      <c r="D277" s="234" t="s">
        <v>786</v>
      </c>
      <c r="E277" s="232" t="s">
        <v>787</v>
      </c>
      <c r="F277" s="232" t="s">
        <v>788</v>
      </c>
      <c r="G277" s="233" t="s">
        <v>785</v>
      </c>
      <c r="H277" s="233"/>
    </row>
    <row r="278" spans="3:8" x14ac:dyDescent="0.15">
      <c r="C278" s="233" t="s">
        <v>790</v>
      </c>
      <c r="D278" s="234" t="s">
        <v>792</v>
      </c>
      <c r="E278" s="232" t="s">
        <v>787</v>
      </c>
      <c r="F278" s="236" t="s">
        <v>793</v>
      </c>
      <c r="G278" s="233" t="s">
        <v>791</v>
      </c>
      <c r="H278" s="233"/>
    </row>
    <row r="279" spans="3:8" x14ac:dyDescent="0.15">
      <c r="C279" s="233" t="s">
        <v>795</v>
      </c>
      <c r="D279" s="234" t="s">
        <v>797</v>
      </c>
      <c r="E279" s="232" t="s">
        <v>798</v>
      </c>
      <c r="F279" s="232" t="s">
        <v>799</v>
      </c>
      <c r="G279" s="233" t="s">
        <v>796</v>
      </c>
      <c r="H279" s="233"/>
    </row>
    <row r="280" spans="3:8" x14ac:dyDescent="0.15">
      <c r="C280" s="233" t="s">
        <v>800</v>
      </c>
      <c r="D280" s="234" t="s">
        <v>802</v>
      </c>
      <c r="E280" s="232" t="s">
        <v>803</v>
      </c>
      <c r="F280" s="235" t="s">
        <v>775</v>
      </c>
      <c r="G280" s="233" t="s">
        <v>801</v>
      </c>
      <c r="H280" s="238"/>
    </row>
    <row r="281" spans="3:8" x14ac:dyDescent="0.15">
      <c r="C281" s="233" t="s">
        <v>804</v>
      </c>
      <c r="D281" s="234" t="s">
        <v>806</v>
      </c>
      <c r="E281" s="232" t="s">
        <v>807</v>
      </c>
      <c r="F281" s="235" t="s">
        <v>775</v>
      </c>
      <c r="G281" s="233" t="s">
        <v>805</v>
      </c>
      <c r="H281" s="238"/>
    </row>
    <row r="282" spans="3:8" x14ac:dyDescent="0.15">
      <c r="C282" s="233" t="s">
        <v>891</v>
      </c>
      <c r="D282" s="234" t="s">
        <v>892</v>
      </c>
      <c r="E282" s="232" t="s">
        <v>774</v>
      </c>
      <c r="F282" s="235" t="s">
        <v>775</v>
      </c>
      <c r="G282" s="238" t="s">
        <v>893</v>
      </c>
      <c r="H282" s="238"/>
    </row>
    <row r="283" spans="3:8" x14ac:dyDescent="0.15">
      <c r="C283" s="233" t="s">
        <v>808</v>
      </c>
      <c r="D283" s="234" t="s">
        <v>810</v>
      </c>
      <c r="E283" s="232" t="s">
        <v>774</v>
      </c>
      <c r="F283" s="235" t="s">
        <v>775</v>
      </c>
      <c r="G283" s="233" t="s">
        <v>809</v>
      </c>
      <c r="H283" s="238"/>
    </row>
    <row r="284" spans="3:8" x14ac:dyDescent="0.15">
      <c r="C284" s="233" t="s">
        <v>811</v>
      </c>
      <c r="D284" s="234" t="s">
        <v>813</v>
      </c>
      <c r="E284" s="232" t="s">
        <v>774</v>
      </c>
      <c r="F284" s="235" t="s">
        <v>775</v>
      </c>
      <c r="G284" s="233" t="s">
        <v>812</v>
      </c>
      <c r="H284" s="238"/>
    </row>
    <row r="285" spans="3:8" x14ac:dyDescent="0.15">
      <c r="C285" s="233" t="s">
        <v>814</v>
      </c>
      <c r="D285" s="234" t="s">
        <v>816</v>
      </c>
      <c r="E285" s="232" t="s">
        <v>774</v>
      </c>
      <c r="F285" s="237" t="s">
        <v>817</v>
      </c>
      <c r="G285" s="233" t="s">
        <v>815</v>
      </c>
      <c r="H285" s="238"/>
    </row>
    <row r="286" spans="3:8" x14ac:dyDescent="0.15">
      <c r="C286" s="233" t="s">
        <v>818</v>
      </c>
      <c r="D286" s="234" t="s">
        <v>820</v>
      </c>
      <c r="E286" s="232" t="s">
        <v>821</v>
      </c>
      <c r="F286" s="235" t="s">
        <v>775</v>
      </c>
      <c r="G286" s="233" t="s">
        <v>819</v>
      </c>
      <c r="H286" s="238"/>
    </row>
    <row r="287" spans="3:8" x14ac:dyDescent="0.15">
      <c r="C287" s="238" t="s">
        <v>822</v>
      </c>
      <c r="D287" s="238" t="s">
        <v>894</v>
      </c>
      <c r="E287" s="232" t="s">
        <v>798</v>
      </c>
      <c r="F287" s="236" t="s">
        <v>793</v>
      </c>
      <c r="G287" s="233" t="s">
        <v>823</v>
      </c>
      <c r="H287" s="238"/>
    </row>
    <row r="288" spans="3:8" x14ac:dyDescent="0.15">
      <c r="C288" s="238" t="s">
        <v>824</v>
      </c>
      <c r="D288" s="238" t="s">
        <v>894</v>
      </c>
      <c r="E288" s="232" t="s">
        <v>774</v>
      </c>
      <c r="F288" s="235" t="s">
        <v>775</v>
      </c>
      <c r="G288" s="233" t="s">
        <v>825</v>
      </c>
      <c r="H288" s="238"/>
    </row>
    <row r="290" spans="1:26" s="226" customFormat="1" x14ac:dyDescent="0.15">
      <c r="A290" s="227">
        <v>3</v>
      </c>
      <c r="B290" s="1"/>
      <c r="C290" s="33" t="s">
        <v>895</v>
      </c>
      <c r="Z290" s="1"/>
    </row>
    <row r="292" spans="1:26" x14ac:dyDescent="0.15">
      <c r="D292" s="228">
        <v>21</v>
      </c>
      <c r="E292" s="228">
        <v>22</v>
      </c>
      <c r="F292" s="228">
        <f t="shared" ref="F292:M292" si="34">E292+1</f>
        <v>23</v>
      </c>
      <c r="G292" s="228">
        <f t="shared" si="34"/>
        <v>24</v>
      </c>
      <c r="H292" s="228">
        <f t="shared" si="34"/>
        <v>25</v>
      </c>
      <c r="I292" s="229">
        <f t="shared" si="34"/>
        <v>26</v>
      </c>
      <c r="J292" s="229">
        <f t="shared" si="34"/>
        <v>27</v>
      </c>
      <c r="K292" s="229">
        <f t="shared" si="34"/>
        <v>28</v>
      </c>
      <c r="L292" s="229">
        <f t="shared" si="34"/>
        <v>29</v>
      </c>
      <c r="M292" s="229">
        <f t="shared" si="34"/>
        <v>30</v>
      </c>
    </row>
    <row r="293" spans="1:26" x14ac:dyDescent="0.15">
      <c r="C293" s="1" t="s">
        <v>896</v>
      </c>
      <c r="D293" s="118">
        <f>'Revenue Build'!F80</f>
        <v>1.4203695652173913E-2</v>
      </c>
      <c r="E293" s="118">
        <f>'Revenue Build'!G80</f>
        <v>1.3475301204819276E-2</v>
      </c>
      <c r="F293" s="118">
        <f>'Revenue Build'!H80</f>
        <v>1.9433333333333334E-2</v>
      </c>
      <c r="G293" s="118">
        <f>'Revenue Build'!I80</f>
        <v>1.5522171945701357E-2</v>
      </c>
      <c r="H293" s="118">
        <f>'Revenue Build'!J80</f>
        <v>1.4079661016949152E-2</v>
      </c>
      <c r="I293" s="118">
        <f>'Revenue Build'!K80</f>
        <v>1.373066267585183E-2</v>
      </c>
      <c r="J293" s="118">
        <f>'Revenue Build'!L80</f>
        <v>1.2813314767508828E-2</v>
      </c>
      <c r="K293" s="118">
        <f>'Revenue Build'!M80</f>
        <v>1.1447161927343354E-2</v>
      </c>
      <c r="L293" s="118">
        <f>'Revenue Build'!N80</f>
        <v>9.9848428459241977E-3</v>
      </c>
      <c r="M293" s="118">
        <f>'Revenue Build'!O80</f>
        <v>8.7546698328758617E-3</v>
      </c>
    </row>
    <row r="295" spans="1:26" x14ac:dyDescent="0.15">
      <c r="D295" s="228">
        <v>25</v>
      </c>
      <c r="E295" s="229">
        <f>D295+1</f>
        <v>26</v>
      </c>
      <c r="F295" s="229">
        <f>E295+1</f>
        <v>27</v>
      </c>
      <c r="G295" s="229">
        <f>F295+1</f>
        <v>28</v>
      </c>
      <c r="H295" s="229">
        <f>G295+1</f>
        <v>29</v>
      </c>
      <c r="I295" s="229">
        <f>H295+1</f>
        <v>30</v>
      </c>
    </row>
    <row r="296" spans="1:26" x14ac:dyDescent="0.15">
      <c r="C296" s="1" t="s">
        <v>870</v>
      </c>
      <c r="D296" s="143">
        <f>(-'3FS'!I26)*0.000001</f>
        <v>1.0585769999999999</v>
      </c>
      <c r="E296" s="143">
        <f>(-'3FS'!J26)*0.000001</f>
        <v>0.78702742871742948</v>
      </c>
      <c r="F296" s="143">
        <f>(-'3FS'!K26)*0.000001</f>
        <v>0.87703844099667727</v>
      </c>
      <c r="G296" s="143">
        <f>(-'3FS'!L26)*0.000001</f>
        <v>0.97556707139289423</v>
      </c>
      <c r="H296" s="143">
        <f>(-'3FS'!M26)*0.000001</f>
        <v>1.1263677882924157</v>
      </c>
      <c r="I296" s="143">
        <f>(-'3FS'!N26)*0.000001</f>
        <v>1.3734853290253468</v>
      </c>
    </row>
    <row r="297" spans="1:26" x14ac:dyDescent="0.15">
      <c r="C297" s="1" t="s">
        <v>897</v>
      </c>
      <c r="D297" s="118">
        <f>-'IS &amp; BS Projections'!J25</f>
        <v>0.19602566277224012</v>
      </c>
      <c r="E297" s="118">
        <f>-'IS &amp; BS Projections'!K25</f>
        <v>0.10141426632845699</v>
      </c>
      <c r="F297" s="118">
        <f>-'IS &amp; BS Projections'!L25</f>
        <v>0.10106850688205551</v>
      </c>
      <c r="G297" s="118">
        <f>-'IS &amp; BS Projections'!M25</f>
        <v>0.10031679546968827</v>
      </c>
      <c r="H297" s="118">
        <f>-'IS &amp; BS Projections'!N25</f>
        <v>9.9727879460056942E-2</v>
      </c>
      <c r="I297" s="118">
        <f>-'IS &amp; BS Projections'!O25</f>
        <v>9.9762571198559649E-2</v>
      </c>
    </row>
    <row r="299" spans="1:26" x14ac:dyDescent="0.15">
      <c r="D299" s="228">
        <v>25</v>
      </c>
      <c r="E299" s="229">
        <f>D299+1</f>
        <v>26</v>
      </c>
      <c r="F299" s="229">
        <f>E299+1</f>
        <v>27</v>
      </c>
      <c r="G299" s="229">
        <f>F299+1</f>
        <v>28</v>
      </c>
      <c r="H299" s="229">
        <f>G299+1</f>
        <v>29</v>
      </c>
      <c r="I299" s="229">
        <f>H299+1</f>
        <v>30</v>
      </c>
    </row>
    <row r="300" spans="1:26" x14ac:dyDescent="0.15">
      <c r="C300" s="1" t="s">
        <v>898</v>
      </c>
      <c r="D300" s="143">
        <f>('Revenue Build'!J65)*0.000001</f>
        <v>3.3228</v>
      </c>
      <c r="E300" s="143">
        <f>('Revenue Build'!K65)*0.000001</f>
        <v>3.356914381188707</v>
      </c>
      <c r="F300" s="143">
        <f>('Revenue Build'!L65)*0.000001</f>
        <v>3.7740862649983908</v>
      </c>
      <c r="G300" s="143">
        <f>('Revenue Build'!M65)*0.000001</f>
        <v>4.6717984195604352</v>
      </c>
      <c r="H300" s="143">
        <f>('Revenue Build'!N65)*0.000001</f>
        <v>6.2619337810055553</v>
      </c>
      <c r="I300" s="143">
        <f>('Revenue Build'!O65)*0.000001</f>
        <v>8.9965258562381578</v>
      </c>
    </row>
    <row r="301" spans="1:26" x14ac:dyDescent="0.15">
      <c r="C301" s="1" t="s">
        <v>899</v>
      </c>
      <c r="D301" s="143">
        <f>'Revenue Build'!J68</f>
        <v>94.383433416319917</v>
      </c>
      <c r="E301" s="143">
        <f>'Revenue Build'!K68</f>
        <v>95.591772002594638</v>
      </c>
      <c r="F301" s="143">
        <f>'Revenue Build'!L68</f>
        <v>100.4292781509974</v>
      </c>
      <c r="G301" s="143">
        <f>'Revenue Build'!M68</f>
        <v>110.38098948661101</v>
      </c>
      <c r="H301" s="143">
        <f>'Revenue Build'!N68</f>
        <v>125.35089472813941</v>
      </c>
      <c r="I301" s="143">
        <f>'Revenue Build'!O68</f>
        <v>146.155425693095</v>
      </c>
    </row>
    <row r="303" spans="1:26" x14ac:dyDescent="0.15">
      <c r="D303" s="228">
        <v>21</v>
      </c>
      <c r="E303" s="228"/>
      <c r="F303" s="228"/>
      <c r="G303" s="228"/>
      <c r="H303" s="228">
        <v>25</v>
      </c>
      <c r="I303" s="228"/>
      <c r="J303" s="228"/>
      <c r="K303" s="228"/>
    </row>
    <row r="304" spans="1:26" x14ac:dyDescent="0.15">
      <c r="C304" s="1" t="s">
        <v>900</v>
      </c>
      <c r="D304" s="143">
        <f>-('3FS'!E32)*0.000001</f>
        <v>4.7628750000000002</v>
      </c>
      <c r="E304" s="143"/>
      <c r="F304" s="143"/>
      <c r="G304" s="143"/>
      <c r="H304" s="143">
        <f>-('3FS'!I32)*0.000001</f>
        <v>5.7251799999999999</v>
      </c>
    </row>
    <row r="307" spans="3:8" x14ac:dyDescent="0.15">
      <c r="C307" s="1" t="s">
        <v>40</v>
      </c>
      <c r="D307" s="143">
        <f>'3FS'!E25</f>
        <v>-1267924</v>
      </c>
      <c r="E307" s="143">
        <f>'3FS'!F25</f>
        <v>-629880</v>
      </c>
      <c r="F307" s="143">
        <f>'3FS'!G25</f>
        <v>-295146</v>
      </c>
      <c r="G307" s="143">
        <f>'3FS'!H25</f>
        <v>-897707</v>
      </c>
      <c r="H307" s="143">
        <f>'3FS'!I25</f>
        <v>-1020230</v>
      </c>
    </row>
    <row r="308" spans="3:8" x14ac:dyDescent="0.15">
      <c r="C308" s="1" t="s">
        <v>41</v>
      </c>
      <c r="D308" s="143">
        <f>'3FS'!E26</f>
        <v>-663690</v>
      </c>
      <c r="E308" s="143">
        <f>'3FS'!F26</f>
        <v>-510089</v>
      </c>
      <c r="F308" s="143">
        <f>'3FS'!G26</f>
        <v>-332312</v>
      </c>
      <c r="G308" s="143">
        <f>'3FS'!H26</f>
        <v>-654444</v>
      </c>
      <c r="H308" s="143">
        <f>'3FS'!I26</f>
        <v>-1058577</v>
      </c>
    </row>
    <row r="309" spans="3:8" x14ac:dyDescent="0.15">
      <c r="C309" s="1" t="s">
        <v>42</v>
      </c>
      <c r="D309" s="143">
        <f>'3FS'!E27</f>
        <v>-909392</v>
      </c>
      <c r="E309" s="143">
        <f>'3FS'!F27</f>
        <v>-1600586</v>
      </c>
      <c r="F309" s="143">
        <f>'3FS'!G27</f>
        <v>-1074308</v>
      </c>
      <c r="G309" s="143">
        <f>'3FS'!H27</f>
        <v>-1300257</v>
      </c>
      <c r="H309" s="143">
        <f>'3FS'!I27</f>
        <v>-1619642</v>
      </c>
    </row>
    <row r="310" spans="3:8" x14ac:dyDescent="0.15">
      <c r="C310" s="1" t="s">
        <v>43</v>
      </c>
      <c r="D310" s="143">
        <f>'3FS'!E28</f>
        <v>-1291561</v>
      </c>
      <c r="E310" s="143">
        <f>'3FS'!F28</f>
        <v>-2326354</v>
      </c>
      <c r="F310" s="143">
        <f>'3FS'!G28</f>
        <v>-1324541</v>
      </c>
      <c r="G310" s="143">
        <f>'3FS'!H28</f>
        <v>-1468252</v>
      </c>
      <c r="H310" s="143">
        <f>'3FS'!I28</f>
        <v>-1670605</v>
      </c>
    </row>
    <row r="311" spans="3:8" x14ac:dyDescent="0.15">
      <c r="C311" s="1" t="s">
        <v>44</v>
      </c>
      <c r="D311" s="143">
        <f>'3FS'!E29</f>
        <v>0</v>
      </c>
      <c r="E311" s="143">
        <f>'3FS'!F29</f>
        <v>0</v>
      </c>
      <c r="F311" s="143">
        <f>'3FS'!G29</f>
        <v>34675</v>
      </c>
      <c r="G311" s="143">
        <f>'3FS'!H29</f>
        <v>0</v>
      </c>
      <c r="H311" s="143">
        <f>'3FS'!I29</f>
        <v>0</v>
      </c>
    </row>
    <row r="312" spans="3:8" x14ac:dyDescent="0.15">
      <c r="C312" s="1" t="s">
        <v>45</v>
      </c>
      <c r="D312" s="143">
        <f>'3FS'!E30</f>
        <v>-630308</v>
      </c>
      <c r="E312" s="143">
        <f>'3FS'!F30</f>
        <v>-717405</v>
      </c>
      <c r="F312" s="143">
        <f>'3FS'!G30</f>
        <v>-10260</v>
      </c>
      <c r="G312" s="143">
        <f>'3FS'!H30</f>
        <v>-28203</v>
      </c>
      <c r="H312" s="143">
        <f>'3FS'!I30</f>
        <v>-363406</v>
      </c>
    </row>
    <row r="313" spans="3:8" x14ac:dyDescent="0.15">
      <c r="C313" s="1" t="s">
        <v>46</v>
      </c>
      <c r="D313" s="143">
        <f>'3FS'!E31</f>
        <v>0</v>
      </c>
      <c r="E313" s="143">
        <f>'3FS'!F31</f>
        <v>0</v>
      </c>
      <c r="F313" s="143">
        <f>'3FS'!G31</f>
        <v>0</v>
      </c>
      <c r="G313" s="143">
        <f>'3FS'!H31</f>
        <v>20270</v>
      </c>
      <c r="H313" s="143">
        <f>'3FS'!I31</f>
        <v>7280</v>
      </c>
    </row>
    <row r="314" spans="3:8" x14ac:dyDescent="0.15">
      <c r="C314" s="1" t="s">
        <v>47</v>
      </c>
      <c r="D314" s="143">
        <f>'3FS'!E32</f>
        <v>-4762875</v>
      </c>
      <c r="E314" s="143">
        <f>'3FS'!F32</f>
        <v>-5784314</v>
      </c>
      <c r="F314" s="143">
        <f>'3FS'!G32</f>
        <v>-3001892</v>
      </c>
      <c r="G314" s="143">
        <f>'3FS'!H32</f>
        <v>-4328593</v>
      </c>
      <c r="H314" s="143">
        <f>'3FS'!I32</f>
        <v>-5725180</v>
      </c>
    </row>
    <row r="316" spans="3:8" x14ac:dyDescent="0.15">
      <c r="D316" s="228">
        <v>21</v>
      </c>
    </row>
    <row r="317" spans="3:8" x14ac:dyDescent="0.15">
      <c r="C317" s="1" t="s">
        <v>901</v>
      </c>
      <c r="D317" s="487">
        <f>D308/D314</f>
        <v>0.13934650814896465</v>
      </c>
    </row>
    <row r="318" spans="3:8" x14ac:dyDescent="0.15">
      <c r="C318" s="1" t="s">
        <v>860</v>
      </c>
      <c r="D318" s="487">
        <f>1-D317</f>
        <v>0.86065349185103535</v>
      </c>
    </row>
    <row r="320" spans="3:8" x14ac:dyDescent="0.15">
      <c r="D320" s="228">
        <v>25</v>
      </c>
    </row>
    <row r="321" spans="3:9" x14ac:dyDescent="0.15">
      <c r="C321" s="1" t="s">
        <v>901</v>
      </c>
      <c r="D321" s="487">
        <f>H308/H314</f>
        <v>0.18489846607442911</v>
      </c>
    </row>
    <row r="322" spans="3:9" x14ac:dyDescent="0.15">
      <c r="C322" s="1" t="s">
        <v>860</v>
      </c>
      <c r="D322" s="487">
        <f>1-D321</f>
        <v>0.81510153392557094</v>
      </c>
    </row>
    <row r="324" spans="3:9" x14ac:dyDescent="0.15">
      <c r="D324" s="228">
        <v>21</v>
      </c>
      <c r="E324" s="228">
        <f>D324+1</f>
        <v>22</v>
      </c>
      <c r="F324" s="228">
        <f>E324+1</f>
        <v>23</v>
      </c>
      <c r="G324" s="228">
        <f>F324+1</f>
        <v>24</v>
      </c>
      <c r="H324" s="228">
        <f>G324+1</f>
        <v>25</v>
      </c>
    </row>
    <row r="325" spans="3:9" x14ac:dyDescent="0.15">
      <c r="C325" s="1" t="s">
        <v>900</v>
      </c>
      <c r="D325" s="50">
        <f>(-D314)*0.000001</f>
        <v>4.7628750000000002</v>
      </c>
      <c r="E325" s="50">
        <f>(-E314)*0.000001</f>
        <v>5.7843140000000002</v>
      </c>
      <c r="F325" s="50">
        <f>(-F314)*0.000001</f>
        <v>3.0018919999999998</v>
      </c>
      <c r="G325" s="50">
        <f>(-G314)*0.000001</f>
        <v>4.3285929999999997</v>
      </c>
      <c r="H325" s="50">
        <f>(-H314)*0.000001</f>
        <v>5.7251799999999999</v>
      </c>
    </row>
    <row r="326" spans="3:9" x14ac:dyDescent="0.15">
      <c r="C326" s="1" t="s">
        <v>902</v>
      </c>
      <c r="D326" s="118">
        <f>-'3FS'!E32/'3FS'!E15</f>
        <v>0.60755257546930941</v>
      </c>
      <c r="E326" s="118">
        <f>-'3FS'!F32/'3FS'!F15</f>
        <v>1.8108758102164919</v>
      </c>
      <c r="F326" s="118">
        <f>-'3FS'!G32/'3FS'!G15</f>
        <v>0.96574070827179281</v>
      </c>
      <c r="G326" s="118">
        <f>-'3FS'!H32/'3FS'!H15</f>
        <v>0.65944158068795566</v>
      </c>
      <c r="H326" s="118">
        <f>-'3FS'!I32/'3FS'!I15</f>
        <v>0.79723170863315618</v>
      </c>
    </row>
    <row r="328" spans="3:9" x14ac:dyDescent="0.15">
      <c r="D328" s="228">
        <v>25</v>
      </c>
      <c r="E328" s="229">
        <f>D328+1</f>
        <v>26</v>
      </c>
      <c r="F328" s="229">
        <f>E328+1</f>
        <v>27</v>
      </c>
      <c r="G328" s="229">
        <f>F328+1</f>
        <v>28</v>
      </c>
      <c r="H328" s="229">
        <f>G328+1</f>
        <v>29</v>
      </c>
      <c r="I328" s="229">
        <f>H328+1</f>
        <v>30</v>
      </c>
    </row>
    <row r="329" spans="3:9" x14ac:dyDescent="0.15">
      <c r="C329" s="1" t="s">
        <v>903</v>
      </c>
      <c r="D329" s="50">
        <f>(-'3FS'!I28)*0.000001</f>
        <v>1.6706049999999999</v>
      </c>
      <c r="E329" s="50">
        <f>(-'3FS'!J28)*0.000001</f>
        <v>1.5157711671452656</v>
      </c>
      <c r="F329" s="50">
        <f>(-'3FS'!K28)*0.000001</f>
        <v>1.6838196683132787</v>
      </c>
      <c r="G329" s="50">
        <f>(-'3FS'!L28)*0.000001</f>
        <v>1.8660886578996165</v>
      </c>
      <c r="H329" s="50">
        <f>(-'3FS'!M28)*0.000001</f>
        <v>2.1464823307123964</v>
      </c>
      <c r="I329" s="50">
        <f>(-'3FS'!N28)*0.000001</f>
        <v>2.6073774642315626</v>
      </c>
    </row>
    <row r="330" spans="3:9" x14ac:dyDescent="0.15">
      <c r="C330" s="1" t="s">
        <v>904</v>
      </c>
      <c r="D330" s="139">
        <f>D329/('Revenue Build'!J53/1000)</f>
        <v>47.691506190230967</v>
      </c>
      <c r="E330" s="164">
        <f>E329/('Revenue Build'!K53/1000)</f>
        <v>43.267456901426947</v>
      </c>
      <c r="F330" s="164">
        <f>F329/('Revenue Build'!L53/1000)</f>
        <v>44.922237794365948</v>
      </c>
      <c r="G330" s="164">
        <f>G329/('Revenue Build'!M53/1000)</f>
        <v>44.227126766281685</v>
      </c>
      <c r="H330" s="164">
        <f>H329/('Revenue Build'!N53/1000)</f>
        <v>43.137636212441798</v>
      </c>
      <c r="I330" s="164">
        <f>I329/('Revenue Build'!O53/1000)</f>
        <v>42.572247044437802</v>
      </c>
    </row>
    <row r="332" spans="3:9" x14ac:dyDescent="0.15">
      <c r="D332" s="228">
        <v>25</v>
      </c>
      <c r="E332" s="229">
        <f>D332+1</f>
        <v>26</v>
      </c>
      <c r="F332" s="229">
        <f>E332+1</f>
        <v>27</v>
      </c>
      <c r="G332" s="229">
        <f>F332+1</f>
        <v>28</v>
      </c>
      <c r="H332" s="229">
        <f>G332+1</f>
        <v>29</v>
      </c>
      <c r="I332" s="229">
        <f>H332+1</f>
        <v>30</v>
      </c>
    </row>
    <row r="333" spans="3:9" x14ac:dyDescent="0.15">
      <c r="C333" s="1" t="s">
        <v>58</v>
      </c>
      <c r="D333" s="118">
        <f>'3FS'!I47</f>
        <v>0.25296306740051455</v>
      </c>
      <c r="E333" s="118">
        <f>'3FS'!J47</f>
        <v>0.31211421445093018</v>
      </c>
      <c r="F333" s="118">
        <f>'3FS'!K47</f>
        <v>0.31222022783544584</v>
      </c>
      <c r="G333" s="118">
        <f>'3FS'!L47</f>
        <v>0.31446682153580474</v>
      </c>
      <c r="H333" s="118">
        <f>'3FS'!M47</f>
        <v>0.3146026646677052</v>
      </c>
      <c r="I333" s="118">
        <f>'3FS'!N47</f>
        <v>0.31267447195802034</v>
      </c>
    </row>
    <row r="334" spans="3:9" x14ac:dyDescent="0.15">
      <c r="C334" s="1" t="s">
        <v>61</v>
      </c>
      <c r="D334" s="118">
        <f>'3FS'!I52</f>
        <v>0.17838365482692958</v>
      </c>
      <c r="E334" s="118">
        <f>'3FS'!J52</f>
        <v>0.28709184759463624</v>
      </c>
      <c r="F334" s="118">
        <f>'3FS'!K52</f>
        <v>0.28896723952164372</v>
      </c>
      <c r="G334" s="118">
        <f>'3FS'!L52</f>
        <v>0.29209895124646801</v>
      </c>
      <c r="H334" s="118">
        <f>'3FS'!M52</f>
        <v>0.29771455606323494</v>
      </c>
      <c r="I334" s="118">
        <f>'3FS'!N52</f>
        <v>0.29983787382425181</v>
      </c>
    </row>
    <row r="336" spans="3:9" x14ac:dyDescent="0.15">
      <c r="D336" s="228">
        <v>21</v>
      </c>
      <c r="E336" s="228">
        <f>D336+1</f>
        <v>22</v>
      </c>
      <c r="F336" s="228">
        <f>E336+1</f>
        <v>23</v>
      </c>
      <c r="G336" s="228">
        <f>F336+1</f>
        <v>24</v>
      </c>
      <c r="H336" s="228">
        <f>G336+1</f>
        <v>25</v>
      </c>
    </row>
    <row r="337" spans="3:8" x14ac:dyDescent="0.15">
      <c r="C337" s="1" t="s">
        <v>905</v>
      </c>
      <c r="D337" s="118">
        <f>'Revenue Build'!F22/'Revenue Build'!F28</f>
        <v>6.2757475504176652E-2</v>
      </c>
      <c r="E337" s="118">
        <f>'Revenue Build'!G22/'Revenue Build'!G28</f>
        <v>0.37040203018565515</v>
      </c>
      <c r="F337" s="118">
        <f>'Revenue Build'!H22/'Revenue Build'!H28</f>
        <v>0.43623253717890942</v>
      </c>
      <c r="G337" s="118">
        <f>'Revenue Build'!I22/'Revenue Build'!I28</f>
        <v>0.35146252285191953</v>
      </c>
      <c r="H337" s="118">
        <f>'Revenue Build'!J22/'Revenue Build'!J28</f>
        <v>0.39380604912827938</v>
      </c>
    </row>
    <row r="338" spans="3:8" x14ac:dyDescent="0.15">
      <c r="C338" s="1" t="s">
        <v>860</v>
      </c>
      <c r="D338" s="118">
        <f>1-D337</f>
        <v>0.93724252449582335</v>
      </c>
      <c r="E338" s="118">
        <f t="shared" ref="E338:H338" si="35">1-E337</f>
        <v>0.62959796981434479</v>
      </c>
      <c r="F338" s="118">
        <f t="shared" si="35"/>
        <v>0.56376746282109058</v>
      </c>
      <c r="G338" s="118">
        <f t="shared" si="35"/>
        <v>0.64853747714808052</v>
      </c>
      <c r="H338" s="118">
        <f t="shared" si="35"/>
        <v>0.60619395087172068</v>
      </c>
    </row>
    <row r="340" spans="3:8" x14ac:dyDescent="0.15">
      <c r="C340" s="1" t="s">
        <v>906</v>
      </c>
      <c r="D340" s="644">
        <v>1.34</v>
      </c>
    </row>
    <row r="341" spans="3:8" x14ac:dyDescent="0.15">
      <c r="C341" s="1" t="s">
        <v>907</v>
      </c>
      <c r="D341" s="1">
        <v>10</v>
      </c>
    </row>
    <row r="359" spans="1:26" s="226" customFormat="1" x14ac:dyDescent="0.15">
      <c r="A359" s="227">
        <v>4</v>
      </c>
      <c r="B359" s="1"/>
      <c r="C359" s="33" t="s">
        <v>908</v>
      </c>
      <c r="Z359" s="1"/>
    </row>
    <row r="360" spans="1:26" x14ac:dyDescent="0.15">
      <c r="C360" s="1" t="s">
        <v>909</v>
      </c>
    </row>
    <row r="361" spans="1:26" x14ac:dyDescent="0.15">
      <c r="D361" s="1" t="s">
        <v>910</v>
      </c>
      <c r="E361" s="509">
        <v>0.55820000000000003</v>
      </c>
    </row>
    <row r="362" spans="1:26" x14ac:dyDescent="0.15">
      <c r="D362" s="1" t="s">
        <v>911</v>
      </c>
      <c r="E362" s="509">
        <v>0.15989999999999999</v>
      </c>
    </row>
    <row r="363" spans="1:26" x14ac:dyDescent="0.15">
      <c r="D363" s="1" t="s">
        <v>912</v>
      </c>
      <c r="E363" s="509">
        <v>0.28179999999999999</v>
      </c>
    </row>
    <row r="364" spans="1:26" x14ac:dyDescent="0.15">
      <c r="D364" s="1" t="s">
        <v>913</v>
      </c>
      <c r="E364" s="509">
        <f>SUM(E361:E363)</f>
        <v>0.99990000000000001</v>
      </c>
    </row>
  </sheetData>
  <mergeCells count="1">
    <mergeCell ref="U79:V79"/>
  </mergeCells>
  <conditionalFormatting sqref="D361">
    <cfRule type="expression" dxfId="14" priority="2">
      <formula>" =AND(ISFORMULA(A1), ISNUMBER(SEARCH(""!"", FORMULATEXT(A1))))"</formula>
    </cfRule>
    <cfRule type="expression" dxfId="13" priority="3">
      <formula>AND(NOT(_xlfn.ISFORMULA(A1)), ISNUMBER(A1))</formula>
    </cfRule>
  </conditionalFormatting>
  <conditionalFormatting sqref="E361:E364">
    <cfRule type="expression" dxfId="12" priority="1">
      <formula>AND(NOT(_xlfn.ISFORMULA(A1)), ISNUMBER(A1))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962AC-7C38-4EE7-B18B-44BEF60C283D}">
  <dimension ref="A1:J199"/>
  <sheetViews>
    <sheetView zoomScale="69" zoomScaleNormal="124" workbookViewId="0">
      <selection activeCell="F156" sqref="F156"/>
    </sheetView>
  </sheetViews>
  <sheetFormatPr baseColWidth="10" defaultColWidth="8.83203125" defaultRowHeight="15" x14ac:dyDescent="0.2"/>
  <cols>
    <col min="1" max="1" width="32.6640625" customWidth="1"/>
    <col min="2" max="4" width="16.5" customWidth="1"/>
    <col min="5" max="5" width="23" customWidth="1"/>
    <col min="6" max="10" width="16.5" customWidth="1"/>
  </cols>
  <sheetData>
    <row r="1" spans="1:10" ht="18" x14ac:dyDescent="0.2">
      <c r="A1" s="813" t="s">
        <v>1333</v>
      </c>
    </row>
    <row r="2" spans="1:10" x14ac:dyDescent="0.2">
      <c r="A2" s="812" t="s">
        <v>1332</v>
      </c>
    </row>
    <row r="3" spans="1:10" x14ac:dyDescent="0.2">
      <c r="A3" s="811" t="s">
        <v>26</v>
      </c>
    </row>
    <row r="5" spans="1:10" x14ac:dyDescent="0.2">
      <c r="A5" s="788" t="s">
        <v>1331</v>
      </c>
      <c r="B5" s="787"/>
      <c r="C5" s="787"/>
      <c r="D5" s="787"/>
      <c r="E5" s="787"/>
      <c r="F5" s="787"/>
      <c r="G5" s="787"/>
      <c r="H5" s="787"/>
      <c r="I5" s="787"/>
      <c r="J5" s="787"/>
    </row>
    <row r="6" spans="1:10" x14ac:dyDescent="0.2">
      <c r="A6" s="803"/>
      <c r="B6" s="802">
        <v>2021</v>
      </c>
      <c r="C6" s="802">
        <v>2022</v>
      </c>
      <c r="D6" s="802">
        <v>2023</v>
      </c>
      <c r="E6" s="802">
        <v>2024</v>
      </c>
      <c r="F6" s="802">
        <v>2025</v>
      </c>
      <c r="G6" s="802" t="s">
        <v>1289</v>
      </c>
      <c r="H6" s="802" t="s">
        <v>1288</v>
      </c>
      <c r="I6" s="802" t="s">
        <v>1287</v>
      </c>
      <c r="J6" s="802" t="s">
        <v>1263</v>
      </c>
    </row>
    <row r="7" spans="1:10" x14ac:dyDescent="0.2">
      <c r="A7" s="801" t="s">
        <v>756</v>
      </c>
      <c r="B7" s="800">
        <f>'[1]Revenue Build'!F14</f>
        <v>6880000</v>
      </c>
      <c r="C7" s="800">
        <f>'[1]Revenue Build'!G14</f>
        <v>2356300</v>
      </c>
      <c r="D7" s="800">
        <f>'[1]Revenue Build'!H14</f>
        <v>1577100</v>
      </c>
      <c r="E7" s="800">
        <f>'[1]Revenue Build'!I14</f>
        <v>3986200</v>
      </c>
      <c r="F7" s="800">
        <f>'[1]Revenue Build'!J14</f>
        <v>4055300</v>
      </c>
      <c r="G7" s="800">
        <f>'[1]Revenue Build'!K14</f>
        <v>4132525.4778581127</v>
      </c>
      <c r="H7" s="800">
        <f>'[1]Revenue Build'!L14</f>
        <v>4603601.1915870355</v>
      </c>
      <c r="I7" s="800">
        <f>'[1]Revenue Build'!M14</f>
        <v>5571680.8505433509</v>
      </c>
      <c r="J7" s="800">
        <f>'[1]Revenue Build'!N14</f>
        <v>7251293.7080915086</v>
      </c>
    </row>
    <row r="8" spans="1:10" x14ac:dyDescent="0.2">
      <c r="A8" s="801" t="s">
        <v>1262</v>
      </c>
      <c r="B8" s="800">
        <f>'[1]Revenue Build'!F22</f>
        <v>495100</v>
      </c>
      <c r="C8" s="800">
        <f>'[1]Revenue Build'!G22</f>
        <v>1386600</v>
      </c>
      <c r="D8" s="800">
        <f>'[1]Revenue Build'!H22</f>
        <v>1258400</v>
      </c>
      <c r="E8" s="800">
        <f>'[1]Revenue Build'!I22</f>
        <v>2307000</v>
      </c>
      <c r="F8" s="800">
        <f>'[1]Revenue Build'!J22</f>
        <v>2828000</v>
      </c>
      <c r="G8" s="800">
        <f>'[1]Revenue Build'!K22</f>
        <v>3677571.347431385</v>
      </c>
      <c r="H8" s="800">
        <f>'[1]Revenue Build'!L22</f>
        <v>4274967.1727987491</v>
      </c>
      <c r="I8" s="800">
        <f>'[1]Revenue Build'!M22</f>
        <v>4561406.5272153709</v>
      </c>
      <c r="J8" s="800">
        <f>'[1]Revenue Build'!N22</f>
        <v>4862395.2710534027</v>
      </c>
    </row>
    <row r="9" spans="1:10" x14ac:dyDescent="0.2">
      <c r="A9" s="801" t="s">
        <v>758</v>
      </c>
      <c r="B9" s="800">
        <f>'[1]Revenue Build'!F26</f>
        <v>514000</v>
      </c>
      <c r="C9" s="800">
        <f>'[1]Revenue Build'!G26</f>
        <v>600</v>
      </c>
      <c r="D9" s="800">
        <f>'[1]Revenue Build'!H26</f>
        <v>49200</v>
      </c>
      <c r="E9" s="800">
        <f>'[1]Revenue Build'!I26</f>
        <v>270800</v>
      </c>
      <c r="F9" s="800">
        <f>'[1]Revenue Build'!J26</f>
        <v>297900</v>
      </c>
      <c r="G9" s="800">
        <f>'[1]Revenue Build'!K26</f>
        <v>283923.45844504016</v>
      </c>
      <c r="H9" s="800">
        <f>'[1]Revenue Build'!L26</f>
        <v>270602.65275391896</v>
      </c>
      <c r="I9" s="800">
        <f>'[1]Revenue Build'!M26</f>
        <v>257906.81783919083</v>
      </c>
      <c r="J9" s="800">
        <f>'[1]Revenue Build'!N26</f>
        <v>245806.63201563628</v>
      </c>
    </row>
    <row r="10" spans="1:10" x14ac:dyDescent="0.2">
      <c r="A10" s="810" t="s">
        <v>246</v>
      </c>
      <c r="B10" s="800">
        <f t="shared" ref="B10:J10" si="0">SUM(B7:B9)</f>
        <v>7889100</v>
      </c>
      <c r="C10" s="800">
        <f t="shared" si="0"/>
        <v>3743500</v>
      </c>
      <c r="D10" s="800">
        <f t="shared" si="0"/>
        <v>2884700</v>
      </c>
      <c r="E10" s="800">
        <f t="shared" si="0"/>
        <v>6564000</v>
      </c>
      <c r="F10" s="800">
        <f t="shared" si="0"/>
        <v>7181200</v>
      </c>
      <c r="G10" s="800">
        <f t="shared" si="0"/>
        <v>8094020.2837345377</v>
      </c>
      <c r="H10" s="800">
        <f t="shared" si="0"/>
        <v>9149171.017139703</v>
      </c>
      <c r="I10" s="800">
        <f t="shared" si="0"/>
        <v>10390994.195597913</v>
      </c>
      <c r="J10" s="800">
        <f t="shared" si="0"/>
        <v>12359495.611160548</v>
      </c>
    </row>
    <row r="11" spans="1:10" x14ac:dyDescent="0.2">
      <c r="A11" s="809" t="s">
        <v>1330</v>
      </c>
      <c r="B11" s="789"/>
      <c r="C11" s="808">
        <f t="shared" ref="C11:J11" si="1">C10/B10-1</f>
        <v>-0.52548452928724443</v>
      </c>
      <c r="D11" s="808">
        <f t="shared" si="1"/>
        <v>-0.22941097903031926</v>
      </c>
      <c r="E11" s="808">
        <f t="shared" si="1"/>
        <v>1.2754532533712344</v>
      </c>
      <c r="F11" s="808">
        <f t="shared" si="1"/>
        <v>9.4028031687995117E-2</v>
      </c>
      <c r="G11" s="808">
        <f t="shared" si="1"/>
        <v>0.12711249982378114</v>
      </c>
      <c r="H11" s="808">
        <f t="shared" si="1"/>
        <v>0.13036176046229575</v>
      </c>
      <c r="I11" s="808">
        <f t="shared" si="1"/>
        <v>0.1357306772528164</v>
      </c>
      <c r="J11" s="808">
        <f t="shared" si="1"/>
        <v>0.18944302907960231</v>
      </c>
    </row>
    <row r="32" spans="1:10" x14ac:dyDescent="0.2">
      <c r="A32" s="788" t="s">
        <v>1329</v>
      </c>
      <c r="B32" s="787"/>
      <c r="C32" s="787"/>
      <c r="D32" s="787"/>
      <c r="E32" s="787"/>
      <c r="F32" s="787"/>
      <c r="G32" s="787"/>
      <c r="H32" s="787"/>
      <c r="I32" s="787"/>
      <c r="J32" s="787"/>
    </row>
    <row r="33" spans="1:10" x14ac:dyDescent="0.2">
      <c r="A33" s="803"/>
      <c r="B33" s="802">
        <v>2021</v>
      </c>
      <c r="C33" s="802">
        <v>2022</v>
      </c>
      <c r="D33" s="802">
        <v>2023</v>
      </c>
      <c r="E33" s="802">
        <v>2024</v>
      </c>
      <c r="F33" s="802">
        <v>2025</v>
      </c>
      <c r="G33" s="802" t="s">
        <v>1289</v>
      </c>
      <c r="H33" s="802" t="s">
        <v>1288</v>
      </c>
      <c r="I33" s="802" t="s">
        <v>1287</v>
      </c>
      <c r="J33" s="802" t="s">
        <v>1263</v>
      </c>
    </row>
    <row r="34" spans="1:10" x14ac:dyDescent="0.2">
      <c r="A34" s="801" t="s">
        <v>760</v>
      </c>
      <c r="B34" s="800">
        <f>'[1]3FS'!E46</f>
        <v>3119758</v>
      </c>
      <c r="C34" s="800">
        <f>'[1]3FS'!F46</f>
        <v>-2821612</v>
      </c>
      <c r="D34" s="800">
        <f>'[1]3FS'!G46</f>
        <v>145563</v>
      </c>
      <c r="E34" s="800">
        <f>'[1]3FS'!H46</f>
        <v>3079082</v>
      </c>
      <c r="F34" s="800">
        <f>'[1]3FS'!I46</f>
        <v>1816610</v>
      </c>
      <c r="G34" s="800">
        <f>'[1]3FS'!J46</f>
        <v>2422168.5622602426</v>
      </c>
      <c r="H34" s="800">
        <f>'[1]3FS'!K46</f>
        <v>2709341.9138760874</v>
      </c>
      <c r="I34" s="800">
        <f>'[1]3FS'!L46</f>
        <v>3058146.6911850735</v>
      </c>
      <c r="J34" s="800">
        <f>'[1]3FS'!M46</f>
        <v>3553252.2050124547</v>
      </c>
    </row>
    <row r="35" spans="1:10" x14ac:dyDescent="0.2">
      <c r="A35" s="805" t="s">
        <v>58</v>
      </c>
      <c r="B35" s="804">
        <f>'[1]3FS'!E47</f>
        <v>0.39795648799117794</v>
      </c>
      <c r="C35" s="804">
        <f>'[1]3FS'!F47</f>
        <v>-0.88335261823901257</v>
      </c>
      <c r="D35" s="804">
        <f>'[1]3FS'!G47</f>
        <v>4.8800398548489617E-2</v>
      </c>
      <c r="E35" s="804">
        <f>'[1]3FS'!H47</f>
        <v>0.46908422694114044</v>
      </c>
      <c r="F35" s="804">
        <f>'[1]3FS'!I47</f>
        <v>0.25296306740051455</v>
      </c>
      <c r="G35" s="804">
        <f>'[1]3FS'!J47</f>
        <v>0.31211421445093018</v>
      </c>
      <c r="H35" s="804">
        <f>'[1]3FS'!K47</f>
        <v>0.31222022783544584</v>
      </c>
      <c r="I35" s="804">
        <f>'[1]3FS'!L47</f>
        <v>0.31446682153580474</v>
      </c>
      <c r="J35" s="804">
        <f>'[1]3FS'!M47</f>
        <v>0.3146026646677052</v>
      </c>
    </row>
    <row r="56" spans="1:10" x14ac:dyDescent="0.2">
      <c r="A56" s="788" t="s">
        <v>1328</v>
      </c>
      <c r="B56" s="787"/>
      <c r="C56" s="787"/>
      <c r="D56" s="787"/>
      <c r="E56" s="787"/>
      <c r="F56" s="787"/>
      <c r="G56" s="787"/>
      <c r="H56" s="787"/>
      <c r="I56" s="787"/>
      <c r="J56" s="787"/>
    </row>
    <row r="57" spans="1:10" x14ac:dyDescent="0.2">
      <c r="A57" s="803" t="s">
        <v>1327</v>
      </c>
      <c r="B57" s="802" t="s">
        <v>1324</v>
      </c>
      <c r="C57" s="802" t="s">
        <v>1326</v>
      </c>
      <c r="E57" s="803" t="s">
        <v>1325</v>
      </c>
      <c r="F57" s="802" t="s">
        <v>1324</v>
      </c>
    </row>
    <row r="58" spans="1:10" x14ac:dyDescent="0.2">
      <c r="A58" s="801" t="s">
        <v>1278</v>
      </c>
      <c r="B58" s="800" t="e">
        <f>#REF!</f>
        <v>#REF!</v>
      </c>
      <c r="C58" s="806" t="e">
        <f>#REF!</f>
        <v>#REF!</v>
      </c>
      <c r="E58" s="801" t="s">
        <v>1323</v>
      </c>
      <c r="F58" s="800" t="e">
        <f>#REF!</f>
        <v>#REF!</v>
      </c>
      <c r="G58" s="814" t="e">
        <f>F58/$F$64</f>
        <v>#REF!</v>
      </c>
    </row>
    <row r="59" spans="1:10" x14ac:dyDescent="0.2">
      <c r="A59" s="801" t="s">
        <v>1275</v>
      </c>
      <c r="B59" s="800" t="e">
        <f>#REF!</f>
        <v>#REF!</v>
      </c>
      <c r="C59" s="806" t="e">
        <f>#REF!</f>
        <v>#REF!</v>
      </c>
      <c r="E59" s="801" t="s">
        <v>1322</v>
      </c>
      <c r="F59" s="800" t="e">
        <f>#REF!</f>
        <v>#REF!</v>
      </c>
      <c r="G59" s="814" t="e">
        <f t="shared" ref="G59:G62" si="2">F59/$F$64</f>
        <v>#REF!</v>
      </c>
    </row>
    <row r="60" spans="1:10" x14ac:dyDescent="0.2">
      <c r="A60" s="801" t="s">
        <v>1206</v>
      </c>
      <c r="B60" s="800" t="e">
        <f>#REF!</f>
        <v>#REF!</v>
      </c>
      <c r="C60" s="806" t="e">
        <f>#REF!</f>
        <v>#REF!</v>
      </c>
      <c r="E60" s="801" t="s">
        <v>1321</v>
      </c>
      <c r="F60" s="800" t="e">
        <f>#REF!</f>
        <v>#REF!</v>
      </c>
      <c r="G60" s="814" t="e">
        <f t="shared" si="2"/>
        <v>#REF!</v>
      </c>
    </row>
    <row r="61" spans="1:10" x14ac:dyDescent="0.2">
      <c r="A61" s="801" t="s">
        <v>1270</v>
      </c>
      <c r="B61" s="800" t="e">
        <f>#REF!</f>
        <v>#REF!</v>
      </c>
      <c r="C61" s="806" t="e">
        <f>#REF!</f>
        <v>#REF!</v>
      </c>
      <c r="E61" s="801" t="s">
        <v>1320</v>
      </c>
      <c r="F61" s="800" t="e">
        <f>#REF!</f>
        <v>#REF!</v>
      </c>
      <c r="G61" s="814" t="e">
        <f t="shared" si="2"/>
        <v>#REF!</v>
      </c>
    </row>
    <row r="62" spans="1:10" x14ac:dyDescent="0.2">
      <c r="A62" s="801" t="s">
        <v>1319</v>
      </c>
      <c r="B62" s="800" t="e">
        <f>#REF!</f>
        <v>#REF!</v>
      </c>
      <c r="C62" s="806" t="e">
        <f>#REF!</f>
        <v>#REF!</v>
      </c>
      <c r="E62" s="801" t="s">
        <v>1318</v>
      </c>
      <c r="F62" s="800" t="e">
        <f>#REF!</f>
        <v>#REF!</v>
      </c>
      <c r="G62" s="814" t="e">
        <f t="shared" si="2"/>
        <v>#REF!</v>
      </c>
    </row>
    <row r="63" spans="1:10" x14ac:dyDescent="0.2">
      <c r="A63" s="801" t="s">
        <v>1267</v>
      </c>
      <c r="B63" s="800" t="e">
        <f>#REF!</f>
        <v>#REF!</v>
      </c>
      <c r="C63" s="806" t="e">
        <f>#REF!</f>
        <v>#REF!</v>
      </c>
      <c r="E63" s="793"/>
      <c r="F63" s="793"/>
    </row>
    <row r="64" spans="1:10" x14ac:dyDescent="0.2">
      <c r="A64" s="792" t="s">
        <v>1317</v>
      </c>
      <c r="B64" s="800" t="e">
        <f>#REF!</f>
        <v>#REF!</v>
      </c>
      <c r="C64" s="806" t="e">
        <f>#REF!</f>
        <v>#REF!</v>
      </c>
      <c r="E64" s="792" t="s">
        <v>1316</v>
      </c>
      <c r="F64" s="791" t="e">
        <f>SUM(F58:F63)</f>
        <v>#REF!</v>
      </c>
    </row>
    <row r="84" spans="1:10" x14ac:dyDescent="0.2">
      <c r="A84" s="788" t="s">
        <v>1315</v>
      </c>
      <c r="B84" s="787"/>
      <c r="C84" s="787"/>
      <c r="D84" s="787"/>
      <c r="E84" s="787"/>
      <c r="F84" s="787"/>
      <c r="G84" s="787"/>
      <c r="H84" s="787"/>
      <c r="I84" s="787"/>
      <c r="J84" s="787"/>
    </row>
    <row r="85" spans="1:10" x14ac:dyDescent="0.2">
      <c r="A85" s="803"/>
      <c r="B85" s="802" t="s">
        <v>1314</v>
      </c>
      <c r="C85" s="802" t="s">
        <v>1289</v>
      </c>
      <c r="D85" s="802" t="s">
        <v>1288</v>
      </c>
      <c r="E85" s="802" t="s">
        <v>1287</v>
      </c>
      <c r="F85" s="802" t="s">
        <v>1263</v>
      </c>
      <c r="G85" s="802" t="s">
        <v>1286</v>
      </c>
    </row>
    <row r="86" spans="1:10" x14ac:dyDescent="0.2">
      <c r="A86" s="801" t="s">
        <v>1278</v>
      </c>
      <c r="B86" s="800" t="e">
        <f>#REF!</f>
        <v>#REF!</v>
      </c>
      <c r="C86" s="800">
        <f>'[1]lbo(yx)'!J82</f>
        <v>0</v>
      </c>
      <c r="D86" s="800">
        <f>'[1]lbo(yx)'!K82</f>
        <v>0</v>
      </c>
      <c r="E86" s="800">
        <f>'[1]lbo(yx)'!L82</f>
        <v>0</v>
      </c>
      <c r="F86" s="800">
        <f>'[1]lbo(yx)'!M82</f>
        <v>0</v>
      </c>
      <c r="G86" s="800">
        <f>'[1]lbo(yx)'!N82</f>
        <v>0</v>
      </c>
    </row>
    <row r="87" spans="1:10" x14ac:dyDescent="0.2">
      <c r="A87" s="801" t="s">
        <v>1275</v>
      </c>
      <c r="B87" s="800" t="e">
        <f>#REF!</f>
        <v>#REF!</v>
      </c>
      <c r="C87" s="800">
        <f>'[1]lbo(yx)'!J99</f>
        <v>0</v>
      </c>
      <c r="D87" s="800">
        <f>'[1]lbo(yx)'!K99</f>
        <v>0</v>
      </c>
      <c r="E87" s="800">
        <f>'[1]lbo(yx)'!L99</f>
        <v>0</v>
      </c>
      <c r="F87" s="800">
        <f>'[1]lbo(yx)'!M99</f>
        <v>0</v>
      </c>
      <c r="G87" s="800">
        <f>'[1]lbo(yx)'!N99</f>
        <v>0</v>
      </c>
    </row>
    <row r="88" spans="1:10" x14ac:dyDescent="0.2">
      <c r="A88" s="801" t="s">
        <v>1206</v>
      </c>
      <c r="B88" s="800" t="e">
        <f>#REF!</f>
        <v>#REF!</v>
      </c>
      <c r="C88" s="800">
        <f>'[1]lbo(yx)'!J108</f>
        <v>0</v>
      </c>
      <c r="D88" s="800">
        <f>'[1]lbo(yx)'!K108</f>
        <v>0</v>
      </c>
      <c r="E88" s="800">
        <f>'[1]lbo(yx)'!L108</f>
        <v>0</v>
      </c>
      <c r="F88" s="800">
        <f>'[1]lbo(yx)'!M108</f>
        <v>0</v>
      </c>
      <c r="G88" s="800">
        <f>'[1]lbo(yx)'!N108</f>
        <v>0</v>
      </c>
    </row>
    <row r="89" spans="1:10" x14ac:dyDescent="0.2">
      <c r="A89" s="801" t="s">
        <v>1270</v>
      </c>
      <c r="B89" s="800" t="e">
        <f>#REF!</f>
        <v>#REF!</v>
      </c>
      <c r="C89" s="800">
        <f>'[1]lbo(yx)'!J116</f>
        <v>3213.3507399999999</v>
      </c>
      <c r="D89" s="800">
        <f>'[1]lbo(yx)'!K116</f>
        <v>3309.7512621999999</v>
      </c>
      <c r="E89" s="800">
        <f>'[1]lbo(yx)'!L116</f>
        <v>3409.0438000660001</v>
      </c>
      <c r="F89" s="800">
        <f>'[1]lbo(yx)'!M116</f>
        <v>3511.3151140679802</v>
      </c>
      <c r="G89" s="800">
        <f>'[1]lbo(yx)'!N116</f>
        <v>3616.6545674900194</v>
      </c>
    </row>
    <row r="90" spans="1:10" x14ac:dyDescent="0.2">
      <c r="A90" s="792" t="s">
        <v>347</v>
      </c>
      <c r="B90" s="791" t="e">
        <f>SUM(B86:B89)</f>
        <v>#REF!</v>
      </c>
      <c r="C90" s="791">
        <f>SUM(C86:C89)</f>
        <v>3213.3507399999999</v>
      </c>
      <c r="D90" s="791">
        <f t="shared" ref="D90:G90" si="3">SUM(D86:D89)</f>
        <v>3309.7512621999999</v>
      </c>
      <c r="E90" s="791">
        <f t="shared" si="3"/>
        <v>3409.0438000660001</v>
      </c>
      <c r="F90" s="791">
        <f t="shared" si="3"/>
        <v>3511.3151140679802</v>
      </c>
      <c r="G90" s="791">
        <f t="shared" si="3"/>
        <v>3616.6545674900194</v>
      </c>
    </row>
    <row r="110" spans="1:10" x14ac:dyDescent="0.2">
      <c r="A110" s="788" t="s">
        <v>1313</v>
      </c>
      <c r="B110" s="787"/>
      <c r="C110" s="787"/>
      <c r="D110" s="787"/>
      <c r="E110" s="787"/>
      <c r="F110" s="787"/>
      <c r="G110" s="787"/>
      <c r="H110" s="787"/>
      <c r="I110" s="787"/>
      <c r="J110" s="787"/>
    </row>
    <row r="111" spans="1:10" x14ac:dyDescent="0.2">
      <c r="A111" s="803"/>
      <c r="B111" s="802" t="s">
        <v>1289</v>
      </c>
      <c r="C111" s="802" t="s">
        <v>1288</v>
      </c>
      <c r="D111" s="802" t="s">
        <v>1287</v>
      </c>
      <c r="E111" s="802" t="s">
        <v>1263</v>
      </c>
      <c r="F111" s="802" t="s">
        <v>1286</v>
      </c>
    </row>
    <row r="112" spans="1:10" x14ac:dyDescent="0.2">
      <c r="A112" s="801" t="s">
        <v>760</v>
      </c>
      <c r="B112" s="800">
        <f>'[1]lbo(yx)'!J146</f>
        <v>2422168.5622602426</v>
      </c>
      <c r="C112" s="800">
        <f>'[1]lbo(yx)'!K146</f>
        <v>2709341.9138760874</v>
      </c>
      <c r="D112" s="800">
        <f>'[1]lbo(yx)'!L146</f>
        <v>3058146.6911850735</v>
      </c>
      <c r="E112" s="800">
        <f>'[1]lbo(yx)'!M146</f>
        <v>3553252.2050124547</v>
      </c>
      <c r="F112" s="800">
        <f>'[1]lbo(yx)'!N146</f>
        <v>4327638.2487039221</v>
      </c>
    </row>
    <row r="113" spans="1:6" x14ac:dyDescent="0.2">
      <c r="A113" s="801" t="s">
        <v>1238</v>
      </c>
      <c r="B113" s="800">
        <f>'[1]lbo(yx)'!J133</f>
        <v>-181828.14602436282</v>
      </c>
      <c r="C113" s="800">
        <f>'[1]lbo(yx)'!K133</f>
        <v>-203316.71061345292</v>
      </c>
      <c r="D113" s="800">
        <f>'[1]lbo(yx)'!L133</f>
        <v>-227852.48944999449</v>
      </c>
      <c r="E113" s="800">
        <f>'[1]lbo(yx)'!M133</f>
        <v>-264626.86568560253</v>
      </c>
      <c r="F113" s="800">
        <f>'[1]lbo(yx)'!N133</f>
        <v>-324286.46377003501</v>
      </c>
    </row>
    <row r="114" spans="1:6" x14ac:dyDescent="0.2">
      <c r="A114" s="801" t="s">
        <v>1312</v>
      </c>
      <c r="B114" s="800">
        <f>'[1]lbo(yx)'!J134</f>
        <v>-431557.05767454562</v>
      </c>
      <c r="C114" s="800">
        <f>'[1]lbo(yx)'!K134</f>
        <v>-481682.60383297206</v>
      </c>
      <c r="D114" s="800">
        <f>'[1]lbo(yx)'!L134</f>
        <v>-543252.38734628167</v>
      </c>
      <c r="E114" s="800">
        <f>'[1]lbo(yx)'!M134</f>
        <v>-632760.2995196674</v>
      </c>
      <c r="F114" s="800">
        <f>'[1]lbo(yx)'!N134</f>
        <v>-775979.58785639203</v>
      </c>
    </row>
    <row r="115" spans="1:6" x14ac:dyDescent="0.2">
      <c r="A115" s="801" t="s">
        <v>1311</v>
      </c>
      <c r="B115" s="800">
        <f>'[1]lbo(yx)'!J132</f>
        <v>-149917.1723046769</v>
      </c>
      <c r="C115" s="800">
        <f>'[1]lbo(yx)'!K132</f>
        <v>35532.441620884056</v>
      </c>
      <c r="D115" s="800">
        <f>'[1]lbo(yx)'!L132</f>
        <v>37056.354533750447</v>
      </c>
      <c r="E115" s="800">
        <f>'[1]lbo(yx)'!M132</f>
        <v>58354.957817295261</v>
      </c>
      <c r="F115" s="800">
        <f>'[1]lbo(yx)'!N132</f>
        <v>93917.017073585535</v>
      </c>
    </row>
    <row r="116" spans="1:6" x14ac:dyDescent="0.2">
      <c r="A116" s="796" t="s">
        <v>1310</v>
      </c>
      <c r="B116" s="795">
        <f>'[1]lbo(yx)'!J135</f>
        <v>1514134.6033732034</v>
      </c>
      <c r="C116" s="795">
        <f>'[1]lbo(yx)'!K135</f>
        <v>1912483.9557789552</v>
      </c>
      <c r="D116" s="795">
        <f>'[1]lbo(yx)'!L135</f>
        <v>2173726.6388168512</v>
      </c>
      <c r="E116" s="795">
        <f>'[1]lbo(yx)'!M135</f>
        <v>2560386.9921725974</v>
      </c>
      <c r="F116" s="795">
        <f>'[1]lbo(yx)'!N135</f>
        <v>3163214.3506530263</v>
      </c>
    </row>
    <row r="117" spans="1:6" x14ac:dyDescent="0.2">
      <c r="A117" s="809" t="s">
        <v>1309</v>
      </c>
      <c r="B117" s="808">
        <f>B116/'[1]3FS'!J15</f>
        <v>0.19510736769855858</v>
      </c>
      <c r="C117" s="808">
        <f>C116/'[1]3FS'!K15</f>
        <v>0.22039159153252941</v>
      </c>
      <c r="D117" s="808">
        <f>D116/'[1]3FS'!L15</f>
        <v>0.22352260242021049</v>
      </c>
      <c r="E117" s="808">
        <f>E116/'[1]3FS'!M15</f>
        <v>0.22669501736514269</v>
      </c>
      <c r="F117" s="808">
        <f>F116/'[1]3FS'!N15</f>
        <v>0.22854414346593738</v>
      </c>
    </row>
    <row r="137" spans="1:10" x14ac:dyDescent="0.2">
      <c r="A137" s="788" t="s">
        <v>1308</v>
      </c>
      <c r="B137" s="787"/>
      <c r="C137" s="787"/>
      <c r="D137" s="787"/>
      <c r="E137" s="787"/>
      <c r="F137" s="787"/>
      <c r="G137" s="787"/>
      <c r="H137" s="787"/>
      <c r="I137" s="787"/>
      <c r="J137" s="787"/>
    </row>
    <row r="138" spans="1:10" x14ac:dyDescent="0.2">
      <c r="A138" s="803" t="s">
        <v>1307</v>
      </c>
      <c r="B138" s="802" t="s">
        <v>1306</v>
      </c>
      <c r="C138" s="802" t="s">
        <v>1305</v>
      </c>
      <c r="D138" s="802" t="s">
        <v>1304</v>
      </c>
      <c r="E138" s="802" t="s">
        <v>1303</v>
      </c>
      <c r="F138" s="802" t="s">
        <v>1276</v>
      </c>
    </row>
    <row r="139" spans="1:10" x14ac:dyDescent="0.2">
      <c r="A139" s="801" t="s">
        <v>1302</v>
      </c>
      <c r="B139" s="800">
        <v>42832386.634157553</v>
      </c>
      <c r="C139" s="800">
        <v>53786519.980808392</v>
      </c>
      <c r="D139" s="800">
        <v>62287080.380811341</v>
      </c>
      <c r="E139" s="800">
        <v>72634578.610540852</v>
      </c>
      <c r="F139" s="800">
        <v>85322730.353620589</v>
      </c>
    </row>
    <row r="140" spans="1:10" x14ac:dyDescent="0.2">
      <c r="A140" s="801" t="s">
        <v>1301</v>
      </c>
      <c r="B140" s="799">
        <v>1.2998252742264502</v>
      </c>
      <c r="C140" s="799">
        <v>1.6322480155235413</v>
      </c>
      <c r="D140" s="799">
        <v>1.8902127034917082</v>
      </c>
      <c r="E140" s="799">
        <v>2.2042260186706</v>
      </c>
      <c r="F140" s="799">
        <v>2.5892706452925323</v>
      </c>
    </row>
    <row r="141" spans="1:10" x14ac:dyDescent="0.2">
      <c r="A141" s="792" t="s">
        <v>1300</v>
      </c>
      <c r="B141" s="816">
        <v>0.29982527422645022</v>
      </c>
      <c r="C141" s="816">
        <v>0.2775946209668938</v>
      </c>
      <c r="D141" s="816">
        <v>0.23643196977804726</v>
      </c>
      <c r="E141" s="816">
        <v>0.21846772815220006</v>
      </c>
      <c r="F141" s="816">
        <v>0.20958248504713839</v>
      </c>
    </row>
    <row r="160" spans="1:10" x14ac:dyDescent="0.2">
      <c r="A160" s="788" t="s">
        <v>1299</v>
      </c>
      <c r="B160" s="787"/>
      <c r="C160" s="787"/>
      <c r="D160" s="787"/>
      <c r="E160" s="787"/>
      <c r="F160" s="787"/>
      <c r="G160" s="787"/>
      <c r="H160" s="787"/>
      <c r="I160" s="787"/>
      <c r="J160" s="787"/>
    </row>
    <row r="161" spans="1:10" x14ac:dyDescent="0.2">
      <c r="A161" s="803"/>
      <c r="B161" s="802" t="s">
        <v>1298</v>
      </c>
      <c r="C161" s="802" t="s">
        <v>1297</v>
      </c>
    </row>
    <row r="162" spans="1:10" x14ac:dyDescent="0.2">
      <c r="A162" s="801" t="s">
        <v>760</v>
      </c>
      <c r="B162" s="800">
        <f>'[1]lbo(yx)'!E12</f>
        <v>3119.7579999999998</v>
      </c>
      <c r="C162" s="800">
        <f>'[1]lbo(yx)'!N146</f>
        <v>4327638.2487039221</v>
      </c>
    </row>
    <row r="163" spans="1:10" x14ac:dyDescent="0.2">
      <c r="A163" s="801" t="s">
        <v>1296</v>
      </c>
      <c r="B163" s="799">
        <f>'[1]lbo(yx)'!E7</f>
        <v>15</v>
      </c>
      <c r="C163" s="799">
        <f>'[1]lbo(yx)'!N147</f>
        <v>5.5</v>
      </c>
    </row>
    <row r="164" spans="1:10" x14ac:dyDescent="0.2">
      <c r="A164" s="801" t="s">
        <v>179</v>
      </c>
      <c r="B164" s="800">
        <f>'[1]lbo(yx)'!E13</f>
        <v>46796.369999999995</v>
      </c>
      <c r="C164" s="800">
        <f>'[1]lbo(yx)'!N148</f>
        <v>23802010.367871571</v>
      </c>
    </row>
    <row r="165" spans="1:10" x14ac:dyDescent="0.2">
      <c r="A165" s="801" t="s">
        <v>1295</v>
      </c>
      <c r="B165" s="800">
        <f>'[1]lbo(yx)'!K8</f>
        <v>11929.535</v>
      </c>
      <c r="C165" s="800">
        <f>'[1]lbo(yx)'!N149</f>
        <v>21953777.623061761</v>
      </c>
    </row>
    <row r="166" spans="1:10" x14ac:dyDescent="0.2">
      <c r="A166" s="801" t="s">
        <v>1294</v>
      </c>
      <c r="B166" s="800">
        <f>'[1]lbo(yx)'!K9</f>
        <v>-7658.7240000000002</v>
      </c>
      <c r="C166" s="800">
        <f>'[1]lbo(yx)'!N150</f>
        <v>-2168606</v>
      </c>
    </row>
    <row r="167" spans="1:10" x14ac:dyDescent="0.2">
      <c r="A167" s="796" t="s">
        <v>1293</v>
      </c>
      <c r="B167" s="795">
        <f>'[1]lbo(yx)'!K15</f>
        <v>51690.165999999997</v>
      </c>
      <c r="C167" s="795">
        <f>'[1]lbo(yx)'!N157</f>
        <v>43587181.990933329</v>
      </c>
    </row>
    <row r="168" spans="1:10" x14ac:dyDescent="0.2">
      <c r="A168" s="801" t="s">
        <v>1292</v>
      </c>
      <c r="B168" s="807">
        <f>'[1]lbo(yx)'!E18</f>
        <v>182.15135110501203</v>
      </c>
      <c r="C168" s="793"/>
    </row>
    <row r="169" spans="1:10" x14ac:dyDescent="0.2">
      <c r="A169" s="805" t="s">
        <v>1291</v>
      </c>
      <c r="B169" s="804">
        <f>'[1]lbo(yx)'!E17</f>
        <v>0.13039190210383467</v>
      </c>
      <c r="C169" s="789"/>
    </row>
    <row r="172" spans="1:10" x14ac:dyDescent="0.2">
      <c r="A172" s="788" t="s">
        <v>1290</v>
      </c>
      <c r="B172" s="787"/>
      <c r="C172" s="787"/>
      <c r="D172" s="787"/>
      <c r="E172" s="787"/>
      <c r="F172" s="787"/>
      <c r="G172" s="787"/>
      <c r="H172" s="787"/>
      <c r="I172" s="787"/>
      <c r="J172" s="787"/>
    </row>
    <row r="173" spans="1:10" x14ac:dyDescent="0.2">
      <c r="A173" s="803"/>
      <c r="B173" s="802" t="s">
        <v>1264</v>
      </c>
      <c r="C173" s="802" t="s">
        <v>1289</v>
      </c>
      <c r="D173" s="802" t="s">
        <v>1288</v>
      </c>
      <c r="E173" s="802" t="s">
        <v>1287</v>
      </c>
      <c r="F173" s="802" t="s">
        <v>1263</v>
      </c>
      <c r="G173" s="802" t="s">
        <v>1286</v>
      </c>
    </row>
    <row r="174" spans="1:10" x14ac:dyDescent="0.2">
      <c r="A174" s="801" t="s">
        <v>223</v>
      </c>
      <c r="B174" s="800">
        <f>'[1]3FS'!I15</f>
        <v>7181325</v>
      </c>
      <c r="C174" s="800">
        <f>'[1]3FS'!J15</f>
        <v>7760519.8677711934</v>
      </c>
      <c r="D174" s="800">
        <f>'[1]3FS'!K15</f>
        <v>8677662.983783463</v>
      </c>
      <c r="E174" s="800">
        <f>'[1]3FS'!L15</f>
        <v>9724862.789179422</v>
      </c>
      <c r="F174" s="800">
        <f>'[1]3FS'!M15</f>
        <v>11294412.298654651</v>
      </c>
      <c r="G174" s="800">
        <f>'[1]3FS'!N15</f>
        <v>13840714.982593624</v>
      </c>
    </row>
    <row r="175" spans="1:10" x14ac:dyDescent="0.2">
      <c r="A175" s="801" t="s">
        <v>755</v>
      </c>
      <c r="B175" s="793"/>
      <c r="C175" s="806">
        <f>C174/B174-1</f>
        <v>8.0652925159520494E-2</v>
      </c>
      <c r="D175" s="806">
        <f>D174/C174-1</f>
        <v>0.11818062857117217</v>
      </c>
      <c r="E175" s="806">
        <f>E174/D174-1</f>
        <v>0.12067763029665146</v>
      </c>
      <c r="F175" s="806">
        <f>F174/E174-1</f>
        <v>0.16139554289872571</v>
      </c>
      <c r="G175" s="806">
        <f>G174/F174-1</f>
        <v>0.22544800177360957</v>
      </c>
    </row>
    <row r="176" spans="1:10" x14ac:dyDescent="0.2">
      <c r="A176" s="801" t="s">
        <v>760</v>
      </c>
      <c r="B176" s="800">
        <f>'[1]3FS'!I46</f>
        <v>1816610</v>
      </c>
      <c r="C176" s="800">
        <f>'[1]3FS'!J46</f>
        <v>2422168.5622602426</v>
      </c>
      <c r="D176" s="800">
        <f>'[1]3FS'!K46</f>
        <v>2709341.9138760874</v>
      </c>
      <c r="E176" s="800">
        <f>'[1]3FS'!L46</f>
        <v>3058146.6911850735</v>
      </c>
      <c r="F176" s="800">
        <f>'[1]3FS'!M46</f>
        <v>3553252.2050124547</v>
      </c>
      <c r="G176" s="800">
        <f>'[1]3FS'!N46</f>
        <v>4327638.2487039221</v>
      </c>
    </row>
    <row r="177" spans="1:10" x14ac:dyDescent="0.2">
      <c r="A177" s="801" t="s">
        <v>58</v>
      </c>
      <c r="B177" s="806">
        <f t="shared" ref="B177:G177" si="4">B176/B174</f>
        <v>0.25296306740051455</v>
      </c>
      <c r="C177" s="806">
        <f t="shared" si="4"/>
        <v>0.31211421445093018</v>
      </c>
      <c r="D177" s="806">
        <f t="shared" si="4"/>
        <v>0.31222022783544584</v>
      </c>
      <c r="E177" s="806">
        <f t="shared" si="4"/>
        <v>0.31446682153580474</v>
      </c>
      <c r="F177" s="806">
        <f t="shared" si="4"/>
        <v>0.3146026646677052</v>
      </c>
      <c r="G177" s="806">
        <f t="shared" si="4"/>
        <v>0.31267447195802034</v>
      </c>
    </row>
    <row r="178" spans="1:10" x14ac:dyDescent="0.2">
      <c r="A178" s="801" t="s">
        <v>56</v>
      </c>
      <c r="B178" s="806">
        <f>'[1]3FS'!I44</f>
        <v>0.22672445544519987</v>
      </c>
      <c r="C178" s="806">
        <f>'[1]3FS'!J44</f>
        <v>0.27804648723777314</v>
      </c>
      <c r="D178" s="806">
        <f>'[1]3FS'!K44</f>
        <v>0.2775416634254666</v>
      </c>
      <c r="E178" s="806">
        <f>'[1]3FS'!L44</f>
        <v>0.2793110808466846</v>
      </c>
      <c r="F178" s="806">
        <f>'[1]3FS'!M44</f>
        <v>0.28012094954026051</v>
      </c>
      <c r="G178" s="806">
        <f>'[1]3FS'!N44</f>
        <v>0.28032496472627333</v>
      </c>
    </row>
    <row r="179" spans="1:10" x14ac:dyDescent="0.2">
      <c r="A179" s="801" t="s">
        <v>1285</v>
      </c>
      <c r="B179" s="800">
        <f>'[1]3FS'!I187</f>
        <v>-377426</v>
      </c>
      <c r="C179" s="800">
        <f>'[1]3FS'!J187</f>
        <v>-181828.14602436282</v>
      </c>
      <c r="D179" s="800">
        <f>'[1]3FS'!K187</f>
        <v>-203316.71061345292</v>
      </c>
      <c r="E179" s="800">
        <f>'[1]3FS'!L187</f>
        <v>-227852.48944999449</v>
      </c>
      <c r="F179" s="800">
        <f>'[1]3FS'!M187</f>
        <v>-264626.86568560253</v>
      </c>
      <c r="G179" s="800">
        <f>'[1]3FS'!N187</f>
        <v>-324286.46377003501</v>
      </c>
    </row>
    <row r="180" spans="1:10" x14ac:dyDescent="0.2">
      <c r="A180" s="801" t="s">
        <v>1284</v>
      </c>
      <c r="B180" s="806">
        <f t="shared" ref="B180:G180" si="5">-B179/B174</f>
        <v>5.2556596449819498E-2</v>
      </c>
      <c r="C180" s="806">
        <f t="shared" si="5"/>
        <v>2.342989247144129E-2</v>
      </c>
      <c r="D180" s="806">
        <f t="shared" si="5"/>
        <v>2.342989247144129E-2</v>
      </c>
      <c r="E180" s="806">
        <f t="shared" si="5"/>
        <v>2.342989247144129E-2</v>
      </c>
      <c r="F180" s="806">
        <f t="shared" si="5"/>
        <v>2.342989247144129E-2</v>
      </c>
      <c r="G180" s="806">
        <f t="shared" si="5"/>
        <v>2.342989247144129E-2</v>
      </c>
    </row>
    <row r="181" spans="1:10" x14ac:dyDescent="0.2">
      <c r="A181" s="801" t="s">
        <v>1283</v>
      </c>
      <c r="B181" s="793"/>
      <c r="C181" s="800">
        <f>'[1]lbo(yx)'!J135</f>
        <v>1514134.6033732034</v>
      </c>
      <c r="D181" s="800">
        <f>'[1]lbo(yx)'!K135</f>
        <v>1912483.9557789552</v>
      </c>
      <c r="E181" s="800">
        <f>'[1]lbo(yx)'!L135</f>
        <v>2173726.6388168512</v>
      </c>
      <c r="F181" s="800">
        <f>'[1]lbo(yx)'!M135</f>
        <v>2560386.9921725974</v>
      </c>
      <c r="G181" s="800">
        <f>'[1]lbo(yx)'!N135</f>
        <v>3163214.3506530263</v>
      </c>
    </row>
    <row r="182" spans="1:10" x14ac:dyDescent="0.2">
      <c r="A182" s="805" t="s">
        <v>1282</v>
      </c>
      <c r="B182" s="789"/>
      <c r="C182" s="804">
        <f>C181/C174</f>
        <v>0.19510736769855858</v>
      </c>
      <c r="D182" s="804">
        <f>D181/D174</f>
        <v>0.22039159153252941</v>
      </c>
      <c r="E182" s="804">
        <f>E181/E174</f>
        <v>0.22352260242021049</v>
      </c>
      <c r="F182" s="804">
        <f>F181/F174</f>
        <v>0.22669501736514269</v>
      </c>
      <c r="G182" s="804">
        <f>G181/G174</f>
        <v>0.22854414346593738</v>
      </c>
    </row>
    <row r="185" spans="1:10" x14ac:dyDescent="0.2">
      <c r="A185" s="788" t="s">
        <v>1281</v>
      </c>
      <c r="B185" s="787"/>
      <c r="C185" s="787"/>
      <c r="D185" s="787"/>
      <c r="E185" s="787"/>
      <c r="F185" s="787"/>
      <c r="G185" s="787"/>
      <c r="H185" s="787"/>
      <c r="I185" s="787"/>
      <c r="J185" s="787"/>
    </row>
    <row r="186" spans="1:10" x14ac:dyDescent="0.2">
      <c r="A186" s="803" t="s">
        <v>1280</v>
      </c>
      <c r="B186" s="802" t="s">
        <v>1279</v>
      </c>
      <c r="C186" s="802" t="s">
        <v>1181</v>
      </c>
      <c r="D186" s="802" t="s">
        <v>205</v>
      </c>
      <c r="E186" s="802" t="s">
        <v>201</v>
      </c>
    </row>
    <row r="187" spans="1:10" x14ac:dyDescent="0.2">
      <c r="A187" s="801" t="s">
        <v>1278</v>
      </c>
      <c r="B187" s="800">
        <f>'[1]lbo(yx)'!D41</f>
        <v>1559.8789999999999</v>
      </c>
      <c r="C187" s="799">
        <f>'[1]lbo(yx)'!E41</f>
        <v>0.5</v>
      </c>
      <c r="D187" s="798" t="s">
        <v>1277</v>
      </c>
      <c r="E187" s="797" t="s">
        <v>1276</v>
      </c>
    </row>
    <row r="188" spans="1:10" x14ac:dyDescent="0.2">
      <c r="A188" s="801" t="s">
        <v>1275</v>
      </c>
      <c r="B188" s="800">
        <f>'[1]lbo(yx)'!D42</f>
        <v>3119.7579999999998</v>
      </c>
      <c r="C188" s="799">
        <f>'[1]lbo(yx)'!E42</f>
        <v>1</v>
      </c>
      <c r="D188" s="798" t="s">
        <v>1274</v>
      </c>
      <c r="E188" s="797" t="s">
        <v>1273</v>
      </c>
    </row>
    <row r="189" spans="1:10" x14ac:dyDescent="0.2">
      <c r="A189" s="801" t="s">
        <v>1206</v>
      </c>
      <c r="B189" s="800">
        <f>'[1]lbo(yx)'!D43</f>
        <v>9359.2739999999994</v>
      </c>
      <c r="C189" s="799">
        <f>'[1]lbo(yx)'!E43</f>
        <v>3</v>
      </c>
      <c r="D189" s="798" t="s">
        <v>1272</v>
      </c>
      <c r="E189" s="797" t="s">
        <v>1271</v>
      </c>
    </row>
    <row r="190" spans="1:10" x14ac:dyDescent="0.2">
      <c r="A190" s="801" t="s">
        <v>1270</v>
      </c>
      <c r="B190" s="800">
        <f>'[1]lbo(yx)'!D44</f>
        <v>3119.7579999999998</v>
      </c>
      <c r="C190" s="799">
        <f>'[1]lbo(yx)'!E44</f>
        <v>1</v>
      </c>
      <c r="D190" s="798" t="s">
        <v>1269</v>
      </c>
      <c r="E190" s="797" t="s">
        <v>1268</v>
      </c>
    </row>
    <row r="191" spans="1:10" x14ac:dyDescent="0.2">
      <c r="A191" s="796" t="s">
        <v>347</v>
      </c>
      <c r="B191" s="795">
        <f>SUM(B187:B190)</f>
        <v>17158.669000000002</v>
      </c>
      <c r="C191" s="794">
        <f>SUM(C187:C190)</f>
        <v>5.5</v>
      </c>
      <c r="D191" s="793"/>
      <c r="E191" s="793"/>
    </row>
    <row r="192" spans="1:10" x14ac:dyDescent="0.2">
      <c r="A192" s="792" t="s">
        <v>1267</v>
      </c>
      <c r="B192" s="791">
        <f>'[1]lbo(yx)'!D46</f>
        <v>32952.418669999999</v>
      </c>
      <c r="C192" s="790">
        <f>'[1]lbo(yx)'!E46</f>
        <v>10.562491920847707</v>
      </c>
      <c r="D192" s="789"/>
      <c r="E192" s="789"/>
    </row>
    <row r="195" spans="1:10" x14ac:dyDescent="0.2">
      <c r="A195" s="788" t="s">
        <v>1266</v>
      </c>
      <c r="B195" s="787"/>
      <c r="C195" s="787"/>
      <c r="D195" s="787"/>
      <c r="E195" s="787"/>
      <c r="F195" s="787"/>
      <c r="G195" s="787"/>
      <c r="H195" s="787"/>
      <c r="I195" s="787"/>
      <c r="J195" s="787"/>
    </row>
    <row r="196" spans="1:10" x14ac:dyDescent="0.2">
      <c r="A196" s="786" t="s">
        <v>1265</v>
      </c>
      <c r="B196" s="785" t="s">
        <v>1264</v>
      </c>
      <c r="C196" s="785" t="s">
        <v>1263</v>
      </c>
    </row>
    <row r="197" spans="1:10" x14ac:dyDescent="0.2">
      <c r="A197" s="784" t="s">
        <v>756</v>
      </c>
      <c r="B197" s="783">
        <f>F7/SUM(F7:F9)</f>
        <v>0.56471063332033644</v>
      </c>
      <c r="C197" s="783">
        <f>J7/SUM(J7:J9)</f>
        <v>0.58669819030022841</v>
      </c>
    </row>
    <row r="198" spans="1:10" x14ac:dyDescent="0.2">
      <c r="A198" s="784" t="s">
        <v>1262</v>
      </c>
      <c r="B198" s="783">
        <f>F8/SUM(F7:F9)</f>
        <v>0.39380604912827938</v>
      </c>
      <c r="C198" s="783">
        <f>J8/SUM(J7:J9)</f>
        <v>0.39341373014143793</v>
      </c>
    </row>
    <row r="199" spans="1:10" x14ac:dyDescent="0.2">
      <c r="A199" s="784" t="s">
        <v>758</v>
      </c>
      <c r="B199" s="783">
        <f>F9/SUM(F7:F9)</f>
        <v>4.1483317551384173E-2</v>
      </c>
      <c r="C199" s="783">
        <f>J9/SUM(J7:J9)</f>
        <v>1.9888079558333625E-2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6495E-7B82-244D-BE8D-6CBB30E5B387}">
  <sheetPr>
    <tabColor theme="0" tint="-0.14999847407452621"/>
  </sheetPr>
  <dimension ref="B2:O47"/>
  <sheetViews>
    <sheetView showGridLines="0" zoomScale="59" zoomScaleNormal="100" workbookViewId="0">
      <selection activeCell="C47" sqref="C47:D47"/>
    </sheetView>
  </sheetViews>
  <sheetFormatPr baseColWidth="10" defaultColWidth="10.83203125" defaultRowHeight="15" x14ac:dyDescent="0.2"/>
  <cols>
    <col min="2" max="2" width="27.1640625" bestFit="1" customWidth="1"/>
    <col min="3" max="4" width="12.6640625" bestFit="1" customWidth="1"/>
    <col min="5" max="5" width="11.33203125" bestFit="1" customWidth="1"/>
    <col min="6" max="7" width="12.1640625" bestFit="1" customWidth="1"/>
    <col min="8" max="8" width="13.1640625" bestFit="1" customWidth="1"/>
    <col min="9" max="9" width="18" customWidth="1"/>
    <col min="10" max="10" width="13.1640625" bestFit="1" customWidth="1"/>
    <col min="11" max="14" width="13.83203125" bestFit="1" customWidth="1"/>
    <col min="15" max="15" width="13.6640625" bestFit="1" customWidth="1"/>
  </cols>
  <sheetData>
    <row r="2" spans="2:15" x14ac:dyDescent="0.2">
      <c r="B2" s="33" t="s">
        <v>232</v>
      </c>
      <c r="C2" s="33"/>
      <c r="D2" s="33"/>
      <c r="E2" s="34" t="s">
        <v>29</v>
      </c>
      <c r="F2" s="35">
        <v>21</v>
      </c>
      <c r="G2" s="35">
        <v>22</v>
      </c>
      <c r="H2" s="35">
        <v>23</v>
      </c>
      <c r="I2" s="35">
        <v>24</v>
      </c>
      <c r="J2" s="35">
        <v>25</v>
      </c>
      <c r="K2" s="36">
        <v>26</v>
      </c>
      <c r="L2" s="36">
        <v>27</v>
      </c>
      <c r="M2" s="36">
        <v>28</v>
      </c>
      <c r="N2" s="36">
        <v>29</v>
      </c>
      <c r="O2" s="36">
        <v>30</v>
      </c>
    </row>
    <row r="4" spans="2:15" x14ac:dyDescent="0.2">
      <c r="B4" s="52" t="s">
        <v>233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2:15" x14ac:dyDescent="0.2">
      <c r="B5" s="95" t="s">
        <v>234</v>
      </c>
      <c r="C5" s="94"/>
      <c r="D5" s="94"/>
      <c r="E5" s="96" t="s">
        <v>33</v>
      </c>
      <c r="F5" s="94">
        <v>6533700</v>
      </c>
      <c r="G5" s="94">
        <v>2236900</v>
      </c>
      <c r="H5" s="94">
        <v>1457500</v>
      </c>
      <c r="I5" s="94">
        <v>3430400</v>
      </c>
      <c r="J5" s="94">
        <v>3322800</v>
      </c>
      <c r="K5" s="94">
        <v>3356914.381188707</v>
      </c>
      <c r="L5" s="94">
        <v>3774086.2649983908</v>
      </c>
      <c r="M5" s="94">
        <v>4671798.4195604352</v>
      </c>
      <c r="N5" s="94">
        <v>6261933.7810055558</v>
      </c>
      <c r="O5" s="94">
        <v>8996525.8562381584</v>
      </c>
    </row>
    <row r="6" spans="2:15" x14ac:dyDescent="0.2">
      <c r="B6" s="1" t="s">
        <v>235</v>
      </c>
      <c r="C6" s="1"/>
      <c r="D6" s="1"/>
      <c r="E6" s="43" t="s">
        <v>33</v>
      </c>
      <c r="F6" s="50">
        <v>346300</v>
      </c>
      <c r="G6" s="50">
        <v>119400</v>
      </c>
      <c r="H6" s="50">
        <v>96000</v>
      </c>
      <c r="I6" s="50">
        <v>345600</v>
      </c>
      <c r="J6" s="50">
        <v>479700</v>
      </c>
      <c r="K6" s="50">
        <v>519600.78864324419</v>
      </c>
      <c r="L6" s="50">
        <v>562932.71472782851</v>
      </c>
      <c r="M6" s="50">
        <v>614614.99940719537</v>
      </c>
      <c r="N6" s="50">
        <v>676099.67525163235</v>
      </c>
      <c r="O6" s="50">
        <v>749104.36763286148</v>
      </c>
    </row>
    <row r="7" spans="2:15" x14ac:dyDescent="0.2">
      <c r="B7" s="1" t="s">
        <v>236</v>
      </c>
      <c r="C7" s="1"/>
      <c r="D7" s="1"/>
      <c r="E7" s="43" t="s">
        <v>33</v>
      </c>
      <c r="F7" s="50">
        <v>0</v>
      </c>
      <c r="G7" s="50">
        <v>0</v>
      </c>
      <c r="H7" s="50">
        <v>23600</v>
      </c>
      <c r="I7" s="50">
        <v>210200</v>
      </c>
      <c r="J7" s="50">
        <v>252800</v>
      </c>
      <c r="K7" s="50">
        <v>256010.30802616157</v>
      </c>
      <c r="L7" s="50">
        <v>266582.21186081594</v>
      </c>
      <c r="M7" s="50">
        <v>285267.43157572049</v>
      </c>
      <c r="N7" s="50">
        <v>313260.25183432101</v>
      </c>
      <c r="O7" s="50">
        <v>352264.33035172976</v>
      </c>
    </row>
    <row r="8" spans="2:15" x14ac:dyDescent="0.2">
      <c r="B8" s="67" t="s">
        <v>237</v>
      </c>
      <c r="C8" s="67"/>
      <c r="D8" s="67"/>
      <c r="E8" s="68" t="s">
        <v>33</v>
      </c>
      <c r="F8" s="69">
        <v>6880000</v>
      </c>
      <c r="G8" s="69">
        <v>2356300</v>
      </c>
      <c r="H8" s="69">
        <v>1577100</v>
      </c>
      <c r="I8" s="69">
        <v>3986200</v>
      </c>
      <c r="J8" s="69">
        <v>4055300</v>
      </c>
      <c r="K8" s="69">
        <v>4132525.4778581127</v>
      </c>
      <c r="L8" s="69">
        <v>4603601.1915870355</v>
      </c>
      <c r="M8" s="69">
        <v>5571680.8505433509</v>
      </c>
      <c r="N8" s="69">
        <v>7251293.7080915086</v>
      </c>
      <c r="O8" s="69">
        <v>10097894.55422275</v>
      </c>
    </row>
    <row r="9" spans="2:15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2:15" x14ac:dyDescent="0.2">
      <c r="B10" s="52" t="s">
        <v>238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2:15" x14ac:dyDescent="0.2">
      <c r="B11" s="95" t="s">
        <v>239</v>
      </c>
      <c r="C11" s="94"/>
      <c r="D11" s="94"/>
      <c r="E11" s="96" t="s">
        <v>33</v>
      </c>
      <c r="F11" s="94">
        <v>0</v>
      </c>
      <c r="G11" s="94">
        <v>593000</v>
      </c>
      <c r="H11" s="94">
        <v>693600</v>
      </c>
      <c r="I11" s="94">
        <v>910500</v>
      </c>
      <c r="J11" s="94">
        <v>1348800</v>
      </c>
      <c r="K11" s="94">
        <v>1577801.345252035</v>
      </c>
      <c r="L11" s="94">
        <v>2019355.9877862192</v>
      </c>
      <c r="M11" s="94">
        <v>2122213.9655797798</v>
      </c>
      <c r="N11" s="94">
        <v>2215411.9150220342</v>
      </c>
      <c r="O11" s="94">
        <v>2390793.8120092787</v>
      </c>
    </row>
    <row r="12" spans="2:15" x14ac:dyDescent="0.2">
      <c r="B12" s="1" t="s">
        <v>240</v>
      </c>
      <c r="C12" s="1"/>
      <c r="D12" s="1"/>
      <c r="E12" s="43" t="s">
        <v>33</v>
      </c>
      <c r="F12" s="91">
        <v>223200</v>
      </c>
      <c r="G12" s="91">
        <v>275500</v>
      </c>
      <c r="H12" s="91">
        <v>305100</v>
      </c>
      <c r="I12" s="91">
        <v>705700</v>
      </c>
      <c r="J12" s="91">
        <v>677300</v>
      </c>
      <c r="K12" s="91">
        <v>1094839.7052919746</v>
      </c>
      <c r="L12" s="91">
        <v>1131520.4980073632</v>
      </c>
      <c r="M12" s="91">
        <v>1256802.6815206134</v>
      </c>
      <c r="N12" s="91">
        <v>1347407.8171095345</v>
      </c>
      <c r="O12" s="91">
        <v>1408713.5943951199</v>
      </c>
    </row>
    <row r="13" spans="2:15" x14ac:dyDescent="0.2">
      <c r="B13" s="1" t="s">
        <v>241</v>
      </c>
      <c r="C13" s="1"/>
      <c r="D13" s="1"/>
      <c r="E13" s="43" t="s">
        <v>33</v>
      </c>
      <c r="F13" s="91">
        <v>22500</v>
      </c>
      <c r="G13" s="91">
        <v>327000</v>
      </c>
      <c r="H13" s="91">
        <v>119900</v>
      </c>
      <c r="I13" s="91">
        <v>265800</v>
      </c>
      <c r="J13" s="91">
        <v>247100</v>
      </c>
      <c r="K13" s="91">
        <v>450893.47105197998</v>
      </c>
      <c r="L13" s="91">
        <v>548607.64567449572</v>
      </c>
      <c r="M13" s="91">
        <v>518406.54979730723</v>
      </c>
      <c r="N13" s="91">
        <v>553330.17627287318</v>
      </c>
      <c r="O13" s="91">
        <v>595223.88494741218</v>
      </c>
    </row>
    <row r="14" spans="2:15" x14ac:dyDescent="0.2">
      <c r="B14" s="1" t="s">
        <v>242</v>
      </c>
      <c r="C14" s="1"/>
      <c r="D14" s="1"/>
      <c r="E14" s="43" t="s">
        <v>33</v>
      </c>
      <c r="F14" s="91">
        <v>136300</v>
      </c>
      <c r="G14" s="91">
        <v>79800</v>
      </c>
      <c r="H14" s="91">
        <v>19700</v>
      </c>
      <c r="I14" s="91">
        <v>141600</v>
      </c>
      <c r="J14" s="91">
        <v>0</v>
      </c>
      <c r="K14" s="91">
        <v>0</v>
      </c>
      <c r="L14" s="91">
        <v>0</v>
      </c>
      <c r="M14" s="91">
        <v>0</v>
      </c>
      <c r="N14" s="91">
        <v>0</v>
      </c>
      <c r="O14" s="91">
        <v>0</v>
      </c>
    </row>
    <row r="15" spans="2:15" x14ac:dyDescent="0.2">
      <c r="B15" s="1" t="s">
        <v>243</v>
      </c>
      <c r="C15" s="1"/>
      <c r="D15" s="1"/>
      <c r="E15" s="43" t="s">
        <v>33</v>
      </c>
      <c r="F15" s="91">
        <v>113100</v>
      </c>
      <c r="G15" s="91">
        <v>111300</v>
      </c>
      <c r="H15" s="91">
        <v>120100</v>
      </c>
      <c r="I15" s="91">
        <v>283400</v>
      </c>
      <c r="J15" s="91">
        <v>554800</v>
      </c>
      <c r="K15" s="91">
        <v>554036.82583539572</v>
      </c>
      <c r="L15" s="91">
        <v>575483.04133067071</v>
      </c>
      <c r="M15" s="91">
        <v>663983.33031767095</v>
      </c>
      <c r="N15" s="91">
        <v>746245.36264896032</v>
      </c>
      <c r="O15" s="91">
        <v>798073.24647529877</v>
      </c>
    </row>
    <row r="16" spans="2:15" x14ac:dyDescent="0.2">
      <c r="B16" s="67" t="s">
        <v>244</v>
      </c>
      <c r="C16" s="67"/>
      <c r="D16" s="67"/>
      <c r="E16" s="68" t="s">
        <v>33</v>
      </c>
      <c r="F16" s="69">
        <v>495100</v>
      </c>
      <c r="G16" s="69">
        <v>1386600</v>
      </c>
      <c r="H16" s="69">
        <v>1258400</v>
      </c>
      <c r="I16" s="69">
        <v>2307000</v>
      </c>
      <c r="J16" s="69">
        <v>2828000</v>
      </c>
      <c r="K16" s="69">
        <v>3677571.347431385</v>
      </c>
      <c r="L16" s="69">
        <v>4274967.1727987491</v>
      </c>
      <c r="M16" s="69">
        <v>4561406.5272153709</v>
      </c>
      <c r="N16" s="69">
        <v>4862395.2710534027</v>
      </c>
      <c r="O16" s="69">
        <v>5192804.537827109</v>
      </c>
    </row>
    <row r="18" spans="2:15" x14ac:dyDescent="0.2">
      <c r="B18" s="500" t="s">
        <v>914</v>
      </c>
      <c r="C18" s="501"/>
      <c r="D18" s="501"/>
      <c r="E18" s="502" t="s">
        <v>33</v>
      </c>
      <c r="F18" s="501"/>
      <c r="G18" s="501"/>
      <c r="H18" s="504">
        <v>16800000</v>
      </c>
      <c r="I18" s="504">
        <v>23300000</v>
      </c>
      <c r="J18" s="504">
        <v>22700000</v>
      </c>
      <c r="K18" s="506">
        <f>K12/K19</f>
        <v>36494656.843065821</v>
      </c>
      <c r="L18" s="506">
        <f t="shared" ref="L18:O18" si="0">L12/L19</f>
        <v>37717349.933578774</v>
      </c>
      <c r="M18" s="506">
        <f t="shared" si="0"/>
        <v>41893422.717353784</v>
      </c>
      <c r="N18" s="506">
        <f t="shared" si="0"/>
        <v>44913593.903651156</v>
      </c>
      <c r="O18" s="506">
        <f t="shared" si="0"/>
        <v>46957119.813170664</v>
      </c>
    </row>
    <row r="19" spans="2:15" x14ac:dyDescent="0.2">
      <c r="B19" s="500" t="s">
        <v>915</v>
      </c>
      <c r="C19" s="501"/>
      <c r="D19" s="501"/>
      <c r="E19" s="502" t="s">
        <v>36</v>
      </c>
      <c r="F19" s="501"/>
      <c r="G19" s="501"/>
      <c r="H19" s="503">
        <f>H12/H18</f>
        <v>1.8160714285714287E-2</v>
      </c>
      <c r="I19" s="503">
        <f t="shared" ref="I19:J19" si="1">I12/I18</f>
        <v>3.028755364806867E-2</v>
      </c>
      <c r="J19" s="503">
        <f t="shared" si="1"/>
        <v>2.9837004405286343E-2</v>
      </c>
      <c r="K19" s="505">
        <v>0.03</v>
      </c>
      <c r="L19" s="505">
        <v>0.03</v>
      </c>
      <c r="M19" s="505">
        <v>0.03</v>
      </c>
      <c r="N19" s="505">
        <v>0.03</v>
      </c>
      <c r="O19" s="505">
        <v>0.03</v>
      </c>
    </row>
    <row r="21" spans="2:15" x14ac:dyDescent="0.2">
      <c r="B21" s="30" t="s">
        <v>916</v>
      </c>
    </row>
    <row r="22" spans="2:15" x14ac:dyDescent="0.2">
      <c r="I22" s="1" t="s">
        <v>40</v>
      </c>
      <c r="J22" s="50">
        <v>-1020230</v>
      </c>
      <c r="K22" s="50">
        <v>-1087847.810170586</v>
      </c>
    </row>
    <row r="23" spans="2:15" x14ac:dyDescent="0.2">
      <c r="I23" s="1" t="s">
        <v>41</v>
      </c>
      <c r="J23" s="50">
        <v>-1058577</v>
      </c>
      <c r="K23" s="50">
        <v>-787027.42871742952</v>
      </c>
    </row>
    <row r="24" spans="2:15" x14ac:dyDescent="0.2">
      <c r="B24" s="52" t="s">
        <v>233</v>
      </c>
      <c r="C24" s="35">
        <v>25</v>
      </c>
      <c r="D24" s="36">
        <v>26</v>
      </c>
      <c r="I24" s="1" t="s">
        <v>42</v>
      </c>
      <c r="J24" s="50">
        <v>-1619642</v>
      </c>
      <c r="K24" s="50">
        <v>-1875931.0394125634</v>
      </c>
    </row>
    <row r="25" spans="2:15" x14ac:dyDescent="0.2">
      <c r="B25" s="95" t="s">
        <v>234</v>
      </c>
      <c r="C25" s="94">
        <v>3322800</v>
      </c>
      <c r="D25" s="94">
        <v>3356914.381188707</v>
      </c>
      <c r="I25" s="1" t="s">
        <v>43</v>
      </c>
      <c r="J25" s="50">
        <v>-1670605</v>
      </c>
      <c r="K25" s="50">
        <v>-1515771.1671452657</v>
      </c>
    </row>
    <row r="26" spans="2:15" x14ac:dyDescent="0.2">
      <c r="B26" s="1" t="s">
        <v>235</v>
      </c>
      <c r="C26" s="50">
        <v>479700</v>
      </c>
      <c r="D26" s="50">
        <v>519600.78864324419</v>
      </c>
      <c r="I26" s="1"/>
      <c r="J26" s="50"/>
      <c r="K26" s="50"/>
    </row>
    <row r="27" spans="2:15" x14ac:dyDescent="0.2">
      <c r="B27" s="1" t="s">
        <v>236</v>
      </c>
      <c r="C27" s="50">
        <v>252800</v>
      </c>
      <c r="D27" s="50">
        <v>256010.30802616157</v>
      </c>
      <c r="I27" s="1" t="s">
        <v>45</v>
      </c>
      <c r="J27" s="50">
        <v>-363406</v>
      </c>
      <c r="K27" s="50">
        <v>-306627.4536292305</v>
      </c>
    </row>
    <row r="28" spans="2:15" x14ac:dyDescent="0.2">
      <c r="B28" s="67" t="s">
        <v>237</v>
      </c>
      <c r="C28" s="69">
        <v>4055300</v>
      </c>
      <c r="D28" s="69">
        <v>4132525.4778581127</v>
      </c>
      <c r="I28" s="1" t="s">
        <v>46</v>
      </c>
      <c r="J28" s="50">
        <v>7280</v>
      </c>
      <c r="K28" s="50">
        <v>0</v>
      </c>
    </row>
    <row r="29" spans="2:15" x14ac:dyDescent="0.2">
      <c r="B29" s="1"/>
      <c r="C29" s="1"/>
      <c r="D29" s="1"/>
      <c r="I29" s="67" t="s">
        <v>47</v>
      </c>
      <c r="J29" s="69">
        <v>-5725180</v>
      </c>
      <c r="K29" s="69">
        <v>-5573204.8990750751</v>
      </c>
    </row>
    <row r="30" spans="2:15" x14ac:dyDescent="0.2">
      <c r="B30" s="52" t="s">
        <v>238</v>
      </c>
      <c r="C30" s="1"/>
      <c r="D30" s="1"/>
      <c r="I30" s="1"/>
      <c r="J30" s="91"/>
      <c r="K30" s="91"/>
    </row>
    <row r="31" spans="2:15" x14ac:dyDescent="0.2">
      <c r="B31" s="95" t="s">
        <v>239</v>
      </c>
      <c r="C31" s="94">
        <v>1348800</v>
      </c>
      <c r="D31" s="94">
        <v>1577801.345252035</v>
      </c>
      <c r="I31" s="1"/>
      <c r="J31" s="35">
        <v>25</v>
      </c>
      <c r="K31" s="36">
        <v>26</v>
      </c>
    </row>
    <row r="32" spans="2:15" x14ac:dyDescent="0.2">
      <c r="B32" s="1" t="s">
        <v>240</v>
      </c>
      <c r="C32" s="91">
        <v>677300</v>
      </c>
      <c r="D32" s="91">
        <v>1094839.7052919746</v>
      </c>
      <c r="I32" s="1" t="s">
        <v>40</v>
      </c>
      <c r="J32" s="120">
        <f>J22/$J$29</f>
        <v>0.1782005107263003</v>
      </c>
      <c r="K32" s="120">
        <f>K22/$K$29</f>
        <v>0.19519250231605956</v>
      </c>
    </row>
    <row r="33" spans="2:11" x14ac:dyDescent="0.2">
      <c r="B33" s="1" t="s">
        <v>241</v>
      </c>
      <c r="C33" s="91">
        <v>247100</v>
      </c>
      <c r="D33" s="91">
        <v>450893.47105197998</v>
      </c>
      <c r="I33" s="1" t="s">
        <v>41</v>
      </c>
      <c r="J33" s="120">
        <f t="shared" ref="J33:J35" si="2">J23/$J$29</f>
        <v>0.18489846607442911</v>
      </c>
      <c r="K33" s="120">
        <f t="shared" ref="K33:K35" si="3">K23/$K$29</f>
        <v>0.14121630964044476</v>
      </c>
    </row>
    <row r="34" spans="2:11" x14ac:dyDescent="0.2">
      <c r="B34" s="1" t="s">
        <v>242</v>
      </c>
      <c r="C34" s="91">
        <v>0</v>
      </c>
      <c r="D34" s="91">
        <v>0</v>
      </c>
      <c r="I34" s="1" t="s">
        <v>42</v>
      </c>
      <c r="J34" s="120">
        <f t="shared" si="2"/>
        <v>0.28289800495355605</v>
      </c>
      <c r="K34" s="120">
        <f t="shared" si="3"/>
        <v>0.33659825421525263</v>
      </c>
    </row>
    <row r="35" spans="2:11" x14ac:dyDescent="0.2">
      <c r="B35" s="1" t="s">
        <v>243</v>
      </c>
      <c r="C35" s="91">
        <v>554800</v>
      </c>
      <c r="D35" s="91">
        <v>554036.82583539572</v>
      </c>
      <c r="I35" s="1" t="s">
        <v>43</v>
      </c>
      <c r="J35" s="120">
        <f t="shared" si="2"/>
        <v>0.29179955914049865</v>
      </c>
      <c r="K35" s="120">
        <f t="shared" si="3"/>
        <v>0.27197477835362233</v>
      </c>
    </row>
    <row r="36" spans="2:11" x14ac:dyDescent="0.2">
      <c r="B36" s="67" t="s">
        <v>244</v>
      </c>
      <c r="C36" s="69">
        <v>2828000</v>
      </c>
      <c r="D36" s="69">
        <v>3677571.347431385</v>
      </c>
      <c r="I36" s="1" t="s">
        <v>45</v>
      </c>
      <c r="J36" s="120">
        <f t="shared" ref="J36:J37" si="4">J27/$J$29</f>
        <v>6.3475034846065981E-2</v>
      </c>
      <c r="K36" s="120">
        <f t="shared" ref="K36:K37" si="5">K27/$K$29</f>
        <v>5.5018155474620745E-2</v>
      </c>
    </row>
    <row r="37" spans="2:11" x14ac:dyDescent="0.2">
      <c r="I37" s="1" t="s">
        <v>46</v>
      </c>
      <c r="J37" s="120">
        <f t="shared" si="4"/>
        <v>-1.2715757408500693E-3</v>
      </c>
      <c r="K37" s="120">
        <f t="shared" si="5"/>
        <v>0</v>
      </c>
    </row>
    <row r="38" spans="2:11" x14ac:dyDescent="0.2">
      <c r="C38" s="35">
        <v>25</v>
      </c>
      <c r="D38" s="36">
        <v>26</v>
      </c>
      <c r="I38" s="67" t="s">
        <v>47</v>
      </c>
      <c r="J38" s="69">
        <v>-5725180</v>
      </c>
      <c r="K38" s="69">
        <v>-5573204.8990750751</v>
      </c>
    </row>
    <row r="39" spans="2:11" x14ac:dyDescent="0.2">
      <c r="B39" s="67" t="s">
        <v>237</v>
      </c>
      <c r="C39" s="508">
        <f>C28/C41</f>
        <v>0.58915055278718054</v>
      </c>
      <c r="D39" s="508">
        <f>D28/D41</f>
        <v>0.52912602369752726</v>
      </c>
    </row>
    <row r="40" spans="2:11" x14ac:dyDescent="0.2">
      <c r="B40" s="67" t="s">
        <v>244</v>
      </c>
      <c r="C40" s="508">
        <f>C36/C41</f>
        <v>0.41084944721281941</v>
      </c>
      <c r="D40" s="508">
        <f>D36/D41</f>
        <v>0.47087397630247285</v>
      </c>
    </row>
    <row r="41" spans="2:11" x14ac:dyDescent="0.2">
      <c r="C41" s="507">
        <f>SUM(C28,C36)</f>
        <v>6883300</v>
      </c>
      <c r="D41" s="507">
        <f>SUM(D28,D36)</f>
        <v>7810096.8252894972</v>
      </c>
    </row>
    <row r="44" spans="2:11" x14ac:dyDescent="0.2">
      <c r="C44" s="35">
        <v>25</v>
      </c>
      <c r="D44" s="36">
        <v>26</v>
      </c>
    </row>
    <row r="45" spans="2:11" x14ac:dyDescent="0.2">
      <c r="B45" s="67" t="s">
        <v>237</v>
      </c>
      <c r="C45" s="508">
        <v>0.58915055278718054</v>
      </c>
      <c r="D45" s="508">
        <v>0.52912602369752726</v>
      </c>
    </row>
    <row r="46" spans="2:11" x14ac:dyDescent="0.2">
      <c r="B46" s="67" t="s">
        <v>244</v>
      </c>
      <c r="C46" s="508">
        <v>0.41084944721281941</v>
      </c>
      <c r="D46" s="508">
        <v>0.47087397630247285</v>
      </c>
    </row>
    <row r="47" spans="2:11" x14ac:dyDescent="0.2">
      <c r="B47" s="67" t="s">
        <v>47</v>
      </c>
      <c r="C47" s="69">
        <f>-J38/1000000</f>
        <v>5.7251799999999999</v>
      </c>
      <c r="D47" s="69">
        <f>-K38/1000000</f>
        <v>5.5732048990750753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A9BC-33FF-4C6F-9421-6BF2E6F83048}">
  <sheetPr>
    <tabColor theme="0" tint="-0.14999847407452621"/>
  </sheetPr>
  <dimension ref="B2:FG70"/>
  <sheetViews>
    <sheetView showGridLines="0" topLeftCell="AI11" zoomScale="113" workbookViewId="0">
      <selection activeCell="AW23" sqref="AW23"/>
    </sheetView>
  </sheetViews>
  <sheetFormatPr baseColWidth="10" defaultColWidth="9.1640625" defaultRowHeight="14" outlineLevelRow="1" outlineLevelCol="1" x14ac:dyDescent="0.15"/>
  <cols>
    <col min="1" max="1" width="9.1640625" style="1"/>
    <col min="2" max="2" width="25.33203125" style="1" bestFit="1" customWidth="1"/>
    <col min="3" max="3" width="12.33203125" style="1" customWidth="1" outlineLevel="1"/>
    <col min="4" max="4" width="19.1640625" style="1" customWidth="1" outlineLevel="1"/>
    <col min="5" max="5" width="51" style="1" bestFit="1" customWidth="1"/>
    <col min="6" max="6" width="15.1640625" style="1" bestFit="1" customWidth="1"/>
    <col min="7" max="8" width="11" style="1" bestFit="1" customWidth="1"/>
    <col min="9" max="9" width="18.1640625" style="1" bestFit="1" customWidth="1"/>
    <col min="10" max="10" width="11" style="1" bestFit="1" customWidth="1"/>
    <col min="11" max="15" width="15.6640625" style="1" customWidth="1"/>
    <col min="16" max="16" width="10.1640625" style="1" bestFit="1" customWidth="1"/>
    <col min="17" max="18" width="10.1640625" style="1" customWidth="1"/>
    <col min="19" max="20" width="15.6640625" style="1" customWidth="1"/>
    <col min="21" max="21" width="12.5" style="1" bestFit="1" customWidth="1"/>
    <col min="22" max="25" width="12.5" style="1" customWidth="1"/>
    <col min="26" max="26" width="14.1640625" style="1" bestFit="1" customWidth="1"/>
    <col min="27" max="27" width="14.1640625" style="1" customWidth="1"/>
    <col min="28" max="32" width="14.1640625" style="1" bestFit="1" customWidth="1"/>
    <col min="33" max="40" width="10" style="1" customWidth="1"/>
    <col min="41" max="41" width="12.5" style="1" bestFit="1" customWidth="1"/>
    <col min="42" max="45" width="12.5" style="1" customWidth="1"/>
    <col min="46" max="46" width="14.1640625" style="1" bestFit="1" customWidth="1"/>
    <col min="47" max="47" width="14.1640625" style="1" customWidth="1"/>
    <col min="48" max="52" width="14.1640625" style="1" bestFit="1" customWidth="1"/>
    <col min="53" max="55" width="10" style="1" customWidth="1"/>
    <col min="56" max="67" width="9" style="1" customWidth="1"/>
    <col min="68" max="68" width="6.5" style="1" bestFit="1" customWidth="1"/>
    <col min="69" max="69" width="9.33203125" style="1" bestFit="1" customWidth="1"/>
    <col min="70" max="70" width="9.6640625" style="1" bestFit="1" customWidth="1"/>
    <col min="71" max="71" width="9.33203125" style="1" bestFit="1" customWidth="1"/>
    <col min="72" max="73" width="9.6640625" style="1" bestFit="1" customWidth="1"/>
    <col min="74" max="76" width="9.6640625" style="1" customWidth="1"/>
    <col min="77" max="77" width="6.83203125" style="1" bestFit="1" customWidth="1"/>
    <col min="78" max="78" width="9.33203125" style="1" bestFit="1" customWidth="1"/>
    <col min="79" max="79" width="9.6640625" style="1" bestFit="1" customWidth="1"/>
    <col min="80" max="80" width="9.33203125" style="1" bestFit="1" customWidth="1"/>
    <col min="81" max="82" width="9.6640625" style="1" bestFit="1" customWidth="1"/>
    <col min="83" max="83" width="6.83203125" style="1" bestFit="1" customWidth="1"/>
    <col min="84" max="84" width="9.33203125" style="1" bestFit="1" customWidth="1"/>
    <col min="85" max="85" width="9.6640625" style="1" bestFit="1" customWidth="1"/>
    <col min="86" max="86" width="9.33203125" style="1" bestFit="1" customWidth="1"/>
    <col min="87" max="88" width="9.6640625" style="1" bestFit="1" customWidth="1"/>
    <col min="89" max="89" width="5.83203125" style="1" bestFit="1" customWidth="1"/>
    <col min="90" max="90" width="8.83203125" style="1" bestFit="1" customWidth="1"/>
    <col min="91" max="96" width="9.33203125" style="1" bestFit="1" customWidth="1"/>
    <col min="97" max="103" width="9.33203125" style="1" customWidth="1"/>
    <col min="104" max="104" width="6.5" style="1" bestFit="1" customWidth="1"/>
    <col min="105" max="105" width="9.33203125" style="1" bestFit="1" customWidth="1"/>
    <col min="106" max="106" width="9.6640625" style="1" bestFit="1" customWidth="1"/>
    <col min="107" max="107" width="9.33203125" style="1" bestFit="1" customWidth="1"/>
    <col min="108" max="109" width="9.6640625" style="1" bestFit="1" customWidth="1"/>
    <col min="110" max="110" width="6.5" style="1" bestFit="1" customWidth="1"/>
    <col min="111" max="111" width="9.33203125" style="1" bestFit="1" customWidth="1"/>
    <col min="112" max="112" width="9.6640625" style="1" bestFit="1" customWidth="1"/>
    <col min="113" max="113" width="9.33203125" style="1" bestFit="1" customWidth="1"/>
    <col min="114" max="115" width="9.6640625" style="1" bestFit="1" customWidth="1"/>
    <col min="116" max="116" width="6.5" style="1" bestFit="1" customWidth="1"/>
    <col min="117" max="117" width="9.33203125" style="1" bestFit="1" customWidth="1"/>
    <col min="118" max="118" width="9.6640625" style="1" bestFit="1" customWidth="1"/>
    <col min="119" max="119" width="9.33203125" style="1" bestFit="1" customWidth="1"/>
    <col min="120" max="121" width="9.6640625" style="1" bestFit="1" customWidth="1"/>
    <col min="122" max="122" width="15.5" style="1" bestFit="1" customWidth="1"/>
    <col min="123" max="123" width="11.6640625" style="1" bestFit="1" customWidth="1"/>
    <col min="124" max="126" width="15.33203125" style="1" bestFit="1" customWidth="1"/>
    <col min="127" max="127" width="15" style="1" bestFit="1" customWidth="1"/>
    <col min="128" max="128" width="14.83203125" style="1" bestFit="1" customWidth="1"/>
    <col min="129" max="129" width="14.83203125" style="1" customWidth="1"/>
    <col min="130" max="130" width="15.83203125" style="1" bestFit="1" customWidth="1"/>
    <col min="131" max="131" width="10.83203125" style="1" bestFit="1" customWidth="1"/>
    <col min="132" max="132" width="10.83203125" style="1" customWidth="1"/>
    <col min="133" max="134" width="10.83203125" style="1" bestFit="1" customWidth="1"/>
    <col min="135" max="135" width="9.83203125" style="1" bestFit="1" customWidth="1"/>
    <col min="136" max="136" width="10.83203125" style="1" bestFit="1" customWidth="1"/>
    <col min="137" max="137" width="9.83203125" style="1" bestFit="1" customWidth="1"/>
    <col min="138" max="138" width="10" style="1" bestFit="1" customWidth="1"/>
    <col min="139" max="139" width="9.83203125" style="1" bestFit="1" customWidth="1"/>
    <col min="140" max="140" width="23.6640625" style="1" bestFit="1" customWidth="1"/>
    <col min="141" max="156" width="9.1640625" style="1"/>
    <col min="157" max="157" width="15.83203125" style="1" bestFit="1" customWidth="1"/>
    <col min="158" max="158" width="15.83203125" style="1" customWidth="1"/>
    <col min="159" max="159" width="14.5" style="1" bestFit="1" customWidth="1"/>
    <col min="160" max="161" width="14.5" style="1" customWidth="1"/>
    <col min="162" max="162" width="19.33203125" style="1" customWidth="1"/>
    <col min="163" max="163" width="14.5" style="1" customWidth="1"/>
    <col min="164" max="16384" width="9.1640625" style="1"/>
  </cols>
  <sheetData>
    <row r="2" spans="2:163" ht="15" thickBot="1" x14ac:dyDescent="0.2">
      <c r="B2" s="380" t="s">
        <v>917</v>
      </c>
      <c r="C2" s="380"/>
      <c r="D2" s="58"/>
      <c r="E2" s="58"/>
      <c r="F2" s="58"/>
      <c r="G2" s="58"/>
      <c r="H2" s="58"/>
    </row>
    <row r="3" spans="2:163" x14ac:dyDescent="0.15">
      <c r="E3" s="198"/>
    </row>
    <row r="4" spans="2:163" x14ac:dyDescent="0.15">
      <c r="B4" s="381" t="s">
        <v>918</v>
      </c>
      <c r="C4" s="381"/>
      <c r="E4" s="382">
        <v>46113</v>
      </c>
      <c r="F4" s="383"/>
      <c r="G4" s="383"/>
    </row>
    <row r="5" spans="2:163" x14ac:dyDescent="0.15">
      <c r="B5" s="381" t="s">
        <v>919</v>
      </c>
      <c r="C5" s="381"/>
      <c r="E5" s="382" t="s">
        <v>269</v>
      </c>
      <c r="F5" s="384"/>
      <c r="G5" s="384"/>
    </row>
    <row r="6" spans="2:163" x14ac:dyDescent="0.15">
      <c r="B6" s="381" t="s">
        <v>920</v>
      </c>
      <c r="C6" s="381"/>
      <c r="E6" s="385">
        <v>100</v>
      </c>
      <c r="F6" s="384"/>
      <c r="G6" s="384"/>
    </row>
    <row r="7" spans="2:163" x14ac:dyDescent="0.15">
      <c r="B7" s="381" t="s">
        <v>921</v>
      </c>
      <c r="C7" s="381"/>
      <c r="E7" s="385">
        <v>100</v>
      </c>
      <c r="F7" s="384"/>
      <c r="G7" s="384"/>
    </row>
    <row r="8" spans="2:163" x14ac:dyDescent="0.15">
      <c r="B8" s="381" t="s">
        <v>922</v>
      </c>
      <c r="C8" s="381"/>
      <c r="E8" s="385">
        <v>100</v>
      </c>
      <c r="F8" s="384"/>
      <c r="G8" s="384"/>
      <c r="CZ8" s="1" t="s">
        <v>27</v>
      </c>
    </row>
    <row r="9" spans="2:163" x14ac:dyDescent="0.15">
      <c r="B9" s="381" t="s">
        <v>923</v>
      </c>
      <c r="C9" s="381"/>
      <c r="E9" s="385">
        <v>100</v>
      </c>
      <c r="F9" s="384"/>
      <c r="G9" s="384"/>
    </row>
    <row r="10" spans="2:163" x14ac:dyDescent="0.15">
      <c r="B10" s="381" t="s">
        <v>924</v>
      </c>
      <c r="C10" s="381"/>
      <c r="E10" s="385">
        <v>100</v>
      </c>
      <c r="F10" s="384"/>
      <c r="G10" s="384"/>
    </row>
    <row r="11" spans="2:163" x14ac:dyDescent="0.15">
      <c r="B11" s="381"/>
      <c r="C11" s="381"/>
      <c r="E11" s="384"/>
      <c r="F11" s="384"/>
      <c r="G11" s="384"/>
    </row>
    <row r="12" spans="2:163" outlineLevel="1" x14ac:dyDescent="0.15">
      <c r="B12" s="386" t="s">
        <v>925</v>
      </c>
      <c r="C12" s="387"/>
      <c r="D12" s="388"/>
      <c r="E12" s="389"/>
      <c r="F12" s="389"/>
      <c r="G12" s="390" t="s">
        <v>926</v>
      </c>
      <c r="H12" s="388"/>
      <c r="I12" s="388"/>
      <c r="J12" s="388"/>
      <c r="K12" s="388"/>
      <c r="L12" s="388"/>
      <c r="M12" s="388"/>
      <c r="N12" s="388"/>
      <c r="O12" s="390" t="s">
        <v>927</v>
      </c>
      <c r="P12" s="388"/>
      <c r="Q12" s="390" t="s">
        <v>928</v>
      </c>
      <c r="R12" s="390" t="s">
        <v>929</v>
      </c>
      <c r="S12" s="388"/>
      <c r="T12" s="388"/>
      <c r="U12" s="390" t="s">
        <v>930</v>
      </c>
      <c r="V12" s="390" t="s">
        <v>931</v>
      </c>
      <c r="W12" s="390" t="s">
        <v>932</v>
      </c>
      <c r="X12" s="390" t="s">
        <v>933</v>
      </c>
      <c r="Y12" s="390" t="s">
        <v>934</v>
      </c>
      <c r="Z12" s="390" t="s">
        <v>935</v>
      </c>
      <c r="AA12" s="390" t="s">
        <v>935</v>
      </c>
      <c r="AB12" s="390" t="s">
        <v>936</v>
      </c>
      <c r="AC12" s="390" t="s">
        <v>937</v>
      </c>
      <c r="AD12" s="390" t="s">
        <v>938</v>
      </c>
      <c r="AE12" s="390" t="s">
        <v>939</v>
      </c>
      <c r="AF12" s="390" t="s">
        <v>940</v>
      </c>
      <c r="AG12" s="391" t="s">
        <v>930</v>
      </c>
      <c r="AH12" s="390" t="s">
        <v>931</v>
      </c>
      <c r="AI12" s="390" t="s">
        <v>932</v>
      </c>
      <c r="AJ12" s="390" t="s">
        <v>933</v>
      </c>
      <c r="AK12" s="390" t="s">
        <v>934</v>
      </c>
      <c r="AL12" s="391" t="s">
        <v>935</v>
      </c>
      <c r="AM12" s="391" t="s">
        <v>936</v>
      </c>
      <c r="AN12" s="391" t="s">
        <v>937</v>
      </c>
      <c r="AO12" s="390" t="s">
        <v>930</v>
      </c>
      <c r="AP12" s="390" t="s">
        <v>931</v>
      </c>
      <c r="AQ12" s="390" t="s">
        <v>932</v>
      </c>
      <c r="AR12" s="390" t="s">
        <v>933</v>
      </c>
      <c r="AS12" s="390" t="s">
        <v>934</v>
      </c>
      <c r="AT12" s="390" t="s">
        <v>935</v>
      </c>
      <c r="AU12" s="390" t="s">
        <v>935</v>
      </c>
      <c r="AV12" s="390" t="s">
        <v>936</v>
      </c>
      <c r="AW12" s="390" t="s">
        <v>937</v>
      </c>
      <c r="AX12" s="390" t="s">
        <v>938</v>
      </c>
      <c r="AY12" s="390" t="s">
        <v>939</v>
      </c>
      <c r="AZ12" s="390" t="s">
        <v>940</v>
      </c>
      <c r="BA12" s="391" t="s">
        <v>930</v>
      </c>
      <c r="BB12" s="391" t="s">
        <v>936</v>
      </c>
      <c r="BC12" s="391" t="s">
        <v>937</v>
      </c>
      <c r="BD12" s="391" t="s">
        <v>930</v>
      </c>
      <c r="BE12" s="391" t="s">
        <v>936</v>
      </c>
      <c r="BF12" s="391" t="s">
        <v>937</v>
      </c>
      <c r="BG12" s="391" t="s">
        <v>938</v>
      </c>
      <c r="BH12" s="391" t="s">
        <v>939</v>
      </c>
      <c r="BI12" s="391" t="s">
        <v>940</v>
      </c>
      <c r="BJ12" s="391" t="s">
        <v>930</v>
      </c>
      <c r="BK12" s="391" t="s">
        <v>936</v>
      </c>
      <c r="BL12" s="391" t="s">
        <v>937</v>
      </c>
      <c r="BM12" s="391" t="s">
        <v>938</v>
      </c>
      <c r="BN12" s="391" t="s">
        <v>939</v>
      </c>
      <c r="BO12" s="391" t="s">
        <v>940</v>
      </c>
      <c r="CP12" s="1" t="s">
        <v>938</v>
      </c>
      <c r="CQ12" s="1" t="s">
        <v>939</v>
      </c>
      <c r="CR12" s="1" t="s">
        <v>940</v>
      </c>
      <c r="EJ12" s="391" t="s">
        <v>930</v>
      </c>
      <c r="EK12" s="391" t="s">
        <v>936</v>
      </c>
      <c r="EL12" s="391" t="s">
        <v>937</v>
      </c>
      <c r="EM12" s="391" t="s">
        <v>938</v>
      </c>
      <c r="EN12" s="391" t="s">
        <v>939</v>
      </c>
      <c r="EO12" s="391" t="s">
        <v>940</v>
      </c>
      <c r="EP12" s="391" t="s">
        <v>930</v>
      </c>
      <c r="EQ12" s="391" t="s">
        <v>936</v>
      </c>
      <c r="ER12" s="391" t="s">
        <v>937</v>
      </c>
      <c r="ES12" s="391" t="s">
        <v>938</v>
      </c>
      <c r="ET12" s="391" t="s">
        <v>939</v>
      </c>
      <c r="EU12" s="391" t="s">
        <v>940</v>
      </c>
      <c r="EV12" s="391" t="s">
        <v>938</v>
      </c>
      <c r="EW12" s="391" t="s">
        <v>939</v>
      </c>
      <c r="EX12" s="391"/>
      <c r="EY12" s="391"/>
      <c r="EZ12" s="391"/>
    </row>
    <row r="13" spans="2:163" outlineLevel="1" x14ac:dyDescent="0.15">
      <c r="B13" s="386" t="s">
        <v>941</v>
      </c>
      <c r="C13" s="387"/>
      <c r="D13" s="388"/>
      <c r="E13" s="389"/>
      <c r="F13" s="389"/>
      <c r="G13" s="390" t="s">
        <v>942</v>
      </c>
      <c r="H13" s="390" t="s">
        <v>943</v>
      </c>
      <c r="I13" s="390" t="s">
        <v>944</v>
      </c>
      <c r="J13" s="390" t="s">
        <v>945</v>
      </c>
      <c r="K13" s="390" t="s">
        <v>946</v>
      </c>
      <c r="L13" s="390" t="s">
        <v>946</v>
      </c>
      <c r="M13" s="390" t="s">
        <v>947</v>
      </c>
      <c r="N13" s="390" t="s">
        <v>948</v>
      </c>
      <c r="O13" s="390" t="s">
        <v>949</v>
      </c>
      <c r="P13" s="390" t="s">
        <v>950</v>
      </c>
      <c r="Q13" s="390" t="s">
        <v>951</v>
      </c>
      <c r="R13" s="390" t="s">
        <v>951</v>
      </c>
      <c r="S13" s="388"/>
      <c r="T13" s="388"/>
      <c r="U13" s="390" t="s">
        <v>952</v>
      </c>
      <c r="V13" s="390" t="s">
        <v>952</v>
      </c>
      <c r="W13" s="390" t="s">
        <v>952</v>
      </c>
      <c r="X13" s="390" t="s">
        <v>952</v>
      </c>
      <c r="Y13" s="390" t="s">
        <v>952</v>
      </c>
      <c r="Z13" s="390" t="s">
        <v>952</v>
      </c>
      <c r="AA13" s="390" t="s">
        <v>952</v>
      </c>
      <c r="AB13" s="390" t="s">
        <v>952</v>
      </c>
      <c r="AC13" s="390" t="s">
        <v>952</v>
      </c>
      <c r="AD13" s="390" t="s">
        <v>953</v>
      </c>
      <c r="AE13" s="390" t="s">
        <v>953</v>
      </c>
      <c r="AF13" s="390" t="s">
        <v>953</v>
      </c>
      <c r="AG13" s="390" t="s">
        <v>954</v>
      </c>
      <c r="AH13" s="390" t="s">
        <v>954</v>
      </c>
      <c r="AI13" s="390" t="s">
        <v>954</v>
      </c>
      <c r="AJ13" s="390" t="s">
        <v>954</v>
      </c>
      <c r="AK13" s="390" t="s">
        <v>954</v>
      </c>
      <c r="AL13" s="390" t="s">
        <v>954</v>
      </c>
      <c r="AM13" s="390" t="s">
        <v>954</v>
      </c>
      <c r="AN13" s="390" t="s">
        <v>954</v>
      </c>
      <c r="AO13" s="390" t="s">
        <v>955</v>
      </c>
      <c r="AP13" s="390" t="s">
        <v>955</v>
      </c>
      <c r="AQ13" s="390" t="s">
        <v>955</v>
      </c>
      <c r="AR13" s="390" t="s">
        <v>955</v>
      </c>
      <c r="AS13" s="390" t="s">
        <v>955</v>
      </c>
      <c r="AT13" s="390" t="s">
        <v>955</v>
      </c>
      <c r="AU13" s="390" t="s">
        <v>955</v>
      </c>
      <c r="AV13" s="390" t="s">
        <v>955</v>
      </c>
      <c r="AW13" s="390" t="s">
        <v>955</v>
      </c>
      <c r="AX13" s="390" t="s">
        <v>955</v>
      </c>
      <c r="AY13" s="390" t="s">
        <v>955</v>
      </c>
      <c r="AZ13" s="390" t="s">
        <v>955</v>
      </c>
      <c r="BA13" s="390" t="s">
        <v>956</v>
      </c>
      <c r="BB13" s="390" t="s">
        <v>956</v>
      </c>
      <c r="BC13" s="390" t="s">
        <v>956</v>
      </c>
      <c r="BD13" s="390" t="s">
        <v>957</v>
      </c>
      <c r="BE13" s="390" t="s">
        <v>957</v>
      </c>
      <c r="BF13" s="390" t="s">
        <v>957</v>
      </c>
      <c r="BG13" s="390" t="s">
        <v>958</v>
      </c>
      <c r="BH13" s="390" t="s">
        <v>958</v>
      </c>
      <c r="BI13" s="390" t="s">
        <v>958</v>
      </c>
      <c r="BJ13" s="390" t="s">
        <v>959</v>
      </c>
      <c r="BK13" s="390" t="s">
        <v>959</v>
      </c>
      <c r="BL13" s="390" t="s">
        <v>959</v>
      </c>
      <c r="BM13" s="390" t="s">
        <v>960</v>
      </c>
      <c r="BN13" s="390" t="s">
        <v>960</v>
      </c>
      <c r="BO13" s="390" t="s">
        <v>960</v>
      </c>
      <c r="CP13" s="1" t="s">
        <v>961</v>
      </c>
      <c r="CQ13" s="1" t="s">
        <v>961</v>
      </c>
      <c r="CR13" s="1" t="s">
        <v>961</v>
      </c>
      <c r="EA13" s="392" t="s">
        <v>962</v>
      </c>
      <c r="EB13" s="392" t="s">
        <v>963</v>
      </c>
      <c r="EC13" s="392" t="s">
        <v>964</v>
      </c>
      <c r="ED13" s="392" t="s">
        <v>965</v>
      </c>
      <c r="EE13" s="392" t="s">
        <v>966</v>
      </c>
      <c r="EF13" s="392"/>
      <c r="EG13" s="392" t="s">
        <v>967</v>
      </c>
      <c r="EH13" s="392" t="s">
        <v>968</v>
      </c>
      <c r="EI13" s="392" t="s">
        <v>969</v>
      </c>
      <c r="EJ13" s="392" t="s">
        <v>970</v>
      </c>
      <c r="EK13" s="392" t="s">
        <v>970</v>
      </c>
      <c r="EL13" s="392" t="s">
        <v>970</v>
      </c>
      <c r="EM13" s="392" t="s">
        <v>970</v>
      </c>
      <c r="EN13" s="392" t="s">
        <v>970</v>
      </c>
      <c r="EO13" s="392" t="s">
        <v>970</v>
      </c>
      <c r="EP13" s="392"/>
      <c r="EQ13" s="392"/>
      <c r="ER13" s="392"/>
      <c r="ES13" s="392"/>
      <c r="ET13" s="392"/>
      <c r="EU13" s="392"/>
      <c r="FA13" s="19" t="s">
        <v>971</v>
      </c>
      <c r="FB13" s="19" t="s">
        <v>972</v>
      </c>
      <c r="FD13" s="19" t="s">
        <v>956</v>
      </c>
    </row>
    <row r="14" spans="2:163" outlineLevel="1" x14ac:dyDescent="0.15">
      <c r="B14" s="386" t="s">
        <v>973</v>
      </c>
      <c r="C14" s="387"/>
      <c r="D14" s="388"/>
      <c r="E14" s="389"/>
      <c r="F14" s="389"/>
      <c r="G14" s="390"/>
      <c r="H14" s="390"/>
      <c r="I14" s="390"/>
      <c r="J14" s="390"/>
      <c r="K14" s="390"/>
      <c r="L14" s="390"/>
      <c r="M14" s="390"/>
      <c r="N14" s="390"/>
      <c r="O14" s="390"/>
      <c r="P14" s="390"/>
      <c r="Q14" s="390"/>
      <c r="R14" s="390"/>
      <c r="S14" s="388"/>
      <c r="T14" s="388"/>
      <c r="U14" s="390"/>
      <c r="V14" s="390" t="s">
        <v>953</v>
      </c>
      <c r="W14" s="390" t="s">
        <v>953</v>
      </c>
      <c r="X14" s="390" t="s">
        <v>953</v>
      </c>
      <c r="Y14" s="390" t="s">
        <v>953</v>
      </c>
      <c r="Z14" s="390" t="s">
        <v>953</v>
      </c>
      <c r="AA14" s="390" t="s">
        <v>953</v>
      </c>
      <c r="AB14" s="390" t="s">
        <v>953</v>
      </c>
      <c r="AC14" s="390" t="s">
        <v>953</v>
      </c>
      <c r="AD14" s="390"/>
      <c r="AE14" s="390"/>
      <c r="AF14" s="390"/>
      <c r="AG14" s="390"/>
      <c r="AH14" s="390"/>
      <c r="AI14" s="390"/>
      <c r="AJ14" s="390"/>
      <c r="AK14" s="390"/>
      <c r="AL14" s="390"/>
      <c r="AM14" s="390"/>
      <c r="AN14" s="390"/>
      <c r="AO14" s="390"/>
      <c r="AP14" s="390"/>
      <c r="AQ14" s="390"/>
      <c r="AR14" s="390"/>
      <c r="AS14" s="390"/>
      <c r="AT14" s="390"/>
      <c r="AU14" s="390"/>
      <c r="AV14" s="390"/>
      <c r="AW14" s="390"/>
      <c r="AX14" s="390"/>
      <c r="AY14" s="390"/>
      <c r="AZ14" s="390"/>
      <c r="BA14" s="390"/>
      <c r="BB14" s="390"/>
      <c r="BC14" s="390"/>
      <c r="BD14" s="390"/>
      <c r="BE14" s="390" t="s">
        <v>958</v>
      </c>
      <c r="BF14" s="390" t="s">
        <v>958</v>
      </c>
      <c r="BG14" s="390"/>
      <c r="BH14" s="390"/>
      <c r="BI14" s="390"/>
      <c r="BJ14" s="390"/>
      <c r="BK14" s="390" t="s">
        <v>960</v>
      </c>
      <c r="BL14" s="390" t="s">
        <v>960</v>
      </c>
      <c r="BM14" s="390"/>
      <c r="BN14" s="390"/>
      <c r="BO14" s="390"/>
      <c r="EA14" s="392"/>
      <c r="EB14" s="392"/>
      <c r="EC14" s="392"/>
      <c r="ED14" s="392"/>
      <c r="EE14" s="392"/>
      <c r="EF14" s="392"/>
      <c r="EG14" s="392"/>
      <c r="EH14" s="392"/>
      <c r="EI14" s="392"/>
      <c r="EJ14" s="392" t="s">
        <v>974</v>
      </c>
      <c r="EK14" s="392" t="s">
        <v>974</v>
      </c>
      <c r="EL14" s="392" t="s">
        <v>974</v>
      </c>
      <c r="EM14" s="392" t="s">
        <v>974</v>
      </c>
      <c r="EN14" s="392" t="s">
        <v>974</v>
      </c>
      <c r="EO14" s="392" t="s">
        <v>974</v>
      </c>
    </row>
    <row r="15" spans="2:163" outlineLevel="1" x14ac:dyDescent="0.15">
      <c r="B15" s="386" t="s">
        <v>975</v>
      </c>
      <c r="C15" s="387"/>
      <c r="D15" s="390">
        <v>1</v>
      </c>
      <c r="E15" s="391">
        <v>2</v>
      </c>
      <c r="F15" s="391">
        <v>3</v>
      </c>
      <c r="G15" s="391">
        <v>4</v>
      </c>
      <c r="H15" s="391">
        <v>5</v>
      </c>
      <c r="I15" s="391">
        <v>6</v>
      </c>
      <c r="J15" s="391">
        <v>7</v>
      </c>
      <c r="K15" s="391">
        <v>8</v>
      </c>
      <c r="L15" s="391">
        <v>9</v>
      </c>
      <c r="M15" s="391">
        <v>10</v>
      </c>
      <c r="N15" s="391">
        <v>11</v>
      </c>
      <c r="O15" s="391">
        <v>12</v>
      </c>
      <c r="P15" s="391">
        <v>13</v>
      </c>
      <c r="Q15" s="391">
        <v>14</v>
      </c>
      <c r="R15" s="391">
        <v>15</v>
      </c>
      <c r="S15" s="391">
        <v>16</v>
      </c>
      <c r="T15" s="391">
        <v>17</v>
      </c>
      <c r="U15" s="391">
        <v>18</v>
      </c>
      <c r="V15" s="391">
        <v>19</v>
      </c>
      <c r="W15" s="391">
        <v>20</v>
      </c>
      <c r="X15" s="391">
        <v>21</v>
      </c>
      <c r="Y15" s="391">
        <v>22</v>
      </c>
      <c r="Z15" s="391">
        <v>23</v>
      </c>
      <c r="AA15" s="391">
        <v>24</v>
      </c>
      <c r="AB15" s="391">
        <v>24</v>
      </c>
      <c r="AC15" s="391">
        <v>25</v>
      </c>
      <c r="AD15" s="391">
        <v>26</v>
      </c>
      <c r="AE15" s="391">
        <v>27</v>
      </c>
      <c r="AF15" s="391">
        <v>28</v>
      </c>
      <c r="AG15" s="391">
        <v>29</v>
      </c>
      <c r="AH15" s="391">
        <v>30</v>
      </c>
      <c r="AI15" s="391">
        <v>31</v>
      </c>
      <c r="AJ15" s="391">
        <v>32</v>
      </c>
      <c r="AK15" s="391">
        <v>33</v>
      </c>
      <c r="AL15" s="391">
        <v>34</v>
      </c>
      <c r="AM15" s="391">
        <v>35</v>
      </c>
      <c r="AN15" s="391">
        <v>36</v>
      </c>
      <c r="AO15" s="391">
        <v>37</v>
      </c>
      <c r="AP15" s="391">
        <v>38</v>
      </c>
      <c r="AQ15" s="391">
        <v>39</v>
      </c>
      <c r="AR15" s="391">
        <v>40</v>
      </c>
      <c r="AS15" s="391">
        <v>41</v>
      </c>
      <c r="AT15" s="391">
        <v>42</v>
      </c>
      <c r="AU15" s="391">
        <v>43</v>
      </c>
      <c r="AV15" s="391">
        <v>44</v>
      </c>
      <c r="AW15" s="391">
        <v>45</v>
      </c>
      <c r="AX15" s="391">
        <v>46</v>
      </c>
      <c r="AY15" s="391">
        <v>47</v>
      </c>
      <c r="AZ15" s="391">
        <v>48</v>
      </c>
      <c r="BA15" s="391">
        <v>49</v>
      </c>
      <c r="BB15" s="391">
        <v>50</v>
      </c>
      <c r="BC15" s="391">
        <v>51</v>
      </c>
      <c r="BD15" s="391">
        <v>52</v>
      </c>
      <c r="BE15" s="391">
        <v>53</v>
      </c>
      <c r="BF15" s="391">
        <v>54</v>
      </c>
      <c r="BG15" s="391">
        <v>55</v>
      </c>
      <c r="BH15" s="391">
        <v>56</v>
      </c>
      <c r="BI15" s="391">
        <v>57</v>
      </c>
      <c r="BJ15" s="391">
        <v>58</v>
      </c>
      <c r="BK15" s="391">
        <v>59</v>
      </c>
      <c r="BL15" s="391">
        <v>60</v>
      </c>
      <c r="BM15" s="391">
        <v>61</v>
      </c>
      <c r="BN15" s="391">
        <v>62</v>
      </c>
      <c r="BO15" s="391">
        <v>63</v>
      </c>
      <c r="BP15" s="391">
        <v>64</v>
      </c>
      <c r="BQ15" s="391">
        <v>65</v>
      </c>
      <c r="BR15" s="391">
        <v>66</v>
      </c>
      <c r="BS15" s="391">
        <v>67</v>
      </c>
      <c r="BT15" s="391">
        <v>68</v>
      </c>
      <c r="BU15" s="391">
        <v>69</v>
      </c>
      <c r="BV15" s="391">
        <v>70</v>
      </c>
      <c r="BW15" s="391">
        <v>71</v>
      </c>
      <c r="BX15" s="391">
        <v>72</v>
      </c>
      <c r="BY15" s="391">
        <v>73</v>
      </c>
      <c r="BZ15" s="391">
        <v>74</v>
      </c>
      <c r="CA15" s="391">
        <v>75</v>
      </c>
      <c r="CB15" s="391">
        <v>76</v>
      </c>
      <c r="CC15" s="391">
        <v>77</v>
      </c>
      <c r="CD15" s="391">
        <v>78</v>
      </c>
      <c r="CE15" s="391">
        <v>79</v>
      </c>
      <c r="CF15" s="391">
        <v>80</v>
      </c>
      <c r="CG15" s="391">
        <v>81</v>
      </c>
      <c r="CH15" s="391">
        <v>82</v>
      </c>
      <c r="CI15" s="391">
        <v>83</v>
      </c>
      <c r="CJ15" s="391">
        <v>84</v>
      </c>
      <c r="CK15" s="391">
        <v>85</v>
      </c>
      <c r="CL15" s="391">
        <v>86</v>
      </c>
      <c r="CM15" s="391">
        <v>87</v>
      </c>
      <c r="CN15" s="391">
        <v>88</v>
      </c>
      <c r="CO15" s="391">
        <v>89</v>
      </c>
      <c r="CP15" s="391">
        <v>90</v>
      </c>
      <c r="CQ15" s="391">
        <v>91</v>
      </c>
      <c r="CR15" s="391">
        <v>92</v>
      </c>
      <c r="CS15" s="391">
        <v>93</v>
      </c>
      <c r="CT15" s="391">
        <v>94</v>
      </c>
      <c r="CU15" s="391">
        <v>95</v>
      </c>
      <c r="CV15" s="391">
        <v>96</v>
      </c>
      <c r="CW15" s="391">
        <v>97</v>
      </c>
      <c r="CX15" s="391">
        <v>98</v>
      </c>
      <c r="CY15" s="391">
        <v>99</v>
      </c>
      <c r="CZ15" s="391">
        <v>100</v>
      </c>
      <c r="DA15" s="391">
        <v>101</v>
      </c>
      <c r="DB15" s="391">
        <v>102</v>
      </c>
      <c r="DC15" s="391">
        <v>103</v>
      </c>
      <c r="DD15" s="391">
        <v>104</v>
      </c>
      <c r="DE15" s="391">
        <v>105</v>
      </c>
      <c r="DF15" s="391">
        <v>106</v>
      </c>
      <c r="DG15" s="391">
        <v>107</v>
      </c>
      <c r="DH15" s="391">
        <v>108</v>
      </c>
      <c r="DI15" s="391">
        <v>109</v>
      </c>
      <c r="DJ15" s="391">
        <v>110</v>
      </c>
      <c r="DK15" s="391">
        <v>111</v>
      </c>
      <c r="DL15" s="391">
        <v>112</v>
      </c>
      <c r="DM15" s="391">
        <v>113</v>
      </c>
      <c r="DN15" s="391">
        <v>114</v>
      </c>
      <c r="DO15" s="391">
        <v>115</v>
      </c>
      <c r="DP15" s="391">
        <v>116</v>
      </c>
      <c r="DQ15" s="391">
        <v>117</v>
      </c>
      <c r="DR15" s="391">
        <v>118</v>
      </c>
      <c r="DS15" s="391">
        <v>119</v>
      </c>
      <c r="DT15" s="391">
        <v>120</v>
      </c>
      <c r="DU15" s="391">
        <v>121</v>
      </c>
      <c r="DV15" s="391">
        <v>122</v>
      </c>
      <c r="DW15" s="391">
        <v>123</v>
      </c>
      <c r="DX15" s="391">
        <v>124</v>
      </c>
      <c r="DY15" s="391">
        <v>125</v>
      </c>
      <c r="DZ15" s="391">
        <v>126</v>
      </c>
      <c r="EA15" s="391">
        <v>127</v>
      </c>
      <c r="EB15" s="391">
        <v>128</v>
      </c>
      <c r="EC15" s="391">
        <v>129</v>
      </c>
      <c r="ED15" s="391">
        <v>130</v>
      </c>
      <c r="EE15" s="391">
        <v>131</v>
      </c>
      <c r="EF15" s="391">
        <v>132</v>
      </c>
      <c r="EG15" s="391">
        <v>133</v>
      </c>
      <c r="EH15" s="391">
        <v>134</v>
      </c>
      <c r="EI15" s="391">
        <v>135</v>
      </c>
      <c r="EJ15" s="391">
        <v>136</v>
      </c>
      <c r="EK15" s="391">
        <v>137</v>
      </c>
      <c r="EL15" s="391">
        <v>138</v>
      </c>
      <c r="EM15" s="391">
        <v>139</v>
      </c>
      <c r="EN15" s="391">
        <v>140</v>
      </c>
      <c r="EO15" s="391">
        <v>141</v>
      </c>
      <c r="EP15" s="391">
        <v>142</v>
      </c>
      <c r="EQ15" s="391">
        <v>143</v>
      </c>
      <c r="ER15" s="391">
        <v>144</v>
      </c>
      <c r="ES15" s="391">
        <v>145</v>
      </c>
      <c r="ET15" s="391">
        <v>146</v>
      </c>
      <c r="EU15" s="391">
        <v>147</v>
      </c>
      <c r="EV15" s="391">
        <v>148</v>
      </c>
      <c r="EW15" s="391">
        <v>149</v>
      </c>
      <c r="EX15" s="391">
        <v>150</v>
      </c>
      <c r="EY15" s="391">
        <v>151</v>
      </c>
      <c r="EZ15" s="391">
        <v>152</v>
      </c>
      <c r="FA15" s="391">
        <v>153</v>
      </c>
      <c r="FB15" s="391">
        <v>154</v>
      </c>
      <c r="FC15" s="391">
        <v>155</v>
      </c>
      <c r="FD15" s="391">
        <v>156</v>
      </c>
      <c r="FE15" s="391">
        <v>157</v>
      </c>
      <c r="FF15" s="391">
        <v>158</v>
      </c>
      <c r="FG15" s="391">
        <v>159</v>
      </c>
    </row>
    <row r="16" spans="2:163" x14ac:dyDescent="0.15">
      <c r="B16" s="381"/>
      <c r="C16" s="381"/>
      <c r="E16" s="384"/>
      <c r="F16" s="384"/>
      <c r="G16" s="384"/>
    </row>
    <row r="17" spans="2:163" ht="17" x14ac:dyDescent="0.3">
      <c r="B17" s="393"/>
      <c r="C17" s="393"/>
      <c r="D17" s="393"/>
      <c r="E17" s="393"/>
      <c r="F17" s="393"/>
      <c r="G17" s="394" t="s">
        <v>976</v>
      </c>
      <c r="H17" s="394"/>
      <c r="I17" s="394"/>
      <c r="J17" s="394"/>
      <c r="K17" s="394"/>
      <c r="L17" s="394"/>
      <c r="M17" s="394"/>
      <c r="N17" s="394"/>
      <c r="O17" s="394"/>
      <c r="P17" s="394"/>
      <c r="Q17" s="394"/>
      <c r="R17" s="394"/>
      <c r="S17" s="394" t="s">
        <v>977</v>
      </c>
      <c r="T17" s="394"/>
      <c r="U17" s="394" t="s">
        <v>978</v>
      </c>
      <c r="V17" s="394"/>
      <c r="W17" s="394"/>
      <c r="X17" s="394"/>
      <c r="Y17" s="394"/>
      <c r="Z17" s="394"/>
      <c r="AA17" s="394"/>
      <c r="AB17" s="394"/>
      <c r="AC17" s="394"/>
      <c r="AD17" s="394"/>
      <c r="AE17" s="394"/>
      <c r="AF17" s="394"/>
      <c r="AG17" s="394"/>
      <c r="AH17" s="394"/>
      <c r="AI17" s="394"/>
      <c r="AJ17" s="394"/>
      <c r="AK17" s="394"/>
      <c r="AL17" s="394"/>
      <c r="AM17" s="394"/>
      <c r="AN17" s="394"/>
      <c r="AO17" s="394"/>
      <c r="AP17" s="394"/>
      <c r="AQ17" s="394"/>
      <c r="AR17" s="394"/>
      <c r="AS17" s="394"/>
      <c r="AT17" s="394"/>
      <c r="AU17" s="394"/>
      <c r="AV17" s="394"/>
      <c r="AW17" s="394"/>
      <c r="AX17" s="394"/>
      <c r="AY17" s="394"/>
      <c r="AZ17" s="394"/>
      <c r="BA17" s="394"/>
      <c r="BB17" s="394"/>
      <c r="BC17" s="394"/>
      <c r="BD17" s="394"/>
      <c r="BE17" s="394"/>
      <c r="BF17" s="394"/>
      <c r="BG17" s="394"/>
      <c r="BH17" s="394"/>
      <c r="BI17" s="394"/>
      <c r="BJ17" s="394"/>
      <c r="BK17" s="394"/>
      <c r="BL17" s="394"/>
      <c r="BM17" s="394"/>
      <c r="BN17" s="394"/>
      <c r="BO17" s="394"/>
      <c r="BP17" s="394" t="s">
        <v>979</v>
      </c>
      <c r="BQ17" s="394"/>
      <c r="BR17" s="394"/>
      <c r="BS17" s="394"/>
      <c r="BT17" s="394"/>
      <c r="BU17" s="394"/>
      <c r="BV17" s="394"/>
      <c r="BW17" s="394"/>
      <c r="BX17" s="394"/>
      <c r="BY17" s="394"/>
      <c r="BZ17" s="394"/>
      <c r="CA17" s="394"/>
      <c r="CB17" s="394"/>
      <c r="CC17" s="394"/>
      <c r="CD17" s="394"/>
      <c r="CE17" s="394"/>
      <c r="CF17" s="394"/>
      <c r="CG17" s="394"/>
      <c r="CH17" s="394"/>
      <c r="CI17" s="394"/>
      <c r="CJ17" s="394"/>
      <c r="CK17" s="394"/>
      <c r="CL17" s="394"/>
      <c r="CM17" s="394" t="s">
        <v>980</v>
      </c>
      <c r="CN17" s="394"/>
      <c r="CO17" s="394"/>
      <c r="CP17" s="394"/>
      <c r="CQ17" s="394"/>
      <c r="CR17" s="394"/>
      <c r="CS17" s="394"/>
      <c r="CT17" s="394"/>
      <c r="CU17" s="394"/>
      <c r="CV17" s="394"/>
      <c r="CW17" s="394"/>
      <c r="CX17" s="394"/>
      <c r="CY17" s="394"/>
      <c r="CZ17" s="394"/>
      <c r="DA17" s="394"/>
      <c r="DB17" s="394"/>
      <c r="DC17" s="394"/>
      <c r="DD17" s="394"/>
      <c r="DE17" s="394"/>
      <c r="DF17" s="394"/>
      <c r="DG17" s="394"/>
      <c r="DH17" s="394"/>
      <c r="DI17" s="394"/>
      <c r="DJ17" s="394"/>
      <c r="DK17" s="394"/>
      <c r="DL17" s="394"/>
      <c r="DM17" s="394"/>
      <c r="DN17" s="394"/>
      <c r="DO17" s="394"/>
      <c r="DP17" s="394"/>
      <c r="DQ17" s="394"/>
      <c r="DR17" s="394" t="s">
        <v>981</v>
      </c>
      <c r="DS17" s="394"/>
      <c r="DT17" s="394" t="s">
        <v>755</v>
      </c>
      <c r="DU17" s="394"/>
      <c r="DV17" s="394"/>
      <c r="DW17" s="394"/>
      <c r="DX17" s="394"/>
      <c r="DY17" s="394"/>
      <c r="DZ17" s="394" t="s">
        <v>982</v>
      </c>
      <c r="EA17" s="394" t="s">
        <v>983</v>
      </c>
      <c r="EB17" s="394"/>
      <c r="EC17" s="394"/>
      <c r="ED17" s="394"/>
      <c r="EE17" s="394"/>
      <c r="EF17" s="394"/>
      <c r="EG17" s="394"/>
      <c r="EH17" s="394"/>
      <c r="EI17" s="394"/>
      <c r="EJ17" s="394" t="s">
        <v>984</v>
      </c>
      <c r="EK17" s="394"/>
      <c r="EL17" s="394"/>
      <c r="EM17" s="394"/>
      <c r="EN17" s="394"/>
      <c r="EO17" s="394"/>
      <c r="EP17" s="394"/>
      <c r="EQ17" s="394"/>
      <c r="ER17" s="394"/>
      <c r="ES17" s="394"/>
      <c r="ET17" s="394"/>
      <c r="EU17" s="394"/>
      <c r="EV17" s="394" t="s">
        <v>985</v>
      </c>
      <c r="EW17" s="394"/>
      <c r="EX17" s="394"/>
      <c r="EY17" s="394"/>
      <c r="EZ17" s="394"/>
      <c r="FA17" s="394" t="s">
        <v>986</v>
      </c>
      <c r="FB17" s="394"/>
      <c r="FC17" s="394"/>
      <c r="FD17" s="394"/>
      <c r="FE17" s="394"/>
      <c r="FF17" s="394"/>
      <c r="FG17" s="394"/>
    </row>
    <row r="18" spans="2:163" ht="17" x14ac:dyDescent="0.3">
      <c r="B18" s="393"/>
      <c r="C18" s="395" t="s">
        <v>987</v>
      </c>
      <c r="D18" s="393"/>
      <c r="E18" s="395" t="s">
        <v>3</v>
      </c>
      <c r="F18" s="395"/>
      <c r="G18" s="396" t="s">
        <v>988</v>
      </c>
      <c r="H18" s="395" t="s">
        <v>989</v>
      </c>
      <c r="I18" s="393"/>
      <c r="J18" s="395" t="s">
        <v>990</v>
      </c>
      <c r="K18" s="395" t="s">
        <v>991</v>
      </c>
      <c r="L18" s="395" t="s">
        <v>991</v>
      </c>
      <c r="M18" s="394" t="s">
        <v>992</v>
      </c>
      <c r="N18" s="394"/>
      <c r="O18" s="397"/>
      <c r="P18" s="395" t="s">
        <v>993</v>
      </c>
      <c r="Q18" s="394" t="s">
        <v>994</v>
      </c>
      <c r="R18" s="394"/>
      <c r="S18" s="395" t="s">
        <v>776</v>
      </c>
      <c r="T18" s="395" t="s">
        <v>995</v>
      </c>
      <c r="U18" s="394" t="s">
        <v>996</v>
      </c>
      <c r="V18" s="394"/>
      <c r="W18" s="394"/>
      <c r="X18" s="394"/>
      <c r="Y18" s="394"/>
      <c r="Z18" s="394"/>
      <c r="AA18" s="394"/>
      <c r="AB18" s="394"/>
      <c r="AC18" s="394"/>
      <c r="AD18" s="394"/>
      <c r="AE18" s="394"/>
      <c r="AF18" s="394"/>
      <c r="AG18" s="394" t="s">
        <v>997</v>
      </c>
      <c r="AH18" s="394"/>
      <c r="AI18" s="394"/>
      <c r="AJ18" s="394"/>
      <c r="AK18" s="394"/>
      <c r="AL18" s="394"/>
      <c r="AM18" s="394"/>
      <c r="AN18" s="394"/>
      <c r="AO18" s="394" t="s">
        <v>998</v>
      </c>
      <c r="AP18" s="394"/>
      <c r="AQ18" s="394"/>
      <c r="AR18" s="394"/>
      <c r="AS18" s="394"/>
      <c r="AT18" s="394"/>
      <c r="AU18" s="394"/>
      <c r="AV18" s="394"/>
      <c r="AW18" s="394"/>
      <c r="AX18" s="394"/>
      <c r="AY18" s="394"/>
      <c r="AZ18" s="394"/>
      <c r="BA18" s="394" t="s">
        <v>999</v>
      </c>
      <c r="BB18" s="394"/>
      <c r="BC18" s="394"/>
      <c r="BD18" s="394" t="s">
        <v>1000</v>
      </c>
      <c r="BE18" s="394"/>
      <c r="BF18" s="394"/>
      <c r="BG18" s="394"/>
      <c r="BH18" s="394"/>
      <c r="BI18" s="394"/>
      <c r="BJ18" s="394" t="s">
        <v>1001</v>
      </c>
      <c r="BK18" s="394"/>
      <c r="BL18" s="394"/>
      <c r="BM18" s="394"/>
      <c r="BN18" s="394"/>
      <c r="BO18" s="394"/>
      <c r="BP18" s="394" t="s">
        <v>1002</v>
      </c>
      <c r="BQ18" s="394"/>
      <c r="BR18" s="394"/>
      <c r="BS18" s="394"/>
      <c r="BT18" s="394"/>
      <c r="BU18" s="394"/>
      <c r="BV18" s="394" t="s">
        <v>1003</v>
      </c>
      <c r="BW18" s="394"/>
      <c r="BX18" s="394"/>
      <c r="BY18" s="394" t="s">
        <v>1004</v>
      </c>
      <c r="BZ18" s="394"/>
      <c r="CA18" s="394"/>
      <c r="CB18" s="394"/>
      <c r="CC18" s="394"/>
      <c r="CD18" s="394"/>
      <c r="CE18" s="394" t="s">
        <v>1005</v>
      </c>
      <c r="CF18" s="394"/>
      <c r="CG18" s="394"/>
      <c r="CH18" s="394"/>
      <c r="CI18" s="394"/>
      <c r="CJ18" s="394"/>
      <c r="CK18" s="398" t="s">
        <v>1006</v>
      </c>
      <c r="CL18" s="398" t="s">
        <v>1007</v>
      </c>
      <c r="CM18" s="394" t="s">
        <v>39</v>
      </c>
      <c r="CN18" s="394"/>
      <c r="CO18" s="394"/>
      <c r="CP18" s="394"/>
      <c r="CQ18" s="394"/>
      <c r="CR18" s="394"/>
      <c r="CS18" s="394" t="s">
        <v>56</v>
      </c>
      <c r="CT18" s="394"/>
      <c r="CU18" s="394"/>
      <c r="CV18" s="394"/>
      <c r="CW18" s="394"/>
      <c r="CX18" s="394"/>
      <c r="CY18" s="394"/>
      <c r="CZ18" s="394"/>
      <c r="DA18" s="394"/>
      <c r="DB18" s="394"/>
      <c r="DC18" s="394"/>
      <c r="DD18" s="394"/>
      <c r="DE18" s="394"/>
      <c r="DF18" s="394" t="s">
        <v>58</v>
      </c>
      <c r="DG18" s="394"/>
      <c r="DH18" s="394"/>
      <c r="DI18" s="394"/>
      <c r="DJ18" s="394"/>
      <c r="DK18" s="394"/>
      <c r="DL18" s="394" t="s">
        <v>1008</v>
      </c>
      <c r="DM18" s="394"/>
      <c r="DN18" s="394"/>
      <c r="DO18" s="394"/>
      <c r="DP18" s="394"/>
      <c r="DQ18" s="394"/>
      <c r="DR18" s="395" t="s">
        <v>1009</v>
      </c>
      <c r="DS18" s="395" t="s">
        <v>1009</v>
      </c>
      <c r="DT18" s="395" t="s">
        <v>1010</v>
      </c>
      <c r="DU18" s="395" t="s">
        <v>1011</v>
      </c>
      <c r="DV18" s="395" t="s">
        <v>1012</v>
      </c>
      <c r="DW18" s="395" t="s">
        <v>1013</v>
      </c>
      <c r="DX18" s="395" t="s">
        <v>1013</v>
      </c>
      <c r="DY18" s="395" t="s">
        <v>1014</v>
      </c>
      <c r="DZ18" s="395" t="s">
        <v>1014</v>
      </c>
      <c r="EA18" s="395" t="s">
        <v>1015</v>
      </c>
      <c r="EB18" s="395" t="s">
        <v>341</v>
      </c>
      <c r="EC18" s="395" t="s">
        <v>341</v>
      </c>
      <c r="ED18" s="395" t="s">
        <v>341</v>
      </c>
      <c r="EE18" s="395" t="s">
        <v>1016</v>
      </c>
      <c r="EF18" s="393"/>
      <c r="EG18" s="395" t="s">
        <v>1017</v>
      </c>
      <c r="EH18" s="395" t="s">
        <v>1018</v>
      </c>
      <c r="EI18" s="395" t="s">
        <v>1019</v>
      </c>
      <c r="EJ18" s="394" t="s">
        <v>1020</v>
      </c>
      <c r="EK18" s="399"/>
      <c r="EL18" s="399"/>
      <c r="EM18" s="399"/>
      <c r="EN18" s="399"/>
      <c r="EO18" s="399"/>
      <c r="EP18" s="394" t="s">
        <v>1021</v>
      </c>
      <c r="EQ18" s="399"/>
      <c r="ER18" s="399"/>
      <c r="ES18" s="399"/>
      <c r="ET18" s="399"/>
      <c r="EU18" s="399"/>
      <c r="EV18" s="394" t="s">
        <v>1022</v>
      </c>
      <c r="EW18" s="399"/>
      <c r="EX18" s="394" t="s">
        <v>1023</v>
      </c>
      <c r="EY18" s="399"/>
      <c r="EZ18" s="399"/>
      <c r="FA18" s="394" t="s">
        <v>50</v>
      </c>
      <c r="FB18" s="394" t="s">
        <v>1024</v>
      </c>
      <c r="FC18" s="394"/>
      <c r="FD18" s="394"/>
      <c r="FE18" s="394"/>
      <c r="FF18" s="394"/>
      <c r="FG18" s="394"/>
    </row>
    <row r="19" spans="2:163" ht="17" x14ac:dyDescent="0.3">
      <c r="B19" s="395" t="s">
        <v>1025</v>
      </c>
      <c r="C19" s="395" t="s">
        <v>1025</v>
      </c>
      <c r="D19" s="395" t="s">
        <v>1026</v>
      </c>
      <c r="E19" s="395" t="s">
        <v>198</v>
      </c>
      <c r="F19" s="398" t="s">
        <v>615</v>
      </c>
      <c r="G19" s="398" t="s">
        <v>988</v>
      </c>
      <c r="H19" s="398" t="s">
        <v>1027</v>
      </c>
      <c r="I19" s="398" t="s">
        <v>197</v>
      </c>
      <c r="J19" s="398" t="s">
        <v>1028</v>
      </c>
      <c r="K19" s="398" t="s">
        <v>1029</v>
      </c>
      <c r="L19" s="398" t="s">
        <v>1030</v>
      </c>
      <c r="M19" s="398" t="s">
        <v>1031</v>
      </c>
      <c r="N19" s="398" t="s">
        <v>1032</v>
      </c>
      <c r="O19" s="398" t="s">
        <v>1033</v>
      </c>
      <c r="P19" s="398" t="s">
        <v>1034</v>
      </c>
      <c r="Q19" s="398" t="s">
        <v>1035</v>
      </c>
      <c r="R19" s="398" t="s">
        <v>1036</v>
      </c>
      <c r="S19" s="398" t="s">
        <v>1037</v>
      </c>
      <c r="T19" s="398" t="s">
        <v>1037</v>
      </c>
      <c r="U19" s="398" t="s">
        <v>1038</v>
      </c>
      <c r="V19" s="398" t="s">
        <v>931</v>
      </c>
      <c r="W19" s="398" t="s">
        <v>932</v>
      </c>
      <c r="X19" s="398" t="s">
        <v>933</v>
      </c>
      <c r="Y19" s="398" t="s">
        <v>934</v>
      </c>
      <c r="Z19" s="398" t="s">
        <v>935</v>
      </c>
      <c r="AA19" s="398" t="s">
        <v>935</v>
      </c>
      <c r="AB19" s="398" t="s">
        <v>936</v>
      </c>
      <c r="AC19" s="398" t="s">
        <v>937</v>
      </c>
      <c r="AD19" s="398" t="s">
        <v>938</v>
      </c>
      <c r="AE19" s="398" t="s">
        <v>939</v>
      </c>
      <c r="AF19" s="398" t="s">
        <v>940</v>
      </c>
      <c r="AG19" s="398" t="s">
        <v>1038</v>
      </c>
      <c r="AH19" s="398" t="s">
        <v>931</v>
      </c>
      <c r="AI19" s="398" t="s">
        <v>932</v>
      </c>
      <c r="AJ19" s="398" t="s">
        <v>933</v>
      </c>
      <c r="AK19" s="398" t="s">
        <v>934</v>
      </c>
      <c r="AL19" s="398" t="s">
        <v>935</v>
      </c>
      <c r="AM19" s="398" t="s">
        <v>936</v>
      </c>
      <c r="AN19" s="398" t="s">
        <v>937</v>
      </c>
      <c r="AO19" s="398" t="s">
        <v>1038</v>
      </c>
      <c r="AP19" s="398" t="s">
        <v>931</v>
      </c>
      <c r="AQ19" s="398" t="s">
        <v>932</v>
      </c>
      <c r="AR19" s="398" t="s">
        <v>933</v>
      </c>
      <c r="AS19" s="398" t="s">
        <v>934</v>
      </c>
      <c r="AT19" s="398" t="s">
        <v>935</v>
      </c>
      <c r="AU19" s="398" t="s">
        <v>935</v>
      </c>
      <c r="AV19" s="398" t="s">
        <v>936</v>
      </c>
      <c r="AW19" s="398" t="s">
        <v>937</v>
      </c>
      <c r="AX19" s="398" t="s">
        <v>938</v>
      </c>
      <c r="AY19" s="398" t="s">
        <v>939</v>
      </c>
      <c r="AZ19" s="398" t="s">
        <v>940</v>
      </c>
      <c r="BA19" s="398" t="s">
        <v>1038</v>
      </c>
      <c r="BB19" s="398" t="s">
        <v>936</v>
      </c>
      <c r="BC19" s="398" t="s">
        <v>937</v>
      </c>
      <c r="BD19" s="398" t="s">
        <v>1038</v>
      </c>
      <c r="BE19" s="398" t="s">
        <v>936</v>
      </c>
      <c r="BF19" s="398" t="s">
        <v>937</v>
      </c>
      <c r="BG19" s="398" t="s">
        <v>938</v>
      </c>
      <c r="BH19" s="398" t="s">
        <v>939</v>
      </c>
      <c r="BI19" s="398" t="s">
        <v>940</v>
      </c>
      <c r="BJ19" s="398" t="s">
        <v>1038</v>
      </c>
      <c r="BK19" s="398" t="s">
        <v>936</v>
      </c>
      <c r="BL19" s="398" t="s">
        <v>937</v>
      </c>
      <c r="BM19" s="398" t="s">
        <v>938</v>
      </c>
      <c r="BN19" s="398" t="s">
        <v>939</v>
      </c>
      <c r="BO19" s="398" t="s">
        <v>940</v>
      </c>
      <c r="BP19" s="398" t="s">
        <v>1038</v>
      </c>
      <c r="BQ19" s="398" t="s">
        <v>936</v>
      </c>
      <c r="BR19" s="398" t="s">
        <v>937</v>
      </c>
      <c r="BS19" s="398" t="s">
        <v>938</v>
      </c>
      <c r="BT19" s="398" t="s">
        <v>939</v>
      </c>
      <c r="BU19" s="398" t="s">
        <v>940</v>
      </c>
      <c r="BV19" s="398" t="s">
        <v>1038</v>
      </c>
      <c r="BW19" s="398" t="s">
        <v>936</v>
      </c>
      <c r="BX19" s="398" t="s">
        <v>937</v>
      </c>
      <c r="BY19" s="398" t="s">
        <v>1038</v>
      </c>
      <c r="BZ19" s="398" t="s">
        <v>936</v>
      </c>
      <c r="CA19" s="398" t="s">
        <v>937</v>
      </c>
      <c r="CB19" s="398" t="s">
        <v>938</v>
      </c>
      <c r="CC19" s="398" t="s">
        <v>939</v>
      </c>
      <c r="CD19" s="398" t="s">
        <v>940</v>
      </c>
      <c r="CE19" s="398" t="s">
        <v>1038</v>
      </c>
      <c r="CF19" s="398" t="s">
        <v>936</v>
      </c>
      <c r="CG19" s="398" t="s">
        <v>937</v>
      </c>
      <c r="CH19" s="398" t="s">
        <v>938</v>
      </c>
      <c r="CI19" s="398" t="s">
        <v>939</v>
      </c>
      <c r="CJ19" s="398" t="s">
        <v>940</v>
      </c>
      <c r="CK19" s="398" t="s">
        <v>1038</v>
      </c>
      <c r="CL19" s="398" t="s">
        <v>1038</v>
      </c>
      <c r="CM19" s="398" t="s">
        <v>1038</v>
      </c>
      <c r="CN19" s="398" t="s">
        <v>936</v>
      </c>
      <c r="CO19" s="398" t="s">
        <v>937</v>
      </c>
      <c r="CP19" s="398" t="s">
        <v>938</v>
      </c>
      <c r="CQ19" s="398" t="s">
        <v>939</v>
      </c>
      <c r="CR19" s="398" t="s">
        <v>940</v>
      </c>
      <c r="CS19" s="398" t="s">
        <v>931</v>
      </c>
      <c r="CT19" s="398" t="s">
        <v>932</v>
      </c>
      <c r="CU19" s="398" t="s">
        <v>933</v>
      </c>
      <c r="CV19" s="398" t="s">
        <v>934</v>
      </c>
      <c r="CW19" s="398" t="s">
        <v>1039</v>
      </c>
      <c r="CX19" s="398" t="s">
        <v>935</v>
      </c>
      <c r="CY19" s="398" t="s">
        <v>1040</v>
      </c>
      <c r="CZ19" s="398" t="s">
        <v>937</v>
      </c>
      <c r="DA19" s="398" t="s">
        <v>938</v>
      </c>
      <c r="DB19" s="398" t="s">
        <v>939</v>
      </c>
      <c r="DC19" s="398" t="s">
        <v>940</v>
      </c>
      <c r="DD19" s="398" t="s">
        <v>1038</v>
      </c>
      <c r="DE19" s="398" t="s">
        <v>1038</v>
      </c>
      <c r="DF19" s="398" t="s">
        <v>1038</v>
      </c>
      <c r="DG19" s="398" t="s">
        <v>936</v>
      </c>
      <c r="DH19" s="398" t="s">
        <v>937</v>
      </c>
      <c r="DI19" s="398" t="s">
        <v>938</v>
      </c>
      <c r="DJ19" s="398" t="s">
        <v>939</v>
      </c>
      <c r="DK19" s="398" t="s">
        <v>940</v>
      </c>
      <c r="DL19" s="398" t="s">
        <v>1038</v>
      </c>
      <c r="DM19" s="398" t="s">
        <v>936</v>
      </c>
      <c r="DN19" s="398" t="s">
        <v>937</v>
      </c>
      <c r="DO19" s="398" t="s">
        <v>938</v>
      </c>
      <c r="DP19" s="398" t="s">
        <v>939</v>
      </c>
      <c r="DQ19" s="398" t="s">
        <v>940</v>
      </c>
      <c r="DR19" s="398" t="s">
        <v>1041</v>
      </c>
      <c r="DS19" s="398" t="s">
        <v>1042</v>
      </c>
      <c r="DT19" s="398" t="s">
        <v>1043</v>
      </c>
      <c r="DU19" s="398" t="s">
        <v>1043</v>
      </c>
      <c r="DV19" s="398" t="s">
        <v>1044</v>
      </c>
      <c r="DW19" s="398" t="s">
        <v>1045</v>
      </c>
      <c r="DX19" s="398" t="s">
        <v>1046</v>
      </c>
      <c r="DY19" s="398" t="s">
        <v>1047</v>
      </c>
      <c r="DZ19" s="398" t="s">
        <v>1047</v>
      </c>
      <c r="EA19" s="398" t="s">
        <v>63</v>
      </c>
      <c r="EB19" s="398" t="s">
        <v>63</v>
      </c>
      <c r="EC19" s="398" t="s">
        <v>190</v>
      </c>
      <c r="ED19" s="398" t="s">
        <v>1042</v>
      </c>
      <c r="EE19" s="398" t="s">
        <v>1048</v>
      </c>
      <c r="EF19" s="398" t="s">
        <v>1049</v>
      </c>
      <c r="EG19" s="398" t="s">
        <v>1050</v>
      </c>
      <c r="EH19" s="398" t="s">
        <v>828</v>
      </c>
      <c r="EI19" s="398" t="s">
        <v>191</v>
      </c>
      <c r="EJ19" s="398" t="s">
        <v>1038</v>
      </c>
      <c r="EK19" s="398" t="s">
        <v>936</v>
      </c>
      <c r="EL19" s="398" t="s">
        <v>937</v>
      </c>
      <c r="EM19" s="398" t="s">
        <v>938</v>
      </c>
      <c r="EN19" s="398" t="s">
        <v>939</v>
      </c>
      <c r="EO19" s="398" t="s">
        <v>940</v>
      </c>
      <c r="EP19" s="398" t="s">
        <v>1038</v>
      </c>
      <c r="EQ19" s="398" t="s">
        <v>936</v>
      </c>
      <c r="ER19" s="398" t="s">
        <v>937</v>
      </c>
      <c r="ES19" s="398" t="s">
        <v>938</v>
      </c>
      <c r="ET19" s="398" t="s">
        <v>939</v>
      </c>
      <c r="EU19" s="398" t="s">
        <v>940</v>
      </c>
      <c r="EV19" s="398" t="s">
        <v>938</v>
      </c>
      <c r="EW19" s="398" t="s">
        <v>939</v>
      </c>
      <c r="EX19" s="398" t="s">
        <v>1038</v>
      </c>
      <c r="EY19" s="398" t="s">
        <v>939</v>
      </c>
      <c r="EZ19" s="398" t="s">
        <v>940</v>
      </c>
      <c r="FA19" s="398" t="s">
        <v>1038</v>
      </c>
      <c r="FB19" s="398" t="s">
        <v>1051</v>
      </c>
      <c r="FC19" s="398" t="s">
        <v>995</v>
      </c>
      <c r="FD19" s="398" t="s">
        <v>1041</v>
      </c>
      <c r="FE19" s="398" t="s">
        <v>1052</v>
      </c>
      <c r="FF19" s="398" t="s">
        <v>1053</v>
      </c>
      <c r="FG19" s="398" t="s">
        <v>1049</v>
      </c>
    </row>
    <row r="20" spans="2:163" x14ac:dyDescent="0.15">
      <c r="B20" s="400" t="s">
        <v>206</v>
      </c>
      <c r="D20" s="401" t="s">
        <v>1054</v>
      </c>
      <c r="E20" s="402" t="s">
        <v>1054</v>
      </c>
      <c r="F20" s="19" t="s">
        <v>1055</v>
      </c>
      <c r="G20" s="403">
        <v>46022</v>
      </c>
      <c r="H20" s="403" t="s">
        <v>1056</v>
      </c>
      <c r="I20" s="403" t="s">
        <v>470</v>
      </c>
      <c r="J20" s="403" t="s">
        <v>269</v>
      </c>
      <c r="K20" s="404">
        <v>4.42</v>
      </c>
      <c r="L20" s="405">
        <v>4.42</v>
      </c>
      <c r="M20" s="405">
        <v>45.89</v>
      </c>
      <c r="N20" s="405">
        <v>3.91</v>
      </c>
      <c r="O20" s="405">
        <v>0.80987929477174603</v>
      </c>
      <c r="P20" s="404">
        <v>117.45578399999999</v>
      </c>
      <c r="Q20" s="405">
        <v>1.7349544098360701</v>
      </c>
      <c r="R20" s="405">
        <v>1.9728027560975601</v>
      </c>
      <c r="S20" s="406">
        <v>519.15456527999993</v>
      </c>
      <c r="T20" s="407">
        <f>S20+FG20</f>
        <v>900.39556527999991</v>
      </c>
      <c r="U20" s="404">
        <v>179.572</v>
      </c>
      <c r="V20" s="404" t="s">
        <v>1057</v>
      </c>
      <c r="W20" s="404" t="s">
        <v>1057</v>
      </c>
      <c r="X20" s="404" t="s">
        <v>1057</v>
      </c>
      <c r="Y20" s="404" t="s">
        <v>1057</v>
      </c>
      <c r="Z20" s="404" t="s">
        <v>1057</v>
      </c>
      <c r="AA20" s="404" t="s">
        <v>1057</v>
      </c>
      <c r="AB20" s="404">
        <v>142.16499999999999</v>
      </c>
      <c r="AC20" s="404">
        <v>179.572</v>
      </c>
      <c r="AD20" s="404">
        <v>241.00794999999999</v>
      </c>
      <c r="AE20" s="404">
        <v>365.11829999999998</v>
      </c>
      <c r="AF20" s="404">
        <v>448.16309000000001</v>
      </c>
      <c r="AG20" s="404" t="s">
        <v>1057</v>
      </c>
      <c r="AH20" s="404" t="s">
        <v>1057</v>
      </c>
      <c r="AI20" s="404" t="s">
        <v>1057</v>
      </c>
      <c r="AJ20" s="404" t="s">
        <v>1057</v>
      </c>
      <c r="AK20" s="404" t="s">
        <v>1057</v>
      </c>
      <c r="AL20" s="404" t="s">
        <v>1057</v>
      </c>
      <c r="AM20" s="404">
        <v>11.678000000000001</v>
      </c>
      <c r="AN20" s="404" t="s">
        <v>1057</v>
      </c>
      <c r="AO20" s="404">
        <v>-345.65600000000001</v>
      </c>
      <c r="AP20" s="404" t="s">
        <v>1057</v>
      </c>
      <c r="AQ20" s="404" t="s">
        <v>1057</v>
      </c>
      <c r="AR20" s="404" t="s">
        <v>1057</v>
      </c>
      <c r="AS20" s="404" t="s">
        <v>1057</v>
      </c>
      <c r="AT20" s="404" t="s">
        <v>1057</v>
      </c>
      <c r="AU20" s="404" t="s">
        <v>1057</v>
      </c>
      <c r="AV20" s="404" t="s">
        <v>1057</v>
      </c>
      <c r="AW20" s="404" t="s">
        <v>1057</v>
      </c>
      <c r="AX20" s="404" t="s">
        <v>1057</v>
      </c>
      <c r="AY20" s="404" t="s">
        <v>1057</v>
      </c>
      <c r="AZ20" s="404" t="s">
        <v>1057</v>
      </c>
      <c r="BA20" s="404" t="s">
        <v>1057</v>
      </c>
      <c r="BB20" s="404" t="s">
        <v>1057</v>
      </c>
      <c r="BC20" s="404" t="s">
        <v>1057</v>
      </c>
      <c r="BD20" s="404" t="s">
        <v>1057</v>
      </c>
      <c r="BE20" s="404">
        <v>-130.26300000000001</v>
      </c>
      <c r="BF20" s="404">
        <v>-312.33966700000002</v>
      </c>
      <c r="BG20" s="404" t="s">
        <v>1057</v>
      </c>
      <c r="BH20" s="404" t="s">
        <v>1057</v>
      </c>
      <c r="BI20" s="404" t="s">
        <v>1057</v>
      </c>
      <c r="BJ20" s="404">
        <v>-582.81299999999999</v>
      </c>
      <c r="BK20" s="404">
        <v>-158.54599999999999</v>
      </c>
      <c r="BL20" s="404">
        <v>-582.81299999999999</v>
      </c>
      <c r="BM20" s="404">
        <v>-352.65917000000002</v>
      </c>
      <c r="BN20" s="404">
        <v>-239.13883000000001</v>
      </c>
      <c r="BO20" s="404">
        <v>-138.511</v>
      </c>
      <c r="BP20" s="408" t="s">
        <v>1057</v>
      </c>
      <c r="BQ20" s="408" t="s">
        <v>1057</v>
      </c>
      <c r="BR20" s="408" t="s">
        <v>1057</v>
      </c>
      <c r="BS20" s="408" t="s">
        <v>1057</v>
      </c>
      <c r="BT20" s="408" t="s">
        <v>1057</v>
      </c>
      <c r="BU20" s="408" t="s">
        <v>1057</v>
      </c>
      <c r="BV20" s="408" t="s">
        <v>1057</v>
      </c>
      <c r="BW20" s="408" t="s">
        <v>1057</v>
      </c>
      <c r="BX20" s="408" t="s">
        <v>1057</v>
      </c>
      <c r="BY20" s="408" t="s">
        <v>1057</v>
      </c>
      <c r="BZ20" s="408" t="s">
        <v>1057</v>
      </c>
      <c r="CA20" s="408" t="s">
        <v>1057</v>
      </c>
      <c r="CB20" s="408" t="s">
        <v>1057</v>
      </c>
      <c r="CC20" s="408" t="s">
        <v>1057</v>
      </c>
      <c r="CD20" s="408" t="s">
        <v>1057</v>
      </c>
      <c r="CE20" s="408" t="s">
        <v>1058</v>
      </c>
      <c r="CF20" s="408" t="s">
        <v>1058</v>
      </c>
      <c r="CG20" s="408" t="s">
        <v>1058</v>
      </c>
      <c r="CH20" s="408" t="s">
        <v>1058</v>
      </c>
      <c r="CI20" s="408" t="s">
        <v>1058</v>
      </c>
      <c r="CJ20" s="408" t="s">
        <v>1058</v>
      </c>
      <c r="CK20" s="408">
        <v>0.95984559273618741</v>
      </c>
      <c r="CL20" s="408">
        <v>1.29443028434081</v>
      </c>
      <c r="CM20" s="409" t="s">
        <v>1057</v>
      </c>
      <c r="CN20" s="409" t="s">
        <v>1057</v>
      </c>
      <c r="CO20" s="409">
        <v>8.2143987620018996E-2</v>
      </c>
      <c r="CP20" s="410" t="e">
        <v>#VALUE!</v>
      </c>
      <c r="CQ20" s="410" t="e">
        <v>#VALUE!</v>
      </c>
      <c r="CR20" s="410" t="e">
        <v>#VALUE!</v>
      </c>
      <c r="CS20" s="410"/>
      <c r="CT20" s="410"/>
      <c r="CU20" s="410"/>
      <c r="CV20" s="410"/>
      <c r="CW20" s="410"/>
      <c r="CX20" s="410"/>
      <c r="CY20" s="410"/>
      <c r="CZ20" s="409" t="s">
        <v>1057</v>
      </c>
      <c r="DA20" s="409" t="s">
        <v>1057</v>
      </c>
      <c r="DB20" s="409" t="s">
        <v>1057</v>
      </c>
      <c r="DC20" s="409" t="s">
        <v>1057</v>
      </c>
      <c r="DD20" s="409" t="s">
        <v>1057</v>
      </c>
      <c r="DE20" s="409" t="s">
        <v>1057</v>
      </c>
      <c r="DF20" s="409" t="s">
        <v>1057</v>
      </c>
      <c r="DG20" s="409">
        <v>-0.9162803784335104</v>
      </c>
      <c r="DH20" s="409">
        <v>-1.7393561746820219</v>
      </c>
      <c r="DI20" s="409" t="s">
        <v>1057</v>
      </c>
      <c r="DJ20" s="409" t="s">
        <v>1057</v>
      </c>
      <c r="DK20" s="409" t="s">
        <v>1057</v>
      </c>
      <c r="DL20" s="409" t="s">
        <v>1058</v>
      </c>
      <c r="DM20" s="409" t="s">
        <v>1058</v>
      </c>
      <c r="DN20" s="409" t="s">
        <v>1058</v>
      </c>
      <c r="DO20" s="409" t="s">
        <v>1058</v>
      </c>
      <c r="DP20" s="409" t="s">
        <v>1058</v>
      </c>
      <c r="DQ20" s="409" t="s">
        <v>1058</v>
      </c>
      <c r="DR20" s="411" t="s">
        <v>1057</v>
      </c>
      <c r="DS20" s="411">
        <v>0.74289343339379099</v>
      </c>
      <c r="DT20" s="409" t="s">
        <v>1057</v>
      </c>
      <c r="DU20" s="409" t="s">
        <v>1057</v>
      </c>
      <c r="DV20" s="409">
        <v>0.26312383498048053</v>
      </c>
      <c r="DW20" s="409">
        <v>0.34212432895997136</v>
      </c>
      <c r="DX20" s="409">
        <v>0.51496371800183338</v>
      </c>
      <c r="DY20" s="409">
        <v>0.36364824726147416</v>
      </c>
      <c r="DZ20" s="409" t="s">
        <v>1058</v>
      </c>
      <c r="EA20" s="404">
        <v>401.06799999999998</v>
      </c>
      <c r="EB20" s="404">
        <v>1808.9010000000001</v>
      </c>
      <c r="EC20" s="404">
        <v>654.02599999999995</v>
      </c>
      <c r="ED20" s="404">
        <v>540.87300000000005</v>
      </c>
      <c r="EE20" s="404">
        <v>252.215</v>
      </c>
      <c r="EF20" s="407">
        <v>401.81099999999992</v>
      </c>
      <c r="EG20" s="404" t="s">
        <v>1057</v>
      </c>
      <c r="EH20" s="404" t="s">
        <v>1057</v>
      </c>
      <c r="EI20" s="404" t="s">
        <v>1057</v>
      </c>
      <c r="EJ20" s="412" t="s">
        <v>1057</v>
      </c>
      <c r="EK20" s="412" t="s">
        <v>1057</v>
      </c>
      <c r="EL20" s="412" t="s">
        <v>1057</v>
      </c>
      <c r="EM20" s="412" t="s">
        <v>1057</v>
      </c>
      <c r="EN20" s="412" t="s">
        <v>1057</v>
      </c>
      <c r="EO20" s="412" t="s">
        <v>1057</v>
      </c>
      <c r="EP20" s="413" t="s">
        <v>1057</v>
      </c>
      <c r="EQ20" s="413" t="s">
        <v>1057</v>
      </c>
      <c r="ER20" s="413" t="s">
        <v>1057</v>
      </c>
      <c r="ES20" s="413" t="s">
        <v>1057</v>
      </c>
      <c r="ET20" s="413" t="s">
        <v>1057</v>
      </c>
      <c r="EU20" s="413" t="s">
        <v>1057</v>
      </c>
      <c r="EV20" s="414" t="s">
        <v>1057</v>
      </c>
      <c r="EW20" s="414" t="s">
        <v>1057</v>
      </c>
      <c r="EX20" s="415">
        <v>-1.0775413082183802</v>
      </c>
      <c r="EY20" s="415">
        <v>-0.44213490042949083</v>
      </c>
      <c r="EZ20" s="415">
        <v>-0.25608784317205702</v>
      </c>
      <c r="FA20" s="404">
        <v>-70.334000000000003</v>
      </c>
      <c r="FB20" s="404">
        <v>633.45600000000002</v>
      </c>
      <c r="FC20" s="416" t="e">
        <v>#VALUE!</v>
      </c>
      <c r="FD20" s="404">
        <v>-314.93299999999999</v>
      </c>
      <c r="FE20" s="417" t="s">
        <v>1058</v>
      </c>
      <c r="FF20" s="417">
        <v>0.70486232442736085</v>
      </c>
      <c r="FG20" s="416">
        <v>381.24099999999999</v>
      </c>
    </row>
    <row r="21" spans="2:163" x14ac:dyDescent="0.15">
      <c r="B21" s="400" t="s">
        <v>207</v>
      </c>
      <c r="D21" s="401" t="s">
        <v>1059</v>
      </c>
      <c r="E21" s="402" t="s">
        <v>1059</v>
      </c>
      <c r="F21" s="19" t="s">
        <v>1055</v>
      </c>
      <c r="G21" s="403">
        <v>46022</v>
      </c>
      <c r="H21" s="403" t="s">
        <v>1060</v>
      </c>
      <c r="I21" s="403" t="s">
        <v>518</v>
      </c>
      <c r="J21" s="403" t="s">
        <v>269</v>
      </c>
      <c r="K21" s="404">
        <v>35.729999999999997</v>
      </c>
      <c r="L21" s="405">
        <v>35.729999999999997</v>
      </c>
      <c r="M21" s="405">
        <v>118</v>
      </c>
      <c r="N21" s="405">
        <v>24.79</v>
      </c>
      <c r="O21" s="405">
        <v>-2.4793146094240002</v>
      </c>
      <c r="P21" s="404">
        <v>150.30220800000001</v>
      </c>
      <c r="Q21" s="405">
        <v>1.9242503934426201</v>
      </c>
      <c r="R21" s="405">
        <v>2.1395907967479699</v>
      </c>
      <c r="S21" s="406">
        <v>5370.2978918399995</v>
      </c>
      <c r="T21" s="407">
        <f>S21+FG21</f>
        <v>5439.4448918399994</v>
      </c>
      <c r="U21" s="404">
        <v>237.24100000000001</v>
      </c>
      <c r="V21" s="404" t="s">
        <v>1057</v>
      </c>
      <c r="W21" s="404" t="s">
        <v>1057</v>
      </c>
      <c r="X21" s="404" t="s">
        <v>1057</v>
      </c>
      <c r="Y21" s="404" t="s">
        <v>1057</v>
      </c>
      <c r="Z21" s="404">
        <v>97.978999999999999</v>
      </c>
      <c r="AA21" s="404">
        <v>97.978999999999999</v>
      </c>
      <c r="AB21" s="404">
        <v>158.47900000000001</v>
      </c>
      <c r="AC21" s="404">
        <v>237.24100000000001</v>
      </c>
      <c r="AD21" s="404">
        <v>383.12338999999997</v>
      </c>
      <c r="AE21" s="404">
        <v>429.36676</v>
      </c>
      <c r="AF21" s="404">
        <v>475.20904000000002</v>
      </c>
      <c r="AG21" s="404">
        <v>237.24100000000001</v>
      </c>
      <c r="AH21" s="404" t="s">
        <v>1057</v>
      </c>
      <c r="AI21" s="404" t="s">
        <v>1057</v>
      </c>
      <c r="AJ21" s="404" t="s">
        <v>1057</v>
      </c>
      <c r="AK21" s="404" t="s">
        <v>1057</v>
      </c>
      <c r="AL21" s="404">
        <v>97.978999999999999</v>
      </c>
      <c r="AM21" s="404">
        <v>158.47900000000001</v>
      </c>
      <c r="AN21" s="404">
        <v>237.24100000000001</v>
      </c>
      <c r="AO21" s="404">
        <v>-182.89699999999999</v>
      </c>
      <c r="AP21" s="404" t="s">
        <v>1057</v>
      </c>
      <c r="AQ21" s="404" t="s">
        <v>1057</v>
      </c>
      <c r="AR21" s="404" t="s">
        <v>1057</v>
      </c>
      <c r="AS21" s="404" t="s">
        <v>1057</v>
      </c>
      <c r="AT21" s="404" t="s">
        <v>1057</v>
      </c>
      <c r="AU21" s="404" t="s">
        <v>1057</v>
      </c>
      <c r="AV21" s="404">
        <v>191.881</v>
      </c>
      <c r="AW21" s="404" t="s">
        <v>1057</v>
      </c>
      <c r="AX21" s="404" t="s">
        <v>1057</v>
      </c>
      <c r="AY21" s="404" t="s">
        <v>1057</v>
      </c>
      <c r="AZ21" s="404" t="s">
        <v>1057</v>
      </c>
      <c r="BA21" s="404" t="s">
        <v>1057</v>
      </c>
      <c r="BB21" s="404">
        <v>195.709</v>
      </c>
      <c r="BC21" s="404" t="s">
        <v>1057</v>
      </c>
      <c r="BD21" s="404" t="s">
        <v>1057</v>
      </c>
      <c r="BE21" s="404">
        <v>200.428</v>
      </c>
      <c r="BF21" s="404">
        <v>-175.83</v>
      </c>
      <c r="BG21" s="404">
        <v>162.58006</v>
      </c>
      <c r="BH21" s="404">
        <v>197.28208000000001</v>
      </c>
      <c r="BI21" s="404">
        <v>208.82873000000001</v>
      </c>
      <c r="BJ21" s="404">
        <v>-764.68100000000004</v>
      </c>
      <c r="BK21" s="404">
        <v>78.527000000000001</v>
      </c>
      <c r="BL21" s="404">
        <v>-764.68100000000004</v>
      </c>
      <c r="BM21" s="404">
        <v>113.47257999999999</v>
      </c>
      <c r="BN21" s="404">
        <v>157.44649999999999</v>
      </c>
      <c r="BO21" s="404">
        <v>153.10073</v>
      </c>
      <c r="BP21" s="408" t="s">
        <v>1057</v>
      </c>
      <c r="BQ21" s="408" t="s">
        <v>1057</v>
      </c>
      <c r="BR21" s="408" t="s">
        <v>1057</v>
      </c>
      <c r="BS21" s="408" t="s">
        <v>1057</v>
      </c>
      <c r="BT21" s="408" t="s">
        <v>1057</v>
      </c>
      <c r="BU21" s="408" t="s">
        <v>1057</v>
      </c>
      <c r="BV21" s="408" t="s">
        <v>1057</v>
      </c>
      <c r="BW21" s="408" t="s">
        <v>1057</v>
      </c>
      <c r="BX21" s="408" t="s">
        <v>1057</v>
      </c>
      <c r="BY21" s="408" t="s">
        <v>1057</v>
      </c>
      <c r="BZ21" s="408" t="s">
        <v>1057</v>
      </c>
      <c r="CA21" s="408" t="s">
        <v>1057</v>
      </c>
      <c r="CB21" s="408" t="s">
        <v>1057</v>
      </c>
      <c r="CC21" s="408" t="s">
        <v>1057</v>
      </c>
      <c r="CD21" s="408" t="s">
        <v>1057</v>
      </c>
      <c r="CE21" s="408" t="s">
        <v>1058</v>
      </c>
      <c r="CF21" s="408">
        <v>68.387916154189</v>
      </c>
      <c r="CG21" s="408" t="s">
        <v>1058</v>
      </c>
      <c r="CH21" s="408">
        <v>47.326833423898528</v>
      </c>
      <c r="CI21" s="408">
        <v>34.108715607142742</v>
      </c>
      <c r="CJ21" s="408">
        <v>35.07689278712126</v>
      </c>
      <c r="CK21" s="408">
        <v>1.6697716556406701</v>
      </c>
      <c r="CL21" s="408">
        <v>1.720135095772898</v>
      </c>
      <c r="CM21" s="409">
        <v>1</v>
      </c>
      <c r="CN21" s="409">
        <v>1</v>
      </c>
      <c r="CO21" s="409">
        <v>1</v>
      </c>
      <c r="CP21" s="410" t="e">
        <v>#VALUE!</v>
      </c>
      <c r="CQ21" s="410" t="e">
        <v>#VALUE!</v>
      </c>
      <c r="CR21" s="410" t="e">
        <v>#VALUE!</v>
      </c>
      <c r="CS21" s="410"/>
      <c r="CT21" s="410"/>
      <c r="CU21" s="410"/>
      <c r="CV21" s="410"/>
      <c r="CW21" s="410"/>
      <c r="CX21" s="410"/>
      <c r="CY21" s="410"/>
      <c r="CZ21" s="409" t="s">
        <v>1057</v>
      </c>
      <c r="DA21" s="409" t="s">
        <v>1057</v>
      </c>
      <c r="DB21" s="409" t="s">
        <v>1057</v>
      </c>
      <c r="DC21" s="409" t="s">
        <v>1057</v>
      </c>
      <c r="DD21" s="409" t="s">
        <v>1057</v>
      </c>
      <c r="DE21" s="409" t="s">
        <v>1057</v>
      </c>
      <c r="DF21" s="409" t="s">
        <v>1057</v>
      </c>
      <c r="DG21" s="409">
        <v>1.2646975309031478</v>
      </c>
      <c r="DH21" s="409">
        <v>-0.74114508031916915</v>
      </c>
      <c r="DI21" s="409">
        <v>0.42435430528008228</v>
      </c>
      <c r="DJ21" s="409">
        <v>0.45947217711962612</v>
      </c>
      <c r="DK21" s="409">
        <v>0.43944603831610612</v>
      </c>
      <c r="DL21" s="409" t="s">
        <v>1058</v>
      </c>
      <c r="DM21" s="409">
        <v>0.49550413619470085</v>
      </c>
      <c r="DN21" s="409" t="s">
        <v>1058</v>
      </c>
      <c r="DO21" s="409">
        <v>0.29617763613962594</v>
      </c>
      <c r="DP21" s="409">
        <v>0.36669466448683635</v>
      </c>
      <c r="DQ21" s="409">
        <v>0.32217554194676096</v>
      </c>
      <c r="DR21" s="411" t="s">
        <v>1057</v>
      </c>
      <c r="DS21" s="411">
        <v>2.7687755718184309E-2</v>
      </c>
      <c r="DT21" s="409">
        <v>0.34282344268947962</v>
      </c>
      <c r="DU21" s="409">
        <v>1.4213453903387463</v>
      </c>
      <c r="DV21" s="409">
        <v>0.49698698250241358</v>
      </c>
      <c r="DW21" s="409">
        <v>0.61491222006314228</v>
      </c>
      <c r="DX21" s="409">
        <v>0.12070098356563408</v>
      </c>
      <c r="DY21" s="409">
        <v>0.11371229320253518</v>
      </c>
      <c r="DZ21" s="409">
        <v>0.16156405993709488</v>
      </c>
      <c r="EA21" s="404">
        <v>3122.0210000000002</v>
      </c>
      <c r="EB21" s="404">
        <v>3956.5039999999999</v>
      </c>
      <c r="EC21" s="404">
        <v>581.08500000000004</v>
      </c>
      <c r="ED21" s="404">
        <v>3216.1869999999999</v>
      </c>
      <c r="EE21" s="404">
        <v>492.036</v>
      </c>
      <c r="EF21" s="407">
        <v>89.049000000000035</v>
      </c>
      <c r="EG21" s="404" t="s">
        <v>1057</v>
      </c>
      <c r="EH21" s="404" t="s">
        <v>1057</v>
      </c>
      <c r="EI21" s="404">
        <v>82.141999999999996</v>
      </c>
      <c r="EJ21" s="412" t="s">
        <v>1057</v>
      </c>
      <c r="EK21" s="412" t="s">
        <v>1057</v>
      </c>
      <c r="EL21" s="412" t="s">
        <v>1057</v>
      </c>
      <c r="EM21" s="412" t="s">
        <v>1057</v>
      </c>
      <c r="EN21" s="412" t="s">
        <v>1057</v>
      </c>
      <c r="EO21" s="412" t="s">
        <v>1057</v>
      </c>
      <c r="EP21" s="413" t="s">
        <v>1057</v>
      </c>
      <c r="EQ21" s="413" t="s">
        <v>1057</v>
      </c>
      <c r="ER21" s="413" t="s">
        <v>1057</v>
      </c>
      <c r="ES21" s="413" t="s">
        <v>1057</v>
      </c>
      <c r="ET21" s="413" t="s">
        <v>1057</v>
      </c>
      <c r="EU21" s="413" t="s">
        <v>1057</v>
      </c>
      <c r="EV21" s="414">
        <v>2.9292921607890565</v>
      </c>
      <c r="EW21" s="414">
        <v>2.1111573712880825</v>
      </c>
      <c r="EX21" s="415">
        <v>-0.23776011780409537</v>
      </c>
      <c r="EY21" s="415">
        <v>4.8954398484913966E-2</v>
      </c>
      <c r="EZ21" s="415">
        <v>4.7603180412084251E-2</v>
      </c>
      <c r="FA21" s="404">
        <v>-52.369</v>
      </c>
      <c r="FB21" s="404">
        <v>561.18299999999999</v>
      </c>
      <c r="FC21" s="416" t="e">
        <v>#VALUE!</v>
      </c>
      <c r="FD21" s="404">
        <v>-181.01</v>
      </c>
      <c r="FE21" s="417" t="s">
        <v>1058</v>
      </c>
      <c r="FF21" s="417">
        <v>2.1499682698798296E-2</v>
      </c>
      <c r="FG21" s="416">
        <v>69.146999999999991</v>
      </c>
    </row>
    <row r="22" spans="2:163" x14ac:dyDescent="0.15">
      <c r="B22" s="400" t="s">
        <v>208</v>
      </c>
      <c r="D22" s="401" t="s">
        <v>1061</v>
      </c>
      <c r="E22" s="402" t="s">
        <v>1061</v>
      </c>
      <c r="F22" s="19" t="s">
        <v>1055</v>
      </c>
      <c r="G22" s="403">
        <v>46022</v>
      </c>
      <c r="H22" s="403" t="s">
        <v>1060</v>
      </c>
      <c r="I22" s="403" t="s">
        <v>470</v>
      </c>
      <c r="J22" s="403" t="s">
        <v>269</v>
      </c>
      <c r="K22" s="404">
        <v>95.41</v>
      </c>
      <c r="L22" s="405">
        <v>95.41</v>
      </c>
      <c r="M22" s="405">
        <v>298.99</v>
      </c>
      <c r="N22" s="405">
        <v>49.9</v>
      </c>
      <c r="O22" s="405">
        <v>-3.19502656644275</v>
      </c>
      <c r="P22" s="404">
        <v>242.123606</v>
      </c>
      <c r="Q22" s="405">
        <v>16.029414819672098</v>
      </c>
      <c r="R22" s="405">
        <v>14.8503040162602</v>
      </c>
      <c r="S22" s="406">
        <v>23101.01324846</v>
      </c>
      <c r="T22" s="407">
        <v>21543.633248459999</v>
      </c>
      <c r="U22" s="404">
        <v>2746.6419999999998</v>
      </c>
      <c r="V22" s="404" t="s">
        <v>1057</v>
      </c>
      <c r="W22" s="404" t="s">
        <v>1057</v>
      </c>
      <c r="X22" s="404">
        <v>9.423</v>
      </c>
      <c r="Y22" s="404">
        <v>15.441000000000001</v>
      </c>
      <c r="Z22" s="404">
        <v>772.05200000000002</v>
      </c>
      <c r="AA22" s="404">
        <v>772.05200000000002</v>
      </c>
      <c r="AB22" s="404">
        <v>1676.2529999999999</v>
      </c>
      <c r="AC22" s="404">
        <v>2746.6419999999998</v>
      </c>
      <c r="AD22" s="404">
        <v>3125.89356</v>
      </c>
      <c r="AE22" s="404">
        <v>4339.2556999999997</v>
      </c>
      <c r="AF22" s="404">
        <v>5228.2904500000004</v>
      </c>
      <c r="AG22" s="404">
        <v>238.113</v>
      </c>
      <c r="AH22" s="404" t="s">
        <v>1057</v>
      </c>
      <c r="AI22" s="404" t="s">
        <v>1057</v>
      </c>
      <c r="AJ22" s="404" t="s">
        <v>1057</v>
      </c>
      <c r="AK22" s="404" t="s">
        <v>1057</v>
      </c>
      <c r="AL22" s="404">
        <v>249.73699999999999</v>
      </c>
      <c r="AM22" s="404">
        <v>395.47899999999998</v>
      </c>
      <c r="AN22" s="404">
        <v>238.113</v>
      </c>
      <c r="AO22" s="404">
        <v>-96.435000000000002</v>
      </c>
      <c r="AP22" s="404" t="s">
        <v>1057</v>
      </c>
      <c r="AQ22" s="404" t="s">
        <v>1057</v>
      </c>
      <c r="AR22" s="404" t="s">
        <v>1057</v>
      </c>
      <c r="AS22" s="404" t="s">
        <v>1057</v>
      </c>
      <c r="AT22" s="404">
        <v>6.0780000000000003</v>
      </c>
      <c r="AU22" s="404">
        <v>6.0780000000000003</v>
      </c>
      <c r="AV22" s="404">
        <v>167.15799999999999</v>
      </c>
      <c r="AW22" s="404" t="s">
        <v>1057</v>
      </c>
      <c r="AX22" s="404" t="s">
        <v>1057</v>
      </c>
      <c r="AY22" s="404" t="s">
        <v>1057</v>
      </c>
      <c r="AZ22" s="404" t="s">
        <v>1057</v>
      </c>
      <c r="BA22" s="404" t="s">
        <v>1057</v>
      </c>
      <c r="BB22" s="404">
        <v>175.995</v>
      </c>
      <c r="BC22" s="404" t="s">
        <v>1057</v>
      </c>
      <c r="BD22" s="404" t="s">
        <v>1057</v>
      </c>
      <c r="BE22" s="404">
        <v>181.29599999999999</v>
      </c>
      <c r="BF22" s="404">
        <v>-82.704999999999998</v>
      </c>
      <c r="BG22" s="404">
        <v>626.52691000000004</v>
      </c>
      <c r="BH22" s="404">
        <v>904.15557999999999</v>
      </c>
      <c r="BI22" s="404">
        <v>1310.76242</v>
      </c>
      <c r="BJ22" s="404">
        <v>-69.507999999999996</v>
      </c>
      <c r="BK22" s="404">
        <v>155.667</v>
      </c>
      <c r="BL22" s="404">
        <v>-69.507999999999996</v>
      </c>
      <c r="BM22" s="404">
        <v>267.99081000000001</v>
      </c>
      <c r="BN22" s="404">
        <v>570.20971999999995</v>
      </c>
      <c r="BO22" s="404">
        <v>782.45101999999997</v>
      </c>
      <c r="BP22" s="408">
        <v>7.8436262346749235</v>
      </c>
      <c r="BQ22" s="408">
        <v>12.852256341053527</v>
      </c>
      <c r="BR22" s="408">
        <v>7.8436262346749235</v>
      </c>
      <c r="BS22" s="408">
        <v>6.8919919488429411</v>
      </c>
      <c r="BT22" s="408">
        <v>4.9648222501522552</v>
      </c>
      <c r="BU22" s="408">
        <v>4.1205884513282918</v>
      </c>
      <c r="BV22" s="408" t="s">
        <v>1057</v>
      </c>
      <c r="BW22" s="408" t="s">
        <v>1057</v>
      </c>
      <c r="BX22" s="408" t="s">
        <v>1057</v>
      </c>
      <c r="BY22" s="408" t="s">
        <v>1057</v>
      </c>
      <c r="BZ22" s="408" t="s">
        <v>1058</v>
      </c>
      <c r="CA22" s="408" t="s">
        <v>1058</v>
      </c>
      <c r="CB22" s="408">
        <v>34.385806746050214</v>
      </c>
      <c r="CC22" s="408">
        <v>23.827351979025554</v>
      </c>
      <c r="CD22" s="408">
        <v>16.43595583741255</v>
      </c>
      <c r="CE22" s="408" t="s">
        <v>1058</v>
      </c>
      <c r="CF22" s="408" t="s">
        <v>1058</v>
      </c>
      <c r="CG22" s="408" t="s">
        <v>1058</v>
      </c>
      <c r="CH22" s="408">
        <v>86.20076654292734</v>
      </c>
      <c r="CI22" s="408">
        <v>40.513187408415277</v>
      </c>
      <c r="CJ22" s="408">
        <v>29.523909686334104</v>
      </c>
      <c r="CK22" s="408">
        <v>6.9386435301969431</v>
      </c>
      <c r="CL22" s="408">
        <v>8.7093476036432893</v>
      </c>
      <c r="CM22" s="409">
        <v>8.6692404761887429E-2</v>
      </c>
      <c r="CN22" s="409">
        <v>0.32347173506447752</v>
      </c>
      <c r="CO22" s="409">
        <v>0.23593037566524863</v>
      </c>
      <c r="CP22" s="410">
        <v>0.38579999999999998</v>
      </c>
      <c r="CQ22" s="410">
        <v>0.42899999999999999</v>
      </c>
      <c r="CR22" s="410">
        <v>0.38</v>
      </c>
      <c r="CS22" s="410"/>
      <c r="CT22" s="410"/>
      <c r="CU22" s="410"/>
      <c r="CV22" s="410"/>
      <c r="CW22" s="410"/>
      <c r="CX22" s="410"/>
      <c r="CY22" s="410"/>
      <c r="CZ22" s="409" t="s">
        <v>1057</v>
      </c>
      <c r="DA22" s="409" t="s">
        <v>1057</v>
      </c>
      <c r="DB22" s="409" t="s">
        <v>1057</v>
      </c>
      <c r="DC22" s="409" t="s">
        <v>1057</v>
      </c>
      <c r="DD22" s="409">
        <v>18.677172874880611</v>
      </c>
      <c r="DE22" s="409" t="s">
        <v>1057</v>
      </c>
      <c r="DF22" s="409" t="s">
        <v>1057</v>
      </c>
      <c r="DG22" s="409">
        <v>0.10815551113107627</v>
      </c>
      <c r="DH22" s="409">
        <v>-3.0111314106461638E-2</v>
      </c>
      <c r="DI22" s="409">
        <v>0.20043130003441323</v>
      </c>
      <c r="DJ22" s="409">
        <v>0.2083665131787463</v>
      </c>
      <c r="DK22" s="409">
        <v>0.25070573881372638</v>
      </c>
      <c r="DL22" s="409" t="s">
        <v>1058</v>
      </c>
      <c r="DM22" s="409">
        <v>9.2866053036146701E-2</v>
      </c>
      <c r="DN22" s="409" t="s">
        <v>1058</v>
      </c>
      <c r="DO22" s="409">
        <v>8.5732544904695993E-2</v>
      </c>
      <c r="DP22" s="409">
        <v>0.1314072641536197</v>
      </c>
      <c r="DQ22" s="409">
        <v>0.14965714462171853</v>
      </c>
      <c r="DR22" s="411" t="s">
        <v>1062</v>
      </c>
      <c r="DS22" s="411" t="s">
        <v>1062</v>
      </c>
      <c r="DT22" s="409">
        <v>0.52657624995082908</v>
      </c>
      <c r="DU22" s="409">
        <v>2.5575867946718613</v>
      </c>
      <c r="DV22" s="409">
        <v>0.63856052755759429</v>
      </c>
      <c r="DW22" s="409">
        <v>0.13807826429509196</v>
      </c>
      <c r="DX22" s="409">
        <v>0.38816489324095849</v>
      </c>
      <c r="DY22" s="409">
        <v>0.29328059187919164</v>
      </c>
      <c r="DZ22" s="409">
        <v>0.7087110573612867</v>
      </c>
      <c r="EA22" s="404">
        <v>2652.4389999999999</v>
      </c>
      <c r="EB22" s="404">
        <v>78713.206999999995</v>
      </c>
      <c r="EC22" s="404">
        <v>51.484999999999999</v>
      </c>
      <c r="ED22" s="404">
        <v>3329.3270000000002</v>
      </c>
      <c r="EE22" s="404">
        <v>1526.046</v>
      </c>
      <c r="EF22" s="407">
        <v>-1474.5610000000001</v>
      </c>
      <c r="EG22" s="404">
        <v>84.265000000000001</v>
      </c>
      <c r="EH22" s="404" t="s">
        <v>1057</v>
      </c>
      <c r="EI22" s="404">
        <v>1.446</v>
      </c>
      <c r="EJ22" s="412" t="s">
        <v>1057</v>
      </c>
      <c r="EK22" s="412" t="s">
        <v>1057</v>
      </c>
      <c r="EL22" s="412" t="s">
        <v>1057</v>
      </c>
      <c r="EM22" s="412" t="s">
        <v>1057</v>
      </c>
      <c r="EN22" s="412" t="s">
        <v>1057</v>
      </c>
      <c r="EO22" s="412" t="s">
        <v>1057</v>
      </c>
      <c r="EP22" s="413" t="s">
        <v>1057</v>
      </c>
      <c r="EQ22" s="413" t="s">
        <v>1057</v>
      </c>
      <c r="ER22" s="413" t="s">
        <v>1057</v>
      </c>
      <c r="ES22" s="413" t="s">
        <v>1057</v>
      </c>
      <c r="ET22" s="413" t="s">
        <v>1057</v>
      </c>
      <c r="EU22" s="413" t="s">
        <v>1057</v>
      </c>
      <c r="EV22" s="414">
        <v>1.2163033954045381</v>
      </c>
      <c r="EW22" s="414">
        <v>0.57164604654619444</v>
      </c>
      <c r="EX22" s="415">
        <v>-2.0877492658426158E-2</v>
      </c>
      <c r="EY22" s="415">
        <v>0.17126876392736426</v>
      </c>
      <c r="EZ22" s="415">
        <v>0.23501777386240519</v>
      </c>
      <c r="FA22" s="404">
        <v>-1.226</v>
      </c>
      <c r="FB22" s="404">
        <v>36.820999999999998</v>
      </c>
      <c r="FC22" s="416" t="e">
        <v>#VALUE!</v>
      </c>
      <c r="FD22" s="404">
        <v>-86.789000000000001</v>
      </c>
      <c r="FE22" s="417" t="s">
        <v>1062</v>
      </c>
      <c r="FF22" s="417" t="s">
        <v>1062</v>
      </c>
      <c r="FG22" s="416">
        <v>-1489.2250000000001</v>
      </c>
    </row>
    <row r="23" spans="2:163" x14ac:dyDescent="0.15">
      <c r="B23" s="400" t="s">
        <v>209</v>
      </c>
      <c r="D23" s="401" t="s">
        <v>1063</v>
      </c>
      <c r="E23" s="402" t="s">
        <v>1063</v>
      </c>
      <c r="F23" s="19" t="s">
        <v>1055</v>
      </c>
      <c r="G23" s="403">
        <v>46022</v>
      </c>
      <c r="H23" s="403" t="s">
        <v>1056</v>
      </c>
      <c r="I23" s="403" t="s">
        <v>470</v>
      </c>
      <c r="J23" s="403" t="s">
        <v>269</v>
      </c>
      <c r="K23" s="404">
        <v>69.3</v>
      </c>
      <c r="L23" s="405">
        <v>69.3</v>
      </c>
      <c r="M23" s="405">
        <v>153.85990000000001</v>
      </c>
      <c r="N23" s="405">
        <v>29.66</v>
      </c>
      <c r="O23" s="405">
        <v>4.2087776734161304</v>
      </c>
      <c r="P23" s="404">
        <v>900.30839000000003</v>
      </c>
      <c r="Q23" s="405">
        <v>29.494390327868899</v>
      </c>
      <c r="R23" s="405">
        <v>27.989906796747999</v>
      </c>
      <c r="S23" s="406">
        <v>62391.371426999998</v>
      </c>
      <c r="T23" s="407">
        <v>58191.371426999998</v>
      </c>
      <c r="U23" s="404">
        <v>4473</v>
      </c>
      <c r="V23" s="404" t="s">
        <v>1057</v>
      </c>
      <c r="W23" s="404" t="s">
        <v>1057</v>
      </c>
      <c r="X23" s="404">
        <v>277.53300000000002</v>
      </c>
      <c r="Y23" s="404">
        <v>958</v>
      </c>
      <c r="Z23" s="404">
        <v>1358</v>
      </c>
      <c r="AA23" s="404">
        <v>1358</v>
      </c>
      <c r="AB23" s="404">
        <v>2951</v>
      </c>
      <c r="AC23" s="404">
        <v>4473</v>
      </c>
      <c r="AD23" s="404">
        <v>5398.7566299999999</v>
      </c>
      <c r="AE23" s="404">
        <v>6259.0181899999998</v>
      </c>
      <c r="AF23" s="404">
        <v>7156.7286700000004</v>
      </c>
      <c r="AG23" s="404">
        <v>4132</v>
      </c>
      <c r="AH23" s="404" t="s">
        <v>1057</v>
      </c>
      <c r="AI23" s="404" t="s">
        <v>1057</v>
      </c>
      <c r="AJ23" s="404">
        <v>198.20500000000001</v>
      </c>
      <c r="AK23" s="404">
        <v>709</v>
      </c>
      <c r="AL23" s="404">
        <v>987</v>
      </c>
      <c r="AM23" s="404">
        <v>2675</v>
      </c>
      <c r="AN23" s="404">
        <v>4132</v>
      </c>
      <c r="AO23" s="404" t="s">
        <v>1057</v>
      </c>
      <c r="AP23" s="404" t="s">
        <v>1057</v>
      </c>
      <c r="AQ23" s="404" t="s">
        <v>1057</v>
      </c>
      <c r="AR23" s="404" t="s">
        <v>1057</v>
      </c>
      <c r="AS23" s="404" t="s">
        <v>1057</v>
      </c>
      <c r="AT23" s="404" t="s">
        <v>1057</v>
      </c>
      <c r="AU23" s="404" t="s">
        <v>1057</v>
      </c>
      <c r="AV23" s="404" t="s">
        <v>1057</v>
      </c>
      <c r="AW23" s="404" t="s">
        <v>1057</v>
      </c>
      <c r="AX23" s="404" t="s">
        <v>1057</v>
      </c>
      <c r="AY23" s="404" t="s">
        <v>1057</v>
      </c>
      <c r="AZ23" s="404" t="s">
        <v>1057</v>
      </c>
      <c r="BA23" s="404" t="s">
        <v>1057</v>
      </c>
      <c r="BB23" s="404" t="s">
        <v>1057</v>
      </c>
      <c r="BC23" s="404" t="s">
        <v>1057</v>
      </c>
      <c r="BD23" s="404" t="s">
        <v>1057</v>
      </c>
      <c r="BE23" s="404" t="s">
        <v>1057</v>
      </c>
      <c r="BF23" s="404" t="s">
        <v>1057</v>
      </c>
      <c r="BG23" s="404">
        <v>3080.67148</v>
      </c>
      <c r="BH23" s="404">
        <v>3783.22876</v>
      </c>
      <c r="BI23" s="404">
        <v>4174.6743299999998</v>
      </c>
      <c r="BJ23" s="404">
        <v>1883</v>
      </c>
      <c r="BK23" s="404">
        <v>1411</v>
      </c>
      <c r="BL23" s="404">
        <v>1883</v>
      </c>
      <c r="BM23" s="404">
        <v>2300.8667</v>
      </c>
      <c r="BN23" s="404">
        <v>2662.5442400000002</v>
      </c>
      <c r="BO23" s="404">
        <v>2936.9830000000002</v>
      </c>
      <c r="BP23" s="408">
        <v>13.009472708920187</v>
      </c>
      <c r="BQ23" s="408">
        <v>19.719204143341241</v>
      </c>
      <c r="BR23" s="408">
        <v>13.009472708920187</v>
      </c>
      <c r="BS23" s="408">
        <v>10.778661720671042</v>
      </c>
      <c r="BT23" s="408">
        <v>9.2972043954069417</v>
      </c>
      <c r="BU23" s="408">
        <v>8.1310014826927901</v>
      </c>
      <c r="BV23" s="408" t="s">
        <v>1057</v>
      </c>
      <c r="BW23" s="408" t="s">
        <v>1057</v>
      </c>
      <c r="BX23" s="408" t="s">
        <v>1057</v>
      </c>
      <c r="BY23" s="408" t="s">
        <v>1057</v>
      </c>
      <c r="BZ23" s="408" t="s">
        <v>1057</v>
      </c>
      <c r="CA23" s="408" t="s">
        <v>1057</v>
      </c>
      <c r="CB23" s="408">
        <v>18.889184323866949</v>
      </c>
      <c r="CC23" s="408">
        <v>15.381404381954423</v>
      </c>
      <c r="CD23" s="408">
        <v>13.93914035612929</v>
      </c>
      <c r="CE23" s="408">
        <v>33.134026249070629</v>
      </c>
      <c r="CF23" s="408">
        <v>44.217839423812897</v>
      </c>
      <c r="CG23" s="408">
        <v>33.134026249070629</v>
      </c>
      <c r="CH23" s="408">
        <v>27.116465037718179</v>
      </c>
      <c r="CI23" s="408">
        <v>23.432989578043593</v>
      </c>
      <c r="CJ23" s="408">
        <v>21.243354635351992</v>
      </c>
      <c r="CK23" s="408">
        <v>6.8261894340262579</v>
      </c>
      <c r="CL23" s="408">
        <v>7.265793807732619</v>
      </c>
      <c r="CM23" s="409">
        <v>0.92376481108875474</v>
      </c>
      <c r="CN23" s="409">
        <v>0.72680412371134018</v>
      </c>
      <c r="CO23" s="409">
        <v>0.9064723822433074</v>
      </c>
      <c r="CP23" s="410">
        <v>0.95674999999999999</v>
      </c>
      <c r="CQ23" s="410">
        <v>0.95799999999999996</v>
      </c>
      <c r="CR23" s="410">
        <v>0.96</v>
      </c>
      <c r="CS23" s="410"/>
      <c r="CT23" s="410"/>
      <c r="CU23" s="410"/>
      <c r="CV23" s="410"/>
      <c r="CW23" s="410"/>
      <c r="CX23" s="410"/>
      <c r="CY23" s="410"/>
      <c r="CZ23" s="409" t="s">
        <v>1057</v>
      </c>
      <c r="DA23" s="409" t="s">
        <v>1057</v>
      </c>
      <c r="DB23" s="409" t="s">
        <v>1057</v>
      </c>
      <c r="DC23" s="409" t="s">
        <v>1057</v>
      </c>
      <c r="DD23" s="409" t="s">
        <v>1057</v>
      </c>
      <c r="DE23" s="409" t="s">
        <v>1057</v>
      </c>
      <c r="DF23" s="409" t="s">
        <v>1057</v>
      </c>
      <c r="DG23" s="409" t="s">
        <v>1057</v>
      </c>
      <c r="DH23" s="409" t="s">
        <v>1057</v>
      </c>
      <c r="DI23" s="409">
        <v>0.57062610729315277</v>
      </c>
      <c r="DJ23" s="409">
        <v>0.60444444242779871</v>
      </c>
      <c r="DK23" s="409">
        <v>0.58332158762699038</v>
      </c>
      <c r="DL23" s="409">
        <v>0.4209702660406886</v>
      </c>
      <c r="DM23" s="409">
        <v>0.47814300237207724</v>
      </c>
      <c r="DN23" s="409">
        <v>0.4209702660406886</v>
      </c>
      <c r="DO23" s="409">
        <v>0.42618455649852105</v>
      </c>
      <c r="DP23" s="409">
        <v>0.42539327402082533</v>
      </c>
      <c r="DQ23" s="409">
        <v>0.41038065510453398</v>
      </c>
      <c r="DR23" s="411" t="s">
        <v>1062</v>
      </c>
      <c r="DS23" s="411" t="s">
        <v>1062</v>
      </c>
      <c r="DT23" s="409">
        <v>0.48787475836737682</v>
      </c>
      <c r="DU23" s="409">
        <v>2.2938144329896906</v>
      </c>
      <c r="DV23" s="409">
        <v>0.51575737038292102</v>
      </c>
      <c r="DW23" s="409">
        <v>0.20696548848647445</v>
      </c>
      <c r="DX23" s="409">
        <v>0.15934438593132128</v>
      </c>
      <c r="DY23" s="409">
        <v>0.1513580477946932</v>
      </c>
      <c r="DZ23" s="409">
        <v>0.12980888824017978</v>
      </c>
      <c r="EA23" s="404">
        <v>8587</v>
      </c>
      <c r="EB23" s="404">
        <v>38137</v>
      </c>
      <c r="EC23" s="404">
        <v>12449</v>
      </c>
      <c r="ED23" s="404">
        <v>9140</v>
      </c>
      <c r="EE23" s="404">
        <v>12646</v>
      </c>
      <c r="EF23" s="407">
        <v>-197</v>
      </c>
      <c r="EG23" s="404">
        <v>4014</v>
      </c>
      <c r="EH23" s="404" t="s">
        <v>1057</v>
      </c>
      <c r="EI23" s="404">
        <v>11</v>
      </c>
      <c r="EJ23" s="412" t="s">
        <v>1057</v>
      </c>
      <c r="EK23" s="412" t="s">
        <v>1057</v>
      </c>
      <c r="EL23" s="412" t="s">
        <v>1057</v>
      </c>
      <c r="EM23" s="412" t="s">
        <v>1057</v>
      </c>
      <c r="EN23" s="412" t="s">
        <v>1057</v>
      </c>
      <c r="EO23" s="412" t="s">
        <v>1057</v>
      </c>
      <c r="EP23" s="413" t="s">
        <v>1057</v>
      </c>
      <c r="EQ23" s="413" t="s">
        <v>1057</v>
      </c>
      <c r="ER23" s="413" t="s">
        <v>1057</v>
      </c>
      <c r="ES23" s="413" t="s">
        <v>1057</v>
      </c>
      <c r="ET23" s="413" t="s">
        <v>1057</v>
      </c>
      <c r="EU23" s="413" t="s">
        <v>1057</v>
      </c>
      <c r="EV23" s="414">
        <v>2.0889528756725624</v>
      </c>
      <c r="EW23" s="414">
        <v>1.805191454585648</v>
      </c>
      <c r="EX23" s="415">
        <v>0.20601750547045952</v>
      </c>
      <c r="EY23" s="415">
        <v>0.29130680962800876</v>
      </c>
      <c r="EZ23" s="415">
        <v>0.32133293216630199</v>
      </c>
      <c r="FA23" s="404" t="s">
        <v>1057</v>
      </c>
      <c r="FB23" s="404">
        <v>12228</v>
      </c>
      <c r="FC23" s="416" t="e">
        <v>#VALUE!</v>
      </c>
      <c r="FD23" s="404" t="s">
        <v>1057</v>
      </c>
      <c r="FE23" s="417" t="s">
        <v>1062</v>
      </c>
      <c r="FF23" s="417" t="s">
        <v>1062</v>
      </c>
      <c r="FG23" s="416">
        <v>-418</v>
      </c>
    </row>
    <row r="24" spans="2:163" x14ac:dyDescent="0.15">
      <c r="B24" s="400" t="s">
        <v>210</v>
      </c>
      <c r="D24" s="401" t="s">
        <v>1064</v>
      </c>
      <c r="E24" s="402" t="s">
        <v>1064</v>
      </c>
      <c r="F24" s="19" t="s">
        <v>1055</v>
      </c>
      <c r="G24" s="403">
        <v>46022</v>
      </c>
      <c r="H24" s="403" t="s">
        <v>1056</v>
      </c>
      <c r="I24" s="403" t="s">
        <v>470</v>
      </c>
      <c r="J24" s="403" t="s">
        <v>269</v>
      </c>
      <c r="K24" s="404">
        <v>18.45</v>
      </c>
      <c r="L24" s="405">
        <v>18.45</v>
      </c>
      <c r="M24" s="405">
        <v>45.92</v>
      </c>
      <c r="N24" s="405">
        <v>8.1999999999999993</v>
      </c>
      <c r="O24" s="405">
        <v>3.7874678985251302</v>
      </c>
      <c r="P24" s="404">
        <v>192.701065</v>
      </c>
      <c r="Q24" s="405">
        <v>6.5494045409836099</v>
      </c>
      <c r="R24" s="405">
        <v>7.5333389999999998</v>
      </c>
      <c r="S24" s="406">
        <v>3555.33464925</v>
      </c>
      <c r="T24" s="407">
        <v>6999.2596492499988</v>
      </c>
      <c r="U24" s="404">
        <v>61355.667000000001</v>
      </c>
      <c r="V24" s="404" t="s">
        <v>1057</v>
      </c>
      <c r="W24" s="404" t="s">
        <v>1057</v>
      </c>
      <c r="X24" s="404" t="s">
        <v>1057</v>
      </c>
      <c r="Y24" s="404" t="s">
        <v>1057</v>
      </c>
      <c r="Z24" s="404" t="s">
        <v>1057</v>
      </c>
      <c r="AA24" s="404" t="s">
        <v>1057</v>
      </c>
      <c r="AB24" s="404">
        <v>43757.79</v>
      </c>
      <c r="AC24" s="404">
        <v>61355.667000000001</v>
      </c>
      <c r="AD24" s="404">
        <v>47537.945644602201</v>
      </c>
      <c r="AE24" s="404">
        <v>63098.467331910797</v>
      </c>
      <c r="AF24" s="404">
        <v>76855.3806413852</v>
      </c>
      <c r="AG24" s="404">
        <v>61355.667000000001</v>
      </c>
      <c r="AH24" s="404" t="s">
        <v>1057</v>
      </c>
      <c r="AI24" s="404" t="s">
        <v>1057</v>
      </c>
      <c r="AJ24" s="404" t="s">
        <v>1057</v>
      </c>
      <c r="AK24" s="404" t="s">
        <v>1057</v>
      </c>
      <c r="AL24" s="404" t="s">
        <v>1057</v>
      </c>
      <c r="AM24" s="404">
        <v>43757.79</v>
      </c>
      <c r="AN24" s="404">
        <v>61355.667000000001</v>
      </c>
      <c r="AO24" s="404">
        <v>60084.49</v>
      </c>
      <c r="AP24" s="404" t="s">
        <v>1057</v>
      </c>
      <c r="AQ24" s="404" t="s">
        <v>1057</v>
      </c>
      <c r="AR24" s="404" t="s">
        <v>1057</v>
      </c>
      <c r="AS24" s="404" t="s">
        <v>1057</v>
      </c>
      <c r="AT24" s="404" t="s">
        <v>1057</v>
      </c>
      <c r="AU24" s="404" t="s">
        <v>1057</v>
      </c>
      <c r="AV24" s="404">
        <v>42981.896000000001</v>
      </c>
      <c r="AW24" s="404">
        <v>60084.49</v>
      </c>
      <c r="AX24" s="404" t="s">
        <v>1057</v>
      </c>
      <c r="AY24" s="404" t="s">
        <v>1057</v>
      </c>
      <c r="AZ24" s="404" t="s">
        <v>1057</v>
      </c>
      <c r="BA24" s="404">
        <v>60118.557999999997</v>
      </c>
      <c r="BB24" s="404">
        <v>43028.788</v>
      </c>
      <c r="BC24" s="404">
        <v>60118.557999999997</v>
      </c>
      <c r="BD24" s="404">
        <v>60124.457999999999</v>
      </c>
      <c r="BE24" s="404">
        <v>43034.588000000003</v>
      </c>
      <c r="BF24" s="404">
        <v>60124.457999999999</v>
      </c>
      <c r="BG24" s="404" t="s">
        <v>1057</v>
      </c>
      <c r="BH24" s="404">
        <v>552.13262081212395</v>
      </c>
      <c r="BI24" s="404">
        <v>857.64386839285203</v>
      </c>
      <c r="BJ24" s="404">
        <v>-241.34899999999999</v>
      </c>
      <c r="BK24" s="404">
        <v>346.72199999999998</v>
      </c>
      <c r="BL24" s="404">
        <v>-241.34899999999999</v>
      </c>
      <c r="BM24" s="404">
        <v>-135.296548379689</v>
      </c>
      <c r="BN24" s="404">
        <v>256.52711592877102</v>
      </c>
      <c r="BO24" s="404">
        <v>4.1164586711039997</v>
      </c>
      <c r="BP24" s="408">
        <v>0.11407682438282349</v>
      </c>
      <c r="BQ24" s="408">
        <v>0.15995459663867848</v>
      </c>
      <c r="BR24" s="408">
        <v>0.11407682438282349</v>
      </c>
      <c r="BS24" s="408">
        <v>0.14723521503383991</v>
      </c>
      <c r="BT24" s="408">
        <v>0.11092598513419458</v>
      </c>
      <c r="BU24" s="408">
        <v>9.1070522204674723E-2</v>
      </c>
      <c r="BV24" s="408" t="s">
        <v>1057</v>
      </c>
      <c r="BW24" s="408" t="s">
        <v>1057</v>
      </c>
      <c r="BX24" s="408" t="s">
        <v>1057</v>
      </c>
      <c r="BY24" s="408">
        <v>0.11641285230795759</v>
      </c>
      <c r="BZ24" s="408">
        <v>0.16264265500229719</v>
      </c>
      <c r="CA24" s="408">
        <v>0.11641285230795759</v>
      </c>
      <c r="CB24" s="408" t="s">
        <v>1057</v>
      </c>
      <c r="CC24" s="408">
        <v>12.676772545977972</v>
      </c>
      <c r="CD24" s="408">
        <v>8.1610326934022002</v>
      </c>
      <c r="CE24" s="408" t="s">
        <v>1058</v>
      </c>
      <c r="CF24" s="408">
        <v>10.254136308771869</v>
      </c>
      <c r="CG24" s="408" t="s">
        <v>1058</v>
      </c>
      <c r="CH24" s="408" t="s">
        <v>1058</v>
      </c>
      <c r="CI24" s="408">
        <v>13.859488640714291</v>
      </c>
      <c r="CJ24" s="408" t="s">
        <v>1058</v>
      </c>
      <c r="CK24" s="408">
        <v>1.8179020415598228</v>
      </c>
      <c r="CL24" s="408">
        <v>1.88191407277214</v>
      </c>
      <c r="CM24" s="409">
        <v>1</v>
      </c>
      <c r="CN24" s="409" t="s">
        <v>1057</v>
      </c>
      <c r="CO24" s="409">
        <v>1</v>
      </c>
      <c r="CP24" s="410">
        <v>8.0000000000000002E-3</v>
      </c>
      <c r="CQ24" s="410">
        <v>0.01</v>
      </c>
      <c r="CR24" s="410">
        <v>1.2E-2</v>
      </c>
      <c r="CS24" s="410"/>
      <c r="CT24" s="410"/>
      <c r="CU24" s="410"/>
      <c r="CV24" s="410"/>
      <c r="CW24" s="410"/>
      <c r="CX24" s="410"/>
      <c r="CY24" s="410"/>
      <c r="CZ24" s="409" t="s">
        <v>1057</v>
      </c>
      <c r="DA24" s="409" t="s">
        <v>1057</v>
      </c>
      <c r="DB24" s="409" t="s">
        <v>1057</v>
      </c>
      <c r="DC24" s="409" t="s">
        <v>1057</v>
      </c>
      <c r="DD24" s="409" t="s">
        <v>1057</v>
      </c>
      <c r="DE24" s="409" t="s">
        <v>1057</v>
      </c>
      <c r="DF24" s="409">
        <v>0.97993324724185615</v>
      </c>
      <c r="DG24" s="409">
        <v>0.98347261139102327</v>
      </c>
      <c r="DH24" s="409">
        <v>0.97993324724185615</v>
      </c>
      <c r="DI24" s="409" t="s">
        <v>1057</v>
      </c>
      <c r="DJ24" s="409">
        <v>8.7503333148774252E-3</v>
      </c>
      <c r="DK24" s="409">
        <v>1.1159190953652328E-2</v>
      </c>
      <c r="DL24" s="409" t="s">
        <v>1058</v>
      </c>
      <c r="DM24" s="409">
        <v>7.9236634208446084E-3</v>
      </c>
      <c r="DN24" s="409" t="s">
        <v>1058</v>
      </c>
      <c r="DO24" s="409" t="s">
        <v>1058</v>
      </c>
      <c r="DP24" s="409">
        <v>4.0655047067844948E-3</v>
      </c>
      <c r="DQ24" s="409">
        <v>5.3561099258772816E-5</v>
      </c>
      <c r="DR24" s="411">
        <v>5.6351759545175441E-2</v>
      </c>
      <c r="DS24" s="411">
        <v>1.7324018847134197</v>
      </c>
      <c r="DT24" s="409" t="s">
        <v>1057</v>
      </c>
      <c r="DU24" s="409" t="s">
        <v>1057</v>
      </c>
      <c r="DV24" s="409">
        <v>0.40216558011727743</v>
      </c>
      <c r="DW24" s="409">
        <v>-0.22520692922135133</v>
      </c>
      <c r="DX24" s="409">
        <v>0.32732844207531397</v>
      </c>
      <c r="DY24" s="409">
        <v>0.27150166746186621</v>
      </c>
      <c r="DZ24" s="409" t="s">
        <v>1058</v>
      </c>
      <c r="EA24" s="404">
        <v>1889.212</v>
      </c>
      <c r="EB24" s="404">
        <v>11348.081</v>
      </c>
      <c r="EC24" s="404">
        <v>5343.4279999999999</v>
      </c>
      <c r="ED24" s="404">
        <v>1955.7349999999999</v>
      </c>
      <c r="EE24" s="404">
        <v>1955.309</v>
      </c>
      <c r="EF24" s="407">
        <v>3388.1189999999997</v>
      </c>
      <c r="EG24" s="404">
        <v>1023.236</v>
      </c>
      <c r="EH24" s="404" t="s">
        <v>1057</v>
      </c>
      <c r="EI24" s="404">
        <v>1079.0419999999999</v>
      </c>
      <c r="EJ24" s="412" t="s">
        <v>1057</v>
      </c>
      <c r="EK24" s="412" t="s">
        <v>1057</v>
      </c>
      <c r="EL24" s="412" t="s">
        <v>1057</v>
      </c>
      <c r="EM24" s="412" t="s">
        <v>1057</v>
      </c>
      <c r="EN24" s="412" t="s">
        <v>1057</v>
      </c>
      <c r="EO24" s="412" t="s">
        <v>1057</v>
      </c>
      <c r="EP24" s="413" t="s">
        <v>1057</v>
      </c>
      <c r="EQ24" s="413" t="s">
        <v>1057</v>
      </c>
      <c r="ER24" s="413" t="s">
        <v>1057</v>
      </c>
      <c r="ES24" s="413" t="s">
        <v>1057</v>
      </c>
      <c r="ET24" s="413" t="s">
        <v>1057</v>
      </c>
      <c r="EU24" s="413" t="s">
        <v>1057</v>
      </c>
      <c r="EV24" s="414" t="s">
        <v>1057</v>
      </c>
      <c r="EW24" s="414" t="s">
        <v>1057</v>
      </c>
      <c r="EX24" s="415">
        <v>-0.12340577839022158</v>
      </c>
      <c r="EY24" s="415">
        <v>0.13116660280087591</v>
      </c>
      <c r="EZ24" s="415">
        <v>2.1048141343811915E-3</v>
      </c>
      <c r="FA24" s="404">
        <v>-59.247</v>
      </c>
      <c r="FB24" s="404">
        <v>5330.9489999999996</v>
      </c>
      <c r="FC24" s="416" t="e">
        <v>#VALUE!</v>
      </c>
      <c r="FD24" s="404">
        <v>60118.557999999997</v>
      </c>
      <c r="FE24" s="417">
        <v>5.6149716698128384E-2</v>
      </c>
      <c r="FF24" s="417">
        <v>1.7260211633989266</v>
      </c>
      <c r="FG24" s="416">
        <v>3375.6399999999994</v>
      </c>
    </row>
    <row r="25" spans="2:163" x14ac:dyDescent="0.15">
      <c r="B25" s="400" t="s">
        <v>211</v>
      </c>
      <c r="D25" s="401" t="s">
        <v>1065</v>
      </c>
      <c r="E25" s="402" t="s">
        <v>1065</v>
      </c>
      <c r="F25" s="19" t="s">
        <v>1055</v>
      </c>
      <c r="G25" s="403">
        <v>46022</v>
      </c>
      <c r="H25" s="403" t="s">
        <v>1056</v>
      </c>
      <c r="I25" s="403" t="s">
        <v>543</v>
      </c>
      <c r="J25" s="403" t="s">
        <v>269</v>
      </c>
      <c r="K25" s="404">
        <v>30.03</v>
      </c>
      <c r="L25" s="405">
        <v>30.03</v>
      </c>
      <c r="M25" s="405">
        <v>79.959699999999998</v>
      </c>
      <c r="N25" s="405">
        <v>24.74</v>
      </c>
      <c r="O25" s="405">
        <v>-0.15111892293836701</v>
      </c>
      <c r="P25" s="404">
        <v>82.851421999999999</v>
      </c>
      <c r="Q25" s="405">
        <v>1.38049685245902</v>
      </c>
      <c r="R25" s="405">
        <v>1.3314692357723601</v>
      </c>
      <c r="S25" s="406">
        <v>2488.0282026600003</v>
      </c>
      <c r="T25" s="407">
        <v>1267.1622026600003</v>
      </c>
      <c r="U25" s="404">
        <v>13700.697</v>
      </c>
      <c r="V25" s="404" t="s">
        <v>1057</v>
      </c>
      <c r="W25" s="404" t="s">
        <v>1057</v>
      </c>
      <c r="X25" s="404">
        <v>229.916</v>
      </c>
      <c r="Y25" s="404">
        <v>512.31200000000001</v>
      </c>
      <c r="Z25" s="404">
        <v>6264.3119999999999</v>
      </c>
      <c r="AA25" s="404">
        <v>6264.3119999999999</v>
      </c>
      <c r="AB25" s="404">
        <v>12519.976000000001</v>
      </c>
      <c r="AC25" s="404">
        <v>13700.697</v>
      </c>
      <c r="AD25" s="404">
        <v>935.28688999999997</v>
      </c>
      <c r="AE25" s="404">
        <v>1053.6496099999999</v>
      </c>
      <c r="AF25" s="404">
        <v>1098.18896</v>
      </c>
      <c r="AG25" s="404">
        <v>384.69600000000003</v>
      </c>
      <c r="AH25" s="404" t="s">
        <v>1057</v>
      </c>
      <c r="AI25" s="404" t="s">
        <v>1057</v>
      </c>
      <c r="AJ25" s="404">
        <v>123.848</v>
      </c>
      <c r="AK25" s="404">
        <v>310.29700000000003</v>
      </c>
      <c r="AL25" s="404">
        <v>26.901</v>
      </c>
      <c r="AM25" s="404">
        <v>345.99</v>
      </c>
      <c r="AN25" s="404">
        <v>384.69600000000003</v>
      </c>
      <c r="AO25" s="404" t="s">
        <v>1057</v>
      </c>
      <c r="AP25" s="404" t="s">
        <v>1057</v>
      </c>
      <c r="AQ25" s="404" t="s">
        <v>1057</v>
      </c>
      <c r="AR25" s="404" t="s">
        <v>1057</v>
      </c>
      <c r="AS25" s="404" t="s">
        <v>1057</v>
      </c>
      <c r="AT25" s="404" t="s">
        <v>1057</v>
      </c>
      <c r="AU25" s="404" t="s">
        <v>1057</v>
      </c>
      <c r="AV25" s="404" t="s">
        <v>1057</v>
      </c>
      <c r="AW25" s="404" t="s">
        <v>1057</v>
      </c>
      <c r="AX25" s="404" t="s">
        <v>1057</v>
      </c>
      <c r="AY25" s="404" t="s">
        <v>1057</v>
      </c>
      <c r="AZ25" s="404" t="s">
        <v>1057</v>
      </c>
      <c r="BA25" s="404" t="s">
        <v>1057</v>
      </c>
      <c r="BB25" s="404" t="s">
        <v>1057</v>
      </c>
      <c r="BC25" s="404" t="s">
        <v>1057</v>
      </c>
      <c r="BD25" s="404" t="s">
        <v>1057</v>
      </c>
      <c r="BE25" s="404" t="s">
        <v>1057</v>
      </c>
      <c r="BF25" s="404" t="s">
        <v>1057</v>
      </c>
      <c r="BG25" s="404">
        <v>341.68599999999998</v>
      </c>
      <c r="BH25" s="404">
        <v>413.12110999999999</v>
      </c>
      <c r="BI25" s="404">
        <v>437.89400000000001</v>
      </c>
      <c r="BJ25" s="404">
        <v>215.696</v>
      </c>
      <c r="BK25" s="404">
        <v>192.381</v>
      </c>
      <c r="BL25" s="404">
        <v>215.696</v>
      </c>
      <c r="BM25" s="404">
        <v>253.227</v>
      </c>
      <c r="BN25" s="404">
        <v>310.25812000000002</v>
      </c>
      <c r="BO25" s="404">
        <v>357.036</v>
      </c>
      <c r="BP25" s="408">
        <v>9.2488885978574686E-2</v>
      </c>
      <c r="BQ25" s="408">
        <v>0.10121123256626052</v>
      </c>
      <c r="BR25" s="408">
        <v>9.2488885978574686E-2</v>
      </c>
      <c r="BS25" s="408">
        <v>1.3548379820228211</v>
      </c>
      <c r="BT25" s="408">
        <v>1.202640982954476</v>
      </c>
      <c r="BU25" s="408">
        <v>1.1538653627149924</v>
      </c>
      <c r="BV25" s="408" t="s">
        <v>1057</v>
      </c>
      <c r="BW25" s="408" t="s">
        <v>1057</v>
      </c>
      <c r="BX25" s="408" t="s">
        <v>1057</v>
      </c>
      <c r="BY25" s="408" t="s">
        <v>1057</v>
      </c>
      <c r="BZ25" s="408" t="s">
        <v>1057</v>
      </c>
      <c r="CA25" s="408" t="s">
        <v>1057</v>
      </c>
      <c r="CB25" s="408">
        <v>3.7085575723324933</v>
      </c>
      <c r="CC25" s="408">
        <v>3.0672898866388123</v>
      </c>
      <c r="CD25" s="408">
        <v>2.8937647071209018</v>
      </c>
      <c r="CE25" s="408">
        <v>11.53488336668274</v>
      </c>
      <c r="CF25" s="408">
        <v>12.932816664119638</v>
      </c>
      <c r="CG25" s="408">
        <v>11.53488336668274</v>
      </c>
      <c r="CH25" s="408">
        <v>9.8252879932234727</v>
      </c>
      <c r="CI25" s="408">
        <v>8.0192202629861882</v>
      </c>
      <c r="CJ25" s="408">
        <v>6.9685639617853665</v>
      </c>
      <c r="CK25" s="408">
        <v>1.7840571082970624</v>
      </c>
      <c r="CL25" s="408">
        <v>1.8411032009969079</v>
      </c>
      <c r="CM25" s="409">
        <v>2.807857147705697E-2</v>
      </c>
      <c r="CN25" s="409">
        <v>4.294326336236126E-3</v>
      </c>
      <c r="CO25" s="409">
        <v>2.7635037000070927E-2</v>
      </c>
      <c r="CP25" s="410" t="e">
        <v>#VALUE!</v>
      </c>
      <c r="CQ25" s="410" t="e">
        <v>#VALUE!</v>
      </c>
      <c r="CR25" s="410" t="e">
        <v>#VALUE!</v>
      </c>
      <c r="CS25" s="410"/>
      <c r="CT25" s="410"/>
      <c r="CU25" s="410"/>
      <c r="CV25" s="410"/>
      <c r="CW25" s="410"/>
      <c r="CX25" s="410"/>
      <c r="CY25" s="410"/>
      <c r="CZ25" s="409" t="s">
        <v>1057</v>
      </c>
      <c r="DA25" s="409" t="s">
        <v>1057</v>
      </c>
      <c r="DB25" s="409" t="s">
        <v>1057</v>
      </c>
      <c r="DC25" s="409" t="s">
        <v>1057</v>
      </c>
      <c r="DD25" s="409" t="s">
        <v>1057</v>
      </c>
      <c r="DE25" s="409" t="s">
        <v>1057</v>
      </c>
      <c r="DF25" s="409" t="s">
        <v>1057</v>
      </c>
      <c r="DG25" s="409" t="s">
        <v>1057</v>
      </c>
      <c r="DH25" s="409" t="s">
        <v>1057</v>
      </c>
      <c r="DI25" s="409">
        <v>0.36532747721931608</v>
      </c>
      <c r="DJ25" s="409">
        <v>0.39208585670145124</v>
      </c>
      <c r="DK25" s="409">
        <v>0.3987419432808722</v>
      </c>
      <c r="DL25" s="409">
        <v>1.5743432615143594E-2</v>
      </c>
      <c r="DM25" s="409">
        <v>1.5365924024135509E-2</v>
      </c>
      <c r="DN25" s="409">
        <v>1.5743432615143594E-2</v>
      </c>
      <c r="DO25" s="409">
        <v>0.27074794130814772</v>
      </c>
      <c r="DP25" s="409">
        <v>0.29446043262902177</v>
      </c>
      <c r="DQ25" s="409">
        <v>0.32511344859995678</v>
      </c>
      <c r="DR25" s="411" t="s">
        <v>1062</v>
      </c>
      <c r="DS25" s="411" t="s">
        <v>1062</v>
      </c>
      <c r="DT25" s="409">
        <v>0.29804503563953344</v>
      </c>
      <c r="DU25" s="409">
        <v>1.1871032285748222</v>
      </c>
      <c r="DV25" s="409">
        <v>9.4306969917514083E-2</v>
      </c>
      <c r="DW25" s="409">
        <v>-0.93173435701847873</v>
      </c>
      <c r="DX25" s="409">
        <v>0.12655231380394949</v>
      </c>
      <c r="DY25" s="409">
        <v>8.3592806585179646E-2</v>
      </c>
      <c r="DZ25" s="409">
        <v>0.18741081231584023</v>
      </c>
      <c r="EA25" s="404">
        <v>1351.3789999999999</v>
      </c>
      <c r="EB25" s="404">
        <v>1791.347</v>
      </c>
      <c r="EC25" s="404">
        <v>54.463000000000001</v>
      </c>
      <c r="ED25" s="404">
        <v>1394.59</v>
      </c>
      <c r="EE25" s="404">
        <v>1072.6410000000001</v>
      </c>
      <c r="EF25" s="407">
        <v>-1018.1780000000001</v>
      </c>
      <c r="EG25" s="404">
        <v>202.68799999999999</v>
      </c>
      <c r="EH25" s="404" t="s">
        <v>1057</v>
      </c>
      <c r="EI25" s="404" t="s">
        <v>1057</v>
      </c>
      <c r="EJ25" s="412" t="s">
        <v>1057</v>
      </c>
      <c r="EK25" s="412" t="s">
        <v>1057</v>
      </c>
      <c r="EL25" s="412" t="s">
        <v>1057</v>
      </c>
      <c r="EM25" s="412" t="s">
        <v>1057</v>
      </c>
      <c r="EN25" s="412" t="s">
        <v>1057</v>
      </c>
      <c r="EO25" s="412" t="s">
        <v>1057</v>
      </c>
      <c r="EP25" s="413" t="s">
        <v>1057</v>
      </c>
      <c r="EQ25" s="413" t="s">
        <v>1057</v>
      </c>
      <c r="ER25" s="413" t="s">
        <v>1057</v>
      </c>
      <c r="ES25" s="413" t="s">
        <v>1057</v>
      </c>
      <c r="ET25" s="413" t="s">
        <v>1057</v>
      </c>
      <c r="EU25" s="413" t="s">
        <v>1057</v>
      </c>
      <c r="EV25" s="414">
        <v>0.52426473541265506</v>
      </c>
      <c r="EW25" s="414">
        <v>0.42789528330262683</v>
      </c>
      <c r="EX25" s="415">
        <v>0.15466624599344611</v>
      </c>
      <c r="EY25" s="415">
        <v>0.22247264070443645</v>
      </c>
      <c r="EZ25" s="415">
        <v>0.25601502950688015</v>
      </c>
      <c r="FA25" s="404" t="s">
        <v>1057</v>
      </c>
      <c r="FB25" s="404">
        <v>0</v>
      </c>
      <c r="FC25" s="416" t="e">
        <v>#VALUE!</v>
      </c>
      <c r="FD25" s="404" t="s">
        <v>1057</v>
      </c>
      <c r="FE25" s="417" t="s">
        <v>1062</v>
      </c>
      <c r="FF25" s="417" t="s">
        <v>1062</v>
      </c>
      <c r="FG25" s="416">
        <v>-1072.6410000000001</v>
      </c>
    </row>
    <row r="26" spans="2:163" x14ac:dyDescent="0.15">
      <c r="B26" s="400" t="s">
        <v>212</v>
      </c>
      <c r="D26" s="401" t="s">
        <v>1066</v>
      </c>
      <c r="E26" s="402" t="s">
        <v>1066</v>
      </c>
      <c r="F26" s="19" t="s">
        <v>1055</v>
      </c>
      <c r="G26" s="403">
        <v>46022</v>
      </c>
      <c r="H26" s="403" t="s">
        <v>1056</v>
      </c>
      <c r="I26" s="403" t="s">
        <v>470</v>
      </c>
      <c r="J26" s="403" t="s">
        <v>269</v>
      </c>
      <c r="K26" s="404">
        <v>67.069999999999993</v>
      </c>
      <c r="L26" s="405">
        <v>67.069999999999993</v>
      </c>
      <c r="M26" s="405">
        <v>79.180000000000007</v>
      </c>
      <c r="N26" s="405">
        <v>32.82</v>
      </c>
      <c r="O26" s="405">
        <v>1.71740070060029</v>
      </c>
      <c r="P26" s="404">
        <v>445.61687699999999</v>
      </c>
      <c r="Q26" s="405">
        <v>5.0861437704918</v>
      </c>
      <c r="R26" s="405">
        <v>4.6019155203251998</v>
      </c>
      <c r="S26" s="406">
        <v>29887.523940389998</v>
      </c>
      <c r="T26" s="407">
        <v>-35342.476059610002</v>
      </c>
      <c r="U26" s="404">
        <v>6209</v>
      </c>
      <c r="V26" s="404">
        <v>1581</v>
      </c>
      <c r="W26" s="404">
        <v>1922</v>
      </c>
      <c r="X26" s="404">
        <v>1997</v>
      </c>
      <c r="Y26" s="404">
        <v>2237</v>
      </c>
      <c r="Z26" s="404">
        <v>3167</v>
      </c>
      <c r="AA26" s="404">
        <v>3167</v>
      </c>
      <c r="AB26" s="404">
        <v>5200</v>
      </c>
      <c r="AC26" s="404">
        <v>6209</v>
      </c>
      <c r="AD26" s="404">
        <v>6852.0905000000002</v>
      </c>
      <c r="AE26" s="404">
        <v>7399.6064999999999</v>
      </c>
      <c r="AF26" s="404">
        <v>8436.5889999999999</v>
      </c>
      <c r="AG26" s="404">
        <v>5746</v>
      </c>
      <c r="AH26" s="404">
        <v>1312</v>
      </c>
      <c r="AI26" s="404">
        <v>1628</v>
      </c>
      <c r="AJ26" s="404">
        <v>1721</v>
      </c>
      <c r="AK26" s="404">
        <v>1918</v>
      </c>
      <c r="AL26" s="404">
        <v>2810</v>
      </c>
      <c r="AM26" s="404">
        <v>4714</v>
      </c>
      <c r="AN26" s="404">
        <v>5746</v>
      </c>
      <c r="AO26" s="404" t="s">
        <v>1057</v>
      </c>
      <c r="AP26" s="404" t="s">
        <v>1057</v>
      </c>
      <c r="AQ26" s="404" t="s">
        <v>1057</v>
      </c>
      <c r="AR26" s="404" t="s">
        <v>1057</v>
      </c>
      <c r="AS26" s="404" t="s">
        <v>1057</v>
      </c>
      <c r="AT26" s="404" t="s">
        <v>1057</v>
      </c>
      <c r="AU26" s="404" t="s">
        <v>1057</v>
      </c>
      <c r="AV26" s="404" t="s">
        <v>1057</v>
      </c>
      <c r="AW26" s="404" t="s">
        <v>1057</v>
      </c>
      <c r="AX26" s="404" t="s">
        <v>1057</v>
      </c>
      <c r="AY26" s="404" t="s">
        <v>1057</v>
      </c>
      <c r="AZ26" s="404" t="s">
        <v>1057</v>
      </c>
      <c r="BA26" s="404" t="s">
        <v>1057</v>
      </c>
      <c r="BB26" s="404" t="s">
        <v>1057</v>
      </c>
      <c r="BC26" s="404" t="s">
        <v>1057</v>
      </c>
      <c r="BD26" s="404" t="s">
        <v>1057</v>
      </c>
      <c r="BE26" s="404" t="s">
        <v>1057</v>
      </c>
      <c r="BF26" s="404" t="s">
        <v>1057</v>
      </c>
      <c r="BG26" s="404">
        <v>5212.8533299999999</v>
      </c>
      <c r="BH26" s="404">
        <v>5918.6526700000004</v>
      </c>
      <c r="BI26" s="404">
        <v>6315.9480000000003</v>
      </c>
      <c r="BJ26" s="404">
        <v>984</v>
      </c>
      <c r="BK26" s="404">
        <v>755</v>
      </c>
      <c r="BL26" s="404">
        <v>984</v>
      </c>
      <c r="BM26" s="404">
        <v>1105.3620000000001</v>
      </c>
      <c r="BN26" s="404">
        <v>1262.42012</v>
      </c>
      <c r="BO26" s="404">
        <v>1587.52</v>
      </c>
      <c r="BP26" s="408">
        <v>-5.6921365855387345</v>
      </c>
      <c r="BQ26" s="408">
        <v>-6.7966300114634617</v>
      </c>
      <c r="BR26" s="408">
        <v>-5.6921365855387345</v>
      </c>
      <c r="BS26" s="408">
        <v>-5.1579114519298894</v>
      </c>
      <c r="BT26" s="408">
        <v>-4.7762642594048756</v>
      </c>
      <c r="BU26" s="408">
        <v>-4.1891902117799029</v>
      </c>
      <c r="BV26" s="408" t="s">
        <v>1057</v>
      </c>
      <c r="BW26" s="408" t="s">
        <v>1057</v>
      </c>
      <c r="BX26" s="408" t="s">
        <v>1057</v>
      </c>
      <c r="BY26" s="408" t="s">
        <v>1057</v>
      </c>
      <c r="BZ26" s="408" t="s">
        <v>1057</v>
      </c>
      <c r="CA26" s="408" t="s">
        <v>1057</v>
      </c>
      <c r="CB26" s="408" t="s">
        <v>1058</v>
      </c>
      <c r="CC26" s="408" t="s">
        <v>1058</v>
      </c>
      <c r="CD26" s="408" t="s">
        <v>1058</v>
      </c>
      <c r="CE26" s="408">
        <v>30.373499939420729</v>
      </c>
      <c r="CF26" s="408">
        <v>39.586124424357614</v>
      </c>
      <c r="CG26" s="408">
        <v>30.373499939420729</v>
      </c>
      <c r="CH26" s="408">
        <v>27.038675058840447</v>
      </c>
      <c r="CI26" s="408">
        <v>23.674784223488135</v>
      </c>
      <c r="CJ26" s="408">
        <v>18.826549549227725</v>
      </c>
      <c r="CK26" s="408">
        <v>5.5729114190546332</v>
      </c>
      <c r="CL26" s="408">
        <v>5.6274757937092819</v>
      </c>
      <c r="CM26" s="409">
        <v>0.92543082622000317</v>
      </c>
      <c r="CN26" s="409">
        <v>0.88727502368171773</v>
      </c>
      <c r="CO26" s="409">
        <v>0.90653846153846152</v>
      </c>
      <c r="CP26" s="410">
        <v>1.83E-2</v>
      </c>
      <c r="CQ26" s="410">
        <v>1.7600000000000001E-2</v>
      </c>
      <c r="CR26" s="410">
        <v>1.5600000000000001E-2</v>
      </c>
      <c r="CS26" s="410"/>
      <c r="CT26" s="410"/>
      <c r="CU26" s="410"/>
      <c r="CV26" s="410"/>
      <c r="CW26" s="410"/>
      <c r="CX26" s="410"/>
      <c r="CY26" s="410"/>
      <c r="CZ26" s="409" t="s">
        <v>1057</v>
      </c>
      <c r="DA26" s="409" t="s">
        <v>1057</v>
      </c>
      <c r="DB26" s="409" t="s">
        <v>1057</v>
      </c>
      <c r="DC26" s="409" t="s">
        <v>1057</v>
      </c>
      <c r="DD26" s="409" t="s">
        <v>1057</v>
      </c>
      <c r="DE26" s="409" t="s">
        <v>1057</v>
      </c>
      <c r="DF26" s="409" t="s">
        <v>1057</v>
      </c>
      <c r="DG26" s="409" t="s">
        <v>1057</v>
      </c>
      <c r="DH26" s="409" t="s">
        <v>1057</v>
      </c>
      <c r="DI26" s="409">
        <v>0.76076831296959657</v>
      </c>
      <c r="DJ26" s="409">
        <v>0.79986046149886492</v>
      </c>
      <c r="DK26" s="409">
        <v>0.74863763068225797</v>
      </c>
      <c r="DL26" s="409">
        <v>0.15847962634884843</v>
      </c>
      <c r="DM26" s="409">
        <v>0.1451923076923077</v>
      </c>
      <c r="DN26" s="409">
        <v>0.15847962634884843</v>
      </c>
      <c r="DO26" s="409">
        <v>0.16131748405833227</v>
      </c>
      <c r="DP26" s="409">
        <v>0.17060638562334363</v>
      </c>
      <c r="DQ26" s="409">
        <v>0.18817083539330884</v>
      </c>
      <c r="DR26" s="411" t="s">
        <v>1062</v>
      </c>
      <c r="DS26" s="411" t="s">
        <v>1062</v>
      </c>
      <c r="DT26" s="409">
        <v>0.25157784119743121</v>
      </c>
      <c r="DU26" s="409">
        <v>0.96053047047679185</v>
      </c>
      <c r="DV26" s="409">
        <v>0.1940384615384616</v>
      </c>
      <c r="DW26" s="409">
        <v>0.1035739249476566</v>
      </c>
      <c r="DX26" s="409">
        <v>7.990495747246773E-2</v>
      </c>
      <c r="DY26" s="409">
        <v>0.10961393209463322</v>
      </c>
      <c r="DZ26" s="409">
        <v>0.19841527936125014</v>
      </c>
      <c r="EA26" s="404">
        <v>5311</v>
      </c>
      <c r="EB26" s="404">
        <v>203240</v>
      </c>
      <c r="EC26" s="404">
        <v>25453</v>
      </c>
      <c r="ED26" s="404">
        <v>5363</v>
      </c>
      <c r="EE26" s="404">
        <v>105504</v>
      </c>
      <c r="EF26" s="407">
        <v>-80051</v>
      </c>
      <c r="EG26" s="404">
        <v>288</v>
      </c>
      <c r="EH26" s="404" t="s">
        <v>1057</v>
      </c>
      <c r="EI26" s="404">
        <v>15109</v>
      </c>
      <c r="EJ26" s="412">
        <v>0.30249999999999999</v>
      </c>
      <c r="EK26" s="412">
        <v>0.21249999999999999</v>
      </c>
      <c r="EL26" s="412">
        <v>0.30249999999999999</v>
      </c>
      <c r="EM26" s="412" t="s">
        <v>1057</v>
      </c>
      <c r="EN26" s="412" t="s">
        <v>1057</v>
      </c>
      <c r="EO26" s="412" t="s">
        <v>1057</v>
      </c>
      <c r="EP26" s="413">
        <v>4.5102132100790226E-3</v>
      </c>
      <c r="EQ26" s="413">
        <v>3.1683315938571643E-3</v>
      </c>
      <c r="ER26" s="413">
        <v>4.5102132100790226E-3</v>
      </c>
      <c r="ES26" s="413" t="s">
        <v>1057</v>
      </c>
      <c r="ET26" s="413" t="s">
        <v>1057</v>
      </c>
      <c r="EU26" s="413" t="s">
        <v>1057</v>
      </c>
      <c r="EV26" s="414">
        <v>1.3627314965805508</v>
      </c>
      <c r="EW26" s="414">
        <v>1.1931936038244313</v>
      </c>
      <c r="EX26" s="415">
        <v>0.18347939586052583</v>
      </c>
      <c r="EY26" s="415">
        <v>0.2353943911989558</v>
      </c>
      <c r="EZ26" s="415">
        <v>0.29601342532164832</v>
      </c>
      <c r="FA26" s="404" t="s">
        <v>1057</v>
      </c>
      <c r="FB26" s="404">
        <v>25269</v>
      </c>
      <c r="FC26" s="416" t="e">
        <v>#VALUE!</v>
      </c>
      <c r="FD26" s="404" t="s">
        <v>1057</v>
      </c>
      <c r="FE26" s="417" t="s">
        <v>1062</v>
      </c>
      <c r="FF26" s="417" t="s">
        <v>1062</v>
      </c>
      <c r="FG26" s="416">
        <v>-80235</v>
      </c>
    </row>
    <row r="27" spans="2:163" x14ac:dyDescent="0.15">
      <c r="B27" s="400" t="s">
        <v>215</v>
      </c>
      <c r="D27" s="401" t="s">
        <v>1067</v>
      </c>
      <c r="E27" s="402" t="s">
        <v>1067</v>
      </c>
      <c r="F27" s="19" t="s">
        <v>1055</v>
      </c>
      <c r="G27" s="403">
        <v>46022</v>
      </c>
      <c r="H27" s="403" t="s">
        <v>1056</v>
      </c>
      <c r="I27" s="403" t="s">
        <v>470</v>
      </c>
      <c r="J27" s="403" t="s">
        <v>269</v>
      </c>
      <c r="K27" s="404">
        <v>174.61</v>
      </c>
      <c r="L27" s="405">
        <v>174.61</v>
      </c>
      <c r="M27" s="405">
        <v>444.64499999999998</v>
      </c>
      <c r="N27" s="405">
        <v>139.36000000000001</v>
      </c>
      <c r="O27" s="405">
        <v>5.0225377148025698</v>
      </c>
      <c r="P27" s="404">
        <v>264.07516900000002</v>
      </c>
      <c r="Q27" s="405">
        <v>12.5709411803279</v>
      </c>
      <c r="R27" s="405">
        <v>10.904587048780501</v>
      </c>
      <c r="S27" s="406">
        <v>46110.165259090005</v>
      </c>
      <c r="T27" s="407">
        <v>41749.952259090001</v>
      </c>
      <c r="U27" s="404">
        <v>6883.4380000000001</v>
      </c>
      <c r="V27" s="404" t="s">
        <v>1057</v>
      </c>
      <c r="W27" s="404" t="s">
        <v>1057</v>
      </c>
      <c r="X27" s="404">
        <v>522.81200000000001</v>
      </c>
      <c r="Y27" s="404">
        <v>1274.855</v>
      </c>
      <c r="Z27" s="404">
        <v>3148.8150000000001</v>
      </c>
      <c r="AA27" s="404">
        <v>3148.8150000000001</v>
      </c>
      <c r="AB27" s="404">
        <v>6293.2460000000001</v>
      </c>
      <c r="AC27" s="404">
        <v>6883.4380000000001</v>
      </c>
      <c r="AD27" s="404">
        <v>7101.6632</v>
      </c>
      <c r="AE27" s="404">
        <v>8489.6730800000005</v>
      </c>
      <c r="AF27" s="404">
        <v>8741.8534099999997</v>
      </c>
      <c r="AG27" s="404">
        <v>5863.2079999999996</v>
      </c>
      <c r="AH27" s="404" t="s">
        <v>1057</v>
      </c>
      <c r="AI27" s="404" t="s">
        <v>1057</v>
      </c>
      <c r="AJ27" s="404">
        <v>440.75700000000001</v>
      </c>
      <c r="AK27" s="404">
        <v>1139.3409999999999</v>
      </c>
      <c r="AL27" s="404">
        <v>2518.9349999999999</v>
      </c>
      <c r="AM27" s="404">
        <v>5395.5389999999998</v>
      </c>
      <c r="AN27" s="404">
        <v>5863.2079999999996</v>
      </c>
      <c r="AO27" s="404">
        <v>1482.7329999999999</v>
      </c>
      <c r="AP27" s="404" t="s">
        <v>1057</v>
      </c>
      <c r="AQ27" s="404" t="s">
        <v>1057</v>
      </c>
      <c r="AR27" s="404" t="s">
        <v>1057</v>
      </c>
      <c r="AS27" s="404">
        <v>407.42500000000001</v>
      </c>
      <c r="AT27" s="404" t="s">
        <v>1057</v>
      </c>
      <c r="AU27" s="404" t="s">
        <v>1057</v>
      </c>
      <c r="AV27" s="404">
        <v>2036.3779999999999</v>
      </c>
      <c r="AW27" s="404">
        <v>1482.7329999999999</v>
      </c>
      <c r="AX27" s="404" t="s">
        <v>1057</v>
      </c>
      <c r="AY27" s="404" t="s">
        <v>1057</v>
      </c>
      <c r="AZ27" s="404" t="s">
        <v>1057</v>
      </c>
      <c r="BA27" s="404">
        <v>1671.1610000000001</v>
      </c>
      <c r="BB27" s="404">
        <v>2163.8960000000002</v>
      </c>
      <c r="BC27" s="404">
        <v>1671.1610000000001</v>
      </c>
      <c r="BD27" s="404">
        <v>1671.1610000000001</v>
      </c>
      <c r="BE27" s="404">
        <v>2195.8510000000001</v>
      </c>
      <c r="BF27" s="404">
        <v>1671.1610000000001</v>
      </c>
      <c r="BG27" s="404">
        <v>2588.6849000000002</v>
      </c>
      <c r="BH27" s="404">
        <v>3563.48567</v>
      </c>
      <c r="BI27" s="404">
        <v>3819.3217399999999</v>
      </c>
      <c r="BJ27" s="404">
        <v>1260.327</v>
      </c>
      <c r="BK27" s="404">
        <v>2579.0659999999998</v>
      </c>
      <c r="BL27" s="404">
        <v>1260.327</v>
      </c>
      <c r="BM27" s="404">
        <v>1068.66921</v>
      </c>
      <c r="BN27" s="404">
        <v>1991.4696899999999</v>
      </c>
      <c r="BO27" s="404">
        <v>1869.4153699999999</v>
      </c>
      <c r="BP27" s="408">
        <v>6.0652761394945376</v>
      </c>
      <c r="BQ27" s="408">
        <v>6.6340887133746245</v>
      </c>
      <c r="BR27" s="408">
        <v>6.0652761394945376</v>
      </c>
      <c r="BS27" s="408">
        <v>5.8788978135558443</v>
      </c>
      <c r="BT27" s="408">
        <v>4.9177338003090689</v>
      </c>
      <c r="BU27" s="408">
        <v>4.775869635531901</v>
      </c>
      <c r="BV27" s="408" t="s">
        <v>1057</v>
      </c>
      <c r="BW27" s="408" t="s">
        <v>1057</v>
      </c>
      <c r="BX27" s="408" t="s">
        <v>1057</v>
      </c>
      <c r="BY27" s="408">
        <v>24.982603267482904</v>
      </c>
      <c r="BZ27" s="408">
        <v>19.013108020120672</v>
      </c>
      <c r="CA27" s="408">
        <v>24.982603267482904</v>
      </c>
      <c r="CB27" s="408">
        <v>16.12786177996789</v>
      </c>
      <c r="CC27" s="408">
        <v>11.716043258029995</v>
      </c>
      <c r="CD27" s="408">
        <v>10.931247771519244</v>
      </c>
      <c r="CE27" s="408">
        <v>36.585874347760544</v>
      </c>
      <c r="CF27" s="408">
        <v>17.878629418204113</v>
      </c>
      <c r="CG27" s="408">
        <v>36.585874347760544</v>
      </c>
      <c r="CH27" s="408">
        <v>43.147275908781914</v>
      </c>
      <c r="CI27" s="408">
        <v>23.153837334621954</v>
      </c>
      <c r="CJ27" s="408">
        <v>24.665553733566451</v>
      </c>
      <c r="CK27" s="408">
        <v>3.1170137546334233</v>
      </c>
      <c r="CL27" s="408">
        <v>4.9976892418583541</v>
      </c>
      <c r="CM27" s="409">
        <v>0.85178482031798641</v>
      </c>
      <c r="CN27" s="409">
        <v>0.79996284316480959</v>
      </c>
      <c r="CO27" s="409">
        <v>0.85735389972043041</v>
      </c>
      <c r="CP27" s="410">
        <v>0.86549999999999994</v>
      </c>
      <c r="CQ27" s="410">
        <v>0.86580000000000001</v>
      </c>
      <c r="CR27" s="410">
        <v>0.86799999999999999</v>
      </c>
      <c r="CS27" s="410"/>
      <c r="CT27" s="410"/>
      <c r="CU27" s="410"/>
      <c r="CV27" s="410"/>
      <c r="CW27" s="410"/>
      <c r="CX27" s="410"/>
      <c r="CY27" s="410"/>
      <c r="CZ27" s="409" t="s">
        <v>1057</v>
      </c>
      <c r="DA27" s="409" t="s">
        <v>1057</v>
      </c>
      <c r="DB27" s="409" t="s">
        <v>1057</v>
      </c>
      <c r="DC27" s="409" t="s">
        <v>1057</v>
      </c>
      <c r="DD27" s="409">
        <v>4.1389562596114855</v>
      </c>
      <c r="DE27" s="409">
        <v>1.3108635884080935</v>
      </c>
      <c r="DF27" s="409">
        <v>0.24277998872075263</v>
      </c>
      <c r="DG27" s="409">
        <v>0.34892184414847283</v>
      </c>
      <c r="DH27" s="409">
        <v>0.24277998872075263</v>
      </c>
      <c r="DI27" s="409">
        <v>0.36451811738974049</v>
      </c>
      <c r="DJ27" s="409">
        <v>0.41974356802912366</v>
      </c>
      <c r="DK27" s="409">
        <v>0.43690068465698512</v>
      </c>
      <c r="DL27" s="409">
        <v>0.18309556939424745</v>
      </c>
      <c r="DM27" s="409">
        <v>0.40981490315172803</v>
      </c>
      <c r="DN27" s="409">
        <v>0.18309556939424745</v>
      </c>
      <c r="DO27" s="409">
        <v>0.15048153931039704</v>
      </c>
      <c r="DP27" s="409">
        <v>0.23457554504560496</v>
      </c>
      <c r="DQ27" s="409">
        <v>0.21384657032358084</v>
      </c>
      <c r="DR27" s="411" t="s">
        <v>1062</v>
      </c>
      <c r="DS27" s="411" t="s">
        <v>1062</v>
      </c>
      <c r="DT27" s="409">
        <v>0.29783481405390955</v>
      </c>
      <c r="DU27" s="409">
        <v>1.186040780420571</v>
      </c>
      <c r="DV27" s="409">
        <v>9.378180989587892E-2</v>
      </c>
      <c r="DW27" s="409">
        <v>3.170293681732872E-2</v>
      </c>
      <c r="DX27" s="409">
        <v>0.19544856478127559</v>
      </c>
      <c r="DY27" s="409">
        <v>0.10948573797407146</v>
      </c>
      <c r="DZ27" s="409">
        <v>0.32260833748241091</v>
      </c>
      <c r="EA27" s="404">
        <v>9226.2970000000005</v>
      </c>
      <c r="EB27" s="404">
        <v>29671.831999999999</v>
      </c>
      <c r="EC27" s="404">
        <v>7857.9889999999996</v>
      </c>
      <c r="ED27" s="404">
        <v>14793.058000000001</v>
      </c>
      <c r="EE27" s="404">
        <v>11595.217000000001</v>
      </c>
      <c r="EF27" s="407">
        <v>-3737.228000000001</v>
      </c>
      <c r="EG27" s="404">
        <v>622.98500000000001</v>
      </c>
      <c r="EH27" s="404" t="s">
        <v>1057</v>
      </c>
      <c r="EI27" s="404" t="s">
        <v>1057</v>
      </c>
      <c r="EJ27" s="412" t="s">
        <v>1057</v>
      </c>
      <c r="EK27" s="412" t="s">
        <v>1057</v>
      </c>
      <c r="EL27" s="412" t="s">
        <v>1057</v>
      </c>
      <c r="EM27" s="412" t="s">
        <v>1057</v>
      </c>
      <c r="EN27" s="412" t="s">
        <v>1057</v>
      </c>
      <c r="EO27" s="412" t="s">
        <v>1057</v>
      </c>
      <c r="EP27" s="413" t="s">
        <v>1057</v>
      </c>
      <c r="EQ27" s="413" t="s">
        <v>1057</v>
      </c>
      <c r="ER27" s="413" t="s">
        <v>1057</v>
      </c>
      <c r="ES27" s="413" t="s">
        <v>1057</v>
      </c>
      <c r="ET27" s="413" t="s">
        <v>1057</v>
      </c>
      <c r="EU27" s="413" t="s">
        <v>1057</v>
      </c>
      <c r="EV27" s="414">
        <v>1.3374507381147385</v>
      </c>
      <c r="EW27" s="414">
        <v>0.71770734492825483</v>
      </c>
      <c r="EX27" s="415">
        <v>8.5197191817945953E-2</v>
      </c>
      <c r="EY27" s="415">
        <v>0.13462190778945096</v>
      </c>
      <c r="EZ27" s="415">
        <v>0.12637112421245153</v>
      </c>
      <c r="FA27" s="404">
        <v>-85.412999999999997</v>
      </c>
      <c r="FB27" s="404">
        <v>7658.7240000000002</v>
      </c>
      <c r="FC27" s="416" t="e">
        <v>#VALUE!</v>
      </c>
      <c r="FD27" s="404">
        <v>1671.1610000000001</v>
      </c>
      <c r="FE27" s="417" t="s">
        <v>1062</v>
      </c>
      <c r="FF27" s="417" t="s">
        <v>1062</v>
      </c>
      <c r="FG27" s="416">
        <v>-3936.4930000000004</v>
      </c>
    </row>
    <row r="28" spans="2:163" x14ac:dyDescent="0.15">
      <c r="B28" s="400"/>
      <c r="D28" s="401"/>
      <c r="E28" s="402"/>
      <c r="F28" s="19"/>
      <c r="G28" s="403"/>
      <c r="H28" s="403"/>
      <c r="I28" s="403"/>
      <c r="J28" s="403"/>
      <c r="K28" s="404"/>
      <c r="L28" s="405"/>
      <c r="M28" s="405"/>
      <c r="N28" s="405"/>
      <c r="O28" s="405"/>
      <c r="P28" s="404"/>
      <c r="Q28" s="405"/>
      <c r="R28" s="405"/>
      <c r="S28" s="406"/>
      <c r="T28" s="407"/>
      <c r="U28" s="404"/>
      <c r="V28" s="404"/>
      <c r="W28" s="404"/>
      <c r="X28" s="404"/>
      <c r="Y28" s="404"/>
      <c r="Z28" s="404"/>
      <c r="AA28" s="404"/>
      <c r="AB28" s="404"/>
      <c r="AC28" s="404"/>
      <c r="AD28" s="404"/>
      <c r="AE28" s="404"/>
      <c r="AF28" s="404"/>
      <c r="AG28" s="404"/>
      <c r="AH28" s="404"/>
      <c r="AI28" s="404"/>
      <c r="AJ28" s="404"/>
      <c r="AK28" s="404"/>
      <c r="AL28" s="404"/>
      <c r="AM28" s="404"/>
      <c r="AN28" s="404"/>
      <c r="AO28" s="404"/>
      <c r="AP28" s="404"/>
      <c r="AQ28" s="404"/>
      <c r="AR28" s="404"/>
      <c r="AS28" s="404"/>
      <c r="AT28" s="404"/>
      <c r="AU28" s="404"/>
      <c r="AV28" s="404"/>
      <c r="AW28" s="404"/>
      <c r="AX28" s="404"/>
      <c r="AY28" s="404"/>
      <c r="AZ28" s="404"/>
      <c r="BA28" s="404"/>
      <c r="BB28" s="404"/>
      <c r="BC28" s="404"/>
      <c r="BD28" s="404"/>
      <c r="BE28" s="404"/>
      <c r="BF28" s="404"/>
      <c r="BG28" s="404"/>
      <c r="BH28" s="404"/>
      <c r="BI28" s="404"/>
      <c r="BJ28" s="404"/>
      <c r="BK28" s="404"/>
      <c r="BL28" s="404"/>
      <c r="BM28" s="404"/>
      <c r="BN28" s="404"/>
      <c r="BO28" s="404"/>
      <c r="BP28" s="408"/>
      <c r="BQ28" s="408"/>
      <c r="BR28" s="408"/>
      <c r="BS28" s="408"/>
      <c r="BT28" s="408"/>
      <c r="BU28" s="408"/>
      <c r="BV28" s="408"/>
      <c r="BW28" s="408"/>
      <c r="BX28" s="408"/>
      <c r="BY28" s="408"/>
      <c r="BZ28" s="408"/>
      <c r="CA28" s="408"/>
      <c r="CB28" s="408"/>
      <c r="CC28" s="408"/>
      <c r="CD28" s="408"/>
      <c r="CE28" s="408"/>
      <c r="CF28" s="408"/>
      <c r="CG28" s="408"/>
      <c r="CH28" s="408"/>
      <c r="CI28" s="408"/>
      <c r="CJ28" s="408"/>
      <c r="CK28" s="408"/>
      <c r="CL28" s="408"/>
      <c r="CM28" s="409"/>
      <c r="CN28" s="409"/>
      <c r="CO28" s="409"/>
      <c r="CP28" s="410"/>
      <c r="CQ28" s="410"/>
      <c r="CR28" s="410"/>
      <c r="CS28" s="410"/>
      <c r="CT28" s="410"/>
      <c r="CU28" s="410"/>
      <c r="CV28" s="410"/>
      <c r="CW28" s="410"/>
      <c r="CX28" s="410"/>
      <c r="CY28" s="410"/>
      <c r="CZ28" s="409"/>
      <c r="DA28" s="409"/>
      <c r="DB28" s="409"/>
      <c r="DC28" s="409"/>
      <c r="DD28" s="409"/>
      <c r="DE28" s="409"/>
      <c r="DF28" s="409"/>
      <c r="DG28" s="409"/>
      <c r="DH28" s="409"/>
      <c r="DI28" s="409"/>
      <c r="DJ28" s="409"/>
      <c r="DK28" s="409"/>
      <c r="DL28" s="409"/>
      <c r="DM28" s="409"/>
      <c r="DN28" s="409"/>
      <c r="DO28" s="409"/>
      <c r="DP28" s="409"/>
      <c r="DQ28" s="409"/>
      <c r="DR28" s="411"/>
      <c r="DS28" s="411"/>
      <c r="DT28" s="409"/>
      <c r="DU28" s="409"/>
      <c r="DV28" s="409"/>
      <c r="DW28" s="409"/>
      <c r="DX28" s="409"/>
      <c r="DY28" s="409"/>
      <c r="DZ28" s="409"/>
      <c r="EA28" s="404"/>
      <c r="EB28" s="404"/>
      <c r="EC28" s="404"/>
      <c r="ED28" s="404"/>
      <c r="EE28" s="404"/>
      <c r="EF28" s="407"/>
      <c r="EG28" s="404"/>
      <c r="EH28" s="404"/>
      <c r="EI28" s="404"/>
      <c r="EJ28" s="412"/>
      <c r="EK28" s="412"/>
      <c r="EL28" s="412"/>
      <c r="EM28" s="412"/>
      <c r="EN28" s="412"/>
      <c r="EO28" s="412"/>
      <c r="EP28" s="413"/>
      <c r="EQ28" s="413"/>
      <c r="ER28" s="413"/>
      <c r="ES28" s="413"/>
      <c r="ET28" s="413"/>
      <c r="EU28" s="413"/>
      <c r="EV28" s="414"/>
      <c r="EW28" s="414"/>
      <c r="EX28" s="415"/>
      <c r="EY28" s="415"/>
      <c r="EZ28" s="415"/>
      <c r="FA28" s="404"/>
      <c r="FB28" s="404"/>
      <c r="FC28" s="416"/>
      <c r="FD28" s="404"/>
      <c r="FE28" s="417"/>
      <c r="FF28" s="417"/>
      <c r="FG28" s="416"/>
    </row>
    <row r="29" spans="2:163" x14ac:dyDescent="0.15">
      <c r="B29" s="400"/>
      <c r="D29" s="401"/>
      <c r="E29" s="402"/>
      <c r="F29" s="19"/>
      <c r="G29" s="403"/>
      <c r="H29" s="403"/>
      <c r="I29" s="403"/>
      <c r="J29" s="403"/>
      <c r="K29" s="404"/>
      <c r="L29" s="405"/>
      <c r="M29" s="405"/>
      <c r="N29" s="405"/>
      <c r="O29" s="405"/>
      <c r="P29" s="404"/>
      <c r="Q29" s="405"/>
      <c r="R29" s="405"/>
      <c r="S29" s="406"/>
      <c r="T29" s="407"/>
      <c r="U29" s="404"/>
      <c r="V29" s="404"/>
      <c r="W29" s="404"/>
      <c r="X29" s="404"/>
      <c r="Y29" s="404"/>
      <c r="Z29" s="404"/>
      <c r="AA29" s="404"/>
      <c r="AB29" s="404"/>
      <c r="AC29" s="404"/>
      <c r="AD29" s="404"/>
      <c r="AE29" s="404"/>
      <c r="AF29" s="404"/>
      <c r="AG29" s="404"/>
      <c r="AH29" s="404"/>
      <c r="AI29" s="404"/>
      <c r="AJ29" s="404"/>
      <c r="AK29" s="404"/>
      <c r="AL29" s="404"/>
      <c r="AM29" s="404"/>
      <c r="AN29" s="404"/>
      <c r="AO29" s="404"/>
      <c r="AP29" s="404"/>
      <c r="AQ29" s="404"/>
      <c r="AR29" s="404"/>
      <c r="AS29" s="404"/>
      <c r="AT29" s="404"/>
      <c r="AU29" s="404"/>
      <c r="AV29" s="404"/>
      <c r="AW29" s="404"/>
      <c r="AX29" s="404"/>
      <c r="AY29" s="404"/>
      <c r="AZ29" s="404"/>
      <c r="BA29" s="404"/>
      <c r="BB29" s="404"/>
      <c r="BC29" s="404"/>
      <c r="BD29" s="404"/>
      <c r="BE29" s="404"/>
      <c r="BF29" s="404"/>
      <c r="BG29" s="404"/>
      <c r="BH29" s="404"/>
      <c r="BI29" s="420"/>
      <c r="BJ29" s="404"/>
      <c r="BK29" s="404"/>
      <c r="BL29" s="404"/>
      <c r="BM29" s="404"/>
      <c r="BN29" s="404"/>
      <c r="BO29" s="404"/>
      <c r="BP29" s="408"/>
      <c r="BQ29" s="408"/>
      <c r="BR29" s="408"/>
      <c r="BS29" s="408"/>
      <c r="BT29" s="408"/>
      <c r="BU29" s="408"/>
      <c r="BV29" s="408"/>
      <c r="BW29" s="408"/>
      <c r="BX29" s="408"/>
      <c r="BY29" s="408"/>
      <c r="BZ29" s="408"/>
      <c r="CA29" s="408"/>
      <c r="CB29" s="408"/>
      <c r="CC29" s="408"/>
      <c r="CD29" s="408"/>
      <c r="CE29" s="408"/>
      <c r="CF29" s="408"/>
      <c r="CG29" s="408"/>
      <c r="CH29" s="408"/>
      <c r="CI29" s="408"/>
      <c r="CJ29" s="408"/>
      <c r="CK29" s="408"/>
      <c r="CL29" s="408"/>
      <c r="CM29" s="409"/>
      <c r="CN29" s="409"/>
      <c r="CO29" s="409"/>
      <c r="CP29" s="410"/>
      <c r="CQ29" s="410"/>
      <c r="CR29" s="410"/>
      <c r="CS29" s="410"/>
      <c r="CT29" s="410"/>
      <c r="CU29" s="410"/>
      <c r="CV29" s="410"/>
      <c r="CW29" s="410"/>
      <c r="CX29" s="410"/>
      <c r="CY29" s="410"/>
      <c r="CZ29" s="409"/>
      <c r="DA29" s="409"/>
      <c r="DB29" s="409"/>
      <c r="DC29" s="409"/>
      <c r="DD29" s="409"/>
      <c r="DE29" s="409"/>
      <c r="DF29" s="409"/>
      <c r="DG29" s="409"/>
      <c r="DH29" s="409"/>
      <c r="DI29" s="409"/>
      <c r="DJ29" s="409"/>
      <c r="DK29" s="409"/>
      <c r="DL29" s="409"/>
      <c r="DM29" s="409"/>
      <c r="DN29" s="409"/>
      <c r="DO29" s="409"/>
      <c r="DP29" s="409"/>
      <c r="DQ29" s="409"/>
      <c r="DR29" s="411"/>
      <c r="DS29" s="411"/>
      <c r="DT29" s="409"/>
      <c r="DU29" s="409"/>
      <c r="DV29" s="409"/>
      <c r="DW29" s="409"/>
      <c r="DX29" s="409"/>
      <c r="DY29" s="409"/>
      <c r="DZ29" s="409"/>
      <c r="EA29" s="404"/>
      <c r="EB29" s="404"/>
      <c r="EC29" s="404"/>
      <c r="ED29" s="404"/>
      <c r="EE29" s="404"/>
      <c r="EF29" s="407"/>
      <c r="EG29" s="404"/>
      <c r="EH29" s="404"/>
      <c r="EI29" s="404"/>
      <c r="EJ29" s="412"/>
      <c r="EK29" s="412"/>
      <c r="EL29" s="412"/>
      <c r="EM29" s="412"/>
      <c r="EN29" s="412"/>
      <c r="EO29" s="412"/>
      <c r="EP29" s="413"/>
      <c r="EQ29" s="413"/>
      <c r="ER29" s="413"/>
      <c r="ES29" s="413"/>
      <c r="ET29" s="413"/>
      <c r="EU29" s="413"/>
      <c r="EV29" s="414"/>
      <c r="EW29" s="414"/>
      <c r="EX29" s="415"/>
      <c r="EY29" s="415"/>
      <c r="EZ29" s="415"/>
      <c r="FA29" s="404"/>
      <c r="FB29" s="404"/>
      <c r="FC29" s="416"/>
      <c r="FD29" s="404"/>
      <c r="FE29" s="417"/>
      <c r="FF29" s="417"/>
      <c r="FG29" s="416"/>
    </row>
    <row r="30" spans="2:163" x14ac:dyDescent="0.15">
      <c r="B30" s="400"/>
      <c r="D30" s="401"/>
      <c r="E30" s="402"/>
      <c r="F30" s="19"/>
      <c r="G30" s="403"/>
      <c r="H30" s="403"/>
      <c r="I30" s="403"/>
      <c r="J30" s="403"/>
      <c r="K30" s="404"/>
      <c r="L30" s="405"/>
      <c r="M30" s="405"/>
      <c r="N30" s="405"/>
      <c r="O30" s="405"/>
      <c r="P30" s="404"/>
      <c r="Q30" s="405"/>
      <c r="R30" s="405"/>
      <c r="S30" s="406"/>
      <c r="T30" s="407"/>
      <c r="U30" s="404"/>
      <c r="V30" s="404"/>
      <c r="W30" s="404"/>
      <c r="X30" s="404"/>
      <c r="Y30" s="404"/>
      <c r="Z30" s="404"/>
      <c r="AA30" s="404"/>
      <c r="AB30" s="404"/>
      <c r="AC30" s="404"/>
      <c r="AD30" s="404"/>
      <c r="AE30" s="404"/>
      <c r="AF30" s="404"/>
      <c r="AG30" s="404"/>
      <c r="AH30" s="404"/>
      <c r="AI30" s="404"/>
      <c r="AJ30" s="404"/>
      <c r="AK30" s="404"/>
      <c r="AL30" s="404"/>
      <c r="AM30" s="404"/>
      <c r="AN30" s="404"/>
      <c r="AO30" s="404"/>
      <c r="AP30" s="404"/>
      <c r="AQ30" s="404"/>
      <c r="AR30" s="404"/>
      <c r="AS30" s="404"/>
      <c r="AT30" s="404"/>
      <c r="AU30" s="404"/>
      <c r="AV30" s="404"/>
      <c r="AW30" s="404"/>
      <c r="AX30" s="404"/>
      <c r="AY30" s="404"/>
      <c r="AZ30" s="404"/>
      <c r="BA30" s="404"/>
      <c r="BB30" s="404"/>
      <c r="BC30" s="404"/>
      <c r="BD30" s="404"/>
      <c r="BE30" s="404"/>
      <c r="BF30" s="404"/>
      <c r="BG30" s="404"/>
      <c r="BH30" s="404"/>
      <c r="BI30" s="420"/>
      <c r="BJ30" s="404"/>
      <c r="BK30" s="404"/>
      <c r="BL30" s="404"/>
      <c r="BM30" s="404"/>
      <c r="BN30" s="404"/>
      <c r="BO30" s="404"/>
      <c r="BP30" s="408"/>
      <c r="BQ30" s="408"/>
      <c r="BR30" s="408"/>
      <c r="BS30" s="408"/>
      <c r="BT30" s="408"/>
      <c r="BU30" s="408"/>
      <c r="BV30" s="408"/>
      <c r="BW30" s="408"/>
      <c r="BX30" s="408"/>
      <c r="BY30" s="408"/>
      <c r="BZ30" s="408"/>
      <c r="CA30" s="408"/>
      <c r="CB30" s="408"/>
      <c r="CC30" s="408"/>
      <c r="CD30" s="408"/>
      <c r="CE30" s="408"/>
      <c r="CF30" s="408"/>
      <c r="CG30" s="408"/>
      <c r="CH30" s="408"/>
      <c r="CI30" s="408"/>
      <c r="CJ30" s="408"/>
      <c r="CK30" s="408"/>
      <c r="CL30" s="408"/>
      <c r="CM30" s="409"/>
      <c r="CN30" s="409"/>
      <c r="CO30" s="409"/>
      <c r="CP30" s="410"/>
      <c r="CQ30" s="410"/>
      <c r="CR30" s="410"/>
      <c r="CS30" s="410"/>
      <c r="CT30" s="410"/>
      <c r="CU30" s="410"/>
      <c r="CV30" s="410"/>
      <c r="CW30" s="410"/>
      <c r="CX30" s="410"/>
      <c r="CY30" s="410"/>
      <c r="CZ30" s="409"/>
      <c r="DA30" s="409"/>
      <c r="DB30" s="409"/>
      <c r="DC30" s="409"/>
      <c r="DD30" s="409"/>
      <c r="DE30" s="409"/>
      <c r="DF30" s="409"/>
      <c r="DG30" s="409"/>
      <c r="DH30" s="409"/>
      <c r="DI30" s="409"/>
      <c r="DJ30" s="409"/>
      <c r="DK30" s="409"/>
      <c r="DL30" s="409"/>
      <c r="DM30" s="409"/>
      <c r="DN30" s="409"/>
      <c r="DO30" s="409"/>
      <c r="DP30" s="409"/>
      <c r="DQ30" s="409"/>
      <c r="DR30" s="411"/>
      <c r="DS30" s="411"/>
      <c r="DT30" s="409"/>
      <c r="DU30" s="409"/>
      <c r="DV30" s="409"/>
      <c r="DW30" s="409"/>
      <c r="DX30" s="409"/>
      <c r="DY30" s="409"/>
      <c r="DZ30" s="409"/>
      <c r="EA30" s="404"/>
      <c r="EB30" s="404"/>
      <c r="EC30" s="404"/>
      <c r="ED30" s="404"/>
      <c r="EE30" s="404"/>
      <c r="EF30" s="407"/>
      <c r="EG30" s="404"/>
      <c r="EH30" s="404"/>
      <c r="EI30" s="404"/>
      <c r="EJ30" s="412"/>
      <c r="EK30" s="412"/>
      <c r="EL30" s="412"/>
      <c r="EM30" s="412"/>
      <c r="EN30" s="412"/>
      <c r="EO30" s="412"/>
      <c r="EP30" s="413"/>
      <c r="EQ30" s="413"/>
      <c r="ER30" s="413"/>
      <c r="ES30" s="413"/>
      <c r="ET30" s="413"/>
      <c r="EU30" s="413"/>
      <c r="EV30" s="414"/>
      <c r="EW30" s="414"/>
      <c r="EX30" s="415"/>
      <c r="EY30" s="415"/>
      <c r="EZ30" s="415"/>
      <c r="FA30" s="404"/>
      <c r="FB30" s="404"/>
      <c r="FC30" s="416"/>
      <c r="FD30" s="404"/>
      <c r="FE30" s="417"/>
      <c r="FF30" s="417"/>
      <c r="FG30" s="416"/>
    </row>
    <row r="31" spans="2:163" x14ac:dyDescent="0.15">
      <c r="B31" s="400"/>
      <c r="D31" s="401"/>
      <c r="E31" s="402"/>
      <c r="F31" s="19"/>
      <c r="G31" s="403"/>
      <c r="H31" s="403"/>
      <c r="I31" s="403"/>
      <c r="J31" s="403"/>
      <c r="K31" s="404"/>
      <c r="L31" s="405"/>
      <c r="M31" s="405"/>
      <c r="N31" s="405"/>
      <c r="O31" s="405"/>
      <c r="P31" s="404"/>
      <c r="Q31" s="405"/>
      <c r="R31" s="405"/>
      <c r="S31" s="406"/>
      <c r="T31" s="407"/>
      <c r="U31" s="404"/>
      <c r="V31" s="404"/>
      <c r="W31" s="404"/>
      <c r="X31" s="404"/>
      <c r="Y31" s="404"/>
      <c r="Z31" s="404"/>
      <c r="AA31" s="404"/>
      <c r="AB31" s="404"/>
      <c r="AC31" s="404"/>
      <c r="AD31" s="404"/>
      <c r="AE31" s="404"/>
      <c r="AF31" s="404"/>
      <c r="AG31" s="404"/>
      <c r="AH31" s="404"/>
      <c r="AI31" s="404"/>
      <c r="AJ31" s="404"/>
      <c r="AK31" s="404"/>
      <c r="AL31" s="404"/>
      <c r="AM31" s="404"/>
      <c r="AN31" s="404"/>
      <c r="AO31" s="404"/>
      <c r="AP31" s="404"/>
      <c r="AQ31" s="404"/>
      <c r="AR31" s="404"/>
      <c r="AS31" s="404"/>
      <c r="AT31" s="404"/>
      <c r="AU31" s="404"/>
      <c r="AV31" s="404"/>
      <c r="AW31" s="404"/>
      <c r="AX31" s="404"/>
      <c r="AY31" s="404"/>
      <c r="AZ31" s="404"/>
      <c r="BA31" s="404"/>
      <c r="BB31" s="404"/>
      <c r="BC31" s="404"/>
      <c r="BD31" s="404"/>
      <c r="BE31" s="404"/>
      <c r="BF31" s="404"/>
      <c r="BG31" s="404"/>
      <c r="BH31" s="404"/>
      <c r="BI31" s="420"/>
      <c r="BJ31" s="404"/>
      <c r="BK31" s="404"/>
      <c r="BL31" s="404"/>
      <c r="BM31" s="404"/>
      <c r="BN31" s="404"/>
      <c r="BO31" s="404"/>
      <c r="BP31" s="408"/>
      <c r="BQ31" s="408"/>
      <c r="BR31" s="408"/>
      <c r="BS31" s="408"/>
      <c r="BT31" s="408"/>
      <c r="BU31" s="408"/>
      <c r="BV31" s="408"/>
      <c r="BW31" s="408"/>
      <c r="BX31" s="408"/>
      <c r="BY31" s="408"/>
      <c r="BZ31" s="408"/>
      <c r="CA31" s="408"/>
      <c r="CB31" s="408"/>
      <c r="CC31" s="408"/>
      <c r="CD31" s="408"/>
      <c r="CE31" s="408"/>
      <c r="CF31" s="408"/>
      <c r="CG31" s="408"/>
      <c r="CH31" s="408"/>
      <c r="CI31" s="408"/>
      <c r="CJ31" s="408"/>
      <c r="CK31" s="408"/>
      <c r="CL31" s="408"/>
      <c r="CM31" s="409"/>
      <c r="CN31" s="409"/>
      <c r="CO31" s="409"/>
      <c r="CP31" s="410"/>
      <c r="CQ31" s="410"/>
      <c r="CR31" s="410"/>
      <c r="CS31" s="410"/>
      <c r="CT31" s="410"/>
      <c r="CU31" s="410"/>
      <c r="CV31" s="410"/>
      <c r="CW31" s="410"/>
      <c r="CX31" s="410"/>
      <c r="CY31" s="410"/>
      <c r="CZ31" s="409"/>
      <c r="DA31" s="409"/>
      <c r="DB31" s="409"/>
      <c r="DC31" s="409"/>
      <c r="DD31" s="409"/>
      <c r="DE31" s="409"/>
      <c r="DF31" s="409"/>
      <c r="DG31" s="409"/>
      <c r="DH31" s="409"/>
      <c r="DI31" s="409"/>
      <c r="DJ31" s="409"/>
      <c r="DK31" s="409"/>
      <c r="DL31" s="409"/>
      <c r="DM31" s="409"/>
      <c r="DN31" s="409"/>
      <c r="DO31" s="409"/>
      <c r="DP31" s="409"/>
      <c r="DQ31" s="409"/>
      <c r="DR31" s="411"/>
      <c r="DS31" s="411"/>
      <c r="DT31" s="409"/>
      <c r="DU31" s="409"/>
      <c r="DV31" s="409"/>
      <c r="DW31" s="409"/>
      <c r="DX31" s="409"/>
      <c r="DY31" s="409"/>
      <c r="DZ31" s="409"/>
      <c r="EA31" s="404"/>
      <c r="EB31" s="404"/>
      <c r="EC31" s="404"/>
      <c r="ED31" s="404"/>
      <c r="EE31" s="404"/>
      <c r="EF31" s="407"/>
      <c r="EG31" s="404"/>
      <c r="EH31" s="404"/>
      <c r="EI31" s="404"/>
      <c r="EJ31" s="412"/>
      <c r="EK31" s="412"/>
      <c r="EL31" s="412"/>
      <c r="EM31" s="412"/>
      <c r="EN31" s="412"/>
      <c r="EO31" s="412"/>
      <c r="EP31" s="413"/>
      <c r="EQ31" s="413"/>
      <c r="ER31" s="413"/>
      <c r="ES31" s="413"/>
      <c r="ET31" s="413"/>
      <c r="EU31" s="413"/>
      <c r="EV31" s="414"/>
      <c r="EW31" s="414"/>
      <c r="EX31" s="415"/>
      <c r="EY31" s="415"/>
      <c r="EZ31" s="415"/>
      <c r="FA31" s="404"/>
      <c r="FB31" s="404"/>
      <c r="FC31" s="416"/>
      <c r="FD31" s="404"/>
      <c r="FE31" s="417"/>
      <c r="FF31" s="417"/>
      <c r="FG31" s="416"/>
    </row>
    <row r="32" spans="2:163" x14ac:dyDescent="0.15">
      <c r="B32" s="400"/>
      <c r="D32" s="401"/>
      <c r="E32" s="402"/>
      <c r="F32" s="19"/>
      <c r="G32" s="403"/>
      <c r="H32" s="403"/>
      <c r="I32" s="403"/>
      <c r="J32" s="403"/>
      <c r="K32" s="404"/>
      <c r="L32" s="405"/>
      <c r="M32" s="405"/>
      <c r="N32" s="405"/>
      <c r="O32" s="405"/>
      <c r="P32" s="404"/>
      <c r="Q32" s="405"/>
      <c r="R32" s="405"/>
      <c r="S32" s="406"/>
      <c r="T32" s="407"/>
      <c r="U32" s="404"/>
      <c r="V32" s="404"/>
      <c r="W32" s="404"/>
      <c r="X32" s="404"/>
      <c r="Y32" s="404"/>
      <c r="Z32" s="404"/>
      <c r="AA32" s="404"/>
      <c r="AB32" s="404"/>
      <c r="AC32" s="404"/>
      <c r="AD32" s="404"/>
      <c r="AE32" s="404"/>
      <c r="AF32" s="404"/>
      <c r="AG32" s="404"/>
      <c r="AH32" s="404"/>
      <c r="AI32" s="404"/>
      <c r="AJ32" s="404"/>
      <c r="AK32" s="404"/>
      <c r="AL32" s="404"/>
      <c r="AM32" s="404"/>
      <c r="AN32" s="404"/>
      <c r="AO32" s="404"/>
      <c r="AP32" s="404"/>
      <c r="AQ32" s="404"/>
      <c r="AR32" s="404"/>
      <c r="AS32" s="404"/>
      <c r="AT32" s="404"/>
      <c r="AU32" s="404"/>
      <c r="AV32" s="404"/>
      <c r="AW32" s="404"/>
      <c r="AX32" s="404"/>
      <c r="AY32" s="404"/>
      <c r="AZ32" s="404"/>
      <c r="BA32" s="404"/>
      <c r="BB32" s="404"/>
      <c r="BC32" s="404"/>
      <c r="BD32" s="404"/>
      <c r="BE32" s="404"/>
      <c r="BF32" s="404"/>
      <c r="BG32" s="404"/>
      <c r="BH32" s="404"/>
      <c r="BI32" s="420"/>
      <c r="BJ32" s="404"/>
      <c r="BK32" s="404"/>
      <c r="BL32" s="404"/>
      <c r="BM32" s="404"/>
      <c r="BN32" s="404"/>
      <c r="BO32" s="404"/>
      <c r="BP32" s="408"/>
      <c r="BQ32" s="408"/>
      <c r="BR32" s="408"/>
      <c r="BS32" s="408"/>
      <c r="BT32" s="408"/>
      <c r="BU32" s="408"/>
      <c r="BV32" s="408"/>
      <c r="BW32" s="408"/>
      <c r="BX32" s="408"/>
      <c r="BY32" s="408"/>
      <c r="BZ32" s="408"/>
      <c r="CA32" s="408"/>
      <c r="CB32" s="408"/>
      <c r="CC32" s="408"/>
      <c r="CD32" s="408"/>
      <c r="CE32" s="408"/>
      <c r="CF32" s="408"/>
      <c r="CG32" s="408"/>
      <c r="CH32" s="408"/>
      <c r="CI32" s="408"/>
      <c r="CJ32" s="408"/>
      <c r="CK32" s="408"/>
      <c r="CL32" s="408"/>
      <c r="CM32" s="409"/>
      <c r="CN32" s="409"/>
      <c r="CO32" s="409"/>
      <c r="CP32" s="410"/>
      <c r="CQ32" s="410"/>
      <c r="CR32" s="410"/>
      <c r="CS32" s="410"/>
      <c r="CT32" s="410"/>
      <c r="CU32" s="410"/>
      <c r="CV32" s="410"/>
      <c r="CW32" s="410"/>
      <c r="CX32" s="410"/>
      <c r="CY32" s="410"/>
      <c r="CZ32" s="409"/>
      <c r="DA32" s="409"/>
      <c r="DB32" s="409"/>
      <c r="DC32" s="409"/>
      <c r="DD32" s="409"/>
      <c r="DE32" s="409"/>
      <c r="DF32" s="409"/>
      <c r="DG32" s="409"/>
      <c r="DH32" s="409"/>
      <c r="DI32" s="409"/>
      <c r="DJ32" s="409"/>
      <c r="DK32" s="409"/>
      <c r="DL32" s="409"/>
      <c r="DM32" s="409"/>
      <c r="DN32" s="409"/>
      <c r="DO32" s="409"/>
      <c r="DP32" s="409"/>
      <c r="DQ32" s="409"/>
      <c r="DR32" s="411"/>
      <c r="DS32" s="411"/>
      <c r="DT32" s="409"/>
      <c r="DU32" s="409"/>
      <c r="DV32" s="409"/>
      <c r="DW32" s="409"/>
      <c r="DX32" s="409"/>
      <c r="DY32" s="409"/>
      <c r="DZ32" s="409"/>
      <c r="EA32" s="404"/>
      <c r="EB32" s="404"/>
      <c r="EC32" s="404"/>
      <c r="ED32" s="404"/>
      <c r="EE32" s="404"/>
      <c r="EF32" s="407"/>
      <c r="EG32" s="404"/>
      <c r="EH32" s="404"/>
      <c r="EI32" s="404"/>
      <c r="EJ32" s="412"/>
      <c r="EK32" s="412"/>
      <c r="EL32" s="412"/>
      <c r="EM32" s="412"/>
      <c r="EN32" s="412"/>
      <c r="EO32" s="412"/>
      <c r="EP32" s="413"/>
      <c r="EQ32" s="413"/>
      <c r="ER32" s="413"/>
      <c r="ES32" s="413"/>
      <c r="ET32" s="413"/>
      <c r="EU32" s="413"/>
      <c r="EV32" s="414"/>
      <c r="EW32" s="414"/>
      <c r="EX32" s="415"/>
      <c r="EY32" s="415"/>
      <c r="EZ32" s="415"/>
      <c r="FA32" s="404"/>
      <c r="FB32" s="404"/>
      <c r="FC32" s="416"/>
      <c r="FD32" s="404"/>
      <c r="FE32" s="417"/>
      <c r="FF32" s="417"/>
      <c r="FG32" s="416"/>
    </row>
    <row r="33" spans="2:163" x14ac:dyDescent="0.15">
      <c r="B33" s="418"/>
      <c r="D33" s="419"/>
      <c r="E33" s="402"/>
      <c r="G33" s="403"/>
      <c r="H33" s="403"/>
      <c r="I33" s="403"/>
      <c r="J33" s="403"/>
      <c r="K33" s="404"/>
      <c r="L33" s="405"/>
      <c r="M33" s="405"/>
      <c r="N33" s="405"/>
      <c r="O33" s="405"/>
      <c r="P33" s="404"/>
      <c r="Q33" s="405"/>
      <c r="R33" s="405"/>
      <c r="S33" s="406"/>
      <c r="T33" s="407"/>
      <c r="U33" s="404"/>
      <c r="V33" s="404"/>
      <c r="W33" s="404"/>
      <c r="X33" s="404"/>
      <c r="Y33" s="404"/>
      <c r="Z33" s="404"/>
      <c r="AA33" s="404"/>
      <c r="AB33" s="404"/>
      <c r="AC33" s="404"/>
      <c r="AD33" s="404"/>
      <c r="AE33" s="404"/>
      <c r="AF33" s="404"/>
      <c r="AG33" s="404"/>
      <c r="AH33" s="404"/>
      <c r="AI33" s="404"/>
      <c r="AJ33" s="404"/>
      <c r="AK33" s="404"/>
      <c r="AL33" s="404"/>
      <c r="AM33" s="404"/>
      <c r="AN33" s="404"/>
      <c r="AO33" s="404"/>
      <c r="AP33" s="404"/>
      <c r="AQ33" s="404"/>
      <c r="AR33" s="404"/>
      <c r="AS33" s="404"/>
      <c r="AT33" s="404"/>
      <c r="AU33" s="404"/>
      <c r="AV33" s="404"/>
      <c r="AW33" s="404"/>
      <c r="AX33" s="404"/>
      <c r="AY33" s="404"/>
      <c r="AZ33" s="404"/>
      <c r="BA33" s="404"/>
      <c r="BB33" s="404"/>
      <c r="BC33" s="404"/>
      <c r="BD33" s="404"/>
      <c r="BE33" s="404"/>
      <c r="BF33" s="404"/>
      <c r="BG33" s="404"/>
      <c r="BH33" s="404"/>
      <c r="BI33" s="420"/>
      <c r="BJ33" s="404"/>
      <c r="BK33" s="404"/>
      <c r="BL33" s="404"/>
      <c r="BM33" s="404"/>
      <c r="BN33" s="404"/>
      <c r="BO33" s="404"/>
      <c r="BP33" s="408"/>
      <c r="BQ33" s="408"/>
      <c r="BR33" s="408"/>
      <c r="BS33" s="408"/>
      <c r="BT33" s="408"/>
      <c r="BU33" s="408"/>
      <c r="BV33" s="408"/>
      <c r="BW33" s="408"/>
      <c r="BX33" s="408"/>
      <c r="BY33" s="408"/>
      <c r="BZ33" s="408"/>
      <c r="CA33" s="408"/>
      <c r="CB33" s="408"/>
      <c r="CC33" s="408"/>
      <c r="CD33" s="408"/>
      <c r="CE33" s="408"/>
      <c r="CF33" s="408"/>
      <c r="CG33" s="408"/>
      <c r="CH33" s="408"/>
      <c r="CI33" s="408"/>
      <c r="CJ33" s="408"/>
      <c r="CK33" s="408"/>
      <c r="CL33" s="408"/>
      <c r="CM33" s="409"/>
      <c r="CN33" s="409"/>
      <c r="CO33" s="409"/>
      <c r="CP33" s="410"/>
      <c r="CQ33" s="410"/>
      <c r="CR33" s="410"/>
      <c r="CS33" s="410"/>
      <c r="CT33" s="410"/>
      <c r="CU33" s="410"/>
      <c r="CV33" s="410"/>
      <c r="CW33" s="410"/>
      <c r="CX33" s="410"/>
      <c r="CY33" s="410"/>
      <c r="CZ33" s="409"/>
      <c r="DA33" s="409"/>
      <c r="DB33" s="409"/>
      <c r="DC33" s="409"/>
      <c r="DD33" s="409"/>
      <c r="DE33" s="409"/>
      <c r="DF33" s="409"/>
      <c r="DG33" s="409"/>
      <c r="DH33" s="409"/>
      <c r="DI33" s="409"/>
      <c r="DJ33" s="409"/>
      <c r="DK33" s="409"/>
      <c r="DL33" s="409"/>
      <c r="DM33" s="409"/>
      <c r="DN33" s="409"/>
      <c r="DO33" s="409"/>
      <c r="DP33" s="409"/>
      <c r="DQ33" s="409"/>
      <c r="DR33" s="411"/>
      <c r="DS33" s="411"/>
      <c r="DT33" s="409"/>
      <c r="DU33" s="409"/>
      <c r="DV33" s="409"/>
      <c r="DW33" s="409"/>
      <c r="DX33" s="409"/>
      <c r="DY33" s="409"/>
      <c r="DZ33" s="409"/>
      <c r="EA33" s="404"/>
      <c r="EB33" s="404"/>
      <c r="EC33" s="404"/>
      <c r="ED33" s="404"/>
      <c r="EE33" s="404"/>
      <c r="EF33" s="407"/>
      <c r="EG33" s="404"/>
      <c r="EH33" s="404"/>
      <c r="EI33" s="404"/>
      <c r="EJ33" s="412"/>
      <c r="EK33" s="412"/>
      <c r="EL33" s="412"/>
      <c r="EM33" s="412"/>
      <c r="EN33" s="412"/>
      <c r="EO33" s="412"/>
      <c r="EP33" s="413"/>
      <c r="EQ33" s="413"/>
      <c r="ER33" s="413"/>
      <c r="ES33" s="413"/>
      <c r="ET33" s="413"/>
      <c r="EU33" s="413"/>
      <c r="EV33" s="414"/>
      <c r="EW33" s="414"/>
      <c r="EX33" s="415"/>
      <c r="EY33" s="415"/>
      <c r="EZ33" s="415"/>
      <c r="FA33" s="404"/>
      <c r="FB33" s="404"/>
      <c r="FC33" s="416"/>
      <c r="FD33" s="404"/>
      <c r="FE33" s="417"/>
      <c r="FF33" s="417"/>
      <c r="FG33" s="416"/>
    </row>
    <row r="34" spans="2:163" x14ac:dyDescent="0.15">
      <c r="B34" s="418"/>
      <c r="D34" s="419">
        <v>0</v>
      </c>
      <c r="E34" s="402"/>
      <c r="G34" s="403"/>
      <c r="H34" s="403"/>
      <c r="I34" s="403"/>
      <c r="J34" s="403"/>
      <c r="K34" s="404"/>
      <c r="L34" s="405"/>
      <c r="M34" s="405"/>
      <c r="N34" s="405"/>
      <c r="O34" s="405"/>
      <c r="P34" s="404"/>
      <c r="Q34" s="405"/>
      <c r="R34" s="405"/>
      <c r="S34" s="406"/>
      <c r="T34" s="407"/>
      <c r="U34" s="404"/>
      <c r="V34" s="404"/>
      <c r="W34" s="404"/>
      <c r="X34" s="404"/>
      <c r="Y34" s="404"/>
      <c r="Z34" s="404"/>
      <c r="AA34" s="404"/>
      <c r="AB34" s="404"/>
      <c r="AC34" s="404"/>
      <c r="AD34" s="404"/>
      <c r="AE34" s="404"/>
      <c r="AF34" s="404"/>
      <c r="AG34" s="404"/>
      <c r="AH34" s="404"/>
      <c r="AI34" s="404"/>
      <c r="AJ34" s="404"/>
      <c r="AK34" s="404"/>
      <c r="AL34" s="404"/>
      <c r="AM34" s="404"/>
      <c r="AN34" s="404"/>
      <c r="AO34" s="404"/>
      <c r="AP34" s="404"/>
      <c r="AQ34" s="404"/>
      <c r="AR34" s="404"/>
      <c r="AS34" s="404"/>
      <c r="AT34" s="404"/>
      <c r="AU34" s="404"/>
      <c r="AV34" s="404"/>
      <c r="AW34" s="404"/>
      <c r="AX34" s="404"/>
      <c r="AY34" s="404"/>
      <c r="AZ34" s="404"/>
      <c r="BA34" s="404"/>
      <c r="BB34" s="404"/>
      <c r="BC34" s="404"/>
      <c r="BD34" s="404"/>
      <c r="BE34" s="404"/>
      <c r="BF34" s="404"/>
      <c r="BG34" s="404"/>
      <c r="BH34" s="404"/>
      <c r="BI34" s="420"/>
      <c r="BJ34" s="404"/>
      <c r="BK34" s="404"/>
      <c r="BL34" s="404"/>
      <c r="BM34" s="404"/>
      <c r="BN34" s="404"/>
      <c r="BO34" s="404"/>
      <c r="BP34" s="408"/>
      <c r="BQ34" s="408"/>
      <c r="BR34" s="408"/>
      <c r="BS34" s="408"/>
      <c r="BT34" s="408"/>
      <c r="BU34" s="408"/>
      <c r="BV34" s="408"/>
      <c r="BW34" s="408"/>
      <c r="BX34" s="408"/>
      <c r="BY34" s="408"/>
      <c r="BZ34" s="408"/>
      <c r="CA34" s="408"/>
      <c r="CB34" s="408"/>
      <c r="CC34" s="408"/>
      <c r="CD34" s="408"/>
      <c r="CE34" s="408"/>
      <c r="CF34" s="408"/>
      <c r="CG34" s="408"/>
      <c r="CH34" s="408"/>
      <c r="CI34" s="408"/>
      <c r="CJ34" s="408"/>
      <c r="CK34" s="408"/>
      <c r="CL34" s="408"/>
      <c r="CM34" s="409"/>
      <c r="CN34" s="409"/>
      <c r="CO34" s="409"/>
      <c r="CP34" s="410"/>
      <c r="CQ34" s="410"/>
      <c r="CR34" s="410"/>
      <c r="CS34" s="410"/>
      <c r="CT34" s="410"/>
      <c r="CU34" s="410"/>
      <c r="CV34" s="410"/>
      <c r="CW34" s="410"/>
      <c r="CX34" s="410"/>
      <c r="CY34" s="410"/>
      <c r="CZ34" s="409"/>
      <c r="DA34" s="409"/>
      <c r="DB34" s="409"/>
      <c r="DC34" s="409"/>
      <c r="DD34" s="409"/>
      <c r="DE34" s="409"/>
      <c r="DF34" s="409"/>
      <c r="DG34" s="409"/>
      <c r="DH34" s="409"/>
      <c r="DI34" s="409"/>
      <c r="DJ34" s="409"/>
      <c r="DK34" s="409"/>
      <c r="DL34" s="409"/>
      <c r="DM34" s="409"/>
      <c r="DN34" s="409"/>
      <c r="DO34" s="409"/>
      <c r="DP34" s="409"/>
      <c r="DQ34" s="409"/>
      <c r="DR34" s="411"/>
      <c r="DS34" s="411"/>
      <c r="DT34" s="409"/>
      <c r="DU34" s="409"/>
      <c r="DV34" s="409"/>
      <c r="DW34" s="409"/>
      <c r="DX34" s="409"/>
      <c r="DY34" s="409"/>
      <c r="DZ34" s="409"/>
      <c r="EA34" s="404"/>
      <c r="EB34" s="404"/>
      <c r="EC34" s="404"/>
      <c r="ED34" s="404"/>
      <c r="EE34" s="404"/>
      <c r="EF34" s="407"/>
      <c r="EG34" s="404"/>
      <c r="EH34" s="404"/>
      <c r="EI34" s="404"/>
      <c r="EJ34" s="412"/>
      <c r="EK34" s="412"/>
      <c r="EL34" s="412"/>
      <c r="EM34" s="412"/>
      <c r="EN34" s="412"/>
      <c r="EO34" s="412"/>
      <c r="EP34" s="413"/>
      <c r="EQ34" s="413"/>
      <c r="ER34" s="413"/>
      <c r="ES34" s="413"/>
      <c r="ET34" s="413"/>
      <c r="EU34" s="413"/>
      <c r="EV34" s="414"/>
      <c r="EW34" s="414"/>
      <c r="EX34" s="415"/>
      <c r="EY34" s="415"/>
      <c r="EZ34" s="415"/>
      <c r="FA34" s="404"/>
      <c r="FB34" s="404"/>
      <c r="FC34" s="416"/>
      <c r="FD34" s="404"/>
      <c r="FE34" s="417"/>
      <c r="FF34" s="417"/>
      <c r="FG34" s="416"/>
    </row>
    <row r="35" spans="2:163" x14ac:dyDescent="0.15">
      <c r="B35" s="418"/>
      <c r="D35" s="419">
        <v>0</v>
      </c>
      <c r="E35" s="402"/>
      <c r="G35" s="403"/>
      <c r="H35" s="403"/>
      <c r="I35" s="403"/>
      <c r="J35" s="403"/>
      <c r="K35" s="404"/>
      <c r="L35" s="405"/>
      <c r="M35" s="405"/>
      <c r="N35" s="405"/>
      <c r="O35" s="405"/>
      <c r="P35" s="404"/>
      <c r="Q35" s="405"/>
      <c r="R35" s="405"/>
      <c r="S35" s="406"/>
      <c r="T35" s="407"/>
      <c r="U35" s="404"/>
      <c r="V35" s="404"/>
      <c r="W35" s="404"/>
      <c r="X35" s="404"/>
      <c r="Y35" s="404"/>
      <c r="Z35" s="404"/>
      <c r="AA35" s="404"/>
      <c r="AB35" s="404"/>
      <c r="AC35" s="404"/>
      <c r="AD35" s="404"/>
      <c r="AE35" s="404"/>
      <c r="AF35" s="404"/>
      <c r="AG35" s="404"/>
      <c r="AH35" s="404"/>
      <c r="AI35" s="404"/>
      <c r="AJ35" s="404"/>
      <c r="AK35" s="404"/>
      <c r="AL35" s="404"/>
      <c r="AM35" s="404"/>
      <c r="AN35" s="404"/>
      <c r="AO35" s="404"/>
      <c r="AP35" s="404"/>
      <c r="AQ35" s="404"/>
      <c r="AR35" s="404"/>
      <c r="AS35" s="404"/>
      <c r="AT35" s="404"/>
      <c r="AU35" s="404"/>
      <c r="AV35" s="404"/>
      <c r="AW35" s="404"/>
      <c r="AX35" s="404"/>
      <c r="AY35" s="404"/>
      <c r="AZ35" s="404"/>
      <c r="BA35" s="404"/>
      <c r="BB35" s="404"/>
      <c r="BC35" s="404"/>
      <c r="BD35" s="404"/>
      <c r="BE35" s="404"/>
      <c r="BF35" s="404"/>
      <c r="BG35" s="404"/>
      <c r="BH35" s="404"/>
      <c r="BI35" s="420"/>
      <c r="BJ35" s="404"/>
      <c r="BK35" s="404"/>
      <c r="BL35" s="404"/>
      <c r="BM35" s="404"/>
      <c r="BN35" s="404"/>
      <c r="BO35" s="404"/>
      <c r="BP35" s="408"/>
      <c r="BQ35" s="408"/>
      <c r="BR35" s="408"/>
      <c r="BS35" s="408"/>
      <c r="BT35" s="408"/>
      <c r="BU35" s="408"/>
      <c r="BV35" s="408"/>
      <c r="BW35" s="408"/>
      <c r="BX35" s="408"/>
      <c r="BY35" s="408"/>
      <c r="BZ35" s="408"/>
      <c r="CA35" s="408"/>
      <c r="CB35" s="408"/>
      <c r="CC35" s="408"/>
      <c r="CD35" s="408"/>
      <c r="CE35" s="408"/>
      <c r="CF35" s="408"/>
      <c r="CG35" s="408"/>
      <c r="CH35" s="408"/>
      <c r="CI35" s="408"/>
      <c r="CJ35" s="408"/>
      <c r="CK35" s="408"/>
      <c r="CL35" s="408"/>
      <c r="CM35" s="409"/>
      <c r="CN35" s="409"/>
      <c r="CO35" s="409"/>
      <c r="CP35" s="410"/>
      <c r="CQ35" s="410"/>
      <c r="CR35" s="410"/>
      <c r="CS35" s="410"/>
      <c r="CT35" s="410"/>
      <c r="CU35" s="410"/>
      <c r="CV35" s="410"/>
      <c r="CW35" s="410"/>
      <c r="CX35" s="410"/>
      <c r="CY35" s="410"/>
      <c r="CZ35" s="409"/>
      <c r="DA35" s="409"/>
      <c r="DB35" s="409"/>
      <c r="DC35" s="409"/>
      <c r="DD35" s="409"/>
      <c r="DE35" s="409"/>
      <c r="DF35" s="409"/>
      <c r="DG35" s="409"/>
      <c r="DH35" s="409"/>
      <c r="DI35" s="409"/>
      <c r="DJ35" s="409"/>
      <c r="DK35" s="409"/>
      <c r="DL35" s="409"/>
      <c r="DM35" s="409"/>
      <c r="DN35" s="409"/>
      <c r="DO35" s="409"/>
      <c r="DP35" s="409"/>
      <c r="DQ35" s="409"/>
      <c r="DR35" s="411"/>
      <c r="DS35" s="411"/>
      <c r="DT35" s="409"/>
      <c r="DU35" s="409"/>
      <c r="DV35" s="409"/>
      <c r="DW35" s="409"/>
      <c r="DX35" s="409"/>
      <c r="DY35" s="409"/>
      <c r="DZ35" s="409"/>
      <c r="EA35" s="404"/>
      <c r="EB35" s="404"/>
      <c r="EC35" s="404"/>
      <c r="ED35" s="404"/>
      <c r="EE35" s="404"/>
      <c r="EF35" s="407"/>
      <c r="EG35" s="404"/>
      <c r="EH35" s="404"/>
      <c r="EI35" s="404"/>
      <c r="EJ35" s="412"/>
      <c r="EK35" s="412"/>
      <c r="EL35" s="412"/>
      <c r="EM35" s="412"/>
      <c r="EN35" s="412"/>
      <c r="EO35" s="412"/>
      <c r="EP35" s="413"/>
      <c r="EQ35" s="413"/>
      <c r="ER35" s="413"/>
      <c r="ES35" s="413"/>
      <c r="ET35" s="413"/>
      <c r="EU35" s="413"/>
      <c r="EV35" s="414"/>
      <c r="EW35" s="414"/>
      <c r="EX35" s="415"/>
      <c r="EY35" s="415"/>
      <c r="EZ35" s="415"/>
      <c r="FA35" s="404"/>
      <c r="FB35" s="404"/>
      <c r="FC35" s="416"/>
      <c r="FD35" s="404"/>
      <c r="FE35" s="417"/>
      <c r="FF35" s="417"/>
      <c r="FG35" s="416"/>
    </row>
    <row r="36" spans="2:163" x14ac:dyDescent="0.15">
      <c r="B36" s="418"/>
      <c r="D36" s="419">
        <v>0</v>
      </c>
      <c r="E36" s="402"/>
      <c r="G36" s="403"/>
      <c r="H36" s="403"/>
      <c r="I36" s="403"/>
      <c r="J36" s="403"/>
      <c r="K36" s="404"/>
      <c r="L36" s="405"/>
      <c r="M36" s="405"/>
      <c r="N36" s="405"/>
      <c r="O36" s="405"/>
      <c r="P36" s="404"/>
      <c r="Q36" s="405"/>
      <c r="R36" s="405"/>
      <c r="S36" s="406"/>
      <c r="T36" s="407"/>
      <c r="U36" s="404"/>
      <c r="V36" s="404"/>
      <c r="W36" s="404"/>
      <c r="X36" s="404"/>
      <c r="Y36" s="404"/>
      <c r="Z36" s="404"/>
      <c r="AA36" s="404"/>
      <c r="AB36" s="404"/>
      <c r="AC36" s="404"/>
      <c r="AD36" s="404"/>
      <c r="AE36" s="404"/>
      <c r="AF36" s="404"/>
      <c r="AG36" s="404"/>
      <c r="AH36" s="404"/>
      <c r="AI36" s="404"/>
      <c r="AJ36" s="404"/>
      <c r="AK36" s="404"/>
      <c r="AL36" s="404"/>
      <c r="AM36" s="404"/>
      <c r="AN36" s="404"/>
      <c r="AO36" s="404"/>
      <c r="AP36" s="404"/>
      <c r="AQ36" s="404"/>
      <c r="AR36" s="404"/>
      <c r="AS36" s="404"/>
      <c r="AT36" s="404"/>
      <c r="AU36" s="404"/>
      <c r="AV36" s="404"/>
      <c r="AW36" s="404"/>
      <c r="AX36" s="404"/>
      <c r="AY36" s="404"/>
      <c r="AZ36" s="404"/>
      <c r="BA36" s="404"/>
      <c r="BB36" s="404"/>
      <c r="BC36" s="404"/>
      <c r="BD36" s="404"/>
      <c r="BE36" s="404"/>
      <c r="BF36" s="404"/>
      <c r="BG36" s="404"/>
      <c r="BH36" s="404"/>
      <c r="BI36" s="420"/>
      <c r="BJ36" s="404"/>
      <c r="BK36" s="404"/>
      <c r="BL36" s="404"/>
      <c r="BM36" s="404"/>
      <c r="BN36" s="404"/>
      <c r="BO36" s="404"/>
      <c r="BP36" s="408"/>
      <c r="BQ36" s="408"/>
      <c r="BR36" s="408"/>
      <c r="BS36" s="408"/>
      <c r="BT36" s="408"/>
      <c r="BU36" s="408"/>
      <c r="BV36" s="408"/>
      <c r="BW36" s="408"/>
      <c r="BX36" s="408"/>
      <c r="BY36" s="408"/>
      <c r="BZ36" s="408"/>
      <c r="CA36" s="408"/>
      <c r="CB36" s="408"/>
      <c r="CC36" s="408"/>
      <c r="CD36" s="408"/>
      <c r="CE36" s="408"/>
      <c r="CF36" s="408"/>
      <c r="CG36" s="408"/>
      <c r="CH36" s="408"/>
      <c r="CI36" s="408"/>
      <c r="CJ36" s="408"/>
      <c r="CK36" s="408"/>
      <c r="CL36" s="408"/>
      <c r="CM36" s="409"/>
      <c r="CN36" s="409"/>
      <c r="CO36" s="409"/>
      <c r="CP36" s="410"/>
      <c r="CQ36" s="410"/>
      <c r="CR36" s="410"/>
      <c r="CS36" s="410"/>
      <c r="CT36" s="410"/>
      <c r="CU36" s="410"/>
      <c r="CV36" s="410"/>
      <c r="CW36" s="410"/>
      <c r="CX36" s="410"/>
      <c r="CY36" s="410"/>
      <c r="CZ36" s="409"/>
      <c r="DA36" s="409"/>
      <c r="DB36" s="409"/>
      <c r="DC36" s="409"/>
      <c r="DD36" s="409"/>
      <c r="DE36" s="409"/>
      <c r="DF36" s="409"/>
      <c r="DG36" s="409"/>
      <c r="DH36" s="409"/>
      <c r="DI36" s="409"/>
      <c r="DJ36" s="409"/>
      <c r="DK36" s="409"/>
      <c r="DL36" s="409"/>
      <c r="DM36" s="409"/>
      <c r="DN36" s="409"/>
      <c r="DO36" s="409"/>
      <c r="DP36" s="409"/>
      <c r="DQ36" s="409"/>
      <c r="DR36" s="411"/>
      <c r="DS36" s="411"/>
      <c r="DT36" s="409"/>
      <c r="DU36" s="409"/>
      <c r="DV36" s="409"/>
      <c r="DW36" s="409"/>
      <c r="DX36" s="409"/>
      <c r="DY36" s="409"/>
      <c r="DZ36" s="409"/>
      <c r="EA36" s="404"/>
      <c r="EB36" s="404"/>
      <c r="EC36" s="404"/>
      <c r="ED36" s="404"/>
      <c r="EE36" s="404"/>
      <c r="EF36" s="407"/>
      <c r="EG36" s="404"/>
      <c r="EH36" s="404"/>
      <c r="EI36" s="404"/>
      <c r="EJ36" s="412"/>
      <c r="EK36" s="412"/>
      <c r="EL36" s="412"/>
      <c r="EM36" s="412"/>
      <c r="EN36" s="412"/>
      <c r="EO36" s="412"/>
      <c r="EP36" s="413"/>
      <c r="EQ36" s="413"/>
      <c r="ER36" s="413"/>
      <c r="ES36" s="413"/>
      <c r="ET36" s="413"/>
      <c r="EU36" s="413"/>
      <c r="EV36" s="414"/>
      <c r="EW36" s="414"/>
      <c r="EX36" s="415"/>
      <c r="EY36" s="415"/>
      <c r="EZ36" s="415"/>
      <c r="FA36" s="404"/>
      <c r="FB36" s="404"/>
      <c r="FC36" s="416"/>
      <c r="FD36" s="404"/>
      <c r="FE36" s="417"/>
      <c r="FF36" s="417"/>
      <c r="FG36" s="416"/>
    </row>
    <row r="37" spans="2:163" x14ac:dyDescent="0.15">
      <c r="B37" s="418"/>
      <c r="D37" s="419">
        <v>0</v>
      </c>
      <c r="E37" s="402"/>
      <c r="G37" s="403"/>
      <c r="H37" s="403"/>
      <c r="I37" s="403"/>
      <c r="J37" s="403"/>
      <c r="K37" s="404"/>
      <c r="L37" s="405"/>
      <c r="M37" s="405"/>
      <c r="N37" s="405"/>
      <c r="O37" s="405"/>
      <c r="P37" s="404"/>
      <c r="Q37" s="405"/>
      <c r="R37" s="405"/>
      <c r="S37" s="406"/>
      <c r="T37" s="407"/>
      <c r="U37" s="404"/>
      <c r="V37" s="404"/>
      <c r="W37" s="404"/>
      <c r="X37" s="404"/>
      <c r="Y37" s="404"/>
      <c r="Z37" s="404"/>
      <c r="AA37" s="404"/>
      <c r="AB37" s="404"/>
      <c r="AC37" s="404"/>
      <c r="AD37" s="404"/>
      <c r="AE37" s="404"/>
      <c r="AF37" s="404"/>
      <c r="AG37" s="404"/>
      <c r="AH37" s="404"/>
      <c r="AI37" s="404"/>
      <c r="AJ37" s="404"/>
      <c r="AK37" s="404"/>
      <c r="AL37" s="404"/>
      <c r="AM37" s="404"/>
      <c r="AN37" s="404"/>
      <c r="AO37" s="404"/>
      <c r="AP37" s="404"/>
      <c r="AQ37" s="404"/>
      <c r="AR37" s="404"/>
      <c r="AS37" s="404"/>
      <c r="AT37" s="404"/>
      <c r="AU37" s="404"/>
      <c r="AV37" s="404"/>
      <c r="AW37" s="404"/>
      <c r="AX37" s="404"/>
      <c r="AY37" s="404"/>
      <c r="AZ37" s="404"/>
      <c r="BA37" s="404"/>
      <c r="BB37" s="404"/>
      <c r="BC37" s="404"/>
      <c r="BD37" s="404"/>
      <c r="BE37" s="404"/>
      <c r="BF37" s="404"/>
      <c r="BG37" s="404"/>
      <c r="BH37" s="404"/>
      <c r="BI37" s="404"/>
      <c r="BJ37" s="404"/>
      <c r="BK37" s="404"/>
      <c r="BL37" s="404"/>
      <c r="BM37" s="404"/>
      <c r="BN37" s="404"/>
      <c r="BO37" s="404"/>
      <c r="BP37" s="408"/>
      <c r="BQ37" s="408"/>
      <c r="BR37" s="408"/>
      <c r="BS37" s="408"/>
      <c r="BT37" s="408"/>
      <c r="BU37" s="408"/>
      <c r="BV37" s="408"/>
      <c r="BW37" s="408"/>
      <c r="BX37" s="408"/>
      <c r="BY37" s="408"/>
      <c r="BZ37" s="408"/>
      <c r="CA37" s="408"/>
      <c r="CB37" s="408"/>
      <c r="CC37" s="408"/>
      <c r="CD37" s="408"/>
      <c r="CE37" s="408"/>
      <c r="CF37" s="408"/>
      <c r="CG37" s="408"/>
      <c r="CH37" s="408"/>
      <c r="CI37" s="408"/>
      <c r="CJ37" s="408"/>
      <c r="CK37" s="408"/>
      <c r="CL37" s="408"/>
      <c r="CM37" s="409"/>
      <c r="CN37" s="409"/>
      <c r="CO37" s="409"/>
      <c r="CP37" s="410"/>
      <c r="CQ37" s="410"/>
      <c r="CR37" s="410"/>
      <c r="CS37" s="410"/>
      <c r="CT37" s="410"/>
      <c r="CU37" s="410"/>
      <c r="CV37" s="410"/>
      <c r="CW37" s="410"/>
      <c r="CX37" s="410"/>
      <c r="CY37" s="410"/>
      <c r="CZ37" s="409"/>
      <c r="DA37" s="409"/>
      <c r="DB37" s="409"/>
      <c r="DC37" s="409"/>
      <c r="DD37" s="409"/>
      <c r="DE37" s="409"/>
      <c r="DF37" s="409"/>
      <c r="DG37" s="409"/>
      <c r="DH37" s="409"/>
      <c r="DI37" s="409"/>
      <c r="DJ37" s="409"/>
      <c r="DK37" s="409"/>
      <c r="DL37" s="409"/>
      <c r="DM37" s="409"/>
      <c r="DN37" s="409"/>
      <c r="DO37" s="409"/>
      <c r="DP37" s="409"/>
      <c r="DQ37" s="409"/>
      <c r="DR37" s="411"/>
      <c r="DS37" s="411"/>
      <c r="DT37" s="409"/>
      <c r="DU37" s="409"/>
      <c r="DV37" s="409"/>
      <c r="DW37" s="409"/>
      <c r="DX37" s="409"/>
      <c r="DY37" s="409"/>
      <c r="DZ37" s="409"/>
      <c r="EA37" s="404"/>
      <c r="EB37" s="404"/>
      <c r="EC37" s="404"/>
      <c r="ED37" s="404"/>
      <c r="EE37" s="404"/>
      <c r="EF37" s="407"/>
      <c r="EG37" s="404"/>
      <c r="EH37" s="404"/>
      <c r="EI37" s="404"/>
      <c r="EJ37" s="412"/>
      <c r="EK37" s="412"/>
      <c r="EL37" s="412"/>
      <c r="EM37" s="412"/>
      <c r="EN37" s="412"/>
      <c r="EO37" s="412"/>
      <c r="EP37" s="413"/>
      <c r="EQ37" s="413"/>
      <c r="ER37" s="413"/>
      <c r="ES37" s="413"/>
      <c r="ET37" s="413"/>
      <c r="EU37" s="413"/>
      <c r="EV37" s="414"/>
      <c r="EW37" s="414"/>
      <c r="EX37" s="415"/>
      <c r="EY37" s="415"/>
      <c r="EZ37" s="415"/>
      <c r="FA37" s="404"/>
      <c r="FB37" s="404"/>
      <c r="FC37" s="416"/>
      <c r="FD37" s="404"/>
      <c r="FE37" s="417"/>
      <c r="FF37" s="417"/>
      <c r="FG37" s="416"/>
    </row>
    <row r="38" spans="2:163" x14ac:dyDescent="0.15">
      <c r="B38" s="418"/>
      <c r="D38" s="419">
        <v>0</v>
      </c>
      <c r="E38" s="402"/>
      <c r="G38" s="403"/>
      <c r="H38" s="403"/>
      <c r="I38" s="403"/>
      <c r="J38" s="403"/>
      <c r="K38" s="404"/>
      <c r="L38" s="405"/>
      <c r="M38" s="405"/>
      <c r="N38" s="405"/>
      <c r="O38" s="405"/>
      <c r="P38" s="404"/>
      <c r="Q38" s="405"/>
      <c r="R38" s="405"/>
      <c r="S38" s="406"/>
      <c r="T38" s="407"/>
      <c r="U38" s="404"/>
      <c r="V38" s="404"/>
      <c r="W38" s="404"/>
      <c r="X38" s="404"/>
      <c r="Y38" s="404"/>
      <c r="Z38" s="404"/>
      <c r="AA38" s="404"/>
      <c r="AB38" s="404"/>
      <c r="AC38" s="404"/>
      <c r="AD38" s="404"/>
      <c r="AE38" s="404"/>
      <c r="AF38" s="404"/>
      <c r="AG38" s="404"/>
      <c r="AH38" s="404"/>
      <c r="AI38" s="404"/>
      <c r="AJ38" s="404"/>
      <c r="AK38" s="404"/>
      <c r="AL38" s="404"/>
      <c r="AM38" s="404"/>
      <c r="AN38" s="404"/>
      <c r="AO38" s="404"/>
      <c r="AP38" s="404"/>
      <c r="AQ38" s="404"/>
      <c r="AR38" s="404"/>
      <c r="AS38" s="404"/>
      <c r="AT38" s="404"/>
      <c r="AU38" s="404"/>
      <c r="AV38" s="404"/>
      <c r="AW38" s="404"/>
      <c r="AX38" s="404"/>
      <c r="AY38" s="404"/>
      <c r="AZ38" s="404"/>
      <c r="BA38" s="404"/>
      <c r="BB38" s="404"/>
      <c r="BC38" s="404"/>
      <c r="BD38" s="404"/>
      <c r="BE38" s="404"/>
      <c r="BF38" s="404"/>
      <c r="BG38" s="404"/>
      <c r="BH38" s="404"/>
      <c r="BI38" s="404"/>
      <c r="BJ38" s="404"/>
      <c r="BK38" s="404"/>
      <c r="BL38" s="404"/>
      <c r="BM38" s="404"/>
      <c r="BN38" s="404"/>
      <c r="BO38" s="404"/>
      <c r="BP38" s="408"/>
      <c r="BQ38" s="408"/>
      <c r="BR38" s="408"/>
      <c r="BS38" s="408"/>
      <c r="BT38" s="408"/>
      <c r="BU38" s="408"/>
      <c r="BV38" s="408"/>
      <c r="BW38" s="408"/>
      <c r="BX38" s="408"/>
      <c r="BY38" s="408"/>
      <c r="BZ38" s="408"/>
      <c r="CA38" s="408"/>
      <c r="CB38" s="408"/>
      <c r="CC38" s="408"/>
      <c r="CD38" s="408"/>
      <c r="CE38" s="408"/>
      <c r="CF38" s="408"/>
      <c r="CG38" s="408"/>
      <c r="CH38" s="408"/>
      <c r="CI38" s="408"/>
      <c r="CJ38" s="408"/>
      <c r="CK38" s="408"/>
      <c r="CL38" s="408"/>
      <c r="CM38" s="409"/>
      <c r="CN38" s="409"/>
      <c r="CO38" s="409"/>
      <c r="CP38" s="410"/>
      <c r="CQ38" s="410"/>
      <c r="CR38" s="410"/>
      <c r="CS38" s="410"/>
      <c r="CT38" s="410"/>
      <c r="CU38" s="410"/>
      <c r="CV38" s="410"/>
      <c r="CW38" s="410"/>
      <c r="CX38" s="410"/>
      <c r="CY38" s="410"/>
      <c r="CZ38" s="409"/>
      <c r="DA38" s="409"/>
      <c r="DB38" s="409"/>
      <c r="DC38" s="409"/>
      <c r="DD38" s="409"/>
      <c r="DE38" s="409"/>
      <c r="DF38" s="409"/>
      <c r="DG38" s="409"/>
      <c r="DH38" s="409"/>
      <c r="DI38" s="409"/>
      <c r="DJ38" s="409"/>
      <c r="DK38" s="409"/>
      <c r="DL38" s="409"/>
      <c r="DM38" s="409"/>
      <c r="DN38" s="409"/>
      <c r="DO38" s="409"/>
      <c r="DP38" s="409"/>
      <c r="DQ38" s="409"/>
      <c r="DR38" s="411"/>
      <c r="DS38" s="411"/>
      <c r="DT38" s="409"/>
      <c r="DU38" s="409"/>
      <c r="DV38" s="409"/>
      <c r="DW38" s="409"/>
      <c r="DX38" s="409"/>
      <c r="DY38" s="409"/>
      <c r="DZ38" s="409"/>
      <c r="EA38" s="404"/>
      <c r="EB38" s="404"/>
      <c r="EC38" s="404"/>
      <c r="ED38" s="404"/>
      <c r="EE38" s="404"/>
      <c r="EF38" s="407"/>
      <c r="EG38" s="404"/>
      <c r="EH38" s="404"/>
      <c r="EI38" s="404"/>
      <c r="EJ38" s="412"/>
      <c r="EK38" s="412"/>
      <c r="EL38" s="412"/>
      <c r="EM38" s="412"/>
      <c r="EN38" s="412"/>
      <c r="EO38" s="412"/>
      <c r="EP38" s="413"/>
      <c r="EQ38" s="413"/>
      <c r="ER38" s="413"/>
      <c r="ES38" s="413"/>
      <c r="ET38" s="413"/>
      <c r="EU38" s="413"/>
      <c r="EV38" s="414"/>
      <c r="EW38" s="414"/>
      <c r="EX38" s="415"/>
      <c r="EY38" s="415"/>
      <c r="EZ38" s="415"/>
      <c r="FA38" s="404"/>
      <c r="FB38" s="404"/>
      <c r="FC38" s="416"/>
      <c r="FD38" s="404"/>
      <c r="FE38" s="417"/>
      <c r="FF38" s="417"/>
      <c r="FG38" s="416"/>
    </row>
    <row r="39" spans="2:163" x14ac:dyDescent="0.15">
      <c r="B39" s="418"/>
      <c r="D39" s="419">
        <v>0</v>
      </c>
      <c r="E39" s="402"/>
      <c r="G39" s="403"/>
      <c r="H39" s="403"/>
      <c r="I39" s="403"/>
      <c r="J39" s="403"/>
      <c r="K39" s="404"/>
      <c r="L39" s="405"/>
      <c r="M39" s="405"/>
      <c r="N39" s="405"/>
      <c r="O39" s="405"/>
      <c r="P39" s="404"/>
      <c r="Q39" s="405"/>
      <c r="R39" s="405"/>
      <c r="S39" s="406"/>
      <c r="T39" s="407"/>
      <c r="U39" s="404"/>
      <c r="V39" s="404"/>
      <c r="W39" s="404"/>
      <c r="X39" s="404"/>
      <c r="Y39" s="404"/>
      <c r="Z39" s="404"/>
      <c r="AA39" s="404"/>
      <c r="AB39" s="404"/>
      <c r="AC39" s="404"/>
      <c r="AD39" s="404"/>
      <c r="AE39" s="404"/>
      <c r="AF39" s="404"/>
      <c r="AG39" s="404"/>
      <c r="AH39" s="404"/>
      <c r="AI39" s="404"/>
      <c r="AJ39" s="404"/>
      <c r="AK39" s="404"/>
      <c r="AL39" s="404"/>
      <c r="AM39" s="404"/>
      <c r="AN39" s="404"/>
      <c r="AO39" s="404"/>
      <c r="AP39" s="404"/>
      <c r="AQ39" s="404"/>
      <c r="AR39" s="404"/>
      <c r="AS39" s="404"/>
      <c r="AT39" s="404"/>
      <c r="AU39" s="404"/>
      <c r="AV39" s="404"/>
      <c r="AW39" s="404"/>
      <c r="AX39" s="404"/>
      <c r="AY39" s="404"/>
      <c r="AZ39" s="404"/>
      <c r="BA39" s="404"/>
      <c r="BB39" s="404"/>
      <c r="BC39" s="404"/>
      <c r="BD39" s="404"/>
      <c r="BE39" s="404"/>
      <c r="BF39" s="404"/>
      <c r="BG39" s="404"/>
      <c r="BH39" s="404"/>
      <c r="BI39" s="404"/>
      <c r="BJ39" s="404"/>
      <c r="BK39" s="404"/>
      <c r="BL39" s="404"/>
      <c r="BM39" s="404"/>
      <c r="BN39" s="404"/>
      <c r="BO39" s="404"/>
      <c r="BP39" s="408"/>
      <c r="BQ39" s="408"/>
      <c r="BR39" s="408"/>
      <c r="BS39" s="408"/>
      <c r="BT39" s="408"/>
      <c r="BU39" s="408"/>
      <c r="BV39" s="408"/>
      <c r="BW39" s="408"/>
      <c r="BX39" s="408"/>
      <c r="BY39" s="408"/>
      <c r="BZ39" s="408"/>
      <c r="CA39" s="408"/>
      <c r="CB39" s="408"/>
      <c r="CC39" s="408"/>
      <c r="CD39" s="408"/>
      <c r="CE39" s="408"/>
      <c r="CF39" s="408"/>
      <c r="CG39" s="408"/>
      <c r="CH39" s="408"/>
      <c r="CI39" s="408"/>
      <c r="CJ39" s="408"/>
      <c r="CK39" s="408"/>
      <c r="CL39" s="408"/>
      <c r="CM39" s="409"/>
      <c r="CN39" s="409"/>
      <c r="CO39" s="409"/>
      <c r="CP39" s="410"/>
      <c r="CQ39" s="410"/>
      <c r="CR39" s="410"/>
      <c r="CS39" s="410"/>
      <c r="CT39" s="410"/>
      <c r="CU39" s="410"/>
      <c r="CV39" s="410"/>
      <c r="CW39" s="410"/>
      <c r="CX39" s="410"/>
      <c r="CY39" s="410"/>
      <c r="CZ39" s="409"/>
      <c r="DA39" s="409"/>
      <c r="DB39" s="409"/>
      <c r="DC39" s="409"/>
      <c r="DD39" s="409"/>
      <c r="DE39" s="409"/>
      <c r="DF39" s="409"/>
      <c r="DG39" s="409"/>
      <c r="DH39" s="409"/>
      <c r="DI39" s="409"/>
      <c r="DJ39" s="409"/>
      <c r="DK39" s="409"/>
      <c r="DL39" s="409"/>
      <c r="DM39" s="409"/>
      <c r="DN39" s="409"/>
      <c r="DO39" s="409"/>
      <c r="DP39" s="409"/>
      <c r="DQ39" s="409"/>
      <c r="DR39" s="411"/>
      <c r="DS39" s="411"/>
      <c r="DT39" s="409"/>
      <c r="DU39" s="409"/>
      <c r="DV39" s="409"/>
      <c r="DW39" s="409"/>
      <c r="DX39" s="409"/>
      <c r="DY39" s="409"/>
      <c r="DZ39" s="409"/>
      <c r="EA39" s="404"/>
      <c r="EB39" s="404"/>
      <c r="EC39" s="404"/>
      <c r="ED39" s="404"/>
      <c r="EE39" s="404"/>
      <c r="EF39" s="407"/>
      <c r="EG39" s="404"/>
      <c r="EH39" s="404"/>
      <c r="EI39" s="404"/>
      <c r="EJ39" s="412"/>
      <c r="EK39" s="412"/>
      <c r="EL39" s="412"/>
      <c r="EM39" s="412"/>
      <c r="EN39" s="412"/>
      <c r="EO39" s="412"/>
      <c r="EP39" s="413"/>
      <c r="EQ39" s="413"/>
      <c r="ER39" s="413"/>
      <c r="ES39" s="413"/>
      <c r="ET39" s="413"/>
      <c r="EU39" s="413"/>
      <c r="EV39" s="414"/>
      <c r="EW39" s="414"/>
      <c r="EX39" s="415"/>
      <c r="EY39" s="415"/>
      <c r="EZ39" s="415"/>
      <c r="FA39" s="404"/>
      <c r="FB39" s="404"/>
      <c r="FC39" s="416"/>
      <c r="FD39" s="404"/>
      <c r="FE39" s="417"/>
      <c r="FF39" s="417"/>
      <c r="FG39" s="416"/>
    </row>
    <row r="40" spans="2:163" x14ac:dyDescent="0.15">
      <c r="B40" s="418"/>
      <c r="D40" s="419">
        <v>0</v>
      </c>
      <c r="E40" s="402"/>
      <c r="G40" s="403"/>
      <c r="H40" s="403"/>
      <c r="I40" s="403"/>
      <c r="J40" s="403"/>
      <c r="K40" s="404"/>
      <c r="L40" s="405"/>
      <c r="M40" s="405"/>
      <c r="N40" s="405"/>
      <c r="O40" s="405"/>
      <c r="P40" s="404"/>
      <c r="Q40" s="405"/>
      <c r="R40" s="405"/>
      <c r="S40" s="406"/>
      <c r="T40" s="407"/>
      <c r="U40" s="404"/>
      <c r="V40" s="404"/>
      <c r="W40" s="404"/>
      <c r="X40" s="404"/>
      <c r="Y40" s="404"/>
      <c r="Z40" s="404"/>
      <c r="AA40" s="404"/>
      <c r="AB40" s="404"/>
      <c r="AC40" s="404"/>
      <c r="AD40" s="404"/>
      <c r="AE40" s="404"/>
      <c r="AF40" s="404"/>
      <c r="AG40" s="404"/>
      <c r="AH40" s="404"/>
      <c r="AI40" s="404"/>
      <c r="AJ40" s="404"/>
      <c r="AK40" s="404"/>
      <c r="AL40" s="404"/>
      <c r="AM40" s="404"/>
      <c r="AN40" s="404"/>
      <c r="AO40" s="404"/>
      <c r="AP40" s="404"/>
      <c r="AQ40" s="404"/>
      <c r="AR40" s="404"/>
      <c r="AS40" s="404"/>
      <c r="AT40" s="404"/>
      <c r="AU40" s="404"/>
      <c r="AV40" s="404"/>
      <c r="AW40" s="404"/>
      <c r="AX40" s="404"/>
      <c r="AY40" s="404"/>
      <c r="AZ40" s="404"/>
      <c r="BA40" s="404"/>
      <c r="BB40" s="404"/>
      <c r="BC40" s="404"/>
      <c r="BD40" s="404"/>
      <c r="BE40" s="404"/>
      <c r="BF40" s="404"/>
      <c r="BG40" s="404"/>
      <c r="BH40" s="404"/>
      <c r="BI40" s="404"/>
      <c r="BJ40" s="404"/>
      <c r="BK40" s="404"/>
      <c r="BL40" s="404"/>
      <c r="BM40" s="404"/>
      <c r="BN40" s="404"/>
      <c r="BO40" s="404"/>
      <c r="BP40" s="408"/>
      <c r="BQ40" s="408"/>
      <c r="BR40" s="408"/>
      <c r="BS40" s="408"/>
      <c r="BT40" s="408"/>
      <c r="BU40" s="408"/>
      <c r="BV40" s="408"/>
      <c r="BW40" s="408"/>
      <c r="BX40" s="408"/>
      <c r="BY40" s="408"/>
      <c r="BZ40" s="408"/>
      <c r="CA40" s="408"/>
      <c r="CB40" s="408"/>
      <c r="CC40" s="408"/>
      <c r="CD40" s="408"/>
      <c r="CE40" s="408"/>
      <c r="CF40" s="408"/>
      <c r="CG40" s="408"/>
      <c r="CH40" s="408"/>
      <c r="CI40" s="408"/>
      <c r="CJ40" s="408"/>
      <c r="CK40" s="408"/>
      <c r="CL40" s="408"/>
      <c r="CM40" s="409"/>
      <c r="CN40" s="409"/>
      <c r="CO40" s="409"/>
      <c r="CP40" s="410"/>
      <c r="CQ40" s="410"/>
      <c r="CR40" s="410"/>
      <c r="CS40" s="410"/>
      <c r="CT40" s="410"/>
      <c r="CU40" s="410"/>
      <c r="CV40" s="410"/>
      <c r="CW40" s="410"/>
      <c r="CX40" s="410"/>
      <c r="CY40" s="410"/>
      <c r="CZ40" s="409"/>
      <c r="DA40" s="409"/>
      <c r="DB40" s="409"/>
      <c r="DC40" s="409"/>
      <c r="DD40" s="409"/>
      <c r="DE40" s="409"/>
      <c r="DF40" s="409"/>
      <c r="DG40" s="409"/>
      <c r="DH40" s="409"/>
      <c r="DI40" s="409"/>
      <c r="DJ40" s="409"/>
      <c r="DK40" s="409"/>
      <c r="DL40" s="409"/>
      <c r="DM40" s="409"/>
      <c r="DN40" s="409"/>
      <c r="DO40" s="409"/>
      <c r="DP40" s="409"/>
      <c r="DQ40" s="409"/>
      <c r="DR40" s="411"/>
      <c r="DS40" s="411"/>
      <c r="DT40" s="409"/>
      <c r="DU40" s="409"/>
      <c r="DV40" s="409"/>
      <c r="DW40" s="409"/>
      <c r="DX40" s="409"/>
      <c r="DY40" s="409"/>
      <c r="DZ40" s="409"/>
      <c r="EA40" s="404"/>
      <c r="EB40" s="404"/>
      <c r="EC40" s="404"/>
      <c r="ED40" s="404"/>
      <c r="EE40" s="404"/>
      <c r="EF40" s="407"/>
      <c r="EG40" s="404"/>
      <c r="EH40" s="404"/>
      <c r="EI40" s="404"/>
      <c r="EJ40" s="412"/>
      <c r="EK40" s="412"/>
      <c r="EL40" s="412"/>
      <c r="EM40" s="412"/>
      <c r="EN40" s="412"/>
      <c r="EO40" s="412"/>
      <c r="EP40" s="413"/>
      <c r="EQ40" s="413"/>
      <c r="ER40" s="413"/>
      <c r="ES40" s="413"/>
      <c r="ET40" s="413"/>
      <c r="EU40" s="413"/>
      <c r="EV40" s="414"/>
      <c r="EW40" s="414"/>
      <c r="EX40" s="415"/>
      <c r="EY40" s="415"/>
      <c r="EZ40" s="415"/>
      <c r="FA40" s="404"/>
      <c r="FB40" s="404"/>
      <c r="FC40" s="416"/>
      <c r="FD40" s="404"/>
      <c r="FE40" s="417"/>
      <c r="FF40" s="417"/>
      <c r="FG40" s="416"/>
    </row>
    <row r="41" spans="2:163" x14ac:dyDescent="0.15">
      <c r="B41" s="418"/>
      <c r="D41" s="419">
        <v>0</v>
      </c>
      <c r="E41" s="402"/>
      <c r="G41" s="403"/>
      <c r="H41" s="403"/>
      <c r="I41" s="403"/>
      <c r="J41" s="403"/>
      <c r="K41" s="404"/>
      <c r="L41" s="405"/>
      <c r="M41" s="405"/>
      <c r="N41" s="405"/>
      <c r="O41" s="405"/>
      <c r="P41" s="404"/>
      <c r="Q41" s="405"/>
      <c r="R41" s="405"/>
      <c r="S41" s="406"/>
      <c r="T41" s="407"/>
      <c r="U41" s="404"/>
      <c r="V41" s="404"/>
      <c r="W41" s="404"/>
      <c r="X41" s="404"/>
      <c r="Y41" s="404"/>
      <c r="Z41" s="404"/>
      <c r="AA41" s="404"/>
      <c r="AB41" s="404"/>
      <c r="AC41" s="404"/>
      <c r="AD41" s="404"/>
      <c r="AE41" s="404"/>
      <c r="AF41" s="404"/>
      <c r="AG41" s="404"/>
      <c r="AH41" s="404"/>
      <c r="AI41" s="404"/>
      <c r="AJ41" s="404"/>
      <c r="AK41" s="404"/>
      <c r="AL41" s="404"/>
      <c r="AM41" s="404"/>
      <c r="AN41" s="404"/>
      <c r="AO41" s="404"/>
      <c r="AP41" s="404"/>
      <c r="AQ41" s="404"/>
      <c r="AR41" s="404"/>
      <c r="AS41" s="404"/>
      <c r="AT41" s="404"/>
      <c r="AU41" s="404"/>
      <c r="AV41" s="404"/>
      <c r="AW41" s="404"/>
      <c r="AX41" s="404"/>
      <c r="AY41" s="404"/>
      <c r="AZ41" s="404"/>
      <c r="BA41" s="404"/>
      <c r="BB41" s="404"/>
      <c r="BC41" s="404"/>
      <c r="BD41" s="404"/>
      <c r="BE41" s="404"/>
      <c r="BF41" s="404"/>
      <c r="BG41" s="404"/>
      <c r="BH41" s="404"/>
      <c r="BI41" s="404"/>
      <c r="BJ41" s="404"/>
      <c r="BK41" s="404"/>
      <c r="BL41" s="404"/>
      <c r="BM41" s="404"/>
      <c r="BN41" s="404"/>
      <c r="BO41" s="404"/>
      <c r="BP41" s="408"/>
      <c r="BQ41" s="408"/>
      <c r="BR41" s="408"/>
      <c r="BS41" s="408"/>
      <c r="BT41" s="408"/>
      <c r="BU41" s="408"/>
      <c r="BV41" s="408"/>
      <c r="BW41" s="408"/>
      <c r="BX41" s="408"/>
      <c r="BY41" s="408"/>
      <c r="BZ41" s="408"/>
      <c r="CA41" s="408"/>
      <c r="CB41" s="408"/>
      <c r="CC41" s="408"/>
      <c r="CD41" s="408"/>
      <c r="CE41" s="408"/>
      <c r="CF41" s="408"/>
      <c r="CG41" s="408"/>
      <c r="CH41" s="408"/>
      <c r="CI41" s="408"/>
      <c r="CJ41" s="408"/>
      <c r="CK41" s="408"/>
      <c r="CL41" s="408"/>
      <c r="CM41" s="409"/>
      <c r="CN41" s="409"/>
      <c r="CO41" s="409"/>
      <c r="CP41" s="410"/>
      <c r="CQ41" s="410"/>
      <c r="CR41" s="410"/>
      <c r="CS41" s="410"/>
      <c r="CT41" s="410"/>
      <c r="CU41" s="410"/>
      <c r="CV41" s="410"/>
      <c r="CW41" s="410"/>
      <c r="CX41" s="410"/>
      <c r="CY41" s="410"/>
      <c r="CZ41" s="409"/>
      <c r="DA41" s="409"/>
      <c r="DB41" s="409"/>
      <c r="DC41" s="409"/>
      <c r="DD41" s="409"/>
      <c r="DE41" s="409"/>
      <c r="DF41" s="409"/>
      <c r="DG41" s="409"/>
      <c r="DH41" s="409"/>
      <c r="DI41" s="409"/>
      <c r="DJ41" s="409"/>
      <c r="DK41" s="409"/>
      <c r="DL41" s="409"/>
      <c r="DM41" s="409"/>
      <c r="DN41" s="409"/>
      <c r="DO41" s="409"/>
      <c r="DP41" s="409"/>
      <c r="DQ41" s="409"/>
      <c r="DR41" s="411"/>
      <c r="DS41" s="411"/>
      <c r="DT41" s="409"/>
      <c r="DU41" s="409"/>
      <c r="DV41" s="409"/>
      <c r="DW41" s="409"/>
      <c r="DX41" s="409"/>
      <c r="DY41" s="409"/>
      <c r="DZ41" s="409"/>
      <c r="EA41" s="404"/>
      <c r="EB41" s="404"/>
      <c r="EC41" s="404"/>
      <c r="ED41" s="404"/>
      <c r="EE41" s="404"/>
      <c r="EF41" s="407"/>
      <c r="EG41" s="404"/>
      <c r="EH41" s="404"/>
      <c r="EI41" s="404"/>
      <c r="EJ41" s="412"/>
      <c r="EK41" s="412"/>
      <c r="EL41" s="412"/>
      <c r="EM41" s="412"/>
      <c r="EN41" s="412"/>
      <c r="EO41" s="412"/>
      <c r="EP41" s="413"/>
      <c r="EQ41" s="413"/>
      <c r="ER41" s="413"/>
      <c r="ES41" s="413"/>
      <c r="ET41" s="413"/>
      <c r="EU41" s="413"/>
      <c r="EV41" s="414"/>
      <c r="EW41" s="414"/>
      <c r="EX41" s="415"/>
      <c r="EY41" s="415"/>
      <c r="EZ41" s="415"/>
      <c r="FA41" s="404"/>
      <c r="FB41" s="404"/>
      <c r="FC41" s="416"/>
      <c r="FD41" s="404"/>
      <c r="FE41" s="417"/>
      <c r="FF41" s="417"/>
      <c r="FG41" s="416"/>
    </row>
    <row r="42" spans="2:163" x14ac:dyDescent="0.15">
      <c r="B42" s="418"/>
      <c r="D42" s="419">
        <v>0</v>
      </c>
      <c r="E42" s="402"/>
      <c r="G42" s="403"/>
      <c r="H42" s="403"/>
      <c r="I42" s="403"/>
      <c r="J42" s="403"/>
      <c r="K42" s="404"/>
      <c r="L42" s="405"/>
      <c r="M42" s="405"/>
      <c r="N42" s="405"/>
      <c r="O42" s="405"/>
      <c r="P42" s="404"/>
      <c r="Q42" s="405"/>
      <c r="R42" s="405"/>
      <c r="S42" s="406"/>
      <c r="T42" s="407"/>
      <c r="U42" s="404"/>
      <c r="V42" s="404"/>
      <c r="W42" s="404"/>
      <c r="X42" s="404"/>
      <c r="Y42" s="404"/>
      <c r="Z42" s="404"/>
      <c r="AA42" s="404"/>
      <c r="AB42" s="404"/>
      <c r="AC42" s="404"/>
      <c r="AD42" s="404"/>
      <c r="AE42" s="404"/>
      <c r="AF42" s="404"/>
      <c r="AG42" s="404"/>
      <c r="AH42" s="404"/>
      <c r="AI42" s="404"/>
      <c r="AJ42" s="404"/>
      <c r="AK42" s="404"/>
      <c r="AL42" s="404"/>
      <c r="AM42" s="404"/>
      <c r="AN42" s="404"/>
      <c r="AO42" s="404"/>
      <c r="AP42" s="404"/>
      <c r="AQ42" s="404"/>
      <c r="AR42" s="404"/>
      <c r="AS42" s="404"/>
      <c r="AT42" s="404"/>
      <c r="AU42" s="404"/>
      <c r="AV42" s="404"/>
      <c r="AW42" s="404"/>
      <c r="AX42" s="404"/>
      <c r="AY42" s="404"/>
      <c r="AZ42" s="404"/>
      <c r="BA42" s="404"/>
      <c r="BB42" s="404"/>
      <c r="BC42" s="404"/>
      <c r="BD42" s="404"/>
      <c r="BE42" s="404"/>
      <c r="BF42" s="404"/>
      <c r="BG42" s="404"/>
      <c r="BH42" s="404"/>
      <c r="BI42" s="404"/>
      <c r="BJ42" s="404"/>
      <c r="BK42" s="404"/>
      <c r="BL42" s="404"/>
      <c r="BM42" s="404"/>
      <c r="BN42" s="404"/>
      <c r="BO42" s="404"/>
      <c r="BP42" s="408"/>
      <c r="BQ42" s="408"/>
      <c r="BR42" s="408"/>
      <c r="BS42" s="408"/>
      <c r="BT42" s="408"/>
      <c r="BU42" s="408"/>
      <c r="BV42" s="408"/>
      <c r="BW42" s="408"/>
      <c r="BX42" s="408"/>
      <c r="BY42" s="408"/>
      <c r="BZ42" s="408"/>
      <c r="CA42" s="408"/>
      <c r="CB42" s="408"/>
      <c r="CC42" s="408"/>
      <c r="CD42" s="408"/>
      <c r="CE42" s="408"/>
      <c r="CF42" s="408"/>
      <c r="CG42" s="408"/>
      <c r="CH42" s="408"/>
      <c r="CI42" s="408"/>
      <c r="CJ42" s="408"/>
      <c r="CK42" s="408"/>
      <c r="CL42" s="408"/>
      <c r="CM42" s="409"/>
      <c r="CN42" s="409"/>
      <c r="CO42" s="409"/>
      <c r="CP42" s="410"/>
      <c r="CQ42" s="410"/>
      <c r="CR42" s="410"/>
      <c r="CS42" s="410"/>
      <c r="CT42" s="410"/>
      <c r="CU42" s="410"/>
      <c r="CV42" s="410"/>
      <c r="CW42" s="410"/>
      <c r="CX42" s="410"/>
      <c r="CY42" s="410"/>
      <c r="CZ42" s="409"/>
      <c r="DA42" s="409"/>
      <c r="DB42" s="409"/>
      <c r="DC42" s="409"/>
      <c r="DD42" s="409"/>
      <c r="DE42" s="409"/>
      <c r="DF42" s="409"/>
      <c r="DG42" s="409"/>
      <c r="DH42" s="409"/>
      <c r="DI42" s="409"/>
      <c r="DJ42" s="409"/>
      <c r="DK42" s="409"/>
      <c r="DL42" s="409"/>
      <c r="DM42" s="409"/>
      <c r="DN42" s="409"/>
      <c r="DO42" s="409"/>
      <c r="DP42" s="409"/>
      <c r="DQ42" s="409"/>
      <c r="DR42" s="411"/>
      <c r="DS42" s="411"/>
      <c r="DT42" s="409"/>
      <c r="DU42" s="409"/>
      <c r="DV42" s="409"/>
      <c r="DW42" s="409"/>
      <c r="DX42" s="409"/>
      <c r="DY42" s="409"/>
      <c r="DZ42" s="409"/>
      <c r="EA42" s="404"/>
      <c r="EB42" s="404"/>
      <c r="EC42" s="404"/>
      <c r="ED42" s="404"/>
      <c r="EE42" s="404"/>
      <c r="EF42" s="407"/>
      <c r="EG42" s="404"/>
      <c r="EH42" s="404"/>
      <c r="EI42" s="404"/>
      <c r="EJ42" s="412"/>
      <c r="EK42" s="412"/>
      <c r="EL42" s="412"/>
      <c r="EM42" s="412"/>
      <c r="EN42" s="412"/>
      <c r="EO42" s="412"/>
      <c r="EP42" s="413"/>
      <c r="EQ42" s="413"/>
      <c r="ER42" s="413"/>
      <c r="ES42" s="413"/>
      <c r="ET42" s="413"/>
      <c r="EU42" s="413"/>
      <c r="EV42" s="414"/>
      <c r="EW42" s="414"/>
      <c r="EX42" s="415"/>
      <c r="EY42" s="415"/>
      <c r="EZ42" s="415"/>
      <c r="FA42" s="404"/>
      <c r="FB42" s="404"/>
      <c r="FC42" s="416"/>
      <c r="FD42" s="404"/>
      <c r="FE42" s="417"/>
      <c r="FF42" s="417"/>
      <c r="FG42" s="416"/>
    </row>
    <row r="43" spans="2:163" x14ac:dyDescent="0.15">
      <c r="B43" s="418"/>
      <c r="D43" s="419">
        <v>0</v>
      </c>
      <c r="E43" s="402"/>
      <c r="G43" s="403"/>
      <c r="H43" s="403"/>
      <c r="I43" s="403"/>
      <c r="J43" s="403"/>
      <c r="K43" s="404"/>
      <c r="L43" s="405"/>
      <c r="M43" s="405"/>
      <c r="N43" s="405"/>
      <c r="O43" s="405"/>
      <c r="P43" s="404"/>
      <c r="Q43" s="405"/>
      <c r="R43" s="405"/>
      <c r="S43" s="406"/>
      <c r="T43" s="407"/>
      <c r="U43" s="404"/>
      <c r="V43" s="404"/>
      <c r="W43" s="404"/>
      <c r="X43" s="404"/>
      <c r="Y43" s="404"/>
      <c r="Z43" s="404"/>
      <c r="AA43" s="404"/>
      <c r="AB43" s="404"/>
      <c r="AC43" s="404"/>
      <c r="AD43" s="404"/>
      <c r="AE43" s="404"/>
      <c r="AF43" s="404"/>
      <c r="AG43" s="404"/>
      <c r="AH43" s="404"/>
      <c r="AI43" s="404"/>
      <c r="AJ43" s="404"/>
      <c r="AK43" s="404"/>
      <c r="AL43" s="404"/>
      <c r="AM43" s="404"/>
      <c r="AN43" s="404"/>
      <c r="AO43" s="404"/>
      <c r="AP43" s="404"/>
      <c r="AQ43" s="404"/>
      <c r="AR43" s="404"/>
      <c r="AS43" s="404"/>
      <c r="AT43" s="404"/>
      <c r="AU43" s="404"/>
      <c r="AV43" s="404"/>
      <c r="AW43" s="404"/>
      <c r="AX43" s="404"/>
      <c r="AY43" s="404"/>
      <c r="AZ43" s="404"/>
      <c r="BA43" s="404"/>
      <c r="BB43" s="404"/>
      <c r="BC43" s="404"/>
      <c r="BD43" s="404"/>
      <c r="BE43" s="404"/>
      <c r="BF43" s="404"/>
      <c r="BG43" s="404"/>
      <c r="BH43" s="404"/>
      <c r="BI43" s="404"/>
      <c r="BJ43" s="404"/>
      <c r="BK43" s="404"/>
      <c r="BL43" s="404"/>
      <c r="BM43" s="404"/>
      <c r="BN43" s="404"/>
      <c r="BO43" s="404"/>
      <c r="BP43" s="408"/>
      <c r="BQ43" s="408"/>
      <c r="BR43" s="408"/>
      <c r="BS43" s="408"/>
      <c r="BT43" s="408"/>
      <c r="BU43" s="408"/>
      <c r="BV43" s="408"/>
      <c r="BW43" s="408"/>
      <c r="BX43" s="408"/>
      <c r="BY43" s="408"/>
      <c r="BZ43" s="408"/>
      <c r="CA43" s="408"/>
      <c r="CB43" s="408"/>
      <c r="CC43" s="408"/>
      <c r="CD43" s="408"/>
      <c r="CE43" s="408"/>
      <c r="CF43" s="408"/>
      <c r="CG43" s="408"/>
      <c r="CH43" s="408"/>
      <c r="CI43" s="408"/>
      <c r="CJ43" s="408"/>
      <c r="CK43" s="408"/>
      <c r="CL43" s="408"/>
      <c r="CM43" s="409"/>
      <c r="CN43" s="409"/>
      <c r="CO43" s="409"/>
      <c r="CP43" s="410"/>
      <c r="CQ43" s="410"/>
      <c r="CR43" s="410"/>
      <c r="CS43" s="410"/>
      <c r="CT43" s="410"/>
      <c r="CU43" s="410"/>
      <c r="CV43" s="410"/>
      <c r="CW43" s="410"/>
      <c r="CX43" s="410"/>
      <c r="CY43" s="410"/>
      <c r="CZ43" s="409"/>
      <c r="DA43" s="409"/>
      <c r="DB43" s="409"/>
      <c r="DC43" s="409"/>
      <c r="DD43" s="409"/>
      <c r="DE43" s="409"/>
      <c r="DF43" s="409"/>
      <c r="DG43" s="409"/>
      <c r="DH43" s="409"/>
      <c r="DI43" s="409"/>
      <c r="DJ43" s="409"/>
      <c r="DK43" s="409"/>
      <c r="DL43" s="409"/>
      <c r="DM43" s="409"/>
      <c r="DN43" s="409"/>
      <c r="DO43" s="409"/>
      <c r="DP43" s="409"/>
      <c r="DQ43" s="409"/>
      <c r="DR43" s="411"/>
      <c r="DS43" s="411"/>
      <c r="DT43" s="409"/>
      <c r="DU43" s="409"/>
      <c r="DV43" s="409"/>
      <c r="DW43" s="409"/>
      <c r="DX43" s="409"/>
      <c r="DY43" s="409"/>
      <c r="DZ43" s="409"/>
      <c r="EA43" s="404"/>
      <c r="EB43" s="404"/>
      <c r="EC43" s="404"/>
      <c r="ED43" s="404"/>
      <c r="EE43" s="404"/>
      <c r="EF43" s="407"/>
      <c r="EG43" s="404"/>
      <c r="EH43" s="404"/>
      <c r="EI43" s="404"/>
      <c r="EJ43" s="412"/>
      <c r="EK43" s="412"/>
      <c r="EL43" s="412"/>
      <c r="EM43" s="412"/>
      <c r="EN43" s="412"/>
      <c r="EO43" s="412"/>
      <c r="EP43" s="413"/>
      <c r="EQ43" s="413"/>
      <c r="ER43" s="413"/>
      <c r="ES43" s="413"/>
      <c r="ET43" s="413"/>
      <c r="EU43" s="413"/>
      <c r="EV43" s="414"/>
      <c r="EW43" s="414"/>
      <c r="EX43" s="415"/>
      <c r="EY43" s="415"/>
      <c r="EZ43" s="415"/>
      <c r="FA43" s="404"/>
      <c r="FB43" s="404"/>
      <c r="FC43" s="416"/>
      <c r="FD43" s="404"/>
      <c r="FE43" s="417"/>
      <c r="FF43" s="417"/>
      <c r="FG43" s="416"/>
    </row>
    <row r="44" spans="2:163" x14ac:dyDescent="0.15">
      <c r="B44" s="418"/>
      <c r="D44" s="419">
        <v>0</v>
      </c>
      <c r="E44" s="402"/>
      <c r="G44" s="403"/>
      <c r="H44" s="403"/>
      <c r="I44" s="403"/>
      <c r="J44" s="403"/>
      <c r="K44" s="404"/>
      <c r="L44" s="405"/>
      <c r="M44" s="405"/>
      <c r="N44" s="405"/>
      <c r="O44" s="405"/>
      <c r="P44" s="404"/>
      <c r="Q44" s="405"/>
      <c r="R44" s="405"/>
      <c r="S44" s="406"/>
      <c r="T44" s="407"/>
      <c r="U44" s="404"/>
      <c r="V44" s="404"/>
      <c r="W44" s="404"/>
      <c r="X44" s="404"/>
      <c r="Y44" s="404"/>
      <c r="Z44" s="404"/>
      <c r="AA44" s="404"/>
      <c r="AB44" s="404"/>
      <c r="AC44" s="404"/>
      <c r="AD44" s="404"/>
      <c r="AE44" s="404"/>
      <c r="AF44" s="404"/>
      <c r="AG44" s="404"/>
      <c r="AH44" s="404"/>
      <c r="AI44" s="404"/>
      <c r="AJ44" s="404"/>
      <c r="AK44" s="404"/>
      <c r="AL44" s="404"/>
      <c r="AM44" s="404"/>
      <c r="AN44" s="404"/>
      <c r="AO44" s="404"/>
      <c r="AP44" s="404"/>
      <c r="AQ44" s="404"/>
      <c r="AR44" s="404"/>
      <c r="AS44" s="404"/>
      <c r="AT44" s="404"/>
      <c r="AU44" s="404"/>
      <c r="AV44" s="404"/>
      <c r="AW44" s="404"/>
      <c r="AX44" s="404"/>
      <c r="AY44" s="404"/>
      <c r="AZ44" s="404"/>
      <c r="BA44" s="404"/>
      <c r="BB44" s="404"/>
      <c r="BC44" s="404"/>
      <c r="BD44" s="404"/>
      <c r="BE44" s="404"/>
      <c r="BF44" s="404"/>
      <c r="BG44" s="404"/>
      <c r="BH44" s="404"/>
      <c r="BI44" s="404"/>
      <c r="BJ44" s="404"/>
      <c r="BK44" s="404"/>
      <c r="BL44" s="404"/>
      <c r="BM44" s="404"/>
      <c r="BN44" s="404"/>
      <c r="BO44" s="404"/>
      <c r="BP44" s="408"/>
      <c r="BQ44" s="408"/>
      <c r="BR44" s="408"/>
      <c r="BS44" s="408"/>
      <c r="BT44" s="408"/>
      <c r="BU44" s="408"/>
      <c r="BV44" s="408"/>
      <c r="BW44" s="408"/>
      <c r="BX44" s="408"/>
      <c r="BY44" s="408"/>
      <c r="BZ44" s="408"/>
      <c r="CA44" s="408"/>
      <c r="CB44" s="408"/>
      <c r="CC44" s="408"/>
      <c r="CD44" s="408"/>
      <c r="CE44" s="408"/>
      <c r="CF44" s="408"/>
      <c r="CG44" s="408"/>
      <c r="CH44" s="408"/>
      <c r="CI44" s="408"/>
      <c r="CJ44" s="408"/>
      <c r="CK44" s="408"/>
      <c r="CL44" s="408"/>
      <c r="CM44" s="409"/>
      <c r="CN44" s="409"/>
      <c r="CO44" s="409"/>
      <c r="CP44" s="410"/>
      <c r="CQ44" s="410"/>
      <c r="CR44" s="410"/>
      <c r="CS44" s="410"/>
      <c r="CT44" s="410"/>
      <c r="CU44" s="410"/>
      <c r="CV44" s="410"/>
      <c r="CW44" s="410"/>
      <c r="CX44" s="410"/>
      <c r="CY44" s="410"/>
      <c r="CZ44" s="409"/>
      <c r="DA44" s="409"/>
      <c r="DB44" s="409"/>
      <c r="DC44" s="409"/>
      <c r="DD44" s="409"/>
      <c r="DE44" s="409"/>
      <c r="DF44" s="409"/>
      <c r="DG44" s="409"/>
      <c r="DH44" s="409"/>
      <c r="DI44" s="409"/>
      <c r="DJ44" s="409"/>
      <c r="DK44" s="409"/>
      <c r="DL44" s="409"/>
      <c r="DM44" s="409"/>
      <c r="DN44" s="409"/>
      <c r="DO44" s="409"/>
      <c r="DP44" s="409"/>
      <c r="DQ44" s="409"/>
      <c r="DR44" s="411"/>
      <c r="DS44" s="411"/>
      <c r="DT44" s="409"/>
      <c r="DU44" s="409"/>
      <c r="DV44" s="409"/>
      <c r="DW44" s="409"/>
      <c r="DX44" s="409"/>
      <c r="DY44" s="409"/>
      <c r="DZ44" s="409"/>
      <c r="EA44" s="404"/>
      <c r="EB44" s="404"/>
      <c r="EC44" s="404"/>
      <c r="ED44" s="404"/>
      <c r="EE44" s="404"/>
      <c r="EF44" s="407"/>
      <c r="EG44" s="404"/>
      <c r="EH44" s="404"/>
      <c r="EI44" s="404"/>
      <c r="EJ44" s="412"/>
      <c r="EK44" s="412"/>
      <c r="EL44" s="412"/>
      <c r="EM44" s="412"/>
      <c r="EN44" s="412"/>
      <c r="EO44" s="412"/>
      <c r="EP44" s="413"/>
      <c r="EQ44" s="413"/>
      <c r="ER44" s="413"/>
      <c r="ES44" s="413"/>
      <c r="ET44" s="413"/>
      <c r="EU44" s="413"/>
      <c r="EV44" s="414"/>
      <c r="EW44" s="414"/>
      <c r="EX44" s="415"/>
      <c r="EY44" s="415"/>
      <c r="EZ44" s="415"/>
      <c r="FA44" s="404"/>
      <c r="FB44" s="404"/>
      <c r="FC44" s="416"/>
      <c r="FD44" s="404"/>
      <c r="FE44" s="417"/>
      <c r="FF44" s="417"/>
      <c r="FG44" s="416"/>
    </row>
    <row r="45" spans="2:163" x14ac:dyDescent="0.15">
      <c r="B45" s="418"/>
      <c r="D45" s="419">
        <v>0</v>
      </c>
      <c r="E45" s="402"/>
      <c r="G45" s="403"/>
      <c r="H45" s="403"/>
      <c r="I45" s="403"/>
      <c r="J45" s="403"/>
      <c r="K45" s="404"/>
      <c r="L45" s="405"/>
      <c r="M45" s="405"/>
      <c r="N45" s="405"/>
      <c r="O45" s="405"/>
      <c r="P45" s="404"/>
      <c r="Q45" s="405"/>
      <c r="R45" s="405"/>
      <c r="S45" s="406"/>
      <c r="T45" s="407"/>
      <c r="U45" s="404"/>
      <c r="V45" s="404"/>
      <c r="W45" s="404"/>
      <c r="X45" s="404"/>
      <c r="Y45" s="404"/>
      <c r="Z45" s="404"/>
      <c r="AA45" s="404"/>
      <c r="AB45" s="404"/>
      <c r="AC45" s="404"/>
      <c r="AD45" s="404"/>
      <c r="AE45" s="404"/>
      <c r="AF45" s="404"/>
      <c r="AG45" s="404"/>
      <c r="AH45" s="404"/>
      <c r="AI45" s="404"/>
      <c r="AJ45" s="404"/>
      <c r="AK45" s="404"/>
      <c r="AL45" s="404"/>
      <c r="AM45" s="404"/>
      <c r="AN45" s="404"/>
      <c r="AO45" s="404"/>
      <c r="AP45" s="404"/>
      <c r="AQ45" s="404"/>
      <c r="AR45" s="404"/>
      <c r="AS45" s="404"/>
      <c r="AT45" s="404"/>
      <c r="AU45" s="404"/>
      <c r="AV45" s="404"/>
      <c r="AW45" s="404"/>
      <c r="AX45" s="404"/>
      <c r="AY45" s="404"/>
      <c r="AZ45" s="404"/>
      <c r="BA45" s="404"/>
      <c r="BB45" s="404"/>
      <c r="BC45" s="404"/>
      <c r="BD45" s="404"/>
      <c r="BE45" s="404"/>
      <c r="BF45" s="404"/>
      <c r="BG45" s="404"/>
      <c r="BH45" s="404"/>
      <c r="BI45" s="404"/>
      <c r="BJ45" s="404"/>
      <c r="BK45" s="404"/>
      <c r="BL45" s="404"/>
      <c r="BM45" s="404"/>
      <c r="BN45" s="404"/>
      <c r="BO45" s="404"/>
      <c r="BP45" s="408"/>
      <c r="BQ45" s="408"/>
      <c r="BR45" s="408"/>
      <c r="BS45" s="408"/>
      <c r="BT45" s="408"/>
      <c r="BU45" s="408"/>
      <c r="BV45" s="408"/>
      <c r="BW45" s="408"/>
      <c r="BX45" s="408"/>
      <c r="BY45" s="408"/>
      <c r="BZ45" s="408"/>
      <c r="CA45" s="408"/>
      <c r="CB45" s="408"/>
      <c r="CC45" s="408"/>
      <c r="CD45" s="408"/>
      <c r="CE45" s="408"/>
      <c r="CF45" s="408"/>
      <c r="CG45" s="408"/>
      <c r="CH45" s="408"/>
      <c r="CI45" s="408"/>
      <c r="CJ45" s="408"/>
      <c r="CK45" s="408"/>
      <c r="CL45" s="408"/>
      <c r="CM45" s="409"/>
      <c r="CN45" s="409"/>
      <c r="CO45" s="409"/>
      <c r="CP45" s="410"/>
      <c r="CQ45" s="410"/>
      <c r="CR45" s="410"/>
      <c r="CS45" s="410"/>
      <c r="CT45" s="410"/>
      <c r="CU45" s="410"/>
      <c r="CV45" s="410"/>
      <c r="CW45" s="410"/>
      <c r="CX45" s="410"/>
      <c r="CY45" s="410"/>
      <c r="CZ45" s="409"/>
      <c r="DA45" s="409"/>
      <c r="DB45" s="409"/>
      <c r="DC45" s="409"/>
      <c r="DD45" s="409"/>
      <c r="DE45" s="409"/>
      <c r="DF45" s="409"/>
      <c r="DG45" s="409"/>
      <c r="DH45" s="409"/>
      <c r="DI45" s="409"/>
      <c r="DJ45" s="409"/>
      <c r="DK45" s="409"/>
      <c r="DL45" s="409"/>
      <c r="DM45" s="409"/>
      <c r="DN45" s="409"/>
      <c r="DO45" s="409"/>
      <c r="DP45" s="409"/>
      <c r="DQ45" s="409"/>
      <c r="DR45" s="411"/>
      <c r="DS45" s="411"/>
      <c r="DT45" s="409"/>
      <c r="DU45" s="409"/>
      <c r="DV45" s="409"/>
      <c r="DW45" s="409"/>
      <c r="DX45" s="409"/>
      <c r="DY45" s="409"/>
      <c r="DZ45" s="409"/>
      <c r="EA45" s="404"/>
      <c r="EB45" s="404"/>
      <c r="EC45" s="404"/>
      <c r="ED45" s="404"/>
      <c r="EE45" s="404"/>
      <c r="EF45" s="407"/>
      <c r="EG45" s="404"/>
      <c r="EH45" s="404"/>
      <c r="EI45" s="404"/>
      <c r="EJ45" s="412"/>
      <c r="EK45" s="412"/>
      <c r="EL45" s="412"/>
      <c r="EM45" s="412"/>
      <c r="EN45" s="412"/>
      <c r="EO45" s="412"/>
      <c r="EP45" s="413"/>
      <c r="EQ45" s="413"/>
      <c r="ER45" s="413"/>
      <c r="ES45" s="413"/>
      <c r="ET45" s="413"/>
      <c r="EU45" s="413"/>
      <c r="EV45" s="414"/>
      <c r="EW45" s="414"/>
      <c r="EX45" s="415"/>
      <c r="EY45" s="415"/>
      <c r="EZ45" s="415"/>
      <c r="FA45" s="404"/>
      <c r="FB45" s="404"/>
      <c r="FC45" s="416"/>
      <c r="FD45" s="404"/>
      <c r="FE45" s="417"/>
      <c r="FF45" s="417"/>
      <c r="FG45" s="416"/>
    </row>
    <row r="46" spans="2:163" x14ac:dyDescent="0.15">
      <c r="B46" s="418"/>
      <c r="D46" s="419">
        <v>0</v>
      </c>
      <c r="E46" s="402"/>
      <c r="G46" s="403"/>
      <c r="H46" s="403"/>
      <c r="I46" s="403"/>
      <c r="J46" s="403"/>
      <c r="K46" s="404"/>
      <c r="L46" s="405"/>
      <c r="M46" s="405"/>
      <c r="N46" s="405"/>
      <c r="O46" s="405"/>
      <c r="P46" s="404"/>
      <c r="Q46" s="405"/>
      <c r="R46" s="405"/>
      <c r="S46" s="406"/>
      <c r="T46" s="407"/>
      <c r="U46" s="404"/>
      <c r="V46" s="404"/>
      <c r="W46" s="404"/>
      <c r="X46" s="404"/>
      <c r="Y46" s="404"/>
      <c r="Z46" s="404"/>
      <c r="AA46" s="404"/>
      <c r="AB46" s="404"/>
      <c r="AC46" s="404"/>
      <c r="AD46" s="404"/>
      <c r="AE46" s="404"/>
      <c r="AF46" s="404"/>
      <c r="AG46" s="404"/>
      <c r="AH46" s="404"/>
      <c r="AI46" s="404"/>
      <c r="AJ46" s="404"/>
      <c r="AK46" s="404"/>
      <c r="AL46" s="404"/>
      <c r="AM46" s="404"/>
      <c r="AN46" s="404"/>
      <c r="AO46" s="404"/>
      <c r="AP46" s="404"/>
      <c r="AQ46" s="404"/>
      <c r="AR46" s="404"/>
      <c r="AS46" s="404"/>
      <c r="AT46" s="404"/>
      <c r="AU46" s="404"/>
      <c r="AV46" s="404"/>
      <c r="AW46" s="404"/>
      <c r="AX46" s="404"/>
      <c r="AY46" s="404"/>
      <c r="AZ46" s="404"/>
      <c r="BA46" s="404"/>
      <c r="BB46" s="404"/>
      <c r="BC46" s="404"/>
      <c r="BD46" s="404"/>
      <c r="BE46" s="404"/>
      <c r="BF46" s="404"/>
      <c r="BG46" s="404"/>
      <c r="BH46" s="404"/>
      <c r="BI46" s="404"/>
      <c r="BJ46" s="404"/>
      <c r="BK46" s="404"/>
      <c r="BL46" s="404"/>
      <c r="BM46" s="404"/>
      <c r="BN46" s="404"/>
      <c r="BO46" s="404"/>
      <c r="BP46" s="408"/>
      <c r="BQ46" s="408"/>
      <c r="BR46" s="408"/>
      <c r="BS46" s="408"/>
      <c r="BT46" s="408"/>
      <c r="BU46" s="408"/>
      <c r="BV46" s="408"/>
      <c r="BW46" s="408"/>
      <c r="BX46" s="408"/>
      <c r="BY46" s="408"/>
      <c r="BZ46" s="408"/>
      <c r="CA46" s="408"/>
      <c r="CB46" s="408"/>
      <c r="CC46" s="408"/>
      <c r="CD46" s="408"/>
      <c r="CE46" s="408"/>
      <c r="CF46" s="408"/>
      <c r="CG46" s="408"/>
      <c r="CH46" s="408"/>
      <c r="CI46" s="408"/>
      <c r="CJ46" s="408"/>
      <c r="CK46" s="408"/>
      <c r="CL46" s="408"/>
      <c r="CM46" s="409"/>
      <c r="CN46" s="409"/>
      <c r="CO46" s="409"/>
      <c r="CP46" s="410"/>
      <c r="CQ46" s="410"/>
      <c r="CR46" s="410"/>
      <c r="CS46" s="410"/>
      <c r="CT46" s="410"/>
      <c r="CU46" s="410"/>
      <c r="CV46" s="410"/>
      <c r="CW46" s="410"/>
      <c r="CX46" s="410"/>
      <c r="CY46" s="410"/>
      <c r="CZ46" s="409"/>
      <c r="DA46" s="409"/>
      <c r="DB46" s="409"/>
      <c r="DC46" s="409"/>
      <c r="DD46" s="409"/>
      <c r="DE46" s="409"/>
      <c r="DF46" s="409"/>
      <c r="DG46" s="409"/>
      <c r="DH46" s="409"/>
      <c r="DI46" s="409"/>
      <c r="DJ46" s="409"/>
      <c r="DK46" s="409"/>
      <c r="DL46" s="409"/>
      <c r="DM46" s="409"/>
      <c r="DN46" s="409"/>
      <c r="DO46" s="409"/>
      <c r="DP46" s="409"/>
      <c r="DQ46" s="409"/>
      <c r="DR46" s="411"/>
      <c r="DS46" s="411"/>
      <c r="DT46" s="409"/>
      <c r="DU46" s="409"/>
      <c r="DV46" s="409"/>
      <c r="DW46" s="409"/>
      <c r="DX46" s="409"/>
      <c r="DY46" s="409"/>
      <c r="DZ46" s="409"/>
      <c r="EA46" s="404"/>
      <c r="EB46" s="404"/>
      <c r="EC46" s="404"/>
      <c r="ED46" s="404"/>
      <c r="EE46" s="404"/>
      <c r="EF46" s="407"/>
      <c r="EG46" s="404"/>
      <c r="EH46" s="404"/>
      <c r="EI46" s="404"/>
      <c r="EJ46" s="412"/>
      <c r="EK46" s="412"/>
      <c r="EL46" s="412"/>
      <c r="EM46" s="412"/>
      <c r="EN46" s="412"/>
      <c r="EO46" s="412"/>
      <c r="EP46" s="413"/>
      <c r="EQ46" s="413"/>
      <c r="ER46" s="413"/>
      <c r="ES46" s="413"/>
      <c r="ET46" s="413"/>
      <c r="EU46" s="413"/>
      <c r="EV46" s="414"/>
      <c r="EW46" s="414"/>
      <c r="EX46" s="415"/>
      <c r="EY46" s="415"/>
      <c r="EZ46" s="415"/>
      <c r="FA46" s="404"/>
      <c r="FB46" s="404"/>
      <c r="FC46" s="416"/>
      <c r="FD46" s="404"/>
      <c r="FE46" s="417"/>
      <c r="FF46" s="417"/>
      <c r="FG46" s="416"/>
    </row>
    <row r="47" spans="2:163" x14ac:dyDescent="0.15">
      <c r="B47" s="418"/>
      <c r="D47" s="419">
        <v>0</v>
      </c>
      <c r="E47" s="402"/>
      <c r="G47" s="403"/>
      <c r="H47" s="403"/>
      <c r="I47" s="403"/>
      <c r="J47" s="403"/>
      <c r="K47" s="404"/>
      <c r="L47" s="405"/>
      <c r="M47" s="405"/>
      <c r="N47" s="405"/>
      <c r="O47" s="405"/>
      <c r="P47" s="404"/>
      <c r="Q47" s="405"/>
      <c r="R47" s="405"/>
      <c r="S47" s="406"/>
      <c r="T47" s="407"/>
      <c r="U47" s="404"/>
      <c r="V47" s="404"/>
      <c r="W47" s="404"/>
      <c r="X47" s="404"/>
      <c r="Y47" s="404"/>
      <c r="Z47" s="404"/>
      <c r="AA47" s="404"/>
      <c r="AB47" s="404"/>
      <c r="AC47" s="404"/>
      <c r="AD47" s="404"/>
      <c r="AE47" s="404"/>
      <c r="AF47" s="404"/>
      <c r="AG47" s="404"/>
      <c r="AH47" s="404"/>
      <c r="AI47" s="404"/>
      <c r="AJ47" s="404"/>
      <c r="AK47" s="404"/>
      <c r="AL47" s="404"/>
      <c r="AM47" s="404"/>
      <c r="AN47" s="404"/>
      <c r="AO47" s="404"/>
      <c r="AP47" s="404"/>
      <c r="AQ47" s="404"/>
      <c r="AR47" s="404"/>
      <c r="AS47" s="404"/>
      <c r="AT47" s="404"/>
      <c r="AU47" s="404"/>
      <c r="AV47" s="404"/>
      <c r="AW47" s="404"/>
      <c r="AX47" s="404"/>
      <c r="AY47" s="404"/>
      <c r="AZ47" s="404"/>
      <c r="BA47" s="404"/>
      <c r="BB47" s="404"/>
      <c r="BC47" s="404"/>
      <c r="BD47" s="404"/>
      <c r="BE47" s="404"/>
      <c r="BF47" s="404"/>
      <c r="BG47" s="404"/>
      <c r="BH47" s="404"/>
      <c r="BI47" s="404"/>
      <c r="BJ47" s="404"/>
      <c r="BK47" s="404"/>
      <c r="BL47" s="404"/>
      <c r="BM47" s="404"/>
      <c r="BN47" s="404"/>
      <c r="BO47" s="404"/>
      <c r="BP47" s="408"/>
      <c r="BQ47" s="408"/>
      <c r="BR47" s="408"/>
      <c r="BS47" s="408"/>
      <c r="BT47" s="408"/>
      <c r="BU47" s="408"/>
      <c r="BV47" s="408"/>
      <c r="BW47" s="408"/>
      <c r="BX47" s="408"/>
      <c r="BY47" s="408"/>
      <c r="BZ47" s="408"/>
      <c r="CA47" s="408"/>
      <c r="CB47" s="408"/>
      <c r="CC47" s="408"/>
      <c r="CD47" s="408"/>
      <c r="CE47" s="408"/>
      <c r="CF47" s="408"/>
      <c r="CG47" s="408"/>
      <c r="CH47" s="408"/>
      <c r="CI47" s="408"/>
      <c r="CJ47" s="408"/>
      <c r="CK47" s="408"/>
      <c r="CL47" s="408"/>
      <c r="CM47" s="409"/>
      <c r="CN47" s="409"/>
      <c r="CO47" s="409"/>
      <c r="CP47" s="410"/>
      <c r="CQ47" s="410"/>
      <c r="CR47" s="410"/>
      <c r="CS47" s="410"/>
      <c r="CT47" s="410"/>
      <c r="CU47" s="410"/>
      <c r="CV47" s="410"/>
      <c r="CW47" s="410"/>
      <c r="CX47" s="410"/>
      <c r="CY47" s="410"/>
      <c r="CZ47" s="409"/>
      <c r="DA47" s="409"/>
      <c r="DB47" s="409"/>
      <c r="DC47" s="409"/>
      <c r="DD47" s="409"/>
      <c r="DE47" s="409"/>
      <c r="DF47" s="409"/>
      <c r="DG47" s="409"/>
      <c r="DH47" s="409"/>
      <c r="DI47" s="409"/>
      <c r="DJ47" s="409"/>
      <c r="DK47" s="409"/>
      <c r="DL47" s="409"/>
      <c r="DM47" s="409"/>
      <c r="DN47" s="409"/>
      <c r="DO47" s="409"/>
      <c r="DP47" s="409"/>
      <c r="DQ47" s="409"/>
      <c r="DR47" s="411"/>
      <c r="DS47" s="411"/>
      <c r="DT47" s="409"/>
      <c r="DU47" s="409"/>
      <c r="DV47" s="409"/>
      <c r="DW47" s="409"/>
      <c r="DX47" s="409"/>
      <c r="DY47" s="409"/>
      <c r="DZ47" s="409"/>
      <c r="EA47" s="404"/>
      <c r="EB47" s="404"/>
      <c r="EC47" s="404"/>
      <c r="ED47" s="404"/>
      <c r="EE47" s="404"/>
      <c r="EF47" s="407"/>
      <c r="EG47" s="404"/>
      <c r="EH47" s="404"/>
      <c r="EI47" s="404"/>
      <c r="EJ47" s="412"/>
      <c r="EK47" s="412"/>
      <c r="EL47" s="412"/>
      <c r="EM47" s="412"/>
      <c r="EN47" s="412"/>
      <c r="EO47" s="412"/>
      <c r="EP47" s="413"/>
      <c r="EQ47" s="413"/>
      <c r="ER47" s="413"/>
      <c r="ES47" s="413"/>
      <c r="ET47" s="413"/>
      <c r="EU47" s="413"/>
      <c r="EV47" s="414"/>
      <c r="EW47" s="414"/>
      <c r="EX47" s="415"/>
      <c r="EY47" s="415"/>
      <c r="EZ47" s="415"/>
      <c r="FA47" s="404"/>
      <c r="FB47" s="404"/>
      <c r="FC47" s="416"/>
      <c r="FD47" s="404"/>
      <c r="FE47" s="417"/>
      <c r="FF47" s="417"/>
      <c r="FG47" s="416"/>
    </row>
    <row r="48" spans="2:163" x14ac:dyDescent="0.15">
      <c r="B48" s="418"/>
      <c r="D48" s="419">
        <v>0</v>
      </c>
      <c r="E48" s="402"/>
      <c r="G48" s="403"/>
      <c r="H48" s="403"/>
      <c r="I48" s="403"/>
      <c r="J48" s="403"/>
      <c r="K48" s="404"/>
      <c r="L48" s="405"/>
      <c r="M48" s="405"/>
      <c r="N48" s="405"/>
      <c r="O48" s="405"/>
      <c r="P48" s="404"/>
      <c r="Q48" s="405"/>
      <c r="R48" s="405"/>
      <c r="S48" s="406"/>
      <c r="T48" s="407"/>
      <c r="U48" s="404"/>
      <c r="V48" s="404"/>
      <c r="W48" s="404"/>
      <c r="X48" s="404"/>
      <c r="Y48" s="404"/>
      <c r="Z48" s="404"/>
      <c r="AA48" s="404"/>
      <c r="AB48" s="404"/>
      <c r="AC48" s="404"/>
      <c r="AD48" s="404"/>
      <c r="AE48" s="404"/>
      <c r="AF48" s="404"/>
      <c r="AG48" s="404"/>
      <c r="AH48" s="404"/>
      <c r="AI48" s="404"/>
      <c r="AJ48" s="404"/>
      <c r="AK48" s="404"/>
      <c r="AL48" s="404"/>
      <c r="AM48" s="404"/>
      <c r="AN48" s="404"/>
      <c r="AO48" s="404"/>
      <c r="AP48" s="404"/>
      <c r="AQ48" s="404"/>
      <c r="AR48" s="404"/>
      <c r="AS48" s="404"/>
      <c r="AT48" s="404"/>
      <c r="AU48" s="404"/>
      <c r="AV48" s="404"/>
      <c r="AW48" s="404"/>
      <c r="AX48" s="404"/>
      <c r="AY48" s="404"/>
      <c r="AZ48" s="404"/>
      <c r="BA48" s="404"/>
      <c r="BB48" s="404"/>
      <c r="BC48" s="404"/>
      <c r="BD48" s="404"/>
      <c r="BE48" s="404"/>
      <c r="BF48" s="404"/>
      <c r="BG48" s="404"/>
      <c r="BH48" s="404"/>
      <c r="BI48" s="404"/>
      <c r="BJ48" s="404"/>
      <c r="BK48" s="404"/>
      <c r="BL48" s="404"/>
      <c r="BM48" s="404"/>
      <c r="BN48" s="404"/>
      <c r="BO48" s="404"/>
      <c r="BP48" s="408"/>
      <c r="BQ48" s="408"/>
      <c r="BR48" s="408"/>
      <c r="BS48" s="408"/>
      <c r="BT48" s="408"/>
      <c r="BU48" s="408"/>
      <c r="BV48" s="408"/>
      <c r="BW48" s="408"/>
      <c r="BX48" s="408"/>
      <c r="BY48" s="408"/>
      <c r="BZ48" s="408"/>
      <c r="CA48" s="408"/>
      <c r="CB48" s="408"/>
      <c r="CC48" s="408"/>
      <c r="CD48" s="408"/>
      <c r="CE48" s="408"/>
      <c r="CF48" s="408"/>
      <c r="CG48" s="408"/>
      <c r="CH48" s="408"/>
      <c r="CI48" s="408"/>
      <c r="CJ48" s="408"/>
      <c r="CK48" s="408"/>
      <c r="CL48" s="408"/>
      <c r="CM48" s="409"/>
      <c r="CN48" s="409"/>
      <c r="CO48" s="409"/>
      <c r="CP48" s="410"/>
      <c r="CQ48" s="410"/>
      <c r="CR48" s="410"/>
      <c r="CS48" s="410"/>
      <c r="CT48" s="410"/>
      <c r="CU48" s="410"/>
      <c r="CV48" s="410"/>
      <c r="CW48" s="410"/>
      <c r="CX48" s="410"/>
      <c r="CY48" s="410"/>
      <c r="CZ48" s="409"/>
      <c r="DA48" s="409"/>
      <c r="DB48" s="409"/>
      <c r="DC48" s="409"/>
      <c r="DD48" s="409"/>
      <c r="DE48" s="409"/>
      <c r="DF48" s="409"/>
      <c r="DG48" s="409"/>
      <c r="DH48" s="409"/>
      <c r="DI48" s="409"/>
      <c r="DJ48" s="409"/>
      <c r="DK48" s="409"/>
      <c r="DL48" s="409"/>
      <c r="DM48" s="409"/>
      <c r="DN48" s="409"/>
      <c r="DO48" s="409"/>
      <c r="DP48" s="409"/>
      <c r="DQ48" s="409"/>
      <c r="DR48" s="411"/>
      <c r="DS48" s="411"/>
      <c r="DT48" s="409"/>
      <c r="DU48" s="409"/>
      <c r="DV48" s="409"/>
      <c r="DW48" s="409"/>
      <c r="DX48" s="409"/>
      <c r="DY48" s="409"/>
      <c r="DZ48" s="409"/>
      <c r="EA48" s="404"/>
      <c r="EB48" s="404"/>
      <c r="EC48" s="404"/>
      <c r="ED48" s="404"/>
      <c r="EE48" s="404"/>
      <c r="EF48" s="407"/>
      <c r="EG48" s="404"/>
      <c r="EH48" s="404"/>
      <c r="EI48" s="404"/>
      <c r="EJ48" s="412"/>
      <c r="EK48" s="412"/>
      <c r="EL48" s="412"/>
      <c r="EM48" s="412"/>
      <c r="EN48" s="412"/>
      <c r="EO48" s="412"/>
      <c r="EP48" s="413"/>
      <c r="EQ48" s="413"/>
      <c r="ER48" s="413"/>
      <c r="ES48" s="413"/>
      <c r="ET48" s="413"/>
      <c r="EU48" s="413"/>
      <c r="EV48" s="414"/>
      <c r="EW48" s="414"/>
      <c r="EX48" s="415"/>
      <c r="EY48" s="415"/>
      <c r="EZ48" s="415"/>
      <c r="FA48" s="404"/>
      <c r="FB48" s="404"/>
      <c r="FC48" s="416"/>
      <c r="FD48" s="404"/>
      <c r="FE48" s="417"/>
      <c r="FF48" s="417"/>
      <c r="FG48" s="416"/>
    </row>
    <row r="49" spans="2:163" x14ac:dyDescent="0.15">
      <c r="B49" s="418"/>
      <c r="D49" s="419">
        <v>0</v>
      </c>
      <c r="E49" s="402"/>
      <c r="G49" s="403"/>
      <c r="H49" s="403"/>
      <c r="I49" s="403"/>
      <c r="J49" s="403"/>
      <c r="K49" s="404"/>
      <c r="L49" s="405"/>
      <c r="M49" s="405"/>
      <c r="N49" s="405"/>
      <c r="O49" s="405"/>
      <c r="P49" s="404"/>
      <c r="Q49" s="405"/>
      <c r="R49" s="405"/>
      <c r="S49" s="406"/>
      <c r="T49" s="407"/>
      <c r="U49" s="404"/>
      <c r="V49" s="404"/>
      <c r="W49" s="404"/>
      <c r="X49" s="404"/>
      <c r="Y49" s="404"/>
      <c r="Z49" s="404"/>
      <c r="AA49" s="404"/>
      <c r="AB49" s="404"/>
      <c r="AC49" s="404"/>
      <c r="AD49" s="404"/>
      <c r="AE49" s="404"/>
      <c r="AF49" s="404"/>
      <c r="AG49" s="404"/>
      <c r="AH49" s="404"/>
      <c r="AI49" s="404"/>
      <c r="AJ49" s="404"/>
      <c r="AK49" s="404"/>
      <c r="AL49" s="404"/>
      <c r="AM49" s="404"/>
      <c r="AN49" s="404"/>
      <c r="AO49" s="404"/>
      <c r="AP49" s="404"/>
      <c r="AQ49" s="404"/>
      <c r="AR49" s="404"/>
      <c r="AS49" s="404"/>
      <c r="AT49" s="404"/>
      <c r="AU49" s="404"/>
      <c r="AV49" s="404"/>
      <c r="AW49" s="404"/>
      <c r="AX49" s="404"/>
      <c r="AY49" s="404"/>
      <c r="AZ49" s="404"/>
      <c r="BA49" s="404"/>
      <c r="BB49" s="404"/>
      <c r="BC49" s="404"/>
      <c r="BD49" s="404"/>
      <c r="BE49" s="404"/>
      <c r="BF49" s="404"/>
      <c r="BG49" s="404"/>
      <c r="BH49" s="404"/>
      <c r="BI49" s="404"/>
      <c r="BJ49" s="404"/>
      <c r="BK49" s="404"/>
      <c r="BL49" s="404"/>
      <c r="BM49" s="404"/>
      <c r="BN49" s="404"/>
      <c r="BO49" s="404"/>
      <c r="BP49" s="408"/>
      <c r="BQ49" s="408"/>
      <c r="BR49" s="408"/>
      <c r="BS49" s="408"/>
      <c r="BT49" s="408"/>
      <c r="BU49" s="408"/>
      <c r="BV49" s="408"/>
      <c r="BW49" s="408"/>
      <c r="BX49" s="408"/>
      <c r="BY49" s="408"/>
      <c r="BZ49" s="408"/>
      <c r="CA49" s="408"/>
      <c r="CB49" s="408"/>
      <c r="CC49" s="408"/>
      <c r="CD49" s="408"/>
      <c r="CE49" s="408"/>
      <c r="CF49" s="408"/>
      <c r="CG49" s="408"/>
      <c r="CH49" s="408"/>
      <c r="CI49" s="408"/>
      <c r="CJ49" s="408"/>
      <c r="CK49" s="408"/>
      <c r="CL49" s="408"/>
      <c r="CM49" s="409"/>
      <c r="CN49" s="409"/>
      <c r="CO49" s="409"/>
      <c r="CP49" s="410"/>
      <c r="CQ49" s="410"/>
      <c r="CR49" s="410"/>
      <c r="CS49" s="410"/>
      <c r="CT49" s="410"/>
      <c r="CU49" s="410"/>
      <c r="CV49" s="410"/>
      <c r="CW49" s="410"/>
      <c r="CX49" s="410"/>
      <c r="CY49" s="410"/>
      <c r="CZ49" s="409"/>
      <c r="DA49" s="409"/>
      <c r="DB49" s="409"/>
      <c r="DC49" s="409"/>
      <c r="DD49" s="409"/>
      <c r="DE49" s="409"/>
      <c r="DF49" s="409"/>
      <c r="DG49" s="409"/>
      <c r="DH49" s="409"/>
      <c r="DI49" s="409"/>
      <c r="DJ49" s="409"/>
      <c r="DK49" s="409"/>
      <c r="DL49" s="409"/>
      <c r="DM49" s="409"/>
      <c r="DN49" s="409"/>
      <c r="DO49" s="409"/>
      <c r="DP49" s="409"/>
      <c r="DQ49" s="409"/>
      <c r="DR49" s="411"/>
      <c r="DS49" s="411"/>
      <c r="DT49" s="409"/>
      <c r="DU49" s="409"/>
      <c r="DV49" s="409"/>
      <c r="DW49" s="409"/>
      <c r="DX49" s="409"/>
      <c r="DY49" s="409"/>
      <c r="DZ49" s="409"/>
      <c r="EA49" s="404"/>
      <c r="EB49" s="404"/>
      <c r="EC49" s="404"/>
      <c r="ED49" s="404"/>
      <c r="EE49" s="404"/>
      <c r="EF49" s="407"/>
      <c r="EG49" s="404"/>
      <c r="EH49" s="404"/>
      <c r="EI49" s="404"/>
      <c r="EJ49" s="412"/>
      <c r="EK49" s="412"/>
      <c r="EL49" s="412"/>
      <c r="EM49" s="412"/>
      <c r="EN49" s="412"/>
      <c r="EO49" s="412"/>
      <c r="EP49" s="413"/>
      <c r="EQ49" s="413"/>
      <c r="ER49" s="413"/>
      <c r="ES49" s="413"/>
      <c r="ET49" s="413"/>
      <c r="EU49" s="413"/>
      <c r="EV49" s="414"/>
      <c r="EW49" s="414"/>
      <c r="EX49" s="415"/>
      <c r="EY49" s="415"/>
      <c r="EZ49" s="415"/>
      <c r="FA49" s="404"/>
      <c r="FB49" s="404"/>
      <c r="FC49" s="416"/>
      <c r="FD49" s="404"/>
      <c r="FE49" s="417"/>
      <c r="FF49" s="417"/>
      <c r="FG49" s="416"/>
    </row>
    <row r="50" spans="2:163" x14ac:dyDescent="0.15">
      <c r="B50" s="418"/>
      <c r="D50" s="419">
        <v>0</v>
      </c>
      <c r="E50" s="402"/>
      <c r="G50" s="403"/>
      <c r="H50" s="403"/>
      <c r="I50" s="403"/>
      <c r="J50" s="403"/>
      <c r="K50" s="404"/>
      <c r="L50" s="405"/>
      <c r="M50" s="405"/>
      <c r="N50" s="405"/>
      <c r="O50" s="405"/>
      <c r="P50" s="404"/>
      <c r="Q50" s="405"/>
      <c r="R50" s="405"/>
      <c r="S50" s="406"/>
      <c r="T50" s="407"/>
      <c r="U50" s="404"/>
      <c r="V50" s="404"/>
      <c r="W50" s="404"/>
      <c r="X50" s="404"/>
      <c r="Y50" s="404"/>
      <c r="Z50" s="404"/>
      <c r="AA50" s="404"/>
      <c r="AB50" s="404"/>
      <c r="AC50" s="404"/>
      <c r="AD50" s="404"/>
      <c r="AE50" s="404"/>
      <c r="AF50" s="404"/>
      <c r="AG50" s="404"/>
      <c r="AH50" s="404"/>
      <c r="AI50" s="404"/>
      <c r="AJ50" s="404"/>
      <c r="AK50" s="404"/>
      <c r="AL50" s="404"/>
      <c r="AM50" s="404"/>
      <c r="AN50" s="404"/>
      <c r="AO50" s="404"/>
      <c r="AP50" s="404"/>
      <c r="AQ50" s="404"/>
      <c r="AR50" s="404"/>
      <c r="AS50" s="404"/>
      <c r="AT50" s="404"/>
      <c r="AU50" s="404"/>
      <c r="AV50" s="404"/>
      <c r="AW50" s="404"/>
      <c r="AX50" s="404"/>
      <c r="AY50" s="404"/>
      <c r="AZ50" s="404"/>
      <c r="BA50" s="404"/>
      <c r="BB50" s="404"/>
      <c r="BC50" s="404"/>
      <c r="BD50" s="404"/>
      <c r="BE50" s="404"/>
      <c r="BF50" s="404"/>
      <c r="BG50" s="404"/>
      <c r="BH50" s="404"/>
      <c r="BI50" s="404"/>
      <c r="BJ50" s="404"/>
      <c r="BK50" s="404"/>
      <c r="BL50" s="404"/>
      <c r="BM50" s="404"/>
      <c r="BN50" s="404"/>
      <c r="BO50" s="404"/>
      <c r="BP50" s="408"/>
      <c r="BQ50" s="408"/>
      <c r="BR50" s="408"/>
      <c r="BS50" s="408"/>
      <c r="BT50" s="408"/>
      <c r="BU50" s="408"/>
      <c r="BV50" s="408"/>
      <c r="BW50" s="408"/>
      <c r="BX50" s="408"/>
      <c r="BY50" s="408"/>
      <c r="BZ50" s="408"/>
      <c r="CA50" s="408"/>
      <c r="CB50" s="408"/>
      <c r="CC50" s="408"/>
      <c r="CD50" s="408"/>
      <c r="CE50" s="408"/>
      <c r="CF50" s="408"/>
      <c r="CG50" s="408"/>
      <c r="CH50" s="408"/>
      <c r="CI50" s="408"/>
      <c r="CJ50" s="408"/>
      <c r="CK50" s="408"/>
      <c r="CL50" s="408"/>
      <c r="CM50" s="409"/>
      <c r="CN50" s="409"/>
      <c r="CO50" s="409"/>
      <c r="CP50" s="410"/>
      <c r="CQ50" s="410"/>
      <c r="CR50" s="410"/>
      <c r="CS50" s="410"/>
      <c r="CT50" s="410"/>
      <c r="CU50" s="410"/>
      <c r="CV50" s="410"/>
      <c r="CW50" s="410"/>
      <c r="CX50" s="410"/>
      <c r="CY50" s="410"/>
      <c r="CZ50" s="409"/>
      <c r="DA50" s="409"/>
      <c r="DB50" s="409"/>
      <c r="DC50" s="409"/>
      <c r="DD50" s="409"/>
      <c r="DE50" s="409"/>
      <c r="DF50" s="409"/>
      <c r="DG50" s="409"/>
      <c r="DH50" s="409"/>
      <c r="DI50" s="409"/>
      <c r="DJ50" s="409"/>
      <c r="DK50" s="409"/>
      <c r="DL50" s="409"/>
      <c r="DM50" s="409"/>
      <c r="DN50" s="409"/>
      <c r="DO50" s="409"/>
      <c r="DP50" s="409"/>
      <c r="DQ50" s="409"/>
      <c r="DR50" s="411"/>
      <c r="DS50" s="411"/>
      <c r="DT50" s="409"/>
      <c r="DU50" s="409"/>
      <c r="DV50" s="409"/>
      <c r="DW50" s="409"/>
      <c r="DX50" s="409"/>
      <c r="DY50" s="409"/>
      <c r="DZ50" s="409"/>
      <c r="EA50" s="404"/>
      <c r="EB50" s="404"/>
      <c r="EC50" s="404"/>
      <c r="ED50" s="404"/>
      <c r="EE50" s="404"/>
      <c r="EF50" s="407"/>
      <c r="EG50" s="404"/>
      <c r="EH50" s="404"/>
      <c r="EI50" s="404"/>
      <c r="EJ50" s="412"/>
      <c r="EK50" s="412"/>
      <c r="EL50" s="412"/>
      <c r="EM50" s="412"/>
      <c r="EN50" s="412"/>
      <c r="EO50" s="412"/>
      <c r="EP50" s="413"/>
      <c r="EQ50" s="413"/>
      <c r="ER50" s="413"/>
      <c r="ES50" s="413"/>
      <c r="ET50" s="413"/>
      <c r="EU50" s="413"/>
      <c r="EV50" s="414"/>
      <c r="EW50" s="414"/>
      <c r="EX50" s="415"/>
      <c r="EY50" s="415"/>
      <c r="EZ50" s="415"/>
      <c r="FA50" s="404"/>
      <c r="FB50" s="404"/>
      <c r="FC50" s="416"/>
      <c r="FD50" s="404"/>
      <c r="FE50" s="417"/>
      <c r="FF50" s="417"/>
      <c r="FG50" s="416"/>
    </row>
    <row r="51" spans="2:163" x14ac:dyDescent="0.15">
      <c r="B51" s="418"/>
      <c r="D51" s="419">
        <v>0</v>
      </c>
      <c r="E51" s="402"/>
      <c r="G51" s="403"/>
      <c r="H51" s="403"/>
      <c r="I51" s="403"/>
      <c r="J51" s="403"/>
      <c r="K51" s="404"/>
      <c r="L51" s="405"/>
      <c r="M51" s="405"/>
      <c r="N51" s="405"/>
      <c r="O51" s="405"/>
      <c r="P51" s="404"/>
      <c r="Q51" s="405"/>
      <c r="R51" s="405"/>
      <c r="S51" s="406"/>
      <c r="T51" s="407"/>
      <c r="U51" s="404"/>
      <c r="V51" s="404"/>
      <c r="W51" s="404"/>
      <c r="X51" s="404"/>
      <c r="Y51" s="404"/>
      <c r="Z51" s="404"/>
      <c r="AA51" s="404"/>
      <c r="AB51" s="404"/>
      <c r="AC51" s="404"/>
      <c r="AD51" s="404"/>
      <c r="AE51" s="404"/>
      <c r="AF51" s="404"/>
      <c r="AG51" s="404"/>
      <c r="AH51" s="404"/>
      <c r="AI51" s="404"/>
      <c r="AJ51" s="404"/>
      <c r="AK51" s="404"/>
      <c r="AL51" s="404"/>
      <c r="AM51" s="404"/>
      <c r="AN51" s="404"/>
      <c r="AO51" s="404"/>
      <c r="AP51" s="404"/>
      <c r="AQ51" s="404"/>
      <c r="AR51" s="404"/>
      <c r="AS51" s="404"/>
      <c r="AT51" s="404"/>
      <c r="AU51" s="404"/>
      <c r="AV51" s="404"/>
      <c r="AW51" s="404"/>
      <c r="AX51" s="404"/>
      <c r="AY51" s="404"/>
      <c r="AZ51" s="404"/>
      <c r="BA51" s="404"/>
      <c r="BB51" s="404"/>
      <c r="BC51" s="404"/>
      <c r="BD51" s="404"/>
      <c r="BE51" s="404"/>
      <c r="BF51" s="404"/>
      <c r="BG51" s="404"/>
      <c r="BH51" s="404"/>
      <c r="BI51" s="404"/>
      <c r="BJ51" s="404"/>
      <c r="BK51" s="404"/>
      <c r="BL51" s="404"/>
      <c r="BM51" s="404"/>
      <c r="BN51" s="404"/>
      <c r="BO51" s="404"/>
      <c r="BP51" s="408"/>
      <c r="BQ51" s="408"/>
      <c r="BR51" s="408"/>
      <c r="BS51" s="408"/>
      <c r="BT51" s="408"/>
      <c r="BU51" s="408"/>
      <c r="BV51" s="408"/>
      <c r="BW51" s="408"/>
      <c r="BX51" s="408"/>
      <c r="BY51" s="408"/>
      <c r="BZ51" s="408"/>
      <c r="CA51" s="408"/>
      <c r="CB51" s="408"/>
      <c r="CC51" s="408"/>
      <c r="CD51" s="408"/>
      <c r="CE51" s="408"/>
      <c r="CF51" s="408"/>
      <c r="CG51" s="408"/>
      <c r="CH51" s="408"/>
      <c r="CI51" s="408"/>
      <c r="CJ51" s="408"/>
      <c r="CK51" s="408"/>
      <c r="CL51" s="408"/>
      <c r="CM51" s="409"/>
      <c r="CN51" s="409"/>
      <c r="CO51" s="409"/>
      <c r="CP51" s="410"/>
      <c r="CQ51" s="410"/>
      <c r="CR51" s="410"/>
      <c r="CS51" s="410"/>
      <c r="CT51" s="410"/>
      <c r="CU51" s="410"/>
      <c r="CV51" s="410"/>
      <c r="CW51" s="410"/>
      <c r="CX51" s="410"/>
      <c r="CY51" s="410"/>
      <c r="CZ51" s="409"/>
      <c r="DA51" s="409"/>
      <c r="DB51" s="409"/>
      <c r="DC51" s="409"/>
      <c r="DD51" s="409"/>
      <c r="DE51" s="409"/>
      <c r="DF51" s="409"/>
      <c r="DG51" s="409"/>
      <c r="DH51" s="409"/>
      <c r="DI51" s="409"/>
      <c r="DJ51" s="409"/>
      <c r="DK51" s="409"/>
      <c r="DL51" s="409"/>
      <c r="DM51" s="409"/>
      <c r="DN51" s="409"/>
      <c r="DO51" s="409"/>
      <c r="DP51" s="409"/>
      <c r="DQ51" s="409"/>
      <c r="DR51" s="411"/>
      <c r="DS51" s="411"/>
      <c r="DT51" s="409"/>
      <c r="DU51" s="409"/>
      <c r="DV51" s="409"/>
      <c r="DW51" s="409"/>
      <c r="DX51" s="409"/>
      <c r="DY51" s="409"/>
      <c r="DZ51" s="409"/>
      <c r="EA51" s="404"/>
      <c r="EB51" s="404"/>
      <c r="EC51" s="404"/>
      <c r="ED51" s="404"/>
      <c r="EE51" s="404"/>
      <c r="EF51" s="407"/>
      <c r="EG51" s="404"/>
      <c r="EH51" s="404"/>
      <c r="EI51" s="404"/>
      <c r="EJ51" s="412"/>
      <c r="EK51" s="412"/>
      <c r="EL51" s="412"/>
      <c r="EM51" s="412"/>
      <c r="EN51" s="412"/>
      <c r="EO51" s="412"/>
      <c r="EP51" s="413"/>
      <c r="EQ51" s="413"/>
      <c r="ER51" s="413"/>
      <c r="ES51" s="413"/>
      <c r="ET51" s="413"/>
      <c r="EU51" s="413"/>
      <c r="EV51" s="414"/>
      <c r="EW51" s="414"/>
      <c r="EX51" s="415"/>
      <c r="EY51" s="415"/>
      <c r="EZ51" s="415"/>
      <c r="FA51" s="404"/>
      <c r="FB51" s="404"/>
      <c r="FC51" s="416"/>
      <c r="FD51" s="404"/>
      <c r="FE51" s="417"/>
      <c r="FF51" s="417"/>
      <c r="FG51" s="416"/>
    </row>
    <row r="52" spans="2:163" x14ac:dyDescent="0.15">
      <c r="B52" s="418"/>
      <c r="D52" s="419">
        <v>0</v>
      </c>
      <c r="E52" s="402"/>
      <c r="G52" s="403"/>
      <c r="H52" s="403"/>
      <c r="I52" s="403"/>
      <c r="J52" s="403"/>
      <c r="K52" s="404"/>
      <c r="L52" s="405"/>
      <c r="M52" s="405"/>
      <c r="N52" s="405"/>
      <c r="O52" s="405"/>
      <c r="P52" s="404"/>
      <c r="Q52" s="405"/>
      <c r="R52" s="405"/>
      <c r="S52" s="406"/>
      <c r="T52" s="407"/>
      <c r="U52" s="404"/>
      <c r="V52" s="404"/>
      <c r="W52" s="404"/>
      <c r="X52" s="404"/>
      <c r="Y52" s="404"/>
      <c r="Z52" s="404"/>
      <c r="AA52" s="404"/>
      <c r="AB52" s="404"/>
      <c r="AC52" s="404"/>
      <c r="AD52" s="404"/>
      <c r="AE52" s="404"/>
      <c r="AF52" s="404"/>
      <c r="AG52" s="404"/>
      <c r="AH52" s="404"/>
      <c r="AI52" s="404"/>
      <c r="AJ52" s="404"/>
      <c r="AK52" s="404"/>
      <c r="AL52" s="404"/>
      <c r="AM52" s="404"/>
      <c r="AN52" s="404"/>
      <c r="AO52" s="404"/>
      <c r="AP52" s="404"/>
      <c r="AQ52" s="404"/>
      <c r="AR52" s="404"/>
      <c r="AS52" s="404"/>
      <c r="AT52" s="404"/>
      <c r="AU52" s="404"/>
      <c r="AV52" s="404"/>
      <c r="AW52" s="404"/>
      <c r="AX52" s="404"/>
      <c r="AY52" s="404"/>
      <c r="AZ52" s="404"/>
      <c r="BA52" s="404"/>
      <c r="BB52" s="404"/>
      <c r="BC52" s="404"/>
      <c r="BD52" s="404"/>
      <c r="BE52" s="404"/>
      <c r="BF52" s="404"/>
      <c r="BG52" s="404"/>
      <c r="BH52" s="404"/>
      <c r="BI52" s="404"/>
      <c r="BJ52" s="404"/>
      <c r="BK52" s="404"/>
      <c r="BL52" s="404"/>
      <c r="BM52" s="404"/>
      <c r="BN52" s="404"/>
      <c r="BO52" s="404"/>
      <c r="BP52" s="408"/>
      <c r="BQ52" s="408"/>
      <c r="BR52" s="408"/>
      <c r="BS52" s="408"/>
      <c r="BT52" s="408"/>
      <c r="BU52" s="408"/>
      <c r="BV52" s="408"/>
      <c r="BW52" s="408"/>
      <c r="BX52" s="408"/>
      <c r="BY52" s="408"/>
      <c r="BZ52" s="408"/>
      <c r="CA52" s="408"/>
      <c r="CB52" s="408"/>
      <c r="CC52" s="408"/>
      <c r="CD52" s="408"/>
      <c r="CE52" s="408"/>
      <c r="CF52" s="408"/>
      <c r="CG52" s="408"/>
      <c r="CH52" s="408"/>
      <c r="CI52" s="408"/>
      <c r="CJ52" s="408"/>
      <c r="CK52" s="408"/>
      <c r="CL52" s="408"/>
      <c r="CM52" s="409"/>
      <c r="CN52" s="409"/>
      <c r="CO52" s="409"/>
      <c r="CP52" s="410"/>
      <c r="CQ52" s="410"/>
      <c r="CR52" s="410"/>
      <c r="CS52" s="410"/>
      <c r="CT52" s="410"/>
      <c r="CU52" s="410"/>
      <c r="CV52" s="410"/>
      <c r="CW52" s="410"/>
      <c r="CX52" s="410"/>
      <c r="CY52" s="410"/>
      <c r="CZ52" s="409"/>
      <c r="DA52" s="409"/>
      <c r="DB52" s="409"/>
      <c r="DC52" s="409"/>
      <c r="DD52" s="409"/>
      <c r="DE52" s="409"/>
      <c r="DF52" s="409"/>
      <c r="DG52" s="409"/>
      <c r="DH52" s="409"/>
      <c r="DI52" s="409"/>
      <c r="DJ52" s="409"/>
      <c r="DK52" s="409"/>
      <c r="DL52" s="409"/>
      <c r="DM52" s="409"/>
      <c r="DN52" s="409"/>
      <c r="DO52" s="409"/>
      <c r="DP52" s="409"/>
      <c r="DQ52" s="409"/>
      <c r="DR52" s="411"/>
      <c r="DS52" s="411"/>
      <c r="DT52" s="409"/>
      <c r="DU52" s="409"/>
      <c r="DV52" s="409"/>
      <c r="DW52" s="409"/>
      <c r="DX52" s="409"/>
      <c r="DY52" s="409"/>
      <c r="DZ52" s="409"/>
      <c r="EA52" s="404"/>
      <c r="EB52" s="404"/>
      <c r="EC52" s="404"/>
      <c r="ED52" s="404"/>
      <c r="EE52" s="404"/>
      <c r="EF52" s="407"/>
      <c r="EG52" s="404"/>
      <c r="EH52" s="404"/>
      <c r="EI52" s="404"/>
      <c r="EJ52" s="412"/>
      <c r="EK52" s="412"/>
      <c r="EL52" s="412"/>
      <c r="EM52" s="412"/>
      <c r="EN52" s="412"/>
      <c r="EO52" s="412"/>
      <c r="EP52" s="413"/>
      <c r="EQ52" s="413"/>
      <c r="ER52" s="413"/>
      <c r="ES52" s="413"/>
      <c r="ET52" s="413"/>
      <c r="EU52" s="413"/>
      <c r="EV52" s="414"/>
      <c r="EW52" s="414"/>
      <c r="EX52" s="415"/>
      <c r="EY52" s="415"/>
      <c r="EZ52" s="415"/>
      <c r="FA52" s="404"/>
      <c r="FB52" s="404"/>
      <c r="FC52" s="416"/>
      <c r="FD52" s="404"/>
      <c r="FE52" s="417"/>
      <c r="FF52" s="417"/>
      <c r="FG52" s="416"/>
    </row>
    <row r="53" spans="2:163" x14ac:dyDescent="0.15">
      <c r="B53" s="418"/>
      <c r="D53" s="419">
        <v>0</v>
      </c>
      <c r="E53" s="402"/>
      <c r="G53" s="403"/>
      <c r="H53" s="403"/>
      <c r="I53" s="403"/>
      <c r="J53" s="403"/>
      <c r="K53" s="404"/>
      <c r="L53" s="405"/>
      <c r="M53" s="405"/>
      <c r="N53" s="405"/>
      <c r="O53" s="405"/>
      <c r="P53" s="404"/>
      <c r="Q53" s="405"/>
      <c r="R53" s="405"/>
      <c r="S53" s="406"/>
      <c r="T53" s="407"/>
      <c r="U53" s="404"/>
      <c r="V53" s="404"/>
      <c r="W53" s="404"/>
      <c r="X53" s="404"/>
      <c r="Y53" s="404"/>
      <c r="Z53" s="404"/>
      <c r="AA53" s="404"/>
      <c r="AB53" s="404"/>
      <c r="AC53" s="404"/>
      <c r="AD53" s="404"/>
      <c r="AE53" s="404"/>
      <c r="AF53" s="404"/>
      <c r="AG53" s="404"/>
      <c r="AH53" s="404"/>
      <c r="AI53" s="404"/>
      <c r="AJ53" s="404"/>
      <c r="AK53" s="404"/>
      <c r="AL53" s="404"/>
      <c r="AM53" s="404"/>
      <c r="AN53" s="404"/>
      <c r="AO53" s="404"/>
      <c r="AP53" s="404"/>
      <c r="AQ53" s="404"/>
      <c r="AR53" s="404"/>
      <c r="AS53" s="404"/>
      <c r="AT53" s="404"/>
      <c r="AU53" s="404"/>
      <c r="AV53" s="404"/>
      <c r="AW53" s="404"/>
      <c r="AX53" s="404"/>
      <c r="AY53" s="404"/>
      <c r="AZ53" s="404"/>
      <c r="BA53" s="404"/>
      <c r="BB53" s="404"/>
      <c r="BC53" s="404"/>
      <c r="BD53" s="404"/>
      <c r="BE53" s="404"/>
      <c r="BF53" s="404"/>
      <c r="BG53" s="404"/>
      <c r="BH53" s="404"/>
      <c r="BI53" s="404"/>
      <c r="BJ53" s="404"/>
      <c r="BK53" s="404"/>
      <c r="BL53" s="404"/>
      <c r="BM53" s="404"/>
      <c r="BN53" s="404"/>
      <c r="BO53" s="404"/>
      <c r="BP53" s="408"/>
      <c r="BQ53" s="408"/>
      <c r="BR53" s="408"/>
      <c r="BS53" s="408"/>
      <c r="BT53" s="408"/>
      <c r="BU53" s="408"/>
      <c r="BV53" s="408"/>
      <c r="BW53" s="408"/>
      <c r="BX53" s="408"/>
      <c r="BY53" s="408"/>
      <c r="BZ53" s="408"/>
      <c r="CA53" s="408"/>
      <c r="CB53" s="408"/>
      <c r="CC53" s="408"/>
      <c r="CD53" s="408"/>
      <c r="CE53" s="408"/>
      <c r="CF53" s="408"/>
      <c r="CG53" s="408"/>
      <c r="CH53" s="408"/>
      <c r="CI53" s="408"/>
      <c r="CJ53" s="408"/>
      <c r="CK53" s="408"/>
      <c r="CL53" s="408"/>
      <c r="CM53" s="409"/>
      <c r="CN53" s="409"/>
      <c r="CO53" s="409"/>
      <c r="CP53" s="410"/>
      <c r="CQ53" s="410"/>
      <c r="CR53" s="410"/>
      <c r="CS53" s="410"/>
      <c r="CT53" s="410"/>
      <c r="CU53" s="410"/>
      <c r="CV53" s="410"/>
      <c r="CW53" s="410"/>
      <c r="CX53" s="410"/>
      <c r="CY53" s="410"/>
      <c r="CZ53" s="409"/>
      <c r="DA53" s="409"/>
      <c r="DB53" s="409"/>
      <c r="DC53" s="409"/>
      <c r="DD53" s="409"/>
      <c r="DE53" s="409"/>
      <c r="DF53" s="409"/>
      <c r="DG53" s="409"/>
      <c r="DH53" s="409"/>
      <c r="DI53" s="409"/>
      <c r="DJ53" s="409"/>
      <c r="DK53" s="409"/>
      <c r="DL53" s="409"/>
      <c r="DM53" s="409"/>
      <c r="DN53" s="409"/>
      <c r="DO53" s="409"/>
      <c r="DP53" s="409"/>
      <c r="DQ53" s="409"/>
      <c r="DR53" s="411"/>
      <c r="DS53" s="411"/>
      <c r="DT53" s="409"/>
      <c r="DU53" s="409"/>
      <c r="DV53" s="409"/>
      <c r="DW53" s="409"/>
      <c r="DX53" s="409"/>
      <c r="DY53" s="409"/>
      <c r="DZ53" s="409"/>
      <c r="EA53" s="404"/>
      <c r="EB53" s="404"/>
      <c r="EC53" s="404"/>
      <c r="ED53" s="404"/>
      <c r="EE53" s="404"/>
      <c r="EF53" s="407"/>
      <c r="EG53" s="404"/>
      <c r="EH53" s="404"/>
      <c r="EI53" s="404"/>
      <c r="EJ53" s="412"/>
      <c r="EK53" s="412"/>
      <c r="EL53" s="412"/>
      <c r="EM53" s="412"/>
      <c r="EN53" s="412"/>
      <c r="EO53" s="412"/>
      <c r="EP53" s="413"/>
      <c r="EQ53" s="413"/>
      <c r="ER53" s="413"/>
      <c r="ES53" s="413"/>
      <c r="ET53" s="413"/>
      <c r="EU53" s="413"/>
      <c r="EV53" s="414"/>
      <c r="EW53" s="414"/>
      <c r="EX53" s="415"/>
      <c r="EY53" s="415"/>
      <c r="EZ53" s="415"/>
      <c r="FA53" s="404"/>
      <c r="FB53" s="404"/>
      <c r="FC53" s="416"/>
      <c r="FD53" s="404"/>
      <c r="FE53" s="417"/>
      <c r="FF53" s="417"/>
      <c r="FG53" s="416"/>
    </row>
    <row r="54" spans="2:163" x14ac:dyDescent="0.15">
      <c r="B54" s="418"/>
      <c r="D54" s="419"/>
      <c r="E54" s="402"/>
      <c r="G54" s="403"/>
      <c r="H54" s="403"/>
      <c r="I54" s="403"/>
      <c r="J54" s="403"/>
      <c r="K54" s="404"/>
      <c r="L54" s="405"/>
      <c r="M54" s="405"/>
      <c r="N54" s="405"/>
      <c r="O54" s="405"/>
      <c r="P54" s="404"/>
      <c r="Q54" s="405"/>
      <c r="R54" s="405"/>
      <c r="S54" s="406"/>
      <c r="T54" s="407"/>
      <c r="U54" s="404"/>
      <c r="V54" s="404"/>
      <c r="W54" s="404"/>
      <c r="X54" s="404"/>
      <c r="Y54" s="404"/>
      <c r="Z54" s="404"/>
      <c r="AA54" s="404"/>
      <c r="AB54" s="404"/>
      <c r="AC54" s="404"/>
      <c r="AD54" s="404"/>
      <c r="AE54" s="404"/>
      <c r="AF54" s="404"/>
      <c r="AG54" s="404"/>
      <c r="AH54" s="404"/>
      <c r="AI54" s="404"/>
      <c r="AJ54" s="404"/>
      <c r="AK54" s="404"/>
      <c r="AL54" s="404"/>
      <c r="AM54" s="404"/>
      <c r="AN54" s="404"/>
      <c r="AO54" s="404"/>
      <c r="AP54" s="404"/>
      <c r="AQ54" s="404"/>
      <c r="AR54" s="404"/>
      <c r="AS54" s="404"/>
      <c r="AT54" s="404"/>
      <c r="AU54" s="404"/>
      <c r="AV54" s="404"/>
      <c r="AW54" s="404"/>
      <c r="AX54" s="404"/>
      <c r="AY54" s="404"/>
      <c r="AZ54" s="404"/>
      <c r="BA54" s="404"/>
      <c r="BB54" s="404"/>
      <c r="BC54" s="404"/>
      <c r="BD54" s="404"/>
      <c r="BE54" s="404"/>
      <c r="BF54" s="404"/>
      <c r="BG54" s="404"/>
      <c r="BH54" s="404"/>
      <c r="BI54" s="404"/>
      <c r="BJ54" s="404"/>
      <c r="BK54" s="404"/>
      <c r="BL54" s="404"/>
      <c r="BM54" s="404"/>
      <c r="BN54" s="404"/>
      <c r="BO54" s="404"/>
      <c r="BP54" s="408"/>
      <c r="BQ54" s="408"/>
      <c r="BR54" s="408"/>
      <c r="BS54" s="408"/>
      <c r="BT54" s="408"/>
      <c r="BU54" s="408"/>
      <c r="BV54" s="408"/>
      <c r="BW54" s="408"/>
      <c r="BX54" s="408"/>
      <c r="BY54" s="408"/>
      <c r="BZ54" s="408"/>
      <c r="CA54" s="408"/>
      <c r="CB54" s="408"/>
      <c r="CC54" s="408"/>
      <c r="CD54" s="408"/>
      <c r="CE54" s="408"/>
      <c r="CF54" s="408"/>
      <c r="CG54" s="408"/>
      <c r="CH54" s="408"/>
      <c r="CI54" s="408"/>
      <c r="CJ54" s="408"/>
      <c r="CK54" s="408"/>
      <c r="CL54" s="408"/>
      <c r="CM54" s="409"/>
      <c r="CN54" s="409"/>
      <c r="CO54" s="409"/>
      <c r="CP54" s="410"/>
      <c r="CQ54" s="410"/>
      <c r="CR54" s="410"/>
      <c r="CS54" s="410"/>
      <c r="CT54" s="410"/>
      <c r="CU54" s="410"/>
      <c r="CV54" s="410"/>
      <c r="CW54" s="410"/>
      <c r="CX54" s="410"/>
      <c r="CY54" s="410"/>
      <c r="CZ54" s="409"/>
      <c r="DA54" s="409"/>
      <c r="DB54" s="409"/>
      <c r="DC54" s="409"/>
      <c r="DD54" s="409"/>
      <c r="DE54" s="409"/>
      <c r="DF54" s="409"/>
      <c r="DG54" s="409"/>
      <c r="DH54" s="409"/>
      <c r="DI54" s="409"/>
      <c r="DJ54" s="409"/>
      <c r="DK54" s="409"/>
      <c r="DL54" s="409"/>
      <c r="DM54" s="409"/>
      <c r="DN54" s="409"/>
      <c r="DO54" s="409"/>
      <c r="DP54" s="409"/>
      <c r="DQ54" s="409"/>
      <c r="DR54" s="411"/>
      <c r="DS54" s="411"/>
      <c r="DT54" s="409"/>
      <c r="DU54" s="409"/>
      <c r="DV54" s="409"/>
      <c r="DW54" s="409"/>
      <c r="DX54" s="409"/>
      <c r="DY54" s="409"/>
      <c r="DZ54" s="409"/>
      <c r="EA54" s="404"/>
      <c r="EB54" s="404"/>
      <c r="EC54" s="404"/>
      <c r="ED54" s="404"/>
      <c r="EE54" s="404"/>
      <c r="EF54" s="407"/>
      <c r="EG54" s="404"/>
      <c r="EH54" s="404"/>
      <c r="EI54" s="404"/>
      <c r="EJ54" s="412"/>
      <c r="EK54" s="412"/>
      <c r="EL54" s="412"/>
      <c r="EM54" s="412"/>
      <c r="EN54" s="412"/>
      <c r="EO54" s="412"/>
      <c r="EP54" s="413"/>
      <c r="EQ54" s="413"/>
      <c r="ER54" s="413"/>
      <c r="ES54" s="413"/>
      <c r="ET54" s="413"/>
      <c r="EU54" s="413"/>
      <c r="EV54" s="414"/>
      <c r="EW54" s="414"/>
      <c r="EX54" s="415"/>
      <c r="EY54" s="415"/>
      <c r="EZ54" s="415"/>
      <c r="FA54" s="404"/>
      <c r="FB54" s="404"/>
      <c r="FC54" s="416"/>
      <c r="FD54" s="404"/>
      <c r="FE54" s="417"/>
      <c r="FF54" s="417"/>
      <c r="FG54" s="416"/>
    </row>
    <row r="55" spans="2:163" x14ac:dyDescent="0.15">
      <c r="B55" s="418"/>
      <c r="D55" s="419"/>
      <c r="E55" s="402"/>
      <c r="G55" s="403"/>
      <c r="H55" s="403"/>
      <c r="I55" s="403"/>
      <c r="J55" s="403"/>
      <c r="K55" s="404"/>
      <c r="L55" s="405"/>
      <c r="M55" s="405"/>
      <c r="N55" s="405"/>
      <c r="O55" s="405"/>
      <c r="P55" s="404"/>
      <c r="Q55" s="405"/>
      <c r="R55" s="405"/>
      <c r="S55" s="406"/>
      <c r="T55" s="407"/>
      <c r="U55" s="404"/>
      <c r="V55" s="404"/>
      <c r="W55" s="404"/>
      <c r="X55" s="404"/>
      <c r="Y55" s="404"/>
      <c r="Z55" s="404"/>
      <c r="AA55" s="404"/>
      <c r="AB55" s="404"/>
      <c r="AC55" s="404"/>
      <c r="AD55" s="404"/>
      <c r="AE55" s="404"/>
      <c r="AF55" s="404"/>
      <c r="AG55" s="404"/>
      <c r="AH55" s="404"/>
      <c r="AI55" s="404"/>
      <c r="AJ55" s="404"/>
      <c r="AK55" s="404"/>
      <c r="AL55" s="404"/>
      <c r="AM55" s="404"/>
      <c r="AN55" s="404"/>
      <c r="AO55" s="404"/>
      <c r="AP55" s="404"/>
      <c r="AQ55" s="404"/>
      <c r="AR55" s="404"/>
      <c r="AS55" s="404"/>
      <c r="AT55" s="404"/>
      <c r="AU55" s="404"/>
      <c r="AV55" s="404"/>
      <c r="AW55" s="404"/>
      <c r="AX55" s="404"/>
      <c r="AY55" s="404"/>
      <c r="AZ55" s="404"/>
      <c r="BA55" s="404"/>
      <c r="BB55" s="404"/>
      <c r="BC55" s="404"/>
      <c r="BD55" s="404"/>
      <c r="BE55" s="404"/>
      <c r="BF55" s="404"/>
      <c r="BG55" s="404"/>
      <c r="BH55" s="404"/>
      <c r="BI55" s="404"/>
      <c r="BJ55" s="404"/>
      <c r="BK55" s="404"/>
      <c r="BL55" s="404"/>
      <c r="BM55" s="404"/>
      <c r="BN55" s="404"/>
      <c r="BO55" s="404"/>
      <c r="BP55" s="408"/>
      <c r="BQ55" s="408"/>
      <c r="BR55" s="408"/>
      <c r="BS55" s="408"/>
      <c r="BT55" s="408"/>
      <c r="BU55" s="408"/>
      <c r="BV55" s="408"/>
      <c r="BW55" s="408"/>
      <c r="BX55" s="408"/>
      <c r="BY55" s="408"/>
      <c r="BZ55" s="408"/>
      <c r="CA55" s="408"/>
      <c r="CB55" s="408"/>
      <c r="CC55" s="408"/>
      <c r="CD55" s="408"/>
      <c r="CE55" s="408"/>
      <c r="CF55" s="408"/>
      <c r="CG55" s="408"/>
      <c r="CH55" s="408"/>
      <c r="CI55" s="408"/>
      <c r="CJ55" s="408"/>
      <c r="CK55" s="408"/>
      <c r="CL55" s="408"/>
      <c r="CM55" s="409"/>
      <c r="CN55" s="409"/>
      <c r="CO55" s="409"/>
      <c r="CP55" s="410"/>
      <c r="CQ55" s="410"/>
      <c r="CR55" s="410"/>
      <c r="CS55" s="410"/>
      <c r="CT55" s="410"/>
      <c r="CU55" s="410"/>
      <c r="CV55" s="410"/>
      <c r="CW55" s="410"/>
      <c r="CX55" s="410"/>
      <c r="CY55" s="410"/>
      <c r="CZ55" s="409"/>
      <c r="DA55" s="409"/>
      <c r="DB55" s="409"/>
      <c r="DC55" s="409"/>
      <c r="DD55" s="409"/>
      <c r="DE55" s="409"/>
      <c r="DF55" s="409"/>
      <c r="DG55" s="409"/>
      <c r="DH55" s="409"/>
      <c r="DI55" s="409"/>
      <c r="DJ55" s="409"/>
      <c r="DK55" s="409"/>
      <c r="DL55" s="409"/>
      <c r="DM55" s="409"/>
      <c r="DN55" s="409"/>
      <c r="DO55" s="409"/>
      <c r="DP55" s="409"/>
      <c r="DQ55" s="409"/>
      <c r="DR55" s="411"/>
      <c r="DS55" s="411"/>
      <c r="DT55" s="409"/>
      <c r="DU55" s="409"/>
      <c r="DV55" s="409"/>
      <c r="DW55" s="409"/>
      <c r="DX55" s="409"/>
      <c r="DY55" s="409"/>
      <c r="DZ55" s="409"/>
      <c r="EA55" s="404"/>
      <c r="EB55" s="404"/>
      <c r="EC55" s="404"/>
      <c r="ED55" s="404"/>
      <c r="EE55" s="404"/>
      <c r="EF55" s="407"/>
      <c r="EG55" s="404"/>
      <c r="EH55" s="404"/>
      <c r="EI55" s="404"/>
      <c r="EJ55" s="412"/>
      <c r="EK55" s="412"/>
      <c r="EL55" s="412"/>
      <c r="EM55" s="412"/>
      <c r="EN55" s="412"/>
      <c r="EO55" s="412"/>
      <c r="EP55" s="413"/>
      <c r="EQ55" s="413"/>
      <c r="ER55" s="413"/>
      <c r="ES55" s="413"/>
      <c r="ET55" s="413"/>
      <c r="EU55" s="413"/>
      <c r="EV55" s="414"/>
      <c r="EW55" s="414"/>
      <c r="EX55" s="415"/>
      <c r="EY55" s="415"/>
      <c r="EZ55" s="415"/>
      <c r="FA55" s="404"/>
      <c r="FB55" s="404"/>
      <c r="FC55" s="416"/>
      <c r="FD55" s="404"/>
      <c r="FE55" s="417"/>
      <c r="FF55" s="417"/>
      <c r="FG55" s="416"/>
    </row>
    <row r="56" spans="2:163" x14ac:dyDescent="0.15">
      <c r="B56" s="418"/>
      <c r="D56" s="419"/>
      <c r="E56" s="402"/>
      <c r="G56" s="403"/>
      <c r="H56" s="403"/>
      <c r="I56" s="403"/>
      <c r="J56" s="403"/>
      <c r="K56" s="404"/>
      <c r="L56" s="405"/>
      <c r="M56" s="405"/>
      <c r="N56" s="405"/>
      <c r="O56" s="405"/>
      <c r="P56" s="404"/>
      <c r="Q56" s="405"/>
      <c r="R56" s="405"/>
      <c r="S56" s="406"/>
      <c r="T56" s="407"/>
      <c r="U56" s="404"/>
      <c r="V56" s="404"/>
      <c r="W56" s="404"/>
      <c r="X56" s="404"/>
      <c r="Y56" s="404"/>
      <c r="Z56" s="404"/>
      <c r="AA56" s="404"/>
      <c r="AB56" s="404"/>
      <c r="AC56" s="404"/>
      <c r="AD56" s="404"/>
      <c r="AE56" s="404"/>
      <c r="AF56" s="404"/>
      <c r="AG56" s="404"/>
      <c r="AH56" s="404"/>
      <c r="AI56" s="404"/>
      <c r="AJ56" s="404"/>
      <c r="AK56" s="404"/>
      <c r="AL56" s="404"/>
      <c r="AM56" s="404"/>
      <c r="AN56" s="404"/>
      <c r="AO56" s="404"/>
      <c r="AP56" s="404"/>
      <c r="AQ56" s="404"/>
      <c r="AR56" s="404"/>
      <c r="AS56" s="404"/>
      <c r="AT56" s="404"/>
      <c r="AU56" s="404"/>
      <c r="AV56" s="404"/>
      <c r="AW56" s="404"/>
      <c r="AX56" s="404"/>
      <c r="AY56" s="404"/>
      <c r="AZ56" s="404"/>
      <c r="BA56" s="404"/>
      <c r="BB56" s="404"/>
      <c r="BC56" s="404"/>
      <c r="BD56" s="404"/>
      <c r="BE56" s="404"/>
      <c r="BF56" s="404"/>
      <c r="BG56" s="404"/>
      <c r="BH56" s="404"/>
      <c r="BI56" s="404"/>
      <c r="BJ56" s="404"/>
      <c r="BK56" s="404"/>
      <c r="BL56" s="404"/>
      <c r="BM56" s="404"/>
      <c r="BN56" s="404"/>
      <c r="BO56" s="404"/>
      <c r="BP56" s="408"/>
      <c r="BQ56" s="408"/>
      <c r="BR56" s="408"/>
      <c r="BS56" s="408"/>
      <c r="BT56" s="408"/>
      <c r="BU56" s="408"/>
      <c r="BV56" s="408"/>
      <c r="BW56" s="408"/>
      <c r="BX56" s="408"/>
      <c r="BY56" s="408"/>
      <c r="BZ56" s="408"/>
      <c r="CA56" s="408"/>
      <c r="CB56" s="408"/>
      <c r="CC56" s="408"/>
      <c r="CD56" s="408"/>
      <c r="CE56" s="408"/>
      <c r="CF56" s="408"/>
      <c r="CG56" s="408"/>
      <c r="CH56" s="408"/>
      <c r="CI56" s="408"/>
      <c r="CJ56" s="408"/>
      <c r="CK56" s="408"/>
      <c r="CL56" s="408"/>
      <c r="CM56" s="409"/>
      <c r="CN56" s="409"/>
      <c r="CO56" s="409"/>
      <c r="CP56" s="410"/>
      <c r="CQ56" s="410"/>
      <c r="CR56" s="410"/>
      <c r="CS56" s="410"/>
      <c r="CT56" s="410"/>
      <c r="CU56" s="410"/>
      <c r="CV56" s="410"/>
      <c r="CW56" s="410"/>
      <c r="CX56" s="410"/>
      <c r="CY56" s="410"/>
      <c r="CZ56" s="409"/>
      <c r="DA56" s="409"/>
      <c r="DB56" s="409"/>
      <c r="DC56" s="409"/>
      <c r="DD56" s="409"/>
      <c r="DE56" s="409"/>
      <c r="DF56" s="409"/>
      <c r="DG56" s="409"/>
      <c r="DH56" s="409"/>
      <c r="DI56" s="409"/>
      <c r="DJ56" s="409"/>
      <c r="DK56" s="409"/>
      <c r="DL56" s="409"/>
      <c r="DM56" s="409"/>
      <c r="DN56" s="409"/>
      <c r="DO56" s="409"/>
      <c r="DP56" s="409"/>
      <c r="DQ56" s="409"/>
      <c r="DR56" s="411"/>
      <c r="DS56" s="411"/>
      <c r="DT56" s="409"/>
      <c r="DU56" s="409"/>
      <c r="DV56" s="409"/>
      <c r="DW56" s="409"/>
      <c r="DX56" s="409"/>
      <c r="DY56" s="409"/>
      <c r="DZ56" s="409"/>
      <c r="EA56" s="404"/>
      <c r="EB56" s="404"/>
      <c r="EC56" s="404"/>
      <c r="ED56" s="404"/>
      <c r="EE56" s="404"/>
      <c r="EF56" s="407"/>
      <c r="EG56" s="404"/>
      <c r="EH56" s="404"/>
      <c r="EI56" s="404"/>
      <c r="EJ56" s="412"/>
      <c r="EK56" s="412"/>
      <c r="EL56" s="412"/>
      <c r="EM56" s="412"/>
      <c r="EN56" s="412"/>
      <c r="EO56" s="412"/>
      <c r="EP56" s="413"/>
      <c r="EQ56" s="413"/>
      <c r="ER56" s="413"/>
      <c r="ES56" s="413"/>
      <c r="ET56" s="413"/>
      <c r="EU56" s="413"/>
      <c r="EV56" s="414"/>
      <c r="EW56" s="414"/>
      <c r="EX56" s="415"/>
      <c r="EY56" s="415"/>
      <c r="EZ56" s="415"/>
      <c r="FA56" s="404"/>
      <c r="FB56" s="404"/>
      <c r="FC56" s="416"/>
      <c r="FD56" s="404"/>
      <c r="FE56" s="417"/>
      <c r="FF56" s="417"/>
      <c r="FG56" s="416"/>
    </row>
    <row r="58" spans="2:163" x14ac:dyDescent="0.15">
      <c r="E58" s="402"/>
      <c r="L58" s="405"/>
      <c r="P58" s="404"/>
      <c r="S58" s="406"/>
    </row>
    <row r="59" spans="2:163" x14ac:dyDescent="0.15">
      <c r="E59" s="402"/>
      <c r="L59" s="405"/>
      <c r="P59" s="404"/>
      <c r="S59" s="406"/>
    </row>
    <row r="60" spans="2:163" x14ac:dyDescent="0.15">
      <c r="E60" s="402"/>
      <c r="L60" s="405"/>
      <c r="P60" s="404"/>
      <c r="S60" s="406"/>
    </row>
    <row r="61" spans="2:163" x14ac:dyDescent="0.15">
      <c r="E61" s="402"/>
      <c r="L61" s="405"/>
      <c r="P61" s="404"/>
      <c r="S61" s="406"/>
    </row>
    <row r="62" spans="2:163" x14ac:dyDescent="0.15">
      <c r="E62" s="402"/>
      <c r="L62" s="405"/>
      <c r="P62" s="404"/>
      <c r="S62" s="406"/>
    </row>
    <row r="63" spans="2:163" x14ac:dyDescent="0.15">
      <c r="E63" s="402"/>
      <c r="L63" s="405"/>
      <c r="P63" s="404"/>
      <c r="S63" s="406"/>
    </row>
    <row r="64" spans="2:163" x14ac:dyDescent="0.15">
      <c r="E64" s="402"/>
      <c r="L64" s="405"/>
      <c r="P64" s="404"/>
      <c r="S64" s="406"/>
    </row>
    <row r="65" spans="5:19" x14ac:dyDescent="0.15">
      <c r="E65" s="402"/>
      <c r="L65" s="405"/>
      <c r="P65" s="404"/>
      <c r="S65" s="406"/>
    </row>
    <row r="66" spans="5:19" x14ac:dyDescent="0.15">
      <c r="E66" s="402"/>
      <c r="L66" s="405"/>
      <c r="P66" s="404"/>
      <c r="S66" s="406"/>
    </row>
    <row r="67" spans="5:19" x14ac:dyDescent="0.15">
      <c r="E67" s="402"/>
      <c r="L67" s="405"/>
      <c r="P67" s="404"/>
      <c r="S67" s="406"/>
    </row>
    <row r="68" spans="5:19" x14ac:dyDescent="0.15">
      <c r="E68" s="402"/>
      <c r="L68" s="405"/>
      <c r="P68" s="404"/>
      <c r="S68" s="406"/>
    </row>
    <row r="69" spans="5:19" x14ac:dyDescent="0.15">
      <c r="E69" s="402"/>
      <c r="L69" s="405"/>
      <c r="P69" s="404"/>
      <c r="S69" s="406"/>
    </row>
    <row r="70" spans="5:19" x14ac:dyDescent="0.15">
      <c r="E70" s="402"/>
      <c r="L70" s="405"/>
      <c r="P70" s="404"/>
      <c r="S70" s="406"/>
    </row>
  </sheetData>
  <conditionalFormatting sqref="E6:E10 G20:EU56 FA20:FB56 FD20:FD56">
    <cfRule type="cellIs" dxfId="11" priority="7" operator="equal">
      <formula>"NA"</formula>
    </cfRule>
    <cfRule type="cellIs" dxfId="10" priority="8" operator="equal">
      <formula>"NM"</formula>
    </cfRule>
  </conditionalFormatting>
  <conditionalFormatting sqref="L58:L70">
    <cfRule type="cellIs" dxfId="9" priority="1" operator="equal">
      <formula>"NA"</formula>
    </cfRule>
    <cfRule type="cellIs" dxfId="8" priority="2" operator="equal">
      <formula>"NM"</formula>
    </cfRule>
  </conditionalFormatting>
  <conditionalFormatting sqref="P58:P70">
    <cfRule type="cellIs" dxfId="7" priority="3" operator="equal">
      <formula>"NA"</formula>
    </cfRule>
    <cfRule type="cellIs" dxfId="6" priority="4" operator="equal">
      <formula>"NM"</formula>
    </cfRule>
  </conditionalFormatting>
  <conditionalFormatting sqref="S58:S70">
    <cfRule type="cellIs" dxfId="5" priority="5" operator="equal">
      <formula>"NA"</formula>
    </cfRule>
    <cfRule type="cellIs" dxfId="4" priority="6" operator="equal">
      <formula>"NM"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3AA20-54F9-4BD9-92A8-F5B4FABB79E8}">
  <sheetPr>
    <tabColor theme="0" tint="-0.14999847407452621"/>
  </sheetPr>
  <dimension ref="B2:O25"/>
  <sheetViews>
    <sheetView showGridLines="0" zoomScale="87" workbookViewId="0">
      <selection activeCell="M9" sqref="M9"/>
    </sheetView>
  </sheetViews>
  <sheetFormatPr baseColWidth="10" defaultColWidth="8.83203125" defaultRowHeight="15" x14ac:dyDescent="0.2"/>
  <cols>
    <col min="2" max="2" width="26.5" bestFit="1" customWidth="1"/>
    <col min="3" max="3" width="12.1640625" customWidth="1"/>
    <col min="4" max="4" width="9.6640625" customWidth="1"/>
    <col min="5" max="15" width="8.5" customWidth="1"/>
  </cols>
  <sheetData>
    <row r="2" spans="2:15" x14ac:dyDescent="0.2">
      <c r="B2" s="829" t="s">
        <v>3</v>
      </c>
      <c r="C2" s="831" t="s">
        <v>197</v>
      </c>
      <c r="D2" s="827" t="s">
        <v>1068</v>
      </c>
      <c r="E2" s="828"/>
      <c r="F2" s="833"/>
      <c r="G2" s="827" t="s">
        <v>1069</v>
      </c>
      <c r="H2" s="828"/>
      <c r="I2" s="833"/>
      <c r="J2" s="828" t="s">
        <v>1070</v>
      </c>
      <c r="K2" s="828"/>
      <c r="L2" s="828"/>
      <c r="M2" s="827" t="s">
        <v>1071</v>
      </c>
      <c r="N2" s="828"/>
      <c r="O2" s="828"/>
    </row>
    <row r="3" spans="2:15" x14ac:dyDescent="0.2">
      <c r="B3" s="830"/>
      <c r="C3" s="832"/>
      <c r="D3" s="421" t="s">
        <v>223</v>
      </c>
      <c r="E3" s="421" t="s">
        <v>760</v>
      </c>
      <c r="F3" s="422" t="s">
        <v>1072</v>
      </c>
      <c r="G3" s="421" t="s">
        <v>1073</v>
      </c>
      <c r="H3" s="421" t="s">
        <v>760</v>
      </c>
      <c r="I3" s="422" t="s">
        <v>1072</v>
      </c>
      <c r="J3" s="421" t="s">
        <v>223</v>
      </c>
      <c r="K3" s="421" t="s">
        <v>760</v>
      </c>
      <c r="L3" s="421" t="s">
        <v>1072</v>
      </c>
      <c r="M3" s="423" t="s">
        <v>223</v>
      </c>
      <c r="N3" s="421" t="s">
        <v>760</v>
      </c>
      <c r="O3" s="421" t="s">
        <v>1072</v>
      </c>
    </row>
    <row r="4" spans="2:15" x14ac:dyDescent="0.2">
      <c r="B4" s="424" t="s">
        <v>1054</v>
      </c>
      <c r="C4" s="425" t="s">
        <v>470</v>
      </c>
      <c r="D4" s="426">
        <v>179.572</v>
      </c>
      <c r="E4" s="426">
        <v>-312.33966700000002</v>
      </c>
      <c r="F4" s="427">
        <v>-582.81299999999999</v>
      </c>
      <c r="G4" s="428">
        <v>8.2143987620018996E-2</v>
      </c>
      <c r="H4" s="428">
        <f>E4/D4</f>
        <v>-1.7393561746820219</v>
      </c>
      <c r="I4" s="429">
        <f>F4/D4</f>
        <v>-3.2455672376539773</v>
      </c>
      <c r="J4" s="428" t="s">
        <v>1057</v>
      </c>
      <c r="K4" s="428" t="s">
        <v>1058</v>
      </c>
      <c r="L4" s="429" t="s">
        <v>1057</v>
      </c>
      <c r="M4" s="428">
        <v>0.36364824726147416</v>
      </c>
      <c r="N4" s="428" t="s">
        <v>1057</v>
      </c>
      <c r="O4" s="430" t="s">
        <v>1058</v>
      </c>
    </row>
    <row r="5" spans="2:15" x14ac:dyDescent="0.2">
      <c r="B5" s="424" t="s">
        <v>1059</v>
      </c>
      <c r="C5" s="425" t="s">
        <v>518</v>
      </c>
      <c r="D5" s="426">
        <v>237.24100000000001</v>
      </c>
      <c r="E5" s="426">
        <v>-175.83</v>
      </c>
      <c r="F5" s="427">
        <v>-764.68100000000004</v>
      </c>
      <c r="G5" s="428">
        <v>1</v>
      </c>
      <c r="H5" s="428">
        <f t="shared" ref="H5:H8" si="0">E5/D5</f>
        <v>-0.74114508031916915</v>
      </c>
      <c r="I5" s="429">
        <f t="shared" ref="I5:I10" si="1">F5/D5</f>
        <v>-3.2232244848065892</v>
      </c>
      <c r="J5" s="428">
        <v>0.34282344268947962</v>
      </c>
      <c r="K5" s="428" t="s">
        <v>1058</v>
      </c>
      <c r="L5" s="429" t="s">
        <v>1058</v>
      </c>
      <c r="M5" s="428">
        <v>0.11371229320253518</v>
      </c>
      <c r="N5" s="428">
        <v>0.64223352482463103</v>
      </c>
      <c r="O5" s="430">
        <v>0.16156405993709488</v>
      </c>
    </row>
    <row r="6" spans="2:15" x14ac:dyDescent="0.2">
      <c r="B6" s="424" t="s">
        <v>1061</v>
      </c>
      <c r="C6" s="425" t="s">
        <v>470</v>
      </c>
      <c r="D6" s="426">
        <v>2746.6419999999998</v>
      </c>
      <c r="E6" s="426">
        <v>-82.704999999999998</v>
      </c>
      <c r="F6" s="427">
        <v>-69.507999999999996</v>
      </c>
      <c r="G6" s="428">
        <v>0.23593037566524863</v>
      </c>
      <c r="H6" s="428">
        <f t="shared" si="0"/>
        <v>-3.0111314106461638E-2</v>
      </c>
      <c r="I6" s="429">
        <f t="shared" si="1"/>
        <v>-2.5306537947064087E-2</v>
      </c>
      <c r="J6" s="428">
        <v>0.52657624995082908</v>
      </c>
      <c r="K6" s="428" t="s">
        <v>1058</v>
      </c>
      <c r="L6" s="429" t="s">
        <v>1057</v>
      </c>
      <c r="M6" s="428">
        <v>0.29328059187919164</v>
      </c>
      <c r="N6" s="428">
        <v>1.0460543666033435</v>
      </c>
      <c r="O6" s="430">
        <v>0.7087110573612867</v>
      </c>
    </row>
    <row r="7" spans="2:15" x14ac:dyDescent="0.2">
      <c r="B7" s="424" t="s">
        <v>1063</v>
      </c>
      <c r="C7" s="425" t="s">
        <v>470</v>
      </c>
      <c r="D7" s="426">
        <v>4473</v>
      </c>
      <c r="E7" s="431" t="s">
        <v>1057</v>
      </c>
      <c r="F7" s="427">
        <v>1883</v>
      </c>
      <c r="G7" s="428">
        <v>0.9064723822433074</v>
      </c>
      <c r="H7" s="428" t="s">
        <v>1058</v>
      </c>
      <c r="I7" s="429">
        <f t="shared" si="1"/>
        <v>0.4209702660406886</v>
      </c>
      <c r="J7" s="428">
        <v>0.48787475836737682</v>
      </c>
      <c r="K7" s="428" t="s">
        <v>1058</v>
      </c>
      <c r="L7" s="429">
        <v>0.45187731849080137</v>
      </c>
      <c r="M7" s="428">
        <v>0.1513580477946932</v>
      </c>
      <c r="N7" s="428">
        <v>0.67755915505797459</v>
      </c>
      <c r="O7" s="430">
        <v>0.12980888824017978</v>
      </c>
    </row>
    <row r="8" spans="2:15" x14ac:dyDescent="0.2">
      <c r="B8" s="424" t="s">
        <v>1064</v>
      </c>
      <c r="C8" s="425" t="s">
        <v>470</v>
      </c>
      <c r="D8" s="426">
        <v>61355.667000000001</v>
      </c>
      <c r="E8" s="426">
        <v>60124.457999999999</v>
      </c>
      <c r="F8" s="427">
        <v>-241.34899999999999</v>
      </c>
      <c r="G8" s="428">
        <v>1</v>
      </c>
      <c r="H8" s="428">
        <f t="shared" si="0"/>
        <v>0.97993324724185615</v>
      </c>
      <c r="I8" s="429">
        <f t="shared" si="1"/>
        <v>-3.9336056765547018E-3</v>
      </c>
      <c r="J8" s="428" t="s">
        <v>1057</v>
      </c>
      <c r="K8" s="428" t="s">
        <v>1058</v>
      </c>
      <c r="L8" s="429">
        <v>-0.61879157583084354</v>
      </c>
      <c r="M8" s="428">
        <v>0.27150166746186621</v>
      </c>
      <c r="N8" s="428" t="s">
        <v>1057</v>
      </c>
      <c r="O8" s="430" t="s">
        <v>1058</v>
      </c>
    </row>
    <row r="9" spans="2:15" x14ac:dyDescent="0.2">
      <c r="B9" s="424" t="s">
        <v>1065</v>
      </c>
      <c r="C9" s="425" t="s">
        <v>543</v>
      </c>
      <c r="D9" s="426">
        <v>13700.697</v>
      </c>
      <c r="E9" s="431" t="s">
        <v>1057</v>
      </c>
      <c r="F9" s="427">
        <v>215.696</v>
      </c>
      <c r="G9" s="428">
        <v>2.7635037000070927E-2</v>
      </c>
      <c r="H9" s="428" t="s">
        <v>1058</v>
      </c>
      <c r="I9" s="429">
        <f t="shared" si="1"/>
        <v>1.5743432615143594E-2</v>
      </c>
      <c r="J9" s="428">
        <v>0.29804503563953344</v>
      </c>
      <c r="K9" s="428" t="s">
        <v>1058</v>
      </c>
      <c r="L9" s="429" t="s">
        <v>1057</v>
      </c>
      <c r="M9" s="428">
        <v>8.3592806585179646E-2</v>
      </c>
      <c r="N9" s="428">
        <v>0.64078422879485852</v>
      </c>
      <c r="O9" s="430">
        <v>0.18741081231584023</v>
      </c>
    </row>
    <row r="10" spans="2:15" x14ac:dyDescent="0.2">
      <c r="B10" s="432" t="s">
        <v>1066</v>
      </c>
      <c r="C10" s="433" t="s">
        <v>470</v>
      </c>
      <c r="D10" s="434">
        <v>6209</v>
      </c>
      <c r="E10" s="435" t="s">
        <v>1057</v>
      </c>
      <c r="F10" s="436">
        <v>984</v>
      </c>
      <c r="G10" s="437">
        <v>0.90653846153846152</v>
      </c>
      <c r="H10" s="437" t="s">
        <v>1058</v>
      </c>
      <c r="I10" s="438">
        <f t="shared" si="1"/>
        <v>0.15847962634884843</v>
      </c>
      <c r="J10" s="437">
        <v>0.25157784119743121</v>
      </c>
      <c r="K10" s="437" t="s">
        <v>1057</v>
      </c>
      <c r="L10" s="438" t="s">
        <v>1057</v>
      </c>
      <c r="M10" s="437">
        <v>0.10961393209463322</v>
      </c>
      <c r="N10" s="437">
        <v>0.60580526634537024</v>
      </c>
      <c r="O10" s="439">
        <v>0.19841527936125014</v>
      </c>
    </row>
    <row r="12" spans="2:15" x14ac:dyDescent="0.2">
      <c r="B12" s="835" t="s">
        <v>3</v>
      </c>
      <c r="C12" s="837" t="s">
        <v>776</v>
      </c>
      <c r="D12" s="837" t="s">
        <v>179</v>
      </c>
      <c r="E12" s="831" t="s">
        <v>1049</v>
      </c>
      <c r="F12" s="837" t="s">
        <v>1074</v>
      </c>
      <c r="G12" s="827" t="s">
        <v>1075</v>
      </c>
      <c r="H12" s="828"/>
      <c r="I12" s="833"/>
      <c r="J12" s="828" t="s">
        <v>1076</v>
      </c>
      <c r="K12" s="828"/>
      <c r="L12" s="833"/>
      <c r="M12" s="827" t="s">
        <v>1077</v>
      </c>
      <c r="N12" s="828"/>
      <c r="O12" s="834"/>
    </row>
    <row r="13" spans="2:15" x14ac:dyDescent="0.2">
      <c r="B13" s="836"/>
      <c r="C13" s="838"/>
      <c r="D13" s="838"/>
      <c r="E13" s="832"/>
      <c r="F13" s="838"/>
      <c r="G13" s="452" t="str">
        <f>'[3]CIQ Link'!$E$9</f>
        <v>2025A</v>
      </c>
      <c r="H13" s="452" t="str">
        <f>'[3]CIQ Link'!$G$9</f>
        <v>2026F</v>
      </c>
      <c r="I13" s="453" t="str">
        <f>'[3]CIQ Link'!$H$9</f>
        <v>2027F</v>
      </c>
      <c r="J13" s="452" t="str">
        <f>'[3]CIQ Link'!$J$9</f>
        <v>2025A</v>
      </c>
      <c r="K13" s="454" t="str">
        <f>'[3]CIQ Link'!$L$9</f>
        <v>2026F</v>
      </c>
      <c r="L13" s="453" t="str">
        <f>'[3]CIQ Link'!$M$9</f>
        <v>2027F</v>
      </c>
      <c r="M13" s="454" t="str">
        <f>'[3]CIQ Link'!$O$9</f>
        <v>2025A</v>
      </c>
      <c r="N13" s="454" t="str">
        <f>'[3]CIQ Link'!$Q$9</f>
        <v>2026F</v>
      </c>
      <c r="O13" s="455" t="str">
        <f>'[3]CIQ Link'!$R$9</f>
        <v>2027F</v>
      </c>
    </row>
    <row r="14" spans="2:15" x14ac:dyDescent="0.2">
      <c r="B14" s="424" t="s">
        <v>1054</v>
      </c>
      <c r="C14" s="440">
        <v>519.15456527999993</v>
      </c>
      <c r="D14" s="440">
        <v>900.39556527999991</v>
      </c>
      <c r="E14" s="441">
        <v>381.24099999999999</v>
      </c>
      <c r="F14" s="442">
        <v>46022</v>
      </c>
      <c r="G14" s="443" t="s">
        <v>1057</v>
      </c>
      <c r="H14" s="444" t="s">
        <v>1057</v>
      </c>
      <c r="I14" s="444" t="s">
        <v>1057</v>
      </c>
      <c r="J14" s="443" t="s">
        <v>1057</v>
      </c>
      <c r="K14" s="444" t="s">
        <v>1057</v>
      </c>
      <c r="L14" s="444" t="s">
        <v>1057</v>
      </c>
      <c r="M14" s="443" t="s">
        <v>1058</v>
      </c>
      <c r="N14" s="444" t="s">
        <v>1058</v>
      </c>
      <c r="O14" s="456" t="s">
        <v>1058</v>
      </c>
    </row>
    <row r="15" spans="2:15" x14ac:dyDescent="0.2">
      <c r="B15" s="424" t="s">
        <v>1059</v>
      </c>
      <c r="C15" s="440">
        <v>5370.2978918399995</v>
      </c>
      <c r="D15" s="440">
        <v>5439.4448918399994</v>
      </c>
      <c r="E15" s="441">
        <v>69.146999999999991</v>
      </c>
      <c r="F15" s="442">
        <v>46022</v>
      </c>
      <c r="G15" s="443" t="s">
        <v>1057</v>
      </c>
      <c r="H15" s="444" t="s">
        <v>1057</v>
      </c>
      <c r="I15" s="444" t="s">
        <v>1057</v>
      </c>
      <c r="J15" s="443" t="s">
        <v>1057</v>
      </c>
      <c r="K15" s="444" t="s">
        <v>1057</v>
      </c>
      <c r="L15" s="444" t="s">
        <v>1057</v>
      </c>
      <c r="M15" s="443" t="s">
        <v>1058</v>
      </c>
      <c r="N15" s="444">
        <v>47.326833423898528</v>
      </c>
      <c r="O15" s="456">
        <v>34.108715607142742</v>
      </c>
    </row>
    <row r="16" spans="2:15" x14ac:dyDescent="0.2">
      <c r="B16" s="424" t="s">
        <v>1061</v>
      </c>
      <c r="C16" s="440">
        <v>23101.01324846</v>
      </c>
      <c r="D16" s="440">
        <v>21543.633248459999</v>
      </c>
      <c r="E16" s="441">
        <v>-1489.2250000000001</v>
      </c>
      <c r="F16" s="442">
        <v>46022</v>
      </c>
      <c r="G16" s="443">
        <v>7.8436262346749235</v>
      </c>
      <c r="H16" s="444">
        <v>6.8919919488429411</v>
      </c>
      <c r="I16" s="445">
        <v>4.9648222501522552</v>
      </c>
      <c r="J16" s="444" t="s">
        <v>1058</v>
      </c>
      <c r="K16" s="444">
        <v>34.385806746050214</v>
      </c>
      <c r="L16" s="444">
        <v>23.827351979025554</v>
      </c>
      <c r="M16" s="443" t="s">
        <v>1058</v>
      </c>
      <c r="N16" s="444">
        <v>86.20076654292734</v>
      </c>
      <c r="O16" s="456">
        <v>40.513187408415277</v>
      </c>
    </row>
    <row r="17" spans="2:15" x14ac:dyDescent="0.2">
      <c r="B17" s="424" t="s">
        <v>1063</v>
      </c>
      <c r="C17" s="440">
        <v>62391.371426999998</v>
      </c>
      <c r="D17" s="440">
        <v>58191.371426999998</v>
      </c>
      <c r="E17" s="441">
        <v>-418</v>
      </c>
      <c r="F17" s="442">
        <v>46022</v>
      </c>
      <c r="G17" s="443">
        <v>13.009472708920187</v>
      </c>
      <c r="H17" s="444">
        <v>10.778661720671042</v>
      </c>
      <c r="I17" s="445">
        <v>9.2972043954069417</v>
      </c>
      <c r="J17" s="444" t="s">
        <v>1057</v>
      </c>
      <c r="K17" s="444">
        <v>18.889184323866949</v>
      </c>
      <c r="L17" s="444">
        <v>15.381404381954423</v>
      </c>
      <c r="M17" s="443">
        <v>33.134026249070629</v>
      </c>
      <c r="N17" s="444">
        <v>27.116465037718179</v>
      </c>
      <c r="O17" s="456">
        <v>23.432989578043593</v>
      </c>
    </row>
    <row r="18" spans="2:15" x14ac:dyDescent="0.2">
      <c r="B18" s="424" t="s">
        <v>1064</v>
      </c>
      <c r="C18" s="440">
        <v>3555.33464925</v>
      </c>
      <c r="D18" s="440">
        <v>6999.2596492499988</v>
      </c>
      <c r="E18" s="441">
        <v>3375.6399999999994</v>
      </c>
      <c r="F18" s="442">
        <v>46022</v>
      </c>
      <c r="G18" s="443">
        <v>0.11407682438282349</v>
      </c>
      <c r="H18" s="444">
        <v>0.14723521503383991</v>
      </c>
      <c r="I18" s="445">
        <v>0.11092598513419458</v>
      </c>
      <c r="J18" s="444">
        <v>0.11641285230795759</v>
      </c>
      <c r="K18" s="444" t="s">
        <v>1057</v>
      </c>
      <c r="L18" s="444">
        <v>12.676772545977972</v>
      </c>
      <c r="M18" s="443" t="s">
        <v>1058</v>
      </c>
      <c r="N18" s="444" t="s">
        <v>1058</v>
      </c>
      <c r="O18" s="456">
        <v>13.859488640714291</v>
      </c>
    </row>
    <row r="19" spans="2:15" x14ac:dyDescent="0.2">
      <c r="B19" s="424" t="s">
        <v>1065</v>
      </c>
      <c r="C19" s="440">
        <v>2488.0282026600003</v>
      </c>
      <c r="D19" s="440">
        <v>1267.1622026600003</v>
      </c>
      <c r="E19" s="441">
        <v>-1072.6410000000001</v>
      </c>
      <c r="F19" s="442">
        <v>46022</v>
      </c>
      <c r="G19" s="443">
        <v>9.2488885978574686E-2</v>
      </c>
      <c r="H19" s="444">
        <v>1.3548379820228211</v>
      </c>
      <c r="I19" s="445">
        <v>1.202640982954476</v>
      </c>
      <c r="J19" s="444" t="s">
        <v>1057</v>
      </c>
      <c r="K19" s="444">
        <v>3.7085575723324933</v>
      </c>
      <c r="L19" s="444">
        <v>3.0672898866388123</v>
      </c>
      <c r="M19" s="443">
        <v>11.53488336668274</v>
      </c>
      <c r="N19" s="444">
        <v>9.8252879932234727</v>
      </c>
      <c r="O19" s="456">
        <v>8.0192202629861882</v>
      </c>
    </row>
    <row r="20" spans="2:15" x14ac:dyDescent="0.2">
      <c r="B20" s="432" t="s">
        <v>1066</v>
      </c>
      <c r="C20" s="446">
        <v>29887.523940389998</v>
      </c>
      <c r="D20" s="446">
        <v>-35342.476059610002</v>
      </c>
      <c r="E20" s="447">
        <v>-80235</v>
      </c>
      <c r="F20" s="448">
        <v>46022</v>
      </c>
      <c r="G20" s="449" t="s">
        <v>1058</v>
      </c>
      <c r="H20" s="450" t="s">
        <v>1058</v>
      </c>
      <c r="I20" s="451" t="s">
        <v>1058</v>
      </c>
      <c r="J20" s="450" t="s">
        <v>1057</v>
      </c>
      <c r="K20" s="450" t="s">
        <v>1058</v>
      </c>
      <c r="L20" s="450" t="s">
        <v>1058</v>
      </c>
      <c r="M20" s="449">
        <v>30.373499939420729</v>
      </c>
      <c r="N20" s="450">
        <v>27.038675058840447</v>
      </c>
      <c r="O20" s="457">
        <v>23.674784223488135</v>
      </c>
    </row>
    <row r="22" spans="2:15" x14ac:dyDescent="0.2">
      <c r="F22" s="462" t="s">
        <v>213</v>
      </c>
      <c r="G22" s="463">
        <f>AVERAGE(G14:G20)</f>
        <v>5.2649161634891275</v>
      </c>
      <c r="H22" s="458">
        <f t="shared" ref="H22:O22" si="2">AVERAGE(H14:H20)</f>
        <v>4.7931817166426613</v>
      </c>
      <c r="I22" s="458">
        <f t="shared" si="2"/>
        <v>3.8938984034119666</v>
      </c>
      <c r="J22" s="465">
        <f t="shared" si="2"/>
        <v>0.11641285230795759</v>
      </c>
      <c r="K22" s="458">
        <f t="shared" si="2"/>
        <v>18.99451621408322</v>
      </c>
      <c r="L22" s="458">
        <f t="shared" si="2"/>
        <v>13.738204698399189</v>
      </c>
      <c r="M22" s="465">
        <f t="shared" si="2"/>
        <v>25.014136518391368</v>
      </c>
      <c r="N22" s="458">
        <f t="shared" si="2"/>
        <v>39.501605611321594</v>
      </c>
      <c r="O22" s="459">
        <f t="shared" si="2"/>
        <v>23.934730953465035</v>
      </c>
    </row>
    <row r="23" spans="2:15" x14ac:dyDescent="0.2">
      <c r="F23" s="462" t="s">
        <v>1078</v>
      </c>
      <c r="G23" s="464">
        <f>MEDIAN(G14:G20)</f>
        <v>3.9788515295288738</v>
      </c>
      <c r="H23" s="460">
        <f t="shared" ref="H23:O23" si="3">MEDIAN(H14:H20)</f>
        <v>4.1234149654328807</v>
      </c>
      <c r="I23" s="460">
        <f t="shared" si="3"/>
        <v>3.0837316165533659</v>
      </c>
      <c r="J23" s="466">
        <f t="shared" si="3"/>
        <v>0.11641285230795759</v>
      </c>
      <c r="K23" s="460">
        <f t="shared" si="3"/>
        <v>18.889184323866949</v>
      </c>
      <c r="L23" s="460">
        <f t="shared" si="3"/>
        <v>14.029088463966197</v>
      </c>
      <c r="M23" s="466">
        <f t="shared" si="3"/>
        <v>30.373499939420729</v>
      </c>
      <c r="N23" s="460">
        <f t="shared" si="3"/>
        <v>27.116465037718179</v>
      </c>
      <c r="O23" s="461">
        <f t="shared" si="3"/>
        <v>23.553886900765864</v>
      </c>
    </row>
    <row r="25" spans="2:15" x14ac:dyDescent="0.2">
      <c r="K25">
        <f>35*'3FS'!I46</f>
        <v>63581350</v>
      </c>
    </row>
  </sheetData>
  <mergeCells count="14">
    <mergeCell ref="J12:L12"/>
    <mergeCell ref="M12:O12"/>
    <mergeCell ref="B12:B13"/>
    <mergeCell ref="C12:C13"/>
    <mergeCell ref="D12:D13"/>
    <mergeCell ref="E12:E13"/>
    <mergeCell ref="F12:F13"/>
    <mergeCell ref="G12:I12"/>
    <mergeCell ref="M2:O2"/>
    <mergeCell ref="B2:B3"/>
    <mergeCell ref="C2:C3"/>
    <mergeCell ref="D2:F2"/>
    <mergeCell ref="G2:I2"/>
    <mergeCell ref="J2:L2"/>
  </mergeCells>
  <conditionalFormatting sqref="D4:O10">
    <cfRule type="cellIs" dxfId="3" priority="2" operator="equal">
      <formula>"NA"</formula>
    </cfRule>
    <cfRule type="cellIs" dxfId="2" priority="3" operator="equal">
      <formula>"NM"</formula>
    </cfRule>
  </conditionalFormatting>
  <conditionalFormatting sqref="F4:F10 D5:E10 H5:L10">
    <cfRule type="cellIs" dxfId="1" priority="4" operator="lessThan">
      <formula>0</formula>
    </cfRule>
  </conditionalFormatting>
  <conditionalFormatting sqref="G14:O20">
    <cfRule type="cellIs" dxfId="0" priority="1" operator="notBetween">
      <formula>#REF!</formula>
      <formula>#REF!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0B0AF-DF33-4683-8DF7-E30F4B469B12}">
  <sheetPr>
    <tabColor theme="0" tint="-0.14999847407452621"/>
  </sheetPr>
  <dimension ref="B2:L13"/>
  <sheetViews>
    <sheetView topLeftCell="F3" zoomScale="111" workbookViewId="0">
      <selection activeCell="J8" sqref="J8"/>
    </sheetView>
  </sheetViews>
  <sheetFormatPr baseColWidth="10" defaultColWidth="8.6640625" defaultRowHeight="13" x14ac:dyDescent="0.15"/>
  <cols>
    <col min="1" max="1" width="8.6640625" style="462"/>
    <col min="2" max="3" width="8.6640625" style="462" bestFit="1" customWidth="1"/>
    <col min="4" max="5" width="12.6640625" style="462" customWidth="1"/>
    <col min="6" max="6" width="16.5" style="462" bestFit="1" customWidth="1"/>
    <col min="7" max="12" width="8.6640625" style="462" bestFit="1" customWidth="1"/>
    <col min="13" max="16384" width="8.6640625" style="462"/>
  </cols>
  <sheetData>
    <row r="2" spans="2:12" ht="27" customHeight="1" thickBot="1" x14ac:dyDescent="0.2">
      <c r="B2" s="839" t="s">
        <v>1079</v>
      </c>
      <c r="C2" s="842" t="s">
        <v>1080</v>
      </c>
      <c r="D2" s="842" t="s">
        <v>1081</v>
      </c>
      <c r="E2" s="842" t="s">
        <v>1082</v>
      </c>
      <c r="F2" s="470" t="s">
        <v>1083</v>
      </c>
      <c r="G2" s="470" t="s">
        <v>1084</v>
      </c>
      <c r="H2" s="470" t="s">
        <v>1085</v>
      </c>
      <c r="I2" s="470" t="s">
        <v>1086</v>
      </c>
      <c r="J2" s="845" t="s">
        <v>1087</v>
      </c>
      <c r="K2" s="846"/>
      <c r="L2" s="847"/>
    </row>
    <row r="3" spans="2:12" ht="30.5" customHeight="1" x14ac:dyDescent="0.15">
      <c r="B3" s="840"/>
      <c r="C3" s="843"/>
      <c r="D3" s="843"/>
      <c r="E3" s="843"/>
      <c r="F3" s="471" t="s">
        <v>1088</v>
      </c>
      <c r="G3" s="471" t="s">
        <v>1089</v>
      </c>
      <c r="H3" s="471" t="s">
        <v>1090</v>
      </c>
      <c r="I3" s="471" t="s">
        <v>1089</v>
      </c>
      <c r="J3" s="472" t="s">
        <v>1091</v>
      </c>
      <c r="K3" s="472" t="s">
        <v>1091</v>
      </c>
      <c r="L3" s="473" t="s">
        <v>1092</v>
      </c>
    </row>
    <row r="4" spans="2:12" ht="36" customHeight="1" x14ac:dyDescent="0.15">
      <c r="B4" s="841"/>
      <c r="C4" s="844"/>
      <c r="D4" s="844"/>
      <c r="E4" s="844"/>
      <c r="F4" s="475"/>
      <c r="G4" s="475"/>
      <c r="H4" s="475"/>
      <c r="I4" s="475"/>
      <c r="J4" s="474" t="s">
        <v>1093</v>
      </c>
      <c r="K4" s="474" t="s">
        <v>1094</v>
      </c>
      <c r="L4" s="476" t="s">
        <v>1095</v>
      </c>
    </row>
    <row r="5" spans="2:12" x14ac:dyDescent="0.15">
      <c r="B5" s="477" t="s">
        <v>1096</v>
      </c>
      <c r="C5" s="478">
        <v>45728</v>
      </c>
      <c r="D5" s="477" t="s">
        <v>1097</v>
      </c>
      <c r="E5" s="477" t="s">
        <v>1098</v>
      </c>
      <c r="F5" s="477" t="s">
        <v>518</v>
      </c>
      <c r="G5" s="480">
        <v>2000</v>
      </c>
      <c r="H5" s="477" t="s">
        <v>1057</v>
      </c>
      <c r="I5" s="480" t="s">
        <v>1057</v>
      </c>
      <c r="J5" s="479" t="s">
        <v>1057</v>
      </c>
      <c r="K5" s="479" t="s">
        <v>1057</v>
      </c>
      <c r="L5" s="479" t="s">
        <v>1057</v>
      </c>
    </row>
    <row r="6" spans="2:12" x14ac:dyDescent="0.15">
      <c r="B6" s="477" t="s">
        <v>1096</v>
      </c>
      <c r="C6" s="478">
        <v>45883</v>
      </c>
      <c r="D6" s="477" t="s">
        <v>1099</v>
      </c>
      <c r="E6" s="477" t="s">
        <v>1100</v>
      </c>
      <c r="F6" s="477" t="s">
        <v>608</v>
      </c>
      <c r="G6" s="480">
        <v>2862.16</v>
      </c>
      <c r="H6" s="477">
        <v>100</v>
      </c>
      <c r="I6" s="480">
        <v>2862.16</v>
      </c>
      <c r="J6" s="479" t="s">
        <v>1057</v>
      </c>
      <c r="K6" s="479" t="s">
        <v>1057</v>
      </c>
      <c r="L6" s="479" t="s">
        <v>1057</v>
      </c>
    </row>
    <row r="7" spans="2:12" x14ac:dyDescent="0.15">
      <c r="B7" s="477" t="s">
        <v>1096</v>
      </c>
      <c r="C7" s="478" t="s">
        <v>1057</v>
      </c>
      <c r="D7" s="477" t="s">
        <v>1101</v>
      </c>
      <c r="E7" s="477" t="s">
        <v>1102</v>
      </c>
      <c r="F7" s="477" t="s">
        <v>646</v>
      </c>
      <c r="G7" s="480">
        <v>10549.749663000001</v>
      </c>
      <c r="H7" s="477">
        <v>100</v>
      </c>
      <c r="I7" s="480">
        <v>3864.0925179999999</v>
      </c>
      <c r="J7" s="479">
        <v>2.920534</v>
      </c>
      <c r="K7" s="479">
        <v>3.7752949999999998</v>
      </c>
      <c r="L7" s="479">
        <v>12.752565000000001</v>
      </c>
    </row>
    <row r="8" spans="2:12" x14ac:dyDescent="0.15">
      <c r="B8" s="477" t="s">
        <v>1096</v>
      </c>
      <c r="C8" s="478">
        <v>43952</v>
      </c>
      <c r="D8" s="477" t="s">
        <v>1228</v>
      </c>
      <c r="E8" s="477" t="s">
        <v>1100</v>
      </c>
      <c r="F8" s="477" t="s">
        <v>699</v>
      </c>
      <c r="G8" s="480">
        <v>75</v>
      </c>
      <c r="H8" s="477">
        <v>100</v>
      </c>
      <c r="I8" s="480">
        <v>75</v>
      </c>
      <c r="J8" s="479">
        <v>5</v>
      </c>
      <c r="K8" s="479">
        <v>15</v>
      </c>
      <c r="L8" s="479" t="s">
        <v>1057</v>
      </c>
    </row>
    <row r="9" spans="2:12" x14ac:dyDescent="0.15">
      <c r="B9" s="477" t="s">
        <v>1096</v>
      </c>
      <c r="C9" s="478">
        <v>43497</v>
      </c>
      <c r="D9" s="477" t="s">
        <v>1229</v>
      </c>
      <c r="E9" s="477" t="s">
        <v>1230</v>
      </c>
      <c r="F9" s="477" t="s">
        <v>1231</v>
      </c>
      <c r="G9" s="480">
        <v>100</v>
      </c>
      <c r="H9" s="477">
        <v>100</v>
      </c>
      <c r="I9" s="480">
        <v>100</v>
      </c>
      <c r="J9" s="479">
        <v>5</v>
      </c>
      <c r="K9" s="479">
        <v>16.7</v>
      </c>
      <c r="L9" s="479" t="s">
        <v>1057</v>
      </c>
    </row>
    <row r="10" spans="2:12" x14ac:dyDescent="0.15">
      <c r="B10" s="477" t="s">
        <v>1096</v>
      </c>
      <c r="C10" s="478">
        <v>44470</v>
      </c>
      <c r="D10" s="477" t="s">
        <v>1232</v>
      </c>
      <c r="E10" s="477" t="s">
        <v>1233</v>
      </c>
      <c r="F10" s="477" t="s">
        <v>699</v>
      </c>
      <c r="G10" s="480">
        <v>2100</v>
      </c>
      <c r="H10" s="477">
        <v>100</v>
      </c>
      <c r="I10" s="480">
        <v>2100</v>
      </c>
      <c r="J10" s="479">
        <v>2.4</v>
      </c>
      <c r="K10" s="479" t="s">
        <v>1057</v>
      </c>
      <c r="L10" s="479" t="s">
        <v>1057</v>
      </c>
    </row>
    <row r="11" spans="2:12" x14ac:dyDescent="0.15">
      <c r="H11" s="477">
        <v>100</v>
      </c>
    </row>
    <row r="12" spans="2:12" x14ac:dyDescent="0.15">
      <c r="I12" s="462" t="s">
        <v>1078</v>
      </c>
      <c r="J12" s="481">
        <f>MEDIAN(J5:J10)</f>
        <v>3.960267</v>
      </c>
      <c r="K12" s="482">
        <f t="shared" ref="K12:L12" si="0">MEDIAN(K5:K10)</f>
        <v>15</v>
      </c>
      <c r="L12" s="483">
        <f t="shared" si="0"/>
        <v>12.752565000000001</v>
      </c>
    </row>
    <row r="13" spans="2:12" x14ac:dyDescent="0.15">
      <c r="I13" s="462" t="s">
        <v>213</v>
      </c>
      <c r="J13" s="484">
        <f>AVERAGE(J5:J10)</f>
        <v>3.8301335000000001</v>
      </c>
      <c r="K13" s="485">
        <f t="shared" ref="K13:L13" si="1">AVERAGE(K5:K10)</f>
        <v>11.825098333333335</v>
      </c>
      <c r="L13" s="486">
        <f t="shared" si="1"/>
        <v>12.752565000000001</v>
      </c>
    </row>
  </sheetData>
  <mergeCells count="5">
    <mergeCell ref="B2:B4"/>
    <mergeCell ref="C2:C4"/>
    <mergeCell ref="D2:D4"/>
    <mergeCell ref="E2:E4"/>
    <mergeCell ref="J2:L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290F3155F7054B808EDC5A7C8FDC24" ma:contentTypeVersion="3" ma:contentTypeDescription="Create a new document." ma:contentTypeScope="" ma:versionID="5830acf17b3e60f24d1cfe91584d0ac8">
  <xsd:schema xmlns:xsd="http://www.w3.org/2001/XMLSchema" xmlns:xs="http://www.w3.org/2001/XMLSchema" xmlns:p="http://schemas.microsoft.com/office/2006/metadata/properties" xmlns:ns2="4d8828f7-81f2-475d-94ca-fd0168609a34" targetNamespace="http://schemas.microsoft.com/office/2006/metadata/properties" ma:root="true" ma:fieldsID="f377a2529f14715055f84ec4920aab9e" ns2:_="">
    <xsd:import namespace="4d8828f7-81f2-475d-94ca-fd0168609a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828f7-81f2-475d-94ca-fd0168609a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4DDDBE-0923-4EC0-B7B5-3BE902222229}">
  <ds:schemaRefs>
    <ds:schemaRef ds:uri="http://purl.org/dc/terms/"/>
    <ds:schemaRef ds:uri="http://purl.org/dc/elements/1.1/"/>
    <ds:schemaRef ds:uri="4d8828f7-81f2-475d-94ca-fd0168609a34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67419B16-A747-46AD-A734-C0C4326B40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63822C-E056-4669-8ED5-CA3E25EA1F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8828f7-81f2-475d-94ca-fd0168609a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Cover Page</vt:lpstr>
      <vt:lpstr>Valuation&gt;</vt:lpstr>
      <vt:lpstr>3FS</vt:lpstr>
      <vt:lpstr>Debt</vt:lpstr>
      <vt:lpstr>WACC</vt:lpstr>
      <vt:lpstr>LBO</vt:lpstr>
      <vt:lpstr>LBO Val</vt:lpstr>
      <vt:lpstr>Projections&gt;</vt:lpstr>
      <vt:lpstr>Revenue Build</vt:lpstr>
      <vt:lpstr>IS &amp; BS Projections</vt:lpstr>
      <vt:lpstr>PPE</vt:lpstr>
      <vt:lpstr>Intangibles</vt:lpstr>
      <vt:lpstr>D&amp;E Schedule</vt:lpstr>
      <vt:lpstr>Reference&gt;</vt:lpstr>
      <vt:lpstr>Damodaran</vt:lpstr>
      <vt:lpstr>Macro Data</vt:lpstr>
      <vt:lpstr>Reference (Capital Structure)</vt:lpstr>
      <vt:lpstr>Charts for Deck</vt:lpstr>
      <vt:lpstr>Deck Data &amp; Charts</vt:lpstr>
      <vt:lpstr>Staking AUM</vt:lpstr>
      <vt:lpstr>Trading Comps_Raw</vt:lpstr>
      <vt:lpstr>Comps Export</vt:lpstr>
      <vt:lpstr>Precedent Transactions Export</vt:lpstr>
      <vt:lpstr>'LBO Val'!Hist_Year</vt:lpstr>
      <vt:lpstr>'LBO Val'!LTM_EBITDA</vt:lpstr>
      <vt:lpstr>'LBO Val'!Min_Cash</vt:lpstr>
      <vt:lpstr>'3FS'!Print_Area</vt:lpstr>
      <vt:lpstr>'Cover Page'!Print_Area</vt:lpstr>
      <vt:lpstr>'LBO Val'!Print_Area</vt:lpstr>
      <vt:lpstr>'LBO Val'!Purchase_Multiple</vt:lpstr>
      <vt:lpstr>'LBO Val'!Sponsor_Equity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Dillon Heng Jing</dc:creator>
  <cp:keywords/>
  <dc:description/>
  <cp:lastModifiedBy>Song In Gyu</cp:lastModifiedBy>
  <cp:revision/>
  <dcterms:created xsi:type="dcterms:W3CDTF">2026-03-20T14:54:45Z</dcterms:created>
  <dcterms:modified xsi:type="dcterms:W3CDTF">2026-04-18T08:35:04Z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0x0101003F290F3155F7054B808EDC5A7C8FDC24</vt:lpwstr>
  </property>
  <property fmtid="{D5CDD505-2E9C-101B-9397-08002B2CF9AE}" pid="3" name="{A44787D4-0540-4523-9961-78E4036D8C6D}">
    <vt:lpwstr>{906EE98A-B471-4DEF-84EC-B8A362240298}</vt:lpwstr>
  </property>
</Properties>
</file>