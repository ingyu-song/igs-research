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02"/>
  <workbookPr/>
  <mc:AlternateContent xmlns:mc="http://schemas.openxmlformats.org/markup-compatibility/2006">
    <mc:Choice Requires="x15">
      <x15ac:absPath xmlns:x15ac="http://schemas.microsoft.com/office/spreadsheetml/2010/11/ac" url="/Users/andysong1616/Desktop/Year 3 Sem 1/7. Archive/1. Grab/Submission/"/>
    </mc:Choice>
  </mc:AlternateContent>
  <xr:revisionPtr revIDLastSave="0" documentId="13_ncr:1_{4C336C74-2002-304D-903D-3229542AAAAF}" xr6:coauthVersionLast="47" xr6:coauthVersionMax="47" xr10:uidLastSave="{00000000-0000-0000-0000-000000000000}"/>
  <bookViews>
    <workbookView xWindow="0" yWindow="760" windowWidth="29400" windowHeight="16980" firstSheet="19" activeTab="23" xr2:uid="{8B2B7D1A-28FE-4FC8-B88A-01FB7CC6372D}"/>
  </bookViews>
  <sheets>
    <sheet name="Cover" sheetId="1" r:id="rId1"/>
    <sheet name="Valuations&gt;&gt;" sheetId="20" r:id="rId2"/>
    <sheet name="3FS" sheetId="2" r:id="rId3"/>
    <sheet name="WACC" sheetId="24" r:id="rId4"/>
    <sheet name="Trading Comps" sheetId="21" r:id="rId5"/>
    <sheet name="DCF" sheetId="26" r:id="rId6"/>
    <sheet name="Reverse DCF" sheetId="30" r:id="rId7"/>
    <sheet name="Terminal Growth Rate" sheetId="28" r:id="rId8"/>
    <sheet name="Drivers&gt;&gt;" sheetId="19" r:id="rId9"/>
    <sheet name="Debt &amp; Equity" sheetId="17" r:id="rId10"/>
    <sheet name="Goodwill &amp; Intangibles" sheetId="16" r:id="rId11"/>
    <sheet name="Projections" sheetId="15" r:id="rId12"/>
    <sheet name="PPE" sheetId="14" r:id="rId13"/>
    <sheet name="Revenue Build" sheetId="6" r:id="rId14"/>
    <sheet name="References &gt;&gt;" sheetId="18" r:id="rId15"/>
    <sheet name="Middle Class" sheetId="37" r:id="rId16"/>
    <sheet name="Penetration Rates" sheetId="38" r:id="rId17"/>
    <sheet name="Consensus Estimates" sheetId="36" r:id="rId18"/>
    <sheet name="T3 Modelling" sheetId="31" r:id="rId19"/>
    <sheet name="Tourism" sheetId="32" r:id="rId20"/>
    <sheet name="Car Ownership" sheetId="39" r:id="rId21"/>
    <sheet name="GDP Growth Rates" sheetId="27" r:id="rId22"/>
    <sheet name="Financial Data" sheetId="23" r:id="rId23"/>
    <sheet name="Damodaran" sheetId="25" r:id="rId24"/>
    <sheet name="Raw Trading Comps" sheetId="22" r:id="rId25"/>
    <sheet name="Mobile Payments" sheetId="13" r:id="rId26"/>
    <sheet name="Tourism Spending" sheetId="11" r:id="rId27"/>
    <sheet name="Consumer Expenditure" sheetId="10" r:id="rId28"/>
    <sheet name="Inflation Data" sheetId="8" r:id="rId29"/>
  </sheets>
  <externalReferences>
    <externalReference r:id="rId30"/>
    <externalReference r:id="rId31"/>
  </externalReferences>
  <calcPr calcId="191028" iterate="1" iterateDelta="9.999999999999445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0" i="2" l="1"/>
  <c r="F40" i="2"/>
  <c r="G40" i="2"/>
  <c r="H40" i="2"/>
  <c r="D40" i="2"/>
  <c r="K304" i="6" l="1"/>
  <c r="E68" i="17" l="1"/>
  <c r="E50" i="17"/>
  <c r="N23" i="30" l="1"/>
  <c r="M23" i="30"/>
  <c r="D58" i="30"/>
  <c r="E57" i="30"/>
  <c r="N38" i="30"/>
  <c r="N52" i="30"/>
  <c r="E70" i="21"/>
  <c r="H50" i="24" l="1"/>
  <c r="K58" i="6" l="1"/>
  <c r="K192" i="6"/>
  <c r="L58" i="6" l="1"/>
  <c r="M58" i="6" s="1"/>
  <c r="N58" i="6" s="1"/>
  <c r="O58" i="6" s="1"/>
  <c r="O437" i="6"/>
  <c r="N437" i="6"/>
  <c r="M437" i="6"/>
  <c r="L437" i="6"/>
  <c r="K437" i="6"/>
  <c r="O431" i="6"/>
  <c r="N431" i="6"/>
  <c r="M431" i="6"/>
  <c r="L431" i="6"/>
  <c r="K431" i="6"/>
  <c r="O425" i="6"/>
  <c r="N425" i="6"/>
  <c r="M425" i="6"/>
  <c r="L425" i="6"/>
  <c r="K425" i="6"/>
  <c r="O419" i="6"/>
  <c r="N419" i="6"/>
  <c r="M419" i="6"/>
  <c r="L419" i="6"/>
  <c r="K419" i="6"/>
  <c r="O413" i="6"/>
  <c r="N413" i="6"/>
  <c r="M413" i="6"/>
  <c r="L413" i="6"/>
  <c r="K413" i="6"/>
  <c r="O407" i="6"/>
  <c r="N407" i="6"/>
  <c r="M407" i="6"/>
  <c r="L407" i="6"/>
  <c r="K407" i="6"/>
  <c r="L401" i="6"/>
  <c r="M401" i="6"/>
  <c r="N401" i="6"/>
  <c r="O401" i="6"/>
  <c r="K401" i="6"/>
  <c r="O390" i="6"/>
  <c r="N390" i="6"/>
  <c r="M390" i="6"/>
  <c r="L390" i="6"/>
  <c r="K390" i="6"/>
  <c r="O384" i="6"/>
  <c r="N384" i="6"/>
  <c r="M384" i="6"/>
  <c r="L384" i="6"/>
  <c r="K384" i="6"/>
  <c r="O378" i="6"/>
  <c r="N378" i="6"/>
  <c r="M378" i="6"/>
  <c r="L378" i="6"/>
  <c r="K378" i="6"/>
  <c r="O372" i="6"/>
  <c r="N372" i="6"/>
  <c r="M372" i="6"/>
  <c r="L372" i="6"/>
  <c r="K372" i="6"/>
  <c r="O366" i="6"/>
  <c r="N366" i="6"/>
  <c r="M366" i="6"/>
  <c r="L366" i="6"/>
  <c r="K366" i="6"/>
  <c r="O360" i="6"/>
  <c r="N360" i="6"/>
  <c r="M360" i="6"/>
  <c r="L360" i="6"/>
  <c r="K360" i="6"/>
  <c r="L354" i="6"/>
  <c r="M354" i="6"/>
  <c r="N354" i="6"/>
  <c r="O354" i="6"/>
  <c r="K354" i="6"/>
  <c r="O151" i="6"/>
  <c r="N151" i="6"/>
  <c r="M151" i="6"/>
  <c r="L151" i="6"/>
  <c r="K151" i="6"/>
  <c r="O145" i="6"/>
  <c r="N145" i="6"/>
  <c r="M145" i="6"/>
  <c r="L145" i="6"/>
  <c r="K145" i="6"/>
  <c r="O139" i="6"/>
  <c r="N139" i="6"/>
  <c r="M139" i="6"/>
  <c r="L139" i="6"/>
  <c r="K139" i="6"/>
  <c r="O133" i="6"/>
  <c r="N133" i="6"/>
  <c r="M133" i="6"/>
  <c r="L133" i="6"/>
  <c r="K133" i="6"/>
  <c r="O127" i="6"/>
  <c r="N127" i="6"/>
  <c r="M127" i="6"/>
  <c r="L127" i="6"/>
  <c r="K127" i="6"/>
  <c r="O121" i="6"/>
  <c r="N121" i="6"/>
  <c r="M121" i="6"/>
  <c r="L121" i="6"/>
  <c r="K121" i="6"/>
  <c r="L115" i="6"/>
  <c r="M115" i="6"/>
  <c r="N115" i="6"/>
  <c r="O115" i="6"/>
  <c r="K115" i="6"/>
  <c r="O104" i="6"/>
  <c r="N104" i="6"/>
  <c r="M104" i="6"/>
  <c r="L104" i="6"/>
  <c r="K104" i="6"/>
  <c r="O98" i="6"/>
  <c r="N98" i="6"/>
  <c r="M98" i="6"/>
  <c r="L98" i="6"/>
  <c r="K98" i="6"/>
  <c r="O92" i="6"/>
  <c r="N92" i="6"/>
  <c r="M92" i="6"/>
  <c r="L92" i="6"/>
  <c r="K92" i="6"/>
  <c r="O86" i="6"/>
  <c r="N86" i="6"/>
  <c r="M86" i="6"/>
  <c r="L86" i="6"/>
  <c r="K86" i="6"/>
  <c r="O80" i="6"/>
  <c r="N80" i="6"/>
  <c r="M80" i="6"/>
  <c r="L80" i="6"/>
  <c r="K80" i="6"/>
  <c r="O74" i="6"/>
  <c r="N74" i="6"/>
  <c r="M74" i="6"/>
  <c r="L74" i="6"/>
  <c r="K74" i="6"/>
  <c r="L68" i="6"/>
  <c r="M68" i="6"/>
  <c r="N68" i="6"/>
  <c r="O68" i="6"/>
  <c r="K68" i="6"/>
  <c r="O285" i="6"/>
  <c r="N285" i="6"/>
  <c r="M285" i="6"/>
  <c r="L285" i="6"/>
  <c r="K285" i="6"/>
  <c r="O279" i="6"/>
  <c r="N279" i="6"/>
  <c r="M279" i="6"/>
  <c r="L279" i="6"/>
  <c r="K279" i="6"/>
  <c r="O273" i="6"/>
  <c r="N273" i="6"/>
  <c r="M273" i="6"/>
  <c r="L273" i="6"/>
  <c r="K273" i="6"/>
  <c r="O267" i="6"/>
  <c r="N267" i="6"/>
  <c r="M267" i="6"/>
  <c r="L267" i="6"/>
  <c r="K267" i="6"/>
  <c r="O261" i="6"/>
  <c r="N261" i="6"/>
  <c r="M261" i="6"/>
  <c r="L261" i="6"/>
  <c r="K261" i="6"/>
  <c r="O255" i="6"/>
  <c r="N255" i="6"/>
  <c r="M255" i="6"/>
  <c r="L255" i="6"/>
  <c r="K255" i="6"/>
  <c r="L249" i="6"/>
  <c r="M249" i="6"/>
  <c r="N249" i="6"/>
  <c r="O249" i="6"/>
  <c r="K249" i="6"/>
  <c r="O238" i="6"/>
  <c r="N238" i="6"/>
  <c r="M238" i="6"/>
  <c r="L238" i="6"/>
  <c r="K238" i="6"/>
  <c r="O232" i="6"/>
  <c r="N232" i="6"/>
  <c r="M232" i="6"/>
  <c r="L232" i="6"/>
  <c r="K232" i="6"/>
  <c r="O226" i="6"/>
  <c r="N226" i="6"/>
  <c r="M226" i="6"/>
  <c r="L226" i="6"/>
  <c r="K226" i="6"/>
  <c r="O220" i="6"/>
  <c r="N220" i="6"/>
  <c r="M220" i="6"/>
  <c r="L220" i="6"/>
  <c r="K220" i="6"/>
  <c r="O214" i="6"/>
  <c r="N214" i="6"/>
  <c r="M214" i="6"/>
  <c r="L214" i="6"/>
  <c r="K214" i="6"/>
  <c r="L208" i="6"/>
  <c r="M208" i="6"/>
  <c r="N208" i="6"/>
  <c r="O208" i="6"/>
  <c r="L202" i="6"/>
  <c r="M202" i="6"/>
  <c r="N202" i="6"/>
  <c r="O202" i="6"/>
  <c r="K202" i="6"/>
  <c r="B2" i="1" l="1"/>
  <c r="J44" i="31" l="1"/>
  <c r="J51" i="31" s="1"/>
  <c r="K44" i="31"/>
  <c r="K51" i="31" s="1"/>
  <c r="L44" i="31"/>
  <c r="L45" i="31" s="1"/>
  <c r="M44" i="31"/>
  <c r="M45" i="31" s="1"/>
  <c r="N44" i="31"/>
  <c r="N48" i="31" s="1"/>
  <c r="O44" i="31"/>
  <c r="O48" i="31" s="1"/>
  <c r="I44" i="31"/>
  <c r="I51" i="31" s="1"/>
  <c r="J33" i="31"/>
  <c r="J37" i="31" s="1"/>
  <c r="K33" i="31"/>
  <c r="K34" i="31" s="1"/>
  <c r="L33" i="31"/>
  <c r="L34" i="31" s="1"/>
  <c r="M33" i="31"/>
  <c r="M37" i="31" s="1"/>
  <c r="N33" i="31"/>
  <c r="N40" i="31" s="1"/>
  <c r="O33" i="31"/>
  <c r="I33" i="31"/>
  <c r="K26" i="31"/>
  <c r="L26" i="31" s="1"/>
  <c r="M26" i="31" s="1"/>
  <c r="N26" i="31" s="1"/>
  <c r="O26" i="31" s="1"/>
  <c r="H26" i="31"/>
  <c r="I26" i="31"/>
  <c r="J26" i="31"/>
  <c r="G26" i="31"/>
  <c r="H17" i="31"/>
  <c r="I17" i="31"/>
  <c r="J17" i="31"/>
  <c r="K17" i="31"/>
  <c r="L17" i="31"/>
  <c r="M17" i="31"/>
  <c r="N17" i="31"/>
  <c r="O17" i="31"/>
  <c r="G17" i="31"/>
  <c r="O22" i="31"/>
  <c r="K22" i="31"/>
  <c r="L22" i="31"/>
  <c r="M22" i="31"/>
  <c r="M23" i="31" s="1"/>
  <c r="N22" i="31"/>
  <c r="N23" i="31" s="1"/>
  <c r="G22" i="31"/>
  <c r="G19" i="31" s="1"/>
  <c r="G28" i="31" s="1"/>
  <c r="G29" i="31" s="1"/>
  <c r="H22" i="31"/>
  <c r="I22" i="31"/>
  <c r="J22" i="31"/>
  <c r="F22" i="31"/>
  <c r="F19" i="31" s="1"/>
  <c r="F28" i="31" s="1"/>
  <c r="F29" i="31" s="1"/>
  <c r="G6" i="31"/>
  <c r="H6" i="31" s="1"/>
  <c r="I6" i="31" s="1"/>
  <c r="J6" i="31" s="1"/>
  <c r="K6" i="31" s="1"/>
  <c r="L6" i="31" s="1"/>
  <c r="M6" i="31" s="1"/>
  <c r="N6" i="31" s="1"/>
  <c r="O6" i="31" s="1"/>
  <c r="C6" i="31"/>
  <c r="E4" i="31"/>
  <c r="C1" i="31"/>
  <c r="L23" i="31" l="1"/>
  <c r="O45" i="31"/>
  <c r="K48" i="31"/>
  <c r="L51" i="31"/>
  <c r="M48" i="31"/>
  <c r="N45" i="31"/>
  <c r="L48" i="31"/>
  <c r="O51" i="31"/>
  <c r="M40" i="31"/>
  <c r="K45" i="31"/>
  <c r="N51" i="31"/>
  <c r="O34" i="31"/>
  <c r="I48" i="31"/>
  <c r="M51" i="31"/>
  <c r="J34" i="31"/>
  <c r="L40" i="31"/>
  <c r="N34" i="31"/>
  <c r="K40" i="31"/>
  <c r="J48" i="31"/>
  <c r="H23" i="31"/>
  <c r="J40" i="31"/>
  <c r="J45" i="31"/>
  <c r="O37" i="31"/>
  <c r="L37" i="31"/>
  <c r="K37" i="31"/>
  <c r="J23" i="31"/>
  <c r="I40" i="31"/>
  <c r="N37" i="31"/>
  <c r="I23" i="31"/>
  <c r="I37" i="31"/>
  <c r="O40" i="31"/>
  <c r="M34" i="31"/>
  <c r="G20" i="31"/>
  <c r="J19" i="31"/>
  <c r="J28" i="31" s="1"/>
  <c r="J29" i="31" s="1"/>
  <c r="I19" i="31"/>
  <c r="I28" i="31" s="1"/>
  <c r="I29" i="31" s="1"/>
  <c r="H19" i="31"/>
  <c r="K25" i="31"/>
  <c r="K23" i="31"/>
  <c r="G23" i="31"/>
  <c r="O23" i="31"/>
  <c r="I66" i="26"/>
  <c r="H66" i="26"/>
  <c r="E66" i="26"/>
  <c r="F66" i="26"/>
  <c r="D70" i="26"/>
  <c r="D71" i="26" s="1"/>
  <c r="D68" i="26"/>
  <c r="D67" i="26" s="1"/>
  <c r="I58" i="26"/>
  <c r="H58" i="26"/>
  <c r="E58" i="26"/>
  <c r="F58" i="26"/>
  <c r="D62" i="26"/>
  <c r="D63" i="26" s="1"/>
  <c r="D60" i="26"/>
  <c r="D59" i="26" s="1"/>
  <c r="H20" i="31" l="1"/>
  <c r="H28" i="31"/>
  <c r="H29" i="31" s="1"/>
  <c r="J20" i="31"/>
  <c r="L25" i="31"/>
  <c r="K19" i="31"/>
  <c r="I20" i="31"/>
  <c r="E99" i="26"/>
  <c r="E100" i="26"/>
  <c r="E101" i="26"/>
  <c r="E102" i="26"/>
  <c r="E98" i="26"/>
  <c r="E39" i="24"/>
  <c r="J38" i="24"/>
  <c r="I37" i="24"/>
  <c r="I36" i="24"/>
  <c r="H37" i="24"/>
  <c r="H36" i="24"/>
  <c r="K28" i="31" l="1"/>
  <c r="K29" i="31" s="1"/>
  <c r="K20" i="31"/>
  <c r="M25" i="31"/>
  <c r="L19" i="31"/>
  <c r="D52" i="30"/>
  <c r="D45" i="30"/>
  <c r="D48" i="30"/>
  <c r="D38" i="30"/>
  <c r="K20" i="30"/>
  <c r="L20" i="30"/>
  <c r="M20" i="30"/>
  <c r="N20" i="30"/>
  <c r="J20" i="30"/>
  <c r="F8" i="30"/>
  <c r="G8" i="30" s="1"/>
  <c r="H8" i="30" s="1"/>
  <c r="I8" i="30" s="1"/>
  <c r="J8" i="30" s="1"/>
  <c r="K8" i="30" s="1"/>
  <c r="L8" i="30" s="1"/>
  <c r="M8" i="30" s="1"/>
  <c r="N8" i="30" s="1"/>
  <c r="F7" i="30"/>
  <c r="G7" i="30" s="1"/>
  <c r="H7" i="30" s="1"/>
  <c r="I7" i="30" s="1"/>
  <c r="J7" i="30" s="1"/>
  <c r="K7" i="30" s="1"/>
  <c r="L7" i="30" s="1"/>
  <c r="M7" i="30" s="1"/>
  <c r="N7" i="30" s="1"/>
  <c r="C7" i="30"/>
  <c r="C1" i="30"/>
  <c r="N52" i="26"/>
  <c r="D52" i="26"/>
  <c r="L28" i="31" l="1"/>
  <c r="L29" i="31" s="1"/>
  <c r="L20" i="31"/>
  <c r="N25" i="31"/>
  <c r="M19" i="31"/>
  <c r="J32" i="30"/>
  <c r="K32" i="30" s="1"/>
  <c r="L32" i="30" s="1"/>
  <c r="M32" i="30" s="1"/>
  <c r="N32" i="30" s="1"/>
  <c r="E4" i="6"/>
  <c r="F4" i="14"/>
  <c r="E4" i="17"/>
  <c r="F4" i="16"/>
  <c r="F4" i="15"/>
  <c r="C4" i="28"/>
  <c r="B1" i="28"/>
  <c r="D93" i="26"/>
  <c r="D87" i="26"/>
  <c r="D80" i="26"/>
  <c r="G243" i="6"/>
  <c r="H243" i="6"/>
  <c r="I243" i="6"/>
  <c r="J243" i="6"/>
  <c r="F243" i="6"/>
  <c r="J190" i="6"/>
  <c r="I190" i="6"/>
  <c r="H190" i="6"/>
  <c r="G190" i="6"/>
  <c r="G109" i="6"/>
  <c r="H109" i="6"/>
  <c r="I109" i="6"/>
  <c r="J109" i="6"/>
  <c r="F109" i="6"/>
  <c r="J56" i="6"/>
  <c r="I56" i="6"/>
  <c r="H56" i="6"/>
  <c r="G56" i="6"/>
  <c r="N293" i="28"/>
  <c r="L289" i="28"/>
  <c r="L290" i="28"/>
  <c r="L291" i="28"/>
  <c r="L292" i="28"/>
  <c r="L293" i="28"/>
  <c r="L294" i="28"/>
  <c r="L288" i="28"/>
  <c r="D276" i="28"/>
  <c r="E276" i="28" s="1"/>
  <c r="F276" i="28" s="1"/>
  <c r="G276" i="28" s="1"/>
  <c r="H276" i="28" s="1"/>
  <c r="I276" i="28" s="1"/>
  <c r="J276" i="28" s="1"/>
  <c r="K276" i="28" s="1"/>
  <c r="L276" i="28" s="1"/>
  <c r="M276" i="28" s="1"/>
  <c r="N276" i="28" s="1"/>
  <c r="O276" i="28" s="1"/>
  <c r="P276" i="28" s="1"/>
  <c r="Q276" i="28" s="1"/>
  <c r="R276" i="28" s="1"/>
  <c r="S276" i="28" s="1"/>
  <c r="T276" i="28" s="1"/>
  <c r="U276" i="28" s="1"/>
  <c r="V276" i="28" s="1"/>
  <c r="G9" i="28"/>
  <c r="H9" i="28"/>
  <c r="I9" i="28"/>
  <c r="J9" i="28"/>
  <c r="K9" i="28"/>
  <c r="L9" i="28"/>
  <c r="M9" i="28"/>
  <c r="N9" i="28"/>
  <c r="O9" i="28"/>
  <c r="P9" i="28"/>
  <c r="Q9" i="28"/>
  <c r="R9" i="28"/>
  <c r="S9" i="28"/>
  <c r="T9" i="28"/>
  <c r="U9" i="28"/>
  <c r="V9" i="28"/>
  <c r="W9" i="28"/>
  <c r="X9" i="28"/>
  <c r="Y9" i="28"/>
  <c r="G10" i="28"/>
  <c r="H10" i="28"/>
  <c r="I10" i="28"/>
  <c r="J10" i="28"/>
  <c r="K10" i="28"/>
  <c r="L10" i="28"/>
  <c r="M10" i="28"/>
  <c r="N10" i="28"/>
  <c r="O10" i="28"/>
  <c r="P10" i="28"/>
  <c r="Q10" i="28"/>
  <c r="R10" i="28"/>
  <c r="S10" i="28"/>
  <c r="T10" i="28"/>
  <c r="U10" i="28"/>
  <c r="V10" i="28"/>
  <c r="W10" i="28"/>
  <c r="X10" i="28"/>
  <c r="Y10" i="28"/>
  <c r="G11" i="28"/>
  <c r="H11" i="28"/>
  <c r="I11" i="28"/>
  <c r="J11" i="28"/>
  <c r="K11" i="28"/>
  <c r="L11" i="28"/>
  <c r="M11" i="28"/>
  <c r="N11" i="28"/>
  <c r="O11" i="28"/>
  <c r="P11" i="28"/>
  <c r="Q11" i="28"/>
  <c r="R11" i="28"/>
  <c r="S11" i="28"/>
  <c r="T11" i="28"/>
  <c r="U11" i="28"/>
  <c r="V11" i="28"/>
  <c r="W11" i="28"/>
  <c r="X11" i="28"/>
  <c r="Y11" i="28"/>
  <c r="G12" i="28"/>
  <c r="H12" i="28"/>
  <c r="I12" i="28"/>
  <c r="J12" i="28"/>
  <c r="K12" i="28"/>
  <c r="L12" i="28"/>
  <c r="M12" i="28"/>
  <c r="N12" i="28"/>
  <c r="O12" i="28"/>
  <c r="P12" i="28"/>
  <c r="Q12" i="28"/>
  <c r="R12" i="28"/>
  <c r="S12" i="28"/>
  <c r="T12" i="28"/>
  <c r="U12" i="28"/>
  <c r="V12" i="28"/>
  <c r="W12" i="28"/>
  <c r="X12" i="28"/>
  <c r="Y12" i="28"/>
  <c r="G13" i="28"/>
  <c r="H13" i="28"/>
  <c r="I13" i="28"/>
  <c r="J13" i="28"/>
  <c r="K13" i="28"/>
  <c r="L13" i="28"/>
  <c r="M13" i="28"/>
  <c r="N13" i="28"/>
  <c r="O13" i="28"/>
  <c r="P13" i="28"/>
  <c r="Q13" i="28"/>
  <c r="R13" i="28"/>
  <c r="S13" i="28"/>
  <c r="T13" i="28"/>
  <c r="U13" i="28"/>
  <c r="V13" i="28"/>
  <c r="W13" i="28"/>
  <c r="X13" i="28"/>
  <c r="Y13" i="28"/>
  <c r="G14" i="28"/>
  <c r="H14" i="28"/>
  <c r="I14" i="28"/>
  <c r="J14" i="28"/>
  <c r="K14" i="28"/>
  <c r="L14" i="28"/>
  <c r="M14" i="28"/>
  <c r="N14" i="28"/>
  <c r="O14" i="28"/>
  <c r="P14" i="28"/>
  <c r="Q14" i="28"/>
  <c r="R14" i="28"/>
  <c r="S14" i="28"/>
  <c r="T14" i="28"/>
  <c r="U14" i="28"/>
  <c r="V14" i="28"/>
  <c r="W14" i="28"/>
  <c r="X14" i="28"/>
  <c r="Y14" i="28"/>
  <c r="G15" i="28"/>
  <c r="H15" i="28"/>
  <c r="I15" i="28"/>
  <c r="J15" i="28"/>
  <c r="K15" i="28"/>
  <c r="L15" i="28"/>
  <c r="M15" i="28"/>
  <c r="N15" i="28"/>
  <c r="O15" i="28"/>
  <c r="P15" i="28"/>
  <c r="Q15" i="28"/>
  <c r="R15" i="28"/>
  <c r="S15" i="28"/>
  <c r="T15" i="28"/>
  <c r="U15" i="28"/>
  <c r="V15" i="28"/>
  <c r="W15" i="28"/>
  <c r="X15" i="28"/>
  <c r="Y15" i="28"/>
  <c r="G16" i="28"/>
  <c r="H16" i="28"/>
  <c r="I16" i="28"/>
  <c r="J16" i="28"/>
  <c r="K16" i="28"/>
  <c r="L16" i="28"/>
  <c r="M16" i="28"/>
  <c r="N16" i="28"/>
  <c r="O16" i="28"/>
  <c r="P16" i="28"/>
  <c r="Q16" i="28"/>
  <c r="R16" i="28"/>
  <c r="S16" i="28"/>
  <c r="T16" i="28"/>
  <c r="U16" i="28"/>
  <c r="V16" i="28"/>
  <c r="W16" i="28"/>
  <c r="X16" i="28"/>
  <c r="Y16" i="28"/>
  <c r="G17" i="28"/>
  <c r="H17" i="28"/>
  <c r="I17" i="28"/>
  <c r="J17" i="28"/>
  <c r="K17" i="28"/>
  <c r="L17" i="28"/>
  <c r="M17" i="28"/>
  <c r="N17" i="28"/>
  <c r="O17" i="28"/>
  <c r="P17" i="28"/>
  <c r="Q17" i="28"/>
  <c r="R17" i="28"/>
  <c r="S17" i="28"/>
  <c r="T17" i="28"/>
  <c r="U17" i="28"/>
  <c r="V17" i="28"/>
  <c r="W17" i="28"/>
  <c r="X17" i="28"/>
  <c r="Y17" i="28"/>
  <c r="G18" i="28"/>
  <c r="H18" i="28"/>
  <c r="I18" i="28"/>
  <c r="J18" i="28"/>
  <c r="K18" i="28"/>
  <c r="L18" i="28"/>
  <c r="M18" i="28"/>
  <c r="N18" i="28"/>
  <c r="O18" i="28"/>
  <c r="P18" i="28"/>
  <c r="Q18" i="28"/>
  <c r="R18" i="28"/>
  <c r="S18" i="28"/>
  <c r="T18" i="28"/>
  <c r="U18" i="28"/>
  <c r="V18" i="28"/>
  <c r="W18" i="28"/>
  <c r="X18" i="28"/>
  <c r="Y18" i="28"/>
  <c r="G19" i="28"/>
  <c r="H19" i="28"/>
  <c r="I19" i="28"/>
  <c r="J19" i="28"/>
  <c r="K19" i="28"/>
  <c r="L19" i="28"/>
  <c r="M19" i="28"/>
  <c r="N19" i="28"/>
  <c r="O19" i="28"/>
  <c r="P19" i="28"/>
  <c r="Q19" i="28"/>
  <c r="R19" i="28"/>
  <c r="S19" i="28"/>
  <c r="T19" i="28"/>
  <c r="U19" i="28"/>
  <c r="V19" i="28"/>
  <c r="W19" i="28"/>
  <c r="X19" i="28"/>
  <c r="Y19" i="28"/>
  <c r="G20" i="28"/>
  <c r="H20" i="28"/>
  <c r="I20" i="28"/>
  <c r="J20" i="28"/>
  <c r="K20" i="28"/>
  <c r="L20" i="28"/>
  <c r="M20" i="28"/>
  <c r="N20" i="28"/>
  <c r="O20" i="28"/>
  <c r="P20" i="28"/>
  <c r="Q20" i="28"/>
  <c r="R20" i="28"/>
  <c r="S20" i="28"/>
  <c r="T20" i="28"/>
  <c r="U20" i="28"/>
  <c r="V20" i="28"/>
  <c r="W20" i="28"/>
  <c r="X20" i="28"/>
  <c r="Y20" i="28"/>
  <c r="G21" i="28"/>
  <c r="H21" i="28"/>
  <c r="I21" i="28"/>
  <c r="J21" i="28"/>
  <c r="K21" i="28"/>
  <c r="L21" i="28"/>
  <c r="M21" i="28"/>
  <c r="N21" i="28"/>
  <c r="O21" i="28"/>
  <c r="P21" i="28"/>
  <c r="Q21" i="28"/>
  <c r="R21" i="28"/>
  <c r="S21" i="28"/>
  <c r="T21" i="28"/>
  <c r="U21" i="28"/>
  <c r="V21" i="28"/>
  <c r="W21" i="28"/>
  <c r="X21" i="28"/>
  <c r="Y21" i="28"/>
  <c r="G22" i="28"/>
  <c r="H22" i="28"/>
  <c r="I22" i="28"/>
  <c r="J22" i="28"/>
  <c r="K22" i="28"/>
  <c r="L22" i="28"/>
  <c r="M22" i="28"/>
  <c r="N22" i="28"/>
  <c r="O22" i="28"/>
  <c r="P22" i="28"/>
  <c r="Q22" i="28"/>
  <c r="R22" i="28"/>
  <c r="S22" i="28"/>
  <c r="T22" i="28"/>
  <c r="U22" i="28"/>
  <c r="V22" i="28"/>
  <c r="W22" i="28"/>
  <c r="X22" i="28"/>
  <c r="Y22" i="28"/>
  <c r="G23" i="28"/>
  <c r="H23" i="28"/>
  <c r="I23" i="28"/>
  <c r="J23" i="28"/>
  <c r="K23" i="28"/>
  <c r="L23" i="28"/>
  <c r="M23" i="28"/>
  <c r="N23" i="28"/>
  <c r="O23" i="28"/>
  <c r="P23" i="28"/>
  <c r="Q23" i="28"/>
  <c r="R23" i="28"/>
  <c r="S23" i="28"/>
  <c r="T23" i="28"/>
  <c r="U23" i="28"/>
  <c r="V23" i="28"/>
  <c r="W23" i="28"/>
  <c r="X23" i="28"/>
  <c r="Y23" i="28"/>
  <c r="G24" i="28"/>
  <c r="H24" i="28"/>
  <c r="I24" i="28"/>
  <c r="J24" i="28"/>
  <c r="K24" i="28"/>
  <c r="L24" i="28"/>
  <c r="M24" i="28"/>
  <c r="N24" i="28"/>
  <c r="O24" i="28"/>
  <c r="P24" i="28"/>
  <c r="Q24" i="28"/>
  <c r="R24" i="28"/>
  <c r="S24" i="28"/>
  <c r="T24" i="28"/>
  <c r="U24" i="28"/>
  <c r="V24" i="28"/>
  <c r="W24" i="28"/>
  <c r="X24" i="28"/>
  <c r="Y24" i="28"/>
  <c r="G25" i="28"/>
  <c r="H25" i="28"/>
  <c r="I25" i="28"/>
  <c r="J25" i="28"/>
  <c r="K25" i="28"/>
  <c r="L25" i="28"/>
  <c r="M25" i="28"/>
  <c r="N25" i="28"/>
  <c r="O25" i="28"/>
  <c r="P25" i="28"/>
  <c r="Q25" i="28"/>
  <c r="R25" i="28"/>
  <c r="S25" i="28"/>
  <c r="T25" i="28"/>
  <c r="U25" i="28"/>
  <c r="V25" i="28"/>
  <c r="W25" i="28"/>
  <c r="X25" i="28"/>
  <c r="Y25" i="28"/>
  <c r="G26" i="28"/>
  <c r="H26" i="28"/>
  <c r="I26" i="28"/>
  <c r="J26" i="28"/>
  <c r="K26" i="28"/>
  <c r="L26" i="28"/>
  <c r="M26" i="28"/>
  <c r="N26" i="28"/>
  <c r="O26" i="28"/>
  <c r="P26" i="28"/>
  <c r="Q26" i="28"/>
  <c r="R26" i="28"/>
  <c r="S26" i="28"/>
  <c r="T26" i="28"/>
  <c r="U26" i="28"/>
  <c r="V26" i="28"/>
  <c r="W26" i="28"/>
  <c r="X26" i="28"/>
  <c r="Y26" i="28"/>
  <c r="G27" i="28"/>
  <c r="H27" i="28"/>
  <c r="I27" i="28"/>
  <c r="J27" i="28"/>
  <c r="K27" i="28"/>
  <c r="L27" i="28"/>
  <c r="M27" i="28"/>
  <c r="N27" i="28"/>
  <c r="O27" i="28"/>
  <c r="P27" i="28"/>
  <c r="Q27" i="28"/>
  <c r="R27" i="28"/>
  <c r="S27" i="28"/>
  <c r="T27" i="28"/>
  <c r="U27" i="28"/>
  <c r="V27" i="28"/>
  <c r="W27" i="28"/>
  <c r="X27" i="28"/>
  <c r="Y27" i="28"/>
  <c r="G28" i="28"/>
  <c r="H28" i="28"/>
  <c r="I28" i="28"/>
  <c r="J28" i="28"/>
  <c r="K28" i="28"/>
  <c r="L28" i="28"/>
  <c r="M28" i="28"/>
  <c r="N28" i="28"/>
  <c r="O28" i="28"/>
  <c r="P28" i="28"/>
  <c r="Q28" i="28"/>
  <c r="R28" i="28"/>
  <c r="S28" i="28"/>
  <c r="T28" i="28"/>
  <c r="U28" i="28"/>
  <c r="V28" i="28"/>
  <c r="W28" i="28"/>
  <c r="X28" i="28"/>
  <c r="Y28" i="28"/>
  <c r="G29" i="28"/>
  <c r="H29" i="28"/>
  <c r="I29" i="28"/>
  <c r="J29" i="28"/>
  <c r="K29" i="28"/>
  <c r="L29" i="28"/>
  <c r="M29" i="28"/>
  <c r="N29" i="28"/>
  <c r="O29" i="28"/>
  <c r="P29" i="28"/>
  <c r="Q29" i="28"/>
  <c r="R29" i="28"/>
  <c r="S29" i="28"/>
  <c r="T29" i="28"/>
  <c r="U29" i="28"/>
  <c r="V29" i="28"/>
  <c r="W29" i="28"/>
  <c r="X29" i="28"/>
  <c r="Y29" i="28"/>
  <c r="G30" i="28"/>
  <c r="H30" i="28"/>
  <c r="I30" i="28"/>
  <c r="J30" i="28"/>
  <c r="K30" i="28"/>
  <c r="L30" i="28"/>
  <c r="M30" i="28"/>
  <c r="N30" i="28"/>
  <c r="O30" i="28"/>
  <c r="P30" i="28"/>
  <c r="Q30" i="28"/>
  <c r="R30" i="28"/>
  <c r="S30" i="28"/>
  <c r="T30" i="28"/>
  <c r="U30" i="28"/>
  <c r="V30" i="28"/>
  <c r="W30" i="28"/>
  <c r="X30" i="28"/>
  <c r="Y30" i="28"/>
  <c r="G31" i="28"/>
  <c r="H31" i="28"/>
  <c r="I31" i="28"/>
  <c r="J31" i="28"/>
  <c r="K31" i="28"/>
  <c r="L31" i="28"/>
  <c r="M31" i="28"/>
  <c r="N31" i="28"/>
  <c r="O31" i="28"/>
  <c r="P31" i="28"/>
  <c r="Q31" i="28"/>
  <c r="R31" i="28"/>
  <c r="S31" i="28"/>
  <c r="T31" i="28"/>
  <c r="U31" i="28"/>
  <c r="V31" i="28"/>
  <c r="W31" i="28"/>
  <c r="X31" i="28"/>
  <c r="Y31" i="28"/>
  <c r="G32" i="28"/>
  <c r="H32" i="28"/>
  <c r="I32" i="28"/>
  <c r="J32" i="28"/>
  <c r="K32" i="28"/>
  <c r="L32" i="28"/>
  <c r="M32" i="28"/>
  <c r="N32" i="28"/>
  <c r="O32" i="28"/>
  <c r="P32" i="28"/>
  <c r="Q32" i="28"/>
  <c r="R32" i="28"/>
  <c r="S32" i="28"/>
  <c r="T32" i="28"/>
  <c r="U32" i="28"/>
  <c r="V32" i="28"/>
  <c r="W32" i="28"/>
  <c r="X32" i="28"/>
  <c r="Y32" i="28"/>
  <c r="G33" i="28"/>
  <c r="H33" i="28"/>
  <c r="I33" i="28"/>
  <c r="J33" i="28"/>
  <c r="K33" i="28"/>
  <c r="L33" i="28"/>
  <c r="M33" i="28"/>
  <c r="N33" i="28"/>
  <c r="O33" i="28"/>
  <c r="P33" i="28"/>
  <c r="Q33" i="28"/>
  <c r="R33" i="28"/>
  <c r="S33" i="28"/>
  <c r="T33" i="28"/>
  <c r="U33" i="28"/>
  <c r="V33" i="28"/>
  <c r="W33" i="28"/>
  <c r="X33" i="28"/>
  <c r="Y33" i="28"/>
  <c r="G34" i="28"/>
  <c r="H34" i="28"/>
  <c r="I34" i="28"/>
  <c r="J34" i="28"/>
  <c r="K34" i="28"/>
  <c r="L34" i="28"/>
  <c r="M34" i="28"/>
  <c r="N34" i="28"/>
  <c r="O34" i="28"/>
  <c r="P34" i="28"/>
  <c r="Q34" i="28"/>
  <c r="R34" i="28"/>
  <c r="S34" i="28"/>
  <c r="T34" i="28"/>
  <c r="U34" i="28"/>
  <c r="V34" i="28"/>
  <c r="W34" i="28"/>
  <c r="X34" i="28"/>
  <c r="Y34" i="28"/>
  <c r="G35" i="28"/>
  <c r="H35" i="28"/>
  <c r="I35" i="28"/>
  <c r="J35" i="28"/>
  <c r="K35" i="28"/>
  <c r="L35" i="28"/>
  <c r="M35" i="28"/>
  <c r="N35" i="28"/>
  <c r="O35" i="28"/>
  <c r="P35" i="28"/>
  <c r="Q35" i="28"/>
  <c r="R35" i="28"/>
  <c r="S35" i="28"/>
  <c r="T35" i="28"/>
  <c r="U35" i="28"/>
  <c r="V35" i="28"/>
  <c r="W35" i="28"/>
  <c r="X35" i="28"/>
  <c r="Y35" i="28"/>
  <c r="G36" i="28"/>
  <c r="H36" i="28"/>
  <c r="I36" i="28"/>
  <c r="J36" i="28"/>
  <c r="K36" i="28"/>
  <c r="L36" i="28"/>
  <c r="M36" i="28"/>
  <c r="N36" i="28"/>
  <c r="O36" i="28"/>
  <c r="P36" i="28"/>
  <c r="Q36" i="28"/>
  <c r="R36" i="28"/>
  <c r="S36" i="28"/>
  <c r="T36" i="28"/>
  <c r="U36" i="28"/>
  <c r="V36" i="28"/>
  <c r="W36" i="28"/>
  <c r="X36" i="28"/>
  <c r="Y36" i="28"/>
  <c r="G37" i="28"/>
  <c r="H37" i="28"/>
  <c r="I37" i="28"/>
  <c r="J37" i="28"/>
  <c r="K37" i="28"/>
  <c r="L37" i="28"/>
  <c r="M37" i="28"/>
  <c r="N37" i="28"/>
  <c r="O37" i="28"/>
  <c r="P37" i="28"/>
  <c r="Q37" i="28"/>
  <c r="R37" i="28"/>
  <c r="S37" i="28"/>
  <c r="T37" i="28"/>
  <c r="U37" i="28"/>
  <c r="V37" i="28"/>
  <c r="W37" i="28"/>
  <c r="X37" i="28"/>
  <c r="Y37" i="28"/>
  <c r="G38" i="28"/>
  <c r="H38" i="28"/>
  <c r="I38" i="28"/>
  <c r="J38" i="28"/>
  <c r="K38" i="28"/>
  <c r="L38" i="28"/>
  <c r="M38" i="28"/>
  <c r="N38" i="28"/>
  <c r="O38" i="28"/>
  <c r="P38" i="28"/>
  <c r="Q38" i="28"/>
  <c r="R38" i="28"/>
  <c r="S38" i="28"/>
  <c r="T38" i="28"/>
  <c r="U38" i="28"/>
  <c r="V38" i="28"/>
  <c r="W38" i="28"/>
  <c r="X38" i="28"/>
  <c r="Y38" i="28"/>
  <c r="G39" i="28"/>
  <c r="H39" i="28"/>
  <c r="I39" i="28"/>
  <c r="J39" i="28"/>
  <c r="K39" i="28"/>
  <c r="L39" i="28"/>
  <c r="M39" i="28"/>
  <c r="N39" i="28"/>
  <c r="O39" i="28"/>
  <c r="P39" i="28"/>
  <c r="Q39" i="28"/>
  <c r="R39" i="28"/>
  <c r="S39" i="28"/>
  <c r="T39" i="28"/>
  <c r="U39" i="28"/>
  <c r="V39" i="28"/>
  <c r="W39" i="28"/>
  <c r="X39" i="28"/>
  <c r="Y39" i="28"/>
  <c r="G40" i="28"/>
  <c r="H40" i="28"/>
  <c r="I40" i="28"/>
  <c r="J40" i="28"/>
  <c r="K40" i="28"/>
  <c r="L40" i="28"/>
  <c r="M40" i="28"/>
  <c r="N40" i="28"/>
  <c r="O40" i="28"/>
  <c r="P40" i="28"/>
  <c r="Q40" i="28"/>
  <c r="R40" i="28"/>
  <c r="S40" i="28"/>
  <c r="T40" i="28"/>
  <c r="U40" i="28"/>
  <c r="V40" i="28"/>
  <c r="W40" i="28"/>
  <c r="X40" i="28"/>
  <c r="Y40" i="28"/>
  <c r="G41" i="28"/>
  <c r="H41" i="28"/>
  <c r="I41" i="28"/>
  <c r="J41" i="28"/>
  <c r="K41" i="28"/>
  <c r="L41" i="28"/>
  <c r="M41" i="28"/>
  <c r="N41" i="28"/>
  <c r="O41" i="28"/>
  <c r="P41" i="28"/>
  <c r="Q41" i="28"/>
  <c r="R41" i="28"/>
  <c r="S41" i="28"/>
  <c r="T41" i="28"/>
  <c r="U41" i="28"/>
  <c r="V41" i="28"/>
  <c r="W41" i="28"/>
  <c r="X41" i="28"/>
  <c r="Y41" i="28"/>
  <c r="G42" i="28"/>
  <c r="D284" i="28" s="1"/>
  <c r="H42" i="28"/>
  <c r="E284" i="28" s="1"/>
  <c r="I42" i="28"/>
  <c r="F284" i="28" s="1"/>
  <c r="J42" i="28"/>
  <c r="G284" i="28" s="1"/>
  <c r="K42" i="28"/>
  <c r="H284" i="28" s="1"/>
  <c r="L42" i="28"/>
  <c r="I284" i="28" s="1"/>
  <c r="M42" i="28"/>
  <c r="J284" i="28" s="1"/>
  <c r="N42" i="28"/>
  <c r="K284" i="28" s="1"/>
  <c r="O42" i="28"/>
  <c r="L284" i="28" s="1"/>
  <c r="P42" i="28"/>
  <c r="M284" i="28" s="1"/>
  <c r="Q42" i="28"/>
  <c r="N284" i="28" s="1"/>
  <c r="N283" i="28" s="1"/>
  <c r="R42" i="28"/>
  <c r="O284" i="28" s="1"/>
  <c r="S42" i="28"/>
  <c r="P284" i="28" s="1"/>
  <c r="T42" i="28"/>
  <c r="Q284" i="28" s="1"/>
  <c r="U42" i="28"/>
  <c r="R284" i="28" s="1"/>
  <c r="V42" i="28"/>
  <c r="S284" i="28" s="1"/>
  <c r="W42" i="28"/>
  <c r="T284" i="28" s="1"/>
  <c r="X42" i="28"/>
  <c r="U284" i="28" s="1"/>
  <c r="Y42" i="28"/>
  <c r="V284" i="28" s="1"/>
  <c r="G43" i="28"/>
  <c r="H43" i="28"/>
  <c r="I43" i="28"/>
  <c r="J43" i="28"/>
  <c r="K43" i="28"/>
  <c r="L43" i="28"/>
  <c r="M43" i="28"/>
  <c r="N43" i="28"/>
  <c r="O43" i="28"/>
  <c r="P43" i="28"/>
  <c r="Q43" i="28"/>
  <c r="R43" i="28"/>
  <c r="S43" i="28"/>
  <c r="T43" i="28"/>
  <c r="U43" i="28"/>
  <c r="V43" i="28"/>
  <c r="W43" i="28"/>
  <c r="X43" i="28"/>
  <c r="Y43" i="28"/>
  <c r="G44" i="28"/>
  <c r="H44" i="28"/>
  <c r="I44" i="28"/>
  <c r="J44" i="28"/>
  <c r="K44" i="28"/>
  <c r="L44" i="28"/>
  <c r="M44" i="28"/>
  <c r="N44" i="28"/>
  <c r="O44" i="28"/>
  <c r="P44" i="28"/>
  <c r="Q44" i="28"/>
  <c r="R44" i="28"/>
  <c r="S44" i="28"/>
  <c r="T44" i="28"/>
  <c r="U44" i="28"/>
  <c r="V44" i="28"/>
  <c r="W44" i="28"/>
  <c r="X44" i="28"/>
  <c r="Y44" i="28"/>
  <c r="G45" i="28"/>
  <c r="H45" i="28"/>
  <c r="I45" i="28"/>
  <c r="J45" i="28"/>
  <c r="K45" i="28"/>
  <c r="L45" i="28"/>
  <c r="M45" i="28"/>
  <c r="N45" i="28"/>
  <c r="O45" i="28"/>
  <c r="P45" i="28"/>
  <c r="Q45" i="28"/>
  <c r="R45" i="28"/>
  <c r="S45" i="28"/>
  <c r="T45" i="28"/>
  <c r="U45" i="28"/>
  <c r="V45" i="28"/>
  <c r="W45" i="28"/>
  <c r="X45" i="28"/>
  <c r="Y45" i="28"/>
  <c r="G46" i="28"/>
  <c r="H46" i="28"/>
  <c r="I46" i="28"/>
  <c r="J46" i="28"/>
  <c r="K46" i="28"/>
  <c r="L46" i="28"/>
  <c r="M46" i="28"/>
  <c r="N46" i="28"/>
  <c r="O46" i="28"/>
  <c r="P46" i="28"/>
  <c r="Q46" i="28"/>
  <c r="R46" i="28"/>
  <c r="S46" i="28"/>
  <c r="T46" i="28"/>
  <c r="U46" i="28"/>
  <c r="V46" i="28"/>
  <c r="W46" i="28"/>
  <c r="X46" i="28"/>
  <c r="Y46" i="28"/>
  <c r="G47" i="28"/>
  <c r="H47" i="28"/>
  <c r="I47" i="28"/>
  <c r="J47" i="28"/>
  <c r="K47" i="28"/>
  <c r="L47" i="28"/>
  <c r="M47" i="28"/>
  <c r="N47" i="28"/>
  <c r="O47" i="28"/>
  <c r="P47" i="28"/>
  <c r="Q47" i="28"/>
  <c r="R47" i="28"/>
  <c r="S47" i="28"/>
  <c r="T47" i="28"/>
  <c r="U47" i="28"/>
  <c r="V47" i="28"/>
  <c r="W47" i="28"/>
  <c r="X47" i="28"/>
  <c r="Y47" i="28"/>
  <c r="G48" i="28"/>
  <c r="H48" i="28"/>
  <c r="I48" i="28"/>
  <c r="J48" i="28"/>
  <c r="K48" i="28"/>
  <c r="L48" i="28"/>
  <c r="M48" i="28"/>
  <c r="N48" i="28"/>
  <c r="O48" i="28"/>
  <c r="P48" i="28"/>
  <c r="Q48" i="28"/>
  <c r="R48" i="28"/>
  <c r="S48" i="28"/>
  <c r="T48" i="28"/>
  <c r="U48" i="28"/>
  <c r="V48" i="28"/>
  <c r="W48" i="28"/>
  <c r="X48" i="28"/>
  <c r="Y48" i="28"/>
  <c r="G49" i="28"/>
  <c r="H49" i="28"/>
  <c r="I49" i="28"/>
  <c r="J49" i="28"/>
  <c r="K49" i="28"/>
  <c r="L49" i="28"/>
  <c r="M49" i="28"/>
  <c r="N49" i="28"/>
  <c r="O49" i="28"/>
  <c r="P49" i="28"/>
  <c r="Q49" i="28"/>
  <c r="R49" i="28"/>
  <c r="S49" i="28"/>
  <c r="T49" i="28"/>
  <c r="U49" i="28"/>
  <c r="V49" i="28"/>
  <c r="W49" i="28"/>
  <c r="X49" i="28"/>
  <c r="Y49" i="28"/>
  <c r="G50" i="28"/>
  <c r="H50" i="28"/>
  <c r="I50" i="28"/>
  <c r="J50" i="28"/>
  <c r="K50" i="28"/>
  <c r="L50" i="28"/>
  <c r="M50" i="28"/>
  <c r="N50" i="28"/>
  <c r="O50" i="28"/>
  <c r="P50" i="28"/>
  <c r="Q50" i="28"/>
  <c r="R50" i="28"/>
  <c r="S50" i="28"/>
  <c r="T50" i="28"/>
  <c r="U50" i="28"/>
  <c r="V50" i="28"/>
  <c r="W50" i="28"/>
  <c r="X50" i="28"/>
  <c r="Y50" i="28"/>
  <c r="G51" i="28"/>
  <c r="H51" i="28"/>
  <c r="I51" i="28"/>
  <c r="J51" i="28"/>
  <c r="K51" i="28"/>
  <c r="L51" i="28"/>
  <c r="M51" i="28"/>
  <c r="N51" i="28"/>
  <c r="O51" i="28"/>
  <c r="P51" i="28"/>
  <c r="Q51" i="28"/>
  <c r="R51" i="28"/>
  <c r="S51" i="28"/>
  <c r="T51" i="28"/>
  <c r="U51" i="28"/>
  <c r="V51" i="28"/>
  <c r="W51" i="28"/>
  <c r="X51" i="28"/>
  <c r="Y51" i="28"/>
  <c r="G52" i="28"/>
  <c r="H52" i="28"/>
  <c r="I52" i="28"/>
  <c r="J52" i="28"/>
  <c r="K52" i="28"/>
  <c r="L52" i="28"/>
  <c r="M52" i="28"/>
  <c r="N52" i="28"/>
  <c r="O52" i="28"/>
  <c r="P52" i="28"/>
  <c r="Q52" i="28"/>
  <c r="R52" i="28"/>
  <c r="S52" i="28"/>
  <c r="T52" i="28"/>
  <c r="U52" i="28"/>
  <c r="V52" i="28"/>
  <c r="W52" i="28"/>
  <c r="X52" i="28"/>
  <c r="Y52" i="28"/>
  <c r="G53" i="28"/>
  <c r="H53" i="28"/>
  <c r="I53" i="28"/>
  <c r="J53" i="28"/>
  <c r="K53" i="28"/>
  <c r="L53" i="28"/>
  <c r="M53" i="28"/>
  <c r="N53" i="28"/>
  <c r="O53" i="28"/>
  <c r="P53" i="28"/>
  <c r="Q53" i="28"/>
  <c r="R53" i="28"/>
  <c r="S53" i="28"/>
  <c r="T53" i="28"/>
  <c r="U53" i="28"/>
  <c r="V53" i="28"/>
  <c r="W53" i="28"/>
  <c r="X53" i="28"/>
  <c r="Y53" i="28"/>
  <c r="G54" i="28"/>
  <c r="H54" i="28"/>
  <c r="I54" i="28"/>
  <c r="J54" i="28"/>
  <c r="K54" i="28"/>
  <c r="L54" i="28"/>
  <c r="M54" i="28"/>
  <c r="N54" i="28"/>
  <c r="O54" i="28"/>
  <c r="P54" i="28"/>
  <c r="Q54" i="28"/>
  <c r="R54" i="28"/>
  <c r="S54" i="28"/>
  <c r="T54" i="28"/>
  <c r="U54" i="28"/>
  <c r="V54" i="28"/>
  <c r="W54" i="28"/>
  <c r="X54" i="28"/>
  <c r="Y54" i="28"/>
  <c r="G55" i="28"/>
  <c r="H55" i="28"/>
  <c r="I55" i="28"/>
  <c r="J55" i="28"/>
  <c r="K55" i="28"/>
  <c r="L55" i="28"/>
  <c r="M55" i="28"/>
  <c r="N55" i="28"/>
  <c r="O55" i="28"/>
  <c r="P55" i="28"/>
  <c r="Q55" i="28"/>
  <c r="R55" i="28"/>
  <c r="S55" i="28"/>
  <c r="T55" i="28"/>
  <c r="U55" i="28"/>
  <c r="V55" i="28"/>
  <c r="W55" i="28"/>
  <c r="X55" i="28"/>
  <c r="Y55" i="28"/>
  <c r="G56" i="28"/>
  <c r="H56" i="28"/>
  <c r="I56" i="28"/>
  <c r="J56" i="28"/>
  <c r="K56" i="28"/>
  <c r="L56" i="28"/>
  <c r="M56" i="28"/>
  <c r="N56" i="28"/>
  <c r="O56" i="28"/>
  <c r="P56" i="28"/>
  <c r="Q56" i="28"/>
  <c r="R56" i="28"/>
  <c r="S56" i="28"/>
  <c r="T56" i="28"/>
  <c r="U56" i="28"/>
  <c r="V56" i="28"/>
  <c r="W56" i="28"/>
  <c r="X56" i="28"/>
  <c r="Y56" i="28"/>
  <c r="G57" i="28"/>
  <c r="H57" i="28"/>
  <c r="I57" i="28"/>
  <c r="J57" i="28"/>
  <c r="K57" i="28"/>
  <c r="L57" i="28"/>
  <c r="M57" i="28"/>
  <c r="N57" i="28"/>
  <c r="O57" i="28"/>
  <c r="P57" i="28"/>
  <c r="Q57" i="28"/>
  <c r="R57" i="28"/>
  <c r="S57" i="28"/>
  <c r="T57" i="28"/>
  <c r="U57" i="28"/>
  <c r="V57" i="28"/>
  <c r="W57" i="28"/>
  <c r="X57" i="28"/>
  <c r="Y57" i="28"/>
  <c r="G58" i="28"/>
  <c r="H58" i="28"/>
  <c r="I58" i="28"/>
  <c r="J58" i="28"/>
  <c r="K58" i="28"/>
  <c r="L58" i="28"/>
  <c r="M58" i="28"/>
  <c r="N58" i="28"/>
  <c r="O58" i="28"/>
  <c r="P58" i="28"/>
  <c r="Q58" i="28"/>
  <c r="R58" i="28"/>
  <c r="S58" i="28"/>
  <c r="T58" i="28"/>
  <c r="U58" i="28"/>
  <c r="V58" i="28"/>
  <c r="W58" i="28"/>
  <c r="X58" i="28"/>
  <c r="Y58" i="28"/>
  <c r="G59" i="28"/>
  <c r="H59" i="28"/>
  <c r="I59" i="28"/>
  <c r="J59" i="28"/>
  <c r="K59" i="28"/>
  <c r="L59" i="28"/>
  <c r="M59" i="28"/>
  <c r="N59" i="28"/>
  <c r="O59" i="28"/>
  <c r="P59" i="28"/>
  <c r="Q59" i="28"/>
  <c r="R59" i="28"/>
  <c r="S59" i="28"/>
  <c r="T59" i="28"/>
  <c r="U59" i="28"/>
  <c r="V59" i="28"/>
  <c r="W59" i="28"/>
  <c r="X59" i="28"/>
  <c r="Y59" i="28"/>
  <c r="G60" i="28"/>
  <c r="H60" i="28"/>
  <c r="I60" i="28"/>
  <c r="J60" i="28"/>
  <c r="K60" i="28"/>
  <c r="L60" i="28"/>
  <c r="M60" i="28"/>
  <c r="N60" i="28"/>
  <c r="O60" i="28"/>
  <c r="P60" i="28"/>
  <c r="Q60" i="28"/>
  <c r="R60" i="28"/>
  <c r="S60" i="28"/>
  <c r="T60" i="28"/>
  <c r="U60" i="28"/>
  <c r="V60" i="28"/>
  <c r="W60" i="28"/>
  <c r="X60" i="28"/>
  <c r="Y60" i="28"/>
  <c r="G61" i="28"/>
  <c r="H61" i="28"/>
  <c r="I61" i="28"/>
  <c r="J61" i="28"/>
  <c r="K61" i="28"/>
  <c r="L61" i="28"/>
  <c r="M61" i="28"/>
  <c r="N61" i="28"/>
  <c r="O61" i="28"/>
  <c r="P61" i="28"/>
  <c r="Q61" i="28"/>
  <c r="R61" i="28"/>
  <c r="S61" i="28"/>
  <c r="T61" i="28"/>
  <c r="U61" i="28"/>
  <c r="V61" i="28"/>
  <c r="W61" i="28"/>
  <c r="X61" i="28"/>
  <c r="Y61" i="28"/>
  <c r="G62" i="28"/>
  <c r="H62" i="28"/>
  <c r="I62" i="28"/>
  <c r="J62" i="28"/>
  <c r="K62" i="28"/>
  <c r="L62" i="28"/>
  <c r="M62" i="28"/>
  <c r="N62" i="28"/>
  <c r="O62" i="28"/>
  <c r="P62" i="28"/>
  <c r="Q62" i="28"/>
  <c r="R62" i="28"/>
  <c r="S62" i="28"/>
  <c r="T62" i="28"/>
  <c r="U62" i="28"/>
  <c r="V62" i="28"/>
  <c r="W62" i="28"/>
  <c r="X62" i="28"/>
  <c r="Y62" i="28"/>
  <c r="G63" i="28"/>
  <c r="H63" i="28"/>
  <c r="I63" i="28"/>
  <c r="J63" i="28"/>
  <c r="K63" i="28"/>
  <c r="L63" i="28"/>
  <c r="M63" i="28"/>
  <c r="N63" i="28"/>
  <c r="O63" i="28"/>
  <c r="P63" i="28"/>
  <c r="Q63" i="28"/>
  <c r="R63" i="28"/>
  <c r="S63" i="28"/>
  <c r="T63" i="28"/>
  <c r="U63" i="28"/>
  <c r="V63" i="28"/>
  <c r="W63" i="28"/>
  <c r="X63" i="28"/>
  <c r="Y63" i="28"/>
  <c r="G64" i="28"/>
  <c r="H64" i="28"/>
  <c r="I64" i="28"/>
  <c r="J64" i="28"/>
  <c r="K64" i="28"/>
  <c r="L64" i="28"/>
  <c r="M64" i="28"/>
  <c r="N64" i="28"/>
  <c r="O64" i="28"/>
  <c r="P64" i="28"/>
  <c r="Q64" i="28"/>
  <c r="R64" i="28"/>
  <c r="S64" i="28"/>
  <c r="T64" i="28"/>
  <c r="U64" i="28"/>
  <c r="V64" i="28"/>
  <c r="W64" i="28"/>
  <c r="X64" i="28"/>
  <c r="Y64" i="28"/>
  <c r="G65" i="28"/>
  <c r="H65" i="28"/>
  <c r="I65" i="28"/>
  <c r="J65" i="28"/>
  <c r="K65" i="28"/>
  <c r="L65" i="28"/>
  <c r="M65" i="28"/>
  <c r="N65" i="28"/>
  <c r="O65" i="28"/>
  <c r="P65" i="28"/>
  <c r="Q65" i="28"/>
  <c r="R65" i="28"/>
  <c r="S65" i="28"/>
  <c r="T65" i="28"/>
  <c r="U65" i="28"/>
  <c r="V65" i="28"/>
  <c r="W65" i="28"/>
  <c r="X65" i="28"/>
  <c r="Y65" i="28"/>
  <c r="G66" i="28"/>
  <c r="H66" i="28"/>
  <c r="I66" i="28"/>
  <c r="J66" i="28"/>
  <c r="K66" i="28"/>
  <c r="L66" i="28"/>
  <c r="M66" i="28"/>
  <c r="N66" i="28"/>
  <c r="O66" i="28"/>
  <c r="P66" i="28"/>
  <c r="Q66" i="28"/>
  <c r="R66" i="28"/>
  <c r="S66" i="28"/>
  <c r="T66" i="28"/>
  <c r="U66" i="28"/>
  <c r="V66" i="28"/>
  <c r="W66" i="28"/>
  <c r="X66" i="28"/>
  <c r="Y66" i="28"/>
  <c r="G67" i="28"/>
  <c r="H67" i="28"/>
  <c r="I67" i="28"/>
  <c r="J67" i="28"/>
  <c r="K67" i="28"/>
  <c r="L67" i="28"/>
  <c r="M67" i="28"/>
  <c r="N67" i="28"/>
  <c r="O67" i="28"/>
  <c r="P67" i="28"/>
  <c r="Q67" i="28"/>
  <c r="R67" i="28"/>
  <c r="S67" i="28"/>
  <c r="T67" i="28"/>
  <c r="U67" i="28"/>
  <c r="V67" i="28"/>
  <c r="W67" i="28"/>
  <c r="X67" i="28"/>
  <c r="Y67" i="28"/>
  <c r="G68" i="28"/>
  <c r="H68" i="28"/>
  <c r="I68" i="28"/>
  <c r="J68" i="28"/>
  <c r="K68" i="28"/>
  <c r="L68" i="28"/>
  <c r="M68" i="28"/>
  <c r="N68" i="28"/>
  <c r="O68" i="28"/>
  <c r="P68" i="28"/>
  <c r="Q68" i="28"/>
  <c r="R68" i="28"/>
  <c r="S68" i="28"/>
  <c r="T68" i="28"/>
  <c r="U68" i="28"/>
  <c r="V68" i="28"/>
  <c r="W68" i="28"/>
  <c r="X68" i="28"/>
  <c r="Y68" i="28"/>
  <c r="G69" i="28"/>
  <c r="H69" i="28"/>
  <c r="I69" i="28"/>
  <c r="J69" i="28"/>
  <c r="K69" i="28"/>
  <c r="L69" i="28"/>
  <c r="M69" i="28"/>
  <c r="N69" i="28"/>
  <c r="O69" i="28"/>
  <c r="P69" i="28"/>
  <c r="Q69" i="28"/>
  <c r="R69" i="28"/>
  <c r="S69" i="28"/>
  <c r="T69" i="28"/>
  <c r="U69" i="28"/>
  <c r="V69" i="28"/>
  <c r="W69" i="28"/>
  <c r="X69" i="28"/>
  <c r="Y69" i="28"/>
  <c r="G70" i="28"/>
  <c r="H70" i="28"/>
  <c r="I70" i="28"/>
  <c r="J70" i="28"/>
  <c r="K70" i="28"/>
  <c r="L70" i="28"/>
  <c r="M70" i="28"/>
  <c r="N70" i="28"/>
  <c r="O70" i="28"/>
  <c r="P70" i="28"/>
  <c r="Q70" i="28"/>
  <c r="R70" i="28"/>
  <c r="S70" i="28"/>
  <c r="T70" i="28"/>
  <c r="U70" i="28"/>
  <c r="V70" i="28"/>
  <c r="W70" i="28"/>
  <c r="X70" i="28"/>
  <c r="Y70" i="28"/>
  <c r="G71" i="28"/>
  <c r="H71" i="28"/>
  <c r="I71" i="28"/>
  <c r="J71" i="28"/>
  <c r="K71" i="28"/>
  <c r="L71" i="28"/>
  <c r="M71" i="28"/>
  <c r="N71" i="28"/>
  <c r="O71" i="28"/>
  <c r="P71" i="28"/>
  <c r="Q71" i="28"/>
  <c r="R71" i="28"/>
  <c r="S71" i="28"/>
  <c r="T71" i="28"/>
  <c r="U71" i="28"/>
  <c r="V71" i="28"/>
  <c r="W71" i="28"/>
  <c r="X71" i="28"/>
  <c r="Y71" i="28"/>
  <c r="G72" i="28"/>
  <c r="H72" i="28"/>
  <c r="I72" i="28"/>
  <c r="J72" i="28"/>
  <c r="K72" i="28"/>
  <c r="L72" i="28"/>
  <c r="M72" i="28"/>
  <c r="N72" i="28"/>
  <c r="O72" i="28"/>
  <c r="P72" i="28"/>
  <c r="Q72" i="28"/>
  <c r="R72" i="28"/>
  <c r="S72" i="28"/>
  <c r="T72" i="28"/>
  <c r="U72" i="28"/>
  <c r="V72" i="28"/>
  <c r="W72" i="28"/>
  <c r="X72" i="28"/>
  <c r="Y72" i="28"/>
  <c r="G73" i="28"/>
  <c r="H73" i="28"/>
  <c r="I73" i="28"/>
  <c r="J73" i="28"/>
  <c r="K73" i="28"/>
  <c r="L73" i="28"/>
  <c r="M73" i="28"/>
  <c r="N73" i="28"/>
  <c r="O73" i="28"/>
  <c r="P73" i="28"/>
  <c r="Q73" i="28"/>
  <c r="R73" i="28"/>
  <c r="S73" i="28"/>
  <c r="T73" i="28"/>
  <c r="U73" i="28"/>
  <c r="V73" i="28"/>
  <c r="W73" i="28"/>
  <c r="X73" i="28"/>
  <c r="Y73" i="28"/>
  <c r="G74" i="28"/>
  <c r="H74" i="28"/>
  <c r="I74" i="28"/>
  <c r="J74" i="28"/>
  <c r="K74" i="28"/>
  <c r="L74" i="28"/>
  <c r="M74" i="28"/>
  <c r="N74" i="28"/>
  <c r="O74" i="28"/>
  <c r="P74" i="28"/>
  <c r="Q74" i="28"/>
  <c r="R74" i="28"/>
  <c r="S74" i="28"/>
  <c r="T74" i="28"/>
  <c r="U74" i="28"/>
  <c r="V74" i="28"/>
  <c r="W74" i="28"/>
  <c r="X74" i="28"/>
  <c r="Y74" i="28"/>
  <c r="G75" i="28"/>
  <c r="H75" i="28"/>
  <c r="I75" i="28"/>
  <c r="J75" i="28"/>
  <c r="K75" i="28"/>
  <c r="L75" i="28"/>
  <c r="M75" i="28"/>
  <c r="N75" i="28"/>
  <c r="O75" i="28"/>
  <c r="P75" i="28"/>
  <c r="Q75" i="28"/>
  <c r="R75" i="28"/>
  <c r="S75" i="28"/>
  <c r="T75" i="28"/>
  <c r="U75" i="28"/>
  <c r="V75" i="28"/>
  <c r="W75" i="28"/>
  <c r="X75" i="28"/>
  <c r="Y75" i="28"/>
  <c r="G76" i="28"/>
  <c r="H76" i="28"/>
  <c r="I76" i="28"/>
  <c r="J76" i="28"/>
  <c r="K76" i="28"/>
  <c r="L76" i="28"/>
  <c r="M76" i="28"/>
  <c r="N76" i="28"/>
  <c r="O76" i="28"/>
  <c r="P76" i="28"/>
  <c r="Q76" i="28"/>
  <c r="R76" i="28"/>
  <c r="S76" i="28"/>
  <c r="T76" i="28"/>
  <c r="U76" i="28"/>
  <c r="V76" i="28"/>
  <c r="W76" i="28"/>
  <c r="X76" i="28"/>
  <c r="Y76" i="28"/>
  <c r="G77" i="28"/>
  <c r="H77" i="28"/>
  <c r="I77" i="28"/>
  <c r="J77" i="28"/>
  <c r="K77" i="28"/>
  <c r="L77" i="28"/>
  <c r="M77" i="28"/>
  <c r="N77" i="28"/>
  <c r="O77" i="28"/>
  <c r="P77" i="28"/>
  <c r="Q77" i="28"/>
  <c r="R77" i="28"/>
  <c r="S77" i="28"/>
  <c r="T77" i="28"/>
  <c r="U77" i="28"/>
  <c r="V77" i="28"/>
  <c r="W77" i="28"/>
  <c r="X77" i="28"/>
  <c r="Y77" i="28"/>
  <c r="G78" i="28"/>
  <c r="H78" i="28"/>
  <c r="I78" i="28"/>
  <c r="J78" i="28"/>
  <c r="K78" i="28"/>
  <c r="L78" i="28"/>
  <c r="M78" i="28"/>
  <c r="N78" i="28"/>
  <c r="O78" i="28"/>
  <c r="P78" i="28"/>
  <c r="Q78" i="28"/>
  <c r="R78" i="28"/>
  <c r="S78" i="28"/>
  <c r="T78" i="28"/>
  <c r="U78" i="28"/>
  <c r="V78" i="28"/>
  <c r="W78" i="28"/>
  <c r="X78" i="28"/>
  <c r="Y78" i="28"/>
  <c r="G79" i="28"/>
  <c r="H79" i="28"/>
  <c r="I79" i="28"/>
  <c r="J79" i="28"/>
  <c r="K79" i="28"/>
  <c r="L79" i="28"/>
  <c r="M79" i="28"/>
  <c r="N79" i="28"/>
  <c r="O79" i="28"/>
  <c r="P79" i="28"/>
  <c r="Q79" i="28"/>
  <c r="R79" i="28"/>
  <c r="S79" i="28"/>
  <c r="T79" i="28"/>
  <c r="U79" i="28"/>
  <c r="V79" i="28"/>
  <c r="W79" i="28"/>
  <c r="X79" i="28"/>
  <c r="Y79" i="28"/>
  <c r="G80" i="28"/>
  <c r="H80" i="28"/>
  <c r="I80" i="28"/>
  <c r="J80" i="28"/>
  <c r="K80" i="28"/>
  <c r="L80" i="28"/>
  <c r="M80" i="28"/>
  <c r="N80" i="28"/>
  <c r="O80" i="28"/>
  <c r="P80" i="28"/>
  <c r="Q80" i="28"/>
  <c r="R80" i="28"/>
  <c r="S80" i="28"/>
  <c r="T80" i="28"/>
  <c r="U80" i="28"/>
  <c r="V80" i="28"/>
  <c r="W80" i="28"/>
  <c r="X80" i="28"/>
  <c r="Y80" i="28"/>
  <c r="G81" i="28"/>
  <c r="H81" i="28"/>
  <c r="I81" i="28"/>
  <c r="J81" i="28"/>
  <c r="K81" i="28"/>
  <c r="L81" i="28"/>
  <c r="M81" i="28"/>
  <c r="N81" i="28"/>
  <c r="O81" i="28"/>
  <c r="P81" i="28"/>
  <c r="Q81" i="28"/>
  <c r="R81" i="28"/>
  <c r="S81" i="28"/>
  <c r="T81" i="28"/>
  <c r="U81" i="28"/>
  <c r="V81" i="28"/>
  <c r="W81" i="28"/>
  <c r="X81" i="28"/>
  <c r="Y81" i="28"/>
  <c r="G82" i="28"/>
  <c r="H82" i="28"/>
  <c r="I82" i="28"/>
  <c r="J82" i="28"/>
  <c r="K82" i="28"/>
  <c r="L82" i="28"/>
  <c r="M82" i="28"/>
  <c r="N82" i="28"/>
  <c r="O82" i="28"/>
  <c r="P82" i="28"/>
  <c r="Q82" i="28"/>
  <c r="R82" i="28"/>
  <c r="S82" i="28"/>
  <c r="T82" i="28"/>
  <c r="U82" i="28"/>
  <c r="V82" i="28"/>
  <c r="W82" i="28"/>
  <c r="X82" i="28"/>
  <c r="Y82" i="28"/>
  <c r="G83" i="28"/>
  <c r="H83" i="28"/>
  <c r="I83" i="28"/>
  <c r="J83" i="28"/>
  <c r="K83" i="28"/>
  <c r="L83" i="28"/>
  <c r="M83" i="28"/>
  <c r="N83" i="28"/>
  <c r="O83" i="28"/>
  <c r="P83" i="28"/>
  <c r="Q83" i="28"/>
  <c r="R83" i="28"/>
  <c r="S83" i="28"/>
  <c r="T83" i="28"/>
  <c r="U83" i="28"/>
  <c r="V83" i="28"/>
  <c r="W83" i="28"/>
  <c r="X83" i="28"/>
  <c r="Y83" i="28"/>
  <c r="G84" i="28"/>
  <c r="H84" i="28"/>
  <c r="I84" i="28"/>
  <c r="J84" i="28"/>
  <c r="K84" i="28"/>
  <c r="L84" i="28"/>
  <c r="M84" i="28"/>
  <c r="N84" i="28"/>
  <c r="O84" i="28"/>
  <c r="P84" i="28"/>
  <c r="Q84" i="28"/>
  <c r="R84" i="28"/>
  <c r="S84" i="28"/>
  <c r="T84" i="28"/>
  <c r="U84" i="28"/>
  <c r="V84" i="28"/>
  <c r="W84" i="28"/>
  <c r="X84" i="28"/>
  <c r="Y84" i="28"/>
  <c r="G85" i="28"/>
  <c r="H85" i="28"/>
  <c r="I85" i="28"/>
  <c r="J85" i="28"/>
  <c r="K85" i="28"/>
  <c r="L85" i="28"/>
  <c r="M85" i="28"/>
  <c r="N85" i="28"/>
  <c r="O85" i="28"/>
  <c r="P85" i="28"/>
  <c r="Q85" i="28"/>
  <c r="R85" i="28"/>
  <c r="S85" i="28"/>
  <c r="T85" i="28"/>
  <c r="U85" i="28"/>
  <c r="V85" i="28"/>
  <c r="W85" i="28"/>
  <c r="X85" i="28"/>
  <c r="Y85" i="28"/>
  <c r="G86" i="28"/>
  <c r="H86" i="28"/>
  <c r="I86" i="28"/>
  <c r="J86" i="28"/>
  <c r="K86" i="28"/>
  <c r="L86" i="28"/>
  <c r="M86" i="28"/>
  <c r="N86" i="28"/>
  <c r="O86" i="28"/>
  <c r="P86" i="28"/>
  <c r="Q86" i="28"/>
  <c r="R86" i="28"/>
  <c r="S86" i="28"/>
  <c r="T86" i="28"/>
  <c r="U86" i="28"/>
  <c r="V86" i="28"/>
  <c r="W86" i="28"/>
  <c r="X86" i="28"/>
  <c r="Y86" i="28"/>
  <c r="G87" i="28"/>
  <c r="H87" i="28"/>
  <c r="I87" i="28"/>
  <c r="J87" i="28"/>
  <c r="K87" i="28"/>
  <c r="L87" i="28"/>
  <c r="M87" i="28"/>
  <c r="N87" i="28"/>
  <c r="O87" i="28"/>
  <c r="P87" i="28"/>
  <c r="Q87" i="28"/>
  <c r="R87" i="28"/>
  <c r="S87" i="28"/>
  <c r="T87" i="28"/>
  <c r="U87" i="28"/>
  <c r="V87" i="28"/>
  <c r="W87" i="28"/>
  <c r="X87" i="28"/>
  <c r="Y87" i="28"/>
  <c r="G88" i="28"/>
  <c r="H88" i="28"/>
  <c r="I88" i="28"/>
  <c r="J88" i="28"/>
  <c r="K88" i="28"/>
  <c r="L88" i="28"/>
  <c r="M88" i="28"/>
  <c r="N88" i="28"/>
  <c r="O88" i="28"/>
  <c r="P88" i="28"/>
  <c r="Q88" i="28"/>
  <c r="R88" i="28"/>
  <c r="S88" i="28"/>
  <c r="T88" i="28"/>
  <c r="U88" i="28"/>
  <c r="V88" i="28"/>
  <c r="W88" i="28"/>
  <c r="X88" i="28"/>
  <c r="Y88" i="28"/>
  <c r="G89" i="28"/>
  <c r="H89" i="28"/>
  <c r="I89" i="28"/>
  <c r="J89" i="28"/>
  <c r="K89" i="28"/>
  <c r="L89" i="28"/>
  <c r="M89" i="28"/>
  <c r="N89" i="28"/>
  <c r="O89" i="28"/>
  <c r="P89" i="28"/>
  <c r="Q89" i="28"/>
  <c r="R89" i="28"/>
  <c r="S89" i="28"/>
  <c r="T89" i="28"/>
  <c r="U89" i="28"/>
  <c r="V89" i="28"/>
  <c r="W89" i="28"/>
  <c r="X89" i="28"/>
  <c r="Y89" i="28"/>
  <c r="G90" i="28"/>
  <c r="H90" i="28"/>
  <c r="I90" i="28"/>
  <c r="J90" i="28"/>
  <c r="K90" i="28"/>
  <c r="L90" i="28"/>
  <c r="M90" i="28"/>
  <c r="N90" i="28"/>
  <c r="O90" i="28"/>
  <c r="P90" i="28"/>
  <c r="Q90" i="28"/>
  <c r="R90" i="28"/>
  <c r="S90" i="28"/>
  <c r="T90" i="28"/>
  <c r="U90" i="28"/>
  <c r="V90" i="28"/>
  <c r="W90" i="28"/>
  <c r="X90" i="28"/>
  <c r="Y90" i="28"/>
  <c r="G91" i="28"/>
  <c r="H91" i="28"/>
  <c r="I91" i="28"/>
  <c r="J91" i="28"/>
  <c r="K91" i="28"/>
  <c r="L91" i="28"/>
  <c r="M91" i="28"/>
  <c r="N91" i="28"/>
  <c r="O91" i="28"/>
  <c r="P91" i="28"/>
  <c r="Q91" i="28"/>
  <c r="R91" i="28"/>
  <c r="S91" i="28"/>
  <c r="T91" i="28"/>
  <c r="U91" i="28"/>
  <c r="V91" i="28"/>
  <c r="W91" i="28"/>
  <c r="X91" i="28"/>
  <c r="Y91" i="28"/>
  <c r="G92" i="28"/>
  <c r="H92" i="28"/>
  <c r="I92" i="28"/>
  <c r="J92" i="28"/>
  <c r="K92" i="28"/>
  <c r="L92" i="28"/>
  <c r="M92" i="28"/>
  <c r="N92" i="28"/>
  <c r="O92" i="28"/>
  <c r="P92" i="28"/>
  <c r="Q92" i="28"/>
  <c r="R92" i="28"/>
  <c r="S92" i="28"/>
  <c r="T92" i="28"/>
  <c r="U92" i="28"/>
  <c r="V92" i="28"/>
  <c r="W92" i="28"/>
  <c r="X92" i="28"/>
  <c r="Y92" i="28"/>
  <c r="G93" i="28"/>
  <c r="H93" i="28"/>
  <c r="I93" i="28"/>
  <c r="J93" i="28"/>
  <c r="K93" i="28"/>
  <c r="L93" i="28"/>
  <c r="M93" i="28"/>
  <c r="N93" i="28"/>
  <c r="O93" i="28"/>
  <c r="P93" i="28"/>
  <c r="Q93" i="28"/>
  <c r="R93" i="28"/>
  <c r="S93" i="28"/>
  <c r="T93" i="28"/>
  <c r="U93" i="28"/>
  <c r="V93" i="28"/>
  <c r="W93" i="28"/>
  <c r="X93" i="28"/>
  <c r="Y93" i="28"/>
  <c r="G94" i="28"/>
  <c r="H94" i="28"/>
  <c r="I94" i="28"/>
  <c r="J94" i="28"/>
  <c r="K94" i="28"/>
  <c r="L94" i="28"/>
  <c r="M94" i="28"/>
  <c r="N94" i="28"/>
  <c r="O94" i="28"/>
  <c r="P94" i="28"/>
  <c r="Q94" i="28"/>
  <c r="R94" i="28"/>
  <c r="S94" i="28"/>
  <c r="T94" i="28"/>
  <c r="U94" i="28"/>
  <c r="V94" i="28"/>
  <c r="W94" i="28"/>
  <c r="X94" i="28"/>
  <c r="Y94" i="28"/>
  <c r="G95" i="28"/>
  <c r="H95" i="28"/>
  <c r="I95" i="28"/>
  <c r="J95" i="28"/>
  <c r="K95" i="28"/>
  <c r="L95" i="28"/>
  <c r="M95" i="28"/>
  <c r="N95" i="28"/>
  <c r="O95" i="28"/>
  <c r="P95" i="28"/>
  <c r="Q95" i="28"/>
  <c r="R95" i="28"/>
  <c r="S95" i="28"/>
  <c r="T95" i="28"/>
  <c r="U95" i="28"/>
  <c r="V95" i="28"/>
  <c r="W95" i="28"/>
  <c r="X95" i="28"/>
  <c r="Y95" i="28"/>
  <c r="G96" i="28"/>
  <c r="H96" i="28"/>
  <c r="I96" i="28"/>
  <c r="J96" i="28"/>
  <c r="K96" i="28"/>
  <c r="L96" i="28"/>
  <c r="M96" i="28"/>
  <c r="N96" i="28"/>
  <c r="O96" i="28"/>
  <c r="P96" i="28"/>
  <c r="Q96" i="28"/>
  <c r="R96" i="28"/>
  <c r="S96" i="28"/>
  <c r="T96" i="28"/>
  <c r="U96" i="28"/>
  <c r="V96" i="28"/>
  <c r="W96" i="28"/>
  <c r="X96" i="28"/>
  <c r="Y96" i="28"/>
  <c r="G97" i="28"/>
  <c r="H97" i="28"/>
  <c r="I97" i="28"/>
  <c r="J97" i="28"/>
  <c r="K97" i="28"/>
  <c r="L97" i="28"/>
  <c r="M97" i="28"/>
  <c r="N97" i="28"/>
  <c r="O97" i="28"/>
  <c r="P97" i="28"/>
  <c r="Q97" i="28"/>
  <c r="R97" i="28"/>
  <c r="S97" i="28"/>
  <c r="T97" i="28"/>
  <c r="U97" i="28"/>
  <c r="V97" i="28"/>
  <c r="W97" i="28"/>
  <c r="X97" i="28"/>
  <c r="Y97" i="28"/>
  <c r="G98" i="28"/>
  <c r="H98" i="28"/>
  <c r="I98" i="28"/>
  <c r="J98" i="28"/>
  <c r="K98" i="28"/>
  <c r="L98" i="28"/>
  <c r="M98" i="28"/>
  <c r="N98" i="28"/>
  <c r="O98" i="28"/>
  <c r="P98" i="28"/>
  <c r="Q98" i="28"/>
  <c r="R98" i="28"/>
  <c r="S98" i="28"/>
  <c r="T98" i="28"/>
  <c r="U98" i="28"/>
  <c r="V98" i="28"/>
  <c r="W98" i="28"/>
  <c r="X98" i="28"/>
  <c r="Y98" i="28"/>
  <c r="G99" i="28"/>
  <c r="D279" i="28" s="1"/>
  <c r="H99" i="28"/>
  <c r="E279" i="28" s="1"/>
  <c r="I99" i="28"/>
  <c r="F279" i="28" s="1"/>
  <c r="J99" i="28"/>
  <c r="G279" i="28" s="1"/>
  <c r="K99" i="28"/>
  <c r="H279" i="28" s="1"/>
  <c r="L99" i="28"/>
  <c r="I279" i="28" s="1"/>
  <c r="M99" i="28"/>
  <c r="J279" i="28" s="1"/>
  <c r="N99" i="28"/>
  <c r="K279" i="28" s="1"/>
  <c r="O99" i="28"/>
  <c r="L279" i="28" s="1"/>
  <c r="P99" i="28"/>
  <c r="M279" i="28" s="1"/>
  <c r="Q99" i="28"/>
  <c r="N279" i="28" s="1"/>
  <c r="R99" i="28"/>
  <c r="O279" i="28" s="1"/>
  <c r="S99" i="28"/>
  <c r="P279" i="28" s="1"/>
  <c r="T99" i="28"/>
  <c r="Q279" i="28" s="1"/>
  <c r="U99" i="28"/>
  <c r="R279" i="28" s="1"/>
  <c r="V99" i="28"/>
  <c r="S279" i="28" s="1"/>
  <c r="W99" i="28"/>
  <c r="T279" i="28" s="1"/>
  <c r="X99" i="28"/>
  <c r="U279" i="28" s="1"/>
  <c r="Y99" i="28"/>
  <c r="V279" i="28" s="1"/>
  <c r="G100" i="28"/>
  <c r="H100" i="28"/>
  <c r="I100" i="28"/>
  <c r="J100" i="28"/>
  <c r="K100" i="28"/>
  <c r="L100" i="28"/>
  <c r="M100" i="28"/>
  <c r="N100" i="28"/>
  <c r="O100" i="28"/>
  <c r="P100" i="28"/>
  <c r="Q100" i="28"/>
  <c r="R100" i="28"/>
  <c r="S100" i="28"/>
  <c r="T100" i="28"/>
  <c r="U100" i="28"/>
  <c r="V100" i="28"/>
  <c r="W100" i="28"/>
  <c r="X100" i="28"/>
  <c r="Y100" i="28"/>
  <c r="G101" i="28"/>
  <c r="H101" i="28"/>
  <c r="I101" i="28"/>
  <c r="J101" i="28"/>
  <c r="K101" i="28"/>
  <c r="L101" i="28"/>
  <c r="M101" i="28"/>
  <c r="N101" i="28"/>
  <c r="O101" i="28"/>
  <c r="P101" i="28"/>
  <c r="Q101" i="28"/>
  <c r="R101" i="28"/>
  <c r="S101" i="28"/>
  <c r="T101" i="28"/>
  <c r="U101" i="28"/>
  <c r="V101" i="28"/>
  <c r="W101" i="28"/>
  <c r="X101" i="28"/>
  <c r="Y101" i="28"/>
  <c r="G102" i="28"/>
  <c r="H102" i="28"/>
  <c r="I102" i="28"/>
  <c r="J102" i="28"/>
  <c r="K102" i="28"/>
  <c r="L102" i="28"/>
  <c r="M102" i="28"/>
  <c r="N102" i="28"/>
  <c r="O102" i="28"/>
  <c r="P102" i="28"/>
  <c r="Q102" i="28"/>
  <c r="R102" i="28"/>
  <c r="S102" i="28"/>
  <c r="T102" i="28"/>
  <c r="U102" i="28"/>
  <c r="V102" i="28"/>
  <c r="W102" i="28"/>
  <c r="X102" i="28"/>
  <c r="Y102" i="28"/>
  <c r="G103" i="28"/>
  <c r="H103" i="28"/>
  <c r="I103" i="28"/>
  <c r="J103" i="28"/>
  <c r="K103" i="28"/>
  <c r="L103" i="28"/>
  <c r="M103" i="28"/>
  <c r="N103" i="28"/>
  <c r="O103" i="28"/>
  <c r="P103" i="28"/>
  <c r="Q103" i="28"/>
  <c r="R103" i="28"/>
  <c r="S103" i="28"/>
  <c r="T103" i="28"/>
  <c r="U103" i="28"/>
  <c r="V103" i="28"/>
  <c r="W103" i="28"/>
  <c r="X103" i="28"/>
  <c r="Y103" i="28"/>
  <c r="G104" i="28"/>
  <c r="H104" i="28"/>
  <c r="I104" i="28"/>
  <c r="J104" i="28"/>
  <c r="K104" i="28"/>
  <c r="L104" i="28"/>
  <c r="M104" i="28"/>
  <c r="N104" i="28"/>
  <c r="O104" i="28"/>
  <c r="P104" i="28"/>
  <c r="Q104" i="28"/>
  <c r="R104" i="28"/>
  <c r="S104" i="28"/>
  <c r="T104" i="28"/>
  <c r="U104" i="28"/>
  <c r="V104" i="28"/>
  <c r="W104" i="28"/>
  <c r="X104" i="28"/>
  <c r="Y104" i="28"/>
  <c r="G105" i="28"/>
  <c r="H105" i="28"/>
  <c r="I105" i="28"/>
  <c r="J105" i="28"/>
  <c r="K105" i="28"/>
  <c r="L105" i="28"/>
  <c r="M105" i="28"/>
  <c r="N105" i="28"/>
  <c r="O105" i="28"/>
  <c r="P105" i="28"/>
  <c r="Q105" i="28"/>
  <c r="R105" i="28"/>
  <c r="S105" i="28"/>
  <c r="T105" i="28"/>
  <c r="U105" i="28"/>
  <c r="V105" i="28"/>
  <c r="W105" i="28"/>
  <c r="X105" i="28"/>
  <c r="Y105" i="28"/>
  <c r="G106" i="28"/>
  <c r="H106" i="28"/>
  <c r="I106" i="28"/>
  <c r="J106" i="28"/>
  <c r="K106" i="28"/>
  <c r="L106" i="28"/>
  <c r="M106" i="28"/>
  <c r="N106" i="28"/>
  <c r="O106" i="28"/>
  <c r="P106" i="28"/>
  <c r="Q106" i="28"/>
  <c r="R106" i="28"/>
  <c r="S106" i="28"/>
  <c r="T106" i="28"/>
  <c r="U106" i="28"/>
  <c r="V106" i="28"/>
  <c r="W106" i="28"/>
  <c r="X106" i="28"/>
  <c r="Y106" i="28"/>
  <c r="G107" i="28"/>
  <c r="H107" i="28"/>
  <c r="I107" i="28"/>
  <c r="J107" i="28"/>
  <c r="K107" i="28"/>
  <c r="L107" i="28"/>
  <c r="M107" i="28"/>
  <c r="N107" i="28"/>
  <c r="O107" i="28"/>
  <c r="P107" i="28"/>
  <c r="Q107" i="28"/>
  <c r="R107" i="28"/>
  <c r="S107" i="28"/>
  <c r="T107" i="28"/>
  <c r="U107" i="28"/>
  <c r="V107" i="28"/>
  <c r="W107" i="28"/>
  <c r="X107" i="28"/>
  <c r="Y107" i="28"/>
  <c r="G108" i="28"/>
  <c r="H108" i="28"/>
  <c r="I108" i="28"/>
  <c r="J108" i="28"/>
  <c r="K108" i="28"/>
  <c r="L108" i="28"/>
  <c r="M108" i="28"/>
  <c r="N108" i="28"/>
  <c r="O108" i="28"/>
  <c r="P108" i="28"/>
  <c r="Q108" i="28"/>
  <c r="R108" i="28"/>
  <c r="S108" i="28"/>
  <c r="T108" i="28"/>
  <c r="U108" i="28"/>
  <c r="V108" i="28"/>
  <c r="W108" i="28"/>
  <c r="X108" i="28"/>
  <c r="Y108" i="28"/>
  <c r="G109" i="28"/>
  <c r="H109" i="28"/>
  <c r="I109" i="28"/>
  <c r="J109" i="28"/>
  <c r="K109" i="28"/>
  <c r="L109" i="28"/>
  <c r="M109" i="28"/>
  <c r="N109" i="28"/>
  <c r="O109" i="28"/>
  <c r="P109" i="28"/>
  <c r="Q109" i="28"/>
  <c r="R109" i="28"/>
  <c r="S109" i="28"/>
  <c r="T109" i="28"/>
  <c r="U109" i="28"/>
  <c r="V109" i="28"/>
  <c r="W109" i="28"/>
  <c r="X109" i="28"/>
  <c r="Y109" i="28"/>
  <c r="G110" i="28"/>
  <c r="H110" i="28"/>
  <c r="I110" i="28"/>
  <c r="J110" i="28"/>
  <c r="K110" i="28"/>
  <c r="L110" i="28"/>
  <c r="M110" i="28"/>
  <c r="N110" i="28"/>
  <c r="O110" i="28"/>
  <c r="P110" i="28"/>
  <c r="Q110" i="28"/>
  <c r="R110" i="28"/>
  <c r="S110" i="28"/>
  <c r="T110" i="28"/>
  <c r="U110" i="28"/>
  <c r="V110" i="28"/>
  <c r="W110" i="28"/>
  <c r="X110" i="28"/>
  <c r="Y110" i="28"/>
  <c r="G111" i="28"/>
  <c r="H111" i="28"/>
  <c r="I111" i="28"/>
  <c r="J111" i="28"/>
  <c r="K111" i="28"/>
  <c r="L111" i="28"/>
  <c r="M111" i="28"/>
  <c r="N111" i="28"/>
  <c r="O111" i="28"/>
  <c r="P111" i="28"/>
  <c r="Q111" i="28"/>
  <c r="R111" i="28"/>
  <c r="S111" i="28"/>
  <c r="T111" i="28"/>
  <c r="U111" i="28"/>
  <c r="V111" i="28"/>
  <c r="W111" i="28"/>
  <c r="X111" i="28"/>
  <c r="Y111" i="28"/>
  <c r="G112" i="28"/>
  <c r="H112" i="28"/>
  <c r="I112" i="28"/>
  <c r="J112" i="28"/>
  <c r="K112" i="28"/>
  <c r="L112" i="28"/>
  <c r="M112" i="28"/>
  <c r="N112" i="28"/>
  <c r="O112" i="28"/>
  <c r="P112" i="28"/>
  <c r="Q112" i="28"/>
  <c r="R112" i="28"/>
  <c r="S112" i="28"/>
  <c r="T112" i="28"/>
  <c r="U112" i="28"/>
  <c r="V112" i="28"/>
  <c r="W112" i="28"/>
  <c r="X112" i="28"/>
  <c r="Y112" i="28"/>
  <c r="G113" i="28"/>
  <c r="H113" i="28"/>
  <c r="I113" i="28"/>
  <c r="J113" i="28"/>
  <c r="K113" i="28"/>
  <c r="L113" i="28"/>
  <c r="M113" i="28"/>
  <c r="N113" i="28"/>
  <c r="O113" i="28"/>
  <c r="P113" i="28"/>
  <c r="Q113" i="28"/>
  <c r="R113" i="28"/>
  <c r="S113" i="28"/>
  <c r="T113" i="28"/>
  <c r="U113" i="28"/>
  <c r="V113" i="28"/>
  <c r="W113" i="28"/>
  <c r="X113" i="28"/>
  <c r="Y113" i="28"/>
  <c r="G114" i="28"/>
  <c r="H114" i="28"/>
  <c r="I114" i="28"/>
  <c r="J114" i="28"/>
  <c r="K114" i="28"/>
  <c r="L114" i="28"/>
  <c r="M114" i="28"/>
  <c r="N114" i="28"/>
  <c r="O114" i="28"/>
  <c r="P114" i="28"/>
  <c r="Q114" i="28"/>
  <c r="R114" i="28"/>
  <c r="S114" i="28"/>
  <c r="T114" i="28"/>
  <c r="U114" i="28"/>
  <c r="V114" i="28"/>
  <c r="W114" i="28"/>
  <c r="X114" i="28"/>
  <c r="Y114" i="28"/>
  <c r="G115" i="28"/>
  <c r="H115" i="28"/>
  <c r="I115" i="28"/>
  <c r="J115" i="28"/>
  <c r="K115" i="28"/>
  <c r="L115" i="28"/>
  <c r="M115" i="28"/>
  <c r="N115" i="28"/>
  <c r="O115" i="28"/>
  <c r="P115" i="28"/>
  <c r="Q115" i="28"/>
  <c r="R115" i="28"/>
  <c r="S115" i="28"/>
  <c r="T115" i="28"/>
  <c r="U115" i="28"/>
  <c r="V115" i="28"/>
  <c r="W115" i="28"/>
  <c r="X115" i="28"/>
  <c r="Y115" i="28"/>
  <c r="G116" i="28"/>
  <c r="H116" i="28"/>
  <c r="I116" i="28"/>
  <c r="J116" i="28"/>
  <c r="K116" i="28"/>
  <c r="L116" i="28"/>
  <c r="M116" i="28"/>
  <c r="N116" i="28"/>
  <c r="O116" i="28"/>
  <c r="P116" i="28"/>
  <c r="Q116" i="28"/>
  <c r="R116" i="28"/>
  <c r="S116" i="28"/>
  <c r="T116" i="28"/>
  <c r="U116" i="28"/>
  <c r="V116" i="28"/>
  <c r="W116" i="28"/>
  <c r="X116" i="28"/>
  <c r="Y116" i="28"/>
  <c r="G117" i="28"/>
  <c r="H117" i="28"/>
  <c r="I117" i="28"/>
  <c r="J117" i="28"/>
  <c r="K117" i="28"/>
  <c r="L117" i="28"/>
  <c r="M117" i="28"/>
  <c r="N117" i="28"/>
  <c r="O117" i="28"/>
  <c r="P117" i="28"/>
  <c r="Q117" i="28"/>
  <c r="R117" i="28"/>
  <c r="S117" i="28"/>
  <c r="T117" i="28"/>
  <c r="U117" i="28"/>
  <c r="V117" i="28"/>
  <c r="W117" i="28"/>
  <c r="X117" i="28"/>
  <c r="Y117" i="28"/>
  <c r="G118" i="28"/>
  <c r="H118" i="28"/>
  <c r="I118" i="28"/>
  <c r="J118" i="28"/>
  <c r="K118" i="28"/>
  <c r="L118" i="28"/>
  <c r="M118" i="28"/>
  <c r="N118" i="28"/>
  <c r="O118" i="28"/>
  <c r="P118" i="28"/>
  <c r="Q118" i="28"/>
  <c r="R118" i="28"/>
  <c r="S118" i="28"/>
  <c r="T118" i="28"/>
  <c r="U118" i="28"/>
  <c r="V118" i="28"/>
  <c r="W118" i="28"/>
  <c r="X118" i="28"/>
  <c r="Y118" i="28"/>
  <c r="G119" i="28"/>
  <c r="H119" i="28"/>
  <c r="I119" i="28"/>
  <c r="J119" i="28"/>
  <c r="K119" i="28"/>
  <c r="L119" i="28"/>
  <c r="M119" i="28"/>
  <c r="N119" i="28"/>
  <c r="O119" i="28"/>
  <c r="P119" i="28"/>
  <c r="Q119" i="28"/>
  <c r="R119" i="28"/>
  <c r="S119" i="28"/>
  <c r="T119" i="28"/>
  <c r="U119" i="28"/>
  <c r="V119" i="28"/>
  <c r="W119" i="28"/>
  <c r="X119" i="28"/>
  <c r="Y119" i="28"/>
  <c r="G120" i="28"/>
  <c r="H120" i="28"/>
  <c r="I120" i="28"/>
  <c r="J120" i="28"/>
  <c r="K120" i="28"/>
  <c r="L120" i="28"/>
  <c r="M120" i="28"/>
  <c r="N120" i="28"/>
  <c r="O120" i="28"/>
  <c r="P120" i="28"/>
  <c r="Q120" i="28"/>
  <c r="R120" i="28"/>
  <c r="S120" i="28"/>
  <c r="T120" i="28"/>
  <c r="U120" i="28"/>
  <c r="V120" i="28"/>
  <c r="W120" i="28"/>
  <c r="X120" i="28"/>
  <c r="Y120" i="28"/>
  <c r="G121" i="28"/>
  <c r="H121" i="28"/>
  <c r="I121" i="28"/>
  <c r="J121" i="28"/>
  <c r="K121" i="28"/>
  <c r="L121" i="28"/>
  <c r="M121" i="28"/>
  <c r="N121" i="28"/>
  <c r="O121" i="28"/>
  <c r="P121" i="28"/>
  <c r="Q121" i="28"/>
  <c r="R121" i="28"/>
  <c r="S121" i="28"/>
  <c r="T121" i="28"/>
  <c r="U121" i="28"/>
  <c r="V121" i="28"/>
  <c r="W121" i="28"/>
  <c r="X121" i="28"/>
  <c r="Y121" i="28"/>
  <c r="G122" i="28"/>
  <c r="H122" i="28"/>
  <c r="I122" i="28"/>
  <c r="J122" i="28"/>
  <c r="K122" i="28"/>
  <c r="L122" i="28"/>
  <c r="M122" i="28"/>
  <c r="N122" i="28"/>
  <c r="O122" i="28"/>
  <c r="P122" i="28"/>
  <c r="Q122" i="28"/>
  <c r="R122" i="28"/>
  <c r="S122" i="28"/>
  <c r="T122" i="28"/>
  <c r="U122" i="28"/>
  <c r="V122" i="28"/>
  <c r="W122" i="28"/>
  <c r="X122" i="28"/>
  <c r="Y122" i="28"/>
  <c r="G123" i="28"/>
  <c r="H123" i="28"/>
  <c r="I123" i="28"/>
  <c r="J123" i="28"/>
  <c r="K123" i="28"/>
  <c r="L123" i="28"/>
  <c r="M123" i="28"/>
  <c r="N123" i="28"/>
  <c r="O123" i="28"/>
  <c r="P123" i="28"/>
  <c r="Q123" i="28"/>
  <c r="R123" i="28"/>
  <c r="S123" i="28"/>
  <c r="T123" i="28"/>
  <c r="U123" i="28"/>
  <c r="V123" i="28"/>
  <c r="W123" i="28"/>
  <c r="X123" i="28"/>
  <c r="Y123" i="28"/>
  <c r="G124" i="28"/>
  <c r="H124" i="28"/>
  <c r="I124" i="28"/>
  <c r="J124" i="28"/>
  <c r="K124" i="28"/>
  <c r="L124" i="28"/>
  <c r="M124" i="28"/>
  <c r="N124" i="28"/>
  <c r="O124" i="28"/>
  <c r="P124" i="28"/>
  <c r="Q124" i="28"/>
  <c r="R124" i="28"/>
  <c r="S124" i="28"/>
  <c r="T124" i="28"/>
  <c r="U124" i="28"/>
  <c r="V124" i="28"/>
  <c r="W124" i="28"/>
  <c r="X124" i="28"/>
  <c r="Y124" i="28"/>
  <c r="G125" i="28"/>
  <c r="H125" i="28"/>
  <c r="I125" i="28"/>
  <c r="J125" i="28"/>
  <c r="K125" i="28"/>
  <c r="L125" i="28"/>
  <c r="M125" i="28"/>
  <c r="N125" i="28"/>
  <c r="O125" i="28"/>
  <c r="P125" i="28"/>
  <c r="Q125" i="28"/>
  <c r="R125" i="28"/>
  <c r="S125" i="28"/>
  <c r="T125" i="28"/>
  <c r="U125" i="28"/>
  <c r="V125" i="28"/>
  <c r="W125" i="28"/>
  <c r="X125" i="28"/>
  <c r="Y125" i="28"/>
  <c r="G126" i="28"/>
  <c r="H126" i="28"/>
  <c r="I126" i="28"/>
  <c r="J126" i="28"/>
  <c r="K126" i="28"/>
  <c r="L126" i="28"/>
  <c r="M126" i="28"/>
  <c r="N126" i="28"/>
  <c r="O126" i="28"/>
  <c r="P126" i="28"/>
  <c r="Q126" i="28"/>
  <c r="R126" i="28"/>
  <c r="S126" i="28"/>
  <c r="T126" i="28"/>
  <c r="U126" i="28"/>
  <c r="V126" i="28"/>
  <c r="W126" i="28"/>
  <c r="X126" i="28"/>
  <c r="Y126" i="28"/>
  <c r="G127" i="28"/>
  <c r="H127" i="28"/>
  <c r="I127" i="28"/>
  <c r="J127" i="28"/>
  <c r="K127" i="28"/>
  <c r="L127" i="28"/>
  <c r="M127" i="28"/>
  <c r="N127" i="28"/>
  <c r="O127" i="28"/>
  <c r="P127" i="28"/>
  <c r="Q127" i="28"/>
  <c r="R127" i="28"/>
  <c r="S127" i="28"/>
  <c r="T127" i="28"/>
  <c r="U127" i="28"/>
  <c r="V127" i="28"/>
  <c r="W127" i="28"/>
  <c r="X127" i="28"/>
  <c r="Y127" i="28"/>
  <c r="G128" i="28"/>
  <c r="H128" i="28"/>
  <c r="I128" i="28"/>
  <c r="J128" i="28"/>
  <c r="K128" i="28"/>
  <c r="L128" i="28"/>
  <c r="M128" i="28"/>
  <c r="N128" i="28"/>
  <c r="O128" i="28"/>
  <c r="P128" i="28"/>
  <c r="Q128" i="28"/>
  <c r="R128" i="28"/>
  <c r="S128" i="28"/>
  <c r="T128" i="28"/>
  <c r="U128" i="28"/>
  <c r="V128" i="28"/>
  <c r="W128" i="28"/>
  <c r="X128" i="28"/>
  <c r="Y128" i="28"/>
  <c r="G129" i="28"/>
  <c r="D278" i="28" s="1"/>
  <c r="H129" i="28"/>
  <c r="E278" i="28" s="1"/>
  <c r="I129" i="28"/>
  <c r="F278" i="28" s="1"/>
  <c r="J129" i="28"/>
  <c r="G278" i="28" s="1"/>
  <c r="K129" i="28"/>
  <c r="H278" i="28" s="1"/>
  <c r="L129" i="28"/>
  <c r="I278" i="28" s="1"/>
  <c r="M129" i="28"/>
  <c r="J278" i="28" s="1"/>
  <c r="N129" i="28"/>
  <c r="K278" i="28" s="1"/>
  <c r="O129" i="28"/>
  <c r="L278" i="28" s="1"/>
  <c r="P129" i="28"/>
  <c r="M278" i="28" s="1"/>
  <c r="Q129" i="28"/>
  <c r="N278" i="28" s="1"/>
  <c r="R129" i="28"/>
  <c r="O278" i="28" s="1"/>
  <c r="S129" i="28"/>
  <c r="P278" i="28" s="1"/>
  <c r="T129" i="28"/>
  <c r="Q278" i="28" s="1"/>
  <c r="U129" i="28"/>
  <c r="R278" i="28" s="1"/>
  <c r="V129" i="28"/>
  <c r="S278" i="28" s="1"/>
  <c r="W129" i="28"/>
  <c r="T278" i="28" s="1"/>
  <c r="X129" i="28"/>
  <c r="U278" i="28" s="1"/>
  <c r="Y129" i="28"/>
  <c r="V278" i="28" s="1"/>
  <c r="G130" i="28"/>
  <c r="H130" i="28"/>
  <c r="I130" i="28"/>
  <c r="J130" i="28"/>
  <c r="K130" i="28"/>
  <c r="L130" i="28"/>
  <c r="M130" i="28"/>
  <c r="N130" i="28"/>
  <c r="O130" i="28"/>
  <c r="P130" i="28"/>
  <c r="Q130" i="28"/>
  <c r="R130" i="28"/>
  <c r="S130" i="28"/>
  <c r="T130" i="28"/>
  <c r="U130" i="28"/>
  <c r="V130" i="28"/>
  <c r="W130" i="28"/>
  <c r="X130" i="28"/>
  <c r="Y130" i="28"/>
  <c r="G131" i="28"/>
  <c r="H131" i="28"/>
  <c r="I131" i="28"/>
  <c r="J131" i="28"/>
  <c r="K131" i="28"/>
  <c r="L131" i="28"/>
  <c r="M131" i="28"/>
  <c r="N131" i="28"/>
  <c r="O131" i="28"/>
  <c r="P131" i="28"/>
  <c r="Q131" i="28"/>
  <c r="R131" i="28"/>
  <c r="S131" i="28"/>
  <c r="T131" i="28"/>
  <c r="U131" i="28"/>
  <c r="V131" i="28"/>
  <c r="W131" i="28"/>
  <c r="X131" i="28"/>
  <c r="Y131" i="28"/>
  <c r="G132" i="28"/>
  <c r="H132" i="28"/>
  <c r="I132" i="28"/>
  <c r="J132" i="28"/>
  <c r="K132" i="28"/>
  <c r="L132" i="28"/>
  <c r="M132" i="28"/>
  <c r="N132" i="28"/>
  <c r="O132" i="28"/>
  <c r="P132" i="28"/>
  <c r="Q132" i="28"/>
  <c r="R132" i="28"/>
  <c r="S132" i="28"/>
  <c r="T132" i="28"/>
  <c r="U132" i="28"/>
  <c r="V132" i="28"/>
  <c r="W132" i="28"/>
  <c r="X132" i="28"/>
  <c r="Y132" i="28"/>
  <c r="G133" i="28"/>
  <c r="H133" i="28"/>
  <c r="I133" i="28"/>
  <c r="J133" i="28"/>
  <c r="K133" i="28"/>
  <c r="L133" i="28"/>
  <c r="M133" i="28"/>
  <c r="N133" i="28"/>
  <c r="O133" i="28"/>
  <c r="P133" i="28"/>
  <c r="Q133" i="28"/>
  <c r="R133" i="28"/>
  <c r="S133" i="28"/>
  <c r="T133" i="28"/>
  <c r="U133" i="28"/>
  <c r="V133" i="28"/>
  <c r="W133" i="28"/>
  <c r="X133" i="28"/>
  <c r="Y133" i="28"/>
  <c r="G134" i="28"/>
  <c r="H134" i="28"/>
  <c r="I134" i="28"/>
  <c r="J134" i="28"/>
  <c r="K134" i="28"/>
  <c r="L134" i="28"/>
  <c r="M134" i="28"/>
  <c r="N134" i="28"/>
  <c r="O134" i="28"/>
  <c r="P134" i="28"/>
  <c r="Q134" i="28"/>
  <c r="R134" i="28"/>
  <c r="S134" i="28"/>
  <c r="T134" i="28"/>
  <c r="U134" i="28"/>
  <c r="V134" i="28"/>
  <c r="W134" i="28"/>
  <c r="X134" i="28"/>
  <c r="Y134" i="28"/>
  <c r="G135" i="28"/>
  <c r="H135" i="28"/>
  <c r="I135" i="28"/>
  <c r="J135" i="28"/>
  <c r="K135" i="28"/>
  <c r="L135" i="28"/>
  <c r="M135" i="28"/>
  <c r="N135" i="28"/>
  <c r="O135" i="28"/>
  <c r="P135" i="28"/>
  <c r="Q135" i="28"/>
  <c r="R135" i="28"/>
  <c r="S135" i="28"/>
  <c r="T135" i="28"/>
  <c r="U135" i="28"/>
  <c r="V135" i="28"/>
  <c r="W135" i="28"/>
  <c r="X135" i="28"/>
  <c r="Y135" i="28"/>
  <c r="G136" i="28"/>
  <c r="H136" i="28"/>
  <c r="I136" i="28"/>
  <c r="J136" i="28"/>
  <c r="K136" i="28"/>
  <c r="L136" i="28"/>
  <c r="M136" i="28"/>
  <c r="N136" i="28"/>
  <c r="O136" i="28"/>
  <c r="P136" i="28"/>
  <c r="Q136" i="28"/>
  <c r="R136" i="28"/>
  <c r="S136" i="28"/>
  <c r="T136" i="28"/>
  <c r="U136" i="28"/>
  <c r="V136" i="28"/>
  <c r="W136" i="28"/>
  <c r="X136" i="28"/>
  <c r="Y136" i="28"/>
  <c r="G137" i="28"/>
  <c r="H137" i="28"/>
  <c r="I137" i="28"/>
  <c r="J137" i="28"/>
  <c r="K137" i="28"/>
  <c r="L137" i="28"/>
  <c r="M137" i="28"/>
  <c r="N137" i="28"/>
  <c r="O137" i="28"/>
  <c r="P137" i="28"/>
  <c r="Q137" i="28"/>
  <c r="R137" i="28"/>
  <c r="S137" i="28"/>
  <c r="T137" i="28"/>
  <c r="U137" i="28"/>
  <c r="V137" i="28"/>
  <c r="W137" i="28"/>
  <c r="X137" i="28"/>
  <c r="Y137" i="28"/>
  <c r="G138" i="28"/>
  <c r="H138" i="28"/>
  <c r="I138" i="28"/>
  <c r="J138" i="28"/>
  <c r="K138" i="28"/>
  <c r="L138" i="28"/>
  <c r="M138" i="28"/>
  <c r="N138" i="28"/>
  <c r="O138" i="28"/>
  <c r="P138" i="28"/>
  <c r="Q138" i="28"/>
  <c r="R138" i="28"/>
  <c r="S138" i="28"/>
  <c r="T138" i="28"/>
  <c r="U138" i="28"/>
  <c r="V138" i="28"/>
  <c r="W138" i="28"/>
  <c r="X138" i="28"/>
  <c r="Y138" i="28"/>
  <c r="G139" i="28"/>
  <c r="H139" i="28"/>
  <c r="I139" i="28"/>
  <c r="J139" i="28"/>
  <c r="K139" i="28"/>
  <c r="L139" i="28"/>
  <c r="M139" i="28"/>
  <c r="N139" i="28"/>
  <c r="O139" i="28"/>
  <c r="P139" i="28"/>
  <c r="Q139" i="28"/>
  <c r="R139" i="28"/>
  <c r="S139" i="28"/>
  <c r="T139" i="28"/>
  <c r="U139" i="28"/>
  <c r="V139" i="28"/>
  <c r="W139" i="28"/>
  <c r="X139" i="28"/>
  <c r="Y139" i="28"/>
  <c r="G140" i="28"/>
  <c r="H140" i="28"/>
  <c r="I140" i="28"/>
  <c r="J140" i="28"/>
  <c r="K140" i="28"/>
  <c r="L140" i="28"/>
  <c r="M140" i="28"/>
  <c r="N140" i="28"/>
  <c r="O140" i="28"/>
  <c r="P140" i="28"/>
  <c r="Q140" i="28"/>
  <c r="R140" i="28"/>
  <c r="S140" i="28"/>
  <c r="T140" i="28"/>
  <c r="U140" i="28"/>
  <c r="V140" i="28"/>
  <c r="W140" i="28"/>
  <c r="X140" i="28"/>
  <c r="Y140" i="28"/>
  <c r="G141" i="28"/>
  <c r="H141" i="28"/>
  <c r="I141" i="28"/>
  <c r="J141" i="28"/>
  <c r="K141" i="28"/>
  <c r="L141" i="28"/>
  <c r="M141" i="28"/>
  <c r="N141" i="28"/>
  <c r="O141" i="28"/>
  <c r="P141" i="28"/>
  <c r="Q141" i="28"/>
  <c r="R141" i="28"/>
  <c r="S141" i="28"/>
  <c r="T141" i="28"/>
  <c r="U141" i="28"/>
  <c r="V141" i="28"/>
  <c r="W141" i="28"/>
  <c r="X141" i="28"/>
  <c r="Y141" i="28"/>
  <c r="G142" i="28"/>
  <c r="H142" i="28"/>
  <c r="I142" i="28"/>
  <c r="J142" i="28"/>
  <c r="K142" i="28"/>
  <c r="L142" i="28"/>
  <c r="M142" i="28"/>
  <c r="N142" i="28"/>
  <c r="O142" i="28"/>
  <c r="P142" i="28"/>
  <c r="Q142" i="28"/>
  <c r="R142" i="28"/>
  <c r="S142" i="28"/>
  <c r="T142" i="28"/>
  <c r="U142" i="28"/>
  <c r="V142" i="28"/>
  <c r="W142" i="28"/>
  <c r="X142" i="28"/>
  <c r="Y142" i="28"/>
  <c r="G143" i="28"/>
  <c r="H143" i="28"/>
  <c r="I143" i="28"/>
  <c r="J143" i="28"/>
  <c r="K143" i="28"/>
  <c r="L143" i="28"/>
  <c r="M143" i="28"/>
  <c r="N143" i="28"/>
  <c r="O143" i="28"/>
  <c r="P143" i="28"/>
  <c r="Q143" i="28"/>
  <c r="R143" i="28"/>
  <c r="S143" i="28"/>
  <c r="T143" i="28"/>
  <c r="U143" i="28"/>
  <c r="V143" i="28"/>
  <c r="W143" i="28"/>
  <c r="X143" i="28"/>
  <c r="Y143" i="28"/>
  <c r="G144" i="28"/>
  <c r="D285" i="28" s="1"/>
  <c r="H144" i="28"/>
  <c r="E285" i="28" s="1"/>
  <c r="I144" i="28"/>
  <c r="F285" i="28" s="1"/>
  <c r="J144" i="28"/>
  <c r="G285" i="28" s="1"/>
  <c r="K144" i="28"/>
  <c r="H285" i="28" s="1"/>
  <c r="L144" i="28"/>
  <c r="I285" i="28" s="1"/>
  <c r="M144" i="28"/>
  <c r="J285" i="28" s="1"/>
  <c r="N144" i="28"/>
  <c r="K285" i="28" s="1"/>
  <c r="O144" i="28"/>
  <c r="L285" i="28" s="1"/>
  <c r="P144" i="28"/>
  <c r="M285" i="28" s="1"/>
  <c r="Q144" i="28"/>
  <c r="N285" i="28" s="1"/>
  <c r="R144" i="28"/>
  <c r="O285" i="28" s="1"/>
  <c r="S144" i="28"/>
  <c r="P285" i="28" s="1"/>
  <c r="T144" i="28"/>
  <c r="Q285" i="28" s="1"/>
  <c r="U144" i="28"/>
  <c r="R285" i="28" s="1"/>
  <c r="V144" i="28"/>
  <c r="S285" i="28" s="1"/>
  <c r="W144" i="28"/>
  <c r="T285" i="28" s="1"/>
  <c r="X144" i="28"/>
  <c r="U285" i="28" s="1"/>
  <c r="Y144" i="28"/>
  <c r="V285" i="28" s="1"/>
  <c r="G145" i="28"/>
  <c r="H145" i="28"/>
  <c r="I145" i="28"/>
  <c r="J145" i="28"/>
  <c r="K145" i="28"/>
  <c r="L145" i="28"/>
  <c r="M145" i="28"/>
  <c r="N145" i="28"/>
  <c r="O145" i="28"/>
  <c r="P145" i="28"/>
  <c r="Q145" i="28"/>
  <c r="R145" i="28"/>
  <c r="S145" i="28"/>
  <c r="T145" i="28"/>
  <c r="U145" i="28"/>
  <c r="V145" i="28"/>
  <c r="W145" i="28"/>
  <c r="X145" i="28"/>
  <c r="Y145" i="28"/>
  <c r="G146" i="28"/>
  <c r="H146" i="28"/>
  <c r="I146" i="28"/>
  <c r="J146" i="28"/>
  <c r="K146" i="28"/>
  <c r="L146" i="28"/>
  <c r="M146" i="28"/>
  <c r="N146" i="28"/>
  <c r="O146" i="28"/>
  <c r="P146" i="28"/>
  <c r="Q146" i="28"/>
  <c r="R146" i="28"/>
  <c r="S146" i="28"/>
  <c r="T146" i="28"/>
  <c r="U146" i="28"/>
  <c r="V146" i="28"/>
  <c r="W146" i="28"/>
  <c r="X146" i="28"/>
  <c r="Y146" i="28"/>
  <c r="G147" i="28"/>
  <c r="H147" i="28"/>
  <c r="I147" i="28"/>
  <c r="J147" i="28"/>
  <c r="K147" i="28"/>
  <c r="L147" i="28"/>
  <c r="M147" i="28"/>
  <c r="N147" i="28"/>
  <c r="O147" i="28"/>
  <c r="P147" i="28"/>
  <c r="Q147" i="28"/>
  <c r="R147" i="28"/>
  <c r="S147" i="28"/>
  <c r="T147" i="28"/>
  <c r="U147" i="28"/>
  <c r="V147" i="28"/>
  <c r="W147" i="28"/>
  <c r="X147" i="28"/>
  <c r="Y147" i="28"/>
  <c r="G148" i="28"/>
  <c r="H148" i="28"/>
  <c r="I148" i="28"/>
  <c r="J148" i="28"/>
  <c r="K148" i="28"/>
  <c r="L148" i="28"/>
  <c r="M148" i="28"/>
  <c r="N148" i="28"/>
  <c r="O148" i="28"/>
  <c r="P148" i="28"/>
  <c r="Q148" i="28"/>
  <c r="R148" i="28"/>
  <c r="S148" i="28"/>
  <c r="T148" i="28"/>
  <c r="U148" i="28"/>
  <c r="V148" i="28"/>
  <c r="W148" i="28"/>
  <c r="X148" i="28"/>
  <c r="Y148" i="28"/>
  <c r="G149" i="28"/>
  <c r="H149" i="28"/>
  <c r="I149" i="28"/>
  <c r="J149" i="28"/>
  <c r="K149" i="28"/>
  <c r="L149" i="28"/>
  <c r="M149" i="28"/>
  <c r="N149" i="28"/>
  <c r="O149" i="28"/>
  <c r="P149" i="28"/>
  <c r="Q149" i="28"/>
  <c r="R149" i="28"/>
  <c r="S149" i="28"/>
  <c r="T149" i="28"/>
  <c r="U149" i="28"/>
  <c r="V149" i="28"/>
  <c r="W149" i="28"/>
  <c r="X149" i="28"/>
  <c r="Y149" i="28"/>
  <c r="G150" i="28"/>
  <c r="H150" i="28"/>
  <c r="I150" i="28"/>
  <c r="J150" i="28"/>
  <c r="K150" i="28"/>
  <c r="L150" i="28"/>
  <c r="M150" i="28"/>
  <c r="N150" i="28"/>
  <c r="O150" i="28"/>
  <c r="P150" i="28"/>
  <c r="Q150" i="28"/>
  <c r="R150" i="28"/>
  <c r="S150" i="28"/>
  <c r="T150" i="28"/>
  <c r="U150" i="28"/>
  <c r="V150" i="28"/>
  <c r="W150" i="28"/>
  <c r="X150" i="28"/>
  <c r="Y150" i="28"/>
  <c r="G151" i="28"/>
  <c r="H151" i="28"/>
  <c r="I151" i="28"/>
  <c r="J151" i="28"/>
  <c r="K151" i="28"/>
  <c r="L151" i="28"/>
  <c r="M151" i="28"/>
  <c r="N151" i="28"/>
  <c r="O151" i="28"/>
  <c r="P151" i="28"/>
  <c r="Q151" i="28"/>
  <c r="R151" i="28"/>
  <c r="S151" i="28"/>
  <c r="T151" i="28"/>
  <c r="U151" i="28"/>
  <c r="V151" i="28"/>
  <c r="W151" i="28"/>
  <c r="X151" i="28"/>
  <c r="Y151" i="28"/>
  <c r="G152" i="28"/>
  <c r="H152" i="28"/>
  <c r="I152" i="28"/>
  <c r="J152" i="28"/>
  <c r="K152" i="28"/>
  <c r="L152" i="28"/>
  <c r="M152" i="28"/>
  <c r="N152" i="28"/>
  <c r="O152" i="28"/>
  <c r="P152" i="28"/>
  <c r="Q152" i="28"/>
  <c r="R152" i="28"/>
  <c r="S152" i="28"/>
  <c r="T152" i="28"/>
  <c r="U152" i="28"/>
  <c r="V152" i="28"/>
  <c r="W152" i="28"/>
  <c r="X152" i="28"/>
  <c r="Y152" i="28"/>
  <c r="G153" i="28"/>
  <c r="H153" i="28"/>
  <c r="I153" i="28"/>
  <c r="J153" i="28"/>
  <c r="K153" i="28"/>
  <c r="L153" i="28"/>
  <c r="M153" i="28"/>
  <c r="N153" i="28"/>
  <c r="O153" i="28"/>
  <c r="P153" i="28"/>
  <c r="Q153" i="28"/>
  <c r="R153" i="28"/>
  <c r="S153" i="28"/>
  <c r="T153" i="28"/>
  <c r="U153" i="28"/>
  <c r="V153" i="28"/>
  <c r="W153" i="28"/>
  <c r="X153" i="28"/>
  <c r="Y153" i="28"/>
  <c r="G154" i="28"/>
  <c r="H154" i="28"/>
  <c r="I154" i="28"/>
  <c r="J154" i="28"/>
  <c r="K154" i="28"/>
  <c r="L154" i="28"/>
  <c r="M154" i="28"/>
  <c r="N154" i="28"/>
  <c r="O154" i="28"/>
  <c r="P154" i="28"/>
  <c r="Q154" i="28"/>
  <c r="R154" i="28"/>
  <c r="S154" i="28"/>
  <c r="T154" i="28"/>
  <c r="U154" i="28"/>
  <c r="V154" i="28"/>
  <c r="W154" i="28"/>
  <c r="X154" i="28"/>
  <c r="Y154" i="28"/>
  <c r="G155" i="28"/>
  <c r="H155" i="28"/>
  <c r="I155" i="28"/>
  <c r="J155" i="28"/>
  <c r="K155" i="28"/>
  <c r="L155" i="28"/>
  <c r="M155" i="28"/>
  <c r="N155" i="28"/>
  <c r="O155" i="28"/>
  <c r="P155" i="28"/>
  <c r="Q155" i="28"/>
  <c r="R155" i="28"/>
  <c r="S155" i="28"/>
  <c r="T155" i="28"/>
  <c r="U155" i="28"/>
  <c r="V155" i="28"/>
  <c r="W155" i="28"/>
  <c r="X155" i="28"/>
  <c r="Y155" i="28"/>
  <c r="G156" i="28"/>
  <c r="H156" i="28"/>
  <c r="I156" i="28"/>
  <c r="J156" i="28"/>
  <c r="K156" i="28"/>
  <c r="L156" i="28"/>
  <c r="M156" i="28"/>
  <c r="N156" i="28"/>
  <c r="O156" i="28"/>
  <c r="P156" i="28"/>
  <c r="Q156" i="28"/>
  <c r="R156" i="28"/>
  <c r="S156" i="28"/>
  <c r="T156" i="28"/>
  <c r="U156" i="28"/>
  <c r="V156" i="28"/>
  <c r="W156" i="28"/>
  <c r="X156" i="28"/>
  <c r="Y156" i="28"/>
  <c r="G157" i="28"/>
  <c r="H157" i="28"/>
  <c r="I157" i="28"/>
  <c r="J157" i="28"/>
  <c r="K157" i="28"/>
  <c r="L157" i="28"/>
  <c r="M157" i="28"/>
  <c r="N157" i="28"/>
  <c r="O157" i="28"/>
  <c r="P157" i="28"/>
  <c r="Q157" i="28"/>
  <c r="R157" i="28"/>
  <c r="S157" i="28"/>
  <c r="T157" i="28"/>
  <c r="U157" i="28"/>
  <c r="V157" i="28"/>
  <c r="W157" i="28"/>
  <c r="X157" i="28"/>
  <c r="Y157" i="28"/>
  <c r="G158" i="28"/>
  <c r="H158" i="28"/>
  <c r="I158" i="28"/>
  <c r="J158" i="28"/>
  <c r="K158" i="28"/>
  <c r="L158" i="28"/>
  <c r="M158" i="28"/>
  <c r="N158" i="28"/>
  <c r="O158" i="28"/>
  <c r="P158" i="28"/>
  <c r="Q158" i="28"/>
  <c r="R158" i="28"/>
  <c r="S158" i="28"/>
  <c r="T158" i="28"/>
  <c r="U158" i="28"/>
  <c r="V158" i="28"/>
  <c r="W158" i="28"/>
  <c r="X158" i="28"/>
  <c r="Y158" i="28"/>
  <c r="G159" i="28"/>
  <c r="H159" i="28"/>
  <c r="I159" i="28"/>
  <c r="J159" i="28"/>
  <c r="K159" i="28"/>
  <c r="L159" i="28"/>
  <c r="M159" i="28"/>
  <c r="N159" i="28"/>
  <c r="O159" i="28"/>
  <c r="P159" i="28"/>
  <c r="Q159" i="28"/>
  <c r="R159" i="28"/>
  <c r="S159" i="28"/>
  <c r="T159" i="28"/>
  <c r="U159" i="28"/>
  <c r="V159" i="28"/>
  <c r="W159" i="28"/>
  <c r="X159" i="28"/>
  <c r="Y159" i="28"/>
  <c r="G160" i="28"/>
  <c r="H160" i="28"/>
  <c r="I160" i="28"/>
  <c r="J160" i="28"/>
  <c r="K160" i="28"/>
  <c r="L160" i="28"/>
  <c r="M160" i="28"/>
  <c r="N160" i="28"/>
  <c r="O160" i="28"/>
  <c r="P160" i="28"/>
  <c r="Q160" i="28"/>
  <c r="R160" i="28"/>
  <c r="S160" i="28"/>
  <c r="T160" i="28"/>
  <c r="U160" i="28"/>
  <c r="V160" i="28"/>
  <c r="W160" i="28"/>
  <c r="X160" i="28"/>
  <c r="Y160" i="28"/>
  <c r="G161" i="28"/>
  <c r="H161" i="28"/>
  <c r="I161" i="28"/>
  <c r="J161" i="28"/>
  <c r="K161" i="28"/>
  <c r="L161" i="28"/>
  <c r="M161" i="28"/>
  <c r="N161" i="28"/>
  <c r="O161" i="28"/>
  <c r="P161" i="28"/>
  <c r="Q161" i="28"/>
  <c r="R161" i="28"/>
  <c r="S161" i="28"/>
  <c r="T161" i="28"/>
  <c r="U161" i="28"/>
  <c r="V161" i="28"/>
  <c r="W161" i="28"/>
  <c r="X161" i="28"/>
  <c r="Y161" i="28"/>
  <c r="G162" i="28"/>
  <c r="H162" i="28"/>
  <c r="I162" i="28"/>
  <c r="J162" i="28"/>
  <c r="K162" i="28"/>
  <c r="L162" i="28"/>
  <c r="M162" i="28"/>
  <c r="N162" i="28"/>
  <c r="O162" i="28"/>
  <c r="P162" i="28"/>
  <c r="Q162" i="28"/>
  <c r="R162" i="28"/>
  <c r="S162" i="28"/>
  <c r="T162" i="28"/>
  <c r="U162" i="28"/>
  <c r="V162" i="28"/>
  <c r="W162" i="28"/>
  <c r="X162" i="28"/>
  <c r="Y162" i="28"/>
  <c r="G163" i="28"/>
  <c r="H163" i="28"/>
  <c r="I163" i="28"/>
  <c r="J163" i="28"/>
  <c r="K163" i="28"/>
  <c r="L163" i="28"/>
  <c r="M163" i="28"/>
  <c r="N163" i="28"/>
  <c r="O163" i="28"/>
  <c r="P163" i="28"/>
  <c r="Q163" i="28"/>
  <c r="R163" i="28"/>
  <c r="S163" i="28"/>
  <c r="T163" i="28"/>
  <c r="U163" i="28"/>
  <c r="V163" i="28"/>
  <c r="W163" i="28"/>
  <c r="X163" i="28"/>
  <c r="Y163" i="28"/>
  <c r="G164" i="28"/>
  <c r="D280" i="28" s="1"/>
  <c r="H164" i="28"/>
  <c r="E280" i="28" s="1"/>
  <c r="I164" i="28"/>
  <c r="F280" i="28" s="1"/>
  <c r="J164" i="28"/>
  <c r="G280" i="28" s="1"/>
  <c r="K164" i="28"/>
  <c r="H280" i="28" s="1"/>
  <c r="L164" i="28"/>
  <c r="I280" i="28" s="1"/>
  <c r="M164" i="28"/>
  <c r="J280" i="28" s="1"/>
  <c r="N164" i="28"/>
  <c r="K280" i="28" s="1"/>
  <c r="O164" i="28"/>
  <c r="L280" i="28" s="1"/>
  <c r="P164" i="28"/>
  <c r="M280" i="28" s="1"/>
  <c r="Q164" i="28"/>
  <c r="N280" i="28" s="1"/>
  <c r="R164" i="28"/>
  <c r="O280" i="28" s="1"/>
  <c r="S164" i="28"/>
  <c r="P280" i="28" s="1"/>
  <c r="T164" i="28"/>
  <c r="Q280" i="28" s="1"/>
  <c r="U164" i="28"/>
  <c r="R280" i="28" s="1"/>
  <c r="V164" i="28"/>
  <c r="S280" i="28" s="1"/>
  <c r="W164" i="28"/>
  <c r="T280" i="28" s="1"/>
  <c r="X164" i="28"/>
  <c r="U280" i="28" s="1"/>
  <c r="Y164" i="28"/>
  <c r="V280" i="28" s="1"/>
  <c r="G165" i="28"/>
  <c r="H165" i="28"/>
  <c r="I165" i="28"/>
  <c r="J165" i="28"/>
  <c r="K165" i="28"/>
  <c r="L165" i="28"/>
  <c r="M165" i="28"/>
  <c r="N165" i="28"/>
  <c r="O165" i="28"/>
  <c r="P165" i="28"/>
  <c r="Q165" i="28"/>
  <c r="R165" i="28"/>
  <c r="S165" i="28"/>
  <c r="T165" i="28"/>
  <c r="U165" i="28"/>
  <c r="V165" i="28"/>
  <c r="W165" i="28"/>
  <c r="X165" i="28"/>
  <c r="Y165" i="28"/>
  <c r="G166" i="28"/>
  <c r="H166" i="28"/>
  <c r="I166" i="28"/>
  <c r="J166" i="28"/>
  <c r="K166" i="28"/>
  <c r="L166" i="28"/>
  <c r="M166" i="28"/>
  <c r="N166" i="28"/>
  <c r="O166" i="28"/>
  <c r="P166" i="28"/>
  <c r="Q166" i="28"/>
  <c r="R166" i="28"/>
  <c r="S166" i="28"/>
  <c r="T166" i="28"/>
  <c r="U166" i="28"/>
  <c r="V166" i="28"/>
  <c r="W166" i="28"/>
  <c r="X166" i="28"/>
  <c r="Y166" i="28"/>
  <c r="G167" i="28"/>
  <c r="H167" i="28"/>
  <c r="I167" i="28"/>
  <c r="J167" i="28"/>
  <c r="K167" i="28"/>
  <c r="L167" i="28"/>
  <c r="M167" i="28"/>
  <c r="N167" i="28"/>
  <c r="O167" i="28"/>
  <c r="P167" i="28"/>
  <c r="Q167" i="28"/>
  <c r="R167" i="28"/>
  <c r="S167" i="28"/>
  <c r="T167" i="28"/>
  <c r="U167" i="28"/>
  <c r="V167" i="28"/>
  <c r="W167" i="28"/>
  <c r="X167" i="28"/>
  <c r="Y167" i="28"/>
  <c r="G168" i="28"/>
  <c r="H168" i="28"/>
  <c r="I168" i="28"/>
  <c r="J168" i="28"/>
  <c r="K168" i="28"/>
  <c r="L168" i="28"/>
  <c r="M168" i="28"/>
  <c r="N168" i="28"/>
  <c r="O168" i="28"/>
  <c r="P168" i="28"/>
  <c r="Q168" i="28"/>
  <c r="R168" i="28"/>
  <c r="S168" i="28"/>
  <c r="T168" i="28"/>
  <c r="U168" i="28"/>
  <c r="V168" i="28"/>
  <c r="W168" i="28"/>
  <c r="X168" i="28"/>
  <c r="Y168" i="28"/>
  <c r="G169" i="28"/>
  <c r="H169" i="28"/>
  <c r="I169" i="28"/>
  <c r="J169" i="28"/>
  <c r="K169" i="28"/>
  <c r="L169" i="28"/>
  <c r="M169" i="28"/>
  <c r="N169" i="28"/>
  <c r="O169" i="28"/>
  <c r="P169" i="28"/>
  <c r="Q169" i="28"/>
  <c r="R169" i="28"/>
  <c r="S169" i="28"/>
  <c r="T169" i="28"/>
  <c r="U169" i="28"/>
  <c r="V169" i="28"/>
  <c r="W169" i="28"/>
  <c r="X169" i="28"/>
  <c r="Y169" i="28"/>
  <c r="G170" i="28"/>
  <c r="H170" i="28"/>
  <c r="I170" i="28"/>
  <c r="J170" i="28"/>
  <c r="K170" i="28"/>
  <c r="L170" i="28"/>
  <c r="M170" i="28"/>
  <c r="N170" i="28"/>
  <c r="O170" i="28"/>
  <c r="P170" i="28"/>
  <c r="Q170" i="28"/>
  <c r="R170" i="28"/>
  <c r="S170" i="28"/>
  <c r="T170" i="28"/>
  <c r="U170" i="28"/>
  <c r="V170" i="28"/>
  <c r="W170" i="28"/>
  <c r="X170" i="28"/>
  <c r="Y170" i="28"/>
  <c r="G171" i="28"/>
  <c r="H171" i="28"/>
  <c r="I171" i="28"/>
  <c r="J171" i="28"/>
  <c r="K171" i="28"/>
  <c r="L171" i="28"/>
  <c r="M171" i="28"/>
  <c r="N171" i="28"/>
  <c r="O171" i="28"/>
  <c r="P171" i="28"/>
  <c r="Q171" i="28"/>
  <c r="R171" i="28"/>
  <c r="S171" i="28"/>
  <c r="T171" i="28"/>
  <c r="U171" i="28"/>
  <c r="V171" i="28"/>
  <c r="W171" i="28"/>
  <c r="X171" i="28"/>
  <c r="Y171" i="28"/>
  <c r="G172" i="28"/>
  <c r="H172" i="28"/>
  <c r="I172" i="28"/>
  <c r="J172" i="28"/>
  <c r="K172" i="28"/>
  <c r="L172" i="28"/>
  <c r="M172" i="28"/>
  <c r="N172" i="28"/>
  <c r="O172" i="28"/>
  <c r="P172" i="28"/>
  <c r="Q172" i="28"/>
  <c r="R172" i="28"/>
  <c r="S172" i="28"/>
  <c r="T172" i="28"/>
  <c r="U172" i="28"/>
  <c r="V172" i="28"/>
  <c r="W172" i="28"/>
  <c r="X172" i="28"/>
  <c r="Y172" i="28"/>
  <c r="G173" i="28"/>
  <c r="H173" i="28"/>
  <c r="I173" i="28"/>
  <c r="J173" i="28"/>
  <c r="K173" i="28"/>
  <c r="L173" i="28"/>
  <c r="M173" i="28"/>
  <c r="N173" i="28"/>
  <c r="O173" i="28"/>
  <c r="P173" i="28"/>
  <c r="Q173" i="28"/>
  <c r="R173" i="28"/>
  <c r="S173" i="28"/>
  <c r="T173" i="28"/>
  <c r="U173" i="28"/>
  <c r="V173" i="28"/>
  <c r="W173" i="28"/>
  <c r="X173" i="28"/>
  <c r="Y173" i="28"/>
  <c r="G174" i="28"/>
  <c r="H174" i="28"/>
  <c r="I174" i="28"/>
  <c r="J174" i="28"/>
  <c r="K174" i="28"/>
  <c r="L174" i="28"/>
  <c r="M174" i="28"/>
  <c r="N174" i="28"/>
  <c r="O174" i="28"/>
  <c r="P174" i="28"/>
  <c r="Q174" i="28"/>
  <c r="R174" i="28"/>
  <c r="S174" i="28"/>
  <c r="T174" i="28"/>
  <c r="U174" i="28"/>
  <c r="V174" i="28"/>
  <c r="W174" i="28"/>
  <c r="X174" i="28"/>
  <c r="Y174" i="28"/>
  <c r="G175" i="28"/>
  <c r="H175" i="28"/>
  <c r="I175" i="28"/>
  <c r="J175" i="28"/>
  <c r="K175" i="28"/>
  <c r="L175" i="28"/>
  <c r="M175" i="28"/>
  <c r="N175" i="28"/>
  <c r="O175" i="28"/>
  <c r="P175" i="28"/>
  <c r="Q175" i="28"/>
  <c r="R175" i="28"/>
  <c r="S175" i="28"/>
  <c r="T175" i="28"/>
  <c r="U175" i="28"/>
  <c r="V175" i="28"/>
  <c r="W175" i="28"/>
  <c r="X175" i="28"/>
  <c r="Y175" i="28"/>
  <c r="G176" i="28"/>
  <c r="H176" i="28"/>
  <c r="I176" i="28"/>
  <c r="J176" i="28"/>
  <c r="K176" i="28"/>
  <c r="L176" i="28"/>
  <c r="M176" i="28"/>
  <c r="N176" i="28"/>
  <c r="O176" i="28"/>
  <c r="P176" i="28"/>
  <c r="Q176" i="28"/>
  <c r="R176" i="28"/>
  <c r="S176" i="28"/>
  <c r="T176" i="28"/>
  <c r="U176" i="28"/>
  <c r="V176" i="28"/>
  <c r="W176" i="28"/>
  <c r="X176" i="28"/>
  <c r="Y176" i="28"/>
  <c r="G177" i="28"/>
  <c r="H177" i="28"/>
  <c r="I177" i="28"/>
  <c r="J177" i="28"/>
  <c r="K177" i="28"/>
  <c r="L177" i="28"/>
  <c r="M177" i="28"/>
  <c r="N177" i="28"/>
  <c r="O177" i="28"/>
  <c r="P177" i="28"/>
  <c r="Q177" i="28"/>
  <c r="R177" i="28"/>
  <c r="S177" i="28"/>
  <c r="T177" i="28"/>
  <c r="U177" i="28"/>
  <c r="V177" i="28"/>
  <c r="W177" i="28"/>
  <c r="X177" i="28"/>
  <c r="Y177" i="28"/>
  <c r="G178" i="28"/>
  <c r="H178" i="28"/>
  <c r="I178" i="28"/>
  <c r="J178" i="28"/>
  <c r="K178" i="28"/>
  <c r="L178" i="28"/>
  <c r="M178" i="28"/>
  <c r="N178" i="28"/>
  <c r="O178" i="28"/>
  <c r="P178" i="28"/>
  <c r="Q178" i="28"/>
  <c r="R178" i="28"/>
  <c r="S178" i="28"/>
  <c r="T178" i="28"/>
  <c r="U178" i="28"/>
  <c r="V178" i="28"/>
  <c r="W178" i="28"/>
  <c r="X178" i="28"/>
  <c r="Y178" i="28"/>
  <c r="G179" i="28"/>
  <c r="H179" i="28"/>
  <c r="I179" i="28"/>
  <c r="J179" i="28"/>
  <c r="K179" i="28"/>
  <c r="L179" i="28"/>
  <c r="M179" i="28"/>
  <c r="N179" i="28"/>
  <c r="O179" i="28"/>
  <c r="P179" i="28"/>
  <c r="Q179" i="28"/>
  <c r="R179" i="28"/>
  <c r="S179" i="28"/>
  <c r="T179" i="28"/>
  <c r="U179" i="28"/>
  <c r="V179" i="28"/>
  <c r="W179" i="28"/>
  <c r="X179" i="28"/>
  <c r="Y179" i="28"/>
  <c r="G180" i="28"/>
  <c r="D277" i="28" s="1"/>
  <c r="H180" i="28"/>
  <c r="E277" i="28" s="1"/>
  <c r="I180" i="28"/>
  <c r="F277" i="28" s="1"/>
  <c r="J180" i="28"/>
  <c r="G277" i="28" s="1"/>
  <c r="K180" i="28"/>
  <c r="H277" i="28" s="1"/>
  <c r="L180" i="28"/>
  <c r="I277" i="28" s="1"/>
  <c r="M180" i="28"/>
  <c r="J277" i="28" s="1"/>
  <c r="N180" i="28"/>
  <c r="K277" i="28" s="1"/>
  <c r="O180" i="28"/>
  <c r="L277" i="28" s="1"/>
  <c r="P180" i="28"/>
  <c r="M277" i="28" s="1"/>
  <c r="Q180" i="28"/>
  <c r="N277" i="28" s="1"/>
  <c r="R180" i="28"/>
  <c r="O277" i="28" s="1"/>
  <c r="S180" i="28"/>
  <c r="P277" i="28" s="1"/>
  <c r="T180" i="28"/>
  <c r="Q277" i="28" s="1"/>
  <c r="U180" i="28"/>
  <c r="R277" i="28" s="1"/>
  <c r="V180" i="28"/>
  <c r="S277" i="28" s="1"/>
  <c r="W180" i="28"/>
  <c r="T277" i="28" s="1"/>
  <c r="X180" i="28"/>
  <c r="U277" i="28" s="1"/>
  <c r="Y180" i="28"/>
  <c r="V277" i="28" s="1"/>
  <c r="G181" i="28"/>
  <c r="H181" i="28"/>
  <c r="I181" i="28"/>
  <c r="J181" i="28"/>
  <c r="K181" i="28"/>
  <c r="L181" i="28"/>
  <c r="M181" i="28"/>
  <c r="N181" i="28"/>
  <c r="O181" i="28"/>
  <c r="P181" i="28"/>
  <c r="Q181" i="28"/>
  <c r="R181" i="28"/>
  <c r="S181" i="28"/>
  <c r="T181" i="28"/>
  <c r="U181" i="28"/>
  <c r="V181" i="28"/>
  <c r="W181" i="28"/>
  <c r="X181" i="28"/>
  <c r="Y181" i="28"/>
  <c r="G182" i="28"/>
  <c r="H182" i="28"/>
  <c r="I182" i="28"/>
  <c r="J182" i="28"/>
  <c r="K182" i="28"/>
  <c r="L182" i="28"/>
  <c r="M182" i="28"/>
  <c r="N182" i="28"/>
  <c r="O182" i="28"/>
  <c r="P182" i="28"/>
  <c r="Q182" i="28"/>
  <c r="R182" i="28"/>
  <c r="S182" i="28"/>
  <c r="T182" i="28"/>
  <c r="U182" i="28"/>
  <c r="V182" i="28"/>
  <c r="W182" i="28"/>
  <c r="X182" i="28"/>
  <c r="Y182" i="28"/>
  <c r="G183" i="28"/>
  <c r="H183" i="28"/>
  <c r="I183" i="28"/>
  <c r="J183" i="28"/>
  <c r="K183" i="28"/>
  <c r="L183" i="28"/>
  <c r="M183" i="28"/>
  <c r="N183" i="28"/>
  <c r="O183" i="28"/>
  <c r="P183" i="28"/>
  <c r="Q183" i="28"/>
  <c r="R183" i="28"/>
  <c r="S183" i="28"/>
  <c r="T183" i="28"/>
  <c r="U183" i="28"/>
  <c r="V183" i="28"/>
  <c r="W183" i="28"/>
  <c r="X183" i="28"/>
  <c r="Y183" i="28"/>
  <c r="G184" i="28"/>
  <c r="H184" i="28"/>
  <c r="I184" i="28"/>
  <c r="J184" i="28"/>
  <c r="K184" i="28"/>
  <c r="L184" i="28"/>
  <c r="M184" i="28"/>
  <c r="N184" i="28"/>
  <c r="O184" i="28"/>
  <c r="P184" i="28"/>
  <c r="Q184" i="28"/>
  <c r="R184" i="28"/>
  <c r="S184" i="28"/>
  <c r="T184" i="28"/>
  <c r="U184" i="28"/>
  <c r="V184" i="28"/>
  <c r="W184" i="28"/>
  <c r="X184" i="28"/>
  <c r="Y184" i="28"/>
  <c r="G185" i="28"/>
  <c r="H185" i="28"/>
  <c r="I185" i="28"/>
  <c r="J185" i="28"/>
  <c r="K185" i="28"/>
  <c r="L185" i="28"/>
  <c r="M185" i="28"/>
  <c r="N185" i="28"/>
  <c r="O185" i="28"/>
  <c r="P185" i="28"/>
  <c r="Q185" i="28"/>
  <c r="R185" i="28"/>
  <c r="S185" i="28"/>
  <c r="T185" i="28"/>
  <c r="U185" i="28"/>
  <c r="V185" i="28"/>
  <c r="W185" i="28"/>
  <c r="X185" i="28"/>
  <c r="Y185" i="28"/>
  <c r="G186" i="28"/>
  <c r="H186" i="28"/>
  <c r="I186" i="28"/>
  <c r="J186" i="28"/>
  <c r="K186" i="28"/>
  <c r="L186" i="28"/>
  <c r="M186" i="28"/>
  <c r="N186" i="28"/>
  <c r="O186" i="28"/>
  <c r="P186" i="28"/>
  <c r="Q186" i="28"/>
  <c r="R186" i="28"/>
  <c r="S186" i="28"/>
  <c r="T186" i="28"/>
  <c r="U186" i="28"/>
  <c r="V186" i="28"/>
  <c r="W186" i="28"/>
  <c r="X186" i="28"/>
  <c r="Y186" i="28"/>
  <c r="G187" i="28"/>
  <c r="H187" i="28"/>
  <c r="I187" i="28"/>
  <c r="J187" i="28"/>
  <c r="K187" i="28"/>
  <c r="L187" i="28"/>
  <c r="M187" i="28"/>
  <c r="N187" i="28"/>
  <c r="O187" i="28"/>
  <c r="P187" i="28"/>
  <c r="Q187" i="28"/>
  <c r="R187" i="28"/>
  <c r="S187" i="28"/>
  <c r="T187" i="28"/>
  <c r="U187" i="28"/>
  <c r="V187" i="28"/>
  <c r="W187" i="28"/>
  <c r="X187" i="28"/>
  <c r="Y187" i="28"/>
  <c r="G188" i="28"/>
  <c r="H188" i="28"/>
  <c r="I188" i="28"/>
  <c r="J188" i="28"/>
  <c r="K188" i="28"/>
  <c r="L188" i="28"/>
  <c r="M188" i="28"/>
  <c r="N188" i="28"/>
  <c r="O188" i="28"/>
  <c r="P188" i="28"/>
  <c r="Q188" i="28"/>
  <c r="R188" i="28"/>
  <c r="S188" i="28"/>
  <c r="T188" i="28"/>
  <c r="U188" i="28"/>
  <c r="V188" i="28"/>
  <c r="W188" i="28"/>
  <c r="X188" i="28"/>
  <c r="Y188" i="28"/>
  <c r="G189" i="28"/>
  <c r="H189" i="28"/>
  <c r="I189" i="28"/>
  <c r="J189" i="28"/>
  <c r="K189" i="28"/>
  <c r="L189" i="28"/>
  <c r="M189" i="28"/>
  <c r="N189" i="28"/>
  <c r="O189" i="28"/>
  <c r="P189" i="28"/>
  <c r="Q189" i="28"/>
  <c r="R189" i="28"/>
  <c r="S189" i="28"/>
  <c r="T189" i="28"/>
  <c r="U189" i="28"/>
  <c r="V189" i="28"/>
  <c r="W189" i="28"/>
  <c r="X189" i="28"/>
  <c r="Y189" i="28"/>
  <c r="G190" i="28"/>
  <c r="H190" i="28"/>
  <c r="I190" i="28"/>
  <c r="J190" i="28"/>
  <c r="K190" i="28"/>
  <c r="L190" i="28"/>
  <c r="M190" i="28"/>
  <c r="N190" i="28"/>
  <c r="O190" i="28"/>
  <c r="P190" i="28"/>
  <c r="Q190" i="28"/>
  <c r="R190" i="28"/>
  <c r="S190" i="28"/>
  <c r="T190" i="28"/>
  <c r="U190" i="28"/>
  <c r="V190" i="28"/>
  <c r="W190" i="28"/>
  <c r="X190" i="28"/>
  <c r="Y190" i="28"/>
  <c r="G191" i="28"/>
  <c r="H191" i="28"/>
  <c r="I191" i="28"/>
  <c r="J191" i="28"/>
  <c r="K191" i="28"/>
  <c r="L191" i="28"/>
  <c r="M191" i="28"/>
  <c r="N191" i="28"/>
  <c r="O191" i="28"/>
  <c r="P191" i="28"/>
  <c r="Q191" i="28"/>
  <c r="R191" i="28"/>
  <c r="S191" i="28"/>
  <c r="T191" i="28"/>
  <c r="U191" i="28"/>
  <c r="V191" i="28"/>
  <c r="W191" i="28"/>
  <c r="X191" i="28"/>
  <c r="Y191" i="28"/>
  <c r="G192" i="28"/>
  <c r="H192" i="28"/>
  <c r="I192" i="28"/>
  <c r="J192" i="28"/>
  <c r="K192" i="28"/>
  <c r="L192" i="28"/>
  <c r="M192" i="28"/>
  <c r="N192" i="28"/>
  <c r="O192" i="28"/>
  <c r="P192" i="28"/>
  <c r="Q192" i="28"/>
  <c r="R192" i="28"/>
  <c r="S192" i="28"/>
  <c r="T192" i="28"/>
  <c r="U192" i="28"/>
  <c r="V192" i="28"/>
  <c r="W192" i="28"/>
  <c r="X192" i="28"/>
  <c r="Y192" i="28"/>
  <c r="G193" i="28"/>
  <c r="H193" i="28"/>
  <c r="I193" i="28"/>
  <c r="J193" i="28"/>
  <c r="K193" i="28"/>
  <c r="L193" i="28"/>
  <c r="M193" i="28"/>
  <c r="N193" i="28"/>
  <c r="O193" i="28"/>
  <c r="P193" i="28"/>
  <c r="Q193" i="28"/>
  <c r="R193" i="28"/>
  <c r="S193" i="28"/>
  <c r="T193" i="28"/>
  <c r="U193" i="28"/>
  <c r="V193" i="28"/>
  <c r="W193" i="28"/>
  <c r="X193" i="28"/>
  <c r="Y193" i="28"/>
  <c r="G194" i="28"/>
  <c r="H194" i="28"/>
  <c r="I194" i="28"/>
  <c r="J194" i="28"/>
  <c r="K194" i="28"/>
  <c r="L194" i="28"/>
  <c r="M194" i="28"/>
  <c r="N194" i="28"/>
  <c r="O194" i="28"/>
  <c r="P194" i="28"/>
  <c r="Q194" i="28"/>
  <c r="R194" i="28"/>
  <c r="S194" i="28"/>
  <c r="T194" i="28"/>
  <c r="U194" i="28"/>
  <c r="V194" i="28"/>
  <c r="W194" i="28"/>
  <c r="X194" i="28"/>
  <c r="Y194" i="28"/>
  <c r="G195" i="28"/>
  <c r="H195" i="28"/>
  <c r="I195" i="28"/>
  <c r="J195" i="28"/>
  <c r="K195" i="28"/>
  <c r="L195" i="28"/>
  <c r="M195" i="28"/>
  <c r="N195" i="28"/>
  <c r="O195" i="28"/>
  <c r="P195" i="28"/>
  <c r="Q195" i="28"/>
  <c r="R195" i="28"/>
  <c r="S195" i="28"/>
  <c r="T195" i="28"/>
  <c r="U195" i="28"/>
  <c r="V195" i="28"/>
  <c r="W195" i="28"/>
  <c r="X195" i="28"/>
  <c r="Y195" i="28"/>
  <c r="G196" i="28"/>
  <c r="H196" i="28"/>
  <c r="I196" i="28"/>
  <c r="J196" i="28"/>
  <c r="K196" i="28"/>
  <c r="L196" i="28"/>
  <c r="M196" i="28"/>
  <c r="N196" i="28"/>
  <c r="O196" i="28"/>
  <c r="P196" i="28"/>
  <c r="Q196" i="28"/>
  <c r="R196" i="28"/>
  <c r="S196" i="28"/>
  <c r="T196" i="28"/>
  <c r="U196" i="28"/>
  <c r="V196" i="28"/>
  <c r="W196" i="28"/>
  <c r="X196" i="28"/>
  <c r="Y196" i="28"/>
  <c r="G197" i="28"/>
  <c r="H197" i="28"/>
  <c r="I197" i="28"/>
  <c r="J197" i="28"/>
  <c r="K197" i="28"/>
  <c r="L197" i="28"/>
  <c r="M197" i="28"/>
  <c r="N197" i="28"/>
  <c r="O197" i="28"/>
  <c r="P197" i="28"/>
  <c r="Q197" i="28"/>
  <c r="R197" i="28"/>
  <c r="S197" i="28"/>
  <c r="T197" i="28"/>
  <c r="U197" i="28"/>
  <c r="V197" i="28"/>
  <c r="W197" i="28"/>
  <c r="X197" i="28"/>
  <c r="Y197" i="28"/>
  <c r="G198" i="28"/>
  <c r="H198" i="28"/>
  <c r="I198" i="28"/>
  <c r="J198" i="28"/>
  <c r="K198" i="28"/>
  <c r="L198" i="28"/>
  <c r="M198" i="28"/>
  <c r="N198" i="28"/>
  <c r="O198" i="28"/>
  <c r="P198" i="28"/>
  <c r="Q198" i="28"/>
  <c r="R198" i="28"/>
  <c r="S198" i="28"/>
  <c r="T198" i="28"/>
  <c r="U198" i="28"/>
  <c r="V198" i="28"/>
  <c r="W198" i="28"/>
  <c r="X198" i="28"/>
  <c r="Y198" i="28"/>
  <c r="G199" i="28"/>
  <c r="H199" i="28"/>
  <c r="I199" i="28"/>
  <c r="J199" i="28"/>
  <c r="K199" i="28"/>
  <c r="L199" i="28"/>
  <c r="M199" i="28"/>
  <c r="N199" i="28"/>
  <c r="O199" i="28"/>
  <c r="P199" i="28"/>
  <c r="Q199" i="28"/>
  <c r="R199" i="28"/>
  <c r="S199" i="28"/>
  <c r="T199" i="28"/>
  <c r="U199" i="28"/>
  <c r="V199" i="28"/>
  <c r="W199" i="28"/>
  <c r="X199" i="28"/>
  <c r="Y199" i="28"/>
  <c r="G200" i="28"/>
  <c r="H200" i="28"/>
  <c r="I200" i="28"/>
  <c r="J200" i="28"/>
  <c r="K200" i="28"/>
  <c r="L200" i="28"/>
  <c r="M200" i="28"/>
  <c r="N200" i="28"/>
  <c r="O200" i="28"/>
  <c r="P200" i="28"/>
  <c r="Q200" i="28"/>
  <c r="R200" i="28"/>
  <c r="S200" i="28"/>
  <c r="T200" i="28"/>
  <c r="U200" i="28"/>
  <c r="V200" i="28"/>
  <c r="W200" i="28"/>
  <c r="X200" i="28"/>
  <c r="Y200" i="28"/>
  <c r="G201" i="28"/>
  <c r="D281" i="28" s="1"/>
  <c r="H201" i="28"/>
  <c r="E281" i="28" s="1"/>
  <c r="I201" i="28"/>
  <c r="F281" i="28" s="1"/>
  <c r="J201" i="28"/>
  <c r="G281" i="28" s="1"/>
  <c r="K201" i="28"/>
  <c r="H281" i="28" s="1"/>
  <c r="L201" i="28"/>
  <c r="I281" i="28" s="1"/>
  <c r="M201" i="28"/>
  <c r="J281" i="28" s="1"/>
  <c r="N201" i="28"/>
  <c r="K281" i="28" s="1"/>
  <c r="O201" i="28"/>
  <c r="L281" i="28" s="1"/>
  <c r="P201" i="28"/>
  <c r="M281" i="28" s="1"/>
  <c r="Q201" i="28"/>
  <c r="N281" i="28" s="1"/>
  <c r="R201" i="28"/>
  <c r="O281" i="28" s="1"/>
  <c r="S201" i="28"/>
  <c r="P281" i="28" s="1"/>
  <c r="T201" i="28"/>
  <c r="Q281" i="28" s="1"/>
  <c r="U201" i="28"/>
  <c r="R281" i="28" s="1"/>
  <c r="V201" i="28"/>
  <c r="S281" i="28" s="1"/>
  <c r="W201" i="28"/>
  <c r="T281" i="28" s="1"/>
  <c r="X201" i="28"/>
  <c r="U281" i="28" s="1"/>
  <c r="Y201" i="28"/>
  <c r="V281" i="28" s="1"/>
  <c r="G202" i="28"/>
  <c r="H202" i="28"/>
  <c r="I202" i="28"/>
  <c r="J202" i="28"/>
  <c r="K202" i="28"/>
  <c r="L202" i="28"/>
  <c r="M202" i="28"/>
  <c r="N202" i="28"/>
  <c r="O202" i="28"/>
  <c r="P202" i="28"/>
  <c r="Q202" i="28"/>
  <c r="R202" i="28"/>
  <c r="S202" i="28"/>
  <c r="T202" i="28"/>
  <c r="U202" i="28"/>
  <c r="V202" i="28"/>
  <c r="W202" i="28"/>
  <c r="X202" i="28"/>
  <c r="Y202" i="28"/>
  <c r="G203" i="28"/>
  <c r="H203" i="28"/>
  <c r="I203" i="28"/>
  <c r="J203" i="28"/>
  <c r="K203" i="28"/>
  <c r="L203" i="28"/>
  <c r="M203" i="28"/>
  <c r="N203" i="28"/>
  <c r="O203" i="28"/>
  <c r="P203" i="28"/>
  <c r="Q203" i="28"/>
  <c r="R203" i="28"/>
  <c r="S203" i="28"/>
  <c r="T203" i="28"/>
  <c r="U203" i="28"/>
  <c r="V203" i="28"/>
  <c r="W203" i="28"/>
  <c r="X203" i="28"/>
  <c r="Y203" i="28"/>
  <c r="G204" i="28"/>
  <c r="H204" i="28"/>
  <c r="I204" i="28"/>
  <c r="J204" i="28"/>
  <c r="K204" i="28"/>
  <c r="L204" i="28"/>
  <c r="M204" i="28"/>
  <c r="N204" i="28"/>
  <c r="O204" i="28"/>
  <c r="P204" i="28"/>
  <c r="Q204" i="28"/>
  <c r="R204" i="28"/>
  <c r="S204" i="28"/>
  <c r="T204" i="28"/>
  <c r="U204" i="28"/>
  <c r="V204" i="28"/>
  <c r="W204" i="28"/>
  <c r="X204" i="28"/>
  <c r="Y204" i="28"/>
  <c r="G205" i="28"/>
  <c r="H205" i="28"/>
  <c r="I205" i="28"/>
  <c r="J205" i="28"/>
  <c r="K205" i="28"/>
  <c r="L205" i="28"/>
  <c r="M205" i="28"/>
  <c r="N205" i="28"/>
  <c r="O205" i="28"/>
  <c r="P205" i="28"/>
  <c r="Q205" i="28"/>
  <c r="R205" i="28"/>
  <c r="S205" i="28"/>
  <c r="T205" i="28"/>
  <c r="U205" i="28"/>
  <c r="V205" i="28"/>
  <c r="W205" i="28"/>
  <c r="X205" i="28"/>
  <c r="Y205" i="28"/>
  <c r="G206" i="28"/>
  <c r="H206" i="28"/>
  <c r="I206" i="28"/>
  <c r="J206" i="28"/>
  <c r="K206" i="28"/>
  <c r="L206" i="28"/>
  <c r="M206" i="28"/>
  <c r="N206" i="28"/>
  <c r="O206" i="28"/>
  <c r="P206" i="28"/>
  <c r="Q206" i="28"/>
  <c r="R206" i="28"/>
  <c r="S206" i="28"/>
  <c r="T206" i="28"/>
  <c r="U206" i="28"/>
  <c r="V206" i="28"/>
  <c r="W206" i="28"/>
  <c r="X206" i="28"/>
  <c r="Y206" i="28"/>
  <c r="G207" i="28"/>
  <c r="H207" i="28"/>
  <c r="I207" i="28"/>
  <c r="J207" i="28"/>
  <c r="K207" i="28"/>
  <c r="L207" i="28"/>
  <c r="M207" i="28"/>
  <c r="N207" i="28"/>
  <c r="O207" i="28"/>
  <c r="P207" i="28"/>
  <c r="Q207" i="28"/>
  <c r="R207" i="28"/>
  <c r="S207" i="28"/>
  <c r="T207" i="28"/>
  <c r="U207" i="28"/>
  <c r="V207" i="28"/>
  <c r="W207" i="28"/>
  <c r="X207" i="28"/>
  <c r="Y207" i="28"/>
  <c r="G208" i="28"/>
  <c r="H208" i="28"/>
  <c r="I208" i="28"/>
  <c r="J208" i="28"/>
  <c r="K208" i="28"/>
  <c r="L208" i="28"/>
  <c r="M208" i="28"/>
  <c r="N208" i="28"/>
  <c r="O208" i="28"/>
  <c r="P208" i="28"/>
  <c r="Q208" i="28"/>
  <c r="R208" i="28"/>
  <c r="S208" i="28"/>
  <c r="T208" i="28"/>
  <c r="U208" i="28"/>
  <c r="V208" i="28"/>
  <c r="W208" i="28"/>
  <c r="X208" i="28"/>
  <c r="Y208" i="28"/>
  <c r="G209" i="28"/>
  <c r="H209" i="28"/>
  <c r="I209" i="28"/>
  <c r="J209" i="28"/>
  <c r="K209" i="28"/>
  <c r="L209" i="28"/>
  <c r="M209" i="28"/>
  <c r="N209" i="28"/>
  <c r="O209" i="28"/>
  <c r="P209" i="28"/>
  <c r="Q209" i="28"/>
  <c r="R209" i="28"/>
  <c r="S209" i="28"/>
  <c r="T209" i="28"/>
  <c r="U209" i="28"/>
  <c r="V209" i="28"/>
  <c r="W209" i="28"/>
  <c r="X209" i="28"/>
  <c r="Y209" i="28"/>
  <c r="G210" i="28"/>
  <c r="H210" i="28"/>
  <c r="I210" i="28"/>
  <c r="J210" i="28"/>
  <c r="K210" i="28"/>
  <c r="L210" i="28"/>
  <c r="M210" i="28"/>
  <c r="N210" i="28"/>
  <c r="O210" i="28"/>
  <c r="P210" i="28"/>
  <c r="Q210" i="28"/>
  <c r="R210" i="28"/>
  <c r="S210" i="28"/>
  <c r="T210" i="28"/>
  <c r="U210" i="28"/>
  <c r="V210" i="28"/>
  <c r="W210" i="28"/>
  <c r="X210" i="28"/>
  <c r="Y210" i="28"/>
  <c r="G211" i="28"/>
  <c r="H211" i="28"/>
  <c r="I211" i="28"/>
  <c r="J211" i="28"/>
  <c r="K211" i="28"/>
  <c r="L211" i="28"/>
  <c r="M211" i="28"/>
  <c r="N211" i="28"/>
  <c r="O211" i="28"/>
  <c r="P211" i="28"/>
  <c r="Q211" i="28"/>
  <c r="R211" i="28"/>
  <c r="S211" i="28"/>
  <c r="T211" i="28"/>
  <c r="U211" i="28"/>
  <c r="V211" i="28"/>
  <c r="W211" i="28"/>
  <c r="X211" i="28"/>
  <c r="Y211" i="28"/>
  <c r="G212" i="28"/>
  <c r="H212" i="28"/>
  <c r="I212" i="28"/>
  <c r="J212" i="28"/>
  <c r="K212" i="28"/>
  <c r="L212" i="28"/>
  <c r="M212" i="28"/>
  <c r="N212" i="28"/>
  <c r="O212" i="28"/>
  <c r="P212" i="28"/>
  <c r="Q212" i="28"/>
  <c r="R212" i="28"/>
  <c r="S212" i="28"/>
  <c r="T212" i="28"/>
  <c r="U212" i="28"/>
  <c r="V212" i="28"/>
  <c r="W212" i="28"/>
  <c r="X212" i="28"/>
  <c r="Y212" i="28"/>
  <c r="G213" i="28"/>
  <c r="H213" i="28"/>
  <c r="I213" i="28"/>
  <c r="J213" i="28"/>
  <c r="K213" i="28"/>
  <c r="L213" i="28"/>
  <c r="M213" i="28"/>
  <c r="N213" i="28"/>
  <c r="O213" i="28"/>
  <c r="P213" i="28"/>
  <c r="Q213" i="28"/>
  <c r="R213" i="28"/>
  <c r="S213" i="28"/>
  <c r="T213" i="28"/>
  <c r="U213" i="28"/>
  <c r="V213" i="28"/>
  <c r="W213" i="28"/>
  <c r="X213" i="28"/>
  <c r="Y213" i="28"/>
  <c r="G214" i="28"/>
  <c r="H214" i="28"/>
  <c r="I214" i="28"/>
  <c r="J214" i="28"/>
  <c r="K214" i="28"/>
  <c r="L214" i="28"/>
  <c r="M214" i="28"/>
  <c r="N214" i="28"/>
  <c r="O214" i="28"/>
  <c r="P214" i="28"/>
  <c r="Q214" i="28"/>
  <c r="R214" i="28"/>
  <c r="S214" i="28"/>
  <c r="T214" i="28"/>
  <c r="U214" i="28"/>
  <c r="V214" i="28"/>
  <c r="W214" i="28"/>
  <c r="X214" i="28"/>
  <c r="Y214" i="28"/>
  <c r="G215" i="28"/>
  <c r="H215" i="28"/>
  <c r="I215" i="28"/>
  <c r="J215" i="28"/>
  <c r="K215" i="28"/>
  <c r="L215" i="28"/>
  <c r="M215" i="28"/>
  <c r="N215" i="28"/>
  <c r="O215" i="28"/>
  <c r="P215" i="28"/>
  <c r="Q215" i="28"/>
  <c r="R215" i="28"/>
  <c r="S215" i="28"/>
  <c r="T215" i="28"/>
  <c r="U215" i="28"/>
  <c r="V215" i="28"/>
  <c r="W215" i="28"/>
  <c r="X215" i="28"/>
  <c r="Y215" i="28"/>
  <c r="G216" i="28"/>
  <c r="H216" i="28"/>
  <c r="I216" i="28"/>
  <c r="J216" i="28"/>
  <c r="K216" i="28"/>
  <c r="L216" i="28"/>
  <c r="M216" i="28"/>
  <c r="N216" i="28"/>
  <c r="O216" i="28"/>
  <c r="P216" i="28"/>
  <c r="Q216" i="28"/>
  <c r="R216" i="28"/>
  <c r="S216" i="28"/>
  <c r="T216" i="28"/>
  <c r="U216" i="28"/>
  <c r="V216" i="28"/>
  <c r="W216" i="28"/>
  <c r="X216" i="28"/>
  <c r="Y216" i="28"/>
  <c r="G217" i="28"/>
  <c r="H217" i="28"/>
  <c r="I217" i="28"/>
  <c r="J217" i="28"/>
  <c r="K217" i="28"/>
  <c r="L217" i="28"/>
  <c r="M217" i="28"/>
  <c r="N217" i="28"/>
  <c r="O217" i="28"/>
  <c r="P217" i="28"/>
  <c r="Q217" i="28"/>
  <c r="R217" i="28"/>
  <c r="S217" i="28"/>
  <c r="T217" i="28"/>
  <c r="U217" i="28"/>
  <c r="V217" i="28"/>
  <c r="W217" i="28"/>
  <c r="X217" i="28"/>
  <c r="Y217" i="28"/>
  <c r="G218" i="28"/>
  <c r="H218" i="28"/>
  <c r="I218" i="28"/>
  <c r="J218" i="28"/>
  <c r="K218" i="28"/>
  <c r="L218" i="28"/>
  <c r="M218" i="28"/>
  <c r="N218" i="28"/>
  <c r="O218" i="28"/>
  <c r="P218" i="28"/>
  <c r="Q218" i="28"/>
  <c r="R218" i="28"/>
  <c r="S218" i="28"/>
  <c r="T218" i="28"/>
  <c r="U218" i="28"/>
  <c r="V218" i="28"/>
  <c r="W218" i="28"/>
  <c r="X218" i="28"/>
  <c r="Y218" i="28"/>
  <c r="G219" i="28"/>
  <c r="H219" i="28"/>
  <c r="I219" i="28"/>
  <c r="J219" i="28"/>
  <c r="K219" i="28"/>
  <c r="L219" i="28"/>
  <c r="M219" i="28"/>
  <c r="N219" i="28"/>
  <c r="O219" i="28"/>
  <c r="P219" i="28"/>
  <c r="Q219" i="28"/>
  <c r="R219" i="28"/>
  <c r="S219" i="28"/>
  <c r="T219" i="28"/>
  <c r="U219" i="28"/>
  <c r="V219" i="28"/>
  <c r="W219" i="28"/>
  <c r="X219" i="28"/>
  <c r="Y219" i="28"/>
  <c r="G220" i="28"/>
  <c r="H220" i="28"/>
  <c r="I220" i="28"/>
  <c r="J220" i="28"/>
  <c r="K220" i="28"/>
  <c r="L220" i="28"/>
  <c r="M220" i="28"/>
  <c r="N220" i="28"/>
  <c r="O220" i="28"/>
  <c r="P220" i="28"/>
  <c r="Q220" i="28"/>
  <c r="R220" i="28"/>
  <c r="S220" i="28"/>
  <c r="T220" i="28"/>
  <c r="U220" i="28"/>
  <c r="V220" i="28"/>
  <c r="W220" i="28"/>
  <c r="X220" i="28"/>
  <c r="Y220" i="28"/>
  <c r="G221" i="28"/>
  <c r="H221" i="28"/>
  <c r="I221" i="28"/>
  <c r="J221" i="28"/>
  <c r="K221" i="28"/>
  <c r="L221" i="28"/>
  <c r="M221" i="28"/>
  <c r="N221" i="28"/>
  <c r="O221" i="28"/>
  <c r="P221" i="28"/>
  <c r="Q221" i="28"/>
  <c r="R221" i="28"/>
  <c r="S221" i="28"/>
  <c r="T221" i="28"/>
  <c r="U221" i="28"/>
  <c r="V221" i="28"/>
  <c r="W221" i="28"/>
  <c r="X221" i="28"/>
  <c r="Y221" i="28"/>
  <c r="G222" i="28"/>
  <c r="H222" i="28"/>
  <c r="I222" i="28"/>
  <c r="J222" i="28"/>
  <c r="K222" i="28"/>
  <c r="L222" i="28"/>
  <c r="M222" i="28"/>
  <c r="N222" i="28"/>
  <c r="O222" i="28"/>
  <c r="P222" i="28"/>
  <c r="Q222" i="28"/>
  <c r="R222" i="28"/>
  <c r="S222" i="28"/>
  <c r="T222" i="28"/>
  <c r="U222" i="28"/>
  <c r="V222" i="28"/>
  <c r="W222" i="28"/>
  <c r="X222" i="28"/>
  <c r="Y222" i="28"/>
  <c r="G223" i="28"/>
  <c r="H223" i="28"/>
  <c r="I223" i="28"/>
  <c r="J223" i="28"/>
  <c r="K223" i="28"/>
  <c r="L223" i="28"/>
  <c r="M223" i="28"/>
  <c r="N223" i="28"/>
  <c r="O223" i="28"/>
  <c r="P223" i="28"/>
  <c r="Q223" i="28"/>
  <c r="R223" i="28"/>
  <c r="S223" i="28"/>
  <c r="T223" i="28"/>
  <c r="U223" i="28"/>
  <c r="V223" i="28"/>
  <c r="W223" i="28"/>
  <c r="X223" i="28"/>
  <c r="Y223" i="28"/>
  <c r="G224" i="28"/>
  <c r="H224" i="28"/>
  <c r="I224" i="28"/>
  <c r="J224" i="28"/>
  <c r="K224" i="28"/>
  <c r="L224" i="28"/>
  <c r="M224" i="28"/>
  <c r="N224" i="28"/>
  <c r="O224" i="28"/>
  <c r="P224" i="28"/>
  <c r="Q224" i="28"/>
  <c r="R224" i="28"/>
  <c r="S224" i="28"/>
  <c r="T224" i="28"/>
  <c r="U224" i="28"/>
  <c r="V224" i="28"/>
  <c r="W224" i="28"/>
  <c r="X224" i="28"/>
  <c r="Y224" i="28"/>
  <c r="G225" i="28"/>
  <c r="H225" i="28"/>
  <c r="I225" i="28"/>
  <c r="J225" i="28"/>
  <c r="K225" i="28"/>
  <c r="L225" i="28"/>
  <c r="M225" i="28"/>
  <c r="N225" i="28"/>
  <c r="O225" i="28"/>
  <c r="P225" i="28"/>
  <c r="Q225" i="28"/>
  <c r="R225" i="28"/>
  <c r="S225" i="28"/>
  <c r="T225" i="28"/>
  <c r="U225" i="28"/>
  <c r="V225" i="28"/>
  <c r="W225" i="28"/>
  <c r="X225" i="28"/>
  <c r="Y225" i="28"/>
  <c r="G226" i="28"/>
  <c r="H226" i="28"/>
  <c r="I226" i="28"/>
  <c r="J226" i="28"/>
  <c r="K226" i="28"/>
  <c r="L226" i="28"/>
  <c r="M226" i="28"/>
  <c r="N226" i="28"/>
  <c r="O226" i="28"/>
  <c r="P226" i="28"/>
  <c r="Q226" i="28"/>
  <c r="R226" i="28"/>
  <c r="S226" i="28"/>
  <c r="T226" i="28"/>
  <c r="U226" i="28"/>
  <c r="V226" i="28"/>
  <c r="W226" i="28"/>
  <c r="X226" i="28"/>
  <c r="Y226" i="28"/>
  <c r="G227" i="28"/>
  <c r="H227" i="28"/>
  <c r="I227" i="28"/>
  <c r="J227" i="28"/>
  <c r="K227" i="28"/>
  <c r="L227" i="28"/>
  <c r="M227" i="28"/>
  <c r="N227" i="28"/>
  <c r="O227" i="28"/>
  <c r="P227" i="28"/>
  <c r="Q227" i="28"/>
  <c r="R227" i="28"/>
  <c r="S227" i="28"/>
  <c r="T227" i="28"/>
  <c r="U227" i="28"/>
  <c r="V227" i="28"/>
  <c r="W227" i="28"/>
  <c r="X227" i="28"/>
  <c r="Y227" i="28"/>
  <c r="G228" i="28"/>
  <c r="H228" i="28"/>
  <c r="I228" i="28"/>
  <c r="J228" i="28"/>
  <c r="K228" i="28"/>
  <c r="L228" i="28"/>
  <c r="M228" i="28"/>
  <c r="N228" i="28"/>
  <c r="O228" i="28"/>
  <c r="P228" i="28"/>
  <c r="Q228" i="28"/>
  <c r="R228" i="28"/>
  <c r="S228" i="28"/>
  <c r="T228" i="28"/>
  <c r="U228" i="28"/>
  <c r="V228" i="28"/>
  <c r="W228" i="28"/>
  <c r="X228" i="28"/>
  <c r="Y228" i="28"/>
  <c r="G229" i="28"/>
  <c r="H229" i="28"/>
  <c r="I229" i="28"/>
  <c r="J229" i="28"/>
  <c r="K229" i="28"/>
  <c r="L229" i="28"/>
  <c r="M229" i="28"/>
  <c r="N229" i="28"/>
  <c r="O229" i="28"/>
  <c r="P229" i="28"/>
  <c r="Q229" i="28"/>
  <c r="R229" i="28"/>
  <c r="S229" i="28"/>
  <c r="T229" i="28"/>
  <c r="U229" i="28"/>
  <c r="V229" i="28"/>
  <c r="W229" i="28"/>
  <c r="X229" i="28"/>
  <c r="Y229" i="28"/>
  <c r="G230" i="28"/>
  <c r="H230" i="28"/>
  <c r="I230" i="28"/>
  <c r="J230" i="28"/>
  <c r="K230" i="28"/>
  <c r="L230" i="28"/>
  <c r="M230" i="28"/>
  <c r="N230" i="28"/>
  <c r="O230" i="28"/>
  <c r="P230" i="28"/>
  <c r="Q230" i="28"/>
  <c r="R230" i="28"/>
  <c r="S230" i="28"/>
  <c r="T230" i="28"/>
  <c r="U230" i="28"/>
  <c r="V230" i="28"/>
  <c r="W230" i="28"/>
  <c r="X230" i="28"/>
  <c r="Y230" i="28"/>
  <c r="G231" i="28"/>
  <c r="H231" i="28"/>
  <c r="I231" i="28"/>
  <c r="J231" i="28"/>
  <c r="K231" i="28"/>
  <c r="L231" i="28"/>
  <c r="M231" i="28"/>
  <c r="N231" i="28"/>
  <c r="O231" i="28"/>
  <c r="P231" i="28"/>
  <c r="Q231" i="28"/>
  <c r="R231" i="28"/>
  <c r="S231" i="28"/>
  <c r="T231" i="28"/>
  <c r="U231" i="28"/>
  <c r="V231" i="28"/>
  <c r="W231" i="28"/>
  <c r="X231" i="28"/>
  <c r="Y231" i="28"/>
  <c r="G232" i="28"/>
  <c r="H232" i="28"/>
  <c r="I232" i="28"/>
  <c r="J232" i="28"/>
  <c r="K232" i="28"/>
  <c r="L232" i="28"/>
  <c r="M232" i="28"/>
  <c r="N232" i="28"/>
  <c r="O232" i="28"/>
  <c r="P232" i="28"/>
  <c r="Q232" i="28"/>
  <c r="R232" i="28"/>
  <c r="S232" i="28"/>
  <c r="T232" i="28"/>
  <c r="U232" i="28"/>
  <c r="V232" i="28"/>
  <c r="W232" i="28"/>
  <c r="X232" i="28"/>
  <c r="Y232" i="28"/>
  <c r="G233" i="28"/>
  <c r="H233" i="28"/>
  <c r="I233" i="28"/>
  <c r="J233" i="28"/>
  <c r="K233" i="28"/>
  <c r="L233" i="28"/>
  <c r="M233" i="28"/>
  <c r="N233" i="28"/>
  <c r="O233" i="28"/>
  <c r="P233" i="28"/>
  <c r="Q233" i="28"/>
  <c r="R233" i="28"/>
  <c r="S233" i="28"/>
  <c r="T233" i="28"/>
  <c r="U233" i="28"/>
  <c r="V233" i="28"/>
  <c r="W233" i="28"/>
  <c r="X233" i="28"/>
  <c r="Y233" i="28"/>
  <c r="G234" i="28"/>
  <c r="H234" i="28"/>
  <c r="I234" i="28"/>
  <c r="J234" i="28"/>
  <c r="K234" i="28"/>
  <c r="L234" i="28"/>
  <c r="M234" i="28"/>
  <c r="N234" i="28"/>
  <c r="O234" i="28"/>
  <c r="P234" i="28"/>
  <c r="Q234" i="28"/>
  <c r="R234" i="28"/>
  <c r="S234" i="28"/>
  <c r="T234" i="28"/>
  <c r="U234" i="28"/>
  <c r="V234" i="28"/>
  <c r="W234" i="28"/>
  <c r="X234" i="28"/>
  <c r="Y234" i="28"/>
  <c r="G235" i="28"/>
  <c r="H235" i="28"/>
  <c r="I235" i="28"/>
  <c r="J235" i="28"/>
  <c r="K235" i="28"/>
  <c r="L235" i="28"/>
  <c r="M235" i="28"/>
  <c r="N235" i="28"/>
  <c r="O235" i="28"/>
  <c r="P235" i="28"/>
  <c r="Q235" i="28"/>
  <c r="R235" i="28"/>
  <c r="S235" i="28"/>
  <c r="T235" i="28"/>
  <c r="U235" i="28"/>
  <c r="V235" i="28"/>
  <c r="W235" i="28"/>
  <c r="X235" i="28"/>
  <c r="Y235" i="28"/>
  <c r="G236" i="28"/>
  <c r="H236" i="28"/>
  <c r="I236" i="28"/>
  <c r="J236" i="28"/>
  <c r="K236" i="28"/>
  <c r="L236" i="28"/>
  <c r="M236" i="28"/>
  <c r="N236" i="28"/>
  <c r="O236" i="28"/>
  <c r="P236" i="28"/>
  <c r="Q236" i="28"/>
  <c r="R236" i="28"/>
  <c r="S236" i="28"/>
  <c r="T236" i="28"/>
  <c r="U236" i="28"/>
  <c r="V236" i="28"/>
  <c r="W236" i="28"/>
  <c r="X236" i="28"/>
  <c r="Y236" i="28"/>
  <c r="G237" i="28"/>
  <c r="H237" i="28"/>
  <c r="I237" i="28"/>
  <c r="J237" i="28"/>
  <c r="K237" i="28"/>
  <c r="L237" i="28"/>
  <c r="M237" i="28"/>
  <c r="N237" i="28"/>
  <c r="O237" i="28"/>
  <c r="P237" i="28"/>
  <c r="Q237" i="28"/>
  <c r="R237" i="28"/>
  <c r="S237" i="28"/>
  <c r="T237" i="28"/>
  <c r="U237" i="28"/>
  <c r="V237" i="28"/>
  <c r="W237" i="28"/>
  <c r="X237" i="28"/>
  <c r="Y237" i="28"/>
  <c r="G238" i="28"/>
  <c r="H238" i="28"/>
  <c r="I238" i="28"/>
  <c r="J238" i="28"/>
  <c r="K238" i="28"/>
  <c r="L238" i="28"/>
  <c r="M238" i="28"/>
  <c r="N238" i="28"/>
  <c r="O238" i="28"/>
  <c r="P238" i="28"/>
  <c r="Q238" i="28"/>
  <c r="R238" i="28"/>
  <c r="S238" i="28"/>
  <c r="T238" i="28"/>
  <c r="U238" i="28"/>
  <c r="V238" i="28"/>
  <c r="W238" i="28"/>
  <c r="X238" i="28"/>
  <c r="Y238" i="28"/>
  <c r="G239" i="28"/>
  <c r="H239" i="28"/>
  <c r="I239" i="28"/>
  <c r="J239" i="28"/>
  <c r="K239" i="28"/>
  <c r="L239" i="28"/>
  <c r="M239" i="28"/>
  <c r="N239" i="28"/>
  <c r="O239" i="28"/>
  <c r="P239" i="28"/>
  <c r="Q239" i="28"/>
  <c r="R239" i="28"/>
  <c r="S239" i="28"/>
  <c r="T239" i="28"/>
  <c r="U239" i="28"/>
  <c r="V239" i="28"/>
  <c r="W239" i="28"/>
  <c r="X239" i="28"/>
  <c r="Y239" i="28"/>
  <c r="G240" i="28"/>
  <c r="H240" i="28"/>
  <c r="I240" i="28"/>
  <c r="J240" i="28"/>
  <c r="K240" i="28"/>
  <c r="L240" i="28"/>
  <c r="M240" i="28"/>
  <c r="N240" i="28"/>
  <c r="O240" i="28"/>
  <c r="P240" i="28"/>
  <c r="Q240" i="28"/>
  <c r="R240" i="28"/>
  <c r="S240" i="28"/>
  <c r="T240" i="28"/>
  <c r="U240" i="28"/>
  <c r="V240" i="28"/>
  <c r="W240" i="28"/>
  <c r="X240" i="28"/>
  <c r="Y240" i="28"/>
  <c r="G241" i="28"/>
  <c r="H241" i="28"/>
  <c r="I241" i="28"/>
  <c r="J241" i="28"/>
  <c r="K241" i="28"/>
  <c r="L241" i="28"/>
  <c r="M241" i="28"/>
  <c r="N241" i="28"/>
  <c r="O241" i="28"/>
  <c r="P241" i="28"/>
  <c r="Q241" i="28"/>
  <c r="R241" i="28"/>
  <c r="S241" i="28"/>
  <c r="T241" i="28"/>
  <c r="U241" i="28"/>
  <c r="V241" i="28"/>
  <c r="W241" i="28"/>
  <c r="X241" i="28"/>
  <c r="Y241" i="28"/>
  <c r="G242" i="28"/>
  <c r="H242" i="28"/>
  <c r="I242" i="28"/>
  <c r="J242" i="28"/>
  <c r="K242" i="28"/>
  <c r="L242" i="28"/>
  <c r="M242" i="28"/>
  <c r="N242" i="28"/>
  <c r="O242" i="28"/>
  <c r="P242" i="28"/>
  <c r="Q242" i="28"/>
  <c r="R242" i="28"/>
  <c r="S242" i="28"/>
  <c r="T242" i="28"/>
  <c r="U242" i="28"/>
  <c r="V242" i="28"/>
  <c r="W242" i="28"/>
  <c r="X242" i="28"/>
  <c r="Y242" i="28"/>
  <c r="G243" i="28"/>
  <c r="H243" i="28"/>
  <c r="I243" i="28"/>
  <c r="J243" i="28"/>
  <c r="K243" i="28"/>
  <c r="L243" i="28"/>
  <c r="M243" i="28"/>
  <c r="N243" i="28"/>
  <c r="O243" i="28"/>
  <c r="P243" i="28"/>
  <c r="Q243" i="28"/>
  <c r="R243" i="28"/>
  <c r="S243" i="28"/>
  <c r="T243" i="28"/>
  <c r="U243" i="28"/>
  <c r="V243" i="28"/>
  <c r="W243" i="28"/>
  <c r="X243" i="28"/>
  <c r="Y243" i="28"/>
  <c r="G244" i="28"/>
  <c r="H244" i="28"/>
  <c r="I244" i="28"/>
  <c r="J244" i="28"/>
  <c r="K244" i="28"/>
  <c r="L244" i="28"/>
  <c r="M244" i="28"/>
  <c r="N244" i="28"/>
  <c r="O244" i="28"/>
  <c r="P244" i="28"/>
  <c r="Q244" i="28"/>
  <c r="R244" i="28"/>
  <c r="S244" i="28"/>
  <c r="T244" i="28"/>
  <c r="U244" i="28"/>
  <c r="V244" i="28"/>
  <c r="W244" i="28"/>
  <c r="X244" i="28"/>
  <c r="Y244" i="28"/>
  <c r="G245" i="28"/>
  <c r="H245" i="28"/>
  <c r="I245" i="28"/>
  <c r="J245" i="28"/>
  <c r="K245" i="28"/>
  <c r="L245" i="28"/>
  <c r="M245" i="28"/>
  <c r="N245" i="28"/>
  <c r="O245" i="28"/>
  <c r="P245" i="28"/>
  <c r="Q245" i="28"/>
  <c r="R245" i="28"/>
  <c r="S245" i="28"/>
  <c r="T245" i="28"/>
  <c r="U245" i="28"/>
  <c r="V245" i="28"/>
  <c r="W245" i="28"/>
  <c r="X245" i="28"/>
  <c r="Y245" i="28"/>
  <c r="G246" i="28"/>
  <c r="H246" i="28"/>
  <c r="I246" i="28"/>
  <c r="J246" i="28"/>
  <c r="K246" i="28"/>
  <c r="L246" i="28"/>
  <c r="M246" i="28"/>
  <c r="N246" i="28"/>
  <c r="O246" i="28"/>
  <c r="P246" i="28"/>
  <c r="Q246" i="28"/>
  <c r="R246" i="28"/>
  <c r="S246" i="28"/>
  <c r="T246" i="28"/>
  <c r="U246" i="28"/>
  <c r="V246" i="28"/>
  <c r="W246" i="28"/>
  <c r="X246" i="28"/>
  <c r="Y246" i="28"/>
  <c r="G247" i="28"/>
  <c r="H247" i="28"/>
  <c r="I247" i="28"/>
  <c r="J247" i="28"/>
  <c r="K247" i="28"/>
  <c r="L247" i="28"/>
  <c r="M247" i="28"/>
  <c r="N247" i="28"/>
  <c r="O247" i="28"/>
  <c r="P247" i="28"/>
  <c r="Q247" i="28"/>
  <c r="R247" i="28"/>
  <c r="S247" i="28"/>
  <c r="T247" i="28"/>
  <c r="U247" i="28"/>
  <c r="V247" i="28"/>
  <c r="W247" i="28"/>
  <c r="X247" i="28"/>
  <c r="Y247" i="28"/>
  <c r="G248" i="28"/>
  <c r="H248" i="28"/>
  <c r="I248" i="28"/>
  <c r="J248" i="28"/>
  <c r="K248" i="28"/>
  <c r="L248" i="28"/>
  <c r="M248" i="28"/>
  <c r="N248" i="28"/>
  <c r="O248" i="28"/>
  <c r="P248" i="28"/>
  <c r="Q248" i="28"/>
  <c r="R248" i="28"/>
  <c r="S248" i="28"/>
  <c r="T248" i="28"/>
  <c r="U248" i="28"/>
  <c r="V248" i="28"/>
  <c r="W248" i="28"/>
  <c r="X248" i="28"/>
  <c r="Y248" i="28"/>
  <c r="G249" i="28"/>
  <c r="H249" i="28"/>
  <c r="I249" i="28"/>
  <c r="J249" i="28"/>
  <c r="K249" i="28"/>
  <c r="L249" i="28"/>
  <c r="M249" i="28"/>
  <c r="N249" i="28"/>
  <c r="O249" i="28"/>
  <c r="P249" i="28"/>
  <c r="Q249" i="28"/>
  <c r="R249" i="28"/>
  <c r="S249" i="28"/>
  <c r="T249" i="28"/>
  <c r="U249" i="28"/>
  <c r="V249" i="28"/>
  <c r="W249" i="28"/>
  <c r="X249" i="28"/>
  <c r="Y249" i="28"/>
  <c r="G250" i="28"/>
  <c r="H250" i="28"/>
  <c r="I250" i="28"/>
  <c r="J250" i="28"/>
  <c r="K250" i="28"/>
  <c r="L250" i="28"/>
  <c r="M250" i="28"/>
  <c r="N250" i="28"/>
  <c r="O250" i="28"/>
  <c r="P250" i="28"/>
  <c r="Q250" i="28"/>
  <c r="R250" i="28"/>
  <c r="S250" i="28"/>
  <c r="T250" i="28"/>
  <c r="U250" i="28"/>
  <c r="V250" i="28"/>
  <c r="W250" i="28"/>
  <c r="X250" i="28"/>
  <c r="Y250" i="28"/>
  <c r="G251" i="28"/>
  <c r="H251" i="28"/>
  <c r="I251" i="28"/>
  <c r="J251" i="28"/>
  <c r="K251" i="28"/>
  <c r="L251" i="28"/>
  <c r="M251" i="28"/>
  <c r="N251" i="28"/>
  <c r="O251" i="28"/>
  <c r="P251" i="28"/>
  <c r="Q251" i="28"/>
  <c r="R251" i="28"/>
  <c r="S251" i="28"/>
  <c r="T251" i="28"/>
  <c r="U251" i="28"/>
  <c r="V251" i="28"/>
  <c r="W251" i="28"/>
  <c r="X251" i="28"/>
  <c r="Y251" i="28"/>
  <c r="G252" i="28"/>
  <c r="H252" i="28"/>
  <c r="I252" i="28"/>
  <c r="J252" i="28"/>
  <c r="K252" i="28"/>
  <c r="L252" i="28"/>
  <c r="M252" i="28"/>
  <c r="N252" i="28"/>
  <c r="O252" i="28"/>
  <c r="P252" i="28"/>
  <c r="Q252" i="28"/>
  <c r="R252" i="28"/>
  <c r="S252" i="28"/>
  <c r="T252" i="28"/>
  <c r="U252" i="28"/>
  <c r="V252" i="28"/>
  <c r="W252" i="28"/>
  <c r="X252" i="28"/>
  <c r="Y252" i="28"/>
  <c r="G253" i="28"/>
  <c r="H253" i="28"/>
  <c r="I253" i="28"/>
  <c r="J253" i="28"/>
  <c r="K253" i="28"/>
  <c r="L253" i="28"/>
  <c r="M253" i="28"/>
  <c r="N253" i="28"/>
  <c r="O253" i="28"/>
  <c r="P253" i="28"/>
  <c r="Q253" i="28"/>
  <c r="R253" i="28"/>
  <c r="S253" i="28"/>
  <c r="T253" i="28"/>
  <c r="U253" i="28"/>
  <c r="V253" i="28"/>
  <c r="W253" i="28"/>
  <c r="X253" i="28"/>
  <c r="Y253" i="28"/>
  <c r="G254" i="28"/>
  <c r="H254" i="28"/>
  <c r="I254" i="28"/>
  <c r="J254" i="28"/>
  <c r="K254" i="28"/>
  <c r="L254" i="28"/>
  <c r="M254" i="28"/>
  <c r="N254" i="28"/>
  <c r="O254" i="28"/>
  <c r="P254" i="28"/>
  <c r="Q254" i="28"/>
  <c r="R254" i="28"/>
  <c r="S254" i="28"/>
  <c r="T254" i="28"/>
  <c r="U254" i="28"/>
  <c r="V254" i="28"/>
  <c r="W254" i="28"/>
  <c r="X254" i="28"/>
  <c r="Y254" i="28"/>
  <c r="G255" i="28"/>
  <c r="H255" i="28"/>
  <c r="I255" i="28"/>
  <c r="J255" i="28"/>
  <c r="K255" i="28"/>
  <c r="L255" i="28"/>
  <c r="M255" i="28"/>
  <c r="N255" i="28"/>
  <c r="O255" i="28"/>
  <c r="P255" i="28"/>
  <c r="Q255" i="28"/>
  <c r="R255" i="28"/>
  <c r="S255" i="28"/>
  <c r="T255" i="28"/>
  <c r="U255" i="28"/>
  <c r="V255" i="28"/>
  <c r="W255" i="28"/>
  <c r="X255" i="28"/>
  <c r="Y255" i="28"/>
  <c r="G256" i="28"/>
  <c r="H256" i="28"/>
  <c r="I256" i="28"/>
  <c r="J256" i="28"/>
  <c r="K256" i="28"/>
  <c r="L256" i="28"/>
  <c r="M256" i="28"/>
  <c r="N256" i="28"/>
  <c r="O256" i="28"/>
  <c r="P256" i="28"/>
  <c r="Q256" i="28"/>
  <c r="R256" i="28"/>
  <c r="S256" i="28"/>
  <c r="T256" i="28"/>
  <c r="U256" i="28"/>
  <c r="V256" i="28"/>
  <c r="W256" i="28"/>
  <c r="X256" i="28"/>
  <c r="Y256" i="28"/>
  <c r="G257" i="28"/>
  <c r="H257" i="28"/>
  <c r="I257" i="28"/>
  <c r="J257" i="28"/>
  <c r="K257" i="28"/>
  <c r="L257" i="28"/>
  <c r="M257" i="28"/>
  <c r="N257" i="28"/>
  <c r="O257" i="28"/>
  <c r="P257" i="28"/>
  <c r="Q257" i="28"/>
  <c r="R257" i="28"/>
  <c r="S257" i="28"/>
  <c r="T257" i="28"/>
  <c r="U257" i="28"/>
  <c r="V257" i="28"/>
  <c r="W257" i="28"/>
  <c r="X257" i="28"/>
  <c r="Y257" i="28"/>
  <c r="G258" i="28"/>
  <c r="H258" i="28"/>
  <c r="I258" i="28"/>
  <c r="J258" i="28"/>
  <c r="K258" i="28"/>
  <c r="L258" i="28"/>
  <c r="M258" i="28"/>
  <c r="N258" i="28"/>
  <c r="O258" i="28"/>
  <c r="P258" i="28"/>
  <c r="Q258" i="28"/>
  <c r="R258" i="28"/>
  <c r="S258" i="28"/>
  <c r="T258" i="28"/>
  <c r="U258" i="28"/>
  <c r="V258" i="28"/>
  <c r="W258" i="28"/>
  <c r="X258" i="28"/>
  <c r="Y258" i="28"/>
  <c r="G259" i="28"/>
  <c r="H259" i="28"/>
  <c r="I259" i="28"/>
  <c r="J259" i="28"/>
  <c r="K259" i="28"/>
  <c r="L259" i="28"/>
  <c r="M259" i="28"/>
  <c r="N259" i="28"/>
  <c r="O259" i="28"/>
  <c r="P259" i="28"/>
  <c r="Q259" i="28"/>
  <c r="R259" i="28"/>
  <c r="S259" i="28"/>
  <c r="T259" i="28"/>
  <c r="U259" i="28"/>
  <c r="V259" i="28"/>
  <c r="W259" i="28"/>
  <c r="X259" i="28"/>
  <c r="Y259" i="28"/>
  <c r="G260" i="28"/>
  <c r="H260" i="28"/>
  <c r="I260" i="28"/>
  <c r="J260" i="28"/>
  <c r="K260" i="28"/>
  <c r="L260" i="28"/>
  <c r="M260" i="28"/>
  <c r="N260" i="28"/>
  <c r="O260" i="28"/>
  <c r="P260" i="28"/>
  <c r="Q260" i="28"/>
  <c r="R260" i="28"/>
  <c r="S260" i="28"/>
  <c r="T260" i="28"/>
  <c r="U260" i="28"/>
  <c r="V260" i="28"/>
  <c r="W260" i="28"/>
  <c r="X260" i="28"/>
  <c r="Y260" i="28"/>
  <c r="G261" i="28"/>
  <c r="H261" i="28"/>
  <c r="I261" i="28"/>
  <c r="J261" i="28"/>
  <c r="K261" i="28"/>
  <c r="L261" i="28"/>
  <c r="M261" i="28"/>
  <c r="N261" i="28"/>
  <c r="O261" i="28"/>
  <c r="P261" i="28"/>
  <c r="Q261" i="28"/>
  <c r="R261" i="28"/>
  <c r="S261" i="28"/>
  <c r="T261" i="28"/>
  <c r="U261" i="28"/>
  <c r="V261" i="28"/>
  <c r="W261" i="28"/>
  <c r="X261" i="28"/>
  <c r="Y261" i="28"/>
  <c r="G262" i="28"/>
  <c r="H262" i="28"/>
  <c r="I262" i="28"/>
  <c r="J262" i="28"/>
  <c r="K262" i="28"/>
  <c r="L262" i="28"/>
  <c r="M262" i="28"/>
  <c r="N262" i="28"/>
  <c r="O262" i="28"/>
  <c r="P262" i="28"/>
  <c r="Q262" i="28"/>
  <c r="R262" i="28"/>
  <c r="S262" i="28"/>
  <c r="T262" i="28"/>
  <c r="U262" i="28"/>
  <c r="V262" i="28"/>
  <c r="W262" i="28"/>
  <c r="X262" i="28"/>
  <c r="Y262" i="28"/>
  <c r="G263" i="28"/>
  <c r="H263" i="28"/>
  <c r="I263" i="28"/>
  <c r="J263" i="28"/>
  <c r="K263" i="28"/>
  <c r="L263" i="28"/>
  <c r="M263" i="28"/>
  <c r="N263" i="28"/>
  <c r="O263" i="28"/>
  <c r="P263" i="28"/>
  <c r="Q263" i="28"/>
  <c r="R263" i="28"/>
  <c r="S263" i="28"/>
  <c r="T263" i="28"/>
  <c r="U263" i="28"/>
  <c r="V263" i="28"/>
  <c r="W263" i="28"/>
  <c r="X263" i="28"/>
  <c r="Y263" i="28"/>
  <c r="G264" i="28"/>
  <c r="H264" i="28"/>
  <c r="I264" i="28"/>
  <c r="J264" i="28"/>
  <c r="K264" i="28"/>
  <c r="L264" i="28"/>
  <c r="M264" i="28"/>
  <c r="N264" i="28"/>
  <c r="O264" i="28"/>
  <c r="P264" i="28"/>
  <c r="Q264" i="28"/>
  <c r="R264" i="28"/>
  <c r="S264" i="28"/>
  <c r="T264" i="28"/>
  <c r="U264" i="28"/>
  <c r="V264" i="28"/>
  <c r="W264" i="28"/>
  <c r="X264" i="28"/>
  <c r="Y264" i="28"/>
  <c r="G265" i="28"/>
  <c r="H265" i="28"/>
  <c r="I265" i="28"/>
  <c r="J265" i="28"/>
  <c r="K265" i="28"/>
  <c r="L265" i="28"/>
  <c r="M265" i="28"/>
  <c r="N265" i="28"/>
  <c r="O265" i="28"/>
  <c r="P265" i="28"/>
  <c r="Q265" i="28"/>
  <c r="R265" i="28"/>
  <c r="S265" i="28"/>
  <c r="T265" i="28"/>
  <c r="U265" i="28"/>
  <c r="V265" i="28"/>
  <c r="W265" i="28"/>
  <c r="X265" i="28"/>
  <c r="Y265" i="28"/>
  <c r="G266" i="28"/>
  <c r="H266" i="28"/>
  <c r="I266" i="28"/>
  <c r="J266" i="28"/>
  <c r="K266" i="28"/>
  <c r="L266" i="28"/>
  <c r="M266" i="28"/>
  <c r="N266" i="28"/>
  <c r="O266" i="28"/>
  <c r="P266" i="28"/>
  <c r="Q266" i="28"/>
  <c r="R266" i="28"/>
  <c r="S266" i="28"/>
  <c r="T266" i="28"/>
  <c r="U266" i="28"/>
  <c r="V266" i="28"/>
  <c r="W266" i="28"/>
  <c r="X266" i="28"/>
  <c r="Y266" i="28"/>
  <c r="G267" i="28"/>
  <c r="H267" i="28"/>
  <c r="I267" i="28"/>
  <c r="J267" i="28"/>
  <c r="K267" i="28"/>
  <c r="L267" i="28"/>
  <c r="M267" i="28"/>
  <c r="N267" i="28"/>
  <c r="O267" i="28"/>
  <c r="P267" i="28"/>
  <c r="Q267" i="28"/>
  <c r="R267" i="28"/>
  <c r="S267" i="28"/>
  <c r="T267" i="28"/>
  <c r="U267" i="28"/>
  <c r="V267" i="28"/>
  <c r="W267" i="28"/>
  <c r="X267" i="28"/>
  <c r="Y267" i="28"/>
  <c r="G268" i="28"/>
  <c r="H268" i="28"/>
  <c r="I268" i="28"/>
  <c r="J268" i="28"/>
  <c r="K268" i="28"/>
  <c r="L268" i="28"/>
  <c r="M268" i="28"/>
  <c r="N268" i="28"/>
  <c r="O268" i="28"/>
  <c r="P268" i="28"/>
  <c r="Q268" i="28"/>
  <c r="R268" i="28"/>
  <c r="S268" i="28"/>
  <c r="T268" i="28"/>
  <c r="U268" i="28"/>
  <c r="V268" i="28"/>
  <c r="W268" i="28"/>
  <c r="X268" i="28"/>
  <c r="Y268" i="28"/>
  <c r="G269" i="28"/>
  <c r="H269" i="28"/>
  <c r="I269" i="28"/>
  <c r="J269" i="28"/>
  <c r="K269" i="28"/>
  <c r="L269" i="28"/>
  <c r="M269" i="28"/>
  <c r="N269" i="28"/>
  <c r="O269" i="28"/>
  <c r="P269" i="28"/>
  <c r="Q269" i="28"/>
  <c r="R269" i="28"/>
  <c r="S269" i="28"/>
  <c r="T269" i="28"/>
  <c r="U269" i="28"/>
  <c r="V269" i="28"/>
  <c r="W269" i="28"/>
  <c r="X269" i="28"/>
  <c r="Y269" i="28"/>
  <c r="G270" i="28"/>
  <c r="H270" i="28"/>
  <c r="I270" i="28"/>
  <c r="J270" i="28"/>
  <c r="K270" i="28"/>
  <c r="L270" i="28"/>
  <c r="M270" i="28"/>
  <c r="N270" i="28"/>
  <c r="O270" i="28"/>
  <c r="P270" i="28"/>
  <c r="Q270" i="28"/>
  <c r="R270" i="28"/>
  <c r="S270" i="28"/>
  <c r="T270" i="28"/>
  <c r="U270" i="28"/>
  <c r="V270" i="28"/>
  <c r="W270" i="28"/>
  <c r="X270" i="28"/>
  <c r="Y270" i="28"/>
  <c r="G271" i="28"/>
  <c r="H271" i="28"/>
  <c r="I271" i="28"/>
  <c r="J271" i="28"/>
  <c r="K271" i="28"/>
  <c r="L271" i="28"/>
  <c r="M271" i="28"/>
  <c r="N271" i="28"/>
  <c r="O271" i="28"/>
  <c r="P271" i="28"/>
  <c r="Q271" i="28"/>
  <c r="R271" i="28"/>
  <c r="S271" i="28"/>
  <c r="T271" i="28"/>
  <c r="U271" i="28"/>
  <c r="V271" i="28"/>
  <c r="W271" i="28"/>
  <c r="X271" i="28"/>
  <c r="Y271" i="28"/>
  <c r="G272" i="28"/>
  <c r="H272" i="28"/>
  <c r="I272" i="28"/>
  <c r="J272" i="28"/>
  <c r="K272" i="28"/>
  <c r="L272" i="28"/>
  <c r="M272" i="28"/>
  <c r="N272" i="28"/>
  <c r="O272" i="28"/>
  <c r="P272" i="28"/>
  <c r="Q272" i="28"/>
  <c r="R272" i="28"/>
  <c r="S272" i="28"/>
  <c r="T272" i="28"/>
  <c r="U272" i="28"/>
  <c r="V272" i="28"/>
  <c r="W272" i="28"/>
  <c r="X272" i="28"/>
  <c r="Y272" i="28"/>
  <c r="G273" i="28"/>
  <c r="H273" i="28"/>
  <c r="I273" i="28"/>
  <c r="J273" i="28"/>
  <c r="K273" i="28"/>
  <c r="L273" i="28"/>
  <c r="M273" i="28"/>
  <c r="N273" i="28"/>
  <c r="O273" i="28"/>
  <c r="P273" i="28"/>
  <c r="Q273" i="28"/>
  <c r="R273" i="28"/>
  <c r="S273" i="28"/>
  <c r="T273" i="28"/>
  <c r="U273" i="28"/>
  <c r="V273" i="28"/>
  <c r="W273" i="28"/>
  <c r="X273" i="28"/>
  <c r="Y273" i="28"/>
  <c r="G274" i="28"/>
  <c r="H274" i="28"/>
  <c r="I274" i="28"/>
  <c r="J274" i="28"/>
  <c r="K274" i="28"/>
  <c r="L274" i="28"/>
  <c r="M274" i="28"/>
  <c r="N274" i="28"/>
  <c r="O274" i="28"/>
  <c r="P274" i="28"/>
  <c r="Q274" i="28"/>
  <c r="R274" i="28"/>
  <c r="S274" i="28"/>
  <c r="T274" i="28"/>
  <c r="U274" i="28"/>
  <c r="V274" i="28"/>
  <c r="W274" i="28"/>
  <c r="X274" i="28"/>
  <c r="Y274" i="28"/>
  <c r="F10" i="28"/>
  <c r="F11" i="28"/>
  <c r="F12" i="28"/>
  <c r="F13" i="28"/>
  <c r="F14" i="28"/>
  <c r="F15" i="28"/>
  <c r="F16" i="28"/>
  <c r="F17" i="28"/>
  <c r="F18" i="28"/>
  <c r="F19" i="28"/>
  <c r="F20" i="28"/>
  <c r="F21" i="28"/>
  <c r="F22" i="28"/>
  <c r="F23" i="28"/>
  <c r="F24" i="28"/>
  <c r="F25" i="28"/>
  <c r="F26" i="28"/>
  <c r="F27" i="28"/>
  <c r="F28" i="28"/>
  <c r="F29" i="28"/>
  <c r="F30" i="28"/>
  <c r="F31" i="28"/>
  <c r="F32" i="28"/>
  <c r="F33" i="28"/>
  <c r="F34" i="28"/>
  <c r="F35" i="28"/>
  <c r="F36" i="28"/>
  <c r="F37" i="28"/>
  <c r="F38" i="28"/>
  <c r="F39" i="28"/>
  <c r="F40" i="28"/>
  <c r="F41" i="28"/>
  <c r="F42" i="28"/>
  <c r="C284" i="28" s="1"/>
  <c r="F43" i="28"/>
  <c r="F44" i="28"/>
  <c r="F45" i="28"/>
  <c r="F46" i="28"/>
  <c r="F47" i="28"/>
  <c r="F48" i="28"/>
  <c r="F49" i="28"/>
  <c r="F50" i="28"/>
  <c r="F51" i="28"/>
  <c r="F52" i="28"/>
  <c r="F53" i="28"/>
  <c r="F54" i="28"/>
  <c r="F55" i="28"/>
  <c r="F56" i="28"/>
  <c r="F57" i="28"/>
  <c r="F58" i="28"/>
  <c r="F59" i="28"/>
  <c r="F60" i="28"/>
  <c r="F61" i="28"/>
  <c r="F62" i="28"/>
  <c r="F63" i="28"/>
  <c r="F64" i="28"/>
  <c r="F65" i="28"/>
  <c r="F66" i="28"/>
  <c r="F67" i="28"/>
  <c r="F68" i="28"/>
  <c r="F69" i="28"/>
  <c r="F70" i="28"/>
  <c r="F71" i="28"/>
  <c r="F72" i="28"/>
  <c r="F73" i="28"/>
  <c r="F74" i="28"/>
  <c r="F75" i="28"/>
  <c r="F76" i="28"/>
  <c r="F77" i="28"/>
  <c r="F78" i="28"/>
  <c r="F79" i="28"/>
  <c r="F80" i="28"/>
  <c r="F81" i="28"/>
  <c r="F82" i="28"/>
  <c r="F83" i="28"/>
  <c r="F84" i="28"/>
  <c r="F85" i="28"/>
  <c r="F86" i="28"/>
  <c r="F87" i="28"/>
  <c r="F88" i="28"/>
  <c r="F89" i="28"/>
  <c r="F90" i="28"/>
  <c r="F91" i="28"/>
  <c r="F92" i="28"/>
  <c r="F93" i="28"/>
  <c r="F94" i="28"/>
  <c r="F95" i="28"/>
  <c r="F96" i="28"/>
  <c r="F97" i="28"/>
  <c r="F98" i="28"/>
  <c r="F99" i="28"/>
  <c r="C279" i="28" s="1"/>
  <c r="F100" i="28"/>
  <c r="F101" i="28"/>
  <c r="F102" i="28"/>
  <c r="F103" i="28"/>
  <c r="F104" i="28"/>
  <c r="F105" i="28"/>
  <c r="F106" i="28"/>
  <c r="F107" i="28"/>
  <c r="F108" i="28"/>
  <c r="F109" i="28"/>
  <c r="F110" i="28"/>
  <c r="F111" i="28"/>
  <c r="F112" i="28"/>
  <c r="F113" i="28"/>
  <c r="F114" i="28"/>
  <c r="F115" i="28"/>
  <c r="F116" i="28"/>
  <c r="F117" i="28"/>
  <c r="F118" i="28"/>
  <c r="F119" i="28"/>
  <c r="F120" i="28"/>
  <c r="F121" i="28"/>
  <c r="F122" i="28"/>
  <c r="F123" i="28"/>
  <c r="F124" i="28"/>
  <c r="F125" i="28"/>
  <c r="F126" i="28"/>
  <c r="F127" i="28"/>
  <c r="F128" i="28"/>
  <c r="F129" i="28"/>
  <c r="C278" i="28" s="1"/>
  <c r="F130" i="28"/>
  <c r="F131" i="28"/>
  <c r="F132" i="28"/>
  <c r="F133" i="28"/>
  <c r="F134" i="28"/>
  <c r="F135" i="28"/>
  <c r="F136" i="28"/>
  <c r="F137" i="28"/>
  <c r="F138" i="28"/>
  <c r="F139" i="28"/>
  <c r="F140" i="28"/>
  <c r="F141" i="28"/>
  <c r="F142" i="28"/>
  <c r="F143" i="28"/>
  <c r="F144" i="28"/>
  <c r="C285" i="28" s="1"/>
  <c r="F145" i="28"/>
  <c r="F146" i="28"/>
  <c r="F147" i="28"/>
  <c r="F148" i="28"/>
  <c r="F149" i="28"/>
  <c r="F150" i="28"/>
  <c r="F151" i="28"/>
  <c r="F152" i="28"/>
  <c r="F153" i="28"/>
  <c r="F154" i="28"/>
  <c r="F155" i="28"/>
  <c r="F156" i="28"/>
  <c r="F157" i="28"/>
  <c r="F158" i="28"/>
  <c r="F159" i="28"/>
  <c r="F160" i="28"/>
  <c r="F161" i="28"/>
  <c r="F162" i="28"/>
  <c r="F163" i="28"/>
  <c r="F164" i="28"/>
  <c r="C280" i="28" s="1"/>
  <c r="F165" i="28"/>
  <c r="F166" i="28"/>
  <c r="F167" i="28"/>
  <c r="F168" i="28"/>
  <c r="F169" i="28"/>
  <c r="F170" i="28"/>
  <c r="F171" i="28"/>
  <c r="F172" i="28"/>
  <c r="F173" i="28"/>
  <c r="F174" i="28"/>
  <c r="F175" i="28"/>
  <c r="F176" i="28"/>
  <c r="F177" i="28"/>
  <c r="F178" i="28"/>
  <c r="F179" i="28"/>
  <c r="F180" i="28"/>
  <c r="C277" i="28" s="1"/>
  <c r="F181" i="28"/>
  <c r="F182" i="28"/>
  <c r="F183" i="28"/>
  <c r="F184" i="28"/>
  <c r="F185" i="28"/>
  <c r="F186" i="28"/>
  <c r="F187" i="28"/>
  <c r="F188" i="28"/>
  <c r="F189" i="28"/>
  <c r="F190" i="28"/>
  <c r="F191" i="28"/>
  <c r="F192" i="28"/>
  <c r="F193" i="28"/>
  <c r="F194" i="28"/>
  <c r="F195" i="28"/>
  <c r="F196" i="28"/>
  <c r="F197" i="28"/>
  <c r="F198" i="28"/>
  <c r="F199" i="28"/>
  <c r="F200" i="28"/>
  <c r="F201" i="28"/>
  <c r="C281" i="28" s="1"/>
  <c r="F202" i="28"/>
  <c r="F203" i="28"/>
  <c r="F204" i="28"/>
  <c r="F205" i="28"/>
  <c r="F206" i="28"/>
  <c r="F207" i="28"/>
  <c r="F208" i="28"/>
  <c r="F209" i="28"/>
  <c r="F210" i="28"/>
  <c r="F211" i="28"/>
  <c r="F212" i="28"/>
  <c r="F213" i="28"/>
  <c r="F214" i="28"/>
  <c r="F215" i="28"/>
  <c r="F216" i="28"/>
  <c r="F217" i="28"/>
  <c r="F218" i="28"/>
  <c r="F219" i="28"/>
  <c r="F220" i="28"/>
  <c r="F221" i="28"/>
  <c r="F222" i="28"/>
  <c r="F223" i="28"/>
  <c r="F224" i="28"/>
  <c r="F225" i="28"/>
  <c r="F226" i="28"/>
  <c r="F227" i="28"/>
  <c r="F228" i="28"/>
  <c r="F229" i="28"/>
  <c r="F230" i="28"/>
  <c r="F231" i="28"/>
  <c r="F232" i="28"/>
  <c r="F233" i="28"/>
  <c r="F234" i="28"/>
  <c r="F235" i="28"/>
  <c r="F236" i="28"/>
  <c r="F237" i="28"/>
  <c r="F238" i="28"/>
  <c r="F239" i="28"/>
  <c r="F240" i="28"/>
  <c r="F241" i="28"/>
  <c r="F242" i="28"/>
  <c r="F243" i="28"/>
  <c r="F244" i="28"/>
  <c r="F245" i="28"/>
  <c r="F246" i="28"/>
  <c r="F247" i="28"/>
  <c r="F248" i="28"/>
  <c r="F249" i="28"/>
  <c r="F250" i="28"/>
  <c r="F251" i="28"/>
  <c r="F252" i="28"/>
  <c r="F253" i="28"/>
  <c r="F254" i="28"/>
  <c r="F255" i="28"/>
  <c r="F256" i="28"/>
  <c r="F257" i="28"/>
  <c r="F258" i="28"/>
  <c r="F259" i="28"/>
  <c r="F260" i="28"/>
  <c r="F261" i="28"/>
  <c r="F262" i="28"/>
  <c r="F263" i="28"/>
  <c r="F264" i="28"/>
  <c r="F265" i="28"/>
  <c r="F266" i="28"/>
  <c r="F267" i="28"/>
  <c r="F268" i="28"/>
  <c r="F269" i="28"/>
  <c r="F270" i="28"/>
  <c r="F271" i="28"/>
  <c r="F272" i="28"/>
  <c r="F273" i="28"/>
  <c r="F274" i="28"/>
  <c r="F9" i="28"/>
  <c r="L192" i="6" l="1"/>
  <c r="M192" i="6" s="1"/>
  <c r="M28" i="31"/>
  <c r="M29" i="31" s="1"/>
  <c r="M20" i="31"/>
  <c r="O25" i="31"/>
  <c r="O19" i="31" s="1"/>
  <c r="N19" i="31"/>
  <c r="N291" i="28"/>
  <c r="N290" i="28"/>
  <c r="N289" i="28"/>
  <c r="N288" i="28"/>
  <c r="N292" i="28"/>
  <c r="M292" i="28"/>
  <c r="M291" i="28"/>
  <c r="M293" i="28"/>
  <c r="M288" i="28"/>
  <c r="M294" i="28"/>
  <c r="M290" i="28"/>
  <c r="M289" i="28"/>
  <c r="J283" i="28"/>
  <c r="S283" i="28"/>
  <c r="G283" i="28"/>
  <c r="D283" i="28"/>
  <c r="O283" i="28"/>
  <c r="R283" i="28"/>
  <c r="F283" i="28"/>
  <c r="I283" i="28"/>
  <c r="M283" i="28"/>
  <c r="P283" i="28"/>
  <c r="C283" i="28"/>
  <c r="T283" i="28"/>
  <c r="H283" i="28"/>
  <c r="Q283" i="28"/>
  <c r="E283" i="28"/>
  <c r="V283" i="28"/>
  <c r="L283" i="28"/>
  <c r="U283" i="28"/>
  <c r="K283" i="28"/>
  <c r="N192" i="6" l="1"/>
  <c r="N28" i="31"/>
  <c r="N29" i="31" s="1"/>
  <c r="N20" i="31"/>
  <c r="O28" i="31"/>
  <c r="O29" i="31" s="1"/>
  <c r="O20" i="31"/>
  <c r="N294" i="28"/>
  <c r="N295" i="28"/>
  <c r="O192" i="6" l="1"/>
  <c r="D18" i="1"/>
  <c r="D50" i="26" l="1"/>
  <c r="D46" i="26"/>
  <c r="D46" i="30" s="1"/>
  <c r="D47" i="26"/>
  <c r="D44" i="26"/>
  <c r="D44" i="30" s="1"/>
  <c r="N38" i="26"/>
  <c r="F8" i="26"/>
  <c r="G8" i="26" s="1"/>
  <c r="H8" i="26" s="1"/>
  <c r="I8" i="26" s="1"/>
  <c r="J8" i="26" s="1"/>
  <c r="C7" i="26"/>
  <c r="C1" i="26"/>
  <c r="E92" i="26"/>
  <c r="E86" i="26"/>
  <c r="E79" i="26"/>
  <c r="N50" i="26"/>
  <c r="N48" i="26"/>
  <c r="N45" i="26"/>
  <c r="F10" i="26"/>
  <c r="G10" i="26" s="1"/>
  <c r="H10" i="26" s="1"/>
  <c r="I10" i="26" s="1"/>
  <c r="J10" i="26" s="1"/>
  <c r="K10" i="26" s="1"/>
  <c r="L10" i="26" s="1"/>
  <c r="M10" i="26" s="1"/>
  <c r="N10" i="26" s="1"/>
  <c r="F7" i="26"/>
  <c r="G7" i="26" s="1"/>
  <c r="H7" i="26" s="1"/>
  <c r="I7" i="26" s="1"/>
  <c r="J7" i="26" s="1"/>
  <c r="K7" i="26" s="1"/>
  <c r="L7" i="26" s="1"/>
  <c r="M7" i="26" s="1"/>
  <c r="N7" i="26" s="1"/>
  <c r="M91" i="24"/>
  <c r="M92" i="24"/>
  <c r="M90" i="24"/>
  <c r="N90" i="24" s="1"/>
  <c r="J86" i="24"/>
  <c r="C86" i="24"/>
  <c r="L86" i="24" s="1"/>
  <c r="N77" i="24"/>
  <c r="N80" i="24"/>
  <c r="L79" i="24"/>
  <c r="L78" i="24"/>
  <c r="G78" i="24"/>
  <c r="F78" i="24"/>
  <c r="G77" i="24"/>
  <c r="C82" i="24"/>
  <c r="L82" i="24" s="1"/>
  <c r="C81" i="24"/>
  <c r="L81" i="24" s="1"/>
  <c r="C80" i="24"/>
  <c r="G80" i="24" s="1"/>
  <c r="C79" i="24"/>
  <c r="G79" i="24" s="1"/>
  <c r="C78" i="24"/>
  <c r="N78" i="24" s="1"/>
  <c r="C77" i="24"/>
  <c r="F77" i="24" s="1"/>
  <c r="C76" i="24"/>
  <c r="N76" i="24" s="1"/>
  <c r="L70" i="24"/>
  <c r="F70" i="24"/>
  <c r="G70" i="24"/>
  <c r="F67" i="24"/>
  <c r="C70" i="24"/>
  <c r="N70" i="24" s="1"/>
  <c r="C69" i="24"/>
  <c r="G69" i="24" s="1"/>
  <c r="C68" i="24"/>
  <c r="F68" i="24" s="1"/>
  <c r="C67" i="24"/>
  <c r="L67" i="24" s="1"/>
  <c r="N59" i="24"/>
  <c r="C61" i="24"/>
  <c r="L61" i="24" s="1"/>
  <c r="C60" i="24"/>
  <c r="F60" i="24" s="1"/>
  <c r="C59" i="24"/>
  <c r="G59" i="24" s="1"/>
  <c r="O142" i="24"/>
  <c r="O141" i="24"/>
  <c r="O135" i="24"/>
  <c r="O136" i="24"/>
  <c r="N61" i="24" s="1"/>
  <c r="O137" i="24"/>
  <c r="O138" i="24"/>
  <c r="O139" i="24"/>
  <c r="O134" i="24"/>
  <c r="M135" i="24"/>
  <c r="M136" i="24"/>
  <c r="M137" i="24"/>
  <c r="M138" i="24"/>
  <c r="M139" i="24"/>
  <c r="M140" i="24"/>
  <c r="M134" i="24"/>
  <c r="O127" i="24"/>
  <c r="O126" i="24"/>
  <c r="O120" i="24"/>
  <c r="O121" i="24"/>
  <c r="O122" i="24"/>
  <c r="O123" i="24"/>
  <c r="O124" i="24"/>
  <c r="O119" i="24"/>
  <c r="M120" i="24"/>
  <c r="M121" i="24"/>
  <c r="M122" i="24"/>
  <c r="M123" i="24"/>
  <c r="M124" i="24"/>
  <c r="M125" i="24"/>
  <c r="M119" i="24"/>
  <c r="O112" i="24"/>
  <c r="O111" i="24"/>
  <c r="O105" i="24"/>
  <c r="O106" i="24"/>
  <c r="O107" i="24"/>
  <c r="O108" i="24"/>
  <c r="O109" i="24"/>
  <c r="O104" i="24"/>
  <c r="M105" i="24"/>
  <c r="M106" i="24"/>
  <c r="M107" i="24"/>
  <c r="M108" i="24"/>
  <c r="M109" i="24"/>
  <c r="M110" i="24"/>
  <c r="M104" i="24"/>
  <c r="E37" i="24"/>
  <c r="C6" i="25"/>
  <c r="C1" i="25"/>
  <c r="G32" i="24"/>
  <c r="H32" i="24"/>
  <c r="I32" i="24"/>
  <c r="J32" i="24"/>
  <c r="F32" i="24"/>
  <c r="C6" i="24"/>
  <c r="C1" i="24"/>
  <c r="E47" i="24"/>
  <c r="E35" i="24"/>
  <c r="G30" i="24"/>
  <c r="H30" i="24" s="1"/>
  <c r="I30" i="24" s="1"/>
  <c r="J30" i="24" s="1"/>
  <c r="K30" i="24" s="1"/>
  <c r="L30" i="24" s="1"/>
  <c r="M30" i="24" s="1"/>
  <c r="N30" i="24" s="1"/>
  <c r="O30" i="24" s="1"/>
  <c r="F201" i="21"/>
  <c r="G201" i="21"/>
  <c r="H201" i="21"/>
  <c r="I201" i="21"/>
  <c r="J201" i="21"/>
  <c r="E201" i="21"/>
  <c r="F200" i="21"/>
  <c r="G200" i="21"/>
  <c r="H200" i="21"/>
  <c r="I200" i="21"/>
  <c r="J200" i="21"/>
  <c r="E200" i="21"/>
  <c r="F199" i="21"/>
  <c r="G199" i="21"/>
  <c r="H199" i="21"/>
  <c r="I199" i="21"/>
  <c r="J199" i="21"/>
  <c r="E199" i="21"/>
  <c r="E108" i="21"/>
  <c r="E50" i="21"/>
  <c r="M103" i="17"/>
  <c r="N103" i="17" s="1"/>
  <c r="O103" i="17" s="1"/>
  <c r="P103" i="17" s="1"/>
  <c r="Q103" i="17" s="1"/>
  <c r="F194" i="21"/>
  <c r="G194" i="21"/>
  <c r="H194" i="21"/>
  <c r="I194" i="21"/>
  <c r="J194" i="21"/>
  <c r="K194" i="21"/>
  <c r="L194" i="21"/>
  <c r="M194" i="21"/>
  <c r="D194" i="21"/>
  <c r="F190" i="21"/>
  <c r="G190" i="21"/>
  <c r="H190" i="21"/>
  <c r="I190" i="21"/>
  <c r="J190" i="21"/>
  <c r="K190" i="21"/>
  <c r="L190" i="21"/>
  <c r="M190" i="21"/>
  <c r="F191" i="21"/>
  <c r="F193" i="21" s="1"/>
  <c r="G191" i="21"/>
  <c r="G193" i="21" s="1"/>
  <c r="H191" i="21"/>
  <c r="H193" i="21" s="1"/>
  <c r="I191" i="21"/>
  <c r="I193" i="21" s="1"/>
  <c r="J191" i="21"/>
  <c r="K191" i="21"/>
  <c r="L191" i="21"/>
  <c r="M191" i="21"/>
  <c r="F192" i="21"/>
  <c r="G192" i="21"/>
  <c r="H192" i="21"/>
  <c r="I192" i="21"/>
  <c r="J192" i="21"/>
  <c r="J193" i="21" s="1"/>
  <c r="K192" i="21"/>
  <c r="K193" i="21" s="1"/>
  <c r="L192" i="21"/>
  <c r="L193" i="21" s="1"/>
  <c r="M192" i="21"/>
  <c r="M193" i="21" s="1"/>
  <c r="D191" i="21"/>
  <c r="D192" i="21"/>
  <c r="D193" i="21"/>
  <c r="D190" i="21"/>
  <c r="C194" i="21"/>
  <c r="F179" i="21"/>
  <c r="G179" i="21"/>
  <c r="H179" i="21"/>
  <c r="I179" i="21"/>
  <c r="J179" i="21"/>
  <c r="K179" i="21"/>
  <c r="L179" i="21"/>
  <c r="M179" i="21"/>
  <c r="F180" i="21"/>
  <c r="F185" i="21" s="1"/>
  <c r="G180" i="21"/>
  <c r="G185" i="21" s="1"/>
  <c r="H180" i="21"/>
  <c r="H185" i="21" s="1"/>
  <c r="I180" i="21"/>
  <c r="I185" i="21" s="1"/>
  <c r="J180" i="21"/>
  <c r="K180" i="21"/>
  <c r="L180" i="21"/>
  <c r="M180" i="21"/>
  <c r="M185" i="21" s="1"/>
  <c r="F181" i="21"/>
  <c r="G181" i="21"/>
  <c r="H181" i="21"/>
  <c r="I181" i="21"/>
  <c r="J181" i="21"/>
  <c r="K181" i="21"/>
  <c r="L181" i="21"/>
  <c r="M181" i="21"/>
  <c r="F182" i="21"/>
  <c r="G182" i="21"/>
  <c r="H182" i="21"/>
  <c r="I182" i="21"/>
  <c r="J182" i="21"/>
  <c r="K182" i="21"/>
  <c r="K185" i="21" s="1"/>
  <c r="K186" i="21" s="1"/>
  <c r="L182" i="21"/>
  <c r="L185" i="21" s="1"/>
  <c r="M182" i="21"/>
  <c r="F183" i="21"/>
  <c r="G183" i="21"/>
  <c r="H183" i="21"/>
  <c r="I183" i="21"/>
  <c r="J183" i="21"/>
  <c r="K183" i="21"/>
  <c r="L183" i="21"/>
  <c r="M183" i="21"/>
  <c r="F184" i="21"/>
  <c r="G184" i="21"/>
  <c r="H184" i="21"/>
  <c r="I184" i="21"/>
  <c r="J184" i="21"/>
  <c r="K184" i="21"/>
  <c r="L184" i="21"/>
  <c r="M184" i="21"/>
  <c r="E184" i="21"/>
  <c r="E183" i="21"/>
  <c r="E182" i="21"/>
  <c r="E180" i="21"/>
  <c r="D180" i="21"/>
  <c r="D181" i="21"/>
  <c r="D182" i="21"/>
  <c r="D183" i="21"/>
  <c r="D184" i="21"/>
  <c r="D185" i="21"/>
  <c r="D179" i="21"/>
  <c r="C186" i="21"/>
  <c r="D186" i="21"/>
  <c r="B172" i="21"/>
  <c r="J172" i="21" s="1"/>
  <c r="J175" i="21" s="1"/>
  <c r="M172" i="21"/>
  <c r="M176" i="21" s="1"/>
  <c r="L172" i="21"/>
  <c r="L176" i="21" s="1"/>
  <c r="K172" i="21"/>
  <c r="K173" i="21" s="1"/>
  <c r="E164" i="21"/>
  <c r="G164" i="21"/>
  <c r="H164" i="21"/>
  <c r="I164" i="21"/>
  <c r="J164" i="21"/>
  <c r="L164" i="21"/>
  <c r="M164" i="21"/>
  <c r="B164" i="21"/>
  <c r="K164" i="21" s="1"/>
  <c r="B165" i="21"/>
  <c r="B163" i="21"/>
  <c r="K163" i="21" s="1"/>
  <c r="M165" i="21"/>
  <c r="M163" i="21"/>
  <c r="L163" i="21"/>
  <c r="J163" i="21"/>
  <c r="F155" i="21"/>
  <c r="G155" i="21"/>
  <c r="I155" i="21"/>
  <c r="J155" i="21"/>
  <c r="B155" i="21"/>
  <c r="K155" i="21" s="1"/>
  <c r="B156" i="21"/>
  <c r="B154" i="21"/>
  <c r="K154" i="21" s="1"/>
  <c r="M156" i="21"/>
  <c r="M154" i="21"/>
  <c r="L154" i="21"/>
  <c r="J154" i="21"/>
  <c r="M146" i="21"/>
  <c r="B147" i="21"/>
  <c r="M147" i="21" s="1"/>
  <c r="B146" i="21"/>
  <c r="H146" i="21" s="1"/>
  <c r="B145" i="21"/>
  <c r="I145" i="21" s="1"/>
  <c r="B130" i="21"/>
  <c r="E130" i="21" s="1"/>
  <c r="B138" i="21"/>
  <c r="J138" i="21" s="1"/>
  <c r="B131" i="21"/>
  <c r="G131" i="21" s="1"/>
  <c r="B129" i="21"/>
  <c r="K129" i="21" s="1"/>
  <c r="B128" i="21"/>
  <c r="H128" i="21" s="1"/>
  <c r="M116" i="21"/>
  <c r="L116" i="21"/>
  <c r="K116" i="21"/>
  <c r="J116" i="21"/>
  <c r="I116" i="21"/>
  <c r="H116" i="21"/>
  <c r="G116" i="21"/>
  <c r="F116" i="21"/>
  <c r="C123" i="21"/>
  <c r="D120" i="21" s="1"/>
  <c r="B109" i="21"/>
  <c r="M109" i="21" s="1"/>
  <c r="B108" i="21"/>
  <c r="M108" i="21" s="1"/>
  <c r="B101" i="21"/>
  <c r="M101" i="21" s="1"/>
  <c r="B100" i="21"/>
  <c r="M100" i="21" s="1"/>
  <c r="B93" i="21"/>
  <c r="M93" i="21" s="1"/>
  <c r="B92" i="21"/>
  <c r="E92" i="21" s="1"/>
  <c r="B85" i="21"/>
  <c r="K85" i="21" s="1"/>
  <c r="B84" i="21"/>
  <c r="J84" i="21" s="1"/>
  <c r="B77" i="21"/>
  <c r="F77" i="21" s="1"/>
  <c r="B76" i="21"/>
  <c r="J76" i="21" s="1"/>
  <c r="K81" i="21"/>
  <c r="K117" i="21" s="1"/>
  <c r="K80" i="21"/>
  <c r="K79" i="21"/>
  <c r="K78" i="21"/>
  <c r="B69" i="21"/>
  <c r="M69" i="21" s="1"/>
  <c r="B68" i="21"/>
  <c r="I68" i="21" s="1"/>
  <c r="D61" i="21"/>
  <c r="D62" i="21"/>
  <c r="D58" i="21"/>
  <c r="B49" i="21"/>
  <c r="J49" i="21" s="1"/>
  <c r="J52" i="21" s="1"/>
  <c r="L53" i="21"/>
  <c r="K53" i="21"/>
  <c r="E53" i="21"/>
  <c r="L52" i="21"/>
  <c r="K52" i="21"/>
  <c r="E52" i="21"/>
  <c r="L51" i="21"/>
  <c r="L61" i="21" s="1"/>
  <c r="K51" i="21"/>
  <c r="K61" i="21" s="1"/>
  <c r="E51" i="21"/>
  <c r="E61" i="21" s="1"/>
  <c r="L50" i="21"/>
  <c r="K50" i="21"/>
  <c r="B42" i="21"/>
  <c r="M42" i="21" s="1"/>
  <c r="B41" i="21"/>
  <c r="M41" i="21" s="1"/>
  <c r="B34" i="21"/>
  <c r="M34" i="21" s="1"/>
  <c r="L38" i="21"/>
  <c r="K38" i="21"/>
  <c r="E38" i="21"/>
  <c r="L37" i="21"/>
  <c r="K37" i="21"/>
  <c r="E37" i="21"/>
  <c r="L36" i="21"/>
  <c r="L59" i="21" s="1"/>
  <c r="K36" i="21"/>
  <c r="K59" i="21" s="1"/>
  <c r="E36" i="21"/>
  <c r="E59" i="21" s="1"/>
  <c r="L35" i="21"/>
  <c r="K35" i="21"/>
  <c r="E35" i="21"/>
  <c r="B27" i="21"/>
  <c r="M27" i="21" s="1"/>
  <c r="B26" i="21"/>
  <c r="M26" i="21" s="1"/>
  <c r="B19" i="21"/>
  <c r="M19" i="21" s="1"/>
  <c r="M23" i="21" s="1"/>
  <c r="B12" i="21"/>
  <c r="M12" i="21" s="1"/>
  <c r="B11" i="21"/>
  <c r="H11" i="21" s="1"/>
  <c r="B1" i="21"/>
  <c r="C4" i="21"/>
  <c r="O335" i="6"/>
  <c r="N335" i="6"/>
  <c r="M335" i="6"/>
  <c r="L335" i="6"/>
  <c r="K335" i="6"/>
  <c r="J335" i="6"/>
  <c r="I335" i="6"/>
  <c r="H335" i="6"/>
  <c r="G335" i="6"/>
  <c r="F335" i="6"/>
  <c r="O334" i="6"/>
  <c r="N334" i="6"/>
  <c r="M334" i="6"/>
  <c r="L334" i="6"/>
  <c r="K334" i="6"/>
  <c r="J334" i="6"/>
  <c r="I334" i="6"/>
  <c r="H334" i="6"/>
  <c r="G334" i="6"/>
  <c r="F334" i="6"/>
  <c r="O333" i="6"/>
  <c r="N333" i="6"/>
  <c r="M333" i="6"/>
  <c r="L333" i="6"/>
  <c r="K333" i="6"/>
  <c r="J333" i="6"/>
  <c r="I333" i="6"/>
  <c r="H333" i="6"/>
  <c r="G333" i="6"/>
  <c r="F333" i="6"/>
  <c r="O332" i="6"/>
  <c r="N332" i="6"/>
  <c r="M332" i="6"/>
  <c r="L332" i="6"/>
  <c r="K332" i="6"/>
  <c r="J332" i="6"/>
  <c r="I332" i="6"/>
  <c r="H332" i="6"/>
  <c r="G332" i="6"/>
  <c r="F332" i="6"/>
  <c r="O331" i="6"/>
  <c r="N331" i="6"/>
  <c r="M331" i="6"/>
  <c r="L331" i="6"/>
  <c r="K331" i="6"/>
  <c r="J331" i="6"/>
  <c r="I331" i="6"/>
  <c r="H331" i="6"/>
  <c r="G331" i="6"/>
  <c r="F331" i="6"/>
  <c r="O330" i="6"/>
  <c r="N330" i="6"/>
  <c r="M330" i="6"/>
  <c r="L330" i="6"/>
  <c r="K330" i="6"/>
  <c r="J330" i="6"/>
  <c r="I330" i="6"/>
  <c r="H330" i="6"/>
  <c r="G330" i="6"/>
  <c r="F330" i="6"/>
  <c r="O329" i="6"/>
  <c r="N329" i="6"/>
  <c r="M329" i="6"/>
  <c r="L329" i="6"/>
  <c r="K329" i="6"/>
  <c r="J329" i="6"/>
  <c r="I329" i="6"/>
  <c r="H329" i="6"/>
  <c r="G329" i="6"/>
  <c r="F329" i="6"/>
  <c r="O328" i="6"/>
  <c r="N328" i="6"/>
  <c r="M328" i="6"/>
  <c r="L328" i="6"/>
  <c r="K328" i="6"/>
  <c r="J328" i="6"/>
  <c r="I328" i="6"/>
  <c r="H328" i="6"/>
  <c r="G328" i="6"/>
  <c r="F328" i="6"/>
  <c r="O327" i="6"/>
  <c r="N327" i="6"/>
  <c r="M327" i="6"/>
  <c r="L327" i="6"/>
  <c r="K327" i="6"/>
  <c r="J327" i="6"/>
  <c r="I327" i="6"/>
  <c r="H327" i="6"/>
  <c r="G327" i="6"/>
  <c r="F327" i="6"/>
  <c r="H89" i="15"/>
  <c r="I89" i="15"/>
  <c r="J89" i="15"/>
  <c r="K89" i="15"/>
  <c r="G89" i="15"/>
  <c r="I100" i="17"/>
  <c r="J100" i="17"/>
  <c r="K100" i="17"/>
  <c r="L100" i="17"/>
  <c r="H100" i="17"/>
  <c r="I96" i="17"/>
  <c r="J93" i="17" s="1"/>
  <c r="J96" i="17"/>
  <c r="K93" i="17" s="1"/>
  <c r="K96" i="17"/>
  <c r="L93" i="17" s="1"/>
  <c r="L96" i="17"/>
  <c r="M93" i="17" s="1"/>
  <c r="M96" i="17" s="1"/>
  <c r="H96" i="17"/>
  <c r="I93" i="17" s="1"/>
  <c r="I89" i="17"/>
  <c r="J89" i="17"/>
  <c r="K89" i="17"/>
  <c r="L89" i="17"/>
  <c r="M85" i="17" s="1"/>
  <c r="H89" i="17"/>
  <c r="M22" i="17"/>
  <c r="I12" i="17"/>
  <c r="J12" i="17"/>
  <c r="K12" i="17"/>
  <c r="L12" i="17"/>
  <c r="H12" i="17"/>
  <c r="I11" i="17"/>
  <c r="J11" i="17"/>
  <c r="K11" i="17"/>
  <c r="L11" i="17"/>
  <c r="H11" i="17"/>
  <c r="C6" i="17"/>
  <c r="C1" i="17"/>
  <c r="N16" i="17"/>
  <c r="O16" i="17" s="1"/>
  <c r="P16" i="17" s="1"/>
  <c r="Q16" i="17" s="1"/>
  <c r="I16" i="17"/>
  <c r="J16" i="17" s="1"/>
  <c r="K16" i="17" s="1"/>
  <c r="L16" i="17" s="1"/>
  <c r="N9" i="17"/>
  <c r="O9" i="17" s="1"/>
  <c r="P9" i="17" s="1"/>
  <c r="Q9" i="17" s="1"/>
  <c r="I9" i="17"/>
  <c r="J9" i="17" s="1"/>
  <c r="K9" i="17" s="1"/>
  <c r="L9" i="17" s="1"/>
  <c r="I7" i="17"/>
  <c r="J7" i="17" s="1"/>
  <c r="K7" i="17" s="1"/>
  <c r="L7" i="17" s="1"/>
  <c r="M7" i="17" s="1"/>
  <c r="N7" i="17" s="1"/>
  <c r="O7" i="17" s="1"/>
  <c r="P7" i="17" s="1"/>
  <c r="Q7" i="17" s="1"/>
  <c r="I6" i="17"/>
  <c r="J6" i="17" s="1"/>
  <c r="K6" i="17" s="1"/>
  <c r="L6" i="17" s="1"/>
  <c r="M6" i="17" s="1"/>
  <c r="L80" i="16"/>
  <c r="E86" i="16" s="1"/>
  <c r="F78" i="16"/>
  <c r="C76" i="16"/>
  <c r="L62" i="16"/>
  <c r="F60" i="16"/>
  <c r="C58" i="16"/>
  <c r="H12" i="16"/>
  <c r="I12" i="16"/>
  <c r="J12" i="16"/>
  <c r="K12" i="16"/>
  <c r="G12" i="16"/>
  <c r="C6" i="16"/>
  <c r="B6" i="2"/>
  <c r="C1" i="16"/>
  <c r="L54" i="16"/>
  <c r="K41" i="16"/>
  <c r="J41" i="16"/>
  <c r="I41" i="16"/>
  <c r="K40" i="16"/>
  <c r="J40" i="16"/>
  <c r="I40" i="16"/>
  <c r="H40" i="16"/>
  <c r="K39" i="16"/>
  <c r="J39" i="16"/>
  <c r="I39" i="16"/>
  <c r="K38" i="16"/>
  <c r="J38" i="16"/>
  <c r="I38" i="16"/>
  <c r="H38" i="16"/>
  <c r="K35" i="16"/>
  <c r="J35" i="16"/>
  <c r="I35" i="16"/>
  <c r="H35" i="16"/>
  <c r="H41" i="16"/>
  <c r="H39" i="16"/>
  <c r="H6" i="16"/>
  <c r="I6" i="16" s="1"/>
  <c r="J6" i="16" s="1"/>
  <c r="K6" i="16" s="1"/>
  <c r="L6" i="16" s="1"/>
  <c r="H178" i="15"/>
  <c r="J90" i="2" s="1"/>
  <c r="I178" i="15"/>
  <c r="K90" i="2" s="1"/>
  <c r="J178" i="15"/>
  <c r="L90" i="2" s="1"/>
  <c r="K178" i="15"/>
  <c r="M90" i="2" s="1"/>
  <c r="G178" i="15"/>
  <c r="I90" i="2" s="1"/>
  <c r="H175" i="15"/>
  <c r="I175" i="15"/>
  <c r="J175" i="15"/>
  <c r="K175" i="15"/>
  <c r="G175" i="15"/>
  <c r="I88" i="2"/>
  <c r="J88" i="2" s="1"/>
  <c r="K88" i="2" s="1"/>
  <c r="L88" i="2" s="1"/>
  <c r="M88" i="2" s="1"/>
  <c r="H172" i="15"/>
  <c r="I172" i="15"/>
  <c r="J172" i="15"/>
  <c r="K172" i="15"/>
  <c r="G172" i="15"/>
  <c r="H167" i="15"/>
  <c r="I167" i="15"/>
  <c r="J167" i="15"/>
  <c r="K167" i="15"/>
  <c r="G167" i="15"/>
  <c r="I67" i="2"/>
  <c r="J67" i="2" s="1"/>
  <c r="K67" i="2" s="1"/>
  <c r="L67" i="2" s="1"/>
  <c r="M67" i="2" s="1"/>
  <c r="H162" i="15"/>
  <c r="I162" i="15"/>
  <c r="J162" i="15"/>
  <c r="K162" i="15"/>
  <c r="G162" i="15"/>
  <c r="H159" i="15"/>
  <c r="I159" i="15"/>
  <c r="J159" i="15"/>
  <c r="K159" i="15"/>
  <c r="G159" i="15"/>
  <c r="H156" i="15"/>
  <c r="I156" i="15"/>
  <c r="J156" i="15"/>
  <c r="K156" i="15"/>
  <c r="G156" i="15"/>
  <c r="H153" i="15"/>
  <c r="I153" i="15"/>
  <c r="J153" i="15"/>
  <c r="K153" i="15"/>
  <c r="G153" i="15"/>
  <c r="H150" i="15"/>
  <c r="I150" i="15"/>
  <c r="J150" i="15"/>
  <c r="K150" i="15"/>
  <c r="G150" i="15"/>
  <c r="H145" i="15"/>
  <c r="I145" i="15"/>
  <c r="J145" i="15"/>
  <c r="K145" i="15"/>
  <c r="G145" i="15"/>
  <c r="M143" i="15"/>
  <c r="N143" i="15" s="1"/>
  <c r="O143" i="15" s="1"/>
  <c r="P143" i="15" s="1"/>
  <c r="H142" i="15"/>
  <c r="I142" i="15"/>
  <c r="J142" i="15"/>
  <c r="K142" i="15"/>
  <c r="G142" i="15"/>
  <c r="H138" i="15"/>
  <c r="I138" i="15"/>
  <c r="J138" i="15"/>
  <c r="K138" i="15"/>
  <c r="G138" i="15"/>
  <c r="I92" i="2"/>
  <c r="J92" i="2" s="1"/>
  <c r="K92" i="2" s="1"/>
  <c r="L92" i="2" s="1"/>
  <c r="M92" i="2" s="1"/>
  <c r="M130" i="2" s="1"/>
  <c r="I91" i="2"/>
  <c r="J91" i="2" s="1"/>
  <c r="K91" i="2" s="1"/>
  <c r="L91" i="2" s="1"/>
  <c r="M91" i="2" s="1"/>
  <c r="I85" i="2"/>
  <c r="J85" i="2" s="1"/>
  <c r="K85" i="2" s="1"/>
  <c r="L85" i="2" s="1"/>
  <c r="M85" i="2" s="1"/>
  <c r="H133" i="15"/>
  <c r="I133" i="15"/>
  <c r="J133" i="15"/>
  <c r="K133" i="15"/>
  <c r="G133" i="15"/>
  <c r="H130" i="15"/>
  <c r="I130" i="15"/>
  <c r="J130" i="15"/>
  <c r="K130" i="15"/>
  <c r="G130" i="15"/>
  <c r="H126" i="15"/>
  <c r="I126" i="15"/>
  <c r="J126" i="15"/>
  <c r="K126" i="15"/>
  <c r="G126" i="15"/>
  <c r="H121" i="15"/>
  <c r="I121" i="15"/>
  <c r="J121" i="15"/>
  <c r="K121" i="15"/>
  <c r="G121" i="15"/>
  <c r="H118" i="15"/>
  <c r="I118" i="15"/>
  <c r="J118" i="15"/>
  <c r="K118" i="15"/>
  <c r="G118" i="15"/>
  <c r="H114" i="15"/>
  <c r="I114" i="15"/>
  <c r="J114" i="15"/>
  <c r="K114" i="15"/>
  <c r="G114" i="15"/>
  <c r="H110" i="15"/>
  <c r="I110" i="15"/>
  <c r="J110" i="15"/>
  <c r="K110" i="15"/>
  <c r="G110" i="15"/>
  <c r="H102" i="15"/>
  <c r="I102" i="15"/>
  <c r="J102" i="15"/>
  <c r="K102" i="15"/>
  <c r="G102" i="15"/>
  <c r="H99" i="15"/>
  <c r="I99" i="15"/>
  <c r="J99" i="15"/>
  <c r="K99" i="15"/>
  <c r="G99" i="15"/>
  <c r="H96" i="15"/>
  <c r="I96" i="15"/>
  <c r="J96" i="15"/>
  <c r="K96" i="15"/>
  <c r="G96" i="15"/>
  <c r="H86" i="15"/>
  <c r="I86" i="15"/>
  <c r="J86" i="15"/>
  <c r="K86" i="15"/>
  <c r="G86" i="15"/>
  <c r="H76" i="15"/>
  <c r="I76" i="15"/>
  <c r="J76" i="15"/>
  <c r="K76" i="15"/>
  <c r="G76" i="15"/>
  <c r="H70" i="15"/>
  <c r="I70" i="15"/>
  <c r="J70" i="15"/>
  <c r="K70" i="15"/>
  <c r="G70" i="15"/>
  <c r="H64" i="15"/>
  <c r="I64" i="15"/>
  <c r="J64" i="15"/>
  <c r="K64" i="15"/>
  <c r="G64" i="15"/>
  <c r="H58" i="15"/>
  <c r="I58" i="15"/>
  <c r="J58" i="15"/>
  <c r="K58" i="15"/>
  <c r="G58" i="15"/>
  <c r="H52" i="15"/>
  <c r="I52" i="15"/>
  <c r="J52" i="15"/>
  <c r="K52" i="15"/>
  <c r="G52" i="15"/>
  <c r="H46" i="15"/>
  <c r="I46" i="15"/>
  <c r="J46" i="15"/>
  <c r="K46" i="15"/>
  <c r="G46" i="15"/>
  <c r="H40" i="15"/>
  <c r="I40" i="15"/>
  <c r="J40" i="15"/>
  <c r="K40" i="15"/>
  <c r="G40" i="15"/>
  <c r="H34" i="15"/>
  <c r="I34" i="15"/>
  <c r="J34" i="15"/>
  <c r="K34" i="15"/>
  <c r="G34" i="15"/>
  <c r="H28" i="15"/>
  <c r="I28" i="15"/>
  <c r="J28" i="15"/>
  <c r="K28" i="15"/>
  <c r="G28" i="15"/>
  <c r="M52" i="17" l="1"/>
  <c r="M51" i="17"/>
  <c r="M70" i="17"/>
  <c r="M69" i="17"/>
  <c r="N91" i="24"/>
  <c r="J32" i="26"/>
  <c r="K32" i="26" s="1"/>
  <c r="L32" i="26" s="1"/>
  <c r="M32" i="26" s="1"/>
  <c r="N32" i="26" s="1"/>
  <c r="K8" i="26"/>
  <c r="L8" i="26" s="1"/>
  <c r="M8" i="26" s="1"/>
  <c r="N8" i="26" s="1"/>
  <c r="F203" i="21"/>
  <c r="D50" i="30"/>
  <c r="N50" i="30" s="1"/>
  <c r="K203" i="21"/>
  <c r="J203" i="21"/>
  <c r="I203" i="21"/>
  <c r="N44" i="26"/>
  <c r="N46" i="26"/>
  <c r="N92" i="24"/>
  <c r="N47" i="26"/>
  <c r="D47" i="30"/>
  <c r="E203" i="21"/>
  <c r="M203" i="21"/>
  <c r="L203" i="21"/>
  <c r="H203" i="21"/>
  <c r="G203" i="21"/>
  <c r="F336" i="6"/>
  <c r="G336" i="6"/>
  <c r="H336" i="6"/>
  <c r="I336" i="6"/>
  <c r="L80" i="24"/>
  <c r="N79" i="24"/>
  <c r="F79" i="24"/>
  <c r="F61" i="24"/>
  <c r="N67" i="24"/>
  <c r="G61" i="24"/>
  <c r="L77" i="24"/>
  <c r="M77" i="24" s="1"/>
  <c r="O77" i="24" s="1"/>
  <c r="L68" i="24"/>
  <c r="F76" i="24"/>
  <c r="F84" i="24" s="1"/>
  <c r="F82" i="24"/>
  <c r="F81" i="24"/>
  <c r="F83" i="24" s="1"/>
  <c r="N68" i="24"/>
  <c r="G76" i="24"/>
  <c r="G82" i="24"/>
  <c r="M82" i="24" s="1"/>
  <c r="N81" i="24"/>
  <c r="L69" i="24"/>
  <c r="G81" i="24"/>
  <c r="M81" i="24" s="1"/>
  <c r="F59" i="24"/>
  <c r="F62" i="24" s="1"/>
  <c r="G67" i="24"/>
  <c r="M67" i="24" s="1"/>
  <c r="N69" i="24"/>
  <c r="L76" i="24"/>
  <c r="N82" i="24"/>
  <c r="L59" i="24"/>
  <c r="M59" i="24" s="1"/>
  <c r="O59" i="24" s="1"/>
  <c r="F69" i="24"/>
  <c r="F72" i="24" s="1"/>
  <c r="G86" i="24"/>
  <c r="G68" i="24"/>
  <c r="M68" i="24" s="1"/>
  <c r="G60" i="24"/>
  <c r="F86" i="24"/>
  <c r="F80" i="24"/>
  <c r="L60" i="24"/>
  <c r="M60" i="24" s="1"/>
  <c r="N60" i="24"/>
  <c r="M78" i="24"/>
  <c r="O78" i="24" s="1"/>
  <c r="M80" i="24"/>
  <c r="M79" i="24"/>
  <c r="O79" i="24" s="1"/>
  <c r="M76" i="24"/>
  <c r="N140" i="24"/>
  <c r="O140" i="24"/>
  <c r="N136" i="24"/>
  <c r="N139" i="24"/>
  <c r="N137" i="24"/>
  <c r="N138" i="24"/>
  <c r="M69" i="24"/>
  <c r="M70" i="24"/>
  <c r="O70" i="24" s="1"/>
  <c r="N135" i="24"/>
  <c r="N134" i="24"/>
  <c r="N122" i="24"/>
  <c r="N121" i="24"/>
  <c r="O125" i="24"/>
  <c r="N108" i="24"/>
  <c r="N119" i="24"/>
  <c r="N125" i="24"/>
  <c r="N124" i="24"/>
  <c r="N123" i="24"/>
  <c r="N120" i="24"/>
  <c r="N107" i="24"/>
  <c r="N109" i="24"/>
  <c r="O110" i="24"/>
  <c r="N104" i="24"/>
  <c r="N110" i="24"/>
  <c r="N105" i="24"/>
  <c r="N106" i="24"/>
  <c r="E40" i="24"/>
  <c r="H86" i="24" s="1"/>
  <c r="M61" i="24"/>
  <c r="O61" i="24" s="1"/>
  <c r="J13" i="17"/>
  <c r="L13" i="17"/>
  <c r="L128" i="2"/>
  <c r="K128" i="2"/>
  <c r="L186" i="21"/>
  <c r="I186" i="21"/>
  <c r="J185" i="21"/>
  <c r="J186" i="21" s="1"/>
  <c r="H186" i="21"/>
  <c r="M186" i="21"/>
  <c r="F186" i="21"/>
  <c r="G186" i="21"/>
  <c r="F164" i="21"/>
  <c r="L138" i="21"/>
  <c r="I172" i="21"/>
  <c r="K138" i="21"/>
  <c r="K139" i="21" s="1"/>
  <c r="M138" i="21"/>
  <c r="M140" i="21" s="1"/>
  <c r="H155" i="21"/>
  <c r="I175" i="21"/>
  <c r="I176" i="21"/>
  <c r="I174" i="21"/>
  <c r="I173" i="21"/>
  <c r="L174" i="21"/>
  <c r="J174" i="21"/>
  <c r="E172" i="21"/>
  <c r="L173" i="21"/>
  <c r="L175" i="21"/>
  <c r="K174" i="21"/>
  <c r="J173" i="21"/>
  <c r="F172" i="21"/>
  <c r="M173" i="21"/>
  <c r="J176" i="21"/>
  <c r="K175" i="21"/>
  <c r="G172" i="21"/>
  <c r="K176" i="21"/>
  <c r="M174" i="21"/>
  <c r="H172" i="21"/>
  <c r="M175" i="21"/>
  <c r="M169" i="21"/>
  <c r="E155" i="21"/>
  <c r="K146" i="21"/>
  <c r="L155" i="21"/>
  <c r="L158" i="21" s="1"/>
  <c r="I146" i="21"/>
  <c r="J146" i="21"/>
  <c r="M155" i="21"/>
  <c r="M157" i="21" s="1"/>
  <c r="L146" i="21"/>
  <c r="H165" i="21"/>
  <c r="F163" i="21"/>
  <c r="I165" i="21"/>
  <c r="M168" i="21"/>
  <c r="F165" i="21"/>
  <c r="M167" i="21"/>
  <c r="E163" i="21"/>
  <c r="G163" i="21"/>
  <c r="J165" i="21"/>
  <c r="J169" i="21" s="1"/>
  <c r="M166" i="21"/>
  <c r="E165" i="21"/>
  <c r="G165" i="21"/>
  <c r="H163" i="21"/>
  <c r="K165" i="21"/>
  <c r="I163" i="21"/>
  <c r="L165" i="21"/>
  <c r="L167" i="21" s="1"/>
  <c r="E138" i="21"/>
  <c r="G138" i="21"/>
  <c r="E146" i="21"/>
  <c r="H138" i="21"/>
  <c r="H140" i="21" s="1"/>
  <c r="F146" i="21"/>
  <c r="I138" i="21"/>
  <c r="I142" i="21" s="1"/>
  <c r="G146" i="21"/>
  <c r="M159" i="21"/>
  <c r="M158" i="21"/>
  <c r="F154" i="21"/>
  <c r="I156" i="21"/>
  <c r="H154" i="21"/>
  <c r="K156" i="21"/>
  <c r="F156" i="21"/>
  <c r="G156" i="21"/>
  <c r="J156" i="21"/>
  <c r="J157" i="21" s="1"/>
  <c r="I154" i="21"/>
  <c r="L156" i="21"/>
  <c r="E156" i="21"/>
  <c r="E154" i="21"/>
  <c r="H156" i="21"/>
  <c r="G154" i="21"/>
  <c r="K142" i="21"/>
  <c r="J145" i="21"/>
  <c r="K140" i="21"/>
  <c r="M49" i="21"/>
  <c r="M52" i="21" s="1"/>
  <c r="M145" i="21"/>
  <c r="M151" i="21" s="1"/>
  <c r="E147" i="21"/>
  <c r="G147" i="21"/>
  <c r="F145" i="21"/>
  <c r="G145" i="21"/>
  <c r="K147" i="21"/>
  <c r="F147" i="21"/>
  <c r="H147" i="21"/>
  <c r="H145" i="21"/>
  <c r="L147" i="21"/>
  <c r="I147" i="21"/>
  <c r="J147" i="21"/>
  <c r="M130" i="21"/>
  <c r="L131" i="21"/>
  <c r="K130" i="21"/>
  <c r="I130" i="21"/>
  <c r="M142" i="21"/>
  <c r="H130" i="21"/>
  <c r="J130" i="21"/>
  <c r="G130" i="21"/>
  <c r="M131" i="21"/>
  <c r="L130" i="21"/>
  <c r="F130" i="21"/>
  <c r="M128" i="21"/>
  <c r="F131" i="21"/>
  <c r="M129" i="21"/>
  <c r="E131" i="21"/>
  <c r="M85" i="21"/>
  <c r="M87" i="21" s="1"/>
  <c r="K131" i="21"/>
  <c r="J131" i="21"/>
  <c r="I131" i="21"/>
  <c r="D117" i="21"/>
  <c r="H131" i="21"/>
  <c r="J142" i="21"/>
  <c r="F138" i="21"/>
  <c r="J140" i="21"/>
  <c r="K88" i="21"/>
  <c r="K87" i="21"/>
  <c r="K86" i="21"/>
  <c r="K89" i="21"/>
  <c r="K118" i="21" s="1"/>
  <c r="G49" i="21"/>
  <c r="G51" i="21" s="1"/>
  <c r="G61" i="21" s="1"/>
  <c r="G108" i="21"/>
  <c r="H49" i="21"/>
  <c r="H52" i="21" s="1"/>
  <c r="H108" i="21"/>
  <c r="I49" i="21"/>
  <c r="I52" i="21" s="1"/>
  <c r="I92" i="21"/>
  <c r="I108" i="21"/>
  <c r="J92" i="21"/>
  <c r="J108" i="21"/>
  <c r="I84" i="21"/>
  <c r="M92" i="21"/>
  <c r="M97" i="21" s="1"/>
  <c r="D119" i="21"/>
  <c r="M84" i="21"/>
  <c r="D118" i="21"/>
  <c r="F69" i="21"/>
  <c r="H76" i="21"/>
  <c r="H129" i="21"/>
  <c r="M77" i="21"/>
  <c r="L92" i="21"/>
  <c r="D116" i="21"/>
  <c r="D122" i="21"/>
  <c r="D121" i="21"/>
  <c r="I128" i="21"/>
  <c r="E129" i="21"/>
  <c r="F129" i="21"/>
  <c r="G129" i="21"/>
  <c r="I76" i="21"/>
  <c r="J128" i="21"/>
  <c r="I129" i="21"/>
  <c r="F128" i="21"/>
  <c r="J129" i="21"/>
  <c r="G128" i="21"/>
  <c r="L129" i="21"/>
  <c r="M113" i="21"/>
  <c r="M111" i="21"/>
  <c r="M121" i="21" s="1"/>
  <c r="H109" i="21"/>
  <c r="J109" i="21"/>
  <c r="K109" i="21"/>
  <c r="M112" i="21"/>
  <c r="E109" i="21"/>
  <c r="F109" i="21"/>
  <c r="G109" i="21"/>
  <c r="F108" i="21"/>
  <c r="I109" i="21"/>
  <c r="M110" i="21"/>
  <c r="L109" i="21"/>
  <c r="L111" i="21" s="1"/>
  <c r="L121" i="21" s="1"/>
  <c r="M105" i="21"/>
  <c r="J100" i="21"/>
  <c r="L100" i="21"/>
  <c r="M104" i="21"/>
  <c r="M120" i="21" s="1"/>
  <c r="E101" i="21"/>
  <c r="F101" i="21"/>
  <c r="M103" i="21"/>
  <c r="M102" i="21"/>
  <c r="I100" i="21"/>
  <c r="L101" i="21"/>
  <c r="G101" i="21"/>
  <c r="E100" i="21"/>
  <c r="H101" i="21"/>
  <c r="F100" i="21"/>
  <c r="I101" i="21"/>
  <c r="G100" i="21"/>
  <c r="J101" i="21"/>
  <c r="H100" i="21"/>
  <c r="K101" i="21"/>
  <c r="F92" i="21"/>
  <c r="J93" i="21"/>
  <c r="E93" i="21"/>
  <c r="F93" i="21"/>
  <c r="G92" i="21"/>
  <c r="K93" i="21"/>
  <c r="G93" i="21"/>
  <c r="H93" i="21"/>
  <c r="H92" i="21"/>
  <c r="L93" i="21"/>
  <c r="I93" i="21"/>
  <c r="H84" i="21"/>
  <c r="E85" i="21"/>
  <c r="G85" i="21"/>
  <c r="I85" i="21"/>
  <c r="F84" i="21"/>
  <c r="J85" i="21"/>
  <c r="J88" i="21" s="1"/>
  <c r="H85" i="21"/>
  <c r="G84" i="21"/>
  <c r="L85" i="21"/>
  <c r="F85" i="21"/>
  <c r="M76" i="21"/>
  <c r="E77" i="21"/>
  <c r="G77" i="21"/>
  <c r="H77" i="21"/>
  <c r="I77" i="21"/>
  <c r="F76" i="21"/>
  <c r="J77" i="21"/>
  <c r="J80" i="21" s="1"/>
  <c r="G76" i="21"/>
  <c r="L77" i="21"/>
  <c r="I41" i="21"/>
  <c r="E69" i="21"/>
  <c r="G69" i="21"/>
  <c r="D56" i="21"/>
  <c r="H69" i="21"/>
  <c r="L12" i="21"/>
  <c r="L16" i="21" s="1"/>
  <c r="I69" i="21"/>
  <c r="I72" i="21" s="1"/>
  <c r="I12" i="21"/>
  <c r="J69" i="21"/>
  <c r="L69" i="21"/>
  <c r="J26" i="21"/>
  <c r="D60" i="21"/>
  <c r="E12" i="21"/>
  <c r="E15" i="21" s="1"/>
  <c r="D59" i="21"/>
  <c r="D57" i="21"/>
  <c r="H12" i="21"/>
  <c r="H13" i="21" s="1"/>
  <c r="J41" i="21"/>
  <c r="C63" i="21"/>
  <c r="J68" i="21"/>
  <c r="M11" i="21"/>
  <c r="M13" i="21" s="1"/>
  <c r="M68" i="21"/>
  <c r="M73" i="21" s="1"/>
  <c r="J11" i="21"/>
  <c r="I26" i="21"/>
  <c r="F68" i="21"/>
  <c r="G68" i="21"/>
  <c r="H68" i="21"/>
  <c r="J51" i="21"/>
  <c r="J61" i="21" s="1"/>
  <c r="J50" i="21"/>
  <c r="G53" i="21"/>
  <c r="F49" i="21"/>
  <c r="J53" i="21"/>
  <c r="M46" i="21"/>
  <c r="E42" i="21"/>
  <c r="H42" i="21"/>
  <c r="M45" i="21"/>
  <c r="F42" i="21"/>
  <c r="M44" i="21"/>
  <c r="M60" i="21" s="1"/>
  <c r="M43" i="21"/>
  <c r="H41" i="21"/>
  <c r="L42" i="21"/>
  <c r="G42" i="21"/>
  <c r="I42" i="21"/>
  <c r="F41" i="21"/>
  <c r="J42" i="21"/>
  <c r="G41" i="21"/>
  <c r="K42" i="21"/>
  <c r="M38" i="21"/>
  <c r="M35" i="21"/>
  <c r="M36" i="21"/>
  <c r="M59" i="21" s="1"/>
  <c r="M37" i="21"/>
  <c r="G34" i="21"/>
  <c r="H34" i="21"/>
  <c r="I34" i="21"/>
  <c r="F34" i="21"/>
  <c r="J34" i="21"/>
  <c r="M31" i="21"/>
  <c r="M30" i="21"/>
  <c r="E27" i="21"/>
  <c r="F27" i="21"/>
  <c r="I27" i="21"/>
  <c r="M29" i="21"/>
  <c r="M58" i="21" s="1"/>
  <c r="F26" i="21"/>
  <c r="J27" i="21"/>
  <c r="M28" i="21"/>
  <c r="G26" i="21"/>
  <c r="K27" i="21"/>
  <c r="H26" i="21"/>
  <c r="L27" i="21"/>
  <c r="G27" i="21"/>
  <c r="H27" i="21"/>
  <c r="K12" i="21"/>
  <c r="K14" i="21" s="1"/>
  <c r="K56" i="21" s="1"/>
  <c r="J12" i="21"/>
  <c r="G12" i="21"/>
  <c r="F12" i="21"/>
  <c r="G11" i="21"/>
  <c r="I11" i="21"/>
  <c r="F11" i="21"/>
  <c r="K20" i="21"/>
  <c r="L21" i="21"/>
  <c r="L57" i="21" s="1"/>
  <c r="K22" i="21"/>
  <c r="M22" i="21"/>
  <c r="G19" i="21"/>
  <c r="L20" i="21"/>
  <c r="H19" i="21"/>
  <c r="M20" i="21"/>
  <c r="I19" i="21"/>
  <c r="F19" i="21"/>
  <c r="J19" i="21"/>
  <c r="L23" i="21"/>
  <c r="M21" i="21"/>
  <c r="M57" i="21" s="1"/>
  <c r="J336" i="6"/>
  <c r="K336" i="6"/>
  <c r="M336" i="6"/>
  <c r="N336" i="6"/>
  <c r="L336" i="6"/>
  <c r="O336" i="6"/>
  <c r="M128" i="2"/>
  <c r="K13" i="17"/>
  <c r="N93" i="17"/>
  <c r="N96" i="17" s="1"/>
  <c r="I98" i="2"/>
  <c r="I13" i="17"/>
  <c r="I125" i="2"/>
  <c r="M125" i="2"/>
  <c r="J125" i="2"/>
  <c r="J128" i="2"/>
  <c r="L125" i="2"/>
  <c r="K125" i="2"/>
  <c r="I130" i="2"/>
  <c r="L130" i="2"/>
  <c r="K130" i="2"/>
  <c r="J130" i="2"/>
  <c r="I128" i="2"/>
  <c r="M71" i="17"/>
  <c r="M68" i="17"/>
  <c r="M49" i="17"/>
  <c r="M50" i="17"/>
  <c r="N6" i="17"/>
  <c r="M67" i="17"/>
  <c r="M53" i="17"/>
  <c r="H13" i="17"/>
  <c r="C86" i="16"/>
  <c r="F86" i="16" s="1"/>
  <c r="L86" i="16"/>
  <c r="K13" i="16"/>
  <c r="H13" i="16"/>
  <c r="I42" i="16"/>
  <c r="I25" i="16" s="1"/>
  <c r="J13" i="16"/>
  <c r="I13" i="16"/>
  <c r="J42" i="16"/>
  <c r="J45" i="16" s="1"/>
  <c r="K42" i="16"/>
  <c r="M6" i="16"/>
  <c r="C68" i="16"/>
  <c r="F68" i="16" s="1"/>
  <c r="E68" i="16"/>
  <c r="H42" i="16"/>
  <c r="H45" i="16" s="1"/>
  <c r="G35" i="16"/>
  <c r="M38" i="17" l="1"/>
  <c r="N70" i="17"/>
  <c r="N52" i="17"/>
  <c r="N69" i="17"/>
  <c r="N51" i="17"/>
  <c r="O69" i="24"/>
  <c r="F71" i="24"/>
  <c r="O81" i="24"/>
  <c r="O68" i="24"/>
  <c r="O82" i="24"/>
  <c r="K86" i="24"/>
  <c r="M86" i="24" s="1"/>
  <c r="M96" i="24" s="1"/>
  <c r="I21" i="24" s="1"/>
  <c r="J21" i="24" s="1"/>
  <c r="K21" i="24" s="1"/>
  <c r="F63" i="24"/>
  <c r="O80" i="24"/>
  <c r="M83" i="24"/>
  <c r="M72" i="24"/>
  <c r="O91" i="24" s="1"/>
  <c r="O60" i="24"/>
  <c r="O63" i="24" s="1"/>
  <c r="L90" i="24" s="1"/>
  <c r="M84" i="24"/>
  <c r="O92" i="24" s="1"/>
  <c r="O67" i="24"/>
  <c r="O76" i="24"/>
  <c r="M71" i="24"/>
  <c r="O128" i="24"/>
  <c r="E50" i="24" s="1"/>
  <c r="O143" i="24"/>
  <c r="E15" i="24" s="1"/>
  <c r="D14" i="30" s="1"/>
  <c r="O113" i="24"/>
  <c r="E49" i="24" s="1"/>
  <c r="M63" i="24"/>
  <c r="M62" i="24"/>
  <c r="H139" i="21"/>
  <c r="L160" i="21"/>
  <c r="M51" i="21"/>
  <c r="M61" i="21" s="1"/>
  <c r="K141" i="21"/>
  <c r="M160" i="21"/>
  <c r="J151" i="21"/>
  <c r="I149" i="21"/>
  <c r="K134" i="21"/>
  <c r="H175" i="21"/>
  <c r="H176" i="21"/>
  <c r="H173" i="21"/>
  <c r="H174" i="21"/>
  <c r="F174" i="21"/>
  <c r="F175" i="21"/>
  <c r="F176" i="21"/>
  <c r="F173" i="21"/>
  <c r="G174" i="21"/>
  <c r="G176" i="21"/>
  <c r="G175" i="21"/>
  <c r="G173" i="21"/>
  <c r="E174" i="21"/>
  <c r="E175" i="21"/>
  <c r="E176" i="21"/>
  <c r="E173" i="21"/>
  <c r="K135" i="21"/>
  <c r="I43" i="21"/>
  <c r="M50" i="21"/>
  <c r="M53" i="21"/>
  <c r="L166" i="21"/>
  <c r="J166" i="21"/>
  <c r="L168" i="21"/>
  <c r="J167" i="21"/>
  <c r="J168" i="21"/>
  <c r="L169" i="21"/>
  <c r="I168" i="21"/>
  <c r="I166" i="21"/>
  <c r="I167" i="21"/>
  <c r="I169" i="21"/>
  <c r="K169" i="21"/>
  <c r="K166" i="21"/>
  <c r="K167" i="21"/>
  <c r="K168" i="21"/>
  <c r="H166" i="21"/>
  <c r="H168" i="21"/>
  <c r="H167" i="21"/>
  <c r="H169" i="21"/>
  <c r="G167" i="21"/>
  <c r="G168" i="21"/>
  <c r="G169" i="21"/>
  <c r="G166" i="21"/>
  <c r="F167" i="21"/>
  <c r="F169" i="21"/>
  <c r="F166" i="21"/>
  <c r="F168" i="21"/>
  <c r="E167" i="21"/>
  <c r="E166" i="21"/>
  <c r="E168" i="21"/>
  <c r="E169" i="21"/>
  <c r="H132" i="21"/>
  <c r="L159" i="21"/>
  <c r="J159" i="21"/>
  <c r="L157" i="21"/>
  <c r="J160" i="21"/>
  <c r="J158" i="21"/>
  <c r="G158" i="21"/>
  <c r="G159" i="21"/>
  <c r="G160" i="21"/>
  <c r="G157" i="21"/>
  <c r="H160" i="21"/>
  <c r="H159" i="21"/>
  <c r="H157" i="21"/>
  <c r="H158" i="21"/>
  <c r="K159" i="21"/>
  <c r="K157" i="21"/>
  <c r="K160" i="21"/>
  <c r="K158" i="21"/>
  <c r="I159" i="21"/>
  <c r="I158" i="21"/>
  <c r="I160" i="21"/>
  <c r="I157" i="21"/>
  <c r="F159" i="21"/>
  <c r="F158" i="21"/>
  <c r="F157" i="21"/>
  <c r="F160" i="21"/>
  <c r="E158" i="21"/>
  <c r="E159" i="21"/>
  <c r="E160" i="21"/>
  <c r="E157" i="21"/>
  <c r="J149" i="21"/>
  <c r="I151" i="21"/>
  <c r="I148" i="21"/>
  <c r="I150" i="21"/>
  <c r="J148" i="21"/>
  <c r="J150" i="21"/>
  <c r="M150" i="21"/>
  <c r="M148" i="21"/>
  <c r="I51" i="21"/>
  <c r="I61" i="21" s="1"/>
  <c r="M86" i="21"/>
  <c r="M149" i="21"/>
  <c r="E150" i="21"/>
  <c r="E151" i="21"/>
  <c r="E148" i="21"/>
  <c r="E149" i="21"/>
  <c r="E181" i="21" s="1"/>
  <c r="H148" i="21"/>
  <c r="H151" i="21"/>
  <c r="H150" i="21"/>
  <c r="H149" i="21"/>
  <c r="K148" i="21"/>
  <c r="K150" i="21"/>
  <c r="K151" i="21"/>
  <c r="K149" i="21"/>
  <c r="G149" i="21"/>
  <c r="G150" i="21"/>
  <c r="G148" i="21"/>
  <c r="G151" i="21"/>
  <c r="F150" i="21"/>
  <c r="F151" i="21"/>
  <c r="F149" i="21"/>
  <c r="F148" i="21"/>
  <c r="L151" i="21"/>
  <c r="L148" i="21"/>
  <c r="L150" i="21"/>
  <c r="L149" i="21"/>
  <c r="I97" i="21"/>
  <c r="I139" i="21"/>
  <c r="M141" i="21"/>
  <c r="I53" i="21"/>
  <c r="I141" i="21"/>
  <c r="I50" i="21"/>
  <c r="H141" i="21"/>
  <c r="H142" i="21"/>
  <c r="M88" i="21"/>
  <c r="M94" i="21"/>
  <c r="M139" i="21"/>
  <c r="J43" i="21"/>
  <c r="J113" i="21"/>
  <c r="E134" i="21"/>
  <c r="E133" i="21"/>
  <c r="E179" i="21" s="1"/>
  <c r="E132" i="21"/>
  <c r="E135" i="21"/>
  <c r="I132" i="21"/>
  <c r="I135" i="21"/>
  <c r="I134" i="21"/>
  <c r="I133" i="21"/>
  <c r="I140" i="21"/>
  <c r="K133" i="21"/>
  <c r="G134" i="21"/>
  <c r="G133" i="21"/>
  <c r="G132" i="21"/>
  <c r="G135" i="21"/>
  <c r="M133" i="21"/>
  <c r="M135" i="21"/>
  <c r="M132" i="21"/>
  <c r="M134" i="21"/>
  <c r="J96" i="21"/>
  <c r="J119" i="21" s="1"/>
  <c r="K132" i="21"/>
  <c r="F133" i="21"/>
  <c r="F134" i="21"/>
  <c r="F132" i="21"/>
  <c r="F135" i="21"/>
  <c r="H133" i="21"/>
  <c r="J139" i="21"/>
  <c r="H134" i="21"/>
  <c r="L133" i="21"/>
  <c r="L132" i="21"/>
  <c r="L135" i="21"/>
  <c r="L134" i="21"/>
  <c r="G52" i="21"/>
  <c r="J132" i="21"/>
  <c r="J135" i="21"/>
  <c r="J134" i="21"/>
  <c r="J133" i="21"/>
  <c r="J141" i="21"/>
  <c r="H135" i="21"/>
  <c r="L141" i="21"/>
  <c r="L142" i="21"/>
  <c r="L139" i="21"/>
  <c r="L140" i="21"/>
  <c r="F141" i="21"/>
  <c r="F142" i="21"/>
  <c r="F139" i="21"/>
  <c r="F140" i="21"/>
  <c r="G140" i="21"/>
  <c r="G139" i="21"/>
  <c r="G141" i="21"/>
  <c r="G142" i="21"/>
  <c r="E141" i="21"/>
  <c r="E140" i="21"/>
  <c r="E142" i="21"/>
  <c r="E139" i="21"/>
  <c r="H51" i="21"/>
  <c r="H61" i="21" s="1"/>
  <c r="M89" i="21"/>
  <c r="M118" i="21" s="1"/>
  <c r="G50" i="21"/>
  <c r="H50" i="21"/>
  <c r="M95" i="21"/>
  <c r="H53" i="21"/>
  <c r="L105" i="21"/>
  <c r="D123" i="21"/>
  <c r="E16" i="21"/>
  <c r="I80" i="21"/>
  <c r="M96" i="21"/>
  <c r="M119" i="21" s="1"/>
  <c r="H86" i="21"/>
  <c r="L14" i="21"/>
  <c r="L56" i="21" s="1"/>
  <c r="H80" i="21"/>
  <c r="I87" i="21"/>
  <c r="I15" i="21"/>
  <c r="E14" i="21"/>
  <c r="E56" i="21" s="1"/>
  <c r="J28" i="21"/>
  <c r="I78" i="21"/>
  <c r="H79" i="21"/>
  <c r="I89" i="21"/>
  <c r="I118" i="21" s="1"/>
  <c r="H78" i="21"/>
  <c r="E13" i="21"/>
  <c r="J46" i="21"/>
  <c r="J14" i="21"/>
  <c r="J56" i="21" s="1"/>
  <c r="I88" i="21"/>
  <c r="J97" i="21"/>
  <c r="L110" i="21"/>
  <c r="J111" i="21"/>
  <c r="J121" i="21" s="1"/>
  <c r="J110" i="21"/>
  <c r="J112" i="21"/>
  <c r="L112" i="21"/>
  <c r="L113" i="21"/>
  <c r="H110" i="21"/>
  <c r="H111" i="21"/>
  <c r="H121" i="21" s="1"/>
  <c r="H112" i="21"/>
  <c r="H113" i="21"/>
  <c r="I112" i="21"/>
  <c r="I113" i="21"/>
  <c r="I110" i="21"/>
  <c r="I111" i="21"/>
  <c r="I121" i="21" s="1"/>
  <c r="E112" i="21"/>
  <c r="E113" i="21"/>
  <c r="E110" i="21"/>
  <c r="E111" i="21"/>
  <c r="E121" i="21" s="1"/>
  <c r="K110" i="21"/>
  <c r="K112" i="21"/>
  <c r="K113" i="21"/>
  <c r="K111" i="21"/>
  <c r="K121" i="21" s="1"/>
  <c r="G111" i="21"/>
  <c r="G121" i="21" s="1"/>
  <c r="G113" i="21"/>
  <c r="G110" i="21"/>
  <c r="G112" i="21"/>
  <c r="F110" i="21"/>
  <c r="F111" i="21"/>
  <c r="F121" i="21" s="1"/>
  <c r="F113" i="21"/>
  <c r="F112" i="21"/>
  <c r="L102" i="21"/>
  <c r="L104" i="21"/>
  <c r="L120" i="21" s="1"/>
  <c r="J102" i="21"/>
  <c r="L103" i="21"/>
  <c r="J105" i="21"/>
  <c r="J103" i="21"/>
  <c r="J104" i="21"/>
  <c r="J120" i="21" s="1"/>
  <c r="K103" i="21"/>
  <c r="K104" i="21"/>
  <c r="K120" i="21" s="1"/>
  <c r="K105" i="21"/>
  <c r="K102" i="21"/>
  <c r="H104" i="21"/>
  <c r="H120" i="21" s="1"/>
  <c r="H105" i="21"/>
  <c r="H102" i="21"/>
  <c r="H103" i="21"/>
  <c r="G103" i="21"/>
  <c r="G104" i="21"/>
  <c r="G120" i="21" s="1"/>
  <c r="G105" i="21"/>
  <c r="G102" i="21"/>
  <c r="F103" i="21"/>
  <c r="F104" i="21"/>
  <c r="F120" i="21" s="1"/>
  <c r="F105" i="21"/>
  <c r="F102" i="21"/>
  <c r="I105" i="21"/>
  <c r="I104" i="21"/>
  <c r="I120" i="21" s="1"/>
  <c r="I102" i="21"/>
  <c r="I103" i="21"/>
  <c r="E102" i="21"/>
  <c r="E104" i="21"/>
  <c r="E105" i="21"/>
  <c r="E103" i="21"/>
  <c r="E120" i="21" s="1"/>
  <c r="I95" i="21"/>
  <c r="J94" i="21"/>
  <c r="J95" i="21"/>
  <c r="I96" i="21"/>
  <c r="I119" i="21" s="1"/>
  <c r="I94" i="21"/>
  <c r="E96" i="21"/>
  <c r="E97" i="21"/>
  <c r="E95" i="21"/>
  <c r="E119" i="21" s="1"/>
  <c r="E94" i="21"/>
  <c r="F95" i="21"/>
  <c r="F96" i="21"/>
  <c r="F119" i="21" s="1"/>
  <c r="F94" i="21"/>
  <c r="F97" i="21"/>
  <c r="K97" i="21"/>
  <c r="K94" i="21"/>
  <c r="K95" i="21"/>
  <c r="K96" i="21"/>
  <c r="K119" i="21" s="1"/>
  <c r="L97" i="21"/>
  <c r="L94" i="21"/>
  <c r="L95" i="21"/>
  <c r="L96" i="21"/>
  <c r="L119" i="21" s="1"/>
  <c r="H97" i="21"/>
  <c r="H94" i="21"/>
  <c r="H95" i="21"/>
  <c r="H96" i="21"/>
  <c r="H119" i="21" s="1"/>
  <c r="G95" i="21"/>
  <c r="G94" i="21"/>
  <c r="G97" i="21"/>
  <c r="G96" i="21"/>
  <c r="G119" i="21" s="1"/>
  <c r="J87" i="21"/>
  <c r="I86" i="21"/>
  <c r="J86" i="21"/>
  <c r="H88" i="21"/>
  <c r="J89" i="21"/>
  <c r="J118" i="21" s="1"/>
  <c r="H89" i="21"/>
  <c r="H118" i="21" s="1"/>
  <c r="H87" i="21"/>
  <c r="L89" i="21"/>
  <c r="L118" i="21" s="1"/>
  <c r="L88" i="21"/>
  <c r="L86" i="21"/>
  <c r="L87" i="21"/>
  <c r="G87" i="21"/>
  <c r="G86" i="21"/>
  <c r="G88" i="21"/>
  <c r="G89" i="21"/>
  <c r="G118" i="21" s="1"/>
  <c r="E88" i="21"/>
  <c r="E89" i="21"/>
  <c r="E86" i="21"/>
  <c r="E87" i="21"/>
  <c r="E118" i="21" s="1"/>
  <c r="F88" i="21"/>
  <c r="F87" i="21"/>
  <c r="F86" i="21"/>
  <c r="F89" i="21"/>
  <c r="F118" i="21" s="1"/>
  <c r="J79" i="21"/>
  <c r="I79" i="21"/>
  <c r="J81" i="21"/>
  <c r="J117" i="21" s="1"/>
  <c r="H81" i="21"/>
  <c r="H117" i="21" s="1"/>
  <c r="I81" i="21"/>
  <c r="I117" i="21" s="1"/>
  <c r="J78" i="21"/>
  <c r="E79" i="21"/>
  <c r="E117" i="21" s="1"/>
  <c r="E80" i="21"/>
  <c r="E81" i="21"/>
  <c r="E78" i="21"/>
  <c r="G79" i="21"/>
  <c r="G80" i="21"/>
  <c r="G81" i="21"/>
  <c r="G117" i="21" s="1"/>
  <c r="G78" i="21"/>
  <c r="M81" i="21"/>
  <c r="M117" i="21" s="1"/>
  <c r="M79" i="21"/>
  <c r="M78" i="21"/>
  <c r="M80" i="21"/>
  <c r="F79" i="21"/>
  <c r="F80" i="21"/>
  <c r="F81" i="21"/>
  <c r="F117" i="21" s="1"/>
  <c r="F78" i="21"/>
  <c r="L81" i="21"/>
  <c r="L117" i="21" s="1"/>
  <c r="L78" i="21"/>
  <c r="L79" i="21"/>
  <c r="L80" i="21"/>
  <c r="I30" i="21"/>
  <c r="L13" i="21"/>
  <c r="D63" i="21"/>
  <c r="J30" i="21"/>
  <c r="L15" i="21"/>
  <c r="J72" i="21"/>
  <c r="I71" i="21"/>
  <c r="I70" i="21"/>
  <c r="I73" i="21"/>
  <c r="M70" i="21"/>
  <c r="M15" i="21"/>
  <c r="J15" i="21"/>
  <c r="J70" i="21"/>
  <c r="J71" i="21"/>
  <c r="J45" i="21"/>
  <c r="H16" i="21"/>
  <c r="M16" i="21"/>
  <c r="M14" i="21"/>
  <c r="M56" i="21" s="1"/>
  <c r="M62" i="21" s="1"/>
  <c r="M63" i="21" s="1"/>
  <c r="H14" i="21"/>
  <c r="H56" i="21" s="1"/>
  <c r="H15" i="21"/>
  <c r="G14" i="21"/>
  <c r="G56" i="21" s="1"/>
  <c r="M72" i="21"/>
  <c r="M71" i="21"/>
  <c r="J73" i="21"/>
  <c r="F71" i="21"/>
  <c r="F72" i="21"/>
  <c r="F73" i="21"/>
  <c r="F70" i="21"/>
  <c r="L70" i="21"/>
  <c r="L73" i="21"/>
  <c r="L71" i="21"/>
  <c r="L72" i="21"/>
  <c r="H72" i="21"/>
  <c r="H71" i="21"/>
  <c r="H73" i="21"/>
  <c r="H70" i="21"/>
  <c r="K70" i="21"/>
  <c r="K73" i="21"/>
  <c r="K71" i="21"/>
  <c r="K72" i="21"/>
  <c r="E72" i="21"/>
  <c r="E71" i="21"/>
  <c r="E116" i="21" s="1"/>
  <c r="E73" i="21"/>
  <c r="G71" i="21"/>
  <c r="G73" i="21"/>
  <c r="G72" i="21"/>
  <c r="G70" i="21"/>
  <c r="F51" i="21"/>
  <c r="F61" i="21" s="1"/>
  <c r="F52" i="21"/>
  <c r="F53" i="21"/>
  <c r="F50" i="21"/>
  <c r="I44" i="21"/>
  <c r="I60" i="21" s="1"/>
  <c r="I45" i="21"/>
  <c r="I46" i="21"/>
  <c r="J44" i="21"/>
  <c r="J60" i="21" s="1"/>
  <c r="K46" i="21"/>
  <c r="K43" i="21"/>
  <c r="K44" i="21"/>
  <c r="K60" i="21" s="1"/>
  <c r="K45" i="21"/>
  <c r="E46" i="21"/>
  <c r="E44" i="21"/>
  <c r="E60" i="21" s="1"/>
  <c r="E43" i="21"/>
  <c r="E45" i="21"/>
  <c r="G44" i="21"/>
  <c r="G60" i="21" s="1"/>
  <c r="G46" i="21"/>
  <c r="G43" i="21"/>
  <c r="G45" i="21"/>
  <c r="F45" i="21"/>
  <c r="F43" i="21"/>
  <c r="F44" i="21"/>
  <c r="F60" i="21" s="1"/>
  <c r="F46" i="21"/>
  <c r="L45" i="21"/>
  <c r="L46" i="21"/>
  <c r="L43" i="21"/>
  <c r="L44" i="21"/>
  <c r="L60" i="21" s="1"/>
  <c r="H45" i="21"/>
  <c r="H46" i="21"/>
  <c r="H44" i="21"/>
  <c r="H60" i="21" s="1"/>
  <c r="H43" i="21"/>
  <c r="F36" i="21"/>
  <c r="F59" i="21" s="1"/>
  <c r="F35" i="21"/>
  <c r="F37" i="21"/>
  <c r="F38" i="21"/>
  <c r="I37" i="21"/>
  <c r="I38" i="21"/>
  <c r="I36" i="21"/>
  <c r="I59" i="21" s="1"/>
  <c r="I35" i="21"/>
  <c r="H37" i="21"/>
  <c r="H36" i="21"/>
  <c r="H59" i="21" s="1"/>
  <c r="H38" i="21"/>
  <c r="H35" i="21"/>
  <c r="J37" i="21"/>
  <c r="J35" i="21"/>
  <c r="J38" i="21"/>
  <c r="J36" i="21"/>
  <c r="J59" i="21" s="1"/>
  <c r="G36" i="21"/>
  <c r="G59" i="21" s="1"/>
  <c r="G38" i="21"/>
  <c r="G37" i="21"/>
  <c r="G35" i="21"/>
  <c r="J29" i="21"/>
  <c r="J58" i="21" s="1"/>
  <c r="I28" i="21"/>
  <c r="J31" i="21"/>
  <c r="I31" i="21"/>
  <c r="I29" i="21"/>
  <c r="I58" i="21" s="1"/>
  <c r="F29" i="21"/>
  <c r="F58" i="21" s="1"/>
  <c r="F28" i="21"/>
  <c r="F30" i="21"/>
  <c r="F31" i="21"/>
  <c r="G29" i="21"/>
  <c r="G58" i="21" s="1"/>
  <c r="G31" i="21"/>
  <c r="G30" i="21"/>
  <c r="G28" i="21"/>
  <c r="H31" i="21"/>
  <c r="H30" i="21"/>
  <c r="H29" i="21"/>
  <c r="H58" i="21" s="1"/>
  <c r="H28" i="21"/>
  <c r="L28" i="21"/>
  <c r="L30" i="21"/>
  <c r="L31" i="21"/>
  <c r="L29" i="21"/>
  <c r="L58" i="21" s="1"/>
  <c r="E29" i="21"/>
  <c r="E58" i="21" s="1"/>
  <c r="E30" i="21"/>
  <c r="E31" i="21"/>
  <c r="E28" i="21"/>
  <c r="K30" i="21"/>
  <c r="K28" i="21"/>
  <c r="K31" i="21"/>
  <c r="K29" i="21"/>
  <c r="K58" i="21" s="1"/>
  <c r="L22" i="21"/>
  <c r="J16" i="21"/>
  <c r="J13" i="21"/>
  <c r="F14" i="21"/>
  <c r="F56" i="21" s="1"/>
  <c r="F15" i="21"/>
  <c r="F16" i="21"/>
  <c r="F13" i="21"/>
  <c r="K15" i="21"/>
  <c r="K13" i="21"/>
  <c r="I14" i="21"/>
  <c r="I56" i="21" s="1"/>
  <c r="I13" i="21"/>
  <c r="I16" i="21"/>
  <c r="K16" i="21"/>
  <c r="G13" i="21"/>
  <c r="G15" i="21"/>
  <c r="G16" i="21"/>
  <c r="K21" i="21"/>
  <c r="K57" i="21" s="1"/>
  <c r="K23" i="21"/>
  <c r="H22" i="21"/>
  <c r="H23" i="21"/>
  <c r="H20" i="21"/>
  <c r="H21" i="21"/>
  <c r="H57" i="21" s="1"/>
  <c r="F20" i="21"/>
  <c r="F21" i="21"/>
  <c r="F57" i="21" s="1"/>
  <c r="F23" i="21"/>
  <c r="F22" i="21"/>
  <c r="E20" i="21"/>
  <c r="E21" i="21"/>
  <c r="E57" i="21" s="1"/>
  <c r="E22" i="21"/>
  <c r="E23" i="21"/>
  <c r="G21" i="21"/>
  <c r="G57" i="21" s="1"/>
  <c r="G22" i="21"/>
  <c r="G23" i="21"/>
  <c r="G20" i="21"/>
  <c r="J22" i="21"/>
  <c r="J21" i="21"/>
  <c r="J57" i="21" s="1"/>
  <c r="J23" i="21"/>
  <c r="J20" i="21"/>
  <c r="I22" i="21"/>
  <c r="I23" i="21"/>
  <c r="I20" i="21"/>
  <c r="I21" i="21"/>
  <c r="I57" i="21" s="1"/>
  <c r="O93" i="17"/>
  <c r="O96" i="17" s="1"/>
  <c r="J98" i="2"/>
  <c r="N49" i="17"/>
  <c r="N50" i="17"/>
  <c r="N71" i="17"/>
  <c r="N53" i="17"/>
  <c r="N67" i="17"/>
  <c r="O6" i="17"/>
  <c r="N68" i="17"/>
  <c r="M86" i="16"/>
  <c r="J46" i="16"/>
  <c r="L68" i="16"/>
  <c r="J48" i="16"/>
  <c r="I46" i="16"/>
  <c r="I47" i="16"/>
  <c r="K46" i="16"/>
  <c r="I48" i="16"/>
  <c r="I45" i="16"/>
  <c r="K48" i="16"/>
  <c r="K25" i="16"/>
  <c r="K47" i="16"/>
  <c r="H47" i="16"/>
  <c r="H25" i="16"/>
  <c r="J25" i="16"/>
  <c r="J47" i="16"/>
  <c r="N6" i="16"/>
  <c r="M68" i="16"/>
  <c r="H48" i="16"/>
  <c r="K45" i="16"/>
  <c r="H46" i="16"/>
  <c r="K25" i="30" l="1"/>
  <c r="L25" i="30"/>
  <c r="M25" i="30"/>
  <c r="J25" i="30"/>
  <c r="N25" i="30"/>
  <c r="O70" i="17"/>
  <c r="O52" i="17"/>
  <c r="O51" i="17"/>
  <c r="O69" i="17"/>
  <c r="N86" i="24"/>
  <c r="N97" i="24" s="1"/>
  <c r="D14" i="26"/>
  <c r="J26" i="26" s="1"/>
  <c r="K26" i="26" s="1"/>
  <c r="L26" i="26" s="1"/>
  <c r="M26" i="26" s="1"/>
  <c r="O90" i="24"/>
  <c r="M97" i="24" s="1"/>
  <c r="I22" i="24" s="1"/>
  <c r="J22" i="24" s="1"/>
  <c r="K22" i="24" s="1"/>
  <c r="O83" i="24"/>
  <c r="O84" i="24"/>
  <c r="L92" i="24" s="1"/>
  <c r="O62" i="24"/>
  <c r="O72" i="24"/>
  <c r="L91" i="24" s="1"/>
  <c r="L97" i="24" s="1"/>
  <c r="O71" i="24"/>
  <c r="O86" i="24"/>
  <c r="N96" i="24"/>
  <c r="E41" i="24"/>
  <c r="E42" i="24" s="1"/>
  <c r="L22" i="24" s="1"/>
  <c r="E185" i="21"/>
  <c r="E186" i="21" s="1"/>
  <c r="E192" i="21" s="1"/>
  <c r="E122" i="21"/>
  <c r="E123" i="21" s="1"/>
  <c r="E190" i="21" s="1"/>
  <c r="I122" i="21"/>
  <c r="I123" i="21" s="1"/>
  <c r="H122" i="21"/>
  <c r="H123" i="21" s="1"/>
  <c r="J122" i="21"/>
  <c r="J123" i="21"/>
  <c r="G122" i="21"/>
  <c r="G123" i="21" s="1"/>
  <c r="K122" i="21"/>
  <c r="K123" i="21" s="1"/>
  <c r="L122" i="21"/>
  <c r="L123" i="21" s="1"/>
  <c r="M122" i="21"/>
  <c r="M123" i="21" s="1"/>
  <c r="F122" i="21"/>
  <c r="F123" i="21" s="1"/>
  <c r="J62" i="21"/>
  <c r="J63" i="21" s="1"/>
  <c r="K62" i="21"/>
  <c r="K63" i="21" s="1"/>
  <c r="H62" i="21"/>
  <c r="H63" i="21" s="1"/>
  <c r="I62" i="21"/>
  <c r="I63" i="21" s="1"/>
  <c r="L62" i="21"/>
  <c r="L63" i="21" s="1"/>
  <c r="E62" i="21"/>
  <c r="E63" i="21" s="1"/>
  <c r="E191" i="21" s="1"/>
  <c r="F62" i="21"/>
  <c r="F63" i="21" s="1"/>
  <c r="G62" i="21"/>
  <c r="G63" i="21" s="1"/>
  <c r="P93" i="17"/>
  <c r="P96" i="17" s="1"/>
  <c r="K98" i="2"/>
  <c r="O49" i="17"/>
  <c r="O67" i="17"/>
  <c r="P6" i="17"/>
  <c r="O71" i="17"/>
  <c r="O53" i="17"/>
  <c r="O68" i="17"/>
  <c r="O50" i="17"/>
  <c r="N86" i="16"/>
  <c r="L46" i="16"/>
  <c r="M46" i="16" s="1"/>
  <c r="L48" i="16"/>
  <c r="I49" i="16"/>
  <c r="J49" i="16"/>
  <c r="L47" i="16"/>
  <c r="M47" i="16" s="1"/>
  <c r="O6" i="16"/>
  <c r="N68" i="16"/>
  <c r="K49" i="16"/>
  <c r="L45" i="16"/>
  <c r="H49" i="16"/>
  <c r="P69" i="17" l="1"/>
  <c r="P51" i="17"/>
  <c r="P70" i="17"/>
  <c r="P52" i="17"/>
  <c r="O97" i="24"/>
  <c r="N26" i="26"/>
  <c r="L96" i="24"/>
  <c r="O96" i="24" s="1"/>
  <c r="L21" i="24"/>
  <c r="E193" i="21"/>
  <c r="E194" i="21" s="1"/>
  <c r="Q93" i="17"/>
  <c r="Q96" i="17" s="1"/>
  <c r="M98" i="2" s="1"/>
  <c r="L98" i="2"/>
  <c r="P49" i="17"/>
  <c r="P67" i="17"/>
  <c r="Q6" i="17"/>
  <c r="P71" i="17"/>
  <c r="P50" i="17"/>
  <c r="P53" i="17"/>
  <c r="P68" i="17"/>
  <c r="O86" i="16"/>
  <c r="M48" i="16"/>
  <c r="N48" i="16" s="1"/>
  <c r="M45" i="16"/>
  <c r="L49" i="16"/>
  <c r="N47" i="16"/>
  <c r="N46" i="16"/>
  <c r="O68" i="16"/>
  <c r="P6" i="16"/>
  <c r="Q69" i="17" l="1"/>
  <c r="Q70" i="17"/>
  <c r="Q52" i="17"/>
  <c r="Q51" i="17"/>
  <c r="O98" i="24"/>
  <c r="Q67" i="17"/>
  <c r="R6" i="17"/>
  <c r="Q53" i="17"/>
  <c r="Q68" i="17"/>
  <c r="Q50" i="17"/>
  <c r="Q71" i="17"/>
  <c r="Q49" i="17"/>
  <c r="C74" i="17" a="1"/>
  <c r="C56" i="17" a="1"/>
  <c r="P86" i="16"/>
  <c r="C87" i="16" a="1"/>
  <c r="N45" i="16"/>
  <c r="M49" i="16"/>
  <c r="P68" i="16"/>
  <c r="C69" i="16" a="1"/>
  <c r="O48" i="16"/>
  <c r="O46" i="16"/>
  <c r="O47" i="16"/>
  <c r="G48" i="24" l="1"/>
  <c r="G50" i="24" s="1"/>
  <c r="E48" i="24" s="1"/>
  <c r="E51" i="24" s="1"/>
  <c r="M22" i="24" s="1"/>
  <c r="N22" i="24" s="1"/>
  <c r="R51" i="17"/>
  <c r="R70" i="17"/>
  <c r="R52" i="17"/>
  <c r="R69" i="17"/>
  <c r="G76" i="17"/>
  <c r="G78" i="17"/>
  <c r="G77" i="17"/>
  <c r="C74" i="17"/>
  <c r="G74" i="17" s="1"/>
  <c r="G75" i="17"/>
  <c r="G59" i="17"/>
  <c r="C56" i="17"/>
  <c r="G56" i="17" s="1"/>
  <c r="G57" i="17"/>
  <c r="G58" i="17"/>
  <c r="G60" i="17"/>
  <c r="R67" i="17"/>
  <c r="R50" i="17"/>
  <c r="R53" i="17"/>
  <c r="R49" i="17"/>
  <c r="R68" i="17"/>
  <c r="R71" i="17"/>
  <c r="F88" i="16"/>
  <c r="F90" i="16"/>
  <c r="F89" i="16"/>
  <c r="F91" i="16"/>
  <c r="C87" i="16"/>
  <c r="F87" i="16" s="1"/>
  <c r="N49" i="16"/>
  <c r="O45" i="16"/>
  <c r="P47" i="16"/>
  <c r="P48" i="16"/>
  <c r="P46" i="16"/>
  <c r="C69" i="16"/>
  <c r="F69" i="16" s="1"/>
  <c r="F72" i="16"/>
  <c r="F70" i="16"/>
  <c r="F73" i="16"/>
  <c r="F71" i="16"/>
  <c r="M21" i="24" l="1"/>
  <c r="N21" i="24" s="1"/>
  <c r="O23" i="24" s="1"/>
  <c r="N56" i="17"/>
  <c r="O56" i="17"/>
  <c r="P56" i="17"/>
  <c r="Q56" i="17"/>
  <c r="R56" i="17"/>
  <c r="M56" i="17"/>
  <c r="D13" i="26"/>
  <c r="D13" i="30"/>
  <c r="R60" i="17"/>
  <c r="Q60" i="17"/>
  <c r="P60" i="17"/>
  <c r="O60" i="17"/>
  <c r="N60" i="17"/>
  <c r="M60" i="17"/>
  <c r="Q58" i="17"/>
  <c r="R58" i="17"/>
  <c r="P58" i="17"/>
  <c r="O58" i="17"/>
  <c r="N58" i="17"/>
  <c r="M58" i="17"/>
  <c r="P57" i="17"/>
  <c r="O57" i="17"/>
  <c r="N57" i="17"/>
  <c r="M57" i="17"/>
  <c r="R57" i="17"/>
  <c r="Q57" i="17"/>
  <c r="N59" i="17"/>
  <c r="M59" i="17"/>
  <c r="R59" i="17"/>
  <c r="P59" i="17"/>
  <c r="O59" i="17"/>
  <c r="Q59" i="17"/>
  <c r="R75" i="17"/>
  <c r="R74" i="17"/>
  <c r="R77" i="17"/>
  <c r="R78" i="17"/>
  <c r="R76" i="17"/>
  <c r="O87" i="16"/>
  <c r="P87" i="16"/>
  <c r="L89" i="16"/>
  <c r="M89" i="16"/>
  <c r="L90" i="16"/>
  <c r="M90" i="16"/>
  <c r="N90" i="16"/>
  <c r="L88" i="16"/>
  <c r="P88" i="16"/>
  <c r="L91" i="16"/>
  <c r="M91" i="16"/>
  <c r="N91" i="16"/>
  <c r="O91" i="16"/>
  <c r="L70" i="16"/>
  <c r="O49" i="16"/>
  <c r="P45" i="16"/>
  <c r="L73" i="16"/>
  <c r="M73" i="16"/>
  <c r="N73" i="16"/>
  <c r="O73" i="16"/>
  <c r="L72" i="16"/>
  <c r="M72" i="16"/>
  <c r="N72" i="16"/>
  <c r="L71" i="16"/>
  <c r="M71" i="16"/>
  <c r="P62" i="17" l="1"/>
  <c r="M62" i="17"/>
  <c r="R62" i="17"/>
  <c r="Q62" i="17"/>
  <c r="N62" i="17"/>
  <c r="P40" i="17"/>
  <c r="O62" i="17"/>
  <c r="R80" i="17"/>
  <c r="P49" i="16"/>
  <c r="M40" i="17" l="1"/>
  <c r="M11" i="17"/>
  <c r="N11" i="17" s="1"/>
  <c r="O11" i="17" s="1"/>
  <c r="P11" i="17" s="1"/>
  <c r="Q11" i="17" s="1"/>
  <c r="M78" i="2" s="1"/>
  <c r="P24" i="17"/>
  <c r="L145" i="2"/>
  <c r="M24" i="17"/>
  <c r="I145" i="2"/>
  <c r="Q40" i="17"/>
  <c r="J78" i="2"/>
  <c r="O40" i="17"/>
  <c r="N40" i="17"/>
  <c r="K78" i="2" l="1"/>
  <c r="I78" i="2"/>
  <c r="L78" i="2"/>
  <c r="N24" i="17"/>
  <c r="J145" i="2"/>
  <c r="O24" i="17"/>
  <c r="K145" i="2"/>
  <c r="Q24" i="17"/>
  <c r="M145" i="2"/>
  <c r="H17" i="15" l="1"/>
  <c r="H115" i="15" s="1"/>
  <c r="H116" i="15" s="1"/>
  <c r="I17" i="15"/>
  <c r="I115" i="15" s="1"/>
  <c r="I116" i="15" s="1"/>
  <c r="J17" i="15"/>
  <c r="J115" i="15" s="1"/>
  <c r="J116" i="15" s="1"/>
  <c r="K17" i="15"/>
  <c r="K115" i="15" s="1"/>
  <c r="K116" i="15" s="1"/>
  <c r="G17" i="15"/>
  <c r="H7" i="15"/>
  <c r="I7" i="15" s="1"/>
  <c r="J7" i="15" s="1"/>
  <c r="K7" i="15" s="1"/>
  <c r="L7" i="15" s="1"/>
  <c r="M7" i="15" s="1"/>
  <c r="N7" i="15" s="1"/>
  <c r="O7" i="15" s="1"/>
  <c r="P7" i="15" s="1"/>
  <c r="H6" i="15"/>
  <c r="I6" i="15" s="1"/>
  <c r="J6" i="15" s="1"/>
  <c r="K6" i="15" s="1"/>
  <c r="L6" i="15" s="1"/>
  <c r="M6" i="15" s="1"/>
  <c r="N6" i="15" s="1"/>
  <c r="O6" i="15" s="1"/>
  <c r="P6" i="15" s="1"/>
  <c r="C6" i="15"/>
  <c r="C1" i="15"/>
  <c r="E175" i="14"/>
  <c r="E152" i="14"/>
  <c r="E129" i="14"/>
  <c r="L164" i="14"/>
  <c r="F162" i="14"/>
  <c r="C160" i="14"/>
  <c r="C176" i="14" a="1"/>
  <c r="C175" i="14"/>
  <c r="F175" i="14" s="1"/>
  <c r="M175" i="14" s="1"/>
  <c r="L141" i="14"/>
  <c r="F139" i="14"/>
  <c r="C137" i="14"/>
  <c r="C153" i="14" a="1"/>
  <c r="C153" i="14" s="1"/>
  <c r="F153" i="14" s="1"/>
  <c r="C152" i="14"/>
  <c r="F152" i="14" s="1"/>
  <c r="F116" i="14"/>
  <c r="L118" i="14"/>
  <c r="C114" i="14"/>
  <c r="C130" i="14" a="1"/>
  <c r="C130" i="14" s="1"/>
  <c r="F130" i="14" s="1"/>
  <c r="P130" i="14" s="1"/>
  <c r="C129" i="14"/>
  <c r="F129" i="14" s="1"/>
  <c r="E106" i="14"/>
  <c r="H26" i="14"/>
  <c r="I26" i="14"/>
  <c r="J26" i="14"/>
  <c r="K26" i="14"/>
  <c r="G26" i="14"/>
  <c r="D69" i="14"/>
  <c r="G69" i="14" s="1"/>
  <c r="G75" i="14" s="1"/>
  <c r="D70" i="14"/>
  <c r="I70" i="14" s="1"/>
  <c r="I76" i="14" s="1"/>
  <c r="I82" i="14" s="1"/>
  <c r="D71" i="14"/>
  <c r="G71" i="14" s="1"/>
  <c r="G77" i="14" s="1"/>
  <c r="D68" i="14"/>
  <c r="G68" i="14" s="1"/>
  <c r="G74" i="14" s="1"/>
  <c r="K59" i="14"/>
  <c r="J59" i="14"/>
  <c r="I59" i="14"/>
  <c r="H59" i="14"/>
  <c r="G59" i="14"/>
  <c r="L175" i="14" l="1"/>
  <c r="O152" i="14"/>
  <c r="M152" i="14"/>
  <c r="N152" i="14"/>
  <c r="N175" i="14"/>
  <c r="P175" i="14"/>
  <c r="O175" i="14"/>
  <c r="P129" i="14"/>
  <c r="L129" i="14"/>
  <c r="M129" i="14"/>
  <c r="N129" i="14"/>
  <c r="O129" i="14"/>
  <c r="F134" i="14"/>
  <c r="F156" i="14"/>
  <c r="F155" i="14"/>
  <c r="F132" i="14"/>
  <c r="F154" i="14"/>
  <c r="L154" i="14" s="1"/>
  <c r="F131" i="14"/>
  <c r="L131" i="14" s="1"/>
  <c r="L152" i="14"/>
  <c r="F157" i="14"/>
  <c r="F133" i="14"/>
  <c r="C176" i="14"/>
  <c r="F176" i="14" s="1"/>
  <c r="F177" i="14"/>
  <c r="L177" i="14" s="1"/>
  <c r="F180" i="14"/>
  <c r="F178" i="14"/>
  <c r="F179" i="14"/>
  <c r="P152" i="14"/>
  <c r="G115" i="15"/>
  <c r="G116" i="15" s="1"/>
  <c r="L116" i="15" s="1"/>
  <c r="H71" i="14"/>
  <c r="H77" i="14" s="1"/>
  <c r="H83" i="14" s="1"/>
  <c r="K69" i="14"/>
  <c r="K75" i="14" s="1"/>
  <c r="K81" i="14" s="1"/>
  <c r="J70" i="14"/>
  <c r="J76" i="14" s="1"/>
  <c r="J82" i="14" s="1"/>
  <c r="H70" i="14"/>
  <c r="H76" i="14" s="1"/>
  <c r="H82" i="14" s="1"/>
  <c r="G70" i="14"/>
  <c r="G76" i="14" s="1"/>
  <c r="J69" i="14"/>
  <c r="J75" i="14" s="1"/>
  <c r="J81" i="14" s="1"/>
  <c r="K68" i="14"/>
  <c r="K74" i="14" s="1"/>
  <c r="K80" i="14" s="1"/>
  <c r="I69" i="14"/>
  <c r="I75" i="14" s="1"/>
  <c r="I81" i="14" s="1"/>
  <c r="J68" i="14"/>
  <c r="J74" i="14" s="1"/>
  <c r="J80" i="14" s="1"/>
  <c r="I68" i="14"/>
  <c r="I74" i="14" s="1"/>
  <c r="I80" i="14" s="1"/>
  <c r="H68" i="14"/>
  <c r="H74" i="14" s="1"/>
  <c r="H80" i="14" s="1"/>
  <c r="K71" i="14"/>
  <c r="K77" i="14" s="1"/>
  <c r="K83" i="14" s="1"/>
  <c r="J71" i="14"/>
  <c r="J77" i="14" s="1"/>
  <c r="J83" i="14" s="1"/>
  <c r="G80" i="14"/>
  <c r="G81" i="14"/>
  <c r="G83" i="14"/>
  <c r="G82" i="14"/>
  <c r="H69" i="14"/>
  <c r="H75" i="14" s="1"/>
  <c r="H81" i="14" s="1"/>
  <c r="I71" i="14"/>
  <c r="I77" i="14" s="1"/>
  <c r="I83" i="14" s="1"/>
  <c r="K70" i="14"/>
  <c r="K76" i="14" s="1"/>
  <c r="K82" i="14" s="1"/>
  <c r="M132" i="14" l="1"/>
  <c r="L132" i="14"/>
  <c r="L179" i="14"/>
  <c r="M179" i="14"/>
  <c r="N179" i="14"/>
  <c r="L178" i="14"/>
  <c r="M178" i="14"/>
  <c r="M133" i="14"/>
  <c r="L133" i="14"/>
  <c r="N133" i="14"/>
  <c r="L155" i="14"/>
  <c r="M155" i="14"/>
  <c r="M156" i="14"/>
  <c r="N156" i="14"/>
  <c r="L156" i="14"/>
  <c r="N134" i="14"/>
  <c r="O134" i="14"/>
  <c r="L134" i="14"/>
  <c r="M134" i="14"/>
  <c r="O180" i="14"/>
  <c r="M180" i="14"/>
  <c r="L180" i="14"/>
  <c r="N180" i="14"/>
  <c r="M157" i="14"/>
  <c r="N157" i="14"/>
  <c r="L157" i="14"/>
  <c r="O157" i="14"/>
  <c r="L115" i="15"/>
  <c r="M116" i="15"/>
  <c r="L80" i="14"/>
  <c r="M80" i="14" s="1"/>
  <c r="N80" i="14" s="1"/>
  <c r="O80" i="14" s="1"/>
  <c r="P80" i="14" s="1"/>
  <c r="L74" i="14"/>
  <c r="M74" i="14" s="1"/>
  <c r="N74" i="14" s="1"/>
  <c r="O74" i="14" s="1"/>
  <c r="P74" i="14" s="1"/>
  <c r="L82" i="14"/>
  <c r="M82" i="14" s="1"/>
  <c r="N82" i="14" s="1"/>
  <c r="O82" i="14" s="1"/>
  <c r="P82" i="14" s="1"/>
  <c r="L81" i="14"/>
  <c r="M81" i="14" s="1"/>
  <c r="N81" i="14" s="1"/>
  <c r="O81" i="14" s="1"/>
  <c r="P81" i="14" s="1"/>
  <c r="L76" i="14"/>
  <c r="M76" i="14" s="1"/>
  <c r="N76" i="14" s="1"/>
  <c r="O76" i="14" s="1"/>
  <c r="P76" i="14" s="1"/>
  <c r="L77" i="14"/>
  <c r="M77" i="14" s="1"/>
  <c r="N77" i="14" s="1"/>
  <c r="O77" i="14" s="1"/>
  <c r="P77" i="14" s="1"/>
  <c r="L83" i="14"/>
  <c r="M83" i="14" s="1"/>
  <c r="N83" i="14" s="1"/>
  <c r="O83" i="14" s="1"/>
  <c r="P83" i="14" s="1"/>
  <c r="L75" i="14"/>
  <c r="M75" i="14" s="1"/>
  <c r="N75" i="14" s="1"/>
  <c r="O75" i="14" s="1"/>
  <c r="P75" i="14" s="1"/>
  <c r="N116" i="15" l="1"/>
  <c r="M115" i="15"/>
  <c r="O116" i="15" l="1"/>
  <c r="N115" i="15"/>
  <c r="O115" i="15" l="1"/>
  <c r="P116" i="15"/>
  <c r="P115" i="15" s="1"/>
  <c r="F19" i="14" l="1"/>
  <c r="F20" i="14"/>
  <c r="F21" i="14"/>
  <c r="F18" i="14"/>
  <c r="H12" i="14" l="1"/>
  <c r="I12" i="14"/>
  <c r="J12" i="14"/>
  <c r="K12" i="14"/>
  <c r="G12" i="14"/>
  <c r="C107" i="14" a="1"/>
  <c r="C106" i="14"/>
  <c r="L95" i="14"/>
  <c r="F93" i="14"/>
  <c r="C91" i="14"/>
  <c r="L87" i="14"/>
  <c r="K42" i="14"/>
  <c r="J42" i="14"/>
  <c r="I42" i="14"/>
  <c r="H42" i="14"/>
  <c r="K41" i="14"/>
  <c r="J41" i="14"/>
  <c r="I41" i="14"/>
  <c r="H41" i="14"/>
  <c r="K40" i="14"/>
  <c r="J40" i="14"/>
  <c r="I40" i="14"/>
  <c r="H40" i="14"/>
  <c r="K39" i="14"/>
  <c r="J39" i="14"/>
  <c r="I39" i="14"/>
  <c r="H39" i="14"/>
  <c r="K36" i="14"/>
  <c r="J36" i="14"/>
  <c r="I36" i="14"/>
  <c r="H36" i="14"/>
  <c r="G36" i="14"/>
  <c r="H6" i="14"/>
  <c r="I6" i="14" s="1"/>
  <c r="J6" i="14" s="1"/>
  <c r="K6" i="14" s="1"/>
  <c r="L6" i="14" s="1"/>
  <c r="M6" i="14" s="1"/>
  <c r="N6" i="14" s="1"/>
  <c r="O6" i="14" s="1"/>
  <c r="P6" i="14" s="1"/>
  <c r="C6" i="14"/>
  <c r="C1" i="14"/>
  <c r="E12" i="2"/>
  <c r="F12" i="2"/>
  <c r="G12" i="2"/>
  <c r="H12" i="2"/>
  <c r="D12" i="2"/>
  <c r="G474" i="6"/>
  <c r="H474" i="6"/>
  <c r="I474" i="6"/>
  <c r="J474" i="6"/>
  <c r="F474" i="6"/>
  <c r="G455" i="6"/>
  <c r="H455" i="6"/>
  <c r="I455" i="6"/>
  <c r="J455" i="6"/>
  <c r="K455" i="6"/>
  <c r="K464" i="6" s="1"/>
  <c r="K355" i="6" s="1"/>
  <c r="L455" i="6"/>
  <c r="L464" i="6" s="1"/>
  <c r="L353" i="6" s="1"/>
  <c r="M455" i="6"/>
  <c r="N455" i="6"/>
  <c r="N464" i="6" s="1"/>
  <c r="O455" i="6"/>
  <c r="O464" i="6" s="1"/>
  <c r="G456" i="6"/>
  <c r="G465" i="6" s="1"/>
  <c r="H456" i="6"/>
  <c r="H465" i="6" s="1"/>
  <c r="I456" i="6"/>
  <c r="I465" i="6" s="1"/>
  <c r="J456" i="6"/>
  <c r="J465" i="6" s="1"/>
  <c r="K456" i="6"/>
  <c r="K465" i="6" s="1"/>
  <c r="L456" i="6"/>
  <c r="L465" i="6" s="1"/>
  <c r="M456" i="6"/>
  <c r="M465" i="6" s="1"/>
  <c r="N456" i="6"/>
  <c r="N465" i="6" s="1"/>
  <c r="N359" i="6" s="1"/>
  <c r="O456" i="6"/>
  <c r="O465" i="6" s="1"/>
  <c r="O359" i="6" s="1"/>
  <c r="G457" i="6"/>
  <c r="G466" i="6" s="1"/>
  <c r="H457" i="6"/>
  <c r="H466" i="6" s="1"/>
  <c r="I457" i="6"/>
  <c r="I466" i="6" s="1"/>
  <c r="J457" i="6"/>
  <c r="J466" i="6" s="1"/>
  <c r="K457" i="6"/>
  <c r="K466" i="6" s="1"/>
  <c r="L457" i="6"/>
  <c r="L466" i="6" s="1"/>
  <c r="M457" i="6"/>
  <c r="M466" i="6" s="1"/>
  <c r="N457" i="6"/>
  <c r="N466" i="6" s="1"/>
  <c r="O457" i="6"/>
  <c r="O466" i="6" s="1"/>
  <c r="O367" i="6" s="1"/>
  <c r="G458" i="6"/>
  <c r="G467" i="6" s="1"/>
  <c r="H458" i="6"/>
  <c r="H467" i="6" s="1"/>
  <c r="I458" i="6"/>
  <c r="I467" i="6" s="1"/>
  <c r="J458" i="6"/>
  <c r="J467" i="6" s="1"/>
  <c r="K458" i="6"/>
  <c r="K467" i="6" s="1"/>
  <c r="L458" i="6"/>
  <c r="L467" i="6" s="1"/>
  <c r="M458" i="6"/>
  <c r="M467" i="6" s="1"/>
  <c r="N458" i="6"/>
  <c r="N467" i="6" s="1"/>
  <c r="O458" i="6"/>
  <c r="O467" i="6" s="1"/>
  <c r="G459" i="6"/>
  <c r="G468" i="6" s="1"/>
  <c r="H459" i="6"/>
  <c r="H468" i="6" s="1"/>
  <c r="I459" i="6"/>
  <c r="I468" i="6" s="1"/>
  <c r="J459" i="6"/>
  <c r="J468" i="6" s="1"/>
  <c r="K459" i="6"/>
  <c r="K468" i="6" s="1"/>
  <c r="L459" i="6"/>
  <c r="L468" i="6" s="1"/>
  <c r="M459" i="6"/>
  <c r="M468" i="6" s="1"/>
  <c r="N459" i="6"/>
  <c r="N468" i="6" s="1"/>
  <c r="O459" i="6"/>
  <c r="O468" i="6" s="1"/>
  <c r="G460" i="6"/>
  <c r="G469" i="6" s="1"/>
  <c r="H460" i="6"/>
  <c r="H469" i="6" s="1"/>
  <c r="I460" i="6"/>
  <c r="I469" i="6" s="1"/>
  <c r="J460" i="6"/>
  <c r="J469" i="6" s="1"/>
  <c r="K460" i="6"/>
  <c r="K469" i="6" s="1"/>
  <c r="L460" i="6"/>
  <c r="L469" i="6" s="1"/>
  <c r="M460" i="6"/>
  <c r="M469" i="6" s="1"/>
  <c r="N460" i="6"/>
  <c r="N469" i="6" s="1"/>
  <c r="N383" i="6" s="1"/>
  <c r="O460" i="6"/>
  <c r="O469" i="6" s="1"/>
  <c r="O383" i="6" s="1"/>
  <c r="F456" i="6"/>
  <c r="F465" i="6" s="1"/>
  <c r="F457" i="6"/>
  <c r="F466" i="6" s="1"/>
  <c r="F458" i="6"/>
  <c r="F467" i="6" s="1"/>
  <c r="F459" i="6"/>
  <c r="F468" i="6" s="1"/>
  <c r="F460" i="6"/>
  <c r="F469" i="6" s="1"/>
  <c r="F455" i="6"/>
  <c r="O451" i="6"/>
  <c r="N451" i="6"/>
  <c r="M451" i="6"/>
  <c r="L451" i="6"/>
  <c r="K451" i="6"/>
  <c r="J451" i="6"/>
  <c r="I451" i="6"/>
  <c r="H451" i="6"/>
  <c r="G451" i="6"/>
  <c r="F451" i="6"/>
  <c r="O450" i="6"/>
  <c r="N450" i="6"/>
  <c r="M450" i="6"/>
  <c r="L450" i="6"/>
  <c r="K450" i="6"/>
  <c r="J450" i="6"/>
  <c r="I450" i="6"/>
  <c r="H450" i="6"/>
  <c r="G450" i="6"/>
  <c r="F450" i="6"/>
  <c r="O449" i="6"/>
  <c r="N449" i="6"/>
  <c r="M449" i="6"/>
  <c r="L449" i="6"/>
  <c r="K449" i="6"/>
  <c r="J449" i="6"/>
  <c r="I449" i="6"/>
  <c r="H449" i="6"/>
  <c r="G449" i="6"/>
  <c r="F449" i="6"/>
  <c r="O448" i="6"/>
  <c r="N448" i="6"/>
  <c r="M448" i="6"/>
  <c r="L448" i="6"/>
  <c r="K448" i="6"/>
  <c r="K430" i="6" s="1"/>
  <c r="J448" i="6"/>
  <c r="I448" i="6"/>
  <c r="H448" i="6"/>
  <c r="G448" i="6"/>
  <c r="F448" i="6"/>
  <c r="O447" i="6"/>
  <c r="O426" i="6" s="1"/>
  <c r="N447" i="6"/>
  <c r="M447" i="6"/>
  <c r="L447" i="6"/>
  <c r="K447" i="6"/>
  <c r="J447" i="6"/>
  <c r="I447" i="6"/>
  <c r="H447" i="6"/>
  <c r="G447" i="6"/>
  <c r="F447" i="6"/>
  <c r="O446" i="6"/>
  <c r="N446" i="6"/>
  <c r="M446" i="6"/>
  <c r="L446" i="6"/>
  <c r="K446" i="6"/>
  <c r="J446" i="6"/>
  <c r="I446" i="6"/>
  <c r="H446" i="6"/>
  <c r="G446" i="6"/>
  <c r="F446" i="6"/>
  <c r="O445" i="6"/>
  <c r="O412" i="6" s="1"/>
  <c r="N445" i="6"/>
  <c r="N412" i="6" s="1"/>
  <c r="M445" i="6"/>
  <c r="M412" i="6" s="1"/>
  <c r="L445" i="6"/>
  <c r="L412" i="6" s="1"/>
  <c r="K445" i="6"/>
  <c r="J445" i="6"/>
  <c r="I445" i="6"/>
  <c r="H445" i="6"/>
  <c r="G445" i="6"/>
  <c r="F445" i="6"/>
  <c r="O444" i="6"/>
  <c r="O406" i="6" s="1"/>
  <c r="N444" i="6"/>
  <c r="N406" i="6" s="1"/>
  <c r="M444" i="6"/>
  <c r="M406" i="6" s="1"/>
  <c r="L444" i="6"/>
  <c r="L408" i="6" s="1"/>
  <c r="K444" i="6"/>
  <c r="J444" i="6"/>
  <c r="I444" i="6"/>
  <c r="H444" i="6"/>
  <c r="G444" i="6"/>
  <c r="F444" i="6"/>
  <c r="O443" i="6"/>
  <c r="N443" i="6"/>
  <c r="M443" i="6"/>
  <c r="M400" i="6" s="1"/>
  <c r="L443" i="6"/>
  <c r="L400" i="6" s="1"/>
  <c r="K443" i="6"/>
  <c r="K400" i="6" s="1"/>
  <c r="J443" i="6"/>
  <c r="I443" i="6"/>
  <c r="H443" i="6"/>
  <c r="G443" i="6"/>
  <c r="F443" i="6"/>
  <c r="F395" i="6"/>
  <c r="J349" i="6"/>
  <c r="I349" i="6"/>
  <c r="H349" i="6"/>
  <c r="G349" i="6"/>
  <c r="C1" i="6"/>
  <c r="C6" i="6"/>
  <c r="B1" i="2"/>
  <c r="F343" i="6"/>
  <c r="G343" i="6"/>
  <c r="G395" i="6" s="1"/>
  <c r="H343" i="6"/>
  <c r="I343" i="6"/>
  <c r="J343" i="6"/>
  <c r="J344" i="6" s="1"/>
  <c r="G303" i="6"/>
  <c r="G315" i="6" s="1"/>
  <c r="H303" i="6"/>
  <c r="H315" i="6" s="1"/>
  <c r="I303" i="6"/>
  <c r="I315" i="6" s="1"/>
  <c r="J303" i="6"/>
  <c r="J315" i="6" s="1"/>
  <c r="K303" i="6"/>
  <c r="K315" i="6" s="1"/>
  <c r="L303" i="6"/>
  <c r="L315" i="6" s="1"/>
  <c r="M303" i="6"/>
  <c r="M315" i="6" s="1"/>
  <c r="N303" i="6"/>
  <c r="N315" i="6" s="1"/>
  <c r="O303" i="6"/>
  <c r="O315" i="6" s="1"/>
  <c r="G304" i="6"/>
  <c r="G316" i="6" s="1"/>
  <c r="H304" i="6"/>
  <c r="H316" i="6" s="1"/>
  <c r="I304" i="6"/>
  <c r="I316" i="6" s="1"/>
  <c r="J304" i="6"/>
  <c r="J316" i="6" s="1"/>
  <c r="K316" i="6"/>
  <c r="K208" i="6" s="1"/>
  <c r="L304" i="6"/>
  <c r="L316" i="6" s="1"/>
  <c r="M304" i="6"/>
  <c r="M316" i="6" s="1"/>
  <c r="N304" i="6"/>
  <c r="N316" i="6" s="1"/>
  <c r="O304" i="6"/>
  <c r="O316" i="6" s="1"/>
  <c r="G305" i="6"/>
  <c r="G317" i="6" s="1"/>
  <c r="H305" i="6"/>
  <c r="H317" i="6" s="1"/>
  <c r="I305" i="6"/>
  <c r="I317" i="6" s="1"/>
  <c r="J305" i="6"/>
  <c r="J317" i="6" s="1"/>
  <c r="K305" i="6"/>
  <c r="K317" i="6" s="1"/>
  <c r="L305" i="6"/>
  <c r="L317" i="6" s="1"/>
  <c r="M305" i="6"/>
  <c r="M317" i="6" s="1"/>
  <c r="N305" i="6"/>
  <c r="N317" i="6" s="1"/>
  <c r="O305" i="6"/>
  <c r="O317" i="6" s="1"/>
  <c r="G306" i="6"/>
  <c r="G318" i="6" s="1"/>
  <c r="H306" i="6"/>
  <c r="H318" i="6" s="1"/>
  <c r="I306" i="6"/>
  <c r="I318" i="6" s="1"/>
  <c r="J306" i="6"/>
  <c r="J318" i="6" s="1"/>
  <c r="K306" i="6"/>
  <c r="K318" i="6" s="1"/>
  <c r="L306" i="6"/>
  <c r="L318" i="6" s="1"/>
  <c r="M306" i="6"/>
  <c r="M318" i="6" s="1"/>
  <c r="N306" i="6"/>
  <c r="N318" i="6" s="1"/>
  <c r="O306" i="6"/>
  <c r="O318" i="6" s="1"/>
  <c r="G307" i="6"/>
  <c r="G319" i="6" s="1"/>
  <c r="H307" i="6"/>
  <c r="H319" i="6" s="1"/>
  <c r="I307" i="6"/>
  <c r="I319" i="6" s="1"/>
  <c r="J307" i="6"/>
  <c r="J319" i="6" s="1"/>
  <c r="K307" i="6"/>
  <c r="K319" i="6" s="1"/>
  <c r="L307" i="6"/>
  <c r="L319" i="6" s="1"/>
  <c r="M307" i="6"/>
  <c r="M319" i="6" s="1"/>
  <c r="N307" i="6"/>
  <c r="N319" i="6" s="1"/>
  <c r="O307" i="6"/>
  <c r="O319" i="6" s="1"/>
  <c r="G308" i="6"/>
  <c r="G320" i="6" s="1"/>
  <c r="H308" i="6"/>
  <c r="H320" i="6" s="1"/>
  <c r="I308" i="6"/>
  <c r="I320" i="6" s="1"/>
  <c r="J308" i="6"/>
  <c r="J320" i="6" s="1"/>
  <c r="K308" i="6"/>
  <c r="K320" i="6" s="1"/>
  <c r="L308" i="6"/>
  <c r="L320" i="6" s="1"/>
  <c r="M308" i="6"/>
  <c r="M320" i="6" s="1"/>
  <c r="N308" i="6"/>
  <c r="N320" i="6" s="1"/>
  <c r="O308" i="6"/>
  <c r="O320" i="6" s="1"/>
  <c r="G309" i="6"/>
  <c r="G321" i="6" s="1"/>
  <c r="H309" i="6"/>
  <c r="H321" i="6" s="1"/>
  <c r="I309" i="6"/>
  <c r="I321" i="6" s="1"/>
  <c r="J309" i="6"/>
  <c r="K309" i="6"/>
  <c r="L309" i="6"/>
  <c r="M309" i="6"/>
  <c r="M321" i="6" s="1"/>
  <c r="N309" i="6"/>
  <c r="N321" i="6" s="1"/>
  <c r="O309" i="6"/>
  <c r="O321" i="6" s="1"/>
  <c r="G310" i="6"/>
  <c r="G322" i="6" s="1"/>
  <c r="H310" i="6"/>
  <c r="H322" i="6" s="1"/>
  <c r="I310" i="6"/>
  <c r="I322" i="6" s="1"/>
  <c r="J310" i="6"/>
  <c r="J322" i="6" s="1"/>
  <c r="K310" i="6"/>
  <c r="K322" i="6" s="1"/>
  <c r="L310" i="6"/>
  <c r="L322" i="6" s="1"/>
  <c r="M310" i="6"/>
  <c r="M322" i="6" s="1"/>
  <c r="N310" i="6"/>
  <c r="N322" i="6" s="1"/>
  <c r="O310" i="6"/>
  <c r="G311" i="6"/>
  <c r="G323" i="6" s="1"/>
  <c r="H311" i="6"/>
  <c r="H323" i="6" s="1"/>
  <c r="I311" i="6"/>
  <c r="I323" i="6" s="1"/>
  <c r="J311" i="6"/>
  <c r="J323" i="6" s="1"/>
  <c r="K311" i="6"/>
  <c r="K323" i="6" s="1"/>
  <c r="L311" i="6"/>
  <c r="L323" i="6" s="1"/>
  <c r="M311" i="6"/>
  <c r="M323" i="6" s="1"/>
  <c r="N311" i="6"/>
  <c r="N323" i="6" s="1"/>
  <c r="O311" i="6"/>
  <c r="O323" i="6" s="1"/>
  <c r="F304" i="6"/>
  <c r="F316" i="6" s="1"/>
  <c r="F305" i="6"/>
  <c r="F317" i="6" s="1"/>
  <c r="F306" i="6"/>
  <c r="F318" i="6" s="1"/>
  <c r="F307" i="6"/>
  <c r="F319" i="6" s="1"/>
  <c r="F308" i="6"/>
  <c r="F320" i="6" s="1"/>
  <c r="F309" i="6"/>
  <c r="F310" i="6"/>
  <c r="F322" i="6" s="1"/>
  <c r="F311" i="6"/>
  <c r="F323" i="6" s="1"/>
  <c r="F303" i="6"/>
  <c r="F315" i="6" s="1"/>
  <c r="O299" i="6"/>
  <c r="N299" i="6"/>
  <c r="M299" i="6"/>
  <c r="L299" i="6"/>
  <c r="K299" i="6"/>
  <c r="J299" i="6"/>
  <c r="I299" i="6"/>
  <c r="H299" i="6"/>
  <c r="G299" i="6"/>
  <c r="F299" i="6"/>
  <c r="O298" i="6"/>
  <c r="N298" i="6"/>
  <c r="M298" i="6"/>
  <c r="L298" i="6"/>
  <c r="K298" i="6"/>
  <c r="J298" i="6"/>
  <c r="I298" i="6"/>
  <c r="H298" i="6"/>
  <c r="G298" i="6"/>
  <c r="F298" i="6"/>
  <c r="O297" i="6"/>
  <c r="N297" i="6"/>
  <c r="M297" i="6"/>
  <c r="L297" i="6"/>
  <c r="K297" i="6"/>
  <c r="J297" i="6"/>
  <c r="I297" i="6"/>
  <c r="H297" i="6"/>
  <c r="G297" i="6"/>
  <c r="F297" i="6"/>
  <c r="O296" i="6"/>
  <c r="N296" i="6"/>
  <c r="M296" i="6"/>
  <c r="L296" i="6"/>
  <c r="K296" i="6"/>
  <c r="K278" i="6" s="1"/>
  <c r="J296" i="6"/>
  <c r="I296" i="6"/>
  <c r="H296" i="6"/>
  <c r="G296" i="6"/>
  <c r="F296" i="6"/>
  <c r="O295" i="6"/>
  <c r="O272" i="6" s="1"/>
  <c r="N295" i="6"/>
  <c r="N272" i="6" s="1"/>
  <c r="M295" i="6"/>
  <c r="M274" i="6" s="1"/>
  <c r="L295" i="6"/>
  <c r="L274" i="6" s="1"/>
  <c r="K295" i="6"/>
  <c r="K272" i="6" s="1"/>
  <c r="J295" i="6"/>
  <c r="I295" i="6"/>
  <c r="H295" i="6"/>
  <c r="G295" i="6"/>
  <c r="F295" i="6"/>
  <c r="O294" i="6"/>
  <c r="O268" i="6" s="1"/>
  <c r="N294" i="6"/>
  <c r="M294" i="6"/>
  <c r="L294" i="6"/>
  <c r="L268" i="6" s="1"/>
  <c r="K294" i="6"/>
  <c r="J294" i="6"/>
  <c r="I294" i="6"/>
  <c r="H294" i="6"/>
  <c r="G294" i="6"/>
  <c r="F294" i="6"/>
  <c r="O293" i="6"/>
  <c r="O260" i="6" s="1"/>
  <c r="N293" i="6"/>
  <c r="N262" i="6" s="1"/>
  <c r="M293" i="6"/>
  <c r="M262" i="6" s="1"/>
  <c r="L293" i="6"/>
  <c r="L262" i="6" s="1"/>
  <c r="K293" i="6"/>
  <c r="K262" i="6" s="1"/>
  <c r="J293" i="6"/>
  <c r="I293" i="6"/>
  <c r="H293" i="6"/>
  <c r="G293" i="6"/>
  <c r="F293" i="6"/>
  <c r="O292" i="6"/>
  <c r="O254" i="6" s="1"/>
  <c r="N292" i="6"/>
  <c r="N254" i="6" s="1"/>
  <c r="M292" i="6"/>
  <c r="M256" i="6" s="1"/>
  <c r="L292" i="6"/>
  <c r="L254" i="6" s="1"/>
  <c r="K292" i="6"/>
  <c r="K256" i="6" s="1"/>
  <c r="J292" i="6"/>
  <c r="I292" i="6"/>
  <c r="H292" i="6"/>
  <c r="G292" i="6"/>
  <c r="F292" i="6"/>
  <c r="O291" i="6"/>
  <c r="O250" i="6" s="1"/>
  <c r="N291" i="6"/>
  <c r="N250" i="6" s="1"/>
  <c r="M291" i="6"/>
  <c r="M248" i="6" s="1"/>
  <c r="L291" i="6"/>
  <c r="K291" i="6"/>
  <c r="K250" i="6" s="1"/>
  <c r="J291" i="6"/>
  <c r="I291" i="6"/>
  <c r="H291" i="6"/>
  <c r="G291" i="6"/>
  <c r="F291" i="6"/>
  <c r="J197" i="6"/>
  <c r="I197" i="6"/>
  <c r="H197" i="6"/>
  <c r="G197" i="6"/>
  <c r="G186" i="6"/>
  <c r="G192" i="6" s="1"/>
  <c r="H186" i="6"/>
  <c r="H192" i="6" s="1"/>
  <c r="I186" i="6"/>
  <c r="J186" i="6"/>
  <c r="F186" i="6"/>
  <c r="I24" i="6"/>
  <c r="J24" i="6"/>
  <c r="G169" i="6"/>
  <c r="H169" i="6"/>
  <c r="I169" i="6"/>
  <c r="J169" i="6"/>
  <c r="K169" i="6"/>
  <c r="L169" i="6"/>
  <c r="M169" i="6"/>
  <c r="N169" i="6"/>
  <c r="O169" i="6"/>
  <c r="G170" i="6"/>
  <c r="H170" i="6"/>
  <c r="I170" i="6"/>
  <c r="J170" i="6"/>
  <c r="K170" i="6"/>
  <c r="L170" i="6"/>
  <c r="M170" i="6"/>
  <c r="N170" i="6"/>
  <c r="O170" i="6"/>
  <c r="G171" i="6"/>
  <c r="H171" i="6"/>
  <c r="I171" i="6"/>
  <c r="J171" i="6"/>
  <c r="K171" i="6"/>
  <c r="L171" i="6"/>
  <c r="M171" i="6"/>
  <c r="N171" i="6"/>
  <c r="O171" i="6"/>
  <c r="G172" i="6"/>
  <c r="H172" i="6"/>
  <c r="I172" i="6"/>
  <c r="J172" i="6"/>
  <c r="K172" i="6"/>
  <c r="L172" i="6"/>
  <c r="M172" i="6"/>
  <c r="N172" i="6"/>
  <c r="O172" i="6"/>
  <c r="G173" i="6"/>
  <c r="H173" i="6"/>
  <c r="I173" i="6"/>
  <c r="J173" i="6"/>
  <c r="K173" i="6"/>
  <c r="L173" i="6"/>
  <c r="M173" i="6"/>
  <c r="N173" i="6"/>
  <c r="O173" i="6"/>
  <c r="G174" i="6"/>
  <c r="H174" i="6"/>
  <c r="I174" i="6"/>
  <c r="J174" i="6"/>
  <c r="K174" i="6"/>
  <c r="L174" i="6"/>
  <c r="M174" i="6"/>
  <c r="N174" i="6"/>
  <c r="O174" i="6"/>
  <c r="G175" i="6"/>
  <c r="H175" i="6"/>
  <c r="I175" i="6"/>
  <c r="J175" i="6"/>
  <c r="K175" i="6"/>
  <c r="L175" i="6"/>
  <c r="M175" i="6"/>
  <c r="N175" i="6"/>
  <c r="O175" i="6"/>
  <c r="G176" i="6"/>
  <c r="H176" i="6"/>
  <c r="I176" i="6"/>
  <c r="J176" i="6"/>
  <c r="K176" i="6"/>
  <c r="L176" i="6"/>
  <c r="M176" i="6"/>
  <c r="N176" i="6"/>
  <c r="O176" i="6"/>
  <c r="G177" i="6"/>
  <c r="H177" i="6"/>
  <c r="I177" i="6"/>
  <c r="J177" i="6"/>
  <c r="K177" i="6"/>
  <c r="L177" i="6"/>
  <c r="M177" i="6"/>
  <c r="N177" i="6"/>
  <c r="O177" i="6"/>
  <c r="F170" i="6"/>
  <c r="F171" i="6"/>
  <c r="F172" i="6"/>
  <c r="F173" i="6"/>
  <c r="F174" i="6"/>
  <c r="F175" i="6"/>
  <c r="F176" i="6"/>
  <c r="F177" i="6"/>
  <c r="F169" i="6"/>
  <c r="I4" i="10"/>
  <c r="J4" i="10" s="1"/>
  <c r="K4" i="10" s="1"/>
  <c r="L4" i="10" s="1"/>
  <c r="M4" i="10" s="1"/>
  <c r="N4" i="10" s="1"/>
  <c r="O4" i="10" s="1"/>
  <c r="P4" i="10" s="1"/>
  <c r="Q4" i="10" s="1"/>
  <c r="R4" i="10" s="1"/>
  <c r="F19" i="30" l="1"/>
  <c r="H20" i="17"/>
  <c r="H101" i="17" s="1"/>
  <c r="E19" i="30"/>
  <c r="E17" i="26"/>
  <c r="H198" i="21"/>
  <c r="I19" i="30"/>
  <c r="J19" i="30" s="1"/>
  <c r="K19" i="30" s="1"/>
  <c r="L19" i="30" s="1"/>
  <c r="M19" i="30" s="1"/>
  <c r="N19" i="30" s="1"/>
  <c r="H19" i="30"/>
  <c r="G19" i="30"/>
  <c r="F192" i="6"/>
  <c r="J192" i="6"/>
  <c r="I192" i="6"/>
  <c r="F461" i="6"/>
  <c r="F470" i="6" s="1"/>
  <c r="H475" i="6"/>
  <c r="I17" i="26"/>
  <c r="K20" i="17"/>
  <c r="K101" i="17" s="1"/>
  <c r="H17" i="26"/>
  <c r="J20" i="17"/>
  <c r="J101" i="17" s="1"/>
  <c r="G17" i="26"/>
  <c r="H187" i="6"/>
  <c r="J452" i="6"/>
  <c r="I20" i="17"/>
  <c r="I101" i="17" s="1"/>
  <c r="F17" i="26"/>
  <c r="F18" i="26" s="1"/>
  <c r="K209" i="6"/>
  <c r="M213" i="6"/>
  <c r="L207" i="6"/>
  <c r="O231" i="6"/>
  <c r="L225" i="6"/>
  <c r="O207" i="6"/>
  <c r="H344" i="6"/>
  <c r="O215" i="6"/>
  <c r="N215" i="6"/>
  <c r="N233" i="6"/>
  <c r="K225" i="6"/>
  <c r="N209" i="6"/>
  <c r="K201" i="6"/>
  <c r="M233" i="6"/>
  <c r="G461" i="6"/>
  <c r="G470" i="6" s="1"/>
  <c r="H395" i="6"/>
  <c r="H396" i="6" s="1"/>
  <c r="I452" i="6"/>
  <c r="M461" i="6"/>
  <c r="M470" i="6" s="1"/>
  <c r="H461" i="6"/>
  <c r="H470" i="6" s="1"/>
  <c r="L461" i="6"/>
  <c r="L470" i="6" s="1"/>
  <c r="F464" i="6"/>
  <c r="I461" i="6"/>
  <c r="I470" i="6" s="1"/>
  <c r="I464" i="6"/>
  <c r="J461" i="6"/>
  <c r="J470" i="6" s="1"/>
  <c r="M464" i="6"/>
  <c r="M353" i="6" s="1"/>
  <c r="M452" i="6"/>
  <c r="N461" i="6"/>
  <c r="N470" i="6" s="1"/>
  <c r="K274" i="6"/>
  <c r="J464" i="6"/>
  <c r="K461" i="6"/>
  <c r="K470" i="6" s="1"/>
  <c r="K312" i="6"/>
  <c r="H464" i="6"/>
  <c r="O461" i="6"/>
  <c r="O470" i="6" s="1"/>
  <c r="L312" i="6"/>
  <c r="G187" i="6"/>
  <c r="G464" i="6"/>
  <c r="G396" i="6"/>
  <c r="L452" i="6"/>
  <c r="G475" i="6"/>
  <c r="K23" i="14"/>
  <c r="K27" i="14" s="1"/>
  <c r="L20" i="17"/>
  <c r="L101" i="17" s="1"/>
  <c r="M101" i="17" s="1"/>
  <c r="K13" i="14"/>
  <c r="G22" i="16"/>
  <c r="G12" i="15"/>
  <c r="G90" i="15" s="1"/>
  <c r="J22" i="16"/>
  <c r="J12" i="15"/>
  <c r="J90" i="15" s="1"/>
  <c r="I22" i="16"/>
  <c r="I12" i="15"/>
  <c r="I90" i="15" s="1"/>
  <c r="H22" i="16"/>
  <c r="H12" i="15"/>
  <c r="H90" i="15" s="1"/>
  <c r="K22" i="16"/>
  <c r="K12" i="15"/>
  <c r="K90" i="15" s="1"/>
  <c r="J23" i="14"/>
  <c r="I23" i="14"/>
  <c r="I27" i="14" s="1"/>
  <c r="G23" i="14"/>
  <c r="G27" i="14" s="1"/>
  <c r="H23" i="14"/>
  <c r="H27" i="14" s="1"/>
  <c r="F110" i="14"/>
  <c r="M110" i="14" s="1"/>
  <c r="H13" i="14"/>
  <c r="J13" i="14"/>
  <c r="I13" i="14"/>
  <c r="H43" i="14"/>
  <c r="H48" i="14" s="1"/>
  <c r="I43" i="14"/>
  <c r="I49" i="14" s="1"/>
  <c r="J43" i="14"/>
  <c r="J48" i="14" s="1"/>
  <c r="K43" i="14"/>
  <c r="K46" i="14" s="1"/>
  <c r="F109" i="14"/>
  <c r="M109" i="14" s="1"/>
  <c r="F106" i="14"/>
  <c r="F111" i="14"/>
  <c r="C107" i="14"/>
  <c r="F107" i="14" s="1"/>
  <c r="F108" i="14"/>
  <c r="I475" i="6"/>
  <c r="J475" i="6"/>
  <c r="K383" i="6"/>
  <c r="O219" i="6"/>
  <c r="O371" i="6"/>
  <c r="L432" i="6"/>
  <c r="L430" i="6"/>
  <c r="N377" i="6"/>
  <c r="N379" i="6"/>
  <c r="O402" i="6"/>
  <c r="O400" i="6"/>
  <c r="M432" i="6"/>
  <c r="M430" i="6"/>
  <c r="L383" i="6"/>
  <c r="K219" i="6"/>
  <c r="N203" i="6"/>
  <c r="N278" i="6"/>
  <c r="N280" i="6"/>
  <c r="K418" i="6"/>
  <c r="K420" i="6"/>
  <c r="O278" i="6"/>
  <c r="O280" i="6"/>
  <c r="M324" i="6"/>
  <c r="N324" i="6"/>
  <c r="N452" i="6"/>
  <c r="F300" i="6"/>
  <c r="H300" i="6"/>
  <c r="J312" i="6"/>
  <c r="L321" i="6"/>
  <c r="L324" i="6" s="1"/>
  <c r="I344" i="6"/>
  <c r="I395" i="6"/>
  <c r="F452" i="6"/>
  <c r="O312" i="6"/>
  <c r="O385" i="6"/>
  <c r="N426" i="6"/>
  <c r="K266" i="6"/>
  <c r="L414" i="6"/>
  <c r="I300" i="6"/>
  <c r="K321" i="6"/>
  <c r="K324" i="6" s="1"/>
  <c r="L278" i="6"/>
  <c r="J395" i="6"/>
  <c r="O418" i="6"/>
  <c r="N424" i="6"/>
  <c r="G452" i="6"/>
  <c r="G300" i="6"/>
  <c r="M201" i="6"/>
  <c r="I244" i="6"/>
  <c r="J321" i="6"/>
  <c r="J324" i="6" s="1"/>
  <c r="N227" i="6"/>
  <c r="O424" i="6"/>
  <c r="H452" i="6"/>
  <c r="H178" i="6"/>
  <c r="J187" i="6"/>
  <c r="G244" i="6"/>
  <c r="K231" i="6"/>
  <c r="K361" i="6"/>
  <c r="N385" i="6"/>
  <c r="O452" i="6"/>
  <c r="G178" i="6"/>
  <c r="L266" i="6"/>
  <c r="I324" i="6"/>
  <c r="L233" i="6"/>
  <c r="L359" i="6"/>
  <c r="M367" i="6"/>
  <c r="L272" i="6"/>
  <c r="M359" i="6"/>
  <c r="K452" i="6"/>
  <c r="K408" i="6"/>
  <c r="M414" i="6"/>
  <c r="O420" i="6"/>
  <c r="N414" i="6"/>
  <c r="K402" i="6"/>
  <c r="K406" i="6"/>
  <c r="M408" i="6"/>
  <c r="O414" i="6"/>
  <c r="L402" i="6"/>
  <c r="L406" i="6"/>
  <c r="N408" i="6"/>
  <c r="M402" i="6"/>
  <c r="O408" i="6"/>
  <c r="K432" i="6"/>
  <c r="O373" i="6"/>
  <c r="L361" i="6"/>
  <c r="K359" i="6"/>
  <c r="M361" i="6"/>
  <c r="N361" i="6"/>
  <c r="K353" i="6"/>
  <c r="O361" i="6"/>
  <c r="O365" i="6"/>
  <c r="K385" i="6"/>
  <c r="N367" i="6"/>
  <c r="L355" i="6"/>
  <c r="N365" i="6"/>
  <c r="N355" i="6"/>
  <c r="L385" i="6"/>
  <c r="O227" i="6"/>
  <c r="O225" i="6"/>
  <c r="L213" i="6"/>
  <c r="L215" i="6"/>
  <c r="M225" i="6"/>
  <c r="M227" i="6"/>
  <c r="J244" i="6"/>
  <c r="F312" i="6"/>
  <c r="F321" i="6"/>
  <c r="F324" i="6" s="1"/>
  <c r="O322" i="6"/>
  <c r="O324" i="6" s="1"/>
  <c r="J300" i="6"/>
  <c r="O201" i="6"/>
  <c r="O203" i="6"/>
  <c r="N266" i="6"/>
  <c r="N268" i="6"/>
  <c r="K215" i="6"/>
  <c r="K213" i="6"/>
  <c r="M268" i="6"/>
  <c r="M266" i="6"/>
  <c r="K300" i="6"/>
  <c r="H324" i="6"/>
  <c r="L300" i="6"/>
  <c r="M312" i="6"/>
  <c r="O300" i="6"/>
  <c r="I187" i="6"/>
  <c r="N300" i="6"/>
  <c r="H312" i="6"/>
  <c r="N312" i="6"/>
  <c r="G324" i="6"/>
  <c r="M300" i="6"/>
  <c r="I312" i="6"/>
  <c r="G312" i="6"/>
  <c r="G344" i="6"/>
  <c r="N274" i="6"/>
  <c r="O274" i="6"/>
  <c r="N248" i="6"/>
  <c r="O248" i="6"/>
  <c r="M272" i="6"/>
  <c r="K260" i="6"/>
  <c r="L260" i="6"/>
  <c r="L256" i="6"/>
  <c r="O262" i="6"/>
  <c r="O266" i="6"/>
  <c r="L250" i="6"/>
  <c r="N256" i="6"/>
  <c r="N260" i="6"/>
  <c r="K248" i="6"/>
  <c r="M250" i="6"/>
  <c r="M254" i="6"/>
  <c r="O256" i="6"/>
  <c r="K280" i="6"/>
  <c r="K254" i="6"/>
  <c r="M260" i="6"/>
  <c r="L248" i="6"/>
  <c r="M207" i="6"/>
  <c r="K233" i="6"/>
  <c r="M209" i="6"/>
  <c r="L203" i="6"/>
  <c r="L201" i="6"/>
  <c r="M178" i="6"/>
  <c r="L178" i="6"/>
  <c r="K178" i="6"/>
  <c r="F178" i="6"/>
  <c r="O178" i="6"/>
  <c r="N178" i="6"/>
  <c r="J178" i="6"/>
  <c r="I178" i="6"/>
  <c r="G20" i="30" l="1"/>
  <c r="L110" i="14"/>
  <c r="N110" i="14"/>
  <c r="M106" i="14"/>
  <c r="N106" i="14"/>
  <c r="O106" i="14"/>
  <c r="P106" i="14"/>
  <c r="L106" i="14"/>
  <c r="I20" i="30"/>
  <c r="H20" i="30"/>
  <c r="F20" i="30"/>
  <c r="G18" i="26"/>
  <c r="M215" i="6"/>
  <c r="I396" i="6"/>
  <c r="K24" i="14"/>
  <c r="H18" i="26"/>
  <c r="K203" i="6"/>
  <c r="O213" i="6"/>
  <c r="M231" i="6"/>
  <c r="I18" i="26"/>
  <c r="K207" i="6"/>
  <c r="L209" i="6"/>
  <c r="O233" i="6"/>
  <c r="L280" i="6"/>
  <c r="K227" i="6"/>
  <c r="N213" i="6"/>
  <c r="N207" i="6"/>
  <c r="L227" i="6"/>
  <c r="N231" i="6"/>
  <c r="O209" i="6"/>
  <c r="K477" i="6"/>
  <c r="K478" i="6" s="1"/>
  <c r="L90" i="15"/>
  <c r="M90" i="15" s="1"/>
  <c r="N90" i="15" s="1"/>
  <c r="O90" i="15" s="1"/>
  <c r="P90" i="15" s="1"/>
  <c r="J396" i="6"/>
  <c r="M355" i="6"/>
  <c r="K268" i="6"/>
  <c r="L231" i="6"/>
  <c r="O221" i="6"/>
  <c r="N101" i="17"/>
  <c r="J24" i="14"/>
  <c r="J27" i="14"/>
  <c r="L27" i="14" s="1"/>
  <c r="J163" i="15"/>
  <c r="J29" i="15"/>
  <c r="J65" i="15"/>
  <c r="J53" i="15"/>
  <c r="J35" i="15"/>
  <c r="J168" i="15"/>
  <c r="J173" i="15"/>
  <c r="J77" i="15"/>
  <c r="J100" i="15"/>
  <c r="J127" i="15"/>
  <c r="J128" i="15" s="1"/>
  <c r="J179" i="15"/>
  <c r="J151" i="15"/>
  <c r="J13" i="15"/>
  <c r="J122" i="15"/>
  <c r="J146" i="15"/>
  <c r="J103" i="15"/>
  <c r="J131" i="15"/>
  <c r="J154" i="15"/>
  <c r="J87" i="15"/>
  <c r="J176" i="15"/>
  <c r="J134" i="15"/>
  <c r="J111" i="15"/>
  <c r="J112" i="15" s="1"/>
  <c r="J143" i="15"/>
  <c r="J47" i="15"/>
  <c r="J59" i="15"/>
  <c r="J160" i="15"/>
  <c r="J18" i="15"/>
  <c r="J119" i="15"/>
  <c r="J157" i="15"/>
  <c r="J41" i="15"/>
  <c r="J71" i="15"/>
  <c r="I23" i="16"/>
  <c r="I26" i="16"/>
  <c r="J23" i="16"/>
  <c r="J26" i="16"/>
  <c r="H24" i="14"/>
  <c r="I24" i="14"/>
  <c r="G41" i="15"/>
  <c r="G119" i="15"/>
  <c r="G146" i="15"/>
  <c r="G111" i="15"/>
  <c r="G112" i="15" s="1"/>
  <c r="G53" i="15"/>
  <c r="G18" i="15"/>
  <c r="G173" i="15"/>
  <c r="G122" i="15"/>
  <c r="G168" i="15"/>
  <c r="G160" i="15"/>
  <c r="G47" i="15"/>
  <c r="G157" i="15"/>
  <c r="G65" i="15"/>
  <c r="G179" i="15"/>
  <c r="G154" i="15"/>
  <c r="G87" i="15"/>
  <c r="G163" i="15"/>
  <c r="G29" i="15"/>
  <c r="G71" i="15"/>
  <c r="G127" i="15"/>
  <c r="G128" i="15" s="1"/>
  <c r="G151" i="15"/>
  <c r="G103" i="15"/>
  <c r="G100" i="15"/>
  <c r="G59" i="15"/>
  <c r="G176" i="15"/>
  <c r="G134" i="15"/>
  <c r="G77" i="15"/>
  <c r="G143" i="15"/>
  <c r="G35" i="15"/>
  <c r="G131" i="15"/>
  <c r="I65" i="15"/>
  <c r="I131" i="15"/>
  <c r="I53" i="15"/>
  <c r="I163" i="15"/>
  <c r="I157" i="15"/>
  <c r="I122" i="15"/>
  <c r="I18" i="15"/>
  <c r="I77" i="15"/>
  <c r="I127" i="15"/>
  <c r="I128" i="15" s="1"/>
  <c r="I160" i="15"/>
  <c r="I151" i="15"/>
  <c r="I146" i="15"/>
  <c r="I119" i="15"/>
  <c r="I100" i="15"/>
  <c r="I13" i="15"/>
  <c r="I111" i="15"/>
  <c r="I112" i="15" s="1"/>
  <c r="I47" i="15"/>
  <c r="I173" i="15"/>
  <c r="I168" i="15"/>
  <c r="I179" i="15"/>
  <c r="I41" i="15"/>
  <c r="I176" i="15"/>
  <c r="I59" i="15"/>
  <c r="I143" i="15"/>
  <c r="I87" i="15"/>
  <c r="I35" i="15"/>
  <c r="I71" i="15"/>
  <c r="I154" i="15"/>
  <c r="I103" i="15"/>
  <c r="I29" i="15"/>
  <c r="I134" i="15"/>
  <c r="H131" i="15"/>
  <c r="H87" i="15"/>
  <c r="H47" i="15"/>
  <c r="H157" i="15"/>
  <c r="H29" i="15"/>
  <c r="H13" i="15"/>
  <c r="H111" i="15"/>
  <c r="H112" i="15" s="1"/>
  <c r="H143" i="15"/>
  <c r="H146" i="15"/>
  <c r="H77" i="15"/>
  <c r="H100" i="15"/>
  <c r="H134" i="15"/>
  <c r="H163" i="15"/>
  <c r="H71" i="15"/>
  <c r="H160" i="15"/>
  <c r="H65" i="15"/>
  <c r="H35" i="15"/>
  <c r="H122" i="15"/>
  <c r="H103" i="15"/>
  <c r="H53" i="15"/>
  <c r="H168" i="15"/>
  <c r="H59" i="15"/>
  <c r="H127" i="15"/>
  <c r="H128" i="15" s="1"/>
  <c r="H179" i="15"/>
  <c r="H18" i="15"/>
  <c r="H41" i="15"/>
  <c r="H176" i="15"/>
  <c r="H119" i="15"/>
  <c r="H173" i="15"/>
  <c r="H154" i="15"/>
  <c r="H151" i="15"/>
  <c r="H23" i="16"/>
  <c r="H26" i="16"/>
  <c r="K176" i="15"/>
  <c r="K71" i="15"/>
  <c r="K87" i="15"/>
  <c r="K13" i="15"/>
  <c r="K119" i="15"/>
  <c r="K143" i="15"/>
  <c r="K111" i="15"/>
  <c r="K112" i="15" s="1"/>
  <c r="L112" i="15" s="1"/>
  <c r="K47" i="15"/>
  <c r="K134" i="15"/>
  <c r="K59" i="15"/>
  <c r="K151" i="15"/>
  <c r="K18" i="15"/>
  <c r="K160" i="15"/>
  <c r="K53" i="15"/>
  <c r="K168" i="15"/>
  <c r="K41" i="15"/>
  <c r="L43" i="15" s="1"/>
  <c r="K154" i="15"/>
  <c r="L154" i="15" s="1"/>
  <c r="K100" i="15"/>
  <c r="K131" i="15"/>
  <c r="K146" i="15"/>
  <c r="K157" i="15"/>
  <c r="K103" i="15"/>
  <c r="K35" i="15"/>
  <c r="L37" i="15" s="1"/>
  <c r="K127" i="15"/>
  <c r="K128" i="15" s="1"/>
  <c r="L128" i="15" s="1"/>
  <c r="K179" i="15"/>
  <c r="K77" i="15"/>
  <c r="K163" i="15"/>
  <c r="K65" i="15"/>
  <c r="K173" i="15"/>
  <c r="K29" i="15"/>
  <c r="L31" i="15" s="1"/>
  <c r="K122" i="15"/>
  <c r="K23" i="16"/>
  <c r="K26" i="16"/>
  <c r="I47" i="14"/>
  <c r="J47" i="14"/>
  <c r="K47" i="14"/>
  <c r="L47" i="14"/>
  <c r="M47" i="14" s="1"/>
  <c r="N47" i="14" s="1"/>
  <c r="O47" i="14" s="1"/>
  <c r="P47" i="14" s="1"/>
  <c r="I48" i="14"/>
  <c r="K48" i="14"/>
  <c r="K49" i="14"/>
  <c r="I46" i="14"/>
  <c r="J49" i="14"/>
  <c r="L49" i="14" s="1"/>
  <c r="M49" i="14" s="1"/>
  <c r="N49" i="14" s="1"/>
  <c r="O49" i="14" s="1"/>
  <c r="P49" i="14" s="1"/>
  <c r="J46" i="14"/>
  <c r="J50" i="14" s="1"/>
  <c r="H49" i="14"/>
  <c r="H46" i="14"/>
  <c r="L109" i="14"/>
  <c r="H47" i="14"/>
  <c r="L108" i="14"/>
  <c r="O111" i="14"/>
  <c r="N111" i="14"/>
  <c r="M111" i="14"/>
  <c r="L111" i="14"/>
  <c r="M418" i="6"/>
  <c r="M420" i="6"/>
  <c r="L379" i="6"/>
  <c r="L377" i="6"/>
  <c r="O355" i="6"/>
  <c r="O353" i="6"/>
  <c r="O239" i="6"/>
  <c r="O379" i="6"/>
  <c r="O377" i="6"/>
  <c r="L371" i="6"/>
  <c r="L373" i="6"/>
  <c r="M284" i="6"/>
  <c r="N225" i="6"/>
  <c r="L365" i="6"/>
  <c r="L367" i="6"/>
  <c r="L219" i="6"/>
  <c r="L221" i="6"/>
  <c r="M365" i="6"/>
  <c r="H244" i="6"/>
  <c r="K379" i="6"/>
  <c r="K377" i="6"/>
  <c r="M371" i="6"/>
  <c r="M373" i="6"/>
  <c r="K371" i="6"/>
  <c r="K373" i="6"/>
  <c r="L424" i="6"/>
  <c r="L426" i="6"/>
  <c r="K221" i="6"/>
  <c r="M426" i="6"/>
  <c r="M424" i="6"/>
  <c r="N402" i="6"/>
  <c r="N400" i="6"/>
  <c r="M219" i="6"/>
  <c r="M221" i="6"/>
  <c r="M203" i="6"/>
  <c r="K286" i="6"/>
  <c r="K414" i="6"/>
  <c r="K412" i="6"/>
  <c r="N371" i="6"/>
  <c r="N373" i="6"/>
  <c r="M377" i="6"/>
  <c r="M379" i="6"/>
  <c r="K367" i="6"/>
  <c r="K365" i="6"/>
  <c r="L284" i="6"/>
  <c r="M278" i="6"/>
  <c r="M280" i="6"/>
  <c r="N219" i="6"/>
  <c r="N221" i="6"/>
  <c r="N201" i="6"/>
  <c r="L420" i="6"/>
  <c r="L418" i="6"/>
  <c r="M385" i="6"/>
  <c r="M383" i="6"/>
  <c r="K426" i="6"/>
  <c r="K424" i="6"/>
  <c r="N420" i="6"/>
  <c r="N418" i="6"/>
  <c r="N430" i="6"/>
  <c r="N432" i="6"/>
  <c r="N284" i="6"/>
  <c r="O432" i="6"/>
  <c r="O430" i="6"/>
  <c r="N353" i="6"/>
  <c r="L20" i="15" l="1"/>
  <c r="L477" i="6"/>
  <c r="M477" i="6" s="1"/>
  <c r="K476" i="6"/>
  <c r="M286" i="6"/>
  <c r="O101" i="17"/>
  <c r="L67" i="15"/>
  <c r="L68" i="15" s="1"/>
  <c r="L26" i="16"/>
  <c r="M26" i="16" s="1"/>
  <c r="N26" i="16" s="1"/>
  <c r="O26" i="16" s="1"/>
  <c r="P26" i="16" s="1"/>
  <c r="L157" i="15"/>
  <c r="L176" i="15"/>
  <c r="L61" i="15"/>
  <c r="M61" i="15" s="1"/>
  <c r="L160" i="15"/>
  <c r="M160" i="15" s="1"/>
  <c r="L73" i="15"/>
  <c r="L71" i="15" s="1"/>
  <c r="L100" i="15"/>
  <c r="L131" i="15"/>
  <c r="M43" i="15"/>
  <c r="L18" i="15"/>
  <c r="M20" i="15"/>
  <c r="L19" i="15"/>
  <c r="L21" i="15"/>
  <c r="L127" i="15"/>
  <c r="M128" i="15"/>
  <c r="L49" i="15"/>
  <c r="L151" i="15"/>
  <c r="L168" i="15"/>
  <c r="L111" i="15"/>
  <c r="M112" i="15"/>
  <c r="L122" i="15"/>
  <c r="L29" i="15"/>
  <c r="M31" i="15"/>
  <c r="L32" i="15"/>
  <c r="L30" i="15"/>
  <c r="L35" i="15"/>
  <c r="L36" i="15"/>
  <c r="L38" i="15"/>
  <c r="M37" i="15"/>
  <c r="L173" i="15"/>
  <c r="L163" i="15"/>
  <c r="L55" i="15"/>
  <c r="L103" i="15"/>
  <c r="L87" i="15"/>
  <c r="M154" i="15"/>
  <c r="L79" i="15"/>
  <c r="L146" i="15"/>
  <c r="L134" i="15"/>
  <c r="L179" i="15"/>
  <c r="L119" i="15"/>
  <c r="I50" i="14"/>
  <c r="L46" i="14"/>
  <c r="M46" i="14" s="1"/>
  <c r="N46" i="14" s="1"/>
  <c r="O46" i="14" s="1"/>
  <c r="P46" i="14" s="1"/>
  <c r="L48" i="14"/>
  <c r="M48" i="14" s="1"/>
  <c r="N48" i="14" s="1"/>
  <c r="O48" i="14" s="1"/>
  <c r="P48" i="14" s="1"/>
  <c r="K50" i="14"/>
  <c r="H50" i="14"/>
  <c r="M27" i="14"/>
  <c r="N27" i="14" s="1"/>
  <c r="K436" i="6"/>
  <c r="K438" i="6"/>
  <c r="N438" i="6"/>
  <c r="N436" i="6"/>
  <c r="N239" i="6"/>
  <c r="N237" i="6"/>
  <c r="O438" i="6"/>
  <c r="O436" i="6"/>
  <c r="M436" i="6"/>
  <c r="M438" i="6"/>
  <c r="L286" i="6"/>
  <c r="O391" i="6"/>
  <c r="O389" i="6"/>
  <c r="K389" i="6"/>
  <c r="K391" i="6"/>
  <c r="O237" i="6"/>
  <c r="K239" i="6"/>
  <c r="K237" i="6"/>
  <c r="L391" i="6"/>
  <c r="L389" i="6"/>
  <c r="M389" i="6"/>
  <c r="M391" i="6"/>
  <c r="N389" i="6"/>
  <c r="N391" i="6"/>
  <c r="O284" i="6"/>
  <c r="O286" i="6"/>
  <c r="L239" i="6"/>
  <c r="L237" i="6"/>
  <c r="M237" i="6"/>
  <c r="M239" i="6"/>
  <c r="N286" i="6"/>
  <c r="K284" i="6"/>
  <c r="L436" i="6"/>
  <c r="L438" i="6"/>
  <c r="L476" i="6" l="1"/>
  <c r="N477" i="6"/>
  <c r="O477" i="6" s="1"/>
  <c r="M476" i="6"/>
  <c r="M478" i="6"/>
  <c r="L478" i="6"/>
  <c r="L65" i="15"/>
  <c r="L66" i="15"/>
  <c r="M176" i="15"/>
  <c r="N176" i="15" s="1"/>
  <c r="P101" i="17"/>
  <c r="L60" i="15"/>
  <c r="M157" i="15"/>
  <c r="L59" i="15"/>
  <c r="L62" i="15"/>
  <c r="M67" i="15"/>
  <c r="M68" i="15" s="1"/>
  <c r="L42" i="15"/>
  <c r="L44" i="15"/>
  <c r="L41" i="15"/>
  <c r="M131" i="15"/>
  <c r="N131" i="15" s="1"/>
  <c r="L74" i="15"/>
  <c r="M73" i="15"/>
  <c r="M72" i="15" s="1"/>
  <c r="L72" i="15"/>
  <c r="M100" i="15"/>
  <c r="N100" i="15" s="1"/>
  <c r="M173" i="15"/>
  <c r="M119" i="15"/>
  <c r="M122" i="15"/>
  <c r="L50" i="15"/>
  <c r="L47" i="15"/>
  <c r="L48" i="15"/>
  <c r="M49" i="15"/>
  <c r="M35" i="15"/>
  <c r="M36" i="15"/>
  <c r="M38" i="15"/>
  <c r="N37" i="15"/>
  <c r="N160" i="15"/>
  <c r="M179" i="15"/>
  <c r="N154" i="15"/>
  <c r="M134" i="15"/>
  <c r="M87" i="15"/>
  <c r="N112" i="15"/>
  <c r="M111" i="15"/>
  <c r="M127" i="15"/>
  <c r="N128" i="15"/>
  <c r="M29" i="15"/>
  <c r="M30" i="15"/>
  <c r="N31" i="15"/>
  <c r="M32" i="15"/>
  <c r="M168" i="15"/>
  <c r="M41" i="15"/>
  <c r="N43" i="15"/>
  <c r="M44" i="15"/>
  <c r="M42" i="15"/>
  <c r="M103" i="15"/>
  <c r="L53" i="15"/>
  <c r="M55" i="15"/>
  <c r="L54" i="15"/>
  <c r="L56" i="15"/>
  <c r="M151" i="15"/>
  <c r="M18" i="15"/>
  <c r="M21" i="15"/>
  <c r="N20" i="15"/>
  <c r="M19" i="15"/>
  <c r="M146" i="15"/>
  <c r="M79" i="15"/>
  <c r="L78" i="15"/>
  <c r="L80" i="15"/>
  <c r="L77" i="15"/>
  <c r="M59" i="15"/>
  <c r="M62" i="15"/>
  <c r="M60" i="15"/>
  <c r="N61" i="15"/>
  <c r="M163" i="15"/>
  <c r="M50" i="14"/>
  <c r="L50" i="14"/>
  <c r="O27" i="14"/>
  <c r="N50" i="14"/>
  <c r="N476" i="6"/>
  <c r="N478" i="6"/>
  <c r="M65" i="15" l="1"/>
  <c r="M66" i="15"/>
  <c r="N157" i="15"/>
  <c r="O157" i="15" s="1"/>
  <c r="Q101" i="17"/>
  <c r="N67" i="15"/>
  <c r="N66" i="15" s="1"/>
  <c r="N73" i="15"/>
  <c r="N71" i="15" s="1"/>
  <c r="M71" i="15"/>
  <c r="M74" i="15"/>
  <c r="N35" i="15"/>
  <c r="O37" i="15"/>
  <c r="N36" i="15"/>
  <c r="N38" i="15"/>
  <c r="N60" i="15"/>
  <c r="O61" i="15"/>
  <c r="N62" i="15"/>
  <c r="N59" i="15"/>
  <c r="O131" i="15"/>
  <c r="O100" i="15"/>
  <c r="O112" i="15"/>
  <c r="N111" i="15"/>
  <c r="N146" i="15"/>
  <c r="M53" i="15"/>
  <c r="M54" i="15"/>
  <c r="N55" i="15"/>
  <c r="M56" i="15"/>
  <c r="N168" i="15"/>
  <c r="N87" i="15"/>
  <c r="N41" i="15"/>
  <c r="O43" i="15"/>
  <c r="N42" i="15"/>
  <c r="N44" i="15"/>
  <c r="N127" i="15"/>
  <c r="O128" i="15"/>
  <c r="N18" i="15"/>
  <c r="O20" i="15"/>
  <c r="N19" i="15"/>
  <c r="N21" i="15"/>
  <c r="N103" i="15"/>
  <c r="N134" i="15"/>
  <c r="O176" i="15"/>
  <c r="O160" i="15"/>
  <c r="N163" i="15"/>
  <c r="N122" i="15"/>
  <c r="O154" i="15"/>
  <c r="M47" i="15"/>
  <c r="N49" i="15"/>
  <c r="M48" i="15"/>
  <c r="M50" i="15"/>
  <c r="N119" i="15"/>
  <c r="N173" i="15"/>
  <c r="N151" i="15"/>
  <c r="M78" i="15"/>
  <c r="M80" i="15"/>
  <c r="N79" i="15"/>
  <c r="M77" i="15"/>
  <c r="N29" i="15"/>
  <c r="O31" i="15"/>
  <c r="N32" i="15"/>
  <c r="N30" i="15"/>
  <c r="N179" i="15"/>
  <c r="O50" i="14"/>
  <c r="P27" i="14"/>
  <c r="N68" i="15" l="1"/>
  <c r="O67" i="15"/>
  <c r="O73" i="15"/>
  <c r="O74" i="15" s="1"/>
  <c r="N65" i="15"/>
  <c r="N72" i="15"/>
  <c r="N74" i="15"/>
  <c r="O71" i="15"/>
  <c r="O119" i="15"/>
  <c r="O134" i="15"/>
  <c r="N53" i="15"/>
  <c r="O55" i="15"/>
  <c r="N56" i="15"/>
  <c r="N54" i="15"/>
  <c r="O179" i="15"/>
  <c r="O66" i="15"/>
  <c r="O65" i="15"/>
  <c r="P67" i="15"/>
  <c r="O68" i="15"/>
  <c r="O87" i="15"/>
  <c r="O60" i="15"/>
  <c r="P61" i="15"/>
  <c r="O62" i="15"/>
  <c r="O59" i="15"/>
  <c r="O151" i="15"/>
  <c r="O103" i="15"/>
  <c r="O173" i="15"/>
  <c r="O168" i="15"/>
  <c r="O41" i="15"/>
  <c r="P43" i="15"/>
  <c r="O44" i="15"/>
  <c r="O42" i="15"/>
  <c r="O122" i="15"/>
  <c r="O18" i="15"/>
  <c r="P20" i="15"/>
  <c r="O21" i="15"/>
  <c r="O19" i="15"/>
  <c r="O146" i="15"/>
  <c r="P100" i="15"/>
  <c r="P160" i="15"/>
  <c r="P131" i="15"/>
  <c r="O29" i="15"/>
  <c r="O32" i="15"/>
  <c r="P31" i="15"/>
  <c r="O30" i="15"/>
  <c r="N47" i="15"/>
  <c r="N50" i="15"/>
  <c r="N48" i="15"/>
  <c r="O49" i="15"/>
  <c r="P157" i="15"/>
  <c r="O127" i="15"/>
  <c r="P128" i="15"/>
  <c r="P127" i="15" s="1"/>
  <c r="P112" i="15"/>
  <c r="P111" i="15" s="1"/>
  <c r="O111" i="15"/>
  <c r="O35" i="15"/>
  <c r="P37" i="15"/>
  <c r="O36" i="15"/>
  <c r="O38" i="15"/>
  <c r="N78" i="15"/>
  <c r="O79" i="15"/>
  <c r="N80" i="15"/>
  <c r="N77" i="15"/>
  <c r="P154" i="15"/>
  <c r="O163" i="15"/>
  <c r="P176" i="15"/>
  <c r="O476" i="6"/>
  <c r="O478" i="6"/>
  <c r="P73" i="15" l="1"/>
  <c r="O72" i="15"/>
  <c r="P18" i="15"/>
  <c r="P19" i="15"/>
  <c r="P21" i="15"/>
  <c r="P41" i="15"/>
  <c r="P44" i="15"/>
  <c r="P42" i="15"/>
  <c r="P74" i="15"/>
  <c r="P72" i="15"/>
  <c r="P71" i="15"/>
  <c r="P151" i="15"/>
  <c r="O78" i="15"/>
  <c r="P79" i="15"/>
  <c r="O77" i="15"/>
  <c r="O80" i="15"/>
  <c r="P134" i="15"/>
  <c r="O53" i="15"/>
  <c r="O54" i="15"/>
  <c r="P55" i="15"/>
  <c r="O56" i="15"/>
  <c r="P173" i="15"/>
  <c r="P60" i="15"/>
  <c r="P62" i="15"/>
  <c r="P59" i="15"/>
  <c r="P119" i="15"/>
  <c r="P35" i="15"/>
  <c r="P38" i="15"/>
  <c r="P36" i="15"/>
  <c r="O47" i="15"/>
  <c r="O48" i="15"/>
  <c r="O50" i="15"/>
  <c r="P49" i="15"/>
  <c r="P122" i="15"/>
  <c r="P168" i="15"/>
  <c r="P87" i="15"/>
  <c r="P103" i="15"/>
  <c r="P146" i="15"/>
  <c r="P29" i="15"/>
  <c r="P30" i="15"/>
  <c r="P32" i="15"/>
  <c r="P163" i="15"/>
  <c r="P179" i="15"/>
  <c r="P66" i="15"/>
  <c r="P65" i="15"/>
  <c r="P68" i="15"/>
  <c r="P50" i="14"/>
  <c r="F157" i="6"/>
  <c r="G157" i="6"/>
  <c r="H157" i="6"/>
  <c r="I157" i="6"/>
  <c r="J157" i="6"/>
  <c r="K157" i="6"/>
  <c r="L157" i="6"/>
  <c r="M157" i="6"/>
  <c r="N157" i="6"/>
  <c r="O157" i="6"/>
  <c r="F158" i="6"/>
  <c r="G158" i="6"/>
  <c r="H158" i="6"/>
  <c r="I158" i="6"/>
  <c r="J158" i="6"/>
  <c r="K158" i="6"/>
  <c r="K120" i="6" s="1"/>
  <c r="L158" i="6"/>
  <c r="M158" i="6"/>
  <c r="N158" i="6"/>
  <c r="O158" i="6"/>
  <c r="O120" i="6" s="1"/>
  <c r="F159" i="6"/>
  <c r="G159" i="6"/>
  <c r="H159" i="6"/>
  <c r="I159" i="6"/>
  <c r="J159" i="6"/>
  <c r="K159" i="6"/>
  <c r="K126" i="6" s="1"/>
  <c r="L159" i="6"/>
  <c r="L128" i="6" s="1"/>
  <c r="M159" i="6"/>
  <c r="M128" i="6" s="1"/>
  <c r="N159" i="6"/>
  <c r="O159" i="6"/>
  <c r="G160" i="6"/>
  <c r="H160" i="6"/>
  <c r="I160" i="6"/>
  <c r="J160" i="6"/>
  <c r="K160" i="6"/>
  <c r="L160" i="6"/>
  <c r="M160" i="6"/>
  <c r="N160" i="6"/>
  <c r="O160" i="6"/>
  <c r="G161" i="6"/>
  <c r="H161" i="6"/>
  <c r="I161" i="6"/>
  <c r="J161" i="6"/>
  <c r="K161" i="6"/>
  <c r="L161" i="6"/>
  <c r="M161" i="6"/>
  <c r="M140" i="6" s="1"/>
  <c r="N161" i="6"/>
  <c r="N138" i="6" s="1"/>
  <c r="O161" i="6"/>
  <c r="O138" i="6" s="1"/>
  <c r="G162" i="6"/>
  <c r="H162" i="6"/>
  <c r="I162" i="6"/>
  <c r="J162" i="6"/>
  <c r="K162" i="6"/>
  <c r="L162" i="6"/>
  <c r="M162" i="6"/>
  <c r="N162" i="6"/>
  <c r="O162" i="6"/>
  <c r="G163" i="6"/>
  <c r="H163" i="6"/>
  <c r="I163" i="6"/>
  <c r="J163" i="6"/>
  <c r="K163" i="6"/>
  <c r="L163" i="6"/>
  <c r="M163" i="6"/>
  <c r="N163" i="6"/>
  <c r="O163" i="6"/>
  <c r="G164" i="6"/>
  <c r="H164" i="6"/>
  <c r="I164" i="6"/>
  <c r="J164" i="6"/>
  <c r="K164" i="6"/>
  <c r="L164" i="6"/>
  <c r="M164" i="6"/>
  <c r="N164" i="6"/>
  <c r="O164" i="6"/>
  <c r="G165" i="6"/>
  <c r="H165" i="6"/>
  <c r="I165" i="6"/>
  <c r="J165" i="6"/>
  <c r="K165" i="6"/>
  <c r="L165" i="6"/>
  <c r="M165" i="6"/>
  <c r="N165" i="6"/>
  <c r="O165" i="6"/>
  <c r="F160" i="6"/>
  <c r="F161" i="6"/>
  <c r="F162" i="6"/>
  <c r="F163" i="6"/>
  <c r="F164" i="6"/>
  <c r="F165" i="6"/>
  <c r="O105" i="6"/>
  <c r="N105" i="6"/>
  <c r="M105" i="6"/>
  <c r="L105" i="6"/>
  <c r="K105" i="6"/>
  <c r="O103" i="6"/>
  <c r="N103" i="6"/>
  <c r="M103" i="6"/>
  <c r="L103" i="6"/>
  <c r="K103" i="6"/>
  <c r="O99" i="6"/>
  <c r="N99" i="6"/>
  <c r="M99" i="6"/>
  <c r="L99" i="6"/>
  <c r="K99" i="6"/>
  <c r="O97" i="6"/>
  <c r="N97" i="6"/>
  <c r="M97" i="6"/>
  <c r="L97" i="6"/>
  <c r="K97" i="6"/>
  <c r="O93" i="6"/>
  <c r="N93" i="6"/>
  <c r="M93" i="6"/>
  <c r="L93" i="6"/>
  <c r="K93" i="6"/>
  <c r="O91" i="6"/>
  <c r="N91" i="6"/>
  <c r="M91" i="6"/>
  <c r="L91" i="6"/>
  <c r="K91" i="6"/>
  <c r="O87" i="6"/>
  <c r="N87" i="6"/>
  <c r="M87" i="6"/>
  <c r="L87" i="6"/>
  <c r="K87" i="6"/>
  <c r="O85" i="6"/>
  <c r="N85" i="6"/>
  <c r="M85" i="6"/>
  <c r="L85" i="6"/>
  <c r="K85" i="6"/>
  <c r="O81" i="6"/>
  <c r="N81" i="6"/>
  <c r="M81" i="6"/>
  <c r="L81" i="6"/>
  <c r="K81" i="6"/>
  <c r="O79" i="6"/>
  <c r="N79" i="6"/>
  <c r="M79" i="6"/>
  <c r="L79" i="6"/>
  <c r="K79" i="6"/>
  <c r="O75" i="6"/>
  <c r="N75" i="6"/>
  <c r="M75" i="6"/>
  <c r="L75" i="6"/>
  <c r="K75" i="6"/>
  <c r="O73" i="6"/>
  <c r="N73" i="6"/>
  <c r="M73" i="6"/>
  <c r="L73" i="6"/>
  <c r="K73" i="6"/>
  <c r="O69" i="6"/>
  <c r="N69" i="6"/>
  <c r="M69" i="6"/>
  <c r="L69" i="6"/>
  <c r="K69" i="6"/>
  <c r="O67" i="6"/>
  <c r="N67" i="6"/>
  <c r="M67" i="6"/>
  <c r="L67" i="6"/>
  <c r="K67" i="6"/>
  <c r="J63" i="6"/>
  <c r="I63" i="6"/>
  <c r="H63" i="6"/>
  <c r="G63" i="6"/>
  <c r="K116" i="6" l="1"/>
  <c r="O114" i="6"/>
  <c r="P53" i="15"/>
  <c r="P54" i="15"/>
  <c r="P56" i="15"/>
  <c r="P80" i="15"/>
  <c r="P78" i="15"/>
  <c r="P77" i="15"/>
  <c r="P47" i="15"/>
  <c r="P50" i="15"/>
  <c r="P48" i="15"/>
  <c r="K132" i="6"/>
  <c r="K134" i="6"/>
  <c r="L140" i="6"/>
  <c r="L138" i="6"/>
  <c r="K138" i="6"/>
  <c r="K140" i="6"/>
  <c r="N122" i="6"/>
  <c r="N120" i="6"/>
  <c r="M122" i="6"/>
  <c r="M120" i="6"/>
  <c r="L122" i="6"/>
  <c r="L120" i="6"/>
  <c r="N132" i="6"/>
  <c r="N134" i="6"/>
  <c r="L134" i="6"/>
  <c r="L132" i="6"/>
  <c r="N144" i="6"/>
  <c r="N146" i="6"/>
  <c r="M146" i="6"/>
  <c r="M144" i="6"/>
  <c r="L146" i="6"/>
  <c r="L144" i="6"/>
  <c r="K146" i="6"/>
  <c r="K144" i="6"/>
  <c r="M132" i="6"/>
  <c r="M134" i="6"/>
  <c r="N114" i="6"/>
  <c r="M114" i="6"/>
  <c r="M116" i="6"/>
  <c r="L116" i="6"/>
  <c r="L114" i="6"/>
  <c r="O128" i="6"/>
  <c r="O126" i="6"/>
  <c r="N128" i="6"/>
  <c r="N126" i="6"/>
  <c r="O132" i="6"/>
  <c r="O134" i="6"/>
  <c r="L126" i="6"/>
  <c r="M138" i="6"/>
  <c r="M126" i="6"/>
  <c r="O122" i="6"/>
  <c r="N140" i="6"/>
  <c r="O140" i="6"/>
  <c r="G166" i="6"/>
  <c r="O146" i="6"/>
  <c r="O144" i="6"/>
  <c r="K128" i="6"/>
  <c r="K122" i="6"/>
  <c r="K114" i="6"/>
  <c r="N116" i="6"/>
  <c r="O116" i="6"/>
  <c r="K166" i="6"/>
  <c r="J166" i="6"/>
  <c r="I166" i="6"/>
  <c r="H166" i="6"/>
  <c r="F166" i="6"/>
  <c r="N166" i="6"/>
  <c r="M166" i="6"/>
  <c r="O166" i="6"/>
  <c r="L166" i="6"/>
  <c r="P107" i="14" l="1"/>
  <c r="O107" i="14"/>
  <c r="P108" i="14"/>
  <c r="K150" i="6"/>
  <c r="K152" i="6"/>
  <c r="N152" i="6"/>
  <c r="N150" i="6"/>
  <c r="L150" i="6"/>
  <c r="L152" i="6"/>
  <c r="O152" i="6"/>
  <c r="O150" i="6"/>
  <c r="M152" i="6"/>
  <c r="M150" i="6"/>
  <c r="I2" i="8" l="1"/>
  <c r="J2" i="8" s="1"/>
  <c r="K2" i="8" s="1"/>
  <c r="L2" i="8" s="1"/>
  <c r="M2" i="8" s="1"/>
  <c r="N2" i="8" s="1"/>
  <c r="O2" i="8" s="1"/>
  <c r="P2" i="8" s="1"/>
  <c r="Q2" i="8" s="1"/>
  <c r="R2" i="8" s="1"/>
  <c r="G52" i="6"/>
  <c r="H52" i="6"/>
  <c r="I52" i="6"/>
  <c r="J52" i="6"/>
  <c r="F52" i="6"/>
  <c r="H21" i="6"/>
  <c r="I21" i="6"/>
  <c r="J21" i="6"/>
  <c r="H22" i="6"/>
  <c r="I22" i="6"/>
  <c r="J22" i="6"/>
  <c r="H23" i="6"/>
  <c r="I23" i="6"/>
  <c r="J23" i="6"/>
  <c r="H24" i="6"/>
  <c r="G22" i="6"/>
  <c r="G23" i="6"/>
  <c r="G24" i="6"/>
  <c r="G21" i="6"/>
  <c r="G15" i="6"/>
  <c r="H15" i="6"/>
  <c r="H16" i="6" s="1"/>
  <c r="I15" i="6"/>
  <c r="I16" i="6" s="1"/>
  <c r="J15" i="6"/>
  <c r="J16" i="6" s="1"/>
  <c r="F15" i="6"/>
  <c r="G58" i="6" l="1"/>
  <c r="I58" i="6"/>
  <c r="H58" i="6"/>
  <c r="G16" i="6"/>
  <c r="G110" i="6"/>
  <c r="F58" i="6"/>
  <c r="J58" i="6"/>
  <c r="H110" i="6"/>
  <c r="G40" i="6"/>
  <c r="G43" i="6"/>
  <c r="G41" i="6"/>
  <c r="G44" i="6"/>
  <c r="G38" i="6"/>
  <c r="G39" i="6"/>
  <c r="G42" i="6"/>
  <c r="F43" i="6"/>
  <c r="F42" i="6"/>
  <c r="F44" i="6"/>
  <c r="F38" i="6"/>
  <c r="F39" i="6"/>
  <c r="F40" i="6"/>
  <c r="F41" i="6"/>
  <c r="H38" i="6"/>
  <c r="H40" i="6"/>
  <c r="H43" i="6"/>
  <c r="H44" i="6"/>
  <c r="H39" i="6"/>
  <c r="H118" i="6" s="1"/>
  <c r="H41" i="6"/>
  <c r="H42" i="6"/>
  <c r="J42" i="6"/>
  <c r="J40" i="6"/>
  <c r="J43" i="6"/>
  <c r="J39" i="6"/>
  <c r="J38" i="6"/>
  <c r="J41" i="6"/>
  <c r="J44" i="6"/>
  <c r="I41" i="6"/>
  <c r="I39" i="6"/>
  <c r="I42" i="6"/>
  <c r="I40" i="6"/>
  <c r="I43" i="6"/>
  <c r="I44" i="6"/>
  <c r="I38" i="6"/>
  <c r="H53" i="6"/>
  <c r="I53" i="6"/>
  <c r="J53" i="6"/>
  <c r="G53" i="6"/>
  <c r="J110" i="6" l="1"/>
  <c r="I110" i="6"/>
  <c r="G357" i="6"/>
  <c r="G404" i="6"/>
  <c r="I387" i="6"/>
  <c r="I434" i="6"/>
  <c r="J375" i="6"/>
  <c r="J422" i="6"/>
  <c r="F387" i="6"/>
  <c r="F434" i="6"/>
  <c r="I375" i="6"/>
  <c r="I422" i="6"/>
  <c r="H357" i="6"/>
  <c r="H404" i="6"/>
  <c r="I357" i="6"/>
  <c r="I404" i="6"/>
  <c r="I369" i="6"/>
  <c r="I416" i="6"/>
  <c r="J387" i="6"/>
  <c r="J434" i="6"/>
  <c r="G387" i="6"/>
  <c r="G434" i="6"/>
  <c r="J369" i="6"/>
  <c r="J416" i="6"/>
  <c r="G363" i="6"/>
  <c r="G410" i="6"/>
  <c r="I428" i="6"/>
  <c r="I381" i="6"/>
  <c r="G422" i="6"/>
  <c r="G375" i="6"/>
  <c r="H148" i="6"/>
  <c r="H434" i="6"/>
  <c r="H387" i="6"/>
  <c r="H428" i="6"/>
  <c r="H381" i="6"/>
  <c r="G398" i="6"/>
  <c r="G351" i="6"/>
  <c r="H363" i="6"/>
  <c r="H410" i="6"/>
  <c r="H398" i="6"/>
  <c r="H351" i="6"/>
  <c r="G416" i="6"/>
  <c r="G369" i="6"/>
  <c r="J398" i="6"/>
  <c r="J351" i="6"/>
  <c r="F416" i="6"/>
  <c r="F369" i="6"/>
  <c r="G370" i="6" s="1"/>
  <c r="G428" i="6"/>
  <c r="G381" i="6"/>
  <c r="J404" i="6"/>
  <c r="J357" i="6"/>
  <c r="J358" i="6" s="1"/>
  <c r="F410" i="6"/>
  <c r="F363" i="6"/>
  <c r="J381" i="6"/>
  <c r="J428" i="6"/>
  <c r="F404" i="6"/>
  <c r="F357" i="6"/>
  <c r="I398" i="6"/>
  <c r="I399" i="6" s="1"/>
  <c r="I351" i="6"/>
  <c r="I352" i="6" s="1"/>
  <c r="J410" i="6"/>
  <c r="J363" i="6"/>
  <c r="F351" i="6"/>
  <c r="F398" i="6"/>
  <c r="H375" i="6"/>
  <c r="H422" i="6"/>
  <c r="F375" i="6"/>
  <c r="F422" i="6"/>
  <c r="I363" i="6"/>
  <c r="I410" i="6"/>
  <c r="H416" i="6"/>
  <c r="H369" i="6"/>
  <c r="H370" i="6" s="1"/>
  <c r="F381" i="6"/>
  <c r="F428" i="6"/>
  <c r="I118" i="6"/>
  <c r="I119" i="6" s="1"/>
  <c r="I252" i="6"/>
  <c r="I205" i="6"/>
  <c r="G246" i="6"/>
  <c r="G199" i="6"/>
  <c r="J148" i="6"/>
  <c r="J282" i="6"/>
  <c r="J235" i="6"/>
  <c r="G130" i="6"/>
  <c r="G264" i="6"/>
  <c r="G217" i="6"/>
  <c r="G218" i="6" s="1"/>
  <c r="J112" i="6"/>
  <c r="J199" i="6"/>
  <c r="J246" i="6"/>
  <c r="G142" i="6"/>
  <c r="G276" i="6"/>
  <c r="G229" i="6"/>
  <c r="J118" i="6"/>
  <c r="J205" i="6"/>
  <c r="J252" i="6"/>
  <c r="J253" i="6" s="1"/>
  <c r="F118" i="6"/>
  <c r="F252" i="6"/>
  <c r="F205" i="6"/>
  <c r="I199" i="6"/>
  <c r="I246" i="6"/>
  <c r="J124" i="6"/>
  <c r="J211" i="6"/>
  <c r="J258" i="6"/>
  <c r="F148" i="6"/>
  <c r="F282" i="6"/>
  <c r="F235" i="6"/>
  <c r="I142" i="6"/>
  <c r="I143" i="6" s="1"/>
  <c r="I276" i="6"/>
  <c r="I277" i="6" s="1"/>
  <c r="I229" i="6"/>
  <c r="I230" i="6" s="1"/>
  <c r="H136" i="6"/>
  <c r="H137" i="6" s="1"/>
  <c r="H223" i="6"/>
  <c r="H270" i="6"/>
  <c r="F136" i="6"/>
  <c r="F270" i="6"/>
  <c r="F223" i="6"/>
  <c r="H101" i="6"/>
  <c r="H282" i="6"/>
  <c r="H235" i="6"/>
  <c r="G118" i="6"/>
  <c r="G252" i="6"/>
  <c r="G205" i="6"/>
  <c r="I130" i="6"/>
  <c r="I264" i="6"/>
  <c r="I217" i="6"/>
  <c r="H142" i="6"/>
  <c r="H276" i="6"/>
  <c r="H229" i="6"/>
  <c r="H124" i="6"/>
  <c r="H211" i="6"/>
  <c r="H258" i="6"/>
  <c r="G148" i="6"/>
  <c r="G235" i="6"/>
  <c r="G282" i="6"/>
  <c r="J130" i="6"/>
  <c r="J264" i="6"/>
  <c r="J217" i="6"/>
  <c r="H199" i="6"/>
  <c r="H246" i="6"/>
  <c r="F130" i="6"/>
  <c r="F217" i="6"/>
  <c r="F264" i="6"/>
  <c r="F124" i="6"/>
  <c r="F211" i="6"/>
  <c r="F258" i="6"/>
  <c r="G124" i="6"/>
  <c r="H125" i="6" s="1"/>
  <c r="G211" i="6"/>
  <c r="G258" i="6"/>
  <c r="J142" i="6"/>
  <c r="J276" i="6"/>
  <c r="J229" i="6"/>
  <c r="F199" i="6"/>
  <c r="F246" i="6"/>
  <c r="I148" i="6"/>
  <c r="I282" i="6"/>
  <c r="I235" i="6"/>
  <c r="I236" i="6" s="1"/>
  <c r="I124" i="6"/>
  <c r="J125" i="6" s="1"/>
  <c r="I211" i="6"/>
  <c r="I258" i="6"/>
  <c r="I259" i="6" s="1"/>
  <c r="H130" i="6"/>
  <c r="H264" i="6"/>
  <c r="H217" i="6"/>
  <c r="F142" i="6"/>
  <c r="F229" i="6"/>
  <c r="F276" i="6"/>
  <c r="J136" i="6"/>
  <c r="J223" i="6"/>
  <c r="J270" i="6"/>
  <c r="I136" i="6"/>
  <c r="I223" i="6"/>
  <c r="I270" i="6"/>
  <c r="H252" i="6"/>
  <c r="H205" i="6"/>
  <c r="G136" i="6"/>
  <c r="G223" i="6"/>
  <c r="G270" i="6"/>
  <c r="H65" i="6"/>
  <c r="J65" i="6"/>
  <c r="I112" i="6"/>
  <c r="I65" i="6"/>
  <c r="G65" i="6"/>
  <c r="G112" i="6"/>
  <c r="F112" i="6"/>
  <c r="F65" i="6"/>
  <c r="H112" i="6"/>
  <c r="I101" i="6"/>
  <c r="F101" i="6"/>
  <c r="J101" i="6"/>
  <c r="G101" i="6"/>
  <c r="F83" i="6"/>
  <c r="F77" i="6"/>
  <c r="F95" i="6"/>
  <c r="F89" i="6"/>
  <c r="G95" i="6"/>
  <c r="G77" i="6"/>
  <c r="G83" i="6"/>
  <c r="G89" i="6"/>
  <c r="H71" i="6"/>
  <c r="H77" i="6"/>
  <c r="H83" i="6"/>
  <c r="H95" i="6"/>
  <c r="H89" i="6"/>
  <c r="I77" i="6"/>
  <c r="I83" i="6"/>
  <c r="I89" i="6"/>
  <c r="I95" i="6"/>
  <c r="J83" i="6"/>
  <c r="J77" i="6"/>
  <c r="J95" i="6"/>
  <c r="J89" i="6"/>
  <c r="G71" i="6"/>
  <c r="F71" i="6"/>
  <c r="I71" i="6"/>
  <c r="J71" i="6"/>
  <c r="K44" i="6"/>
  <c r="K41" i="6"/>
  <c r="K39" i="6"/>
  <c r="K43" i="6"/>
  <c r="K40" i="6"/>
  <c r="K38" i="6"/>
  <c r="K42" i="6"/>
  <c r="G6" i="6"/>
  <c r="H6" i="6" s="1"/>
  <c r="I6" i="6" s="1"/>
  <c r="J6" i="6" s="1"/>
  <c r="K6" i="6" s="1"/>
  <c r="L6" i="6" s="1"/>
  <c r="M6" i="6" s="1"/>
  <c r="N6" i="6" s="1"/>
  <c r="O6" i="6" s="1"/>
  <c r="I153" i="2"/>
  <c r="E107" i="2"/>
  <c r="F107" i="2" s="1"/>
  <c r="G107" i="2" s="1"/>
  <c r="H107" i="2" s="1"/>
  <c r="I107" i="2" s="1"/>
  <c r="J107" i="2" s="1"/>
  <c r="K107" i="2" s="1"/>
  <c r="L107" i="2" s="1"/>
  <c r="M107" i="2" s="1"/>
  <c r="E101" i="2"/>
  <c r="F101" i="2"/>
  <c r="G101" i="2"/>
  <c r="H101" i="2"/>
  <c r="D101" i="2"/>
  <c r="E93" i="2"/>
  <c r="F93" i="2"/>
  <c r="G93" i="2"/>
  <c r="H93" i="2"/>
  <c r="D93" i="2"/>
  <c r="E82" i="2"/>
  <c r="F82" i="2"/>
  <c r="G82" i="2"/>
  <c r="H82" i="2"/>
  <c r="D82" i="2"/>
  <c r="E71" i="2"/>
  <c r="F71" i="2"/>
  <c r="G71" i="2"/>
  <c r="H71" i="2"/>
  <c r="D71" i="2"/>
  <c r="E60" i="2"/>
  <c r="F60" i="2"/>
  <c r="G60" i="2"/>
  <c r="H60" i="2"/>
  <c r="D60" i="2"/>
  <c r="E49" i="2"/>
  <c r="F49" i="2" s="1"/>
  <c r="G49" i="2" s="1"/>
  <c r="H49" i="2" s="1"/>
  <c r="I49" i="2" s="1"/>
  <c r="J49" i="2" s="1"/>
  <c r="K49" i="2" s="1"/>
  <c r="L49" i="2" s="1"/>
  <c r="M49" i="2" s="1"/>
  <c r="E28" i="2"/>
  <c r="H25" i="15" s="1"/>
  <c r="H26" i="15" s="1"/>
  <c r="F28" i="2"/>
  <c r="G28" i="2"/>
  <c r="H28" i="2"/>
  <c r="D28" i="2"/>
  <c r="G25" i="15" s="1"/>
  <c r="G26" i="15" s="1"/>
  <c r="D15" i="2"/>
  <c r="D16" i="2" s="1"/>
  <c r="E15" i="2"/>
  <c r="E16" i="2" s="1"/>
  <c r="F15" i="2"/>
  <c r="F16" i="2" s="1"/>
  <c r="G15" i="2"/>
  <c r="G16" i="2" s="1"/>
  <c r="E6" i="2"/>
  <c r="F6" i="2" s="1"/>
  <c r="G6" i="2" s="1"/>
  <c r="H6" i="2" s="1"/>
  <c r="I6" i="2" s="1"/>
  <c r="J6" i="2" s="1"/>
  <c r="K6" i="2" s="1"/>
  <c r="L6" i="2" s="1"/>
  <c r="M6" i="2" s="1"/>
  <c r="K25" i="15" l="1"/>
  <c r="K26" i="15" s="1"/>
  <c r="I25" i="15"/>
  <c r="I26" i="15" s="1"/>
  <c r="J429" i="6"/>
  <c r="G399" i="6"/>
  <c r="H423" i="6"/>
  <c r="I411" i="6"/>
  <c r="H388" i="6"/>
  <c r="G247" i="6"/>
  <c r="J149" i="6"/>
  <c r="H143" i="6"/>
  <c r="I283" i="6"/>
  <c r="J206" i="6"/>
  <c r="G271" i="6"/>
  <c r="I200" i="6"/>
  <c r="H358" i="6"/>
  <c r="H149" i="6"/>
  <c r="I149" i="6"/>
  <c r="G143" i="6"/>
  <c r="G137" i="6"/>
  <c r="J131" i="6"/>
  <c r="H253" i="6"/>
  <c r="H131" i="6"/>
  <c r="G259" i="6"/>
  <c r="H224" i="6"/>
  <c r="G382" i="6"/>
  <c r="G364" i="6"/>
  <c r="G435" i="6"/>
  <c r="J143" i="6"/>
  <c r="H364" i="6"/>
  <c r="G411" i="6"/>
  <c r="H405" i="6"/>
  <c r="G212" i="6"/>
  <c r="I212" i="6"/>
  <c r="G283" i="6"/>
  <c r="G388" i="6"/>
  <c r="J382" i="6"/>
  <c r="H95" i="2"/>
  <c r="G230" i="6"/>
  <c r="L39" i="6"/>
  <c r="J352" i="6"/>
  <c r="L475" i="6"/>
  <c r="K475" i="6"/>
  <c r="K474" i="6" s="1"/>
  <c r="M475" i="6"/>
  <c r="N475" i="6"/>
  <c r="O475" i="6"/>
  <c r="J399" i="6"/>
  <c r="H435" i="6"/>
  <c r="J435" i="6"/>
  <c r="J137" i="6"/>
  <c r="J376" i="6"/>
  <c r="L41" i="6"/>
  <c r="L42" i="6"/>
  <c r="I417" i="6"/>
  <c r="L40" i="6"/>
  <c r="H247" i="6"/>
  <c r="H277" i="6"/>
  <c r="L44" i="6"/>
  <c r="G119" i="6"/>
  <c r="G417" i="6"/>
  <c r="L38" i="6"/>
  <c r="L43" i="6"/>
  <c r="G95" i="2"/>
  <c r="F95" i="2"/>
  <c r="E95" i="2"/>
  <c r="D73" i="2"/>
  <c r="G29" i="2"/>
  <c r="G35" i="2" s="1"/>
  <c r="J25" i="15"/>
  <c r="J26" i="15" s="1"/>
  <c r="F29" i="2"/>
  <c r="F35" i="2" s="1"/>
  <c r="E73" i="2"/>
  <c r="J370" i="6"/>
  <c r="I376" i="6"/>
  <c r="J405" i="6"/>
  <c r="I265" i="6"/>
  <c r="G352" i="6"/>
  <c r="J423" i="6"/>
  <c r="I423" i="6"/>
  <c r="H382" i="6"/>
  <c r="H119" i="6"/>
  <c r="I137" i="6"/>
  <c r="G131" i="6"/>
  <c r="H417" i="6"/>
  <c r="I429" i="6"/>
  <c r="H429" i="6"/>
  <c r="I364" i="6"/>
  <c r="J119" i="6"/>
  <c r="J388" i="6"/>
  <c r="N417" i="6"/>
  <c r="L423" i="6"/>
  <c r="O376" i="6"/>
  <c r="M417" i="6"/>
  <c r="K364" i="6"/>
  <c r="K363" i="6" s="1"/>
  <c r="O429" i="6"/>
  <c r="K417" i="6"/>
  <c r="K416" i="6" s="1"/>
  <c r="L411" i="6"/>
  <c r="N429" i="6"/>
  <c r="K411" i="6"/>
  <c r="K410" i="6" s="1"/>
  <c r="O423" i="6"/>
  <c r="N370" i="6"/>
  <c r="M370" i="6"/>
  <c r="L364" i="6"/>
  <c r="M423" i="6"/>
  <c r="N376" i="6"/>
  <c r="O417" i="6"/>
  <c r="L435" i="6"/>
  <c r="L429" i="6"/>
  <c r="O405" i="6"/>
  <c r="O358" i="6"/>
  <c r="N423" i="6"/>
  <c r="M411" i="6"/>
  <c r="L405" i="6"/>
  <c r="M399" i="6"/>
  <c r="N435" i="6"/>
  <c r="M352" i="6"/>
  <c r="O388" i="6"/>
  <c r="K399" i="6"/>
  <c r="K398" i="6" s="1"/>
  <c r="O352" i="6"/>
  <c r="M388" i="6"/>
  <c r="L352" i="6"/>
  <c r="N411" i="6"/>
  <c r="O399" i="6"/>
  <c r="K435" i="6"/>
  <c r="K434" i="6" s="1"/>
  <c r="K352" i="6"/>
  <c r="K351" i="6" s="1"/>
  <c r="O364" i="6"/>
  <c r="L399" i="6"/>
  <c r="M405" i="6"/>
  <c r="K429" i="6"/>
  <c r="K428" i="6" s="1"/>
  <c r="O411" i="6"/>
  <c r="M435" i="6"/>
  <c r="O370" i="6"/>
  <c r="K358" i="6"/>
  <c r="K357" i="6" s="1"/>
  <c r="L388" i="6"/>
  <c r="L382" i="6"/>
  <c r="N399" i="6"/>
  <c r="K423" i="6"/>
  <c r="K422" i="6" s="1"/>
  <c r="M364" i="6"/>
  <c r="N405" i="6"/>
  <c r="M429" i="6"/>
  <c r="M358" i="6"/>
  <c r="L358" i="6"/>
  <c r="K382" i="6"/>
  <c r="K381" i="6" s="1"/>
  <c r="N382" i="6"/>
  <c r="O382" i="6"/>
  <c r="O435" i="6"/>
  <c r="K376" i="6"/>
  <c r="K375" i="6" s="1"/>
  <c r="M382" i="6"/>
  <c r="N358" i="6"/>
  <c r="N352" i="6"/>
  <c r="L376" i="6"/>
  <c r="L417" i="6"/>
  <c r="L370" i="6"/>
  <c r="N364" i="6"/>
  <c r="K370" i="6"/>
  <c r="K369" i="6" s="1"/>
  <c r="M376" i="6"/>
  <c r="K405" i="6"/>
  <c r="K404" i="6" s="1"/>
  <c r="K388" i="6"/>
  <c r="K387" i="6" s="1"/>
  <c r="N388" i="6"/>
  <c r="I131" i="6"/>
  <c r="G429" i="6"/>
  <c r="G113" i="6"/>
  <c r="I435" i="6"/>
  <c r="G125" i="6"/>
  <c r="H352" i="6"/>
  <c r="G423" i="6"/>
  <c r="I370" i="6"/>
  <c r="I388" i="6"/>
  <c r="J364" i="6"/>
  <c r="I271" i="6"/>
  <c r="J417" i="6"/>
  <c r="H376" i="6"/>
  <c r="H399" i="6"/>
  <c r="I382" i="6"/>
  <c r="I405" i="6"/>
  <c r="G405" i="6"/>
  <c r="J411" i="6"/>
  <c r="G376" i="6"/>
  <c r="G149" i="6"/>
  <c r="J247" i="6"/>
  <c r="H411" i="6"/>
  <c r="I358" i="6"/>
  <c r="G358" i="6"/>
  <c r="G206" i="6"/>
  <c r="J271" i="6"/>
  <c r="J236" i="6"/>
  <c r="H236" i="6"/>
  <c r="J283" i="6"/>
  <c r="I125" i="6"/>
  <c r="G265" i="6"/>
  <c r="H212" i="6"/>
  <c r="G200" i="6"/>
  <c r="H230" i="6"/>
  <c r="G224" i="6"/>
  <c r="J259" i="6"/>
  <c r="G277" i="6"/>
  <c r="I224" i="6"/>
  <c r="J224" i="6"/>
  <c r="G236" i="6"/>
  <c r="J230" i="6"/>
  <c r="J212" i="6"/>
  <c r="I206" i="6"/>
  <c r="J265" i="6"/>
  <c r="G253" i="6"/>
  <c r="H259" i="6"/>
  <c r="L218" i="6"/>
  <c r="L212" i="6"/>
  <c r="K265" i="6"/>
  <c r="K264" i="6" s="1"/>
  <c r="N230" i="6"/>
  <c r="L200" i="6"/>
  <c r="M271" i="6"/>
  <c r="O230" i="6"/>
  <c r="K218" i="6"/>
  <c r="K217" i="6" s="1"/>
  <c r="K212" i="6"/>
  <c r="K211" i="6" s="1"/>
  <c r="L277" i="6"/>
  <c r="K259" i="6"/>
  <c r="K258" i="6" s="1"/>
  <c r="L271" i="6"/>
  <c r="O224" i="6"/>
  <c r="N218" i="6"/>
  <c r="M218" i="6"/>
  <c r="O277" i="6"/>
  <c r="N224" i="6"/>
  <c r="N277" i="6"/>
  <c r="N265" i="6"/>
  <c r="L236" i="6"/>
  <c r="M224" i="6"/>
  <c r="M265" i="6"/>
  <c r="L224" i="6"/>
  <c r="O259" i="6"/>
  <c r="N206" i="6"/>
  <c r="O206" i="6"/>
  <c r="K224" i="6"/>
  <c r="K223" i="6" s="1"/>
  <c r="O236" i="6"/>
  <c r="N259" i="6"/>
  <c r="O271" i="6"/>
  <c r="L253" i="6"/>
  <c r="M253" i="6"/>
  <c r="M277" i="6"/>
  <c r="K277" i="6"/>
  <c r="K276" i="6" s="1"/>
  <c r="M206" i="6"/>
  <c r="M212" i="6"/>
  <c r="L265" i="6"/>
  <c r="L206" i="6"/>
  <c r="K236" i="6"/>
  <c r="K235" i="6" s="1"/>
  <c r="K247" i="6"/>
  <c r="K246" i="6" s="1"/>
  <c r="O247" i="6"/>
  <c r="N283" i="6"/>
  <c r="M230" i="6"/>
  <c r="M200" i="6"/>
  <c r="L283" i="6"/>
  <c r="N212" i="6"/>
  <c r="K271" i="6"/>
  <c r="K270" i="6" s="1"/>
  <c r="L259" i="6"/>
  <c r="N253" i="6"/>
  <c r="O200" i="6"/>
  <c r="N271" i="6"/>
  <c r="K253" i="6"/>
  <c r="K252" i="6" s="1"/>
  <c r="N236" i="6"/>
  <c r="M259" i="6"/>
  <c r="K230" i="6"/>
  <c r="K229" i="6" s="1"/>
  <c r="L247" i="6"/>
  <c r="N200" i="6"/>
  <c r="K206" i="6"/>
  <c r="K205" i="6" s="1"/>
  <c r="K283" i="6"/>
  <c r="K282" i="6" s="1"/>
  <c r="O283" i="6"/>
  <c r="M283" i="6"/>
  <c r="L230" i="6"/>
  <c r="M247" i="6"/>
  <c r="O253" i="6"/>
  <c r="O265" i="6"/>
  <c r="N247" i="6"/>
  <c r="O218" i="6"/>
  <c r="O212" i="6"/>
  <c r="M236" i="6"/>
  <c r="K200" i="6"/>
  <c r="K199" i="6" s="1"/>
  <c r="I66" i="6"/>
  <c r="H218" i="6"/>
  <c r="J277" i="6"/>
  <c r="H200" i="6"/>
  <c r="I253" i="6"/>
  <c r="H283" i="6"/>
  <c r="I102" i="6"/>
  <c r="J113" i="6"/>
  <c r="H206" i="6"/>
  <c r="H265" i="6"/>
  <c r="J218" i="6"/>
  <c r="I218" i="6"/>
  <c r="H271" i="6"/>
  <c r="I247" i="6"/>
  <c r="J200" i="6"/>
  <c r="H66" i="6"/>
  <c r="H113" i="6"/>
  <c r="N137" i="6"/>
  <c r="L125" i="6"/>
  <c r="O119" i="6"/>
  <c r="N125" i="6"/>
  <c r="O113" i="6"/>
  <c r="M137" i="6"/>
  <c r="K125" i="6"/>
  <c r="K124" i="6" s="1"/>
  <c r="N119" i="6"/>
  <c r="O149" i="6"/>
  <c r="L137" i="6"/>
  <c r="M119" i="6"/>
  <c r="L149" i="6"/>
  <c r="K149" i="6"/>
  <c r="K148" i="6" s="1"/>
  <c r="N131" i="6"/>
  <c r="M143" i="6"/>
  <c r="M131" i="6"/>
  <c r="K113" i="6"/>
  <c r="K112" i="6" s="1"/>
  <c r="O137" i="6"/>
  <c r="L113" i="6"/>
  <c r="M125" i="6"/>
  <c r="N149" i="6"/>
  <c r="L119" i="6"/>
  <c r="M149" i="6"/>
  <c r="O131" i="6"/>
  <c r="N143" i="6"/>
  <c r="L143" i="6"/>
  <c r="L131" i="6"/>
  <c r="K143" i="6"/>
  <c r="K142" i="6" s="1"/>
  <c r="K131" i="6"/>
  <c r="K130" i="6" s="1"/>
  <c r="O125" i="6"/>
  <c r="O143" i="6"/>
  <c r="K119" i="6"/>
  <c r="K118" i="6" s="1"/>
  <c r="K137" i="6"/>
  <c r="K136" i="6" s="1"/>
  <c r="N113" i="6"/>
  <c r="M113" i="6"/>
  <c r="I113" i="6"/>
  <c r="G84" i="6"/>
  <c r="G90" i="6"/>
  <c r="G96" i="6"/>
  <c r="H102" i="6"/>
  <c r="G102" i="6"/>
  <c r="M102" i="6"/>
  <c r="L102" i="6"/>
  <c r="K102" i="6"/>
  <c r="K101" i="6" s="1"/>
  <c r="O102" i="6"/>
  <c r="N102" i="6"/>
  <c r="H96" i="6"/>
  <c r="G72" i="6"/>
  <c r="H78" i="6"/>
  <c r="J102" i="6"/>
  <c r="H84" i="6"/>
  <c r="I90" i="6"/>
  <c r="G78" i="6"/>
  <c r="I72" i="6"/>
  <c r="J96" i="6"/>
  <c r="J84" i="6"/>
  <c r="I84" i="6"/>
  <c r="M96" i="6"/>
  <c r="O90" i="6"/>
  <c r="K84" i="6"/>
  <c r="K83" i="6" s="1"/>
  <c r="L96" i="6"/>
  <c r="M78" i="6"/>
  <c r="O96" i="6"/>
  <c r="N96" i="6"/>
  <c r="K96" i="6"/>
  <c r="K95" i="6" s="1"/>
  <c r="K90" i="6"/>
  <c r="K89" i="6" s="1"/>
  <c r="O78" i="6"/>
  <c r="N78" i="6"/>
  <c r="L78" i="6"/>
  <c r="M84" i="6"/>
  <c r="N90" i="6"/>
  <c r="O84" i="6"/>
  <c r="K78" i="6"/>
  <c r="K77" i="6" s="1"/>
  <c r="L90" i="6"/>
  <c r="L84" i="6"/>
  <c r="M90" i="6"/>
  <c r="N84" i="6"/>
  <c r="J78" i="6"/>
  <c r="I96" i="6"/>
  <c r="I78" i="6"/>
  <c r="J90" i="6"/>
  <c r="H90" i="6"/>
  <c r="G66" i="6"/>
  <c r="H72" i="6"/>
  <c r="J72" i="6"/>
  <c r="M66" i="6"/>
  <c r="N72" i="6"/>
  <c r="L66" i="6"/>
  <c r="M72" i="6"/>
  <c r="K66" i="6"/>
  <c r="K65" i="6" s="1"/>
  <c r="K72" i="6"/>
  <c r="K71" i="6" s="1"/>
  <c r="O66" i="6"/>
  <c r="L72" i="6"/>
  <c r="N66" i="6"/>
  <c r="O72" i="6"/>
  <c r="J66" i="6"/>
  <c r="G103" i="2"/>
  <c r="F103" i="2"/>
  <c r="E103" i="2"/>
  <c r="D95" i="2"/>
  <c r="F73" i="2"/>
  <c r="H73" i="2"/>
  <c r="G73" i="2"/>
  <c r="E29" i="2"/>
  <c r="E35" i="2" s="1"/>
  <c r="D29" i="2"/>
  <c r="D35" i="2" s="1"/>
  <c r="H15" i="2"/>
  <c r="H29" i="2" l="1"/>
  <c r="H35" i="2" s="1"/>
  <c r="H16" i="2"/>
  <c r="K62" i="6"/>
  <c r="K196" i="6"/>
  <c r="K109" i="6"/>
  <c r="K110" i="6" s="1"/>
  <c r="K243" i="6"/>
  <c r="K244" i="6" s="1"/>
  <c r="D42" i="2"/>
  <c r="F42" i="2"/>
  <c r="E42" i="2"/>
  <c r="G42" i="2"/>
  <c r="D103" i="2"/>
  <c r="D104" i="2" s="1"/>
  <c r="H103" i="2"/>
  <c r="H104" i="2" s="1"/>
  <c r="L130" i="6"/>
  <c r="M130" i="6" s="1"/>
  <c r="N130" i="6" s="1"/>
  <c r="O130" i="6" s="1"/>
  <c r="G31" i="24"/>
  <c r="G33" i="24" s="1"/>
  <c r="L410" i="6"/>
  <c r="M410" i="6" s="1"/>
  <c r="N410" i="6" s="1"/>
  <c r="O410" i="6" s="1"/>
  <c r="L369" i="6"/>
  <c r="M369" i="6" s="1"/>
  <c r="N369" i="6" s="1"/>
  <c r="O369" i="6" s="1"/>
  <c r="L223" i="6"/>
  <c r="M223" i="6" s="1"/>
  <c r="N223" i="6" s="1"/>
  <c r="O223" i="6" s="1"/>
  <c r="L264" i="6"/>
  <c r="M264" i="6" s="1"/>
  <c r="N264" i="6" s="1"/>
  <c r="O264" i="6" s="1"/>
  <c r="M40" i="6"/>
  <c r="M43" i="6"/>
  <c r="K14" i="6"/>
  <c r="L474" i="6"/>
  <c r="L14" i="6" s="1"/>
  <c r="M42" i="6"/>
  <c r="M38" i="6"/>
  <c r="M41" i="6"/>
  <c r="M44" i="6"/>
  <c r="M39" i="6"/>
  <c r="D39" i="2"/>
  <c r="G94" i="15"/>
  <c r="G97" i="15" s="1"/>
  <c r="E104" i="2"/>
  <c r="E39" i="2"/>
  <c r="H94" i="15"/>
  <c r="H97" i="15" s="1"/>
  <c r="F39" i="2"/>
  <c r="I94" i="15"/>
  <c r="I97" i="15" s="1"/>
  <c r="H39" i="2"/>
  <c r="K94" i="15"/>
  <c r="K97" i="15" s="1"/>
  <c r="G39" i="2"/>
  <c r="J94" i="15"/>
  <c r="J97" i="15" s="1"/>
  <c r="F104" i="2"/>
  <c r="G104" i="2"/>
  <c r="L404" i="6"/>
  <c r="M404" i="6" s="1"/>
  <c r="N404" i="6" s="1"/>
  <c r="O404" i="6" s="1"/>
  <c r="L422" i="6"/>
  <c r="M422" i="6" s="1"/>
  <c r="N422" i="6" s="1"/>
  <c r="O422" i="6" s="1"/>
  <c r="L416" i="6"/>
  <c r="M416" i="6" s="1"/>
  <c r="N416" i="6" s="1"/>
  <c r="O416" i="6" s="1"/>
  <c r="L351" i="6"/>
  <c r="K348" i="6"/>
  <c r="K349" i="6" s="1"/>
  <c r="L270" i="6"/>
  <c r="M270" i="6" s="1"/>
  <c r="N270" i="6" s="1"/>
  <c r="O270" i="6" s="1"/>
  <c r="L258" i="6"/>
  <c r="M258" i="6" s="1"/>
  <c r="N258" i="6" s="1"/>
  <c r="O258" i="6" s="1"/>
  <c r="L434" i="6"/>
  <c r="M434" i="6" s="1"/>
  <c r="N434" i="6" s="1"/>
  <c r="O434" i="6" s="1"/>
  <c r="L217" i="6"/>
  <c r="M217" i="6" s="1"/>
  <c r="N217" i="6" s="1"/>
  <c r="O217" i="6" s="1"/>
  <c r="L363" i="6"/>
  <c r="M363" i="6" s="1"/>
  <c r="N363" i="6" s="1"/>
  <c r="O363" i="6" s="1"/>
  <c r="L142" i="6"/>
  <c r="M142" i="6" s="1"/>
  <c r="N142" i="6" s="1"/>
  <c r="O142" i="6" s="1"/>
  <c r="L357" i="6"/>
  <c r="M357" i="6" s="1"/>
  <c r="N357" i="6" s="1"/>
  <c r="O357" i="6" s="1"/>
  <c r="L205" i="6"/>
  <c r="M205" i="6" s="1"/>
  <c r="N205" i="6" s="1"/>
  <c r="O205" i="6" s="1"/>
  <c r="L276" i="6"/>
  <c r="M276" i="6" s="1"/>
  <c r="N276" i="6" s="1"/>
  <c r="O276" i="6" s="1"/>
  <c r="L375" i="6"/>
  <c r="M375" i="6" s="1"/>
  <c r="N375" i="6" s="1"/>
  <c r="O375" i="6" s="1"/>
  <c r="L211" i="6"/>
  <c r="M211" i="6" s="1"/>
  <c r="N211" i="6" s="1"/>
  <c r="O211" i="6" s="1"/>
  <c r="L387" i="6"/>
  <c r="M387" i="6" s="1"/>
  <c r="N387" i="6" s="1"/>
  <c r="O387" i="6" s="1"/>
  <c r="L229" i="6"/>
  <c r="M229" i="6" s="1"/>
  <c r="N229" i="6" s="1"/>
  <c r="O229" i="6" s="1"/>
  <c r="L381" i="6"/>
  <c r="M381" i="6" s="1"/>
  <c r="N381" i="6" s="1"/>
  <c r="O381" i="6" s="1"/>
  <c r="L398" i="6"/>
  <c r="K395" i="6"/>
  <c r="L428" i="6"/>
  <c r="M428" i="6" s="1"/>
  <c r="N428" i="6" s="1"/>
  <c r="O428" i="6" s="1"/>
  <c r="L199" i="6"/>
  <c r="L252" i="6"/>
  <c r="M252" i="6" s="1"/>
  <c r="N252" i="6" s="1"/>
  <c r="O252" i="6" s="1"/>
  <c r="L235" i="6"/>
  <c r="M235" i="6" s="1"/>
  <c r="N235" i="6" s="1"/>
  <c r="O235" i="6" s="1"/>
  <c r="L246" i="6"/>
  <c r="L124" i="6"/>
  <c r="M124" i="6" s="1"/>
  <c r="N124" i="6" s="1"/>
  <c r="O124" i="6" s="1"/>
  <c r="L282" i="6"/>
  <c r="M282" i="6" s="1"/>
  <c r="N282" i="6" s="1"/>
  <c r="O282" i="6" s="1"/>
  <c r="L136" i="6"/>
  <c r="M136" i="6" s="1"/>
  <c r="N136" i="6" s="1"/>
  <c r="O136" i="6" s="1"/>
  <c r="L118" i="6"/>
  <c r="M118" i="6" s="1"/>
  <c r="N118" i="6" s="1"/>
  <c r="O118" i="6" s="1"/>
  <c r="L112" i="6"/>
  <c r="L148" i="6"/>
  <c r="M148" i="6" s="1"/>
  <c r="N148" i="6" s="1"/>
  <c r="O148" i="6" s="1"/>
  <c r="L101" i="6"/>
  <c r="M101" i="6" s="1"/>
  <c r="N101" i="6" s="1"/>
  <c r="O101" i="6" s="1"/>
  <c r="L77" i="6"/>
  <c r="M77" i="6" s="1"/>
  <c r="N77" i="6" s="1"/>
  <c r="O77" i="6" s="1"/>
  <c r="L83" i="6"/>
  <c r="M83" i="6" s="1"/>
  <c r="N83" i="6" s="1"/>
  <c r="O83" i="6" s="1"/>
  <c r="L71" i="6"/>
  <c r="M71" i="6" s="1"/>
  <c r="N71" i="6" s="1"/>
  <c r="O71" i="6" s="1"/>
  <c r="L89" i="6"/>
  <c r="M89" i="6" s="1"/>
  <c r="N89" i="6" s="1"/>
  <c r="O89" i="6" s="1"/>
  <c r="L65" i="6"/>
  <c r="L95" i="6"/>
  <c r="M95" i="6" s="1"/>
  <c r="N95" i="6" s="1"/>
  <c r="O95" i="6" s="1"/>
  <c r="G43" i="2" l="1"/>
  <c r="F43" i="2"/>
  <c r="H23" i="26"/>
  <c r="H24" i="26" s="1"/>
  <c r="G45" i="2"/>
  <c r="D43" i="2"/>
  <c r="I31" i="24"/>
  <c r="I33" i="24" s="1"/>
  <c r="H42" i="2"/>
  <c r="I23" i="26" s="1"/>
  <c r="I24" i="26" s="1"/>
  <c r="K197" i="6"/>
  <c r="K63" i="6"/>
  <c r="G23" i="26"/>
  <c r="G24" i="26" s="1"/>
  <c r="F45" i="2"/>
  <c r="E45" i="2"/>
  <c r="E43" i="2"/>
  <c r="L243" i="6"/>
  <c r="L244" i="6" s="1"/>
  <c r="L109" i="6"/>
  <c r="L110" i="6" s="1"/>
  <c r="L62" i="6"/>
  <c r="L196" i="6"/>
  <c r="F22" i="30"/>
  <c r="F23" i="30" s="1"/>
  <c r="F23" i="26"/>
  <c r="F24" i="26" s="1"/>
  <c r="F110" i="2"/>
  <c r="J86" i="17" s="1"/>
  <c r="J106" i="17" s="1"/>
  <c r="G22" i="30"/>
  <c r="E110" i="2"/>
  <c r="I86" i="17" s="1"/>
  <c r="I106" i="17" s="1"/>
  <c r="E22" i="30"/>
  <c r="E23" i="30" s="1"/>
  <c r="F31" i="24"/>
  <c r="F33" i="24" s="1"/>
  <c r="E23" i="26"/>
  <c r="E24" i="26" s="1"/>
  <c r="D45" i="2"/>
  <c r="H20" i="26"/>
  <c r="H21" i="26" s="1"/>
  <c r="D110" i="2"/>
  <c r="H86" i="17" s="1"/>
  <c r="H106" i="17" s="1"/>
  <c r="G110" i="2"/>
  <c r="K86" i="17" s="1"/>
  <c r="K106" i="17" s="1"/>
  <c r="H31" i="24"/>
  <c r="H33" i="24" s="1"/>
  <c r="H22" i="30"/>
  <c r="I22" i="30"/>
  <c r="K189" i="6"/>
  <c r="K55" i="6"/>
  <c r="H110" i="2"/>
  <c r="L86" i="17" s="1"/>
  <c r="L106" i="17" s="1"/>
  <c r="K202" i="21"/>
  <c r="K204" i="21" s="1"/>
  <c r="N42" i="6"/>
  <c r="J11" i="2"/>
  <c r="L24" i="6"/>
  <c r="K24" i="6"/>
  <c r="I11" i="2"/>
  <c r="N44" i="6"/>
  <c r="M474" i="6"/>
  <c r="N38" i="6"/>
  <c r="N39" i="6"/>
  <c r="N43" i="6"/>
  <c r="N41" i="6"/>
  <c r="N40" i="6"/>
  <c r="L97" i="15"/>
  <c r="M97" i="15" s="1"/>
  <c r="N97" i="15" s="1"/>
  <c r="O97" i="15" s="1"/>
  <c r="P97" i="15" s="1"/>
  <c r="K396" i="6"/>
  <c r="K343" i="6"/>
  <c r="M398" i="6"/>
  <c r="L395" i="6"/>
  <c r="L348" i="6"/>
  <c r="L349" i="6" s="1"/>
  <c r="M351" i="6"/>
  <c r="M199" i="6"/>
  <c r="M246" i="6"/>
  <c r="M65" i="6"/>
  <c r="M112" i="6"/>
  <c r="E46" i="2" l="1"/>
  <c r="I23" i="30"/>
  <c r="D46" i="2"/>
  <c r="H43" i="2"/>
  <c r="J31" i="24"/>
  <c r="J33" i="24" s="1"/>
  <c r="H45" i="2"/>
  <c r="G46" i="2"/>
  <c r="G23" i="30"/>
  <c r="F46" i="2"/>
  <c r="H23" i="30"/>
  <c r="G20" i="26"/>
  <c r="G21" i="26" s="1"/>
  <c r="F20" i="26"/>
  <c r="F21" i="26" s="1"/>
  <c r="L197" i="6"/>
  <c r="L63" i="6"/>
  <c r="E36" i="24"/>
  <c r="M109" i="6"/>
  <c r="M110" i="6" s="1"/>
  <c r="M243" i="6"/>
  <c r="M244" i="6" s="1"/>
  <c r="M196" i="6"/>
  <c r="M62" i="6"/>
  <c r="E20" i="26"/>
  <c r="E21" i="26" s="1"/>
  <c r="L189" i="6"/>
  <c r="K186" i="6"/>
  <c r="K187" i="6" s="1"/>
  <c r="K190" i="6"/>
  <c r="L55" i="6"/>
  <c r="K52" i="6"/>
  <c r="K56" i="6"/>
  <c r="O38" i="6"/>
  <c r="M14" i="6"/>
  <c r="N474" i="6"/>
  <c r="O39" i="6"/>
  <c r="O40" i="6"/>
  <c r="O43" i="6"/>
  <c r="O44" i="6"/>
  <c r="O41" i="6"/>
  <c r="O42" i="6"/>
  <c r="K13" i="6"/>
  <c r="K344" i="6"/>
  <c r="L396" i="6"/>
  <c r="L343" i="6"/>
  <c r="M348" i="6"/>
  <c r="M349" i="6" s="1"/>
  <c r="N351" i="6"/>
  <c r="N398" i="6"/>
  <c r="M395" i="6"/>
  <c r="N246" i="6"/>
  <c r="N199" i="6"/>
  <c r="N65" i="6"/>
  <c r="N112" i="6"/>
  <c r="H46" i="2" l="1"/>
  <c r="I20" i="26"/>
  <c r="I21" i="26" s="1"/>
  <c r="E198" i="21"/>
  <c r="E202" i="21" s="1"/>
  <c r="E204" i="21" s="1"/>
  <c r="M197" i="6"/>
  <c r="M63" i="6"/>
  <c r="K53" i="6"/>
  <c r="N243" i="6"/>
  <c r="N244" i="6" s="1"/>
  <c r="N109" i="6"/>
  <c r="N110" i="6" s="1"/>
  <c r="N62" i="6"/>
  <c r="N196" i="6"/>
  <c r="L52" i="6"/>
  <c r="L56" i="6"/>
  <c r="K12" i="6"/>
  <c r="M189" i="6"/>
  <c r="K11" i="6"/>
  <c r="L186" i="6"/>
  <c r="L187" i="6" s="1"/>
  <c r="L190" i="6"/>
  <c r="M55" i="6"/>
  <c r="K23" i="6"/>
  <c r="I10" i="2"/>
  <c r="N14" i="6"/>
  <c r="O474" i="6"/>
  <c r="O14" i="6" s="1"/>
  <c r="K11" i="2"/>
  <c r="M24" i="6"/>
  <c r="M396" i="6"/>
  <c r="M343" i="6"/>
  <c r="L13" i="6"/>
  <c r="L344" i="6"/>
  <c r="O398" i="6"/>
  <c r="O395" i="6" s="1"/>
  <c r="N395" i="6"/>
  <c r="O351" i="6"/>
  <c r="O348" i="6" s="1"/>
  <c r="N348" i="6"/>
  <c r="N349" i="6" s="1"/>
  <c r="O199" i="6"/>
  <c r="O246" i="6"/>
  <c r="O65" i="6"/>
  <c r="O112" i="6"/>
  <c r="N197" i="6" l="1"/>
  <c r="L11" i="6"/>
  <c r="N63" i="6"/>
  <c r="O62" i="6"/>
  <c r="O243" i="6"/>
  <c r="O244" i="6" s="1"/>
  <c r="O196" i="6"/>
  <c r="O109" i="6"/>
  <c r="O110" i="6" s="1"/>
  <c r="I9" i="2"/>
  <c r="I8" i="2"/>
  <c r="L53" i="6"/>
  <c r="K22" i="6"/>
  <c r="M186" i="6"/>
  <c r="M12" i="6" s="1"/>
  <c r="K15" i="6"/>
  <c r="K21" i="6"/>
  <c r="M190" i="6"/>
  <c r="N189" i="6"/>
  <c r="L12" i="6"/>
  <c r="N55" i="6"/>
  <c r="M52" i="6"/>
  <c r="M56" i="6"/>
  <c r="O24" i="6"/>
  <c r="M11" i="2"/>
  <c r="O343" i="6"/>
  <c r="N24" i="6"/>
  <c r="L11" i="2"/>
  <c r="L23" i="6"/>
  <c r="J10" i="2"/>
  <c r="N396" i="6"/>
  <c r="N343" i="6"/>
  <c r="M13" i="6"/>
  <c r="M344" i="6"/>
  <c r="O396" i="6"/>
  <c r="O349" i="6"/>
  <c r="J9" i="2" l="1"/>
  <c r="J8" i="2"/>
  <c r="O197" i="6"/>
  <c r="L21" i="6"/>
  <c r="M11" i="6"/>
  <c r="O63" i="6"/>
  <c r="O189" i="6"/>
  <c r="O186" i="6" s="1"/>
  <c r="O12" i="6" s="1"/>
  <c r="K9" i="2"/>
  <c r="I12" i="2"/>
  <c r="K31" i="6"/>
  <c r="K33" i="6"/>
  <c r="K32" i="6"/>
  <c r="L15" i="6"/>
  <c r="M187" i="6"/>
  <c r="K34" i="6"/>
  <c r="K16" i="6"/>
  <c r="K30" i="6"/>
  <c r="K29" i="6"/>
  <c r="K35" i="6"/>
  <c r="L22" i="6"/>
  <c r="M53" i="6"/>
  <c r="N186" i="6"/>
  <c r="N12" i="6" s="1"/>
  <c r="N190" i="6"/>
  <c r="O55" i="6"/>
  <c r="N52" i="6"/>
  <c r="N56" i="6"/>
  <c r="O344" i="6"/>
  <c r="M22" i="6"/>
  <c r="O13" i="6"/>
  <c r="M23" i="6"/>
  <c r="K10" i="2"/>
  <c r="N13" i="6"/>
  <c r="N344" i="6"/>
  <c r="J12" i="2" l="1"/>
  <c r="I198" i="21"/>
  <c r="K8" i="2"/>
  <c r="K12" i="2" s="1"/>
  <c r="M21" i="6"/>
  <c r="M15" i="6"/>
  <c r="M34" i="6" s="1"/>
  <c r="N11" i="6"/>
  <c r="O190" i="6"/>
  <c r="L10" i="2"/>
  <c r="M10" i="2"/>
  <c r="L9" i="2"/>
  <c r="M9" i="2"/>
  <c r="L12" i="15"/>
  <c r="L34" i="15" s="1"/>
  <c r="L23" i="14"/>
  <c r="L24" i="14" s="1"/>
  <c r="J17" i="26"/>
  <c r="J18" i="26" s="1"/>
  <c r="L22" i="16"/>
  <c r="L25" i="16" s="1"/>
  <c r="L41" i="16" s="1"/>
  <c r="L34" i="16" s="1"/>
  <c r="M20" i="17"/>
  <c r="M27" i="17" s="1"/>
  <c r="L29" i="6"/>
  <c r="L35" i="6"/>
  <c r="L32" i="6"/>
  <c r="L31" i="6"/>
  <c r="L16" i="6"/>
  <c r="L30" i="6"/>
  <c r="L34" i="6"/>
  <c r="L33" i="6"/>
  <c r="J198" i="21"/>
  <c r="O187" i="6"/>
  <c r="N187" i="6"/>
  <c r="N53" i="6"/>
  <c r="O52" i="6"/>
  <c r="O56" i="6"/>
  <c r="M23" i="14"/>
  <c r="K17" i="26"/>
  <c r="N22" i="6"/>
  <c r="O23" i="6"/>
  <c r="N23" i="6"/>
  <c r="O22" i="6"/>
  <c r="N20" i="17" l="1"/>
  <c r="N27" i="17" s="1"/>
  <c r="M22" i="16"/>
  <c r="M12" i="15"/>
  <c r="M34" i="15" s="1"/>
  <c r="L8" i="2"/>
  <c r="L12" i="2" s="1"/>
  <c r="M33" i="6"/>
  <c r="M29" i="6"/>
  <c r="M16" i="6"/>
  <c r="M30" i="6"/>
  <c r="M35" i="6"/>
  <c r="M31" i="6"/>
  <c r="M32" i="6"/>
  <c r="N21" i="6"/>
  <c r="N15" i="6"/>
  <c r="O11" i="6"/>
  <c r="L70" i="15"/>
  <c r="I26" i="2" s="1"/>
  <c r="L64" i="15"/>
  <c r="I25" i="2" s="1"/>
  <c r="L58" i="15"/>
  <c r="I24" i="2" s="1"/>
  <c r="L167" i="15"/>
  <c r="I79" i="2" s="1"/>
  <c r="I121" i="2" s="1"/>
  <c r="L178" i="15"/>
  <c r="L28" i="15"/>
  <c r="I19" i="2" s="1"/>
  <c r="L126" i="15"/>
  <c r="I77" i="2" s="1"/>
  <c r="I119" i="2" s="1"/>
  <c r="L46" i="15"/>
  <c r="I22" i="2" s="1"/>
  <c r="L145" i="15"/>
  <c r="I57" i="2" s="1"/>
  <c r="I138" i="2" s="1"/>
  <c r="L156" i="15"/>
  <c r="I66" i="2" s="1"/>
  <c r="I124" i="2" s="1"/>
  <c r="L162" i="15"/>
  <c r="I70" i="2" s="1"/>
  <c r="I126" i="2" s="1"/>
  <c r="L118" i="15"/>
  <c r="I59" i="2" s="1"/>
  <c r="I117" i="2" s="1"/>
  <c r="L130" i="15"/>
  <c r="I80" i="2" s="1"/>
  <c r="I120" i="2" s="1"/>
  <c r="I20" i="2"/>
  <c r="L175" i="15"/>
  <c r="I89" i="2" s="1"/>
  <c r="I129" i="2" s="1"/>
  <c r="L110" i="15"/>
  <c r="I56" i="2" s="1"/>
  <c r="I115" i="2" s="1"/>
  <c r="L40" i="15"/>
  <c r="I21" i="2" s="1"/>
  <c r="L150" i="15"/>
  <c r="I64" i="2" s="1"/>
  <c r="I123" i="2" s="1"/>
  <c r="L102" i="15"/>
  <c r="L172" i="15"/>
  <c r="I87" i="2" s="1"/>
  <c r="I127" i="2" s="1"/>
  <c r="L76" i="15"/>
  <c r="I27" i="2" s="1"/>
  <c r="L89" i="15"/>
  <c r="I34" i="2" s="1"/>
  <c r="L17" i="15"/>
  <c r="L99" i="15"/>
  <c r="I37" i="2" s="1"/>
  <c r="M23" i="16"/>
  <c r="L52" i="15"/>
  <c r="I23" i="2" s="1"/>
  <c r="L142" i="15"/>
  <c r="I54" i="2" s="1"/>
  <c r="I136" i="2" s="1"/>
  <c r="L13" i="15"/>
  <c r="L133" i="15"/>
  <c r="I81" i="2" s="1"/>
  <c r="I140" i="2" s="1"/>
  <c r="L121" i="15"/>
  <c r="I55" i="2" s="1"/>
  <c r="I118" i="2" s="1"/>
  <c r="L153" i="15"/>
  <c r="I65" i="2" s="1"/>
  <c r="I137" i="2" s="1"/>
  <c r="L114" i="15"/>
  <c r="I58" i="2" s="1"/>
  <c r="I116" i="2" s="1"/>
  <c r="L159" i="15"/>
  <c r="I68" i="2" s="1"/>
  <c r="I139" i="2" s="1"/>
  <c r="M100" i="17"/>
  <c r="I100" i="2" s="1"/>
  <c r="L23" i="16"/>
  <c r="L40" i="16"/>
  <c r="L33" i="16" s="1"/>
  <c r="L39" i="16"/>
  <c r="L32" i="16" s="1"/>
  <c r="K18" i="26"/>
  <c r="L38" i="16"/>
  <c r="L63" i="16" s="1"/>
  <c r="I135" i="2"/>
  <c r="L26" i="14"/>
  <c r="L86" i="15"/>
  <c r="I32" i="2" s="1"/>
  <c r="M24" i="14"/>
  <c r="O53" i="6"/>
  <c r="M26" i="14"/>
  <c r="M17" i="15"/>
  <c r="M145" i="15"/>
  <c r="J57" i="2" s="1"/>
  <c r="M159" i="15"/>
  <c r="J68" i="2" s="1"/>
  <c r="M153" i="15"/>
  <c r="J65" i="2" s="1"/>
  <c r="M89" i="15"/>
  <c r="J34" i="2" s="1"/>
  <c r="J20" i="2"/>
  <c r="M28" i="15"/>
  <c r="J19" i="2" s="1"/>
  <c r="M121" i="15"/>
  <c r="J55" i="2" s="1"/>
  <c r="M162" i="15"/>
  <c r="J70" i="2" s="1"/>
  <c r="M126" i="15"/>
  <c r="J77" i="2" s="1"/>
  <c r="M167" i="15"/>
  <c r="J79" i="2" s="1"/>
  <c r="M99" i="15"/>
  <c r="J37" i="2" s="1"/>
  <c r="M130" i="15"/>
  <c r="J80" i="2" s="1"/>
  <c r="M150" i="15"/>
  <c r="J64" i="2" s="1"/>
  <c r="O20" i="17"/>
  <c r="O100" i="17" s="1"/>
  <c r="K100" i="2" s="1"/>
  <c r="L17" i="26"/>
  <c r="L18" i="26" s="1"/>
  <c r="M76" i="15"/>
  <c r="J27" i="2" s="1"/>
  <c r="M13" i="15"/>
  <c r="M52" i="15"/>
  <c r="J23" i="2" s="1"/>
  <c r="M142" i="15"/>
  <c r="J54" i="2" s="1"/>
  <c r="M25" i="16"/>
  <c r="J135" i="2" s="1"/>
  <c r="N100" i="17"/>
  <c r="J100" i="2" s="1"/>
  <c r="N22" i="16"/>
  <c r="N23" i="16" s="1"/>
  <c r="N12" i="15"/>
  <c r="N34" i="15" s="1"/>
  <c r="N23" i="14"/>
  <c r="N24" i="14" s="1"/>
  <c r="M110" i="15" l="1"/>
  <c r="J56" i="2" s="1"/>
  <c r="M40" i="15"/>
  <c r="J21" i="2" s="1"/>
  <c r="M118" i="15"/>
  <c r="J59" i="2" s="1"/>
  <c r="M156" i="15"/>
  <c r="J66" i="2" s="1"/>
  <c r="J124" i="2" s="1"/>
  <c r="M58" i="15"/>
  <c r="J24" i="2" s="1"/>
  <c r="M64" i="15"/>
  <c r="J25" i="2" s="1"/>
  <c r="M114" i="15"/>
  <c r="J58" i="2" s="1"/>
  <c r="J116" i="2" s="1"/>
  <c r="L42" i="14"/>
  <c r="L58" i="14" s="1"/>
  <c r="J134" i="2"/>
  <c r="K29" i="30" s="1"/>
  <c r="M175" i="15"/>
  <c r="J89" i="2" s="1"/>
  <c r="J129" i="2" s="1"/>
  <c r="M133" i="15"/>
  <c r="J81" i="2" s="1"/>
  <c r="M178" i="15"/>
  <c r="M102" i="15"/>
  <c r="M172" i="15"/>
  <c r="J87" i="2" s="1"/>
  <c r="J127" i="2" s="1"/>
  <c r="M46" i="15"/>
  <c r="J22" i="2" s="1"/>
  <c r="M70" i="15"/>
  <c r="J26" i="2" s="1"/>
  <c r="M86" i="15"/>
  <c r="J32" i="2" s="1"/>
  <c r="O22" i="16"/>
  <c r="O23" i="16" s="1"/>
  <c r="M8" i="2"/>
  <c r="N33" i="6"/>
  <c r="N31" i="6"/>
  <c r="N35" i="6"/>
  <c r="N32" i="6"/>
  <c r="N30" i="6"/>
  <c r="N16" i="6"/>
  <c r="N29" i="6"/>
  <c r="O21" i="6"/>
  <c r="N34" i="6"/>
  <c r="O15" i="6"/>
  <c r="J138" i="2"/>
  <c r="I14" i="2"/>
  <c r="J14" i="2"/>
  <c r="M12" i="2"/>
  <c r="J121" i="2"/>
  <c r="J126" i="2"/>
  <c r="J117" i="2"/>
  <c r="I82" i="2"/>
  <c r="J120" i="2"/>
  <c r="I28" i="2"/>
  <c r="J123" i="2"/>
  <c r="J30" i="26"/>
  <c r="N175" i="15"/>
  <c r="K89" i="2" s="1"/>
  <c r="J115" i="2"/>
  <c r="L25" i="15"/>
  <c r="L26" i="15" s="1"/>
  <c r="J136" i="2"/>
  <c r="L40" i="14"/>
  <c r="L33" i="14" s="1"/>
  <c r="J118" i="2"/>
  <c r="J139" i="2"/>
  <c r="J140" i="2"/>
  <c r="L81" i="16"/>
  <c r="J30" i="30"/>
  <c r="J137" i="2"/>
  <c r="I141" i="2"/>
  <c r="L42" i="16"/>
  <c r="L31" i="16"/>
  <c r="L35" i="16" s="1"/>
  <c r="L41" i="14"/>
  <c r="L34" i="14" s="1"/>
  <c r="I134" i="2"/>
  <c r="J29" i="26" s="1"/>
  <c r="L39" i="14"/>
  <c r="L101" i="14" s="1"/>
  <c r="L102" i="14" s="1"/>
  <c r="L103" i="14" s="1"/>
  <c r="O12" i="15"/>
  <c r="O34" i="15" s="1"/>
  <c r="O23" i="14"/>
  <c r="O26" i="14" s="1"/>
  <c r="M17" i="26"/>
  <c r="M18" i="26" s="1"/>
  <c r="P20" i="17"/>
  <c r="P27" i="17" s="1"/>
  <c r="J141" i="2"/>
  <c r="M42" i="14"/>
  <c r="M41" i="14"/>
  <c r="M142" i="14" s="1"/>
  <c r="M40" i="14"/>
  <c r="M124" i="14" s="1"/>
  <c r="M125" i="14" s="1"/>
  <c r="M126" i="14" s="1"/>
  <c r="M39" i="14"/>
  <c r="N142" i="15"/>
  <c r="K54" i="2" s="1"/>
  <c r="K136" i="2" s="1"/>
  <c r="N121" i="15"/>
  <c r="K55" i="2" s="1"/>
  <c r="K118" i="2" s="1"/>
  <c r="N114" i="15"/>
  <c r="K58" i="2" s="1"/>
  <c r="N172" i="15"/>
  <c r="K87" i="2" s="1"/>
  <c r="K127" i="2" s="1"/>
  <c r="N110" i="15"/>
  <c r="K56" i="2" s="1"/>
  <c r="K115" i="2" s="1"/>
  <c r="M41" i="16"/>
  <c r="M34" i="16" s="1"/>
  <c r="K141" i="2"/>
  <c r="J82" i="2"/>
  <c r="N76" i="15"/>
  <c r="K27" i="2" s="1"/>
  <c r="N52" i="15"/>
  <c r="K23" i="2" s="1"/>
  <c r="N86" i="15"/>
  <c r="K32" i="2" s="1"/>
  <c r="N153" i="15"/>
  <c r="K65" i="2" s="1"/>
  <c r="K137" i="2" s="1"/>
  <c r="N46" i="15"/>
  <c r="K22" i="2" s="1"/>
  <c r="N17" i="15"/>
  <c r="N159" i="15"/>
  <c r="K68" i="2" s="1"/>
  <c r="K139" i="2" s="1"/>
  <c r="K20" i="2"/>
  <c r="N178" i="15"/>
  <c r="N130" i="15"/>
  <c r="K80" i="2" s="1"/>
  <c r="K120" i="2" s="1"/>
  <c r="N64" i="15"/>
  <c r="K25" i="2" s="1"/>
  <c r="N99" i="15"/>
  <c r="K37" i="2" s="1"/>
  <c r="J119" i="2"/>
  <c r="N58" i="15"/>
  <c r="K24" i="2" s="1"/>
  <c r="N162" i="15"/>
  <c r="K70" i="2" s="1"/>
  <c r="K126" i="2" s="1"/>
  <c r="N28" i="15"/>
  <c r="K19" i="2" s="1"/>
  <c r="N13" i="15"/>
  <c r="O27" i="17"/>
  <c r="N133" i="15"/>
  <c r="K81" i="2" s="1"/>
  <c r="N167" i="15"/>
  <c r="K79" i="2" s="1"/>
  <c r="K121" i="2" s="1"/>
  <c r="N150" i="15"/>
  <c r="K64" i="2" s="1"/>
  <c r="K123" i="2" s="1"/>
  <c r="M39" i="16"/>
  <c r="M32" i="16" s="1"/>
  <c r="M38" i="16"/>
  <c r="M63" i="16" s="1"/>
  <c r="N118" i="15"/>
  <c r="K59" i="2" s="1"/>
  <c r="K117" i="2" s="1"/>
  <c r="N89" i="15"/>
  <c r="K34" i="2" s="1"/>
  <c r="N145" i="15"/>
  <c r="K57" i="2" s="1"/>
  <c r="K138" i="2" s="1"/>
  <c r="N70" i="15"/>
  <c r="K26" i="2" s="1"/>
  <c r="M40" i="16"/>
  <c r="M81" i="16" s="1"/>
  <c r="N40" i="15"/>
  <c r="K21" i="2" s="1"/>
  <c r="N126" i="15"/>
  <c r="K77" i="2" s="1"/>
  <c r="K119" i="2" s="1"/>
  <c r="N102" i="15"/>
  <c r="N156" i="15"/>
  <c r="K66" i="2" s="1"/>
  <c r="K124" i="2" s="1"/>
  <c r="N26" i="14"/>
  <c r="N25" i="16"/>
  <c r="K135" i="2" s="1"/>
  <c r="L170" i="14" l="1"/>
  <c r="L171" i="14" s="1"/>
  <c r="L172" i="14" s="1"/>
  <c r="K116" i="2"/>
  <c r="L35" i="14"/>
  <c r="K129" i="2"/>
  <c r="L165" i="14"/>
  <c r="K29" i="26"/>
  <c r="J28" i="2"/>
  <c r="O25" i="16"/>
  <c r="L135" i="2" s="1"/>
  <c r="K140" i="2"/>
  <c r="N39" i="14"/>
  <c r="N101" i="14" s="1"/>
  <c r="N102" i="14" s="1"/>
  <c r="N103" i="14" s="1"/>
  <c r="M25" i="15"/>
  <c r="M26" i="15" s="1"/>
  <c r="J15" i="2"/>
  <c r="J16" i="2" s="1"/>
  <c r="I15" i="2"/>
  <c r="I16" i="2" s="1"/>
  <c r="P22" i="16"/>
  <c r="P25" i="16" s="1"/>
  <c r="P39" i="16" s="1"/>
  <c r="O16" i="6"/>
  <c r="O29" i="6"/>
  <c r="O35" i="6"/>
  <c r="O30" i="6"/>
  <c r="O31" i="6"/>
  <c r="N17" i="26"/>
  <c r="N18" i="26" s="1"/>
  <c r="O33" i="6"/>
  <c r="O34" i="6"/>
  <c r="O32" i="6"/>
  <c r="Q20" i="17"/>
  <c r="Q100" i="17" s="1"/>
  <c r="M100" i="2" s="1"/>
  <c r="P12" i="15"/>
  <c r="P34" i="15" s="1"/>
  <c r="M20" i="2" s="1"/>
  <c r="P23" i="14"/>
  <c r="P24" i="14" s="1"/>
  <c r="K14" i="2"/>
  <c r="L124" i="14"/>
  <c r="L125" i="14" s="1"/>
  <c r="L126" i="14" s="1"/>
  <c r="L119" i="14"/>
  <c r="L56" i="14"/>
  <c r="M56" i="14" s="1"/>
  <c r="O110" i="15"/>
  <c r="L56" i="2" s="1"/>
  <c r="L115" i="2" s="1"/>
  <c r="O40" i="15"/>
  <c r="L21" i="2" s="1"/>
  <c r="O145" i="15"/>
  <c r="L57" i="2" s="1"/>
  <c r="L138" i="2" s="1"/>
  <c r="K30" i="30"/>
  <c r="J142" i="2"/>
  <c r="I142" i="2"/>
  <c r="L43" i="14"/>
  <c r="M35" i="14"/>
  <c r="L32" i="14"/>
  <c r="L36" i="14" s="1"/>
  <c r="L147" i="14"/>
  <c r="L148" i="14" s="1"/>
  <c r="L149" i="14" s="1"/>
  <c r="L142" i="14"/>
  <c r="L57" i="14"/>
  <c r="M57" i="14" s="1"/>
  <c r="L55" i="14"/>
  <c r="M55" i="14" s="1"/>
  <c r="J29" i="30"/>
  <c r="L96" i="14"/>
  <c r="P100" i="17"/>
  <c r="L100" i="2" s="1"/>
  <c r="O17" i="15"/>
  <c r="O178" i="15"/>
  <c r="O99" i="15"/>
  <c r="L37" i="2" s="1"/>
  <c r="O130" i="15"/>
  <c r="L80" i="2" s="1"/>
  <c r="L120" i="2" s="1"/>
  <c r="O76" i="15"/>
  <c r="L27" i="2" s="1"/>
  <c r="O159" i="15"/>
  <c r="L68" i="2" s="1"/>
  <c r="L139" i="2" s="1"/>
  <c r="O150" i="15"/>
  <c r="L64" i="2" s="1"/>
  <c r="L123" i="2" s="1"/>
  <c r="O153" i="15"/>
  <c r="L65" i="2" s="1"/>
  <c r="L137" i="2" s="1"/>
  <c r="O52" i="15"/>
  <c r="L23" i="2" s="1"/>
  <c r="O156" i="15"/>
  <c r="L66" i="2" s="1"/>
  <c r="L124" i="2" s="1"/>
  <c r="O46" i="15"/>
  <c r="L22" i="2" s="1"/>
  <c r="O121" i="15"/>
  <c r="L55" i="2" s="1"/>
  <c r="L118" i="2" s="1"/>
  <c r="O24" i="14"/>
  <c r="O28" i="15"/>
  <c r="L19" i="2" s="1"/>
  <c r="O86" i="15"/>
  <c r="L32" i="2" s="1"/>
  <c r="O175" i="15"/>
  <c r="L89" i="2" s="1"/>
  <c r="L129" i="2" s="1"/>
  <c r="O162" i="15"/>
  <c r="L70" i="2" s="1"/>
  <c r="L126" i="2" s="1"/>
  <c r="O172" i="15"/>
  <c r="L87" i="2" s="1"/>
  <c r="L127" i="2" s="1"/>
  <c r="O142" i="15"/>
  <c r="L54" i="2" s="1"/>
  <c r="L136" i="2" s="1"/>
  <c r="O64" i="15"/>
  <c r="L25" i="2" s="1"/>
  <c r="L20" i="2"/>
  <c r="O13" i="15"/>
  <c r="O126" i="15"/>
  <c r="L77" i="2" s="1"/>
  <c r="L119" i="2" s="1"/>
  <c r="O167" i="15"/>
  <c r="L79" i="2" s="1"/>
  <c r="L121" i="2" s="1"/>
  <c r="O114" i="15"/>
  <c r="L58" i="2" s="1"/>
  <c r="L116" i="2" s="1"/>
  <c r="O102" i="15"/>
  <c r="O118" i="15"/>
  <c r="L59" i="2" s="1"/>
  <c r="L117" i="2" s="1"/>
  <c r="O89" i="15"/>
  <c r="L34" i="2" s="1"/>
  <c r="O133" i="15"/>
  <c r="L81" i="2" s="1"/>
  <c r="L140" i="2" s="1"/>
  <c r="O70" i="15"/>
  <c r="L26" i="2" s="1"/>
  <c r="O58" i="15"/>
  <c r="L24" i="2" s="1"/>
  <c r="M34" i="14"/>
  <c r="M58" i="14"/>
  <c r="M165" i="14"/>
  <c r="M170" i="14"/>
  <c r="M171" i="14" s="1"/>
  <c r="M172" i="14" s="1"/>
  <c r="M147" i="14"/>
  <c r="M148" i="14" s="1"/>
  <c r="M149" i="14" s="1"/>
  <c r="M43" i="14"/>
  <c r="M101" i="14"/>
  <c r="M102" i="14" s="1"/>
  <c r="M103" i="14" s="1"/>
  <c r="M96" i="14"/>
  <c r="K30" i="26"/>
  <c r="M33" i="14"/>
  <c r="M119" i="14"/>
  <c r="L30" i="30"/>
  <c r="N39" i="16"/>
  <c r="N32" i="16" s="1"/>
  <c r="M33" i="16"/>
  <c r="K82" i="2"/>
  <c r="M31" i="16"/>
  <c r="N41" i="14"/>
  <c r="N147" i="14" s="1"/>
  <c r="N148" i="14" s="1"/>
  <c r="N149" i="14" s="1"/>
  <c r="N25" i="15"/>
  <c r="N26" i="15" s="1"/>
  <c r="N38" i="16"/>
  <c r="K28" i="2"/>
  <c r="N40" i="14"/>
  <c r="N40" i="16"/>
  <c r="N81" i="16" s="1"/>
  <c r="N42" i="14"/>
  <c r="N165" i="14" s="1"/>
  <c r="M42" i="16"/>
  <c r="K134" i="2"/>
  <c r="L30" i="26"/>
  <c r="N41" i="16"/>
  <c r="N34" i="16" s="1"/>
  <c r="P40" i="16"/>
  <c r="P81" i="16" s="1"/>
  <c r="P38" i="16"/>
  <c r="L134" i="2"/>
  <c r="O40" i="14"/>
  <c r="O42" i="14"/>
  <c r="O41" i="14"/>
  <c r="O39" i="14"/>
  <c r="M135" i="2" l="1"/>
  <c r="N96" i="14"/>
  <c r="O39" i="16"/>
  <c r="O32" i="16" s="1"/>
  <c r="P32" i="16" s="1"/>
  <c r="O41" i="16"/>
  <c r="O34" i="16" s="1"/>
  <c r="O38" i="16"/>
  <c r="O63" i="16" s="1"/>
  <c r="N55" i="14"/>
  <c r="O55" i="14" s="1"/>
  <c r="J29" i="2"/>
  <c r="O40" i="16"/>
  <c r="O81" i="16" s="1"/>
  <c r="E87" i="16" s="1" a="1"/>
  <c r="E89" i="16" s="1"/>
  <c r="P41" i="16"/>
  <c r="P23" i="16"/>
  <c r="I29" i="2"/>
  <c r="K15" i="2"/>
  <c r="K16" i="2" s="1"/>
  <c r="P102" i="15"/>
  <c r="P46" i="15"/>
  <c r="M22" i="2" s="1"/>
  <c r="P142" i="15"/>
  <c r="M54" i="2" s="1"/>
  <c r="M136" i="2" s="1"/>
  <c r="P175" i="15"/>
  <c r="M89" i="2" s="1"/>
  <c r="M129" i="2" s="1"/>
  <c r="P178" i="15"/>
  <c r="P17" i="15"/>
  <c r="M14" i="2" s="1"/>
  <c r="P110" i="15"/>
  <c r="M56" i="2" s="1"/>
  <c r="M115" i="2" s="1"/>
  <c r="P145" i="15"/>
  <c r="M57" i="2" s="1"/>
  <c r="M138" i="2" s="1"/>
  <c r="P76" i="15"/>
  <c r="M27" i="2" s="1"/>
  <c r="P52" i="15"/>
  <c r="M23" i="2" s="1"/>
  <c r="P26" i="14"/>
  <c r="P130" i="15"/>
  <c r="M80" i="2" s="1"/>
  <c r="M120" i="2" s="1"/>
  <c r="P118" i="15"/>
  <c r="M59" i="2" s="1"/>
  <c r="M117" i="2" s="1"/>
  <c r="P13" i="15"/>
  <c r="P40" i="15"/>
  <c r="M21" i="2" s="1"/>
  <c r="P28" i="15"/>
  <c r="M19" i="2" s="1"/>
  <c r="P121" i="15"/>
  <c r="M55" i="2" s="1"/>
  <c r="M118" i="2" s="1"/>
  <c r="P153" i="15"/>
  <c r="M65" i="2" s="1"/>
  <c r="M137" i="2" s="1"/>
  <c r="P99" i="15"/>
  <c r="M37" i="2" s="1"/>
  <c r="P156" i="15"/>
  <c r="M66" i="2" s="1"/>
  <c r="M124" i="2" s="1"/>
  <c r="P64" i="15"/>
  <c r="M25" i="2" s="1"/>
  <c r="P70" i="15"/>
  <c r="M26" i="2" s="1"/>
  <c r="P159" i="15"/>
  <c r="M68" i="2" s="1"/>
  <c r="M139" i="2" s="1"/>
  <c r="P86" i="15"/>
  <c r="M32" i="2" s="1"/>
  <c r="Q27" i="17"/>
  <c r="P172" i="15"/>
  <c r="M87" i="2" s="1"/>
  <c r="M127" i="2" s="1"/>
  <c r="P89" i="15"/>
  <c r="M34" i="2" s="1"/>
  <c r="P58" i="15"/>
  <c r="M24" i="2" s="1"/>
  <c r="P133" i="15"/>
  <c r="M81" i="2" s="1"/>
  <c r="M140" i="2" s="1"/>
  <c r="P150" i="15"/>
  <c r="M64" i="2" s="1"/>
  <c r="M123" i="2" s="1"/>
  <c r="P114" i="15"/>
  <c r="M58" i="2" s="1"/>
  <c r="M116" i="2" s="1"/>
  <c r="P167" i="15"/>
  <c r="M79" i="2" s="1"/>
  <c r="M121" i="2" s="1"/>
  <c r="P162" i="15"/>
  <c r="M70" i="2" s="1"/>
  <c r="M126" i="2" s="1"/>
  <c r="P126" i="15"/>
  <c r="M77" i="2" s="1"/>
  <c r="M119" i="2" s="1"/>
  <c r="L14" i="2"/>
  <c r="M32" i="14"/>
  <c r="N32" i="14" s="1"/>
  <c r="O32" i="14" s="1"/>
  <c r="L59" i="14"/>
  <c r="M141" i="2"/>
  <c r="L141" i="2"/>
  <c r="L142" i="2" s="1"/>
  <c r="L82" i="2"/>
  <c r="O25" i="15"/>
  <c r="O26" i="15" s="1"/>
  <c r="L28" i="2"/>
  <c r="M59" i="14"/>
  <c r="M35" i="16"/>
  <c r="M30" i="30"/>
  <c r="L29" i="26"/>
  <c r="L29" i="30"/>
  <c r="M29" i="30"/>
  <c r="N56" i="14"/>
  <c r="O56" i="14" s="1"/>
  <c r="N31" i="16"/>
  <c r="O31" i="16" s="1"/>
  <c r="N142" i="14"/>
  <c r="K142" i="2"/>
  <c r="N34" i="14"/>
  <c r="O34" i="14" s="1"/>
  <c r="N33" i="14"/>
  <c r="O33" i="14" s="1"/>
  <c r="N119" i="14"/>
  <c r="N33" i="16"/>
  <c r="N124" i="14"/>
  <c r="N125" i="14" s="1"/>
  <c r="N126" i="14" s="1"/>
  <c r="N57" i="14"/>
  <c r="N63" i="16"/>
  <c r="N42" i="16"/>
  <c r="N170" i="14"/>
  <c r="N171" i="14" s="1"/>
  <c r="N172" i="14" s="1"/>
  <c r="N35" i="14"/>
  <c r="O35" i="14" s="1"/>
  <c r="M29" i="26"/>
  <c r="N58" i="14"/>
  <c r="O58" i="14" s="1"/>
  <c r="N43" i="14"/>
  <c r="M30" i="26"/>
  <c r="O96" i="14"/>
  <c r="O43" i="14"/>
  <c r="O101" i="14"/>
  <c r="O102" i="14" s="1"/>
  <c r="O103" i="14" s="1"/>
  <c r="O142" i="14"/>
  <c r="O147" i="14"/>
  <c r="O148" i="14" s="1"/>
  <c r="O149" i="14" s="1"/>
  <c r="P63" i="16"/>
  <c r="P42" i="16"/>
  <c r="O165" i="14"/>
  <c r="O170" i="14"/>
  <c r="O171" i="14" s="1"/>
  <c r="O172" i="14" s="1"/>
  <c r="O119" i="14"/>
  <c r="O124" i="14"/>
  <c r="O125" i="14" s="1"/>
  <c r="O126" i="14" s="1"/>
  <c r="P34" i="16" l="1"/>
  <c r="K29" i="2"/>
  <c r="P41" i="14"/>
  <c r="P147" i="14" s="1"/>
  <c r="P148" i="14" s="1"/>
  <c r="P149" i="14" s="1"/>
  <c r="E153" i="14" s="1" a="1"/>
  <c r="P157" i="14" s="1"/>
  <c r="O42" i="16"/>
  <c r="L15" i="2"/>
  <c r="L16" i="2" s="1"/>
  <c r="P40" i="14"/>
  <c r="P119" i="14" s="1"/>
  <c r="P42" i="14"/>
  <c r="P170" i="14" s="1"/>
  <c r="P171" i="14" s="1"/>
  <c r="P172" i="14" s="1"/>
  <c r="E176" i="14" s="1" a="1"/>
  <c r="N178" i="14" s="1"/>
  <c r="P142" i="14"/>
  <c r="M28" i="2"/>
  <c r="M15" i="2"/>
  <c r="M16" i="2" s="1"/>
  <c r="P39" i="14"/>
  <c r="P101" i="14" s="1"/>
  <c r="P102" i="14" s="1"/>
  <c r="P103" i="14" s="1"/>
  <c r="E107" i="14" s="1" a="1"/>
  <c r="P111" i="14" s="1"/>
  <c r="M134" i="2"/>
  <c r="M142" i="2" s="1"/>
  <c r="M82" i="2"/>
  <c r="P25" i="15"/>
  <c r="P26" i="15" s="1"/>
  <c r="M36" i="14"/>
  <c r="N30" i="26"/>
  <c r="N30" i="30"/>
  <c r="N35" i="16"/>
  <c r="O33" i="16"/>
  <c r="P33" i="16" s="1"/>
  <c r="N59" i="14"/>
  <c r="O57" i="14"/>
  <c r="N36" i="14"/>
  <c r="E90" i="16"/>
  <c r="P90" i="16" s="1"/>
  <c r="E91" i="16"/>
  <c r="P91" i="16" s="1"/>
  <c r="E88" i="16"/>
  <c r="M88" i="16" s="1"/>
  <c r="E87" i="16"/>
  <c r="N87" i="16" s="1"/>
  <c r="E69" i="16" a="1"/>
  <c r="E71" i="16" s="1"/>
  <c r="P31" i="16"/>
  <c r="O36" i="14"/>
  <c r="O89" i="16"/>
  <c r="P89" i="16"/>
  <c r="N89" i="16"/>
  <c r="P57" i="14" l="1"/>
  <c r="P34" i="14"/>
  <c r="L29" i="2"/>
  <c r="P165" i="14"/>
  <c r="P35" i="14"/>
  <c r="P58" i="14"/>
  <c r="P124" i="14"/>
  <c r="P125" i="14" s="1"/>
  <c r="P126" i="14" s="1"/>
  <c r="E130" i="14" s="1" a="1"/>
  <c r="P132" i="14" s="1"/>
  <c r="P56" i="14"/>
  <c r="P33" i="14"/>
  <c r="P43" i="14"/>
  <c r="M29" i="2"/>
  <c r="P96" i="14"/>
  <c r="N29" i="30"/>
  <c r="N29" i="26"/>
  <c r="P55" i="14"/>
  <c r="P32" i="14"/>
  <c r="O90" i="16"/>
  <c r="O35" i="16"/>
  <c r="O59" i="14"/>
  <c r="P35" i="16"/>
  <c r="N88" i="16"/>
  <c r="N92" i="16" s="1"/>
  <c r="N82" i="16" s="1"/>
  <c r="O88" i="16"/>
  <c r="P110" i="14"/>
  <c r="P155" i="14"/>
  <c r="P156" i="14"/>
  <c r="M154" i="14"/>
  <c r="O110" i="14"/>
  <c r="O109" i="14"/>
  <c r="E107" i="14"/>
  <c r="M107" i="14" s="1"/>
  <c r="O178" i="14"/>
  <c r="O108" i="14"/>
  <c r="P179" i="14"/>
  <c r="M177" i="14"/>
  <c r="O154" i="14"/>
  <c r="P109" i="14"/>
  <c r="O179" i="14"/>
  <c r="O177" i="14"/>
  <c r="O156" i="14"/>
  <c r="N109" i="14"/>
  <c r="N177" i="14"/>
  <c r="M108" i="14"/>
  <c r="N108" i="14"/>
  <c r="L87" i="16"/>
  <c r="L92" i="16" s="1"/>
  <c r="L82" i="16" s="1"/>
  <c r="L83" i="16" s="1"/>
  <c r="M80" i="16" s="1"/>
  <c r="P180" i="14"/>
  <c r="M87" i="16"/>
  <c r="M92" i="16" s="1"/>
  <c r="M82" i="16" s="1"/>
  <c r="P177" i="14"/>
  <c r="N155" i="14"/>
  <c r="O155" i="14"/>
  <c r="E153" i="14"/>
  <c r="L153" i="14" s="1"/>
  <c r="L158" i="14" s="1"/>
  <c r="L143" i="14" s="1"/>
  <c r="L144" i="14" s="1"/>
  <c r="M141" i="14" s="1"/>
  <c r="P154" i="14"/>
  <c r="N154" i="14"/>
  <c r="P178" i="14"/>
  <c r="E73" i="16"/>
  <c r="P73" i="16" s="1"/>
  <c r="E69" i="16"/>
  <c r="N69" i="16" s="1"/>
  <c r="E176" i="14"/>
  <c r="P176" i="14" s="1"/>
  <c r="E72" i="16"/>
  <c r="O72" i="16" s="1"/>
  <c r="E70" i="16"/>
  <c r="N70" i="16" s="1"/>
  <c r="P92" i="16"/>
  <c r="P82" i="16" s="1"/>
  <c r="N71" i="16"/>
  <c r="O71" i="16"/>
  <c r="P71" i="16"/>
  <c r="P133" i="14" l="1"/>
  <c r="O133" i="14"/>
  <c r="P59" i="14"/>
  <c r="N131" i="14"/>
  <c r="P134" i="14"/>
  <c r="M131" i="14"/>
  <c r="P131" i="14"/>
  <c r="O131" i="14"/>
  <c r="P36" i="14"/>
  <c r="O132" i="14"/>
  <c r="E130" i="14"/>
  <c r="O130" i="14" s="1"/>
  <c r="N132" i="14"/>
  <c r="O92" i="16"/>
  <c r="O82" i="16" s="1"/>
  <c r="O112" i="14"/>
  <c r="O97" i="14" s="1"/>
  <c r="P112" i="14"/>
  <c r="P97" i="14" s="1"/>
  <c r="M83" i="16"/>
  <c r="N80" i="16" s="1"/>
  <c r="N83" i="16" s="1"/>
  <c r="O80" i="16" s="1"/>
  <c r="N107" i="14"/>
  <c r="N112" i="14" s="1"/>
  <c r="N97" i="14" s="1"/>
  <c r="L107" i="14"/>
  <c r="L112" i="14" s="1"/>
  <c r="L97" i="14" s="1"/>
  <c r="L98" i="14" s="1"/>
  <c r="M95" i="14" s="1"/>
  <c r="M112" i="14"/>
  <c r="M97" i="14" s="1"/>
  <c r="O153" i="14"/>
  <c r="O158" i="14" s="1"/>
  <c r="O143" i="14" s="1"/>
  <c r="P181" i="14"/>
  <c r="P166" i="14" s="1"/>
  <c r="N153" i="14"/>
  <c r="N158" i="14" s="1"/>
  <c r="N143" i="14" s="1"/>
  <c r="P153" i="14"/>
  <c r="P158" i="14" s="1"/>
  <c r="P143" i="14" s="1"/>
  <c r="N176" i="14"/>
  <c r="N181" i="14" s="1"/>
  <c r="N166" i="14" s="1"/>
  <c r="L176" i="14"/>
  <c r="L181" i="14" s="1"/>
  <c r="L166" i="14" s="1"/>
  <c r="L167" i="14" s="1"/>
  <c r="M164" i="14" s="1"/>
  <c r="M153" i="14"/>
  <c r="M158" i="14" s="1"/>
  <c r="M143" i="14" s="1"/>
  <c r="M144" i="14" s="1"/>
  <c r="N141" i="14" s="1"/>
  <c r="P72" i="16"/>
  <c r="P69" i="16"/>
  <c r="M176" i="14"/>
  <c r="M181" i="14" s="1"/>
  <c r="M166" i="14" s="1"/>
  <c r="M69" i="16"/>
  <c r="O69" i="16"/>
  <c r="O176" i="14"/>
  <c r="O181" i="14" s="1"/>
  <c r="O166" i="14" s="1"/>
  <c r="L69" i="16"/>
  <c r="L74" i="16" s="1"/>
  <c r="L64" i="16" s="1"/>
  <c r="L65" i="16" s="1"/>
  <c r="M62" i="16" s="1"/>
  <c r="O70" i="16"/>
  <c r="M70" i="16"/>
  <c r="P70" i="16"/>
  <c r="N74" i="16"/>
  <c r="N64" i="16" s="1"/>
  <c r="N55" i="16" s="1"/>
  <c r="K113" i="2" s="1"/>
  <c r="P135" i="14" l="1"/>
  <c r="P120" i="14" s="1"/>
  <c r="P88" i="14" s="1"/>
  <c r="M112" i="2" s="1"/>
  <c r="N130" i="14"/>
  <c r="N135" i="14" s="1"/>
  <c r="N120" i="14" s="1"/>
  <c r="N88" i="14" s="1"/>
  <c r="K112" i="2" s="1"/>
  <c r="M130" i="14"/>
  <c r="M135" i="14" s="1"/>
  <c r="M120" i="14" s="1"/>
  <c r="L130" i="14"/>
  <c r="L135" i="14" s="1"/>
  <c r="L120" i="14" s="1"/>
  <c r="L121" i="14" s="1"/>
  <c r="M118" i="14" s="1"/>
  <c r="O135" i="14"/>
  <c r="O120" i="14" s="1"/>
  <c r="O88" i="14" s="1"/>
  <c r="L112" i="2" s="1"/>
  <c r="O83" i="16"/>
  <c r="P80" i="16" s="1"/>
  <c r="P83" i="16" s="1"/>
  <c r="N144" i="14"/>
  <c r="O141" i="14" s="1"/>
  <c r="O144" i="14" s="1"/>
  <c r="P141" i="14" s="1"/>
  <c r="P144" i="14" s="1"/>
  <c r="M167" i="14"/>
  <c r="N164" i="14" s="1"/>
  <c r="N167" i="14" s="1"/>
  <c r="O164" i="14" s="1"/>
  <c r="O167" i="14" s="1"/>
  <c r="P164" i="14" s="1"/>
  <c r="P167" i="14" s="1"/>
  <c r="O74" i="16"/>
  <c r="O64" i="16" s="1"/>
  <c r="O55" i="16" s="1"/>
  <c r="L113" i="2" s="1"/>
  <c r="M98" i="14"/>
  <c r="N95" i="14" s="1"/>
  <c r="N98" i="14" s="1"/>
  <c r="O95" i="14" s="1"/>
  <c r="O98" i="14" s="1"/>
  <c r="P95" i="14" s="1"/>
  <c r="P98" i="14" s="1"/>
  <c r="L55" i="16"/>
  <c r="I113" i="2" s="1"/>
  <c r="M74" i="16"/>
  <c r="M64" i="16" s="1"/>
  <c r="M55" i="16" s="1"/>
  <c r="J113" i="2" s="1"/>
  <c r="P74" i="16"/>
  <c r="P64" i="16" s="1"/>
  <c r="P55" i="16" s="1"/>
  <c r="M113" i="2" s="1"/>
  <c r="L88" i="14" l="1"/>
  <c r="L89" i="14" s="1"/>
  <c r="M87" i="14" s="1"/>
  <c r="M88" i="14"/>
  <c r="J112" i="2" s="1"/>
  <c r="K28" i="30" s="1"/>
  <c r="M121" i="14"/>
  <c r="N118" i="14" s="1"/>
  <c r="N121" i="14" s="1"/>
  <c r="O118" i="14" s="1"/>
  <c r="O121" i="14" s="1"/>
  <c r="P118" i="14" s="1"/>
  <c r="P121" i="14" s="1"/>
  <c r="N28" i="30"/>
  <c r="M28" i="26"/>
  <c r="M28" i="30"/>
  <c r="L28" i="26"/>
  <c r="L28" i="30"/>
  <c r="M65" i="16"/>
  <c r="N62" i="16" s="1"/>
  <c r="N65" i="16" s="1"/>
  <c r="O62" i="16" s="1"/>
  <c r="O65" i="16" s="1"/>
  <c r="P62" i="16" s="1"/>
  <c r="P65" i="16" s="1"/>
  <c r="N28" i="26"/>
  <c r="M89" i="14" l="1"/>
  <c r="N87" i="14" s="1"/>
  <c r="N89" i="14" s="1"/>
  <c r="O87" i="14" s="1"/>
  <c r="O89" i="14" s="1"/>
  <c r="P87" i="14" s="1"/>
  <c r="P89" i="14" s="1"/>
  <c r="L12" i="14"/>
  <c r="L13" i="14" s="1"/>
  <c r="I112" i="2"/>
  <c r="J28" i="26" s="1"/>
  <c r="K28" i="26"/>
  <c r="J28" i="30" l="1"/>
  <c r="I63" i="2"/>
  <c r="M12" i="14"/>
  <c r="N12" i="14" s="1"/>
  <c r="N13" i="14" s="1"/>
  <c r="O12" i="14" l="1"/>
  <c r="P12" i="14" s="1"/>
  <c r="K63" i="2"/>
  <c r="M13" i="14"/>
  <c r="J63" i="2"/>
  <c r="L63" i="2" l="1"/>
  <c r="O13" i="14"/>
  <c r="M63" i="2"/>
  <c r="P13" i="14"/>
  <c r="L56" i="16" l="1"/>
  <c r="M54" i="16" l="1"/>
  <c r="L12" i="16"/>
  <c r="L13" i="16" l="1"/>
  <c r="I69" i="2"/>
  <c r="M56" i="16"/>
  <c r="I71" i="2" l="1"/>
  <c r="M12" i="16"/>
  <c r="N54" i="16"/>
  <c r="N56" i="16" s="1"/>
  <c r="M13" i="16" l="1"/>
  <c r="J69" i="2"/>
  <c r="J71" i="2" s="1"/>
  <c r="O54" i="16"/>
  <c r="O56" i="16" s="1"/>
  <c r="N12" i="16"/>
  <c r="N13" i="16" l="1"/>
  <c r="K69" i="2"/>
  <c r="K71" i="2" s="1"/>
  <c r="P54" i="16"/>
  <c r="P56" i="16" s="1"/>
  <c r="P12" i="16" s="1"/>
  <c r="M69" i="2" s="1"/>
  <c r="M71" i="2" s="1"/>
  <c r="O12" i="16"/>
  <c r="O13" i="16" l="1"/>
  <c r="L69" i="2"/>
  <c r="L71" i="2" s="1"/>
  <c r="P13" i="16"/>
  <c r="H202" i="21" l="1"/>
  <c r="H204" i="21" s="1"/>
  <c r="I202" i="21"/>
  <c r="I204" i="21" s="1"/>
  <c r="J202" i="21"/>
  <c r="J204" i="21" s="1"/>
  <c r="J22" i="30" l="1"/>
  <c r="K22" i="30"/>
  <c r="L22" i="30"/>
  <c r="M22" i="30"/>
  <c r="N22" i="30"/>
  <c r="J26" i="30"/>
  <c r="J31" i="30" s="1"/>
  <c r="J33" i="30" s="1"/>
  <c r="L26" i="30"/>
  <c r="L31" i="30" s="1"/>
  <c r="L33" i="30" s="1"/>
  <c r="M26" i="30" l="1"/>
  <c r="M31" i="30" s="1"/>
  <c r="M33" i="30" s="1"/>
  <c r="K26" i="30"/>
  <c r="K31" i="30" s="1"/>
  <c r="K33" i="30" s="1"/>
  <c r="N26" i="30"/>
  <c r="N31" i="30" s="1"/>
  <c r="D39" i="30" s="1"/>
  <c r="D40" i="30" s="1"/>
  <c r="D41" i="30" s="1"/>
  <c r="N39" i="30"/>
  <c r="N40" i="30" s="1"/>
  <c r="N41" i="30" s="1"/>
  <c r="N33" i="30" l="1"/>
  <c r="D42" i="30" s="1"/>
  <c r="D43" i="30" s="1"/>
  <c r="D49" i="30" s="1"/>
  <c r="N42" i="30" l="1"/>
  <c r="N43" i="30" s="1"/>
  <c r="N49" i="30" s="1"/>
  <c r="N51" i="30" s="1"/>
  <c r="D56" i="30" s="1"/>
  <c r="D51" i="30"/>
  <c r="D55" i="30" s="1"/>
  <c r="D57" i="30" l="1"/>
  <c r="C4" i="1" l="1"/>
  <c r="D81" i="26" l="1"/>
  <c r="D4" i="26" s="1"/>
  <c r="G99" i="26"/>
  <c r="C3" i="2"/>
  <c r="I33" i="2"/>
  <c r="J33" i="2"/>
  <c r="K33" i="2"/>
  <c r="L33" i="2"/>
  <c r="M33" i="2"/>
  <c r="I35" i="2"/>
  <c r="J35" i="2"/>
  <c r="K35" i="2"/>
  <c r="L35" i="2"/>
  <c r="M35" i="2"/>
  <c r="I36" i="2"/>
  <c r="J36" i="2"/>
  <c r="K36" i="2"/>
  <c r="L36" i="2"/>
  <c r="M36" i="2"/>
  <c r="I39" i="2"/>
  <c r="J39" i="2"/>
  <c r="K39" i="2"/>
  <c r="L39" i="2"/>
  <c r="M39" i="2"/>
  <c r="I40" i="2"/>
  <c r="J40" i="2"/>
  <c r="K40" i="2"/>
  <c r="L40" i="2"/>
  <c r="M40" i="2"/>
  <c r="I42" i="2"/>
  <c r="J42" i="2"/>
  <c r="K42" i="2"/>
  <c r="L42" i="2"/>
  <c r="M42" i="2"/>
  <c r="I43" i="2"/>
  <c r="J43" i="2"/>
  <c r="K43" i="2"/>
  <c r="L43" i="2"/>
  <c r="M43" i="2"/>
  <c r="I45" i="2"/>
  <c r="J45" i="2"/>
  <c r="K45" i="2"/>
  <c r="L45" i="2"/>
  <c r="M45" i="2"/>
  <c r="I46" i="2"/>
  <c r="J46" i="2"/>
  <c r="K46" i="2"/>
  <c r="L46" i="2"/>
  <c r="M46" i="2"/>
  <c r="I53" i="2"/>
  <c r="J53" i="2"/>
  <c r="K53" i="2"/>
  <c r="L53" i="2"/>
  <c r="M53" i="2"/>
  <c r="I60" i="2"/>
  <c r="J60" i="2"/>
  <c r="K60" i="2"/>
  <c r="L60" i="2"/>
  <c r="M60" i="2"/>
  <c r="I73" i="2"/>
  <c r="J73" i="2"/>
  <c r="K73" i="2"/>
  <c r="L73" i="2"/>
  <c r="M73" i="2"/>
  <c r="I86" i="2"/>
  <c r="J86" i="2"/>
  <c r="K86" i="2"/>
  <c r="L86" i="2"/>
  <c r="M86" i="2"/>
  <c r="I93" i="2"/>
  <c r="J93" i="2"/>
  <c r="K93" i="2"/>
  <c r="L93" i="2"/>
  <c r="M93" i="2"/>
  <c r="I95" i="2"/>
  <c r="J95" i="2"/>
  <c r="K95" i="2"/>
  <c r="L95" i="2"/>
  <c r="M95" i="2"/>
  <c r="I99" i="2"/>
  <c r="J99" i="2"/>
  <c r="K99" i="2"/>
  <c r="L99" i="2"/>
  <c r="M99" i="2"/>
  <c r="I101" i="2"/>
  <c r="J101" i="2"/>
  <c r="K101" i="2"/>
  <c r="L101" i="2"/>
  <c r="M101" i="2"/>
  <c r="I103" i="2"/>
  <c r="J103" i="2"/>
  <c r="K103" i="2"/>
  <c r="L103" i="2"/>
  <c r="M103" i="2"/>
  <c r="I104" i="2"/>
  <c r="J104" i="2"/>
  <c r="K104" i="2"/>
  <c r="L104" i="2"/>
  <c r="M104" i="2"/>
  <c r="I110" i="2"/>
  <c r="J110" i="2"/>
  <c r="K110" i="2"/>
  <c r="L110" i="2"/>
  <c r="M110" i="2"/>
  <c r="I131" i="2"/>
  <c r="J131" i="2"/>
  <c r="K131" i="2"/>
  <c r="L131" i="2"/>
  <c r="M131" i="2"/>
  <c r="I146" i="2"/>
  <c r="J146" i="2"/>
  <c r="K146" i="2"/>
  <c r="L146" i="2"/>
  <c r="M146" i="2"/>
  <c r="I147" i="2"/>
  <c r="J147" i="2"/>
  <c r="K147" i="2"/>
  <c r="L147" i="2"/>
  <c r="M147" i="2"/>
  <c r="I148" i="2"/>
  <c r="J148" i="2"/>
  <c r="K148" i="2"/>
  <c r="L148" i="2"/>
  <c r="M148" i="2"/>
  <c r="I152" i="2"/>
  <c r="J152" i="2"/>
  <c r="K152" i="2"/>
  <c r="L152" i="2"/>
  <c r="M152" i="2"/>
  <c r="J153" i="2"/>
  <c r="K153" i="2"/>
  <c r="L153" i="2"/>
  <c r="M153" i="2"/>
  <c r="I154" i="2"/>
  <c r="J154" i="2"/>
  <c r="K154" i="2"/>
  <c r="L154" i="2"/>
  <c r="M154" i="2"/>
  <c r="C15" i="1"/>
  <c r="C16" i="1"/>
  <c r="C17" i="1"/>
  <c r="C18" i="1"/>
  <c r="C20" i="1"/>
  <c r="D3" i="26"/>
  <c r="J20" i="26"/>
  <c r="K20" i="26"/>
  <c r="L20" i="26"/>
  <c r="M20" i="26"/>
  <c r="N20" i="26"/>
  <c r="J21" i="26"/>
  <c r="K21" i="26"/>
  <c r="L21" i="26"/>
  <c r="M21" i="26"/>
  <c r="N21" i="26"/>
  <c r="J23" i="26"/>
  <c r="K23" i="26"/>
  <c r="L23" i="26"/>
  <c r="M23" i="26"/>
  <c r="N23" i="26"/>
  <c r="J24" i="26"/>
  <c r="K24" i="26"/>
  <c r="L24" i="26"/>
  <c r="M24" i="26"/>
  <c r="N24" i="26"/>
  <c r="J27" i="26"/>
  <c r="K27" i="26"/>
  <c r="L27" i="26"/>
  <c r="M27" i="26"/>
  <c r="N27" i="26"/>
  <c r="J31" i="26"/>
  <c r="K31" i="26"/>
  <c r="L31" i="26"/>
  <c r="M31" i="26"/>
  <c r="N31" i="26"/>
  <c r="J33" i="26"/>
  <c r="K33" i="26"/>
  <c r="L33" i="26"/>
  <c r="M33" i="26"/>
  <c r="N33" i="26"/>
  <c r="D39" i="26"/>
  <c r="N39" i="26"/>
  <c r="D40" i="26"/>
  <c r="N40" i="26"/>
  <c r="D41" i="26"/>
  <c r="N41" i="26"/>
  <c r="D42" i="26"/>
  <c r="N42" i="26"/>
  <c r="D43" i="26"/>
  <c r="N43" i="26"/>
  <c r="D49" i="26"/>
  <c r="N49" i="26"/>
  <c r="D51" i="26"/>
  <c r="N51" i="26"/>
  <c r="D53" i="26"/>
  <c r="N53" i="26"/>
  <c r="D58" i="26"/>
  <c r="D66" i="26"/>
  <c r="D76" i="26"/>
  <c r="D77" i="26"/>
  <c r="D78" i="26"/>
  <c r="D84" i="26"/>
  <c r="D85" i="26"/>
  <c r="D86" i="26"/>
  <c r="D88" i="26"/>
  <c r="D91" i="26"/>
  <c r="D92" i="26"/>
  <c r="D94" i="26"/>
  <c r="G100" i="26"/>
  <c r="G101" i="26"/>
  <c r="G102" i="26"/>
  <c r="E3" i="17"/>
  <c r="M12" i="17"/>
  <c r="N12" i="17"/>
  <c r="O12" i="17"/>
  <c r="P12" i="17"/>
  <c r="Q12" i="17"/>
  <c r="M13" i="17"/>
  <c r="N13" i="17"/>
  <c r="O13" i="17"/>
  <c r="P13" i="17"/>
  <c r="Q13" i="17"/>
  <c r="N22" i="17"/>
  <c r="O22" i="17"/>
  <c r="P22" i="17"/>
  <c r="Q22" i="17"/>
  <c r="M23" i="17"/>
  <c r="N23" i="17"/>
  <c r="O23" i="17"/>
  <c r="P23" i="17"/>
  <c r="Q23" i="17"/>
  <c r="M28" i="17"/>
  <c r="N28" i="17"/>
  <c r="O28" i="17"/>
  <c r="P28" i="17"/>
  <c r="Q28" i="17"/>
  <c r="M32" i="17"/>
  <c r="N32" i="17"/>
  <c r="O32" i="17"/>
  <c r="P32" i="17"/>
  <c r="Q32" i="17"/>
  <c r="M33" i="17"/>
  <c r="N33" i="17"/>
  <c r="O33" i="17"/>
  <c r="P33" i="17"/>
  <c r="Q33" i="17"/>
  <c r="M34" i="17"/>
  <c r="N34" i="17"/>
  <c r="O34" i="17"/>
  <c r="P34" i="17"/>
  <c r="Q34" i="17"/>
  <c r="N38" i="17"/>
  <c r="O38" i="17"/>
  <c r="P38" i="17"/>
  <c r="Q38" i="17"/>
  <c r="M39" i="17"/>
  <c r="N39" i="17"/>
  <c r="O39" i="17"/>
  <c r="P39" i="17"/>
  <c r="Q39" i="17"/>
  <c r="M41" i="17"/>
  <c r="N41" i="17"/>
  <c r="O41" i="17"/>
  <c r="P41" i="17"/>
  <c r="Q41" i="17"/>
  <c r="E56" i="17" a="1"/>
  <c r="E56" i="17"/>
  <c r="E74" i="17" a="1"/>
  <c r="E74" i="17"/>
  <c r="M74" i="17"/>
  <c r="N74" i="17"/>
  <c r="O74" i="17"/>
  <c r="P74" i="17"/>
  <c r="Q74" i="17"/>
  <c r="M75" i="17"/>
  <c r="N75" i="17"/>
  <c r="O75" i="17"/>
  <c r="P75" i="17"/>
  <c r="Q75" i="17"/>
  <c r="M76" i="17"/>
  <c r="N76" i="17"/>
  <c r="O76" i="17"/>
  <c r="P76" i="17"/>
  <c r="Q76" i="17"/>
  <c r="M77" i="17"/>
  <c r="N77" i="17"/>
  <c r="O77" i="17"/>
  <c r="P77" i="17"/>
  <c r="Q77" i="17"/>
  <c r="M78" i="17"/>
  <c r="N78" i="17"/>
  <c r="O78" i="17"/>
  <c r="P78" i="17"/>
  <c r="Q78" i="17"/>
  <c r="M80" i="17"/>
  <c r="N80" i="17"/>
  <c r="O80" i="17"/>
  <c r="P80" i="17"/>
  <c r="Q80" i="17"/>
  <c r="N85" i="17"/>
  <c r="O85" i="17"/>
  <c r="P85" i="17"/>
  <c r="Q85" i="17"/>
  <c r="M86" i="17"/>
  <c r="N86" i="17"/>
  <c r="O86" i="17"/>
  <c r="P86" i="17"/>
  <c r="Q86" i="17"/>
  <c r="M87" i="17"/>
  <c r="N87" i="17"/>
  <c r="O87" i="17"/>
  <c r="P87" i="17"/>
  <c r="Q87" i="17"/>
  <c r="M89" i="17"/>
  <c r="N89" i="17"/>
  <c r="O89" i="17"/>
  <c r="P89" i="17"/>
  <c r="Q89" i="17"/>
  <c r="M106" i="17"/>
  <c r="N106" i="17"/>
  <c r="O106" i="17"/>
  <c r="P106" i="17"/>
  <c r="Q106" i="17"/>
  <c r="F3" i="16"/>
  <c r="F3" i="14"/>
  <c r="F3" i="15"/>
  <c r="L94" i="15"/>
  <c r="M94" i="15"/>
  <c r="N94" i="15"/>
  <c r="O94" i="15"/>
  <c r="P94" i="15"/>
  <c r="L96" i="15"/>
  <c r="M96" i="15"/>
  <c r="N96" i="15"/>
  <c r="O96" i="15"/>
  <c r="P96" i="15"/>
  <c r="L138" i="15"/>
  <c r="M138" i="15"/>
  <c r="N138" i="15"/>
  <c r="O138" i="15"/>
  <c r="P138" i="15"/>
  <c r="E3" i="6"/>
  <c r="D3" i="30"/>
  <c r="D4" i="30"/>
  <c r="E3" i="31"/>
  <c r="C3" i="28"/>
  <c r="C3" i="21"/>
  <c r="F198" i="21"/>
  <c r="G198" i="21"/>
  <c r="F202" i="21"/>
  <c r="G202" i="21"/>
  <c r="L202" i="21"/>
  <c r="M202" i="21"/>
  <c r="F204" i="21"/>
  <c r="G204" i="21"/>
  <c r="L204" i="21"/>
  <c r="M204" i="21"/>
  <c r="D3" i="24"/>
  <c r="K31" i="24"/>
  <c r="L31" i="24"/>
  <c r="M31" i="24"/>
  <c r="N31" i="24"/>
  <c r="O31" i="24"/>
  <c r="K32" i="24"/>
  <c r="L32" i="24"/>
  <c r="M32" i="24"/>
  <c r="N32" i="24"/>
  <c r="O32" i="24"/>
  <c r="K33" i="24"/>
  <c r="L33" i="24"/>
  <c r="M33" i="24"/>
  <c r="N33" i="24"/>
  <c r="O33" i="2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<sst xmlns="http://schemas.openxmlformats.org/spreadsheetml/2006/main" count="15656" uniqueCount="2100">
  <si>
    <t>Last Updated:</t>
  </si>
  <si>
    <t>COMPANY INFORMATION</t>
  </si>
  <si>
    <t>Company Name:</t>
  </si>
  <si>
    <t>Grab Holdings Limited</t>
  </si>
  <si>
    <t>Exchange:</t>
  </si>
  <si>
    <t>NASDAQ</t>
  </si>
  <si>
    <t>Ticker:</t>
  </si>
  <si>
    <t>GRAB</t>
  </si>
  <si>
    <t>Applied Currency:</t>
  </si>
  <si>
    <t>USD Mn</t>
  </si>
  <si>
    <t>Scenario:</t>
  </si>
  <si>
    <t>Base Case</t>
  </si>
  <si>
    <t>Valuation</t>
  </si>
  <si>
    <t>DCF - Perpetual Growth Method</t>
  </si>
  <si>
    <t>DCF - Exit Multiple Method</t>
  </si>
  <si>
    <t>Relative Valuation - EV/CY 2026 EBITDA</t>
  </si>
  <si>
    <t>Target Price</t>
  </si>
  <si>
    <t>Current Price:</t>
  </si>
  <si>
    <t>Upside/(Downside):</t>
  </si>
  <si>
    <t>BUSINESS DESCRIPTION</t>
  </si>
  <si>
    <t>Grab is a Singapore-based technology company that began as a ride-hailing service and has evolved into a leading super app in Southeast Asia, now offering a broad suite of services including transportation, food and package delivery, and digital payments. The firm's success and research focus span technology innovation, market strategy, competitive positioning, AI applications, and economic impact studies across its regional markets</t>
  </si>
  <si>
    <t>STYLE GUIDE</t>
  </si>
  <si>
    <t>Number Format</t>
  </si>
  <si>
    <t>General Format</t>
  </si>
  <si>
    <t>Colour Format</t>
  </si>
  <si>
    <t>_(0.0%_);(0.0%);-</t>
  </si>
  <si>
    <t xml:space="preserve">Hardcoded Numbers </t>
  </si>
  <si>
    <t>#0000FF</t>
  </si>
  <si>
    <t>_(* #,##0.0_);_(* (#,##0.0);_(* "-"??_);_(@_)</t>
  </si>
  <si>
    <t>Assumptions</t>
  </si>
  <si>
    <t>#FFFFCC</t>
  </si>
  <si>
    <t>#,##0.0"x";(#,##0.0)"x"</t>
  </si>
  <si>
    <t>10.0x</t>
  </si>
  <si>
    <t>From Another Sheet</t>
  </si>
  <si>
    <t>#00B050</t>
  </si>
  <si>
    <t>"$"#,##0.00</t>
  </si>
  <si>
    <t>$10.55</t>
  </si>
  <si>
    <t>Dollar Values</t>
  </si>
  <si>
    <t>#000000</t>
  </si>
  <si>
    <t>#,##0.0;(#,##0.0)</t>
  </si>
  <si>
    <t>Formula</t>
  </si>
  <si>
    <t>Adjustments:</t>
  </si>
  <si>
    <t>12M Target Price:</t>
  </si>
  <si>
    <t>Historical (31 Dec)</t>
  </si>
  <si>
    <t>Forecasted (31 Dec)</t>
  </si>
  <si>
    <t>Units</t>
  </si>
  <si>
    <t>Notes:</t>
  </si>
  <si>
    <t>Deliveries</t>
  </si>
  <si>
    <t>USD Mns</t>
  </si>
  <si>
    <t>Mobility</t>
  </si>
  <si>
    <t>Financial Services</t>
  </si>
  <si>
    <t>Enterprise, Others and New Initiatives</t>
  </si>
  <si>
    <t>Total Revenues</t>
  </si>
  <si>
    <t>Cost of Revenues</t>
  </si>
  <si>
    <t>Gross Profit</t>
  </si>
  <si>
    <t>Gross Profit Margin</t>
  </si>
  <si>
    <t>%</t>
  </si>
  <si>
    <t>x</t>
  </si>
  <si>
    <t>Operating Items</t>
  </si>
  <si>
    <t>Sales and Marketing Expenses</t>
  </si>
  <si>
    <t>General and Administrative Expenses</t>
  </si>
  <si>
    <t>Research and Development Expenses</t>
  </si>
  <si>
    <t>Other Income</t>
  </si>
  <si>
    <t>Other Expenses</t>
  </si>
  <si>
    <t>Net Impairment Losses on Financial Assets</t>
  </si>
  <si>
    <t>Restructuring Costs</t>
  </si>
  <si>
    <t>Net Change in Fair Value of Financial Assets and Liabilities</t>
  </si>
  <si>
    <t>Share Listing and Associated Expenses</t>
  </si>
  <si>
    <t>Total Operating Items:</t>
  </si>
  <si>
    <t>Operating Income</t>
  </si>
  <si>
    <t>Non-Operating Items</t>
  </si>
  <si>
    <t>Non-operating Income/expense</t>
  </si>
  <si>
    <t>Finance Costs</t>
  </si>
  <si>
    <t>Finance Income</t>
  </si>
  <si>
    <t>Earnings Before Tax</t>
  </si>
  <si>
    <t>Provision for Income Tax</t>
  </si>
  <si>
    <t>Share of Loss of Equity Accounted Investee (net of Tax)</t>
  </si>
  <si>
    <t>Minority Interest (After Tax)</t>
  </si>
  <si>
    <t>Net Income</t>
  </si>
  <si>
    <t>EBIT</t>
  </si>
  <si>
    <t>EBIT Margin</t>
  </si>
  <si>
    <t>EBITDA</t>
  </si>
  <si>
    <t>EBITDA Margin</t>
  </si>
  <si>
    <t>Balance Sheet</t>
  </si>
  <si>
    <t>Assets</t>
  </si>
  <si>
    <t>Current Assets:</t>
  </si>
  <si>
    <t>Cash and Cash Equivalents</t>
  </si>
  <si>
    <t>Other Investments</t>
  </si>
  <si>
    <t>Deposits Prepayments and Other Assets</t>
  </si>
  <si>
    <t>Trade and Other Receivables</t>
  </si>
  <si>
    <t>Loan receivables in the Financial Services segment</t>
  </si>
  <si>
    <t>Inventories</t>
  </si>
  <si>
    <t>Prepayments and Other Assets</t>
  </si>
  <si>
    <t>Total Current Assets</t>
  </si>
  <si>
    <t>Non-Current Assets:</t>
  </si>
  <si>
    <t>Property, Plant and Equipment</t>
  </si>
  <si>
    <t>Associates and Joint Ventures</t>
  </si>
  <si>
    <t>Deferred Tax Assets</t>
  </si>
  <si>
    <t>Other Receivables</t>
  </si>
  <si>
    <t>Intangible Assets and Goodwill</t>
  </si>
  <si>
    <t>Total Non-Current Assets</t>
  </si>
  <si>
    <t>Total Assets</t>
  </si>
  <si>
    <t>Liabilities</t>
  </si>
  <si>
    <t>Current Liabilities:</t>
  </si>
  <si>
    <t>Trade and Other Payables</t>
  </si>
  <si>
    <t>Loans and Borrowings</t>
  </si>
  <si>
    <t>Current Tax Liabilities</t>
  </si>
  <si>
    <t>Provisions</t>
  </si>
  <si>
    <t>Deposits from Customers in the Banking Business</t>
  </si>
  <si>
    <t>Total Current Liabilities</t>
  </si>
  <si>
    <t>Non-Current Liabilities:</t>
  </si>
  <si>
    <t>Convertible Redeemable Preference Shares</t>
  </si>
  <si>
    <t>Deferred Tax Liabilities</t>
  </si>
  <si>
    <t>Minority Interest</t>
  </si>
  <si>
    <t>Other Liabilities</t>
  </si>
  <si>
    <t>Other Payables</t>
  </si>
  <si>
    <t>Total Non-Current Liabilities</t>
  </si>
  <si>
    <t>Total Liabilities</t>
  </si>
  <si>
    <t>Shareholders' Equity</t>
  </si>
  <si>
    <t>Common Stock - Par Value</t>
  </si>
  <si>
    <t>Accumulated Losses</t>
  </si>
  <si>
    <t>Reserves</t>
  </si>
  <si>
    <t>Total Shareholders' Equity</t>
  </si>
  <si>
    <t>Total Liabilities &amp; Shareholders' Equity</t>
  </si>
  <si>
    <t>Balance Check</t>
  </si>
  <si>
    <t>Statement of Cash Flows</t>
  </si>
  <si>
    <t>Cash Flow From Operating Activities</t>
  </si>
  <si>
    <t>Depreciation of Property, Plant and Equipment</t>
  </si>
  <si>
    <t>Amortization of Intangible Assets</t>
  </si>
  <si>
    <t>Changes in Operating Working Capital:</t>
  </si>
  <si>
    <t>(Increase)/Decrease in Trade and Other Receivables</t>
  </si>
  <si>
    <t>(Increase)/Decrease in Inventories</t>
  </si>
  <si>
    <t>(Increase)/Decrease in Prepayments and Other Assets</t>
  </si>
  <si>
    <t>(Increase)/Decrease in Deposits, Prepayments and Other Assets</t>
  </si>
  <si>
    <t>(Increase)/Decrease in Trade and Other Payables</t>
  </si>
  <si>
    <t>(Increase)/Decrease in Provisions (Current)</t>
  </si>
  <si>
    <t>(Increase)/Decrease in Current Tax Liabilities</t>
  </si>
  <si>
    <t>Changes in Other Operating Items:</t>
  </si>
  <si>
    <t>(Increase)/Decrease in Associates and Joint Ventures</t>
  </si>
  <si>
    <t>(Increase)/Decrease in Deferred Tax Assets</t>
  </si>
  <si>
    <t>(Increase)/Decrease in Other Receivables</t>
  </si>
  <si>
    <t>(Increase)/Decrease in Deposits, Prepayments and Other Assets (Non-Current)</t>
  </si>
  <si>
    <t>(Increase)/Decrease in Deferred Tax Liabilities</t>
  </si>
  <si>
    <t>(Increase)/Decrease in Provisions (Non-Current)</t>
  </si>
  <si>
    <t>(Increase)/Decrease in Other Liabilities (Non-Current)</t>
  </si>
  <si>
    <t>(Increase)/Decrease in Other Payables (Non-Current)</t>
  </si>
  <si>
    <t>Cash Flow From Investing Activities</t>
  </si>
  <si>
    <t>Purchase of Property, Plant and Equipment</t>
  </si>
  <si>
    <t>Purchase of Intangible Assets and Goodwill</t>
  </si>
  <si>
    <t>(Increase)/Decrease in Other Investments (Current)</t>
  </si>
  <si>
    <t>(Increase)/Decrease in Other Investments (Non-Current)</t>
  </si>
  <si>
    <t>(Increase)/Decrease in Investments in Deposits from Customers in the Banking Business</t>
  </si>
  <si>
    <t>(Increase)/Decrease in Investments in Reserves</t>
  </si>
  <si>
    <t>Cash Flow From Financing Activities</t>
  </si>
  <si>
    <t>Debt Payments</t>
  </si>
  <si>
    <t>Debt Financing</t>
  </si>
  <si>
    <t>Equity Financing</t>
  </si>
  <si>
    <t>Changes in Cash and Equivalents</t>
  </si>
  <si>
    <t>(+) Foreign Exchange Rate Effect on Cash and Cash Equivalents</t>
  </si>
  <si>
    <t>Cash Flow Net Changes in Cash</t>
  </si>
  <si>
    <t>(+) Cash and Cash Equivalents, BOP</t>
  </si>
  <si>
    <t>Cash and Cash Equivalents, EOP</t>
  </si>
  <si>
    <t>Fiscal year end date</t>
  </si>
  <si>
    <t>WACC Summary</t>
  </si>
  <si>
    <t>Country/Region</t>
  </si>
  <si>
    <t>Yield</t>
  </si>
  <si>
    <r>
      <t>Risk Free Rate</t>
    </r>
    <r>
      <rPr>
        <vertAlign val="superscript"/>
        <sz val="12"/>
        <color theme="1"/>
        <rFont val="Segoe UI"/>
        <family val="2"/>
      </rPr>
      <t>(1)</t>
    </r>
  </si>
  <si>
    <t>USA</t>
  </si>
  <si>
    <t>Trading Currency in USD, so use the US 10Y Note</t>
  </si>
  <si>
    <t>Tax Rate</t>
  </si>
  <si>
    <t xml:space="preserve">WACC Calculation </t>
  </si>
  <si>
    <t>D/E</t>
  </si>
  <si>
    <t>After-Tax</t>
  </si>
  <si>
    <t>Weightage</t>
  </si>
  <si>
    <t>Capital Structure</t>
  </si>
  <si>
    <t>Ratio</t>
  </si>
  <si>
    <t>%Debt</t>
  </si>
  <si>
    <t>%Equity</t>
  </si>
  <si>
    <t>COD</t>
  </si>
  <si>
    <t>COE</t>
  </si>
  <si>
    <t>WACC</t>
  </si>
  <si>
    <t>(%)</t>
  </si>
  <si>
    <t>Target Capital Structure - Current D/E</t>
  </si>
  <si>
    <t>Target Capital Structure - Median Comps D/E</t>
  </si>
  <si>
    <t xml:space="preserve">Cost of Debt </t>
  </si>
  <si>
    <t>Synthetic Rating Method</t>
  </si>
  <si>
    <t>ICR Calculation</t>
  </si>
  <si>
    <t xml:space="preserve">Interest Expense </t>
  </si>
  <si>
    <t xml:space="preserve">Interest Coverage Ratio </t>
  </si>
  <si>
    <t>Risk-Free Rate - US 10Y Government Bond Yield</t>
  </si>
  <si>
    <t>Rating</t>
  </si>
  <si>
    <t>Default Risk Spread</t>
  </si>
  <si>
    <t>Weight</t>
  </si>
  <si>
    <t>Average ICR</t>
  </si>
  <si>
    <t>Synthetic Credit Rating</t>
  </si>
  <si>
    <t>Actual Credit Rating</t>
  </si>
  <si>
    <t>BB-/Ba3</t>
  </si>
  <si>
    <t>Final Risk Spread</t>
  </si>
  <si>
    <t>Default risk spread - Damodaran's Estimates</t>
  </si>
  <si>
    <t xml:space="preserve">Pre-Tax Cost of Debt </t>
  </si>
  <si>
    <t xml:space="preserve">After-Tax Cost of Debt </t>
  </si>
  <si>
    <t xml:space="preserve"> </t>
  </si>
  <si>
    <t>Cost of Equity</t>
  </si>
  <si>
    <t>Capital Asset Pricing Model (CAPM)</t>
  </si>
  <si>
    <t xml:space="preserve">Risk Free Rate </t>
  </si>
  <si>
    <t>Beta</t>
  </si>
  <si>
    <t>Weighted Average Beta</t>
  </si>
  <si>
    <t>Levered Beta</t>
  </si>
  <si>
    <t xml:space="preserve">Equity Risk Premium </t>
  </si>
  <si>
    <t>Regression Beta</t>
  </si>
  <si>
    <t>Country Risk Premium</t>
  </si>
  <si>
    <t>Weighted Beta</t>
  </si>
  <si>
    <t>Identified Peer Group</t>
  </si>
  <si>
    <t>Levered</t>
  </si>
  <si>
    <t>BV</t>
  </si>
  <si>
    <t xml:space="preserve">Cost of </t>
  </si>
  <si>
    <t>Debt</t>
  </si>
  <si>
    <t>Interest</t>
  </si>
  <si>
    <t>MV</t>
  </si>
  <si>
    <t>Market</t>
  </si>
  <si>
    <t>Tax</t>
  </si>
  <si>
    <t>Unlevered</t>
  </si>
  <si>
    <t xml:space="preserve">Name </t>
  </si>
  <si>
    <t>Country</t>
  </si>
  <si>
    <t xml:space="preserve">Ticker </t>
  </si>
  <si>
    <t>Maturity</t>
  </si>
  <si>
    <t>Expense</t>
  </si>
  <si>
    <t>Capitalisation</t>
  </si>
  <si>
    <t>Rate</t>
  </si>
  <si>
    <t>Germany</t>
  </si>
  <si>
    <t>XTRA:DHER</t>
  </si>
  <si>
    <t>Singapore</t>
  </si>
  <si>
    <t>NYSE:SE</t>
  </si>
  <si>
    <t>Indonesia</t>
  </si>
  <si>
    <t>IDX:GOTO</t>
  </si>
  <si>
    <t>Average</t>
  </si>
  <si>
    <t xml:space="preserve">Median </t>
  </si>
  <si>
    <t>SGX:C52</t>
  </si>
  <si>
    <t>IDX:BIRD</t>
  </si>
  <si>
    <t>Thailand</t>
  </si>
  <si>
    <t>SET:BTS</t>
  </si>
  <si>
    <t>IDX:ARTO</t>
  </si>
  <si>
    <t>SGX:D05</t>
  </si>
  <si>
    <t>SGX:U11</t>
  </si>
  <si>
    <t>Philippines</t>
  </si>
  <si>
    <t>PSE:TEL</t>
  </si>
  <si>
    <t>SET:KBANK</t>
  </si>
  <si>
    <t>NasdaqGS:GRAB</t>
  </si>
  <si>
    <t>Revenue Split</t>
  </si>
  <si>
    <t>Unlevered Beta:</t>
  </si>
  <si>
    <t>Revenue:</t>
  </si>
  <si>
    <t>Revenue Split:</t>
  </si>
  <si>
    <t>D/E Ratio</t>
  </si>
  <si>
    <t>Equity Risk Premium</t>
  </si>
  <si>
    <t>Revenue</t>
  </si>
  <si>
    <t>ERP</t>
  </si>
  <si>
    <t>(USD Mn)</t>
  </si>
  <si>
    <t>Malaysia</t>
  </si>
  <si>
    <t>Vietnam</t>
  </si>
  <si>
    <t>Rest of Southeast Asia</t>
  </si>
  <si>
    <t>Cambodia</t>
  </si>
  <si>
    <t>Laos</t>
  </si>
  <si>
    <t>CRP</t>
  </si>
  <si>
    <t>Revenue Weighted Tax Rate</t>
  </si>
  <si>
    <t>12M Target Price</t>
  </si>
  <si>
    <t>Scenario</t>
  </si>
  <si>
    <t>EV/EBITDA</t>
  </si>
  <si>
    <t>EV/Revenue</t>
  </si>
  <si>
    <t>P/E</t>
  </si>
  <si>
    <t>LTM</t>
  </si>
  <si>
    <t>Comments:</t>
  </si>
  <si>
    <t>All values which returned "NM" were manually recomputed to zero</t>
  </si>
  <si>
    <t>Due to a lack of publicly traded comparables, Gojek was included as a competitor in certain markets which it may have exited from previously</t>
  </si>
  <si>
    <t>Median</t>
  </si>
  <si>
    <t>1st Quartile</t>
  </si>
  <si>
    <t>3rd Quartile</t>
  </si>
  <si>
    <t>Mobility Segment Comparables</t>
  </si>
  <si>
    <t>Weightage:</t>
  </si>
  <si>
    <t>Rest  of Southeast Asia Comps were derived by getting the median value of all other operating countries due to the lack of publicly available data of the Competitors within the region.</t>
  </si>
  <si>
    <t>Mobility Segment (Median)</t>
  </si>
  <si>
    <t>Delivery Segment Comparables</t>
  </si>
  <si>
    <t>Deliveries Segment (Median)</t>
  </si>
  <si>
    <t>Financial Services Comparables</t>
  </si>
  <si>
    <t>Financial Services Segment (Median)</t>
  </si>
  <si>
    <t>Sum-of-the-Parts Relative Valuation (Median)</t>
  </si>
  <si>
    <t>Segments:</t>
  </si>
  <si>
    <t>Enterprise, Others and New Initiatives Multiples were derived using an average of the other 3 operating segments</t>
  </si>
  <si>
    <t>Total</t>
  </si>
  <si>
    <t>Relative Valuation</t>
  </si>
  <si>
    <t>(Sum-of-the-Parts)</t>
  </si>
  <si>
    <t>Enterprise Value</t>
  </si>
  <si>
    <t>(+) Cash &amp; Equivalents</t>
  </si>
  <si>
    <t>(-) Total Debt</t>
  </si>
  <si>
    <t>(-) Minority Interests</t>
  </si>
  <si>
    <t>Equity Value</t>
  </si>
  <si>
    <t>Fully Diluted Shares Outstanding (mm)</t>
  </si>
  <si>
    <t>Equity Value (USD) per Share</t>
  </si>
  <si>
    <t>Comps not used in target price calculation due to several reasons</t>
  </si>
  <si>
    <t>1) Lack of comparable companies which can effectively compare to Grabs super app flywheel and ecosystem. Grab generally only has competitors within its individual business segments and not a unique one which mirrors its exact operations</t>
  </si>
  <si>
    <t>2) Grabs historical large incentive spending has compressed earnings, while we forecast Grabs incentive spending to fall in the long run, historical and near term earnings will still not be able to reflect a fair comparable valuation of the company</t>
  </si>
  <si>
    <t>3) Grabs competitors do not have the same dominant market share as they do, particularly in more developed economies where Grab has significantly stronger pricing power, particularly in its mobility segment. Justifying Grab commanding its premium multiple.</t>
  </si>
  <si>
    <t>Upside:</t>
  </si>
  <si>
    <t>DCF Model</t>
  </si>
  <si>
    <t>General Assumptions</t>
  </si>
  <si>
    <t>WACC:</t>
  </si>
  <si>
    <t>Tax Rate:</t>
  </si>
  <si>
    <t>Valuation Date:</t>
  </si>
  <si>
    <t>%yoy</t>
  </si>
  <si>
    <t>%revenue</t>
  </si>
  <si>
    <t>Tax rate</t>
  </si>
  <si>
    <t>NOPAT</t>
  </si>
  <si>
    <t>(+) D&amp;A</t>
  </si>
  <si>
    <t>(-) Capital Expenditures</t>
  </si>
  <si>
    <t>(-) Increases in Net Working Capital</t>
  </si>
  <si>
    <t>UFCF</t>
  </si>
  <si>
    <t>Discount Factor</t>
  </si>
  <si>
    <t>PV of UFCF</t>
  </si>
  <si>
    <t>DCF Value Summary</t>
  </si>
  <si>
    <t>Gordon Growth Method</t>
  </si>
  <si>
    <t>EV/EBITDA Exit Multiple Method</t>
  </si>
  <si>
    <t>Terminal Growth Rate</t>
  </si>
  <si>
    <t>Terminal Multiple - EV/EBITDA</t>
  </si>
  <si>
    <t xml:space="preserve">4.0% Terminal Growth Rate selected is meaningfully under the weighted average 20 year average GDP growth rate of Grabs countries of operations </t>
  </si>
  <si>
    <t>FY2029 UFCF x (1+g)</t>
  </si>
  <si>
    <t>FY2029 EBITDA</t>
  </si>
  <si>
    <t>Terminal Value in FY29E</t>
  </si>
  <si>
    <t>PV of Terminal Value</t>
  </si>
  <si>
    <t>PV of Stage 1 Cash Flows</t>
  </si>
  <si>
    <t>Implied Enterprise Value</t>
  </si>
  <si>
    <t>(+) Cash and Cash Equivalents</t>
  </si>
  <si>
    <t>(+) Other Financial Assets</t>
  </si>
  <si>
    <t>(+) Short-Term Investments</t>
  </si>
  <si>
    <t>(+) Investments in associates and joint ventures</t>
  </si>
  <si>
    <t>(-) MV of Total Debt</t>
  </si>
  <si>
    <t>(-) Non-Controlling Interest</t>
  </si>
  <si>
    <t>Implied Equity Value</t>
  </si>
  <si>
    <t>Fully Diluted Shares Outstanding</t>
  </si>
  <si>
    <t>Implied Share Price</t>
  </si>
  <si>
    <t>Current Share price</t>
  </si>
  <si>
    <t xml:space="preserve">Implied upside </t>
  </si>
  <si>
    <t>Terminal Multiple</t>
  </si>
  <si>
    <t>Final Valuation Summary</t>
  </si>
  <si>
    <t>DCF - Gordon Growth Method</t>
  </si>
  <si>
    <t xml:space="preserve">Relative Valuation - EV/ CY26 EBITDA </t>
  </si>
  <si>
    <t>Final Share Price</t>
  </si>
  <si>
    <t>DCF Share Price</t>
  </si>
  <si>
    <t>Final DCF Share Price</t>
  </si>
  <si>
    <t xml:space="preserve">EV/ CY26 EBITDA </t>
  </si>
  <si>
    <t xml:space="preserve">Football Field </t>
  </si>
  <si>
    <t>Bear</t>
  </si>
  <si>
    <t>Diff</t>
  </si>
  <si>
    <t>Bull</t>
  </si>
  <si>
    <t>Reference</t>
  </si>
  <si>
    <t>52W H&amp;L</t>
  </si>
  <si>
    <t>Blended Valuation</t>
  </si>
  <si>
    <t>Utilising the same operating assumptions as my initial discounted cash flow model (WACC, Tax Rate and Terminal growth rate, 5 year Revenue CAGR the street expects for Grab is 26.2%</t>
  </si>
  <si>
    <t>Reverse DCF Model</t>
  </si>
  <si>
    <t>Can argue that my revenue build was conservative to reflect a margin of safety before arriving at my target price where Grab still trades at a meaningful discount</t>
  </si>
  <si>
    <t>5 Year Revenue CAGR:</t>
  </si>
  <si>
    <t>Terminal Growth Rate:</t>
  </si>
  <si>
    <t>% EBIT Margin</t>
  </si>
  <si>
    <t>% NOPAT Margin</t>
  </si>
  <si>
    <t>Current Share Price</t>
  </si>
  <si>
    <t>Series Name</t>
  </si>
  <si>
    <t>Series Code</t>
  </si>
  <si>
    <t>Country Name</t>
  </si>
  <si>
    <t>Country Code</t>
  </si>
  <si>
    <t>2005 [YR2005]</t>
  </si>
  <si>
    <t>2006 [YR2006]</t>
  </si>
  <si>
    <t>2007 [YR2007]</t>
  </si>
  <si>
    <t>2008 [YR2008]</t>
  </si>
  <si>
    <t>2009 [YR2009]</t>
  </si>
  <si>
    <t>2010 [YR2010]</t>
  </si>
  <si>
    <t>2011 [YR2011]</t>
  </si>
  <si>
    <t>2012 [YR2012]</t>
  </si>
  <si>
    <t>2013 [YR2013]</t>
  </si>
  <si>
    <t>2014 [YR2014]</t>
  </si>
  <si>
    <t>2015 [YR2015]</t>
  </si>
  <si>
    <t>2016 [YR2016]</t>
  </si>
  <si>
    <t>2017 [YR2017]</t>
  </si>
  <si>
    <t>2018 [YR2018]</t>
  </si>
  <si>
    <t>2019 [YR2019]</t>
  </si>
  <si>
    <t>2020 [YR2020]</t>
  </si>
  <si>
    <t>2021 [YR2021]</t>
  </si>
  <si>
    <t>2022 [YR2022]</t>
  </si>
  <si>
    <t>2023 [YR2023]</t>
  </si>
  <si>
    <t>2024 [YR2024]</t>
  </si>
  <si>
    <t>GDP growth (annual %)</t>
  </si>
  <si>
    <t>NY.GDP.MKTP.KD.ZG</t>
  </si>
  <si>
    <t>Afghanistan</t>
  </si>
  <si>
    <t>AFG</t>
  </si>
  <si>
    <t>Albania</t>
  </si>
  <si>
    <t>ALB</t>
  </si>
  <si>
    <t>Algeria</t>
  </si>
  <si>
    <t>DZA</t>
  </si>
  <si>
    <t>American Samoa</t>
  </si>
  <si>
    <t>ASM</t>
  </si>
  <si>
    <t>Andorra</t>
  </si>
  <si>
    <t>AND</t>
  </si>
  <si>
    <t>Angola</t>
  </si>
  <si>
    <t>AGO</t>
  </si>
  <si>
    <t>Antigua and Barbuda</t>
  </si>
  <si>
    <t>ATG</t>
  </si>
  <si>
    <t>Argentina</t>
  </si>
  <si>
    <t>ARG</t>
  </si>
  <si>
    <t>Armenia</t>
  </si>
  <si>
    <t>ARM</t>
  </si>
  <si>
    <t>Aruba</t>
  </si>
  <si>
    <t>ABW</t>
  </si>
  <si>
    <t>Australia</t>
  </si>
  <si>
    <t>AUS</t>
  </si>
  <si>
    <t>Austria</t>
  </si>
  <si>
    <t>AUT</t>
  </si>
  <si>
    <t>Azerbaijan</t>
  </si>
  <si>
    <t>AZE</t>
  </si>
  <si>
    <t>Bahamas, The</t>
  </si>
  <si>
    <t>BHS</t>
  </si>
  <si>
    <t>Bahrain</t>
  </si>
  <si>
    <t>BHR</t>
  </si>
  <si>
    <t>Bangladesh</t>
  </si>
  <si>
    <t>BGD</t>
  </si>
  <si>
    <t>Barbados</t>
  </si>
  <si>
    <t>BRB</t>
  </si>
  <si>
    <t>Belarus</t>
  </si>
  <si>
    <t>BLR</t>
  </si>
  <si>
    <t>Belgium</t>
  </si>
  <si>
    <t>BEL</t>
  </si>
  <si>
    <t>Belize</t>
  </si>
  <si>
    <t>BLZ</t>
  </si>
  <si>
    <t>Benin</t>
  </si>
  <si>
    <t>BEN</t>
  </si>
  <si>
    <t>Bermuda</t>
  </si>
  <si>
    <t>BMU</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</si>
  <si>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</si>
  <si>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</si>
  <si>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</si>
  <si>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</si>
  <si>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</si>
  <si>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</si>
  <si>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</si>
  <si>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</si>
  <si>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</si>
  <si>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</si>
  <si>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</si>
  <si>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</si>
  <si>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</si>
  <si>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</si>
  <si>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</si>
  <si>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</si>
  <si>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</si>
  <si>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</si>
  <si>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</si>
  <si>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</si>
  <si>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</si>
  <si>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</si>
  <si>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</si>
  <si>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</si>
  <si>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</si>
  <si>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</si>
  <si>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</si>
  <si>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</si>
  <si>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</si>
  <si>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</si>
  <si>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</si>
  <si>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</si>
  <si>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</si>
  <si>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</si>
  <si>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</si>
  <si>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</si>
  <si>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</si>
  <si>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</si>
  <si>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</si>
  <si>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</si>
  <si>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</si>
  <si>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</si>
  <si>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</si>
  <si>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</si>
  <si>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Congo, Rep.</t>
  </si>
  <si>
    <t>COG</t>
  </si>
  <si>
    <t>Costa Rica</t>
  </si>
  <si>
    <t>CRI</t>
  </si>
  <si>
    <t>Cote d'Ivoire</t>
  </si>
  <si>
    <t>CIV</t>
  </si>
  <si>
    <t>Croatia</t>
  </si>
  <si>
    <t>HRV</t>
  </si>
  <si>
    <t>Cuba</t>
  </si>
  <si>
    <t>CUB</t>
  </si>
  <si>
    <t>Curacao</t>
  </si>
  <si>
    <t>CUW</t>
  </si>
  <si>
    <t>Cyprus</t>
  </si>
  <si>
    <t>CYP</t>
  </si>
  <si>
    <t>Czechia</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</si>
  <si>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</si>
  <si>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</si>
  <si>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</si>
  <si>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</si>
  <si>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</si>
  <si>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</si>
  <si>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</si>
  <si>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</si>
  <si>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</si>
  <si>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</si>
  <si>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</si>
  <si>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</si>
  <si>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</si>
  <si>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</si>
  <si>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</si>
  <si>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</si>
  <si>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</si>
  <si>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</si>
  <si>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</si>
  <si>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</si>
  <si>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</si>
  <si>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</si>
  <si>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</si>
  <si>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</si>
  <si>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</si>
  <si>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</si>
  <si>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</si>
  <si>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</si>
  <si>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</si>
  <si>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</si>
  <si>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</si>
  <si>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</si>
  <si>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</si>
  <si>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</si>
  <si>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</si>
  <si>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</si>
  <si>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</si>
  <si>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Gambia, The</t>
  </si>
  <si>
    <t>GMB</t>
  </si>
  <si>
    <t>Georgia</t>
  </si>
  <si>
    <t>GEO</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</si>
  <si>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</si>
  <si>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</si>
  <si>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</si>
  <si>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</si>
  <si>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</si>
  <si>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</si>
  <si>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</si>
  <si>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</si>
  <si>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</si>
  <si>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</si>
  <si>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</si>
  <si>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</si>
  <si>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</si>
  <si>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</si>
  <si>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</si>
  <si>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</si>
  <si>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</si>
  <si>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</si>
  <si>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</si>
  <si>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</si>
  <si>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</si>
  <si>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</si>
  <si>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</si>
  <si>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</si>
  <si>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</si>
  <si>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</si>
  <si>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</si>
  <si>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</si>
  <si>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</si>
  <si>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</si>
  <si>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</si>
  <si>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</si>
  <si>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</si>
  <si>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</si>
  <si>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</si>
  <si>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</si>
  <si>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</si>
  <si>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</si>
  <si>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</si>
  <si>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</si>
  <si>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</si>
  <si>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</si>
  <si>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</si>
  <si>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</si>
  <si>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</si>
  <si>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</si>
  <si>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</si>
  <si>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</si>
  <si>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</si>
  <si>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</si>
  <si>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</si>
  <si>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</si>
  <si>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</si>
  <si>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</si>
  <si>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</si>
  <si>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</si>
  <si>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</si>
  <si>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</si>
  <si>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</si>
  <si>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</si>
  <si>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</si>
  <si>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</si>
  <si>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</si>
  <si>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</si>
  <si>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</si>
  <si>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</si>
  <si>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</si>
  <si>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</si>
  <si>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</si>
  <si>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</si>
  <si>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</si>
  <si>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</si>
  <si>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</si>
  <si>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</si>
  <si>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</si>
  <si>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</si>
  <si>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</si>
  <si>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</si>
  <si>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</si>
  <si>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</si>
  <si>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</si>
  <si>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</si>
  <si>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</si>
  <si>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</si>
  <si>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</si>
  <si>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</si>
  <si>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</si>
  <si>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</si>
  <si>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Madagascar</t>
  </si>
  <si>
    <t>MDG</t>
  </si>
  <si>
    <t>Malawi</t>
  </si>
  <si>
    <t>MWI</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</si>
  <si>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</si>
  <si>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</si>
  <si>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</si>
  <si>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</si>
  <si>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</si>
  <si>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</si>
  <si>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</si>
  <si>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</si>
  <si>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</si>
  <si>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</si>
  <si>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</si>
  <si>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</si>
  <si>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</si>
  <si>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</si>
  <si>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</si>
  <si>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</si>
  <si>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</si>
  <si>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</si>
  <si>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</si>
  <si>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</si>
  <si>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</si>
  <si>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</si>
  <si>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</si>
  <si>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</si>
  <si>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</si>
  <si>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</si>
  <si>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</si>
  <si>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</si>
  <si>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</si>
  <si>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</si>
  <si>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</si>
  <si>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</si>
  <si>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</si>
  <si>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</si>
  <si>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</si>
  <si>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</si>
  <si>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</si>
  <si>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</si>
  <si>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</si>
  <si>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</si>
  <si>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</si>
  <si>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</si>
  <si>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</si>
  <si>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</si>
  <si>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</si>
  <si>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</si>
  <si>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</si>
  <si>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</si>
  <si>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</si>
  <si>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</si>
  <si>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</si>
  <si>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</si>
  <si>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</si>
  <si>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</si>
  <si>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</si>
  <si>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</si>
  <si>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</si>
  <si>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</si>
  <si>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</si>
  <si>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</si>
  <si>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</si>
  <si>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</si>
  <si>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</si>
  <si>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</si>
  <si>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</si>
  <si>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</si>
  <si>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</si>
  <si>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</si>
  <si>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</si>
  <si>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PHL</t>
  </si>
  <si>
    <t>Poland</t>
  </si>
  <si>
    <t>POL</t>
  </si>
  <si>
    <t>Portugal</t>
  </si>
  <si>
    <t>PRT</t>
  </si>
  <si>
    <t>Puerto Rico (US)</t>
  </si>
  <si>
    <t>PRI</t>
  </si>
  <si>
    <t>Qatar</t>
  </si>
  <si>
    <t>QAT</t>
  </si>
  <si>
    <t>Romania</t>
  </si>
  <si>
    <t>ROU</t>
  </si>
  <si>
    <t>Russian Federation</t>
  </si>
  <si>
    <t>RUS</t>
  </si>
  <si>
    <t>Rwanda</t>
  </si>
  <si>
    <t>RWA</t>
  </si>
  <si>
    <t>Samoa</t>
  </si>
  <si>
    <t>WSM</t>
  </si>
  <si>
    <t>San Marino</t>
  </si>
  <si>
    <t>SMR</t>
  </si>
  <si>
    <t>Sao Tome and Principe</t>
  </si>
  <si>
    <t>STP</t>
  </si>
  <si>
    <t>Saudi Arabia</t>
  </si>
  <si>
    <t>SAU</t>
  </si>
  <si>
    <t>Senegal</t>
  </si>
  <si>
    <t>SEN</t>
  </si>
  <si>
    <t>Serbia</t>
  </si>
  <si>
    <t>SRB</t>
  </si>
  <si>
    <t>Seychelles</t>
  </si>
  <si>
    <t>SYC</t>
  </si>
  <si>
    <t>Sierra Leone</t>
  </si>
  <si>
    <t>SLE</t>
  </si>
  <si>
    <t>SGP</t>
  </si>
  <si>
    <t>Sint Maarten (Dutch part)</t>
  </si>
  <si>
    <t>SXM</t>
  </si>
  <si>
    <t>Slovak Republic</t>
  </si>
  <si>
    <t>SVK</t>
  </si>
  <si>
    <t>Slovenia</t>
  </si>
  <si>
    <t>SVN</t>
  </si>
  <si>
    <t>Solomon Islands</t>
  </si>
  <si>
    <t>SLB</t>
  </si>
  <si>
    <t>Somalia, Fed. Rep.</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</si>
  <si>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</si>
  <si>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</si>
  <si>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</si>
  <si>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</si>
  <si>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</si>
  <si>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</si>
  <si>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</si>
  <si>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</si>
  <si>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</si>
  <si>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</si>
  <si>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</si>
  <si>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</si>
  <si>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</si>
  <si>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</si>
  <si>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</si>
  <si>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</si>
  <si>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</si>
  <si>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</si>
  <si>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</si>
  <si>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</si>
  <si>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</si>
  <si>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Sweden</t>
  </si>
  <si>
    <t>SWE</t>
  </si>
  <si>
    <t>Switzerland</t>
  </si>
  <si>
    <t>CHE</t>
  </si>
  <si>
    <t>Syrian Arab Republic</t>
  </si>
  <si>
    <t>SYR</t>
  </si>
  <si>
    <t>Tajikistan</t>
  </si>
  <si>
    <t>TJK</t>
  </si>
  <si>
    <t>Tanzania</t>
  </si>
  <si>
    <t>TZA</t>
  </si>
  <si>
    <t>THA</t>
  </si>
  <si>
    <t>Timor-Leste</t>
  </si>
  <si>
    <t>TLS</t>
  </si>
  <si>
    <t>Togo</t>
  </si>
  <si>
    <t>TGO</t>
  </si>
  <si>
    <t>Tonga</t>
  </si>
  <si>
    <t>TON</t>
  </si>
  <si>
    <t>Trinidad and Tobago</t>
  </si>
  <si>
    <t>TTO</t>
  </si>
  <si>
    <t>Tunisia</t>
  </si>
  <si>
    <t>TUN</t>
  </si>
  <si>
    <t>Turkiye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</si>
  <si>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</si>
  <si>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</si>
  <si>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</si>
  <si>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</si>
  <si>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</si>
  <si>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</si>
  <si>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</si>
  <si>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</si>
  <si>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</si>
  <si>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</si>
  <si>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</si>
  <si>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</si>
  <si>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</si>
  <si>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</si>
  <si>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</si>
  <si>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</si>
  <si>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Uruguay</t>
  </si>
  <si>
    <t>URY</t>
  </si>
  <si>
    <t>Uzbekistan</t>
  </si>
  <si>
    <t>UZB</t>
  </si>
  <si>
    <t>Vanuatu</t>
  </si>
  <si>
    <t>VUT</t>
  </si>
  <si>
    <t>Venezuela, RB</t>
  </si>
  <si>
    <t>VEN</t>
  </si>
  <si>
    <t>Viet Nam</t>
  </si>
  <si>
    <t>VNM</t>
  </si>
  <si>
    <t>Virgin Islands (U.S.)</t>
  </si>
  <si>
    <t>VIR</t>
  </si>
  <si>
    <t>West Bank and Gaza</t>
  </si>
  <si>
    <t>PSE</t>
  </si>
  <si>
    <t>Yemen, Rep.</t>
  </si>
  <si>
    <t>YEM</t>
  </si>
  <si>
    <t>Zambia</t>
  </si>
  <si>
    <t>ZMB</t>
  </si>
  <si>
    <t>Zimbabwe</t>
  </si>
  <si>
    <t>ZWE</t>
  </si>
  <si>
    <t>Africa Eastern and Southern</t>
  </si>
  <si>
    <t>AFE</t>
  </si>
  <si>
    <t>Africa Western and Central</t>
  </si>
  <si>
    <t>AFW</t>
  </si>
  <si>
    <t>Arab World</t>
  </si>
  <si>
    <t>ARB</t>
  </si>
  <si>
    <t>Caribbean small states</t>
  </si>
  <si>
    <t>CSS</t>
  </si>
  <si>
    <t>Central Europe and the Baltics</t>
  </si>
  <si>
    <t>CEB</t>
  </si>
  <si>
    <t>Early-demographic dividend</t>
  </si>
  <si>
    <t>EAR</t>
  </si>
  <si>
    <t>East Asia &amp; Pacific</t>
  </si>
  <si>
    <t>EAS</t>
  </si>
  <si>
    <t>East Asia &amp; Pacific (excluding high income)</t>
  </si>
  <si>
    <t>EAP</t>
  </si>
  <si>
    <t>East Asia &amp; Pacific (IDA &amp; IBRD countries)</t>
  </si>
  <si>
    <t>TEA</t>
  </si>
  <si>
    <t>Euro area</t>
  </si>
  <si>
    <t>EMU</t>
  </si>
  <si>
    <t>Europe &amp; Central Asia</t>
  </si>
  <si>
    <t>ECS</t>
  </si>
  <si>
    <t>Europe &amp; Central Asia (excluding high income)</t>
  </si>
  <si>
    <t>ECA</t>
  </si>
  <si>
    <t>Europe &amp; Central Asia (IDA &amp; IBRD countries)</t>
  </si>
  <si>
    <t>TEC</t>
  </si>
  <si>
    <t>European Union</t>
  </si>
  <si>
    <t>EUU</t>
  </si>
  <si>
    <t>Fragile and conflict affected situations</t>
  </si>
  <si>
    <t>FCS</t>
  </si>
  <si>
    <t>Heavily indebted poor countries (HIPC)</t>
  </si>
  <si>
    <t>HPC</t>
  </si>
  <si>
    <t>High income</t>
  </si>
  <si>
    <t>HIC</t>
  </si>
  <si>
    <t>IBRD only</t>
  </si>
  <si>
    <t>IBD</t>
  </si>
  <si>
    <t>IDA &amp; IBRD total</t>
  </si>
  <si>
    <t>IBT</t>
  </si>
  <si>
    <t>IDA blend</t>
  </si>
  <si>
    <t>IDB</t>
  </si>
  <si>
    <t>IDA only</t>
  </si>
  <si>
    <t>IDX</t>
  </si>
  <si>
    <t>IDA total</t>
  </si>
  <si>
    <t>IDA</t>
  </si>
  <si>
    <t>Late-demographic dividend</t>
  </si>
  <si>
    <t>LTE</t>
  </si>
  <si>
    <t>Latin America &amp; Caribbean</t>
  </si>
  <si>
    <t>LCN</t>
  </si>
  <si>
    <t>Latin America &amp; Caribbean (excluding high income)</t>
  </si>
  <si>
    <t>LAC</t>
  </si>
  <si>
    <t>Latin America &amp; the Caribbean (IDA &amp; IBRD countries)</t>
  </si>
  <si>
    <t>TLA</t>
  </si>
  <si>
    <t>Least developed countries: UN classification</t>
  </si>
  <si>
    <t>LDC</t>
  </si>
  <si>
    <t>Low &amp; middle income</t>
  </si>
  <si>
    <t>LMY</t>
  </si>
  <si>
    <t>Low income</t>
  </si>
  <si>
    <t>LIC</t>
  </si>
  <si>
    <t>Lower middle income</t>
  </si>
  <si>
    <t>LMC</t>
  </si>
  <si>
    <t>Middle East, North Africa, Afghanistan &amp; Pakistan</t>
  </si>
  <si>
    <t>MEA</t>
  </si>
  <si>
    <t>Middle East, North Africa, Afghanistan &amp; Pakistan (excluding high income)</t>
  </si>
  <si>
    <t>MNA</t>
  </si>
  <si>
    <t>Middle East, North Africa, Afghanistan &amp; Pakistan (IDA &amp; IBRD)</t>
  </si>
  <si>
    <t>TMN</t>
  </si>
  <si>
    <t>Middle income</t>
  </si>
  <si>
    <t>MIC</t>
  </si>
  <si>
    <t>North America</t>
  </si>
  <si>
    <t>NAC</t>
  </si>
  <si>
    <t>Not classified</t>
  </si>
  <si>
    <t>INX</t>
  </si>
  <si>
    <t>OECD members</t>
  </si>
  <si>
    <t>OED</t>
  </si>
  <si>
    <t>Other small states</t>
  </si>
  <si>
    <t>OSS</t>
  </si>
  <si>
    <t>Pacific island small states</t>
  </si>
  <si>
    <t>PSS</t>
  </si>
  <si>
    <t>Post-demographic dividend</t>
  </si>
  <si>
    <t>PST</t>
  </si>
  <si>
    <t>Pre-demographic dividend</t>
  </si>
  <si>
    <t>PRE</t>
  </si>
  <si>
    <t>Small states</t>
  </si>
  <si>
    <t>SST</t>
  </si>
  <si>
    <t>South Asia</t>
  </si>
  <si>
    <t>SAS</t>
  </si>
  <si>
    <t>South Asia (IDA &amp; IBRD)</t>
  </si>
  <si>
    <t>TSA</t>
  </si>
  <si>
    <t>Sub-Saharan Africa</t>
  </si>
  <si>
    <t>SSF</t>
  </si>
  <si>
    <t>Sub-Saharan Africa (excluding high income)</t>
  </si>
  <si>
    <t>SSA</t>
  </si>
  <si>
    <t>Sub-Saharan Africa (IDA &amp; IBRD countries)</t>
  </si>
  <si>
    <t>TSS</t>
  </si>
  <si>
    <t>Upper middle income</t>
  </si>
  <si>
    <t>UMC</t>
  </si>
  <si>
    <t>World</t>
  </si>
  <si>
    <t>WLD</t>
  </si>
  <si>
    <t>Revenue (USD Mns)</t>
  </si>
  <si>
    <t>Split</t>
  </si>
  <si>
    <t>Average GDP Growth</t>
  </si>
  <si>
    <t>Weighted Average GDP Growth Rate</t>
  </si>
  <si>
    <t>Historical (31 Jan)</t>
  </si>
  <si>
    <t>Forecast (31 Jan)</t>
  </si>
  <si>
    <t>Debt Schedule</t>
  </si>
  <si>
    <t>Financial Debt, Current</t>
  </si>
  <si>
    <t>Financial Debt, Non-Current</t>
  </si>
  <si>
    <t>Total Debt</t>
  </si>
  <si>
    <t>Revolver Schedule</t>
  </si>
  <si>
    <t>CIRCULARITY</t>
  </si>
  <si>
    <t>OFF</t>
  </si>
  <si>
    <t>Beginning Cash and Equivalents</t>
  </si>
  <si>
    <t>(+) Cash Flow from Operations + Investing</t>
  </si>
  <si>
    <t>(-) Debt Principal Repayments</t>
  </si>
  <si>
    <t>(-) Mandatory Lease Repayments</t>
  </si>
  <si>
    <t>(-) Dividends</t>
  </si>
  <si>
    <t>(-) Minimum Cash Balance</t>
  </si>
  <si>
    <t>(Required Fundraise)</t>
  </si>
  <si>
    <t>%Debt Financing:</t>
  </si>
  <si>
    <t>Required Fundraise:</t>
  </si>
  <si>
    <t>Convertible Notes Proceeds</t>
  </si>
  <si>
    <t>Total Debt Beginning Balance</t>
  </si>
  <si>
    <t>(+) Borrowings</t>
  </si>
  <si>
    <t>(-) Repayments</t>
  </si>
  <si>
    <t>Ending Balance</t>
  </si>
  <si>
    <t>Repayment Schedule</t>
  </si>
  <si>
    <t>Principal Repayments</t>
  </si>
  <si>
    <t>Loans from banks</t>
  </si>
  <si>
    <t>Principal</t>
  </si>
  <si>
    <t>Effective Rate</t>
  </si>
  <si>
    <t>THB Loan</t>
  </si>
  <si>
    <t>MYR loan</t>
  </si>
  <si>
    <t>SGD Loan</t>
  </si>
  <si>
    <t>2030 Convertible Notes</t>
  </si>
  <si>
    <t>2037 Notes</t>
  </si>
  <si>
    <t>Credit Revolver</t>
  </si>
  <si>
    <t>Interest Rate</t>
  </si>
  <si>
    <t>Total Principal Repayments</t>
  </si>
  <si>
    <t>Interest Schedule</t>
  </si>
  <si>
    <t>Total Interest Expense</t>
  </si>
  <si>
    <t>Equity Schedule</t>
  </si>
  <si>
    <t>Equity attributable to the Parent</t>
  </si>
  <si>
    <t>Equity attributable to the Parent, BOP</t>
  </si>
  <si>
    <t>(+) Net Income</t>
  </si>
  <si>
    <t>(+) Equity Financing</t>
  </si>
  <si>
    <t>Equity attributable to the Parent, EOP</t>
  </si>
  <si>
    <t>Stock Based Compensation</t>
  </si>
  <si>
    <t>APIC Opening</t>
  </si>
  <si>
    <t xml:space="preserve"> SBC Expense</t>
  </si>
  <si>
    <t xml:space="preserve"> Cash Equity Issuance</t>
  </si>
  <si>
    <t>APIC Closing</t>
  </si>
  <si>
    <t>% Revenue</t>
  </si>
  <si>
    <t>Shares Outstanding</t>
  </si>
  <si>
    <t>EPS</t>
  </si>
  <si>
    <t>USD</t>
  </si>
  <si>
    <t>PPE</t>
  </si>
  <si>
    <t>Useful Life :</t>
  </si>
  <si>
    <t>Min</t>
  </si>
  <si>
    <t>Max</t>
  </si>
  <si>
    <t>Trademark</t>
  </si>
  <si>
    <t>Non-compete agreement</t>
  </si>
  <si>
    <t>Other intangible assets</t>
  </si>
  <si>
    <t>Additions to Intangible Assets and Goodwill</t>
  </si>
  <si>
    <t>Capex Schedule and Allocation</t>
  </si>
  <si>
    <t>Cost Allocation:</t>
  </si>
  <si>
    <t>Goodwill</t>
  </si>
  <si>
    <t xml:space="preserve">Intangible Assets, gross </t>
  </si>
  <si>
    <t>Net Additions</t>
  </si>
  <si>
    <t xml:space="preserve">Total Net Additions </t>
  </si>
  <si>
    <t>% OF ADDITIONS:</t>
  </si>
  <si>
    <t>Total(%)</t>
  </si>
  <si>
    <t>Depreciation Schedules</t>
  </si>
  <si>
    <t>Total Amortisation</t>
  </si>
  <si>
    <t>Beginning Accumulated Amortisation</t>
  </si>
  <si>
    <t>(+) Amortisation</t>
  </si>
  <si>
    <t>Ending Accumulated Amortisation</t>
  </si>
  <si>
    <t>Useful Life</t>
  </si>
  <si>
    <t>Beginning Balance</t>
  </si>
  <si>
    <t>(+) Additions</t>
  </si>
  <si>
    <t>(-) Depreciation</t>
  </si>
  <si>
    <t>Ending Balance, net</t>
  </si>
  <si>
    <t>Beginning Year</t>
  </si>
  <si>
    <t>Amount</t>
  </si>
  <si>
    <t>Final Year</t>
  </si>
  <si>
    <t>Total Depreciation</t>
  </si>
  <si>
    <t>Revenue Build</t>
  </si>
  <si>
    <t>Total Revenue</t>
  </si>
  <si>
    <t>COGS</t>
  </si>
  <si>
    <t>Bull Case</t>
  </si>
  <si>
    <t>Bear Case</t>
  </si>
  <si>
    <t>Total Operating Expenses</t>
  </si>
  <si>
    <t>Before Tax Items</t>
  </si>
  <si>
    <t>After Tax Items</t>
  </si>
  <si>
    <t>Earnings Before Taxes</t>
  </si>
  <si>
    <t>% Effective Tax Rate</t>
  </si>
  <si>
    <t>Operating Working Capital Items</t>
  </si>
  <si>
    <t>Current Operating Working Capital Assets</t>
  </si>
  <si>
    <t>Receivables Turnover Ratio</t>
  </si>
  <si>
    <t>DSO</t>
  </si>
  <si>
    <t>Inventories Turnover Ratio</t>
  </si>
  <si>
    <t>DIO</t>
  </si>
  <si>
    <t>Current Operating Working Capital Liabilities</t>
  </si>
  <si>
    <t>Payables Turnover Ratio</t>
  </si>
  <si>
    <t>Other Balance Sheet Items</t>
  </si>
  <si>
    <t>Cash and Equivalents</t>
  </si>
  <si>
    <t>Current Assets</t>
  </si>
  <si>
    <t>Non-Current Assets</t>
  </si>
  <si>
    <t>Current Liabilities</t>
  </si>
  <si>
    <t>Non-Current Liabilities</t>
  </si>
  <si>
    <t>Property, Plant &amp; Equipment</t>
  </si>
  <si>
    <t>Computers</t>
  </si>
  <si>
    <t>Building and Renovation</t>
  </si>
  <si>
    <t>Motor Vehicles</t>
  </si>
  <si>
    <t>Office and Other Equipment</t>
  </si>
  <si>
    <t>PPE CapEx</t>
  </si>
  <si>
    <t>Gross PPE amount:</t>
  </si>
  <si>
    <t xml:space="preserve">PPE, gross </t>
  </si>
  <si>
    <t>PPE NET ADDITIONS:</t>
  </si>
  <si>
    <t>Capex Allocation (%net additions)</t>
  </si>
  <si>
    <t>Residual Value Calculation</t>
  </si>
  <si>
    <t>Depreciation Amount:</t>
  </si>
  <si>
    <t>Total Depreciation Over Useful Life:</t>
  </si>
  <si>
    <t>Estimated Salvage Value:</t>
  </si>
  <si>
    <t>% of Gross PPE, BOP:</t>
  </si>
  <si>
    <t>ACCUMULATED DEPRECIATION:</t>
  </si>
  <si>
    <t>Beginning Accumulated Depreciation</t>
  </si>
  <si>
    <t>(+) Depreciation</t>
  </si>
  <si>
    <t>Ending Accumulated Depreciation</t>
  </si>
  <si>
    <t>% Gross PPE, BOP</t>
  </si>
  <si>
    <t>Additions</t>
  </si>
  <si>
    <t>(-) Salvage Value</t>
  </si>
  <si>
    <t>Depreciable Amount</t>
  </si>
  <si>
    <t>Live Case</t>
  </si>
  <si>
    <t>Revenue Segments</t>
  </si>
  <si>
    <t>Summary</t>
  </si>
  <si>
    <t>Revenue Per Segment Growth Rate</t>
  </si>
  <si>
    <t>Enterprise and New Initiatives</t>
  </si>
  <si>
    <t>Geographic Segments</t>
  </si>
  <si>
    <t>Revenue By Geography</t>
  </si>
  <si>
    <t>Proportion of Revenue By Geography</t>
  </si>
  <si>
    <t>Deliveries Revenue Build</t>
  </si>
  <si>
    <t>Assumptions:</t>
  </si>
  <si>
    <t>Operating Equation:</t>
  </si>
  <si>
    <t>Brand Premium</t>
  </si>
  <si>
    <t>Deliveries GMV = GMV per MTU (ASP) x MTU (Volume)</t>
  </si>
  <si>
    <t>Volume Driven By Consumer Expenditure of Each Operating Geography</t>
  </si>
  <si>
    <t>Deliveries Take Rate Step</t>
  </si>
  <si>
    <t>Deliveries Revenue = Take Rate x Deliveries GMV</t>
  </si>
  <si>
    <t>Price Driven By Inflation of Each Operating Geography</t>
  </si>
  <si>
    <t>Deliveries Gross Merchant Value (GMV)</t>
  </si>
  <si>
    <t>Deliveries Take Rate</t>
  </si>
  <si>
    <t>Monthly Transacting Users (Volume)</t>
  </si>
  <si>
    <t>Overall MTUs</t>
  </si>
  <si>
    <t>Mns</t>
  </si>
  <si>
    <t>Average Selling Price</t>
  </si>
  <si>
    <t>Overall GMV per MTU</t>
  </si>
  <si>
    <t>Macro Data</t>
  </si>
  <si>
    <t>Inflation</t>
  </si>
  <si>
    <t>Consumer Expenditure</t>
  </si>
  <si>
    <t>Mobility Revenue Build</t>
  </si>
  <si>
    <t>Mobilities GMV = GMV per MTU (ASP) x MTU (Volume)</t>
  </si>
  <si>
    <t>Volume Driven By Consumer Expenditure and Tourism Spending of Each Operating Geography</t>
  </si>
  <si>
    <t>Mobility Take Rate Step</t>
  </si>
  <si>
    <t>Mobility Revenue = Take Rate x Mobility GMV</t>
  </si>
  <si>
    <t>Mobility Gross Merchant Value (GMV)</t>
  </si>
  <si>
    <t>Mobility Take Rate</t>
  </si>
  <si>
    <t>Tourism Spending</t>
  </si>
  <si>
    <t>Tourism Spending Converted to %</t>
  </si>
  <si>
    <t>Financial Services Revenue Build</t>
  </si>
  <si>
    <t>Volume Driven By Mobile Payments of Each Operating Geography</t>
  </si>
  <si>
    <t>FS Revenue = FS MTU x FS ASP</t>
  </si>
  <si>
    <t>Overall ASP</t>
  </si>
  <si>
    <t>Mobile Payments</t>
  </si>
  <si>
    <t>Mobile Payments Converted to %</t>
  </si>
  <si>
    <t>Enterprise, Others and New Initiatives Revenue Build</t>
  </si>
  <si>
    <t>FCF</t>
  </si>
  <si>
    <t>High</t>
  </si>
  <si>
    <t>Low</t>
  </si>
  <si>
    <t>Net Income Margin</t>
  </si>
  <si>
    <t>Taiwan</t>
  </si>
  <si>
    <t>Interest Expense</t>
  </si>
  <si>
    <t>Economies and Consumers Annual Data | Historical/Forecast</t>
  </si>
  <si>
    <t>Geography</t>
  </si>
  <si>
    <t>Category</t>
  </si>
  <si>
    <t>Data Type</t>
  </si>
  <si>
    <t>Unit</t>
  </si>
  <si>
    <t>Current Constant</t>
  </si>
  <si>
    <t>2020</t>
  </si>
  <si>
    <t>2021</t>
  </si>
  <si>
    <t>2022</t>
  </si>
  <si>
    <t>2023</t>
  </si>
  <si>
    <t>2024</t>
  </si>
  <si>
    <t>2025</t>
  </si>
  <si>
    <t>2026</t>
  </si>
  <si>
    <t>2027</t>
  </si>
  <si>
    <t>2028</t>
  </si>
  <si>
    <t>2029</t>
  </si>
  <si>
    <t>Middle Class Households</t>
  </si>
  <si>
    <t>Socio-economic indicators</t>
  </si>
  <si>
    <t>000</t>
  </si>
  <si>
    <t>-</t>
  </si>
  <si>
    <t>Hong Kong, China</t>
  </si>
  <si>
    <t>South Korea</t>
  </si>
  <si>
    <t>Czech Republic</t>
  </si>
  <si>
    <t>Russia</t>
  </si>
  <si>
    <t>Slovakia</t>
  </si>
  <si>
    <t>Venezuela</t>
  </si>
  <si>
    <t>Côte d'Ivoire</t>
  </si>
  <si>
    <t>Egypt</t>
  </si>
  <si>
    <t>Iran</t>
  </si>
  <si>
    <t>Turkey</t>
  </si>
  <si>
    <t>Research Sources:</t>
  </si>
  <si>
    <t>Middle Class Households: Euromonitor International from national statistics</t>
  </si>
  <si>
    <t>Date Exported (GMT): 12/25/2025 3:42:38 PM</t>
  </si>
  <si>
    <t>© Euromonitor International</t>
  </si>
  <si>
    <t/>
  </si>
  <si>
    <t>2017</t>
  </si>
  <si>
    <t>2018</t>
  </si>
  <si>
    <t>2019</t>
  </si>
  <si>
    <t>2030</t>
  </si>
  <si>
    <t>11.1</t>
  </si>
  <si>
    <t>11.9</t>
  </si>
  <si>
    <t>12.8</t>
  </si>
  <si>
    <t>13.7</t>
  </si>
  <si>
    <t>14.7</t>
  </si>
  <si>
    <t>15.6</t>
  </si>
  <si>
    <t>16.6</t>
  </si>
  <si>
    <t>17.8</t>
  </si>
  <si>
    <t>18.8</t>
  </si>
  <si>
    <t>19.9</t>
  </si>
  <si>
    <t>21.2</t>
  </si>
  <si>
    <t>22.8</t>
  </si>
  <si>
    <t>24.4</t>
  </si>
  <si>
    <t>26.2</t>
  </si>
  <si>
    <t>13.8</t>
  </si>
  <si>
    <t>13.9</t>
  </si>
  <si>
    <t>14.8</t>
  </si>
  <si>
    <t>14.5</t>
  </si>
  <si>
    <t>14.6</t>
  </si>
  <si>
    <t>14.9</t>
  </si>
  <si>
    <t>15.1</t>
  </si>
  <si>
    <t>10.3</t>
  </si>
  <si>
    <t>10.7</t>
  </si>
  <si>
    <t>10.9</t>
  </si>
  <si>
    <t>11.2</t>
  </si>
  <si>
    <t>11.4</t>
  </si>
  <si>
    <t>11.7</t>
  </si>
  <si>
    <t>12.7</t>
  </si>
  <si>
    <t>12.4</t>
  </si>
  <si>
    <t>12</t>
  </si>
  <si>
    <t>11.3</t>
  </si>
  <si>
    <t>11</t>
  </si>
  <si>
    <t>20</t>
  </si>
  <si>
    <t>20.8</t>
  </si>
  <si>
    <t>21.5</t>
  </si>
  <si>
    <t>22.3</t>
  </si>
  <si>
    <t>23.1</t>
  </si>
  <si>
    <t>23.9</t>
  </si>
  <si>
    <t>24.7</t>
  </si>
  <si>
    <t>25.9</t>
  </si>
  <si>
    <t>26.8</t>
  </si>
  <si>
    <t>27.3</t>
  </si>
  <si>
    <t>27.2</t>
  </si>
  <si>
    <t>27</t>
  </si>
  <si>
    <t>27.4</t>
  </si>
  <si>
    <t>28</t>
  </si>
  <si>
    <t>12.5</t>
  </si>
  <si>
    <t>13.2</t>
  </si>
  <si>
    <t>15.3</t>
  </si>
  <si>
    <t>15.9</t>
  </si>
  <si>
    <t>16.2</t>
  </si>
  <si>
    <t>16.9</t>
  </si>
  <si>
    <t>17.6</t>
  </si>
  <si>
    <t>18.1</t>
  </si>
  <si>
    <t>19.1</t>
  </si>
  <si>
    <t>20.3</t>
  </si>
  <si>
    <t>21.7</t>
  </si>
  <si>
    <t>23.2</t>
  </si>
  <si>
    <t>24.2</t>
  </si>
  <si>
    <t>24.6</t>
  </si>
  <si>
    <t>25</t>
  </si>
  <si>
    <t>25.5</t>
  </si>
  <si>
    <t>26.1</t>
  </si>
  <si>
    <t>26.6</t>
  </si>
  <si>
    <t>27.1</t>
  </si>
  <si>
    <t>26.9</t>
  </si>
  <si>
    <t>26.7</t>
  </si>
  <si>
    <t>12.9</t>
  </si>
  <si>
    <t>13.3</t>
  </si>
  <si>
    <t>14.1</t>
  </si>
  <si>
    <t>14.4</t>
  </si>
  <si>
    <t>16</t>
  </si>
  <si>
    <t>16.4</t>
  </si>
  <si>
    <t>16.8</t>
  </si>
  <si>
    <t>17.2</t>
  </si>
  <si>
    <t>15</t>
  </si>
  <si>
    <t>16.3</t>
  </si>
  <si>
    <t>17.3</t>
  </si>
  <si>
    <t>18.5</t>
  </si>
  <si>
    <t>19.2</t>
  </si>
  <si>
    <t>20.1</t>
  </si>
  <si>
    <t>21.1</t>
  </si>
  <si>
    <t>22.1</t>
  </si>
  <si>
    <t>24</t>
  </si>
  <si>
    <t>24.1</t>
  </si>
  <si>
    <t>24.8</t>
  </si>
  <si>
    <t>25.4</t>
  </si>
  <si>
    <t>12.2</t>
  </si>
  <si>
    <t>13.6</t>
  </si>
  <si>
    <t>14.3</t>
  </si>
  <si>
    <t>15.7</t>
  </si>
  <si>
    <t>17.1</t>
  </si>
  <si>
    <t>18.7</t>
  </si>
  <si>
    <t>19.5</t>
  </si>
  <si>
    <t>20.4</t>
  </si>
  <si>
    <t>22.5</t>
  </si>
  <si>
    <t>18.2</t>
  </si>
  <si>
    <t>19</t>
  </si>
  <si>
    <t>21</t>
  </si>
  <si>
    <t>24.5</t>
  </si>
  <si>
    <t>26.4</t>
  </si>
  <si>
    <t>27.8</t>
  </si>
  <si>
    <t>29.3</t>
  </si>
  <si>
    <t>30.9</t>
  </si>
  <si>
    <t>32.5</t>
  </si>
  <si>
    <t>8.5</t>
  </si>
  <si>
    <t>8.9</t>
  </si>
  <si>
    <t>9.3</t>
  </si>
  <si>
    <t>9.7</t>
  </si>
  <si>
    <t>10.1</t>
  </si>
  <si>
    <t>10.4</t>
  </si>
  <si>
    <t>10.8</t>
  </si>
  <si>
    <t>11.5</t>
  </si>
  <si>
    <t>21.6</t>
  </si>
  <si>
    <t>22.2</t>
  </si>
  <si>
    <t>23.5</t>
  </si>
  <si>
    <t>6.6</t>
  </si>
  <si>
    <t>7</t>
  </si>
  <si>
    <t>7.4</t>
  </si>
  <si>
    <t>7.8</t>
  </si>
  <si>
    <t>8.2</t>
  </si>
  <si>
    <t>9.2</t>
  </si>
  <si>
    <t>9.4</t>
  </si>
  <si>
    <t>9.6</t>
  </si>
  <si>
    <t>9.8</t>
  </si>
  <si>
    <t>14</t>
  </si>
  <si>
    <t>17.7</t>
  </si>
  <si>
    <t>18.6</t>
  </si>
  <si>
    <t>20.5</t>
  </si>
  <si>
    <t>22</t>
  </si>
  <si>
    <t>27.6</t>
  </si>
  <si>
    <t>29.7</t>
  </si>
  <si>
    <t>25.2</t>
  </si>
  <si>
    <t>25.8</t>
  </si>
  <si>
    <t>27.5</t>
  </si>
  <si>
    <t>28.7</t>
  </si>
  <si>
    <t>34.2</t>
  </si>
  <si>
    <t>37.6</t>
  </si>
  <si>
    <t>41.2</t>
  </si>
  <si>
    <t>45</t>
  </si>
  <si>
    <t>48.8</t>
  </si>
  <si>
    <t>12.6</t>
  </si>
  <si>
    <t>13.5</t>
  </si>
  <si>
    <t>15.4</t>
  </si>
  <si>
    <t>18.4</t>
  </si>
  <si>
    <t>19.6</t>
  </si>
  <si>
    <t>23.4</t>
  </si>
  <si>
    <t>16.5</t>
  </si>
  <si>
    <t>17</t>
  </si>
  <si>
    <t>17.5</t>
  </si>
  <si>
    <t>20.6</t>
  </si>
  <si>
    <t>26.3</t>
  </si>
  <si>
    <t>28.1</t>
  </si>
  <si>
    <t>29.1</t>
  </si>
  <si>
    <t>30.1</t>
  </si>
  <si>
    <t>31</t>
  </si>
  <si>
    <t>32.8</t>
  </si>
  <si>
    <t>33.2</t>
  </si>
  <si>
    <t>33.6</t>
  </si>
  <si>
    <t>34</t>
  </si>
  <si>
    <t>34.3</t>
  </si>
  <si>
    <t>34.7</t>
  </si>
  <si>
    <t>27.7</t>
  </si>
  <si>
    <t>31.3</t>
  </si>
  <si>
    <t>31.4</t>
  </si>
  <si>
    <t>15.2</t>
  </si>
  <si>
    <t>15.8</t>
  </si>
  <si>
    <t>21.4</t>
  </si>
  <si>
    <t>23.3</t>
  </si>
  <si>
    <t>8.1</t>
  </si>
  <si>
    <t>10</t>
  </si>
  <si>
    <t>11.8</t>
  </si>
  <si>
    <t>12.1</t>
  </si>
  <si>
    <t>5.5</t>
  </si>
  <si>
    <t>6</t>
  </si>
  <si>
    <t>6.4</t>
  </si>
  <si>
    <t>6.8</t>
  </si>
  <si>
    <t>7.2</t>
  </si>
  <si>
    <t>7.6</t>
  </si>
  <si>
    <t>8</t>
  </si>
  <si>
    <t>8.7</t>
  </si>
  <si>
    <t>13</t>
  </si>
  <si>
    <t>12.3</t>
  </si>
  <si>
    <t>18</t>
  </si>
  <si>
    <t>19.3</t>
  </si>
  <si>
    <t>13.1</t>
  </si>
  <si>
    <t>14.2</t>
  </si>
  <si>
    <t>16.1</t>
  </si>
  <si>
    <t>21.9</t>
  </si>
  <si>
    <t>22.6</t>
  </si>
  <si>
    <t>23</t>
  </si>
  <si>
    <t>23.7</t>
  </si>
  <si>
    <t>7.9</t>
  </si>
  <si>
    <t>9</t>
  </si>
  <si>
    <t>9.5</t>
  </si>
  <si>
    <t>10.2</t>
  </si>
  <si>
    <t>9.9</t>
  </si>
  <si>
    <t>28.4</t>
  </si>
  <si>
    <t>29.8</t>
  </si>
  <si>
    <t>30.4</t>
  </si>
  <si>
    <t>31.8</t>
  </si>
  <si>
    <t>33.9</t>
  </si>
  <si>
    <t>35</t>
  </si>
  <si>
    <t>36.2</t>
  </si>
  <si>
    <t>37.3</t>
  </si>
  <si>
    <t>28.6</t>
  </si>
  <si>
    <t>32.3</t>
  </si>
  <si>
    <t>33.5</t>
  </si>
  <si>
    <t>34.9</t>
  </si>
  <si>
    <t>36.7</t>
  </si>
  <si>
    <t>37.8</t>
  </si>
  <si>
    <t>40.2</t>
  </si>
  <si>
    <t>42.8</t>
  </si>
  <si>
    <t>45.6</t>
  </si>
  <si>
    <t>48.4</t>
  </si>
  <si>
    <t>51.3</t>
  </si>
  <si>
    <t>29.4</t>
  </si>
  <si>
    <t>29.6</t>
  </si>
  <si>
    <t>29.9</t>
  </si>
  <si>
    <t>30.3</t>
  </si>
  <si>
    <t>30.7</t>
  </si>
  <si>
    <t>22.9</t>
  </si>
  <si>
    <t>26</t>
  </si>
  <si>
    <t>28.3</t>
  </si>
  <si>
    <t>31.1</t>
  </si>
  <si>
    <t>31.9</t>
  </si>
  <si>
    <t>33.1</t>
  </si>
  <si>
    <t>35.6</t>
  </si>
  <si>
    <t>36.9</t>
  </si>
  <si>
    <t>38.2</t>
  </si>
  <si>
    <t>18.9</t>
  </si>
  <si>
    <t>19.4</t>
  </si>
  <si>
    <t>21.3</t>
  </si>
  <si>
    <t>22.7</t>
  </si>
  <si>
    <t>23.8</t>
  </si>
  <si>
    <t>24.9</t>
  </si>
  <si>
    <t>20.7</t>
  </si>
  <si>
    <t>25.6</t>
  </si>
  <si>
    <t>29</t>
  </si>
  <si>
    <t>29.5</t>
  </si>
  <si>
    <t>30.2</t>
  </si>
  <si>
    <t>30.6</t>
  </si>
  <si>
    <t>16.7</t>
  </si>
  <si>
    <t>17.4</t>
  </si>
  <si>
    <t>19.8</t>
  </si>
  <si>
    <t>20.2</t>
  </si>
  <si>
    <t>19.7</t>
  </si>
  <si>
    <t>27.9</t>
  </si>
  <si>
    <t>28.9</t>
  </si>
  <si>
    <t>25.1</t>
  </si>
  <si>
    <t>18.3</t>
  </si>
  <si>
    <t>23.6</t>
  </si>
  <si>
    <t>25.7</t>
  </si>
  <si>
    <t>32.7</t>
  </si>
  <si>
    <t>35.2</t>
  </si>
  <si>
    <t>36.5</t>
  </si>
  <si>
    <t>8.4</t>
  </si>
  <si>
    <t>24.3</t>
  </si>
  <si>
    <t>15.5</t>
  </si>
  <si>
    <t>13.4</t>
  </si>
  <si>
    <t>3.8</t>
  </si>
  <si>
    <t>5.1</t>
  </si>
  <si>
    <t>10.5</t>
  </si>
  <si>
    <t>17.9</t>
  </si>
  <si>
    <t>20.9</t>
  </si>
  <si>
    <t>25.3</t>
  </si>
  <si>
    <t>11.6</t>
  </si>
  <si>
    <t>26.5</t>
  </si>
  <si>
    <t>28.2</t>
  </si>
  <si>
    <t>30.8</t>
  </si>
  <si>
    <t>28.8</t>
  </si>
  <si>
    <t>34.1</t>
  </si>
  <si>
    <t>28.5</t>
  </si>
  <si>
    <t>29.2</t>
  </si>
  <si>
    <t>32.4</t>
  </si>
  <si>
    <t>33</t>
  </si>
  <si>
    <t>34.8</t>
  </si>
  <si>
    <t>21.8</t>
  </si>
  <si>
    <t>8.8</t>
  </si>
  <si>
    <t>10.6</t>
  </si>
  <si>
    <t>Ivory Coast</t>
  </si>
  <si>
    <t>31.2</t>
  </si>
  <si>
    <t>6.5</t>
  </si>
  <si>
    <t>6.9</t>
  </si>
  <si>
    <t>Kyrgyzstan</t>
  </si>
  <si>
    <t>9.1</t>
  </si>
  <si>
    <t>33.8</t>
  </si>
  <si>
    <t>7.1</t>
  </si>
  <si>
    <t>7.5</t>
  </si>
  <si>
    <t>34.6</t>
  </si>
  <si>
    <t>31.5</t>
  </si>
  <si>
    <t>31.6</t>
  </si>
  <si>
    <t>32</t>
  </si>
  <si>
    <t>7.3</t>
  </si>
  <si>
    <t>8.6</t>
  </si>
  <si>
    <t>32.2</t>
  </si>
  <si>
    <t>22.4</t>
  </si>
  <si>
    <t>33.4</t>
  </si>
  <si>
    <t>35.4</t>
  </si>
  <si>
    <t>32.6</t>
  </si>
  <si>
    <t>Puerto Rico</t>
  </si>
  <si>
    <t>Republic of the Congo</t>
  </si>
  <si>
    <t>34.5</t>
  </si>
  <si>
    <t>36</t>
  </si>
  <si>
    <t>37</t>
  </si>
  <si>
    <t>36.3</t>
  </si>
  <si>
    <t>38.8</t>
  </si>
  <si>
    <t>40.1</t>
  </si>
  <si>
    <t>41.5</t>
  </si>
  <si>
    <t>5.8</t>
  </si>
  <si>
    <t>6.3</t>
  </si>
  <si>
    <t>7.7</t>
  </si>
  <si>
    <t>38.7</t>
  </si>
  <si>
    <t>39.5</t>
  </si>
  <si>
    <t>40.9</t>
  </si>
  <si>
    <t>42.5</t>
  </si>
  <si>
    <t>42.7</t>
  </si>
  <si>
    <t>43.6</t>
  </si>
  <si>
    <t>43.8</t>
  </si>
  <si>
    <t>44.5</t>
  </si>
  <si>
    <t>45.5</t>
  </si>
  <si>
    <t>46.6</t>
  </si>
  <si>
    <t>47.7</t>
  </si>
  <si>
    <t>49</t>
  </si>
  <si>
    <t>30.5</t>
  </si>
  <si>
    <t>50.3</t>
  </si>
  <si>
    <t>63.6</t>
  </si>
  <si>
    <t>66</t>
  </si>
  <si>
    <t>8.3</t>
  </si>
  <si>
    <t>32.9</t>
  </si>
  <si>
    <t>34.4</t>
  </si>
  <si>
    <t>35.1</t>
  </si>
  <si>
    <t>37.1</t>
  </si>
  <si>
    <t>Grab Holdings Limited (NasdaqGS:GRAB) &gt; Capital IQ Estimates &gt; Consensus</t>
  </si>
  <si>
    <t>Currency: Reported Currency</t>
  </si>
  <si>
    <t>Conversion: Today's Spot Rate</t>
  </si>
  <si>
    <t>Units: Capital IQ (Default)</t>
  </si>
  <si>
    <t>Decimals: CapitalIQ (Default)</t>
  </si>
  <si>
    <t>Consolidation: Consolidated</t>
  </si>
  <si>
    <t>Acctg. Standard: IFRS</t>
  </si>
  <si>
    <t>Current Fiscal Year End: Dec-31-2025 | FY 2025 Earnings Release Date: Feb-23-2026</t>
  </si>
  <si>
    <t>NasdaqGS:GRAB (USD)</t>
  </si>
  <si>
    <t>Mean</t>
  </si>
  <si>
    <t>High/Low</t>
  </si>
  <si>
    <t>Std. Dev.</t>
  </si>
  <si>
    <t>No. of Estimates.</t>
  </si>
  <si>
    <t>NasdaqGS:GRAB - Recommendation: Buy (1.50)</t>
  </si>
  <si>
    <t>8.00/5.60</t>
  </si>
  <si>
    <t>28/28</t>
  </si>
  <si>
    <t>1 - Buy</t>
  </si>
  <si>
    <t>Price Volatility</t>
  </si>
  <si>
    <t>High (5.00)</t>
  </si>
  <si>
    <t>2 - Outperform</t>
  </si>
  <si>
    <t>Industry Recommendation</t>
  </si>
  <si>
    <t>Outperform (1.80)</t>
  </si>
  <si>
    <t>3 - Hold</t>
  </si>
  <si>
    <t>4 - Underperform</t>
  </si>
  <si>
    <t>5 - Sell</t>
  </si>
  <si>
    <t>0 - No Opinion</t>
  </si>
  <si>
    <t>Market Summary</t>
  </si>
  <si>
    <t>NasdaqGS:GRAB (IFRS|USD)</t>
  </si>
  <si>
    <t>Currency</t>
  </si>
  <si>
    <t>US Dollar</t>
  </si>
  <si>
    <t>Current Quarter</t>
  </si>
  <si>
    <t>Current Year</t>
  </si>
  <si>
    <t>NTM</t>
  </si>
  <si>
    <t>Latest Price/Last Close Price</t>
  </si>
  <si>
    <t>4.93/4.93</t>
  </si>
  <si>
    <t>EPS (GAAP)</t>
  </si>
  <si>
    <t>52 Wk. High/Low</t>
  </si>
  <si>
    <t>6.62/3.36</t>
  </si>
  <si>
    <t>Company Level (IFRS|USD)</t>
  </si>
  <si>
    <t>Potential Upside/Diff. from Target Price</t>
  </si>
  <si>
    <t>38.55 %/1.90</t>
  </si>
  <si>
    <t xml:space="preserve">   Guidance</t>
  </si>
  <si>
    <t>3,380.00/-/3,400.00</t>
  </si>
  <si>
    <t>490.00/-/500.00</t>
  </si>
  <si>
    <t>Fiscal Years</t>
  </si>
  <si>
    <t xml:space="preserve">    Final Est.</t>
  </si>
  <si>
    <t xml:space="preserve">    Median</t>
  </si>
  <si>
    <t xml:space="preserve">    High</t>
  </si>
  <si>
    <t xml:space="preserve">    Low</t>
  </si>
  <si>
    <t xml:space="preserve">    Std. Dev.</t>
  </si>
  <si>
    <t xml:space="preserve">    No. of Estimates</t>
  </si>
  <si>
    <t>5/6</t>
  </si>
  <si>
    <t>13/15</t>
  </si>
  <si>
    <t>15/19</t>
  </si>
  <si>
    <t>16/21</t>
  </si>
  <si>
    <t>20/22</t>
  </si>
  <si>
    <t>21/22</t>
  </si>
  <si>
    <t>15/16</t>
  </si>
  <si>
    <t>1/1</t>
  </si>
  <si>
    <t xml:space="preserve">    Acctg. Standard</t>
  </si>
  <si>
    <t>IFRS</t>
  </si>
  <si>
    <t>EPS Normalized</t>
  </si>
  <si>
    <t>10/11</t>
  </si>
  <si>
    <t>12/16</t>
  </si>
  <si>
    <t>4/11</t>
  </si>
  <si>
    <t>7/10</t>
  </si>
  <si>
    <t>3/9</t>
  </si>
  <si>
    <t>6/9</t>
  </si>
  <si>
    <t>4/7</t>
  </si>
  <si>
    <t>Cash Earnings / Share</t>
  </si>
  <si>
    <t>DPS</t>
  </si>
  <si>
    <t>3/4</t>
  </si>
  <si>
    <t>5/5</t>
  </si>
  <si>
    <t>7/7</t>
  </si>
  <si>
    <t>8/8</t>
  </si>
  <si>
    <t>Book Value / Share</t>
  </si>
  <si>
    <t>4/6</t>
  </si>
  <si>
    <t>8/9</t>
  </si>
  <si>
    <t>11/11</t>
  </si>
  <si>
    <t>12/12</t>
  </si>
  <si>
    <t>12/13</t>
  </si>
  <si>
    <t>13/13</t>
  </si>
  <si>
    <t>10/10</t>
  </si>
  <si>
    <t>Net Asset Value Per Share</t>
  </si>
  <si>
    <t>2/2</t>
  </si>
  <si>
    <t>CFPS</t>
  </si>
  <si>
    <t>3/3</t>
  </si>
  <si>
    <t>6/7</t>
  </si>
  <si>
    <t>2/6</t>
  </si>
  <si>
    <t>Company Level (USD)</t>
  </si>
  <si>
    <t>9/13</t>
  </si>
  <si>
    <t>17/22</t>
  </si>
  <si>
    <t>21/24</t>
  </si>
  <si>
    <t>24/26</t>
  </si>
  <si>
    <t>25/26</t>
  </si>
  <si>
    <t>17/18</t>
  </si>
  <si>
    <t xml:space="preserve">    Guidance Low</t>
  </si>
  <si>
    <t xml:space="preserve">    Guidance High</t>
  </si>
  <si>
    <t>14/22</t>
  </si>
  <si>
    <t>16/25</t>
  </si>
  <si>
    <t>19/25</t>
  </si>
  <si>
    <t>13/19</t>
  </si>
  <si>
    <t>20/21</t>
  </si>
  <si>
    <t>13/24</t>
  </si>
  <si>
    <t>12/23</t>
  </si>
  <si>
    <t>11/23</t>
  </si>
  <si>
    <t>7/16</t>
  </si>
  <si>
    <t>6/6</t>
  </si>
  <si>
    <t>8/10</t>
  </si>
  <si>
    <t>5/8</t>
  </si>
  <si>
    <t>2/5</t>
  </si>
  <si>
    <t>2/3</t>
  </si>
  <si>
    <t>EBT (Excl. Excep)</t>
  </si>
  <si>
    <t>9/11</t>
  </si>
  <si>
    <t>3/8</t>
  </si>
  <si>
    <t>3/7</t>
  </si>
  <si>
    <t>4/8</t>
  </si>
  <si>
    <t>EBT (GAAP)</t>
  </si>
  <si>
    <t>2/4</t>
  </si>
  <si>
    <t>18/19</t>
  </si>
  <si>
    <t>18/20</t>
  </si>
  <si>
    <t>15/15</t>
  </si>
  <si>
    <t>Net Income (Excl. Excep)</t>
  </si>
  <si>
    <t>11/13</t>
  </si>
  <si>
    <t>12/14</t>
  </si>
  <si>
    <t>4/12</t>
  </si>
  <si>
    <t>4/10</t>
  </si>
  <si>
    <t>Net Income (GAAP)</t>
  </si>
  <si>
    <t>3/5</t>
  </si>
  <si>
    <t>14/14</t>
  </si>
  <si>
    <t>16/19</t>
  </si>
  <si>
    <t>17/21</t>
  </si>
  <si>
    <t>19/21</t>
  </si>
  <si>
    <t>Net Debt</t>
  </si>
  <si>
    <t>9/10</t>
  </si>
  <si>
    <t>7/13</t>
  </si>
  <si>
    <t>10/12</t>
  </si>
  <si>
    <t>Net Asset Value</t>
  </si>
  <si>
    <t>Depreciation &amp; Amortization</t>
  </si>
  <si>
    <t>9/9</t>
  </si>
  <si>
    <t>8/12</t>
  </si>
  <si>
    <t>Cash From Operations</t>
  </si>
  <si>
    <t>7/15</t>
  </si>
  <si>
    <t>Capital Expenditure</t>
  </si>
  <si>
    <t>11/16</t>
  </si>
  <si>
    <t>11/12</t>
  </si>
  <si>
    <t>Free Cash Flow</t>
  </si>
  <si>
    <t>4/4</t>
  </si>
  <si>
    <t>6/8</t>
  </si>
  <si>
    <t>Gross Margin %</t>
  </si>
  <si>
    <t>5/9</t>
  </si>
  <si>
    <t>Effective Tax Rate %</t>
  </si>
  <si>
    <t>3/6</t>
  </si>
  <si>
    <t>ROE %</t>
  </si>
  <si>
    <t>5/7</t>
  </si>
  <si>
    <t>14/15</t>
  </si>
  <si>
    <t>14/18</t>
  </si>
  <si>
    <t>14/17</t>
  </si>
  <si>
    <t>11/14</t>
  </si>
  <si>
    <t>ROA %</t>
  </si>
  <si>
    <t>1/2</t>
  </si>
  <si>
    <t>8/11</t>
  </si>
  <si>
    <t>9/12</t>
  </si>
  <si>
    <t>TEV</t>
  </si>
  <si>
    <t>Fiscal Quarters</t>
  </si>
  <si>
    <t>FQ3 2021 - Sep 2021</t>
  </si>
  <si>
    <t>FQ4 2021 - Dec 2021</t>
  </si>
  <si>
    <t>FQ1 2022 - Mar 2022</t>
  </si>
  <si>
    <t>FQ2 2022 - Jun 2022</t>
  </si>
  <si>
    <t>FQ3 2022 - Sep 2022</t>
  </si>
  <si>
    <t>FQ4 2022 - Dec 2022</t>
  </si>
  <si>
    <t>FQ1 2023 - Mar 2023</t>
  </si>
  <si>
    <t>FQ2 2023 - Jun 2023</t>
  </si>
  <si>
    <t>FQ3 2023 - Sep 2023</t>
  </si>
  <si>
    <t>FQ4 2023 - Dec 2023</t>
  </si>
  <si>
    <t>FQ1 2024 - Mar 2024</t>
  </si>
  <si>
    <t>FQ2 2024 - Jun 2024</t>
  </si>
  <si>
    <t>FQ3 2024 - Sep 2024</t>
  </si>
  <si>
    <t>FQ4 2024 - Dec 2024</t>
  </si>
  <si>
    <t>FQ1 2025 - Mar 2025</t>
  </si>
  <si>
    <t>FQ2 2025 - Jun 2025</t>
  </si>
  <si>
    <t>FQ3 2025 - Sep 2025</t>
  </si>
  <si>
    <t>FQ4 2025 - Dec 2025</t>
  </si>
  <si>
    <t>FQ1 2026 - Mar 2026</t>
  </si>
  <si>
    <t>FQ2 2026 - Jun 2026</t>
  </si>
  <si>
    <t>FQ3 2026 - Sep 2026</t>
  </si>
  <si>
    <t>FQ4 2026 - Dec 2026</t>
  </si>
  <si>
    <t>FQ1 2027 - Mar 2027</t>
  </si>
  <si>
    <t>FQ2 2027 - Jun 2027</t>
  </si>
  <si>
    <t>FQ3 2027 - Sep 2027</t>
  </si>
  <si>
    <t>FQ4 2027 - Dec 2027</t>
  </si>
  <si>
    <t>7/8</t>
  </si>
  <si>
    <t>7/9</t>
  </si>
  <si>
    <t>1/3</t>
  </si>
  <si>
    <t>4/5</t>
  </si>
  <si>
    <t>1/8</t>
  </si>
  <si>
    <t>1/4</t>
  </si>
  <si>
    <t xml:space="preserve">    Guidance</t>
  </si>
  <si>
    <t>2/8</t>
  </si>
  <si>
    <t>1/5</t>
  </si>
  <si>
    <t>Fiscal Halves</t>
  </si>
  <si>
    <t>FH2 2022 - Dec 2022</t>
  </si>
  <si>
    <t>Public Transport Users as a % of Singapore Population</t>
  </si>
  <si>
    <t>Source: URA (2020)</t>
  </si>
  <si>
    <t>Private Cars Step</t>
  </si>
  <si>
    <t>Average Household Size</t>
  </si>
  <si>
    <t>Number of People in Households With Private Cars Using Cars</t>
  </si>
  <si>
    <t>Non-Transport Users as % of Population Post Deductions</t>
  </si>
  <si>
    <t>Population</t>
  </si>
  <si>
    <t>Source: Statista</t>
  </si>
  <si>
    <t>Population Post Deductions of Public Transport Users and Private Car Users</t>
  </si>
  <si>
    <t>Public Transport Users</t>
  </si>
  <si>
    <t>Private Cars in Singapore</t>
  </si>
  <si>
    <t>In line with Singapores car-lite master plan, increasing COE prices, expansion of the public transport network, cap on vehicular population numbers, we forecast car ownership to decline steadily through 2025 to 2029</t>
  </si>
  <si>
    <t>Ride Hailing &amp; Other Modes of Transport</t>
  </si>
  <si>
    <t>% Total Population</t>
  </si>
  <si>
    <t>Growing Market Share of Ride-Hailing and Other Modes of Transport</t>
  </si>
  <si>
    <t>Total Transportation Users</t>
  </si>
  <si>
    <t>Ride Hailing Users</t>
  </si>
  <si>
    <t>% Total Transport Users</t>
  </si>
  <si>
    <t>Market Sizes | Historical/Forecast | Year-on-year growth (%)</t>
  </si>
  <si>
    <t>Currency Conversion</t>
  </si>
  <si>
    <t>2025 - 2026</t>
  </si>
  <si>
    <t>2026 - 2027</t>
  </si>
  <si>
    <t>2027 - 2028</t>
  </si>
  <si>
    <t>2028 - 2029</t>
  </si>
  <si>
    <t>2029 - 2030</t>
  </si>
  <si>
    <t>Domestic Tourism</t>
  </si>
  <si>
    <t>Retail Value RSP</t>
  </si>
  <si>
    <t>USD million</t>
  </si>
  <si>
    <t>Fixed 2025 ex rates</t>
  </si>
  <si>
    <t>Current Prices</t>
  </si>
  <si>
    <t>Travel: Euromonitor from trade sources/national statistics</t>
  </si>
  <si>
    <t>Date Exported (GMT): 12/12/2025 11:18:04 AM</t>
  </si>
  <si>
    <t>Household Ownership of Durable Goods by Age of Head of Household | Historical/Forecast</t>
  </si>
  <si>
    <t>Categorization Type</t>
  </si>
  <si>
    <t>Possession of Passenger Car</t>
  </si>
  <si>
    <t>% of households</t>
  </si>
  <si>
    <t>..</t>
  </si>
  <si>
    <t>Company Comparable Analysis &gt;  Grab Trading Comps (IQ1207002565) &gt; Financial Data</t>
  </si>
  <si>
    <t>Details</t>
  </si>
  <si>
    <t>Template:</t>
  </si>
  <si>
    <t>Trading Comps Template</t>
  </si>
  <si>
    <t>Currency:</t>
  </si>
  <si>
    <t>As-Of Date:</t>
  </si>
  <si>
    <t>Company Comp Set</t>
  </si>
  <si>
    <t>Company Name</t>
  </si>
  <si>
    <t>Day Close Price Latest</t>
  </si>
  <si>
    <t>Shares Outstanding Latest</t>
  </si>
  <si>
    <t>Market Capitalization Latest</t>
  </si>
  <si>
    <t xml:space="preserve">LTM Net Debt </t>
  </si>
  <si>
    <t>LTM Total Pref. Equity</t>
  </si>
  <si>
    <t>LTM Minority Interest</t>
  </si>
  <si>
    <t>Total Enterprise Value Latest</t>
  </si>
  <si>
    <t xml:space="preserve">LTM Tangible Book Value/Share </t>
  </si>
  <si>
    <t xml:space="preserve">LTM Total Revenue </t>
  </si>
  <si>
    <t xml:space="preserve">LTM EBITDA </t>
  </si>
  <si>
    <t xml:space="preserve">LTM EBIT </t>
  </si>
  <si>
    <t xml:space="preserve">NTM Revenue (Capital IQ) </t>
  </si>
  <si>
    <t xml:space="preserve">NTM EBITDA (Capital IQ) </t>
  </si>
  <si>
    <t xml:space="preserve">LTM Diluted EPS Excl. Extra Items </t>
  </si>
  <si>
    <t xml:space="preserve">NTM EPS (Capital IQ) </t>
  </si>
  <si>
    <t>5 Year Beta</t>
  </si>
  <si>
    <t>2 Year Beta</t>
  </si>
  <si>
    <t>1 Year Beta</t>
  </si>
  <si>
    <t xml:space="preserve">FY Total Debt </t>
  </si>
  <si>
    <t xml:space="preserve">FY Total Equity </t>
  </si>
  <si>
    <t xml:space="preserve">LTM Effective Tax Rate </t>
  </si>
  <si>
    <t>PLDT Inc. (PSE:TEL)</t>
  </si>
  <si>
    <t>United Overseas Bank Limited (SGX:U11)</t>
  </si>
  <si>
    <t>DBS Group Holdings Ltd (SGX:D05)</t>
  </si>
  <si>
    <t>SCB X Public Company Limited (SET:SCB)</t>
  </si>
  <si>
    <t>artience Co., Ltd. (TSE:4634)</t>
  </si>
  <si>
    <t>Kasikornbank Public Company Limited (SET:KBANK)</t>
  </si>
  <si>
    <t>Globe Telecom, Inc. (PSE:GLO)</t>
  </si>
  <si>
    <t>Singapore Post Limited (SGX:S08)</t>
  </si>
  <si>
    <t>ComfortDelGro Corporation Limited (SGX:C52)</t>
  </si>
  <si>
    <t>BTS Group Holdings Public Company Limited (SET:BTS)</t>
  </si>
  <si>
    <t>Delivery Hero SE (XTRA:DHER)</t>
  </si>
  <si>
    <t>Sitoy Group Holdings Limited (SEHK:1023)</t>
  </si>
  <si>
    <t>PT Blue Bird Tbk (IDX:BIRD)</t>
  </si>
  <si>
    <t>Deliveroo plc</t>
  </si>
  <si>
    <t>PT GoTo Gojek Tokopedia Tbk (IDX:GOTO)</t>
  </si>
  <si>
    <t>PT Bank Jago Tbk (IDX:ARTO)</t>
  </si>
  <si>
    <t>Sea Limited (NYSE:SE)</t>
  </si>
  <si>
    <t>Grab Holdings Limited (NasdaqGS:GRAB)</t>
  </si>
  <si>
    <t>Summary Statistics</t>
  </si>
  <si>
    <t>Displaying 18 Companies.</t>
  </si>
  <si>
    <t>Excel Comp Set ID: IQ1207002565</t>
  </si>
  <si>
    <t>Values converted at today's spot rate.</t>
  </si>
  <si>
    <t>Historical Equity Pricing Data supplied by Interactive Data Pricing and Reference Data LLC</t>
  </si>
  <si>
    <t>Moody's rating</t>
  </si>
  <si>
    <t>Sovereign CDS</t>
  </si>
  <si>
    <t>Adj. Default Spread</t>
  </si>
  <si>
    <t>Corporate Tax Rate</t>
  </si>
  <si>
    <t>Region</t>
  </si>
  <si>
    <t>For financial service firms (default spreads are slighty different)</t>
  </si>
  <si>
    <t>Abu Dhabi</t>
  </si>
  <si>
    <t>Aa2</t>
  </si>
  <si>
    <t>Middle East</t>
  </si>
  <si>
    <t>&gt;</t>
  </si>
  <si>
    <t>≤ to</t>
  </si>
  <si>
    <t>Rating is</t>
  </si>
  <si>
    <t>Spread is</t>
  </si>
  <si>
    <t>Ba3</t>
  </si>
  <si>
    <t>NA</t>
  </si>
  <si>
    <t>Eastern Europe &amp; Russia</t>
  </si>
  <si>
    <t>D2/D</t>
  </si>
  <si>
    <t>Andorra (Principality of)</t>
  </si>
  <si>
    <t>Baa1</t>
  </si>
  <si>
    <t>Western Europe</t>
  </si>
  <si>
    <t>C2/C</t>
  </si>
  <si>
    <t>B3</t>
  </si>
  <si>
    <t>Africa</t>
  </si>
  <si>
    <t>Ca2/CC</t>
  </si>
  <si>
    <t>Caa3</t>
  </si>
  <si>
    <t>Central and South America</t>
  </si>
  <si>
    <t>Caa/CCC</t>
  </si>
  <si>
    <t>B3/B-</t>
  </si>
  <si>
    <t>Baa3</t>
  </si>
  <si>
    <t>Caribbean</t>
  </si>
  <si>
    <t>B2/B</t>
  </si>
  <si>
    <t>Aaa</t>
  </si>
  <si>
    <t>Australia &amp; New Zealand</t>
  </si>
  <si>
    <t>B1/B+</t>
  </si>
  <si>
    <t>Aa1</t>
  </si>
  <si>
    <t>Ba2/BB</t>
  </si>
  <si>
    <t>Ba1/BB+</t>
  </si>
  <si>
    <t>Bahamas</t>
  </si>
  <si>
    <t>B1</t>
  </si>
  <si>
    <t>Baa2/BBB</t>
  </si>
  <si>
    <t>B2</t>
  </si>
  <si>
    <t>A3/A-</t>
  </si>
  <si>
    <t>Asia</t>
  </si>
  <si>
    <t>A2/A</t>
  </si>
  <si>
    <t>A1/A+</t>
  </si>
  <si>
    <t>C</t>
  </si>
  <si>
    <t>Aa2/AA</t>
  </si>
  <si>
    <t>Aa3</t>
  </si>
  <si>
    <t>Aaa/AAA</t>
  </si>
  <si>
    <t>Caa1</t>
  </si>
  <si>
    <t>A2</t>
  </si>
  <si>
    <t>Ca</t>
  </si>
  <si>
    <t>A3</t>
  </si>
  <si>
    <t>Ba1</t>
  </si>
  <si>
    <t>Cape Verde</t>
  </si>
  <si>
    <t>A1</t>
  </si>
  <si>
    <t>Congo (Democratic Republic of)</t>
  </si>
  <si>
    <t>Congo (Republic of)</t>
  </si>
  <si>
    <t>Caa2</t>
  </si>
  <si>
    <t>Cook Islands</t>
  </si>
  <si>
    <t>Ba2</t>
  </si>
  <si>
    <t>Guernsey (States of)</t>
  </si>
  <si>
    <t>Hong Kong</t>
  </si>
  <si>
    <t>Baa2</t>
  </si>
  <si>
    <t>Jersey (States of)</t>
  </si>
  <si>
    <t>Korea</t>
  </si>
  <si>
    <t>Macao</t>
  </si>
  <si>
    <t>Macedonia</t>
  </si>
  <si>
    <t>Montserrat</t>
  </si>
  <si>
    <t>Ras Al Khaimah (Emirate of)</t>
  </si>
  <si>
    <t>Sharjah</t>
  </si>
  <si>
    <t>St. Maarten</t>
  </si>
  <si>
    <t>St. Vincent &amp; the Grenadines</t>
  </si>
  <si>
    <t>Swaziland</t>
  </si>
  <si>
    <t>Average of Adj. Default Spread</t>
  </si>
  <si>
    <t>Average of Country Risk Premium</t>
  </si>
  <si>
    <t>Average of Equity Risk Premium</t>
  </si>
  <si>
    <t>Average of Corporate Tax Rate</t>
  </si>
  <si>
    <t>Company Comparable Analysis &gt;  Grab Trading Comps (IQ1207002565) &gt; Trading Multiples</t>
  </si>
  <si>
    <t>TEV/EBIT LTM - Latest</t>
  </si>
  <si>
    <t>P/TangBV LTM - Latest</t>
  </si>
  <si>
    <t xml:space="preserve">NTM TEV/Forward Total Revenue (Capital IQ) </t>
  </si>
  <si>
    <t xml:space="preserve">NTM TEV/Forward EBITDA (Capital IQ) </t>
  </si>
  <si>
    <t xml:space="preserve">NTM Forward P/E (Capital IQ) </t>
  </si>
  <si>
    <t>TEV/EBITDA LTM - Latest</t>
  </si>
  <si>
    <t xml:space="preserve">CY+1 TEV/Forward EBITDA (Capital IQ) </t>
  </si>
  <si>
    <t xml:space="preserve">CY+2 TEV/Forward EBITDA (Capital IQ) </t>
  </si>
  <si>
    <t>TEV/Total Revenues LTM - Latest</t>
  </si>
  <si>
    <t xml:space="preserve">CY+1 TEV/Forward Total Revenue (Capital IQ) </t>
  </si>
  <si>
    <t xml:space="preserve">CY+2 TEV/Forward Total Revenue (Capital IQ) </t>
  </si>
  <si>
    <t>P/Normalized EPS LTM - Latest</t>
  </si>
  <si>
    <t xml:space="preserve">CY+1 Forward P/E (Capital IQ) </t>
  </si>
  <si>
    <t xml:space="preserve">CY+2 Forward P/E (Capital IQ) </t>
  </si>
  <si>
    <t>P/Diluted EPS Before Extra LTM - Latest</t>
  </si>
  <si>
    <t>NM</t>
  </si>
  <si>
    <t>2020 - 2021</t>
  </si>
  <si>
    <t>2021 - 2022</t>
  </si>
  <si>
    <t>2022 - 2023</t>
  </si>
  <si>
    <t>2023 - 2024</t>
  </si>
  <si>
    <t>2024 - 2025</t>
  </si>
  <si>
    <t>CNY million</t>
  </si>
  <si>
    <t>HKD million</t>
  </si>
  <si>
    <t>INR million</t>
  </si>
  <si>
    <t>IDR billion</t>
  </si>
  <si>
    <t>JPY billion</t>
  </si>
  <si>
    <t>MYR million</t>
  </si>
  <si>
    <t>PHP million</t>
  </si>
  <si>
    <t>SGD million</t>
  </si>
  <si>
    <t>KRW billion</t>
  </si>
  <si>
    <t>TWD million</t>
  </si>
  <si>
    <t>THB million</t>
  </si>
  <si>
    <t>VND billion</t>
  </si>
  <si>
    <t>AUD million</t>
  </si>
  <si>
    <t>CZK million</t>
  </si>
  <si>
    <t>HUF million</t>
  </si>
  <si>
    <t>PLN million</t>
  </si>
  <si>
    <t>RON million</t>
  </si>
  <si>
    <t>RUB million</t>
  </si>
  <si>
    <t>UAH million</t>
  </si>
  <si>
    <t>ARS million</t>
  </si>
  <si>
    <t>BRL million</t>
  </si>
  <si>
    <t>CLP million</t>
  </si>
  <si>
    <t>COP billion</t>
  </si>
  <si>
    <t>MXN million</t>
  </si>
  <si>
    <t>PEN million</t>
  </si>
  <si>
    <t>EGP million</t>
  </si>
  <si>
    <t>ILS million</t>
  </si>
  <si>
    <t>MAD million</t>
  </si>
  <si>
    <t>NGN million</t>
  </si>
  <si>
    <t>SAR million</t>
  </si>
  <si>
    <t>ZAR million</t>
  </si>
  <si>
    <t>AED million</t>
  </si>
  <si>
    <t>CAD million</t>
  </si>
  <si>
    <t>EUR million</t>
  </si>
  <si>
    <t>DKK million</t>
  </si>
  <si>
    <t>NOK million</t>
  </si>
  <si>
    <t>SEK million</t>
  </si>
  <si>
    <t>TRY million</t>
  </si>
  <si>
    <t>GBP million</t>
  </si>
  <si>
    <t>Payments and Lending: Euromonitor from trade sources/national statistics</t>
  </si>
  <si>
    <t>Date Exported (GMT): 12/2/2025 6:00:03 PM</t>
  </si>
  <si>
    <t>Inbound Tourism Spending - modelled</t>
  </si>
  <si>
    <t>KHR billion</t>
  </si>
  <si>
    <t>Inbound Tourism Spending</t>
  </si>
  <si>
    <t>IDR million</t>
  </si>
  <si>
    <t>JPY million</t>
  </si>
  <si>
    <t>KZT billion</t>
  </si>
  <si>
    <t>LAK billion</t>
  </si>
  <si>
    <t>MMK billion</t>
  </si>
  <si>
    <t>KRW million</t>
  </si>
  <si>
    <t>LKR billion</t>
  </si>
  <si>
    <t>NZD million</t>
  </si>
  <si>
    <t>BGN million</t>
  </si>
  <si>
    <t>GEL million</t>
  </si>
  <si>
    <t>BOB million</t>
  </si>
  <si>
    <t>CRC billion</t>
  </si>
  <si>
    <t>DOP million</t>
  </si>
  <si>
    <t>GTQ million</t>
  </si>
  <si>
    <t>UYU million</t>
  </si>
  <si>
    <t>JOD million</t>
  </si>
  <si>
    <t>KES billion</t>
  </si>
  <si>
    <t>LBP billion</t>
  </si>
  <si>
    <t>NGN billion</t>
  </si>
  <si>
    <t>OMR million</t>
  </si>
  <si>
    <t>QAR million</t>
  </si>
  <si>
    <t>TZS billion</t>
  </si>
  <si>
    <t>TND million</t>
  </si>
  <si>
    <t>CHF million</t>
  </si>
  <si>
    <t>Date Exported (GMT): 12/2/2025 5:24:10 PM</t>
  </si>
  <si>
    <t>Economies and Consumers Annual Data | Historical/Forecast | Year-on-year growth (%)</t>
  </si>
  <si>
    <t>Per Capita/Household</t>
  </si>
  <si>
    <t>Per Capita</t>
  </si>
  <si>
    <t>Asia Pacific</t>
  </si>
  <si>
    <t>AFN</t>
  </si>
  <si>
    <t>AMD</t>
  </si>
  <si>
    <t>AZN</t>
  </si>
  <si>
    <t>BDT</t>
  </si>
  <si>
    <t>BND</t>
  </si>
  <si>
    <t>KHR</t>
  </si>
  <si>
    <t>CNY</t>
  </si>
  <si>
    <t>FJD</t>
  </si>
  <si>
    <t>XPF</t>
  </si>
  <si>
    <t>HKD</t>
  </si>
  <si>
    <t>INR</t>
  </si>
  <si>
    <t>IDR</t>
  </si>
  <si>
    <t>JPY</t>
  </si>
  <si>
    <t>KZT</t>
  </si>
  <si>
    <t>AUD</t>
  </si>
  <si>
    <t>KGS</t>
  </si>
  <si>
    <t>LAK</t>
  </si>
  <si>
    <t>Macao Sar</t>
  </si>
  <si>
    <t>MOP</t>
  </si>
  <si>
    <t>MYR</t>
  </si>
  <si>
    <t>MVR</t>
  </si>
  <si>
    <t>MNT</t>
  </si>
  <si>
    <t>MMK</t>
  </si>
  <si>
    <t>NPR</t>
  </si>
  <si>
    <t>PKR</t>
  </si>
  <si>
    <t>PGK</t>
  </si>
  <si>
    <t>PHP</t>
  </si>
  <si>
    <t>WST</t>
  </si>
  <si>
    <t>SGD</t>
  </si>
  <si>
    <t>SBD</t>
  </si>
  <si>
    <t>KRW</t>
  </si>
  <si>
    <t>LKR</t>
  </si>
  <si>
    <t>TWD</t>
  </si>
  <si>
    <t>TJS</t>
  </si>
  <si>
    <t>THB</t>
  </si>
  <si>
    <t>TOP</t>
  </si>
  <si>
    <t>TMT</t>
  </si>
  <si>
    <t>UZS</t>
  </si>
  <si>
    <t>VUV</t>
  </si>
  <si>
    <t>VND</t>
  </si>
  <si>
    <t>Australasia</t>
  </si>
  <si>
    <t>NZD</t>
  </si>
  <si>
    <t>Eastern Europe</t>
  </si>
  <si>
    <t>ALL</t>
  </si>
  <si>
    <t>BYN</t>
  </si>
  <si>
    <t>BAM</t>
  </si>
  <si>
    <t>BGN</t>
  </si>
  <si>
    <t>EUR</t>
  </si>
  <si>
    <t>CZK</t>
  </si>
  <si>
    <t>GEL</t>
  </si>
  <si>
    <t>HUF</t>
  </si>
  <si>
    <t>MDL</t>
  </si>
  <si>
    <t>PLN</t>
  </si>
  <si>
    <t>RON</t>
  </si>
  <si>
    <t>RUB</t>
  </si>
  <si>
    <t>RSD</t>
  </si>
  <si>
    <t>UAH</t>
  </si>
  <si>
    <t>Latin America</t>
  </si>
  <si>
    <t>Anguilla</t>
  </si>
  <si>
    <t>XCD</t>
  </si>
  <si>
    <t>ARS</t>
  </si>
  <si>
    <t>AWG</t>
  </si>
  <si>
    <t>BSD</t>
  </si>
  <si>
    <t>BBD</t>
  </si>
  <si>
    <t>BZD</t>
  </si>
  <si>
    <t>BMD</t>
  </si>
  <si>
    <t>BOB</t>
  </si>
  <si>
    <t>BRL</t>
  </si>
  <si>
    <t>KYD</t>
  </si>
  <si>
    <t>CLP</t>
  </si>
  <si>
    <t>COP</t>
  </si>
  <si>
    <t>CRC</t>
  </si>
  <si>
    <t>CUC</t>
  </si>
  <si>
    <t>ANG</t>
  </si>
  <si>
    <t>DOP</t>
  </si>
  <si>
    <t>French Guiana</t>
  </si>
  <si>
    <t>Guadeloupe</t>
  </si>
  <si>
    <t>GTQ</t>
  </si>
  <si>
    <t>GYD</t>
  </si>
  <si>
    <t>HTG</t>
  </si>
  <si>
    <t>HNL</t>
  </si>
  <si>
    <t>JMD</t>
  </si>
  <si>
    <t>Martinique</t>
  </si>
  <si>
    <t>MXN</t>
  </si>
  <si>
    <t>NIO</t>
  </si>
  <si>
    <t>PAB</t>
  </si>
  <si>
    <t>PYG</t>
  </si>
  <si>
    <t>PEN</t>
  </si>
  <si>
    <t>Sint Maarten</t>
  </si>
  <si>
    <t>St Kitts and Nevis</t>
  </si>
  <si>
    <t>St Lucia</t>
  </si>
  <si>
    <t>St Vincent and the Grenadines</t>
  </si>
  <si>
    <t>TTD</t>
  </si>
  <si>
    <t>UYU</t>
  </si>
  <si>
    <t>US Virgin Islands</t>
  </si>
  <si>
    <t>VED</t>
  </si>
  <si>
    <t>Middle East and Africa</t>
  </si>
  <si>
    <t>DZD</t>
  </si>
  <si>
    <t>AOA</t>
  </si>
  <si>
    <t>BHD</t>
  </si>
  <si>
    <t>XOF</t>
  </si>
  <si>
    <t>BWP</t>
  </si>
  <si>
    <t>BIF</t>
  </si>
  <si>
    <t>XAF</t>
  </si>
  <si>
    <t>KMF</t>
  </si>
  <si>
    <t>Congo, Democratic Republic</t>
  </si>
  <si>
    <t>CDF</t>
  </si>
  <si>
    <t>Congo-Brazzaville</t>
  </si>
  <si>
    <t>DJF</t>
  </si>
  <si>
    <t>EGP</t>
  </si>
  <si>
    <t>ERN</t>
  </si>
  <si>
    <t>SZL</t>
  </si>
  <si>
    <t>ETB</t>
  </si>
  <si>
    <t>Gambia</t>
  </si>
  <si>
    <t>GMD</t>
  </si>
  <si>
    <t>GHS</t>
  </si>
  <si>
    <t>GNF</t>
  </si>
  <si>
    <t>IRR</t>
  </si>
  <si>
    <t>IQD</t>
  </si>
  <si>
    <t>ILS</t>
  </si>
  <si>
    <t>JOD</t>
  </si>
  <si>
    <t>KES</t>
  </si>
  <si>
    <t>KWD</t>
  </si>
  <si>
    <t>LBP</t>
  </si>
  <si>
    <t>LSL</t>
  </si>
  <si>
    <t>LRD</t>
  </si>
  <si>
    <t>LYD</t>
  </si>
  <si>
    <t>MGA</t>
  </si>
  <si>
    <t>MWK</t>
  </si>
  <si>
    <t>MRU</t>
  </si>
  <si>
    <t>MUR</t>
  </si>
  <si>
    <t>MAD</t>
  </si>
  <si>
    <t>MZN</t>
  </si>
  <si>
    <t>NAD</t>
  </si>
  <si>
    <t>NGN</t>
  </si>
  <si>
    <t>OMR</t>
  </si>
  <si>
    <t>QAR</t>
  </si>
  <si>
    <t>Réunion</t>
  </si>
  <si>
    <t>RWF</t>
  </si>
  <si>
    <t>Sao Tomé e Príncipe</t>
  </si>
  <si>
    <t>STN</t>
  </si>
  <si>
    <t>SAR</t>
  </si>
  <si>
    <t>SCR</t>
  </si>
  <si>
    <t>Somalia</t>
  </si>
  <si>
    <t>SOS</t>
  </si>
  <si>
    <t>ZAR</t>
  </si>
  <si>
    <t>SSP</t>
  </si>
  <si>
    <t>SDG</t>
  </si>
  <si>
    <t>Syria</t>
  </si>
  <si>
    <t>SYP</t>
  </si>
  <si>
    <t>TZS</t>
  </si>
  <si>
    <t>TND</t>
  </si>
  <si>
    <t>UGX</t>
  </si>
  <si>
    <t>AED</t>
  </si>
  <si>
    <t>Yemen</t>
  </si>
  <si>
    <t>YER</t>
  </si>
  <si>
    <t>ZMW</t>
  </si>
  <si>
    <t>CAD</t>
  </si>
  <si>
    <t>DKK</t>
  </si>
  <si>
    <t>ISK</t>
  </si>
  <si>
    <t>CHF</t>
  </si>
  <si>
    <t>NOK</t>
  </si>
  <si>
    <t>SEK</t>
  </si>
  <si>
    <t>TRY</t>
  </si>
  <si>
    <t>GBP</t>
  </si>
  <si>
    <t>% growth</t>
  </si>
  <si>
    <t>(Increase)/Decrease in Loan Receivables in the FS Segment (Current)</t>
  </si>
  <si>
    <t>(Increase)/Decrease in Loan Receivables in the FS Segment (Non-Current)</t>
  </si>
  <si>
    <t>Sensitivity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</si>
</sst>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43" formatCode="_(* #,##0.00_);_(* \(#,##0.00\);_(* &quot;-&quot;??_);_(@_)"/>
    <numFmt numFmtId="164" formatCode="&quot;$&quot;#,##0.00;[Red]\-&quot;$&quot;#,##0.00"/>
    <numFmt numFmtId="165" formatCode="_-&quot;$&quot;* #,##0_-;\-&quot;$&quot;* #,##0_-;_-&quot;$&quot;* &quot;-&quot;_-;_-@_-"/>
    <numFmt numFmtId="166" formatCode="_-* #,##0_-;\-* #,##0_-;_-* &quot;-&quot;_-;_-@_-"/>
    <numFmt numFmtId="167" formatCode="_-&quot;$&quot;* #,##0.00_-;\-&quot;$&quot;* #,##0.00_-;_-&quot;$&quot;* &quot;-&quot;??_-;_-@_-"/>
    <numFmt numFmtId="168" formatCode="_-* #,##0.00_-;\-* #,##0.00_-;_-* &quot;-&quot;??_-;_-@_-"/>
    <numFmt numFmtId="169" formatCode="_(0.0%_);\(0.0%\);\-"/>
    <numFmt numFmtId="170" formatCode="&quot;$&quot;#,##0.00"/>
    <numFmt numFmtId="171" formatCode="#,##0.0;\(#,##0.0\)"/>
    <numFmt numFmtId="172" formatCode="_(* #,##0.0_);_(* \(#,##0.0\);_(* &quot;-&quot;??_);_(@_)"/>
    <numFmt numFmtId="173" formatCode="&quot;FY&quot;0&quot;A&quot;"/>
    <numFmt numFmtId="174" formatCode="&quot;FY&quot;0&quot;E&quot;"/>
    <numFmt numFmtId="175" formatCode="_(* #,##0.0_);_(* \(#,##0.0\)_)\ ;_(* 0_)"/>
    <numFmt numFmtId="176" formatCode="mmm\-dd\-yyyy"/>
    <numFmt numFmtId="177" formatCode="0\A"/>
    <numFmt numFmtId="178" formatCode="0\E"/>
    <numFmt numFmtId="179" formatCode="0.0%"/>
    <numFmt numFmtId="180" formatCode="_-* #,##0.0_-;\-* #,##0.0_-;_-* &quot;-&quot;?_-;_-@_-"/>
    <numFmt numFmtId="181" formatCode="#,##0.0"/>
    <numFmt numFmtId="182" formatCode="0\ &quot;Years&quot;"/>
    <numFmt numFmtId="183" formatCode="0.0%;\(0.0\)%;\-"/>
    <numFmt numFmtId="184" formatCode="&quot;FY&quot;0&quot;E&quot;\ "/>
    <numFmt numFmtId="185" formatCode="_(* #,##0.0_);_(* \(#,##0.0\);_(* &quot;-&quot;?_);_(@_)"/>
    <numFmt numFmtId="186" formatCode="_(* #,##0.00000_);_(* \(#,##0.00000\);_(* &quot;-&quot;??_);_(@_)"/>
    <numFmt numFmtId="187" formatCode="&quot;FY&quot;General&quot;E&quot;"/>
    <numFmt numFmtId="188" formatCode="0\ &quot;days&quot;"/>
    <numFmt numFmtId="189" formatCode="_(* #,##0_);_(* \(#,##0\);_(* &quot;-&quot;??_);_(@_)"/>
    <numFmt numFmtId="190" formatCode="&quot;FY&quot;General&quot;A&quot;"/>
    <numFmt numFmtId="191" formatCode="_(\ #,##0.0_);_(\ \(#,##0.0\)_);_(\ &quot; - &quot;_)"/>
    <numFmt numFmtId="192" formatCode="0.0"/>
    <numFmt numFmtId="193" formatCode="&quot;CY+&quot;0"/>
    <numFmt numFmtId="194" formatCode="_(\ #,##0.0#_);_(\(\ #,##0.0#\)_);_(\ &quot; - &quot;_)"/>
    <numFmt numFmtId="195" formatCode="#,##0.0\x"/>
    <numFmt numFmtId="196" formatCode="#,##0.00\x"/>
    <numFmt numFmtId="197" formatCode="#,##0.0&quot;x&quot;;\(#,##0.0\)&quot;x&quot;"/>
    <numFmt numFmtId="198" formatCode="0.0\x"/>
    <numFmt numFmtId="199" formatCode="_(0.00%_);\(0.00%\);\-"/>
    <numFmt numFmtId="200" formatCode="#,##0.00;\(#,##0.00\)"/>
    <numFmt numFmtId="201" formatCode="_(* #,##0.0_);_(* \(#,##0.0\);_(* &quot;-&quot;_);_(@_)"/>
    <numFmt numFmtId="202" formatCode="_(* #,##0.00_);_(* \(#,##0.00\);_(* &quot;-&quot;?_);_(@_)"/>
    <numFmt numFmtId="203" formatCode="0\ &quot;years&quot;"/>
    <numFmt numFmtId="204" formatCode="_(#,##0.00%_);_(\(#,##0.00%\)_);_(#,##0.00%_)"/>
    <numFmt numFmtId="205" formatCode="[$-14809]d\ mmm\ yyyy;@"/>
    <numFmt numFmtId="206" formatCode="0000\P"/>
    <numFmt numFmtId="207" formatCode="[$¥-411]#,##0.00;\-[$¥-411]#,##0.00"/>
    <numFmt numFmtId="208" formatCode="[$$-409]#,##0.00_ ;\-[$$-409]#,##0.00\ "/>
    <numFmt numFmtId="209" formatCode="[$$-409]#,##0.00"/>
    <numFmt numFmtId="210" formatCode="_(* #,##0.000_);_(* \(#,##0.000\);_(* &quot;-&quot;??_);_(@_)"/>
    <numFmt numFmtId="211" formatCode="0\ &quot;People&quot;"/>
    <numFmt numFmtId="212" formatCode="_(\ #,##0.00&quot; A&quot;_);_(\(\ #,##0.00&quot; A&quot;\)_);_(\ #,##0.00&quot; A&quot;_)"/>
    <numFmt numFmtId="213" formatCode="_(\ #,##0.00&quot; E&quot;_);_(\(\ #,##0.00&quot; E&quot;\)_);_(\ #,##0.00&quot; E&quot;_)"/>
    <numFmt numFmtId="214" formatCode="_(\ #,##0.00&quot; GL&quot;_);_(\(\ #,##0.00&quot; GL&quot;\)_);_(\ #,##0.00&quot; GL&quot;_)"/>
    <numFmt numFmtId="215" formatCode="_(\ #,##0.00&quot; GH&quot;_);_(\(\ #,##0.00&quot; GH&quot;\)_);_(\ #,##0.00&quot; GH&quot;_)"/>
    <numFmt numFmtId="216" formatCode="_(\ #,##0.00&quot; G&quot;_);_(\(\ #,##0.00&quot; G&quot;\)_);_(\ #,##0.00&quot; G&quot;_)"/>
  </numFmts>
  <fonts count="129">
    <font>
      <sz val="11"/>
      <color theme="1"/>
      <name val="Aptos Narrow"/>
      <family val="2"/>
      <scheme val="minor"/>
    </font>
    <font>
      <b/>
      <sz val="25"/>
      <color theme="0"/>
      <name val="Segoe UI"/>
      <family val="2"/>
    </font>
    <font>
      <b/>
      <sz val="14"/>
      <color rgb="FFFFFFFF"/>
      <name val="Segoe UI"/>
      <family val="2"/>
    </font>
    <font>
      <sz val="14"/>
      <name val="Segoe UI"/>
      <family val="2"/>
    </font>
    <font>
      <sz val="14"/>
      <color rgb="FFFFFFFF"/>
      <name val="Segoe UI"/>
      <family val="2"/>
    </font>
    <font>
      <b/>
      <sz val="14"/>
      <color rgb="FF000000"/>
      <name val="Segoe UI"/>
      <family val="2"/>
    </font>
    <font>
      <sz val="14"/>
      <color rgb="FF000000"/>
      <name val="Segoe UI"/>
      <family val="2"/>
    </font>
    <font>
      <b/>
      <u/>
      <sz val="14"/>
      <color rgb="FF000000"/>
      <name val="Segoe UI"/>
      <family val="2"/>
    </font>
    <font>
      <i/>
      <sz val="14"/>
      <color rgb="FF000000"/>
      <name val="Segoe UI"/>
      <family val="2"/>
    </font>
    <font>
      <sz val="14"/>
      <color rgb="FF0000FF"/>
      <name val="Segoe UI"/>
      <family val="2"/>
    </font>
    <font>
      <sz val="14"/>
      <color rgb="FF00B050"/>
      <name val="Segoe UI"/>
      <family val="2"/>
    </font>
    <font>
      <sz val="14"/>
      <color theme="1"/>
      <name val="Segoe UI"/>
      <family val="2"/>
    </font>
    <font>
      <sz val="12"/>
      <color theme="1"/>
      <name val="Segoe UI"/>
      <family val="2"/>
    </font>
    <font>
      <sz val="10"/>
      <name val="Arial"/>
      <family val="2"/>
    </font>
    <font>
      <sz val="11"/>
      <color theme="1"/>
      <name val="Aptos Narrow"/>
      <family val="2"/>
    </font>
    <font>
      <sz val="8"/>
      <name val="Segoe UI"/>
      <family val="2"/>
    </font>
    <font>
      <b/>
      <sz val="13"/>
      <color indexed="8"/>
      <name val="Verdana"/>
      <family val="2"/>
    </font>
    <font>
      <sz val="8"/>
      <name val="Arial"/>
      <family val="2"/>
    </font>
    <font>
      <sz val="8"/>
      <color indexed="8"/>
      <name val="Arial"/>
      <family val="2"/>
    </font>
    <font>
      <b/>
      <sz val="8"/>
      <name val="Arial"/>
      <family val="2"/>
    </font>
    <font>
      <b/>
      <sz val="8"/>
      <color indexed="9"/>
      <name val="Verdana"/>
      <family val="2"/>
    </font>
    <font>
      <sz val="1"/>
      <color indexed="9"/>
      <name val="Symbol"/>
      <family val="1"/>
      <charset val="2"/>
    </font>
    <font>
      <b/>
      <sz val="8"/>
      <color indexed="8"/>
      <name val="Arial"/>
      <family val="2"/>
    </font>
    <font>
      <sz val="12"/>
      <color theme="0"/>
      <name val="Segoe UI"/>
      <family val="2"/>
    </font>
    <font>
      <sz val="12"/>
      <name val="Segoe UI"/>
      <family val="2"/>
    </font>
    <font>
      <b/>
      <i/>
      <u val="singleAccounting"/>
      <sz val="12"/>
      <color theme="0"/>
      <name val="Segoe UI"/>
      <family val="2"/>
    </font>
    <font>
      <b/>
      <sz val="12"/>
      <color theme="0"/>
      <name val="Segoe UI"/>
      <family val="2"/>
    </font>
    <font>
      <b/>
      <i/>
      <sz val="12"/>
      <color theme="0"/>
      <name val="Segoe UI"/>
      <family val="2"/>
    </font>
    <font>
      <i/>
      <sz val="12"/>
      <color theme="2" tint="-9.9978637043366805E-2"/>
      <name val="Segoe UI"/>
      <family val="2"/>
    </font>
    <font>
      <sz val="12"/>
      <color rgb="FF0000FF"/>
      <name val="Segoe UI"/>
      <family val="2"/>
    </font>
    <font>
      <b/>
      <sz val="12"/>
      <color theme="1"/>
      <name val="Segoe UI"/>
      <family val="2"/>
    </font>
    <font>
      <u/>
      <sz val="12"/>
      <color theme="1"/>
      <name val="Segoe UI"/>
      <family val="2"/>
    </font>
    <font>
      <b/>
      <u/>
      <sz val="12"/>
      <color theme="1"/>
      <name val="Segoe UI"/>
      <family val="2"/>
    </font>
    <font>
      <i/>
      <sz val="12"/>
      <color theme="1"/>
      <name val="Segoe UI"/>
      <family val="2"/>
    </font>
    <font>
      <b/>
      <sz val="12"/>
      <color rgb="FF0000FF"/>
      <name val="Segoe UI"/>
      <family val="2"/>
    </font>
    <font>
      <i/>
      <sz val="12"/>
      <color theme="2" tint="-0.249977111117893"/>
      <name val="Segoe UI"/>
      <family val="2"/>
    </font>
    <font>
      <b/>
      <sz val="12"/>
      <name val="Segoe UI"/>
      <family val="2"/>
    </font>
    <font>
      <i/>
      <sz val="12"/>
      <name val="Segoe UI"/>
      <family val="2"/>
    </font>
    <font>
      <sz val="12"/>
      <color rgb="FF00B050"/>
      <name val="Segoe UI"/>
      <family val="2"/>
    </font>
    <font>
      <sz val="10"/>
      <color indexed="8"/>
      <name val="Arial"/>
      <family val="2"/>
    </font>
    <font>
      <sz val="10"/>
      <color indexed="9"/>
      <name val="Arial"/>
      <family val="2"/>
    </font>
    <font>
      <b/>
      <sz val="12"/>
      <color indexed="9"/>
      <name val="Segoe UI"/>
      <family val="2"/>
    </font>
    <font>
      <sz val="11"/>
      <color theme="1"/>
      <name val="Aptos Narrow"/>
      <family val="2"/>
      <scheme val="minor"/>
    </font>
    <font>
      <sz val="12"/>
      <color rgb="FF00B14F"/>
      <name val="Segoe UI"/>
      <family val="2"/>
    </font>
    <font>
      <b/>
      <i/>
      <sz val="12"/>
      <color theme="1"/>
      <name val="Segoe UI"/>
      <family val="2"/>
    </font>
    <font>
      <b/>
      <u val="singleAccounting"/>
      <sz val="12"/>
      <color theme="1"/>
      <name val="Segoe UI"/>
      <family val="2"/>
    </font>
    <font>
      <sz val="12"/>
      <color theme="1"/>
      <name val="Aptos Narrow"/>
      <family val="2"/>
      <scheme val="minor"/>
    </font>
    <font>
      <b/>
      <u val="singleAccounting"/>
      <sz val="12"/>
      <color theme="0"/>
      <name val="Segoe UI"/>
      <family val="2"/>
    </font>
    <font>
      <sz val="10"/>
      <color rgb="FF595959"/>
      <name val="Arial"/>
      <family val="2"/>
    </font>
    <font>
      <i/>
      <sz val="10"/>
      <color rgb="FF595959"/>
      <name val="Arial"/>
      <family val="2"/>
    </font>
    <font>
      <b/>
      <sz val="12"/>
      <color rgb="FF595959"/>
      <name val="Segoe UI"/>
      <family val="2"/>
    </font>
    <font>
      <sz val="12"/>
      <color rgb="FF595959"/>
      <name val="Segoe UI"/>
      <family val="2"/>
    </font>
    <font>
      <sz val="12"/>
      <color indexed="9"/>
      <name val="Segoe UI"/>
      <family val="2"/>
    </font>
    <font>
      <sz val="12"/>
      <color indexed="8"/>
      <name val="Segoe UI"/>
      <family val="2"/>
    </font>
    <font>
      <i/>
      <sz val="12"/>
      <color rgb="FF595959"/>
      <name val="Segoe UI"/>
      <family val="2"/>
    </font>
    <font>
      <sz val="10"/>
      <name val="Segoe UI"/>
      <family val="2"/>
    </font>
    <font>
      <u/>
      <sz val="12"/>
      <color theme="0"/>
      <name val="Segoe UI"/>
      <family val="2"/>
    </font>
    <font>
      <i/>
      <sz val="12"/>
      <color theme="0"/>
      <name val="Segoe UI"/>
      <family val="2"/>
    </font>
    <font>
      <b/>
      <sz val="12"/>
      <color theme="0"/>
      <name val="Calibri"/>
      <family val="2"/>
    </font>
    <font>
      <b/>
      <sz val="11"/>
      <color theme="1"/>
      <name val="Calibri"/>
      <family val="2"/>
    </font>
    <font>
      <b/>
      <i/>
      <sz val="12"/>
      <color theme="0"/>
      <name val="Calibri"/>
      <family val="2"/>
    </font>
    <font>
      <sz val="12"/>
      <color theme="1"/>
      <name val="Calibri"/>
      <family val="2"/>
    </font>
    <font>
      <sz val="12"/>
      <name val="Calibri"/>
      <family val="2"/>
    </font>
    <font>
      <sz val="11"/>
      <color theme="1"/>
      <name val="Calibri"/>
      <family val="2"/>
    </font>
    <font>
      <b/>
      <u val="singleAccounting"/>
      <sz val="12"/>
      <color theme="1"/>
      <name val="Calibri"/>
      <family val="2"/>
    </font>
    <font>
      <sz val="10"/>
      <color theme="1"/>
      <name val="Segoe UI Semilight"/>
      <family val="2"/>
    </font>
    <font>
      <sz val="12"/>
      <color rgb="FF0000FF"/>
      <name val="Calibri"/>
      <family val="2"/>
    </font>
    <font>
      <b/>
      <sz val="12"/>
      <color rgb="FF00B050"/>
      <name val="Segoe UI"/>
      <family val="2"/>
    </font>
    <font>
      <i/>
      <sz val="12"/>
      <color theme="0" tint="-0.499984740745262"/>
      <name val="Segoe UI"/>
      <family val="2"/>
    </font>
    <font>
      <i/>
      <sz val="12"/>
      <color rgb="FF0000FF"/>
      <name val="Segoe UI"/>
      <family val="2"/>
    </font>
    <font>
      <i/>
      <sz val="12"/>
      <color rgb="FF000000"/>
      <name val="Segoe UI"/>
      <family val="2"/>
    </font>
    <font>
      <b/>
      <u/>
      <sz val="12"/>
      <name val="Segoe UI"/>
      <family val="2"/>
    </font>
    <font>
      <b/>
      <sz val="12"/>
      <color theme="0"/>
      <name val="Segou UI"/>
    </font>
    <font>
      <b/>
      <i/>
      <sz val="12"/>
      <color theme="0"/>
      <name val="Segou UI"/>
    </font>
    <font>
      <b/>
      <i/>
      <u val="singleAccounting"/>
      <sz val="12"/>
      <color theme="0"/>
      <name val="Segou UI"/>
    </font>
    <font>
      <i/>
      <sz val="12"/>
      <color theme="0"/>
      <name val="Segou UI"/>
    </font>
    <font>
      <sz val="12"/>
      <name val="Arial"/>
      <family val="2"/>
    </font>
    <font>
      <b/>
      <i/>
      <sz val="12"/>
      <color indexed="8"/>
      <name val="Segoe UI"/>
      <family val="2"/>
    </font>
    <font>
      <b/>
      <sz val="12"/>
      <color rgb="FFFFFFFF"/>
      <name val="Segoe UI"/>
      <family val="2"/>
    </font>
    <font>
      <sz val="12"/>
      <color rgb="FF00823B"/>
      <name val="Segoe UI"/>
      <family val="2"/>
    </font>
    <font>
      <sz val="12"/>
      <color rgb="FF000000"/>
      <name val="Segoe UI"/>
      <family val="2"/>
    </font>
    <font>
      <b/>
      <sz val="12"/>
      <color rgb="FF000000"/>
      <name val="Segoe UI"/>
      <family val="2"/>
    </font>
    <font>
      <b/>
      <u/>
      <sz val="12"/>
      <color theme="0"/>
      <name val="Segoe UI"/>
      <family val="2"/>
    </font>
    <font>
      <sz val="11"/>
      <color theme="1"/>
      <name val="Segoe UI"/>
      <family val="2"/>
    </font>
    <font>
      <b/>
      <sz val="24"/>
      <color theme="0"/>
      <name val="Calibri"/>
      <family val="2"/>
    </font>
    <font>
      <b/>
      <i/>
      <u val="singleAccounting"/>
      <sz val="12"/>
      <color theme="0"/>
      <name val="Calibri"/>
      <family val="2"/>
    </font>
    <font>
      <i/>
      <sz val="12"/>
      <color theme="0"/>
      <name val="Calibri"/>
      <family val="2"/>
    </font>
    <font>
      <sz val="12"/>
      <color theme="0"/>
      <name val="Calibri"/>
      <family val="2"/>
    </font>
    <font>
      <sz val="12"/>
      <color rgb="FF00B050"/>
      <name val="Calibri"/>
      <family val="2"/>
    </font>
    <font>
      <b/>
      <u/>
      <sz val="12"/>
      <color theme="0"/>
      <name val="Calibri"/>
      <family val="2"/>
    </font>
    <font>
      <sz val="9"/>
      <name val="Geneva"/>
      <family val="2"/>
      <charset val="1"/>
    </font>
    <font>
      <sz val="9"/>
      <name val="Calibri"/>
      <family val="2"/>
    </font>
    <font>
      <b/>
      <sz val="11"/>
      <color theme="1"/>
      <name val="Segoe UI"/>
      <family val="2"/>
    </font>
    <font>
      <vertAlign val="superscript"/>
      <sz val="12"/>
      <color theme="1"/>
      <name val="Segoe UI"/>
      <family val="2"/>
    </font>
    <font>
      <b/>
      <i/>
      <u val="singleAccounting"/>
      <sz val="12"/>
      <color theme="1"/>
      <name val="Segoe UI"/>
      <family val="2"/>
    </font>
    <font>
      <sz val="12"/>
      <color rgb="FF0432FF"/>
      <name val="Segoe UI"/>
      <family val="2"/>
    </font>
    <font>
      <b/>
      <sz val="12"/>
      <color indexed="8"/>
      <name val="Verdana"/>
      <family val="2"/>
    </font>
    <font>
      <b/>
      <sz val="10"/>
      <color indexed="9"/>
      <name val="Arial"/>
      <family val="2"/>
    </font>
    <font>
      <b/>
      <u val="singleAccounting"/>
      <sz val="8"/>
      <color indexed="8"/>
      <name val="Verdana"/>
      <family val="2"/>
    </font>
    <font>
      <b/>
      <u val="singleAccounting"/>
      <sz val="8"/>
      <color indexed="8"/>
      <name val="Arial"/>
      <family val="2"/>
    </font>
    <font>
      <vertAlign val="superscript"/>
      <sz val="8"/>
      <color indexed="8"/>
      <name val="Arial"/>
      <family val="2"/>
    </font>
    <font>
      <vertAlign val="subscript"/>
      <sz val="8"/>
      <color indexed="8"/>
      <name val="Arial"/>
      <family val="2"/>
    </font>
    <font>
      <i/>
      <sz val="8"/>
      <color indexed="8"/>
      <name val="Arial"/>
      <family val="2"/>
    </font>
    <font>
      <b/>
      <sz val="8"/>
      <color indexed="8"/>
      <name val="Verdana"/>
      <family val="2"/>
    </font>
    <font>
      <i/>
      <sz val="12"/>
      <color rgb="FF0000FF"/>
      <name val="Calibri"/>
      <family val="2"/>
    </font>
    <font>
      <u val="singleAccounting"/>
      <sz val="12"/>
      <color theme="0"/>
      <name val="Segoe UI"/>
      <family val="2"/>
    </font>
    <font>
      <b/>
      <sz val="14"/>
      <name val="Segoe UI"/>
      <family val="2"/>
    </font>
    <font>
      <i/>
      <sz val="14"/>
      <name val="Segoe UI"/>
      <family val="2"/>
    </font>
    <font>
      <i/>
      <sz val="12"/>
      <color indexed="8"/>
      <name val="Segoe UI"/>
      <family val="2"/>
    </font>
    <font>
      <sz val="12"/>
      <color rgb="FFFF0000"/>
      <name val="Segoe UI"/>
      <family val="2"/>
    </font>
    <font>
      <i/>
      <sz val="12"/>
      <color rgb="FFFF0000"/>
      <name val="Segoe UI"/>
      <family val="2"/>
    </font>
    <font>
      <i/>
      <sz val="12"/>
      <color rgb="FF9C1616"/>
      <name val="Segoe UI"/>
      <family val="2"/>
    </font>
    <font>
      <sz val="12"/>
      <color rgb="FF9C1616"/>
      <name val="Segoe UI"/>
      <family val="2"/>
    </font>
    <font>
      <b/>
      <u/>
      <sz val="12"/>
      <color rgb="FF000000"/>
      <name val="Segoe UI"/>
      <family val="2"/>
    </font>
    <font>
      <b/>
      <i/>
      <sz val="12"/>
      <color rgb="FF000000"/>
      <name val="Segoe UI"/>
      <family val="2"/>
    </font>
    <font>
      <i/>
      <sz val="12"/>
      <color rgb="FF00B050"/>
      <name val="Segoe UI"/>
      <family val="2"/>
    </font>
    <font>
      <b/>
      <sz val="12"/>
      <color theme="3" tint="0.89999084444715716"/>
      <name val="Segoe UI"/>
      <family val="2"/>
    </font>
    <font>
      <sz val="11"/>
      <color theme="0"/>
      <name val="Segoe UI"/>
      <family val="2"/>
    </font>
    <font>
      <i/>
      <sz val="11"/>
      <color theme="0"/>
      <name val="Segoe UI"/>
      <family val="2"/>
    </font>
    <font>
      <i/>
      <sz val="12"/>
      <color theme="1"/>
      <name val="Aptos Narrow"/>
      <family val="2"/>
      <scheme val="minor"/>
    </font>
    <font>
      <b/>
      <sz val="10"/>
      <color rgb="FF595959"/>
      <name val="Arial"/>
      <family val="2"/>
    </font>
    <font>
      <b/>
      <sz val="12"/>
      <color indexed="8"/>
      <name val="Segoe UI"/>
      <family val="2"/>
    </font>
    <font>
      <b/>
      <u val="singleAccounting"/>
      <sz val="12"/>
      <color indexed="8"/>
      <name val="Segoe UI"/>
      <family val="2"/>
    </font>
    <font>
      <sz val="11"/>
      <name val="Segoe UI"/>
      <family val="2"/>
    </font>
    <font>
      <i/>
      <sz val="11"/>
      <name val="Segoe UI"/>
      <family val="2"/>
    </font>
    <font>
      <b/>
      <sz val="12"/>
      <color rgb="FF00B14F"/>
      <name val="Segoe UI"/>
      <family val="2"/>
    </font>
    <font>
      <i/>
      <sz val="11"/>
      <color rgb="FF000000"/>
      <name val="Segoe UI"/>
      <family val="2"/>
    </font>
    <font>
      <sz val="12"/>
      <color theme="1"/>
      <name val="Segoe UI"/>
    </font>
    <font>
      <i/>
      <sz val="14"/>
      <name val="Segoe UI"/>
    </font>
  </fonts>
  <fills count="29">
    <fill>
      <patternFill patternType="none"/>
    </fill>
    <fill>
      <patternFill patternType="gray125"/>
    </fill>
    <fill>
      <patternFill patternType="solid">
        <fgColor rgb="FF05B04F"/>
        <bgColor indexed="64"/>
      </patternFill>
    </fill>
    <fill>
      <patternFill patternType="solid">
        <fgColor rgb="FF05B04F"/>
        <bgColor rgb="FF000000"/>
      </patternFill>
    </fill>
    <fill>
      <patternFill patternType="solid">
        <fgColor rgb="FF87E89E"/>
        <bgColor rgb="FF000000"/>
      </patternFill>
    </fill>
    <fill>
      <patternFill patternType="solid">
        <fgColor rgb="FFFFFFCC"/>
        <bgColor rgb="FF000000"/>
      </patternFill>
    </fill>
    <fill>
      <patternFill patternType="solid">
        <fgColor rgb="FF00B14F"/>
        <bgColor indexed="64"/>
      </patternFill>
    </fill>
    <fill>
      <patternFill patternType="solid">
        <fgColor indexed="56"/>
        <bgColor indexed="64"/>
      </patternFill>
    </fill>
    <fill>
      <patternFill patternType="solid">
        <fgColor indexed="60"/>
        <bgColor indexed="64"/>
      </patternFill>
    </fill>
    <fill>
      <patternFill patternType="solid">
        <fgColor theme="9" tint="0.79998168889431442"/>
        <bgColor indexed="64"/>
      </patternFill>
    </fill>
    <fill>
      <patternFill patternType="lightGray"/>
    </fill>
    <fill>
      <patternFill patternType="solid">
        <fgColor rgb="FFFFFFCC"/>
        <bgColor indexed="64"/>
      </patternFill>
    </fill>
    <fill>
      <patternFill patternType="lightGray">
        <fgColor auto="1"/>
      </patternFill>
    </fill>
    <fill>
      <patternFill patternType="solid">
        <fgColor rgb="FF6E7B7F"/>
        <bgColor indexed="64"/>
      </patternFill>
    </fill>
    <fill>
      <patternFill patternType="solid">
        <fgColor indexed="9"/>
        <bgColor indexed="64"/>
      </patternFill>
    </fill>
    <fill>
      <patternFill patternType="darkVertical">
        <fgColor rgb="FF5D87A1"/>
        <bgColor rgb="FF5D87A1"/>
      </patternFill>
    </fill>
    <fill>
      <patternFill patternType="solid">
        <fgColor theme="0"/>
        <bgColor indexed="64"/>
      </patternFill>
    </fill>
    <fill>
      <patternFill patternType="darkVertical">
        <fgColor rgb="FF5D87A1"/>
        <bgColor rgb="FF00B050"/>
      </patternFill>
    </fill>
    <fill>
      <patternFill patternType="darkVertical">
        <fgColor rgb="FF5D87A1"/>
        <bgColor rgb="FF00B14F"/>
      </patternFill>
    </fill>
    <fill>
      <patternFill patternType="gray125">
        <fgColor theme="1"/>
      </patternFill>
    </fill>
    <fill>
      <patternFill patternType="solid">
        <fgColor theme="6" tint="0.79998168889431442"/>
        <bgColor indexed="64"/>
      </patternFill>
    </fill>
    <fill>
      <patternFill patternType="solid">
        <fgColor rgb="FFF2F2F2"/>
        <bgColor indexed="64"/>
      </patternFill>
    </fill>
    <fill>
      <patternFill patternType="solid">
        <fgColor theme="4" tint="0.79998168889431442"/>
        <bgColor indexed="64"/>
      </patternFill>
    </fill>
    <fill>
      <patternFill patternType="solid">
        <fgColor rgb="FF6E7B7F"/>
        <bgColor rgb="FF000000"/>
      </patternFill>
    </fill>
    <fill>
      <patternFill patternType="solid">
        <fgColor theme="6"/>
        <bgColor indexed="64"/>
      </patternFill>
    </fill>
    <fill>
      <patternFill patternType="solid">
        <fgColor rgb="FF00B14F"/>
        <bgColor rgb="FF000000"/>
      </patternFill>
    </fill>
    <fill>
      <patternFill patternType="solid">
        <fgColor rgb="FFFFFF00"/>
        <bgColor indexed="64"/>
      </patternFill>
    </fill>
    <fill>
      <patternFill patternType="solid">
        <fgColor indexed="63"/>
        <bgColor indexed="64"/>
      </patternFill>
    </fill>
    <fill>
      <patternFill patternType="solid">
        <fgColor indexed="62"/>
        <bgColor indexed="64"/>
      </patternFill>
    </fill>
  </fills>
  <borders count="32">
    <border>
      <left/>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indexed="64"/>
      </right>
      <top style="thin">
        <color rgb="FF000000"/>
      </top>
      <bottom style="thin">
        <color rgb="FF00000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style="thin">
        <color rgb="FF000000"/>
      </right>
      <top style="thin">
        <color rgb="FF000000"/>
      </top>
      <bottom style="thin">
        <color rgb="FF000000"/>
      </bottom>
      <diagonal/>
    </border>
    <border>
      <left style="thin">
        <color theme="0"/>
      </left>
      <right/>
      <top/>
      <bottom/>
      <diagonal/>
    </border>
    <border>
      <left/>
      <right style="thin">
        <color theme="0"/>
      </right>
      <top/>
      <bottom/>
      <diagonal/>
    </border>
    <border>
      <left style="thin">
        <color indexed="64"/>
      </left>
      <right style="thin">
        <color indexed="64"/>
      </right>
      <top style="thin">
        <color indexed="64"/>
      </top>
      <bottom/>
      <diagonal/>
    </border>
  </borders>
  <cellStyleXfs count="50">
    <xf numFmtId="0" fontId="0" fillId="0" borderId="0"/>
    <xf numFmtId="0" fontId="13" fillId="0" borderId="0">
      <alignment vertical="center"/>
    </xf>
    <xf numFmtId="0" fontId="14" fillId="0" borderId="0"/>
    <xf numFmtId="0" fontId="21" fillId="0" borderId="0" applyAlignment="0"/>
    <xf numFmtId="0" fontId="39" fillId="0" borderId="0">
      <alignment vertical="center"/>
    </xf>
    <xf numFmtId="0" fontId="40" fillId="15" borderId="0" applyNumberFormat="0" applyBorder="0" applyProtection="0">
      <alignment vertical="center"/>
    </xf>
    <xf numFmtId="0" fontId="39" fillId="0" borderId="0" applyNumberFormat="0" applyFont="0" applyFill="0" applyBorder="0" applyAlignment="0" applyProtection="0">
      <alignment vertical="center"/>
    </xf>
    <xf numFmtId="0" fontId="39" fillId="0" borderId="0" applyNumberFormat="0" applyFont="0" applyFill="0" applyBorder="0" applyProtection="0">
      <alignment horizontal="center" vertical="center"/>
    </xf>
    <xf numFmtId="9" fontId="39" fillId="0" borderId="0" applyFont="0" applyFill="0" applyBorder="0" applyAlignment="0" applyProtection="0">
      <alignment vertical="center"/>
    </xf>
    <xf numFmtId="168" fontId="42" fillId="0" borderId="0" applyFont="0" applyFill="0" applyBorder="0" applyAlignment="0" applyProtection="0"/>
    <xf numFmtId="181" fontId="49" fillId="0" borderId="0" applyFill="0" applyBorder="0" applyProtection="0">
      <alignment horizontal="right" vertical="center"/>
    </xf>
    <xf numFmtId="1" fontId="48" fillId="0" borderId="0" applyFill="0" applyBorder="0" applyProtection="0">
      <alignment horizontal="right" vertical="center"/>
    </xf>
    <xf numFmtId="0" fontId="49" fillId="0" borderId="0" applyNumberFormat="0" applyFill="0" applyBorder="0" applyProtection="0">
      <alignment horizontal="right" vertical="center"/>
    </xf>
    <xf numFmtId="0" fontId="39" fillId="0" borderId="0" applyNumberFormat="0" applyFill="0" applyBorder="0" applyProtection="0">
      <alignment horizontal="right" vertical="center"/>
    </xf>
    <xf numFmtId="0" fontId="39" fillId="14" borderId="0" applyNumberFormat="0" applyFont="0" applyBorder="0" applyAlignment="0" applyProtection="0">
      <alignment vertical="center"/>
    </xf>
    <xf numFmtId="0" fontId="12" fillId="0" borderId="0"/>
    <xf numFmtId="0" fontId="46" fillId="0" borderId="0"/>
    <xf numFmtId="0" fontId="65" fillId="19" borderId="0"/>
    <xf numFmtId="168" fontId="42" fillId="0" borderId="0" applyFont="0" applyFill="0" applyBorder="0" applyAlignment="0" applyProtection="0"/>
    <xf numFmtId="168" fontId="12" fillId="0" borderId="0" applyFont="0" applyFill="0" applyBorder="0" applyAlignment="0" applyProtection="0"/>
    <xf numFmtId="9" fontId="42" fillId="0" borderId="0" applyFont="0" applyFill="0" applyBorder="0" applyAlignment="0" applyProtection="0"/>
    <xf numFmtId="168" fontId="13" fillId="0" borderId="0" applyFont="0" applyFill="0" applyBorder="0" applyAlignment="0" applyProtection="0"/>
    <xf numFmtId="0" fontId="42" fillId="0" borderId="0"/>
    <xf numFmtId="0" fontId="39" fillId="0" borderId="0" applyAlignment="0"/>
    <xf numFmtId="168" fontId="42" fillId="0" borderId="0" applyFont="0" applyFill="0" applyBorder="0" applyAlignment="0" applyProtection="0"/>
    <xf numFmtId="167" fontId="42" fillId="0" borderId="0" applyFont="0" applyFill="0" applyBorder="0" applyAlignment="0" applyProtection="0"/>
    <xf numFmtId="9" fontId="42" fillId="0" borderId="0" applyFont="0" applyFill="0" applyBorder="0" applyAlignment="0" applyProtection="0"/>
    <xf numFmtId="9" fontId="46" fillId="0" borderId="0" applyFont="0" applyFill="0" applyBorder="0" applyAlignment="0" applyProtection="0"/>
    <xf numFmtId="0" fontId="90" fillId="0" borderId="0"/>
    <xf numFmtId="0" fontId="13" fillId="0" borderId="0"/>
    <xf numFmtId="0" fontId="16" fillId="0" borderId="0" applyAlignment="0"/>
    <xf numFmtId="0" fontId="96" fillId="0" borderId="0" applyAlignment="0"/>
    <xf numFmtId="0" fontId="97" fillId="27" borderId="0" applyAlignment="0"/>
    <xf numFmtId="0" fontId="98" fillId="28" borderId="0" applyAlignment="0"/>
    <xf numFmtId="0" fontId="20" fillId="7" borderId="0" applyAlignment="0"/>
    <xf numFmtId="0" fontId="99" fillId="8" borderId="0" applyAlignment="0"/>
    <xf numFmtId="0" fontId="18" fillId="0" borderId="0" applyAlignment="0"/>
    <xf numFmtId="0" fontId="100" fillId="0" borderId="0" applyAlignment="0"/>
    <xf numFmtId="0" fontId="101" fillId="0" borderId="0" applyAlignment="0"/>
    <xf numFmtId="0" fontId="22" fillId="0" borderId="0" applyAlignment="0"/>
    <xf numFmtId="0" fontId="102" fillId="0" borderId="0" applyAlignment="0"/>
    <xf numFmtId="0" fontId="22" fillId="0" borderId="0" applyAlignment="0">
      <alignment wrapText="1"/>
    </xf>
    <xf numFmtId="0" fontId="103" fillId="0" borderId="0" applyAlignment="0"/>
    <xf numFmtId="0" fontId="42" fillId="0" borderId="0"/>
    <xf numFmtId="0" fontId="42" fillId="0" borderId="0"/>
    <xf numFmtId="9" fontId="13" fillId="0" borderId="0" applyFont="0" applyFill="0" applyBorder="0" applyAlignment="0" applyProtection="0"/>
    <xf numFmtId="167" fontId="13" fillId="0" borderId="0" applyFont="0" applyFill="0" applyBorder="0" applyAlignment="0" applyProtection="0"/>
    <xf numFmtId="165" fontId="13" fillId="0" borderId="0" applyFont="0" applyFill="0" applyBorder="0" applyAlignment="0" applyProtection="0"/>
    <xf numFmtId="168" fontId="13" fillId="0" borderId="0" applyFont="0" applyFill="0" applyBorder="0" applyAlignment="0" applyProtection="0"/>
    <xf numFmtId="166" fontId="13" fillId="0" borderId="0" applyFont="0" applyFill="0" applyBorder="0" applyAlignment="0" applyProtection="0"/>
  </cellStyleXfs>
  <cellXfs count="891">
    <xf numFmtId="0" fontId="0" fillId="0" borderId="0" xfId="0"/>
    <xf numFmtId="0" fontId="1" fillId="2" borderId="0" xfId="0" applyFont="1" applyFill="1" applyAlignment="1">
      <alignment horizontal="left" vertical="center"/>
    </xf>
    <xf numFmtId="0" fontId="2" fillId="3" borderId="1" xfId="0" applyFont="1" applyFill="1" applyBorder="1"/>
    <xf numFmtId="0" fontId="3" fillId="2" borderId="0" xfId="0" applyFont="1" applyFill="1"/>
    <xf numFmtId="0" fontId="3" fillId="0" borderId="0" xfId="0" applyFont="1"/>
    <xf numFmtId="0" fontId="2" fillId="3" borderId="2" xfId="0" applyFont="1" applyFill="1" applyBorder="1"/>
    <xf numFmtId="0" fontId="4" fillId="3" borderId="0" xfId="0" applyFont="1" applyFill="1"/>
    <xf numFmtId="0" fontId="4" fillId="3" borderId="3" xfId="0" applyFont="1" applyFill="1" applyBorder="1"/>
    <xf numFmtId="0" fontId="4" fillId="3" borderId="2" xfId="0" applyFont="1" applyFill="1" applyBorder="1"/>
    <xf numFmtId="14" fontId="4" fillId="3" borderId="0" xfId="0" applyNumberFormat="1" applyFont="1" applyFill="1"/>
    <xf numFmtId="0" fontId="5" fillId="4" borderId="4" xfId="0" applyFont="1" applyFill="1" applyBorder="1"/>
    <xf numFmtId="0" fontId="5" fillId="4" borderId="5" xfId="0" applyFont="1" applyFill="1" applyBorder="1"/>
    <xf numFmtId="0" fontId="5" fillId="4" borderId="6" xfId="0" applyFont="1" applyFill="1" applyBorder="1"/>
    <xf numFmtId="0" fontId="6" fillId="0" borderId="2" xfId="0" applyFont="1" applyBorder="1"/>
    <xf numFmtId="0" fontId="6" fillId="0" borderId="0" xfId="0" applyFont="1"/>
    <xf numFmtId="0" fontId="6" fillId="0" borderId="3" xfId="0" applyFont="1" applyBorder="1"/>
    <xf numFmtId="0" fontId="3" fillId="5" borderId="7" xfId="0" applyFont="1" applyFill="1" applyBorder="1"/>
    <xf numFmtId="0" fontId="3" fillId="5" borderId="8" xfId="0" applyFont="1" applyFill="1" applyBorder="1"/>
    <xf numFmtId="0" fontId="5" fillId="0" borderId="2" xfId="0" applyFont="1" applyBorder="1"/>
    <xf numFmtId="0" fontId="6" fillId="4" borderId="5" xfId="0" applyFont="1" applyFill="1" applyBorder="1"/>
    <xf numFmtId="0" fontId="6" fillId="4" borderId="6" xfId="0" applyFont="1" applyFill="1" applyBorder="1"/>
    <xf numFmtId="0" fontId="5" fillId="0" borderId="0" xfId="0" applyFont="1"/>
    <xf numFmtId="0" fontId="7" fillId="0" borderId="2" xfId="0" applyFont="1" applyBorder="1"/>
    <xf numFmtId="0" fontId="7" fillId="0" borderId="0" xfId="0" applyFont="1"/>
    <xf numFmtId="0" fontId="5" fillId="0" borderId="3" xfId="0" applyFont="1" applyBorder="1"/>
    <xf numFmtId="169" fontId="8" fillId="0" borderId="0" xfId="0" applyNumberFormat="1" applyFont="1"/>
    <xf numFmtId="0" fontId="9" fillId="0" borderId="0" xfId="0" applyFont="1"/>
    <xf numFmtId="0" fontId="10" fillId="0" borderId="0" xfId="0" applyFont="1"/>
    <xf numFmtId="4" fontId="9" fillId="0" borderId="0" xfId="0" applyNumberFormat="1" applyFont="1"/>
    <xf numFmtId="0" fontId="9" fillId="5" borderId="11" xfId="0" applyFont="1" applyFill="1" applyBorder="1"/>
    <xf numFmtId="0" fontId="6" fillId="0" borderId="0" xfId="0" applyFont="1" applyAlignment="1">
      <alignment horizontal="right"/>
    </xf>
    <xf numFmtId="170" fontId="6" fillId="0" borderId="0" xfId="0" applyNumberFormat="1" applyFont="1" applyAlignment="1">
      <alignment horizontal="right"/>
    </xf>
    <xf numFmtId="0" fontId="11" fillId="0" borderId="0" xfId="0" applyFont="1"/>
    <xf numFmtId="0" fontId="6" fillId="0" borderId="4" xfId="0" applyFont="1" applyBorder="1"/>
    <xf numFmtId="171" fontId="6" fillId="0" borderId="5" xfId="0" applyNumberFormat="1" applyFont="1" applyBorder="1"/>
    <xf numFmtId="0" fontId="6" fillId="0" borderId="5" xfId="0" applyFont="1" applyBorder="1"/>
    <xf numFmtId="0" fontId="6" fillId="0" borderId="6" xfId="0" applyFont="1" applyBorder="1"/>
    <xf numFmtId="0" fontId="3" fillId="0" borderId="0" xfId="0" applyFont="1" applyAlignment="1">
      <alignment horizontal="left" indent="1"/>
    </xf>
    <xf numFmtId="172" fontId="12" fillId="0" borderId="0" xfId="0" applyNumberFormat="1" applyFont="1"/>
    <xf numFmtId="0" fontId="15" fillId="6" borderId="0" xfId="0" applyFont="1" applyFill="1"/>
    <xf numFmtId="0" fontId="16" fillId="0" borderId="0" xfId="0" applyFont="1"/>
    <xf numFmtId="0" fontId="17" fillId="0" borderId="0" xfId="0" applyFont="1"/>
    <xf numFmtId="0" fontId="18" fillId="0" borderId="0" xfId="0" applyFont="1" applyAlignment="1">
      <alignment horizontal="left" vertical="top"/>
    </xf>
    <xf numFmtId="0" fontId="19" fillId="0" borderId="0" xfId="0" applyFont="1"/>
    <xf numFmtId="0" fontId="20" fillId="7" borderId="0" xfId="0" applyFont="1" applyFill="1"/>
    <xf numFmtId="0" fontId="21" fillId="0" borderId="0" xfId="3" applyAlignment="1"/>
    <xf numFmtId="0" fontId="17" fillId="0" borderId="0" xfId="0" applyFont="1" applyAlignment="1">
      <alignment vertical="top" wrapText="1"/>
    </xf>
    <xf numFmtId="0" fontId="23" fillId="6" borderId="0" xfId="0" applyFont="1" applyFill="1"/>
    <xf numFmtId="0" fontId="24" fillId="6" borderId="0" xfId="0" applyFont="1" applyFill="1"/>
    <xf numFmtId="173" fontId="25" fillId="6" borderId="0" xfId="1" applyNumberFormat="1" applyFont="1" applyFill="1" applyAlignment="1">
      <alignment horizontal="centerContinuous"/>
    </xf>
    <xf numFmtId="0" fontId="26" fillId="6" borderId="0" xfId="0" applyFont="1" applyFill="1"/>
    <xf numFmtId="0" fontId="27" fillId="6" borderId="0" xfId="2" applyFont="1" applyFill="1" applyAlignment="1">
      <alignment horizontal="right"/>
    </xf>
    <xf numFmtId="173" fontId="23" fillId="6" borderId="0" xfId="0" applyNumberFormat="1" applyFont="1" applyFill="1"/>
    <xf numFmtId="174" fontId="23" fillId="6" borderId="0" xfId="0" applyNumberFormat="1" applyFont="1" applyFill="1"/>
    <xf numFmtId="172" fontId="28" fillId="0" borderId="0" xfId="0" applyNumberFormat="1" applyFont="1" applyAlignment="1">
      <alignment horizontal="right"/>
    </xf>
    <xf numFmtId="172" fontId="29" fillId="0" borderId="0" xfId="0" applyNumberFormat="1" applyFont="1"/>
    <xf numFmtId="172" fontId="30" fillId="0" borderId="12" xfId="0" applyNumberFormat="1" applyFont="1" applyBorder="1"/>
    <xf numFmtId="172" fontId="28" fillId="0" borderId="13" xfId="0" applyNumberFormat="1" applyFont="1" applyBorder="1" applyAlignment="1">
      <alignment horizontal="right"/>
    </xf>
    <xf numFmtId="172" fontId="30" fillId="0" borderId="13" xfId="0" applyNumberFormat="1" applyFont="1" applyBorder="1"/>
    <xf numFmtId="172" fontId="30" fillId="0" borderId="14" xfId="0" applyNumberFormat="1" applyFont="1" applyBorder="1"/>
    <xf numFmtId="0" fontId="31" fillId="0" borderId="0" xfId="0" applyFont="1"/>
    <xf numFmtId="0" fontId="32" fillId="0" borderId="0" xfId="0" applyFont="1"/>
    <xf numFmtId="172" fontId="30" fillId="0" borderId="1" xfId="0" applyNumberFormat="1" applyFont="1" applyBorder="1"/>
    <xf numFmtId="172" fontId="28" fillId="0" borderId="1" xfId="0" applyNumberFormat="1" applyFont="1" applyBorder="1" applyAlignment="1">
      <alignment horizontal="right"/>
    </xf>
    <xf numFmtId="172" fontId="12" fillId="6" borderId="0" xfId="0" applyNumberFormat="1" applyFont="1" applyFill="1"/>
    <xf numFmtId="172" fontId="26" fillId="6" borderId="0" xfId="0" applyNumberFormat="1" applyFont="1" applyFill="1"/>
    <xf numFmtId="172" fontId="30" fillId="0" borderId="15" xfId="0" applyNumberFormat="1" applyFont="1" applyBorder="1"/>
    <xf numFmtId="172" fontId="28" fillId="0" borderId="16" xfId="0" applyNumberFormat="1" applyFont="1" applyBorder="1" applyAlignment="1">
      <alignment horizontal="right"/>
    </xf>
    <xf numFmtId="172" fontId="30" fillId="0" borderId="16" xfId="0" applyNumberFormat="1" applyFont="1" applyBorder="1"/>
    <xf numFmtId="172" fontId="30" fillId="0" borderId="17" xfId="0" applyNumberFormat="1" applyFont="1" applyBorder="1"/>
    <xf numFmtId="172" fontId="33" fillId="9" borderId="0" xfId="0" applyNumberFormat="1" applyFont="1" applyFill="1"/>
    <xf numFmtId="172" fontId="12" fillId="9" borderId="0" xfId="0" applyNumberFormat="1" applyFont="1" applyFill="1"/>
    <xf numFmtId="172" fontId="33" fillId="9" borderId="0" xfId="0" applyNumberFormat="1" applyFont="1" applyFill="1" applyAlignment="1">
      <alignment horizontal="right"/>
    </xf>
    <xf numFmtId="172" fontId="34" fillId="0" borderId="13" xfId="0" applyNumberFormat="1" applyFont="1" applyBorder="1"/>
    <xf numFmtId="172" fontId="12" fillId="10" borderId="0" xfId="0" applyNumberFormat="1" applyFont="1" applyFill="1"/>
    <xf numFmtId="0" fontId="24" fillId="0" borderId="0" xfId="0" applyFont="1"/>
    <xf numFmtId="0" fontId="35" fillId="0" borderId="0" xfId="0" applyFont="1" applyAlignment="1">
      <alignment horizontal="right"/>
    </xf>
    <xf numFmtId="172" fontId="29" fillId="11" borderId="7" xfId="0" applyNumberFormat="1" applyFont="1" applyFill="1" applyBorder="1"/>
    <xf numFmtId="0" fontId="36" fillId="0" borderId="1" xfId="0" applyFont="1" applyBorder="1"/>
    <xf numFmtId="0" fontId="35" fillId="0" borderId="1" xfId="0" applyFont="1" applyBorder="1" applyAlignment="1">
      <alignment horizontal="right"/>
    </xf>
    <xf numFmtId="172" fontId="36" fillId="0" borderId="1" xfId="0" applyNumberFormat="1" applyFont="1" applyBorder="1"/>
    <xf numFmtId="0" fontId="24" fillId="12" borderId="0" xfId="0" applyFont="1" applyFill="1"/>
    <xf numFmtId="172" fontId="24" fillId="0" borderId="0" xfId="0" applyNumberFormat="1" applyFont="1"/>
    <xf numFmtId="0" fontId="24" fillId="12" borderId="1" xfId="0" applyFont="1" applyFill="1" applyBorder="1"/>
    <xf numFmtId="172" fontId="12" fillId="10" borderId="1" xfId="0" applyNumberFormat="1" applyFont="1" applyFill="1" applyBorder="1"/>
    <xf numFmtId="172" fontId="26" fillId="13" borderId="13" xfId="0" applyNumberFormat="1" applyFont="1" applyFill="1" applyBorder="1"/>
    <xf numFmtId="172" fontId="12" fillId="13" borderId="13" xfId="0" applyNumberFormat="1" applyFont="1" applyFill="1" applyBorder="1"/>
    <xf numFmtId="173" fontId="23" fillId="13" borderId="13" xfId="0" applyNumberFormat="1" applyFont="1" applyFill="1" applyBorder="1"/>
    <xf numFmtId="174" fontId="23" fillId="13" borderId="13" xfId="0" applyNumberFormat="1" applyFont="1" applyFill="1" applyBorder="1"/>
    <xf numFmtId="0" fontId="26" fillId="13" borderId="13" xfId="0" applyFont="1" applyFill="1" applyBorder="1"/>
    <xf numFmtId="0" fontId="24" fillId="13" borderId="13" xfId="0" applyFont="1" applyFill="1" applyBorder="1"/>
    <xf numFmtId="172" fontId="1" fillId="2" borderId="0" xfId="0" applyNumberFormat="1" applyFont="1" applyFill="1" applyAlignment="1">
      <alignment horizontal="left" vertical="center"/>
    </xf>
    <xf numFmtId="172" fontId="15" fillId="6" borderId="0" xfId="0" applyNumberFormat="1" applyFont="1" applyFill="1"/>
    <xf numFmtId="172" fontId="23" fillId="6" borderId="0" xfId="0" applyNumberFormat="1" applyFont="1" applyFill="1"/>
    <xf numFmtId="172" fontId="24" fillId="6" borderId="0" xfId="0" applyNumberFormat="1" applyFont="1" applyFill="1"/>
    <xf numFmtId="172" fontId="25" fillId="6" borderId="0" xfId="1" applyNumberFormat="1" applyFont="1" applyFill="1" applyAlignment="1">
      <alignment horizontal="centerContinuous"/>
    </xf>
    <xf numFmtId="172" fontId="27" fillId="6" borderId="0" xfId="2" applyNumberFormat="1" applyFont="1" applyFill="1" applyAlignment="1">
      <alignment horizontal="right"/>
    </xf>
    <xf numFmtId="0" fontId="26" fillId="6" borderId="0" xfId="0" applyFont="1" applyFill="1" applyAlignment="1">
      <alignment horizontal="center"/>
    </xf>
    <xf numFmtId="172" fontId="28" fillId="0" borderId="18" xfId="0" applyNumberFormat="1" applyFont="1" applyBorder="1" applyAlignment="1">
      <alignment horizontal="right"/>
    </xf>
    <xf numFmtId="169" fontId="24" fillId="0" borderId="0" xfId="0" applyNumberFormat="1" applyFont="1"/>
    <xf numFmtId="172" fontId="30" fillId="0" borderId="18" xfId="0" applyNumberFormat="1" applyFont="1" applyBorder="1"/>
    <xf numFmtId="0" fontId="24" fillId="0" borderId="1" xfId="0" applyFont="1" applyBorder="1"/>
    <xf numFmtId="169" fontId="24" fillId="0" borderId="1" xfId="0" applyNumberFormat="1" applyFont="1" applyBorder="1"/>
    <xf numFmtId="0" fontId="37" fillId="0" borderId="0" xfId="0" applyFont="1"/>
    <xf numFmtId="169" fontId="29" fillId="11" borderId="7" xfId="0" applyNumberFormat="1" applyFont="1" applyFill="1" applyBorder="1"/>
    <xf numFmtId="169" fontId="24" fillId="11" borderId="7" xfId="0" applyNumberFormat="1" applyFont="1" applyFill="1" applyBorder="1"/>
    <xf numFmtId="172" fontId="12" fillId="0" borderId="18" xfId="0" applyNumberFormat="1" applyFont="1" applyBorder="1"/>
    <xf numFmtId="172" fontId="12" fillId="0" borderId="5" xfId="0" applyNumberFormat="1" applyFont="1" applyBorder="1"/>
    <xf numFmtId="172" fontId="29" fillId="0" borderId="5" xfId="0" applyNumberFormat="1" applyFont="1" applyBorder="1"/>
    <xf numFmtId="0" fontId="35" fillId="0" borderId="5" xfId="0" applyFont="1" applyBorder="1" applyAlignment="1">
      <alignment horizontal="right"/>
    </xf>
    <xf numFmtId="172" fontId="30" fillId="9" borderId="13" xfId="0" applyNumberFormat="1" applyFont="1" applyFill="1" applyBorder="1"/>
    <xf numFmtId="172" fontId="12" fillId="9" borderId="13" xfId="0" applyNumberFormat="1" applyFont="1" applyFill="1" applyBorder="1"/>
    <xf numFmtId="169" fontId="43" fillId="0" borderId="0" xfId="0" applyNumberFormat="1" applyFont="1"/>
    <xf numFmtId="172" fontId="30" fillId="0" borderId="0" xfId="0" applyNumberFormat="1" applyFont="1"/>
    <xf numFmtId="172" fontId="24" fillId="0" borderId="5" xfId="0" applyNumberFormat="1" applyFont="1" applyBorder="1"/>
    <xf numFmtId="168" fontId="24" fillId="0" borderId="0" xfId="0" applyNumberFormat="1" applyFont="1"/>
    <xf numFmtId="172" fontId="47" fillId="6" borderId="0" xfId="0" applyNumberFormat="1" applyFont="1" applyFill="1"/>
    <xf numFmtId="0" fontId="50" fillId="14" borderId="0" xfId="0" applyFont="1" applyFill="1" applyAlignment="1">
      <alignment vertical="center"/>
    </xf>
    <xf numFmtId="0" fontId="41" fillId="14" borderId="0" xfId="5" applyFont="1" applyFill="1" applyBorder="1">
      <alignment vertical="center"/>
    </xf>
    <xf numFmtId="0" fontId="51" fillId="0" borderId="0" xfId="0" applyFont="1" applyAlignment="1">
      <alignment vertical="center"/>
    </xf>
    <xf numFmtId="0" fontId="53" fillId="0" borderId="0" xfId="6" applyFont="1">
      <alignment vertical="center"/>
    </xf>
    <xf numFmtId="0" fontId="53" fillId="0" borderId="0" xfId="6" applyFont="1" applyAlignment="1">
      <alignment horizontal="left" vertical="center" indent="3"/>
    </xf>
    <xf numFmtId="181" fontId="51" fillId="0" borderId="0" xfId="10" applyFont="1">
      <alignment horizontal="right" vertical="center"/>
    </xf>
    <xf numFmtId="181" fontId="54" fillId="0" borderId="0" xfId="10" applyFont="1">
      <alignment horizontal="right" vertical="center"/>
    </xf>
    <xf numFmtId="0" fontId="50" fillId="0" borderId="0" xfId="0" applyFont="1" applyAlignment="1">
      <alignment vertical="center"/>
    </xf>
    <xf numFmtId="0" fontId="41" fillId="18" borderId="0" xfId="5" applyFont="1" applyFill="1">
      <alignment vertical="center"/>
    </xf>
    <xf numFmtId="0" fontId="52" fillId="18" borderId="0" xfId="5" applyFont="1" applyFill="1">
      <alignment vertical="center"/>
    </xf>
    <xf numFmtId="0" fontId="50" fillId="16" borderId="0" xfId="4" applyFont="1" applyFill="1">
      <alignment vertical="center"/>
    </xf>
    <xf numFmtId="0" fontId="51" fillId="16" borderId="0" xfId="4" applyFont="1" applyFill="1">
      <alignment vertical="center"/>
    </xf>
    <xf numFmtId="0" fontId="55" fillId="16" borderId="0" xfId="0" applyFont="1" applyFill="1"/>
    <xf numFmtId="0" fontId="41" fillId="17" borderId="0" xfId="5" applyFont="1" applyFill="1">
      <alignment vertical="center"/>
    </xf>
    <xf numFmtId="177" fontId="41" fillId="17" borderId="0" xfId="5" applyNumberFormat="1" applyFont="1" applyFill="1">
      <alignment vertical="center"/>
    </xf>
    <xf numFmtId="178" fontId="41" fillId="17" borderId="0" xfId="5" applyNumberFormat="1" applyFont="1" applyFill="1">
      <alignment vertical="center"/>
    </xf>
    <xf numFmtId="0" fontId="53" fillId="16" borderId="0" xfId="6" applyFont="1" applyFill="1" applyAlignment="1">
      <alignment vertical="center"/>
    </xf>
    <xf numFmtId="0" fontId="53" fillId="16" borderId="0" xfId="6" applyFont="1" applyFill="1" applyAlignment="1">
      <alignment horizontal="left" vertical="center" indent="1"/>
    </xf>
    <xf numFmtId="179" fontId="29" fillId="16" borderId="0" xfId="8" applyNumberFormat="1" applyFont="1" applyFill="1" applyAlignment="1">
      <alignment horizontal="right" vertical="center"/>
    </xf>
    <xf numFmtId="179" fontId="29" fillId="16" borderId="0" xfId="8" applyNumberFormat="1" applyFont="1" applyFill="1" applyAlignment="1">
      <alignment horizontal="center" vertical="center"/>
    </xf>
    <xf numFmtId="0" fontId="12" fillId="16" borderId="0" xfId="6" applyFont="1" applyFill="1" applyAlignment="1">
      <alignment vertical="center"/>
    </xf>
    <xf numFmtId="0" fontId="53" fillId="16" borderId="0" xfId="6" applyFont="1" applyFill="1" applyAlignment="1">
      <alignment horizontal="left" vertical="center" indent="2"/>
    </xf>
    <xf numFmtId="0" fontId="51" fillId="0" borderId="0" xfId="4" applyFont="1">
      <alignment vertical="center"/>
    </xf>
    <xf numFmtId="0" fontId="50" fillId="14" borderId="0" xfId="4" applyFont="1" applyFill="1">
      <alignment vertical="center"/>
    </xf>
    <xf numFmtId="0" fontId="53" fillId="0" borderId="0" xfId="6" applyFont="1" applyAlignment="1">
      <alignment horizontal="left" vertical="center" indent="1"/>
    </xf>
    <xf numFmtId="0" fontId="53" fillId="0" borderId="0" xfId="7" applyFont="1">
      <alignment horizontal="center" vertical="center"/>
    </xf>
    <xf numFmtId="179" fontId="29" fillId="0" borderId="0" xfId="8" applyNumberFormat="1" applyFont="1" applyAlignment="1">
      <alignment horizontal="right" vertical="center"/>
    </xf>
    <xf numFmtId="177" fontId="41" fillId="18" borderId="0" xfId="5" applyNumberFormat="1" applyFont="1" applyFill="1">
      <alignment vertical="center"/>
    </xf>
    <xf numFmtId="178" fontId="41" fillId="18" borderId="0" xfId="5" applyNumberFormat="1" applyFont="1" applyFill="1">
      <alignment vertical="center"/>
    </xf>
    <xf numFmtId="172" fontId="38" fillId="0" borderId="0" xfId="0" applyNumberFormat="1" applyFont="1"/>
    <xf numFmtId="0" fontId="57" fillId="6" borderId="0" xfId="0" applyFont="1" applyFill="1"/>
    <xf numFmtId="0" fontId="53" fillId="0" borderId="0" xfId="6" applyFont="1" applyAlignment="1">
      <alignment horizontal="left" vertical="center" indent="2"/>
    </xf>
    <xf numFmtId="0" fontId="12" fillId="0" borderId="0" xfId="0" applyFont="1"/>
    <xf numFmtId="0" fontId="50" fillId="0" borderId="0" xfId="4" applyFont="1">
      <alignment vertical="center"/>
    </xf>
    <xf numFmtId="0" fontId="53" fillId="0" borderId="0" xfId="4" applyFont="1">
      <alignment vertical="center"/>
    </xf>
    <xf numFmtId="172" fontId="12" fillId="11" borderId="7" xfId="0" applyNumberFormat="1" applyFont="1" applyFill="1" applyBorder="1"/>
    <xf numFmtId="0" fontId="63" fillId="0" borderId="0" xfId="0" applyFont="1"/>
    <xf numFmtId="0" fontId="58" fillId="6" borderId="0" xfId="2" applyFont="1" applyFill="1" applyAlignment="1">
      <alignment horizontal="center"/>
    </xf>
    <xf numFmtId="173" fontId="60" fillId="6" borderId="0" xfId="2" applyNumberFormat="1" applyFont="1" applyFill="1"/>
    <xf numFmtId="172" fontId="43" fillId="0" borderId="0" xfId="0" applyNumberFormat="1" applyFont="1"/>
    <xf numFmtId="14" fontId="29" fillId="0" borderId="0" xfId="0" applyNumberFormat="1" applyFont="1"/>
    <xf numFmtId="0" fontId="30" fillId="0" borderId="0" xfId="2" applyFont="1"/>
    <xf numFmtId="0" fontId="36" fillId="0" borderId="12" xfId="0" applyFont="1" applyBorder="1"/>
    <xf numFmtId="0" fontId="36" fillId="0" borderId="13" xfId="0" applyFont="1" applyBorder="1"/>
    <xf numFmtId="0" fontId="24" fillId="0" borderId="13" xfId="0" applyFont="1" applyBorder="1"/>
    <xf numFmtId="0" fontId="35" fillId="0" borderId="13" xfId="0" applyFont="1" applyBorder="1" applyAlignment="1">
      <alignment horizontal="right"/>
    </xf>
    <xf numFmtId="172" fontId="67" fillId="0" borderId="13" xfId="2" applyNumberFormat="1" applyFont="1" applyBorder="1"/>
    <xf numFmtId="172" fontId="67" fillId="0" borderId="14" xfId="2" applyNumberFormat="1" applyFont="1" applyBorder="1"/>
    <xf numFmtId="172" fontId="67" fillId="0" borderId="13" xfId="0" applyNumberFormat="1" applyFont="1" applyBorder="1"/>
    <xf numFmtId="172" fontId="36" fillId="0" borderId="13" xfId="0" applyNumberFormat="1" applyFont="1" applyBorder="1"/>
    <xf numFmtId="172" fontId="36" fillId="0" borderId="14" xfId="0" applyNumberFormat="1" applyFont="1" applyBorder="1"/>
    <xf numFmtId="0" fontId="24" fillId="21" borderId="13" xfId="0" applyFont="1" applyFill="1" applyBorder="1"/>
    <xf numFmtId="0" fontId="53" fillId="0" borderId="0" xfId="0" applyFont="1" applyAlignment="1">
      <alignment horizontal="left" vertical="top"/>
    </xf>
    <xf numFmtId="172" fontId="38" fillId="0" borderId="13" xfId="0" applyNumberFormat="1" applyFont="1" applyBorder="1"/>
    <xf numFmtId="172" fontId="38" fillId="0" borderId="14" xfId="0" applyNumberFormat="1" applyFont="1" applyBorder="1"/>
    <xf numFmtId="0" fontId="30" fillId="0" borderId="5" xfId="2" applyFont="1" applyBorder="1" applyAlignment="1">
      <alignment horizontal="center"/>
    </xf>
    <xf numFmtId="172" fontId="38" fillId="0" borderId="5" xfId="2" applyNumberFormat="1" applyFont="1" applyBorder="1"/>
    <xf numFmtId="180" fontId="12" fillId="0" borderId="0" xfId="15" applyNumberFormat="1"/>
    <xf numFmtId="0" fontId="12" fillId="0" borderId="1" xfId="2" applyFont="1" applyBorder="1"/>
    <xf numFmtId="0" fontId="12" fillId="0" borderId="0" xfId="2" applyFont="1" applyAlignment="1">
      <alignment horizontal="center"/>
    </xf>
    <xf numFmtId="0" fontId="68" fillId="0" borderId="1" xfId="2" applyFont="1" applyBorder="1" applyAlignment="1">
      <alignment horizontal="right"/>
    </xf>
    <xf numFmtId="172" fontId="24" fillId="0" borderId="0" xfId="21" applyNumberFormat="1" applyFont="1" applyAlignment="1"/>
    <xf numFmtId="172" fontId="12" fillId="0" borderId="13" xfId="2" applyNumberFormat="1" applyFont="1" applyBorder="1"/>
    <xf numFmtId="0" fontId="33" fillId="0" borderId="0" xfId="2" applyFont="1"/>
    <xf numFmtId="0" fontId="33" fillId="0" borderId="0" xfId="2" applyFont="1" applyAlignment="1">
      <alignment horizontal="center"/>
    </xf>
    <xf numFmtId="0" fontId="68" fillId="0" borderId="0" xfId="2" applyFont="1" applyAlignment="1">
      <alignment horizontal="right"/>
    </xf>
    <xf numFmtId="188" fontId="33" fillId="0" borderId="0" xfId="2" applyNumberFormat="1" applyFont="1"/>
    <xf numFmtId="188" fontId="33" fillId="11" borderId="7" xfId="2" applyNumberFormat="1" applyFont="1" applyFill="1" applyBorder="1"/>
    <xf numFmtId="0" fontId="26" fillId="6" borderId="0" xfId="2" applyFont="1" applyFill="1" applyAlignment="1">
      <alignment horizontal="center"/>
    </xf>
    <xf numFmtId="0" fontId="26" fillId="6" borderId="0" xfId="2" applyFont="1" applyFill="1"/>
    <xf numFmtId="173" fontId="27" fillId="6" borderId="0" xfId="2" applyNumberFormat="1" applyFont="1" applyFill="1"/>
    <xf numFmtId="174" fontId="27" fillId="6" borderId="0" xfId="2" applyNumberFormat="1" applyFont="1" applyFill="1"/>
    <xf numFmtId="0" fontId="23" fillId="13" borderId="13" xfId="0" applyFont="1" applyFill="1" applyBorder="1"/>
    <xf numFmtId="172" fontId="43" fillId="11" borderId="7" xfId="0" applyNumberFormat="1" applyFont="1" applyFill="1" applyBorder="1"/>
    <xf numFmtId="172" fontId="38" fillId="11" borderId="7" xfId="0" applyNumberFormat="1" applyFont="1" applyFill="1" applyBorder="1"/>
    <xf numFmtId="168" fontId="12" fillId="0" borderId="0" xfId="0" applyNumberFormat="1" applyFont="1"/>
    <xf numFmtId="0" fontId="30" fillId="0" borderId="1" xfId="15" applyFont="1" applyBorder="1" applyAlignment="1">
      <alignment horizontal="left"/>
    </xf>
    <xf numFmtId="169" fontId="33" fillId="0" borderId="0" xfId="2" applyNumberFormat="1" applyFont="1"/>
    <xf numFmtId="169" fontId="33" fillId="11" borderId="7" xfId="2" applyNumberFormat="1" applyFont="1" applyFill="1" applyBorder="1"/>
    <xf numFmtId="0" fontId="30" fillId="0" borderId="0" xfId="15" applyFont="1"/>
    <xf numFmtId="0" fontId="12" fillId="0" borderId="0" xfId="15" applyAlignment="1">
      <alignment horizontal="center"/>
    </xf>
    <xf numFmtId="0" fontId="32" fillId="0" borderId="0" xfId="15" applyFont="1" applyAlignment="1">
      <alignment horizontal="left"/>
    </xf>
    <xf numFmtId="172" fontId="24" fillId="0" borderId="0" xfId="19" applyNumberFormat="1" applyFont="1"/>
    <xf numFmtId="187" fontId="24" fillId="0" borderId="0" xfId="15" applyNumberFormat="1" applyFont="1" applyAlignment="1">
      <alignment horizontal="left" vertical="center" indent="1"/>
    </xf>
    <xf numFmtId="0" fontId="30" fillId="0" borderId="0" xfId="15" applyFont="1" applyAlignment="1">
      <alignment horizontal="center"/>
    </xf>
    <xf numFmtId="0" fontId="33" fillId="0" borderId="1" xfId="2" applyFont="1" applyBorder="1"/>
    <xf numFmtId="0" fontId="33" fillId="0" borderId="1" xfId="2" applyFont="1" applyBorder="1" applyAlignment="1">
      <alignment horizontal="center"/>
    </xf>
    <xf numFmtId="169" fontId="33" fillId="0" borderId="1" xfId="2" applyNumberFormat="1" applyFont="1" applyBorder="1"/>
    <xf numFmtId="182" fontId="36" fillId="11" borderId="7" xfId="2" applyNumberFormat="1" applyFont="1" applyFill="1" applyBorder="1" applyAlignment="1">
      <alignment horizontal="center"/>
    </xf>
    <xf numFmtId="0" fontId="12" fillId="0" borderId="0" xfId="15" applyAlignment="1">
      <alignment horizontal="left" indent="1"/>
    </xf>
    <xf numFmtId="172" fontId="24" fillId="11" borderId="7" xfId="2" applyNumberFormat="1" applyFont="1" applyFill="1" applyBorder="1" applyAlignment="1">
      <alignment horizontal="right"/>
    </xf>
    <xf numFmtId="172" fontId="30" fillId="0" borderId="1" xfId="15" applyNumberFormat="1" applyFont="1" applyBorder="1" applyAlignment="1">
      <alignment horizontal="center"/>
    </xf>
    <xf numFmtId="172" fontId="30" fillId="0" borderId="1" xfId="15" applyNumberFormat="1" applyFont="1" applyBorder="1"/>
    <xf numFmtId="0" fontId="12" fillId="0" borderId="0" xfId="2" applyFont="1"/>
    <xf numFmtId="172" fontId="36" fillId="0" borderId="1" xfId="19" applyNumberFormat="1" applyFont="1" applyBorder="1"/>
    <xf numFmtId="0" fontId="30" fillId="13" borderId="13" xfId="2" applyFont="1" applyFill="1" applyBorder="1"/>
    <xf numFmtId="0" fontId="30" fillId="13" borderId="13" xfId="2" applyFont="1" applyFill="1" applyBorder="1" applyAlignment="1">
      <alignment horizontal="center"/>
    </xf>
    <xf numFmtId="0" fontId="44" fillId="13" borderId="13" xfId="2" applyFont="1" applyFill="1" applyBorder="1" applyAlignment="1">
      <alignment horizontal="center"/>
    </xf>
    <xf numFmtId="0" fontId="33" fillId="13" borderId="13" xfId="2" applyFont="1" applyFill="1" applyBorder="1" applyAlignment="1">
      <alignment horizontal="right"/>
    </xf>
    <xf numFmtId="0" fontId="26" fillId="13" borderId="13" xfId="2" applyFont="1" applyFill="1" applyBorder="1"/>
    <xf numFmtId="0" fontId="26" fillId="13" borderId="13" xfId="2" applyFont="1" applyFill="1" applyBorder="1" applyAlignment="1">
      <alignment horizontal="center"/>
    </xf>
    <xf numFmtId="0" fontId="27" fillId="13" borderId="13" xfId="2" applyFont="1" applyFill="1" applyBorder="1" applyAlignment="1">
      <alignment horizontal="center"/>
    </xf>
    <xf numFmtId="0" fontId="57" fillId="13" borderId="13" xfId="2" applyFont="1" applyFill="1" applyBorder="1" applyAlignment="1">
      <alignment horizontal="right"/>
    </xf>
    <xf numFmtId="0" fontId="46" fillId="0" borderId="0" xfId="0" applyFont="1"/>
    <xf numFmtId="0" fontId="76" fillId="0" borderId="0" xfId="15" applyFont="1"/>
    <xf numFmtId="0" fontId="76" fillId="0" borderId="0" xfId="15" applyFont="1" applyAlignment="1">
      <alignment horizontal="center"/>
    </xf>
    <xf numFmtId="168" fontId="76" fillId="0" borderId="0" xfId="15" applyNumberFormat="1" applyFont="1"/>
    <xf numFmtId="0" fontId="30" fillId="0" borderId="19" xfId="2" applyFont="1" applyBorder="1"/>
    <xf numFmtId="0" fontId="30" fillId="0" borderId="20" xfId="2" applyFont="1" applyBorder="1"/>
    <xf numFmtId="0" fontId="30" fillId="0" borderId="20" xfId="2" applyFont="1" applyBorder="1" applyAlignment="1">
      <alignment horizontal="center"/>
    </xf>
    <xf numFmtId="172" fontId="67" fillId="0" borderId="20" xfId="2" applyNumberFormat="1" applyFont="1" applyBorder="1"/>
    <xf numFmtId="172" fontId="30" fillId="0" borderId="20" xfId="2" applyNumberFormat="1" applyFont="1" applyBorder="1"/>
    <xf numFmtId="172" fontId="30" fillId="0" borderId="28" xfId="2" applyNumberFormat="1" applyFont="1" applyBorder="1"/>
    <xf numFmtId="172" fontId="67" fillId="0" borderId="0" xfId="2" applyNumberFormat="1" applyFont="1"/>
    <xf numFmtId="172" fontId="30" fillId="0" borderId="0" xfId="2" applyNumberFormat="1" applyFont="1"/>
    <xf numFmtId="0" fontId="36" fillId="21" borderId="13" xfId="0" applyFont="1" applyFill="1" applyBorder="1" applyAlignment="1">
      <alignment horizontal="left"/>
    </xf>
    <xf numFmtId="0" fontId="37" fillId="21" borderId="13" xfId="0" applyFont="1" applyFill="1" applyBorder="1" applyAlignment="1">
      <alignment horizontal="right"/>
    </xf>
    <xf numFmtId="9" fontId="24" fillId="21" borderId="13" xfId="0" applyNumberFormat="1" applyFont="1" applyFill="1" applyBorder="1"/>
    <xf numFmtId="3" fontId="24" fillId="21" borderId="13" xfId="0" applyNumberFormat="1" applyFont="1" applyFill="1" applyBorder="1"/>
    <xf numFmtId="172" fontId="24" fillId="21" borderId="13" xfId="0" applyNumberFormat="1" applyFont="1" applyFill="1" applyBorder="1"/>
    <xf numFmtId="0" fontId="32" fillId="0" borderId="0" xfId="16" applyFont="1" applyAlignment="1">
      <alignment horizontal="left"/>
    </xf>
    <xf numFmtId="0" fontId="45" fillId="0" borderId="0" xfId="15" applyFont="1" applyAlignment="1">
      <alignment horizontal="centerContinuous"/>
    </xf>
    <xf numFmtId="182" fontId="29" fillId="11" borderId="7" xfId="2" applyNumberFormat="1" applyFont="1" applyFill="1" applyBorder="1" applyAlignment="1">
      <alignment horizontal="center"/>
    </xf>
    <xf numFmtId="172" fontId="29" fillId="0" borderId="0" xfId="18" applyNumberFormat="1" applyFont="1"/>
    <xf numFmtId="172" fontId="12" fillId="0" borderId="0" xfId="19" applyNumberFormat="1" applyFont="1"/>
    <xf numFmtId="0" fontId="76" fillId="0" borderId="0" xfId="15" applyFont="1" applyAlignment="1">
      <alignment horizontal="left" indent="1"/>
    </xf>
    <xf numFmtId="0" fontId="30" fillId="0" borderId="19" xfId="16" applyFont="1" applyBorder="1" applyAlignment="1">
      <alignment horizontal="left"/>
    </xf>
    <xf numFmtId="0" fontId="33" fillId="0" borderId="20" xfId="2" applyFont="1" applyBorder="1"/>
    <xf numFmtId="0" fontId="33" fillId="0" borderId="20" xfId="2" applyFont="1" applyBorder="1" applyAlignment="1">
      <alignment horizontal="center"/>
    </xf>
    <xf numFmtId="172" fontId="67" fillId="0" borderId="20" xfId="19" applyNumberFormat="1" applyFont="1" applyBorder="1"/>
    <xf numFmtId="172" fontId="67" fillId="0" borderId="21" xfId="19" applyNumberFormat="1" applyFont="1" applyBorder="1"/>
    <xf numFmtId="0" fontId="30" fillId="0" borderId="0" xfId="16" applyFont="1" applyAlignment="1">
      <alignment horizontal="left"/>
    </xf>
    <xf numFmtId="172" fontId="34" fillId="0" borderId="0" xfId="19" applyNumberFormat="1" applyFont="1" applyAlignment="1">
      <alignment horizontal="center"/>
    </xf>
    <xf numFmtId="172" fontId="34" fillId="0" borderId="0" xfId="19" applyNumberFormat="1" applyFont="1" applyBorder="1"/>
    <xf numFmtId="172" fontId="36" fillId="0" borderId="0" xfId="19" applyNumberFormat="1" applyFont="1" applyBorder="1"/>
    <xf numFmtId="172" fontId="36" fillId="0" borderId="0" xfId="19" applyNumberFormat="1" applyFont="1"/>
    <xf numFmtId="0" fontId="33" fillId="0" borderId="0" xfId="15" applyFont="1" applyAlignment="1">
      <alignment horizontal="center"/>
    </xf>
    <xf numFmtId="169" fontId="76" fillId="0" borderId="0" xfId="15" applyNumberFormat="1" applyFont="1"/>
    <xf numFmtId="172" fontId="24" fillId="0" borderId="0" xfId="19" applyNumberFormat="1" applyFont="1" applyFill="1"/>
    <xf numFmtId="0" fontId="33" fillId="0" borderId="0" xfId="16" applyFont="1" applyAlignment="1">
      <alignment horizontal="center"/>
    </xf>
    <xf numFmtId="172" fontId="29" fillId="0" borderId="0" xfId="19" applyNumberFormat="1" applyFont="1"/>
    <xf numFmtId="0" fontId="30" fillId="0" borderId="1" xfId="16" applyFont="1" applyBorder="1" applyAlignment="1">
      <alignment horizontal="left"/>
    </xf>
    <xf numFmtId="0" fontId="30" fillId="0" borderId="1" xfId="16" applyFont="1" applyBorder="1" applyAlignment="1">
      <alignment horizontal="center"/>
    </xf>
    <xf numFmtId="172" fontId="36" fillId="0" borderId="1" xfId="18" applyNumberFormat="1" applyFont="1" applyBorder="1"/>
    <xf numFmtId="175" fontId="77" fillId="0" borderId="0" xfId="15" applyNumberFormat="1" applyFont="1" applyAlignment="1">
      <alignment horizontal="center"/>
    </xf>
    <xf numFmtId="175" fontId="77" fillId="0" borderId="0" xfId="15" applyNumberFormat="1" applyFont="1" applyAlignment="1">
      <alignment horizontal="right" vertical="top" wrapText="1"/>
    </xf>
    <xf numFmtId="172" fontId="29" fillId="0" borderId="0" xfId="19" applyNumberFormat="1" applyFont="1" applyFill="1"/>
    <xf numFmtId="172" fontId="33" fillId="0" borderId="0" xfId="16" applyNumberFormat="1" applyFont="1" applyAlignment="1">
      <alignment horizontal="center"/>
    </xf>
    <xf numFmtId="0" fontId="12" fillId="0" borderId="0" xfId="16" applyFont="1" applyAlignment="1">
      <alignment horizontal="left" indent="1"/>
    </xf>
    <xf numFmtId="0" fontId="12" fillId="0" borderId="0" xfId="16" applyFont="1" applyAlignment="1">
      <alignment horizontal="center"/>
    </xf>
    <xf numFmtId="169" fontId="70" fillId="0" borderId="0" xfId="2" applyNumberFormat="1" applyFont="1"/>
    <xf numFmtId="183" fontId="36" fillId="0" borderId="1" xfId="20" applyNumberFormat="1" applyFont="1" applyBorder="1"/>
    <xf numFmtId="0" fontId="12" fillId="0" borderId="0" xfId="16" applyFont="1" applyAlignment="1">
      <alignment horizontal="left" indent="2"/>
    </xf>
    <xf numFmtId="172" fontId="36" fillId="0" borderId="1" xfId="19" applyNumberFormat="1" applyFont="1" applyFill="1" applyBorder="1" applyAlignment="1">
      <alignment horizontal="center"/>
    </xf>
    <xf numFmtId="172" fontId="34" fillId="0" borderId="1" xfId="19" applyNumberFormat="1" applyFont="1" applyBorder="1"/>
    <xf numFmtId="172" fontId="36" fillId="0" borderId="1" xfId="19" applyNumberFormat="1" applyFont="1" applyFill="1" applyBorder="1"/>
    <xf numFmtId="185" fontId="46" fillId="0" borderId="0" xfId="0" applyNumberFormat="1" applyFont="1"/>
    <xf numFmtId="0" fontId="36" fillId="22" borderId="13" xfId="16" applyFont="1" applyFill="1" applyBorder="1" applyAlignment="1">
      <alignment horizontal="left"/>
    </xf>
    <xf numFmtId="0" fontId="36" fillId="22" borderId="13" xfId="15" applyFont="1" applyFill="1" applyBorder="1" applyAlignment="1">
      <alignment horizontal="center"/>
    </xf>
    <xf numFmtId="0" fontId="36" fillId="22" borderId="13" xfId="15" applyFont="1" applyFill="1" applyBorder="1" applyAlignment="1">
      <alignment horizontal="left" vertical="center"/>
    </xf>
    <xf numFmtId="184" fontId="36" fillId="22" borderId="13" xfId="15" applyNumberFormat="1" applyFont="1" applyFill="1" applyBorder="1" applyAlignment="1">
      <alignment horizontal="right" vertical="center"/>
    </xf>
    <xf numFmtId="0" fontId="32" fillId="0" borderId="0" xfId="15" applyFont="1" applyAlignment="1">
      <alignment horizontal="center"/>
    </xf>
    <xf numFmtId="0" fontId="71" fillId="0" borderId="0" xfId="15" applyFont="1" applyAlignment="1">
      <alignment horizontal="center"/>
    </xf>
    <xf numFmtId="0" fontId="30" fillId="0" borderId="0" xfId="15" applyFont="1" applyAlignment="1">
      <alignment horizontal="right"/>
    </xf>
    <xf numFmtId="168" fontId="30" fillId="0" borderId="0" xfId="15" applyNumberFormat="1" applyFont="1" applyAlignment="1">
      <alignment horizontal="right"/>
    </xf>
    <xf numFmtId="186" fontId="30" fillId="0" borderId="0" xfId="15" applyNumberFormat="1" applyFont="1" applyAlignment="1">
      <alignment horizontal="right"/>
    </xf>
    <xf numFmtId="187" fontId="24" fillId="0" borderId="0" xfId="15" applyNumberFormat="1" applyFont="1" applyAlignment="1">
      <alignment horizontal="center"/>
    </xf>
    <xf numFmtId="0" fontId="76" fillId="0" borderId="1" xfId="15" applyFont="1" applyBorder="1" applyAlignment="1">
      <alignment horizontal="center"/>
    </xf>
    <xf numFmtId="0" fontId="30" fillId="6" borderId="0" xfId="1" applyFont="1" applyFill="1" applyAlignment="1">
      <alignment horizontal="center"/>
    </xf>
    <xf numFmtId="0" fontId="72" fillId="6" borderId="0" xfId="1" applyFont="1" applyFill="1" applyAlignment="1"/>
    <xf numFmtId="0" fontId="1" fillId="6" borderId="0" xfId="0" applyFont="1" applyFill="1" applyAlignment="1">
      <alignment horizontal="left" vertical="center"/>
    </xf>
    <xf numFmtId="15" fontId="26" fillId="6" borderId="0" xfId="2" applyNumberFormat="1" applyFont="1" applyFill="1"/>
    <xf numFmtId="0" fontId="72" fillId="6" borderId="0" xfId="1" applyFont="1" applyFill="1" applyAlignment="1">
      <alignment horizontal="center"/>
    </xf>
    <xf numFmtId="0" fontId="12" fillId="6" borderId="0" xfId="2" applyFont="1" applyFill="1" applyAlignment="1">
      <alignment horizontal="center"/>
    </xf>
    <xf numFmtId="0" fontId="12" fillId="6" borderId="0" xfId="2" applyFont="1" applyFill="1"/>
    <xf numFmtId="0" fontId="72" fillId="6" borderId="22" xfId="1" applyFont="1" applyFill="1" applyBorder="1" applyAlignment="1"/>
    <xf numFmtId="0" fontId="72" fillId="6" borderId="23" xfId="1" applyFont="1" applyFill="1" applyBorder="1" applyAlignment="1"/>
    <xf numFmtId="0" fontId="23" fillId="6" borderId="0" xfId="2" applyFont="1" applyFill="1" applyAlignment="1">
      <alignment horizontal="center"/>
    </xf>
    <xf numFmtId="0" fontId="23" fillId="6" borderId="0" xfId="2" applyFont="1" applyFill="1"/>
    <xf numFmtId="0" fontId="72" fillId="6" borderId="25" xfId="1" applyFont="1" applyFill="1" applyBorder="1" applyAlignment="1"/>
    <xf numFmtId="0" fontId="72" fillId="6" borderId="26" xfId="1" applyFont="1" applyFill="1" applyBorder="1" applyAlignment="1"/>
    <xf numFmtId="0" fontId="73" fillId="6" borderId="0" xfId="1" applyFont="1" applyFill="1" applyAlignment="1"/>
    <xf numFmtId="173" fontId="74" fillId="6" borderId="0" xfId="1" applyNumberFormat="1" applyFont="1" applyFill="1" applyAlignment="1">
      <alignment horizontal="centerContinuous"/>
    </xf>
    <xf numFmtId="0" fontId="75" fillId="6" borderId="0" xfId="2" applyFont="1" applyFill="1"/>
    <xf numFmtId="0" fontId="57" fillId="6" borderId="0" xfId="2" applyFont="1" applyFill="1" applyAlignment="1">
      <alignment horizontal="center"/>
    </xf>
    <xf numFmtId="174" fontId="26" fillId="6" borderId="0" xfId="2" applyNumberFormat="1" applyFont="1" applyFill="1"/>
    <xf numFmtId="169" fontId="37" fillId="11" borderId="7" xfId="2" applyNumberFormat="1" applyFont="1" applyFill="1" applyBorder="1"/>
    <xf numFmtId="14" fontId="69" fillId="0" borderId="0" xfId="0" applyNumberFormat="1" applyFont="1"/>
    <xf numFmtId="0" fontId="53" fillId="0" borderId="0" xfId="1" applyFont="1" applyAlignment="1">
      <alignment horizontal="left" vertical="top" indent="1"/>
    </xf>
    <xf numFmtId="189" fontId="79" fillId="0" borderId="0" xfId="0" applyNumberFormat="1" applyFont="1"/>
    <xf numFmtId="0" fontId="24" fillId="0" borderId="0" xfId="0" applyFont="1" applyAlignment="1">
      <alignment horizontal="left" vertical="top" indent="1"/>
    </xf>
    <xf numFmtId="0" fontId="30" fillId="0" borderId="12" xfId="0" applyFont="1" applyBorder="1" applyAlignment="1">
      <alignment horizontal="left"/>
    </xf>
    <xf numFmtId="0" fontId="12" fillId="0" borderId="13" xfId="0" applyFont="1" applyBorder="1"/>
    <xf numFmtId="189" fontId="12" fillId="0" borderId="13" xfId="0" applyNumberFormat="1" applyFont="1" applyBorder="1"/>
    <xf numFmtId="172" fontId="36" fillId="0" borderId="13" xfId="9" applyNumberFormat="1" applyFont="1" applyFill="1" applyBorder="1"/>
    <xf numFmtId="172" fontId="36" fillId="0" borderId="14" xfId="9" applyNumberFormat="1" applyFont="1" applyFill="1" applyBorder="1"/>
    <xf numFmtId="0" fontId="30" fillId="0" borderId="0" xfId="0" applyFont="1" applyAlignment="1">
      <alignment horizontal="left"/>
    </xf>
    <xf numFmtId="189" fontId="12" fillId="0" borderId="0" xfId="0" applyNumberFormat="1" applyFont="1"/>
    <xf numFmtId="172" fontId="36" fillId="0" borderId="0" xfId="9" applyNumberFormat="1" applyFont="1" applyFill="1" applyBorder="1"/>
    <xf numFmtId="0" fontId="30" fillId="0" borderId="0" xfId="0" applyFont="1"/>
    <xf numFmtId="0" fontId="36" fillId="0" borderId="15" xfId="0" applyFont="1" applyBorder="1" applyAlignment="1">
      <alignment horizontal="left" vertical="center"/>
    </xf>
    <xf numFmtId="0" fontId="36" fillId="0" borderId="16" xfId="0" applyFont="1" applyBorder="1" applyAlignment="1">
      <alignment horizontal="left" vertical="center"/>
    </xf>
    <xf numFmtId="0" fontId="36" fillId="0" borderId="17" xfId="2" applyFont="1" applyBorder="1" applyAlignment="1">
      <alignment horizontal="center"/>
    </xf>
    <xf numFmtId="0" fontId="36" fillId="0" borderId="0" xfId="0" applyFont="1" applyAlignment="1">
      <alignment horizontal="left" vertical="center"/>
    </xf>
    <xf numFmtId="172" fontId="67" fillId="0" borderId="0" xfId="0" applyNumberFormat="1" applyFont="1"/>
    <xf numFmtId="0" fontId="12" fillId="0" borderId="0" xfId="0" applyFont="1" applyAlignment="1">
      <alignment horizontal="left" indent="1"/>
    </xf>
    <xf numFmtId="169" fontId="34" fillId="11" borderId="7" xfId="2" applyNumberFormat="1" applyFont="1" applyFill="1" applyBorder="1" applyAlignment="1">
      <alignment horizontal="center"/>
    </xf>
    <xf numFmtId="172" fontId="12" fillId="10" borderId="13" xfId="0" applyNumberFormat="1" applyFont="1" applyFill="1" applyBorder="1"/>
    <xf numFmtId="0" fontId="33" fillId="0" borderId="0" xfId="0" applyFont="1"/>
    <xf numFmtId="168" fontId="33" fillId="0" borderId="0" xfId="0" applyNumberFormat="1" applyFont="1"/>
    <xf numFmtId="0" fontId="71" fillId="0" borderId="0" xfId="0" applyFont="1" applyAlignment="1">
      <alignment horizontal="center"/>
    </xf>
    <xf numFmtId="191" fontId="29" fillId="11" borderId="7" xfId="0" applyNumberFormat="1" applyFont="1" applyFill="1" applyBorder="1" applyAlignment="1">
      <alignment horizontal="center" vertical="top" wrapText="1"/>
    </xf>
    <xf numFmtId="10" fontId="29" fillId="11" borderId="7" xfId="0" applyNumberFormat="1" applyFont="1" applyFill="1" applyBorder="1" applyAlignment="1">
      <alignment horizontal="center" vertical="top" wrapText="1"/>
    </xf>
    <xf numFmtId="187" fontId="29" fillId="11" borderId="7" xfId="0" applyNumberFormat="1" applyFont="1" applyFill="1" applyBorder="1" applyAlignment="1">
      <alignment horizontal="center" vertical="center"/>
    </xf>
    <xf numFmtId="172" fontId="24" fillId="0" borderId="0" xfId="9" applyNumberFormat="1" applyFont="1"/>
    <xf numFmtId="191" fontId="12" fillId="0" borderId="0" xfId="0" applyNumberFormat="1" applyFont="1"/>
    <xf numFmtId="187" fontId="12" fillId="0" borderId="0" xfId="0" applyNumberFormat="1" applyFont="1"/>
    <xf numFmtId="0" fontId="71" fillId="0" borderId="0" xfId="0" applyFont="1" applyAlignment="1">
      <alignment horizontal="left" vertical="center"/>
    </xf>
    <xf numFmtId="0" fontId="36" fillId="0" borderId="0" xfId="0" applyFont="1" applyAlignment="1">
      <alignment horizontal="center"/>
    </xf>
    <xf numFmtId="187" fontId="24" fillId="0" borderId="0" xfId="0" applyNumberFormat="1" applyFont="1" applyAlignment="1">
      <alignment horizontal="left" vertical="center" indent="1"/>
    </xf>
    <xf numFmtId="191" fontId="24" fillId="11" borderId="7" xfId="0" applyNumberFormat="1" applyFont="1" applyFill="1" applyBorder="1" applyAlignment="1">
      <alignment horizontal="center" vertical="top" wrapText="1"/>
    </xf>
    <xf numFmtId="0" fontId="36" fillId="0" borderId="12" xfId="0" applyFont="1" applyBorder="1" applyAlignment="1">
      <alignment horizontal="left" vertical="center"/>
    </xf>
    <xf numFmtId="191" fontId="34" fillId="0" borderId="13" xfId="0" applyNumberFormat="1" applyFont="1" applyBorder="1" applyAlignment="1">
      <alignment horizontal="center" vertical="top" wrapText="1"/>
    </xf>
    <xf numFmtId="10" fontId="34" fillId="0" borderId="13" xfId="0" applyNumberFormat="1" applyFont="1" applyBorder="1" applyAlignment="1">
      <alignment horizontal="center" vertical="top" wrapText="1"/>
    </xf>
    <xf numFmtId="187" fontId="34" fillId="0" borderId="13" xfId="0" applyNumberFormat="1" applyFont="1" applyBorder="1" applyAlignment="1">
      <alignment horizontal="center" vertical="center"/>
    </xf>
    <xf numFmtId="172" fontId="36" fillId="0" borderId="2" xfId="9" applyNumberFormat="1" applyFont="1" applyFill="1" applyBorder="1"/>
    <xf numFmtId="191" fontId="24" fillId="0" borderId="0" xfId="0" applyNumberFormat="1" applyFont="1"/>
    <xf numFmtId="0" fontId="80" fillId="0" borderId="0" xfId="0" applyFont="1" applyAlignment="1">
      <alignment horizontal="left" indent="1"/>
    </xf>
    <xf numFmtId="0" fontId="80" fillId="0" borderId="0" xfId="0" applyFont="1"/>
    <xf numFmtId="172" fontId="24" fillId="0" borderId="0" xfId="9" applyNumberFormat="1" applyFont="1" applyBorder="1"/>
    <xf numFmtId="172" fontId="38" fillId="0" borderId="0" xfId="9" applyNumberFormat="1" applyFont="1" applyBorder="1"/>
    <xf numFmtId="172" fontId="38" fillId="11" borderId="7" xfId="9" applyNumberFormat="1" applyFont="1" applyFill="1" applyBorder="1"/>
    <xf numFmtId="172" fontId="24" fillId="11" borderId="7" xfId="9" applyNumberFormat="1" applyFont="1" applyFill="1" applyBorder="1"/>
    <xf numFmtId="0" fontId="81" fillId="0" borderId="12" xfId="0" applyFont="1" applyBorder="1" applyAlignment="1">
      <alignment horizontal="left" indent="1"/>
    </xf>
    <xf numFmtId="0" fontId="81" fillId="0" borderId="13" xfId="0" applyFont="1" applyBorder="1"/>
    <xf numFmtId="172" fontId="67" fillId="0" borderId="13" xfId="9" applyNumberFormat="1" applyFont="1" applyBorder="1"/>
    <xf numFmtId="172" fontId="36" fillId="0" borderId="13" xfId="9" applyNumberFormat="1" applyFont="1" applyBorder="1"/>
    <xf numFmtId="0" fontId="80" fillId="0" borderId="0" xfId="1" applyFont="1" applyAlignment="1"/>
    <xf numFmtId="192" fontId="29" fillId="0" borderId="0" xfId="23" applyNumberFormat="1" applyFont="1"/>
    <xf numFmtId="192" fontId="12" fillId="0" borderId="0" xfId="24" applyNumberFormat="1" applyFont="1" applyFill="1" applyBorder="1"/>
    <xf numFmtId="0" fontId="80" fillId="0" borderId="5" xfId="1" applyFont="1" applyBorder="1" applyAlignment="1"/>
    <xf numFmtId="172" fontId="29" fillId="0" borderId="5" xfId="24" applyNumberFormat="1" applyFont="1" applyFill="1" applyBorder="1"/>
    <xf numFmtId="172" fontId="24" fillId="0" borderId="5" xfId="24" applyNumberFormat="1" applyFont="1" applyFill="1" applyBorder="1"/>
    <xf numFmtId="172" fontId="12" fillId="0" borderId="0" xfId="24" applyNumberFormat="1" applyFont="1" applyBorder="1"/>
    <xf numFmtId="172" fontId="38" fillId="11" borderId="7" xfId="24" applyNumberFormat="1" applyFont="1" applyFill="1" applyBorder="1"/>
    <xf numFmtId="0" fontId="81" fillId="0" borderId="0" xfId="1" applyFont="1" applyAlignment="1"/>
    <xf numFmtId="172" fontId="29" fillId="0" borderId="0" xfId="24" applyNumberFormat="1" applyFont="1" applyFill="1" applyBorder="1"/>
    <xf numFmtId="172" fontId="12" fillId="11" borderId="7" xfId="24" applyNumberFormat="1" applyFont="1" applyFill="1" applyBorder="1"/>
    <xf numFmtId="0" fontId="36" fillId="0" borderId="13" xfId="1" applyFont="1" applyBorder="1" applyAlignment="1"/>
    <xf numFmtId="0" fontId="24" fillId="0" borderId="13" xfId="1" applyFont="1" applyBorder="1" applyAlignment="1"/>
    <xf numFmtId="172" fontId="38" fillId="0" borderId="13" xfId="1" applyNumberFormat="1" applyFont="1" applyBorder="1" applyAlignment="1"/>
    <xf numFmtId="172" fontId="12" fillId="0" borderId="5" xfId="1" applyNumberFormat="1" applyFont="1" applyBorder="1" applyAlignment="1"/>
    <xf numFmtId="3" fontId="12" fillId="0" borderId="0" xfId="0" applyNumberFormat="1" applyFont="1"/>
    <xf numFmtId="0" fontId="26" fillId="6" borderId="0" xfId="1" applyFont="1" applyFill="1" applyAlignment="1"/>
    <xf numFmtId="0" fontId="26" fillId="6" borderId="0" xfId="1" applyFont="1" applyFill="1" applyAlignment="1">
      <alignment horizontal="center"/>
    </xf>
    <xf numFmtId="0" fontId="26" fillId="6" borderId="22" xfId="1" applyFont="1" applyFill="1" applyBorder="1" applyAlignment="1"/>
    <xf numFmtId="0" fontId="26" fillId="6" borderId="23" xfId="1" applyFont="1" applyFill="1" applyBorder="1" applyAlignment="1"/>
    <xf numFmtId="0" fontId="26" fillId="6" borderId="25" xfId="1" applyFont="1" applyFill="1" applyBorder="1" applyAlignment="1"/>
    <xf numFmtId="0" fontId="26" fillId="6" borderId="26" xfId="1" applyFont="1" applyFill="1" applyBorder="1" applyAlignment="1"/>
    <xf numFmtId="0" fontId="26" fillId="6" borderId="27" xfId="1" applyFont="1" applyFill="1" applyBorder="1" applyAlignment="1">
      <alignment horizontal="center"/>
    </xf>
    <xf numFmtId="0" fontId="27" fillId="6" borderId="0" xfId="1" applyFont="1" applyFill="1" applyAlignment="1"/>
    <xf numFmtId="0" fontId="57" fillId="6" borderId="0" xfId="2" applyFont="1" applyFill="1"/>
    <xf numFmtId="0" fontId="26" fillId="6" borderId="0" xfId="0" applyFont="1" applyFill="1" applyAlignment="1">
      <alignment horizontal="center" vertical="center"/>
    </xf>
    <xf numFmtId="0" fontId="26" fillId="6" borderId="0" xfId="0" applyFont="1" applyFill="1" applyAlignment="1">
      <alignment horizontal="left" vertical="center"/>
    </xf>
    <xf numFmtId="190" fontId="27" fillId="6" borderId="0" xfId="0" applyNumberFormat="1" applyFont="1" applyFill="1" applyAlignment="1">
      <alignment horizontal="right" vertical="center"/>
    </xf>
    <xf numFmtId="184" fontId="78" fillId="6" borderId="0" xfId="0" applyNumberFormat="1" applyFont="1" applyFill="1" applyAlignment="1">
      <alignment horizontal="right" vertical="center"/>
    </xf>
    <xf numFmtId="0" fontId="26" fillId="13" borderId="13" xfId="0" applyFont="1" applyFill="1" applyBorder="1" applyAlignment="1">
      <alignment horizontal="left" vertical="center"/>
    </xf>
    <xf numFmtId="190" fontId="27" fillId="13" borderId="13" xfId="0" applyNumberFormat="1" applyFont="1" applyFill="1" applyBorder="1" applyAlignment="1">
      <alignment horizontal="right" vertical="center"/>
    </xf>
    <xf numFmtId="184" fontId="26" fillId="23" borderId="13" xfId="0" applyNumberFormat="1" applyFont="1" applyFill="1" applyBorder="1" applyAlignment="1">
      <alignment horizontal="right" vertical="center"/>
    </xf>
    <xf numFmtId="0" fontId="36" fillId="20" borderId="13" xfId="16" applyFont="1" applyFill="1" applyBorder="1" applyAlignment="1">
      <alignment horizontal="left"/>
    </xf>
    <xf numFmtId="0" fontId="36" fillId="20" borderId="13" xfId="15" applyFont="1" applyFill="1" applyBorder="1" applyAlignment="1">
      <alignment horizontal="center"/>
    </xf>
    <xf numFmtId="0" fontId="36" fillId="20" borderId="13" xfId="15" applyFont="1" applyFill="1" applyBorder="1" applyAlignment="1">
      <alignment horizontal="left" vertical="center"/>
    </xf>
    <xf numFmtId="184" fontId="36" fillId="20" borderId="13" xfId="15" applyNumberFormat="1" applyFont="1" applyFill="1" applyBorder="1" applyAlignment="1">
      <alignment horizontal="right" vertical="center"/>
    </xf>
    <xf numFmtId="190" fontId="27" fillId="13" borderId="13" xfId="1" applyNumberFormat="1" applyFont="1" applyFill="1" applyBorder="1" applyAlignment="1">
      <alignment horizontal="right" vertical="center"/>
    </xf>
    <xf numFmtId="0" fontId="23" fillId="6" borderId="22" xfId="0" applyFont="1" applyFill="1" applyBorder="1"/>
    <xf numFmtId="0" fontId="23" fillId="6" borderId="25" xfId="0" applyFont="1" applyFill="1" applyBorder="1"/>
    <xf numFmtId="0" fontId="23" fillId="6" borderId="27" xfId="0" applyFont="1" applyFill="1" applyBorder="1"/>
    <xf numFmtId="173" fontId="82" fillId="6" borderId="0" xfId="0" applyNumberFormat="1" applyFont="1" applyFill="1" applyAlignment="1">
      <alignment horizontal="centerContinuous"/>
    </xf>
    <xf numFmtId="193" fontId="82" fillId="6" borderId="0" xfId="0" applyNumberFormat="1" applyFont="1" applyFill="1" applyAlignment="1">
      <alignment horizontal="center"/>
    </xf>
    <xf numFmtId="173" fontId="82" fillId="6" borderId="0" xfId="0" applyNumberFormat="1" applyFont="1" applyFill="1" applyAlignment="1">
      <alignment horizontal="center"/>
    </xf>
    <xf numFmtId="0" fontId="12" fillId="6" borderId="0" xfId="0" applyFont="1" applyFill="1"/>
    <xf numFmtId="0" fontId="12" fillId="6" borderId="13" xfId="0" applyFont="1" applyFill="1" applyBorder="1"/>
    <xf numFmtId="0" fontId="17" fillId="0" borderId="0" xfId="0" applyFont="1" applyAlignment="1">
      <alignment horizontal="left"/>
    </xf>
    <xf numFmtId="176" fontId="17" fillId="0" borderId="0" xfId="0" applyNumberFormat="1" applyFont="1" applyAlignment="1">
      <alignment horizontal="left"/>
    </xf>
    <xf numFmtId="0" fontId="22" fillId="8" borderId="0" xfId="0" applyFont="1" applyFill="1" applyAlignment="1">
      <alignment horizontal="left" vertical="top" wrapText="1"/>
    </xf>
    <xf numFmtId="0" fontId="22" fillId="8" borderId="0" xfId="0" applyFont="1" applyFill="1" applyAlignment="1">
      <alignment horizontal="right" vertical="top" wrapText="1"/>
    </xf>
    <xf numFmtId="194" fontId="18" fillId="0" borderId="0" xfId="0" applyNumberFormat="1" applyFont="1" applyAlignment="1">
      <alignment horizontal="right" vertical="top" wrapText="1"/>
    </xf>
    <xf numFmtId="191" fontId="18" fillId="0" borderId="0" xfId="0" applyNumberFormat="1" applyFont="1" applyAlignment="1">
      <alignment horizontal="right" vertical="top" wrapText="1"/>
    </xf>
    <xf numFmtId="0" fontId="18" fillId="0" borderId="0" xfId="0" applyFont="1" applyAlignment="1">
      <alignment horizontal="right" vertical="top" wrapText="1"/>
    </xf>
    <xf numFmtId="0" fontId="22" fillId="0" borderId="0" xfId="0" applyFont="1" applyAlignment="1">
      <alignment vertical="top" wrapText="1"/>
    </xf>
    <xf numFmtId="195" fontId="18" fillId="0" borderId="0" xfId="0" applyNumberFormat="1" applyFont="1" applyAlignment="1">
      <alignment horizontal="right" vertical="top" wrapText="1"/>
    </xf>
    <xf numFmtId="196" fontId="18" fillId="0" borderId="0" xfId="0" applyNumberFormat="1" applyFont="1" applyAlignment="1">
      <alignment horizontal="right" vertical="top" wrapText="1"/>
    </xf>
    <xf numFmtId="0" fontId="12" fillId="13" borderId="0" xfId="0" applyFont="1" applyFill="1"/>
    <xf numFmtId="0" fontId="26" fillId="6" borderId="13" xfId="0" applyFont="1" applyFill="1" applyBorder="1"/>
    <xf numFmtId="0" fontId="26" fillId="13" borderId="0" xfId="0" applyFont="1" applyFill="1"/>
    <xf numFmtId="0" fontId="12" fillId="0" borderId="1" xfId="0" applyFont="1" applyBorder="1"/>
    <xf numFmtId="197" fontId="12" fillId="0" borderId="0" xfId="0" applyNumberFormat="1" applyFont="1"/>
    <xf numFmtId="197" fontId="12" fillId="20" borderId="1" xfId="0" applyNumberFormat="1" applyFont="1" applyFill="1" applyBorder="1"/>
    <xf numFmtId="197" fontId="30" fillId="20" borderId="0" xfId="0" applyNumberFormat="1" applyFont="1" applyFill="1"/>
    <xf numFmtId="197" fontId="12" fillId="20" borderId="0" xfId="0" applyNumberFormat="1" applyFont="1" applyFill="1"/>
    <xf numFmtId="197" fontId="12" fillId="20" borderId="5" xfId="0" applyNumberFormat="1" applyFont="1" applyFill="1" applyBorder="1"/>
    <xf numFmtId="197" fontId="12" fillId="24" borderId="0" xfId="0" applyNumberFormat="1" applyFont="1" applyFill="1"/>
    <xf numFmtId="197" fontId="26" fillId="24" borderId="0" xfId="0" applyNumberFormat="1" applyFont="1" applyFill="1"/>
    <xf numFmtId="197" fontId="56" fillId="24" borderId="0" xfId="0" applyNumberFormat="1" applyFont="1" applyFill="1"/>
    <xf numFmtId="197" fontId="30" fillId="0" borderId="15" xfId="0" applyNumberFormat="1" applyFont="1" applyBorder="1"/>
    <xf numFmtId="172" fontId="36" fillId="0" borderId="16" xfId="0" applyNumberFormat="1" applyFont="1" applyBorder="1"/>
    <xf numFmtId="169" fontId="36" fillId="0" borderId="16" xfId="0" applyNumberFormat="1" applyFont="1" applyBorder="1"/>
    <xf numFmtId="197" fontId="30" fillId="0" borderId="16" xfId="0" applyNumberFormat="1" applyFont="1" applyBorder="1"/>
    <xf numFmtId="197" fontId="30" fillId="0" borderId="17" xfId="0" applyNumberFormat="1" applyFont="1" applyBorder="1"/>
    <xf numFmtId="197" fontId="12" fillId="6" borderId="0" xfId="0" applyNumberFormat="1" applyFont="1" applyFill="1"/>
    <xf numFmtId="197" fontId="26" fillId="6" borderId="0" xfId="0" applyNumberFormat="1" applyFont="1" applyFill="1"/>
    <xf numFmtId="197" fontId="32" fillId="0" borderId="0" xfId="0" applyNumberFormat="1" applyFont="1"/>
    <xf numFmtId="197" fontId="27" fillId="6" borderId="0" xfId="0" applyNumberFormat="1" applyFont="1" applyFill="1"/>
    <xf numFmtId="197" fontId="12" fillId="0" borderId="1" xfId="0" applyNumberFormat="1" applyFont="1" applyBorder="1"/>
    <xf numFmtId="197" fontId="30" fillId="0" borderId="1" xfId="0" applyNumberFormat="1" applyFont="1" applyBorder="1"/>
    <xf numFmtId="197" fontId="12" fillId="0" borderId="13" xfId="0" applyNumberFormat="1" applyFont="1" applyBorder="1"/>
    <xf numFmtId="197" fontId="30" fillId="0" borderId="13" xfId="0" applyNumberFormat="1" applyFont="1" applyBorder="1"/>
    <xf numFmtId="0" fontId="83" fillId="0" borderId="0" xfId="0" applyFont="1"/>
    <xf numFmtId="0" fontId="61" fillId="0" borderId="0" xfId="0" applyFont="1"/>
    <xf numFmtId="0" fontId="63" fillId="0" borderId="0" xfId="0" applyFont="1" applyAlignment="1">
      <alignment horizontal="center"/>
    </xf>
    <xf numFmtId="0" fontId="59" fillId="6" borderId="0" xfId="1" applyFont="1" applyFill="1" applyAlignment="1">
      <alignment horizontal="center"/>
    </xf>
    <xf numFmtId="0" fontId="58" fillId="6" borderId="0" xfId="1" applyFont="1" applyFill="1" applyAlignment="1"/>
    <xf numFmtId="15" fontId="84" fillId="6" borderId="0" xfId="2" applyNumberFormat="1" applyFont="1" applyFill="1"/>
    <xf numFmtId="0" fontId="58" fillId="6" borderId="0" xfId="1" applyFont="1" applyFill="1" applyAlignment="1">
      <alignment horizontal="center"/>
    </xf>
    <xf numFmtId="0" fontId="60" fillId="6" borderId="22" xfId="1" applyFont="1" applyFill="1" applyBorder="1" applyAlignment="1"/>
    <xf numFmtId="0" fontId="61" fillId="6" borderId="0" xfId="1" applyFont="1" applyFill="1" applyAlignment="1">
      <alignment horizontal="center"/>
    </xf>
    <xf numFmtId="0" fontId="61" fillId="6" borderId="0" xfId="1" applyFont="1" applyFill="1" applyAlignment="1"/>
    <xf numFmtId="0" fontId="60" fillId="6" borderId="25" xfId="1" applyFont="1" applyFill="1" applyBorder="1" applyAlignment="1"/>
    <xf numFmtId="0" fontId="58" fillId="6" borderId="27" xfId="1" applyFont="1" applyFill="1" applyBorder="1" applyAlignment="1">
      <alignment horizontal="center"/>
    </xf>
    <xf numFmtId="173" fontId="85" fillId="6" borderId="0" xfId="1" applyNumberFormat="1" applyFont="1" applyFill="1" applyAlignment="1">
      <alignment horizontal="centerContinuous"/>
    </xf>
    <xf numFmtId="0" fontId="61" fillId="6" borderId="0" xfId="0" applyFont="1" applyFill="1"/>
    <xf numFmtId="0" fontId="60" fillId="6" borderId="0" xfId="1" applyFont="1" applyFill="1" applyAlignment="1"/>
    <xf numFmtId="0" fontId="86" fillId="6" borderId="0" xfId="2" applyFont="1" applyFill="1"/>
    <xf numFmtId="0" fontId="86" fillId="6" borderId="0" xfId="1" applyFont="1" applyFill="1" applyAlignment="1"/>
    <xf numFmtId="0" fontId="87" fillId="6" borderId="0" xfId="1" applyFont="1" applyFill="1" applyAlignment="1"/>
    <xf numFmtId="197" fontId="30" fillId="0" borderId="14" xfId="0" applyNumberFormat="1" applyFont="1" applyBorder="1"/>
    <xf numFmtId="197" fontId="12" fillId="0" borderId="0" xfId="0" applyNumberFormat="1" applyFont="1" applyAlignment="1">
      <alignment horizontal="center"/>
    </xf>
    <xf numFmtId="0" fontId="62" fillId="0" borderId="8" xfId="0" applyFont="1" applyBorder="1"/>
    <xf numFmtId="0" fontId="62" fillId="0" borderId="6" xfId="0" applyFont="1" applyBorder="1" applyAlignment="1">
      <alignment horizontal="right"/>
    </xf>
    <xf numFmtId="10" fontId="62" fillId="0" borderId="6" xfId="0" applyNumberFormat="1" applyFont="1" applyBorder="1" applyAlignment="1">
      <alignment horizontal="right"/>
    </xf>
    <xf numFmtId="10" fontId="62" fillId="0" borderId="5" xfId="0" applyNumberFormat="1" applyFont="1" applyBorder="1" applyAlignment="1">
      <alignment horizontal="right"/>
    </xf>
    <xf numFmtId="10" fontId="62" fillId="0" borderId="4" xfId="0" applyNumberFormat="1" applyFont="1" applyBorder="1" applyAlignment="1">
      <alignment horizontal="right"/>
    </xf>
    <xf numFmtId="0" fontId="62" fillId="0" borderId="8" xfId="0" applyFont="1" applyBorder="1" applyAlignment="1">
      <alignment horizontal="right"/>
    </xf>
    <xf numFmtId="179" fontId="62" fillId="0" borderId="8" xfId="26" applyNumberFormat="1" applyFont="1" applyBorder="1" applyAlignment="1">
      <alignment horizontal="right"/>
    </xf>
    <xf numFmtId="0" fontId="62" fillId="26" borderId="8" xfId="0" applyFont="1" applyFill="1" applyBorder="1"/>
    <xf numFmtId="0" fontId="62" fillId="26" borderId="6" xfId="0" applyFont="1" applyFill="1" applyBorder="1" applyAlignment="1">
      <alignment horizontal="right"/>
    </xf>
    <xf numFmtId="10" fontId="62" fillId="26" borderId="6" xfId="0" applyNumberFormat="1" applyFont="1" applyFill="1" applyBorder="1" applyAlignment="1">
      <alignment horizontal="right"/>
    </xf>
    <xf numFmtId="10" fontId="62" fillId="26" borderId="5" xfId="0" applyNumberFormat="1" applyFont="1" applyFill="1" applyBorder="1" applyAlignment="1">
      <alignment horizontal="right"/>
    </xf>
    <xf numFmtId="10" fontId="62" fillId="26" borderId="4" xfId="0" applyNumberFormat="1" applyFont="1" applyFill="1" applyBorder="1" applyAlignment="1">
      <alignment horizontal="right"/>
    </xf>
    <xf numFmtId="0" fontId="62" fillId="26" borderId="8" xfId="0" applyFont="1" applyFill="1" applyBorder="1" applyAlignment="1">
      <alignment horizontal="right"/>
    </xf>
    <xf numFmtId="0" fontId="91" fillId="0" borderId="0" xfId="28" applyFont="1"/>
    <xf numFmtId="0" fontId="61" fillId="0" borderId="0" xfId="28" applyFont="1" applyAlignment="1">
      <alignment horizontal="left"/>
    </xf>
    <xf numFmtId="10" fontId="61" fillId="0" borderId="0" xfId="28" applyNumberFormat="1" applyFont="1"/>
    <xf numFmtId="0" fontId="84" fillId="6" borderId="0" xfId="1" applyFont="1" applyFill="1" applyAlignment="1"/>
    <xf numFmtId="0" fontId="63" fillId="6" borderId="0" xfId="0" applyFont="1" applyFill="1"/>
    <xf numFmtId="15" fontId="58" fillId="6" borderId="0" xfId="2" applyNumberFormat="1" applyFont="1" applyFill="1"/>
    <xf numFmtId="0" fontId="61" fillId="6" borderId="0" xfId="2" applyFont="1" applyFill="1" applyAlignment="1">
      <alignment horizontal="center"/>
    </xf>
    <xf numFmtId="0" fontId="61" fillId="6" borderId="0" xfId="2" applyFont="1" applyFill="1"/>
    <xf numFmtId="0" fontId="87" fillId="6" borderId="0" xfId="2" applyFont="1" applyFill="1" applyAlignment="1">
      <alignment horizontal="center"/>
    </xf>
    <xf numFmtId="0" fontId="87" fillId="6" borderId="0" xfId="2" applyFont="1" applyFill="1"/>
    <xf numFmtId="0" fontId="86" fillId="6" borderId="0" xfId="2" applyFont="1" applyFill="1" applyAlignment="1">
      <alignment horizontal="center"/>
    </xf>
    <xf numFmtId="174" fontId="58" fillId="6" borderId="0" xfId="2" applyNumberFormat="1" applyFont="1" applyFill="1"/>
    <xf numFmtId="0" fontId="58" fillId="6" borderId="7" xfId="0" applyFont="1" applyFill="1" applyBorder="1"/>
    <xf numFmtId="0" fontId="58" fillId="6" borderId="14" xfId="0" applyFont="1" applyFill="1" applyBorder="1" applyAlignment="1">
      <alignment horizontal="right"/>
    </xf>
    <xf numFmtId="0" fontId="58" fillId="6" borderId="13" xfId="0" applyFont="1" applyFill="1" applyBorder="1" applyAlignment="1">
      <alignment horizontal="right"/>
    </xf>
    <xf numFmtId="0" fontId="58" fillId="6" borderId="12" xfId="0" applyFont="1" applyFill="1" applyBorder="1" applyAlignment="1">
      <alignment horizontal="right"/>
    </xf>
    <xf numFmtId="0" fontId="58" fillId="6" borderId="7" xfId="0" applyFont="1" applyFill="1" applyBorder="1" applyAlignment="1">
      <alignment horizontal="right"/>
    </xf>
    <xf numFmtId="0" fontId="58" fillId="6" borderId="0" xfId="0" applyFont="1" applyFill="1"/>
    <xf numFmtId="0" fontId="58" fillId="6" borderId="0" xfId="0" applyFont="1" applyFill="1" applyAlignment="1">
      <alignment horizontal="right"/>
    </xf>
    <xf numFmtId="0" fontId="58" fillId="6" borderId="0" xfId="28" applyFont="1" applyFill="1" applyAlignment="1">
      <alignment wrapText="1"/>
    </xf>
    <xf numFmtId="0" fontId="92" fillId="6" borderId="0" xfId="1" applyFont="1" applyFill="1" applyAlignment="1">
      <alignment horizontal="center"/>
    </xf>
    <xf numFmtId="0" fontId="27" fillId="6" borderId="22" xfId="1" applyFont="1" applyFill="1" applyBorder="1" applyAlignment="1"/>
    <xf numFmtId="0" fontId="12" fillId="6" borderId="0" xfId="1" applyFont="1" applyFill="1" applyAlignment="1">
      <alignment horizontal="center"/>
    </xf>
    <xf numFmtId="0" fontId="12" fillId="6" borderId="0" xfId="1" applyFont="1" applyFill="1" applyAlignment="1"/>
    <xf numFmtId="0" fontId="27" fillId="6" borderId="25" xfId="1" applyFont="1" applyFill="1" applyBorder="1" applyAlignment="1"/>
    <xf numFmtId="0" fontId="57" fillId="6" borderId="0" xfId="1" applyFont="1" applyFill="1" applyAlignment="1"/>
    <xf numFmtId="0" fontId="23" fillId="6" borderId="0" xfId="1" applyFont="1" applyFill="1" applyAlignment="1"/>
    <xf numFmtId="0" fontId="82" fillId="6" borderId="0" xfId="1" applyFont="1" applyFill="1" applyAlignment="1"/>
    <xf numFmtId="0" fontId="33" fillId="0" borderId="0" xfId="0" applyFont="1" applyAlignment="1">
      <alignment horizontal="center"/>
    </xf>
    <xf numFmtId="0" fontId="12" fillId="0" borderId="0" xfId="0" applyFont="1" applyAlignment="1">
      <alignment horizontal="center"/>
    </xf>
    <xf numFmtId="0" fontId="78" fillId="25" borderId="0" xfId="0" applyFont="1" applyFill="1"/>
    <xf numFmtId="0" fontId="26" fillId="13" borderId="13" xfId="0" applyFont="1" applyFill="1" applyBorder="1" applyAlignment="1">
      <alignment vertical="center"/>
    </xf>
    <xf numFmtId="0" fontId="36" fillId="13" borderId="13" xfId="0" applyFont="1" applyFill="1" applyBorder="1" applyAlignment="1">
      <alignment vertical="center"/>
    </xf>
    <xf numFmtId="0" fontId="32" fillId="0" borderId="0" xfId="0" applyFont="1" applyAlignment="1">
      <alignment horizontal="center"/>
    </xf>
    <xf numFmtId="0" fontId="12" fillId="11" borderId="7" xfId="0" applyFont="1" applyFill="1" applyBorder="1" applyAlignment="1">
      <alignment horizontal="center"/>
    </xf>
    <xf numFmtId="179" fontId="24" fillId="11" borderId="7" xfId="0" applyNumberFormat="1" applyFont="1" applyFill="1" applyBorder="1" applyAlignment="1">
      <alignment horizontal="center" vertical="top" wrapText="1"/>
    </xf>
    <xf numFmtId="0" fontId="12" fillId="0" borderId="0" xfId="0" applyFont="1" applyAlignment="1">
      <alignment horizontal="right"/>
    </xf>
    <xf numFmtId="0" fontId="30" fillId="20" borderId="0" xfId="0" applyFont="1" applyFill="1" applyAlignment="1">
      <alignment vertical="center"/>
    </xf>
    <xf numFmtId="0" fontId="30" fillId="20" borderId="0" xfId="0" applyFont="1" applyFill="1" applyAlignment="1">
      <alignment horizontal="center" vertical="center"/>
    </xf>
    <xf numFmtId="0" fontId="30" fillId="20" borderId="0" xfId="0" applyFont="1" applyFill="1" applyAlignment="1">
      <alignment horizontal="right" vertical="center"/>
    </xf>
    <xf numFmtId="0" fontId="12" fillId="0" borderId="0" xfId="0" applyFont="1" applyAlignment="1">
      <alignment horizontal="left" vertical="center" indent="1"/>
    </xf>
    <xf numFmtId="0" fontId="12" fillId="0" borderId="0" xfId="0" applyFont="1" applyAlignment="1">
      <alignment vertical="center"/>
    </xf>
    <xf numFmtId="2" fontId="12" fillId="0" borderId="0" xfId="0" applyNumberFormat="1" applyFont="1" applyAlignment="1">
      <alignment horizontal="center" vertical="center"/>
    </xf>
    <xf numFmtId="179" fontId="12" fillId="0" borderId="0" xfId="27" applyNumberFormat="1" applyFont="1" applyFill="1" applyBorder="1" applyAlignment="1">
      <alignment horizontal="right" vertical="center"/>
    </xf>
    <xf numFmtId="10" fontId="12" fillId="0" borderId="0" xfId="27" applyNumberFormat="1" applyFont="1" applyFill="1" applyBorder="1" applyAlignment="1">
      <alignment horizontal="right" vertical="center"/>
    </xf>
    <xf numFmtId="9" fontId="29" fillId="0" borderId="0" xfId="27" applyFont="1" applyFill="1" applyBorder="1" applyAlignment="1">
      <alignment horizontal="right" vertical="center"/>
    </xf>
    <xf numFmtId="0" fontId="30" fillId="0" borderId="0" xfId="0" applyFont="1" applyAlignment="1">
      <alignment horizontal="center"/>
    </xf>
    <xf numFmtId="0" fontId="30" fillId="20" borderId="12" xfId="0" applyFont="1" applyFill="1" applyBorder="1"/>
    <xf numFmtId="0" fontId="30" fillId="20" borderId="13" xfId="0" applyFont="1" applyFill="1" applyBorder="1"/>
    <xf numFmtId="0" fontId="30" fillId="20" borderId="13" xfId="0" applyFont="1" applyFill="1" applyBorder="1" applyAlignment="1">
      <alignment horizontal="right"/>
    </xf>
    <xf numFmtId="10" fontId="30" fillId="20" borderId="14" xfId="0" applyNumberFormat="1" applyFont="1" applyFill="1" applyBorder="1" applyAlignment="1">
      <alignment horizontal="right"/>
    </xf>
    <xf numFmtId="0" fontId="26" fillId="25" borderId="0" xfId="2" applyFont="1" applyFill="1" applyAlignment="1">
      <alignment horizontal="center"/>
    </xf>
    <xf numFmtId="190" fontId="26" fillId="25" borderId="0" xfId="0" applyNumberFormat="1" applyFont="1" applyFill="1" applyAlignment="1">
      <alignment horizontal="right"/>
    </xf>
    <xf numFmtId="0" fontId="30" fillId="20" borderId="0" xfId="0" applyFont="1" applyFill="1" applyAlignment="1">
      <alignment horizontal="left"/>
    </xf>
    <xf numFmtId="0" fontId="12" fillId="20" borderId="0" xfId="0" applyFont="1" applyFill="1"/>
    <xf numFmtId="0" fontId="94" fillId="20" borderId="0" xfId="1" applyFont="1" applyFill="1" applyAlignment="1">
      <alignment horizontal="centerContinuous"/>
    </xf>
    <xf numFmtId="173" fontId="44" fillId="20" borderId="0" xfId="1" applyNumberFormat="1" applyFont="1" applyFill="1" applyAlignment="1"/>
    <xf numFmtId="174" fontId="30" fillId="20" borderId="0" xfId="1" applyNumberFormat="1" applyFont="1" applyFill="1" applyAlignment="1"/>
    <xf numFmtId="171" fontId="38" fillId="0" borderId="0" xfId="2" applyNumberFormat="1" applyFont="1"/>
    <xf numFmtId="0" fontId="30" fillId="0" borderId="13" xfId="0" applyFont="1" applyBorder="1"/>
    <xf numFmtId="10" fontId="38" fillId="0" borderId="0" xfId="0" applyNumberFormat="1" applyFont="1" applyAlignment="1">
      <alignment horizontal="center"/>
    </xf>
    <xf numFmtId="0" fontId="38" fillId="0" borderId="0" xfId="0" applyFont="1" applyAlignment="1">
      <alignment horizontal="center"/>
    </xf>
    <xf numFmtId="0" fontId="29" fillId="0" borderId="0" xfId="0" applyFont="1" applyAlignment="1">
      <alignment horizontal="center"/>
    </xf>
    <xf numFmtId="199" fontId="38" fillId="0" borderId="0" xfId="2" applyNumberFormat="1" applyFont="1" applyAlignment="1">
      <alignment horizontal="center"/>
    </xf>
    <xf numFmtId="0" fontId="30" fillId="0" borderId="1" xfId="0" applyFont="1" applyBorder="1"/>
    <xf numFmtId="199" fontId="30" fillId="0" borderId="1" xfId="2" applyNumberFormat="1" applyFont="1" applyBorder="1" applyAlignment="1">
      <alignment horizontal="center"/>
    </xf>
    <xf numFmtId="169" fontId="38" fillId="0" borderId="0" xfId="2" applyNumberFormat="1" applyFont="1" applyAlignment="1">
      <alignment horizontal="center"/>
    </xf>
    <xf numFmtId="10" fontId="30" fillId="0" borderId="13" xfId="0" applyNumberFormat="1" applyFont="1" applyBorder="1" applyAlignment="1">
      <alignment horizontal="center"/>
    </xf>
    <xf numFmtId="2" fontId="24" fillId="0" borderId="0" xfId="0" applyNumberFormat="1" applyFont="1" applyAlignment="1">
      <alignment horizontal="center"/>
    </xf>
    <xf numFmtId="0" fontId="26" fillId="25" borderId="0" xfId="0" applyFont="1" applyFill="1" applyAlignment="1">
      <alignment vertical="center"/>
    </xf>
    <xf numFmtId="0" fontId="29" fillId="0" borderId="0" xfId="0" applyFont="1" applyAlignment="1">
      <alignment horizontal="left"/>
    </xf>
    <xf numFmtId="0" fontId="29" fillId="0" borderId="0" xfId="0" applyFont="1" applyAlignment="1">
      <alignment horizontal="right"/>
    </xf>
    <xf numFmtId="0" fontId="23" fillId="0" borderId="0" xfId="0" applyFont="1" applyAlignment="1">
      <alignment horizontal="center"/>
    </xf>
    <xf numFmtId="0" fontId="23" fillId="0" borderId="0" xfId="0" applyFont="1"/>
    <xf numFmtId="0" fontId="23" fillId="0" borderId="0" xfId="0" applyFont="1" applyAlignment="1">
      <alignment horizontal="left"/>
    </xf>
    <xf numFmtId="0" fontId="36" fillId="20" borderId="0" xfId="0" applyFont="1" applyFill="1" applyAlignment="1">
      <alignment horizontal="left" vertical="center"/>
    </xf>
    <xf numFmtId="0" fontId="36" fillId="20" borderId="0" xfId="0" applyFont="1" applyFill="1" applyAlignment="1">
      <alignment horizontal="right" vertical="center"/>
    </xf>
    <xf numFmtId="0" fontId="36" fillId="20" borderId="0" xfId="0" applyFont="1" applyFill="1" applyAlignment="1">
      <alignment horizontal="right"/>
    </xf>
    <xf numFmtId="0" fontId="38" fillId="0" borderId="0" xfId="0" applyFont="1" applyAlignment="1">
      <alignment horizontal="left"/>
    </xf>
    <xf numFmtId="171" fontId="29" fillId="0" borderId="0" xfId="2" applyNumberFormat="1" applyFont="1" applyAlignment="1">
      <alignment horizontal="left"/>
    </xf>
    <xf numFmtId="200" fontId="38" fillId="0" borderId="0" xfId="2" applyNumberFormat="1" applyFont="1"/>
    <xf numFmtId="179" fontId="12" fillId="0" borderId="0" xfId="26" applyNumberFormat="1" applyFont="1" applyAlignment="1">
      <alignment horizontal="right"/>
    </xf>
    <xf numFmtId="179" fontId="38" fillId="0" borderId="0" xfId="0" applyNumberFormat="1" applyFont="1" applyAlignment="1">
      <alignment horizontal="right" vertical="center"/>
    </xf>
    <xf numFmtId="2" fontId="12" fillId="0" borderId="0" xfId="0" applyNumberFormat="1" applyFont="1" applyAlignment="1">
      <alignment horizontal="right" vertical="center"/>
    </xf>
    <xf numFmtId="0" fontId="12" fillId="20" borderId="0" xfId="0" applyFont="1" applyFill="1" applyAlignment="1">
      <alignment vertical="center"/>
    </xf>
    <xf numFmtId="0" fontId="12" fillId="20" borderId="0" xfId="0" applyFont="1" applyFill="1" applyAlignment="1">
      <alignment horizontal="center" vertical="center"/>
    </xf>
    <xf numFmtId="2" fontId="12" fillId="20" borderId="0" xfId="0" applyNumberFormat="1" applyFont="1" applyFill="1" applyAlignment="1">
      <alignment horizontal="right" vertical="center"/>
    </xf>
    <xf numFmtId="201" fontId="12" fillId="20" borderId="0" xfId="0" applyNumberFormat="1" applyFont="1" applyFill="1" applyAlignment="1">
      <alignment horizontal="right" vertical="center"/>
    </xf>
    <xf numFmtId="179" fontId="12" fillId="20" borderId="0" xfId="27" applyNumberFormat="1" applyFont="1" applyFill="1" applyBorder="1" applyAlignment="1">
      <alignment horizontal="right" vertical="center"/>
    </xf>
    <xf numFmtId="171" fontId="12" fillId="20" borderId="0" xfId="2" applyNumberFormat="1" applyFont="1" applyFill="1" applyAlignment="1">
      <alignment horizontal="right"/>
    </xf>
    <xf numFmtId="179" fontId="12" fillId="20" borderId="0" xfId="26" applyNumberFormat="1" applyFont="1" applyFill="1" applyAlignment="1">
      <alignment horizontal="right" vertical="center"/>
    </xf>
    <xf numFmtId="179" fontId="12" fillId="20" borderId="0" xfId="0" applyNumberFormat="1" applyFont="1" applyFill="1" applyAlignment="1">
      <alignment horizontal="right" vertical="center"/>
    </xf>
    <xf numFmtId="2" fontId="30" fillId="20" borderId="0" xfId="0" applyNumberFormat="1" applyFont="1" applyFill="1" applyAlignment="1">
      <alignment horizontal="right" vertical="center"/>
    </xf>
    <xf numFmtId="201" fontId="30" fillId="20" borderId="0" xfId="0" applyNumberFormat="1" applyFont="1" applyFill="1" applyAlignment="1">
      <alignment horizontal="right" vertical="center"/>
    </xf>
    <xf numFmtId="179" fontId="30" fillId="20" borderId="0" xfId="27" applyNumberFormat="1" applyFont="1" applyFill="1" applyBorder="1" applyAlignment="1">
      <alignment horizontal="right" vertical="center"/>
    </xf>
    <xf numFmtId="171" fontId="30" fillId="20" borderId="0" xfId="2" applyNumberFormat="1" applyFont="1" applyFill="1" applyAlignment="1">
      <alignment horizontal="right"/>
    </xf>
    <xf numFmtId="179" fontId="30" fillId="20" borderId="0" xfId="26" applyNumberFormat="1" applyFont="1" applyFill="1" applyAlignment="1">
      <alignment horizontal="right" vertical="center"/>
    </xf>
    <xf numFmtId="179" fontId="30" fillId="20" borderId="0" xfId="0" applyNumberFormat="1" applyFont="1" applyFill="1" applyAlignment="1">
      <alignment horizontal="right" vertical="center"/>
    </xf>
    <xf numFmtId="0" fontId="12" fillId="0" borderId="0" xfId="0" applyFont="1" applyAlignment="1">
      <alignment horizontal="right" vertical="center"/>
    </xf>
    <xf numFmtId="201" fontId="38" fillId="0" borderId="0" xfId="0" applyNumberFormat="1" applyFont="1" applyAlignment="1">
      <alignment horizontal="right" vertical="center"/>
    </xf>
    <xf numFmtId="179" fontId="12" fillId="0" borderId="0" xfId="27" applyNumberFormat="1" applyFont="1" applyAlignment="1">
      <alignment horizontal="right" vertical="center"/>
    </xf>
    <xf numFmtId="179" fontId="95" fillId="0" borderId="0" xfId="0" applyNumberFormat="1" applyFont="1" applyAlignment="1">
      <alignment horizontal="right" vertical="center"/>
    </xf>
    <xf numFmtId="202" fontId="12" fillId="0" borderId="0" xfId="0" applyNumberFormat="1" applyFont="1" applyAlignment="1">
      <alignment horizontal="right" vertical="center"/>
    </xf>
    <xf numFmtId="0" fontId="29" fillId="0" borderId="13" xfId="0" applyFont="1" applyBorder="1" applyAlignment="1">
      <alignment horizontal="left" vertical="center"/>
    </xf>
    <xf numFmtId="171" fontId="38" fillId="0" borderId="13" xfId="2" applyNumberFormat="1" applyFont="1" applyBorder="1" applyAlignment="1">
      <alignment horizontal="right"/>
    </xf>
    <xf numFmtId="199" fontId="12" fillId="0" borderId="13" xfId="0" applyNumberFormat="1" applyFont="1" applyBorder="1" applyAlignment="1">
      <alignment horizontal="right"/>
    </xf>
    <xf numFmtId="203" fontId="12" fillId="0" borderId="13" xfId="0" applyNumberFormat="1" applyFont="1" applyBorder="1" applyAlignment="1">
      <alignment horizontal="right"/>
    </xf>
    <xf numFmtId="179" fontId="12" fillId="0" borderId="13" xfId="27" applyNumberFormat="1" applyFont="1" applyFill="1" applyBorder="1" applyAlignment="1">
      <alignment horizontal="right" vertical="center"/>
    </xf>
    <xf numFmtId="179" fontId="24" fillId="0" borderId="13" xfId="0" applyNumberFormat="1" applyFont="1" applyBorder="1" applyAlignment="1">
      <alignment horizontal="right" vertical="center"/>
    </xf>
    <xf numFmtId="2" fontId="30" fillId="0" borderId="13" xfId="0" applyNumberFormat="1" applyFont="1" applyBorder="1" applyAlignment="1">
      <alignment horizontal="right" vertical="center"/>
    </xf>
    <xf numFmtId="0" fontId="26" fillId="0" borderId="0" xfId="0" applyFont="1" applyAlignment="1">
      <alignment vertical="center"/>
    </xf>
    <xf numFmtId="0" fontId="26" fillId="0" borderId="0" xfId="0" applyFont="1" applyAlignment="1">
      <alignment horizontal="right" vertical="center"/>
    </xf>
    <xf numFmtId="201" fontId="26" fillId="0" borderId="0" xfId="0" applyNumberFormat="1" applyFont="1" applyAlignment="1">
      <alignment vertical="center"/>
    </xf>
    <xf numFmtId="179" fontId="26" fillId="0" borderId="0" xfId="27" applyNumberFormat="1" applyFont="1" applyFill="1" applyBorder="1" applyAlignment="1">
      <alignment vertical="center"/>
    </xf>
    <xf numFmtId="179" fontId="26" fillId="0" borderId="0" xfId="0" applyNumberFormat="1" applyFont="1" applyAlignment="1">
      <alignment vertical="center"/>
    </xf>
    <xf numFmtId="202" fontId="26" fillId="0" borderId="0" xfId="0" applyNumberFormat="1" applyFont="1" applyAlignment="1">
      <alignment vertical="center"/>
    </xf>
    <xf numFmtId="179" fontId="29" fillId="0" borderId="0" xfId="0" applyNumberFormat="1" applyFont="1" applyAlignment="1">
      <alignment horizontal="right" vertical="center"/>
    </xf>
    <xf numFmtId="179" fontId="12" fillId="0" borderId="0" xfId="0" applyNumberFormat="1" applyFont="1" applyAlignment="1">
      <alignment horizontal="right" vertical="center"/>
    </xf>
    <xf numFmtId="2" fontId="12" fillId="0" borderId="0" xfId="27" applyNumberFormat="1" applyFont="1" applyFill="1" applyBorder="1" applyAlignment="1">
      <alignment horizontal="right" vertical="center"/>
    </xf>
    <xf numFmtId="0" fontId="30" fillId="20" borderId="12" xfId="0" applyFont="1" applyFill="1" applyBorder="1" applyAlignment="1">
      <alignment vertical="center"/>
    </xf>
    <xf numFmtId="0" fontId="30" fillId="20" borderId="13" xfId="0" applyFont="1" applyFill="1" applyBorder="1" applyAlignment="1">
      <alignment vertical="center"/>
    </xf>
    <xf numFmtId="0" fontId="30" fillId="20" borderId="13" xfId="0" applyFont="1" applyFill="1" applyBorder="1" applyAlignment="1">
      <alignment horizontal="right" vertical="center"/>
    </xf>
    <xf numFmtId="2" fontId="30" fillId="20" borderId="14" xfId="0" applyNumberFormat="1" applyFont="1" applyFill="1" applyBorder="1" applyAlignment="1">
      <alignment horizontal="right" vertical="center"/>
    </xf>
    <xf numFmtId="0" fontId="83" fillId="0" borderId="0" xfId="0" applyFont="1" applyAlignment="1">
      <alignment horizontal="center"/>
    </xf>
    <xf numFmtId="179" fontId="24" fillId="0" borderId="0" xfId="0" applyNumberFormat="1" applyFont="1" applyAlignment="1">
      <alignment horizontal="right" vertical="center"/>
    </xf>
    <xf numFmtId="179" fontId="30" fillId="20" borderId="13" xfId="0" applyNumberFormat="1" applyFont="1" applyFill="1" applyBorder="1" applyAlignment="1">
      <alignment horizontal="right" vertical="center"/>
    </xf>
    <xf numFmtId="179" fontId="30" fillId="20" borderId="14" xfId="26" applyNumberFormat="1" applyFont="1" applyFill="1" applyBorder="1" applyAlignment="1">
      <alignment horizontal="right" vertical="center"/>
    </xf>
    <xf numFmtId="171" fontId="43" fillId="0" borderId="0" xfId="2" applyNumberFormat="1" applyFont="1"/>
    <xf numFmtId="179" fontId="43" fillId="0" borderId="0" xfId="0" applyNumberFormat="1" applyFont="1" applyAlignment="1">
      <alignment horizontal="right" vertical="center"/>
    </xf>
    <xf numFmtId="0" fontId="17" fillId="0" borderId="0" xfId="29" applyFont="1"/>
    <xf numFmtId="0" fontId="20" fillId="7" borderId="0" xfId="29" applyFont="1" applyFill="1"/>
    <xf numFmtId="0" fontId="22" fillId="0" borderId="0" xfId="29" applyFont="1" applyAlignment="1">
      <alignment vertical="top" wrapText="1"/>
    </xf>
    <xf numFmtId="0" fontId="17" fillId="0" borderId="0" xfId="29" applyFont="1" applyAlignment="1">
      <alignment vertical="top" wrapText="1"/>
    </xf>
    <xf numFmtId="0" fontId="22" fillId="8" borderId="0" xfId="29" applyFont="1" applyFill="1" applyAlignment="1">
      <alignment horizontal="right" vertical="top" wrapText="1"/>
    </xf>
    <xf numFmtId="191" fontId="18" fillId="0" borderId="0" xfId="29" applyNumberFormat="1" applyFont="1" applyAlignment="1">
      <alignment horizontal="right" vertical="top" wrapText="1"/>
    </xf>
    <xf numFmtId="0" fontId="43" fillId="0" borderId="13" xfId="0" applyFont="1" applyBorder="1" applyAlignment="1">
      <alignment vertical="center"/>
    </xf>
    <xf numFmtId="204" fontId="18" fillId="0" borderId="0" xfId="0" applyNumberFormat="1" applyFont="1" applyAlignment="1">
      <alignment horizontal="right" vertical="top" wrapText="1"/>
    </xf>
    <xf numFmtId="200" fontId="38" fillId="0" borderId="13" xfId="2" applyNumberFormat="1" applyFont="1" applyBorder="1"/>
    <xf numFmtId="0" fontId="36" fillId="0" borderId="0" xfId="0" applyFont="1" applyAlignment="1">
      <alignment vertical="center"/>
    </xf>
    <xf numFmtId="0" fontId="24" fillId="0" borderId="0" xfId="0" applyFont="1" applyAlignment="1">
      <alignment vertical="center"/>
    </xf>
    <xf numFmtId="0" fontId="36" fillId="0" borderId="0" xfId="0" applyFont="1" applyAlignment="1">
      <alignment horizontal="right" vertical="center"/>
    </xf>
    <xf numFmtId="201" fontId="36" fillId="0" borderId="0" xfId="0" applyNumberFormat="1" applyFont="1" applyAlignment="1">
      <alignment vertical="center"/>
    </xf>
    <xf numFmtId="179" fontId="36" fillId="0" borderId="0" xfId="27" applyNumberFormat="1" applyFont="1" applyFill="1" applyBorder="1" applyAlignment="1">
      <alignment vertical="center"/>
    </xf>
    <xf numFmtId="179" fontId="36" fillId="0" borderId="0" xfId="0" applyNumberFormat="1" applyFont="1" applyAlignment="1">
      <alignment vertical="center"/>
    </xf>
    <xf numFmtId="202" fontId="36" fillId="0" borderId="0" xfId="0" applyNumberFormat="1" applyFont="1" applyAlignment="1">
      <alignment vertical="center"/>
    </xf>
    <xf numFmtId="0" fontId="71" fillId="0" borderId="0" xfId="0" applyFont="1" applyAlignment="1">
      <alignment vertical="center"/>
    </xf>
    <xf numFmtId="179" fontId="71" fillId="0" borderId="0" xfId="27" applyNumberFormat="1" applyFont="1" applyFill="1" applyBorder="1" applyAlignment="1">
      <alignment vertical="center"/>
    </xf>
    <xf numFmtId="179" fontId="71" fillId="0" borderId="0" xfId="0" applyNumberFormat="1" applyFont="1" applyAlignment="1">
      <alignment vertical="center"/>
    </xf>
    <xf numFmtId="179" fontId="24" fillId="0" borderId="0" xfId="0" applyNumberFormat="1" applyFont="1" applyAlignment="1">
      <alignment vertical="center"/>
    </xf>
    <xf numFmtId="14" fontId="104" fillId="0" borderId="0" xfId="0" applyNumberFormat="1" applyFont="1"/>
    <xf numFmtId="0" fontId="64" fillId="16" borderId="0" xfId="0" applyFont="1" applyFill="1" applyAlignment="1">
      <alignment horizontal="centerContinuous"/>
    </xf>
    <xf numFmtId="0" fontId="61" fillId="16" borderId="0" xfId="0" applyFont="1" applyFill="1" applyAlignment="1">
      <alignment horizontal="centerContinuous"/>
    </xf>
    <xf numFmtId="0" fontId="61" fillId="16" borderId="0" xfId="0" applyFont="1" applyFill="1"/>
    <xf numFmtId="179" fontId="88" fillId="11" borderId="7" xfId="0" applyNumberFormat="1" applyFont="1" applyFill="1" applyBorder="1"/>
    <xf numFmtId="205" fontId="66" fillId="11" borderId="7" xfId="0" applyNumberFormat="1" applyFont="1" applyFill="1" applyBorder="1"/>
    <xf numFmtId="179" fontId="66" fillId="11" borderId="7" xfId="0" applyNumberFormat="1" applyFont="1" applyFill="1" applyBorder="1"/>
    <xf numFmtId="0" fontId="60" fillId="6" borderId="29" xfId="1" applyFont="1" applyFill="1" applyBorder="1" applyAlignment="1"/>
    <xf numFmtId="169" fontId="58" fillId="6" borderId="30" xfId="1" applyNumberFormat="1" applyFont="1" applyFill="1" applyBorder="1" applyAlignment="1">
      <alignment horizontal="center"/>
    </xf>
    <xf numFmtId="173" fontId="60" fillId="6" borderId="0" xfId="1" applyNumberFormat="1" applyFont="1" applyFill="1" applyAlignment="1"/>
    <xf numFmtId="174" fontId="58" fillId="6" borderId="0" xfId="1" applyNumberFormat="1" applyFont="1" applyFill="1" applyAlignment="1"/>
    <xf numFmtId="170" fontId="36" fillId="0" borderId="13" xfId="0" applyNumberFormat="1" applyFont="1" applyBorder="1"/>
    <xf numFmtId="172" fontId="105" fillId="6" borderId="0" xfId="0" applyNumberFormat="1" applyFont="1" applyFill="1"/>
    <xf numFmtId="0" fontId="5" fillId="0" borderId="12" xfId="0" applyFont="1" applyBorder="1"/>
    <xf numFmtId="170" fontId="106" fillId="0" borderId="13" xfId="0" applyNumberFormat="1" applyFont="1" applyBorder="1"/>
    <xf numFmtId="0" fontId="8" fillId="0" borderId="2" xfId="0" applyFont="1" applyBorder="1"/>
    <xf numFmtId="170" fontId="3" fillId="0" borderId="0" xfId="0" applyNumberFormat="1" applyFont="1"/>
    <xf numFmtId="169" fontId="107" fillId="0" borderId="0" xfId="0" applyNumberFormat="1" applyFont="1"/>
    <xf numFmtId="0" fontId="12" fillId="0" borderId="0" xfId="44" applyFont="1"/>
    <xf numFmtId="49" fontId="12" fillId="0" borderId="0" xfId="44" applyNumberFormat="1" applyFont="1"/>
    <xf numFmtId="0" fontId="12" fillId="6" borderId="0" xfId="44" applyFont="1" applyFill="1"/>
    <xf numFmtId="49" fontId="12" fillId="6" borderId="0" xfId="44" applyNumberFormat="1" applyFont="1" applyFill="1"/>
    <xf numFmtId="169" fontId="29" fillId="0" borderId="0" xfId="0" applyNumberFormat="1" applyFont="1"/>
    <xf numFmtId="0" fontId="82" fillId="6" borderId="0" xfId="0" applyFont="1" applyFill="1"/>
    <xf numFmtId="169" fontId="12" fillId="0" borderId="0" xfId="0" applyNumberFormat="1" applyFont="1"/>
    <xf numFmtId="0" fontId="12" fillId="0" borderId="16" xfId="0" applyFont="1" applyBorder="1"/>
    <xf numFmtId="0" fontId="30" fillId="0" borderId="15" xfId="0" applyFont="1" applyBorder="1"/>
    <xf numFmtId="169" fontId="12" fillId="0" borderId="17" xfId="0" applyNumberFormat="1" applyFont="1" applyBorder="1"/>
    <xf numFmtId="0" fontId="24" fillId="0" borderId="12" xfId="0" applyFont="1" applyBorder="1"/>
    <xf numFmtId="169" fontId="24" fillId="0" borderId="13" xfId="0" applyNumberFormat="1" applyFont="1" applyBorder="1"/>
    <xf numFmtId="169" fontId="24" fillId="0" borderId="14" xfId="0" applyNumberFormat="1" applyFont="1" applyBorder="1"/>
    <xf numFmtId="170" fontId="3" fillId="11" borderId="7" xfId="0" applyNumberFormat="1" applyFont="1" applyFill="1" applyBorder="1"/>
    <xf numFmtId="170" fontId="3" fillId="11" borderId="31" xfId="0" applyNumberFormat="1" applyFont="1" applyFill="1" applyBorder="1"/>
    <xf numFmtId="199" fontId="9" fillId="11" borderId="7" xfId="0" applyNumberFormat="1" applyFont="1" applyFill="1" applyBorder="1"/>
    <xf numFmtId="199" fontId="9" fillId="11" borderId="31" xfId="0" applyNumberFormat="1" applyFont="1" applyFill="1" applyBorder="1"/>
    <xf numFmtId="199" fontId="6" fillId="0" borderId="14" xfId="0" applyNumberFormat="1" applyFont="1" applyBorder="1"/>
    <xf numFmtId="170" fontId="23" fillId="6" borderId="24" xfId="0" applyNumberFormat="1" applyFont="1" applyFill="1" applyBorder="1" applyAlignment="1">
      <alignment horizontal="center"/>
    </xf>
    <xf numFmtId="0" fontId="23" fillId="6" borderId="27" xfId="0" applyFont="1" applyFill="1" applyBorder="1" applyAlignment="1">
      <alignment horizontal="center"/>
    </xf>
    <xf numFmtId="172" fontId="23" fillId="6" borderId="22" xfId="0" applyNumberFormat="1" applyFont="1" applyFill="1" applyBorder="1"/>
    <xf numFmtId="172" fontId="23" fillId="6" borderId="23" xfId="0" applyNumberFormat="1" applyFont="1" applyFill="1" applyBorder="1"/>
    <xf numFmtId="172" fontId="23" fillId="6" borderId="25" xfId="0" applyNumberFormat="1" applyFont="1" applyFill="1" applyBorder="1"/>
    <xf numFmtId="172" fontId="23" fillId="6" borderId="26" xfId="0" applyNumberFormat="1" applyFont="1" applyFill="1" applyBorder="1"/>
    <xf numFmtId="172" fontId="23" fillId="6" borderId="27" xfId="0" applyNumberFormat="1" applyFont="1" applyFill="1" applyBorder="1"/>
    <xf numFmtId="0" fontId="26" fillId="6" borderId="0" xfId="0" applyFont="1" applyFill="1" applyAlignment="1">
      <alignment horizontal="left"/>
    </xf>
    <xf numFmtId="179" fontId="33" fillId="0" borderId="0" xfId="0" applyNumberFormat="1" applyFont="1"/>
    <xf numFmtId="43" fontId="24" fillId="0" borderId="0" xfId="0" applyNumberFormat="1" applyFont="1"/>
    <xf numFmtId="172" fontId="12" fillId="0" borderId="1" xfId="0" applyNumberFormat="1" applyFont="1" applyBorder="1"/>
    <xf numFmtId="0" fontId="31" fillId="0" borderId="0" xfId="0" applyFont="1" applyAlignment="1">
      <alignment horizontal="centerContinuous"/>
    </xf>
    <xf numFmtId="169" fontId="70" fillId="0" borderId="0" xfId="2" applyNumberFormat="1" applyFont="1" applyAlignment="1">
      <alignment horizontal="right"/>
    </xf>
    <xf numFmtId="179" fontId="62" fillId="11" borderId="7" xfId="0" applyNumberFormat="1" applyFont="1" applyFill="1" applyBorder="1"/>
    <xf numFmtId="170" fontId="30" fillId="0" borderId="13" xfId="0" applyNumberFormat="1" applyFont="1" applyBorder="1"/>
    <xf numFmtId="0" fontId="27" fillId="6" borderId="29" xfId="1" applyFont="1" applyFill="1" applyBorder="1" applyAlignment="1"/>
    <xf numFmtId="169" fontId="26" fillId="6" borderId="30" xfId="1" applyNumberFormat="1" applyFont="1" applyFill="1" applyBorder="1" applyAlignment="1">
      <alignment horizontal="center"/>
    </xf>
    <xf numFmtId="173" fontId="27" fillId="6" borderId="0" xfId="1" applyNumberFormat="1" applyFont="1" applyFill="1" applyAlignment="1"/>
    <xf numFmtId="174" fontId="26" fillId="6" borderId="0" xfId="1" applyNumberFormat="1" applyFont="1" applyFill="1" applyAlignment="1"/>
    <xf numFmtId="0" fontId="56" fillId="6" borderId="0" xfId="1" applyFont="1" applyFill="1" applyAlignment="1"/>
    <xf numFmtId="172" fontId="29" fillId="0" borderId="0" xfId="9" applyNumberFormat="1" applyFont="1" applyFill="1" applyBorder="1" applyAlignment="1">
      <alignment horizontal="center"/>
    </xf>
    <xf numFmtId="187" fontId="26" fillId="6" borderId="0" xfId="0" applyNumberFormat="1" applyFont="1" applyFill="1" applyAlignment="1">
      <alignment horizontal="right" vertical="center"/>
    </xf>
    <xf numFmtId="14" fontId="33" fillId="0" borderId="0" xfId="0" applyNumberFormat="1" applyFont="1"/>
    <xf numFmtId="0" fontId="45" fillId="16" borderId="0" xfId="0" applyFont="1" applyFill="1" applyAlignment="1">
      <alignment horizontal="centerContinuous"/>
    </xf>
    <xf numFmtId="0" fontId="12" fillId="16" borderId="0" xfId="0" applyFont="1" applyFill="1" applyAlignment="1">
      <alignment horizontal="centerContinuous"/>
    </xf>
    <xf numFmtId="0" fontId="12" fillId="16" borderId="0" xfId="0" applyFont="1" applyFill="1"/>
    <xf numFmtId="179" fontId="38" fillId="11" borderId="7" xfId="0" applyNumberFormat="1" applyFont="1" applyFill="1" applyBorder="1"/>
    <xf numFmtId="205" fontId="29" fillId="11" borderId="7" xfId="0" applyNumberFormat="1" applyFont="1" applyFill="1" applyBorder="1"/>
    <xf numFmtId="172" fontId="67" fillId="0" borderId="0" xfId="9" applyNumberFormat="1" applyFont="1" applyFill="1" applyBorder="1" applyAlignment="1">
      <alignment horizontal="center"/>
    </xf>
    <xf numFmtId="0" fontId="108" fillId="0" borderId="0" xfId="1" applyFont="1" applyAlignment="1">
      <alignment horizontal="left" vertical="top"/>
    </xf>
    <xf numFmtId="0" fontId="44" fillId="0" borderId="0" xfId="0" applyFont="1"/>
    <xf numFmtId="0" fontId="109" fillId="0" borderId="0" xfId="0" applyFont="1"/>
    <xf numFmtId="0" fontId="30" fillId="16" borderId="0" xfId="0" applyFont="1" applyFill="1"/>
    <xf numFmtId="0" fontId="33" fillId="16" borderId="0" xfId="0" applyFont="1" applyFill="1" applyAlignment="1">
      <alignment horizontal="left" indent="1"/>
    </xf>
    <xf numFmtId="169" fontId="37" fillId="0" borderId="0" xfId="2" applyNumberFormat="1" applyFont="1"/>
    <xf numFmtId="0" fontId="110" fillId="0" borderId="0" xfId="0" applyFont="1"/>
    <xf numFmtId="0" fontId="30" fillId="16" borderId="1" xfId="0" applyFont="1" applyFill="1" applyBorder="1"/>
    <xf numFmtId="172" fontId="36" fillId="0" borderId="1" xfId="9" applyNumberFormat="1" applyFont="1" applyFill="1" applyBorder="1" applyAlignment="1">
      <alignment horizontal="center"/>
    </xf>
    <xf numFmtId="0" fontId="12" fillId="16" borderId="0" xfId="0" applyFont="1" applyFill="1" applyAlignment="1">
      <alignment horizontal="left" indent="1"/>
    </xf>
    <xf numFmtId="172" fontId="38" fillId="0" borderId="0" xfId="9" applyNumberFormat="1" applyFont="1" applyFill="1" applyBorder="1" applyAlignment="1">
      <alignment horizontal="center"/>
    </xf>
    <xf numFmtId="0" fontId="30" fillId="16" borderId="1" xfId="0" applyFont="1" applyFill="1" applyBorder="1" applyAlignment="1">
      <alignment horizontal="left"/>
    </xf>
    <xf numFmtId="2" fontId="33" fillId="0" borderId="0" xfId="0" applyNumberFormat="1" applyFont="1"/>
    <xf numFmtId="2" fontId="33" fillId="16" borderId="0" xfId="0" applyNumberFormat="1" applyFont="1" applyFill="1"/>
    <xf numFmtId="0" fontId="111" fillId="0" borderId="0" xfId="0" applyFont="1"/>
    <xf numFmtId="0" fontId="30" fillId="16" borderId="13" xfId="0" applyFont="1" applyFill="1" applyBorder="1"/>
    <xf numFmtId="172" fontId="36" fillId="0" borderId="13" xfId="9" applyNumberFormat="1" applyFont="1" applyFill="1" applyBorder="1" applyAlignment="1">
      <alignment horizontal="center"/>
    </xf>
    <xf numFmtId="0" fontId="112" fillId="0" borderId="0" xfId="0" applyFont="1"/>
    <xf numFmtId="0" fontId="26" fillId="6" borderId="0" xfId="43" applyFont="1" applyFill="1" applyAlignment="1">
      <alignment horizontal="left"/>
    </xf>
    <xf numFmtId="0" fontId="113" fillId="0" borderId="0" xfId="0" applyFont="1"/>
    <xf numFmtId="0" fontId="114" fillId="0" borderId="0" xfId="0" applyFont="1"/>
    <xf numFmtId="0" fontId="81" fillId="0" borderId="0" xfId="0" applyFont="1" applyAlignment="1">
      <alignment horizontal="right"/>
    </xf>
    <xf numFmtId="0" fontId="12" fillId="0" borderId="0" xfId="0" applyFont="1" applyAlignment="1">
      <alignment horizontal="left" indent="2"/>
    </xf>
    <xf numFmtId="179" fontId="29" fillId="11" borderId="7" xfId="0" applyNumberFormat="1" applyFont="1" applyFill="1" applyBorder="1"/>
    <xf numFmtId="198" fontId="38" fillId="11" borderId="7" xfId="2" applyNumberFormat="1" applyFont="1" applyFill="1" applyBorder="1" applyAlignment="1">
      <alignment horizontal="right"/>
    </xf>
    <xf numFmtId="206" fontId="12" fillId="0" borderId="0" xfId="0" applyNumberFormat="1" applyFont="1" applyAlignment="1">
      <alignment horizontal="left" indent="2"/>
    </xf>
    <xf numFmtId="206" fontId="12" fillId="0" borderId="0" xfId="0" applyNumberFormat="1" applyFont="1" applyAlignment="1">
      <alignment horizontal="left" indent="1"/>
    </xf>
    <xf numFmtId="172" fontId="12" fillId="0" borderId="0" xfId="0" applyNumberFormat="1" applyFont="1" applyAlignment="1">
      <alignment horizontal="right"/>
    </xf>
    <xf numFmtId="172" fontId="30" fillId="0" borderId="1" xfId="0" applyNumberFormat="1" applyFont="1" applyBorder="1" applyAlignment="1">
      <alignment horizontal="right"/>
    </xf>
    <xf numFmtId="172" fontId="38" fillId="0" borderId="0" xfId="0" applyNumberFormat="1" applyFont="1" applyAlignment="1">
      <alignment horizontal="right"/>
    </xf>
    <xf numFmtId="0" fontId="81" fillId="0" borderId="1" xfId="0" applyFont="1" applyBorder="1"/>
    <xf numFmtId="189" fontId="23" fillId="0" borderId="0" xfId="0" applyNumberFormat="1" applyFont="1"/>
    <xf numFmtId="172" fontId="24" fillId="0" borderId="0" xfId="0" applyNumberFormat="1" applyFont="1" applyAlignment="1">
      <alignment horizontal="right"/>
    </xf>
    <xf numFmtId="208" fontId="30" fillId="0" borderId="13" xfId="25" applyNumberFormat="1" applyFont="1" applyBorder="1"/>
    <xf numFmtId="189" fontId="36" fillId="0" borderId="0" xfId="0" applyNumberFormat="1" applyFont="1"/>
    <xf numFmtId="167" fontId="30" fillId="0" borderId="0" xfId="25" applyFont="1" applyBorder="1"/>
    <xf numFmtId="208" fontId="115" fillId="0" borderId="1" xfId="25" applyNumberFormat="1" applyFont="1" applyBorder="1"/>
    <xf numFmtId="189" fontId="33" fillId="0" borderId="0" xfId="0" applyNumberFormat="1" applyFont="1"/>
    <xf numFmtId="189" fontId="44" fillId="0" borderId="0" xfId="0" applyNumberFormat="1" applyFont="1"/>
    <xf numFmtId="0" fontId="26" fillId="0" borderId="0" xfId="0" applyFont="1" applyAlignment="1">
      <alignment horizontal="center"/>
    </xf>
    <xf numFmtId="0" fontId="26" fillId="0" borderId="0" xfId="43" applyFont="1" applyAlignment="1">
      <alignment horizontal="left"/>
    </xf>
    <xf numFmtId="0" fontId="26" fillId="6" borderId="9" xfId="0" applyFont="1" applyFill="1" applyBorder="1"/>
    <xf numFmtId="0" fontId="26" fillId="6" borderId="1" xfId="0" applyFont="1" applyFill="1" applyBorder="1" applyAlignment="1">
      <alignment horizontal="centerContinuous"/>
    </xf>
    <xf numFmtId="10" fontId="23" fillId="6" borderId="1" xfId="26" applyNumberFormat="1" applyFont="1" applyFill="1" applyBorder="1" applyAlignment="1">
      <alignment horizontal="centerContinuous"/>
    </xf>
    <xf numFmtId="0" fontId="82" fillId="6" borderId="1" xfId="0" applyFont="1" applyFill="1" applyBorder="1" applyAlignment="1">
      <alignment horizontal="centerContinuous"/>
    </xf>
    <xf numFmtId="0" fontId="23" fillId="6" borderId="10" xfId="0" applyFont="1" applyFill="1" applyBorder="1" applyAlignment="1">
      <alignment horizontal="centerContinuous"/>
    </xf>
    <xf numFmtId="0" fontId="23" fillId="6" borderId="2" xfId="0" applyFont="1" applyFill="1" applyBorder="1"/>
    <xf numFmtId="164" fontId="23" fillId="6" borderId="2" xfId="0" applyNumberFormat="1" applyFont="1" applyFill="1" applyBorder="1"/>
    <xf numFmtId="172" fontId="23" fillId="6" borderId="2" xfId="9" applyNumberFormat="1" applyFont="1" applyFill="1" applyBorder="1"/>
    <xf numFmtId="172" fontId="23" fillId="6" borderId="4" xfId="9" applyNumberFormat="1" applyFont="1" applyFill="1" applyBorder="1"/>
    <xf numFmtId="208" fontId="12" fillId="0" borderId="0" xfId="0" applyNumberFormat="1" applyFont="1"/>
    <xf numFmtId="208" fontId="38" fillId="0" borderId="0" xfId="0" applyNumberFormat="1" applyFont="1"/>
    <xf numFmtId="208" fontId="30" fillId="0" borderId="1" xfId="0" applyNumberFormat="1" applyFont="1" applyBorder="1"/>
    <xf numFmtId="179" fontId="30" fillId="0" borderId="1" xfId="0" applyNumberFormat="1" applyFont="1" applyBorder="1"/>
    <xf numFmtId="208" fontId="115" fillId="0" borderId="0" xfId="25" applyNumberFormat="1" applyFont="1" applyBorder="1"/>
    <xf numFmtId="179" fontId="30" fillId="0" borderId="0" xfId="0" applyNumberFormat="1" applyFont="1"/>
    <xf numFmtId="0" fontId="26" fillId="13" borderId="13" xfId="0" applyFont="1" applyFill="1" applyBorder="1" applyAlignment="1">
      <alignment horizontal="left"/>
    </xf>
    <xf numFmtId="0" fontId="117" fillId="13" borderId="13" xfId="0" applyFont="1" applyFill="1" applyBorder="1"/>
    <xf numFmtId="0" fontId="118" fillId="13" borderId="13" xfId="0" applyFont="1" applyFill="1" applyBorder="1" applyAlignment="1">
      <alignment horizontal="right"/>
    </xf>
    <xf numFmtId="9" fontId="23" fillId="13" borderId="13" xfId="0" applyNumberFormat="1" applyFont="1" applyFill="1" applyBorder="1"/>
    <xf numFmtId="180" fontId="117" fillId="13" borderId="13" xfId="0" applyNumberFormat="1" applyFont="1" applyFill="1" applyBorder="1"/>
    <xf numFmtId="0" fontId="30" fillId="0" borderId="0" xfId="0" applyFont="1" applyAlignment="1">
      <alignment horizontal="right"/>
    </xf>
    <xf numFmtId="209" fontId="29" fillId="11" borderId="7" xfId="2" applyNumberFormat="1" applyFont="1" applyFill="1" applyBorder="1" applyAlignment="1">
      <alignment horizontal="right"/>
    </xf>
    <xf numFmtId="209" fontId="24" fillId="11" borderId="7" xfId="2" applyNumberFormat="1" applyFont="1" applyFill="1" applyBorder="1" applyAlignment="1">
      <alignment horizontal="right"/>
    </xf>
    <xf numFmtId="209" fontId="24" fillId="11" borderId="31" xfId="2" applyNumberFormat="1" applyFont="1" applyFill="1" applyBorder="1" applyAlignment="1">
      <alignment horizontal="right"/>
    </xf>
    <xf numFmtId="0" fontId="89" fillId="6" borderId="0" xfId="1" applyFont="1" applyFill="1" applyAlignment="1"/>
    <xf numFmtId="210" fontId="12" fillId="0" borderId="0" xfId="0" applyNumberFormat="1" applyFont="1"/>
    <xf numFmtId="0" fontId="12" fillId="11" borderId="7" xfId="0" applyFont="1" applyFill="1" applyBorder="1" applyAlignment="1">
      <alignment horizontal="right"/>
    </xf>
    <xf numFmtId="179" fontId="43" fillId="11" borderId="7" xfId="27" applyNumberFormat="1" applyFont="1" applyFill="1" applyBorder="1" applyAlignment="1">
      <alignment horizontal="right" vertical="center"/>
    </xf>
    <xf numFmtId="179" fontId="29" fillId="11" borderId="7" xfId="27" applyNumberFormat="1" applyFont="1" applyFill="1" applyBorder="1" applyAlignment="1">
      <alignment horizontal="right" vertical="center"/>
    </xf>
    <xf numFmtId="0" fontId="12" fillId="11" borderId="31" xfId="0" applyFont="1" applyFill="1" applyBorder="1" applyAlignment="1">
      <alignment horizontal="right"/>
    </xf>
    <xf numFmtId="179" fontId="43" fillId="11" borderId="31" xfId="27" applyNumberFormat="1" applyFont="1" applyFill="1" applyBorder="1" applyAlignment="1">
      <alignment horizontal="right" vertical="center"/>
    </xf>
    <xf numFmtId="179" fontId="29" fillId="11" borderId="31" xfId="27" applyNumberFormat="1" applyFont="1" applyFill="1" applyBorder="1" applyAlignment="1">
      <alignment horizontal="right" vertical="center"/>
    </xf>
    <xf numFmtId="179" fontId="30" fillId="0" borderId="13" xfId="27" applyNumberFormat="1" applyFont="1" applyFill="1" applyBorder="1" applyAlignment="1">
      <alignment horizontal="right" vertical="center"/>
    </xf>
    <xf numFmtId="172" fontId="27" fillId="6" borderId="7" xfId="2" applyNumberFormat="1" applyFont="1" applyFill="1" applyBorder="1" applyAlignment="1">
      <alignment horizontal="right"/>
    </xf>
    <xf numFmtId="172" fontId="27" fillId="6" borderId="31" xfId="2" applyNumberFormat="1" applyFont="1" applyFill="1" applyBorder="1" applyAlignment="1">
      <alignment horizontal="right"/>
    </xf>
    <xf numFmtId="207" fontId="116" fillId="9" borderId="9" xfId="25" applyNumberFormat="1" applyFont="1" applyFill="1" applyBorder="1"/>
    <xf numFmtId="169" fontId="114" fillId="9" borderId="1" xfId="2" applyNumberFormat="1" applyFont="1" applyFill="1" applyBorder="1"/>
    <xf numFmtId="169" fontId="114" fillId="9" borderId="14" xfId="2" applyNumberFormat="1" applyFont="1" applyFill="1" applyBorder="1"/>
    <xf numFmtId="169" fontId="114" fillId="9" borderId="2" xfId="2" applyNumberFormat="1" applyFont="1" applyFill="1" applyBorder="1"/>
    <xf numFmtId="198" fontId="114" fillId="9" borderId="1" xfId="2" applyNumberFormat="1" applyFont="1" applyFill="1" applyBorder="1"/>
    <xf numFmtId="198" fontId="114" fillId="9" borderId="14" xfId="2" applyNumberFormat="1" applyFont="1" applyFill="1" applyBorder="1"/>
    <xf numFmtId="0" fontId="26" fillId="6" borderId="2" xfId="0" applyFont="1" applyFill="1" applyBorder="1" applyAlignment="1">
      <alignment horizontal="right"/>
    </xf>
    <xf numFmtId="208" fontId="12" fillId="0" borderId="9" xfId="25" applyNumberFormat="1" applyFont="1" applyBorder="1"/>
    <xf numFmtId="208" fontId="12" fillId="0" borderId="1" xfId="25" applyNumberFormat="1" applyFont="1" applyBorder="1"/>
    <xf numFmtId="208" fontId="12" fillId="0" borderId="10" xfId="25" applyNumberFormat="1" applyFont="1" applyBorder="1"/>
    <xf numFmtId="208" fontId="12" fillId="0" borderId="2" xfId="25" applyNumberFormat="1" applyFont="1" applyBorder="1"/>
    <xf numFmtId="208" fontId="12" fillId="0" borderId="9" xfId="25" applyNumberFormat="1" applyFont="1" applyFill="1" applyBorder="1"/>
    <xf numFmtId="208" fontId="12" fillId="0" borderId="1" xfId="25" applyNumberFormat="1" applyFont="1" applyFill="1" applyBorder="1"/>
    <xf numFmtId="208" fontId="12" fillId="0" borderId="10" xfId="25" applyNumberFormat="1" applyFont="1" applyFill="1" applyBorder="1"/>
    <xf numFmtId="208" fontId="12" fillId="0" borderId="3" xfId="25" applyNumberFormat="1" applyFont="1" applyBorder="1"/>
    <xf numFmtId="208" fontId="12" fillId="0" borderId="2" xfId="25" applyNumberFormat="1" applyFont="1" applyFill="1" applyBorder="1"/>
    <xf numFmtId="208" fontId="12" fillId="0" borderId="7" xfId="25" applyNumberFormat="1" applyFont="1" applyBorder="1"/>
    <xf numFmtId="208" fontId="12" fillId="0" borderId="3" xfId="25" applyNumberFormat="1" applyFont="1" applyFill="1" applyBorder="1"/>
    <xf numFmtId="208" fontId="12" fillId="0" borderId="4" xfId="25" applyNumberFormat="1" applyFont="1" applyFill="1" applyBorder="1"/>
    <xf numFmtId="208" fontId="12" fillId="0" borderId="5" xfId="25" applyNumberFormat="1" applyFont="1" applyFill="1" applyBorder="1"/>
    <xf numFmtId="208" fontId="12" fillId="0" borderId="6" xfId="25" applyNumberFormat="1" applyFont="1" applyFill="1" applyBorder="1"/>
    <xf numFmtId="208" fontId="12" fillId="0" borderId="4" xfId="25" applyNumberFormat="1" applyFont="1" applyBorder="1"/>
    <xf numFmtId="208" fontId="12" fillId="0" borderId="5" xfId="25" applyNumberFormat="1" applyFont="1" applyBorder="1"/>
    <xf numFmtId="208" fontId="12" fillId="0" borderId="6" xfId="25" applyNumberFormat="1" applyFont="1" applyBorder="1"/>
    <xf numFmtId="169" fontId="114" fillId="9" borderId="8" xfId="2" applyNumberFormat="1" applyFont="1" applyFill="1" applyBorder="1"/>
    <xf numFmtId="179" fontId="12" fillId="0" borderId="0" xfId="26" applyNumberFormat="1" applyFont="1"/>
    <xf numFmtId="172" fontId="26" fillId="2" borderId="0" xfId="0" applyNumberFormat="1" applyFont="1" applyFill="1" applyAlignment="1">
      <alignment horizontal="left" vertical="center"/>
    </xf>
    <xf numFmtId="0" fontId="46" fillId="0" borderId="1" xfId="0" applyFont="1" applyBorder="1"/>
    <xf numFmtId="0" fontId="119" fillId="0" borderId="1" xfId="0" applyFont="1" applyBorder="1"/>
    <xf numFmtId="169" fontId="46" fillId="11" borderId="7" xfId="0" applyNumberFormat="1" applyFont="1" applyFill="1" applyBorder="1"/>
    <xf numFmtId="168" fontId="46" fillId="0" borderId="0" xfId="0" applyNumberFormat="1" applyFont="1"/>
    <xf numFmtId="211" fontId="29" fillId="11" borderId="7" xfId="0" applyNumberFormat="1" applyFont="1" applyFill="1" applyBorder="1"/>
    <xf numFmtId="0" fontId="41" fillId="15" borderId="0" xfId="5" applyFont="1">
      <alignment vertical="center"/>
    </xf>
    <xf numFmtId="0" fontId="39" fillId="0" borderId="0" xfId="4">
      <alignment vertical="center"/>
    </xf>
    <xf numFmtId="0" fontId="48" fillId="0" borderId="0" xfId="4" applyFont="1">
      <alignment vertical="center"/>
    </xf>
    <xf numFmtId="0" fontId="120" fillId="14" borderId="0" xfId="4" applyFont="1" applyFill="1">
      <alignment vertical="center"/>
    </xf>
    <xf numFmtId="0" fontId="97" fillId="14" borderId="0" xfId="5" applyFont="1" applyFill="1" applyBorder="1">
      <alignment vertical="center"/>
    </xf>
    <xf numFmtId="0" fontId="120" fillId="0" borderId="0" xfId="4" applyFont="1">
      <alignment vertical="center"/>
    </xf>
    <xf numFmtId="201" fontId="3" fillId="0" borderId="0" xfId="0" applyNumberFormat="1" applyFont="1"/>
    <xf numFmtId="0" fontId="121" fillId="0" borderId="0" xfId="0" applyFont="1"/>
    <xf numFmtId="0" fontId="41" fillId="7" borderId="0" xfId="0" applyFont="1" applyFill="1" applyAlignment="1">
      <alignment horizontal="left"/>
    </xf>
    <xf numFmtId="0" fontId="41" fillId="7" borderId="0" xfId="0" applyFont="1" applyFill="1"/>
    <xf numFmtId="0" fontId="52" fillId="0" borderId="0" xfId="3" applyFont="1" applyAlignment="1"/>
    <xf numFmtId="0" fontId="24" fillId="0" borderId="0" xfId="0" applyFont="1" applyAlignment="1">
      <alignment horizontal="right"/>
    </xf>
    <xf numFmtId="0" fontId="53" fillId="0" borderId="0" xfId="0" applyFont="1" applyAlignment="1">
      <alignment horizontal="right"/>
    </xf>
    <xf numFmtId="194" fontId="24" fillId="0" borderId="0" xfId="0" applyNumberFormat="1" applyFont="1" applyAlignment="1">
      <alignment horizontal="right"/>
    </xf>
    <xf numFmtId="0" fontId="122" fillId="8" borderId="0" xfId="0" applyFont="1" applyFill="1" applyAlignment="1">
      <alignment horizontal="left" vertical="top"/>
    </xf>
    <xf numFmtId="0" fontId="122" fillId="8" borderId="0" xfId="0" applyFont="1" applyFill="1"/>
    <xf numFmtId="0" fontId="122" fillId="8" borderId="0" xfId="0" applyFont="1" applyFill="1" applyAlignment="1">
      <alignment horizontal="right"/>
    </xf>
    <xf numFmtId="0" fontId="36" fillId="0" borderId="0" xfId="0" applyFont="1"/>
    <xf numFmtId="49" fontId="24" fillId="0" borderId="0" xfId="0" applyNumberFormat="1" applyFont="1" applyAlignment="1">
      <alignment horizontal="right"/>
    </xf>
    <xf numFmtId="212" fontId="24" fillId="0" borderId="0" xfId="0" applyNumberFormat="1" applyFont="1" applyAlignment="1">
      <alignment horizontal="right"/>
    </xf>
    <xf numFmtId="213" fontId="24" fillId="0" borderId="0" xfId="0" applyNumberFormat="1" applyFont="1" applyAlignment="1">
      <alignment horizontal="right"/>
    </xf>
    <xf numFmtId="214" fontId="24" fillId="0" borderId="0" xfId="0" applyNumberFormat="1" applyFont="1" applyAlignment="1">
      <alignment horizontal="right"/>
    </xf>
    <xf numFmtId="215" fontId="24" fillId="0" borderId="0" xfId="0" applyNumberFormat="1" applyFont="1" applyAlignment="1">
      <alignment horizontal="right"/>
    </xf>
    <xf numFmtId="216" fontId="24" fillId="0" borderId="0" xfId="0" applyNumberFormat="1" applyFont="1" applyAlignment="1">
      <alignment horizontal="right"/>
    </xf>
    <xf numFmtId="2" fontId="29" fillId="11" borderId="7" xfId="0" applyNumberFormat="1" applyFont="1" applyFill="1" applyBorder="1" applyAlignment="1">
      <alignment horizontal="right"/>
    </xf>
    <xf numFmtId="2" fontId="29" fillId="11" borderId="31" xfId="0" applyNumberFormat="1" applyFont="1" applyFill="1" applyBorder="1" applyAlignment="1">
      <alignment horizontal="right"/>
    </xf>
    <xf numFmtId="179" fontId="30" fillId="0" borderId="13" xfId="0" applyNumberFormat="1" applyFont="1" applyBorder="1"/>
    <xf numFmtId="2" fontId="36" fillId="0" borderId="13" xfId="0" applyNumberFormat="1" applyFont="1" applyBorder="1" applyAlignment="1">
      <alignment horizontal="right"/>
    </xf>
    <xf numFmtId="169" fontId="69" fillId="0" borderId="0" xfId="2" applyNumberFormat="1" applyFont="1" applyAlignment="1">
      <alignment horizontal="right"/>
    </xf>
    <xf numFmtId="170" fontId="33" fillId="0" borderId="0" xfId="0" applyNumberFormat="1" applyFont="1"/>
    <xf numFmtId="0" fontId="92" fillId="0" borderId="0" xfId="2" applyFont="1"/>
    <xf numFmtId="0" fontId="12" fillId="0" borderId="0" xfId="15"/>
    <xf numFmtId="168" fontId="12" fillId="0" borderId="0" xfId="15" applyNumberFormat="1"/>
    <xf numFmtId="172" fontId="30" fillId="0" borderId="21" xfId="2" applyNumberFormat="1" applyFont="1" applyBorder="1"/>
    <xf numFmtId="168" fontId="33" fillId="0" borderId="0" xfId="9" applyFont="1" applyAlignment="1">
      <alignment horizontal="right"/>
    </xf>
    <xf numFmtId="0" fontId="123" fillId="13" borderId="13" xfId="0" applyFont="1" applyFill="1" applyBorder="1"/>
    <xf numFmtId="0" fontId="124" fillId="13" borderId="13" xfId="0" applyFont="1" applyFill="1" applyBorder="1" applyAlignment="1">
      <alignment horizontal="right"/>
    </xf>
    <xf numFmtId="9" fontId="24" fillId="13" borderId="13" xfId="0" applyNumberFormat="1" applyFont="1" applyFill="1" applyBorder="1"/>
    <xf numFmtId="180" fontId="123" fillId="13" borderId="13" xfId="0" applyNumberFormat="1" applyFont="1" applyFill="1" applyBorder="1"/>
    <xf numFmtId="180" fontId="83" fillId="0" borderId="0" xfId="0" applyNumberFormat="1" applyFont="1"/>
    <xf numFmtId="168" fontId="83" fillId="0" borderId="0" xfId="0" applyNumberFormat="1" applyFont="1"/>
    <xf numFmtId="182" fontId="24" fillId="11" borderId="7" xfId="2" applyNumberFormat="1" applyFont="1" applyFill="1" applyBorder="1" applyAlignment="1">
      <alignment horizontal="center"/>
    </xf>
    <xf numFmtId="0" fontId="30" fillId="0" borderId="13" xfId="16" applyFont="1" applyBorder="1" applyAlignment="1">
      <alignment horizontal="left"/>
    </xf>
    <xf numFmtId="0" fontId="33" fillId="0" borderId="13" xfId="2" applyFont="1" applyBorder="1"/>
    <xf numFmtId="0" fontId="33" fillId="0" borderId="13" xfId="2" applyFont="1" applyBorder="1" applyAlignment="1">
      <alignment horizontal="center"/>
    </xf>
    <xf numFmtId="172" fontId="67" fillId="0" borderId="13" xfId="19" applyNumberFormat="1" applyFont="1" applyBorder="1"/>
    <xf numFmtId="3" fontId="83" fillId="0" borderId="0" xfId="0" applyNumberFormat="1" applyFont="1"/>
    <xf numFmtId="172" fontId="125" fillId="0" borderId="0" xfId="18" applyNumberFormat="1" applyFont="1"/>
    <xf numFmtId="0" fontId="36" fillId="20" borderId="13" xfId="0" applyFont="1" applyFill="1" applyBorder="1" applyAlignment="1">
      <alignment horizontal="left"/>
    </xf>
    <xf numFmtId="0" fontId="123" fillId="20" borderId="13" xfId="0" applyFont="1" applyFill="1" applyBorder="1"/>
    <xf numFmtId="0" fontId="124" fillId="20" borderId="13" xfId="0" applyFont="1" applyFill="1" applyBorder="1" applyAlignment="1">
      <alignment horizontal="right"/>
    </xf>
    <xf numFmtId="9" fontId="24" fillId="20" borderId="13" xfId="0" applyNumberFormat="1" applyFont="1" applyFill="1" applyBorder="1"/>
    <xf numFmtId="3" fontId="24" fillId="20" borderId="13" xfId="0" applyNumberFormat="1" applyFont="1" applyFill="1" applyBorder="1"/>
    <xf numFmtId="0" fontId="24" fillId="20" borderId="13" xfId="0" applyFont="1" applyFill="1" applyBorder="1"/>
    <xf numFmtId="172" fontId="24" fillId="20" borderId="13" xfId="0" applyNumberFormat="1" applyFont="1" applyFill="1" applyBorder="1"/>
    <xf numFmtId="169" fontId="12" fillId="0" borderId="0" xfId="15" applyNumberFormat="1"/>
    <xf numFmtId="0" fontId="30" fillId="0" borderId="13" xfId="16" applyFont="1" applyBorder="1" applyAlignment="1">
      <alignment horizontal="center"/>
    </xf>
    <xf numFmtId="172" fontId="36" fillId="0" borderId="13" xfId="18" applyNumberFormat="1" applyFont="1" applyBorder="1"/>
    <xf numFmtId="169" fontId="126" fillId="0" borderId="0" xfId="2" applyNumberFormat="1" applyFont="1"/>
    <xf numFmtId="0" fontId="32" fillId="0" borderId="0" xfId="15" applyFont="1"/>
    <xf numFmtId="172" fontId="24" fillId="0" borderId="0" xfId="18" applyNumberFormat="1" applyFont="1"/>
    <xf numFmtId="172" fontId="12" fillId="11" borderId="7" xfId="15" applyNumberFormat="1" applyFill="1" applyBorder="1"/>
    <xf numFmtId="169" fontId="12" fillId="11" borderId="7" xfId="15" applyNumberFormat="1" applyFill="1" applyBorder="1"/>
    <xf numFmtId="0" fontId="71" fillId="0" borderId="0" xfId="16" applyFont="1" applyAlignment="1">
      <alignment horizontal="left"/>
    </xf>
    <xf numFmtId="0" fontId="36" fillId="0" borderId="0" xfId="15" applyFont="1" applyAlignment="1">
      <alignment horizontal="center"/>
    </xf>
    <xf numFmtId="0" fontId="36" fillId="0" borderId="0" xfId="15" applyFont="1" applyAlignment="1">
      <alignment horizontal="left" vertical="center"/>
    </xf>
    <xf numFmtId="184" fontId="36" fillId="0" borderId="0" xfId="15" applyNumberFormat="1" applyFont="1" applyAlignment="1">
      <alignment horizontal="right" vertical="center"/>
    </xf>
    <xf numFmtId="185" fontId="83" fillId="0" borderId="0" xfId="0" applyNumberFormat="1" applyFont="1"/>
    <xf numFmtId="0" fontId="36" fillId="9" borderId="13" xfId="16" applyFont="1" applyFill="1" applyBorder="1" applyAlignment="1">
      <alignment horizontal="left"/>
    </xf>
    <xf numFmtId="0" fontId="36" fillId="9" borderId="13" xfId="15" applyFont="1" applyFill="1" applyBorder="1" applyAlignment="1">
      <alignment horizontal="center"/>
    </xf>
    <xf numFmtId="0" fontId="36" fillId="9" borderId="13" xfId="15" applyFont="1" applyFill="1" applyBorder="1" applyAlignment="1">
      <alignment horizontal="left" vertical="center"/>
    </xf>
    <xf numFmtId="184" fontId="36" fillId="9" borderId="13" xfId="15" applyNumberFormat="1" applyFont="1" applyFill="1" applyBorder="1" applyAlignment="1">
      <alignment horizontal="right" vertical="center"/>
    </xf>
    <xf numFmtId="172" fontId="12" fillId="0" borderId="0" xfId="15" applyNumberFormat="1"/>
    <xf numFmtId="0" fontId="30" fillId="0" borderId="1" xfId="15" applyFont="1" applyBorder="1"/>
    <xf numFmtId="0" fontId="12" fillId="0" borderId="1" xfId="15" applyBorder="1"/>
    <xf numFmtId="0" fontId="12" fillId="0" borderId="1" xfId="15" applyBorder="1" applyAlignment="1">
      <alignment horizontal="center"/>
    </xf>
    <xf numFmtId="0" fontId="32" fillId="0" borderId="0" xfId="15" applyFont="1" applyAlignment="1">
      <alignment horizontal="right"/>
    </xf>
    <xf numFmtId="0" fontId="71" fillId="0" borderId="0" xfId="15" applyFont="1" applyAlignment="1">
      <alignment horizontal="right"/>
    </xf>
    <xf numFmtId="172" fontId="24" fillId="0" borderId="0" xfId="19" applyNumberFormat="1" applyFont="1" applyAlignment="1">
      <alignment horizontal="right"/>
    </xf>
    <xf numFmtId="187" fontId="24" fillId="0" borderId="0" xfId="15" applyNumberFormat="1" applyFont="1" applyAlignment="1">
      <alignment horizontal="right"/>
    </xf>
    <xf numFmtId="0" fontId="120" fillId="14" borderId="0" xfId="0" applyFont="1" applyFill="1" applyAlignment="1">
      <alignment vertical="center"/>
    </xf>
    <xf numFmtId="0" fontId="48" fillId="0" borderId="0" xfId="0" applyFont="1" applyAlignment="1">
      <alignment vertical="center"/>
    </xf>
    <xf numFmtId="0" fontId="97" fillId="15" borderId="0" xfId="5" applyFont="1">
      <alignment vertical="center"/>
    </xf>
    <xf numFmtId="0" fontId="40" fillId="15" borderId="0" xfId="5">
      <alignment vertical="center"/>
    </xf>
    <xf numFmtId="0" fontId="39" fillId="0" borderId="0" xfId="6">
      <alignment vertical="center"/>
    </xf>
    <xf numFmtId="181" fontId="48" fillId="0" borderId="0" xfId="10" applyFont="1">
      <alignment horizontal="right" vertical="center"/>
    </xf>
    <xf numFmtId="181" fontId="49" fillId="0" borderId="0" xfId="10">
      <alignment horizontal="right" vertical="center"/>
    </xf>
    <xf numFmtId="0" fontId="52" fillId="15" borderId="0" xfId="5" applyFont="1">
      <alignment vertical="center"/>
    </xf>
    <xf numFmtId="0" fontId="39" fillId="0" borderId="0" xfId="6" applyAlignment="1">
      <alignment horizontal="left" vertical="center" indent="2"/>
    </xf>
    <xf numFmtId="172" fontId="45" fillId="0" borderId="0" xfId="0" applyNumberFormat="1" applyFont="1"/>
    <xf numFmtId="172" fontId="127" fillId="0" borderId="0" xfId="0" applyNumberFormat="1" applyFont="1"/>
    <xf numFmtId="172" fontId="127" fillId="13" borderId="13" xfId="0" applyNumberFormat="1" applyFont="1" applyFill="1" applyBorder="1"/>
    <xf numFmtId="169" fontId="128" fillId="0" borderId="0" xfId="0" applyNumberFormat="1" applyFont="1"/>
    <xf numFmtId="185" fontId="12" fillId="0" borderId="0" xfId="0" applyNumberFormat="1" applyFont="1"/>
    <xf numFmtId="0" fontId="6" fillId="0" borderId="9" xfId="0" applyFont="1" applyBorder="1" applyAlignment="1">
      <alignment vertical="center" wrapText="1"/>
    </xf>
    <xf numFmtId="0" fontId="6" fillId="0" borderId="1" xfId="0" applyFont="1" applyBorder="1" applyAlignment="1">
      <alignment vertical="center" wrapText="1"/>
    </xf>
    <xf numFmtId="0" fontId="6" fillId="0" borderId="10" xfId="0" applyFont="1" applyBorder="1" applyAlignment="1">
      <alignment vertical="center" wrapText="1"/>
    </xf>
    <xf numFmtId="0" fontId="6" fillId="0" borderId="2" xfId="0" applyFont="1" applyBorder="1" applyAlignment="1">
      <alignment vertical="center" wrapText="1"/>
    </xf>
    <xf numFmtId="0" fontId="6" fillId="0" borderId="0" xfId="0" applyFont="1" applyAlignment="1">
      <alignment vertical="center" wrapText="1"/>
    </xf>
    <xf numFmtId="0" fontId="6" fillId="0" borderId="3" xfId="0" applyFont="1" applyBorder="1" applyAlignment="1">
      <alignment vertical="center" wrapText="1"/>
    </xf>
    <xf numFmtId="0" fontId="17" fillId="0" borderId="0" xfId="0" applyFont="1" applyAlignment="1">
      <alignment horizontal="right" wrapText="1"/>
    </xf>
    <xf numFmtId="0" fontId="17" fillId="0" borderId="0" xfId="0" applyFont="1"/>
  </cellXfs>
  <cellStyles count="53">
    <cellStyle name="ChartingText" xfId="23" xr:uid="{0CEC47B0-62A4-45CD-990F-E0163DF78811}"/>
    <cellStyle name="CHPAboveAverage" xfId="42" xr:uid="{2113F0FE-F4B8-47E0-9760-8635E3C62E67}"/>
    <cellStyle name="CHPBelowAverage" xfId="42" xr:uid="{4BC83A1B-FA02-45CF-8CB9-3BA8CB8C360E}"/>
    <cellStyle name="CHPBottom" xfId="42" xr:uid="{154B556F-04E7-468E-B2CD-F5457F4D3914}"/>
    <cellStyle name="CHPTop" xfId="42" xr:uid="{B18AAB25-6D0F-4568-8BED-4D03D572F757}"/>
    <cellStyle name="ColumnHeaderNormal" xfId="35" xr:uid="{C06D7F66-0D94-4C56-A867-3EA88B2BC32A}"/>
    <cellStyle name="Comma" xfId="9" builtinId="3"/>
    <cellStyle name="Comma [0] 2" xfId="49" xr:uid="{C2EEF357-6ECB-4B50-80A5-DE66DA716100}"/>
    <cellStyle name="Comma 2" xfId="21" xr:uid="{D1B8DC9E-0F2A-4B49-ADDB-DA2A4BBAD00A}"/>
    <cellStyle name="Comma 3" xfId="19" xr:uid="{885D77AE-346A-42D9-983A-7BFFD19BD621}"/>
    <cellStyle name="Comma 3 2" xfId="18" xr:uid="{8B2BF46E-D9AB-49DA-BA22-8DB3A9BDB28C}"/>
    <cellStyle name="Comma 3 2 2" xfId="24" xr:uid="{932452FA-40A1-422B-9CBF-8687A1FDFC9A}"/>
    <cellStyle name="Comma 4" xfId="48" xr:uid="{5610BA85-A83E-458E-9247-568D4E146019}"/>
    <cellStyle name="Currency" xfId="25" builtinId="4"/>
    <cellStyle name="Currency [0] 2" xfId="47" xr:uid="{F770E119-7D75-49C5-B91E-420D5B14F3B8}"/>
    <cellStyle name="Currency 2" xfId="46" xr:uid="{2B3555AF-AFD7-4842-AA1F-5236E3794928}"/>
    <cellStyle name="DescriptorColumnStyle" xfId="6" xr:uid="{E347AFF7-94E2-45D7-965D-5C410F9A302D}"/>
    <cellStyle name="Dotted" xfId="17" xr:uid="{61287DF1-50AD-47A4-9B44-F038AE2FCC6B}"/>
    <cellStyle name="HeaderStyle" xfId="5" xr:uid="{7B387E2C-5CD0-4008-A8F4-3AEF1F993FE0}"/>
    <cellStyle name="HyphenStyle" xfId="7" xr:uid="{FC2E46E0-077D-4ABE-AFD0-3218DB8A1F21}"/>
    <cellStyle name="Invisible" xfId="3" xr:uid="{F3C99E46-602C-4A3D-A67D-FED58CB81B92}"/>
    <cellStyle name="NanStyle" xfId="13" xr:uid="{31361032-5EE2-4078-AD14-1A0215AC7013}"/>
    <cellStyle name="NewColumnHeaderNormal" xfId="33" xr:uid="{C93145EF-C04A-4457-B784-302F8D8E2C98}"/>
    <cellStyle name="NewSectionHeaderNormal" xfId="32" xr:uid="{045C7FEA-6708-441C-8FA5-5E3B8A83A58A}"/>
    <cellStyle name="NewTitleNormal" xfId="31" xr:uid="{FCC562DE-27DC-4799-86C9-31EB08A03B17}"/>
    <cellStyle name="Normal" xfId="0" builtinId="0"/>
    <cellStyle name="Normal 2" xfId="1" xr:uid="{834B233E-093E-44C5-B81B-1CC1DA1C408E}"/>
    <cellStyle name="Normal 2 2" xfId="2" xr:uid="{419A98E9-C227-4320-B2F4-04B786AC5E82}"/>
    <cellStyle name="Normal 2 2 2 2" xfId="22" xr:uid="{8BBA3A51-8693-462E-B628-2CB43C35260F}"/>
    <cellStyle name="Normal 3" xfId="15" xr:uid="{FBEEA7DB-8809-4D6E-B9D7-3DA53A0555EC}"/>
    <cellStyle name="Normal 3 2" xfId="16" xr:uid="{4674EC5B-FC1C-423D-810C-E2C8494AA94D}"/>
    <cellStyle name="Normal 3 3" xfId="43" xr:uid="{00000000-0005-0000-0000-00005B000000}"/>
    <cellStyle name="Normal 4" xfId="29" xr:uid="{7E519906-8DF1-4F41-A59F-F742E0E9D3F4}"/>
    <cellStyle name="Normal 6" xfId="4" xr:uid="{D9346DCB-E790-4FB9-9A2E-E4FDCB31DEC2}"/>
    <cellStyle name="Normal 7" xfId="28" xr:uid="{61FDD604-F2DD-41FD-AE07-01AE19254E7B}"/>
    <cellStyle name="Normal 8" xfId="44" xr:uid="{C63F1DC5-D352-4A9F-9569-A7DCB4ADEE2C}"/>
    <cellStyle name="NumberForecastStyle" xfId="12" xr:uid="{FBDD9BE7-2EDF-4E72-8FB1-0B645B44067F}"/>
    <cellStyle name="NumberStyle" xfId="10" xr:uid="{D942F0B3-1062-4682-85FC-409CB231695F}"/>
    <cellStyle name="Percent" xfId="26" builtinId="5"/>
    <cellStyle name="Percent 2" xfId="45" xr:uid="{080D6C21-7726-4C85-A74E-1C24F90433F4}"/>
    <cellStyle name="Percent 2 2" xfId="27" xr:uid="{40B7D1D6-19B6-449F-8993-76D2CD48CB85}"/>
    <cellStyle name="Percent 3" xfId="8" xr:uid="{5163F046-599D-4B6F-83E2-1A2BF270A424}"/>
    <cellStyle name="Percent 5" xfId="20" xr:uid="{30EE9958-5E08-4948-ADC4-528CCE91C989}"/>
    <cellStyle name="RankingStyle" xfId="11" xr:uid="{1B22D06F-8DD9-476D-B0FA-10BF67EB8BB6}"/>
    <cellStyle name="SectionHeaderNormal" xfId="34" xr:uid="{FFE48182-91EC-44C8-B470-06B316F58B19}"/>
    <cellStyle name="SolidBackgroundStyle" xfId="14" xr:uid="{87D24670-75CB-4BC0-95ED-C9A804A170C6}"/>
    <cellStyle name="SubScript" xfId="38" xr:uid="{C88FB636-B9EC-4058-B859-45DD6FA07B64}"/>
    <cellStyle name="SuperScript" xfId="37" xr:uid="{A077C29E-2114-42BB-A284-C548DB811321}"/>
    <cellStyle name="TextBold" xfId="39" xr:uid="{52385884-EFF3-4A88-8958-29E9389450EF}"/>
    <cellStyle name="TextItalic" xfId="40" xr:uid="{FC43934D-7186-4651-A234-1E9D22C7339C}"/>
    <cellStyle name="TextNormal" xfId="36" xr:uid="{513F5B84-258B-44BE-B32C-487A18ADB1CB}"/>
    <cellStyle name="TitleNormal" xfId="30" xr:uid="{F37D4B02-E622-4D67-81A0-9B2AB99F1516}"/>
    <cellStyle name="Total 2" xfId="41" xr:uid="{074751BE-E586-440D-A975-002AD9A0FB9F}"/>
  </cellStyles>
  <dxfs count="0"/>
  <tableStyles count="0" defaultTableStyle="TableStyleMedium2" defaultPivotStyle="PivotStyleLight16"/>
  <colors>
    <mruColors>
      <color rgb="FFC2F2C8"/>
      <color rgb="FF00B050"/>
      <color rgb="FF8ED973"/>
      <color rgb="FF0000FF"/>
      <color rgb="FFFFFFCC"/>
      <color rgb="FF00B14F"/>
      <color rgb="FF6E7B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stacked"/>
        <c:varyColors val="0"/>
        <c:ser>
          <c:idx val="0"/>
          <c:order val="0"/>
          <c:tx>
            <c:strRef>
              <c:f>DCF!$D$97</c:f>
              <c:strCache>
                <c:ptCount val="1"/>
                <c:pt idx="0">
                  <c:v>Bear</c:v>
                </c:pt>
              </c:strCache>
            </c:strRef>
          </c:tx>
          <c:spPr>
            <a:noFill/>
            <a:ln>
              <a:noFill/>
            </a:ln>
            <a:effectLst/>
          </c:spPr>
          <c:invertIfNegative val="0"/>
          <c:cat>
            <c:strRef>
              <c:f>DCF!$C$98:$C$102</c:f>
              <c:strCache>
                <c:ptCount val="5"/>
                <c:pt idx="0">
                  <c:v>52W H&amp;L</c:v>
                </c:pt>
                <c:pt idx="1">
                  <c:v>Blended Valuation</c:v>
                </c:pt>
                <c:pt idx="2">
                  <c:v>Relative Valuation - EV/CY 2026 EBITDA</c:v>
                </c:pt>
                <c:pt idx="3">
                  <c:v>DCF - Gordon Growth Method</c:v>
                </c:pt>
                <c:pt idx="4">
                  <c:v>DCF - Exit Multiple Method</c:v>
                </c:pt>
              </c:strCache>
            </c:strRef>
          </c:cat>
          <c:val>
            <c:numRef>
              <c:f>DCF!$D$98:$D$102</c:f>
              <c:numCache>
                <c:formatCode>[$$-409]#,##0.00</c:formatCode>
                <c:ptCount val="5"/>
                <c:pt idx="0">
                  <c:v>3.36</c:v>
                </c:pt>
                <c:pt idx="1">
                  <c:v>5.0504384160221392</c:v>
                </c:pt>
                <c:pt idx="2">
                  <c:v>2.0823059329659883</c:v>
                </c:pt>
                <c:pt idx="3">
                  <c:v>3.3378046120692177</c:v>
                </c:pt>
                <c:pt idx="4">
                  <c:v>6.7630722199750615</c:v>
                </c:pt>
              </c:numCache>
            </c:numRef>
          </c:val>
          <c:extLst>
            <c:ext xmlns:c16="http://schemas.microsoft.com/office/drawing/2014/chart" uri="{C3380CC4-5D6E-409C-BE32-E72D297353CC}">
              <c16:uniqueId val="{00000000-D76B-44AA-8731-B6CCA9D66811}"/>
            </c:ext>
          </c:extLst>
        </c:ser>
        <c:ser>
          <c:idx val="1"/>
          <c:order val="1"/>
          <c:tx>
            <c:strRef>
              <c:f>DCF!$E$97</c:f>
              <c:strCache>
                <c:ptCount val="1"/>
                <c:pt idx="0">
                  <c:v>Diff</c:v>
                </c:pt>
              </c:strCache>
            </c:strRef>
          </c:tx>
          <c:spPr>
            <a:solidFill>
              <a:srgbClr val="00B14F"/>
            </a:solidFill>
            <a:ln>
              <a:noFill/>
            </a:ln>
            <a:effectLst/>
          </c:spPr>
          <c:invertIfNegative val="0"/>
          <c:cat>
            <c:strRef>
              <c:f>DCF!$C$98:$C$102</c:f>
              <c:strCache>
                <c:ptCount val="5"/>
                <c:pt idx="0">
                  <c:v>52W H&amp;L</c:v>
                </c:pt>
                <c:pt idx="1">
                  <c:v>Blended Valuation</c:v>
                </c:pt>
                <c:pt idx="2">
                  <c:v>Relative Valuation - EV/CY 2026 EBITDA</c:v>
                </c:pt>
                <c:pt idx="3">
                  <c:v>DCF - Gordon Growth Method</c:v>
                </c:pt>
                <c:pt idx="4">
                  <c:v>DCF - Exit Multiple Method</c:v>
                </c:pt>
              </c:strCache>
            </c:strRef>
          </c:cat>
          <c:val>
            <c:numRef>
              <c:f>DCF!$E$98:$E$102</c:f>
              <c:numCache>
                <c:formatCode>[$$-409]#,##0.00</c:formatCode>
                <c:ptCount val="5"/>
                <c:pt idx="0">
                  <c:v>3.2600000000000002</c:v>
                </c:pt>
                <c:pt idx="1">
                  <c:v>7.2692648481802298</c:v>
                </c:pt>
                <c:pt idx="2">
                  <c:v>3.1083824576586259</c:v>
                </c:pt>
                <c:pt idx="3">
                  <c:v>5.0487151956229317</c:v>
                </c:pt>
                <c:pt idx="4">
                  <c:v>9.489814500737527</c:v>
                </c:pt>
              </c:numCache>
            </c:numRef>
          </c:val>
          <c:extLst>
            <c:ext xmlns:c16="http://schemas.microsoft.com/office/drawing/2014/chart" uri="{C3380CC4-5D6E-409C-BE32-E72D297353CC}">
              <c16:uniqueId val="{00000001-D76B-44AA-8731-B6CCA9D66811}"/>
            </c:ext>
          </c:extLst>
        </c:ser>
        <c:ser>
          <c:idx val="2"/>
          <c:order val="2"/>
          <c:tx>
            <c:strRef>
              <c:f>DCF!$F$97</c:f>
              <c:strCache>
                <c:ptCount val="1"/>
                <c:pt idx="0">
                  <c:v>Bull</c:v>
                </c:pt>
              </c:strCache>
            </c:strRef>
          </c:tx>
          <c:spPr>
            <a:noFill/>
            <a:ln>
              <a:noFill/>
            </a:ln>
            <a:effectLst/>
          </c:spPr>
          <c:invertIfNegative val="0"/>
          <c:cat>
            <c:strRef>
              <c:f>DCF!$C$98:$C$102</c:f>
              <c:strCache>
                <c:ptCount val="5"/>
                <c:pt idx="0">
                  <c:v>52W H&amp;L</c:v>
                </c:pt>
                <c:pt idx="1">
                  <c:v>Blended Valuation</c:v>
                </c:pt>
                <c:pt idx="2">
                  <c:v>Relative Valuation - EV/CY 2026 EBITDA</c:v>
                </c:pt>
                <c:pt idx="3">
                  <c:v>DCF - Gordon Growth Method</c:v>
                </c:pt>
                <c:pt idx="4">
                  <c:v>DCF - Exit Multiple Method</c:v>
                </c:pt>
              </c:strCache>
            </c:strRef>
          </c:cat>
          <c:val>
            <c:numRef>
              <c:f>DCF!$F$98:$F$102</c:f>
              <c:numCache>
                <c:formatCode>[$$-409]#,##0.00</c:formatCode>
                <c:ptCount val="5"/>
                <c:pt idx="0">
                  <c:v>6.62</c:v>
                </c:pt>
                <c:pt idx="1">
                  <c:v>12.319703264202369</c:v>
                </c:pt>
                <c:pt idx="2">
                  <c:v>5.1906883906246142</c:v>
                </c:pt>
                <c:pt idx="3">
                  <c:v>8.3865198076921494</c:v>
                </c:pt>
                <c:pt idx="4">
                  <c:v>16.252886720712588</c:v>
                </c:pt>
              </c:numCache>
            </c:numRef>
          </c:val>
          <c:extLst>
            <c:ext xmlns:c16="http://schemas.microsoft.com/office/drawing/2014/chart" uri="{C3380CC4-5D6E-409C-BE32-E72D297353CC}">
              <c16:uniqueId val="{00000002-D76B-44AA-8731-B6CCA9D66811}"/>
            </c:ext>
          </c:extLst>
        </c:ser>
        <c:dLbls>
          <c:showLegendKey val="0"/>
          <c:showVal val="0"/>
          <c:showCatName val="0"/>
          <c:showSerName val="0"/>
          <c:showPercent val="0"/>
          <c:showBubbleSize val="0"/>
        </c:dLbls>
        <c:gapWidth val="150"/>
        <c:overlap val="100"/>
        <c:axId val="1787149360"/>
        <c:axId val="96312480"/>
      </c:barChart>
      <c:catAx>
        <c:axId val="1787149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6312480"/>
        <c:crosses val="autoZero"/>
        <c:auto val="1"/>
        <c:lblAlgn val="ctr"/>
        <c:lblOffset val="100"/>
        <c:noMultiLvlLbl val="0"/>
      </c:catAx>
      <c:valAx>
        <c:axId val="96312480"/>
        <c:scaling>
          <c:orientation val="minMax"/>
          <c:max val="16"/>
          <c:min val="0"/>
        </c:scaling>
        <c:delete val="0"/>
        <c:axPos val="b"/>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787149360"/>
        <c:crosses val="autoZero"/>
        <c:crossBetween val="between"/>
        <c:majorUnit val="4"/>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686199</xdr:colOff>
      <xdr:row>105</xdr:row>
      <xdr:rowOff>189939</xdr:rowOff>
    </xdr:from>
    <xdr:to>
      <xdr:col>2</xdr:col>
      <xdr:colOff>5263802</xdr:colOff>
      <xdr:row>118</xdr:row>
      <xdr:rowOff>96451</xdr:rowOff>
    </xdr:to>
    <xdr:graphicFrame macro="">
      <xdr:nvGraphicFramePr>
        <xdr:cNvPr id="4" name="Chart 1">
          <a:extLst>
            <a:ext uri="{FF2B5EF4-FFF2-40B4-BE49-F238E27FC236}">
              <a16:creationId xmlns:a16="http://schemas.microsoft.com/office/drawing/2014/main" id="{32D9076F-2288-3ED3-E2D6-7A8CCC910C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958850</xdr:colOff>
      <xdr:row>2</xdr:row>
      <xdr:rowOff>88900</xdr:rowOff>
    </xdr:to>
    <xdr:pic>
      <xdr:nvPicPr>
        <xdr:cNvPr id="2" name="Picture 2">
          <a:extLst>
            <a:ext uri="{FF2B5EF4-FFF2-40B4-BE49-F238E27FC236}">
              <a16:creationId xmlns:a16="http://schemas.microsoft.com/office/drawing/2014/main" id="{25A216CD-3033-4E97-AA29-45B7F18BBA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885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249</xdr:row>
      <xdr:rowOff>0</xdr:rowOff>
    </xdr:from>
    <xdr:to>
      <xdr:col>0</xdr:col>
      <xdr:colOff>12700</xdr:colOff>
      <xdr:row>249</xdr:row>
      <xdr:rowOff>12700</xdr:rowOff>
    </xdr:to>
    <xdr:pic>
      <xdr:nvPicPr>
        <xdr:cNvPr id="3" name="Picture 3">
          <a:extLst>
            <a:ext uri="{FF2B5EF4-FFF2-40B4-BE49-F238E27FC236}">
              <a16:creationId xmlns:a16="http://schemas.microsoft.com/office/drawing/2014/main" id="{C6C39426-FC5C-4764-8ED9-18F71645E8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204210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415</xdr:row>
      <xdr:rowOff>0</xdr:rowOff>
    </xdr:from>
    <xdr:to>
      <xdr:col>0</xdr:col>
      <xdr:colOff>12700</xdr:colOff>
      <xdr:row>415</xdr:row>
      <xdr:rowOff>12700</xdr:rowOff>
    </xdr:to>
    <xdr:pic>
      <xdr:nvPicPr>
        <xdr:cNvPr id="4" name="Picture 4">
          <a:extLst>
            <a:ext uri="{FF2B5EF4-FFF2-40B4-BE49-F238E27FC236}">
              <a16:creationId xmlns:a16="http://schemas.microsoft.com/office/drawing/2014/main" id="{C03B6AFB-2427-4E28-85B2-9CCF2E9C9C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3384450"/>
          <a:ext cx="1270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421</xdr:row>
      <xdr:rowOff>0</xdr:rowOff>
    </xdr:from>
    <xdr:to>
      <xdr:col>0</xdr:col>
      <xdr:colOff>12700</xdr:colOff>
      <xdr:row>421</xdr:row>
      <xdr:rowOff>6350</xdr:rowOff>
    </xdr:to>
    <xdr:pic>
      <xdr:nvPicPr>
        <xdr:cNvPr id="5" name="Picture 5">
          <a:extLst>
            <a:ext uri="{FF2B5EF4-FFF2-40B4-BE49-F238E27FC236}">
              <a16:creationId xmlns:a16="http://schemas.microsoft.com/office/drawing/2014/main" id="{E547FFB9-E2D9-47DE-8432-33555AEE96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241700"/>
          <a:ext cx="12700" cy="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958850</xdr:colOff>
      <xdr:row>2</xdr:row>
      <xdr:rowOff>88900</xdr:rowOff>
    </xdr:to>
    <xdr:pic>
      <xdr:nvPicPr>
        <xdr:cNvPr id="2" name="Picture 2">
          <a:extLst>
            <a:ext uri="{FF2B5EF4-FFF2-40B4-BE49-F238E27FC236}">
              <a16:creationId xmlns:a16="http://schemas.microsoft.com/office/drawing/2014/main" id="{AB78CDEF-2314-4F01-A6C9-636761B18E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885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54</xdr:row>
      <xdr:rowOff>0</xdr:rowOff>
    </xdr:from>
    <xdr:to>
      <xdr:col>3</xdr:col>
      <xdr:colOff>800100</xdr:colOff>
      <xdr:row>56</xdr:row>
      <xdr:rowOff>95250</xdr:rowOff>
    </xdr:to>
    <xdr:pic>
      <xdr:nvPicPr>
        <xdr:cNvPr id="3" name="Picture 3">
          <a:extLst>
            <a:ext uri="{FF2B5EF4-FFF2-40B4-BE49-F238E27FC236}">
              <a16:creationId xmlns:a16="http://schemas.microsoft.com/office/drawing/2014/main" id="{7DFAB483-7D01-48BB-B6E8-6CDA1B8E10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48400" y="7727950"/>
          <a:ext cx="800100" cy="53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0</xdr:rowOff>
    </xdr:from>
    <xdr:to>
      <xdr:col>0</xdr:col>
      <xdr:colOff>958850</xdr:colOff>
      <xdr:row>2</xdr:row>
      <xdr:rowOff>88900</xdr:rowOff>
    </xdr:to>
    <xdr:pic>
      <xdr:nvPicPr>
        <xdr:cNvPr id="4" name="Picture 2">
          <a:extLst>
            <a:ext uri="{FF2B5EF4-FFF2-40B4-BE49-F238E27FC236}">
              <a16:creationId xmlns:a16="http://schemas.microsoft.com/office/drawing/2014/main" id="{9BC1A7BF-6EE6-4E2D-A686-AAA8E6D51C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885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54</xdr:row>
      <xdr:rowOff>0</xdr:rowOff>
    </xdr:from>
    <xdr:to>
      <xdr:col>3</xdr:col>
      <xdr:colOff>800100</xdr:colOff>
      <xdr:row>56</xdr:row>
      <xdr:rowOff>95250</xdr:rowOff>
    </xdr:to>
    <xdr:pic>
      <xdr:nvPicPr>
        <xdr:cNvPr id="5" name="Picture 3">
          <a:extLst>
            <a:ext uri="{FF2B5EF4-FFF2-40B4-BE49-F238E27FC236}">
              <a16:creationId xmlns:a16="http://schemas.microsoft.com/office/drawing/2014/main" id="{C5280B22-4090-436C-B3B7-F5855025F0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48400" y="7727950"/>
          <a:ext cx="800100" cy="53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958850</xdr:colOff>
      <xdr:row>2</xdr:row>
      <xdr:rowOff>88900</xdr:rowOff>
    </xdr:to>
    <xdr:pic>
      <xdr:nvPicPr>
        <xdr:cNvPr id="2" name="Picture 2">
          <a:extLst>
            <a:ext uri="{FF2B5EF4-FFF2-40B4-BE49-F238E27FC236}">
              <a16:creationId xmlns:a16="http://schemas.microsoft.com/office/drawing/2014/main" id="{C5EB475E-DAF1-4AF2-B86F-B0E8FBD12B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885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54</xdr:row>
      <xdr:rowOff>0</xdr:rowOff>
    </xdr:from>
    <xdr:to>
      <xdr:col>3</xdr:col>
      <xdr:colOff>800100</xdr:colOff>
      <xdr:row>56</xdr:row>
      <xdr:rowOff>95250</xdr:rowOff>
    </xdr:to>
    <xdr:pic>
      <xdr:nvPicPr>
        <xdr:cNvPr id="3" name="Picture 3">
          <a:extLst>
            <a:ext uri="{FF2B5EF4-FFF2-40B4-BE49-F238E27FC236}">
              <a16:creationId xmlns:a16="http://schemas.microsoft.com/office/drawing/2014/main" id="{AE74ADD1-ED9A-46CB-8DB3-98B97C6F31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48400" y="7727950"/>
          <a:ext cx="800100" cy="53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illon/Downloads/TTWO%20Model.xlsx" TargetMode="External"/><Relationship Id="rId1" Type="http://schemas.openxmlformats.org/officeDocument/2006/relationships/externalLinkPath" Target="https://nusu.sharepoint.com/sites/NCC_q-izx7/Shared%20Documents/General/TTWO%20Mode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Dillon/Downloads/CITADEL-NUSINVEST2025_Alpha%20Capital_Model.xlsx" TargetMode="External"/><Relationship Id="rId1" Type="http://schemas.openxmlformats.org/officeDocument/2006/relationships/externalLinkPath" Target="https://nusu.sharepoint.com/sites/NCC_q-izx7/Shared%20Documents/General/CITADEL-NUSINVEST2025_Alpha%20Capital_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3FS"/>
      <sheetName val="Relative Valuation"/>
      <sheetName val="CIQ Trading Multiples"/>
      <sheetName val="Projections"/>
      <sheetName val="Debt &amp; Equity"/>
      <sheetName val="Intangibles"/>
      <sheetName val="PPE"/>
      <sheetName val="Revenue Build"/>
      <sheetName val="PC &amp; Others Breakdown"/>
      <sheetName val="Console Breakdown"/>
      <sheetName val="Mobile Breakdown"/>
      <sheetName val="PC Market"/>
      <sheetName val="Consoles"/>
      <sheetName val="Quick Info"/>
      <sheetName val="Mobile Phones"/>
      <sheetName val="Inflation"/>
    </sheetNames>
    <sheetDataSet>
      <sheetData sheetId="0">
        <row r="11">
          <cell r="D11" t="str">
            <v>Base Case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Valuation&gt;&gt;"/>
      <sheetName val="Trading Comps_Summary"/>
      <sheetName val="DCF"/>
      <sheetName val="3FS"/>
      <sheetName val="WACC"/>
      <sheetName val="Drivers&gt;&gt;"/>
      <sheetName val="Revenue Build"/>
      <sheetName val="Projections"/>
      <sheetName val="PPE"/>
      <sheetName val="Intangibles"/>
      <sheetName val="Debt &amp; Equity"/>
      <sheetName val="References&gt;&gt;"/>
      <sheetName val="Operating Metrics&gt;&gt;"/>
      <sheetName val="Data for Report"/>
      <sheetName val="Macro Data "/>
      <sheetName val="C.Order Intake"/>
      <sheetName val="Trading Comps_Raw"/>
      <sheetName val="Damodaran"/>
    </sheetNames>
    <sheetDataSet>
      <sheetData sheetId="0">
        <row r="7">
          <cell r="F7" t="str">
            <v>DMG Mori Co., Ltd.</v>
          </cell>
        </row>
        <row r="8">
          <cell r="F8" t="str">
            <v>TSE</v>
          </cell>
        </row>
        <row r="9">
          <cell r="F9">
            <v>6141</v>
          </cell>
        </row>
        <row r="10">
          <cell r="F10" t="str">
            <v>JPY Bn</v>
          </cell>
        </row>
      </sheetData>
      <sheetData sheetId="1" refreshError="1"/>
      <sheetData sheetId="2"/>
      <sheetData sheetId="3" refreshError="1"/>
      <sheetData sheetId="4" refreshError="1"/>
      <sheetData sheetId="5" refreshError="1"/>
      <sheetData sheetId="6" refreshError="1"/>
      <sheetData sheetId="7" refreshError="1"/>
      <sheetData sheetId="8" refreshError="1">
        <row r="7">
          <cell r="L7">
            <v>25</v>
          </cell>
          <cell r="M7">
            <v>26</v>
          </cell>
          <cell r="N7">
            <v>27</v>
          </cell>
          <cell r="O7">
            <v>28</v>
          </cell>
          <cell r="P7">
            <v>29</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D5554-8EED-4F22-810F-E01C95A38279}">
  <dimension ref="B2:Q158"/>
  <sheetViews>
    <sheetView showGridLines="0" zoomScale="55" zoomScaleNormal="55" workbookViewId="0">
      <selection activeCell="B36" sqref="B36"/>
    </sheetView>
  </sheetViews>
  <sheetFormatPr baseColWidth="10" defaultColWidth="11.5" defaultRowHeight="21"/>
  <cols>
    <col min="1" max="1" width="3.5" style="4" customWidth="1"/>
    <col min="2" max="2" width="70.5" style="4" customWidth="1"/>
    <col min="3" max="3" width="27" style="4" customWidth="1"/>
    <col min="4" max="4" width="26.5" style="4" customWidth="1"/>
    <col min="5" max="5" width="11.5" style="4"/>
    <col min="6" max="6" width="25.5" style="4" customWidth="1"/>
    <col min="7" max="16384" width="11.5" style="4"/>
  </cols>
  <sheetData>
    <row r="2" spans="2:8" ht="35">
      <c r="B2" s="1" t="str">
        <f>Cover!$C$7&amp;" ("&amp;Cover!$C$8&amp;": "&amp;Cover!$C$9&amp;")"</f>
        <v>Grab Holdings Limited (NASDAQ: GRAB)</v>
      </c>
      <c r="C2" s="2"/>
      <c r="D2" s="2"/>
      <c r="E2" s="2"/>
      <c r="F2" s="2"/>
      <c r="G2" s="2"/>
      <c r="H2" s="3"/>
    </row>
    <row r="3" spans="2:8">
      <c r="B3" s="5"/>
      <c r="C3" s="6"/>
      <c r="D3" s="6"/>
      <c r="E3" s="6"/>
      <c r="F3" s="6"/>
      <c r="G3" s="6"/>
      <c r="H3" s="7"/>
    </row>
    <row r="4" spans="2:8">
      <c r="B4" s="8" t="s">
        <v>0</v>
      </c>
      <c r="C4" s="9">
        <f ca="1">TODAY()</f>
        <v>46034</v>
      </c>
      <c r="D4" s="6"/>
      <c r="E4" s="6"/>
      <c r="F4" s="6"/>
      <c r="G4" s="6"/>
      <c r="H4" s="7"/>
    </row>
    <row r="5" spans="2:8">
      <c r="B5" s="10" t="s">
        <v>1</v>
      </c>
      <c r="C5" s="11"/>
      <c r="D5" s="11"/>
      <c r="E5" s="11"/>
      <c r="F5" s="11"/>
      <c r="G5" s="11"/>
      <c r="H5" s="12"/>
    </row>
    <row r="6" spans="2:8">
      <c r="B6" s="13"/>
      <c r="C6" s="14"/>
      <c r="D6" s="14"/>
      <c r="E6" s="14"/>
      <c r="F6" s="14"/>
      <c r="G6" s="14"/>
      <c r="H6" s="15"/>
    </row>
    <row r="7" spans="2:8">
      <c r="B7" s="13" t="s">
        <v>2</v>
      </c>
      <c r="C7" s="16" t="s">
        <v>3</v>
      </c>
      <c r="D7" s="14"/>
      <c r="E7" s="14"/>
      <c r="F7" s="14"/>
      <c r="G7" s="14"/>
      <c r="H7" s="15"/>
    </row>
    <row r="8" spans="2:8">
      <c r="B8" s="13" t="s">
        <v>4</v>
      </c>
      <c r="C8" s="17" t="s">
        <v>5</v>
      </c>
      <c r="D8" s="14"/>
      <c r="E8" s="14"/>
      <c r="F8" s="14"/>
      <c r="G8" s="14"/>
      <c r="H8" s="15"/>
    </row>
    <row r="9" spans="2:8">
      <c r="B9" s="13" t="s">
        <v>6</v>
      </c>
      <c r="C9" s="17" t="s">
        <v>7</v>
      </c>
      <c r="D9" s="14"/>
      <c r="E9" s="14"/>
      <c r="F9" s="14"/>
      <c r="G9" s="14"/>
      <c r="H9" s="15"/>
    </row>
    <row r="10" spans="2:8">
      <c r="B10" s="13" t="s">
        <v>8</v>
      </c>
      <c r="C10" s="17" t="s">
        <v>9</v>
      </c>
      <c r="D10" s="14"/>
      <c r="E10" s="14"/>
      <c r="F10" s="14"/>
      <c r="G10" s="14"/>
      <c r="H10" s="15"/>
    </row>
    <row r="11" spans="2:8">
      <c r="B11" s="13" t="s">
        <v>10</v>
      </c>
      <c r="C11" s="17" t="s">
        <v>11</v>
      </c>
      <c r="D11" s="14"/>
      <c r="E11" s="14"/>
      <c r="F11" s="14"/>
      <c r="G11" s="14"/>
      <c r="H11" s="15"/>
    </row>
    <row r="12" spans="2:8">
      <c r="B12" s="18"/>
      <c r="D12" s="14"/>
      <c r="E12" s="14"/>
      <c r="F12" s="14"/>
      <c r="G12" s="14"/>
      <c r="H12" s="15"/>
    </row>
    <row r="13" spans="2:8">
      <c r="B13" s="10" t="s">
        <v>12</v>
      </c>
      <c r="C13" s="11"/>
      <c r="D13" s="19"/>
      <c r="E13" s="19"/>
      <c r="F13" s="11"/>
      <c r="G13" s="19"/>
      <c r="H13" s="20"/>
    </row>
    <row r="14" spans="2:8">
      <c r="B14" s="18"/>
      <c r="D14" s="14"/>
      <c r="E14" s="14"/>
      <c r="F14" s="14"/>
      <c r="G14" s="14"/>
      <c r="H14" s="15"/>
    </row>
    <row r="15" spans="2:8">
      <c r="B15" s="13" t="s">
        <v>13</v>
      </c>
      <c r="C15" s="647">
        <f ca="1">DCF!D51</f>
        <v>5.4653113567760965</v>
      </c>
      <c r="D15" s="649">
        <v>0.4</v>
      </c>
      <c r="E15" s="14"/>
      <c r="F15" s="14"/>
      <c r="G15" s="14"/>
      <c r="H15" s="15"/>
    </row>
    <row r="16" spans="2:8">
      <c r="B16" s="13" t="s">
        <v>14</v>
      </c>
      <c r="C16" s="647">
        <f ca="1">DCF!N51</f>
        <v>10.769890636890342</v>
      </c>
      <c r="D16" s="649">
        <v>0.4</v>
      </c>
      <c r="E16" s="14"/>
      <c r="F16" s="14"/>
      <c r="G16" s="14"/>
      <c r="H16" s="15"/>
    </row>
    <row r="17" spans="2:17">
      <c r="B17" s="13" t="s">
        <v>15</v>
      </c>
      <c r="C17" s="648">
        <f ca="1">'Trading Comps'!F204</f>
        <v>3.569755401402769</v>
      </c>
      <c r="D17" s="650">
        <v>0.2</v>
      </c>
      <c r="E17" s="14"/>
      <c r="F17" s="14"/>
      <c r="G17" s="14"/>
      <c r="H17" s="15"/>
    </row>
    <row r="18" spans="2:17">
      <c r="B18" s="629" t="s">
        <v>16</v>
      </c>
      <c r="C18" s="630">
        <f ca="1">SUMPRODUCT(C15:C17,D15:D17)</f>
        <v>7.2080318777471293</v>
      </c>
      <c r="D18" s="651">
        <f>SUM(D15:D17)</f>
        <v>1</v>
      </c>
      <c r="E18" s="14"/>
      <c r="F18" s="14"/>
      <c r="G18" s="14"/>
      <c r="H18" s="15"/>
    </row>
    <row r="19" spans="2:17">
      <c r="B19" s="13" t="s">
        <v>17</v>
      </c>
      <c r="C19" s="632">
        <v>5.27</v>
      </c>
      <c r="D19" s="14"/>
      <c r="E19" s="14"/>
      <c r="F19" s="14"/>
      <c r="G19" s="14"/>
      <c r="H19" s="15"/>
    </row>
    <row r="20" spans="2:17">
      <c r="B20" s="631" t="s">
        <v>18</v>
      </c>
      <c r="C20" s="633">
        <f ca="1">(C18-C19)/C19</f>
        <v>0.36774798439224476</v>
      </c>
      <c r="D20" s="14"/>
      <c r="E20" s="14"/>
      <c r="F20" s="14"/>
      <c r="G20" s="14"/>
      <c r="H20" s="15"/>
    </row>
    <row r="21" spans="2:17">
      <c r="B21" s="18"/>
      <c r="D21" s="14"/>
      <c r="E21" s="14"/>
      <c r="F21" s="14"/>
      <c r="G21" s="14"/>
      <c r="H21" s="15"/>
    </row>
    <row r="22" spans="2:17">
      <c r="B22" s="10" t="s">
        <v>19</v>
      </c>
      <c r="C22" s="11"/>
      <c r="D22" s="19"/>
      <c r="E22" s="19"/>
      <c r="F22" s="11"/>
      <c r="G22" s="19"/>
      <c r="H22" s="20"/>
    </row>
    <row r="23" spans="2:17">
      <c r="B23" s="883" t="s">
        <v>20</v>
      </c>
      <c r="C23" s="884"/>
      <c r="D23" s="884"/>
      <c r="E23" s="884"/>
      <c r="F23" s="884"/>
      <c r="G23" s="884"/>
      <c r="H23" s="885"/>
    </row>
    <row r="24" spans="2:17">
      <c r="B24" s="886"/>
      <c r="C24" s="887"/>
      <c r="D24" s="887"/>
      <c r="E24" s="887"/>
      <c r="F24" s="887"/>
      <c r="G24" s="887"/>
      <c r="H24" s="888"/>
    </row>
    <row r="25" spans="2:17">
      <c r="B25" s="886"/>
      <c r="C25" s="887"/>
      <c r="D25" s="887"/>
      <c r="E25" s="887"/>
      <c r="F25" s="887"/>
      <c r="G25" s="887"/>
      <c r="H25" s="888"/>
      <c r="Q25" s="632"/>
    </row>
    <row r="26" spans="2:17">
      <c r="B26" s="886"/>
      <c r="C26" s="887"/>
      <c r="D26" s="887"/>
      <c r="E26" s="887"/>
      <c r="F26" s="887"/>
      <c r="G26" s="887"/>
      <c r="H26" s="888"/>
      <c r="Q26" s="632"/>
    </row>
    <row r="27" spans="2:17">
      <c r="B27" s="886"/>
      <c r="C27" s="887"/>
      <c r="D27" s="887"/>
      <c r="E27" s="887"/>
      <c r="F27" s="887"/>
      <c r="G27" s="887"/>
      <c r="H27" s="888"/>
      <c r="Q27" s="881"/>
    </row>
    <row r="28" spans="2:17">
      <c r="B28" s="886"/>
      <c r="C28" s="887"/>
      <c r="D28" s="887"/>
      <c r="E28" s="887"/>
      <c r="F28" s="887"/>
      <c r="G28" s="887"/>
      <c r="H28" s="888"/>
    </row>
    <row r="29" spans="2:17">
      <c r="B29" s="10" t="s">
        <v>21</v>
      </c>
      <c r="C29" s="11"/>
      <c r="D29" s="19"/>
      <c r="E29" s="19"/>
      <c r="F29" s="11"/>
      <c r="G29" s="19"/>
      <c r="H29" s="20"/>
    </row>
    <row r="30" spans="2:17">
      <c r="B30" s="18"/>
      <c r="C30" s="21"/>
      <c r="D30" s="14"/>
      <c r="E30" s="14"/>
      <c r="F30" s="14"/>
      <c r="G30" s="14"/>
      <c r="H30" s="15"/>
    </row>
    <row r="31" spans="2:17">
      <c r="B31" s="22" t="s">
        <v>22</v>
      </c>
      <c r="C31" s="23"/>
      <c r="D31" s="21"/>
      <c r="E31" s="21"/>
      <c r="F31" s="23" t="s">
        <v>23</v>
      </c>
      <c r="G31" s="23" t="s">
        <v>24</v>
      </c>
      <c r="H31" s="24"/>
    </row>
    <row r="32" spans="2:17">
      <c r="B32" s="13" t="s">
        <v>25</v>
      </c>
      <c r="C32" s="25">
        <v>0.105</v>
      </c>
      <c r="D32" s="14"/>
      <c r="E32" s="14"/>
      <c r="F32" s="26" t="s">
        <v>26</v>
      </c>
      <c r="G32" s="27" t="s">
        <v>27</v>
      </c>
      <c r="H32" s="15"/>
    </row>
    <row r="33" spans="2:13">
      <c r="B33" s="13" t="s">
        <v>28</v>
      </c>
      <c r="C33" s="28">
        <v>-100000</v>
      </c>
      <c r="D33" s="14"/>
      <c r="E33" s="14"/>
      <c r="F33" s="29" t="s">
        <v>29</v>
      </c>
      <c r="G33" s="14" t="s">
        <v>30</v>
      </c>
      <c r="H33" s="15"/>
      <c r="M33" s="795"/>
    </row>
    <row r="34" spans="2:13">
      <c r="B34" s="13" t="s">
        <v>31</v>
      </c>
      <c r="C34" s="30" t="s">
        <v>32</v>
      </c>
      <c r="D34" s="14"/>
      <c r="E34" s="14"/>
      <c r="F34" s="27" t="s">
        <v>33</v>
      </c>
      <c r="G34" s="14" t="s">
        <v>34</v>
      </c>
      <c r="H34" s="15"/>
    </row>
    <row r="35" spans="2:13">
      <c r="B35" s="13" t="s">
        <v>35</v>
      </c>
      <c r="C35" s="31" t="s">
        <v>36</v>
      </c>
      <c r="D35" s="14"/>
      <c r="E35" s="14"/>
      <c r="F35" s="32" t="s">
        <v>37</v>
      </c>
      <c r="G35" s="14" t="s">
        <v>38</v>
      </c>
      <c r="H35" s="15"/>
    </row>
    <row r="36" spans="2:13">
      <c r="B36" s="33" t="s">
        <v>39</v>
      </c>
      <c r="C36" s="34">
        <v>-20334.117949039999</v>
      </c>
      <c r="D36" s="35"/>
      <c r="E36" s="35"/>
      <c r="F36" s="35" t="s">
        <v>40</v>
      </c>
      <c r="G36" s="35" t="s">
        <v>38</v>
      </c>
      <c r="H36" s="36"/>
    </row>
    <row r="126" spans="3:3">
      <c r="C126" s="37"/>
    </row>
    <row r="127" spans="3:3">
      <c r="C127" s="4" t="s">
        <v>41</v>
      </c>
    </row>
    <row r="128" spans="3:3">
      <c r="C128" s="37"/>
    </row>
    <row r="129" spans="3:3">
      <c r="C129" s="37"/>
    </row>
    <row r="130" spans="3:3">
      <c r="C130" s="37"/>
    </row>
    <row r="131" spans="3:3">
      <c r="C131" s="37"/>
    </row>
    <row r="132" spans="3:3">
      <c r="C132" s="37"/>
    </row>
    <row r="133" spans="3:3">
      <c r="C133" s="37"/>
    </row>
    <row r="134" spans="3:3">
      <c r="C134" s="37"/>
    </row>
    <row r="135" spans="3:3">
      <c r="C135" s="37"/>
    </row>
    <row r="136" spans="3:3">
      <c r="C136" s="37"/>
    </row>
    <row r="137" spans="3:3">
      <c r="C137" s="37"/>
    </row>
    <row r="138" spans="3:3">
      <c r="C138" s="37"/>
    </row>
    <row r="140" spans="3:3">
      <c r="C140" s="37"/>
    </row>
    <row r="141" spans="3:3">
      <c r="C141" s="37"/>
    </row>
    <row r="142" spans="3:3">
      <c r="C142" s="37"/>
    </row>
    <row r="143" spans="3:3">
      <c r="C143" s="37"/>
    </row>
    <row r="144" spans="3:3">
      <c r="C144" s="37"/>
    </row>
    <row r="145" spans="3:3">
      <c r="C145" s="37"/>
    </row>
    <row r="146" spans="3:3">
      <c r="C146" s="37"/>
    </row>
    <row r="147" spans="3:3">
      <c r="C147" s="37"/>
    </row>
    <row r="151" spans="3:3">
      <c r="C151" s="37"/>
    </row>
    <row r="152" spans="3:3">
      <c r="C152" s="37"/>
    </row>
    <row r="153" spans="3:3">
      <c r="C153" s="37"/>
    </row>
    <row r="154" spans="3:3">
      <c r="C154" s="37"/>
    </row>
    <row r="155" spans="3:3">
      <c r="C155" s="37"/>
    </row>
    <row r="156" spans="3:3">
      <c r="C156" s="37"/>
    </row>
    <row r="157" spans="3:3">
      <c r="C157" s="37"/>
    </row>
    <row r="158" spans="3:3">
      <c r="C158" s="37"/>
    </row>
  </sheetData>
  <mergeCells count="1">
    <mergeCell ref="B23:H28"/>
  </mergeCells>
  <dataValidations count="1">
    <dataValidation type="list" allowBlank="1" showInputMessage="1" showErrorMessage="1" sqref="C11" xr:uid="{A3740230-47E1-48BB-9E15-B70F62240949}">
      <formula1>"Bull Case, Base Case, Bear Case"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8A2E-D433-4CDE-8180-A4F4B2B5C550}">
  <sheetPr>
    <tabColor rgb="FF00B14F"/>
  </sheetPr>
  <dimension ref="A1"/>
  <sheetViews>
    <sheetView showGridLines="0" topLeftCell="A1048491" workbookViewId="0">
      <selection activeCell="A1048576" sqref="A1048576"/>
    </sheetView>
  </sheetViews>
  <sheetFormatPr baseColWidth="10" defaultColWidth="8.83203125"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C66DC-8793-423B-B004-CCDF76635018}">
  <dimension ref="A1:U154"/>
  <sheetViews>
    <sheetView showGridLines="0" topLeftCell="A47" zoomScale="70" zoomScaleNormal="70" workbookViewId="0">
      <selection activeCell="B68" sqref="B68"/>
    </sheetView>
  </sheetViews>
  <sheetFormatPr baseColWidth="10" defaultColWidth="8.5" defaultRowHeight="16"/>
  <cols>
    <col min="1" max="1" width="8.5" style="38"/>
    <col min="2" max="2" width="85.83203125" style="38" customWidth="1"/>
    <col min="3" max="3" width="12.1640625" style="38" customWidth="1"/>
    <col min="4" max="13" width="15.5" style="38" customWidth="1"/>
    <col min="14" max="16" width="8.5" style="38"/>
    <col min="17" max="17" width="9.5" style="38" bestFit="1" customWidth="1"/>
    <col min="18" max="19" width="10.1640625" style="38" bestFit="1" customWidth="1"/>
    <col min="20" max="21" width="9.5" style="38" bestFit="1" customWidth="1"/>
    <col min="22" max="16384" width="8.5" style="38"/>
  </cols>
  <sheetData>
    <row r="1" spans="2:21" s="64" customFormat="1" ht="35">
      <c r="B1" s="1" t="str">
        <f>Cover!$C$7&amp;" ("&amp;Cover!$C$8&amp;": "&amp;Cover!$C$9&amp;")"</f>
        <v>Grab Holdings Limited (NASDAQ: GRAB)</v>
      </c>
      <c r="C1" s="48"/>
      <c r="D1" s="48"/>
      <c r="E1" s="48"/>
      <c r="F1" s="48"/>
      <c r="G1" s="48"/>
      <c r="H1" s="48"/>
      <c r="I1" s="48"/>
      <c r="J1" s="48"/>
      <c r="K1" s="48"/>
      <c r="L1" s="48"/>
      <c r="M1" s="48"/>
    </row>
    <row r="2" spans="2:21" s="64" customFormat="1">
      <c r="B2" s="48"/>
      <c r="C2" s="48"/>
      <c r="D2" s="48"/>
      <c r="E2" s="48"/>
      <c r="F2" s="48"/>
      <c r="G2" s="48"/>
      <c r="H2" s="48"/>
      <c r="I2" s="48"/>
      <c r="J2" s="48"/>
      <c r="K2" s="48"/>
      <c r="L2" s="48"/>
      <c r="M2" s="48"/>
    </row>
    <row r="3" spans="2:21" s="64" customFormat="1">
      <c r="B3" s="488" t="s">
        <v>42</v>
      </c>
      <c r="C3" s="652">
        <f ca="1">Cover!$C$18</f>
        <v>7.2080318777471293</v>
      </c>
      <c r="D3" s="48"/>
      <c r="E3" s="48"/>
      <c r="F3" s="48"/>
      <c r="G3" s="48"/>
      <c r="H3" s="48"/>
      <c r="I3" s="48"/>
      <c r="J3" s="48"/>
      <c r="K3" s="48"/>
      <c r="L3" s="48"/>
      <c r="M3" s="48"/>
    </row>
    <row r="4" spans="2:21" s="64" customFormat="1">
      <c r="B4" s="491" t="s">
        <v>10</v>
      </c>
      <c r="C4" s="376" t="s">
        <v>11</v>
      </c>
      <c r="D4" s="47"/>
      <c r="E4" s="48"/>
      <c r="F4" s="48"/>
      <c r="G4" s="48"/>
      <c r="H4" s="48"/>
      <c r="I4" s="48"/>
      <c r="J4" s="48"/>
      <c r="K4" s="48"/>
      <c r="L4" s="48"/>
      <c r="M4" s="48"/>
    </row>
    <row r="5" spans="2:21" s="64" customFormat="1" ht="19">
      <c r="B5" s="47"/>
      <c r="C5" s="48"/>
      <c r="D5" s="49" t="s">
        <v>43</v>
      </c>
      <c r="E5" s="49"/>
      <c r="F5" s="49"/>
      <c r="G5" s="49"/>
      <c r="H5" s="49"/>
      <c r="I5" s="49" t="s">
        <v>44</v>
      </c>
      <c r="J5" s="49"/>
      <c r="K5" s="49"/>
      <c r="L5" s="49"/>
      <c r="M5" s="49"/>
    </row>
    <row r="6" spans="2:21" s="64" customFormat="1" ht="19">
      <c r="B6" s="147" t="str">
        <f>"In "&amp;Cover!$C$10&amp;", unless stated otherwise"</f>
        <v>In USD Mn, unless stated otherwise</v>
      </c>
      <c r="C6" s="51" t="s">
        <v>45</v>
      </c>
      <c r="D6" s="52">
        <v>20</v>
      </c>
      <c r="E6" s="52">
        <f>D6+1</f>
        <v>21</v>
      </c>
      <c r="F6" s="52">
        <f t="shared" ref="F6:M6" si="0">E6+1</f>
        <v>22</v>
      </c>
      <c r="G6" s="52">
        <f t="shared" si="0"/>
        <v>23</v>
      </c>
      <c r="H6" s="52">
        <f t="shared" si="0"/>
        <v>24</v>
      </c>
      <c r="I6" s="53">
        <f t="shared" si="0"/>
        <v>25</v>
      </c>
      <c r="J6" s="53">
        <f t="shared" si="0"/>
        <v>26</v>
      </c>
      <c r="K6" s="53">
        <f t="shared" si="0"/>
        <v>27</v>
      </c>
      <c r="L6" s="53">
        <f t="shared" si="0"/>
        <v>28</v>
      </c>
      <c r="M6" s="53">
        <f t="shared" si="0"/>
        <v>29</v>
      </c>
      <c r="O6" s="628" t="s">
        <v>46</v>
      </c>
    </row>
    <row r="8" spans="2:21">
      <c r="B8" s="38" t="s">
        <v>47</v>
      </c>
      <c r="C8" s="54" t="s">
        <v>48</v>
      </c>
      <c r="D8" s="55">
        <v>5</v>
      </c>
      <c r="E8" s="55">
        <v>148</v>
      </c>
      <c r="F8" s="55">
        <v>724</v>
      </c>
      <c r="G8" s="55">
        <v>1310</v>
      </c>
      <c r="H8" s="55">
        <v>1493</v>
      </c>
      <c r="I8" s="146">
        <f>'Revenue Build'!K11</f>
        <v>1777.4296163266451</v>
      </c>
      <c r="J8" s="146">
        <f>'Revenue Build'!L11</f>
        <v>2109.9431719696076</v>
      </c>
      <c r="K8" s="146">
        <f>'Revenue Build'!M11</f>
        <v>2528.1524324321626</v>
      </c>
      <c r="L8" s="146">
        <f>'Revenue Build'!N11</f>
        <v>3029.4182579130843</v>
      </c>
      <c r="M8" s="146">
        <f>'Revenue Build'!O11</f>
        <v>3627.8214402058065</v>
      </c>
    </row>
    <row r="9" spans="2:21">
      <c r="B9" s="38" t="s">
        <v>49</v>
      </c>
      <c r="C9" s="54" t="s">
        <v>48</v>
      </c>
      <c r="D9" s="55">
        <v>438</v>
      </c>
      <c r="E9" s="55">
        <v>456</v>
      </c>
      <c r="F9" s="55">
        <v>643</v>
      </c>
      <c r="G9" s="55">
        <v>871</v>
      </c>
      <c r="H9" s="55">
        <v>1047</v>
      </c>
      <c r="I9" s="146">
        <f>'Revenue Build'!K12</f>
        <v>1346.1042477269962</v>
      </c>
      <c r="J9" s="146">
        <f>'Revenue Build'!L12</f>
        <v>1729.3738745090534</v>
      </c>
      <c r="K9" s="146">
        <f>'Revenue Build'!M12</f>
        <v>2236.1566989731818</v>
      </c>
      <c r="L9" s="146">
        <f>'Revenue Build'!N12</f>
        <v>2888.0170917532114</v>
      </c>
      <c r="M9" s="146">
        <f>'Revenue Build'!O12</f>
        <v>3724.1224712015937</v>
      </c>
    </row>
    <row r="10" spans="2:21">
      <c r="B10" s="38" t="s">
        <v>50</v>
      </c>
      <c r="C10" s="54" t="s">
        <v>48</v>
      </c>
      <c r="D10" s="55">
        <v>-10</v>
      </c>
      <c r="E10" s="55">
        <v>27</v>
      </c>
      <c r="F10" s="55">
        <v>64</v>
      </c>
      <c r="G10" s="55">
        <v>177</v>
      </c>
      <c r="H10" s="55">
        <v>253</v>
      </c>
      <c r="I10" s="146">
        <f>'Revenue Build'!K13</f>
        <v>317.85641298303085</v>
      </c>
      <c r="J10" s="146">
        <f>'Revenue Build'!L13</f>
        <v>394.52885497306556</v>
      </c>
      <c r="K10" s="146">
        <f>'Revenue Build'!M13</f>
        <v>484.23552341934965</v>
      </c>
      <c r="L10" s="146">
        <f>'Revenue Build'!N13</f>
        <v>589.61205116559859</v>
      </c>
      <c r="M10" s="146">
        <f>'Revenue Build'!O13</f>
        <v>719.12533054192329</v>
      </c>
    </row>
    <row r="11" spans="2:21">
      <c r="B11" s="38" t="s">
        <v>51</v>
      </c>
      <c r="C11" s="54" t="s">
        <v>48</v>
      </c>
      <c r="D11" s="55">
        <v>36</v>
      </c>
      <c r="E11" s="55">
        <v>44</v>
      </c>
      <c r="F11" s="55">
        <v>2</v>
      </c>
      <c r="G11" s="55">
        <v>1</v>
      </c>
      <c r="H11" s="55">
        <v>4</v>
      </c>
      <c r="I11" s="146">
        <f>'Revenue Build'!K14</f>
        <v>5.7676767676767682</v>
      </c>
      <c r="J11" s="146">
        <f>'Revenue Build'!L14</f>
        <v>8.3165238240995834</v>
      </c>
      <c r="K11" s="146">
        <f>'Revenue Build'!M14</f>
        <v>11.991755312022381</v>
      </c>
      <c r="L11" s="146">
        <f>'Revenue Build'!N14</f>
        <v>17.29114212920399</v>
      </c>
      <c r="M11" s="146">
        <f>'Revenue Build'!O14</f>
        <v>24.932429686301717</v>
      </c>
    </row>
    <row r="12" spans="2:21">
      <c r="B12" s="56" t="s">
        <v>52</v>
      </c>
      <c r="C12" s="57" t="s">
        <v>48</v>
      </c>
      <c r="D12" s="58">
        <f>SUM(D8:D11)</f>
        <v>469</v>
      </c>
      <c r="E12" s="58">
        <f t="shared" ref="E12:H12" si="1">SUM(E8:E11)</f>
        <v>675</v>
      </c>
      <c r="F12" s="58">
        <f t="shared" si="1"/>
        <v>1433</v>
      </c>
      <c r="G12" s="58">
        <f t="shared" si="1"/>
        <v>2359</v>
      </c>
      <c r="H12" s="58">
        <f t="shared" si="1"/>
        <v>2797</v>
      </c>
      <c r="I12" s="58">
        <f>SUM(I8:I11)</f>
        <v>3447.1579538043488</v>
      </c>
      <c r="J12" s="58">
        <f t="shared" ref="J12:M12" si="2">SUM(J8:J11)</f>
        <v>4242.1624252758265</v>
      </c>
      <c r="K12" s="58">
        <f t="shared" si="2"/>
        <v>5260.5364101367168</v>
      </c>
      <c r="L12" s="58">
        <f t="shared" si="2"/>
        <v>6524.338542961098</v>
      </c>
      <c r="M12" s="59">
        <f t="shared" si="2"/>
        <v>8096.0016716356249</v>
      </c>
    </row>
    <row r="13" spans="2:21">
      <c r="E13" s="782"/>
      <c r="F13" s="782"/>
      <c r="G13" s="782"/>
      <c r="H13" s="782"/>
      <c r="I13" s="782"/>
      <c r="J13" s="782"/>
      <c r="K13" s="782"/>
      <c r="L13" s="782"/>
      <c r="M13" s="782"/>
      <c r="U13" s="747"/>
    </row>
    <row r="14" spans="2:21">
      <c r="B14" s="38" t="s">
        <v>53</v>
      </c>
      <c r="C14" s="54" t="s">
        <v>48</v>
      </c>
      <c r="D14" s="55">
        <v>-963</v>
      </c>
      <c r="E14" s="55">
        <v>-1070</v>
      </c>
      <c r="F14" s="55">
        <v>-1356</v>
      </c>
      <c r="G14" s="55">
        <v>-1499</v>
      </c>
      <c r="H14" s="55">
        <v>-1623</v>
      </c>
      <c r="I14" s="146">
        <f>Projections!L17</f>
        <v>-1914.084676118945</v>
      </c>
      <c r="J14" s="146">
        <f>Projections!M17</f>
        <v>-2249.4684308358392</v>
      </c>
      <c r="K14" s="146">
        <f>Projections!N17</f>
        <v>-2657.9626629300897</v>
      </c>
      <c r="L14" s="146">
        <f>Projections!O17</f>
        <v>-3133.4086395279378</v>
      </c>
      <c r="M14" s="146">
        <f>Projections!P17</f>
        <v>-3685.8227131279987</v>
      </c>
    </row>
    <row r="15" spans="2:21">
      <c r="B15" s="58" t="s">
        <v>54</v>
      </c>
      <c r="C15" s="57" t="s">
        <v>48</v>
      </c>
      <c r="D15" s="58">
        <f>SUM(D14,D12)</f>
        <v>-494</v>
      </c>
      <c r="E15" s="58">
        <f t="shared" ref="E15:M15" si="3">SUM(E14,E12)</f>
        <v>-395</v>
      </c>
      <c r="F15" s="58">
        <f t="shared" si="3"/>
        <v>77</v>
      </c>
      <c r="G15" s="58">
        <f t="shared" si="3"/>
        <v>860</v>
      </c>
      <c r="H15" s="58">
        <f t="shared" si="3"/>
        <v>1174</v>
      </c>
      <c r="I15" s="58">
        <f t="shared" si="3"/>
        <v>1533.0732776854038</v>
      </c>
      <c r="J15" s="58">
        <f t="shared" si="3"/>
        <v>1992.6939944399874</v>
      </c>
      <c r="K15" s="58">
        <f t="shared" si="3"/>
        <v>2602.5737472066271</v>
      </c>
      <c r="L15" s="58">
        <f t="shared" si="3"/>
        <v>3390.9299034331602</v>
      </c>
      <c r="M15" s="58">
        <f t="shared" si="3"/>
        <v>4410.1789585076258</v>
      </c>
    </row>
    <row r="16" spans="2:21">
      <c r="B16" s="38" t="s">
        <v>55</v>
      </c>
      <c r="C16" s="54" t="s">
        <v>56</v>
      </c>
      <c r="D16" s="99">
        <f>D15/D12</f>
        <v>-1.0533049040511726</v>
      </c>
      <c r="E16" s="99">
        <f t="shared" ref="E16:M16" si="4">E15/E12</f>
        <v>-0.58518518518518514</v>
      </c>
      <c r="F16" s="99">
        <f t="shared" si="4"/>
        <v>5.3733426378227492E-2</v>
      </c>
      <c r="G16" s="99">
        <f t="shared" si="4"/>
        <v>0.36456125476896989</v>
      </c>
      <c r="H16" s="99">
        <f t="shared" si="4"/>
        <v>0.41973543081873438</v>
      </c>
      <c r="I16" s="99">
        <f t="shared" si="4"/>
        <v>0.44473543081873435</v>
      </c>
      <c r="J16" s="99">
        <f t="shared" si="4"/>
        <v>0.46973543081873437</v>
      </c>
      <c r="K16" s="99">
        <f t="shared" si="4"/>
        <v>0.49473543081873439</v>
      </c>
      <c r="L16" s="99">
        <f t="shared" si="4"/>
        <v>0.51973543081873441</v>
      </c>
      <c r="M16" s="99">
        <f t="shared" si="4"/>
        <v>0.54473543081873432</v>
      </c>
    </row>
    <row r="18" spans="1:13">
      <c r="A18" s="38" t="s">
        <v>57</v>
      </c>
      <c r="B18" s="85" t="s">
        <v>58</v>
      </c>
      <c r="C18" s="86"/>
      <c r="D18" s="86"/>
      <c r="E18" s="86"/>
      <c r="F18" s="86"/>
      <c r="G18" s="86"/>
      <c r="H18" s="86"/>
      <c r="I18" s="86"/>
      <c r="J18" s="86"/>
      <c r="K18" s="86"/>
      <c r="L18" s="86"/>
      <c r="M18" s="86"/>
    </row>
    <row r="19" spans="1:13">
      <c r="B19" s="38" t="s">
        <v>59</v>
      </c>
      <c r="C19" s="54" t="s">
        <v>48</v>
      </c>
      <c r="D19" s="55">
        <v>-151</v>
      </c>
      <c r="E19" s="55">
        <v>-241</v>
      </c>
      <c r="F19" s="55">
        <v>-278</v>
      </c>
      <c r="G19" s="55">
        <v>-293</v>
      </c>
      <c r="H19" s="55">
        <v>-324</v>
      </c>
      <c r="I19" s="146">
        <f>Projections!L28</f>
        <v>-382.07746623119601</v>
      </c>
      <c r="J19" s="146">
        <f>Projections!M28</f>
        <v>-448.98367635123446</v>
      </c>
      <c r="K19" s="146">
        <f>Projections!N28</f>
        <v>-530.46406571219529</v>
      </c>
      <c r="L19" s="146">
        <f>Projections!O28</f>
        <v>-625.28215581914617</v>
      </c>
      <c r="M19" s="146">
        <f>Projections!P28</f>
        <v>-735.42782435495928</v>
      </c>
    </row>
    <row r="20" spans="1:13">
      <c r="B20" s="38" t="s">
        <v>60</v>
      </c>
      <c r="C20" s="54" t="s">
        <v>48</v>
      </c>
      <c r="D20" s="55">
        <v>-326</v>
      </c>
      <c r="E20" s="55">
        <v>-544</v>
      </c>
      <c r="F20" s="55">
        <v>-646</v>
      </c>
      <c r="G20" s="55">
        <v>-550</v>
      </c>
      <c r="H20" s="55">
        <v>-512</v>
      </c>
      <c r="I20" s="146">
        <f>Projections!L34</f>
        <v>-613.77775057700137</v>
      </c>
      <c r="J20" s="146">
        <f>Projections!M34</f>
        <v>-734.12008534367476</v>
      </c>
      <c r="K20" s="146">
        <f>Projections!N34</f>
        <v>-884.05035284330097</v>
      </c>
      <c r="L20" s="146">
        <f>Projections!O34</f>
        <v>-1063.8147429041251</v>
      </c>
      <c r="M20" s="146">
        <f>Projections!P34</f>
        <v>-1279.5995491556375</v>
      </c>
    </row>
    <row r="21" spans="1:13">
      <c r="B21" s="38" t="s">
        <v>61</v>
      </c>
      <c r="C21" s="54" t="s">
        <v>48</v>
      </c>
      <c r="D21" s="55">
        <v>-257</v>
      </c>
      <c r="E21" s="55">
        <v>-356</v>
      </c>
      <c r="F21" s="55">
        <v>-465</v>
      </c>
      <c r="G21" s="55">
        <v>-421</v>
      </c>
      <c r="H21" s="55">
        <v>-410</v>
      </c>
      <c r="I21" s="146">
        <f>Projections!L40</f>
        <v>-505.30381160521381</v>
      </c>
      <c r="J21" s="146">
        <f>Projections!M40</f>
        <v>-600.62922876138941</v>
      </c>
      <c r="K21" s="146">
        <f>Projections!N40</f>
        <v>-718.51366634412932</v>
      </c>
      <c r="L21" s="146">
        <f>Projections!O40</f>
        <v>-858.50918092388883</v>
      </c>
      <c r="M21" s="146">
        <f>Projections!P40</f>
        <v>-1024.837451504937</v>
      </c>
    </row>
    <row r="22" spans="1:13">
      <c r="B22" s="38" t="s">
        <v>62</v>
      </c>
      <c r="C22" s="54" t="s">
        <v>48</v>
      </c>
      <c r="D22" s="55">
        <v>33</v>
      </c>
      <c r="E22" s="55">
        <v>12</v>
      </c>
      <c r="F22" s="55">
        <v>17</v>
      </c>
      <c r="G22" s="55">
        <v>17</v>
      </c>
      <c r="H22" s="55">
        <v>17</v>
      </c>
      <c r="I22" s="146">
        <f>Projections!L46</f>
        <v>40.894406988607074</v>
      </c>
      <c r="J22" s="146">
        <f>Projections!M46</f>
        <v>50.325723119113086</v>
      </c>
      <c r="K22" s="146">
        <f>Projections!N46</f>
        <v>62.406921822975711</v>
      </c>
      <c r="L22" s="146">
        <f>Projections!O46</f>
        <v>77.399689623404512</v>
      </c>
      <c r="M22" s="146">
        <f>Projections!P46</f>
        <v>96.044681380185366</v>
      </c>
    </row>
    <row r="23" spans="1:13">
      <c r="B23" s="38" t="s">
        <v>63</v>
      </c>
      <c r="C23" s="54" t="s">
        <v>48</v>
      </c>
      <c r="D23" s="55">
        <v>-40</v>
      </c>
      <c r="E23" s="55">
        <v>-11</v>
      </c>
      <c r="F23" s="55">
        <v>-12</v>
      </c>
      <c r="G23" s="55">
        <v>-4</v>
      </c>
      <c r="H23" s="55">
        <v>-4</v>
      </c>
      <c r="I23" s="146">
        <f>Projections!L52</f>
        <v>-28.866640227252049</v>
      </c>
      <c r="J23" s="146">
        <f>Projections!M52</f>
        <v>-35.524039848785705</v>
      </c>
      <c r="K23" s="146">
        <f>Projections!N52</f>
        <v>-44.051944816218146</v>
      </c>
      <c r="L23" s="146">
        <f>Projections!O52</f>
        <v>-54.635075028285542</v>
      </c>
      <c r="M23" s="146">
        <f>Projections!P52</f>
        <v>-67.796245680130852</v>
      </c>
    </row>
    <row r="24" spans="1:13">
      <c r="B24" s="38" t="s">
        <v>64</v>
      </c>
      <c r="C24" s="54" t="s">
        <v>48</v>
      </c>
      <c r="D24" s="55">
        <v>-63</v>
      </c>
      <c r="E24" s="55">
        <v>-19</v>
      </c>
      <c r="F24" s="55">
        <v>-58</v>
      </c>
      <c r="G24" s="55">
        <v>-72</v>
      </c>
      <c r="H24" s="55">
        <v>-95</v>
      </c>
      <c r="I24" s="146">
        <f>Projections!L58</f>
        <v>-117.082590493891</v>
      </c>
      <c r="J24" s="146">
        <f>Projections!M58</f>
        <v>-144.08488752277566</v>
      </c>
      <c r="K24" s="146">
        <f>Projections!N58</f>
        <v>-178.67392168859067</v>
      </c>
      <c r="L24" s="146">
        <f>Projections!O58</f>
        <v>-221.59891368655857</v>
      </c>
      <c r="M24" s="146">
        <f>Projections!P58</f>
        <v>-274.98039285140663</v>
      </c>
    </row>
    <row r="25" spans="1:13">
      <c r="B25" s="38" t="s">
        <v>65</v>
      </c>
      <c r="C25" s="54" t="s">
        <v>48</v>
      </c>
      <c r="D25" s="55">
        <v>0</v>
      </c>
      <c r="E25" s="55">
        <v>-1</v>
      </c>
      <c r="F25" s="55">
        <v>-8</v>
      </c>
      <c r="G25" s="55">
        <v>-56</v>
      </c>
      <c r="H25" s="55">
        <v>-14</v>
      </c>
      <c r="I25" s="146">
        <f>Projections!L64</f>
        <v>-17.254276493836567</v>
      </c>
      <c r="J25" s="146">
        <f>Projections!M64</f>
        <v>-21.233562371777467</v>
      </c>
      <c r="K25" s="146">
        <f>Projections!N64</f>
        <v>-26.330893722529151</v>
      </c>
      <c r="L25" s="146">
        <f>Projections!O64</f>
        <v>-32.656682016966528</v>
      </c>
      <c r="M25" s="146">
        <f>Projections!P64</f>
        <v>-40.523426314944132</v>
      </c>
    </row>
    <row r="26" spans="1:13">
      <c r="B26" s="38" t="s">
        <v>66</v>
      </c>
      <c r="C26" s="54" t="s">
        <v>48</v>
      </c>
      <c r="D26" s="55">
        <v>0</v>
      </c>
      <c r="E26" s="55">
        <v>37</v>
      </c>
      <c r="F26" s="55">
        <v>-294</v>
      </c>
      <c r="G26" s="55">
        <v>-39</v>
      </c>
      <c r="H26" s="55">
        <v>0</v>
      </c>
      <c r="I26" s="191">
        <f>Projections!L70</f>
        <v>0</v>
      </c>
      <c r="J26" s="191">
        <f>Projections!M70</f>
        <v>0</v>
      </c>
      <c r="K26" s="191">
        <f>Projections!N70</f>
        <v>0</v>
      </c>
      <c r="L26" s="191">
        <f>Projections!O70</f>
        <v>0</v>
      </c>
      <c r="M26" s="191">
        <f>Projections!P70</f>
        <v>0</v>
      </c>
    </row>
    <row r="27" spans="1:13">
      <c r="B27" s="38" t="s">
        <v>67</v>
      </c>
      <c r="C27" s="54" t="s">
        <v>48</v>
      </c>
      <c r="D27" s="55">
        <v>0</v>
      </c>
      <c r="E27" s="55">
        <v>-353</v>
      </c>
      <c r="F27" s="55">
        <v>0</v>
      </c>
      <c r="G27" s="55">
        <v>0</v>
      </c>
      <c r="H27" s="55">
        <v>0</v>
      </c>
      <c r="I27" s="191">
        <f>Projections!L76</f>
        <v>0</v>
      </c>
      <c r="J27" s="191">
        <f>Projections!M76</f>
        <v>0</v>
      </c>
      <c r="K27" s="191">
        <f>Projections!N76</f>
        <v>0</v>
      </c>
      <c r="L27" s="191">
        <f>Projections!O76</f>
        <v>0</v>
      </c>
      <c r="M27" s="191">
        <f>Projections!P76</f>
        <v>0</v>
      </c>
    </row>
    <row r="28" spans="1:13">
      <c r="B28" s="60" t="s">
        <v>68</v>
      </c>
      <c r="C28" s="54" t="s">
        <v>48</v>
      </c>
      <c r="D28" s="38">
        <f>SUM(D19:D27)</f>
        <v>-804</v>
      </c>
      <c r="E28" s="38">
        <f t="shared" ref="E28:M28" si="5">SUM(E19:E27)</f>
        <v>-1476</v>
      </c>
      <c r="F28" s="38">
        <f t="shared" si="5"/>
        <v>-1744</v>
      </c>
      <c r="G28" s="38">
        <f t="shared" si="5"/>
        <v>-1418</v>
      </c>
      <c r="H28" s="38">
        <f t="shared" si="5"/>
        <v>-1342</v>
      </c>
      <c r="I28" s="38">
        <f t="shared" si="5"/>
        <v>-1623.468128639784</v>
      </c>
      <c r="J28" s="38">
        <f t="shared" si="5"/>
        <v>-1934.2497570805244</v>
      </c>
      <c r="K28" s="38">
        <f t="shared" si="5"/>
        <v>-2319.6779233039883</v>
      </c>
      <c r="L28" s="38">
        <f t="shared" si="5"/>
        <v>-2779.0970607555664</v>
      </c>
      <c r="M28" s="38">
        <f t="shared" si="5"/>
        <v>-3327.1202084818301</v>
      </c>
    </row>
    <row r="29" spans="1:13">
      <c r="B29" s="62" t="s">
        <v>69</v>
      </c>
      <c r="C29" s="63" t="s">
        <v>48</v>
      </c>
      <c r="D29" s="62">
        <f>SUM(D28,D15)</f>
        <v>-1298</v>
      </c>
      <c r="E29" s="62">
        <f t="shared" ref="E29:M29" si="6">SUM(E28,E15)</f>
        <v>-1871</v>
      </c>
      <c r="F29" s="62">
        <f t="shared" si="6"/>
        <v>-1667</v>
      </c>
      <c r="G29" s="62">
        <f t="shared" si="6"/>
        <v>-558</v>
      </c>
      <c r="H29" s="62">
        <f t="shared" si="6"/>
        <v>-168</v>
      </c>
      <c r="I29" s="62">
        <f t="shared" si="6"/>
        <v>-90.394850954380217</v>
      </c>
      <c r="J29" s="62">
        <f t="shared" si="6"/>
        <v>58.444237359462932</v>
      </c>
      <c r="K29" s="62">
        <f t="shared" si="6"/>
        <v>282.89582390263877</v>
      </c>
      <c r="L29" s="62">
        <f t="shared" si="6"/>
        <v>611.83284267759382</v>
      </c>
      <c r="M29" s="62">
        <f t="shared" si="6"/>
        <v>1083.0587500257957</v>
      </c>
    </row>
    <row r="30" spans="1:13">
      <c r="H30" s="782"/>
      <c r="I30" s="782"/>
      <c r="J30" s="782"/>
      <c r="K30" s="782"/>
      <c r="L30" s="782"/>
      <c r="M30" s="782"/>
    </row>
    <row r="31" spans="1:13">
      <c r="A31" s="38" t="s">
        <v>57</v>
      </c>
      <c r="B31" s="85" t="s">
        <v>70</v>
      </c>
      <c r="C31" s="86"/>
      <c r="D31" s="86"/>
      <c r="E31" s="86"/>
      <c r="F31" s="86"/>
      <c r="G31" s="86"/>
      <c r="H31" s="86"/>
      <c r="I31" s="86"/>
      <c r="J31" s="86"/>
      <c r="K31" s="86"/>
      <c r="L31" s="86"/>
      <c r="M31" s="86"/>
    </row>
    <row r="32" spans="1:13">
      <c r="B32" s="38" t="s">
        <v>71</v>
      </c>
      <c r="C32" s="54" t="s">
        <v>48</v>
      </c>
      <c r="D32" s="55">
        <v>-42</v>
      </c>
      <c r="E32" s="55">
        <v>0</v>
      </c>
      <c r="F32" s="55">
        <v>0</v>
      </c>
      <c r="G32" s="55">
        <v>0</v>
      </c>
      <c r="H32" s="55">
        <v>0</v>
      </c>
      <c r="I32" s="190">
        <f>Projections!L86</f>
        <v>0</v>
      </c>
      <c r="J32" s="190">
        <f>Projections!M86</f>
        <v>0</v>
      </c>
      <c r="K32" s="190">
        <f>Projections!N86</f>
        <v>0</v>
      </c>
      <c r="L32" s="190">
        <f>Projections!O86</f>
        <v>0</v>
      </c>
      <c r="M32" s="190">
        <f>Projections!P86</f>
        <v>0</v>
      </c>
    </row>
    <row r="33" spans="2:13">
      <c r="B33" s="38" t="s">
        <v>72</v>
      </c>
      <c r="C33" s="54" t="s">
        <v>48</v>
      </c>
      <c r="D33" s="55">
        <v>-1448</v>
      </c>
      <c r="E33" s="55">
        <v>-1701</v>
      </c>
      <c r="F33" s="55">
        <v>-166</v>
      </c>
      <c r="G33" s="55">
        <v>-99</v>
      </c>
      <c r="H33" s="55">
        <v>-106</v>
      </c>
      <c r="I33" s="156">
        <f ca="1">'Debt &amp; Equity'!M80</f>
        <v>-23.845000000000002</v>
      </c>
      <c r="J33" s="156">
        <f ca="1">'Debt &amp; Equity'!N80</f>
        <v>-21.115000000000002</v>
      </c>
      <c r="K33" s="156">
        <f ca="1">'Debt &amp; Equity'!O80</f>
        <v>-21.115000000000002</v>
      </c>
      <c r="L33" s="156">
        <f ca="1">'Debt &amp; Equity'!P80</f>
        <v>-21.115000000000002</v>
      </c>
      <c r="M33" s="156">
        <f ca="1">'Debt &amp; Equity'!Q80</f>
        <v>-20.935000000000002</v>
      </c>
    </row>
    <row r="34" spans="2:13">
      <c r="B34" s="38" t="s">
        <v>73</v>
      </c>
      <c r="C34" s="54" t="s">
        <v>48</v>
      </c>
      <c r="D34" s="55">
        <v>53</v>
      </c>
      <c r="E34" s="55">
        <v>28</v>
      </c>
      <c r="F34" s="55">
        <v>107</v>
      </c>
      <c r="G34" s="55">
        <v>198</v>
      </c>
      <c r="H34" s="55">
        <v>187</v>
      </c>
      <c r="I34" s="156">
        <f>Projections!L89</f>
        <v>257.39420869299744</v>
      </c>
      <c r="J34" s="156">
        <f>Projections!M89</f>
        <v>316.75602198500587</v>
      </c>
      <c r="K34" s="156">
        <f>Projections!N89</f>
        <v>392.79650794461179</v>
      </c>
      <c r="L34" s="156">
        <f>Projections!O89</f>
        <v>487.16275233554603</v>
      </c>
      <c r="M34" s="156">
        <f>Projections!P89</f>
        <v>604.51652398116664</v>
      </c>
    </row>
    <row r="35" spans="2:13">
      <c r="B35" s="62" t="s">
        <v>74</v>
      </c>
      <c r="C35" s="63" t="s">
        <v>48</v>
      </c>
      <c r="D35" s="62">
        <f>SUM(D32:D34,D29)</f>
        <v>-2735</v>
      </c>
      <c r="E35" s="62">
        <f t="shared" ref="E35:H35" si="7">SUM(E32:E34,E29)</f>
        <v>-3544</v>
      </c>
      <c r="F35" s="62">
        <f t="shared" si="7"/>
        <v>-1726</v>
      </c>
      <c r="G35" s="62">
        <f t="shared" si="7"/>
        <v>-459</v>
      </c>
      <c r="H35" s="62">
        <f t="shared" si="7"/>
        <v>-87</v>
      </c>
      <c r="I35" s="62">
        <f ca="1">SUM(I32:I34,I29)</f>
        <v>143.15435773861722</v>
      </c>
      <c r="J35" s="62">
        <f ca="1">SUM(J32:J34,J29)</f>
        <v>354.0852593444688</v>
      </c>
      <c r="K35" s="62">
        <f ca="1">SUM(K32:K34,K29)</f>
        <v>654.57733184725055</v>
      </c>
      <c r="L35" s="62">
        <f ca="1">SUM(L32:L34,L29)</f>
        <v>1077.8805950131398</v>
      </c>
      <c r="M35" s="62">
        <f ca="1">SUM(M32:M34,M29)</f>
        <v>1666.6402740069623</v>
      </c>
    </row>
    <row r="36" spans="2:13">
      <c r="B36" s="38" t="s">
        <v>75</v>
      </c>
      <c r="C36" s="54" t="s">
        <v>48</v>
      </c>
      <c r="D36" s="55">
        <v>-2</v>
      </c>
      <c r="E36" s="55">
        <v>-3</v>
      </c>
      <c r="F36" s="55">
        <v>-6</v>
      </c>
      <c r="G36" s="55">
        <v>-19</v>
      </c>
      <c r="H36" s="55">
        <v>-63</v>
      </c>
      <c r="I36" s="146">
        <f ca="1">Projections!L96</f>
        <v>0.49763971403922558</v>
      </c>
      <c r="J36" s="146">
        <f ca="1">Projections!M96</f>
        <v>1.2308873441870294</v>
      </c>
      <c r="K36" s="146">
        <f ca="1">Projections!N96</f>
        <v>2.2754716054944977</v>
      </c>
      <c r="L36" s="146">
        <f ca="1">Projections!O96</f>
        <v>3.7469777346922588</v>
      </c>
      <c r="M36" s="146">
        <f ca="1">Projections!P96</f>
        <v>5.7936510104529395</v>
      </c>
    </row>
    <row r="37" spans="2:13">
      <c r="B37" s="38" t="s">
        <v>76</v>
      </c>
      <c r="C37" s="54" t="s">
        <v>48</v>
      </c>
      <c r="D37" s="55">
        <v>-8</v>
      </c>
      <c r="E37" s="55">
        <v>-8</v>
      </c>
      <c r="F37" s="55">
        <v>-8</v>
      </c>
      <c r="G37" s="55">
        <v>-7</v>
      </c>
      <c r="H37" s="55">
        <v>-8</v>
      </c>
      <c r="I37" s="146">
        <f>Projections!L99</f>
        <v>-19.24442681816803</v>
      </c>
      <c r="J37" s="146">
        <f>Projections!M99</f>
        <v>-23.682693232523803</v>
      </c>
      <c r="K37" s="146">
        <f>Projections!N99</f>
        <v>-29.367963210812093</v>
      </c>
      <c r="L37" s="146">
        <f>Projections!O99</f>
        <v>-36.423383352190356</v>
      </c>
      <c r="M37" s="146">
        <f>Projections!P99</f>
        <v>-45.197497120087228</v>
      </c>
    </row>
    <row r="38" spans="2:13">
      <c r="B38" s="38" t="s">
        <v>77</v>
      </c>
      <c r="C38" s="54" t="s">
        <v>48</v>
      </c>
      <c r="D38" s="55">
        <v>137</v>
      </c>
      <c r="E38" s="55">
        <v>106</v>
      </c>
      <c r="F38" s="55">
        <v>57</v>
      </c>
      <c r="G38" s="55">
        <v>51</v>
      </c>
      <c r="H38" s="55">
        <v>53</v>
      </c>
      <c r="I38" s="190">
        <v>0</v>
      </c>
      <c r="J38" s="190">
        <v>0</v>
      </c>
      <c r="K38" s="190">
        <v>0</v>
      </c>
      <c r="L38" s="190">
        <v>0</v>
      </c>
      <c r="M38" s="190">
        <v>0</v>
      </c>
    </row>
    <row r="39" spans="2:13">
      <c r="B39" s="56" t="s">
        <v>78</v>
      </c>
      <c r="C39" s="57" t="s">
        <v>48</v>
      </c>
      <c r="D39" s="58">
        <f>SUM(D35:D38)</f>
        <v>-2608</v>
      </c>
      <c r="E39" s="58">
        <f t="shared" ref="E39:H39" si="8">SUM(E35:E38)</f>
        <v>-3449</v>
      </c>
      <c r="F39" s="58">
        <f t="shared" si="8"/>
        <v>-1683</v>
      </c>
      <c r="G39" s="58">
        <f t="shared" si="8"/>
        <v>-434</v>
      </c>
      <c r="H39" s="58">
        <f t="shared" si="8"/>
        <v>-105</v>
      </c>
      <c r="I39" s="58">
        <f ca="1">SUM(I35:I38)</f>
        <v>124.40757063448842</v>
      </c>
      <c r="J39" s="58">
        <f ca="1">SUM(J35:J38)</f>
        <v>331.63345345613197</v>
      </c>
      <c r="K39" s="58">
        <f ca="1">SUM(K35:K38)</f>
        <v>627.48484024193294</v>
      </c>
      <c r="L39" s="58">
        <f ca="1">SUM(L35:L38)</f>
        <v>1045.2041893956418</v>
      </c>
      <c r="M39" s="59">
        <f ca="1">SUM(M35:M38)</f>
        <v>1627.236427897328</v>
      </c>
    </row>
    <row r="40" spans="2:13">
      <c r="B40" s="38" t="s">
        <v>1092</v>
      </c>
      <c r="C40" s="54"/>
      <c r="D40" s="640">
        <f t="shared" ref="D40:M40" si="9">D39/D12</f>
        <v>-5.5607675906183367</v>
      </c>
      <c r="E40" s="640">
        <f t="shared" si="9"/>
        <v>-5.1096296296296293</v>
      </c>
      <c r="F40" s="640">
        <f t="shared" si="9"/>
        <v>-1.1744591765526866</v>
      </c>
      <c r="G40" s="640">
        <f t="shared" si="9"/>
        <v>-0.18397626112759644</v>
      </c>
      <c r="H40" s="640">
        <f t="shared" si="9"/>
        <v>-3.7540221666070787E-2</v>
      </c>
      <c r="I40" s="640">
        <f t="shared" ca="1" si="9"/>
        <v>3.608989558984086E-2</v>
      </c>
      <c r="J40" s="640">
        <f t="shared" ca="1" si="9"/>
        <v>7.817556713061713E-2</v>
      </c>
      <c r="K40" s="640">
        <f t="shared" ca="1" si="9"/>
        <v>0.11928153163863857</v>
      </c>
      <c r="L40" s="640">
        <f t="shared" ca="1" si="9"/>
        <v>0.16020079008979071</v>
      </c>
      <c r="M40" s="640">
        <f t="shared" ca="1" si="9"/>
        <v>0.20099260028544183</v>
      </c>
    </row>
    <row r="42" spans="2:13">
      <c r="B42" s="56" t="s">
        <v>79</v>
      </c>
      <c r="C42" s="57" t="s">
        <v>48</v>
      </c>
      <c r="D42" s="58">
        <f>D35-D33</f>
        <v>-1287</v>
      </c>
      <c r="E42" s="58">
        <f t="shared" ref="E42:H42" si="10">E35-E33</f>
        <v>-1843</v>
      </c>
      <c r="F42" s="58">
        <f t="shared" si="10"/>
        <v>-1560</v>
      </c>
      <c r="G42" s="58">
        <f t="shared" si="10"/>
        <v>-360</v>
      </c>
      <c r="H42" s="58">
        <f t="shared" si="10"/>
        <v>19</v>
      </c>
      <c r="I42" s="58">
        <f ca="1">I35-I33</f>
        <v>166.99935773861722</v>
      </c>
      <c r="J42" s="58">
        <f ca="1">J35-J33</f>
        <v>375.2002593444688</v>
      </c>
      <c r="K42" s="58">
        <f ca="1">K35-K33</f>
        <v>675.69233184725056</v>
      </c>
      <c r="L42" s="58">
        <f ca="1">L35-L33</f>
        <v>1098.9955950131398</v>
      </c>
      <c r="M42" s="59">
        <f ca="1">M35-M33</f>
        <v>1687.5752740069622</v>
      </c>
    </row>
    <row r="43" spans="2:13">
      <c r="B43" s="38" t="s">
        <v>80</v>
      </c>
      <c r="C43" s="54" t="s">
        <v>56</v>
      </c>
      <c r="D43" s="99">
        <f>D42/D12</f>
        <v>-2.7441364605543712</v>
      </c>
      <c r="E43" s="99">
        <f t="shared" ref="E43:M43" si="11">E42/E12</f>
        <v>-2.7303703703703706</v>
      </c>
      <c r="F43" s="99">
        <f t="shared" si="11"/>
        <v>-1.0886252616887648</v>
      </c>
      <c r="G43" s="99">
        <f t="shared" si="11"/>
        <v>-0.15260703688003391</v>
      </c>
      <c r="H43" s="99">
        <f t="shared" si="11"/>
        <v>6.7929924919556666E-3</v>
      </c>
      <c r="I43" s="99">
        <f t="shared" ca="1" si="11"/>
        <v>4.8445519461710065E-2</v>
      </c>
      <c r="J43" s="99">
        <f t="shared" ca="1" si="11"/>
        <v>8.8445519461710184E-2</v>
      </c>
      <c r="K43" s="99">
        <f t="shared" ca="1" si="11"/>
        <v>0.12844551946171015</v>
      </c>
      <c r="L43" s="99">
        <f t="shared" ca="1" si="11"/>
        <v>0.16844551946171024</v>
      </c>
      <c r="M43" s="99">
        <f t="shared" ca="1" si="11"/>
        <v>0.20844551946171022</v>
      </c>
    </row>
    <row r="45" spans="2:13">
      <c r="B45" s="56" t="s">
        <v>81</v>
      </c>
      <c r="C45" s="57" t="s">
        <v>48</v>
      </c>
      <c r="D45" s="58">
        <f>D42+D112+D113</f>
        <v>-900</v>
      </c>
      <c r="E45" s="58">
        <f t="shared" ref="E45:H45" si="12">E42+E112+E113</f>
        <v>-1498</v>
      </c>
      <c r="F45" s="58">
        <f t="shared" si="12"/>
        <v>-1410</v>
      </c>
      <c r="G45" s="58">
        <f t="shared" si="12"/>
        <v>-215</v>
      </c>
      <c r="H45" s="58">
        <f t="shared" si="12"/>
        <v>166</v>
      </c>
      <c r="I45" s="58">
        <f ca="1">I42+I112+I113</f>
        <v>440.93235660676072</v>
      </c>
      <c r="J45" s="58">
        <f ca="1">J42+J112+J113</f>
        <v>699.52499600453973</v>
      </c>
      <c r="K45" s="58">
        <f ca="1">K42+K112+K113</f>
        <v>1062.505852492829</v>
      </c>
      <c r="L45" s="58">
        <f ca="1">L42+L112+L113</f>
        <v>1465.3364231341639</v>
      </c>
      <c r="M45" s="59">
        <f ca="1">M42+M112+M113</f>
        <v>2067.7114891556648</v>
      </c>
    </row>
    <row r="46" spans="2:13">
      <c r="B46" s="38" t="s">
        <v>82</v>
      </c>
      <c r="C46" s="54" t="s">
        <v>56</v>
      </c>
      <c r="D46" s="99">
        <f>D45/D12</f>
        <v>-1.9189765458422174</v>
      </c>
      <c r="E46" s="99">
        <f t="shared" ref="E46:M46" si="13">E45/E12</f>
        <v>-2.219259259259259</v>
      </c>
      <c r="F46" s="99">
        <f t="shared" si="13"/>
        <v>-0.98394975575715282</v>
      </c>
      <c r="G46" s="99">
        <f t="shared" si="13"/>
        <v>-9.1140313692242472E-2</v>
      </c>
      <c r="H46" s="99">
        <f t="shared" si="13"/>
        <v>5.9349302824454775E-2</v>
      </c>
      <c r="I46" s="99">
        <f t="shared" ca="1" si="13"/>
        <v>0.1279118515936119</v>
      </c>
      <c r="J46" s="99">
        <f t="shared" ca="1" si="13"/>
        <v>0.16489821130765789</v>
      </c>
      <c r="K46" s="99">
        <f t="shared" ca="1" si="13"/>
        <v>0.20197671295373001</v>
      </c>
      <c r="L46" s="99">
        <f t="shared" ca="1" si="13"/>
        <v>0.22459539974593576</v>
      </c>
      <c r="M46" s="99">
        <f t="shared" ca="1" si="13"/>
        <v>0.25539909365383417</v>
      </c>
    </row>
    <row r="48" spans="2:13">
      <c r="B48" s="64"/>
      <c r="C48" s="64"/>
      <c r="D48" s="64"/>
      <c r="E48" s="64"/>
      <c r="F48" s="64"/>
      <c r="G48" s="64"/>
      <c r="H48" s="64"/>
      <c r="I48" s="64"/>
      <c r="J48" s="64"/>
      <c r="K48" s="64"/>
      <c r="L48" s="64"/>
      <c r="M48" s="64"/>
    </row>
    <row r="49" spans="1:13">
      <c r="B49" s="65" t="s">
        <v>83</v>
      </c>
      <c r="C49" s="64"/>
      <c r="D49" s="52">
        <v>20</v>
      </c>
      <c r="E49" s="52">
        <f>D49+1</f>
        <v>21</v>
      </c>
      <c r="F49" s="52">
        <f t="shared" ref="F49" si="14">E49+1</f>
        <v>22</v>
      </c>
      <c r="G49" s="52">
        <f t="shared" ref="G49" si="15">F49+1</f>
        <v>23</v>
      </c>
      <c r="H49" s="52">
        <f t="shared" ref="H49" si="16">G49+1</f>
        <v>24</v>
      </c>
      <c r="I49" s="53">
        <f t="shared" ref="I49" si="17">H49+1</f>
        <v>25</v>
      </c>
      <c r="J49" s="53">
        <f t="shared" ref="J49" si="18">I49+1</f>
        <v>26</v>
      </c>
      <c r="K49" s="53">
        <f t="shared" ref="K49" si="19">J49+1</f>
        <v>27</v>
      </c>
      <c r="L49" s="53">
        <f t="shared" ref="L49" si="20">K49+1</f>
        <v>28</v>
      </c>
      <c r="M49" s="53">
        <f t="shared" ref="M49" si="21">L49+1</f>
        <v>29</v>
      </c>
    </row>
    <row r="51" spans="1:13">
      <c r="A51" s="38" t="s">
        <v>57</v>
      </c>
      <c r="B51" s="85" t="s">
        <v>84</v>
      </c>
      <c r="C51" s="86"/>
      <c r="D51" s="87"/>
      <c r="E51" s="87"/>
      <c r="F51" s="87"/>
      <c r="G51" s="87"/>
      <c r="H51" s="87"/>
      <c r="I51" s="88"/>
      <c r="J51" s="88"/>
      <c r="K51" s="88"/>
      <c r="L51" s="88"/>
      <c r="M51" s="88"/>
    </row>
    <row r="52" spans="1:13">
      <c r="B52" s="61" t="s">
        <v>85</v>
      </c>
    </row>
    <row r="53" spans="1:13">
      <c r="B53" s="38" t="s">
        <v>86</v>
      </c>
      <c r="C53" s="54" t="s">
        <v>48</v>
      </c>
      <c r="D53" s="55">
        <v>2173</v>
      </c>
      <c r="E53" s="55">
        <v>4991</v>
      </c>
      <c r="F53" s="55">
        <v>1952</v>
      </c>
      <c r="G53" s="55">
        <v>3138</v>
      </c>
      <c r="H53" s="55">
        <v>2964</v>
      </c>
      <c r="I53" s="38">
        <f ca="1">I154</f>
        <v>3387.2668227239692</v>
      </c>
      <c r="J53" s="38">
        <f ca="1">J154</f>
        <v>3227.6697244867378</v>
      </c>
      <c r="K53" s="38">
        <f ca="1">K154</f>
        <v>3232.7186144427114</v>
      </c>
      <c r="L53" s="38">
        <f ca="1">L154</f>
        <v>1940.489605541514</v>
      </c>
      <c r="M53" s="38">
        <f ca="1">M154</f>
        <v>2397.5070819390849</v>
      </c>
    </row>
    <row r="54" spans="1:13">
      <c r="B54" s="38" t="s">
        <v>87</v>
      </c>
      <c r="C54" s="54" t="s">
        <v>48</v>
      </c>
      <c r="D54" s="55">
        <v>1298</v>
      </c>
      <c r="E54" s="55">
        <v>3240</v>
      </c>
      <c r="F54" s="55">
        <v>3134</v>
      </c>
      <c r="G54" s="55">
        <v>1905</v>
      </c>
      <c r="H54" s="55">
        <v>2665</v>
      </c>
      <c r="I54" s="156">
        <f>Projections!L142</f>
        <v>2757.7263630434791</v>
      </c>
      <c r="J54" s="156">
        <f>Projections!M142</f>
        <v>3181.6218189568699</v>
      </c>
      <c r="K54" s="156">
        <f>Projections!N142</f>
        <v>3682.3754870957014</v>
      </c>
      <c r="L54" s="156">
        <f>Projections!O142</f>
        <v>4240.8200529247133</v>
      </c>
      <c r="M54" s="156">
        <f>Projections!P142</f>
        <v>4857.6010029813742</v>
      </c>
    </row>
    <row r="55" spans="1:13">
      <c r="B55" s="38" t="s">
        <v>88</v>
      </c>
      <c r="C55" s="54" t="s">
        <v>48</v>
      </c>
      <c r="D55" s="55">
        <v>0</v>
      </c>
      <c r="E55" s="55">
        <v>0</v>
      </c>
      <c r="F55" s="55">
        <v>182</v>
      </c>
      <c r="G55" s="55">
        <v>208</v>
      </c>
      <c r="H55" s="55">
        <v>241</v>
      </c>
      <c r="I55" s="156">
        <f>Projections!L121</f>
        <v>297.02004535818668</v>
      </c>
      <c r="J55" s="156">
        <f>Projections!M121</f>
        <v>365.52060939988354</v>
      </c>
      <c r="K55" s="156">
        <f>Projections!N121</f>
        <v>453.26752765210898</v>
      </c>
      <c r="L55" s="156">
        <f>Projections!O121</f>
        <v>562.16145472063806</v>
      </c>
      <c r="M55" s="156">
        <f>Projections!P121</f>
        <v>697.5818387072527</v>
      </c>
    </row>
    <row r="56" spans="1:13">
      <c r="B56" s="38" t="s">
        <v>89</v>
      </c>
      <c r="C56" s="54" t="s">
        <v>48</v>
      </c>
      <c r="D56" s="55">
        <v>172</v>
      </c>
      <c r="E56" s="55">
        <v>255</v>
      </c>
      <c r="F56" s="55">
        <v>187</v>
      </c>
      <c r="G56" s="55">
        <v>196</v>
      </c>
      <c r="H56" s="55">
        <v>206</v>
      </c>
      <c r="I56" s="156">
        <f>Projections!L110</f>
        <v>254.57992769653663</v>
      </c>
      <c r="J56" s="156">
        <f>Projections!M110</f>
        <v>313.29269443885204</v>
      </c>
      <c r="K56" s="156">
        <f>Projections!N110</f>
        <v>388.50177360152799</v>
      </c>
      <c r="L56" s="156">
        <f>Projections!O110</f>
        <v>480.51974967822173</v>
      </c>
      <c r="M56" s="156">
        <f>Projections!P110</f>
        <v>597.90689832515238</v>
      </c>
    </row>
    <row r="57" spans="1:13">
      <c r="B57" s="38" t="s">
        <v>90</v>
      </c>
      <c r="C57" s="54" t="s">
        <v>48</v>
      </c>
      <c r="D57" s="55">
        <v>0</v>
      </c>
      <c r="E57" s="55">
        <v>0</v>
      </c>
      <c r="F57" s="55">
        <v>185</v>
      </c>
      <c r="G57" s="55">
        <v>272</v>
      </c>
      <c r="H57" s="55">
        <v>431</v>
      </c>
      <c r="I57" s="156">
        <f>Projections!L145</f>
        <v>397.46797941279476</v>
      </c>
      <c r="J57" s="156">
        <f>Projections!M145</f>
        <v>489.1344551399003</v>
      </c>
      <c r="K57" s="156">
        <f>Projections!N145</f>
        <v>606.55612698481855</v>
      </c>
      <c r="L57" s="156">
        <f>Projections!O145</f>
        <v>752.27642377508209</v>
      </c>
      <c r="M57" s="156">
        <f>Projections!P145</f>
        <v>933.49404607244173</v>
      </c>
    </row>
    <row r="58" spans="1:13">
      <c r="B58" s="38" t="s">
        <v>91</v>
      </c>
      <c r="C58" s="54" t="s">
        <v>48</v>
      </c>
      <c r="D58" s="55">
        <v>3</v>
      </c>
      <c r="E58" s="55">
        <v>4</v>
      </c>
      <c r="F58" s="55">
        <v>48</v>
      </c>
      <c r="G58" s="55">
        <v>49</v>
      </c>
      <c r="H58" s="55">
        <v>59</v>
      </c>
      <c r="I58" s="156">
        <f>Projections!L114</f>
        <v>112.68228134517219</v>
      </c>
      <c r="J58" s="156">
        <f>Projections!M114</f>
        <v>138.66975239393963</v>
      </c>
      <c r="K58" s="156">
        <f>Projections!N114</f>
        <v>171.95882861687735</v>
      </c>
      <c r="L58" s="156">
        <f>Projections!O114</f>
        <v>212.68786630223292</v>
      </c>
      <c r="M58" s="156">
        <f>Projections!P114</f>
        <v>264.64581848575426</v>
      </c>
    </row>
    <row r="59" spans="1:13">
      <c r="B59" s="38" t="s">
        <v>92</v>
      </c>
      <c r="C59" s="54" t="s">
        <v>48</v>
      </c>
      <c r="D59" s="55">
        <v>109</v>
      </c>
      <c r="E59" s="55">
        <v>185</v>
      </c>
      <c r="F59" s="55">
        <v>0</v>
      </c>
      <c r="G59" s="55">
        <v>0</v>
      </c>
      <c r="H59" s="55">
        <v>0</v>
      </c>
      <c r="I59" s="156">
        <f>Projections!L118</f>
        <v>0</v>
      </c>
      <c r="J59" s="156">
        <f>Projections!M118</f>
        <v>0</v>
      </c>
      <c r="K59" s="156">
        <f>Projections!N118</f>
        <v>0</v>
      </c>
      <c r="L59" s="156">
        <f>Projections!O118</f>
        <v>0</v>
      </c>
      <c r="M59" s="156">
        <f>Projections!P118</f>
        <v>0</v>
      </c>
    </row>
    <row r="60" spans="1:13">
      <c r="B60" s="62" t="s">
        <v>93</v>
      </c>
      <c r="C60" s="63" t="s">
        <v>48</v>
      </c>
      <c r="D60" s="62">
        <f>SUM(D53:D59)</f>
        <v>3755</v>
      </c>
      <c r="E60" s="62">
        <f t="shared" ref="E60:H60" si="22">SUM(E53:E59)</f>
        <v>8675</v>
      </c>
      <c r="F60" s="62">
        <f t="shared" si="22"/>
        <v>5688</v>
      </c>
      <c r="G60" s="62">
        <f t="shared" si="22"/>
        <v>5768</v>
      </c>
      <c r="H60" s="62">
        <f t="shared" si="22"/>
        <v>6566</v>
      </c>
      <c r="I60" s="62">
        <f ca="1">SUM(I53:I59)</f>
        <v>7206.7434195801379</v>
      </c>
      <c r="J60" s="62">
        <f ca="1">SUM(J53:J59)</f>
        <v>7715.9090548161821</v>
      </c>
      <c r="K60" s="62">
        <f ca="1">SUM(K53:K59)</f>
        <v>8535.3783583937457</v>
      </c>
      <c r="L60" s="62">
        <f ca="1">SUM(L53:L59)</f>
        <v>8188.9551529424025</v>
      </c>
      <c r="M60" s="62">
        <f ca="1">SUM(M53:M59)</f>
        <v>9748.7366865110598</v>
      </c>
    </row>
    <row r="62" spans="1:13">
      <c r="B62" s="61" t="s">
        <v>94</v>
      </c>
    </row>
    <row r="63" spans="1:13">
      <c r="B63" s="38" t="s">
        <v>95</v>
      </c>
      <c r="C63" s="54" t="s">
        <v>48</v>
      </c>
      <c r="D63" s="55">
        <v>384</v>
      </c>
      <c r="E63" s="55">
        <v>441</v>
      </c>
      <c r="F63" s="55">
        <v>492</v>
      </c>
      <c r="G63" s="55">
        <v>512</v>
      </c>
      <c r="H63" s="55">
        <v>567</v>
      </c>
      <c r="I63" s="156">
        <f>PPE!L12</f>
        <v>553.5658836224585</v>
      </c>
      <c r="J63" s="156">
        <f>PPE!M12</f>
        <v>547.11344424725371</v>
      </c>
      <c r="K63" s="156">
        <f>PPE!N12</f>
        <v>550.96527656198373</v>
      </c>
      <c r="L63" s="156">
        <f>PPE!O12</f>
        <v>586.0944301877455</v>
      </c>
      <c r="M63" s="156">
        <f>PPE!P12</f>
        <v>703.86684063436519</v>
      </c>
    </row>
    <row r="64" spans="1:13">
      <c r="B64" s="38" t="s">
        <v>96</v>
      </c>
      <c r="C64" s="54" t="s">
        <v>48</v>
      </c>
      <c r="D64" s="55">
        <v>9</v>
      </c>
      <c r="E64" s="55">
        <v>14</v>
      </c>
      <c r="F64" s="55">
        <v>107</v>
      </c>
      <c r="G64" s="55">
        <v>102</v>
      </c>
      <c r="H64" s="55">
        <v>131</v>
      </c>
      <c r="I64" s="156">
        <f>Projections!L150</f>
        <v>149.05049227979805</v>
      </c>
      <c r="J64" s="156">
        <f>Projections!M150</f>
        <v>183.42542067746263</v>
      </c>
      <c r="K64" s="156">
        <f>Projections!N150</f>
        <v>227.45854761930696</v>
      </c>
      <c r="L64" s="156">
        <f>Projections!O150</f>
        <v>282.10365891565579</v>
      </c>
      <c r="M64" s="156">
        <f>Projections!P150</f>
        <v>350.06026727716562</v>
      </c>
    </row>
    <row r="65" spans="1:13">
      <c r="B65" s="38" t="s">
        <v>87</v>
      </c>
      <c r="C65" s="54" t="s">
        <v>48</v>
      </c>
      <c r="D65" s="55">
        <v>377</v>
      </c>
      <c r="E65" s="55">
        <v>1241</v>
      </c>
      <c r="F65" s="55">
        <v>1742</v>
      </c>
      <c r="G65" s="55">
        <v>1188</v>
      </c>
      <c r="H65" s="55">
        <v>765</v>
      </c>
      <c r="I65" s="156">
        <f>Projections!L153</f>
        <v>942.82296555606968</v>
      </c>
      <c r="J65" s="156">
        <f>Projections!M153</f>
        <v>1160.2625153149829</v>
      </c>
      <c r="K65" s="156">
        <f>Projections!N153</f>
        <v>1438.7952641239142</v>
      </c>
      <c r="L65" s="156">
        <f>Projections!O153</f>
        <v>1784.4544102128136</v>
      </c>
      <c r="M65" s="156">
        <f>Projections!P153</f>
        <v>2214.31579506659</v>
      </c>
    </row>
    <row r="66" spans="1:13">
      <c r="B66" s="38" t="s">
        <v>97</v>
      </c>
      <c r="C66" s="54" t="s">
        <v>48</v>
      </c>
      <c r="D66" s="55">
        <v>0</v>
      </c>
      <c r="E66" s="55">
        <v>5</v>
      </c>
      <c r="F66" s="55">
        <v>20</v>
      </c>
      <c r="G66" s="55">
        <v>56</v>
      </c>
      <c r="H66" s="55">
        <v>67</v>
      </c>
      <c r="I66" s="156">
        <f>Projections!L156</f>
        <v>48.111067045420079</v>
      </c>
      <c r="J66" s="156">
        <f>Projections!M156</f>
        <v>59.206733081309508</v>
      </c>
      <c r="K66" s="156">
        <f>Projections!N156</f>
        <v>73.419908027030246</v>
      </c>
      <c r="L66" s="156">
        <f>Projections!O156</f>
        <v>91.058458380475898</v>
      </c>
      <c r="M66" s="156">
        <f>Projections!P156</f>
        <v>112.99374280021807</v>
      </c>
    </row>
    <row r="67" spans="1:13">
      <c r="B67" s="38" t="s">
        <v>98</v>
      </c>
      <c r="C67" s="54" t="s">
        <v>48</v>
      </c>
      <c r="D67" s="55">
        <v>0</v>
      </c>
      <c r="E67" s="55">
        <v>0</v>
      </c>
      <c r="F67" s="55">
        <v>0</v>
      </c>
      <c r="G67" s="55">
        <v>0</v>
      </c>
      <c r="H67" s="55">
        <v>0</v>
      </c>
      <c r="I67" s="77">
        <f>H67</f>
        <v>0</v>
      </c>
      <c r="J67" s="77">
        <f t="shared" ref="J67:M67" si="23">I67</f>
        <v>0</v>
      </c>
      <c r="K67" s="77">
        <f t="shared" si="23"/>
        <v>0</v>
      </c>
      <c r="L67" s="77">
        <f t="shared" si="23"/>
        <v>0</v>
      </c>
      <c r="M67" s="77">
        <f t="shared" si="23"/>
        <v>0</v>
      </c>
    </row>
    <row r="68" spans="1:13">
      <c r="B68" s="38" t="s">
        <v>90</v>
      </c>
      <c r="C68" s="54" t="s">
        <v>48</v>
      </c>
      <c r="D68" s="55">
        <v>0</v>
      </c>
      <c r="E68" s="55">
        <v>0</v>
      </c>
      <c r="F68" s="55">
        <v>0</v>
      </c>
      <c r="G68" s="55">
        <v>54</v>
      </c>
      <c r="H68" s="55">
        <v>105</v>
      </c>
      <c r="I68" s="156">
        <f>Projections!L159</f>
        <v>0</v>
      </c>
      <c r="J68" s="156">
        <f>Projections!M159</f>
        <v>0</v>
      </c>
      <c r="K68" s="156">
        <f>Projections!N159</f>
        <v>0</v>
      </c>
      <c r="L68" s="156">
        <f>Projections!O159</f>
        <v>0</v>
      </c>
      <c r="M68" s="156">
        <f>Projections!P159</f>
        <v>0</v>
      </c>
    </row>
    <row r="69" spans="1:13">
      <c r="B69" s="38" t="s">
        <v>99</v>
      </c>
      <c r="C69" s="54" t="s">
        <v>48</v>
      </c>
      <c r="D69" s="55">
        <v>913</v>
      </c>
      <c r="E69" s="55">
        <v>675</v>
      </c>
      <c r="F69" s="55">
        <v>904</v>
      </c>
      <c r="G69" s="55">
        <v>916</v>
      </c>
      <c r="H69" s="55">
        <v>975</v>
      </c>
      <c r="I69" s="156">
        <f>'Goodwill &amp; Intangibles'!L12</f>
        <v>961.25697173336016</v>
      </c>
      <c r="J69" s="156">
        <f>'Goodwill &amp; Intangibles'!M12</f>
        <v>947.04886014398494</v>
      </c>
      <c r="K69" s="156">
        <f>'Goodwill &amp; Intangibles'!N12</f>
        <v>932.94535115922463</v>
      </c>
      <c r="L69" s="156">
        <f>'Goodwill &amp; Intangibles'!O12</f>
        <v>998.50320857424776</v>
      </c>
      <c r="M69" s="156">
        <f>'Goodwill &amp; Intangibles'!P12</f>
        <v>1080.1258475902082</v>
      </c>
    </row>
    <row r="70" spans="1:13">
      <c r="B70" s="38" t="s">
        <v>88</v>
      </c>
      <c r="C70" s="54" t="s">
        <v>48</v>
      </c>
      <c r="D70" s="55">
        <v>4</v>
      </c>
      <c r="E70" s="55">
        <v>127</v>
      </c>
      <c r="F70" s="55">
        <v>217</v>
      </c>
      <c r="G70" s="55">
        <v>196</v>
      </c>
      <c r="H70" s="55">
        <v>119</v>
      </c>
      <c r="I70" s="156">
        <f>Projections!L162</f>
        <v>286.41074987098443</v>
      </c>
      <c r="J70" s="156">
        <f>Projections!M162</f>
        <v>352.46453385081048</v>
      </c>
      <c r="K70" s="156">
        <f>Projections!N162</f>
        <v>437.07720915082513</v>
      </c>
      <c r="L70" s="156">
        <f>Projections!O162</f>
        <v>542.08154066145619</v>
      </c>
      <c r="M70" s="156">
        <f>Projections!P162</f>
        <v>672.66482731690644</v>
      </c>
    </row>
    <row r="71" spans="1:13">
      <c r="B71" s="62" t="s">
        <v>100</v>
      </c>
      <c r="C71" s="63" t="s">
        <v>48</v>
      </c>
      <c r="D71" s="62">
        <f>SUM(D63:D70)</f>
        <v>1687</v>
      </c>
      <c r="E71" s="62">
        <f t="shared" ref="E71:M71" si="24">SUM(E63:E70)</f>
        <v>2503</v>
      </c>
      <c r="F71" s="62">
        <f t="shared" si="24"/>
        <v>3482</v>
      </c>
      <c r="G71" s="62">
        <f t="shared" si="24"/>
        <v>3024</v>
      </c>
      <c r="H71" s="62">
        <f t="shared" si="24"/>
        <v>2729</v>
      </c>
      <c r="I71" s="62">
        <f t="shared" si="24"/>
        <v>2941.2181301080909</v>
      </c>
      <c r="J71" s="62">
        <f t="shared" si="24"/>
        <v>3249.5215073158038</v>
      </c>
      <c r="K71" s="62">
        <f t="shared" si="24"/>
        <v>3660.6615566422847</v>
      </c>
      <c r="L71" s="62">
        <f t="shared" si="24"/>
        <v>4284.2957069323948</v>
      </c>
      <c r="M71" s="62">
        <f t="shared" si="24"/>
        <v>5134.0273206854536</v>
      </c>
    </row>
    <row r="72" spans="1:13" ht="17" thickBot="1"/>
    <row r="73" spans="1:13" ht="17" thickBot="1">
      <c r="B73" s="66" t="s">
        <v>101</v>
      </c>
      <c r="C73" s="67" t="s">
        <v>48</v>
      </c>
      <c r="D73" s="68">
        <f>SUM(D71,D60)</f>
        <v>5442</v>
      </c>
      <c r="E73" s="68">
        <f t="shared" ref="E73:H73" si="25">SUM(E71,E60)</f>
        <v>11178</v>
      </c>
      <c r="F73" s="68">
        <f t="shared" si="25"/>
        <v>9170</v>
      </c>
      <c r="G73" s="68">
        <f t="shared" si="25"/>
        <v>8792</v>
      </c>
      <c r="H73" s="68">
        <f t="shared" si="25"/>
        <v>9295</v>
      </c>
      <c r="I73" s="68">
        <f ca="1">SUM(I71,I60)</f>
        <v>10147.961549688229</v>
      </c>
      <c r="J73" s="68">
        <f ca="1">SUM(J71,J60)</f>
        <v>10965.430562131985</v>
      </c>
      <c r="K73" s="68">
        <f ca="1">SUM(K71,K60)</f>
        <v>12196.03991503603</v>
      </c>
      <c r="L73" s="68">
        <f ca="1">SUM(L71,L60)</f>
        <v>12473.250859874797</v>
      </c>
      <c r="M73" s="69">
        <f ca="1">SUM(M71,M60)</f>
        <v>14882.764007196514</v>
      </c>
    </row>
    <row r="75" spans="1:13">
      <c r="A75" s="38" t="s">
        <v>57</v>
      </c>
      <c r="B75" s="85" t="s">
        <v>102</v>
      </c>
      <c r="C75" s="86"/>
      <c r="D75" s="87"/>
      <c r="E75" s="87"/>
      <c r="F75" s="87"/>
      <c r="G75" s="87"/>
      <c r="H75" s="87"/>
      <c r="I75" s="88"/>
      <c r="J75" s="88"/>
      <c r="K75" s="88"/>
      <c r="L75" s="88"/>
      <c r="M75" s="88"/>
    </row>
    <row r="76" spans="1:13">
      <c r="B76" s="61" t="s">
        <v>103</v>
      </c>
    </row>
    <row r="77" spans="1:13">
      <c r="B77" s="38" t="s">
        <v>104</v>
      </c>
      <c r="C77" s="54" t="s">
        <v>48</v>
      </c>
      <c r="D77" s="55">
        <v>661</v>
      </c>
      <c r="E77" s="55">
        <v>844</v>
      </c>
      <c r="F77" s="55">
        <v>930</v>
      </c>
      <c r="G77" s="55">
        <v>925</v>
      </c>
      <c r="H77" s="55">
        <v>1169</v>
      </c>
      <c r="I77" s="156">
        <f>Projections!L126</f>
        <v>1444.6792984332585</v>
      </c>
      <c r="J77" s="156">
        <f>Projections!M126</f>
        <v>1777.859999024359</v>
      </c>
      <c r="K77" s="156">
        <f>Projections!N126</f>
        <v>2204.6532686416804</v>
      </c>
      <c r="L77" s="156">
        <f>Projections!O126</f>
        <v>2726.8329484167048</v>
      </c>
      <c r="M77" s="156">
        <f>Projections!P126</f>
        <v>3392.9765249616648</v>
      </c>
    </row>
    <row r="78" spans="1:13">
      <c r="B78" s="38" t="s">
        <v>105</v>
      </c>
      <c r="C78" s="54" t="s">
        <v>48</v>
      </c>
      <c r="D78" s="55">
        <v>140</v>
      </c>
      <c r="E78" s="55">
        <v>144</v>
      </c>
      <c r="F78" s="55">
        <v>117</v>
      </c>
      <c r="G78" s="55">
        <v>125</v>
      </c>
      <c r="H78" s="55">
        <v>123</v>
      </c>
      <c r="I78" s="156">
        <f>'Debt &amp; Equity'!M11</f>
        <v>1584</v>
      </c>
      <c r="J78" s="156">
        <f>'Debt &amp; Equity'!N11</f>
        <v>1584</v>
      </c>
      <c r="K78" s="156">
        <f>'Debt &amp; Equity'!O11</f>
        <v>1584</v>
      </c>
      <c r="L78" s="156">
        <f>'Debt &amp; Equity'!P11</f>
        <v>75</v>
      </c>
      <c r="M78" s="156">
        <f>'Debt &amp; Equity'!Q11</f>
        <v>0</v>
      </c>
    </row>
    <row r="79" spans="1:13">
      <c r="B79" s="38" t="s">
        <v>106</v>
      </c>
      <c r="C79" s="54" t="s">
        <v>48</v>
      </c>
      <c r="D79" s="55">
        <v>0</v>
      </c>
      <c r="E79" s="55">
        <v>3</v>
      </c>
      <c r="F79" s="55">
        <v>9</v>
      </c>
      <c r="G79" s="55">
        <v>15</v>
      </c>
      <c r="H79" s="55">
        <v>34</v>
      </c>
      <c r="I79" s="156">
        <f>Projections!L167</f>
        <v>21.649980170439036</v>
      </c>
      <c r="J79" s="156">
        <f>Projections!M167</f>
        <v>26.643029886589282</v>
      </c>
      <c r="K79" s="156">
        <f>Projections!N167</f>
        <v>33.038958612163611</v>
      </c>
      <c r="L79" s="156">
        <f>Projections!O167</f>
        <v>40.976306271214156</v>
      </c>
      <c r="M79" s="156">
        <f>Projections!P167</f>
        <v>50.847184260098132</v>
      </c>
    </row>
    <row r="80" spans="1:13">
      <c r="B80" s="38" t="s">
        <v>107</v>
      </c>
      <c r="C80" s="54" t="s">
        <v>48</v>
      </c>
      <c r="D80" s="55">
        <v>35</v>
      </c>
      <c r="E80" s="55">
        <v>35</v>
      </c>
      <c r="F80" s="55">
        <v>38</v>
      </c>
      <c r="G80" s="55">
        <v>39</v>
      </c>
      <c r="H80" s="55">
        <v>41</v>
      </c>
      <c r="I80" s="156">
        <f>Projections!L130</f>
        <v>91.411027386298159</v>
      </c>
      <c r="J80" s="156">
        <f>Projections!M130</f>
        <v>112.49279285448807</v>
      </c>
      <c r="K80" s="156">
        <f>Projections!N130</f>
        <v>139.49782525135745</v>
      </c>
      <c r="L80" s="156">
        <f>Projections!O130</f>
        <v>173.0110709229042</v>
      </c>
      <c r="M80" s="156">
        <f>Projections!P130</f>
        <v>214.68811132041435</v>
      </c>
    </row>
    <row r="81" spans="2:13">
      <c r="B81" s="38" t="s">
        <v>108</v>
      </c>
      <c r="C81" s="54" t="s">
        <v>48</v>
      </c>
      <c r="D81" s="55">
        <v>0</v>
      </c>
      <c r="E81" s="55">
        <v>0</v>
      </c>
      <c r="F81" s="55">
        <v>3</v>
      </c>
      <c r="G81" s="55">
        <v>374</v>
      </c>
      <c r="H81" s="55">
        <v>1225</v>
      </c>
      <c r="I81" s="156">
        <f>Projections!L133</f>
        <v>7.2166600568130121</v>
      </c>
      <c r="J81" s="156">
        <f>Projections!M133</f>
        <v>8.8810099621964262</v>
      </c>
      <c r="K81" s="156">
        <f>Projections!N133</f>
        <v>11.012986204054537</v>
      </c>
      <c r="L81" s="156">
        <f>Projections!O133</f>
        <v>13.658768757071385</v>
      </c>
      <c r="M81" s="156">
        <f>Projections!P133</f>
        <v>16.949061420032713</v>
      </c>
    </row>
    <row r="82" spans="2:13">
      <c r="B82" s="62" t="s">
        <v>109</v>
      </c>
      <c r="C82" s="63" t="s">
        <v>48</v>
      </c>
      <c r="D82" s="62">
        <f>SUM(D77:D81)</f>
        <v>836</v>
      </c>
      <c r="E82" s="62">
        <f t="shared" ref="E82:M82" si="26">SUM(E77:E81)</f>
        <v>1026</v>
      </c>
      <c r="F82" s="62">
        <f t="shared" si="26"/>
        <v>1097</v>
      </c>
      <c r="G82" s="62">
        <f t="shared" si="26"/>
        <v>1478</v>
      </c>
      <c r="H82" s="62">
        <f t="shared" si="26"/>
        <v>2592</v>
      </c>
      <c r="I82" s="62">
        <f t="shared" si="26"/>
        <v>3148.9569660468087</v>
      </c>
      <c r="J82" s="62">
        <f t="shared" si="26"/>
        <v>3509.8768317276331</v>
      </c>
      <c r="K82" s="62">
        <f t="shared" si="26"/>
        <v>3972.2030387092559</v>
      </c>
      <c r="L82" s="62">
        <f t="shared" si="26"/>
        <v>3029.4790943678945</v>
      </c>
      <c r="M82" s="62">
        <f t="shared" si="26"/>
        <v>3675.4608819622099</v>
      </c>
    </row>
    <row r="84" spans="2:13">
      <c r="B84" s="61" t="s">
        <v>110</v>
      </c>
    </row>
    <row r="85" spans="2:13">
      <c r="B85" s="38" t="s">
        <v>111</v>
      </c>
      <c r="C85" s="54" t="s">
        <v>48</v>
      </c>
      <c r="D85" s="55">
        <v>10767</v>
      </c>
      <c r="E85" s="55">
        <v>0</v>
      </c>
      <c r="F85" s="55">
        <v>0</v>
      </c>
      <c r="G85" s="55">
        <v>0</v>
      </c>
      <c r="H85" s="55">
        <v>0</v>
      </c>
      <c r="I85" s="77">
        <f>H85</f>
        <v>0</v>
      </c>
      <c r="J85" s="77">
        <f t="shared" ref="J85:M85" si="27">I85</f>
        <v>0</v>
      </c>
      <c r="K85" s="77">
        <f t="shared" si="27"/>
        <v>0</v>
      </c>
      <c r="L85" s="77">
        <f t="shared" si="27"/>
        <v>0</v>
      </c>
      <c r="M85" s="77">
        <f t="shared" si="27"/>
        <v>0</v>
      </c>
    </row>
    <row r="86" spans="2:13">
      <c r="B86" s="38" t="s">
        <v>105</v>
      </c>
      <c r="C86" s="54" t="s">
        <v>48</v>
      </c>
      <c r="D86" s="55">
        <v>111</v>
      </c>
      <c r="E86" s="55">
        <v>2031</v>
      </c>
      <c r="F86" s="55">
        <v>1248</v>
      </c>
      <c r="G86" s="55">
        <v>668</v>
      </c>
      <c r="H86" s="55">
        <v>241</v>
      </c>
      <c r="I86" s="156">
        <f ca="1">'Debt &amp; Equity'!M12</f>
        <v>241</v>
      </c>
      <c r="J86" s="156">
        <f ca="1">'Debt &amp; Equity'!N12</f>
        <v>241</v>
      </c>
      <c r="K86" s="156">
        <f ca="1">'Debt &amp; Equity'!O12</f>
        <v>241</v>
      </c>
      <c r="L86" s="156">
        <f ca="1">'Debt &amp; Equity'!P12</f>
        <v>241</v>
      </c>
      <c r="M86" s="156">
        <f ca="1">'Debt &amp; Equity'!Q12</f>
        <v>158</v>
      </c>
    </row>
    <row r="87" spans="2:13">
      <c r="B87" s="38" t="s">
        <v>112</v>
      </c>
      <c r="C87" s="54" t="s">
        <v>48</v>
      </c>
      <c r="D87" s="55">
        <v>1</v>
      </c>
      <c r="E87" s="55">
        <v>3</v>
      </c>
      <c r="F87" s="55">
        <v>18</v>
      </c>
      <c r="G87" s="55">
        <v>20</v>
      </c>
      <c r="H87" s="55">
        <v>25</v>
      </c>
      <c r="I87" s="156">
        <f>Projections!L172</f>
        <v>29.225586721529027</v>
      </c>
      <c r="J87" s="156">
        <f>Projections!M172</f>
        <v>35.965768760286785</v>
      </c>
      <c r="K87" s="156">
        <f>Projections!N172</f>
        <v>44.599715219471953</v>
      </c>
      <c r="L87" s="156">
        <f>Projections!O172</f>
        <v>55.314442924638385</v>
      </c>
      <c r="M87" s="156">
        <f>Projections!P172</f>
        <v>68.639268093561881</v>
      </c>
    </row>
    <row r="88" spans="2:13">
      <c r="B88" s="38" t="s">
        <v>113</v>
      </c>
      <c r="C88" s="54" t="s">
        <v>48</v>
      </c>
      <c r="D88" s="55">
        <v>105</v>
      </c>
      <c r="E88" s="55">
        <v>286</v>
      </c>
      <c r="F88" s="55">
        <v>54</v>
      </c>
      <c r="G88" s="55">
        <v>19</v>
      </c>
      <c r="H88" s="55">
        <v>-48</v>
      </c>
      <c r="I88" s="77">
        <f>H88</f>
        <v>-48</v>
      </c>
      <c r="J88" s="77">
        <f t="shared" ref="J88:M88" si="28">I88</f>
        <v>-48</v>
      </c>
      <c r="K88" s="77">
        <f t="shared" si="28"/>
        <v>-48</v>
      </c>
      <c r="L88" s="77">
        <f t="shared" si="28"/>
        <v>-48</v>
      </c>
      <c r="M88" s="77">
        <f t="shared" si="28"/>
        <v>-48</v>
      </c>
    </row>
    <row r="89" spans="2:13">
      <c r="B89" s="38" t="s">
        <v>114</v>
      </c>
      <c r="C89" s="54" t="s">
        <v>48</v>
      </c>
      <c r="D89" s="55">
        <v>0</v>
      </c>
      <c r="E89" s="55">
        <v>81</v>
      </c>
      <c r="F89" s="55">
        <v>132</v>
      </c>
      <c r="G89" s="55">
        <v>140</v>
      </c>
      <c r="H89" s="55">
        <v>66</v>
      </c>
      <c r="I89" s="156">
        <f>Projections!L175</f>
        <v>204.57910705070321</v>
      </c>
      <c r="J89" s="156">
        <f>Projections!M175</f>
        <v>251.76038132200753</v>
      </c>
      <c r="K89" s="156">
        <f>Projections!N175</f>
        <v>312.19800653630369</v>
      </c>
      <c r="L89" s="156">
        <f>Projections!O175</f>
        <v>387.20110047246874</v>
      </c>
      <c r="M89" s="156">
        <f>Projections!P175</f>
        <v>480.47487665493327</v>
      </c>
    </row>
    <row r="90" spans="2:13">
      <c r="B90" s="38" t="s">
        <v>107</v>
      </c>
      <c r="C90" s="54" t="s">
        <v>48</v>
      </c>
      <c r="D90" s="55">
        <v>3</v>
      </c>
      <c r="E90" s="55">
        <v>18</v>
      </c>
      <c r="F90" s="55">
        <v>18</v>
      </c>
      <c r="G90" s="55">
        <v>18</v>
      </c>
      <c r="H90" s="55">
        <v>20</v>
      </c>
      <c r="I90" s="156">
        <f>Projections!G178</f>
        <v>3</v>
      </c>
      <c r="J90" s="156">
        <f>Projections!H178</f>
        <v>18</v>
      </c>
      <c r="K90" s="156">
        <f>Projections!I178</f>
        <v>18</v>
      </c>
      <c r="L90" s="156">
        <f>Projections!J178</f>
        <v>18</v>
      </c>
      <c r="M90" s="156">
        <f>Projections!K178</f>
        <v>20</v>
      </c>
    </row>
    <row r="91" spans="2:13">
      <c r="B91" s="38" t="s">
        <v>104</v>
      </c>
      <c r="C91" s="54" t="s">
        <v>48</v>
      </c>
      <c r="D91" s="55">
        <v>18</v>
      </c>
      <c r="E91" s="55">
        <v>0</v>
      </c>
      <c r="F91" s="55">
        <v>0</v>
      </c>
      <c r="G91" s="55">
        <v>0</v>
      </c>
      <c r="H91" s="55">
        <v>0</v>
      </c>
      <c r="I91" s="77">
        <f t="shared" ref="I91:M91" si="29">H91</f>
        <v>0</v>
      </c>
      <c r="J91" s="77">
        <f t="shared" si="29"/>
        <v>0</v>
      </c>
      <c r="K91" s="77">
        <f t="shared" si="29"/>
        <v>0</v>
      </c>
      <c r="L91" s="77">
        <f t="shared" si="29"/>
        <v>0</v>
      </c>
      <c r="M91" s="77">
        <f t="shared" si="29"/>
        <v>0</v>
      </c>
    </row>
    <row r="92" spans="2:13">
      <c r="B92" s="38" t="s">
        <v>115</v>
      </c>
      <c r="C92" s="54" t="s">
        <v>48</v>
      </c>
      <c r="D92" s="55">
        <v>0</v>
      </c>
      <c r="E92" s="55">
        <v>0</v>
      </c>
      <c r="F92" s="55">
        <v>0</v>
      </c>
      <c r="G92" s="55">
        <v>0</v>
      </c>
      <c r="H92" s="55">
        <v>0</v>
      </c>
      <c r="I92" s="77">
        <f t="shared" ref="I92:M92" si="30">H92</f>
        <v>0</v>
      </c>
      <c r="J92" s="77">
        <f t="shared" si="30"/>
        <v>0</v>
      </c>
      <c r="K92" s="77">
        <f t="shared" si="30"/>
        <v>0</v>
      </c>
      <c r="L92" s="77">
        <f t="shared" si="30"/>
        <v>0</v>
      </c>
      <c r="M92" s="77">
        <f t="shared" si="30"/>
        <v>0</v>
      </c>
    </row>
    <row r="93" spans="2:13">
      <c r="B93" s="62" t="s">
        <v>116</v>
      </c>
      <c r="C93" s="63" t="s">
        <v>48</v>
      </c>
      <c r="D93" s="62">
        <f>SUM(D85:D92)</f>
        <v>11005</v>
      </c>
      <c r="E93" s="62">
        <f t="shared" ref="E93:H93" si="31">SUM(E85:E92)</f>
        <v>2419</v>
      </c>
      <c r="F93" s="62">
        <f t="shared" si="31"/>
        <v>1470</v>
      </c>
      <c r="G93" s="62">
        <f t="shared" si="31"/>
        <v>865</v>
      </c>
      <c r="H93" s="62">
        <f t="shared" si="31"/>
        <v>304</v>
      </c>
      <c r="I93" s="62">
        <f ca="1">SUM(I85:I92)</f>
        <v>429.80469377223221</v>
      </c>
      <c r="J93" s="62">
        <f ca="1">SUM(J85:J92)</f>
        <v>498.72615008229434</v>
      </c>
      <c r="K93" s="62">
        <f ca="1">SUM(K85:K92)</f>
        <v>567.79772175577568</v>
      </c>
      <c r="L93" s="62">
        <f ca="1">SUM(L85:L92)</f>
        <v>653.51554339710719</v>
      </c>
      <c r="M93" s="62">
        <f ca="1">SUM(M85:M92)</f>
        <v>679.11414474849516</v>
      </c>
    </row>
    <row r="94" spans="2:13" ht="17" thickBot="1"/>
    <row r="95" spans="2:13" ht="17" thickBot="1">
      <c r="B95" s="66" t="s">
        <v>117</v>
      </c>
      <c r="C95" s="67" t="s">
        <v>48</v>
      </c>
      <c r="D95" s="68">
        <f>SUM(D93,D82)</f>
        <v>11841</v>
      </c>
      <c r="E95" s="68">
        <f t="shared" ref="E95:H95" si="32">SUM(E93,E82)</f>
        <v>3445</v>
      </c>
      <c r="F95" s="68">
        <f t="shared" si="32"/>
        <v>2567</v>
      </c>
      <c r="G95" s="68">
        <f t="shared" si="32"/>
        <v>2343</v>
      </c>
      <c r="H95" s="68">
        <f t="shared" si="32"/>
        <v>2896</v>
      </c>
      <c r="I95" s="68">
        <f ca="1">SUM(I93,I82)</f>
        <v>3578.7616598190407</v>
      </c>
      <c r="J95" s="68">
        <f ca="1">SUM(J93,J82)</f>
        <v>4008.6029818099273</v>
      </c>
      <c r="K95" s="68">
        <f ca="1">SUM(K93,K82)</f>
        <v>4540.0007604650318</v>
      </c>
      <c r="L95" s="68">
        <f ca="1">SUM(L93,L82)</f>
        <v>3682.9946377650017</v>
      </c>
      <c r="M95" s="69">
        <f ca="1">SUM(M93,M82)</f>
        <v>4354.5750267107051</v>
      </c>
    </row>
    <row r="97" spans="1:13">
      <c r="A97" s="38" t="s">
        <v>57</v>
      </c>
      <c r="B97" s="85" t="s">
        <v>118</v>
      </c>
      <c r="C97" s="86"/>
      <c r="D97" s="87"/>
      <c r="E97" s="87"/>
      <c r="F97" s="87"/>
      <c r="G97" s="87"/>
      <c r="H97" s="87"/>
      <c r="I97" s="88"/>
      <c r="J97" s="88"/>
      <c r="K97" s="88"/>
      <c r="L97" s="88"/>
      <c r="M97" s="88"/>
    </row>
    <row r="98" spans="1:13">
      <c r="B98" s="38" t="s">
        <v>119</v>
      </c>
      <c r="C98" s="54" t="s">
        <v>48</v>
      </c>
      <c r="D98" s="55">
        <v>140</v>
      </c>
      <c r="E98" s="55">
        <v>21529</v>
      </c>
      <c r="F98" s="55">
        <v>22278</v>
      </c>
      <c r="G98" s="55">
        <v>22669</v>
      </c>
      <c r="H98" s="55">
        <v>23549</v>
      </c>
      <c r="I98" s="38">
        <f>'Debt &amp; Equity'!M96</f>
        <v>23549</v>
      </c>
      <c r="J98" s="38">
        <f>'Debt &amp; Equity'!N96</f>
        <v>23549</v>
      </c>
      <c r="K98" s="38">
        <f>'Debt &amp; Equity'!O96</f>
        <v>23549</v>
      </c>
      <c r="L98" s="38">
        <f>'Debt &amp; Equity'!P96</f>
        <v>23549</v>
      </c>
      <c r="M98" s="38">
        <f>'Debt &amp; Equity'!Q96</f>
        <v>23549</v>
      </c>
    </row>
    <row r="99" spans="1:13">
      <c r="B99" s="38" t="s">
        <v>120</v>
      </c>
      <c r="C99" s="54" t="s">
        <v>48</v>
      </c>
      <c r="D99" s="55">
        <v>-10490</v>
      </c>
      <c r="E99" s="55">
        <v>-14402</v>
      </c>
      <c r="F99" s="55">
        <v>-16277</v>
      </c>
      <c r="G99" s="55">
        <v>-16764</v>
      </c>
      <c r="H99" s="55">
        <v>-17347</v>
      </c>
      <c r="I99" s="38">
        <f ca="1">'Debt &amp; Equity'!M89</f>
        <v>-17222.592429365512</v>
      </c>
      <c r="J99" s="38">
        <f ca="1">'Debt &amp; Equity'!N89</f>
        <v>-16890.95897590938</v>
      </c>
      <c r="K99" s="38">
        <f ca="1">'Debt &amp; Equity'!O89</f>
        <v>-16263.474135667446</v>
      </c>
      <c r="L99" s="38">
        <f ca="1">'Debt &amp; Equity'!P89</f>
        <v>-15218.269946271805</v>
      </c>
      <c r="M99" s="38">
        <f ca="1">'Debt &amp; Equity'!Q89</f>
        <v>-13591.033518374477</v>
      </c>
    </row>
    <row r="100" spans="1:13">
      <c r="B100" s="38" t="s">
        <v>121</v>
      </c>
      <c r="C100" s="54" t="s">
        <v>48</v>
      </c>
      <c r="D100" s="55">
        <v>3951</v>
      </c>
      <c r="E100" s="55">
        <v>606</v>
      </c>
      <c r="F100" s="55">
        <v>602</v>
      </c>
      <c r="G100" s="55">
        <v>544</v>
      </c>
      <c r="H100" s="55">
        <v>197</v>
      </c>
      <c r="I100" s="156">
        <f>'Debt &amp; Equity'!M100</f>
        <v>242.79231923470027</v>
      </c>
      <c r="J100" s="156">
        <f>'Debt &amp; Equity'!N100</f>
        <v>298.78655623144004</v>
      </c>
      <c r="K100" s="156">
        <f>'Debt &amp; Equity'!O100</f>
        <v>370.5132902384459</v>
      </c>
      <c r="L100" s="156">
        <f>'Debt &amp; Equity'!P100</f>
        <v>459.52616838160037</v>
      </c>
      <c r="M100" s="156">
        <f>'Debt &amp; Equity'!Q100</f>
        <v>570.22249886028533</v>
      </c>
    </row>
    <row r="101" spans="1:13">
      <c r="B101" s="58" t="s">
        <v>122</v>
      </c>
      <c r="C101" s="57" t="s">
        <v>48</v>
      </c>
      <c r="D101" s="58">
        <f>SUM(D98:D100)</f>
        <v>-6399</v>
      </c>
      <c r="E101" s="58">
        <f t="shared" ref="E101:H101" si="33">SUM(E98:E100)</f>
        <v>7733</v>
      </c>
      <c r="F101" s="58">
        <f t="shared" si="33"/>
        <v>6603</v>
      </c>
      <c r="G101" s="58">
        <f t="shared" si="33"/>
        <v>6449</v>
      </c>
      <c r="H101" s="58">
        <f t="shared" si="33"/>
        <v>6399</v>
      </c>
      <c r="I101" s="58">
        <f ca="1">SUM(I98:I100)</f>
        <v>6569.1998898691891</v>
      </c>
      <c r="J101" s="58">
        <f ca="1">SUM(J98:J100)</f>
        <v>6956.8275803220604</v>
      </c>
      <c r="K101" s="58">
        <f ca="1">SUM(K98:K100)</f>
        <v>7656.0391545709999</v>
      </c>
      <c r="L101" s="58">
        <f ca="1">SUM(L98:L100)</f>
        <v>8790.256222109796</v>
      </c>
      <c r="M101" s="58">
        <f ca="1">SUM(M98:M100)</f>
        <v>10528.188980485807</v>
      </c>
    </row>
    <row r="102" spans="1:13" ht="17" thickBot="1"/>
    <row r="103" spans="1:13" ht="17" thickBot="1">
      <c r="B103" s="66" t="s">
        <v>123</v>
      </c>
      <c r="C103" s="67" t="s">
        <v>48</v>
      </c>
      <c r="D103" s="68">
        <f>SUM(D101,D95)</f>
        <v>5442</v>
      </c>
      <c r="E103" s="68">
        <f t="shared" ref="E103:H103" si="34">SUM(E101,E95)</f>
        <v>11178</v>
      </c>
      <c r="F103" s="68">
        <f t="shared" si="34"/>
        <v>9170</v>
      </c>
      <c r="G103" s="68">
        <f t="shared" si="34"/>
        <v>8792</v>
      </c>
      <c r="H103" s="68">
        <f t="shared" si="34"/>
        <v>9295</v>
      </c>
      <c r="I103" s="68">
        <f ca="1">SUM(I101,I95)</f>
        <v>10147.961549688229</v>
      </c>
      <c r="J103" s="68">
        <f ca="1">SUM(J101,J95)</f>
        <v>10965.430562131987</v>
      </c>
      <c r="K103" s="68">
        <f ca="1">SUM(K101,K95)</f>
        <v>12196.039915036032</v>
      </c>
      <c r="L103" s="68">
        <f ca="1">SUM(L101,L95)</f>
        <v>12473.250859874797</v>
      </c>
      <c r="M103" s="69">
        <f ca="1">SUM(M101,M95)</f>
        <v>14882.764007196512</v>
      </c>
    </row>
    <row r="104" spans="1:13">
      <c r="B104" s="70" t="s">
        <v>124</v>
      </c>
      <c r="C104" s="71"/>
      <c r="D104" s="72" t="str">
        <f>IF(ROUND(ABS(D103-D73),5)=0,"OK",D103-D73)</f>
        <v>OK</v>
      </c>
      <c r="E104" s="72" t="str">
        <f t="shared" ref="E104:H104" si="35">IF(ROUND(ABS(E103-E73),5)=0,"OK",E103-E73)</f>
        <v>OK</v>
      </c>
      <c r="F104" s="72" t="str">
        <f t="shared" si="35"/>
        <v>OK</v>
      </c>
      <c r="G104" s="72" t="str">
        <f t="shared" si="35"/>
        <v>OK</v>
      </c>
      <c r="H104" s="72" t="str">
        <f t="shared" si="35"/>
        <v>OK</v>
      </c>
      <c r="I104" s="72" t="str">
        <f ca="1">IF(ROUND(ABS(I103-I73),5)=0,"OK",I103-I73)</f>
        <v>OK</v>
      </c>
      <c r="J104" s="72" t="str">
        <f ca="1">IF(ROUND(ABS(J103-J73),5)=0,"OK",J103-J73)</f>
        <v>OK</v>
      </c>
      <c r="K104" s="72" t="str">
        <f ca="1">IF(ROUND(ABS(K103-K73),5)=0,"OK",K103-K73)</f>
        <v>OK</v>
      </c>
      <c r="L104" s="72" t="str">
        <f ca="1">IF(ROUND(ABS(L103-L73),5)=0,"OK",L103-L73)</f>
        <v>OK</v>
      </c>
      <c r="M104" s="72" t="str">
        <f ca="1">IF(ROUND(ABS(M103-M73),5)=0,"OK",M103-M73)</f>
        <v>OK</v>
      </c>
    </row>
    <row r="106" spans="1:13">
      <c r="B106" s="64"/>
      <c r="C106" s="64"/>
      <c r="D106" s="64"/>
      <c r="E106" s="64"/>
      <c r="F106" s="64"/>
      <c r="G106" s="64"/>
      <c r="H106" s="64"/>
      <c r="I106" s="64"/>
      <c r="J106" s="64"/>
      <c r="K106" s="64"/>
      <c r="L106" s="64"/>
      <c r="M106" s="64"/>
    </row>
    <row r="107" spans="1:13">
      <c r="B107" s="65" t="s">
        <v>125</v>
      </c>
      <c r="C107" s="64"/>
      <c r="D107" s="52">
        <v>20</v>
      </c>
      <c r="E107" s="52">
        <f>D107+1</f>
        <v>21</v>
      </c>
      <c r="F107" s="52">
        <f t="shared" ref="F107" si="36">E107+1</f>
        <v>22</v>
      </c>
      <c r="G107" s="52">
        <f t="shared" ref="G107" si="37">F107+1</f>
        <v>23</v>
      </c>
      <c r="H107" s="52">
        <f t="shared" ref="H107" si="38">G107+1</f>
        <v>24</v>
      </c>
      <c r="I107" s="53">
        <f t="shared" ref="I107" si="39">H107+1</f>
        <v>25</v>
      </c>
      <c r="J107" s="53">
        <f t="shared" ref="J107" si="40">I107+1</f>
        <v>26</v>
      </c>
      <c r="K107" s="53">
        <f t="shared" ref="K107" si="41">J107+1</f>
        <v>27</v>
      </c>
      <c r="L107" s="53">
        <f t="shared" ref="L107" si="42">K107+1</f>
        <v>28</v>
      </c>
      <c r="M107" s="53">
        <f t="shared" ref="M107" si="43">L107+1</f>
        <v>29</v>
      </c>
    </row>
    <row r="109" spans="1:13">
      <c r="A109" s="38" t="s">
        <v>57</v>
      </c>
      <c r="B109" s="85" t="s">
        <v>126</v>
      </c>
      <c r="C109" s="86"/>
      <c r="D109" s="87"/>
      <c r="E109" s="87"/>
      <c r="F109" s="87"/>
      <c r="G109" s="87"/>
      <c r="H109" s="87"/>
      <c r="I109" s="88"/>
      <c r="J109" s="88"/>
      <c r="K109" s="88"/>
      <c r="L109" s="88"/>
      <c r="M109" s="88"/>
    </row>
    <row r="110" spans="1:13">
      <c r="B110" s="38" t="s">
        <v>78</v>
      </c>
      <c r="C110" s="54" t="s">
        <v>48</v>
      </c>
      <c r="D110" s="38">
        <f>D39</f>
        <v>-2608</v>
      </c>
      <c r="E110" s="38">
        <f t="shared" ref="E110:H110" si="44">E39</f>
        <v>-3449</v>
      </c>
      <c r="F110" s="38">
        <f t="shared" si="44"/>
        <v>-1683</v>
      </c>
      <c r="G110" s="38">
        <f t="shared" si="44"/>
        <v>-434</v>
      </c>
      <c r="H110" s="38">
        <f t="shared" si="44"/>
        <v>-105</v>
      </c>
      <c r="I110" s="38">
        <f ca="1">I39</f>
        <v>124.40757063448842</v>
      </c>
      <c r="J110" s="38">
        <f ca="1">J39</f>
        <v>331.63345345613197</v>
      </c>
      <c r="K110" s="38">
        <f ca="1">K39</f>
        <v>627.48484024193294</v>
      </c>
      <c r="L110" s="38">
        <f ca="1">L39</f>
        <v>1045.2041893956418</v>
      </c>
      <c r="M110" s="38">
        <f ca="1">M39</f>
        <v>1627.236427897328</v>
      </c>
    </row>
    <row r="111" spans="1:13">
      <c r="B111" s="61" t="s">
        <v>41</v>
      </c>
      <c r="C111" s="54"/>
    </row>
    <row r="112" spans="1:13">
      <c r="B112" s="38" t="s">
        <v>127</v>
      </c>
      <c r="C112" s="54" t="s">
        <v>48</v>
      </c>
      <c r="D112" s="55">
        <v>126</v>
      </c>
      <c r="E112" s="55">
        <v>109</v>
      </c>
      <c r="F112" s="55">
        <v>129</v>
      </c>
      <c r="G112" s="55">
        <v>128</v>
      </c>
      <c r="H112" s="55">
        <v>122</v>
      </c>
      <c r="I112" s="156">
        <f>-PPE!L88</f>
        <v>187.96923041492383</v>
      </c>
      <c r="J112" s="156">
        <f>-PPE!M88</f>
        <v>221.23989982316272</v>
      </c>
      <c r="K112" s="156">
        <f>-PPE!N88</f>
        <v>262.49752983960008</v>
      </c>
      <c r="L112" s="156">
        <f>-PPE!O88</f>
        <v>295.20852943790078</v>
      </c>
      <c r="M112" s="156">
        <f>-PPE!P88</f>
        <v>292.14108755433733</v>
      </c>
    </row>
    <row r="113" spans="2:13">
      <c r="B113" s="38" t="s">
        <v>128</v>
      </c>
      <c r="C113" s="54" t="s">
        <v>48</v>
      </c>
      <c r="D113" s="55">
        <v>261</v>
      </c>
      <c r="E113" s="55">
        <v>236</v>
      </c>
      <c r="F113" s="55">
        <v>21</v>
      </c>
      <c r="G113" s="55">
        <v>17</v>
      </c>
      <c r="H113" s="55">
        <v>25</v>
      </c>
      <c r="I113" s="156">
        <f>-'Goodwill &amp; Intangibles'!L55</f>
        <v>85.963768453219643</v>
      </c>
      <c r="J113" s="156">
        <f>-'Goodwill &amp; Intangibles'!M55</f>
        <v>103.08483683690829</v>
      </c>
      <c r="K113" s="156">
        <f>-'Goodwill &amp; Intangibles'!N55</f>
        <v>124.31599080597836</v>
      </c>
      <c r="L113" s="156">
        <f>-'Goodwill &amp; Intangibles'!O55</f>
        <v>71.132298683123324</v>
      </c>
      <c r="M113" s="156">
        <f>-'Goodwill &amp; Intangibles'!P55</f>
        <v>87.995127594365414</v>
      </c>
    </row>
    <row r="114" spans="2:13">
      <c r="B114" s="61" t="s">
        <v>129</v>
      </c>
    </row>
    <row r="115" spans="2:13">
      <c r="B115" s="38" t="s">
        <v>130</v>
      </c>
      <c r="C115" s="54" t="s">
        <v>48</v>
      </c>
      <c r="D115" s="74"/>
      <c r="E115" s="74"/>
      <c r="F115" s="74"/>
      <c r="G115" s="74"/>
      <c r="H115" s="74"/>
      <c r="I115" s="82">
        <f>H56-I56</f>
        <v>-48.579927696536629</v>
      </c>
      <c r="J115" s="82">
        <f t="shared" ref="J115:M115" si="45">I56-J56</f>
        <v>-58.712766742315409</v>
      </c>
      <c r="K115" s="82">
        <f t="shared" si="45"/>
        <v>-75.209079162675948</v>
      </c>
      <c r="L115" s="82">
        <f t="shared" si="45"/>
        <v>-92.017976076693742</v>
      </c>
      <c r="M115" s="82">
        <f t="shared" si="45"/>
        <v>-117.38714864693065</v>
      </c>
    </row>
    <row r="116" spans="2:13">
      <c r="B116" s="38" t="s">
        <v>131</v>
      </c>
      <c r="C116" s="54" t="s">
        <v>48</v>
      </c>
      <c r="D116" s="74"/>
      <c r="E116" s="74"/>
      <c r="F116" s="74"/>
      <c r="G116" s="74"/>
      <c r="H116" s="74"/>
      <c r="I116" s="82">
        <f>H58-I58</f>
        <v>-53.682281345172186</v>
      </c>
      <c r="J116" s="82">
        <f t="shared" ref="J116:M116" si="46">I58-J58</f>
        <v>-25.987471048767446</v>
      </c>
      <c r="K116" s="82">
        <f t="shared" si="46"/>
        <v>-33.289076222937723</v>
      </c>
      <c r="L116" s="82">
        <f t="shared" si="46"/>
        <v>-40.729037685355564</v>
      </c>
      <c r="M116" s="82">
        <f t="shared" si="46"/>
        <v>-51.957952183521343</v>
      </c>
    </row>
    <row r="117" spans="2:13">
      <c r="B117" s="38" t="s">
        <v>132</v>
      </c>
      <c r="C117" s="54" t="s">
        <v>48</v>
      </c>
      <c r="D117" s="74"/>
      <c r="E117" s="74"/>
      <c r="F117" s="74"/>
      <c r="G117" s="74"/>
      <c r="H117" s="74"/>
      <c r="I117" s="82">
        <f>H59-I59</f>
        <v>0</v>
      </c>
      <c r="J117" s="82">
        <f t="shared" ref="J117:M117" si="47">I59-J59</f>
        <v>0</v>
      </c>
      <c r="K117" s="82">
        <f t="shared" si="47"/>
        <v>0</v>
      </c>
      <c r="L117" s="82">
        <f t="shared" si="47"/>
        <v>0</v>
      </c>
      <c r="M117" s="82">
        <f t="shared" si="47"/>
        <v>0</v>
      </c>
    </row>
    <row r="118" spans="2:13">
      <c r="B118" s="38" t="s">
        <v>133</v>
      </c>
      <c r="C118" s="54" t="s">
        <v>48</v>
      </c>
      <c r="D118" s="74"/>
      <c r="E118" s="74"/>
      <c r="F118" s="74"/>
      <c r="G118" s="74"/>
      <c r="H118" s="74"/>
      <c r="I118" s="82">
        <f>H55-I55</f>
        <v>-56.020045358186678</v>
      </c>
      <c r="J118" s="82">
        <f t="shared" ref="J118:M118" si="48">I55-J55</f>
        <v>-68.500564041696862</v>
      </c>
      <c r="K118" s="82">
        <f t="shared" si="48"/>
        <v>-87.746918252225441</v>
      </c>
      <c r="L118" s="82">
        <f t="shared" si="48"/>
        <v>-108.89392706852908</v>
      </c>
      <c r="M118" s="82">
        <f t="shared" si="48"/>
        <v>-135.42038398661464</v>
      </c>
    </row>
    <row r="119" spans="2:13">
      <c r="B119" s="38" t="s">
        <v>134</v>
      </c>
      <c r="C119" s="54" t="s">
        <v>48</v>
      </c>
      <c r="D119" s="74"/>
      <c r="E119" s="74"/>
      <c r="F119" s="74"/>
      <c r="G119" s="74"/>
      <c r="H119" s="74"/>
      <c r="I119" s="82">
        <f>I77-H77</f>
        <v>275.67929843325851</v>
      </c>
      <c r="J119" s="82">
        <f t="shared" ref="J119:M119" si="49">J77-I77</f>
        <v>333.1807005911005</v>
      </c>
      <c r="K119" s="82">
        <f t="shared" si="49"/>
        <v>426.79326961732136</v>
      </c>
      <c r="L119" s="82">
        <f t="shared" si="49"/>
        <v>522.1796797750244</v>
      </c>
      <c r="M119" s="82">
        <f t="shared" si="49"/>
        <v>666.14357654496007</v>
      </c>
    </row>
    <row r="120" spans="2:13">
      <c r="B120" s="38" t="s">
        <v>135</v>
      </c>
      <c r="C120" s="54" t="s">
        <v>48</v>
      </c>
      <c r="D120" s="74"/>
      <c r="E120" s="74"/>
      <c r="F120" s="74"/>
      <c r="G120" s="74"/>
      <c r="H120" s="74"/>
      <c r="I120" s="82">
        <f>I80-H80</f>
        <v>50.411027386298159</v>
      </c>
      <c r="J120" s="82">
        <f t="shared" ref="J120:M120" si="50">J80-I80</f>
        <v>21.081765468189914</v>
      </c>
      <c r="K120" s="82">
        <f t="shared" si="50"/>
        <v>27.005032396869382</v>
      </c>
      <c r="L120" s="82">
        <f t="shared" si="50"/>
        <v>33.513245671546741</v>
      </c>
      <c r="M120" s="82">
        <f t="shared" si="50"/>
        <v>41.677040397510154</v>
      </c>
    </row>
    <row r="121" spans="2:13">
      <c r="B121" s="38" t="s">
        <v>136</v>
      </c>
      <c r="C121" s="54" t="s">
        <v>48</v>
      </c>
      <c r="D121" s="74"/>
      <c r="E121" s="74"/>
      <c r="F121" s="74"/>
      <c r="G121" s="74"/>
      <c r="H121" s="74"/>
      <c r="I121" s="82">
        <f>I79-H79</f>
        <v>-12.350019829560964</v>
      </c>
      <c r="J121" s="82">
        <f t="shared" ref="J121:M121" si="51">J79-I79</f>
        <v>4.9930497161502458</v>
      </c>
      <c r="K121" s="82">
        <f t="shared" si="51"/>
        <v>6.3959287255743291</v>
      </c>
      <c r="L121" s="82">
        <f t="shared" si="51"/>
        <v>7.9373476590505447</v>
      </c>
      <c r="M121" s="82">
        <f t="shared" si="51"/>
        <v>9.8708779888839757</v>
      </c>
    </row>
    <row r="122" spans="2:13">
      <c r="B122" s="61" t="s">
        <v>137</v>
      </c>
      <c r="C122" s="54"/>
      <c r="I122" s="82"/>
      <c r="J122" s="82"/>
      <c r="K122" s="82"/>
      <c r="L122" s="82"/>
      <c r="M122" s="82"/>
    </row>
    <row r="123" spans="2:13">
      <c r="B123" s="38" t="s">
        <v>138</v>
      </c>
      <c r="C123" s="54" t="s">
        <v>48</v>
      </c>
      <c r="D123" s="74"/>
      <c r="E123" s="74"/>
      <c r="F123" s="74"/>
      <c r="G123" s="74"/>
      <c r="H123" s="74"/>
      <c r="I123" s="82">
        <f>H64-I64</f>
        <v>-18.05049227979805</v>
      </c>
      <c r="J123" s="82">
        <f t="shared" ref="J123:M123" si="52">I64-J64</f>
        <v>-34.374928397664576</v>
      </c>
      <c r="K123" s="82">
        <f t="shared" si="52"/>
        <v>-44.03312694184433</v>
      </c>
      <c r="L123" s="82">
        <f t="shared" si="52"/>
        <v>-54.64511129634883</v>
      </c>
      <c r="M123" s="82">
        <f t="shared" si="52"/>
        <v>-67.956608361509836</v>
      </c>
    </row>
    <row r="124" spans="2:13">
      <c r="B124" s="38" t="s">
        <v>139</v>
      </c>
      <c r="C124" s="54" t="s">
        <v>48</v>
      </c>
      <c r="D124" s="74"/>
      <c r="E124" s="74"/>
      <c r="F124" s="74"/>
      <c r="G124" s="74"/>
      <c r="H124" s="74"/>
      <c r="I124" s="82">
        <f>H66-I66</f>
        <v>18.888932954579921</v>
      </c>
      <c r="J124" s="82">
        <f t="shared" ref="J124:M124" si="53">I66-J66</f>
        <v>-11.09566603588943</v>
      </c>
      <c r="K124" s="82">
        <f t="shared" si="53"/>
        <v>-14.213174945720738</v>
      </c>
      <c r="L124" s="82">
        <f t="shared" si="53"/>
        <v>-17.638550353445652</v>
      </c>
      <c r="M124" s="82">
        <f t="shared" si="53"/>
        <v>-21.935284419742175</v>
      </c>
    </row>
    <row r="125" spans="2:13">
      <c r="B125" s="38" t="s">
        <v>140</v>
      </c>
      <c r="C125" s="54" t="s">
        <v>48</v>
      </c>
      <c r="D125" s="74"/>
      <c r="E125" s="74"/>
      <c r="F125" s="74"/>
      <c r="G125" s="74"/>
      <c r="H125" s="74"/>
      <c r="I125" s="82">
        <f>H67-I67</f>
        <v>0</v>
      </c>
      <c r="J125" s="82">
        <f t="shared" ref="J125:M125" si="54">I67-J67</f>
        <v>0</v>
      </c>
      <c r="K125" s="82">
        <f t="shared" si="54"/>
        <v>0</v>
      </c>
      <c r="L125" s="82">
        <f t="shared" si="54"/>
        <v>0</v>
      </c>
      <c r="M125" s="82">
        <f t="shared" si="54"/>
        <v>0</v>
      </c>
    </row>
    <row r="126" spans="2:13">
      <c r="B126" s="38" t="s">
        <v>141</v>
      </c>
      <c r="C126" s="54" t="s">
        <v>48</v>
      </c>
      <c r="D126" s="74"/>
      <c r="E126" s="74"/>
      <c r="F126" s="74"/>
      <c r="G126" s="74"/>
      <c r="H126" s="74"/>
      <c r="I126" s="82">
        <f>H70-I70</f>
        <v>-167.41074987098443</v>
      </c>
      <c r="J126" s="82">
        <f t="shared" ref="J126:M126" si="55">I70-J70</f>
        <v>-66.053783979826051</v>
      </c>
      <c r="K126" s="82">
        <f t="shared" si="55"/>
        <v>-84.612675300014644</v>
      </c>
      <c r="L126" s="82">
        <f t="shared" si="55"/>
        <v>-105.00433151063106</v>
      </c>
      <c r="M126" s="82">
        <f t="shared" si="55"/>
        <v>-130.58328665545025</v>
      </c>
    </row>
    <row r="127" spans="2:13">
      <c r="B127" s="38" t="s">
        <v>142</v>
      </c>
      <c r="C127" s="54" t="s">
        <v>48</v>
      </c>
      <c r="D127" s="74"/>
      <c r="E127" s="74"/>
      <c r="F127" s="74"/>
      <c r="G127" s="74"/>
      <c r="H127" s="74"/>
      <c r="I127" s="82">
        <f>I87-H87</f>
        <v>4.2255867215290266</v>
      </c>
      <c r="J127" s="82">
        <f t="shared" ref="J127:M127" si="56">J87-I87</f>
        <v>6.7401820387577587</v>
      </c>
      <c r="K127" s="82">
        <f t="shared" si="56"/>
        <v>8.633946459185168</v>
      </c>
      <c r="L127" s="82">
        <f t="shared" si="56"/>
        <v>10.714727705166432</v>
      </c>
      <c r="M127" s="82">
        <f t="shared" si="56"/>
        <v>13.324825168923496</v>
      </c>
    </row>
    <row r="128" spans="2:13">
      <c r="B128" s="38" t="s">
        <v>143</v>
      </c>
      <c r="C128" s="54" t="s">
        <v>48</v>
      </c>
      <c r="D128" s="74"/>
      <c r="E128" s="74"/>
      <c r="F128" s="74"/>
      <c r="G128" s="74"/>
      <c r="H128" s="74"/>
      <c r="I128" s="82">
        <f>I90-H90</f>
        <v>-17</v>
      </c>
      <c r="J128" s="82">
        <f t="shared" ref="J128:M128" si="57">J90-I90</f>
        <v>15</v>
      </c>
      <c r="K128" s="82">
        <f t="shared" si="57"/>
        <v>0</v>
      </c>
      <c r="L128" s="82">
        <f t="shared" si="57"/>
        <v>0</v>
      </c>
      <c r="M128" s="82">
        <f t="shared" si="57"/>
        <v>2</v>
      </c>
    </row>
    <row r="129" spans="1:13">
      <c r="B129" s="38" t="s">
        <v>144</v>
      </c>
      <c r="C129" s="54" t="s">
        <v>48</v>
      </c>
      <c r="D129" s="74"/>
      <c r="E129" s="74"/>
      <c r="F129" s="74"/>
      <c r="G129" s="74"/>
      <c r="H129" s="74"/>
      <c r="I129" s="82">
        <f>I89-H89</f>
        <v>138.57910705070321</v>
      </c>
      <c r="J129" s="82">
        <f t="shared" ref="J129:M129" si="58">J89-I89</f>
        <v>47.181274271304318</v>
      </c>
      <c r="K129" s="82">
        <f t="shared" si="58"/>
        <v>60.437625214296162</v>
      </c>
      <c r="L129" s="82">
        <f t="shared" si="58"/>
        <v>75.003093936165044</v>
      </c>
      <c r="M129" s="82">
        <f t="shared" si="58"/>
        <v>93.27377618246453</v>
      </c>
    </row>
    <row r="130" spans="1:13">
      <c r="B130" s="38" t="s">
        <v>145</v>
      </c>
      <c r="C130" s="54" t="s">
        <v>48</v>
      </c>
      <c r="D130" s="74"/>
      <c r="E130" s="74"/>
      <c r="F130" s="74"/>
      <c r="G130" s="74"/>
      <c r="H130" s="74"/>
      <c r="I130" s="82">
        <f>I92-H92</f>
        <v>0</v>
      </c>
      <c r="J130" s="82">
        <f t="shared" ref="J130:M130" si="59">J92-I92</f>
        <v>0</v>
      </c>
      <c r="K130" s="82">
        <f t="shared" si="59"/>
        <v>0</v>
      </c>
      <c r="L130" s="82">
        <f t="shared" si="59"/>
        <v>0</v>
      </c>
      <c r="M130" s="82">
        <f t="shared" si="59"/>
        <v>0</v>
      </c>
    </row>
    <row r="131" spans="1:13">
      <c r="B131" s="56" t="s">
        <v>126</v>
      </c>
      <c r="C131" s="57" t="s">
        <v>48</v>
      </c>
      <c r="D131" s="73">
        <v>-643</v>
      </c>
      <c r="E131" s="73">
        <v>-954</v>
      </c>
      <c r="F131" s="73">
        <v>-798</v>
      </c>
      <c r="G131" s="73">
        <v>86</v>
      </c>
      <c r="H131" s="73">
        <v>852</v>
      </c>
      <c r="I131" s="58">
        <f ca="1">SUM(I110:I130)</f>
        <v>513.03100566876185</v>
      </c>
      <c r="J131" s="58">
        <f ca="1">SUM(J110:J130)</f>
        <v>819.40998195554596</v>
      </c>
      <c r="K131" s="58">
        <f ca="1">SUM(K110:K130)</f>
        <v>1204.4601124753387</v>
      </c>
      <c r="L131" s="58">
        <f ca="1">SUM(L110:L130)</f>
        <v>1641.9641782726151</v>
      </c>
      <c r="M131" s="59">
        <f ca="1">SUM(M110:M130)</f>
        <v>2308.4220750750042</v>
      </c>
    </row>
    <row r="133" spans="1:13">
      <c r="A133" s="38" t="s">
        <v>57</v>
      </c>
      <c r="B133" s="85" t="s">
        <v>146</v>
      </c>
      <c r="C133" s="86"/>
      <c r="D133" s="87"/>
      <c r="E133" s="87"/>
      <c r="F133" s="87"/>
      <c r="G133" s="87"/>
      <c r="H133" s="87"/>
      <c r="I133" s="88"/>
      <c r="J133" s="88"/>
      <c r="K133" s="88"/>
      <c r="L133" s="88"/>
      <c r="M133" s="88"/>
    </row>
    <row r="134" spans="1:13">
      <c r="B134" s="38" t="s">
        <v>147</v>
      </c>
      <c r="C134" s="54" t="s">
        <v>48</v>
      </c>
      <c r="D134" s="55">
        <v>-22</v>
      </c>
      <c r="E134" s="55">
        <v>-73</v>
      </c>
      <c r="F134" s="55">
        <v>-58</v>
      </c>
      <c r="G134" s="55">
        <v>-71</v>
      </c>
      <c r="H134" s="55">
        <v>-77</v>
      </c>
      <c r="I134" s="156">
        <f>-PPE!L26</f>
        <v>-174.53511403738236</v>
      </c>
      <c r="J134" s="156">
        <f>-PPE!M26</f>
        <v>-214.78746044795787</v>
      </c>
      <c r="K134" s="156">
        <f>-PPE!N26</f>
        <v>-266.34936215433009</v>
      </c>
      <c r="L134" s="156">
        <f>-PPE!O26</f>
        <v>-330.3376830636625</v>
      </c>
      <c r="M134" s="156">
        <f>-PPE!P26</f>
        <v>-409.91349800095702</v>
      </c>
    </row>
    <row r="135" spans="1:13">
      <c r="B135" s="38" t="s">
        <v>148</v>
      </c>
      <c r="C135" s="54" t="s">
        <v>48</v>
      </c>
      <c r="D135" s="74"/>
      <c r="E135" s="74"/>
      <c r="F135" s="74"/>
      <c r="G135" s="74"/>
      <c r="H135" s="74"/>
      <c r="I135" s="156">
        <f>-'Goodwill &amp; Intangibles'!L25</f>
        <v>-72.220740186580031</v>
      </c>
      <c r="J135" s="156">
        <f>-'Goodwill &amp; Intangibles'!M25</f>
        <v>-88.876725247533145</v>
      </c>
      <c r="K135" s="156">
        <f>-'Goodwill &amp; Intangibles'!N25</f>
        <v>-110.21248182121782</v>
      </c>
      <c r="L135" s="156">
        <f>-'Goodwill &amp; Intangibles'!O25</f>
        <v>-136.69015609814645</v>
      </c>
      <c r="M135" s="156">
        <f>-'Goodwill &amp; Intangibles'!P25</f>
        <v>-169.61776661032573</v>
      </c>
    </row>
    <row r="136" spans="1:13">
      <c r="B136" s="38" t="s">
        <v>149</v>
      </c>
      <c r="C136" s="54" t="s">
        <v>48</v>
      </c>
      <c r="D136" s="74"/>
      <c r="E136" s="74"/>
      <c r="F136" s="74"/>
      <c r="G136" s="74"/>
      <c r="H136" s="74"/>
      <c r="I136" s="38">
        <f>H54-I54</f>
        <v>-92.726363043479068</v>
      </c>
      <c r="J136" s="38">
        <f t="shared" ref="J136:M136" si="60">I54-J54</f>
        <v>-423.89545591339083</v>
      </c>
      <c r="K136" s="38">
        <f t="shared" si="60"/>
        <v>-500.75366813883147</v>
      </c>
      <c r="L136" s="38">
        <f t="shared" si="60"/>
        <v>-558.44456582901194</v>
      </c>
      <c r="M136" s="38">
        <f t="shared" si="60"/>
        <v>-616.78095005666091</v>
      </c>
    </row>
    <row r="137" spans="1:13">
      <c r="B137" s="38" t="s">
        <v>150</v>
      </c>
      <c r="C137" s="54" t="s">
        <v>48</v>
      </c>
      <c r="D137" s="74"/>
      <c r="E137" s="74"/>
      <c r="F137" s="74"/>
      <c r="G137" s="74"/>
      <c r="H137" s="74"/>
      <c r="I137" s="38">
        <f>H65-I65</f>
        <v>-177.82296555606968</v>
      </c>
      <c r="J137" s="38">
        <f t="shared" ref="J137:M137" si="61">I65-J65</f>
        <v>-217.43954975891324</v>
      </c>
      <c r="K137" s="38">
        <f t="shared" si="61"/>
        <v>-278.53274880893127</v>
      </c>
      <c r="L137" s="38">
        <f t="shared" si="61"/>
        <v>-345.65914608889943</v>
      </c>
      <c r="M137" s="38">
        <f t="shared" si="61"/>
        <v>-429.86138485377637</v>
      </c>
    </row>
    <row r="138" spans="1:13">
      <c r="B138" s="38" t="s">
        <v>2097</v>
      </c>
      <c r="C138" s="54" t="s">
        <v>48</v>
      </c>
      <c r="D138" s="74"/>
      <c r="E138" s="74"/>
      <c r="F138" s="74"/>
      <c r="G138" s="74"/>
      <c r="H138" s="74"/>
      <c r="I138" s="38">
        <f>H57-I57</f>
        <v>33.532020587205238</v>
      </c>
      <c r="J138" s="38">
        <f t="shared" ref="J138:M138" si="62">I57-J57</f>
        <v>-91.666475727105535</v>
      </c>
      <c r="K138" s="38">
        <f t="shared" si="62"/>
        <v>-117.42167184491825</v>
      </c>
      <c r="L138" s="38">
        <f t="shared" si="62"/>
        <v>-145.72029679026355</v>
      </c>
      <c r="M138" s="38">
        <f t="shared" si="62"/>
        <v>-181.21762229735964</v>
      </c>
    </row>
    <row r="139" spans="1:13">
      <c r="B139" s="38" t="s">
        <v>2098</v>
      </c>
      <c r="C139" s="54" t="s">
        <v>48</v>
      </c>
      <c r="D139" s="74"/>
      <c r="E139" s="74"/>
      <c r="F139" s="74"/>
      <c r="G139" s="74"/>
      <c r="H139" s="74"/>
      <c r="I139" s="38">
        <f>H68-I68</f>
        <v>105</v>
      </c>
      <c r="J139" s="38">
        <f t="shared" ref="J139:M139" si="63">I68-J68</f>
        <v>0</v>
      </c>
      <c r="K139" s="38">
        <f t="shared" si="63"/>
        <v>0</v>
      </c>
      <c r="L139" s="38">
        <f t="shared" si="63"/>
        <v>0</v>
      </c>
      <c r="M139" s="38">
        <f t="shared" si="63"/>
        <v>0</v>
      </c>
    </row>
    <row r="140" spans="1:13">
      <c r="B140" s="38" t="s">
        <v>151</v>
      </c>
      <c r="C140" s="54" t="s">
        <v>48</v>
      </c>
      <c r="D140" s="74"/>
      <c r="E140" s="74"/>
      <c r="F140" s="74"/>
      <c r="G140" s="74"/>
      <c r="H140" s="74"/>
      <c r="I140" s="38">
        <f>I81-H81</f>
        <v>-1217.783339943187</v>
      </c>
      <c r="J140" s="38">
        <f t="shared" ref="J140:M140" si="64">J81-I81</f>
        <v>1.6643499053834141</v>
      </c>
      <c r="K140" s="38">
        <f t="shared" si="64"/>
        <v>2.1319762418581103</v>
      </c>
      <c r="L140" s="38">
        <f t="shared" si="64"/>
        <v>2.6457825530168488</v>
      </c>
      <c r="M140" s="38">
        <f t="shared" si="64"/>
        <v>3.2902926629613276</v>
      </c>
    </row>
    <row r="141" spans="1:13">
      <c r="B141" s="38" t="s">
        <v>152</v>
      </c>
      <c r="C141" s="54" t="s">
        <v>48</v>
      </c>
      <c r="D141" s="74"/>
      <c r="E141" s="74"/>
      <c r="F141" s="74"/>
      <c r="G141" s="74"/>
      <c r="H141" s="74"/>
      <c r="I141" s="38">
        <f>I100-H100</f>
        <v>45.792319234700273</v>
      </c>
      <c r="J141" s="38">
        <f t="shared" ref="J141:M141" si="65">J100-I100</f>
        <v>55.994236996739772</v>
      </c>
      <c r="K141" s="38">
        <f t="shared" si="65"/>
        <v>71.726734007005859</v>
      </c>
      <c r="L141" s="38">
        <f t="shared" si="65"/>
        <v>89.012878143154467</v>
      </c>
      <c r="M141" s="38">
        <f t="shared" si="65"/>
        <v>110.69633047868496</v>
      </c>
    </row>
    <row r="142" spans="1:13">
      <c r="B142" s="56" t="s">
        <v>146</v>
      </c>
      <c r="C142" s="57" t="s">
        <v>48</v>
      </c>
      <c r="D142" s="73">
        <v>-288</v>
      </c>
      <c r="E142" s="73">
        <v>-2757</v>
      </c>
      <c r="F142" s="73">
        <v>-1062</v>
      </c>
      <c r="G142" s="73">
        <v>1871</v>
      </c>
      <c r="H142" s="73">
        <v>-231</v>
      </c>
      <c r="I142" s="58">
        <f>SUM(I134:I141)</f>
        <v>-1550.7641829447925</v>
      </c>
      <c r="J142" s="58">
        <f t="shared" ref="J142:M142" si="66">SUM(J134:J141)</f>
        <v>-979.00708019277727</v>
      </c>
      <c r="K142" s="58">
        <f t="shared" si="66"/>
        <v>-1199.4112225193649</v>
      </c>
      <c r="L142" s="58">
        <f t="shared" si="66"/>
        <v>-1425.1931871738125</v>
      </c>
      <c r="M142" s="59">
        <f t="shared" si="66"/>
        <v>-1693.4045986774333</v>
      </c>
    </row>
    <row r="144" spans="1:13">
      <c r="A144" s="38" t="s">
        <v>57</v>
      </c>
      <c r="B144" s="85" t="s">
        <v>153</v>
      </c>
      <c r="C144" s="86"/>
      <c r="D144" s="87"/>
      <c r="E144" s="87"/>
      <c r="F144" s="87"/>
      <c r="G144" s="87"/>
      <c r="H144" s="87"/>
      <c r="I144" s="88"/>
      <c r="J144" s="88"/>
      <c r="K144" s="88"/>
      <c r="L144" s="88"/>
      <c r="M144" s="88"/>
    </row>
    <row r="145" spans="1:13">
      <c r="B145" s="38" t="s">
        <v>154</v>
      </c>
      <c r="C145" s="54" t="s">
        <v>48</v>
      </c>
      <c r="D145" s="74"/>
      <c r="E145" s="74"/>
      <c r="F145" s="74"/>
      <c r="G145" s="74"/>
      <c r="H145" s="74"/>
      <c r="I145" s="156">
        <f>'Debt &amp; Equity'!M40</f>
        <v>-39</v>
      </c>
      <c r="J145" s="156">
        <f>'Debt &amp; Equity'!N40</f>
        <v>0</v>
      </c>
      <c r="K145" s="156">
        <f>'Debt &amp; Equity'!O40</f>
        <v>0</v>
      </c>
      <c r="L145" s="156">
        <f>'Debt &amp; Equity'!P40</f>
        <v>-1509</v>
      </c>
      <c r="M145" s="156">
        <f>'Debt &amp; Equity'!Q40</f>
        <v>-158</v>
      </c>
    </row>
    <row r="146" spans="1:13">
      <c r="B146" s="38" t="s">
        <v>155</v>
      </c>
      <c r="C146" s="54" t="s">
        <v>48</v>
      </c>
      <c r="D146" s="74"/>
      <c r="E146" s="74"/>
      <c r="F146" s="74"/>
      <c r="G146" s="74"/>
      <c r="H146" s="74"/>
      <c r="I146" s="156">
        <f ca="1">'Debt &amp; Equity'!M39</f>
        <v>1500</v>
      </c>
      <c r="J146" s="156">
        <f ca="1">'Debt &amp; Equity'!N39</f>
        <v>0</v>
      </c>
      <c r="K146" s="156">
        <f ca="1">'Debt &amp; Equity'!O39</f>
        <v>0</v>
      </c>
      <c r="L146" s="156">
        <f ca="1">'Debt &amp; Equity'!P39</f>
        <v>0</v>
      </c>
      <c r="M146" s="156">
        <f ca="1">'Debt &amp; Equity'!Q39</f>
        <v>0</v>
      </c>
    </row>
    <row r="147" spans="1:13">
      <c r="B147" s="38" t="s">
        <v>156</v>
      </c>
      <c r="C147" s="54" t="s">
        <v>48</v>
      </c>
      <c r="D147" s="74"/>
      <c r="E147" s="74"/>
      <c r="F147" s="74"/>
      <c r="G147" s="74"/>
      <c r="H147" s="74"/>
      <c r="I147" s="156">
        <f ca="1">'Debt &amp; Equity'!M34</f>
        <v>0</v>
      </c>
      <c r="J147" s="156">
        <f ca="1">'Debt &amp; Equity'!N34</f>
        <v>0</v>
      </c>
      <c r="K147" s="156">
        <f ca="1">'Debt &amp; Equity'!O34</f>
        <v>0</v>
      </c>
      <c r="L147" s="156">
        <f ca="1">'Debt &amp; Equity'!P34</f>
        <v>0</v>
      </c>
      <c r="M147" s="156">
        <f ca="1">'Debt &amp; Equity'!Q34</f>
        <v>0</v>
      </c>
    </row>
    <row r="148" spans="1:13">
      <c r="B148" s="56" t="s">
        <v>153</v>
      </c>
      <c r="C148" s="57" t="s">
        <v>48</v>
      </c>
      <c r="D148" s="73">
        <v>-288</v>
      </c>
      <c r="E148" s="73">
        <v>-2757</v>
      </c>
      <c r="F148" s="73">
        <v>-1062</v>
      </c>
      <c r="G148" s="73">
        <v>1871</v>
      </c>
      <c r="H148" s="73">
        <v>-231</v>
      </c>
      <c r="I148" s="58">
        <f ca="1">SUM(I145:I147)</f>
        <v>1461</v>
      </c>
      <c r="J148" s="58">
        <f ca="1">SUM(J145:J147)</f>
        <v>0</v>
      </c>
      <c r="K148" s="58">
        <f ca="1">SUM(K145:K147)</f>
        <v>0</v>
      </c>
      <c r="L148" s="58">
        <f ca="1">SUM(L145:L147)</f>
        <v>-1509</v>
      </c>
      <c r="M148" s="59">
        <f ca="1">SUM(M145:M147)</f>
        <v>-158</v>
      </c>
    </row>
    <row r="150" spans="1:13">
      <c r="A150" s="38" t="s">
        <v>57</v>
      </c>
      <c r="B150" s="89" t="s">
        <v>157</v>
      </c>
      <c r="C150" s="90"/>
      <c r="D150" s="90"/>
      <c r="E150" s="90"/>
      <c r="F150" s="90"/>
      <c r="G150" s="90"/>
      <c r="H150" s="90"/>
      <c r="I150" s="90"/>
      <c r="J150" s="90"/>
      <c r="K150" s="90"/>
      <c r="L150" s="90"/>
      <c r="M150" s="90"/>
    </row>
    <row r="151" spans="1:13">
      <c r="B151" s="75" t="s">
        <v>158</v>
      </c>
      <c r="C151" s="76" t="s">
        <v>48</v>
      </c>
      <c r="D151" s="55">
        <v>15</v>
      </c>
      <c r="E151" s="55">
        <v>-37</v>
      </c>
      <c r="F151" s="55">
        <v>-57</v>
      </c>
      <c r="G151" s="55">
        <v>-1</v>
      </c>
      <c r="H151" s="55">
        <v>-24</v>
      </c>
      <c r="I151" s="77">
        <v>0</v>
      </c>
      <c r="J151" s="77">
        <v>0</v>
      </c>
      <c r="K151" s="77">
        <v>0</v>
      </c>
      <c r="L151" s="77">
        <v>0</v>
      </c>
      <c r="M151" s="77">
        <v>0</v>
      </c>
    </row>
    <row r="152" spans="1:13">
      <c r="B152" s="78" t="s">
        <v>159</v>
      </c>
      <c r="C152" s="79" t="s">
        <v>48</v>
      </c>
      <c r="D152" s="84"/>
      <c r="E152" s="84"/>
      <c r="F152" s="84"/>
      <c r="G152" s="84"/>
      <c r="H152" s="84"/>
      <c r="I152" s="80">
        <f ca="1">SUM(I151,I148,I142,I131)</f>
        <v>423.26682272396931</v>
      </c>
      <c r="J152" s="80">
        <f ca="1">SUM(J151,J148,J142,J131)</f>
        <v>-159.59709823723131</v>
      </c>
      <c r="K152" s="80">
        <f ca="1">SUM(K151,K148,K142,K131)</f>
        <v>5.0488899559738911</v>
      </c>
      <c r="L152" s="80">
        <f ca="1">SUM(L151,L148,L142,L131)</f>
        <v>-1292.2290089011974</v>
      </c>
      <c r="M152" s="80">
        <f ca="1">SUM(M151,M148,M142,M131)</f>
        <v>457.01747639757082</v>
      </c>
    </row>
    <row r="153" spans="1:13">
      <c r="B153" s="75" t="s">
        <v>160</v>
      </c>
      <c r="C153" s="76" t="s">
        <v>48</v>
      </c>
      <c r="D153" s="81"/>
      <c r="E153" s="81"/>
      <c r="F153" s="81"/>
      <c r="G153" s="81"/>
      <c r="H153" s="81"/>
      <c r="I153" s="82">
        <f>H154</f>
        <v>2964</v>
      </c>
      <c r="J153" s="82">
        <f ca="1">I154</f>
        <v>3387.2668227239692</v>
      </c>
      <c r="K153" s="82">
        <f ca="1">J154</f>
        <v>3227.6697244867378</v>
      </c>
      <c r="L153" s="82">
        <f ca="1">K154</f>
        <v>3232.7186144427114</v>
      </c>
      <c r="M153" s="82">
        <f ca="1">L154</f>
        <v>1940.489605541514</v>
      </c>
    </row>
    <row r="154" spans="1:13">
      <c r="B154" s="78" t="s">
        <v>161</v>
      </c>
      <c r="C154" s="79" t="s">
        <v>48</v>
      </c>
      <c r="D154" s="83"/>
      <c r="E154" s="83"/>
      <c r="F154" s="83"/>
      <c r="G154" s="83"/>
      <c r="H154" s="80">
        <v>2964</v>
      </c>
      <c r="I154" s="80">
        <f ca="1">SUM(I152:I153)</f>
        <v>3387.2668227239692</v>
      </c>
      <c r="J154" s="80">
        <f ca="1">SUM(J152:J153)</f>
        <v>3227.6697244867378</v>
      </c>
      <c r="K154" s="80">
        <f ca="1">SUM(K152:K153)</f>
        <v>3232.7186144427114</v>
      </c>
      <c r="L154" s="80">
        <f ca="1">SUM(L152:L153)</f>
        <v>1940.489605541514</v>
      </c>
      <c r="M154" s="80">
        <f ca="1">SUM(M152:M153)</f>
        <v>2397.5070819390849</v>
      </c>
    </row>
  </sheetData>
  <dataValidations disablePrompts="1" count="1">
    <dataValidation type="list" allowBlank="1" showInputMessage="1" showErrorMessage="1" sqref="C4" xr:uid="{9596B966-AA97-4597-B2D0-04CCAFC61117}">
      <formula1>"Bear Case, Base Case, Bull Case"</formula1>
    </dataValidation>
  </dataValidation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F5817-C96A-4DCD-B39E-5D457DA604E5}">
  <dimension ref="A1:Q143"/>
  <sheetViews>
    <sheetView showGridLines="0" topLeftCell="C1" zoomScale="75" zoomScaleNormal="70" workbookViewId="0">
      <selection activeCell="O33" sqref="O33"/>
    </sheetView>
  </sheetViews>
  <sheetFormatPr baseColWidth="10" defaultColWidth="8.83203125" defaultRowHeight="16"/>
  <cols>
    <col min="1" max="1" width="2.5" style="590" bestFit="1" customWidth="1"/>
    <col min="2" max="2" width="1.5" style="434" customWidth="1"/>
    <col min="3" max="3" width="77.83203125" style="434" bestFit="1" customWidth="1"/>
    <col min="4" max="4" width="16.5" style="434" bestFit="1" customWidth="1"/>
    <col min="5" max="5" width="19.83203125" style="434" customWidth="1"/>
    <col min="6" max="15" width="20.5" style="434" customWidth="1"/>
    <col min="16" max="16384" width="8.83203125" style="434"/>
  </cols>
  <sheetData>
    <row r="1" spans="1:17" s="370" customFormat="1" ht="35">
      <c r="A1" s="487"/>
      <c r="C1" s="1" t="str">
        <f>Cover!$C$7&amp;" ("&amp;Cover!$C$8&amp;": "&amp;Cover!$C$9&amp;")"</f>
        <v>Grab Holdings Limited (NASDAQ: GRAB)</v>
      </c>
    </row>
    <row r="2" spans="1:17" s="370" customFormat="1">
      <c r="A2" s="371"/>
    </row>
    <row r="3" spans="1:17" s="370" customFormat="1">
      <c r="A3" s="371"/>
      <c r="C3" s="488" t="s">
        <v>42</v>
      </c>
      <c r="D3" s="652">
        <f ca="1">Cover!$C$18</f>
        <v>7.2080318777471293</v>
      </c>
    </row>
    <row r="4" spans="1:17" s="397" customFormat="1" ht="19">
      <c r="A4" s="489"/>
      <c r="B4" s="490"/>
      <c r="C4" s="491" t="s">
        <v>10</v>
      </c>
      <c r="D4" s="376" t="s">
        <v>11</v>
      </c>
      <c r="E4" s="49"/>
    </row>
    <row r="5" spans="1:17" s="397" customFormat="1">
      <c r="A5" s="489"/>
      <c r="B5" s="490"/>
      <c r="C5" s="377"/>
      <c r="D5" s="371"/>
    </row>
    <row r="6" spans="1:17" s="493" customFormat="1">
      <c r="A6" s="489"/>
      <c r="B6" s="490"/>
      <c r="C6" s="147" t="str">
        <f>"In "&amp;Cover!$C$10&amp;", unless stated otherwise"</f>
        <v>In USD Mn, unless stated otherwise</v>
      </c>
      <c r="D6" s="492"/>
      <c r="P6" s="494"/>
      <c r="Q6" s="494" t="s">
        <v>46</v>
      </c>
    </row>
    <row r="7" spans="1:17" s="325" customFormat="1">
      <c r="A7" s="495"/>
      <c r="C7" s="325" t="s">
        <v>162</v>
      </c>
    </row>
    <row r="8" spans="1:17" s="149" customFormat="1">
      <c r="A8" s="496"/>
    </row>
    <row r="9" spans="1:17" s="149" customFormat="1">
      <c r="A9" s="496"/>
    </row>
    <row r="10" spans="1:17" s="149" customFormat="1">
      <c r="A10" s="185">
        <v>1</v>
      </c>
      <c r="C10" s="497" t="s">
        <v>163</v>
      </c>
      <c r="D10" s="497"/>
      <c r="E10" s="497"/>
      <c r="F10" s="497"/>
      <c r="G10" s="497"/>
      <c r="H10" s="497"/>
      <c r="I10" s="497"/>
      <c r="J10" s="497"/>
      <c r="K10" s="497"/>
      <c r="L10" s="497"/>
      <c r="M10" s="497"/>
      <c r="N10" s="497"/>
      <c r="O10" s="497"/>
    </row>
    <row r="11" spans="1:17" s="149" customFormat="1">
      <c r="A11" s="496"/>
    </row>
    <row r="12" spans="1:17" s="149" customFormat="1">
      <c r="A12" s="496"/>
      <c r="C12" s="498" t="s">
        <v>29</v>
      </c>
      <c r="D12" s="499"/>
      <c r="E12" s="499"/>
      <c r="F12" s="499"/>
      <c r="G12" s="499"/>
      <c r="H12" s="499"/>
      <c r="I12" s="499"/>
      <c r="J12" s="499"/>
      <c r="K12" s="499"/>
      <c r="L12" s="499"/>
      <c r="M12" s="499"/>
      <c r="N12" s="499"/>
      <c r="O12" s="499"/>
    </row>
    <row r="13" spans="1:17" s="149" customFormat="1">
      <c r="A13" s="496"/>
      <c r="D13" s="500" t="s">
        <v>164</v>
      </c>
      <c r="E13" s="500" t="s">
        <v>165</v>
      </c>
    </row>
    <row r="14" spans="1:17" s="149" customFormat="1" ht="19">
      <c r="A14" s="496"/>
      <c r="C14" s="149" t="s">
        <v>166</v>
      </c>
      <c r="D14" s="501" t="s">
        <v>167</v>
      </c>
      <c r="E14" s="329">
        <v>4.079E-2</v>
      </c>
      <c r="Q14" s="149" t="s">
        <v>168</v>
      </c>
    </row>
    <row r="15" spans="1:17" s="149" customFormat="1">
      <c r="A15" s="496"/>
      <c r="C15" s="149" t="s">
        <v>169</v>
      </c>
      <c r="D15" s="74"/>
      <c r="E15" s="502">
        <f>O143</f>
        <v>0.2149890954594208</v>
      </c>
    </row>
    <row r="16" spans="1:17" s="149" customFormat="1">
      <c r="A16" s="496"/>
      <c r="C16" s="325"/>
      <c r="J16" s="503"/>
      <c r="K16" s="503"/>
      <c r="L16" s="503"/>
      <c r="M16" s="503"/>
      <c r="N16" s="503"/>
      <c r="O16" s="503"/>
    </row>
    <row r="17" spans="1:15" s="149" customFormat="1">
      <c r="A17" s="496"/>
      <c r="C17" s="498" t="s">
        <v>170</v>
      </c>
      <c r="D17" s="499"/>
      <c r="E17" s="499"/>
      <c r="F17" s="499"/>
      <c r="G17" s="499"/>
      <c r="H17" s="499"/>
      <c r="I17" s="499"/>
      <c r="J17" s="499"/>
      <c r="K17" s="499"/>
      <c r="L17" s="499"/>
      <c r="M17" s="499"/>
      <c r="N17" s="499"/>
      <c r="O17" s="499"/>
    </row>
    <row r="18" spans="1:15" s="149" customFormat="1">
      <c r="A18" s="496"/>
      <c r="C18" s="325"/>
      <c r="J18" s="503"/>
      <c r="K18" s="503"/>
      <c r="L18" s="503"/>
      <c r="M18" s="503"/>
      <c r="N18" s="503"/>
      <c r="O18" s="503"/>
    </row>
    <row r="19" spans="1:15" s="149" customFormat="1">
      <c r="A19" s="496"/>
      <c r="C19" s="504"/>
      <c r="D19" s="504"/>
      <c r="E19" s="505"/>
      <c r="F19" s="505"/>
      <c r="G19" s="505"/>
      <c r="H19" s="505"/>
      <c r="I19" s="506" t="s">
        <v>171</v>
      </c>
      <c r="J19" s="506"/>
      <c r="K19" s="506"/>
      <c r="L19" s="506" t="s">
        <v>172</v>
      </c>
      <c r="M19" s="506"/>
      <c r="N19" s="506"/>
      <c r="O19" s="506" t="s">
        <v>173</v>
      </c>
    </row>
    <row r="20" spans="1:15" s="149" customFormat="1">
      <c r="A20" s="496"/>
      <c r="C20" s="504" t="s">
        <v>174</v>
      </c>
      <c r="D20" s="504"/>
      <c r="E20" s="505"/>
      <c r="F20" s="505"/>
      <c r="G20" s="505"/>
      <c r="H20" s="505"/>
      <c r="I20" s="506" t="s">
        <v>175</v>
      </c>
      <c r="J20" s="506" t="s">
        <v>176</v>
      </c>
      <c r="K20" s="506" t="s">
        <v>177</v>
      </c>
      <c r="L20" s="506" t="s">
        <v>178</v>
      </c>
      <c r="M20" s="506" t="s">
        <v>179</v>
      </c>
      <c r="N20" s="506" t="s">
        <v>180</v>
      </c>
      <c r="O20" s="506" t="s">
        <v>181</v>
      </c>
    </row>
    <row r="21" spans="1:15" s="149" customFormat="1">
      <c r="A21" s="496"/>
      <c r="C21" s="507" t="s">
        <v>182</v>
      </c>
      <c r="D21" s="508"/>
      <c r="E21" s="496"/>
      <c r="F21" s="509"/>
      <c r="I21" s="510">
        <f>M96</f>
        <v>2.0856865320905121E-2</v>
      </c>
      <c r="J21" s="510">
        <f>I21/(1+I21)</f>
        <v>2.0430744043974068E-2</v>
      </c>
      <c r="K21" s="510">
        <f>1-J21</f>
        <v>0.97956925595602595</v>
      </c>
      <c r="L21" s="511">
        <f>$E$42</f>
        <v>0.11684102303181981</v>
      </c>
      <c r="M21" s="511">
        <f>$E$51</f>
        <v>0.10429585676646486</v>
      </c>
      <c r="N21" s="511">
        <f>SUMPRODUCT(J21:K21,L21:M21)</f>
        <v>0.10455216384742143</v>
      </c>
      <c r="O21" s="512">
        <v>0.5</v>
      </c>
    </row>
    <row r="22" spans="1:15" s="149" customFormat="1">
      <c r="A22" s="496"/>
      <c r="C22" s="507" t="s">
        <v>183</v>
      </c>
      <c r="D22" s="508"/>
      <c r="E22" s="496"/>
      <c r="F22" s="509"/>
      <c r="I22" s="510">
        <f>M97</f>
        <v>0.2356355262539333</v>
      </c>
      <c r="J22" s="510">
        <f>I22/(1+I22)</f>
        <v>0.19069986354981852</v>
      </c>
      <c r="K22" s="510">
        <f>1-J22</f>
        <v>0.80930013645018151</v>
      </c>
      <c r="L22" s="511">
        <f>$E$42</f>
        <v>0.11684102303181981</v>
      </c>
      <c r="M22" s="511">
        <f>$E$51</f>
        <v>0.10429585676646486</v>
      </c>
      <c r="N22" s="511">
        <f>SUMPRODUCT(J22:K22,L22:M22)</f>
        <v>0.10668821826147784</v>
      </c>
      <c r="O22" s="512">
        <v>0.5</v>
      </c>
    </row>
    <row r="23" spans="1:15" s="316" customFormat="1">
      <c r="A23" s="513"/>
      <c r="C23" s="514" t="s">
        <v>180</v>
      </c>
      <c r="D23" s="515"/>
      <c r="E23" s="515"/>
      <c r="F23" s="515"/>
      <c r="G23" s="515"/>
      <c r="H23" s="515"/>
      <c r="I23" s="515"/>
      <c r="J23" s="516"/>
      <c r="K23" s="516"/>
      <c r="L23" s="516"/>
      <c r="M23" s="516"/>
      <c r="N23" s="516"/>
      <c r="O23" s="517">
        <f>SUMPRODUCT(O21:O22,N21:N22)</f>
        <v>0.10562019105444964</v>
      </c>
    </row>
    <row r="25" spans="1:15" s="149" customFormat="1">
      <c r="A25" s="518">
        <v>2</v>
      </c>
      <c r="C25" s="497" t="s">
        <v>184</v>
      </c>
      <c r="D25" s="497"/>
      <c r="E25" s="497"/>
      <c r="F25" s="497"/>
      <c r="G25" s="519"/>
      <c r="H25" s="519"/>
      <c r="I25" s="519"/>
      <c r="J25" s="519"/>
      <c r="K25" s="519"/>
      <c r="L25" s="519"/>
      <c r="M25" s="519"/>
      <c r="N25" s="519"/>
      <c r="O25" s="519"/>
    </row>
    <row r="26" spans="1:15">
      <c r="A26" s="434"/>
    </row>
    <row r="27" spans="1:15" s="149" customFormat="1">
      <c r="A27" s="496"/>
      <c r="C27" s="498" t="s">
        <v>185</v>
      </c>
      <c r="D27" s="499"/>
      <c r="E27" s="499"/>
      <c r="F27" s="499"/>
      <c r="G27" s="499"/>
      <c r="H27" s="499"/>
      <c r="I27" s="499"/>
      <c r="J27" s="499"/>
      <c r="K27" s="499"/>
      <c r="L27" s="499"/>
      <c r="M27" s="499"/>
      <c r="N27" s="499"/>
      <c r="O27" s="499"/>
    </row>
    <row r="29" spans="1:15" s="149" customFormat="1" ht="19">
      <c r="C29" s="520"/>
      <c r="D29" s="521"/>
      <c r="E29" s="521"/>
      <c r="F29" s="522" t="s">
        <v>43</v>
      </c>
      <c r="G29" s="522"/>
      <c r="H29" s="522"/>
      <c r="I29" s="522"/>
      <c r="J29" s="522"/>
      <c r="K29" s="522" t="s">
        <v>44</v>
      </c>
      <c r="L29" s="522"/>
      <c r="M29" s="522"/>
      <c r="N29" s="522"/>
      <c r="O29" s="522"/>
    </row>
    <row r="30" spans="1:15" s="149" customFormat="1">
      <c r="C30" s="520" t="s">
        <v>186</v>
      </c>
      <c r="D30" s="521"/>
      <c r="E30" s="521"/>
      <c r="F30" s="523">
        <v>20</v>
      </c>
      <c r="G30" s="523">
        <f t="shared" ref="G30:O30" si="0">F30+1</f>
        <v>21</v>
      </c>
      <c r="H30" s="523">
        <f t="shared" si="0"/>
        <v>22</v>
      </c>
      <c r="I30" s="523">
        <f t="shared" si="0"/>
        <v>23</v>
      </c>
      <c r="J30" s="523">
        <f t="shared" si="0"/>
        <v>24</v>
      </c>
      <c r="K30" s="524">
        <f t="shared" si="0"/>
        <v>25</v>
      </c>
      <c r="L30" s="524">
        <f t="shared" si="0"/>
        <v>26</v>
      </c>
      <c r="M30" s="524">
        <f t="shared" si="0"/>
        <v>27</v>
      </c>
      <c r="N30" s="524">
        <f t="shared" si="0"/>
        <v>28</v>
      </c>
      <c r="O30" s="524">
        <f t="shared" si="0"/>
        <v>29</v>
      </c>
    </row>
    <row r="31" spans="1:15" s="149" customFormat="1">
      <c r="C31" s="322" t="s">
        <v>79</v>
      </c>
      <c r="F31" s="525">
        <f>'3FS'!D42</f>
        <v>-1287</v>
      </c>
      <c r="G31" s="525">
        <f>'3FS'!E42</f>
        <v>-1843</v>
      </c>
      <c r="H31" s="525">
        <f>'3FS'!F42</f>
        <v>-1560</v>
      </c>
      <c r="I31" s="525">
        <f>'3FS'!G42</f>
        <v>-360</v>
      </c>
      <c r="J31" s="525">
        <f>'3FS'!H42</f>
        <v>19</v>
      </c>
      <c r="K31" s="525">
        <f ca="1">'3FS'!I42</f>
        <v>166.99935773861722</v>
      </c>
      <c r="L31" s="525">
        <f ca="1">'3FS'!J42</f>
        <v>375.2002593444688</v>
      </c>
      <c r="M31" s="525">
        <f ca="1">'3FS'!K42</f>
        <v>675.69233184725056</v>
      </c>
      <c r="N31" s="525">
        <f ca="1">'3FS'!L42</f>
        <v>1098.9955950131398</v>
      </c>
      <c r="O31" s="525">
        <f ca="1">'3FS'!M42</f>
        <v>1687.5752740069622</v>
      </c>
    </row>
    <row r="32" spans="1:15" s="149" customFormat="1">
      <c r="C32" s="322" t="s">
        <v>187</v>
      </c>
      <c r="F32" s="525">
        <f>'3FS'!D33</f>
        <v>-1448</v>
      </c>
      <c r="G32" s="525">
        <f>'3FS'!E33</f>
        <v>-1701</v>
      </c>
      <c r="H32" s="525">
        <f>'3FS'!F33</f>
        <v>-166</v>
      </c>
      <c r="I32" s="525">
        <f>'3FS'!G33</f>
        <v>-99</v>
      </c>
      <c r="J32" s="525">
        <f>'3FS'!H33</f>
        <v>-106</v>
      </c>
      <c r="K32" s="525">
        <f ca="1">'3FS'!I33</f>
        <v>-23.845000000000002</v>
      </c>
      <c r="L32" s="525">
        <f ca="1">'3FS'!J33</f>
        <v>-21.115000000000002</v>
      </c>
      <c r="M32" s="525">
        <f ca="1">'3FS'!K33</f>
        <v>-21.115000000000002</v>
      </c>
      <c r="N32" s="525">
        <f ca="1">'3FS'!L33</f>
        <v>-21.115000000000002</v>
      </c>
      <c r="O32" s="525">
        <f ca="1">'3FS'!M33</f>
        <v>-20.935000000000002</v>
      </c>
    </row>
    <row r="33" spans="1:15" s="149" customFormat="1">
      <c r="C33" s="308" t="s">
        <v>188</v>
      </c>
      <c r="D33" s="526"/>
      <c r="E33" s="526"/>
      <c r="F33" s="433">
        <f t="shared" ref="F33:O33" si="1">IFERROR(F31/ABS(F32),NA())</f>
        <v>-0.88881215469613262</v>
      </c>
      <c r="G33" s="433">
        <f t="shared" si="1"/>
        <v>-1.083480305702528</v>
      </c>
      <c r="H33" s="433">
        <f t="shared" si="1"/>
        <v>-9.3975903614457827</v>
      </c>
      <c r="I33" s="433">
        <f t="shared" si="1"/>
        <v>-3.6363636363636362</v>
      </c>
      <c r="J33" s="433">
        <f t="shared" si="1"/>
        <v>0.17924528301886791</v>
      </c>
      <c r="K33" s="433">
        <f t="shared" ca="1" si="1"/>
        <v>7.0035377537688071</v>
      </c>
      <c r="L33" s="433">
        <f t="shared" ca="1" si="1"/>
        <v>17.769370558582466</v>
      </c>
      <c r="M33" s="433">
        <f t="shared" ca="1" si="1"/>
        <v>32.000584032547977</v>
      </c>
      <c r="N33" s="433">
        <f t="shared" ca="1" si="1"/>
        <v>52.048098271993354</v>
      </c>
      <c r="O33" s="452">
        <f t="shared" ca="1" si="1"/>
        <v>80.610235204536039</v>
      </c>
    </row>
    <row r="34" spans="1:15" s="149" customFormat="1"/>
    <row r="35" spans="1:15" s="149" customFormat="1">
      <c r="C35" s="322" t="s">
        <v>189</v>
      </c>
      <c r="D35" s="322"/>
      <c r="E35" s="527">
        <f>E14</f>
        <v>4.079E-2</v>
      </c>
      <c r="H35" s="61" t="s">
        <v>190</v>
      </c>
      <c r="I35" s="61" t="s">
        <v>191</v>
      </c>
      <c r="J35" s="61" t="s">
        <v>192</v>
      </c>
    </row>
    <row r="36" spans="1:15" s="149" customFormat="1">
      <c r="C36" s="322" t="s">
        <v>193</v>
      </c>
      <c r="D36" s="322"/>
      <c r="E36" s="453">
        <f>AVERAGE(F33:J33)</f>
        <v>-2.9654002350378423</v>
      </c>
      <c r="F36" s="149" t="s">
        <v>194</v>
      </c>
      <c r="H36" s="748" t="str">
        <f>E37</f>
        <v>D2/D</v>
      </c>
      <c r="I36" s="749">
        <f>Damodaran!O11</f>
        <v>0.19</v>
      </c>
      <c r="J36" s="750">
        <v>0.5</v>
      </c>
    </row>
    <row r="37" spans="1:15" s="149" customFormat="1">
      <c r="C37" s="322" t="s">
        <v>194</v>
      </c>
      <c r="D37" s="322"/>
      <c r="E37" s="528" t="str">
        <f>Damodaran!N11</f>
        <v>D2/D</v>
      </c>
      <c r="F37" s="149" t="s">
        <v>195</v>
      </c>
      <c r="H37" s="751" t="str">
        <f>E38</f>
        <v>BB-/Ba3</v>
      </c>
      <c r="I37" s="752">
        <f>Damodaran!O17</f>
        <v>2.6100000000000002E-2</v>
      </c>
      <c r="J37" s="753">
        <v>0.5</v>
      </c>
    </row>
    <row r="38" spans="1:15" s="149" customFormat="1">
      <c r="C38" s="322" t="s">
        <v>195</v>
      </c>
      <c r="D38" s="322"/>
      <c r="E38" s="529" t="s">
        <v>196</v>
      </c>
      <c r="F38" s="526" t="s">
        <v>197</v>
      </c>
      <c r="G38" s="526"/>
      <c r="H38" s="526"/>
      <c r="I38" s="526"/>
      <c r="J38" s="754">
        <f>SUMPRODUCT(J36:J37,I36:I37)</f>
        <v>0.10805000000000001</v>
      </c>
    </row>
    <row r="39" spans="1:15" s="149" customFormat="1">
      <c r="C39" s="322" t="s">
        <v>198</v>
      </c>
      <c r="D39" s="322"/>
      <c r="E39" s="530">
        <f>J38</f>
        <v>0.10805000000000001</v>
      </c>
    </row>
    <row r="40" spans="1:15" s="149" customFormat="1">
      <c r="C40" s="531" t="s">
        <v>199</v>
      </c>
      <c r="D40" s="531"/>
      <c r="E40" s="532">
        <f>E35+E39</f>
        <v>0.14884</v>
      </c>
    </row>
    <row r="41" spans="1:15" s="149" customFormat="1">
      <c r="C41" s="322" t="s">
        <v>169</v>
      </c>
      <c r="D41" s="322"/>
      <c r="E41" s="533">
        <f>E15</f>
        <v>0.2149890954594208</v>
      </c>
    </row>
    <row r="42" spans="1:15" s="316" customFormat="1">
      <c r="C42" s="526" t="s">
        <v>200</v>
      </c>
      <c r="D42" s="526"/>
      <c r="E42" s="534">
        <f>E40*(1-E41)</f>
        <v>0.11684102303181981</v>
      </c>
      <c r="H42" s="316" t="s">
        <v>201</v>
      </c>
    </row>
    <row r="44" spans="1:15" s="149" customFormat="1">
      <c r="A44" s="518">
        <v>3</v>
      </c>
      <c r="C44" s="497" t="s">
        <v>202</v>
      </c>
      <c r="D44" s="497"/>
      <c r="E44" s="497"/>
      <c r="F44" s="497"/>
      <c r="G44" s="497"/>
      <c r="H44" s="497"/>
      <c r="I44" s="497"/>
      <c r="J44" s="497"/>
      <c r="K44" s="497"/>
      <c r="L44" s="497"/>
      <c r="M44" s="497"/>
      <c r="N44" s="497"/>
      <c r="O44" s="497"/>
    </row>
    <row r="45" spans="1:15" s="149" customFormat="1">
      <c r="A45" s="496"/>
    </row>
    <row r="46" spans="1:15" s="149" customFormat="1">
      <c r="A46" s="496"/>
      <c r="C46" s="498" t="s">
        <v>203</v>
      </c>
      <c r="D46" s="499"/>
      <c r="E46" s="499"/>
      <c r="F46" s="499"/>
      <c r="G46" s="499"/>
      <c r="H46" s="499"/>
      <c r="I46" s="499"/>
      <c r="J46" s="499"/>
      <c r="K46" s="499"/>
      <c r="L46" s="499"/>
      <c r="M46" s="499"/>
      <c r="N46" s="499"/>
      <c r="O46" s="499"/>
    </row>
    <row r="47" spans="1:15" s="149" customFormat="1">
      <c r="A47" s="496"/>
      <c r="C47" s="322" t="s">
        <v>204</v>
      </c>
      <c r="D47" s="322"/>
      <c r="E47" s="527">
        <f>E14</f>
        <v>4.079E-2</v>
      </c>
      <c r="G47" s="61" t="s">
        <v>205</v>
      </c>
      <c r="H47" s="61" t="s">
        <v>192</v>
      </c>
    </row>
    <row r="48" spans="1:15" s="149" customFormat="1">
      <c r="A48" s="496"/>
      <c r="C48" s="322" t="s">
        <v>206</v>
      </c>
      <c r="D48" s="322"/>
      <c r="E48" s="535">
        <f>G50</f>
        <v>0.68196089754704969</v>
      </c>
      <c r="F48" s="149" t="s">
        <v>207</v>
      </c>
      <c r="G48" s="813">
        <f>O98</f>
        <v>0.68196089754704969</v>
      </c>
      <c r="H48" s="750">
        <v>1</v>
      </c>
    </row>
    <row r="49" spans="1:15" s="149" customFormat="1">
      <c r="A49" s="496"/>
      <c r="C49" s="322" t="s">
        <v>208</v>
      </c>
      <c r="D49" s="322"/>
      <c r="E49" s="527">
        <f>O113</f>
        <v>6.2787343582409741E-2</v>
      </c>
      <c r="F49" s="149" t="s">
        <v>209</v>
      </c>
      <c r="G49" s="814">
        <v>1.0332296948533297</v>
      </c>
      <c r="H49" s="753">
        <v>0</v>
      </c>
    </row>
    <row r="50" spans="1:15" s="149" customFormat="1">
      <c r="A50" s="496"/>
      <c r="C50" s="322" t="s">
        <v>210</v>
      </c>
      <c r="D50" s="322"/>
      <c r="E50" s="527">
        <f>O128</f>
        <v>2.0687343582409725E-2</v>
      </c>
      <c r="F50" s="526" t="s">
        <v>211</v>
      </c>
      <c r="G50" s="816">
        <f>SUMPRODUCT(G48:G49,H48:H49)</f>
        <v>0.68196089754704969</v>
      </c>
      <c r="H50" s="815">
        <f>SUM(H48:H49)</f>
        <v>1</v>
      </c>
    </row>
    <row r="51" spans="1:15" s="149" customFormat="1">
      <c r="A51" s="496"/>
      <c r="C51" s="526" t="s">
        <v>202</v>
      </c>
      <c r="D51" s="526"/>
      <c r="E51" s="534">
        <f>E47+E48*E49+E50</f>
        <v>0.10429585676646486</v>
      </c>
    </row>
    <row r="52" spans="1:15" s="316" customFormat="1">
      <c r="A52" s="513"/>
    </row>
    <row r="53" spans="1:15" s="149" customFormat="1">
      <c r="A53" s="518">
        <v>4</v>
      </c>
      <c r="C53" s="536" t="s">
        <v>207</v>
      </c>
      <c r="D53" s="536"/>
      <c r="E53" s="536"/>
      <c r="F53" s="536"/>
      <c r="G53" s="536"/>
      <c r="H53" s="536"/>
      <c r="I53" s="536"/>
      <c r="J53" s="536"/>
      <c r="K53" s="536"/>
      <c r="L53" s="536"/>
      <c r="M53" s="536"/>
      <c r="N53" s="536"/>
      <c r="O53" s="536"/>
    </row>
    <row r="54" spans="1:15" s="529" customFormat="1">
      <c r="C54" s="537"/>
      <c r="D54" s="537"/>
      <c r="E54" s="537"/>
      <c r="F54" s="538"/>
      <c r="G54" s="538"/>
      <c r="H54" s="538"/>
      <c r="I54" s="538"/>
      <c r="J54" s="538"/>
      <c r="K54" s="538"/>
      <c r="L54" s="538"/>
      <c r="M54" s="538"/>
      <c r="N54" s="538"/>
      <c r="O54" s="538"/>
    </row>
    <row r="55" spans="1:15" s="540" customFormat="1">
      <c r="A55" s="539"/>
      <c r="C55" s="498" t="s">
        <v>212</v>
      </c>
      <c r="D55" s="499"/>
      <c r="E55" s="499"/>
      <c r="F55" s="499"/>
      <c r="G55" s="499"/>
      <c r="H55" s="499"/>
      <c r="I55" s="499"/>
      <c r="J55" s="499"/>
      <c r="K55" s="499"/>
      <c r="L55" s="499"/>
      <c r="M55" s="499"/>
      <c r="N55" s="499"/>
      <c r="O55" s="499"/>
    </row>
    <row r="56" spans="1:15" s="540" customFormat="1">
      <c r="A56" s="539"/>
      <c r="C56" s="541"/>
      <c r="D56" s="541"/>
      <c r="E56" s="541"/>
    </row>
    <row r="57" spans="1:15" s="149" customFormat="1">
      <c r="C57" s="542" t="s">
        <v>47</v>
      </c>
      <c r="D57" s="542"/>
      <c r="E57" s="542"/>
      <c r="F57" s="543" t="s">
        <v>213</v>
      </c>
      <c r="G57" s="543" t="s">
        <v>214</v>
      </c>
      <c r="H57" s="544" t="s">
        <v>215</v>
      </c>
      <c r="I57" s="544" t="s">
        <v>216</v>
      </c>
      <c r="J57" s="544" t="s">
        <v>217</v>
      </c>
      <c r="K57" s="544" t="s">
        <v>218</v>
      </c>
      <c r="L57" s="543" t="s">
        <v>219</v>
      </c>
      <c r="M57" s="543" t="s">
        <v>171</v>
      </c>
      <c r="N57" s="543" t="s">
        <v>220</v>
      </c>
      <c r="O57" s="543" t="s">
        <v>221</v>
      </c>
    </row>
    <row r="58" spans="1:15" s="149" customFormat="1">
      <c r="C58" s="542" t="s">
        <v>222</v>
      </c>
      <c r="D58" s="542" t="s">
        <v>223</v>
      </c>
      <c r="E58" s="542" t="s">
        <v>224</v>
      </c>
      <c r="F58" s="543" t="s">
        <v>205</v>
      </c>
      <c r="G58" s="543" t="s">
        <v>216</v>
      </c>
      <c r="H58" s="544" t="s">
        <v>216</v>
      </c>
      <c r="I58" s="544" t="s">
        <v>225</v>
      </c>
      <c r="J58" s="544" t="s">
        <v>226</v>
      </c>
      <c r="K58" s="544" t="s">
        <v>216</v>
      </c>
      <c r="L58" s="543" t="s">
        <v>227</v>
      </c>
      <c r="M58" s="543" t="s">
        <v>175</v>
      </c>
      <c r="N58" s="543" t="s">
        <v>228</v>
      </c>
      <c r="O58" s="543" t="s">
        <v>205</v>
      </c>
    </row>
    <row r="59" spans="1:15" s="149" customFormat="1">
      <c r="C59" s="545" t="str">
        <f>'Financial Data'!A25</f>
        <v>Delivery Hero SE (XTRA:DHER)</v>
      </c>
      <c r="D59" s="546" t="s">
        <v>229</v>
      </c>
      <c r="E59" s="546" t="s">
        <v>230</v>
      </c>
      <c r="F59" s="547">
        <f>_xlfn.XLOOKUP($C59,'Financial Data'!$A$15:$A$32,'Financial Data'!$Q$15:$Q$32)</f>
        <v>1.69</v>
      </c>
      <c r="G59" s="547">
        <f>_xlfn.XLOOKUP($C59,'Financial Data'!$A$15:$A$32,'Financial Data'!$T$15:$T$32)</f>
        <v>6610.8</v>
      </c>
      <c r="H59" s="74"/>
      <c r="I59" s="74"/>
      <c r="J59" s="74"/>
      <c r="K59" s="74"/>
      <c r="L59" s="547">
        <f>_xlfn.XLOOKUP($C59,'Financial Data'!$A$15:$A$32,'Financial Data'!$D$15:$D$32)</f>
        <v>6613.6</v>
      </c>
      <c r="M59" s="548">
        <f t="shared" ref="M59:M61" si="2">G59/L59</f>
        <v>0.99957662997459773</v>
      </c>
      <c r="N59" s="549">
        <f>Damodaran!I65</f>
        <v>0.3</v>
      </c>
      <c r="O59" s="550">
        <f t="shared" ref="O59:O61" si="3">F59/(1+M59*(1-N59))</f>
        <v>0.99429098064612553</v>
      </c>
    </row>
    <row r="60" spans="1:15" s="149" customFormat="1">
      <c r="C60" s="545" t="str">
        <f>'Financial Data'!A31</f>
        <v>Sea Limited (NYSE:SE)</v>
      </c>
      <c r="D60" s="546" t="s">
        <v>231</v>
      </c>
      <c r="E60" s="546" t="s">
        <v>232</v>
      </c>
      <c r="F60" s="547">
        <f>_xlfn.XLOOKUP($C60,'Financial Data'!$A$15:$A$32,'Financial Data'!$Q$15:$Q$32)</f>
        <v>1.58</v>
      </c>
      <c r="G60" s="547">
        <f>_xlfn.XLOOKUP($C60,'Financial Data'!$A$15:$A$32,'Financial Data'!$T$15:$T$32)</f>
        <v>4124.1000000000004</v>
      </c>
      <c r="H60" s="74"/>
      <c r="I60" s="74"/>
      <c r="J60" s="74"/>
      <c r="K60" s="74"/>
      <c r="L60" s="547">
        <f>_xlfn.XLOOKUP($C60,'Financial Data'!$A$15:$A$32,'Financial Data'!$D$15:$D$32)</f>
        <v>81598.100000000006</v>
      </c>
      <c r="M60" s="548">
        <f t="shared" si="2"/>
        <v>5.0541618003360371E-2</v>
      </c>
      <c r="N60" s="549">
        <f>_xlfn.XLOOKUP($C60,'Financial Data'!$A$15:$A$32,'Financial Data'!$V$15:$V$32)</f>
        <v>0.26960000000000001</v>
      </c>
      <c r="O60" s="550">
        <f t="shared" si="3"/>
        <v>1.523749862928105</v>
      </c>
    </row>
    <row r="61" spans="1:15" s="149" customFormat="1">
      <c r="C61" s="545" t="str">
        <f>'Financial Data'!A29</f>
        <v>PT GoTo Gojek Tokopedia Tbk (IDX:GOTO)</v>
      </c>
      <c r="D61" s="546" t="s">
        <v>233</v>
      </c>
      <c r="E61" s="546" t="s">
        <v>234</v>
      </c>
      <c r="F61" s="547">
        <f>_xlfn.XLOOKUP($C61,'Financial Data'!$A$15:$A$32,'Financial Data'!$Q$15:$Q$32)</f>
        <v>0.46</v>
      </c>
      <c r="G61" s="547">
        <f>_xlfn.XLOOKUP($C61,'Financial Data'!$A$15:$A$32,'Financial Data'!$T$15:$T$32)</f>
        <v>290.2</v>
      </c>
      <c r="H61" s="74"/>
      <c r="I61" s="74"/>
      <c r="J61" s="74"/>
      <c r="K61" s="74"/>
      <c r="L61" s="547">
        <f>_xlfn.XLOOKUP($C61,'Financial Data'!$A$15:$A$32,'Financial Data'!$D$15:$D$32)</f>
        <v>4076.2</v>
      </c>
      <c r="M61" s="548">
        <f t="shared" si="2"/>
        <v>7.1193758893086698E-2</v>
      </c>
      <c r="N61" s="549">
        <f>O136</f>
        <v>0.22</v>
      </c>
      <c r="O61" s="550">
        <f t="shared" si="3"/>
        <v>0.43579955728641301</v>
      </c>
    </row>
    <row r="62" spans="1:15" s="149" customFormat="1">
      <c r="C62" s="551" t="s">
        <v>235</v>
      </c>
      <c r="D62" s="551"/>
      <c r="E62" s="552"/>
      <c r="F62" s="553">
        <f>AVERAGE(F59:F61)</f>
        <v>1.2433333333333334</v>
      </c>
      <c r="G62" s="553"/>
      <c r="H62" s="554"/>
      <c r="I62" s="555"/>
      <c r="J62" s="554"/>
      <c r="K62" s="555"/>
      <c r="L62" s="556"/>
      <c r="M62" s="557">
        <f>AVERAGE(M59:M61)</f>
        <v>0.37377066895701488</v>
      </c>
      <c r="N62" s="558"/>
      <c r="O62" s="553">
        <f>AVERAGE(O59:O61)</f>
        <v>0.98461346695354779</v>
      </c>
    </row>
    <row r="63" spans="1:15" s="316" customFormat="1">
      <c r="C63" s="504" t="s">
        <v>236</v>
      </c>
      <c r="D63" s="504"/>
      <c r="E63" s="505"/>
      <c r="F63" s="559">
        <f>MEDIAN(F59:F61)</f>
        <v>1.58</v>
      </c>
      <c r="G63" s="559"/>
      <c r="H63" s="560"/>
      <c r="I63" s="561"/>
      <c r="J63" s="560"/>
      <c r="K63" s="561"/>
      <c r="L63" s="562"/>
      <c r="M63" s="563">
        <f>MEDIAN(M59:M61)</f>
        <v>7.1193758893086698E-2</v>
      </c>
      <c r="N63" s="564"/>
      <c r="O63" s="559">
        <f>MEDIAN(O59:O61)</f>
        <v>0.99429098064612553</v>
      </c>
    </row>
    <row r="64" spans="1:15" s="149" customFormat="1">
      <c r="C64" s="508"/>
      <c r="D64" s="508"/>
      <c r="E64" s="508"/>
      <c r="F64" s="565"/>
      <c r="G64" s="565"/>
      <c r="H64" s="566"/>
      <c r="I64" s="567"/>
      <c r="J64" s="566"/>
      <c r="K64" s="567"/>
      <c r="L64" s="566"/>
      <c r="M64" s="567"/>
      <c r="N64" s="568"/>
      <c r="O64" s="569"/>
    </row>
    <row r="65" spans="3:15" s="149" customFormat="1">
      <c r="C65" s="542" t="s">
        <v>49</v>
      </c>
      <c r="D65" s="542"/>
      <c r="E65" s="542"/>
      <c r="F65" s="543" t="s">
        <v>213</v>
      </c>
      <c r="G65" s="543" t="s">
        <v>214</v>
      </c>
      <c r="H65" s="544" t="s">
        <v>215</v>
      </c>
      <c r="I65" s="544" t="s">
        <v>216</v>
      </c>
      <c r="J65" s="544" t="s">
        <v>217</v>
      </c>
      <c r="K65" s="544" t="s">
        <v>218</v>
      </c>
      <c r="L65" s="543" t="s">
        <v>219</v>
      </c>
      <c r="M65" s="543" t="s">
        <v>171</v>
      </c>
      <c r="N65" s="543" t="s">
        <v>220</v>
      </c>
      <c r="O65" s="543" t="s">
        <v>221</v>
      </c>
    </row>
    <row r="66" spans="3:15" s="149" customFormat="1">
      <c r="C66" s="542" t="s">
        <v>222</v>
      </c>
      <c r="D66" s="542" t="s">
        <v>223</v>
      </c>
      <c r="E66" s="542" t="s">
        <v>224</v>
      </c>
      <c r="F66" s="543" t="s">
        <v>205</v>
      </c>
      <c r="G66" s="543" t="s">
        <v>216</v>
      </c>
      <c r="H66" s="544" t="s">
        <v>216</v>
      </c>
      <c r="I66" s="544" t="s">
        <v>225</v>
      </c>
      <c r="J66" s="544" t="s">
        <v>226</v>
      </c>
      <c r="K66" s="544" t="s">
        <v>216</v>
      </c>
      <c r="L66" s="543" t="s">
        <v>227</v>
      </c>
      <c r="M66" s="543" t="s">
        <v>175</v>
      </c>
      <c r="N66" s="543" t="s">
        <v>228</v>
      </c>
      <c r="O66" s="543" t="s">
        <v>205</v>
      </c>
    </row>
    <row r="67" spans="3:15" s="149" customFormat="1">
      <c r="C67" s="545" t="str">
        <f>'Financial Data'!A29</f>
        <v>PT GoTo Gojek Tokopedia Tbk (IDX:GOTO)</v>
      </c>
      <c r="D67" s="546" t="s">
        <v>233</v>
      </c>
      <c r="E67" s="546" t="s">
        <v>234</v>
      </c>
      <c r="F67" s="547">
        <f>_xlfn.XLOOKUP($C67,'Financial Data'!$A$15:$A$32,'Financial Data'!$Q$15:$Q$32)</f>
        <v>0.46</v>
      </c>
      <c r="G67" s="547">
        <f>_xlfn.XLOOKUP($C67,'Financial Data'!$A$15:$A$32,'Financial Data'!$T$15:$T$32)</f>
        <v>290.2</v>
      </c>
      <c r="H67" s="74"/>
      <c r="I67" s="74"/>
      <c r="J67" s="74"/>
      <c r="K67" s="74"/>
      <c r="L67" s="547">
        <f>_xlfn.XLOOKUP($C67,'Financial Data'!$A$15:$A$32,'Financial Data'!$D$15:$D$32)</f>
        <v>4076.2</v>
      </c>
      <c r="M67" s="548">
        <f t="shared" ref="M67:M70" si="4">G67/L67</f>
        <v>7.1193758893086698E-2</v>
      </c>
      <c r="N67" s="549">
        <f>O136</f>
        <v>0.22</v>
      </c>
      <c r="O67" s="550">
        <f t="shared" ref="O67:O70" si="5">F67/(1+M67*(1-N67))</f>
        <v>0.43579955728641301</v>
      </c>
    </row>
    <row r="68" spans="3:15" s="149" customFormat="1">
      <c r="C68" s="545" t="str">
        <f>'Financial Data'!A23</f>
        <v>ComfortDelGro Corporation Limited (SGX:C52)</v>
      </c>
      <c r="D68" s="546" t="s">
        <v>231</v>
      </c>
      <c r="E68" s="546" t="s">
        <v>237</v>
      </c>
      <c r="F68" s="547">
        <f>_xlfn.XLOOKUP($C68,'Financial Data'!$A$15:$A$32,'Financial Data'!$Q$15:$Q$32)</f>
        <v>0.19</v>
      </c>
      <c r="G68" s="547">
        <f>_xlfn.XLOOKUP($C68,'Financial Data'!$A$15:$A$32,'Financial Data'!$T$15:$T$32)</f>
        <v>1047.2</v>
      </c>
      <c r="H68" s="74"/>
      <c r="I68" s="74"/>
      <c r="J68" s="74"/>
      <c r="K68" s="74"/>
      <c r="L68" s="547">
        <f>_xlfn.XLOOKUP($C68,'Financial Data'!$A$15:$A$32,'Financial Data'!$D$15:$D$32)</f>
        <v>2404.4</v>
      </c>
      <c r="M68" s="548">
        <f t="shared" si="4"/>
        <v>0.43553485276992182</v>
      </c>
      <c r="N68" s="549">
        <f>_xlfn.XLOOKUP($C68,'Financial Data'!$A$15:$A$32,'Financial Data'!$V$15:$V$32)</f>
        <v>0.19819999999999999</v>
      </c>
      <c r="O68" s="550">
        <f t="shared" si="5"/>
        <v>0.14082295579528589</v>
      </c>
    </row>
    <row r="69" spans="3:15" s="149" customFormat="1">
      <c r="C69" s="545" t="str">
        <f>'Financial Data'!A27</f>
        <v>PT Blue Bird Tbk (IDX:BIRD)</v>
      </c>
      <c r="D69" s="546" t="s">
        <v>233</v>
      </c>
      <c r="E69" s="546" t="s">
        <v>238</v>
      </c>
      <c r="F69" s="547">
        <f>_xlfn.XLOOKUP($C69,'Financial Data'!$A$15:$A$32,'Financial Data'!$Q$15:$Q$32)</f>
        <v>0.26</v>
      </c>
      <c r="G69" s="547">
        <f>_xlfn.XLOOKUP($C69,'Financial Data'!$A$15:$A$32,'Financial Data'!$T$15:$T$32)</f>
        <v>82.1</v>
      </c>
      <c r="H69" s="74"/>
      <c r="I69" s="74"/>
      <c r="J69" s="74"/>
      <c r="K69" s="74"/>
      <c r="L69" s="547">
        <f>_xlfn.XLOOKUP($C69,'Financial Data'!$A$15:$A$32,'Financial Data'!$D$15:$D$32)</f>
        <v>262</v>
      </c>
      <c r="M69" s="548">
        <f t="shared" si="4"/>
        <v>0.31335877862595418</v>
      </c>
      <c r="N69" s="549">
        <f>_xlfn.XLOOKUP($C69,'Financial Data'!$A$15:$A$32,'Financial Data'!$V$15:$V$32)</f>
        <v>0.22009999999999999</v>
      </c>
      <c r="O69" s="550">
        <f t="shared" si="5"/>
        <v>0.20893796238681137</v>
      </c>
    </row>
    <row r="70" spans="3:15" s="149" customFormat="1">
      <c r="C70" s="545" t="str">
        <f>'Financial Data'!A24</f>
        <v>BTS Group Holdings Public Company Limited (SET:BTS)</v>
      </c>
      <c r="D70" s="546" t="s">
        <v>239</v>
      </c>
      <c r="E70" s="546" t="s">
        <v>240</v>
      </c>
      <c r="F70" s="547">
        <f>_xlfn.XLOOKUP($C70,'Financial Data'!$A$15:$A$32,'Financial Data'!$Q$15:$Q$32)</f>
        <v>0.02</v>
      </c>
      <c r="G70" s="547">
        <f>_xlfn.XLOOKUP($C70,'Financial Data'!$A$15:$A$32,'Financial Data'!$T$15:$T$32)</f>
        <v>5790.2</v>
      </c>
      <c r="H70" s="74"/>
      <c r="I70" s="74"/>
      <c r="J70" s="74"/>
      <c r="K70" s="74"/>
      <c r="L70" s="547">
        <f>_xlfn.XLOOKUP($C70,'Financial Data'!$A$15:$A$32,'Financial Data'!$D$15:$D$32)</f>
        <v>1284.9000000000001</v>
      </c>
      <c r="M70" s="548">
        <f t="shared" si="4"/>
        <v>4.506342906062728</v>
      </c>
      <c r="N70" s="549">
        <f>_xlfn.XLOOKUP($C70,'Financial Data'!$A$15:$A$32,'Financial Data'!$V$15:$V$32)</f>
        <v>0.504</v>
      </c>
      <c r="O70" s="550">
        <f t="shared" si="5"/>
        <v>6.1821010540893681E-3</v>
      </c>
    </row>
    <row r="71" spans="3:15" s="149" customFormat="1">
      <c r="C71" s="551" t="s">
        <v>235</v>
      </c>
      <c r="D71" s="551"/>
      <c r="E71" s="552"/>
      <c r="F71" s="553">
        <f>AVERAGE(F67:F70)</f>
        <v>0.23250000000000001</v>
      </c>
      <c r="G71" s="553"/>
      <c r="H71" s="554"/>
      <c r="I71" s="555"/>
      <c r="J71" s="554"/>
      <c r="K71" s="555"/>
      <c r="L71" s="556"/>
      <c r="M71" s="557">
        <f>AVERAGE(M67:M70)</f>
        <v>1.3316075740879227</v>
      </c>
      <c r="N71" s="558"/>
      <c r="O71" s="553">
        <f>AVERAGE(O67:O70)</f>
        <v>0.1979356441306499</v>
      </c>
    </row>
    <row r="72" spans="3:15" s="149" customFormat="1">
      <c r="C72" s="504" t="s">
        <v>236</v>
      </c>
      <c r="D72" s="504"/>
      <c r="E72" s="505"/>
      <c r="F72" s="559">
        <f>MEDIAN(F67:F70)</f>
        <v>0.22500000000000001</v>
      </c>
      <c r="G72" s="559"/>
      <c r="H72" s="560"/>
      <c r="I72" s="561"/>
      <c r="J72" s="560"/>
      <c r="K72" s="561"/>
      <c r="L72" s="562"/>
      <c r="M72" s="563">
        <f>MEDIAN(M67:M70)</f>
        <v>0.37444681569793803</v>
      </c>
      <c r="N72" s="564"/>
      <c r="O72" s="559">
        <f>MEDIAN(O67:O70)</f>
        <v>0.17488045909104863</v>
      </c>
    </row>
    <row r="73" spans="3:15" s="149" customFormat="1">
      <c r="C73" s="508"/>
      <c r="D73" s="508"/>
      <c r="E73" s="508"/>
      <c r="F73" s="565"/>
      <c r="G73" s="565"/>
      <c r="H73" s="566"/>
      <c r="I73" s="567"/>
      <c r="J73" s="566"/>
      <c r="K73" s="567"/>
      <c r="L73" s="566"/>
      <c r="M73" s="567"/>
      <c r="N73" s="568"/>
      <c r="O73" s="569"/>
    </row>
    <row r="74" spans="3:15" s="149" customFormat="1">
      <c r="C74" s="542" t="s">
        <v>50</v>
      </c>
      <c r="D74" s="542"/>
      <c r="E74" s="542"/>
      <c r="F74" s="543" t="s">
        <v>213</v>
      </c>
      <c r="G74" s="543" t="s">
        <v>214</v>
      </c>
      <c r="H74" s="544" t="s">
        <v>215</v>
      </c>
      <c r="I74" s="544" t="s">
        <v>216</v>
      </c>
      <c r="J74" s="544" t="s">
        <v>217</v>
      </c>
      <c r="K74" s="544" t="s">
        <v>218</v>
      </c>
      <c r="L74" s="543" t="s">
        <v>219</v>
      </c>
      <c r="M74" s="543" t="s">
        <v>171</v>
      </c>
      <c r="N74" s="543" t="s">
        <v>220</v>
      </c>
      <c r="O74" s="543" t="s">
        <v>221</v>
      </c>
    </row>
    <row r="75" spans="3:15" s="149" customFormat="1">
      <c r="C75" s="542" t="s">
        <v>222</v>
      </c>
      <c r="D75" s="542" t="s">
        <v>223</v>
      </c>
      <c r="E75" s="542" t="s">
        <v>224</v>
      </c>
      <c r="F75" s="543" t="s">
        <v>205</v>
      </c>
      <c r="G75" s="543" t="s">
        <v>216</v>
      </c>
      <c r="H75" s="544" t="s">
        <v>216</v>
      </c>
      <c r="I75" s="544" t="s">
        <v>225</v>
      </c>
      <c r="J75" s="544" t="s">
        <v>226</v>
      </c>
      <c r="K75" s="544" t="s">
        <v>216</v>
      </c>
      <c r="L75" s="543" t="s">
        <v>227</v>
      </c>
      <c r="M75" s="543" t="s">
        <v>175</v>
      </c>
      <c r="N75" s="543" t="s">
        <v>228</v>
      </c>
      <c r="O75" s="543" t="s">
        <v>205</v>
      </c>
    </row>
    <row r="76" spans="3:15" s="149" customFormat="1">
      <c r="C76" s="545" t="str">
        <f>'Financial Data'!A31</f>
        <v>Sea Limited (NYSE:SE)</v>
      </c>
      <c r="D76" s="546" t="s">
        <v>231</v>
      </c>
      <c r="E76" s="546" t="s">
        <v>232</v>
      </c>
      <c r="F76" s="547">
        <f>_xlfn.XLOOKUP($C76,'Financial Data'!$A$15:$A$32,'Financial Data'!$Q$15:$Q$32)</f>
        <v>1.58</v>
      </c>
      <c r="G76" s="547">
        <f>_xlfn.XLOOKUP($C76,'Financial Data'!$A$15:$A$32,'Financial Data'!$T$15:$T$32)</f>
        <v>4124.1000000000004</v>
      </c>
      <c r="H76" s="74"/>
      <c r="I76" s="74"/>
      <c r="J76" s="74"/>
      <c r="K76" s="74"/>
      <c r="L76" s="547">
        <f>_xlfn.XLOOKUP($C76,'Financial Data'!$A$15:$A$32,'Financial Data'!$D$15:$D$32)</f>
        <v>81598.100000000006</v>
      </c>
      <c r="M76" s="548">
        <f t="shared" ref="M76:M82" si="6">G76/L76</f>
        <v>5.0541618003360371E-2</v>
      </c>
      <c r="N76" s="549">
        <f>_xlfn.XLOOKUP($C76,'Financial Data'!$A$15:$A$32,'Financial Data'!$V$15:$V$32)</f>
        <v>0.26960000000000001</v>
      </c>
      <c r="O76" s="550">
        <f t="shared" ref="O76:O82" si="7">F76/(1+M76*(1-N76))</f>
        <v>1.523749862928105</v>
      </c>
    </row>
    <row r="77" spans="3:15" s="149" customFormat="1">
      <c r="C77" s="545" t="str">
        <f>'Financial Data'!A29</f>
        <v>PT GoTo Gojek Tokopedia Tbk (IDX:GOTO)</v>
      </c>
      <c r="D77" s="546" t="s">
        <v>233</v>
      </c>
      <c r="E77" s="546" t="s">
        <v>234</v>
      </c>
      <c r="F77" s="547">
        <f>_xlfn.XLOOKUP($C77,'Financial Data'!$A$15:$A$32,'Financial Data'!$Q$15:$Q$32)</f>
        <v>0.46</v>
      </c>
      <c r="G77" s="547">
        <f>_xlfn.XLOOKUP($C77,'Financial Data'!$A$15:$A$32,'Financial Data'!$T$15:$T$32)</f>
        <v>290.2</v>
      </c>
      <c r="H77" s="74"/>
      <c r="I77" s="74"/>
      <c r="J77" s="74"/>
      <c r="K77" s="74"/>
      <c r="L77" s="547">
        <f>_xlfn.XLOOKUP($C77,'Financial Data'!$A$15:$A$32,'Financial Data'!$D$15:$D$32)</f>
        <v>4076.2</v>
      </c>
      <c r="M77" s="548">
        <f t="shared" si="6"/>
        <v>7.1193758893086698E-2</v>
      </c>
      <c r="N77" s="549">
        <f>O136</f>
        <v>0.22</v>
      </c>
      <c r="O77" s="550">
        <f t="shared" si="7"/>
        <v>0.43579955728641301</v>
      </c>
    </row>
    <row r="78" spans="3:15" s="149" customFormat="1">
      <c r="C78" s="545" t="str">
        <f>'Financial Data'!A30</f>
        <v>PT Bank Jago Tbk (IDX:ARTO)</v>
      </c>
      <c r="D78" s="546" t="s">
        <v>233</v>
      </c>
      <c r="E78" s="546" t="s">
        <v>241</v>
      </c>
      <c r="F78" s="547">
        <f>_xlfn.XLOOKUP($C78,'Financial Data'!$A$15:$A$32,'Financial Data'!$Q$15:$Q$32)</f>
        <v>1.46</v>
      </c>
      <c r="G78" s="547">
        <f>_xlfn.XLOOKUP($C78,'Financial Data'!$A$15:$A$32,'Financial Data'!$T$15:$T$32)</f>
        <v>26.6</v>
      </c>
      <c r="H78" s="74"/>
      <c r="I78" s="74"/>
      <c r="J78" s="74"/>
      <c r="K78" s="74"/>
      <c r="L78" s="547">
        <f>_xlfn.XLOOKUP($C78,'Financial Data'!$A$15:$A$32,'Financial Data'!$D$15:$D$32)</f>
        <v>1751.7</v>
      </c>
      <c r="M78" s="548">
        <f t="shared" si="6"/>
        <v>1.5185248615630531E-2</v>
      </c>
      <c r="N78" s="549">
        <f>_xlfn.XLOOKUP($C78,'Financial Data'!$A$15:$A$32,'Financial Data'!$V$15:$V$32)</f>
        <v>0.25540000000000002</v>
      </c>
      <c r="O78" s="550">
        <f t="shared" si="7"/>
        <v>1.4436764426857605</v>
      </c>
    </row>
    <row r="79" spans="3:15" s="149" customFormat="1">
      <c r="C79" s="545" t="str">
        <f>'Financial Data'!A17</f>
        <v>DBS Group Holdings Ltd (SGX:D05)</v>
      </c>
      <c r="D79" s="546" t="s">
        <v>231</v>
      </c>
      <c r="E79" s="546" t="s">
        <v>242</v>
      </c>
      <c r="F79" s="547">
        <f>_xlfn.XLOOKUP($C79,'Financial Data'!$A$15:$A$32,'Financial Data'!$Q$15:$Q$32)</f>
        <v>0.3</v>
      </c>
      <c r="G79" s="547">
        <f>_xlfn.XLOOKUP($C79,'Financial Data'!$A$15:$A$32,'Financial Data'!$T$15:$T$32)</f>
        <v>124739.5</v>
      </c>
      <c r="H79" s="74"/>
      <c r="I79" s="74"/>
      <c r="J79" s="74"/>
      <c r="K79" s="74"/>
      <c r="L79" s="547">
        <f>_xlfn.XLOOKUP($C79,'Financial Data'!$A$15:$A$32,'Financial Data'!$D$15:$D$32)</f>
        <v>119020.6</v>
      </c>
      <c r="M79" s="548">
        <f t="shared" si="6"/>
        <v>1.0480496653520484</v>
      </c>
      <c r="N79" s="549">
        <f>_xlfn.XLOOKUP($C79,'Financial Data'!$A$15:$A$32,'Financial Data'!$V$15:$V$32)</f>
        <v>0.14949999999999999</v>
      </c>
      <c r="O79" s="550">
        <f t="shared" si="7"/>
        <v>0.15861549899474892</v>
      </c>
    </row>
    <row r="80" spans="3:15" s="149" customFormat="1">
      <c r="C80" s="545" t="str">
        <f>'Financial Data'!A16</f>
        <v>United Overseas Bank Limited (SGX:U11)</v>
      </c>
      <c r="D80" s="546" t="s">
        <v>231</v>
      </c>
      <c r="E80" s="546" t="s">
        <v>243</v>
      </c>
      <c r="F80" s="547">
        <f>_xlfn.XLOOKUP($C80,'Financial Data'!$A$15:$A$32,'Financial Data'!$Q$15:$Q$32)</f>
        <v>0.41</v>
      </c>
      <c r="G80" s="547">
        <f>_xlfn.XLOOKUP($C80,'Financial Data'!$A$15:$A$32,'Financial Data'!$T$15:$T$32)</f>
        <v>41866.1</v>
      </c>
      <c r="H80" s="74"/>
      <c r="I80" s="74"/>
      <c r="J80" s="74"/>
      <c r="K80" s="74"/>
      <c r="L80" s="547">
        <f>_xlfn.XLOOKUP($C80,'Financial Data'!$A$15:$A$32,'Financial Data'!$D$15:$D$32)</f>
        <v>43988.800000000003</v>
      </c>
      <c r="M80" s="548">
        <f t="shared" si="6"/>
        <v>0.95174453497253841</v>
      </c>
      <c r="N80" s="549">
        <f>_xlfn.XLOOKUP($C80,'Financial Data'!$A$15:$A$32,'Financial Data'!$V$15:$V$32)</f>
        <v>0.15140000000000001</v>
      </c>
      <c r="O80" s="550">
        <f t="shared" si="7"/>
        <v>0.226813767303992</v>
      </c>
    </row>
    <row r="81" spans="3:15" s="149" customFormat="1">
      <c r="C81" s="545" t="str">
        <f>'Financial Data'!A15</f>
        <v>PLDT Inc. (PSE:TEL)</v>
      </c>
      <c r="D81" s="546" t="s">
        <v>244</v>
      </c>
      <c r="E81" s="546" t="s">
        <v>245</v>
      </c>
      <c r="F81" s="547">
        <f>_xlfn.XLOOKUP($C81,'Financial Data'!$A$15:$A$32,'Financial Data'!$Q$15:$Q$32)</f>
        <v>0.48</v>
      </c>
      <c r="G81" s="547">
        <f>_xlfn.XLOOKUP($C81,'Financial Data'!$A$15:$A$32,'Financial Data'!$T$15:$T$32)</f>
        <v>5686.6</v>
      </c>
      <c r="H81" s="74"/>
      <c r="I81" s="74"/>
      <c r="J81" s="74"/>
      <c r="K81" s="74"/>
      <c r="L81" s="547">
        <f>_xlfn.XLOOKUP($C81,'Financial Data'!$A$15:$A$32,'Financial Data'!$D$15:$D$32)</f>
        <v>4698.6000000000004</v>
      </c>
      <c r="M81" s="548">
        <f t="shared" si="6"/>
        <v>1.2102754011833312</v>
      </c>
      <c r="N81" s="549">
        <f>_xlfn.XLOOKUP($C81,'Financial Data'!$A$15:$A$32,'Financial Data'!$V$15:$V$32)</f>
        <v>0.2316</v>
      </c>
      <c r="O81" s="550">
        <f t="shared" si="7"/>
        <v>0.24870780514338603</v>
      </c>
    </row>
    <row r="82" spans="3:15" s="149" customFormat="1">
      <c r="C82" s="545" t="str">
        <f>'Financial Data'!A20</f>
        <v>Kasikornbank Public Company Limited (SET:KBANK)</v>
      </c>
      <c r="D82" s="546" t="s">
        <v>239</v>
      </c>
      <c r="E82" s="546" t="s">
        <v>246</v>
      </c>
      <c r="F82" s="547">
        <f>_xlfn.XLOOKUP($C82,'Financial Data'!$A$15:$A$32,'Financial Data'!$Q$15:$Q$32)</f>
        <v>0.23</v>
      </c>
      <c r="G82" s="547">
        <f>_xlfn.XLOOKUP($C82,'Financial Data'!$A$15:$A$32,'Financial Data'!$T$15:$T$32)</f>
        <v>8913.7999999999993</v>
      </c>
      <c r="H82" s="74"/>
      <c r="I82" s="74"/>
      <c r="J82" s="74"/>
      <c r="K82" s="74"/>
      <c r="L82" s="547">
        <f>_xlfn.XLOOKUP($C82,'Financial Data'!$A$15:$A$32,'Financial Data'!$D$15:$D$32)</f>
        <v>14113.3</v>
      </c>
      <c r="M82" s="548">
        <f t="shared" si="6"/>
        <v>0.63158864333642728</v>
      </c>
      <c r="N82" s="549">
        <f>_xlfn.XLOOKUP($C82,'Financial Data'!$A$15:$A$32,'Financial Data'!$V$15:$V$32)</f>
        <v>0.19900000000000001</v>
      </c>
      <c r="O82" s="550">
        <f t="shared" si="7"/>
        <v>0.15273233127249439</v>
      </c>
    </row>
    <row r="83" spans="3:15" s="149" customFormat="1">
      <c r="C83" s="551" t="s">
        <v>235</v>
      </c>
      <c r="D83" s="551"/>
      <c r="E83" s="552"/>
      <c r="F83" s="553">
        <f>AVERAGE(F76:F82)</f>
        <v>0.70285714285714285</v>
      </c>
      <c r="G83" s="553"/>
      <c r="H83" s="554"/>
      <c r="I83" s="555"/>
      <c r="J83" s="554"/>
      <c r="K83" s="555"/>
      <c r="L83" s="556"/>
      <c r="M83" s="557">
        <f>AVERAGE(M76:M82)</f>
        <v>0.56836841005091754</v>
      </c>
      <c r="N83" s="558"/>
      <c r="O83" s="553">
        <f>AVERAGE(O76:O82)</f>
        <v>0.59858503794498563</v>
      </c>
    </row>
    <row r="84" spans="3:15" s="149" customFormat="1">
      <c r="C84" s="504" t="s">
        <v>236</v>
      </c>
      <c r="D84" s="504"/>
      <c r="E84" s="505"/>
      <c r="F84" s="559">
        <f>MEDIAN(F76:F82)</f>
        <v>0.46</v>
      </c>
      <c r="G84" s="559"/>
      <c r="H84" s="560"/>
      <c r="I84" s="561"/>
      <c r="J84" s="560"/>
      <c r="K84" s="561"/>
      <c r="L84" s="562"/>
      <c r="M84" s="563">
        <f>MEDIAN(M76:M82)</f>
        <v>0.63158864333642728</v>
      </c>
      <c r="N84" s="564"/>
      <c r="O84" s="559">
        <f>MEDIAN(O76:O82)</f>
        <v>0.24870780514338603</v>
      </c>
    </row>
    <row r="85" spans="3:15" s="149" customFormat="1">
      <c r="C85" s="508"/>
      <c r="D85" s="508"/>
      <c r="E85" s="508"/>
      <c r="F85" s="565"/>
      <c r="G85" s="565"/>
      <c r="H85" s="566"/>
      <c r="I85" s="567"/>
      <c r="J85" s="566"/>
      <c r="K85" s="567"/>
      <c r="L85" s="566"/>
      <c r="M85" s="567"/>
      <c r="N85" s="568"/>
      <c r="O85" s="569"/>
    </row>
    <row r="86" spans="3:15" s="149" customFormat="1">
      <c r="C86" s="602" t="str">
        <f>'Financial Data'!A32</f>
        <v>Grab Holdings Limited (NasdaqGS:GRAB)</v>
      </c>
      <c r="D86" s="570" t="s">
        <v>231</v>
      </c>
      <c r="E86" s="570" t="s">
        <v>247</v>
      </c>
      <c r="F86" s="604">
        <f>_xlfn.XLOOKUP($C86,'Financial Data'!$A$15:$A$32,'Financial Data'!$Q$15:$Q$32)</f>
        <v>0.89</v>
      </c>
      <c r="G86" s="604">
        <f>_xlfn.XLOOKUP($C86,'Financial Data'!$A$15:$A$32,'Financial Data'!$T$15:$T$32)</f>
        <v>364</v>
      </c>
      <c r="H86" s="572">
        <f>E40</f>
        <v>0.14884</v>
      </c>
      <c r="I86" s="573">
        <v>2</v>
      </c>
      <c r="J86" s="571">
        <f>'3FS'!H33</f>
        <v>-106</v>
      </c>
      <c r="K86" s="571">
        <f>PV(H86,I86,J86,-G86)</f>
        <v>448.37254792268988</v>
      </c>
      <c r="L86" s="604">
        <f>_xlfn.XLOOKUP($C86,'Financial Data'!$A$15:$A$32,'Financial Data'!$D$15:$D$32)</f>
        <v>21497.599999999999</v>
      </c>
      <c r="M86" s="574">
        <f>K86/L86</f>
        <v>2.0856865320905121E-2</v>
      </c>
      <c r="N86" s="575">
        <f>E15</f>
        <v>0.2149890954594208</v>
      </c>
      <c r="O86" s="576">
        <f t="shared" ref="O86" si="8">F86/(1+M86*(1-N86))</f>
        <v>0.87566288824658012</v>
      </c>
    </row>
    <row r="87" spans="3:15" s="149" customFormat="1">
      <c r="C87" s="577"/>
      <c r="D87" s="577"/>
      <c r="E87" s="577"/>
      <c r="F87" s="578"/>
      <c r="G87" s="577"/>
      <c r="H87" s="579"/>
      <c r="I87" s="580"/>
      <c r="J87" s="579"/>
      <c r="K87" s="580"/>
      <c r="L87" s="579"/>
      <c r="M87" s="580"/>
      <c r="N87" s="581"/>
      <c r="O87" s="582"/>
    </row>
    <row r="88" spans="3:15" s="149" customFormat="1">
      <c r="C88" s="498" t="s">
        <v>248</v>
      </c>
      <c r="D88" s="499"/>
      <c r="E88" s="499"/>
      <c r="F88" s="499"/>
      <c r="G88" s="499"/>
      <c r="H88" s="499"/>
      <c r="I88" s="499"/>
      <c r="J88" s="499"/>
      <c r="K88" s="499"/>
      <c r="L88" s="499"/>
      <c r="M88" s="499"/>
      <c r="N88" s="499"/>
      <c r="O88" s="499"/>
    </row>
    <row r="89" spans="3:15" s="149" customFormat="1">
      <c r="C89" s="577"/>
      <c r="D89" s="605"/>
      <c r="E89" s="605"/>
      <c r="F89" s="607"/>
      <c r="G89" s="605"/>
      <c r="H89" s="608"/>
      <c r="I89" s="609"/>
      <c r="J89" s="608"/>
      <c r="K89" s="609"/>
      <c r="L89" s="612" t="s">
        <v>249</v>
      </c>
      <c r="M89" s="613" t="s">
        <v>250</v>
      </c>
      <c r="N89" s="614" t="s">
        <v>251</v>
      </c>
      <c r="O89" s="614" t="s">
        <v>252</v>
      </c>
    </row>
    <row r="90" spans="3:15" s="149" customFormat="1">
      <c r="C90" s="606" t="s">
        <v>47</v>
      </c>
      <c r="D90" s="605"/>
      <c r="E90" s="605"/>
      <c r="F90" s="607"/>
      <c r="G90" s="605"/>
      <c r="H90" s="608"/>
      <c r="I90" s="609"/>
      <c r="J90" s="608"/>
      <c r="K90" s="609"/>
      <c r="L90" s="550">
        <f>O63</f>
        <v>0.99429098064612553</v>
      </c>
      <c r="M90" s="547">
        <f>'3FS'!H8</f>
        <v>1493</v>
      </c>
      <c r="N90" s="615">
        <f>M90/SUM($M$90:$M$92)</f>
        <v>0.5345506623702112</v>
      </c>
      <c r="O90" s="615">
        <f>M63</f>
        <v>7.1193758893086698E-2</v>
      </c>
    </row>
    <row r="91" spans="3:15" s="149" customFormat="1">
      <c r="C91" s="606" t="s">
        <v>49</v>
      </c>
      <c r="D91" s="605"/>
      <c r="E91" s="605"/>
      <c r="F91" s="607"/>
      <c r="G91" s="605"/>
      <c r="H91" s="608"/>
      <c r="I91" s="609"/>
      <c r="J91" s="608"/>
      <c r="K91" s="609"/>
      <c r="L91" s="550">
        <f>O72</f>
        <v>0.17488045909104863</v>
      </c>
      <c r="M91" s="547">
        <f>'3FS'!H9</f>
        <v>1047</v>
      </c>
      <c r="N91" s="615">
        <f t="shared" ref="N91:N92" si="9">M91/SUM($M$90:$M$92)</f>
        <v>0.37486573576799143</v>
      </c>
      <c r="O91" s="615">
        <f>M72</f>
        <v>0.37444681569793803</v>
      </c>
    </row>
    <row r="92" spans="3:15" s="149" customFormat="1">
      <c r="C92" s="606" t="s">
        <v>50</v>
      </c>
      <c r="D92" s="605"/>
      <c r="E92" s="605"/>
      <c r="F92" s="607"/>
      <c r="G92" s="605"/>
      <c r="H92" s="608"/>
      <c r="I92" s="609"/>
      <c r="J92" s="608"/>
      <c r="K92" s="609"/>
      <c r="L92" s="550">
        <f>O84</f>
        <v>0.24870780514338603</v>
      </c>
      <c r="M92" s="547">
        <f>'3FS'!H10</f>
        <v>253</v>
      </c>
      <c r="N92" s="615">
        <f t="shared" si="9"/>
        <v>9.0583601861797355E-2</v>
      </c>
      <c r="O92" s="615">
        <f>M84</f>
        <v>0.63158864333642728</v>
      </c>
    </row>
    <row r="93" spans="3:15" s="149" customFormat="1">
      <c r="C93" s="606"/>
      <c r="D93" s="605"/>
      <c r="E93" s="605"/>
      <c r="F93" s="607"/>
      <c r="G93" s="605"/>
      <c r="H93" s="608"/>
      <c r="I93" s="609"/>
      <c r="J93" s="608"/>
      <c r="K93" s="609"/>
      <c r="L93" s="608"/>
      <c r="M93" s="609"/>
      <c r="N93" s="610"/>
      <c r="O93" s="611"/>
    </row>
    <row r="94" spans="3:15" s="149" customFormat="1">
      <c r="C94" s="504"/>
      <c r="D94" s="504"/>
      <c r="E94" s="505"/>
      <c r="F94" s="505"/>
      <c r="G94" s="505"/>
      <c r="H94" s="505"/>
      <c r="I94" s="505"/>
      <c r="J94" s="505"/>
      <c r="K94" s="506" t="s">
        <v>173</v>
      </c>
      <c r="L94" s="506" t="s">
        <v>221</v>
      </c>
      <c r="M94" s="506" t="s">
        <v>171</v>
      </c>
      <c r="N94" s="506"/>
      <c r="O94" s="506" t="s">
        <v>213</v>
      </c>
    </row>
    <row r="95" spans="3:15" s="149" customFormat="1">
      <c r="C95" s="504" t="s">
        <v>174</v>
      </c>
      <c r="D95" s="504"/>
      <c r="E95" s="505"/>
      <c r="F95" s="505"/>
      <c r="G95" s="505"/>
      <c r="H95" s="505"/>
      <c r="I95" s="505"/>
      <c r="J95" s="505"/>
      <c r="K95" s="506" t="s">
        <v>181</v>
      </c>
      <c r="L95" s="506" t="s">
        <v>205</v>
      </c>
      <c r="M95" s="506" t="s">
        <v>175</v>
      </c>
      <c r="N95" s="506" t="s">
        <v>169</v>
      </c>
      <c r="O95" s="506" t="s">
        <v>205</v>
      </c>
    </row>
    <row r="96" spans="3:15" s="149" customFormat="1">
      <c r="C96" s="507" t="s">
        <v>182</v>
      </c>
      <c r="D96" s="508"/>
      <c r="E96" s="496"/>
      <c r="F96" s="509"/>
      <c r="K96" s="583">
        <v>0.5</v>
      </c>
      <c r="L96" s="550">
        <f>SUMPRODUCT($L$90:$L$92,$N$90:$N$92)</f>
        <v>0.61958444306275329</v>
      </c>
      <c r="M96" s="510">
        <f>M86</f>
        <v>2.0856865320905121E-2</v>
      </c>
      <c r="N96" s="584">
        <f>N86</f>
        <v>0.2149890954594208</v>
      </c>
      <c r="O96" s="585">
        <f>L96*(1+M96*(1-N96))</f>
        <v>0.62972881656550439</v>
      </c>
    </row>
    <row r="97" spans="1:17" s="149" customFormat="1">
      <c r="C97" s="507" t="s">
        <v>183</v>
      </c>
      <c r="D97" s="508"/>
      <c r="E97" s="496"/>
      <c r="F97" s="509"/>
      <c r="K97" s="583">
        <v>0.5</v>
      </c>
      <c r="L97" s="550">
        <f>SUMPRODUCT($L$90:$L$92,$N$90:$N$92)</f>
        <v>0.61958444306275329</v>
      </c>
      <c r="M97" s="510">
        <f>SUMPRODUCT(O90:O92,N90:N92)</f>
        <v>0.2356355262539333</v>
      </c>
      <c r="N97" s="584">
        <f>N86</f>
        <v>0.2149890954594208</v>
      </c>
      <c r="O97" s="585">
        <f>L97*(1+M97*(1-N97))</f>
        <v>0.73419297852859489</v>
      </c>
    </row>
    <row r="98" spans="1:17" s="149" customFormat="1">
      <c r="A98" s="496" t="s">
        <v>57</v>
      </c>
      <c r="C98" s="586" t="s">
        <v>207</v>
      </c>
      <c r="D98" s="587"/>
      <c r="E98" s="587"/>
      <c r="F98" s="587"/>
      <c r="G98" s="587"/>
      <c r="H98" s="587"/>
      <c r="I98" s="587"/>
      <c r="J98" s="587"/>
      <c r="K98" s="588"/>
      <c r="L98" s="588"/>
      <c r="M98" s="588"/>
      <c r="N98" s="588"/>
      <c r="O98" s="589">
        <f>SUMPRODUCT(O96:O97,K96:K97)</f>
        <v>0.68196089754704969</v>
      </c>
    </row>
    <row r="100" spans="1:17" ht="17">
      <c r="A100" s="518">
        <v>5</v>
      </c>
      <c r="B100" s="149"/>
      <c r="C100" s="536" t="s">
        <v>253</v>
      </c>
      <c r="D100" s="536"/>
      <c r="E100" s="536"/>
      <c r="F100" s="536"/>
      <c r="G100" s="536"/>
      <c r="H100" s="536"/>
      <c r="I100" s="536"/>
      <c r="J100" s="536"/>
      <c r="K100" s="536"/>
      <c r="L100" s="536"/>
      <c r="M100" s="536"/>
      <c r="N100" s="536"/>
      <c r="O100" s="536"/>
    </row>
    <row r="102" spans="1:17">
      <c r="C102" s="504"/>
      <c r="D102" s="504"/>
      <c r="E102" s="505"/>
      <c r="F102" s="505"/>
      <c r="G102" s="505"/>
      <c r="H102" s="505"/>
      <c r="I102" s="505"/>
      <c r="J102" s="505"/>
      <c r="K102" s="506"/>
      <c r="L102" s="506"/>
      <c r="M102" s="506" t="s">
        <v>254</v>
      </c>
      <c r="N102" s="506" t="s">
        <v>173</v>
      </c>
      <c r="O102" s="506" t="s">
        <v>255</v>
      </c>
    </row>
    <row r="103" spans="1:17">
      <c r="C103" s="504" t="s">
        <v>223</v>
      </c>
      <c r="D103" s="504"/>
      <c r="E103" s="505"/>
      <c r="F103" s="505"/>
      <c r="G103" s="505"/>
      <c r="H103" s="505"/>
      <c r="I103" s="505"/>
      <c r="J103" s="505"/>
      <c r="K103" s="506"/>
      <c r="L103" s="506"/>
      <c r="M103" s="506" t="s">
        <v>256</v>
      </c>
      <c r="N103" s="506" t="s">
        <v>181</v>
      </c>
      <c r="O103" s="506" t="s">
        <v>181</v>
      </c>
    </row>
    <row r="104" spans="1:17" ht="17">
      <c r="C104" s="38" t="s">
        <v>231</v>
      </c>
      <c r="D104" s="508"/>
      <c r="E104" s="496"/>
      <c r="F104" s="509"/>
      <c r="G104" s="149"/>
      <c r="H104" s="149"/>
      <c r="I104" s="149"/>
      <c r="J104" s="149"/>
      <c r="K104" s="583"/>
      <c r="M104" s="594">
        <f>'Revenue Build'!J29</f>
        <v>578</v>
      </c>
      <c r="N104" s="591">
        <f>M104/SUM($M$104:$M$110)</f>
        <v>0.20664998212370397</v>
      </c>
      <c r="O104" s="595">
        <f>_xlfn.XLOOKUP($C104,Damodaran!$C$10:$C$166,Damodaran!$G$10:$G$166)</f>
        <v>4.2099999999999999E-2</v>
      </c>
      <c r="Q104" s="507"/>
    </row>
    <row r="105" spans="1:17" ht="17">
      <c r="C105" s="38" t="s">
        <v>257</v>
      </c>
      <c r="D105" s="508"/>
      <c r="E105" s="496"/>
      <c r="F105" s="509"/>
      <c r="G105" s="149"/>
      <c r="H105" s="149"/>
      <c r="I105" s="149"/>
      <c r="J105" s="149"/>
      <c r="K105" s="583"/>
      <c r="M105" s="594">
        <f>'Revenue Build'!J30</f>
        <v>816</v>
      </c>
      <c r="N105" s="591">
        <f t="shared" ref="N105:N110" si="10">M105/SUM($M$104:$M$110)</f>
        <v>0.29174115123346445</v>
      </c>
      <c r="O105" s="595">
        <f>_xlfn.XLOOKUP($C105,Damodaran!$C$10:$C$166,Damodaran!$G$10:$G$166)</f>
        <v>5.9799999999999999E-2</v>
      </c>
      <c r="Q105" s="507"/>
    </row>
    <row r="106" spans="1:17" ht="17">
      <c r="C106" s="38" t="s">
        <v>233</v>
      </c>
      <c r="D106" s="508"/>
      <c r="E106" s="496"/>
      <c r="F106" s="509"/>
      <c r="G106" s="149"/>
      <c r="H106" s="149"/>
      <c r="I106" s="149"/>
      <c r="J106" s="149"/>
      <c r="K106" s="583"/>
      <c r="M106" s="594">
        <f>'Revenue Build'!J31</f>
        <v>643</v>
      </c>
      <c r="N106" s="591">
        <f t="shared" si="10"/>
        <v>0.22988916696460493</v>
      </c>
      <c r="O106" s="595">
        <f>_xlfn.XLOOKUP($C106,Damodaran!$C$10:$C$166,Damodaran!$G$10:$G$166)</f>
        <v>7.0300000000000001E-2</v>
      </c>
      <c r="Q106" s="507"/>
    </row>
    <row r="107" spans="1:17" ht="17">
      <c r="C107" s="38" t="s">
        <v>244</v>
      </c>
      <c r="D107" s="508"/>
      <c r="E107" s="496"/>
      <c r="F107" s="509"/>
      <c r="G107" s="149"/>
      <c r="H107" s="149"/>
      <c r="I107" s="149"/>
      <c r="J107" s="149"/>
      <c r="K107" s="583"/>
      <c r="M107" s="594">
        <f>'Revenue Build'!J32</f>
        <v>265</v>
      </c>
      <c r="N107" s="591">
        <f t="shared" si="10"/>
        <v>9.4744368966750092E-2</v>
      </c>
      <c r="O107" s="595">
        <f>_xlfn.XLOOKUP($C107,Damodaran!$C$10:$C$166,Damodaran!$G$10:$G$166)</f>
        <v>7.0300000000000001E-2</v>
      </c>
      <c r="Q107" s="507"/>
    </row>
    <row r="108" spans="1:17" ht="17">
      <c r="C108" s="38" t="s">
        <v>239</v>
      </c>
      <c r="D108" s="508"/>
      <c r="E108" s="496"/>
      <c r="F108" s="509"/>
      <c r="G108" s="149"/>
      <c r="H108" s="149"/>
      <c r="I108" s="149"/>
      <c r="J108" s="149"/>
      <c r="K108" s="583"/>
      <c r="M108" s="594">
        <f>'Revenue Build'!J33</f>
        <v>252</v>
      </c>
      <c r="N108" s="591">
        <f t="shared" si="10"/>
        <v>9.0096531998569901E-2</v>
      </c>
      <c r="O108" s="595">
        <f>_xlfn.XLOOKUP($C108,Damodaran!$C$10:$C$166,Damodaran!$G$10:$G$166)</f>
        <v>6.5699999999999995E-2</v>
      </c>
      <c r="Q108" s="507"/>
    </row>
    <row r="109" spans="1:17" ht="17">
      <c r="C109" s="38" t="s">
        <v>258</v>
      </c>
      <c r="D109" s="508"/>
      <c r="E109" s="496"/>
      <c r="F109" s="509"/>
      <c r="G109" s="149"/>
      <c r="H109" s="149"/>
      <c r="I109" s="149"/>
      <c r="J109" s="149"/>
      <c r="K109" s="583"/>
      <c r="M109" s="594">
        <f>'Revenue Build'!J34</f>
        <v>228</v>
      </c>
      <c r="N109" s="591">
        <f t="shared" si="10"/>
        <v>8.1515909903468006E-2</v>
      </c>
      <c r="O109" s="595">
        <f>_xlfn.XLOOKUP($C109,Damodaran!$C$10:$C$166,Damodaran!$G$10:$G$166)</f>
        <v>8.6599999999999996E-2</v>
      </c>
      <c r="Q109" s="507"/>
    </row>
    <row r="110" spans="1:17" ht="17">
      <c r="C110" s="38" t="s">
        <v>259</v>
      </c>
      <c r="D110" s="508"/>
      <c r="E110" s="496"/>
      <c r="F110" s="509"/>
      <c r="G110" s="149"/>
      <c r="H110" s="149"/>
      <c r="I110" s="149"/>
      <c r="J110" s="149"/>
      <c r="K110" s="583"/>
      <c r="M110" s="594">
        <f>'Revenue Build'!J35</f>
        <v>15</v>
      </c>
      <c r="N110" s="591">
        <f t="shared" si="10"/>
        <v>5.3628888094386842E-3</v>
      </c>
      <c r="O110" s="584">
        <f>AVERAGE(O111:O112)</f>
        <v>0.15679999999999999</v>
      </c>
      <c r="Q110" s="507"/>
    </row>
    <row r="111" spans="1:17" ht="17">
      <c r="C111" s="38" t="s">
        <v>260</v>
      </c>
      <c r="D111" s="508"/>
      <c r="E111" s="496"/>
      <c r="F111" s="509"/>
      <c r="G111" s="149"/>
      <c r="H111" s="149"/>
      <c r="I111" s="149"/>
      <c r="J111" s="149"/>
      <c r="K111" s="583"/>
      <c r="M111" s="74"/>
      <c r="N111" s="74"/>
      <c r="O111" s="595">
        <f>_xlfn.XLOOKUP($C111,Damodaran!$C$10:$C$166,Damodaran!$G$10:$G$166)</f>
        <v>0.1235</v>
      </c>
      <c r="Q111" s="507"/>
    </row>
    <row r="112" spans="1:17" ht="17">
      <c r="C112" s="38" t="s">
        <v>261</v>
      </c>
      <c r="D112" s="508"/>
      <c r="E112" s="496"/>
      <c r="F112" s="509"/>
      <c r="G112" s="149"/>
      <c r="H112" s="149"/>
      <c r="I112" s="149"/>
      <c r="J112" s="149"/>
      <c r="K112" s="583"/>
      <c r="M112" s="74"/>
      <c r="N112" s="74"/>
      <c r="O112" s="595">
        <f>_xlfn.XLOOKUP($C112,Damodaran!$C$10:$C$166,Damodaran!$G$10:$G$166)</f>
        <v>0.19009999999999999</v>
      </c>
      <c r="Q112" s="507"/>
    </row>
    <row r="113" spans="1:17">
      <c r="C113" s="586" t="s">
        <v>253</v>
      </c>
      <c r="D113" s="587"/>
      <c r="E113" s="587"/>
      <c r="F113" s="587"/>
      <c r="G113" s="587"/>
      <c r="H113" s="587"/>
      <c r="I113" s="587"/>
      <c r="J113" s="587"/>
      <c r="K113" s="588"/>
      <c r="L113" s="588"/>
      <c r="M113" s="588"/>
      <c r="N113" s="592"/>
      <c r="O113" s="593">
        <f>SUMPRODUCT(O104:O110,N104:N110)</f>
        <v>6.2787343582409741E-2</v>
      </c>
    </row>
    <row r="115" spans="1:17" ht="17">
      <c r="A115" s="518">
        <v>6</v>
      </c>
      <c r="B115" s="149"/>
      <c r="C115" s="536" t="s">
        <v>210</v>
      </c>
      <c r="D115" s="536"/>
      <c r="E115" s="536"/>
      <c r="F115" s="536"/>
      <c r="G115" s="536"/>
      <c r="H115" s="536"/>
      <c r="I115" s="536"/>
      <c r="J115" s="536"/>
      <c r="K115" s="536"/>
      <c r="L115" s="536"/>
      <c r="M115" s="536"/>
      <c r="N115" s="536"/>
      <c r="O115" s="536"/>
    </row>
    <row r="117" spans="1:17">
      <c r="C117" s="504"/>
      <c r="D117" s="504"/>
      <c r="E117" s="505"/>
      <c r="F117" s="505"/>
      <c r="G117" s="505"/>
      <c r="H117" s="505"/>
      <c r="I117" s="505"/>
      <c r="J117" s="505"/>
      <c r="K117" s="506"/>
      <c r="L117" s="506"/>
      <c r="M117" s="506" t="s">
        <v>254</v>
      </c>
      <c r="N117" s="506" t="s">
        <v>173</v>
      </c>
      <c r="O117" s="506" t="s">
        <v>262</v>
      </c>
    </row>
    <row r="118" spans="1:17">
      <c r="C118" s="504" t="s">
        <v>223</v>
      </c>
      <c r="D118" s="504"/>
      <c r="E118" s="505"/>
      <c r="F118" s="505"/>
      <c r="G118" s="505"/>
      <c r="H118" s="505"/>
      <c r="I118" s="505"/>
      <c r="J118" s="505"/>
      <c r="K118" s="506"/>
      <c r="L118" s="506"/>
      <c r="M118" s="506" t="s">
        <v>256</v>
      </c>
      <c r="N118" s="506" t="s">
        <v>181</v>
      </c>
      <c r="O118" s="506" t="s">
        <v>181</v>
      </c>
    </row>
    <row r="119" spans="1:17" ht="17">
      <c r="C119" s="38" t="s">
        <v>231</v>
      </c>
      <c r="D119" s="508"/>
      <c r="E119" s="496"/>
      <c r="F119" s="509"/>
      <c r="G119" s="149"/>
      <c r="H119" s="149"/>
      <c r="I119" s="149"/>
      <c r="J119" s="149"/>
      <c r="K119" s="583"/>
      <c r="M119" s="594">
        <f>'Revenue Build'!J29</f>
        <v>578</v>
      </c>
      <c r="N119" s="591">
        <f>M119/SUM($M$119:$M$125)</f>
        <v>0.20664998212370397</v>
      </c>
      <c r="O119" s="595">
        <f>_xlfn.XLOOKUP($C119,Damodaran!$C$10:$C$166,Damodaran!$H$10:$H$166)</f>
        <v>0</v>
      </c>
      <c r="Q119" s="507"/>
    </row>
    <row r="120" spans="1:17" ht="17">
      <c r="C120" s="38" t="s">
        <v>257</v>
      </c>
      <c r="D120" s="508"/>
      <c r="E120" s="496"/>
      <c r="F120" s="509"/>
      <c r="G120" s="149"/>
      <c r="H120" s="149"/>
      <c r="I120" s="149"/>
      <c r="J120" s="149"/>
      <c r="K120" s="583"/>
      <c r="M120" s="594">
        <f>'Revenue Build'!J30</f>
        <v>816</v>
      </c>
      <c r="N120" s="591">
        <f t="shared" ref="N120:N125" si="11">M120/SUM($M$119:$M$125)</f>
        <v>0.29174115123346445</v>
      </c>
      <c r="O120" s="595">
        <f>_xlfn.XLOOKUP($C120,Damodaran!$C$10:$C$166,Damodaran!$H$10:$H$166)</f>
        <v>1.77E-2</v>
      </c>
      <c r="Q120" s="507"/>
    </row>
    <row r="121" spans="1:17" ht="17">
      <c r="C121" s="38" t="s">
        <v>233</v>
      </c>
      <c r="D121" s="508"/>
      <c r="E121" s="496"/>
      <c r="F121" s="509"/>
      <c r="G121" s="149"/>
      <c r="H121" s="149"/>
      <c r="I121" s="149"/>
      <c r="J121" s="149"/>
      <c r="K121" s="583"/>
      <c r="M121" s="594">
        <f>'Revenue Build'!J31</f>
        <v>643</v>
      </c>
      <c r="N121" s="591">
        <f t="shared" si="11"/>
        <v>0.22988916696460493</v>
      </c>
      <c r="O121" s="595">
        <f>_xlfn.XLOOKUP($C121,Damodaran!$C$10:$C$166,Damodaran!$H$10:$H$166)</f>
        <v>2.8199999999999999E-2</v>
      </c>
      <c r="Q121" s="507"/>
    </row>
    <row r="122" spans="1:17" ht="17">
      <c r="C122" s="38" t="s">
        <v>244</v>
      </c>
      <c r="D122" s="508"/>
      <c r="E122" s="496"/>
      <c r="F122" s="509"/>
      <c r="G122" s="149"/>
      <c r="H122" s="149"/>
      <c r="I122" s="149"/>
      <c r="J122" s="149"/>
      <c r="K122" s="583"/>
      <c r="M122" s="594">
        <f>'Revenue Build'!J32</f>
        <v>265</v>
      </c>
      <c r="N122" s="591">
        <f t="shared" si="11"/>
        <v>9.4744368966750092E-2</v>
      </c>
      <c r="O122" s="595">
        <f>_xlfn.XLOOKUP($C122,Damodaran!$C$10:$C$166,Damodaran!$H$10:$H$166)</f>
        <v>2.8199999999999999E-2</v>
      </c>
      <c r="Q122" s="507"/>
    </row>
    <row r="123" spans="1:17" ht="17">
      <c r="C123" s="38" t="s">
        <v>239</v>
      </c>
      <c r="D123" s="508"/>
      <c r="E123" s="496"/>
      <c r="F123" s="509"/>
      <c r="G123" s="149"/>
      <c r="H123" s="149"/>
      <c r="I123" s="149"/>
      <c r="J123" s="149"/>
      <c r="K123" s="583"/>
      <c r="M123" s="594">
        <f>'Revenue Build'!J33</f>
        <v>252</v>
      </c>
      <c r="N123" s="591">
        <f t="shared" si="11"/>
        <v>9.0096531998569901E-2</v>
      </c>
      <c r="O123" s="595">
        <f>_xlfn.XLOOKUP($C123,Damodaran!$C$10:$C$166,Damodaran!$H$10:$H$166)</f>
        <v>2.3599999999999999E-2</v>
      </c>
      <c r="Q123" s="507"/>
    </row>
    <row r="124" spans="1:17" ht="17">
      <c r="C124" s="38" t="s">
        <v>258</v>
      </c>
      <c r="D124" s="508"/>
      <c r="E124" s="496"/>
      <c r="F124" s="509"/>
      <c r="G124" s="149"/>
      <c r="H124" s="149"/>
      <c r="I124" s="149"/>
      <c r="J124" s="149"/>
      <c r="K124" s="583"/>
      <c r="M124" s="594">
        <f>'Revenue Build'!J34</f>
        <v>228</v>
      </c>
      <c r="N124" s="591">
        <f t="shared" si="11"/>
        <v>8.1515909903468006E-2</v>
      </c>
      <c r="O124" s="595">
        <f>_xlfn.XLOOKUP($C124,Damodaran!$C$10:$C$166,Damodaran!$H$10:$H$166)</f>
        <v>4.4499999999999998E-2</v>
      </c>
      <c r="Q124" s="507"/>
    </row>
    <row r="125" spans="1:17" ht="17">
      <c r="C125" s="38" t="s">
        <v>259</v>
      </c>
      <c r="D125" s="508"/>
      <c r="E125" s="496"/>
      <c r="F125" s="509"/>
      <c r="G125" s="149"/>
      <c r="H125" s="149"/>
      <c r="I125" s="149"/>
      <c r="J125" s="149"/>
      <c r="K125" s="583"/>
      <c r="M125" s="594">
        <f>'Revenue Build'!J35</f>
        <v>15</v>
      </c>
      <c r="N125" s="591">
        <f t="shared" si="11"/>
        <v>5.3628888094386842E-3</v>
      </c>
      <c r="O125" s="584">
        <f>AVERAGE(O126:O127)</f>
        <v>0.1147</v>
      </c>
      <c r="Q125" s="507"/>
    </row>
    <row r="126" spans="1:17" ht="17">
      <c r="C126" s="38" t="s">
        <v>260</v>
      </c>
      <c r="D126" s="508"/>
      <c r="E126" s="496"/>
      <c r="F126" s="509"/>
      <c r="G126" s="149"/>
      <c r="H126" s="149"/>
      <c r="I126" s="149"/>
      <c r="J126" s="149"/>
      <c r="K126" s="583"/>
      <c r="M126" s="74"/>
      <c r="N126" s="74"/>
      <c r="O126" s="595">
        <f>_xlfn.XLOOKUP($C126,Damodaran!$C$10:$C$166,Damodaran!$H$10:$H$166)</f>
        <v>8.14E-2</v>
      </c>
      <c r="Q126" s="507"/>
    </row>
    <row r="127" spans="1:17" ht="17">
      <c r="C127" s="38" t="s">
        <v>261</v>
      </c>
      <c r="D127" s="508"/>
      <c r="E127" s="496"/>
      <c r="F127" s="509"/>
      <c r="G127" s="149"/>
      <c r="H127" s="149"/>
      <c r="I127" s="149"/>
      <c r="J127" s="149"/>
      <c r="K127" s="583"/>
      <c r="M127" s="74"/>
      <c r="N127" s="74"/>
      <c r="O127" s="595">
        <f>_xlfn.XLOOKUP($C127,Damodaran!$C$10:$C$166,Damodaran!$H$10:$H$166)</f>
        <v>0.14799999999999999</v>
      </c>
      <c r="Q127" s="507"/>
    </row>
    <row r="128" spans="1:17">
      <c r="C128" s="586" t="s">
        <v>210</v>
      </c>
      <c r="D128" s="587"/>
      <c r="E128" s="587"/>
      <c r="F128" s="587"/>
      <c r="G128" s="587"/>
      <c r="H128" s="587"/>
      <c r="I128" s="587"/>
      <c r="J128" s="587"/>
      <c r="K128" s="588"/>
      <c r="L128" s="588"/>
      <c r="M128" s="588"/>
      <c r="N128" s="592"/>
      <c r="O128" s="593">
        <f>SUMPRODUCT(O119:O125,N119:N125)</f>
        <v>2.0687343582409725E-2</v>
      </c>
    </row>
    <row r="130" spans="1:15" ht="17">
      <c r="A130" s="518">
        <v>6</v>
      </c>
      <c r="B130" s="149"/>
      <c r="C130" s="536" t="s">
        <v>169</v>
      </c>
      <c r="D130" s="536"/>
      <c r="E130" s="536"/>
      <c r="F130" s="536"/>
      <c r="G130" s="536"/>
      <c r="H130" s="536"/>
      <c r="I130" s="536"/>
      <c r="J130" s="536"/>
      <c r="K130" s="536"/>
      <c r="L130" s="536"/>
      <c r="M130" s="536"/>
      <c r="N130" s="536"/>
      <c r="O130" s="536"/>
    </row>
    <row r="132" spans="1:15">
      <c r="C132" s="504"/>
      <c r="D132" s="504"/>
      <c r="E132" s="505"/>
      <c r="F132" s="505"/>
      <c r="G132" s="505"/>
      <c r="H132" s="505"/>
      <c r="I132" s="505"/>
      <c r="J132" s="505"/>
      <c r="K132" s="506"/>
      <c r="L132" s="506"/>
      <c r="M132" s="506" t="s">
        <v>254</v>
      </c>
      <c r="N132" s="506" t="s">
        <v>173</v>
      </c>
      <c r="O132" s="506" t="s">
        <v>169</v>
      </c>
    </row>
    <row r="133" spans="1:15">
      <c r="C133" s="504" t="s">
        <v>223</v>
      </c>
      <c r="D133" s="504"/>
      <c r="E133" s="505"/>
      <c r="F133" s="505"/>
      <c r="G133" s="505"/>
      <c r="H133" s="505"/>
      <c r="I133" s="505"/>
      <c r="J133" s="505"/>
      <c r="K133" s="506"/>
      <c r="L133" s="506"/>
      <c r="M133" s="506" t="s">
        <v>256</v>
      </c>
      <c r="N133" s="506" t="s">
        <v>181</v>
      </c>
      <c r="O133" s="506" t="s">
        <v>181</v>
      </c>
    </row>
    <row r="134" spans="1:15" ht="17">
      <c r="C134" s="38" t="s">
        <v>231</v>
      </c>
      <c r="D134" s="508"/>
      <c r="E134" s="496"/>
      <c r="F134" s="509"/>
      <c r="G134" s="149"/>
      <c r="H134" s="149"/>
      <c r="I134" s="149"/>
      <c r="J134" s="149"/>
      <c r="K134" s="583"/>
      <c r="M134" s="594">
        <f>'Revenue Build'!J29</f>
        <v>578</v>
      </c>
      <c r="N134" s="591">
        <f>M134/SUM($M$134:$M$140)</f>
        <v>0.20664998212370397</v>
      </c>
      <c r="O134" s="595">
        <f>_xlfn.XLOOKUP($C134,Damodaran!$C$10:$C$166,Damodaran!$I$10:$I$166)</f>
        <v>0.17</v>
      </c>
    </row>
    <row r="135" spans="1:15" ht="17">
      <c r="C135" s="38" t="s">
        <v>257</v>
      </c>
      <c r="D135" s="508"/>
      <c r="E135" s="496"/>
      <c r="F135" s="509"/>
      <c r="G135" s="149"/>
      <c r="H135" s="149"/>
      <c r="I135" s="149"/>
      <c r="J135" s="149"/>
      <c r="K135" s="583"/>
      <c r="M135" s="594">
        <f>'Revenue Build'!J30</f>
        <v>816</v>
      </c>
      <c r="N135" s="591">
        <f t="shared" ref="N135:N140" si="12">M135/SUM($M$134:$M$140)</f>
        <v>0.29174115123346445</v>
      </c>
      <c r="O135" s="595">
        <f>_xlfn.XLOOKUP($C135,Damodaran!$C$10:$C$166,Damodaran!$I$10:$I$166)</f>
        <v>0.24</v>
      </c>
    </row>
    <row r="136" spans="1:15" ht="17">
      <c r="C136" s="38" t="s">
        <v>233</v>
      </c>
      <c r="D136" s="508"/>
      <c r="E136" s="496"/>
      <c r="F136" s="509"/>
      <c r="G136" s="149"/>
      <c r="H136" s="149"/>
      <c r="I136" s="149"/>
      <c r="J136" s="149"/>
      <c r="K136" s="583"/>
      <c r="M136" s="594">
        <f>'Revenue Build'!J31</f>
        <v>643</v>
      </c>
      <c r="N136" s="591">
        <f t="shared" si="12"/>
        <v>0.22988916696460493</v>
      </c>
      <c r="O136" s="595">
        <f>_xlfn.XLOOKUP($C136,Damodaran!$C$10:$C$166,Damodaran!$I$10:$I$166)</f>
        <v>0.22</v>
      </c>
    </row>
    <row r="137" spans="1:15" ht="17">
      <c r="C137" s="38" t="s">
        <v>244</v>
      </c>
      <c r="D137" s="508"/>
      <c r="E137" s="496"/>
      <c r="F137" s="509"/>
      <c r="G137" s="149"/>
      <c r="H137" s="149"/>
      <c r="I137" s="149"/>
      <c r="J137" s="149"/>
      <c r="K137" s="583"/>
      <c r="M137" s="594">
        <f>'Revenue Build'!J32</f>
        <v>265</v>
      </c>
      <c r="N137" s="591">
        <f t="shared" si="12"/>
        <v>9.4744368966750092E-2</v>
      </c>
      <c r="O137" s="595">
        <f>_xlfn.XLOOKUP($C137,Damodaran!$C$10:$C$166,Damodaran!$I$10:$I$166)</f>
        <v>0.25</v>
      </c>
    </row>
    <row r="138" spans="1:15" ht="17">
      <c r="C138" s="38" t="s">
        <v>239</v>
      </c>
      <c r="D138" s="508"/>
      <c r="E138" s="496"/>
      <c r="F138" s="509"/>
      <c r="G138" s="149"/>
      <c r="H138" s="149"/>
      <c r="I138" s="149"/>
      <c r="J138" s="149"/>
      <c r="K138" s="583"/>
      <c r="M138" s="594">
        <f>'Revenue Build'!J33</f>
        <v>252</v>
      </c>
      <c r="N138" s="591">
        <f t="shared" si="12"/>
        <v>9.0096531998569901E-2</v>
      </c>
      <c r="O138" s="595">
        <f>_xlfn.XLOOKUP($C138,Damodaran!$C$10:$C$166,Damodaran!$I$10:$I$166)</f>
        <v>0.2</v>
      </c>
    </row>
    <row r="139" spans="1:15" ht="17">
      <c r="C139" s="38" t="s">
        <v>258</v>
      </c>
      <c r="D139" s="508"/>
      <c r="E139" s="496"/>
      <c r="F139" s="509"/>
      <c r="G139" s="149"/>
      <c r="H139" s="149"/>
      <c r="I139" s="149"/>
      <c r="J139" s="149"/>
      <c r="K139" s="583"/>
      <c r="M139" s="594">
        <f>'Revenue Build'!J34</f>
        <v>228</v>
      </c>
      <c r="N139" s="591">
        <f t="shared" si="12"/>
        <v>8.1515909903468006E-2</v>
      </c>
      <c r="O139" s="595">
        <f>_xlfn.XLOOKUP($C139,Damodaran!$C$10:$C$166,Damodaran!$I$10:$I$166)</f>
        <v>0.2</v>
      </c>
    </row>
    <row r="140" spans="1:15" ht="17">
      <c r="C140" s="38" t="s">
        <v>259</v>
      </c>
      <c r="D140" s="508"/>
      <c r="E140" s="496"/>
      <c r="F140" s="509"/>
      <c r="G140" s="149"/>
      <c r="H140" s="149"/>
      <c r="I140" s="149"/>
      <c r="J140" s="149"/>
      <c r="K140" s="583"/>
      <c r="M140" s="594">
        <f>'Revenue Build'!J35</f>
        <v>15</v>
      </c>
      <c r="N140" s="591">
        <f t="shared" si="12"/>
        <v>5.3628888094386842E-3</v>
      </c>
      <c r="O140" s="584">
        <f>AVERAGE(O141:O142)</f>
        <v>0.23430000000000001</v>
      </c>
    </row>
    <row r="141" spans="1:15" ht="17">
      <c r="C141" s="38" t="s">
        <v>260</v>
      </c>
      <c r="D141" s="508"/>
      <c r="E141" s="496"/>
      <c r="F141" s="509"/>
      <c r="G141" s="149"/>
      <c r="H141" s="149"/>
      <c r="I141" s="149"/>
      <c r="J141" s="149"/>
      <c r="K141" s="583"/>
      <c r="M141" s="74"/>
      <c r="N141" s="74"/>
      <c r="O141" s="595">
        <f>_xlfn.XLOOKUP($C141,Damodaran!$C$10:$C$166,Damodaran!$I$10:$I$166)</f>
        <v>0.2</v>
      </c>
    </row>
    <row r="142" spans="1:15" ht="17">
      <c r="C142" s="38" t="s">
        <v>261</v>
      </c>
      <c r="D142" s="508"/>
      <c r="E142" s="496"/>
      <c r="F142" s="509"/>
      <c r="G142" s="149"/>
      <c r="H142" s="149"/>
      <c r="I142" s="149"/>
      <c r="J142" s="149"/>
      <c r="K142" s="583"/>
      <c r="M142" s="74"/>
      <c r="N142" s="74"/>
      <c r="O142" s="595">
        <f>_xlfn.XLOOKUP($C142,Damodaran!$C$10:$C$166,Damodaran!$I$10:$I$166)</f>
        <v>0.26860000000000001</v>
      </c>
    </row>
    <row r="143" spans="1:15">
      <c r="C143" s="586" t="s">
        <v>263</v>
      </c>
      <c r="D143" s="587"/>
      <c r="E143" s="587"/>
      <c r="F143" s="587"/>
      <c r="G143" s="587"/>
      <c r="H143" s="587"/>
      <c r="I143" s="587"/>
      <c r="J143" s="587"/>
      <c r="K143" s="588"/>
      <c r="L143" s="588"/>
      <c r="M143" s="588"/>
      <c r="N143" s="592"/>
      <c r="O143" s="593">
        <f>SUMPRODUCT(O134:O140,N134:N140)</f>
        <v>0.2149890954594208</v>
      </c>
    </row>
  </sheetData>
  <dataValidations disablePrompts="1" count="1">
    <dataValidation type="list" allowBlank="1" showInputMessage="1" showErrorMessage="1" sqref="D4:D5" xr:uid="{CED0692F-9334-44FD-BD47-12CB2924D59D}">
      <formula1>"Bear Case, Base Case, Bull Case"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98BD4-AB09-40CF-85F8-9E970DC37111}">
  <dimension ref="A1:O1027"/>
  <sheetViews>
    <sheetView showGridLines="0" topLeftCell="A123" zoomScale="55" zoomScaleNormal="55" workbookViewId="0">
      <selection activeCell="B123" sqref="B123"/>
    </sheetView>
  </sheetViews>
  <sheetFormatPr baseColWidth="10" defaultColWidth="8.5" defaultRowHeight="16"/>
  <cols>
    <col min="1" max="1" width="8.5" style="149"/>
    <col min="2" max="2" width="94.83203125" style="149" customWidth="1"/>
    <col min="3" max="13" width="15.5" style="149" customWidth="1"/>
    <col min="14" max="16384" width="8.5" style="149"/>
  </cols>
  <sheetData>
    <row r="1" spans="1:15" s="397" customFormat="1" ht="35">
      <c r="B1" s="287" t="str">
        <f>Cover!$C$7&amp;" ("&amp;Cover!$C$8&amp;": "&amp;Cover!$C$9&amp;")"</f>
        <v>Grab Holdings Limited (NASDAQ: GRAB)</v>
      </c>
      <c r="C1" s="39"/>
      <c r="D1" s="39"/>
      <c r="E1" s="39"/>
      <c r="F1" s="39"/>
      <c r="G1" s="39"/>
      <c r="H1" s="39"/>
      <c r="I1" s="39"/>
      <c r="J1" s="39"/>
      <c r="K1" s="39"/>
      <c r="L1" s="39"/>
      <c r="M1" s="39"/>
    </row>
    <row r="2" spans="1:15" s="397" customFormat="1">
      <c r="B2" s="39"/>
      <c r="C2" s="39"/>
      <c r="D2" s="39"/>
      <c r="E2" s="39"/>
      <c r="F2" s="39"/>
      <c r="G2" s="39"/>
      <c r="H2" s="39"/>
      <c r="I2" s="39"/>
      <c r="J2" s="39"/>
      <c r="K2" s="39"/>
      <c r="L2" s="39"/>
      <c r="M2" s="39"/>
    </row>
    <row r="3" spans="1:15" s="397" customFormat="1">
      <c r="B3" s="391" t="s">
        <v>264</v>
      </c>
      <c r="C3" s="652">
        <f ca="1">Cover!$C$18</f>
        <v>7.2080318777471293</v>
      </c>
      <c r="D3" s="48"/>
      <c r="E3" s="48"/>
      <c r="F3" s="48"/>
      <c r="G3" s="48"/>
      <c r="H3" s="48"/>
      <c r="I3" s="48"/>
      <c r="J3" s="48"/>
      <c r="K3" s="48"/>
      <c r="L3" s="48"/>
      <c r="M3" s="48"/>
    </row>
    <row r="4" spans="1:15" s="397" customFormat="1">
      <c r="B4" s="392" t="s">
        <v>265</v>
      </c>
      <c r="C4" s="393" t="str">
        <f>[1]Cover!D11</f>
        <v>Base Case</v>
      </c>
      <c r="D4" s="47"/>
      <c r="E4" s="47"/>
      <c r="F4" s="48"/>
      <c r="G4" s="48"/>
      <c r="H4" s="48"/>
      <c r="I4" s="48"/>
      <c r="J4" s="48"/>
      <c r="K4" s="48"/>
      <c r="L4" s="48"/>
      <c r="M4" s="48"/>
    </row>
    <row r="5" spans="1:15" s="397" customFormat="1" ht="19">
      <c r="B5" s="47"/>
      <c r="C5" s="48"/>
      <c r="D5" s="48"/>
      <c r="E5" s="49" t="s">
        <v>266</v>
      </c>
      <c r="F5" s="49"/>
      <c r="G5" s="49"/>
      <c r="H5" s="49" t="s">
        <v>267</v>
      </c>
      <c r="I5" s="49"/>
      <c r="J5" s="49"/>
      <c r="K5" s="49" t="s">
        <v>268</v>
      </c>
      <c r="L5" s="49"/>
      <c r="M5" s="49"/>
    </row>
    <row r="6" spans="1:15" s="397" customFormat="1">
      <c r="B6" s="50"/>
      <c r="C6" s="51"/>
      <c r="D6" s="51"/>
      <c r="E6" s="394" t="s">
        <v>269</v>
      </c>
      <c r="F6" s="395">
        <v>1</v>
      </c>
      <c r="G6" s="395">
        <v>2</v>
      </c>
      <c r="H6" s="396" t="s">
        <v>269</v>
      </c>
      <c r="I6" s="395">
        <v>1</v>
      </c>
      <c r="J6" s="395">
        <v>2</v>
      </c>
      <c r="K6" s="396" t="s">
        <v>269</v>
      </c>
      <c r="L6" s="395">
        <v>1</v>
      </c>
      <c r="M6" s="395">
        <v>2</v>
      </c>
      <c r="O6" s="185" t="s">
        <v>270</v>
      </c>
    </row>
    <row r="8" spans="1:15">
      <c r="A8" s="149" t="s">
        <v>57</v>
      </c>
      <c r="B8" s="410" t="s">
        <v>49</v>
      </c>
      <c r="C8" s="398"/>
      <c r="D8" s="398"/>
      <c r="E8" s="398"/>
      <c r="F8" s="398"/>
      <c r="G8" s="398"/>
      <c r="H8" s="398"/>
      <c r="I8" s="398"/>
      <c r="J8" s="398"/>
      <c r="K8" s="398"/>
      <c r="L8" s="398"/>
      <c r="M8" s="398"/>
      <c r="O8" s="149" t="s">
        <v>271</v>
      </c>
    </row>
    <row r="9" spans="1:15">
      <c r="O9" s="149" t="s">
        <v>272</v>
      </c>
    </row>
    <row r="10" spans="1:15">
      <c r="B10" s="411" t="s">
        <v>231</v>
      </c>
      <c r="C10" s="409"/>
      <c r="D10" s="409"/>
      <c r="E10" s="409"/>
      <c r="F10" s="409"/>
      <c r="G10" s="409"/>
      <c r="H10" s="409"/>
      <c r="I10" s="409"/>
      <c r="J10" s="409"/>
      <c r="K10" s="409"/>
      <c r="L10" s="409"/>
      <c r="M10" s="409"/>
    </row>
    <row r="11" spans="1:15" s="413" customFormat="1">
      <c r="B11" s="413" t="str">
        <f>'Raw Trading Comps'!A29</f>
        <v>PT GoTo Gojek Tokopedia Tbk (IDX:GOTO)</v>
      </c>
      <c r="E11" s="55">
        <v>0</v>
      </c>
      <c r="F11" s="413">
        <f>_xlfn.XLOOKUP($B11,'Raw Trading Comps'!$A$15:$A$32,'Raw Trading Comps'!H$15:H$32)</f>
        <v>41.57</v>
      </c>
      <c r="G11" s="413">
        <f>_xlfn.XLOOKUP($B11,'Raw Trading Comps'!$A$15:$A$32,'Raw Trading Comps'!I$15:I$32)</f>
        <v>21.65</v>
      </c>
      <c r="H11" s="413">
        <f>_xlfn.XLOOKUP($B11,'Raw Trading Comps'!$A$15:$A$32,'Raw Trading Comps'!J$15:J$32)</f>
        <v>2.9</v>
      </c>
      <c r="I11" s="413">
        <f>_xlfn.XLOOKUP($B11,'Raw Trading Comps'!$A$15:$A$32,'Raw Trading Comps'!K$15:K$32)</f>
        <v>2.8</v>
      </c>
      <c r="J11" s="413">
        <f>_xlfn.XLOOKUP($B11,'Raw Trading Comps'!$A$15:$A$32,'Raw Trading Comps'!L$15:L$32)</f>
        <v>2.4300000000000002</v>
      </c>
      <c r="K11" s="55">
        <v>0</v>
      </c>
      <c r="L11" s="55">
        <v>0</v>
      </c>
      <c r="M11" s="413">
        <f>_xlfn.XLOOKUP($B11,'Raw Trading Comps'!$A$15:$A$32,'Raw Trading Comps'!O$15:O$32)</f>
        <v>86.32</v>
      </c>
    </row>
    <row r="12" spans="1:15" s="413" customFormat="1">
      <c r="B12" s="413" t="str">
        <f>'Raw Trading Comps'!A23</f>
        <v>ComfortDelGro Corporation Limited (SGX:C52)</v>
      </c>
      <c r="E12" s="413">
        <f>_xlfn.XLOOKUP($B12,'Raw Trading Comps'!$A$15:$A$32,'Raw Trading Comps'!G$15:G$32)</f>
        <v>6</v>
      </c>
      <c r="F12" s="413">
        <f>_xlfn.XLOOKUP($B12,'Raw Trading Comps'!$A$15:$A$32,'Raw Trading Comps'!H$15:H$32)</f>
        <v>5.51</v>
      </c>
      <c r="G12" s="413">
        <f>_xlfn.XLOOKUP($B12,'Raw Trading Comps'!$A$15:$A$32,'Raw Trading Comps'!I$15:I$32)</f>
        <v>5.32</v>
      </c>
      <c r="H12" s="413">
        <f>_xlfn.XLOOKUP($B12,'Raw Trading Comps'!$A$15:$A$32,'Raw Trading Comps'!J$15:J$32)</f>
        <v>0.9</v>
      </c>
      <c r="I12" s="413">
        <f>_xlfn.XLOOKUP($B12,'Raw Trading Comps'!$A$15:$A$32,'Raw Trading Comps'!K$15:K$32)</f>
        <v>0.87</v>
      </c>
      <c r="J12" s="413">
        <f>_xlfn.XLOOKUP($B12,'Raw Trading Comps'!$A$15:$A$32,'Raw Trading Comps'!L$15:L$32)</f>
        <v>0.85</v>
      </c>
      <c r="K12" s="413">
        <f>_xlfn.XLOOKUP($B12,'Raw Trading Comps'!$A$15:$A$32,'Raw Trading Comps'!M$15:M$32)</f>
        <v>19.899999999999999</v>
      </c>
      <c r="L12" s="413">
        <f>_xlfn.XLOOKUP($B12,'Raw Trading Comps'!$A$15:$A$32,'Raw Trading Comps'!N$15:N$32)</f>
        <v>13.65</v>
      </c>
      <c r="M12" s="413">
        <f>_xlfn.XLOOKUP($B12,'Raw Trading Comps'!$A$15:$A$32,'Raw Trading Comps'!O$15:O$32)</f>
        <v>12.46</v>
      </c>
    </row>
    <row r="13" spans="1:15" s="413" customFormat="1">
      <c r="B13" s="414" t="s">
        <v>235</v>
      </c>
      <c r="C13" s="414"/>
      <c r="D13" s="414"/>
      <c r="E13" s="414">
        <f>AVERAGE(E11:E12)</f>
        <v>3</v>
      </c>
      <c r="F13" s="414">
        <f t="shared" ref="F13:M13" si="0">AVERAGE(F11:F12)</f>
        <v>23.54</v>
      </c>
      <c r="G13" s="414">
        <f t="shared" si="0"/>
        <v>13.484999999999999</v>
      </c>
      <c r="H13" s="414">
        <f t="shared" si="0"/>
        <v>1.9</v>
      </c>
      <c r="I13" s="414">
        <f t="shared" si="0"/>
        <v>1.835</v>
      </c>
      <c r="J13" s="414">
        <f t="shared" si="0"/>
        <v>1.6400000000000001</v>
      </c>
      <c r="K13" s="414">
        <f t="shared" si="0"/>
        <v>9.9499999999999993</v>
      </c>
      <c r="L13" s="414">
        <f t="shared" si="0"/>
        <v>6.8250000000000002</v>
      </c>
      <c r="M13" s="414">
        <f t="shared" si="0"/>
        <v>49.39</v>
      </c>
    </row>
    <row r="14" spans="1:15" s="413" customFormat="1">
      <c r="B14" s="415" t="s">
        <v>273</v>
      </c>
      <c r="C14" s="416"/>
      <c r="D14" s="416"/>
      <c r="E14" s="415">
        <f>MEDIAN(E11:E12)</f>
        <v>3</v>
      </c>
      <c r="F14" s="415">
        <f t="shared" ref="F14:M14" si="1">MEDIAN(F11:F12)</f>
        <v>23.54</v>
      </c>
      <c r="G14" s="415">
        <f t="shared" si="1"/>
        <v>13.484999999999999</v>
      </c>
      <c r="H14" s="415">
        <f t="shared" si="1"/>
        <v>1.9</v>
      </c>
      <c r="I14" s="415">
        <f t="shared" si="1"/>
        <v>1.835</v>
      </c>
      <c r="J14" s="415">
        <f t="shared" si="1"/>
        <v>1.6400000000000001</v>
      </c>
      <c r="K14" s="415">
        <f t="shared" si="1"/>
        <v>9.9499999999999993</v>
      </c>
      <c r="L14" s="415">
        <f t="shared" si="1"/>
        <v>6.8250000000000002</v>
      </c>
      <c r="M14" s="415">
        <f t="shared" si="1"/>
        <v>49.389999999999993</v>
      </c>
    </row>
    <row r="15" spans="1:15" s="413" customFormat="1">
      <c r="B15" s="416" t="s">
        <v>274</v>
      </c>
      <c r="C15" s="416"/>
      <c r="D15" s="416"/>
      <c r="E15" s="416">
        <f>_xlfn.PERCENTILE.INC(E11:E12,0.25)</f>
        <v>1.5</v>
      </c>
      <c r="F15" s="416">
        <f t="shared" ref="F15:M15" si="2">_xlfn.PERCENTILE.INC(F11:F12,0.25)</f>
        <v>14.525</v>
      </c>
      <c r="G15" s="416">
        <f t="shared" si="2"/>
        <v>9.4024999999999999</v>
      </c>
      <c r="H15" s="416">
        <f t="shared" si="2"/>
        <v>1.4</v>
      </c>
      <c r="I15" s="416">
        <f t="shared" si="2"/>
        <v>1.3525</v>
      </c>
      <c r="J15" s="416">
        <f t="shared" si="2"/>
        <v>1.2450000000000001</v>
      </c>
      <c r="K15" s="416">
        <f t="shared" si="2"/>
        <v>4.9749999999999996</v>
      </c>
      <c r="L15" s="416">
        <f t="shared" si="2"/>
        <v>3.4125000000000001</v>
      </c>
      <c r="M15" s="416">
        <f t="shared" si="2"/>
        <v>30.924999999999997</v>
      </c>
    </row>
    <row r="16" spans="1:15" s="413" customFormat="1">
      <c r="B16" s="417" t="s">
        <v>275</v>
      </c>
      <c r="C16" s="417"/>
      <c r="D16" s="417"/>
      <c r="E16" s="417">
        <f>_xlfn.PERCENTILE.INC(E11:E12,0.75)</f>
        <v>4.5</v>
      </c>
      <c r="F16" s="417">
        <f t="shared" ref="F16:M16" si="3">_xlfn.PERCENTILE.INC(F11:F12,0.75)</f>
        <v>32.555</v>
      </c>
      <c r="G16" s="417">
        <f t="shared" si="3"/>
        <v>17.567499999999999</v>
      </c>
      <c r="H16" s="417">
        <f t="shared" si="3"/>
        <v>2.4</v>
      </c>
      <c r="I16" s="417">
        <f t="shared" si="3"/>
        <v>2.3174999999999999</v>
      </c>
      <c r="J16" s="417">
        <f t="shared" si="3"/>
        <v>2.0350000000000001</v>
      </c>
      <c r="K16" s="417">
        <f t="shared" si="3"/>
        <v>14.924999999999999</v>
      </c>
      <c r="L16" s="417">
        <f t="shared" si="3"/>
        <v>10.237500000000001</v>
      </c>
      <c r="M16" s="417">
        <f t="shared" si="3"/>
        <v>67.85499999999999</v>
      </c>
    </row>
    <row r="17" spans="2:13" s="413" customFormat="1"/>
    <row r="18" spans="2:13" s="413" customFormat="1">
      <c r="B18" s="411" t="s">
        <v>257</v>
      </c>
      <c r="C18" s="409"/>
      <c r="D18" s="409"/>
      <c r="E18" s="409"/>
      <c r="F18" s="409"/>
      <c r="G18" s="409"/>
      <c r="H18" s="409"/>
      <c r="I18" s="409"/>
      <c r="J18" s="409"/>
      <c r="K18" s="409"/>
      <c r="L18" s="409"/>
      <c r="M18" s="409"/>
    </row>
    <row r="19" spans="2:13" s="413" customFormat="1">
      <c r="B19" s="413" t="str">
        <f>'Raw Trading Comps'!A29</f>
        <v>PT GoTo Gojek Tokopedia Tbk (IDX:GOTO)</v>
      </c>
      <c r="E19" s="55">
        <v>0</v>
      </c>
      <c r="F19" s="413">
        <f>_xlfn.XLOOKUP($B19,'Raw Trading Comps'!$A$15:$A$32,'Raw Trading Comps'!H$15:H$32)</f>
        <v>41.57</v>
      </c>
      <c r="G19" s="413">
        <f>_xlfn.XLOOKUP($B19,'Raw Trading Comps'!$A$15:$A$32,'Raw Trading Comps'!I$15:I$32)</f>
        <v>21.65</v>
      </c>
      <c r="H19" s="413">
        <f>_xlfn.XLOOKUP($B19,'Raw Trading Comps'!$A$15:$A$32,'Raw Trading Comps'!J$15:J$32)</f>
        <v>2.9</v>
      </c>
      <c r="I19" s="413">
        <f>_xlfn.XLOOKUP($B19,'Raw Trading Comps'!$A$15:$A$32,'Raw Trading Comps'!K$15:K$32)</f>
        <v>2.8</v>
      </c>
      <c r="J19" s="413">
        <f>_xlfn.XLOOKUP($B19,'Raw Trading Comps'!$A$15:$A$32,'Raw Trading Comps'!L$15:L$32)</f>
        <v>2.4300000000000002</v>
      </c>
      <c r="K19" s="55">
        <v>0</v>
      </c>
      <c r="L19" s="55">
        <v>0</v>
      </c>
      <c r="M19" s="413">
        <f>_xlfn.XLOOKUP($B19,'Raw Trading Comps'!$A$15:$A$32,'Raw Trading Comps'!O$15:O$32)</f>
        <v>86.32</v>
      </c>
    </row>
    <row r="20" spans="2:13" s="413" customFormat="1">
      <c r="B20" s="414" t="s">
        <v>235</v>
      </c>
      <c r="C20" s="414"/>
      <c r="D20" s="414"/>
      <c r="E20" s="414">
        <f t="shared" ref="E20:M20" si="4">AVERAGE(E19:E19)</f>
        <v>0</v>
      </c>
      <c r="F20" s="414">
        <f t="shared" si="4"/>
        <v>41.57</v>
      </c>
      <c r="G20" s="414">
        <f t="shared" si="4"/>
        <v>21.65</v>
      </c>
      <c r="H20" s="414">
        <f t="shared" si="4"/>
        <v>2.9</v>
      </c>
      <c r="I20" s="414">
        <f t="shared" si="4"/>
        <v>2.8</v>
      </c>
      <c r="J20" s="414">
        <f t="shared" si="4"/>
        <v>2.4300000000000002</v>
      </c>
      <c r="K20" s="414">
        <f t="shared" si="4"/>
        <v>0</v>
      </c>
      <c r="L20" s="414">
        <f t="shared" si="4"/>
        <v>0</v>
      </c>
      <c r="M20" s="414">
        <f t="shared" si="4"/>
        <v>86.32</v>
      </c>
    </row>
    <row r="21" spans="2:13" s="413" customFormat="1">
      <c r="B21" s="415" t="s">
        <v>273</v>
      </c>
      <c r="C21" s="416"/>
      <c r="D21" s="416"/>
      <c r="E21" s="415">
        <f t="shared" ref="E21:M21" si="5">MEDIAN(E19:E19)</f>
        <v>0</v>
      </c>
      <c r="F21" s="415">
        <f t="shared" si="5"/>
        <v>41.57</v>
      </c>
      <c r="G21" s="415">
        <f t="shared" si="5"/>
        <v>21.65</v>
      </c>
      <c r="H21" s="415">
        <f t="shared" si="5"/>
        <v>2.9</v>
      </c>
      <c r="I21" s="415">
        <f t="shared" si="5"/>
        <v>2.8</v>
      </c>
      <c r="J21" s="415">
        <f t="shared" si="5"/>
        <v>2.4300000000000002</v>
      </c>
      <c r="K21" s="415">
        <f t="shared" si="5"/>
        <v>0</v>
      </c>
      <c r="L21" s="415">
        <f t="shared" si="5"/>
        <v>0</v>
      </c>
      <c r="M21" s="415">
        <f t="shared" si="5"/>
        <v>86.32</v>
      </c>
    </row>
    <row r="22" spans="2:13" s="413" customFormat="1">
      <c r="B22" s="416" t="s">
        <v>274</v>
      </c>
      <c r="C22" s="416"/>
      <c r="D22" s="416"/>
      <c r="E22" s="416">
        <f t="shared" ref="E22:M22" si="6">_xlfn.PERCENTILE.INC(E19:E19,0.25)</f>
        <v>0</v>
      </c>
      <c r="F22" s="416">
        <f t="shared" si="6"/>
        <v>41.57</v>
      </c>
      <c r="G22" s="416">
        <f t="shared" si="6"/>
        <v>21.65</v>
      </c>
      <c r="H22" s="416">
        <f t="shared" si="6"/>
        <v>2.9</v>
      </c>
      <c r="I22" s="416">
        <f t="shared" si="6"/>
        <v>2.8</v>
      </c>
      <c r="J22" s="416">
        <f t="shared" si="6"/>
        <v>2.4300000000000002</v>
      </c>
      <c r="K22" s="416">
        <f t="shared" si="6"/>
        <v>0</v>
      </c>
      <c r="L22" s="416">
        <f t="shared" si="6"/>
        <v>0</v>
      </c>
      <c r="M22" s="416">
        <f t="shared" si="6"/>
        <v>86.32</v>
      </c>
    </row>
    <row r="23" spans="2:13" s="413" customFormat="1">
      <c r="B23" s="417" t="s">
        <v>275</v>
      </c>
      <c r="C23" s="417"/>
      <c r="D23" s="417"/>
      <c r="E23" s="417">
        <f t="shared" ref="E23:M23" si="7">_xlfn.PERCENTILE.INC(E19:E19,0.75)</f>
        <v>0</v>
      </c>
      <c r="F23" s="417">
        <f t="shared" si="7"/>
        <v>41.57</v>
      </c>
      <c r="G23" s="417">
        <f t="shared" si="7"/>
        <v>21.65</v>
      </c>
      <c r="H23" s="417">
        <f t="shared" si="7"/>
        <v>2.9</v>
      </c>
      <c r="I23" s="417">
        <f t="shared" si="7"/>
        <v>2.8</v>
      </c>
      <c r="J23" s="417">
        <f t="shared" si="7"/>
        <v>2.4300000000000002</v>
      </c>
      <c r="K23" s="417">
        <f t="shared" si="7"/>
        <v>0</v>
      </c>
      <c r="L23" s="417">
        <f t="shared" si="7"/>
        <v>0</v>
      </c>
      <c r="M23" s="417">
        <f t="shared" si="7"/>
        <v>86.32</v>
      </c>
    </row>
    <row r="24" spans="2:13" s="413" customFormat="1"/>
    <row r="25" spans="2:13" s="413" customFormat="1">
      <c r="B25" s="411" t="s">
        <v>233</v>
      </c>
      <c r="C25" s="409"/>
      <c r="D25" s="409"/>
      <c r="E25" s="409"/>
      <c r="F25" s="409"/>
      <c r="G25" s="409"/>
      <c r="H25" s="409"/>
      <c r="I25" s="409"/>
      <c r="J25" s="409"/>
      <c r="K25" s="409"/>
      <c r="L25" s="409"/>
      <c r="M25" s="409"/>
    </row>
    <row r="26" spans="2:13" s="413" customFormat="1">
      <c r="B26" s="413" t="str">
        <f>'Raw Trading Comps'!A29</f>
        <v>PT GoTo Gojek Tokopedia Tbk (IDX:GOTO)</v>
      </c>
      <c r="E26" s="55">
        <v>0</v>
      </c>
      <c r="F26" s="413">
        <f>_xlfn.XLOOKUP($B26,'Raw Trading Comps'!$A$15:$A$32,'Raw Trading Comps'!H$15:H$32)</f>
        <v>41.57</v>
      </c>
      <c r="G26" s="413">
        <f>_xlfn.XLOOKUP($B26,'Raw Trading Comps'!$A$15:$A$32,'Raw Trading Comps'!I$15:I$32)</f>
        <v>21.65</v>
      </c>
      <c r="H26" s="413">
        <f>_xlfn.XLOOKUP($B26,'Raw Trading Comps'!$A$15:$A$32,'Raw Trading Comps'!J$15:J$32)</f>
        <v>2.9</v>
      </c>
      <c r="I26" s="413">
        <f>_xlfn.XLOOKUP($B26,'Raw Trading Comps'!$A$15:$A$32,'Raw Trading Comps'!K$15:K$32)</f>
        <v>2.8</v>
      </c>
      <c r="J26" s="413">
        <f>_xlfn.XLOOKUP($B26,'Raw Trading Comps'!$A$15:$A$32,'Raw Trading Comps'!L$15:L$32)</f>
        <v>2.4300000000000002</v>
      </c>
      <c r="K26" s="55">
        <v>0</v>
      </c>
      <c r="L26" s="55">
        <v>0</v>
      </c>
      <c r="M26" s="413">
        <f>_xlfn.XLOOKUP($B26,'Raw Trading Comps'!$A$15:$A$32,'Raw Trading Comps'!O$15:O$32)</f>
        <v>86.32</v>
      </c>
    </row>
    <row r="27" spans="2:13" s="413" customFormat="1">
      <c r="B27" s="413" t="str">
        <f>'Raw Trading Comps'!A27</f>
        <v>PT Blue Bird Tbk (IDX:BIRD)</v>
      </c>
      <c r="E27" s="413">
        <f>_xlfn.XLOOKUP($B27,'Raw Trading Comps'!$A$15:$A$32,'Raw Trading Comps'!G$15:G$32)</f>
        <v>4</v>
      </c>
      <c r="F27" s="413">
        <f>_xlfn.XLOOKUP($B27,'Raw Trading Comps'!$A$15:$A$32,'Raw Trading Comps'!H$15:H$32)</f>
        <v>3.91</v>
      </c>
      <c r="G27" s="413">
        <f>_xlfn.XLOOKUP($B27,'Raw Trading Comps'!$A$15:$A$32,'Raw Trading Comps'!I$15:I$32)</f>
        <v>3.44</v>
      </c>
      <c r="H27" s="413">
        <f>_xlfn.XLOOKUP($B27,'Raw Trading Comps'!$A$15:$A$32,'Raw Trading Comps'!J$15:J$32)</f>
        <v>1</v>
      </c>
      <c r="I27" s="413">
        <f>_xlfn.XLOOKUP($B27,'Raw Trading Comps'!$A$15:$A$32,'Raw Trading Comps'!K$15:K$32)</f>
        <v>0.93</v>
      </c>
      <c r="J27" s="413">
        <f>_xlfn.XLOOKUP($B27,'Raw Trading Comps'!$A$15:$A$32,'Raw Trading Comps'!L$15:L$32)</f>
        <v>0.85</v>
      </c>
      <c r="K27" s="413">
        <f>_xlfn.XLOOKUP($B27,'Raw Trading Comps'!$A$15:$A$32,'Raw Trading Comps'!M$15:M$32)</f>
        <v>10.3</v>
      </c>
      <c r="L27" s="413">
        <f>_xlfn.XLOOKUP($B27,'Raw Trading Comps'!$A$15:$A$32,'Raw Trading Comps'!N$15:N$32)</f>
        <v>6.75</v>
      </c>
      <c r="M27" s="413">
        <f>_xlfn.XLOOKUP($B27,'Raw Trading Comps'!$A$15:$A$32,'Raw Trading Comps'!O$15:O$32)</f>
        <v>6.12</v>
      </c>
    </row>
    <row r="28" spans="2:13" s="413" customFormat="1">
      <c r="B28" s="414" t="s">
        <v>235</v>
      </c>
      <c r="C28" s="414"/>
      <c r="D28" s="414"/>
      <c r="E28" s="414">
        <f>AVERAGE(E26:E27)</f>
        <v>2</v>
      </c>
      <c r="F28" s="414">
        <f t="shared" ref="F28" si="8">AVERAGE(F26:F27)</f>
        <v>22.740000000000002</v>
      </c>
      <c r="G28" s="414">
        <f t="shared" ref="G28" si="9">AVERAGE(G26:G27)</f>
        <v>12.545</v>
      </c>
      <c r="H28" s="414">
        <f t="shared" ref="H28" si="10">AVERAGE(H26:H27)</f>
        <v>1.95</v>
      </c>
      <c r="I28" s="414">
        <f t="shared" ref="I28" si="11">AVERAGE(I26:I27)</f>
        <v>1.865</v>
      </c>
      <c r="J28" s="414">
        <f t="shared" ref="J28" si="12">AVERAGE(J26:J27)</f>
        <v>1.6400000000000001</v>
      </c>
      <c r="K28" s="414">
        <f t="shared" ref="K28" si="13">AVERAGE(K26:K27)</f>
        <v>5.15</v>
      </c>
      <c r="L28" s="414">
        <f t="shared" ref="L28" si="14">AVERAGE(L26:L27)</f>
        <v>3.375</v>
      </c>
      <c r="M28" s="414">
        <f t="shared" ref="M28" si="15">AVERAGE(M26:M27)</f>
        <v>46.22</v>
      </c>
    </row>
    <row r="29" spans="2:13" s="413" customFormat="1">
      <c r="B29" s="415" t="s">
        <v>273</v>
      </c>
      <c r="C29" s="416"/>
      <c r="D29" s="416"/>
      <c r="E29" s="415">
        <f>MEDIAN(E26:E27)</f>
        <v>2</v>
      </c>
      <c r="F29" s="415">
        <f t="shared" ref="F29:M29" si="16">MEDIAN(F26:F27)</f>
        <v>22.74</v>
      </c>
      <c r="G29" s="415">
        <f t="shared" si="16"/>
        <v>12.544999999999998</v>
      </c>
      <c r="H29" s="415">
        <f t="shared" si="16"/>
        <v>1.95</v>
      </c>
      <c r="I29" s="415">
        <f t="shared" si="16"/>
        <v>1.8649999999999998</v>
      </c>
      <c r="J29" s="415">
        <f t="shared" si="16"/>
        <v>1.6400000000000001</v>
      </c>
      <c r="K29" s="415">
        <f t="shared" si="16"/>
        <v>5.15</v>
      </c>
      <c r="L29" s="415">
        <f t="shared" si="16"/>
        <v>3.375</v>
      </c>
      <c r="M29" s="415">
        <f t="shared" si="16"/>
        <v>46.219999999999992</v>
      </c>
    </row>
    <row r="30" spans="2:13" s="413" customFormat="1">
      <c r="B30" s="416" t="s">
        <v>274</v>
      </c>
      <c r="C30" s="416"/>
      <c r="D30" s="416"/>
      <c r="E30" s="416">
        <f>_xlfn.PERCENTILE.INC(E26:E27,0.25)</f>
        <v>1</v>
      </c>
      <c r="F30" s="416">
        <f t="shared" ref="F30:M30" si="17">_xlfn.PERCENTILE.INC(F26:F27,0.25)</f>
        <v>13.324999999999999</v>
      </c>
      <c r="G30" s="416">
        <f t="shared" si="17"/>
        <v>7.9924999999999997</v>
      </c>
      <c r="H30" s="416">
        <f t="shared" si="17"/>
        <v>1.4750000000000001</v>
      </c>
      <c r="I30" s="416">
        <f t="shared" si="17"/>
        <v>1.3975</v>
      </c>
      <c r="J30" s="416">
        <f t="shared" si="17"/>
        <v>1.2450000000000001</v>
      </c>
      <c r="K30" s="416">
        <f t="shared" si="17"/>
        <v>2.5750000000000002</v>
      </c>
      <c r="L30" s="416">
        <f t="shared" si="17"/>
        <v>1.6875</v>
      </c>
      <c r="M30" s="416">
        <f t="shared" si="17"/>
        <v>26.169999999999998</v>
      </c>
    </row>
    <row r="31" spans="2:13" s="413" customFormat="1">
      <c r="B31" s="417" t="s">
        <v>275</v>
      </c>
      <c r="C31" s="417"/>
      <c r="D31" s="417"/>
      <c r="E31" s="417">
        <f>_xlfn.PERCENTILE.INC(E26:E27,0.75)</f>
        <v>3</v>
      </c>
      <c r="F31" s="417">
        <f t="shared" ref="F31:M31" si="18">_xlfn.PERCENTILE.INC(F26:F27,0.75)</f>
        <v>32.155000000000001</v>
      </c>
      <c r="G31" s="417">
        <f t="shared" si="18"/>
        <v>17.0975</v>
      </c>
      <c r="H31" s="417">
        <f t="shared" si="18"/>
        <v>2.4249999999999998</v>
      </c>
      <c r="I31" s="417">
        <f t="shared" si="18"/>
        <v>2.3325</v>
      </c>
      <c r="J31" s="417">
        <f t="shared" si="18"/>
        <v>2.0350000000000001</v>
      </c>
      <c r="K31" s="417">
        <f t="shared" si="18"/>
        <v>7.7250000000000005</v>
      </c>
      <c r="L31" s="417">
        <f t="shared" si="18"/>
        <v>5.0625</v>
      </c>
      <c r="M31" s="417">
        <f t="shared" si="18"/>
        <v>66.27</v>
      </c>
    </row>
    <row r="32" spans="2:13" s="413" customFormat="1"/>
    <row r="33" spans="2:13" s="413" customFormat="1">
      <c r="B33" s="411" t="s">
        <v>244</v>
      </c>
      <c r="C33" s="409"/>
      <c r="D33" s="409"/>
      <c r="E33" s="409"/>
      <c r="F33" s="409"/>
      <c r="G33" s="409"/>
      <c r="H33" s="409"/>
      <c r="I33" s="409"/>
      <c r="J33" s="409"/>
      <c r="K33" s="409"/>
      <c r="L33" s="409"/>
      <c r="M33" s="409"/>
    </row>
    <row r="34" spans="2:13" s="413" customFormat="1">
      <c r="B34" s="413" t="str">
        <f>'Raw Trading Comps'!A29</f>
        <v>PT GoTo Gojek Tokopedia Tbk (IDX:GOTO)</v>
      </c>
      <c r="E34" s="55">
        <v>0</v>
      </c>
      <c r="F34" s="413">
        <f>_xlfn.XLOOKUP($B34,'Raw Trading Comps'!$A$15:$A$32,'Raw Trading Comps'!H$15:H$32)</f>
        <v>41.57</v>
      </c>
      <c r="G34" s="413">
        <f>_xlfn.XLOOKUP($B34,'Raw Trading Comps'!$A$15:$A$32,'Raw Trading Comps'!I$15:I$32)</f>
        <v>21.65</v>
      </c>
      <c r="H34" s="413">
        <f>_xlfn.XLOOKUP($B34,'Raw Trading Comps'!$A$15:$A$32,'Raw Trading Comps'!J$15:J$32)</f>
        <v>2.9</v>
      </c>
      <c r="I34" s="413">
        <f>_xlfn.XLOOKUP($B34,'Raw Trading Comps'!$A$15:$A$32,'Raw Trading Comps'!K$15:K$32)</f>
        <v>2.8</v>
      </c>
      <c r="J34" s="413">
        <f>_xlfn.XLOOKUP($B34,'Raw Trading Comps'!$A$15:$A$32,'Raw Trading Comps'!L$15:L$32)</f>
        <v>2.4300000000000002</v>
      </c>
      <c r="K34" s="55">
        <v>0</v>
      </c>
      <c r="L34" s="55">
        <v>0</v>
      </c>
      <c r="M34" s="413">
        <f>_xlfn.XLOOKUP($B34,'Raw Trading Comps'!$A$15:$A$32,'Raw Trading Comps'!O$15:O$32)</f>
        <v>86.32</v>
      </c>
    </row>
    <row r="35" spans="2:13" s="413" customFormat="1">
      <c r="B35" s="414" t="s">
        <v>235</v>
      </c>
      <c r="C35" s="414"/>
      <c r="D35" s="414"/>
      <c r="E35" s="414">
        <f t="shared" ref="E35:M35" si="19">AVERAGE(E34:E34)</f>
        <v>0</v>
      </c>
      <c r="F35" s="414">
        <f t="shared" si="19"/>
        <v>41.57</v>
      </c>
      <c r="G35" s="414">
        <f t="shared" si="19"/>
        <v>21.65</v>
      </c>
      <c r="H35" s="414">
        <f t="shared" si="19"/>
        <v>2.9</v>
      </c>
      <c r="I35" s="414">
        <f t="shared" si="19"/>
        <v>2.8</v>
      </c>
      <c r="J35" s="414">
        <f t="shared" si="19"/>
        <v>2.4300000000000002</v>
      </c>
      <c r="K35" s="414">
        <f t="shared" si="19"/>
        <v>0</v>
      </c>
      <c r="L35" s="414">
        <f t="shared" si="19"/>
        <v>0</v>
      </c>
      <c r="M35" s="414">
        <f t="shared" si="19"/>
        <v>86.32</v>
      </c>
    </row>
    <row r="36" spans="2:13" s="413" customFormat="1">
      <c r="B36" s="415" t="s">
        <v>273</v>
      </c>
      <c r="C36" s="416"/>
      <c r="D36" s="416"/>
      <c r="E36" s="415">
        <f t="shared" ref="E36:M36" si="20">MEDIAN(E34:E34)</f>
        <v>0</v>
      </c>
      <c r="F36" s="415">
        <f t="shared" si="20"/>
        <v>41.57</v>
      </c>
      <c r="G36" s="415">
        <f t="shared" si="20"/>
        <v>21.65</v>
      </c>
      <c r="H36" s="415">
        <f t="shared" si="20"/>
        <v>2.9</v>
      </c>
      <c r="I36" s="415">
        <f t="shared" si="20"/>
        <v>2.8</v>
      </c>
      <c r="J36" s="415">
        <f t="shared" si="20"/>
        <v>2.4300000000000002</v>
      </c>
      <c r="K36" s="415">
        <f t="shared" si="20"/>
        <v>0</v>
      </c>
      <c r="L36" s="415">
        <f t="shared" si="20"/>
        <v>0</v>
      </c>
      <c r="M36" s="415">
        <f t="shared" si="20"/>
        <v>86.32</v>
      </c>
    </row>
    <row r="37" spans="2:13" s="413" customFormat="1">
      <c r="B37" s="416" t="s">
        <v>274</v>
      </c>
      <c r="C37" s="416"/>
      <c r="D37" s="416"/>
      <c r="E37" s="416">
        <f t="shared" ref="E37:M37" si="21">_xlfn.PERCENTILE.INC(E34:E34,0.25)</f>
        <v>0</v>
      </c>
      <c r="F37" s="416">
        <f t="shared" si="21"/>
        <v>41.57</v>
      </c>
      <c r="G37" s="416">
        <f t="shared" si="21"/>
        <v>21.65</v>
      </c>
      <c r="H37" s="416">
        <f t="shared" si="21"/>
        <v>2.9</v>
      </c>
      <c r="I37" s="416">
        <f t="shared" si="21"/>
        <v>2.8</v>
      </c>
      <c r="J37" s="416">
        <f t="shared" si="21"/>
        <v>2.4300000000000002</v>
      </c>
      <c r="K37" s="416">
        <f t="shared" si="21"/>
        <v>0</v>
      </c>
      <c r="L37" s="416">
        <f t="shared" si="21"/>
        <v>0</v>
      </c>
      <c r="M37" s="416">
        <f t="shared" si="21"/>
        <v>86.32</v>
      </c>
    </row>
    <row r="38" spans="2:13" s="413" customFormat="1">
      <c r="B38" s="417" t="s">
        <v>275</v>
      </c>
      <c r="C38" s="417"/>
      <c r="D38" s="417"/>
      <c r="E38" s="417">
        <f t="shared" ref="E38:M38" si="22">_xlfn.PERCENTILE.INC(E34:E34,0.75)</f>
        <v>0</v>
      </c>
      <c r="F38" s="417">
        <f t="shared" si="22"/>
        <v>41.57</v>
      </c>
      <c r="G38" s="417">
        <f t="shared" si="22"/>
        <v>21.65</v>
      </c>
      <c r="H38" s="417">
        <f t="shared" si="22"/>
        <v>2.9</v>
      </c>
      <c r="I38" s="417">
        <f t="shared" si="22"/>
        <v>2.8</v>
      </c>
      <c r="J38" s="417">
        <f t="shared" si="22"/>
        <v>2.4300000000000002</v>
      </c>
      <c r="K38" s="417">
        <f t="shared" si="22"/>
        <v>0</v>
      </c>
      <c r="L38" s="417">
        <f t="shared" si="22"/>
        <v>0</v>
      </c>
      <c r="M38" s="417">
        <f t="shared" si="22"/>
        <v>86.32</v>
      </c>
    </row>
    <row r="39" spans="2:13" s="413" customFormat="1"/>
    <row r="40" spans="2:13" s="413" customFormat="1">
      <c r="B40" s="411" t="s">
        <v>239</v>
      </c>
      <c r="C40" s="409"/>
      <c r="D40" s="409"/>
      <c r="E40" s="409"/>
      <c r="F40" s="409"/>
      <c r="G40" s="409"/>
      <c r="H40" s="409"/>
      <c r="I40" s="409"/>
      <c r="J40" s="409"/>
      <c r="K40" s="409"/>
      <c r="L40" s="409"/>
      <c r="M40" s="409"/>
    </row>
    <row r="41" spans="2:13" s="413" customFormat="1">
      <c r="B41" s="413" t="str">
        <f>'Raw Trading Comps'!A29</f>
        <v>PT GoTo Gojek Tokopedia Tbk (IDX:GOTO)</v>
      </c>
      <c r="E41" s="55">
        <v>0</v>
      </c>
      <c r="F41" s="413">
        <f>_xlfn.XLOOKUP($B41,'Raw Trading Comps'!$A$15:$A$32,'Raw Trading Comps'!H$15:H$32)</f>
        <v>41.57</v>
      </c>
      <c r="G41" s="413">
        <f>_xlfn.XLOOKUP($B41,'Raw Trading Comps'!$A$15:$A$32,'Raw Trading Comps'!I$15:I$32)</f>
        <v>21.65</v>
      </c>
      <c r="H41" s="413">
        <f>_xlfn.XLOOKUP($B41,'Raw Trading Comps'!$A$15:$A$32,'Raw Trading Comps'!J$15:J$32)</f>
        <v>2.9</v>
      </c>
      <c r="I41" s="413">
        <f>_xlfn.XLOOKUP($B41,'Raw Trading Comps'!$A$15:$A$32,'Raw Trading Comps'!K$15:K$32)</f>
        <v>2.8</v>
      </c>
      <c r="J41" s="413">
        <f>_xlfn.XLOOKUP($B41,'Raw Trading Comps'!$A$15:$A$32,'Raw Trading Comps'!L$15:L$32)</f>
        <v>2.4300000000000002</v>
      </c>
      <c r="K41" s="55">
        <v>0</v>
      </c>
      <c r="L41" s="55">
        <v>0</v>
      </c>
      <c r="M41" s="413">
        <f>_xlfn.XLOOKUP($B41,'Raw Trading Comps'!$A$15:$A$32,'Raw Trading Comps'!O$15:O$32)</f>
        <v>86.32</v>
      </c>
    </row>
    <row r="42" spans="2:13" s="413" customFormat="1">
      <c r="B42" s="413" t="str">
        <f>'Raw Trading Comps'!A24</f>
        <v>BTS Group Holdings Public Company Limited (SET:BTS)</v>
      </c>
      <c r="E42" s="413">
        <f>_xlfn.XLOOKUP($B42,'Raw Trading Comps'!$A$15:$A$32,'Raw Trading Comps'!G$15:G$32)</f>
        <v>55</v>
      </c>
      <c r="F42" s="413">
        <f>_xlfn.XLOOKUP($B42,'Raw Trading Comps'!$A$15:$A$32,'Raw Trading Comps'!H$15:H$32)</f>
        <v>29.55</v>
      </c>
      <c r="G42" s="413">
        <f>_xlfn.XLOOKUP($B42,'Raw Trading Comps'!$A$15:$A$32,'Raw Trading Comps'!I$15:I$32)</f>
        <v>23.74</v>
      </c>
      <c r="H42" s="413">
        <f>_xlfn.XLOOKUP($B42,'Raw Trading Comps'!$A$15:$A$32,'Raw Trading Comps'!J$15:J$32)</f>
        <v>10.8</v>
      </c>
      <c r="I42" s="413">
        <f>_xlfn.XLOOKUP($B42,'Raw Trading Comps'!$A$15:$A$32,'Raw Trading Comps'!K$15:K$32)</f>
        <v>10.85</v>
      </c>
      <c r="J42" s="413">
        <f>_xlfn.XLOOKUP($B42,'Raw Trading Comps'!$A$15:$A$32,'Raw Trading Comps'!L$15:L$32)</f>
        <v>10.09</v>
      </c>
      <c r="K42" s="413">
        <f>_xlfn.XLOOKUP($B42,'Raw Trading Comps'!$A$15:$A$32,'Raw Trading Comps'!M$15:M$32)</f>
        <v>55.7</v>
      </c>
      <c r="L42" s="413">
        <f>_xlfn.XLOOKUP($B42,'Raw Trading Comps'!$A$15:$A$32,'Raw Trading Comps'!N$15:N$32)</f>
        <v>69</v>
      </c>
      <c r="M42" s="413">
        <f>_xlfn.XLOOKUP($B42,'Raw Trading Comps'!$A$15:$A$32,'Raw Trading Comps'!O$15:O$32)</f>
        <v>46.55</v>
      </c>
    </row>
    <row r="43" spans="2:13" s="413" customFormat="1">
      <c r="B43" s="414" t="s">
        <v>235</v>
      </c>
      <c r="C43" s="414"/>
      <c r="D43" s="414"/>
      <c r="E43" s="414">
        <f>AVERAGE(E41:E42)</f>
        <v>27.5</v>
      </c>
      <c r="F43" s="414">
        <f t="shared" ref="F43" si="23">AVERAGE(F41:F42)</f>
        <v>35.56</v>
      </c>
      <c r="G43" s="414">
        <f t="shared" ref="G43" si="24">AVERAGE(G41:G42)</f>
        <v>22.695</v>
      </c>
      <c r="H43" s="414">
        <f t="shared" ref="H43" si="25">AVERAGE(H41:H42)</f>
        <v>6.8500000000000005</v>
      </c>
      <c r="I43" s="414">
        <f t="shared" ref="I43" si="26">AVERAGE(I41:I42)</f>
        <v>6.8249999999999993</v>
      </c>
      <c r="J43" s="414">
        <f t="shared" ref="J43" si="27">AVERAGE(J41:J42)</f>
        <v>6.26</v>
      </c>
      <c r="K43" s="414">
        <f t="shared" ref="K43" si="28">AVERAGE(K41:K42)</f>
        <v>27.85</v>
      </c>
      <c r="L43" s="414">
        <f t="shared" ref="L43" si="29">AVERAGE(L41:L42)</f>
        <v>34.5</v>
      </c>
      <c r="M43" s="414">
        <f t="shared" ref="M43" si="30">AVERAGE(M41:M42)</f>
        <v>66.435000000000002</v>
      </c>
    </row>
    <row r="44" spans="2:13" s="413" customFormat="1">
      <c r="B44" s="415" t="s">
        <v>273</v>
      </c>
      <c r="C44" s="416"/>
      <c r="D44" s="416"/>
      <c r="E44" s="415">
        <f>MEDIAN(E41:E42)</f>
        <v>27.5</v>
      </c>
      <c r="F44" s="415">
        <f t="shared" ref="F44:M44" si="31">MEDIAN(F41:F42)</f>
        <v>35.56</v>
      </c>
      <c r="G44" s="415">
        <f t="shared" si="31"/>
        <v>22.695</v>
      </c>
      <c r="H44" s="415">
        <f t="shared" si="31"/>
        <v>6.85</v>
      </c>
      <c r="I44" s="415">
        <f t="shared" si="31"/>
        <v>6.8250000000000002</v>
      </c>
      <c r="J44" s="415">
        <f t="shared" si="31"/>
        <v>6.26</v>
      </c>
      <c r="K44" s="415">
        <f t="shared" si="31"/>
        <v>27.85</v>
      </c>
      <c r="L44" s="415">
        <f t="shared" si="31"/>
        <v>34.5</v>
      </c>
      <c r="M44" s="415">
        <f t="shared" si="31"/>
        <v>66.435000000000002</v>
      </c>
    </row>
    <row r="45" spans="2:13" s="413" customFormat="1">
      <c r="B45" s="416" t="s">
        <v>274</v>
      </c>
      <c r="C45" s="416"/>
      <c r="D45" s="416"/>
      <c r="E45" s="416">
        <f>_xlfn.PERCENTILE.INC(E41:E42,0.25)</f>
        <v>13.75</v>
      </c>
      <c r="F45" s="416">
        <f t="shared" ref="F45:M45" si="32">_xlfn.PERCENTILE.INC(F41:F42,0.25)</f>
        <v>32.555</v>
      </c>
      <c r="G45" s="416">
        <f t="shared" si="32"/>
        <v>22.172499999999999</v>
      </c>
      <c r="H45" s="416">
        <f t="shared" si="32"/>
        <v>4.875</v>
      </c>
      <c r="I45" s="416">
        <f t="shared" si="32"/>
        <v>4.8125</v>
      </c>
      <c r="J45" s="416">
        <f t="shared" si="32"/>
        <v>4.3450000000000006</v>
      </c>
      <c r="K45" s="416">
        <f t="shared" si="32"/>
        <v>13.925000000000001</v>
      </c>
      <c r="L45" s="416">
        <f t="shared" si="32"/>
        <v>17.25</v>
      </c>
      <c r="M45" s="416">
        <f t="shared" si="32"/>
        <v>56.492499999999993</v>
      </c>
    </row>
    <row r="46" spans="2:13" s="413" customFormat="1">
      <c r="B46" s="417" t="s">
        <v>275</v>
      </c>
      <c r="C46" s="417"/>
      <c r="D46" s="417"/>
      <c r="E46" s="417">
        <f>_xlfn.PERCENTILE.INC(E41:E42,0.75)</f>
        <v>41.25</v>
      </c>
      <c r="F46" s="417">
        <f t="shared" ref="F46:M46" si="33">_xlfn.PERCENTILE.INC(F41:F42,0.75)</f>
        <v>38.564999999999998</v>
      </c>
      <c r="G46" s="417">
        <f t="shared" si="33"/>
        <v>23.217499999999998</v>
      </c>
      <c r="H46" s="417">
        <f t="shared" si="33"/>
        <v>8.8250000000000011</v>
      </c>
      <c r="I46" s="417">
        <f t="shared" si="33"/>
        <v>8.8375000000000004</v>
      </c>
      <c r="J46" s="417">
        <f t="shared" si="33"/>
        <v>8.1750000000000007</v>
      </c>
      <c r="K46" s="417">
        <f t="shared" si="33"/>
        <v>41.775000000000006</v>
      </c>
      <c r="L46" s="417">
        <f t="shared" si="33"/>
        <v>51.75</v>
      </c>
      <c r="M46" s="417">
        <f t="shared" si="33"/>
        <v>76.377499999999998</v>
      </c>
    </row>
    <row r="47" spans="2:13" s="413" customFormat="1"/>
    <row r="48" spans="2:13" s="413" customFormat="1">
      <c r="B48" s="411" t="s">
        <v>258</v>
      </c>
      <c r="C48" s="409"/>
      <c r="D48" s="409"/>
      <c r="E48" s="409"/>
      <c r="F48" s="409"/>
      <c r="G48" s="409"/>
      <c r="H48" s="409"/>
      <c r="I48" s="409"/>
      <c r="J48" s="409"/>
      <c r="K48" s="409"/>
      <c r="L48" s="409"/>
      <c r="M48" s="409"/>
    </row>
    <row r="49" spans="2:15" s="413" customFormat="1">
      <c r="B49" s="413" t="str">
        <f>'Raw Trading Comps'!A29</f>
        <v>PT GoTo Gojek Tokopedia Tbk (IDX:GOTO)</v>
      </c>
      <c r="E49" s="55">
        <v>0</v>
      </c>
      <c r="F49" s="413">
        <f>_xlfn.XLOOKUP($B49,'Raw Trading Comps'!$A$15:$A$32,'Raw Trading Comps'!H$15:H$32)</f>
        <v>41.57</v>
      </c>
      <c r="G49" s="413">
        <f>_xlfn.XLOOKUP($B49,'Raw Trading Comps'!$A$15:$A$32,'Raw Trading Comps'!I$15:I$32)</f>
        <v>21.65</v>
      </c>
      <c r="H49" s="413">
        <f>_xlfn.XLOOKUP($B49,'Raw Trading Comps'!$A$15:$A$32,'Raw Trading Comps'!J$15:J$32)</f>
        <v>2.9</v>
      </c>
      <c r="I49" s="413">
        <f>_xlfn.XLOOKUP($B49,'Raw Trading Comps'!$A$15:$A$32,'Raw Trading Comps'!K$15:K$32)</f>
        <v>2.8</v>
      </c>
      <c r="J49" s="413">
        <f>_xlfn.XLOOKUP($B49,'Raw Trading Comps'!$A$15:$A$32,'Raw Trading Comps'!L$15:L$32)</f>
        <v>2.4300000000000002</v>
      </c>
      <c r="K49" s="55">
        <v>0</v>
      </c>
      <c r="L49" s="55">
        <v>0</v>
      </c>
      <c r="M49" s="413">
        <f>_xlfn.XLOOKUP($B49,'Raw Trading Comps'!$A$15:$A$32,'Raw Trading Comps'!O$15:O$32)</f>
        <v>86.32</v>
      </c>
    </row>
    <row r="50" spans="2:15" s="413" customFormat="1">
      <c r="B50" s="414" t="s">
        <v>235</v>
      </c>
      <c r="C50" s="414"/>
      <c r="D50" s="414"/>
      <c r="E50" s="414">
        <f t="shared" ref="E50:M50" si="34">AVERAGE(E49:E49)</f>
        <v>0</v>
      </c>
      <c r="F50" s="414">
        <f t="shared" si="34"/>
        <v>41.57</v>
      </c>
      <c r="G50" s="414">
        <f t="shared" si="34"/>
        <v>21.65</v>
      </c>
      <c r="H50" s="414">
        <f t="shared" si="34"/>
        <v>2.9</v>
      </c>
      <c r="I50" s="414">
        <f t="shared" si="34"/>
        <v>2.8</v>
      </c>
      <c r="J50" s="414">
        <f t="shared" si="34"/>
        <v>2.4300000000000002</v>
      </c>
      <c r="K50" s="414">
        <f t="shared" si="34"/>
        <v>0</v>
      </c>
      <c r="L50" s="414">
        <f t="shared" si="34"/>
        <v>0</v>
      </c>
      <c r="M50" s="414">
        <f t="shared" si="34"/>
        <v>86.32</v>
      </c>
    </row>
    <row r="51" spans="2:15" s="413" customFormat="1">
      <c r="B51" s="415" t="s">
        <v>273</v>
      </c>
      <c r="C51" s="416"/>
      <c r="D51" s="416"/>
      <c r="E51" s="415">
        <f t="shared" ref="E51:M51" si="35">MEDIAN(E49:E49)</f>
        <v>0</v>
      </c>
      <c r="F51" s="415">
        <f t="shared" si="35"/>
        <v>41.57</v>
      </c>
      <c r="G51" s="415">
        <f t="shared" si="35"/>
        <v>21.65</v>
      </c>
      <c r="H51" s="415">
        <f t="shared" si="35"/>
        <v>2.9</v>
      </c>
      <c r="I51" s="415">
        <f t="shared" si="35"/>
        <v>2.8</v>
      </c>
      <c r="J51" s="415">
        <f t="shared" si="35"/>
        <v>2.4300000000000002</v>
      </c>
      <c r="K51" s="415">
        <f t="shared" si="35"/>
        <v>0</v>
      </c>
      <c r="L51" s="415">
        <f t="shared" si="35"/>
        <v>0</v>
      </c>
      <c r="M51" s="415">
        <f t="shared" si="35"/>
        <v>86.32</v>
      </c>
    </row>
    <row r="52" spans="2:15" s="413" customFormat="1">
      <c r="B52" s="416" t="s">
        <v>274</v>
      </c>
      <c r="C52" s="416"/>
      <c r="D52" s="416"/>
      <c r="E52" s="416">
        <f t="shared" ref="E52:M52" si="36">_xlfn.PERCENTILE.INC(E49:E49,0.25)</f>
        <v>0</v>
      </c>
      <c r="F52" s="416">
        <f t="shared" si="36"/>
        <v>41.57</v>
      </c>
      <c r="G52" s="416">
        <f t="shared" si="36"/>
        <v>21.65</v>
      </c>
      <c r="H52" s="416">
        <f t="shared" si="36"/>
        <v>2.9</v>
      </c>
      <c r="I52" s="416">
        <f t="shared" si="36"/>
        <v>2.8</v>
      </c>
      <c r="J52" s="416">
        <f t="shared" si="36"/>
        <v>2.4300000000000002</v>
      </c>
      <c r="K52" s="416">
        <f t="shared" si="36"/>
        <v>0</v>
      </c>
      <c r="L52" s="416">
        <f t="shared" si="36"/>
        <v>0</v>
      </c>
      <c r="M52" s="416">
        <f t="shared" si="36"/>
        <v>86.32</v>
      </c>
    </row>
    <row r="53" spans="2:15" s="413" customFormat="1">
      <c r="B53" s="417" t="s">
        <v>275</v>
      </c>
      <c r="C53" s="417"/>
      <c r="D53" s="417"/>
      <c r="E53" s="417">
        <f t="shared" ref="E53:M53" si="37">_xlfn.PERCENTILE.INC(E49:E49,0.75)</f>
        <v>0</v>
      </c>
      <c r="F53" s="417">
        <f t="shared" si="37"/>
        <v>41.57</v>
      </c>
      <c r="G53" s="417">
        <f t="shared" si="37"/>
        <v>21.65</v>
      </c>
      <c r="H53" s="417">
        <f t="shared" si="37"/>
        <v>2.9</v>
      </c>
      <c r="I53" s="417">
        <f t="shared" si="37"/>
        <v>2.8</v>
      </c>
      <c r="J53" s="417">
        <f t="shared" si="37"/>
        <v>2.4300000000000002</v>
      </c>
      <c r="K53" s="417">
        <f t="shared" si="37"/>
        <v>0</v>
      </c>
      <c r="L53" s="417">
        <f t="shared" si="37"/>
        <v>0</v>
      </c>
      <c r="M53" s="417">
        <f t="shared" si="37"/>
        <v>86.32</v>
      </c>
    </row>
    <row r="54" spans="2:15" s="413" customFormat="1"/>
    <row r="55" spans="2:15" s="413" customFormat="1">
      <c r="B55" s="419" t="s">
        <v>276</v>
      </c>
      <c r="C55" s="420" t="s">
        <v>250</v>
      </c>
      <c r="D55" s="420" t="s">
        <v>277</v>
      </c>
      <c r="E55" s="418"/>
      <c r="F55" s="418"/>
      <c r="G55" s="418"/>
      <c r="H55" s="418"/>
      <c r="I55" s="418"/>
      <c r="J55" s="418"/>
      <c r="K55" s="418"/>
      <c r="L55" s="418"/>
      <c r="M55" s="418"/>
    </row>
    <row r="56" spans="2:15" s="413" customFormat="1">
      <c r="B56" s="38" t="s">
        <v>231</v>
      </c>
      <c r="C56" s="55">
        <v>578</v>
      </c>
      <c r="D56" s="99">
        <f>C56/SUM($C$56:$C$62)</f>
        <v>0.20664998212370397</v>
      </c>
      <c r="E56" s="413">
        <f>E14</f>
        <v>3</v>
      </c>
      <c r="F56" s="413">
        <f t="shared" ref="F56:M56" si="38">F14</f>
        <v>23.54</v>
      </c>
      <c r="G56" s="413">
        <f t="shared" si="38"/>
        <v>13.484999999999999</v>
      </c>
      <c r="H56" s="413">
        <f t="shared" si="38"/>
        <v>1.9</v>
      </c>
      <c r="I56" s="413">
        <f t="shared" si="38"/>
        <v>1.835</v>
      </c>
      <c r="J56" s="413">
        <f t="shared" si="38"/>
        <v>1.6400000000000001</v>
      </c>
      <c r="K56" s="413">
        <f t="shared" si="38"/>
        <v>9.9499999999999993</v>
      </c>
      <c r="L56" s="413">
        <f t="shared" si="38"/>
        <v>6.8250000000000002</v>
      </c>
      <c r="M56" s="413">
        <f t="shared" si="38"/>
        <v>49.389999999999993</v>
      </c>
    </row>
    <row r="57" spans="2:15" s="413" customFormat="1">
      <c r="B57" s="38" t="s">
        <v>257</v>
      </c>
      <c r="C57" s="55">
        <v>816</v>
      </c>
      <c r="D57" s="99">
        <f t="shared" ref="D57:D62" si="39">C57/SUM($C$56:$C$62)</f>
        <v>0.29174115123346445</v>
      </c>
      <c r="E57" s="413">
        <f>E21</f>
        <v>0</v>
      </c>
      <c r="F57" s="413">
        <f t="shared" ref="F57:M57" si="40">F21</f>
        <v>41.57</v>
      </c>
      <c r="G57" s="413">
        <f t="shared" si="40"/>
        <v>21.65</v>
      </c>
      <c r="H57" s="413">
        <f t="shared" si="40"/>
        <v>2.9</v>
      </c>
      <c r="I57" s="413">
        <f t="shared" si="40"/>
        <v>2.8</v>
      </c>
      <c r="J57" s="413">
        <f t="shared" si="40"/>
        <v>2.4300000000000002</v>
      </c>
      <c r="K57" s="413">
        <f t="shared" si="40"/>
        <v>0</v>
      </c>
      <c r="L57" s="413">
        <f t="shared" si="40"/>
        <v>0</v>
      </c>
      <c r="M57" s="413">
        <f t="shared" si="40"/>
        <v>86.32</v>
      </c>
    </row>
    <row r="58" spans="2:15" s="413" customFormat="1">
      <c r="B58" s="38" t="s">
        <v>233</v>
      </c>
      <c r="C58" s="55">
        <v>643</v>
      </c>
      <c r="D58" s="99">
        <f t="shared" si="39"/>
        <v>0.22988916696460493</v>
      </c>
      <c r="E58" s="413">
        <f>E29</f>
        <v>2</v>
      </c>
      <c r="F58" s="413">
        <f t="shared" ref="F58:M58" si="41">F29</f>
        <v>22.74</v>
      </c>
      <c r="G58" s="413">
        <f t="shared" si="41"/>
        <v>12.544999999999998</v>
      </c>
      <c r="H58" s="413">
        <f t="shared" si="41"/>
        <v>1.95</v>
      </c>
      <c r="I58" s="413">
        <f t="shared" si="41"/>
        <v>1.8649999999999998</v>
      </c>
      <c r="J58" s="413">
        <f t="shared" si="41"/>
        <v>1.6400000000000001</v>
      </c>
      <c r="K58" s="413">
        <f t="shared" si="41"/>
        <v>5.15</v>
      </c>
      <c r="L58" s="413">
        <f t="shared" si="41"/>
        <v>3.375</v>
      </c>
      <c r="M58" s="413">
        <f t="shared" si="41"/>
        <v>46.219999999999992</v>
      </c>
    </row>
    <row r="59" spans="2:15" s="413" customFormat="1">
      <c r="B59" s="38" t="s">
        <v>244</v>
      </c>
      <c r="C59" s="55">
        <v>265</v>
      </c>
      <c r="D59" s="99">
        <f t="shared" si="39"/>
        <v>9.4744368966750092E-2</v>
      </c>
      <c r="E59" s="413">
        <f>E36</f>
        <v>0</v>
      </c>
      <c r="F59" s="413">
        <f t="shared" ref="F59:M59" si="42">F36</f>
        <v>41.57</v>
      </c>
      <c r="G59" s="413">
        <f t="shared" si="42"/>
        <v>21.65</v>
      </c>
      <c r="H59" s="413">
        <f t="shared" si="42"/>
        <v>2.9</v>
      </c>
      <c r="I59" s="413">
        <f t="shared" si="42"/>
        <v>2.8</v>
      </c>
      <c r="J59" s="413">
        <f t="shared" si="42"/>
        <v>2.4300000000000002</v>
      </c>
      <c r="K59" s="413">
        <f t="shared" si="42"/>
        <v>0</v>
      </c>
      <c r="L59" s="413">
        <f t="shared" si="42"/>
        <v>0</v>
      </c>
      <c r="M59" s="413">
        <f t="shared" si="42"/>
        <v>86.32</v>
      </c>
    </row>
    <row r="60" spans="2:15" s="413" customFormat="1">
      <c r="B60" s="38" t="s">
        <v>239</v>
      </c>
      <c r="C60" s="55">
        <v>252</v>
      </c>
      <c r="D60" s="99">
        <f t="shared" si="39"/>
        <v>9.0096531998569901E-2</v>
      </c>
      <c r="E60" s="413">
        <f>E44</f>
        <v>27.5</v>
      </c>
      <c r="F60" s="413">
        <f t="shared" ref="F60:M60" si="43">F44</f>
        <v>35.56</v>
      </c>
      <c r="G60" s="413">
        <f t="shared" si="43"/>
        <v>22.695</v>
      </c>
      <c r="H60" s="413">
        <f t="shared" si="43"/>
        <v>6.85</v>
      </c>
      <c r="I60" s="413">
        <f t="shared" si="43"/>
        <v>6.8250000000000002</v>
      </c>
      <c r="J60" s="413">
        <f t="shared" si="43"/>
        <v>6.26</v>
      </c>
      <c r="K60" s="413">
        <f t="shared" si="43"/>
        <v>27.85</v>
      </c>
      <c r="L60" s="413">
        <f t="shared" si="43"/>
        <v>34.5</v>
      </c>
      <c r="M60" s="413">
        <f t="shared" si="43"/>
        <v>66.435000000000002</v>
      </c>
    </row>
    <row r="61" spans="2:15" s="413" customFormat="1">
      <c r="B61" s="38" t="s">
        <v>258</v>
      </c>
      <c r="C61" s="55">
        <v>228</v>
      </c>
      <c r="D61" s="99">
        <f t="shared" si="39"/>
        <v>8.1515909903468006E-2</v>
      </c>
      <c r="E61" s="413">
        <f>E51</f>
        <v>0</v>
      </c>
      <c r="F61" s="413">
        <f t="shared" ref="F61:M61" si="44">F51</f>
        <v>41.57</v>
      </c>
      <c r="G61" s="413">
        <f t="shared" si="44"/>
        <v>21.65</v>
      </c>
      <c r="H61" s="413">
        <f t="shared" si="44"/>
        <v>2.9</v>
      </c>
      <c r="I61" s="413">
        <f t="shared" si="44"/>
        <v>2.8</v>
      </c>
      <c r="J61" s="413">
        <f t="shared" si="44"/>
        <v>2.4300000000000002</v>
      </c>
      <c r="K61" s="413">
        <f t="shared" si="44"/>
        <v>0</v>
      </c>
      <c r="L61" s="413">
        <f t="shared" si="44"/>
        <v>0</v>
      </c>
      <c r="M61" s="413">
        <f t="shared" si="44"/>
        <v>86.32</v>
      </c>
    </row>
    <row r="62" spans="2:15" s="413" customFormat="1" ht="17" thickBot="1">
      <c r="B62" s="38" t="s">
        <v>259</v>
      </c>
      <c r="C62" s="55">
        <v>15</v>
      </c>
      <c r="D62" s="99">
        <f t="shared" si="39"/>
        <v>5.3628888094386842E-3</v>
      </c>
      <c r="E62" s="413">
        <f>MEDIAN(E56:E61)</f>
        <v>1</v>
      </c>
      <c r="F62" s="413">
        <f t="shared" ref="F62:M62" si="45">MEDIAN(F56:F61)</f>
        <v>38.564999999999998</v>
      </c>
      <c r="G62" s="413">
        <f t="shared" si="45"/>
        <v>21.65</v>
      </c>
      <c r="H62" s="413">
        <f t="shared" si="45"/>
        <v>2.9</v>
      </c>
      <c r="I62" s="413">
        <f t="shared" si="45"/>
        <v>2.8</v>
      </c>
      <c r="J62" s="413">
        <f t="shared" si="45"/>
        <v>2.4300000000000002</v>
      </c>
      <c r="K62" s="413">
        <f t="shared" si="45"/>
        <v>2.5750000000000002</v>
      </c>
      <c r="L62" s="413">
        <f t="shared" si="45"/>
        <v>1.6875</v>
      </c>
      <c r="M62" s="413">
        <f t="shared" si="45"/>
        <v>76.377499999999998</v>
      </c>
      <c r="O62" s="413" t="s">
        <v>278</v>
      </c>
    </row>
    <row r="63" spans="2:15" s="413" customFormat="1" ht="17" thickBot="1">
      <c r="B63" s="421" t="s">
        <v>279</v>
      </c>
      <c r="C63" s="422">
        <f>SUM(C56:C62)</f>
        <v>2797</v>
      </c>
      <c r="D63" s="423">
        <f>SUM(D56:D62)</f>
        <v>1</v>
      </c>
      <c r="E63" s="424">
        <f>SUMPRODUCT(E56:E62,$D$56:$D$62)</f>
        <v>3.562745799070433</v>
      </c>
      <c r="F63" s="424">
        <f t="shared" ref="F63:M63" si="46">SUMPRODUCT(F56:F62,$D$56:$D$62)</f>
        <v>32.957692170182341</v>
      </c>
      <c r="G63" s="424">
        <f t="shared" si="46"/>
        <v>17.963712906685736</v>
      </c>
      <c r="H63" s="424">
        <f t="shared" si="46"/>
        <v>2.8308366106542726</v>
      </c>
      <c r="I63" s="424">
        <f t="shared" si="46"/>
        <v>2.748274937432964</v>
      </c>
      <c r="J63" s="424">
        <f t="shared" si="46"/>
        <v>2.4302037897747586</v>
      </c>
      <c r="K63" s="424">
        <f t="shared" si="46"/>
        <v>5.7630943868430462</v>
      </c>
      <c r="L63" s="424">
        <f t="shared" si="46"/>
        <v>5.3036422953164104</v>
      </c>
      <c r="M63" s="425">
        <f t="shared" si="46"/>
        <v>67.624970504111559</v>
      </c>
    </row>
    <row r="64" spans="2:15" s="413" customFormat="1"/>
    <row r="65" spans="1:13" s="413" customFormat="1">
      <c r="A65" s="413" t="s">
        <v>57</v>
      </c>
      <c r="B65" s="410" t="s">
        <v>47</v>
      </c>
      <c r="C65" s="398"/>
      <c r="D65" s="398"/>
      <c r="E65" s="398"/>
      <c r="F65" s="398"/>
      <c r="G65" s="398"/>
      <c r="H65" s="398"/>
      <c r="I65" s="398"/>
      <c r="J65" s="398"/>
      <c r="K65" s="398"/>
      <c r="L65" s="398"/>
      <c r="M65" s="398"/>
    </row>
    <row r="66" spans="1:13" s="413" customFormat="1"/>
    <row r="67" spans="1:13" s="413" customFormat="1">
      <c r="B67" s="411" t="s">
        <v>231</v>
      </c>
      <c r="C67" s="409"/>
      <c r="D67" s="409"/>
      <c r="E67" s="409"/>
      <c r="F67" s="409"/>
      <c r="G67" s="409"/>
      <c r="H67" s="409"/>
      <c r="I67" s="409"/>
      <c r="J67" s="409"/>
      <c r="K67" s="409"/>
      <c r="L67" s="409"/>
      <c r="M67" s="409"/>
    </row>
    <row r="68" spans="1:13" s="413" customFormat="1">
      <c r="B68" s="413" t="str">
        <f>'Raw Trading Comps'!A29</f>
        <v>PT GoTo Gojek Tokopedia Tbk (IDX:GOTO)</v>
      </c>
      <c r="E68" s="55">
        <v>0</v>
      </c>
      <c r="F68" s="413">
        <f>_xlfn.XLOOKUP($B68,'Raw Trading Comps'!$A$15:$A$32,'Raw Trading Comps'!H$15:H$32)</f>
        <v>41.57</v>
      </c>
      <c r="G68" s="413">
        <f>_xlfn.XLOOKUP($B68,'Raw Trading Comps'!$A$15:$A$32,'Raw Trading Comps'!I$15:I$32)</f>
        <v>21.65</v>
      </c>
      <c r="H68" s="413">
        <f>_xlfn.XLOOKUP($B68,'Raw Trading Comps'!$A$15:$A$32,'Raw Trading Comps'!J$15:J$32)</f>
        <v>2.9</v>
      </c>
      <c r="I68" s="413">
        <f>_xlfn.XLOOKUP($B68,'Raw Trading Comps'!$A$15:$A$32,'Raw Trading Comps'!K$15:K$32)</f>
        <v>2.8</v>
      </c>
      <c r="J68" s="413">
        <f>_xlfn.XLOOKUP($B68,'Raw Trading Comps'!$A$15:$A$32,'Raw Trading Comps'!L$15:L$32)</f>
        <v>2.4300000000000002</v>
      </c>
      <c r="K68" s="55">
        <v>0</v>
      </c>
      <c r="L68" s="55">
        <v>0</v>
      </c>
      <c r="M68" s="413">
        <f>_xlfn.XLOOKUP($B68,'Raw Trading Comps'!$A$15:$A$32,'Raw Trading Comps'!O$15:O$32)</f>
        <v>86.32</v>
      </c>
    </row>
    <row r="69" spans="1:13" s="413" customFormat="1">
      <c r="B69" s="413" t="str">
        <f>'Raw Trading Comps'!A25</f>
        <v>Delivery Hero SE (XTRA:DHER)</v>
      </c>
      <c r="E69" s="413">
        <f>_xlfn.XLOOKUP($B69,'Raw Trading Comps'!$A$15:$A$32,'Raw Trading Comps'!G$15:G$32)</f>
        <v>14.9</v>
      </c>
      <c r="F69" s="413">
        <f>_xlfn.XLOOKUP($B69,'Raw Trading Comps'!$A$15:$A$32,'Raw Trading Comps'!H$15:H$32)</f>
        <v>8.42</v>
      </c>
      <c r="G69" s="413">
        <f>_xlfn.XLOOKUP($B69,'Raw Trading Comps'!$A$15:$A$32,'Raw Trading Comps'!I$15:I$32)</f>
        <v>6.84</v>
      </c>
      <c r="H69" s="413">
        <f>_xlfn.XLOOKUP($B69,'Raw Trading Comps'!$A$15:$A$32,'Raw Trading Comps'!J$15:J$32)</f>
        <v>0.6</v>
      </c>
      <c r="I69" s="413">
        <f>_xlfn.XLOOKUP($B69,'Raw Trading Comps'!$A$15:$A$32,'Raw Trading Comps'!K$15:K$32)</f>
        <v>0.54</v>
      </c>
      <c r="J69" s="413">
        <f>_xlfn.XLOOKUP($B69,'Raw Trading Comps'!$A$15:$A$32,'Raw Trading Comps'!L$15:L$32)</f>
        <v>0.49</v>
      </c>
      <c r="K69" s="55">
        <v>0</v>
      </c>
      <c r="L69" s="413">
        <f>_xlfn.XLOOKUP($B69,'Raw Trading Comps'!$A$15:$A$32,'Raw Trading Comps'!N$15:N$32)</f>
        <v>37.619999999999997</v>
      </c>
      <c r="M69" s="413">
        <f>_xlfn.XLOOKUP($B69,'Raw Trading Comps'!$A$15:$A$32,'Raw Trading Comps'!O$15:O$32)</f>
        <v>19.64</v>
      </c>
    </row>
    <row r="70" spans="1:13" s="413" customFormat="1">
      <c r="B70" s="414" t="s">
        <v>235</v>
      </c>
      <c r="C70" s="414"/>
      <c r="D70" s="414"/>
      <c r="E70" s="414">
        <f>AVERAGE(E68:E69)</f>
        <v>7.45</v>
      </c>
      <c r="F70" s="414">
        <f t="shared" ref="F70:M70" si="47">AVERAGE(F68:F69)</f>
        <v>24.995000000000001</v>
      </c>
      <c r="G70" s="414">
        <f t="shared" si="47"/>
        <v>14.244999999999999</v>
      </c>
      <c r="H70" s="414">
        <f t="shared" si="47"/>
        <v>1.75</v>
      </c>
      <c r="I70" s="414">
        <f t="shared" si="47"/>
        <v>1.67</v>
      </c>
      <c r="J70" s="414">
        <f t="shared" si="47"/>
        <v>1.46</v>
      </c>
      <c r="K70" s="414">
        <f t="shared" si="47"/>
        <v>0</v>
      </c>
      <c r="L70" s="414">
        <f t="shared" si="47"/>
        <v>18.809999999999999</v>
      </c>
      <c r="M70" s="414">
        <f t="shared" si="47"/>
        <v>52.98</v>
      </c>
    </row>
    <row r="71" spans="1:13" s="413" customFormat="1">
      <c r="B71" s="415" t="s">
        <v>273</v>
      </c>
      <c r="C71" s="416"/>
      <c r="D71" s="416"/>
      <c r="E71" s="416">
        <f t="shared" ref="E71:M71" si="48">MEDIAN(E68:E69)</f>
        <v>7.45</v>
      </c>
      <c r="F71" s="416">
        <f t="shared" si="48"/>
        <v>24.994999999999997</v>
      </c>
      <c r="G71" s="416">
        <f t="shared" si="48"/>
        <v>14.244999999999999</v>
      </c>
      <c r="H71" s="416">
        <f t="shared" si="48"/>
        <v>1.75</v>
      </c>
      <c r="I71" s="416">
        <f t="shared" si="48"/>
        <v>1.67</v>
      </c>
      <c r="J71" s="416">
        <f t="shared" si="48"/>
        <v>1.46</v>
      </c>
      <c r="K71" s="416">
        <f t="shared" si="48"/>
        <v>0</v>
      </c>
      <c r="L71" s="416">
        <f t="shared" si="48"/>
        <v>18.809999999999999</v>
      </c>
      <c r="M71" s="416">
        <f t="shared" si="48"/>
        <v>52.98</v>
      </c>
    </row>
    <row r="72" spans="1:13" s="413" customFormat="1">
      <c r="B72" s="416" t="s">
        <v>274</v>
      </c>
      <c r="C72" s="416"/>
      <c r="D72" s="416"/>
      <c r="E72" s="416">
        <f t="shared" ref="E72:M72" si="49">_xlfn.PERCENTILE.INC(E68:E69,0.25)</f>
        <v>3.7250000000000001</v>
      </c>
      <c r="F72" s="416">
        <f t="shared" si="49"/>
        <v>16.7075</v>
      </c>
      <c r="G72" s="416">
        <f t="shared" si="49"/>
        <v>10.5425</v>
      </c>
      <c r="H72" s="416">
        <f t="shared" si="49"/>
        <v>1.1749999999999998</v>
      </c>
      <c r="I72" s="416">
        <f t="shared" si="49"/>
        <v>1.105</v>
      </c>
      <c r="J72" s="416">
        <f t="shared" si="49"/>
        <v>0.97500000000000009</v>
      </c>
      <c r="K72" s="416">
        <f t="shared" si="49"/>
        <v>0</v>
      </c>
      <c r="L72" s="416">
        <f t="shared" si="49"/>
        <v>9.4049999999999994</v>
      </c>
      <c r="M72" s="416">
        <f t="shared" si="49"/>
        <v>36.31</v>
      </c>
    </row>
    <row r="73" spans="1:13" s="413" customFormat="1">
      <c r="B73" s="417" t="s">
        <v>275</v>
      </c>
      <c r="C73" s="417"/>
      <c r="D73" s="417"/>
      <c r="E73" s="417">
        <f t="shared" ref="E73:M73" si="50">_xlfn.PERCENTILE.INC(E68:E69,0.75)</f>
        <v>11.175000000000001</v>
      </c>
      <c r="F73" s="417">
        <f t="shared" si="50"/>
        <v>33.282499999999999</v>
      </c>
      <c r="G73" s="417">
        <f t="shared" si="50"/>
        <v>17.947499999999998</v>
      </c>
      <c r="H73" s="417">
        <f t="shared" si="50"/>
        <v>2.3249999999999997</v>
      </c>
      <c r="I73" s="417">
        <f t="shared" si="50"/>
        <v>2.2349999999999999</v>
      </c>
      <c r="J73" s="417">
        <f t="shared" si="50"/>
        <v>1.9450000000000001</v>
      </c>
      <c r="K73" s="417">
        <f t="shared" si="50"/>
        <v>0</v>
      </c>
      <c r="L73" s="417">
        <f t="shared" si="50"/>
        <v>28.214999999999996</v>
      </c>
      <c r="M73" s="417">
        <f t="shared" si="50"/>
        <v>69.649999999999991</v>
      </c>
    </row>
    <row r="74" spans="1:13" s="413" customFormat="1"/>
    <row r="75" spans="1:13" s="413" customFormat="1">
      <c r="B75" s="411" t="s">
        <v>257</v>
      </c>
      <c r="C75" s="409"/>
      <c r="D75" s="409"/>
      <c r="E75" s="409"/>
      <c r="F75" s="409"/>
      <c r="G75" s="409"/>
      <c r="H75" s="409"/>
      <c r="I75" s="409"/>
      <c r="J75" s="409"/>
      <c r="K75" s="409"/>
      <c r="L75" s="409"/>
      <c r="M75" s="409"/>
    </row>
    <row r="76" spans="1:13" s="413" customFormat="1">
      <c r="B76" s="413" t="str">
        <f>'Raw Trading Comps'!A29</f>
        <v>PT GoTo Gojek Tokopedia Tbk (IDX:GOTO)</v>
      </c>
      <c r="E76" s="55">
        <v>0</v>
      </c>
      <c r="F76" s="413">
        <f>_xlfn.XLOOKUP($B76,'Raw Trading Comps'!$A$15:$A$32,'Raw Trading Comps'!H$15:H$32)</f>
        <v>41.57</v>
      </c>
      <c r="G76" s="413">
        <f>_xlfn.XLOOKUP($B76,'Raw Trading Comps'!$A$15:$A$32,'Raw Trading Comps'!I$15:I$32)</f>
        <v>21.65</v>
      </c>
      <c r="H76" s="413">
        <f>_xlfn.XLOOKUP($B76,'Raw Trading Comps'!$A$15:$A$32,'Raw Trading Comps'!J$15:J$32)</f>
        <v>2.9</v>
      </c>
      <c r="I76" s="413">
        <f>_xlfn.XLOOKUP($B76,'Raw Trading Comps'!$A$15:$A$32,'Raw Trading Comps'!K$15:K$32)</f>
        <v>2.8</v>
      </c>
      <c r="J76" s="413">
        <f>_xlfn.XLOOKUP($B76,'Raw Trading Comps'!$A$15:$A$32,'Raw Trading Comps'!L$15:L$32)</f>
        <v>2.4300000000000002</v>
      </c>
      <c r="K76" s="55">
        <v>0</v>
      </c>
      <c r="L76" s="55">
        <v>0</v>
      </c>
      <c r="M76" s="413">
        <f>_xlfn.XLOOKUP($B76,'Raw Trading Comps'!$A$15:$A$32,'Raw Trading Comps'!O$15:O$32)</f>
        <v>86.32</v>
      </c>
    </row>
    <row r="77" spans="1:13" s="413" customFormat="1">
      <c r="B77" s="413" t="str">
        <f>'Raw Trading Comps'!A25</f>
        <v>Delivery Hero SE (XTRA:DHER)</v>
      </c>
      <c r="E77" s="413">
        <f>_xlfn.XLOOKUP($B77,'Raw Trading Comps'!$A$15:$A$32,'Raw Trading Comps'!G$15:G$32)</f>
        <v>14.9</v>
      </c>
      <c r="F77" s="413">
        <f>_xlfn.XLOOKUP($B77,'Raw Trading Comps'!$A$15:$A$32,'Raw Trading Comps'!H$15:H$32)</f>
        <v>8.42</v>
      </c>
      <c r="G77" s="413">
        <f>_xlfn.XLOOKUP($B77,'Raw Trading Comps'!$A$15:$A$32,'Raw Trading Comps'!I$15:I$32)</f>
        <v>6.84</v>
      </c>
      <c r="H77" s="413">
        <f>_xlfn.XLOOKUP($B77,'Raw Trading Comps'!$A$15:$A$32,'Raw Trading Comps'!J$15:J$32)</f>
        <v>0.6</v>
      </c>
      <c r="I77" s="413">
        <f>_xlfn.XLOOKUP($B77,'Raw Trading Comps'!$A$15:$A$32,'Raw Trading Comps'!K$15:K$32)</f>
        <v>0.54</v>
      </c>
      <c r="J77" s="413">
        <f>_xlfn.XLOOKUP($B77,'Raw Trading Comps'!$A$15:$A$32,'Raw Trading Comps'!L$15:L$32)</f>
        <v>0.49</v>
      </c>
      <c r="K77" s="55">
        <v>0</v>
      </c>
      <c r="L77" s="413">
        <f>_xlfn.XLOOKUP($B77,'Raw Trading Comps'!$A$15:$A$32,'Raw Trading Comps'!N$15:N$32)</f>
        <v>37.619999999999997</v>
      </c>
      <c r="M77" s="413">
        <f>_xlfn.XLOOKUP($B77,'Raw Trading Comps'!$A$15:$A$32,'Raw Trading Comps'!O$15:O$32)</f>
        <v>19.64</v>
      </c>
    </row>
    <row r="78" spans="1:13" s="413" customFormat="1">
      <c r="B78" s="414" t="s">
        <v>235</v>
      </c>
      <c r="C78" s="414"/>
      <c r="D78" s="414"/>
      <c r="E78" s="414">
        <f t="shared" ref="E78:M78" si="51">AVERAGE(E76:E77)</f>
        <v>7.45</v>
      </c>
      <c r="F78" s="414">
        <f t="shared" si="51"/>
        <v>24.995000000000001</v>
      </c>
      <c r="G78" s="414">
        <f t="shared" si="51"/>
        <v>14.244999999999999</v>
      </c>
      <c r="H78" s="414">
        <f t="shared" si="51"/>
        <v>1.75</v>
      </c>
      <c r="I78" s="414">
        <f t="shared" si="51"/>
        <v>1.67</v>
      </c>
      <c r="J78" s="414">
        <f t="shared" si="51"/>
        <v>1.46</v>
      </c>
      <c r="K78" s="414">
        <f t="shared" si="51"/>
        <v>0</v>
      </c>
      <c r="L78" s="414">
        <f t="shared" si="51"/>
        <v>18.809999999999999</v>
      </c>
      <c r="M78" s="414">
        <f t="shared" si="51"/>
        <v>52.98</v>
      </c>
    </row>
    <row r="79" spans="1:13" s="413" customFormat="1">
      <c r="B79" s="415" t="s">
        <v>273</v>
      </c>
      <c r="C79" s="416"/>
      <c r="D79" s="416"/>
      <c r="E79" s="416">
        <f t="shared" ref="E79:M79" si="52">MEDIAN(E76:E77)</f>
        <v>7.45</v>
      </c>
      <c r="F79" s="416">
        <f t="shared" si="52"/>
        <v>24.994999999999997</v>
      </c>
      <c r="G79" s="416">
        <f t="shared" si="52"/>
        <v>14.244999999999999</v>
      </c>
      <c r="H79" s="416">
        <f t="shared" si="52"/>
        <v>1.75</v>
      </c>
      <c r="I79" s="416">
        <f t="shared" si="52"/>
        <v>1.67</v>
      </c>
      <c r="J79" s="416">
        <f t="shared" si="52"/>
        <v>1.46</v>
      </c>
      <c r="K79" s="416">
        <f t="shared" si="52"/>
        <v>0</v>
      </c>
      <c r="L79" s="416">
        <f t="shared" si="52"/>
        <v>18.809999999999999</v>
      </c>
      <c r="M79" s="416">
        <f t="shared" si="52"/>
        <v>52.98</v>
      </c>
    </row>
    <row r="80" spans="1:13" s="413" customFormat="1">
      <c r="B80" s="416" t="s">
        <v>274</v>
      </c>
      <c r="C80" s="416"/>
      <c r="D80" s="416"/>
      <c r="E80" s="416">
        <f t="shared" ref="E80:M80" si="53">_xlfn.PERCENTILE.INC(E76:E77,0.25)</f>
        <v>3.7250000000000001</v>
      </c>
      <c r="F80" s="416">
        <f t="shared" si="53"/>
        <v>16.7075</v>
      </c>
      <c r="G80" s="416">
        <f t="shared" si="53"/>
        <v>10.5425</v>
      </c>
      <c r="H80" s="416">
        <f t="shared" si="53"/>
        <v>1.1749999999999998</v>
      </c>
      <c r="I80" s="416">
        <f t="shared" si="53"/>
        <v>1.105</v>
      </c>
      <c r="J80" s="416">
        <f t="shared" si="53"/>
        <v>0.97500000000000009</v>
      </c>
      <c r="K80" s="416">
        <f t="shared" si="53"/>
        <v>0</v>
      </c>
      <c r="L80" s="416">
        <f t="shared" si="53"/>
        <v>9.4049999999999994</v>
      </c>
      <c r="M80" s="416">
        <f t="shared" si="53"/>
        <v>36.31</v>
      </c>
    </row>
    <row r="81" spans="2:13" s="413" customFormat="1">
      <c r="B81" s="417" t="s">
        <v>275</v>
      </c>
      <c r="C81" s="417"/>
      <c r="D81" s="417"/>
      <c r="E81" s="417">
        <f t="shared" ref="E81:M81" si="54">_xlfn.PERCENTILE.INC(E76:E77,0.75)</f>
        <v>11.175000000000001</v>
      </c>
      <c r="F81" s="417">
        <f t="shared" si="54"/>
        <v>33.282499999999999</v>
      </c>
      <c r="G81" s="417">
        <f t="shared" si="54"/>
        <v>17.947499999999998</v>
      </c>
      <c r="H81" s="417">
        <f t="shared" si="54"/>
        <v>2.3249999999999997</v>
      </c>
      <c r="I81" s="417">
        <f t="shared" si="54"/>
        <v>2.2349999999999999</v>
      </c>
      <c r="J81" s="417">
        <f t="shared" si="54"/>
        <v>1.9450000000000001</v>
      </c>
      <c r="K81" s="417">
        <f t="shared" si="54"/>
        <v>0</v>
      </c>
      <c r="L81" s="417">
        <f t="shared" si="54"/>
        <v>28.214999999999996</v>
      </c>
      <c r="M81" s="417">
        <f t="shared" si="54"/>
        <v>69.649999999999991</v>
      </c>
    </row>
    <row r="82" spans="2:13" s="413" customFormat="1"/>
    <row r="83" spans="2:13" s="413" customFormat="1">
      <c r="B83" s="411" t="s">
        <v>233</v>
      </c>
      <c r="C83" s="409"/>
      <c r="D83" s="409"/>
      <c r="E83" s="409"/>
      <c r="F83" s="409"/>
      <c r="G83" s="409"/>
      <c r="H83" s="409"/>
      <c r="I83" s="409"/>
      <c r="J83" s="409"/>
      <c r="K83" s="409"/>
      <c r="L83" s="409"/>
      <c r="M83" s="409"/>
    </row>
    <row r="84" spans="2:13" s="413" customFormat="1">
      <c r="B84" s="413" t="str">
        <f>'Raw Trading Comps'!A29</f>
        <v>PT GoTo Gojek Tokopedia Tbk (IDX:GOTO)</v>
      </c>
      <c r="E84" s="55">
        <v>0</v>
      </c>
      <c r="F84" s="413">
        <f>_xlfn.XLOOKUP($B84,'Raw Trading Comps'!$A$15:$A$32,'Raw Trading Comps'!H$15:H$32)</f>
        <v>41.57</v>
      </c>
      <c r="G84" s="413">
        <f>_xlfn.XLOOKUP($B84,'Raw Trading Comps'!$A$15:$A$32,'Raw Trading Comps'!I$15:I$32)</f>
        <v>21.65</v>
      </c>
      <c r="H84" s="413">
        <f>_xlfn.XLOOKUP($B84,'Raw Trading Comps'!$A$15:$A$32,'Raw Trading Comps'!J$15:J$32)</f>
        <v>2.9</v>
      </c>
      <c r="I84" s="413">
        <f>_xlfn.XLOOKUP($B84,'Raw Trading Comps'!$A$15:$A$32,'Raw Trading Comps'!K$15:K$32)</f>
        <v>2.8</v>
      </c>
      <c r="J84" s="413">
        <f>_xlfn.XLOOKUP($B84,'Raw Trading Comps'!$A$15:$A$32,'Raw Trading Comps'!L$15:L$32)</f>
        <v>2.4300000000000002</v>
      </c>
      <c r="K84" s="55">
        <v>0</v>
      </c>
      <c r="L84" s="55">
        <v>0</v>
      </c>
      <c r="M84" s="413">
        <f>_xlfn.XLOOKUP($B84,'Raw Trading Comps'!$A$15:$A$32,'Raw Trading Comps'!O$15:O$32)</f>
        <v>86.32</v>
      </c>
    </row>
    <row r="85" spans="2:13" s="413" customFormat="1">
      <c r="B85" s="413" t="str">
        <f>'Raw Trading Comps'!A31</f>
        <v>Sea Limited (NYSE:SE)</v>
      </c>
      <c r="E85" s="413">
        <f>_xlfn.XLOOKUP($B85,'Raw Trading Comps'!$A$15:$A$32,'Raw Trading Comps'!G$15:G$32)</f>
        <v>35.299999999999997</v>
      </c>
      <c r="F85" s="413">
        <f>_xlfn.XLOOKUP($B85,'Raw Trading Comps'!$A$15:$A$32,'Raw Trading Comps'!H$15:H$32)</f>
        <v>21.78</v>
      </c>
      <c r="G85" s="413">
        <f>_xlfn.XLOOKUP($B85,'Raw Trading Comps'!$A$15:$A$32,'Raw Trading Comps'!I$15:I$32)</f>
        <v>17.079999999999998</v>
      </c>
      <c r="H85" s="413">
        <f>_xlfn.XLOOKUP($B85,'Raw Trading Comps'!$A$15:$A$32,'Raw Trading Comps'!J$15:J$32)</f>
        <v>3.6</v>
      </c>
      <c r="I85" s="413">
        <f>_xlfn.XLOOKUP($B85,'Raw Trading Comps'!$A$15:$A$32,'Raw Trading Comps'!K$15:K$32)</f>
        <v>3.41</v>
      </c>
      <c r="J85" s="413">
        <f>_xlfn.XLOOKUP($B85,'Raw Trading Comps'!$A$15:$A$32,'Raw Trading Comps'!L$15:L$32)</f>
        <v>2.74</v>
      </c>
      <c r="K85" s="413">
        <f>_xlfn.XLOOKUP($B85,'Raw Trading Comps'!$A$15:$A$32,'Raw Trading Comps'!M$15:M$32)</f>
        <v>70.3</v>
      </c>
      <c r="L85" s="413">
        <f>_xlfn.XLOOKUP($B85,'Raw Trading Comps'!$A$15:$A$32,'Raw Trading Comps'!N$15:N$32)</f>
        <v>39.42</v>
      </c>
      <c r="M85" s="413">
        <f>_xlfn.XLOOKUP($B85,'Raw Trading Comps'!$A$15:$A$32,'Raw Trading Comps'!O$15:O$32)</f>
        <v>26.82</v>
      </c>
    </row>
    <row r="86" spans="2:13" s="413" customFormat="1">
      <c r="B86" s="414" t="s">
        <v>235</v>
      </c>
      <c r="C86" s="414"/>
      <c r="D86" s="414"/>
      <c r="E86" s="414">
        <f t="shared" ref="E86:M86" si="55">AVERAGE(E84:E85)</f>
        <v>17.649999999999999</v>
      </c>
      <c r="F86" s="414">
        <f t="shared" si="55"/>
        <v>31.675000000000001</v>
      </c>
      <c r="G86" s="414">
        <f t="shared" si="55"/>
        <v>19.364999999999998</v>
      </c>
      <c r="H86" s="414">
        <f t="shared" si="55"/>
        <v>3.25</v>
      </c>
      <c r="I86" s="414">
        <f t="shared" si="55"/>
        <v>3.105</v>
      </c>
      <c r="J86" s="414">
        <f t="shared" si="55"/>
        <v>2.585</v>
      </c>
      <c r="K86" s="414">
        <f t="shared" si="55"/>
        <v>35.15</v>
      </c>
      <c r="L86" s="414">
        <f t="shared" si="55"/>
        <v>19.71</v>
      </c>
      <c r="M86" s="414">
        <f t="shared" si="55"/>
        <v>56.569999999999993</v>
      </c>
    </row>
    <row r="87" spans="2:13" s="413" customFormat="1">
      <c r="B87" s="415" t="s">
        <v>273</v>
      </c>
      <c r="C87" s="416"/>
      <c r="D87" s="416"/>
      <c r="E87" s="416">
        <f t="shared" ref="E87:M87" si="56">MEDIAN(E84:E85)</f>
        <v>17.649999999999999</v>
      </c>
      <c r="F87" s="416">
        <f t="shared" si="56"/>
        <v>31.675000000000001</v>
      </c>
      <c r="G87" s="416">
        <f t="shared" si="56"/>
        <v>19.364999999999998</v>
      </c>
      <c r="H87" s="416">
        <f t="shared" si="56"/>
        <v>3.25</v>
      </c>
      <c r="I87" s="416">
        <f t="shared" si="56"/>
        <v>3.105</v>
      </c>
      <c r="J87" s="416">
        <f t="shared" si="56"/>
        <v>2.585</v>
      </c>
      <c r="K87" s="416">
        <f t="shared" si="56"/>
        <v>35.15</v>
      </c>
      <c r="L87" s="416">
        <f t="shared" si="56"/>
        <v>19.71</v>
      </c>
      <c r="M87" s="416">
        <f t="shared" si="56"/>
        <v>56.569999999999993</v>
      </c>
    </row>
    <row r="88" spans="2:13" s="413" customFormat="1">
      <c r="B88" s="416" t="s">
        <v>274</v>
      </c>
      <c r="C88" s="416"/>
      <c r="D88" s="416"/>
      <c r="E88" s="416">
        <f t="shared" ref="E88:M88" si="57">_xlfn.PERCENTILE.INC(E84:E85,0.25)</f>
        <v>8.8249999999999993</v>
      </c>
      <c r="F88" s="416">
        <f t="shared" si="57"/>
        <v>26.727499999999999</v>
      </c>
      <c r="G88" s="416">
        <f t="shared" si="57"/>
        <v>18.222499999999997</v>
      </c>
      <c r="H88" s="416">
        <f t="shared" si="57"/>
        <v>3.0750000000000002</v>
      </c>
      <c r="I88" s="416">
        <f t="shared" si="57"/>
        <v>2.9524999999999997</v>
      </c>
      <c r="J88" s="416">
        <f t="shared" si="57"/>
        <v>2.5075000000000003</v>
      </c>
      <c r="K88" s="416">
        <f t="shared" si="57"/>
        <v>17.574999999999999</v>
      </c>
      <c r="L88" s="416">
        <f t="shared" si="57"/>
        <v>9.8550000000000004</v>
      </c>
      <c r="M88" s="416">
        <f t="shared" si="57"/>
        <v>41.695</v>
      </c>
    </row>
    <row r="89" spans="2:13" s="413" customFormat="1">
      <c r="B89" s="417" t="s">
        <v>275</v>
      </c>
      <c r="C89" s="417"/>
      <c r="D89" s="417"/>
      <c r="E89" s="417">
        <f t="shared" ref="E89:M89" si="58">_xlfn.PERCENTILE.INC(E84:E85,0.75)</f>
        <v>26.474999999999998</v>
      </c>
      <c r="F89" s="417">
        <f t="shared" si="58"/>
        <v>36.622500000000002</v>
      </c>
      <c r="G89" s="417">
        <f t="shared" si="58"/>
        <v>20.5075</v>
      </c>
      <c r="H89" s="417">
        <f t="shared" si="58"/>
        <v>3.4249999999999998</v>
      </c>
      <c r="I89" s="417">
        <f t="shared" si="58"/>
        <v>3.2575000000000003</v>
      </c>
      <c r="J89" s="417">
        <f t="shared" si="58"/>
        <v>2.6625000000000001</v>
      </c>
      <c r="K89" s="417">
        <f t="shared" si="58"/>
        <v>52.724999999999994</v>
      </c>
      <c r="L89" s="417">
        <f t="shared" si="58"/>
        <v>29.565000000000001</v>
      </c>
      <c r="M89" s="417">
        <f t="shared" si="58"/>
        <v>71.444999999999993</v>
      </c>
    </row>
    <row r="90" spans="2:13" s="413" customFormat="1"/>
    <row r="91" spans="2:13" s="413" customFormat="1">
      <c r="B91" s="411" t="s">
        <v>244</v>
      </c>
      <c r="C91" s="409"/>
      <c r="D91" s="409"/>
      <c r="E91" s="409"/>
      <c r="F91" s="409"/>
      <c r="G91" s="409"/>
      <c r="H91" s="409"/>
      <c r="I91" s="409"/>
      <c r="J91" s="409"/>
      <c r="K91" s="409"/>
      <c r="L91" s="409"/>
      <c r="M91" s="409"/>
    </row>
    <row r="92" spans="2:13" s="413" customFormat="1">
      <c r="B92" s="413" t="str">
        <f>'Raw Trading Comps'!A25</f>
        <v>Delivery Hero SE (XTRA:DHER)</v>
      </c>
      <c r="E92" s="413">
        <f>_xlfn.XLOOKUP($B92,'Raw Trading Comps'!$A$15:$A$32,'Raw Trading Comps'!G$15:G$32)</f>
        <v>14.9</v>
      </c>
      <c r="F92" s="413">
        <f>_xlfn.XLOOKUP($B92,'Raw Trading Comps'!$A$15:$A$32,'Raw Trading Comps'!H$15:H$32)</f>
        <v>8.42</v>
      </c>
      <c r="G92" s="413">
        <f>_xlfn.XLOOKUP($B92,'Raw Trading Comps'!$A$15:$A$32,'Raw Trading Comps'!I$15:I$32)</f>
        <v>6.84</v>
      </c>
      <c r="H92" s="413">
        <f>_xlfn.XLOOKUP($B92,'Raw Trading Comps'!$A$15:$A$32,'Raw Trading Comps'!J$15:J$32)</f>
        <v>0.6</v>
      </c>
      <c r="I92" s="413">
        <f>_xlfn.XLOOKUP($B92,'Raw Trading Comps'!$A$15:$A$32,'Raw Trading Comps'!K$15:K$32)</f>
        <v>0.54</v>
      </c>
      <c r="J92" s="413">
        <f>_xlfn.XLOOKUP($B92,'Raw Trading Comps'!$A$15:$A$32,'Raw Trading Comps'!L$15:L$32)</f>
        <v>0.49</v>
      </c>
      <c r="K92" s="55">
        <v>0</v>
      </c>
      <c r="L92" s="413">
        <f>_xlfn.XLOOKUP($B92,'Raw Trading Comps'!$A$15:$A$32,'Raw Trading Comps'!N$15:N$32)</f>
        <v>37.619999999999997</v>
      </c>
      <c r="M92" s="413">
        <f>_xlfn.XLOOKUP($B92,'Raw Trading Comps'!$A$15:$A$32,'Raw Trading Comps'!O$15:O$32)</f>
        <v>19.64</v>
      </c>
    </row>
    <row r="93" spans="2:13" s="413" customFormat="1">
      <c r="B93" s="413" t="str">
        <f>'Raw Trading Comps'!A31</f>
        <v>Sea Limited (NYSE:SE)</v>
      </c>
      <c r="E93" s="413">
        <f>_xlfn.XLOOKUP($B93,'Raw Trading Comps'!$A$15:$A$32,'Raw Trading Comps'!G$15:G$32)</f>
        <v>35.299999999999997</v>
      </c>
      <c r="F93" s="413">
        <f>_xlfn.XLOOKUP($B93,'Raw Trading Comps'!$A$15:$A$32,'Raw Trading Comps'!H$15:H$32)</f>
        <v>21.78</v>
      </c>
      <c r="G93" s="413">
        <f>_xlfn.XLOOKUP($B93,'Raw Trading Comps'!$A$15:$A$32,'Raw Trading Comps'!I$15:I$32)</f>
        <v>17.079999999999998</v>
      </c>
      <c r="H93" s="413">
        <f>_xlfn.XLOOKUP($B93,'Raw Trading Comps'!$A$15:$A$32,'Raw Trading Comps'!J$15:J$32)</f>
        <v>3.6</v>
      </c>
      <c r="I93" s="413">
        <f>_xlfn.XLOOKUP($B93,'Raw Trading Comps'!$A$15:$A$32,'Raw Trading Comps'!K$15:K$32)</f>
        <v>3.41</v>
      </c>
      <c r="J93" s="413">
        <f>_xlfn.XLOOKUP($B93,'Raw Trading Comps'!$A$15:$A$32,'Raw Trading Comps'!L$15:L$32)</f>
        <v>2.74</v>
      </c>
      <c r="K93" s="413">
        <f>_xlfn.XLOOKUP($B93,'Raw Trading Comps'!$A$15:$A$32,'Raw Trading Comps'!M$15:M$32)</f>
        <v>70.3</v>
      </c>
      <c r="L93" s="413">
        <f>_xlfn.XLOOKUP($B93,'Raw Trading Comps'!$A$15:$A$32,'Raw Trading Comps'!N$15:N$32)</f>
        <v>39.42</v>
      </c>
      <c r="M93" s="413">
        <f>_xlfn.XLOOKUP($B93,'Raw Trading Comps'!$A$15:$A$32,'Raw Trading Comps'!O$15:O$32)</f>
        <v>26.82</v>
      </c>
    </row>
    <row r="94" spans="2:13" s="413" customFormat="1">
      <c r="B94" s="414" t="s">
        <v>235</v>
      </c>
      <c r="C94" s="414"/>
      <c r="D94" s="414"/>
      <c r="E94" s="414">
        <f t="shared" ref="E94:M94" si="59">AVERAGE(E92:E93)</f>
        <v>25.099999999999998</v>
      </c>
      <c r="F94" s="414">
        <f t="shared" si="59"/>
        <v>15.100000000000001</v>
      </c>
      <c r="G94" s="414">
        <f t="shared" si="59"/>
        <v>11.959999999999999</v>
      </c>
      <c r="H94" s="414">
        <f t="shared" si="59"/>
        <v>2.1</v>
      </c>
      <c r="I94" s="414">
        <f t="shared" si="59"/>
        <v>1.9750000000000001</v>
      </c>
      <c r="J94" s="414">
        <f t="shared" si="59"/>
        <v>1.6150000000000002</v>
      </c>
      <c r="K94" s="414">
        <f t="shared" si="59"/>
        <v>35.15</v>
      </c>
      <c r="L94" s="414">
        <f t="shared" si="59"/>
        <v>38.519999999999996</v>
      </c>
      <c r="M94" s="414">
        <f t="shared" si="59"/>
        <v>23.23</v>
      </c>
    </row>
    <row r="95" spans="2:13" s="413" customFormat="1">
      <c r="B95" s="415" t="s">
        <v>273</v>
      </c>
      <c r="C95" s="416"/>
      <c r="D95" s="416"/>
      <c r="E95" s="416">
        <f t="shared" ref="E95:M95" si="60">MEDIAN(E92:E93)</f>
        <v>25.1</v>
      </c>
      <c r="F95" s="416">
        <f t="shared" si="60"/>
        <v>15.100000000000001</v>
      </c>
      <c r="G95" s="416">
        <f t="shared" si="60"/>
        <v>11.959999999999999</v>
      </c>
      <c r="H95" s="416">
        <f t="shared" si="60"/>
        <v>2.1</v>
      </c>
      <c r="I95" s="416">
        <f t="shared" si="60"/>
        <v>1.9750000000000001</v>
      </c>
      <c r="J95" s="416">
        <f t="shared" si="60"/>
        <v>1.615</v>
      </c>
      <c r="K95" s="416">
        <f t="shared" si="60"/>
        <v>35.15</v>
      </c>
      <c r="L95" s="416">
        <f t="shared" si="60"/>
        <v>38.519999999999996</v>
      </c>
      <c r="M95" s="416">
        <f t="shared" si="60"/>
        <v>23.23</v>
      </c>
    </row>
    <row r="96" spans="2:13" s="413" customFormat="1">
      <c r="B96" s="416" t="s">
        <v>274</v>
      </c>
      <c r="C96" s="416"/>
      <c r="D96" s="416"/>
      <c r="E96" s="416">
        <f t="shared" ref="E96:M96" si="61">_xlfn.PERCENTILE.INC(E92:E93,0.25)</f>
        <v>20</v>
      </c>
      <c r="F96" s="416">
        <f t="shared" si="61"/>
        <v>11.76</v>
      </c>
      <c r="G96" s="416">
        <f t="shared" si="61"/>
        <v>9.3999999999999986</v>
      </c>
      <c r="H96" s="416">
        <f t="shared" si="61"/>
        <v>1.35</v>
      </c>
      <c r="I96" s="416">
        <f t="shared" si="61"/>
        <v>1.2575000000000001</v>
      </c>
      <c r="J96" s="416">
        <f t="shared" si="61"/>
        <v>1.0525</v>
      </c>
      <c r="K96" s="416">
        <f t="shared" si="61"/>
        <v>17.574999999999999</v>
      </c>
      <c r="L96" s="416">
        <f t="shared" si="61"/>
        <v>38.07</v>
      </c>
      <c r="M96" s="416">
        <f t="shared" si="61"/>
        <v>21.435000000000002</v>
      </c>
    </row>
    <row r="97" spans="2:13" s="413" customFormat="1">
      <c r="B97" s="417" t="s">
        <v>275</v>
      </c>
      <c r="C97" s="417"/>
      <c r="D97" s="417"/>
      <c r="E97" s="417">
        <f t="shared" ref="E97:M97" si="62">_xlfn.PERCENTILE.INC(E92:E93,0.75)</f>
        <v>30.2</v>
      </c>
      <c r="F97" s="417">
        <f t="shared" si="62"/>
        <v>18.440000000000001</v>
      </c>
      <c r="G97" s="417">
        <f t="shared" si="62"/>
        <v>14.52</v>
      </c>
      <c r="H97" s="417">
        <f t="shared" si="62"/>
        <v>2.85</v>
      </c>
      <c r="I97" s="417">
        <f t="shared" si="62"/>
        <v>2.6924999999999999</v>
      </c>
      <c r="J97" s="417">
        <f t="shared" si="62"/>
        <v>2.1775000000000002</v>
      </c>
      <c r="K97" s="417">
        <f t="shared" si="62"/>
        <v>52.724999999999994</v>
      </c>
      <c r="L97" s="417">
        <f t="shared" si="62"/>
        <v>38.97</v>
      </c>
      <c r="M97" s="417">
        <f t="shared" si="62"/>
        <v>25.024999999999999</v>
      </c>
    </row>
    <row r="98" spans="2:13" s="413" customFormat="1"/>
    <row r="99" spans="2:13" s="413" customFormat="1">
      <c r="B99" s="411" t="s">
        <v>239</v>
      </c>
      <c r="C99" s="409"/>
      <c r="D99" s="409"/>
      <c r="E99" s="409"/>
      <c r="F99" s="409"/>
      <c r="G99" s="409"/>
      <c r="H99" s="409"/>
      <c r="I99" s="409"/>
      <c r="J99" s="409"/>
      <c r="K99" s="409"/>
      <c r="L99" s="409"/>
      <c r="M99" s="409"/>
    </row>
    <row r="100" spans="2:13" s="413" customFormat="1">
      <c r="B100" s="413" t="str">
        <f>'Raw Trading Comps'!A25</f>
        <v>Delivery Hero SE (XTRA:DHER)</v>
      </c>
      <c r="E100" s="413">
        <f>_xlfn.XLOOKUP($B100,'Raw Trading Comps'!$A$15:$A$32,'Raw Trading Comps'!G$15:G$32)</f>
        <v>14.9</v>
      </c>
      <c r="F100" s="413">
        <f>_xlfn.XLOOKUP($B100,'Raw Trading Comps'!$A$15:$A$32,'Raw Trading Comps'!H$15:H$32)</f>
        <v>8.42</v>
      </c>
      <c r="G100" s="413">
        <f>_xlfn.XLOOKUP($B100,'Raw Trading Comps'!$A$15:$A$32,'Raw Trading Comps'!I$15:I$32)</f>
        <v>6.84</v>
      </c>
      <c r="H100" s="413">
        <f>_xlfn.XLOOKUP($B100,'Raw Trading Comps'!$A$15:$A$32,'Raw Trading Comps'!J$15:J$32)</f>
        <v>0.6</v>
      </c>
      <c r="I100" s="413">
        <f>_xlfn.XLOOKUP($B100,'Raw Trading Comps'!$A$15:$A$32,'Raw Trading Comps'!K$15:K$32)</f>
        <v>0.54</v>
      </c>
      <c r="J100" s="413">
        <f>_xlfn.XLOOKUP($B100,'Raw Trading Comps'!$A$15:$A$32,'Raw Trading Comps'!L$15:L$32)</f>
        <v>0.49</v>
      </c>
      <c r="K100" s="55">
        <v>0</v>
      </c>
      <c r="L100" s="413">
        <f>_xlfn.XLOOKUP($B100,'Raw Trading Comps'!$A$15:$A$32,'Raw Trading Comps'!N$15:N$32)</f>
        <v>37.619999999999997</v>
      </c>
      <c r="M100" s="413">
        <f>_xlfn.XLOOKUP($B100,'Raw Trading Comps'!$A$15:$A$32,'Raw Trading Comps'!O$15:O$32)</f>
        <v>19.64</v>
      </c>
    </row>
    <row r="101" spans="2:13" s="413" customFormat="1">
      <c r="B101" s="413" t="str">
        <f>'Raw Trading Comps'!A31</f>
        <v>Sea Limited (NYSE:SE)</v>
      </c>
      <c r="E101" s="413">
        <f>_xlfn.XLOOKUP($B101,'Raw Trading Comps'!$A$15:$A$32,'Raw Trading Comps'!G$15:G$32)</f>
        <v>35.299999999999997</v>
      </c>
      <c r="F101" s="413">
        <f>_xlfn.XLOOKUP($B101,'Raw Trading Comps'!$A$15:$A$32,'Raw Trading Comps'!H$15:H$32)</f>
        <v>21.78</v>
      </c>
      <c r="G101" s="413">
        <f>_xlfn.XLOOKUP($B101,'Raw Trading Comps'!$A$15:$A$32,'Raw Trading Comps'!I$15:I$32)</f>
        <v>17.079999999999998</v>
      </c>
      <c r="H101" s="413">
        <f>_xlfn.XLOOKUP($B101,'Raw Trading Comps'!$A$15:$A$32,'Raw Trading Comps'!J$15:J$32)</f>
        <v>3.6</v>
      </c>
      <c r="I101" s="413">
        <f>_xlfn.XLOOKUP($B101,'Raw Trading Comps'!$A$15:$A$32,'Raw Trading Comps'!K$15:K$32)</f>
        <v>3.41</v>
      </c>
      <c r="J101" s="413">
        <f>_xlfn.XLOOKUP($B101,'Raw Trading Comps'!$A$15:$A$32,'Raw Trading Comps'!L$15:L$32)</f>
        <v>2.74</v>
      </c>
      <c r="K101" s="413">
        <f>_xlfn.XLOOKUP($B101,'Raw Trading Comps'!$A$15:$A$32,'Raw Trading Comps'!M$15:M$32)</f>
        <v>70.3</v>
      </c>
      <c r="L101" s="413">
        <f>_xlfn.XLOOKUP($B101,'Raw Trading Comps'!$A$15:$A$32,'Raw Trading Comps'!N$15:N$32)</f>
        <v>39.42</v>
      </c>
      <c r="M101" s="413">
        <f>_xlfn.XLOOKUP($B101,'Raw Trading Comps'!$A$15:$A$32,'Raw Trading Comps'!O$15:O$32)</f>
        <v>26.82</v>
      </c>
    </row>
    <row r="102" spans="2:13" s="413" customFormat="1">
      <c r="B102" s="414" t="s">
        <v>235</v>
      </c>
      <c r="C102" s="414"/>
      <c r="D102" s="414"/>
      <c r="E102" s="414">
        <f t="shared" ref="E102:M102" si="63">AVERAGE(E100:E101)</f>
        <v>25.099999999999998</v>
      </c>
      <c r="F102" s="414">
        <f t="shared" si="63"/>
        <v>15.100000000000001</v>
      </c>
      <c r="G102" s="414">
        <f t="shared" si="63"/>
        <v>11.959999999999999</v>
      </c>
      <c r="H102" s="414">
        <f t="shared" si="63"/>
        <v>2.1</v>
      </c>
      <c r="I102" s="414">
        <f t="shared" si="63"/>
        <v>1.9750000000000001</v>
      </c>
      <c r="J102" s="414">
        <f t="shared" si="63"/>
        <v>1.6150000000000002</v>
      </c>
      <c r="K102" s="414">
        <f t="shared" si="63"/>
        <v>35.15</v>
      </c>
      <c r="L102" s="414">
        <f t="shared" si="63"/>
        <v>38.519999999999996</v>
      </c>
      <c r="M102" s="414">
        <f t="shared" si="63"/>
        <v>23.23</v>
      </c>
    </row>
    <row r="103" spans="2:13" s="413" customFormat="1">
      <c r="B103" s="415" t="s">
        <v>273</v>
      </c>
      <c r="C103" s="416"/>
      <c r="D103" s="416"/>
      <c r="E103" s="416">
        <f t="shared" ref="E103:M103" si="64">MEDIAN(E100:E101)</f>
        <v>25.1</v>
      </c>
      <c r="F103" s="416">
        <f t="shared" si="64"/>
        <v>15.100000000000001</v>
      </c>
      <c r="G103" s="416">
        <f t="shared" si="64"/>
        <v>11.959999999999999</v>
      </c>
      <c r="H103" s="416">
        <f t="shared" si="64"/>
        <v>2.1</v>
      </c>
      <c r="I103" s="416">
        <f t="shared" si="64"/>
        <v>1.9750000000000001</v>
      </c>
      <c r="J103" s="416">
        <f t="shared" si="64"/>
        <v>1.615</v>
      </c>
      <c r="K103" s="416">
        <f t="shared" si="64"/>
        <v>35.15</v>
      </c>
      <c r="L103" s="416">
        <f t="shared" si="64"/>
        <v>38.519999999999996</v>
      </c>
      <c r="M103" s="416">
        <f t="shared" si="64"/>
        <v>23.23</v>
      </c>
    </row>
    <row r="104" spans="2:13" s="413" customFormat="1">
      <c r="B104" s="416" t="s">
        <v>274</v>
      </c>
      <c r="C104" s="416"/>
      <c r="D104" s="416"/>
      <c r="E104" s="416">
        <f t="shared" ref="E104:M104" si="65">_xlfn.PERCENTILE.INC(E100:E101,0.25)</f>
        <v>20</v>
      </c>
      <c r="F104" s="416">
        <f t="shared" si="65"/>
        <v>11.76</v>
      </c>
      <c r="G104" s="416">
        <f t="shared" si="65"/>
        <v>9.3999999999999986</v>
      </c>
      <c r="H104" s="416">
        <f t="shared" si="65"/>
        <v>1.35</v>
      </c>
      <c r="I104" s="416">
        <f t="shared" si="65"/>
        <v>1.2575000000000001</v>
      </c>
      <c r="J104" s="416">
        <f t="shared" si="65"/>
        <v>1.0525</v>
      </c>
      <c r="K104" s="416">
        <f t="shared" si="65"/>
        <v>17.574999999999999</v>
      </c>
      <c r="L104" s="416">
        <f t="shared" si="65"/>
        <v>38.07</v>
      </c>
      <c r="M104" s="416">
        <f t="shared" si="65"/>
        <v>21.435000000000002</v>
      </c>
    </row>
    <row r="105" spans="2:13" s="413" customFormat="1">
      <c r="B105" s="417" t="s">
        <v>275</v>
      </c>
      <c r="C105" s="417"/>
      <c r="D105" s="417"/>
      <c r="E105" s="417">
        <f t="shared" ref="E105:M105" si="66">_xlfn.PERCENTILE.INC(E100:E101,0.75)</f>
        <v>30.2</v>
      </c>
      <c r="F105" s="417">
        <f t="shared" si="66"/>
        <v>18.440000000000001</v>
      </c>
      <c r="G105" s="417">
        <f t="shared" si="66"/>
        <v>14.52</v>
      </c>
      <c r="H105" s="417">
        <f t="shared" si="66"/>
        <v>2.85</v>
      </c>
      <c r="I105" s="417">
        <f t="shared" si="66"/>
        <v>2.6924999999999999</v>
      </c>
      <c r="J105" s="417">
        <f t="shared" si="66"/>
        <v>2.1775000000000002</v>
      </c>
      <c r="K105" s="417">
        <f t="shared" si="66"/>
        <v>52.724999999999994</v>
      </c>
      <c r="L105" s="417">
        <f t="shared" si="66"/>
        <v>38.97</v>
      </c>
      <c r="M105" s="417">
        <f t="shared" si="66"/>
        <v>25.024999999999999</v>
      </c>
    </row>
    <row r="106" spans="2:13" s="413" customFormat="1"/>
    <row r="107" spans="2:13" s="413" customFormat="1">
      <c r="B107" s="411" t="s">
        <v>258</v>
      </c>
      <c r="C107" s="409"/>
      <c r="D107" s="409"/>
      <c r="E107" s="409"/>
      <c r="F107" s="409"/>
      <c r="G107" s="409"/>
      <c r="H107" s="409"/>
      <c r="I107" s="409"/>
      <c r="J107" s="409"/>
      <c r="K107" s="409"/>
      <c r="L107" s="409"/>
      <c r="M107" s="409"/>
    </row>
    <row r="108" spans="2:13" s="413" customFormat="1">
      <c r="B108" s="413" t="str">
        <f>'Raw Trading Comps'!A29</f>
        <v>PT GoTo Gojek Tokopedia Tbk (IDX:GOTO)</v>
      </c>
      <c r="E108" s="413">
        <f>AVERAGE(F108:G108)</f>
        <v>31.61</v>
      </c>
      <c r="F108" s="413">
        <f>_xlfn.XLOOKUP($B108,'Raw Trading Comps'!$A$15:$A$32,'Raw Trading Comps'!H$15:H$32)</f>
        <v>41.57</v>
      </c>
      <c r="G108" s="413">
        <f>_xlfn.XLOOKUP($B108,'Raw Trading Comps'!$A$15:$A$32,'Raw Trading Comps'!I$15:I$32)</f>
        <v>21.65</v>
      </c>
      <c r="H108" s="413">
        <f>_xlfn.XLOOKUP($B108,'Raw Trading Comps'!$A$15:$A$32,'Raw Trading Comps'!J$15:J$32)</f>
        <v>2.9</v>
      </c>
      <c r="I108" s="413">
        <f>_xlfn.XLOOKUP($B108,'Raw Trading Comps'!$A$15:$A$32,'Raw Trading Comps'!K$15:K$32)</f>
        <v>2.8</v>
      </c>
      <c r="J108" s="413">
        <f>_xlfn.XLOOKUP($B108,'Raw Trading Comps'!$A$15:$A$32,'Raw Trading Comps'!L$15:L$32)</f>
        <v>2.4300000000000002</v>
      </c>
      <c r="K108" s="55">
        <v>0</v>
      </c>
      <c r="L108" s="55">
        <v>0</v>
      </c>
      <c r="M108" s="413">
        <f>_xlfn.XLOOKUP($B108,'Raw Trading Comps'!$A$15:$A$32,'Raw Trading Comps'!O$15:O$32)</f>
        <v>86.32</v>
      </c>
    </row>
    <row r="109" spans="2:13" s="413" customFormat="1">
      <c r="B109" s="413" t="str">
        <f>'Raw Trading Comps'!A31</f>
        <v>Sea Limited (NYSE:SE)</v>
      </c>
      <c r="E109" s="413">
        <f>_xlfn.XLOOKUP($B109,'Raw Trading Comps'!$A$15:$A$32,'Raw Trading Comps'!G$15:G$32)</f>
        <v>35.299999999999997</v>
      </c>
      <c r="F109" s="413">
        <f>_xlfn.XLOOKUP($B109,'Raw Trading Comps'!$A$15:$A$32,'Raw Trading Comps'!H$15:H$32)</f>
        <v>21.78</v>
      </c>
      <c r="G109" s="413">
        <f>_xlfn.XLOOKUP($B109,'Raw Trading Comps'!$A$15:$A$32,'Raw Trading Comps'!I$15:I$32)</f>
        <v>17.079999999999998</v>
      </c>
      <c r="H109" s="413">
        <f>_xlfn.XLOOKUP($B109,'Raw Trading Comps'!$A$15:$A$32,'Raw Trading Comps'!J$15:J$32)</f>
        <v>3.6</v>
      </c>
      <c r="I109" s="413">
        <f>_xlfn.XLOOKUP($B109,'Raw Trading Comps'!$A$15:$A$32,'Raw Trading Comps'!K$15:K$32)</f>
        <v>3.41</v>
      </c>
      <c r="J109" s="413">
        <f>_xlfn.XLOOKUP($B109,'Raw Trading Comps'!$A$15:$A$32,'Raw Trading Comps'!L$15:L$32)</f>
        <v>2.74</v>
      </c>
      <c r="K109" s="413">
        <f>_xlfn.XLOOKUP($B109,'Raw Trading Comps'!$A$15:$A$32,'Raw Trading Comps'!M$15:M$32)</f>
        <v>70.3</v>
      </c>
      <c r="L109" s="413">
        <f>_xlfn.XLOOKUP($B109,'Raw Trading Comps'!$A$15:$A$32,'Raw Trading Comps'!N$15:N$32)</f>
        <v>39.42</v>
      </c>
      <c r="M109" s="413">
        <f>_xlfn.XLOOKUP($B109,'Raw Trading Comps'!$A$15:$A$32,'Raw Trading Comps'!O$15:O$32)</f>
        <v>26.82</v>
      </c>
    </row>
    <row r="110" spans="2:13" s="413" customFormat="1">
      <c r="B110" s="414" t="s">
        <v>235</v>
      </c>
      <c r="C110" s="414"/>
      <c r="D110" s="414"/>
      <c r="E110" s="414">
        <f t="shared" ref="E110:M110" si="67">AVERAGE(E108:E109)</f>
        <v>33.454999999999998</v>
      </c>
      <c r="F110" s="414">
        <f t="shared" si="67"/>
        <v>31.675000000000001</v>
      </c>
      <c r="G110" s="414">
        <f t="shared" si="67"/>
        <v>19.364999999999998</v>
      </c>
      <c r="H110" s="414">
        <f t="shared" si="67"/>
        <v>3.25</v>
      </c>
      <c r="I110" s="414">
        <f t="shared" si="67"/>
        <v>3.105</v>
      </c>
      <c r="J110" s="414">
        <f t="shared" si="67"/>
        <v>2.585</v>
      </c>
      <c r="K110" s="414">
        <f t="shared" si="67"/>
        <v>35.15</v>
      </c>
      <c r="L110" s="414">
        <f t="shared" si="67"/>
        <v>19.71</v>
      </c>
      <c r="M110" s="414">
        <f t="shared" si="67"/>
        <v>56.569999999999993</v>
      </c>
    </row>
    <row r="111" spans="2:13" s="413" customFormat="1">
      <c r="B111" s="415" t="s">
        <v>273</v>
      </c>
      <c r="C111" s="416"/>
      <c r="D111" s="416"/>
      <c r="E111" s="416">
        <f t="shared" ref="E111:M111" si="68">MEDIAN(E108:E109)</f>
        <v>33.454999999999998</v>
      </c>
      <c r="F111" s="416">
        <f t="shared" si="68"/>
        <v>31.675000000000001</v>
      </c>
      <c r="G111" s="416">
        <f t="shared" si="68"/>
        <v>19.364999999999998</v>
      </c>
      <c r="H111" s="416">
        <f t="shared" si="68"/>
        <v>3.25</v>
      </c>
      <c r="I111" s="416">
        <f t="shared" si="68"/>
        <v>3.105</v>
      </c>
      <c r="J111" s="416">
        <f t="shared" si="68"/>
        <v>2.585</v>
      </c>
      <c r="K111" s="416">
        <f t="shared" si="68"/>
        <v>35.15</v>
      </c>
      <c r="L111" s="416">
        <f t="shared" si="68"/>
        <v>19.71</v>
      </c>
      <c r="M111" s="416">
        <f t="shared" si="68"/>
        <v>56.569999999999993</v>
      </c>
    </row>
    <row r="112" spans="2:13" s="413" customFormat="1">
      <c r="B112" s="416" t="s">
        <v>274</v>
      </c>
      <c r="C112" s="416"/>
      <c r="D112" s="416"/>
      <c r="E112" s="416">
        <f t="shared" ref="E112:M112" si="69">_xlfn.PERCENTILE.INC(E108:E109,0.25)</f>
        <v>32.532499999999999</v>
      </c>
      <c r="F112" s="416">
        <f t="shared" si="69"/>
        <v>26.727499999999999</v>
      </c>
      <c r="G112" s="416">
        <f t="shared" si="69"/>
        <v>18.222499999999997</v>
      </c>
      <c r="H112" s="416">
        <f t="shared" si="69"/>
        <v>3.0750000000000002</v>
      </c>
      <c r="I112" s="416">
        <f t="shared" si="69"/>
        <v>2.9524999999999997</v>
      </c>
      <c r="J112" s="416">
        <f t="shared" si="69"/>
        <v>2.5075000000000003</v>
      </c>
      <c r="K112" s="416">
        <f t="shared" si="69"/>
        <v>17.574999999999999</v>
      </c>
      <c r="L112" s="416">
        <f t="shared" si="69"/>
        <v>9.8550000000000004</v>
      </c>
      <c r="M112" s="416">
        <f t="shared" si="69"/>
        <v>41.695</v>
      </c>
    </row>
    <row r="113" spans="1:13" s="413" customFormat="1">
      <c r="B113" s="417" t="s">
        <v>275</v>
      </c>
      <c r="C113" s="417"/>
      <c r="D113" s="417"/>
      <c r="E113" s="417">
        <f t="shared" ref="E113:M113" si="70">_xlfn.PERCENTILE.INC(E108:E109,0.75)</f>
        <v>34.377499999999998</v>
      </c>
      <c r="F113" s="417">
        <f t="shared" si="70"/>
        <v>36.622500000000002</v>
      </c>
      <c r="G113" s="417">
        <f t="shared" si="70"/>
        <v>20.5075</v>
      </c>
      <c r="H113" s="417">
        <f t="shared" si="70"/>
        <v>3.4249999999999998</v>
      </c>
      <c r="I113" s="417">
        <f t="shared" si="70"/>
        <v>3.2575000000000003</v>
      </c>
      <c r="J113" s="417">
        <f t="shared" si="70"/>
        <v>2.6625000000000001</v>
      </c>
      <c r="K113" s="417">
        <f t="shared" si="70"/>
        <v>52.724999999999994</v>
      </c>
      <c r="L113" s="417">
        <f t="shared" si="70"/>
        <v>29.565000000000001</v>
      </c>
      <c r="M113" s="417">
        <f t="shared" si="70"/>
        <v>71.444999999999993</v>
      </c>
    </row>
    <row r="114" spans="1:13" s="413" customFormat="1"/>
    <row r="115" spans="1:13" s="413" customFormat="1">
      <c r="B115" s="419" t="s">
        <v>280</v>
      </c>
      <c r="C115" s="420" t="s">
        <v>250</v>
      </c>
      <c r="D115" s="420" t="s">
        <v>277</v>
      </c>
      <c r="E115" s="418"/>
      <c r="F115" s="418"/>
      <c r="G115" s="418"/>
      <c r="H115" s="418"/>
      <c r="I115" s="418"/>
      <c r="J115" s="418"/>
      <c r="K115" s="418"/>
      <c r="L115" s="418"/>
      <c r="M115" s="418"/>
    </row>
    <row r="116" spans="1:13" s="413" customFormat="1">
      <c r="B116" s="38" t="s">
        <v>231</v>
      </c>
      <c r="C116" s="55">
        <v>578</v>
      </c>
      <c r="D116" s="99">
        <f>C116/$C$123</f>
        <v>0.20664998212370397</v>
      </c>
      <c r="E116" s="413">
        <f>E71</f>
        <v>7.45</v>
      </c>
      <c r="F116" s="413">
        <f t="shared" ref="F116:M116" si="71">F74</f>
        <v>0</v>
      </c>
      <c r="G116" s="413">
        <f t="shared" si="71"/>
        <v>0</v>
      </c>
      <c r="H116" s="413">
        <f t="shared" si="71"/>
        <v>0</v>
      </c>
      <c r="I116" s="413">
        <f t="shared" si="71"/>
        <v>0</v>
      </c>
      <c r="J116" s="413">
        <f t="shared" si="71"/>
        <v>0</v>
      </c>
      <c r="K116" s="413">
        <f t="shared" si="71"/>
        <v>0</v>
      </c>
      <c r="L116" s="413">
        <f t="shared" si="71"/>
        <v>0</v>
      </c>
      <c r="M116" s="413">
        <f t="shared" si="71"/>
        <v>0</v>
      </c>
    </row>
    <row r="117" spans="1:13" s="413" customFormat="1">
      <c r="B117" s="38" t="s">
        <v>257</v>
      </c>
      <c r="C117" s="55">
        <v>816</v>
      </c>
      <c r="D117" s="99">
        <f t="shared" ref="D117:D122" si="72">C117/$C$123</f>
        <v>0.29174115123346445</v>
      </c>
      <c r="E117" s="413">
        <f>E79</f>
        <v>7.45</v>
      </c>
      <c r="F117" s="413">
        <f t="shared" ref="F117:M117" si="73">F81</f>
        <v>33.282499999999999</v>
      </c>
      <c r="G117" s="413">
        <f t="shared" si="73"/>
        <v>17.947499999999998</v>
      </c>
      <c r="H117" s="413">
        <f t="shared" si="73"/>
        <v>2.3249999999999997</v>
      </c>
      <c r="I117" s="413">
        <f t="shared" si="73"/>
        <v>2.2349999999999999</v>
      </c>
      <c r="J117" s="413">
        <f t="shared" si="73"/>
        <v>1.9450000000000001</v>
      </c>
      <c r="K117" s="413">
        <f t="shared" si="73"/>
        <v>0</v>
      </c>
      <c r="L117" s="413">
        <f t="shared" si="73"/>
        <v>28.214999999999996</v>
      </c>
      <c r="M117" s="413">
        <f t="shared" si="73"/>
        <v>69.649999999999991</v>
      </c>
    </row>
    <row r="118" spans="1:13" s="413" customFormat="1">
      <c r="B118" s="38" t="s">
        <v>233</v>
      </c>
      <c r="C118" s="55">
        <v>643</v>
      </c>
      <c r="D118" s="99">
        <f t="shared" si="72"/>
        <v>0.22988916696460493</v>
      </c>
      <c r="E118" s="413">
        <f>E87</f>
        <v>17.649999999999999</v>
      </c>
      <c r="F118" s="413">
        <f t="shared" ref="F118:M118" si="74">F89</f>
        <v>36.622500000000002</v>
      </c>
      <c r="G118" s="413">
        <f t="shared" si="74"/>
        <v>20.5075</v>
      </c>
      <c r="H118" s="413">
        <f t="shared" si="74"/>
        <v>3.4249999999999998</v>
      </c>
      <c r="I118" s="413">
        <f t="shared" si="74"/>
        <v>3.2575000000000003</v>
      </c>
      <c r="J118" s="413">
        <f t="shared" si="74"/>
        <v>2.6625000000000001</v>
      </c>
      <c r="K118" s="413">
        <f t="shared" si="74"/>
        <v>52.724999999999994</v>
      </c>
      <c r="L118" s="413">
        <f t="shared" si="74"/>
        <v>29.565000000000001</v>
      </c>
      <c r="M118" s="413">
        <f t="shared" si="74"/>
        <v>71.444999999999993</v>
      </c>
    </row>
    <row r="119" spans="1:13" s="413" customFormat="1">
      <c r="B119" s="38" t="s">
        <v>244</v>
      </c>
      <c r="C119" s="55">
        <v>265</v>
      </c>
      <c r="D119" s="99">
        <f t="shared" si="72"/>
        <v>9.4744368966750092E-2</v>
      </c>
      <c r="E119" s="413">
        <f>E95</f>
        <v>25.1</v>
      </c>
      <c r="F119" s="413">
        <f t="shared" ref="F119:M119" si="75">F96</f>
        <v>11.76</v>
      </c>
      <c r="G119" s="413">
        <f t="shared" si="75"/>
        <v>9.3999999999999986</v>
      </c>
      <c r="H119" s="413">
        <f t="shared" si="75"/>
        <v>1.35</v>
      </c>
      <c r="I119" s="413">
        <f t="shared" si="75"/>
        <v>1.2575000000000001</v>
      </c>
      <c r="J119" s="413">
        <f t="shared" si="75"/>
        <v>1.0525</v>
      </c>
      <c r="K119" s="413">
        <f t="shared" si="75"/>
        <v>17.574999999999999</v>
      </c>
      <c r="L119" s="413">
        <f t="shared" si="75"/>
        <v>38.07</v>
      </c>
      <c r="M119" s="413">
        <f t="shared" si="75"/>
        <v>21.435000000000002</v>
      </c>
    </row>
    <row r="120" spans="1:13" s="413" customFormat="1">
      <c r="B120" s="38" t="s">
        <v>239</v>
      </c>
      <c r="C120" s="55">
        <v>252</v>
      </c>
      <c r="D120" s="99">
        <f t="shared" si="72"/>
        <v>9.0096531998569901E-2</v>
      </c>
      <c r="E120" s="413">
        <f>E103</f>
        <v>25.1</v>
      </c>
      <c r="F120" s="413">
        <f t="shared" ref="F120:M120" si="76">F104</f>
        <v>11.76</v>
      </c>
      <c r="G120" s="413">
        <f t="shared" si="76"/>
        <v>9.3999999999999986</v>
      </c>
      <c r="H120" s="413">
        <f t="shared" si="76"/>
        <v>1.35</v>
      </c>
      <c r="I120" s="413">
        <f t="shared" si="76"/>
        <v>1.2575000000000001</v>
      </c>
      <c r="J120" s="413">
        <f t="shared" si="76"/>
        <v>1.0525</v>
      </c>
      <c r="K120" s="413">
        <f t="shared" si="76"/>
        <v>17.574999999999999</v>
      </c>
      <c r="L120" s="413">
        <f t="shared" si="76"/>
        <v>38.07</v>
      </c>
      <c r="M120" s="413">
        <f t="shared" si="76"/>
        <v>21.435000000000002</v>
      </c>
    </row>
    <row r="121" spans="1:13" s="413" customFormat="1">
      <c r="B121" s="38" t="s">
        <v>258</v>
      </c>
      <c r="C121" s="55">
        <v>228</v>
      </c>
      <c r="D121" s="99">
        <f t="shared" si="72"/>
        <v>8.1515909903468006E-2</v>
      </c>
      <c r="E121" s="413">
        <f>E111</f>
        <v>33.454999999999998</v>
      </c>
      <c r="F121" s="413">
        <f t="shared" ref="F121:M121" si="77">F111</f>
        <v>31.675000000000001</v>
      </c>
      <c r="G121" s="413">
        <f t="shared" si="77"/>
        <v>19.364999999999998</v>
      </c>
      <c r="H121" s="413">
        <f t="shared" si="77"/>
        <v>3.25</v>
      </c>
      <c r="I121" s="413">
        <f t="shared" si="77"/>
        <v>3.105</v>
      </c>
      <c r="J121" s="413">
        <f t="shared" si="77"/>
        <v>2.585</v>
      </c>
      <c r="K121" s="413">
        <f t="shared" si="77"/>
        <v>35.15</v>
      </c>
      <c r="L121" s="413">
        <f t="shared" si="77"/>
        <v>19.71</v>
      </c>
      <c r="M121" s="413">
        <f t="shared" si="77"/>
        <v>56.569999999999993</v>
      </c>
    </row>
    <row r="122" spans="1:13" s="413" customFormat="1" ht="17" thickBot="1">
      <c r="B122" s="38" t="s">
        <v>259</v>
      </c>
      <c r="C122" s="55">
        <v>15</v>
      </c>
      <c r="D122" s="99">
        <f t="shared" si="72"/>
        <v>5.3628888094386842E-3</v>
      </c>
      <c r="E122" s="413">
        <f>MEDIAN(E116:E121)</f>
        <v>21.375</v>
      </c>
      <c r="F122" s="413">
        <f t="shared" ref="F122" si="78">MEDIAN(F116:F121)</f>
        <v>21.717500000000001</v>
      </c>
      <c r="G122" s="413">
        <f t="shared" ref="G122" si="79">MEDIAN(G116:G121)</f>
        <v>13.673749999999998</v>
      </c>
      <c r="H122" s="413">
        <f t="shared" ref="H122" si="80">MEDIAN(H116:H121)</f>
        <v>1.8374999999999999</v>
      </c>
      <c r="I122" s="413">
        <f t="shared" ref="I122" si="81">MEDIAN(I116:I121)</f>
        <v>1.7462499999999999</v>
      </c>
      <c r="J122" s="413">
        <f t="shared" ref="J122" si="82">MEDIAN(J116:J121)</f>
        <v>1.49875</v>
      </c>
      <c r="K122" s="413">
        <f t="shared" ref="K122" si="83">MEDIAN(K116:K121)</f>
        <v>17.574999999999999</v>
      </c>
      <c r="L122" s="413">
        <f t="shared" ref="L122" si="84">MEDIAN(L116:L121)</f>
        <v>28.89</v>
      </c>
      <c r="M122" s="413">
        <f t="shared" ref="M122" si="85">MEDIAN(M116:M121)</f>
        <v>39.002499999999998</v>
      </c>
    </row>
    <row r="123" spans="1:13" s="413" customFormat="1" ht="17" thickBot="1">
      <c r="B123" s="421" t="s">
        <v>281</v>
      </c>
      <c r="C123" s="422">
        <f>SUM(C116:C122)</f>
        <v>2797</v>
      </c>
      <c r="D123" s="423">
        <f>SUM(D116:D122)</f>
        <v>1</v>
      </c>
      <c r="E123" s="424">
        <f>SUMPRODUCT(E116:E122,$D$56:$D$62)</f>
        <v>15.251810868787988</v>
      </c>
      <c r="F123" s="424">
        <f t="shared" ref="F123" si="86">SUMPRODUCT(F116:F122,$D$56:$D$62)</f>
        <v>23.00120486235252</v>
      </c>
      <c r="G123" s="424">
        <f t="shared" ref="G123" si="87">SUMPRODUCT(G116:G122,$D$56:$D$62)</f>
        <v>13.339867268501967</v>
      </c>
      <c r="H123" s="424">
        <f t="shared" ref="H123" si="88">SUMPRODUCT(H116:H122,$D$56:$D$62)</f>
        <v>1.9899848051483735</v>
      </c>
      <c r="I123" s="424">
        <f t="shared" ref="I123" si="89">SUMPRODUCT(I116:I122,$D$56:$D$62)</f>
        <v>1.8958147121916338</v>
      </c>
      <c r="J123" s="424">
        <f t="shared" ref="J123" si="90">SUMPRODUCT(J116:J122,$D$56:$D$62)</f>
        <v>1.592817751161959</v>
      </c>
      <c r="K123" s="424">
        <f t="shared" ref="K123" si="91">SUMPRODUCT(K116:K122,$D$56:$D$62)</f>
        <v>18.329022166607079</v>
      </c>
      <c r="L123" s="424">
        <f t="shared" ref="L123" si="92">SUMPRODUCT(L116:L122,$D$56:$D$62)</f>
        <v>23.826655345012512</v>
      </c>
      <c r="M123" s="425">
        <f t="shared" ref="M123" si="93">SUMPRODUCT(M116:M122,$D$56:$D$62)</f>
        <v>45.526788523417949</v>
      </c>
    </row>
    <row r="124" spans="1:13" s="413" customFormat="1"/>
    <row r="125" spans="1:13" s="413" customFormat="1">
      <c r="A125" s="413" t="s">
        <v>57</v>
      </c>
      <c r="B125" s="410" t="s">
        <v>50</v>
      </c>
      <c r="C125" s="398"/>
      <c r="D125" s="398"/>
      <c r="E125" s="398"/>
      <c r="F125" s="398"/>
      <c r="G125" s="398"/>
      <c r="H125" s="398"/>
      <c r="I125" s="398"/>
      <c r="J125" s="398"/>
      <c r="K125" s="398"/>
      <c r="L125" s="398"/>
      <c r="M125" s="398"/>
    </row>
    <row r="126" spans="1:13" s="413" customFormat="1"/>
    <row r="127" spans="1:13" s="413" customFormat="1">
      <c r="B127" s="411" t="s">
        <v>231</v>
      </c>
      <c r="C127" s="409"/>
      <c r="D127" s="409"/>
      <c r="E127" s="409"/>
      <c r="F127" s="409"/>
      <c r="G127" s="409"/>
      <c r="H127" s="409"/>
      <c r="I127" s="409"/>
      <c r="J127" s="409"/>
      <c r="K127" s="409"/>
      <c r="L127" s="409"/>
      <c r="M127" s="409"/>
    </row>
    <row r="128" spans="1:13" s="413" customFormat="1">
      <c r="B128" s="413" t="str">
        <f>'Raw Trading Comps'!A29</f>
        <v>PT GoTo Gojek Tokopedia Tbk (IDX:GOTO)</v>
      </c>
      <c r="E128" s="55">
        <v>0</v>
      </c>
      <c r="F128" s="413">
        <f>_xlfn.XLOOKUP($B128,'Raw Trading Comps'!$A$15:$A$32,'Raw Trading Comps'!H$15:H$32)</f>
        <v>41.57</v>
      </c>
      <c r="G128" s="413">
        <f>_xlfn.XLOOKUP($B128,'Raw Trading Comps'!$A$15:$A$32,'Raw Trading Comps'!I$15:I$32)</f>
        <v>21.65</v>
      </c>
      <c r="H128" s="413">
        <f>_xlfn.XLOOKUP($B128,'Raw Trading Comps'!$A$15:$A$32,'Raw Trading Comps'!J$15:J$32)</f>
        <v>2.9</v>
      </c>
      <c r="I128" s="413">
        <f>_xlfn.XLOOKUP($B128,'Raw Trading Comps'!$A$15:$A$32,'Raw Trading Comps'!K$15:K$32)</f>
        <v>2.8</v>
      </c>
      <c r="J128" s="413">
        <f>_xlfn.XLOOKUP($B128,'Raw Trading Comps'!$A$15:$A$32,'Raw Trading Comps'!L$15:L$32)</f>
        <v>2.4300000000000002</v>
      </c>
      <c r="K128" s="55">
        <v>0</v>
      </c>
      <c r="L128" s="55">
        <v>0</v>
      </c>
      <c r="M128" s="413">
        <f>_xlfn.XLOOKUP($B128,'Raw Trading Comps'!$A$15:$A$32,'Raw Trading Comps'!O$15:O$32)</f>
        <v>86.32</v>
      </c>
    </row>
    <row r="129" spans="2:13" s="413" customFormat="1">
      <c r="B129" s="413" t="str">
        <f>'Raw Trading Comps'!A31</f>
        <v>Sea Limited (NYSE:SE)</v>
      </c>
      <c r="E129" s="413">
        <f>_xlfn.XLOOKUP($B129,'Raw Trading Comps'!$A$15:$A$32,'Raw Trading Comps'!G$15:G$32)</f>
        <v>35.299999999999997</v>
      </c>
      <c r="F129" s="413">
        <f>_xlfn.XLOOKUP($B129,'Raw Trading Comps'!$A$15:$A$32,'Raw Trading Comps'!H$15:H$32)</f>
        <v>21.78</v>
      </c>
      <c r="G129" s="413">
        <f>_xlfn.XLOOKUP($B129,'Raw Trading Comps'!$A$15:$A$32,'Raw Trading Comps'!I$15:I$32)</f>
        <v>17.079999999999998</v>
      </c>
      <c r="H129" s="413">
        <f>_xlfn.XLOOKUP($B129,'Raw Trading Comps'!$A$15:$A$32,'Raw Trading Comps'!J$15:J$32)</f>
        <v>3.6</v>
      </c>
      <c r="I129" s="413">
        <f>_xlfn.XLOOKUP($B129,'Raw Trading Comps'!$A$15:$A$32,'Raw Trading Comps'!K$15:K$32)</f>
        <v>3.41</v>
      </c>
      <c r="J129" s="413">
        <f>_xlfn.XLOOKUP($B129,'Raw Trading Comps'!$A$15:$A$32,'Raw Trading Comps'!L$15:L$32)</f>
        <v>2.74</v>
      </c>
      <c r="K129" s="413">
        <f>_xlfn.XLOOKUP($B129,'Raw Trading Comps'!$A$15:$A$32,'Raw Trading Comps'!M$15:M$32)</f>
        <v>70.3</v>
      </c>
      <c r="L129" s="413">
        <f>_xlfn.XLOOKUP($B129,'Raw Trading Comps'!$A$15:$A$32,'Raw Trading Comps'!N$15:N$32)</f>
        <v>39.42</v>
      </c>
      <c r="M129" s="413">
        <f>_xlfn.XLOOKUP($B129,'Raw Trading Comps'!$A$15:$A$32,'Raw Trading Comps'!O$15:O$32)</f>
        <v>26.82</v>
      </c>
    </row>
    <row r="130" spans="2:13" s="413" customFormat="1">
      <c r="B130" s="413" t="str">
        <f>'Raw Trading Comps'!A16</f>
        <v>United Overseas Bank Limited (SGX:U11)</v>
      </c>
      <c r="E130" s="413" t="str">
        <f>_xlfn.XLOOKUP($B130,'Raw Trading Comps'!$A$15:$A$32,'Raw Trading Comps'!G$15:G$32)</f>
        <v>-</v>
      </c>
      <c r="F130" s="413" t="str">
        <f>_xlfn.XLOOKUP($B130,'Raw Trading Comps'!$A$15:$A$32,'Raw Trading Comps'!H$15:H$32)</f>
        <v>-</v>
      </c>
      <c r="G130" s="413" t="str">
        <f>_xlfn.XLOOKUP($B130,'Raw Trading Comps'!$A$15:$A$32,'Raw Trading Comps'!I$15:I$32)</f>
        <v>-</v>
      </c>
      <c r="H130" s="413" t="str">
        <f>_xlfn.XLOOKUP($B130,'Raw Trading Comps'!$A$15:$A$32,'Raw Trading Comps'!J$15:J$32)</f>
        <v>-</v>
      </c>
      <c r="I130" s="413" t="str">
        <f>_xlfn.XLOOKUP($B130,'Raw Trading Comps'!$A$15:$A$32,'Raw Trading Comps'!K$15:K$32)</f>
        <v>-</v>
      </c>
      <c r="J130" s="413" t="str">
        <f>_xlfn.XLOOKUP($B130,'Raw Trading Comps'!$A$15:$A$32,'Raw Trading Comps'!L$15:L$32)</f>
        <v>-</v>
      </c>
      <c r="K130" s="413">
        <f>_xlfn.XLOOKUP($B130,'Raw Trading Comps'!$A$15:$A$32,'Raw Trading Comps'!M$15:M$32)</f>
        <v>15.8</v>
      </c>
      <c r="L130" s="413">
        <f>_xlfn.XLOOKUP($B130,'Raw Trading Comps'!$A$15:$A$32,'Raw Trading Comps'!N$15:N$32)</f>
        <v>12.3</v>
      </c>
      <c r="M130" s="413">
        <f>_xlfn.XLOOKUP($B130,'Raw Trading Comps'!$A$15:$A$32,'Raw Trading Comps'!O$15:O$32)</f>
        <v>10.01</v>
      </c>
    </row>
    <row r="131" spans="2:13" s="413" customFormat="1">
      <c r="B131" s="413" t="str">
        <f>'Raw Trading Comps'!A17</f>
        <v>DBS Group Holdings Ltd (SGX:D05)</v>
      </c>
      <c r="E131" s="413" t="str">
        <f>_xlfn.XLOOKUP($B131,'Raw Trading Comps'!$A$15:$A$32,'Raw Trading Comps'!G$15:G$32)</f>
        <v>-</v>
      </c>
      <c r="F131" s="413" t="str">
        <f>_xlfn.XLOOKUP($B131,'Raw Trading Comps'!$A$15:$A$32,'Raw Trading Comps'!H$15:H$32)</f>
        <v>-</v>
      </c>
      <c r="G131" s="413" t="str">
        <f>_xlfn.XLOOKUP($B131,'Raw Trading Comps'!$A$15:$A$32,'Raw Trading Comps'!I$15:I$32)</f>
        <v>-</v>
      </c>
      <c r="H131" s="413" t="str">
        <f>_xlfn.XLOOKUP($B131,'Raw Trading Comps'!$A$15:$A$32,'Raw Trading Comps'!J$15:J$32)</f>
        <v>-</v>
      </c>
      <c r="I131" s="413" t="str">
        <f>_xlfn.XLOOKUP($B131,'Raw Trading Comps'!$A$15:$A$32,'Raw Trading Comps'!K$15:K$32)</f>
        <v>-</v>
      </c>
      <c r="J131" s="413" t="str">
        <f>_xlfn.XLOOKUP($B131,'Raw Trading Comps'!$A$15:$A$32,'Raw Trading Comps'!L$15:L$32)</f>
        <v>-</v>
      </c>
      <c r="K131" s="413">
        <f>_xlfn.XLOOKUP($B131,'Raw Trading Comps'!$A$15:$A$32,'Raw Trading Comps'!M$15:M$32)</f>
        <v>18.8</v>
      </c>
      <c r="L131" s="413">
        <f>_xlfn.XLOOKUP($B131,'Raw Trading Comps'!$A$15:$A$32,'Raw Trading Comps'!N$15:N$32)</f>
        <v>13.68</v>
      </c>
      <c r="M131" s="413">
        <f>_xlfn.XLOOKUP($B131,'Raw Trading Comps'!$A$15:$A$32,'Raw Trading Comps'!O$15:O$32)</f>
        <v>13.64</v>
      </c>
    </row>
    <row r="132" spans="2:13" s="413" customFormat="1">
      <c r="B132" s="414" t="s">
        <v>235</v>
      </c>
      <c r="C132" s="414"/>
      <c r="D132" s="414"/>
      <c r="E132" s="414">
        <f>AVERAGE(E128:E131)</f>
        <v>17.649999999999999</v>
      </c>
      <c r="F132" s="414">
        <f t="shared" ref="F132:M132" si="94">AVERAGE(F128:F131)</f>
        <v>31.675000000000001</v>
      </c>
      <c r="G132" s="414">
        <f t="shared" si="94"/>
        <v>19.364999999999998</v>
      </c>
      <c r="H132" s="414">
        <f t="shared" si="94"/>
        <v>3.25</v>
      </c>
      <c r="I132" s="414">
        <f t="shared" si="94"/>
        <v>3.105</v>
      </c>
      <c r="J132" s="414">
        <f t="shared" si="94"/>
        <v>2.585</v>
      </c>
      <c r="K132" s="414">
        <f t="shared" si="94"/>
        <v>26.224999999999998</v>
      </c>
      <c r="L132" s="414">
        <f t="shared" si="94"/>
        <v>16.350000000000001</v>
      </c>
      <c r="M132" s="414">
        <f t="shared" si="94"/>
        <v>34.197499999999998</v>
      </c>
    </row>
    <row r="133" spans="2:13" s="413" customFormat="1">
      <c r="B133" s="415" t="s">
        <v>273</v>
      </c>
      <c r="C133" s="416"/>
      <c r="D133" s="416"/>
      <c r="E133" s="416">
        <f>MEDIAN(E128:E131)</f>
        <v>17.649999999999999</v>
      </c>
      <c r="F133" s="416">
        <f t="shared" ref="F133:M133" si="95">MEDIAN(F128:F131)</f>
        <v>31.675000000000001</v>
      </c>
      <c r="G133" s="416">
        <f t="shared" si="95"/>
        <v>19.364999999999998</v>
      </c>
      <c r="H133" s="416">
        <f t="shared" si="95"/>
        <v>3.25</v>
      </c>
      <c r="I133" s="416">
        <f t="shared" si="95"/>
        <v>3.105</v>
      </c>
      <c r="J133" s="416">
        <f t="shared" si="95"/>
        <v>2.585</v>
      </c>
      <c r="K133" s="416">
        <f t="shared" si="95"/>
        <v>17.3</v>
      </c>
      <c r="L133" s="416">
        <f t="shared" si="95"/>
        <v>12.99</v>
      </c>
      <c r="M133" s="416">
        <f t="shared" si="95"/>
        <v>20.23</v>
      </c>
    </row>
    <row r="134" spans="2:13" s="413" customFormat="1">
      <c r="B134" s="416" t="s">
        <v>274</v>
      </c>
      <c r="C134" s="416"/>
      <c r="D134" s="416"/>
      <c r="E134" s="416">
        <f>_xlfn.PERCENTILE.INC(E128:E131,0.25)</f>
        <v>8.8249999999999993</v>
      </c>
      <c r="F134" s="416">
        <f t="shared" ref="F134:M134" si="96">_xlfn.PERCENTILE.INC(F128:F131,0.25)</f>
        <v>26.727499999999999</v>
      </c>
      <c r="G134" s="416">
        <f t="shared" si="96"/>
        <v>18.222499999999997</v>
      </c>
      <c r="H134" s="416">
        <f t="shared" si="96"/>
        <v>3.0750000000000002</v>
      </c>
      <c r="I134" s="416">
        <f t="shared" si="96"/>
        <v>2.9524999999999997</v>
      </c>
      <c r="J134" s="416">
        <f t="shared" si="96"/>
        <v>2.5075000000000003</v>
      </c>
      <c r="K134" s="416">
        <f t="shared" si="96"/>
        <v>11.850000000000001</v>
      </c>
      <c r="L134" s="416">
        <f t="shared" si="96"/>
        <v>9.2250000000000014</v>
      </c>
      <c r="M134" s="416">
        <f t="shared" si="96"/>
        <v>12.7325</v>
      </c>
    </row>
    <row r="135" spans="2:13" s="413" customFormat="1">
      <c r="B135" s="417" t="s">
        <v>275</v>
      </c>
      <c r="C135" s="417"/>
      <c r="D135" s="417"/>
      <c r="E135" s="417">
        <f>_xlfn.PERCENTILE.INC(E128:E131,0.75)</f>
        <v>26.474999999999998</v>
      </c>
      <c r="F135" s="417">
        <f t="shared" ref="F135:M135" si="97">_xlfn.PERCENTILE.INC(F128:F131,0.75)</f>
        <v>36.622500000000002</v>
      </c>
      <c r="G135" s="417">
        <f t="shared" si="97"/>
        <v>20.5075</v>
      </c>
      <c r="H135" s="417">
        <f t="shared" si="97"/>
        <v>3.4249999999999998</v>
      </c>
      <c r="I135" s="417">
        <f t="shared" si="97"/>
        <v>3.2575000000000003</v>
      </c>
      <c r="J135" s="417">
        <f t="shared" si="97"/>
        <v>2.6625000000000001</v>
      </c>
      <c r="K135" s="417">
        <f t="shared" si="97"/>
        <v>31.675000000000001</v>
      </c>
      <c r="L135" s="417">
        <f t="shared" si="97"/>
        <v>20.115000000000002</v>
      </c>
      <c r="M135" s="417">
        <f t="shared" si="97"/>
        <v>41.695</v>
      </c>
    </row>
    <row r="136" spans="2:13" s="413" customFormat="1"/>
    <row r="137" spans="2:13" s="413" customFormat="1">
      <c r="B137" s="411" t="s">
        <v>257</v>
      </c>
      <c r="C137" s="409"/>
      <c r="D137" s="409"/>
      <c r="E137" s="409"/>
      <c r="F137" s="409"/>
      <c r="G137" s="409"/>
      <c r="H137" s="409"/>
      <c r="I137" s="409"/>
      <c r="J137" s="409"/>
      <c r="K137" s="409"/>
      <c r="L137" s="409"/>
      <c r="M137" s="409"/>
    </row>
    <row r="138" spans="2:13" s="413" customFormat="1">
      <c r="B138" s="413" t="str">
        <f>'Raw Trading Comps'!A31</f>
        <v>Sea Limited (NYSE:SE)</v>
      </c>
      <c r="E138" s="413">
        <f>_xlfn.XLOOKUP($B138,'Raw Trading Comps'!$A$15:$A$32,'Raw Trading Comps'!G$15:G$32)</f>
        <v>35.299999999999997</v>
      </c>
      <c r="F138" s="413">
        <f>_xlfn.XLOOKUP($B138,'Raw Trading Comps'!$A$15:$A$32,'Raw Trading Comps'!H$15:H$32)</f>
        <v>21.78</v>
      </c>
      <c r="G138" s="413">
        <f>_xlfn.XLOOKUP($B138,'Raw Trading Comps'!$A$15:$A$32,'Raw Trading Comps'!I$15:I$32)</f>
        <v>17.079999999999998</v>
      </c>
      <c r="H138" s="413">
        <f>_xlfn.XLOOKUP($B138,'Raw Trading Comps'!$A$15:$A$32,'Raw Trading Comps'!J$15:J$32)</f>
        <v>3.6</v>
      </c>
      <c r="I138" s="413">
        <f>_xlfn.XLOOKUP($B138,'Raw Trading Comps'!$A$15:$A$32,'Raw Trading Comps'!K$15:K$32)</f>
        <v>3.41</v>
      </c>
      <c r="J138" s="413">
        <f>_xlfn.XLOOKUP($B138,'Raw Trading Comps'!$A$15:$A$32,'Raw Trading Comps'!L$15:L$32)</f>
        <v>2.74</v>
      </c>
      <c r="K138" s="413">
        <f>_xlfn.XLOOKUP($B138,'Raw Trading Comps'!$A$15:$A$32,'Raw Trading Comps'!M$15:M$32)</f>
        <v>70.3</v>
      </c>
      <c r="L138" s="413">
        <f>_xlfn.XLOOKUP($B138,'Raw Trading Comps'!$A$15:$A$32,'Raw Trading Comps'!N$15:N$32)</f>
        <v>39.42</v>
      </c>
      <c r="M138" s="413">
        <f>_xlfn.XLOOKUP($B138,'Raw Trading Comps'!$A$15:$A$32,'Raw Trading Comps'!O$15:O$32)</f>
        <v>26.82</v>
      </c>
    </row>
    <row r="139" spans="2:13" s="413" customFormat="1">
      <c r="B139" s="414" t="s">
        <v>235</v>
      </c>
      <c r="C139" s="414"/>
      <c r="D139" s="414"/>
      <c r="E139" s="414">
        <f t="shared" ref="E139:M139" si="98">AVERAGE(E138:E138)</f>
        <v>35.299999999999997</v>
      </c>
      <c r="F139" s="414">
        <f t="shared" si="98"/>
        <v>21.78</v>
      </c>
      <c r="G139" s="414">
        <f t="shared" si="98"/>
        <v>17.079999999999998</v>
      </c>
      <c r="H139" s="414">
        <f t="shared" si="98"/>
        <v>3.6</v>
      </c>
      <c r="I139" s="414">
        <f t="shared" si="98"/>
        <v>3.41</v>
      </c>
      <c r="J139" s="414">
        <f t="shared" si="98"/>
        <v>2.74</v>
      </c>
      <c r="K139" s="414">
        <f t="shared" si="98"/>
        <v>70.3</v>
      </c>
      <c r="L139" s="414">
        <f t="shared" si="98"/>
        <v>39.42</v>
      </c>
      <c r="M139" s="414">
        <f t="shared" si="98"/>
        <v>26.82</v>
      </c>
    </row>
    <row r="140" spans="2:13" s="413" customFormat="1">
      <c r="B140" s="415" t="s">
        <v>273</v>
      </c>
      <c r="C140" s="416"/>
      <c r="D140" s="416"/>
      <c r="E140" s="416">
        <f t="shared" ref="E140:M140" si="99">MEDIAN(E138:E138)</f>
        <v>35.299999999999997</v>
      </c>
      <c r="F140" s="416">
        <f t="shared" si="99"/>
        <v>21.78</v>
      </c>
      <c r="G140" s="416">
        <f t="shared" si="99"/>
        <v>17.079999999999998</v>
      </c>
      <c r="H140" s="416">
        <f t="shared" si="99"/>
        <v>3.6</v>
      </c>
      <c r="I140" s="416">
        <f t="shared" si="99"/>
        <v>3.41</v>
      </c>
      <c r="J140" s="416">
        <f t="shared" si="99"/>
        <v>2.74</v>
      </c>
      <c r="K140" s="416">
        <f t="shared" si="99"/>
        <v>70.3</v>
      </c>
      <c r="L140" s="416">
        <f t="shared" si="99"/>
        <v>39.42</v>
      </c>
      <c r="M140" s="416">
        <f t="shared" si="99"/>
        <v>26.82</v>
      </c>
    </row>
    <row r="141" spans="2:13" s="413" customFormat="1">
      <c r="B141" s="416" t="s">
        <v>274</v>
      </c>
      <c r="C141" s="416"/>
      <c r="D141" s="416"/>
      <c r="E141" s="416">
        <f t="shared" ref="E141:M141" si="100">_xlfn.PERCENTILE.INC(E138:E138,0.25)</f>
        <v>35.299999999999997</v>
      </c>
      <c r="F141" s="416">
        <f t="shared" si="100"/>
        <v>21.78</v>
      </c>
      <c r="G141" s="416">
        <f t="shared" si="100"/>
        <v>17.079999999999998</v>
      </c>
      <c r="H141" s="416">
        <f t="shared" si="100"/>
        <v>3.6</v>
      </c>
      <c r="I141" s="416">
        <f t="shared" si="100"/>
        <v>3.41</v>
      </c>
      <c r="J141" s="416">
        <f t="shared" si="100"/>
        <v>2.74</v>
      </c>
      <c r="K141" s="416">
        <f t="shared" si="100"/>
        <v>70.3</v>
      </c>
      <c r="L141" s="416">
        <f t="shared" si="100"/>
        <v>39.42</v>
      </c>
      <c r="M141" s="416">
        <f t="shared" si="100"/>
        <v>26.82</v>
      </c>
    </row>
    <row r="142" spans="2:13" s="413" customFormat="1">
      <c r="B142" s="417" t="s">
        <v>275</v>
      </c>
      <c r="C142" s="417"/>
      <c r="D142" s="417"/>
      <c r="E142" s="417">
        <f t="shared" ref="E142:M142" si="101">_xlfn.PERCENTILE.INC(E138:E138,0.75)</f>
        <v>35.299999999999997</v>
      </c>
      <c r="F142" s="417">
        <f t="shared" si="101"/>
        <v>21.78</v>
      </c>
      <c r="G142" s="417">
        <f t="shared" si="101"/>
        <v>17.079999999999998</v>
      </c>
      <c r="H142" s="417">
        <f t="shared" si="101"/>
        <v>3.6</v>
      </c>
      <c r="I142" s="417">
        <f t="shared" si="101"/>
        <v>3.41</v>
      </c>
      <c r="J142" s="417">
        <f t="shared" si="101"/>
        <v>2.74</v>
      </c>
      <c r="K142" s="417">
        <f t="shared" si="101"/>
        <v>70.3</v>
      </c>
      <c r="L142" s="417">
        <f t="shared" si="101"/>
        <v>39.42</v>
      </c>
      <c r="M142" s="417">
        <f t="shared" si="101"/>
        <v>26.82</v>
      </c>
    </row>
    <row r="143" spans="2:13" s="413" customFormat="1"/>
    <row r="144" spans="2:13" s="413" customFormat="1">
      <c r="B144" s="411" t="s">
        <v>233</v>
      </c>
      <c r="C144" s="409"/>
      <c r="D144" s="409"/>
      <c r="E144" s="409"/>
      <c r="F144" s="409"/>
      <c r="G144" s="409"/>
      <c r="H144" s="409"/>
      <c r="I144" s="409"/>
      <c r="J144" s="409"/>
      <c r="K144" s="409"/>
      <c r="L144" s="409"/>
      <c r="M144" s="409"/>
    </row>
    <row r="145" spans="2:13" s="413" customFormat="1">
      <c r="B145" s="413" t="str">
        <f>'Raw Trading Comps'!A29</f>
        <v>PT GoTo Gojek Tokopedia Tbk (IDX:GOTO)</v>
      </c>
      <c r="E145" s="55">
        <v>0</v>
      </c>
      <c r="F145" s="413">
        <f>_xlfn.XLOOKUP($B145,'Raw Trading Comps'!$A$15:$A$32,'Raw Trading Comps'!H$15:H$32)</f>
        <v>41.57</v>
      </c>
      <c r="G145" s="413">
        <f>_xlfn.XLOOKUP($B145,'Raw Trading Comps'!$A$15:$A$32,'Raw Trading Comps'!I$15:I$32)</f>
        <v>21.65</v>
      </c>
      <c r="H145" s="413">
        <f>_xlfn.XLOOKUP($B145,'Raw Trading Comps'!$A$15:$A$32,'Raw Trading Comps'!J$15:J$32)</f>
        <v>2.9</v>
      </c>
      <c r="I145" s="413">
        <f>_xlfn.XLOOKUP($B145,'Raw Trading Comps'!$A$15:$A$32,'Raw Trading Comps'!K$15:K$32)</f>
        <v>2.8</v>
      </c>
      <c r="J145" s="413">
        <f>_xlfn.XLOOKUP($B145,'Raw Trading Comps'!$A$15:$A$32,'Raw Trading Comps'!L$15:L$32)</f>
        <v>2.4300000000000002</v>
      </c>
      <c r="K145" s="55">
        <v>0</v>
      </c>
      <c r="L145" s="55">
        <v>0</v>
      </c>
      <c r="M145" s="413">
        <f>_xlfn.XLOOKUP($B145,'Raw Trading Comps'!$A$15:$A$32,'Raw Trading Comps'!O$15:O$32)</f>
        <v>86.32</v>
      </c>
    </row>
    <row r="146" spans="2:13" s="413" customFormat="1">
      <c r="B146" s="413" t="str">
        <f>'Raw Trading Comps'!A31</f>
        <v>Sea Limited (NYSE:SE)</v>
      </c>
      <c r="E146" s="413">
        <f>_xlfn.XLOOKUP($B146,'Raw Trading Comps'!$A$15:$A$32,'Raw Trading Comps'!G$15:G$32)</f>
        <v>35.299999999999997</v>
      </c>
      <c r="F146" s="413">
        <f>_xlfn.XLOOKUP($B146,'Raw Trading Comps'!$A$15:$A$32,'Raw Trading Comps'!H$15:H$32)</f>
        <v>21.78</v>
      </c>
      <c r="G146" s="413">
        <f>_xlfn.XLOOKUP($B146,'Raw Trading Comps'!$A$15:$A$32,'Raw Trading Comps'!I$15:I$32)</f>
        <v>17.079999999999998</v>
      </c>
      <c r="H146" s="413">
        <f>_xlfn.XLOOKUP($B146,'Raw Trading Comps'!$A$15:$A$32,'Raw Trading Comps'!J$15:J$32)</f>
        <v>3.6</v>
      </c>
      <c r="I146" s="413">
        <f>_xlfn.XLOOKUP($B146,'Raw Trading Comps'!$A$15:$A$32,'Raw Trading Comps'!K$15:K$32)</f>
        <v>3.41</v>
      </c>
      <c r="J146" s="413">
        <f>_xlfn.XLOOKUP($B146,'Raw Trading Comps'!$A$15:$A$32,'Raw Trading Comps'!L$15:L$32)</f>
        <v>2.74</v>
      </c>
      <c r="K146" s="413">
        <f>_xlfn.XLOOKUP($B146,'Raw Trading Comps'!$A$15:$A$32,'Raw Trading Comps'!M$15:M$32)</f>
        <v>70.3</v>
      </c>
      <c r="L146" s="413">
        <f>_xlfn.XLOOKUP($B146,'Raw Trading Comps'!$A$15:$A$32,'Raw Trading Comps'!N$15:N$32)</f>
        <v>39.42</v>
      </c>
      <c r="M146" s="413">
        <f>_xlfn.XLOOKUP($B146,'Raw Trading Comps'!$A$15:$A$32,'Raw Trading Comps'!O$15:O$32)</f>
        <v>26.82</v>
      </c>
    </row>
    <row r="147" spans="2:13" s="413" customFormat="1">
      <c r="B147" s="413" t="str">
        <f>'Raw Trading Comps'!A30</f>
        <v>PT Bank Jago Tbk (IDX:ARTO)</v>
      </c>
      <c r="E147" s="413" t="str">
        <f>_xlfn.XLOOKUP($B147,'Raw Trading Comps'!$A$15:$A$32,'Raw Trading Comps'!G$15:G$32)</f>
        <v>-</v>
      </c>
      <c r="F147" s="413" t="str">
        <f>_xlfn.XLOOKUP($B147,'Raw Trading Comps'!$A$15:$A$32,'Raw Trading Comps'!H$15:H$32)</f>
        <v>-</v>
      </c>
      <c r="G147" s="413" t="str">
        <f>_xlfn.XLOOKUP($B147,'Raw Trading Comps'!$A$15:$A$32,'Raw Trading Comps'!I$15:I$32)</f>
        <v>-</v>
      </c>
      <c r="H147" s="413" t="str">
        <f>_xlfn.XLOOKUP($B147,'Raw Trading Comps'!$A$15:$A$32,'Raw Trading Comps'!J$15:J$32)</f>
        <v>-</v>
      </c>
      <c r="I147" s="413" t="str">
        <f>_xlfn.XLOOKUP($B147,'Raw Trading Comps'!$A$15:$A$32,'Raw Trading Comps'!K$15:K$32)</f>
        <v>-</v>
      </c>
      <c r="J147" s="413" t="str">
        <f>_xlfn.XLOOKUP($B147,'Raw Trading Comps'!$A$15:$A$32,'Raw Trading Comps'!L$15:L$32)</f>
        <v>-</v>
      </c>
      <c r="K147" s="413">
        <f>_xlfn.XLOOKUP($B147,'Raw Trading Comps'!$A$15:$A$32,'Raw Trading Comps'!M$15:M$32)</f>
        <v>145.9</v>
      </c>
      <c r="L147" s="413">
        <f>_xlfn.XLOOKUP($B147,'Raw Trading Comps'!$A$15:$A$32,'Raw Trading Comps'!N$15:N$32)</f>
        <v>107.44</v>
      </c>
      <c r="M147" s="413">
        <f>_xlfn.XLOOKUP($B147,'Raw Trading Comps'!$A$15:$A$32,'Raw Trading Comps'!O$15:O$32)</f>
        <v>55.62</v>
      </c>
    </row>
    <row r="148" spans="2:13" s="413" customFormat="1">
      <c r="B148" s="414" t="s">
        <v>235</v>
      </c>
      <c r="C148" s="414"/>
      <c r="D148" s="414"/>
      <c r="E148" s="414">
        <f t="shared" ref="E148:M148" si="102">AVERAGE(E145:E147)</f>
        <v>17.649999999999999</v>
      </c>
      <c r="F148" s="414">
        <f t="shared" si="102"/>
        <v>31.675000000000001</v>
      </c>
      <c r="G148" s="414">
        <f t="shared" si="102"/>
        <v>19.364999999999998</v>
      </c>
      <c r="H148" s="414">
        <f t="shared" si="102"/>
        <v>3.25</v>
      </c>
      <c r="I148" s="414">
        <f t="shared" si="102"/>
        <v>3.105</v>
      </c>
      <c r="J148" s="414">
        <f t="shared" si="102"/>
        <v>2.585</v>
      </c>
      <c r="K148" s="414">
        <f t="shared" si="102"/>
        <v>72.066666666666663</v>
      </c>
      <c r="L148" s="414">
        <f t="shared" si="102"/>
        <v>48.95333333333334</v>
      </c>
      <c r="M148" s="414">
        <f t="shared" si="102"/>
        <v>56.25333333333333</v>
      </c>
    </row>
    <row r="149" spans="2:13" s="413" customFormat="1">
      <c r="B149" s="415" t="s">
        <v>273</v>
      </c>
      <c r="C149" s="416"/>
      <c r="D149" s="416"/>
      <c r="E149" s="416">
        <f t="shared" ref="E149:M149" si="103">MEDIAN(E145:E147)</f>
        <v>17.649999999999999</v>
      </c>
      <c r="F149" s="416">
        <f t="shared" si="103"/>
        <v>31.675000000000001</v>
      </c>
      <c r="G149" s="416">
        <f t="shared" si="103"/>
        <v>19.364999999999998</v>
      </c>
      <c r="H149" s="416">
        <f t="shared" si="103"/>
        <v>3.25</v>
      </c>
      <c r="I149" s="416">
        <f t="shared" si="103"/>
        <v>3.105</v>
      </c>
      <c r="J149" s="416">
        <f t="shared" si="103"/>
        <v>2.585</v>
      </c>
      <c r="K149" s="416">
        <f t="shared" si="103"/>
        <v>70.3</v>
      </c>
      <c r="L149" s="416">
        <f t="shared" si="103"/>
        <v>39.42</v>
      </c>
      <c r="M149" s="416">
        <f t="shared" si="103"/>
        <v>55.62</v>
      </c>
    </row>
    <row r="150" spans="2:13" s="413" customFormat="1">
      <c r="B150" s="416" t="s">
        <v>274</v>
      </c>
      <c r="C150" s="416"/>
      <c r="D150" s="416"/>
      <c r="E150" s="416">
        <f t="shared" ref="E150:M150" si="104">_xlfn.PERCENTILE.INC(E145:E147,0.25)</f>
        <v>8.8249999999999993</v>
      </c>
      <c r="F150" s="416">
        <f t="shared" si="104"/>
        <v>26.727499999999999</v>
      </c>
      <c r="G150" s="416">
        <f t="shared" si="104"/>
        <v>18.222499999999997</v>
      </c>
      <c r="H150" s="416">
        <f t="shared" si="104"/>
        <v>3.0750000000000002</v>
      </c>
      <c r="I150" s="416">
        <f t="shared" si="104"/>
        <v>2.9524999999999997</v>
      </c>
      <c r="J150" s="416">
        <f t="shared" si="104"/>
        <v>2.5075000000000003</v>
      </c>
      <c r="K150" s="416">
        <f t="shared" si="104"/>
        <v>35.15</v>
      </c>
      <c r="L150" s="416">
        <f t="shared" si="104"/>
        <v>19.71</v>
      </c>
      <c r="M150" s="416">
        <f t="shared" si="104"/>
        <v>41.22</v>
      </c>
    </row>
    <row r="151" spans="2:13" s="413" customFormat="1">
      <c r="B151" s="417" t="s">
        <v>275</v>
      </c>
      <c r="C151" s="417"/>
      <c r="D151" s="417"/>
      <c r="E151" s="417">
        <f t="shared" ref="E151:M151" si="105">_xlfn.PERCENTILE.INC(E145:E147,0.75)</f>
        <v>26.474999999999998</v>
      </c>
      <c r="F151" s="417">
        <f t="shared" si="105"/>
        <v>36.622500000000002</v>
      </c>
      <c r="G151" s="417">
        <f t="shared" si="105"/>
        <v>20.5075</v>
      </c>
      <c r="H151" s="417">
        <f t="shared" si="105"/>
        <v>3.4249999999999998</v>
      </c>
      <c r="I151" s="417">
        <f t="shared" si="105"/>
        <v>3.2575000000000003</v>
      </c>
      <c r="J151" s="417">
        <f t="shared" si="105"/>
        <v>2.6625000000000001</v>
      </c>
      <c r="K151" s="417">
        <f t="shared" si="105"/>
        <v>108.1</v>
      </c>
      <c r="L151" s="417">
        <f t="shared" si="105"/>
        <v>73.430000000000007</v>
      </c>
      <c r="M151" s="417">
        <f t="shared" si="105"/>
        <v>70.97</v>
      </c>
    </row>
    <row r="152" spans="2:13" s="413" customFormat="1"/>
    <row r="153" spans="2:13" s="413" customFormat="1">
      <c r="B153" s="411" t="s">
        <v>244</v>
      </c>
      <c r="C153" s="409"/>
      <c r="D153" s="409"/>
      <c r="E153" s="409"/>
      <c r="F153" s="409"/>
      <c r="G153" s="409"/>
      <c r="H153" s="409"/>
      <c r="I153" s="409"/>
      <c r="J153" s="409"/>
      <c r="K153" s="409"/>
      <c r="L153" s="409"/>
      <c r="M153" s="409"/>
    </row>
    <row r="154" spans="2:13" s="413" customFormat="1">
      <c r="B154" s="413" t="str">
        <f>'Raw Trading Comps'!A21</f>
        <v>Globe Telecom, Inc. (PSE:GLO)</v>
      </c>
      <c r="E154" s="413">
        <f>_xlfn.XLOOKUP($B154,'Raw Trading Comps'!$A$15:$A$32,'Raw Trading Comps'!G$15:G$32)</f>
        <v>6.4</v>
      </c>
      <c r="F154" s="413">
        <f>_xlfn.XLOOKUP($B154,'Raw Trading Comps'!$A$15:$A$32,'Raw Trading Comps'!H$15:H$32)</f>
        <v>6.63</v>
      </c>
      <c r="G154" s="413">
        <f>_xlfn.XLOOKUP($B154,'Raw Trading Comps'!$A$15:$A$32,'Raw Trading Comps'!I$15:I$32)</f>
        <v>6.46</v>
      </c>
      <c r="H154" s="413">
        <f>_xlfn.XLOOKUP($B154,'Raw Trading Comps'!$A$15:$A$32,'Raw Trading Comps'!J$15:J$32)</f>
        <v>3.3</v>
      </c>
      <c r="I154" s="413">
        <f>_xlfn.XLOOKUP($B154,'Raw Trading Comps'!$A$15:$A$32,'Raw Trading Comps'!K$15:K$32)</f>
        <v>3.3</v>
      </c>
      <c r="J154" s="413">
        <f>_xlfn.XLOOKUP($B154,'Raw Trading Comps'!$A$15:$A$32,'Raw Trading Comps'!L$15:L$32)</f>
        <v>3.19</v>
      </c>
      <c r="K154" s="413">
        <f>_xlfn.XLOOKUP($B154,'Raw Trading Comps'!$A$15:$A$32,'Raw Trading Comps'!M$15:M$32)</f>
        <v>14.3</v>
      </c>
      <c r="L154" s="413">
        <f>_xlfn.XLOOKUP($B154,'Raw Trading Comps'!$A$15:$A$32,'Raw Trading Comps'!N$15:N$32)</f>
        <v>11.57</v>
      </c>
      <c r="M154" s="413">
        <f>_xlfn.XLOOKUP($B154,'Raw Trading Comps'!$A$15:$A$32,'Raw Trading Comps'!O$15:O$32)</f>
        <v>9.9700000000000006</v>
      </c>
    </row>
    <row r="155" spans="2:13" s="413" customFormat="1">
      <c r="B155" s="413" t="str">
        <f>'Raw Trading Comps'!A31</f>
        <v>Sea Limited (NYSE:SE)</v>
      </c>
      <c r="E155" s="413">
        <f>_xlfn.XLOOKUP($B155,'Raw Trading Comps'!$A$15:$A$32,'Raw Trading Comps'!G$15:G$32)</f>
        <v>35.299999999999997</v>
      </c>
      <c r="F155" s="413">
        <f>_xlfn.XLOOKUP($B155,'Raw Trading Comps'!$A$15:$A$32,'Raw Trading Comps'!H$15:H$32)</f>
        <v>21.78</v>
      </c>
      <c r="G155" s="413">
        <f>_xlfn.XLOOKUP($B155,'Raw Trading Comps'!$A$15:$A$32,'Raw Trading Comps'!I$15:I$32)</f>
        <v>17.079999999999998</v>
      </c>
      <c r="H155" s="413">
        <f>_xlfn.XLOOKUP($B155,'Raw Trading Comps'!$A$15:$A$32,'Raw Trading Comps'!J$15:J$32)</f>
        <v>3.6</v>
      </c>
      <c r="I155" s="413">
        <f>_xlfn.XLOOKUP($B155,'Raw Trading Comps'!$A$15:$A$32,'Raw Trading Comps'!K$15:K$32)</f>
        <v>3.41</v>
      </c>
      <c r="J155" s="413">
        <f>_xlfn.XLOOKUP($B155,'Raw Trading Comps'!$A$15:$A$32,'Raw Trading Comps'!L$15:L$32)</f>
        <v>2.74</v>
      </c>
      <c r="K155" s="413">
        <f>_xlfn.XLOOKUP($B155,'Raw Trading Comps'!$A$15:$A$32,'Raw Trading Comps'!M$15:M$32)</f>
        <v>70.3</v>
      </c>
      <c r="L155" s="413">
        <f>_xlfn.XLOOKUP($B155,'Raw Trading Comps'!$A$15:$A$32,'Raw Trading Comps'!N$15:N$32)</f>
        <v>39.42</v>
      </c>
      <c r="M155" s="413">
        <f>_xlfn.XLOOKUP($B155,'Raw Trading Comps'!$A$15:$A$32,'Raw Trading Comps'!O$15:O$32)</f>
        <v>26.82</v>
      </c>
    </row>
    <row r="156" spans="2:13" s="413" customFormat="1">
      <c r="B156" s="413" t="str">
        <f>'Raw Trading Comps'!A15</f>
        <v>PLDT Inc. (PSE:TEL)</v>
      </c>
      <c r="E156" s="413">
        <f>_xlfn.XLOOKUP($B156,'Raw Trading Comps'!$A$15:$A$32,'Raw Trading Comps'!G$15:G$32)</f>
        <v>6.6</v>
      </c>
      <c r="F156" s="413">
        <f>_xlfn.XLOOKUP($B156,'Raw Trading Comps'!$A$15:$A$32,'Raw Trading Comps'!H$15:H$32)</f>
        <v>5.64</v>
      </c>
      <c r="G156" s="413">
        <f>_xlfn.XLOOKUP($B156,'Raw Trading Comps'!$A$15:$A$32,'Raw Trading Comps'!I$15:I$32)</f>
        <v>5.46</v>
      </c>
      <c r="H156" s="413">
        <f>_xlfn.XLOOKUP($B156,'Raw Trading Comps'!$A$15:$A$32,'Raw Trading Comps'!J$15:J$32)</f>
        <v>2.9</v>
      </c>
      <c r="I156" s="413">
        <f>_xlfn.XLOOKUP($B156,'Raw Trading Comps'!$A$15:$A$32,'Raw Trading Comps'!K$15:K$32)</f>
        <v>2.85</v>
      </c>
      <c r="J156" s="413">
        <f>_xlfn.XLOOKUP($B156,'Raw Trading Comps'!$A$15:$A$32,'Raw Trading Comps'!L$15:L$32)</f>
        <v>2.76</v>
      </c>
      <c r="K156" s="413">
        <f>_xlfn.XLOOKUP($B156,'Raw Trading Comps'!$A$15:$A$32,'Raw Trading Comps'!M$15:M$32)</f>
        <v>10.1</v>
      </c>
      <c r="L156" s="413">
        <f>_xlfn.XLOOKUP($B156,'Raw Trading Comps'!$A$15:$A$32,'Raw Trading Comps'!N$15:N$32)</f>
        <v>7.89</v>
      </c>
      <c r="M156" s="413">
        <f>_xlfn.XLOOKUP($B156,'Raw Trading Comps'!$A$15:$A$32,'Raw Trading Comps'!O$15:O$32)</f>
        <v>7.5</v>
      </c>
    </row>
    <row r="157" spans="2:13" s="413" customFormat="1">
      <c r="B157" s="414" t="s">
        <v>235</v>
      </c>
      <c r="C157" s="414"/>
      <c r="D157" s="414"/>
      <c r="E157" s="414">
        <f t="shared" ref="E157:M157" si="106">AVERAGE(E154:E156)</f>
        <v>16.099999999999998</v>
      </c>
      <c r="F157" s="414">
        <f t="shared" si="106"/>
        <v>11.35</v>
      </c>
      <c r="G157" s="414">
        <f t="shared" si="106"/>
        <v>9.6666666666666661</v>
      </c>
      <c r="H157" s="414">
        <f t="shared" si="106"/>
        <v>3.2666666666666671</v>
      </c>
      <c r="I157" s="414">
        <f t="shared" si="106"/>
        <v>3.186666666666667</v>
      </c>
      <c r="J157" s="414">
        <f t="shared" si="106"/>
        <v>2.8966666666666665</v>
      </c>
      <c r="K157" s="414">
        <f t="shared" si="106"/>
        <v>31.566666666666663</v>
      </c>
      <c r="L157" s="414">
        <f t="shared" si="106"/>
        <v>19.626666666666669</v>
      </c>
      <c r="M157" s="414">
        <f t="shared" si="106"/>
        <v>14.763333333333334</v>
      </c>
    </row>
    <row r="158" spans="2:13" s="413" customFormat="1">
      <c r="B158" s="415" t="s">
        <v>273</v>
      </c>
      <c r="C158" s="416"/>
      <c r="D158" s="416"/>
      <c r="E158" s="416">
        <f t="shared" ref="E158:M158" si="107">MEDIAN(E154:E156)</f>
        <v>6.6</v>
      </c>
      <c r="F158" s="416">
        <f t="shared" si="107"/>
        <v>6.63</v>
      </c>
      <c r="G158" s="416">
        <f t="shared" si="107"/>
        <v>6.46</v>
      </c>
      <c r="H158" s="416">
        <f t="shared" si="107"/>
        <v>3.3</v>
      </c>
      <c r="I158" s="416">
        <f t="shared" si="107"/>
        <v>3.3</v>
      </c>
      <c r="J158" s="416">
        <f t="shared" si="107"/>
        <v>2.76</v>
      </c>
      <c r="K158" s="416">
        <f t="shared" si="107"/>
        <v>14.3</v>
      </c>
      <c r="L158" s="416">
        <f t="shared" si="107"/>
        <v>11.57</v>
      </c>
      <c r="M158" s="416">
        <f t="shared" si="107"/>
        <v>9.9700000000000006</v>
      </c>
    </row>
    <row r="159" spans="2:13" s="413" customFormat="1">
      <c r="B159" s="416" t="s">
        <v>274</v>
      </c>
      <c r="C159" s="416"/>
      <c r="D159" s="416"/>
      <c r="E159" s="416">
        <f t="shared" ref="E159:M159" si="108">_xlfn.PERCENTILE.INC(E154:E156,0.25)</f>
        <v>6.5</v>
      </c>
      <c r="F159" s="416">
        <f t="shared" si="108"/>
        <v>6.1349999999999998</v>
      </c>
      <c r="G159" s="416">
        <f t="shared" si="108"/>
        <v>5.96</v>
      </c>
      <c r="H159" s="416">
        <f t="shared" si="108"/>
        <v>3.0999999999999996</v>
      </c>
      <c r="I159" s="416">
        <f t="shared" si="108"/>
        <v>3.0750000000000002</v>
      </c>
      <c r="J159" s="416">
        <f t="shared" si="108"/>
        <v>2.75</v>
      </c>
      <c r="K159" s="416">
        <f t="shared" si="108"/>
        <v>12.2</v>
      </c>
      <c r="L159" s="416">
        <f t="shared" si="108"/>
        <v>9.73</v>
      </c>
      <c r="M159" s="416">
        <f t="shared" si="108"/>
        <v>8.7349999999999994</v>
      </c>
    </row>
    <row r="160" spans="2:13" s="413" customFormat="1">
      <c r="B160" s="417" t="s">
        <v>275</v>
      </c>
      <c r="C160" s="417"/>
      <c r="D160" s="417"/>
      <c r="E160" s="417">
        <f t="shared" ref="E160:M160" si="109">_xlfn.PERCENTILE.INC(E154:E156,0.75)</f>
        <v>20.949999999999996</v>
      </c>
      <c r="F160" s="417">
        <f t="shared" si="109"/>
        <v>14.205000000000002</v>
      </c>
      <c r="G160" s="417">
        <f t="shared" si="109"/>
        <v>11.77</v>
      </c>
      <c r="H160" s="417">
        <f t="shared" si="109"/>
        <v>3.45</v>
      </c>
      <c r="I160" s="417">
        <f t="shared" si="109"/>
        <v>3.355</v>
      </c>
      <c r="J160" s="417">
        <f t="shared" si="109"/>
        <v>2.9749999999999996</v>
      </c>
      <c r="K160" s="417">
        <f t="shared" si="109"/>
        <v>42.3</v>
      </c>
      <c r="L160" s="417">
        <f t="shared" si="109"/>
        <v>25.495000000000001</v>
      </c>
      <c r="M160" s="417">
        <f t="shared" si="109"/>
        <v>18.395000000000003</v>
      </c>
    </row>
    <row r="161" spans="2:13" s="413" customFormat="1"/>
    <row r="162" spans="2:13" s="413" customFormat="1">
      <c r="B162" s="411" t="s">
        <v>239</v>
      </c>
      <c r="C162" s="409"/>
      <c r="D162" s="409"/>
      <c r="E162" s="409"/>
      <c r="F162" s="409"/>
      <c r="G162" s="409"/>
      <c r="H162" s="409"/>
      <c r="I162" s="409"/>
      <c r="J162" s="409"/>
      <c r="K162" s="409"/>
      <c r="L162" s="409"/>
      <c r="M162" s="409"/>
    </row>
    <row r="163" spans="2:13" s="413" customFormat="1">
      <c r="B163" s="413" t="str">
        <f>'Raw Trading Comps'!A31</f>
        <v>Sea Limited (NYSE:SE)</v>
      </c>
      <c r="E163" s="413">
        <f>_xlfn.XLOOKUP($B163,'Raw Trading Comps'!$A$15:$A$32,'Raw Trading Comps'!G$15:G$32)</f>
        <v>35.299999999999997</v>
      </c>
      <c r="F163" s="413">
        <f>_xlfn.XLOOKUP($B163,'Raw Trading Comps'!$A$15:$A$32,'Raw Trading Comps'!H$15:H$32)</f>
        <v>21.78</v>
      </c>
      <c r="G163" s="413">
        <f>_xlfn.XLOOKUP($B163,'Raw Trading Comps'!$A$15:$A$32,'Raw Trading Comps'!I$15:I$32)</f>
        <v>17.079999999999998</v>
      </c>
      <c r="H163" s="413">
        <f>_xlfn.XLOOKUP($B163,'Raw Trading Comps'!$A$15:$A$32,'Raw Trading Comps'!J$15:J$32)</f>
        <v>3.6</v>
      </c>
      <c r="I163" s="413">
        <f>_xlfn.XLOOKUP($B163,'Raw Trading Comps'!$A$15:$A$32,'Raw Trading Comps'!K$15:K$32)</f>
        <v>3.41</v>
      </c>
      <c r="J163" s="413">
        <f>_xlfn.XLOOKUP($B163,'Raw Trading Comps'!$A$15:$A$32,'Raw Trading Comps'!L$15:L$32)</f>
        <v>2.74</v>
      </c>
      <c r="K163" s="413">
        <f>_xlfn.XLOOKUP($B163,'Raw Trading Comps'!$A$15:$A$32,'Raw Trading Comps'!M$15:M$32)</f>
        <v>70.3</v>
      </c>
      <c r="L163" s="413">
        <f>_xlfn.XLOOKUP($B163,'Raw Trading Comps'!$A$15:$A$32,'Raw Trading Comps'!N$15:N$32)</f>
        <v>39.42</v>
      </c>
      <c r="M163" s="413">
        <f>_xlfn.XLOOKUP($B163,'Raw Trading Comps'!$A$15:$A$32,'Raw Trading Comps'!O$15:O$32)</f>
        <v>26.82</v>
      </c>
    </row>
    <row r="164" spans="2:13" s="413" customFormat="1">
      <c r="B164" s="413" t="str">
        <f>'Raw Trading Comps'!A20</f>
        <v>Kasikornbank Public Company Limited (SET:KBANK)</v>
      </c>
      <c r="E164" s="413" t="str">
        <f>_xlfn.XLOOKUP($B164,'Raw Trading Comps'!$A$15:$A$32,'Raw Trading Comps'!G$15:G$32)</f>
        <v>-</v>
      </c>
      <c r="F164" s="413" t="str">
        <f>_xlfn.XLOOKUP($B164,'Raw Trading Comps'!$A$15:$A$32,'Raw Trading Comps'!H$15:H$32)</f>
        <v>-</v>
      </c>
      <c r="G164" s="413" t="str">
        <f>_xlfn.XLOOKUP($B164,'Raw Trading Comps'!$A$15:$A$32,'Raw Trading Comps'!I$15:I$32)</f>
        <v>-</v>
      </c>
      <c r="H164" s="413" t="str">
        <f>_xlfn.XLOOKUP($B164,'Raw Trading Comps'!$A$15:$A$32,'Raw Trading Comps'!J$15:J$32)</f>
        <v>-</v>
      </c>
      <c r="I164" s="413" t="str">
        <f>_xlfn.XLOOKUP($B164,'Raw Trading Comps'!$A$15:$A$32,'Raw Trading Comps'!K$15:K$32)</f>
        <v>-</v>
      </c>
      <c r="J164" s="413" t="str">
        <f>_xlfn.XLOOKUP($B164,'Raw Trading Comps'!$A$15:$A$32,'Raw Trading Comps'!L$15:L$32)</f>
        <v>-</v>
      </c>
      <c r="K164" s="413">
        <f>_xlfn.XLOOKUP($B164,'Raw Trading Comps'!$A$15:$A$32,'Raw Trading Comps'!M$15:M$32)</f>
        <v>12.1</v>
      </c>
      <c r="L164" s="413">
        <f>_xlfn.XLOOKUP($B164,'Raw Trading Comps'!$A$15:$A$32,'Raw Trading Comps'!N$15:N$32)</f>
        <v>8.99</v>
      </c>
      <c r="M164" s="413">
        <f>_xlfn.XLOOKUP($B164,'Raw Trading Comps'!$A$15:$A$32,'Raw Trading Comps'!O$15:O$32)</f>
        <v>9.0299999999999994</v>
      </c>
    </row>
    <row r="165" spans="2:13" s="413" customFormat="1">
      <c r="B165" s="413" t="str">
        <f>'Raw Trading Comps'!A18</f>
        <v>SCB X Public Company Limited (SET:SCB)</v>
      </c>
      <c r="E165" s="413" t="str">
        <f>_xlfn.XLOOKUP($B165,'Raw Trading Comps'!$A$15:$A$32,'Raw Trading Comps'!G$15:G$32)</f>
        <v>-</v>
      </c>
      <c r="F165" s="413" t="str">
        <f>_xlfn.XLOOKUP($B165,'Raw Trading Comps'!$A$15:$A$32,'Raw Trading Comps'!H$15:H$32)</f>
        <v>-</v>
      </c>
      <c r="G165" s="413" t="str">
        <f>_xlfn.XLOOKUP($B165,'Raw Trading Comps'!$A$15:$A$32,'Raw Trading Comps'!I$15:I$32)</f>
        <v>-</v>
      </c>
      <c r="H165" s="413" t="str">
        <f>_xlfn.XLOOKUP($B165,'Raw Trading Comps'!$A$15:$A$32,'Raw Trading Comps'!J$15:J$32)</f>
        <v>-</v>
      </c>
      <c r="I165" s="413" t="str">
        <f>_xlfn.XLOOKUP($B165,'Raw Trading Comps'!$A$15:$A$32,'Raw Trading Comps'!K$15:K$32)</f>
        <v>-</v>
      </c>
      <c r="J165" s="413" t="str">
        <f>_xlfn.XLOOKUP($B165,'Raw Trading Comps'!$A$15:$A$32,'Raw Trading Comps'!L$15:L$32)</f>
        <v>-</v>
      </c>
      <c r="K165" s="413">
        <f>_xlfn.XLOOKUP($B165,'Raw Trading Comps'!$A$15:$A$32,'Raw Trading Comps'!M$15:M$32)</f>
        <v>11.7</v>
      </c>
      <c r="L165" s="413">
        <f>_xlfn.XLOOKUP($B165,'Raw Trading Comps'!$A$15:$A$32,'Raw Trading Comps'!N$15:N$32)</f>
        <v>9.57</v>
      </c>
      <c r="M165" s="413">
        <f>_xlfn.XLOOKUP($B165,'Raw Trading Comps'!$A$15:$A$32,'Raw Trading Comps'!O$15:O$32)</f>
        <v>9.8000000000000007</v>
      </c>
    </row>
    <row r="166" spans="2:13" s="413" customFormat="1">
      <c r="B166" s="414" t="s">
        <v>235</v>
      </c>
      <c r="C166" s="414"/>
      <c r="D166" s="414"/>
      <c r="E166" s="414">
        <f t="shared" ref="E166:M166" si="110">AVERAGE(E163:E165)</f>
        <v>35.299999999999997</v>
      </c>
      <c r="F166" s="414">
        <f t="shared" si="110"/>
        <v>21.78</v>
      </c>
      <c r="G166" s="414">
        <f t="shared" si="110"/>
        <v>17.079999999999998</v>
      </c>
      <c r="H166" s="414">
        <f t="shared" si="110"/>
        <v>3.6</v>
      </c>
      <c r="I166" s="414">
        <f t="shared" si="110"/>
        <v>3.41</v>
      </c>
      <c r="J166" s="414">
        <f t="shared" si="110"/>
        <v>2.74</v>
      </c>
      <c r="K166" s="414">
        <f t="shared" si="110"/>
        <v>31.366666666666664</v>
      </c>
      <c r="L166" s="414">
        <f t="shared" si="110"/>
        <v>19.326666666666668</v>
      </c>
      <c r="M166" s="414">
        <f t="shared" si="110"/>
        <v>15.216666666666669</v>
      </c>
    </row>
    <row r="167" spans="2:13" s="413" customFormat="1">
      <c r="B167" s="415" t="s">
        <v>273</v>
      </c>
      <c r="C167" s="416"/>
      <c r="D167" s="416"/>
      <c r="E167" s="416">
        <f t="shared" ref="E167:M167" si="111">MEDIAN(E163:E165)</f>
        <v>35.299999999999997</v>
      </c>
      <c r="F167" s="416">
        <f t="shared" si="111"/>
        <v>21.78</v>
      </c>
      <c r="G167" s="416">
        <f t="shared" si="111"/>
        <v>17.079999999999998</v>
      </c>
      <c r="H167" s="416">
        <f t="shared" si="111"/>
        <v>3.6</v>
      </c>
      <c r="I167" s="416">
        <f t="shared" si="111"/>
        <v>3.41</v>
      </c>
      <c r="J167" s="416">
        <f t="shared" si="111"/>
        <v>2.74</v>
      </c>
      <c r="K167" s="416">
        <f t="shared" si="111"/>
        <v>12.1</v>
      </c>
      <c r="L167" s="416">
        <f t="shared" si="111"/>
        <v>9.57</v>
      </c>
      <c r="M167" s="416">
        <f t="shared" si="111"/>
        <v>9.8000000000000007</v>
      </c>
    </row>
    <row r="168" spans="2:13" s="413" customFormat="1">
      <c r="B168" s="416" t="s">
        <v>274</v>
      </c>
      <c r="C168" s="416"/>
      <c r="D168" s="416"/>
      <c r="E168" s="416">
        <f t="shared" ref="E168:M168" si="112">_xlfn.PERCENTILE.INC(E163:E165,0.25)</f>
        <v>35.299999999999997</v>
      </c>
      <c r="F168" s="416">
        <f t="shared" si="112"/>
        <v>21.78</v>
      </c>
      <c r="G168" s="416">
        <f t="shared" si="112"/>
        <v>17.079999999999998</v>
      </c>
      <c r="H168" s="416">
        <f t="shared" si="112"/>
        <v>3.6</v>
      </c>
      <c r="I168" s="416">
        <f t="shared" si="112"/>
        <v>3.41</v>
      </c>
      <c r="J168" s="416">
        <f t="shared" si="112"/>
        <v>2.74</v>
      </c>
      <c r="K168" s="416">
        <f t="shared" si="112"/>
        <v>11.899999999999999</v>
      </c>
      <c r="L168" s="416">
        <f t="shared" si="112"/>
        <v>9.2800000000000011</v>
      </c>
      <c r="M168" s="416">
        <f t="shared" si="112"/>
        <v>9.4149999999999991</v>
      </c>
    </row>
    <row r="169" spans="2:13" s="413" customFormat="1">
      <c r="B169" s="417" t="s">
        <v>275</v>
      </c>
      <c r="C169" s="417"/>
      <c r="D169" s="417"/>
      <c r="E169" s="417">
        <f t="shared" ref="E169:M169" si="113">_xlfn.PERCENTILE.INC(E163:E165,0.75)</f>
        <v>35.299999999999997</v>
      </c>
      <c r="F169" s="417">
        <f t="shared" si="113"/>
        <v>21.78</v>
      </c>
      <c r="G169" s="417">
        <f t="shared" si="113"/>
        <v>17.079999999999998</v>
      </c>
      <c r="H169" s="417">
        <f t="shared" si="113"/>
        <v>3.6</v>
      </c>
      <c r="I169" s="417">
        <f t="shared" si="113"/>
        <v>3.41</v>
      </c>
      <c r="J169" s="417">
        <f t="shared" si="113"/>
        <v>2.74</v>
      </c>
      <c r="K169" s="417">
        <f t="shared" si="113"/>
        <v>41.199999999999996</v>
      </c>
      <c r="L169" s="417">
        <f t="shared" si="113"/>
        <v>24.495000000000001</v>
      </c>
      <c r="M169" s="417">
        <f t="shared" si="113"/>
        <v>18.310000000000002</v>
      </c>
    </row>
    <row r="170" spans="2:13" s="413" customFormat="1"/>
    <row r="171" spans="2:13" s="413" customFormat="1">
      <c r="B171" s="411" t="s">
        <v>258</v>
      </c>
      <c r="C171" s="409"/>
      <c r="D171" s="409"/>
      <c r="E171" s="409"/>
      <c r="F171" s="409"/>
      <c r="G171" s="409"/>
      <c r="H171" s="409"/>
      <c r="I171" s="409"/>
      <c r="J171" s="409"/>
      <c r="K171" s="409"/>
      <c r="L171" s="409"/>
      <c r="M171" s="409"/>
    </row>
    <row r="172" spans="2:13" s="413" customFormat="1">
      <c r="B172" s="413" t="str">
        <f>'Raw Trading Comps'!A31</f>
        <v>Sea Limited (NYSE:SE)</v>
      </c>
      <c r="E172" s="413">
        <f>_xlfn.XLOOKUP($B172,'Raw Trading Comps'!$A$15:$A$32,'Raw Trading Comps'!G$15:G$32)</f>
        <v>35.299999999999997</v>
      </c>
      <c r="F172" s="413">
        <f>_xlfn.XLOOKUP($B172,'Raw Trading Comps'!$A$15:$A$32,'Raw Trading Comps'!H$15:H$32)</f>
        <v>21.78</v>
      </c>
      <c r="G172" s="413">
        <f>_xlfn.XLOOKUP($B172,'Raw Trading Comps'!$A$15:$A$32,'Raw Trading Comps'!I$15:I$32)</f>
        <v>17.079999999999998</v>
      </c>
      <c r="H172" s="413">
        <f>_xlfn.XLOOKUP($B172,'Raw Trading Comps'!$A$15:$A$32,'Raw Trading Comps'!J$15:J$32)</f>
        <v>3.6</v>
      </c>
      <c r="I172" s="413">
        <f>_xlfn.XLOOKUP($B172,'Raw Trading Comps'!$A$15:$A$32,'Raw Trading Comps'!K$15:K$32)</f>
        <v>3.41</v>
      </c>
      <c r="J172" s="413">
        <f>_xlfn.XLOOKUP($B172,'Raw Trading Comps'!$A$15:$A$32,'Raw Trading Comps'!L$15:L$32)</f>
        <v>2.74</v>
      </c>
      <c r="K172" s="413">
        <f>_xlfn.XLOOKUP($B172,'Raw Trading Comps'!$A$15:$A$32,'Raw Trading Comps'!M$15:M$32)</f>
        <v>70.3</v>
      </c>
      <c r="L172" s="413">
        <f>_xlfn.XLOOKUP($B172,'Raw Trading Comps'!$A$15:$A$32,'Raw Trading Comps'!N$15:N$32)</f>
        <v>39.42</v>
      </c>
      <c r="M172" s="413">
        <f>_xlfn.XLOOKUP($B172,'Raw Trading Comps'!$A$15:$A$32,'Raw Trading Comps'!O$15:O$32)</f>
        <v>26.82</v>
      </c>
    </row>
    <row r="173" spans="2:13" s="413" customFormat="1">
      <c r="B173" s="414" t="s">
        <v>235</v>
      </c>
      <c r="C173" s="414"/>
      <c r="D173" s="414"/>
      <c r="E173" s="414">
        <f t="shared" ref="E173:M173" si="114">AVERAGE(E172:E172)</f>
        <v>35.299999999999997</v>
      </c>
      <c r="F173" s="414">
        <f t="shared" si="114"/>
        <v>21.78</v>
      </c>
      <c r="G173" s="414">
        <f t="shared" si="114"/>
        <v>17.079999999999998</v>
      </c>
      <c r="H173" s="414">
        <f t="shared" si="114"/>
        <v>3.6</v>
      </c>
      <c r="I173" s="414">
        <f t="shared" si="114"/>
        <v>3.41</v>
      </c>
      <c r="J173" s="414">
        <f t="shared" si="114"/>
        <v>2.74</v>
      </c>
      <c r="K173" s="414">
        <f t="shared" si="114"/>
        <v>70.3</v>
      </c>
      <c r="L173" s="414">
        <f t="shared" si="114"/>
        <v>39.42</v>
      </c>
      <c r="M173" s="414">
        <f t="shared" si="114"/>
        <v>26.82</v>
      </c>
    </row>
    <row r="174" spans="2:13" s="413" customFormat="1">
      <c r="B174" s="415" t="s">
        <v>273</v>
      </c>
      <c r="C174" s="416"/>
      <c r="D174" s="416"/>
      <c r="E174" s="416">
        <f t="shared" ref="E174:M174" si="115">MEDIAN(E172:E172)</f>
        <v>35.299999999999997</v>
      </c>
      <c r="F174" s="416">
        <f t="shared" si="115"/>
        <v>21.78</v>
      </c>
      <c r="G174" s="416">
        <f t="shared" si="115"/>
        <v>17.079999999999998</v>
      </c>
      <c r="H174" s="416">
        <f t="shared" si="115"/>
        <v>3.6</v>
      </c>
      <c r="I174" s="416">
        <f t="shared" si="115"/>
        <v>3.41</v>
      </c>
      <c r="J174" s="416">
        <f t="shared" si="115"/>
        <v>2.74</v>
      </c>
      <c r="K174" s="416">
        <f t="shared" si="115"/>
        <v>70.3</v>
      </c>
      <c r="L174" s="416">
        <f t="shared" si="115"/>
        <v>39.42</v>
      </c>
      <c r="M174" s="416">
        <f t="shared" si="115"/>
        <v>26.82</v>
      </c>
    </row>
    <row r="175" spans="2:13" s="413" customFormat="1">
      <c r="B175" s="416" t="s">
        <v>274</v>
      </c>
      <c r="C175" s="416"/>
      <c r="D175" s="416"/>
      <c r="E175" s="416">
        <f t="shared" ref="E175:M175" si="116">_xlfn.PERCENTILE.INC(E172:E172,0.25)</f>
        <v>35.299999999999997</v>
      </c>
      <c r="F175" s="416">
        <f t="shared" si="116"/>
        <v>21.78</v>
      </c>
      <c r="G175" s="416">
        <f t="shared" si="116"/>
        <v>17.079999999999998</v>
      </c>
      <c r="H175" s="416">
        <f t="shared" si="116"/>
        <v>3.6</v>
      </c>
      <c r="I175" s="416">
        <f t="shared" si="116"/>
        <v>3.41</v>
      </c>
      <c r="J175" s="416">
        <f t="shared" si="116"/>
        <v>2.74</v>
      </c>
      <c r="K175" s="416">
        <f t="shared" si="116"/>
        <v>70.3</v>
      </c>
      <c r="L175" s="416">
        <f t="shared" si="116"/>
        <v>39.42</v>
      </c>
      <c r="M175" s="416">
        <f t="shared" si="116"/>
        <v>26.82</v>
      </c>
    </row>
    <row r="176" spans="2:13" s="413" customFormat="1">
      <c r="B176" s="417" t="s">
        <v>275</v>
      </c>
      <c r="C176" s="417"/>
      <c r="D176" s="417"/>
      <c r="E176" s="417">
        <f t="shared" ref="E176:M176" si="117">_xlfn.PERCENTILE.INC(E172:E172,0.75)</f>
        <v>35.299999999999997</v>
      </c>
      <c r="F176" s="417">
        <f t="shared" si="117"/>
        <v>21.78</v>
      </c>
      <c r="G176" s="417">
        <f t="shared" si="117"/>
        <v>17.079999999999998</v>
      </c>
      <c r="H176" s="417">
        <f t="shared" si="117"/>
        <v>3.6</v>
      </c>
      <c r="I176" s="417">
        <f t="shared" si="117"/>
        <v>3.41</v>
      </c>
      <c r="J176" s="417">
        <f t="shared" si="117"/>
        <v>2.74</v>
      </c>
      <c r="K176" s="417">
        <f t="shared" si="117"/>
        <v>70.3</v>
      </c>
      <c r="L176" s="417">
        <f t="shared" si="117"/>
        <v>39.42</v>
      </c>
      <c r="M176" s="417">
        <f t="shared" si="117"/>
        <v>26.82</v>
      </c>
    </row>
    <row r="177" spans="1:13" s="413" customFormat="1"/>
    <row r="178" spans="1:13" s="413" customFormat="1">
      <c r="B178" s="419" t="s">
        <v>282</v>
      </c>
      <c r="C178" s="420" t="s">
        <v>250</v>
      </c>
      <c r="D178" s="420" t="s">
        <v>277</v>
      </c>
      <c r="E178" s="418"/>
      <c r="F178" s="418"/>
      <c r="G178" s="418"/>
      <c r="H178" s="418"/>
      <c r="I178" s="418"/>
      <c r="J178" s="418"/>
      <c r="K178" s="418"/>
      <c r="L178" s="418"/>
      <c r="M178" s="418"/>
    </row>
    <row r="179" spans="1:13" s="413" customFormat="1">
      <c r="B179" s="38" t="s">
        <v>231</v>
      </c>
      <c r="C179" s="55">
        <v>578</v>
      </c>
      <c r="D179" s="99">
        <f>C179/$C$186</f>
        <v>0.20664998212370397</v>
      </c>
      <c r="E179" s="413">
        <f>E133</f>
        <v>17.649999999999999</v>
      </c>
      <c r="F179" s="413">
        <f t="shared" ref="F179:M179" si="118">F133</f>
        <v>31.675000000000001</v>
      </c>
      <c r="G179" s="413">
        <f t="shared" si="118"/>
        <v>19.364999999999998</v>
      </c>
      <c r="H179" s="413">
        <f t="shared" si="118"/>
        <v>3.25</v>
      </c>
      <c r="I179" s="413">
        <f t="shared" si="118"/>
        <v>3.105</v>
      </c>
      <c r="J179" s="413">
        <f t="shared" si="118"/>
        <v>2.585</v>
      </c>
      <c r="K179" s="413">
        <f t="shared" si="118"/>
        <v>17.3</v>
      </c>
      <c r="L179" s="413">
        <f t="shared" si="118"/>
        <v>12.99</v>
      </c>
      <c r="M179" s="413">
        <f t="shared" si="118"/>
        <v>20.23</v>
      </c>
    </row>
    <row r="180" spans="1:13" s="413" customFormat="1">
      <c r="B180" s="38" t="s">
        <v>257</v>
      </c>
      <c r="C180" s="55">
        <v>816</v>
      </c>
      <c r="D180" s="99">
        <f t="shared" ref="D180:D185" si="119">C180/$C$186</f>
        <v>0.29174115123346445</v>
      </c>
      <c r="E180" s="413">
        <f>E140</f>
        <v>35.299999999999997</v>
      </c>
      <c r="F180" s="413">
        <f t="shared" ref="F180:M180" si="120">F140</f>
        <v>21.78</v>
      </c>
      <c r="G180" s="413">
        <f t="shared" si="120"/>
        <v>17.079999999999998</v>
      </c>
      <c r="H180" s="413">
        <f t="shared" si="120"/>
        <v>3.6</v>
      </c>
      <c r="I180" s="413">
        <f t="shared" si="120"/>
        <v>3.41</v>
      </c>
      <c r="J180" s="413">
        <f t="shared" si="120"/>
        <v>2.74</v>
      </c>
      <c r="K180" s="413">
        <f t="shared" si="120"/>
        <v>70.3</v>
      </c>
      <c r="L180" s="413">
        <f t="shared" si="120"/>
        <v>39.42</v>
      </c>
      <c r="M180" s="413">
        <f t="shared" si="120"/>
        <v>26.82</v>
      </c>
    </row>
    <row r="181" spans="1:13" s="413" customFormat="1">
      <c r="B181" s="38" t="s">
        <v>233</v>
      </c>
      <c r="C181" s="55">
        <v>643</v>
      </c>
      <c r="D181" s="99">
        <f t="shared" si="119"/>
        <v>0.22988916696460493</v>
      </c>
      <c r="E181" s="413">
        <f>E149</f>
        <v>17.649999999999999</v>
      </c>
      <c r="F181" s="413">
        <f t="shared" ref="F181:M181" si="121">F149</f>
        <v>31.675000000000001</v>
      </c>
      <c r="G181" s="413">
        <f t="shared" si="121"/>
        <v>19.364999999999998</v>
      </c>
      <c r="H181" s="413">
        <f t="shared" si="121"/>
        <v>3.25</v>
      </c>
      <c r="I181" s="413">
        <f t="shared" si="121"/>
        <v>3.105</v>
      </c>
      <c r="J181" s="413">
        <f t="shared" si="121"/>
        <v>2.585</v>
      </c>
      <c r="K181" s="413">
        <f t="shared" si="121"/>
        <v>70.3</v>
      </c>
      <c r="L181" s="413">
        <f t="shared" si="121"/>
        <v>39.42</v>
      </c>
      <c r="M181" s="413">
        <f t="shared" si="121"/>
        <v>55.62</v>
      </c>
    </row>
    <row r="182" spans="1:13" s="413" customFormat="1">
      <c r="B182" s="38" t="s">
        <v>244</v>
      </c>
      <c r="C182" s="55">
        <v>265</v>
      </c>
      <c r="D182" s="99">
        <f t="shared" si="119"/>
        <v>9.4744368966750092E-2</v>
      </c>
      <c r="E182" s="413">
        <f>E158</f>
        <v>6.6</v>
      </c>
      <c r="F182" s="413">
        <f t="shared" ref="F182:M182" si="122">F158</f>
        <v>6.63</v>
      </c>
      <c r="G182" s="413">
        <f t="shared" si="122"/>
        <v>6.46</v>
      </c>
      <c r="H182" s="413">
        <f t="shared" si="122"/>
        <v>3.3</v>
      </c>
      <c r="I182" s="413">
        <f t="shared" si="122"/>
        <v>3.3</v>
      </c>
      <c r="J182" s="413">
        <f t="shared" si="122"/>
        <v>2.76</v>
      </c>
      <c r="K182" s="413">
        <f t="shared" si="122"/>
        <v>14.3</v>
      </c>
      <c r="L182" s="413">
        <f t="shared" si="122"/>
        <v>11.57</v>
      </c>
      <c r="M182" s="413">
        <f t="shared" si="122"/>
        <v>9.9700000000000006</v>
      </c>
    </row>
    <row r="183" spans="1:13" s="413" customFormat="1">
      <c r="B183" s="38" t="s">
        <v>239</v>
      </c>
      <c r="C183" s="55">
        <v>252</v>
      </c>
      <c r="D183" s="99">
        <f t="shared" si="119"/>
        <v>9.0096531998569901E-2</v>
      </c>
      <c r="E183" s="413">
        <f>E167</f>
        <v>35.299999999999997</v>
      </c>
      <c r="F183" s="413">
        <f t="shared" ref="F183:M183" si="123">F167</f>
        <v>21.78</v>
      </c>
      <c r="G183" s="413">
        <f t="shared" si="123"/>
        <v>17.079999999999998</v>
      </c>
      <c r="H183" s="413">
        <f t="shared" si="123"/>
        <v>3.6</v>
      </c>
      <c r="I183" s="413">
        <f t="shared" si="123"/>
        <v>3.41</v>
      </c>
      <c r="J183" s="413">
        <f t="shared" si="123"/>
        <v>2.74</v>
      </c>
      <c r="K183" s="413">
        <f t="shared" si="123"/>
        <v>12.1</v>
      </c>
      <c r="L183" s="413">
        <f t="shared" si="123"/>
        <v>9.57</v>
      </c>
      <c r="M183" s="413">
        <f t="shared" si="123"/>
        <v>9.8000000000000007</v>
      </c>
    </row>
    <row r="184" spans="1:13" s="413" customFormat="1">
      <c r="B184" s="38" t="s">
        <v>258</v>
      </c>
      <c r="C184" s="55">
        <v>228</v>
      </c>
      <c r="D184" s="99">
        <f t="shared" si="119"/>
        <v>8.1515909903468006E-2</v>
      </c>
      <c r="E184" s="413">
        <f>E174</f>
        <v>35.299999999999997</v>
      </c>
      <c r="F184" s="413">
        <f t="shared" ref="F184:M184" si="124">F174</f>
        <v>21.78</v>
      </c>
      <c r="G184" s="413">
        <f t="shared" si="124"/>
        <v>17.079999999999998</v>
      </c>
      <c r="H184" s="413">
        <f t="shared" si="124"/>
        <v>3.6</v>
      </c>
      <c r="I184" s="413">
        <f t="shared" si="124"/>
        <v>3.41</v>
      </c>
      <c r="J184" s="413">
        <f t="shared" si="124"/>
        <v>2.74</v>
      </c>
      <c r="K184" s="413">
        <f t="shared" si="124"/>
        <v>70.3</v>
      </c>
      <c r="L184" s="413">
        <f t="shared" si="124"/>
        <v>39.42</v>
      </c>
      <c r="M184" s="413">
        <f t="shared" si="124"/>
        <v>26.82</v>
      </c>
    </row>
    <row r="185" spans="1:13" s="413" customFormat="1" ht="17" thickBot="1">
      <c r="B185" s="38" t="s">
        <v>259</v>
      </c>
      <c r="C185" s="55">
        <v>15</v>
      </c>
      <c r="D185" s="99">
        <f t="shared" si="119"/>
        <v>5.3628888094386842E-3</v>
      </c>
      <c r="E185" s="413">
        <f>MEDIAN(E179:E184)</f>
        <v>26.474999999999998</v>
      </c>
      <c r="F185" s="413">
        <f t="shared" ref="F185:M185" si="125">MEDIAN(F179:F184)</f>
        <v>21.78</v>
      </c>
      <c r="G185" s="413">
        <f t="shared" si="125"/>
        <v>17.079999999999998</v>
      </c>
      <c r="H185" s="413">
        <f t="shared" si="125"/>
        <v>3.45</v>
      </c>
      <c r="I185" s="413">
        <f t="shared" si="125"/>
        <v>3.355</v>
      </c>
      <c r="J185" s="413">
        <f t="shared" si="125"/>
        <v>2.74</v>
      </c>
      <c r="K185" s="413">
        <f t="shared" si="125"/>
        <v>43.8</v>
      </c>
      <c r="L185" s="413">
        <f t="shared" si="125"/>
        <v>26.204999999999998</v>
      </c>
      <c r="M185" s="413">
        <f t="shared" si="125"/>
        <v>23.524999999999999</v>
      </c>
    </row>
    <row r="186" spans="1:13" s="413" customFormat="1" ht="17" thickBot="1">
      <c r="B186" s="421" t="s">
        <v>283</v>
      </c>
      <c r="C186" s="422">
        <f>SUM(C179:C185)</f>
        <v>2797</v>
      </c>
      <c r="D186" s="423">
        <f>SUM(D179:D185)</f>
        <v>1</v>
      </c>
      <c r="E186" s="424">
        <f>SUMPRODUCT(E179:E185,$D$56:$D$62)</f>
        <v>24.828593135502324</v>
      </c>
      <c r="F186" s="424">
        <f t="shared" ref="F186" si="126">SUMPRODUCT(F179:F185,$D$56:$D$62)</f>
        <v>24.664177690382555</v>
      </c>
      <c r="G186" s="424">
        <f t="shared" ref="G186" si="127">SUMPRODUCT(G179:G185,$D$56:$D$62)</f>
        <v>17.071306757239899</v>
      </c>
      <c r="H186" s="424">
        <f t="shared" ref="H186" si="128">SUMPRODUCT(H179:H185,$D$56:$D$62)</f>
        <v>3.4179835538076513</v>
      </c>
      <c r="I186" s="424">
        <f t="shared" ref="I186" si="129">SUMPRODUCT(I179:I185,$D$56:$D$62)</f>
        <v>3.2661387200572043</v>
      </c>
      <c r="J186" s="424">
        <f t="shared" ref="J186" si="130">SUMPRODUCT(J179:J185,$D$56:$D$62)</f>
        <v>2.6742313192706475</v>
      </c>
      <c r="K186" s="424">
        <f t="shared" ref="K186" si="131">SUMPRODUCT(K179:K185,$D$56:$D$62)</f>
        <v>48.656131569538793</v>
      </c>
      <c r="L186" s="424">
        <f t="shared" ref="L186" si="132">SUMPRODUCT(L179:L185,$D$56:$D$62)</f>
        <v>28.559358240972472</v>
      </c>
      <c r="M186" s="425">
        <f t="shared" ref="M186" si="133">SUMPRODUCT(M179:M185,$D$56:$D$62)</f>
        <v>28.931428316052912</v>
      </c>
    </row>
    <row r="187" spans="1:13" s="413" customFormat="1"/>
    <row r="188" spans="1:13" s="413" customFormat="1">
      <c r="A188" s="413" t="s">
        <v>57</v>
      </c>
      <c r="B188" s="427" t="s">
        <v>284</v>
      </c>
      <c r="C188" s="426"/>
      <c r="D188" s="426"/>
      <c r="E188" s="426"/>
      <c r="F188" s="426"/>
      <c r="G188" s="426"/>
      <c r="H188" s="426"/>
      <c r="I188" s="426"/>
      <c r="J188" s="426"/>
      <c r="K188" s="426"/>
      <c r="L188" s="426"/>
      <c r="M188" s="426"/>
    </row>
    <row r="189" spans="1:13" s="413" customFormat="1">
      <c r="B189" s="428" t="s">
        <v>285</v>
      </c>
      <c r="C189" s="428" t="s">
        <v>250</v>
      </c>
      <c r="D189" s="428" t="s">
        <v>277</v>
      </c>
    </row>
    <row r="190" spans="1:13" s="413" customFormat="1">
      <c r="B190" s="38" t="s">
        <v>47</v>
      </c>
      <c r="C190" s="55">
        <v>1493</v>
      </c>
      <c r="D190" s="99">
        <f>C190/$C$194</f>
        <v>0.53378619949946371</v>
      </c>
      <c r="E190" s="413">
        <f>E123</f>
        <v>15.251810868787988</v>
      </c>
      <c r="F190" s="413">
        <f t="shared" ref="F190:M190" si="134">F123</f>
        <v>23.00120486235252</v>
      </c>
      <c r="G190" s="413">
        <f t="shared" si="134"/>
        <v>13.339867268501967</v>
      </c>
      <c r="H190" s="413">
        <f t="shared" si="134"/>
        <v>1.9899848051483735</v>
      </c>
      <c r="I190" s="413">
        <f t="shared" si="134"/>
        <v>1.8958147121916338</v>
      </c>
      <c r="J190" s="413">
        <f t="shared" si="134"/>
        <v>1.592817751161959</v>
      </c>
      <c r="K190" s="413">
        <f t="shared" si="134"/>
        <v>18.329022166607079</v>
      </c>
      <c r="L190" s="413">
        <f t="shared" si="134"/>
        <v>23.826655345012512</v>
      </c>
      <c r="M190" s="413">
        <f t="shared" si="134"/>
        <v>45.526788523417949</v>
      </c>
    </row>
    <row r="191" spans="1:13" s="413" customFormat="1">
      <c r="B191" s="38" t="s">
        <v>49</v>
      </c>
      <c r="C191" s="55">
        <v>1047</v>
      </c>
      <c r="D191" s="99">
        <f t="shared" ref="D191:D193" si="135">C191/$C$194</f>
        <v>0.37432963889882015</v>
      </c>
      <c r="E191" s="413">
        <f>E63</f>
        <v>3.562745799070433</v>
      </c>
      <c r="F191" s="413">
        <f t="shared" ref="F191:M191" si="136">F63</f>
        <v>32.957692170182341</v>
      </c>
      <c r="G191" s="413">
        <f t="shared" si="136"/>
        <v>17.963712906685736</v>
      </c>
      <c r="H191" s="413">
        <f t="shared" si="136"/>
        <v>2.8308366106542726</v>
      </c>
      <c r="I191" s="413">
        <f t="shared" si="136"/>
        <v>2.748274937432964</v>
      </c>
      <c r="J191" s="413">
        <f t="shared" si="136"/>
        <v>2.4302037897747586</v>
      </c>
      <c r="K191" s="413">
        <f t="shared" si="136"/>
        <v>5.7630943868430462</v>
      </c>
      <c r="L191" s="413">
        <f t="shared" si="136"/>
        <v>5.3036422953164104</v>
      </c>
      <c r="M191" s="413">
        <f t="shared" si="136"/>
        <v>67.624970504111559</v>
      </c>
    </row>
    <row r="192" spans="1:13" s="413" customFormat="1">
      <c r="B192" s="38" t="s">
        <v>50</v>
      </c>
      <c r="C192" s="55">
        <v>253</v>
      </c>
      <c r="D192" s="99">
        <f t="shared" si="135"/>
        <v>9.0454057919199138E-2</v>
      </c>
      <c r="E192" s="413">
        <f>E186</f>
        <v>24.828593135502324</v>
      </c>
      <c r="F192" s="413">
        <f t="shared" ref="F192:M192" si="137">F186</f>
        <v>24.664177690382555</v>
      </c>
      <c r="G192" s="413">
        <f t="shared" si="137"/>
        <v>17.071306757239899</v>
      </c>
      <c r="H192" s="413">
        <f t="shared" si="137"/>
        <v>3.4179835538076513</v>
      </c>
      <c r="I192" s="413">
        <f t="shared" si="137"/>
        <v>3.2661387200572043</v>
      </c>
      <c r="J192" s="413">
        <f t="shared" si="137"/>
        <v>2.6742313192706475</v>
      </c>
      <c r="K192" s="413">
        <f t="shared" si="137"/>
        <v>48.656131569538793</v>
      </c>
      <c r="L192" s="413">
        <f t="shared" si="137"/>
        <v>28.559358240972472</v>
      </c>
      <c r="M192" s="413">
        <f t="shared" si="137"/>
        <v>28.931428316052912</v>
      </c>
    </row>
    <row r="193" spans="1:15" s="413" customFormat="1" ht="17" thickBot="1">
      <c r="B193" s="38" t="s">
        <v>51</v>
      </c>
      <c r="C193" s="55">
        <v>4</v>
      </c>
      <c r="D193" s="99">
        <f t="shared" si="135"/>
        <v>1.4301036825169824E-3</v>
      </c>
      <c r="E193" s="413">
        <f>AVERAGE(E190:E192)</f>
        <v>14.547716601120248</v>
      </c>
      <c r="F193" s="413">
        <f t="shared" ref="F193:M193" si="138">AVERAGE(F190:F192)</f>
        <v>26.874358240972473</v>
      </c>
      <c r="G193" s="413">
        <f t="shared" si="138"/>
        <v>16.124962310809199</v>
      </c>
      <c r="H193" s="413">
        <f t="shared" si="138"/>
        <v>2.7462683232034326</v>
      </c>
      <c r="I193" s="413">
        <f t="shared" si="138"/>
        <v>2.6367427898939337</v>
      </c>
      <c r="J193" s="413">
        <f t="shared" si="138"/>
        <v>2.2324176200691217</v>
      </c>
      <c r="K193" s="413">
        <f t="shared" si="138"/>
        <v>24.249416040996305</v>
      </c>
      <c r="L193" s="413">
        <f t="shared" si="138"/>
        <v>19.229885293767129</v>
      </c>
      <c r="M193" s="413">
        <f t="shared" si="138"/>
        <v>47.361062447860803</v>
      </c>
      <c r="O193" s="413" t="s">
        <v>286</v>
      </c>
    </row>
    <row r="194" spans="1:15" s="413" customFormat="1" ht="17" thickBot="1">
      <c r="B194" s="421" t="s">
        <v>287</v>
      </c>
      <c r="C194" s="422">
        <f>SUM(C190:C193)</f>
        <v>2797</v>
      </c>
      <c r="D194" s="423">
        <f>SUM(D190:D193)</f>
        <v>1</v>
      </c>
      <c r="E194" s="424">
        <f>SUMPRODUCT(E190:E193,$D$190:$D$193)</f>
        <v>11.741499252203711</v>
      </c>
      <c r="F194" s="424">
        <f t="shared" ref="F194:M194" si="139">SUMPRODUCT(F190:F193,$D$190:$D$193)</f>
        <v>26.884174812407544</v>
      </c>
      <c r="G194" s="424">
        <f t="shared" si="139"/>
        <v>15.412216554879633</v>
      </c>
      <c r="H194" s="424">
        <f t="shared" si="139"/>
        <v>2.4349904032347851</v>
      </c>
      <c r="I194" s="424">
        <f t="shared" si="139"/>
        <v>2.3399268116297716</v>
      </c>
      <c r="J194" s="424">
        <f t="shared" si="139"/>
        <v>2.0050091042669744</v>
      </c>
      <c r="K194" s="424">
        <f t="shared" si="139"/>
        <v>16.376899845915744</v>
      </c>
      <c r="L194" s="424">
        <f t="shared" si="139"/>
        <v>17.314460882889193</v>
      </c>
      <c r="M194" s="425">
        <f t="shared" si="139"/>
        <v>52.300298533078532</v>
      </c>
    </row>
    <row r="195" spans="1:15" s="413" customFormat="1"/>
    <row r="196" spans="1:15" s="413" customFormat="1" ht="19">
      <c r="A196" s="413" t="s">
        <v>57</v>
      </c>
      <c r="B196" s="427" t="s">
        <v>288</v>
      </c>
      <c r="C196" s="426"/>
      <c r="D196" s="426"/>
      <c r="E196" s="49" t="s">
        <v>266</v>
      </c>
      <c r="F196" s="49"/>
      <c r="G196" s="49"/>
      <c r="H196" s="49" t="s">
        <v>267</v>
      </c>
      <c r="I196" s="49"/>
      <c r="J196" s="49"/>
      <c r="K196" s="49" t="s">
        <v>268</v>
      </c>
      <c r="L196" s="49"/>
      <c r="M196" s="49"/>
    </row>
    <row r="197" spans="1:15" s="413" customFormat="1">
      <c r="B197" s="429" t="s">
        <v>289</v>
      </c>
      <c r="C197" s="426"/>
      <c r="D197" s="426"/>
      <c r="E197" s="394" t="s">
        <v>269</v>
      </c>
      <c r="F197" s="395">
        <v>1</v>
      </c>
      <c r="G197" s="395">
        <v>2</v>
      </c>
      <c r="H197" s="396" t="s">
        <v>269</v>
      </c>
      <c r="I197" s="395">
        <v>1</v>
      </c>
      <c r="J197" s="395">
        <v>2</v>
      </c>
      <c r="K197" s="396" t="s">
        <v>269</v>
      </c>
      <c r="L197" s="395">
        <v>1</v>
      </c>
      <c r="M197" s="395">
        <v>2</v>
      </c>
    </row>
    <row r="198" spans="1:15" s="413" customFormat="1">
      <c r="B198" s="413" t="s">
        <v>290</v>
      </c>
      <c r="E198" s="82">
        <f>E194*'3FS'!H$45</f>
        <v>1949.0888758658161</v>
      </c>
      <c r="F198" s="82">
        <f ca="1">F194*'3FS'!I$45</f>
        <v>11854.102555462978</v>
      </c>
      <c r="G198" s="82">
        <f ca="1">G194*'3FS'!J$45</f>
        <v>10781.230723973276</v>
      </c>
      <c r="H198" s="82">
        <f>H194*'3FS'!H$12</f>
        <v>6810.6681578476937</v>
      </c>
      <c r="I198" s="82">
        <f>I194*'3FS'!I$12</f>
        <v>8066.0973200296175</v>
      </c>
      <c r="J198" s="82">
        <f>J194*'3FS'!J$12</f>
        <v>8505.5742844573015</v>
      </c>
      <c r="K198" s="74"/>
      <c r="L198" s="74"/>
      <c r="M198" s="74"/>
    </row>
    <row r="199" spans="1:15" s="413" customFormat="1">
      <c r="B199" s="413" t="s">
        <v>291</v>
      </c>
      <c r="E199" s="82">
        <f>'3FS'!$H$53</f>
        <v>2964</v>
      </c>
      <c r="F199" s="82">
        <f>'3FS'!$H$53</f>
        <v>2964</v>
      </c>
      <c r="G199" s="82">
        <f>'3FS'!$H$53</f>
        <v>2964</v>
      </c>
      <c r="H199" s="82">
        <f>'3FS'!$H$53</f>
        <v>2964</v>
      </c>
      <c r="I199" s="82">
        <f>'3FS'!$H$53</f>
        <v>2964</v>
      </c>
      <c r="J199" s="82">
        <f>'3FS'!$H$53</f>
        <v>2964</v>
      </c>
      <c r="K199" s="74"/>
      <c r="L199" s="74"/>
      <c r="M199" s="74"/>
    </row>
    <row r="200" spans="1:15" s="413" customFormat="1">
      <c r="B200" s="413" t="s">
        <v>292</v>
      </c>
      <c r="E200" s="82">
        <f>SUM('3FS'!$H$78,'3FS'!$H$86)</f>
        <v>364</v>
      </c>
      <c r="F200" s="82">
        <f>SUM('3FS'!$H$78,'3FS'!$H$86)</f>
        <v>364</v>
      </c>
      <c r="G200" s="82">
        <f>SUM('3FS'!$H$78,'3FS'!$H$86)</f>
        <v>364</v>
      </c>
      <c r="H200" s="82">
        <f>SUM('3FS'!$H$78,'3FS'!$H$86)</f>
        <v>364</v>
      </c>
      <c r="I200" s="82">
        <f>SUM('3FS'!$H$78,'3FS'!$H$86)</f>
        <v>364</v>
      </c>
      <c r="J200" s="82">
        <f>SUM('3FS'!$H$78,'3FS'!$H$86)</f>
        <v>364</v>
      </c>
      <c r="K200" s="74"/>
      <c r="L200" s="74"/>
      <c r="M200" s="74"/>
    </row>
    <row r="201" spans="1:15" s="413" customFormat="1">
      <c r="B201" s="413" t="s">
        <v>293</v>
      </c>
      <c r="E201" s="82">
        <f>'Financial Data'!$G$32</f>
        <v>43</v>
      </c>
      <c r="F201" s="82">
        <f>'Financial Data'!$G$32</f>
        <v>43</v>
      </c>
      <c r="G201" s="82">
        <f>'Financial Data'!$G$32</f>
        <v>43</v>
      </c>
      <c r="H201" s="82">
        <f>'Financial Data'!$G$32</f>
        <v>43</v>
      </c>
      <c r="I201" s="82">
        <f>'Financial Data'!$G$32</f>
        <v>43</v>
      </c>
      <c r="J201" s="82">
        <f>'Financial Data'!$G$32</f>
        <v>43</v>
      </c>
      <c r="K201" s="74"/>
      <c r="L201" s="74"/>
      <c r="M201" s="74"/>
    </row>
    <row r="202" spans="1:15" s="413" customFormat="1">
      <c r="B202" s="431" t="s">
        <v>294</v>
      </c>
      <c r="C202" s="430"/>
      <c r="D202" s="430"/>
      <c r="E202" s="80">
        <f>E198+E199-E200-E201</f>
        <v>4506.0888758658166</v>
      </c>
      <c r="F202" s="80">
        <f t="shared" ref="F202:J202" ca="1" si="140">F198+F199-F200-F201</f>
        <v>14411.102555462978</v>
      </c>
      <c r="G202" s="80">
        <f t="shared" ca="1" si="140"/>
        <v>13338.230723973276</v>
      </c>
      <c r="H202" s="80">
        <f t="shared" si="140"/>
        <v>9367.6681578476928</v>
      </c>
      <c r="I202" s="80">
        <f t="shared" si="140"/>
        <v>10623.097320029618</v>
      </c>
      <c r="J202" s="80">
        <f t="shared" si="140"/>
        <v>11062.574284457301</v>
      </c>
      <c r="K202" s="80">
        <f>K194*'3FS'!H39</f>
        <v>-1719.5744838211531</v>
      </c>
      <c r="L202" s="80">
        <f ca="1">L194*'3FS'!I39</f>
        <v>2154.0500152861241</v>
      </c>
      <c r="M202" s="80">
        <f ca="1">M194*'3FS'!J39</f>
        <v>17344.528619311506</v>
      </c>
    </row>
    <row r="203" spans="1:15" s="413" customFormat="1">
      <c r="B203" s="413" t="s">
        <v>295</v>
      </c>
      <c r="E203" s="82">
        <f>DCF!$D$50</f>
        <v>4037</v>
      </c>
      <c r="F203" s="82">
        <f>DCF!$D$50</f>
        <v>4037</v>
      </c>
      <c r="G203" s="82">
        <f>DCF!$D$50</f>
        <v>4037</v>
      </c>
      <c r="H203" s="82">
        <f>DCF!$D$50</f>
        <v>4037</v>
      </c>
      <c r="I203" s="82">
        <f>DCF!$D$50</f>
        <v>4037</v>
      </c>
      <c r="J203" s="82">
        <f>DCF!$D$50</f>
        <v>4037</v>
      </c>
      <c r="K203" s="82">
        <f>DCF!$D$50</f>
        <v>4037</v>
      </c>
      <c r="L203" s="82">
        <f>DCF!$D$50</f>
        <v>4037</v>
      </c>
      <c r="M203" s="82">
        <f>DCF!$D$50</f>
        <v>4037</v>
      </c>
    </row>
    <row r="204" spans="1:15" s="413" customFormat="1">
      <c r="B204" s="433" t="s">
        <v>296</v>
      </c>
      <c r="C204" s="432"/>
      <c r="D204" s="432"/>
      <c r="E204" s="627">
        <f>E202/E203</f>
        <v>1.1161973930804598</v>
      </c>
      <c r="F204" s="627">
        <f t="shared" ref="F204:M204" ca="1" si="141">F202/F203</f>
        <v>3.569755401402769</v>
      </c>
      <c r="G204" s="627">
        <f t="shared" ca="1" si="141"/>
        <v>3.3039957205779729</v>
      </c>
      <c r="H204" s="627">
        <f t="shared" si="141"/>
        <v>2.3204528505939295</v>
      </c>
      <c r="I204" s="627">
        <f t="shared" si="141"/>
        <v>2.6314335694896251</v>
      </c>
      <c r="J204" s="627">
        <f t="shared" si="141"/>
        <v>2.7402958346438697</v>
      </c>
      <c r="K204" s="627">
        <f t="shared" si="141"/>
        <v>-0.42595355061212609</v>
      </c>
      <c r="L204" s="627">
        <f t="shared" ca="1" si="141"/>
        <v>0.53357691733617141</v>
      </c>
      <c r="M204" s="627">
        <f t="shared" ca="1" si="141"/>
        <v>4.296390542311495</v>
      </c>
      <c r="O204" s="413" t="s">
        <v>297</v>
      </c>
    </row>
    <row r="205" spans="1:15" s="413" customFormat="1">
      <c r="O205" s="413" t="s">
        <v>298</v>
      </c>
    </row>
    <row r="206" spans="1:15" s="413" customFormat="1">
      <c r="O206" s="413" t="s">
        <v>299</v>
      </c>
    </row>
    <row r="207" spans="1:15" s="413" customFormat="1">
      <c r="O207" s="413" t="s">
        <v>300</v>
      </c>
    </row>
    <row r="208" spans="1:15" s="413" customFormat="1"/>
    <row r="209" s="413" customFormat="1"/>
    <row r="210" s="413" customFormat="1"/>
    <row r="211" s="413" customFormat="1"/>
    <row r="212" s="413" customFormat="1"/>
    <row r="213" s="413" customFormat="1"/>
    <row r="214" s="413" customFormat="1"/>
    <row r="215" s="413" customFormat="1"/>
    <row r="216" s="413" customFormat="1"/>
    <row r="217" s="413" customFormat="1"/>
    <row r="218" s="413" customFormat="1"/>
    <row r="219" s="413" customFormat="1"/>
    <row r="220" s="413" customFormat="1"/>
    <row r="221" s="413" customFormat="1"/>
    <row r="222" s="413" customFormat="1"/>
    <row r="223" s="413" customFormat="1"/>
    <row r="224" s="413" customFormat="1"/>
    <row r="225" s="413" customFormat="1"/>
    <row r="226" s="413" customFormat="1"/>
    <row r="227" s="413" customFormat="1"/>
    <row r="228" s="413" customFormat="1"/>
    <row r="229" s="413" customFormat="1"/>
    <row r="230" s="413" customFormat="1"/>
    <row r="231" s="413" customFormat="1"/>
    <row r="232" s="413" customFormat="1"/>
    <row r="233" s="413" customFormat="1"/>
    <row r="234" s="413" customFormat="1"/>
    <row r="235" s="413" customFormat="1"/>
    <row r="236" s="413" customFormat="1"/>
    <row r="237" s="413" customFormat="1"/>
    <row r="238" s="413" customFormat="1"/>
    <row r="239" s="413" customFormat="1"/>
    <row r="240" s="413" customFormat="1"/>
    <row r="241" s="413" customFormat="1"/>
    <row r="242" s="413" customFormat="1"/>
    <row r="243" s="413" customFormat="1"/>
    <row r="244" s="413" customFormat="1"/>
    <row r="245" s="413" customFormat="1"/>
    <row r="246" s="413" customFormat="1"/>
    <row r="247" s="413" customFormat="1"/>
    <row r="248" s="413" customFormat="1"/>
    <row r="249" s="413" customFormat="1"/>
    <row r="250" s="413" customFormat="1"/>
    <row r="251" s="413" customFormat="1"/>
    <row r="252" s="413" customFormat="1"/>
    <row r="253" s="413" customFormat="1"/>
    <row r="254" s="413" customFormat="1"/>
    <row r="255" s="413" customFormat="1"/>
    <row r="256" s="413" customFormat="1"/>
    <row r="257" s="413" customFormat="1"/>
    <row r="258" s="413" customFormat="1"/>
    <row r="259" s="413" customFormat="1"/>
    <row r="260" s="413" customFormat="1"/>
    <row r="261" s="413" customFormat="1"/>
    <row r="262" s="413" customFormat="1"/>
    <row r="263" s="413" customFormat="1"/>
    <row r="264" s="413" customFormat="1"/>
    <row r="265" s="413" customFormat="1"/>
    <row r="266" s="413" customFormat="1"/>
    <row r="267" s="413" customFormat="1"/>
    <row r="268" s="413" customFormat="1"/>
    <row r="269" s="413" customFormat="1"/>
    <row r="270" s="413" customFormat="1"/>
    <row r="271" s="413" customFormat="1"/>
    <row r="272" s="413" customFormat="1"/>
    <row r="273" s="413" customFormat="1"/>
    <row r="274" s="413" customFormat="1"/>
    <row r="275" s="413" customFormat="1"/>
    <row r="276" s="413" customFormat="1"/>
    <row r="277" s="413" customFormat="1"/>
    <row r="278" s="413" customFormat="1"/>
    <row r="279" s="413" customFormat="1"/>
    <row r="280" s="413" customFormat="1"/>
    <row r="281" s="413" customFormat="1"/>
    <row r="282" s="413" customFormat="1"/>
    <row r="283" s="413" customFormat="1"/>
    <row r="284" s="413" customFormat="1"/>
    <row r="285" s="413" customFormat="1"/>
    <row r="286" s="413" customFormat="1"/>
    <row r="287" s="413" customFormat="1"/>
    <row r="288" s="413" customFormat="1"/>
    <row r="289" s="413" customFormat="1"/>
    <row r="290" s="413" customFormat="1"/>
    <row r="291" s="413" customFormat="1"/>
    <row r="292" s="413" customFormat="1"/>
    <row r="293" s="413" customFormat="1"/>
    <row r="294" s="413" customFormat="1"/>
    <row r="295" s="413" customFormat="1"/>
    <row r="296" s="413" customFormat="1"/>
    <row r="297" s="413" customFormat="1"/>
    <row r="298" s="413" customFormat="1"/>
    <row r="299" s="413" customFormat="1"/>
    <row r="300" s="413" customFormat="1"/>
    <row r="301" s="413" customFormat="1"/>
    <row r="302" s="413" customFormat="1"/>
    <row r="303" s="413" customFormat="1"/>
    <row r="304" s="413" customFormat="1"/>
    <row r="305" s="413" customFormat="1"/>
    <row r="306" s="413" customFormat="1"/>
    <row r="307" s="413" customFormat="1"/>
    <row r="308" s="413" customFormat="1"/>
    <row r="309" s="413" customFormat="1"/>
    <row r="310" s="413" customFormat="1"/>
    <row r="311" s="413" customFormat="1"/>
    <row r="312" s="413" customFormat="1"/>
    <row r="313" s="413" customFormat="1"/>
    <row r="314" s="413" customFormat="1"/>
    <row r="315" s="413" customFormat="1"/>
    <row r="316" s="413" customFormat="1"/>
    <row r="317" s="413" customFormat="1"/>
    <row r="318" s="413" customFormat="1"/>
    <row r="319" s="413" customFormat="1"/>
    <row r="320" s="413" customFormat="1"/>
    <row r="321" s="413" customFormat="1"/>
    <row r="322" s="413" customFormat="1"/>
    <row r="323" s="413" customFormat="1"/>
    <row r="324" s="413" customFormat="1"/>
    <row r="325" s="413" customFormat="1"/>
    <row r="326" s="413" customFormat="1"/>
    <row r="327" s="413" customFormat="1"/>
    <row r="328" s="413" customFormat="1"/>
    <row r="329" s="413" customFormat="1"/>
    <row r="330" s="413" customFormat="1"/>
    <row r="331" s="413" customFormat="1"/>
    <row r="332" s="413" customFormat="1"/>
    <row r="333" s="413" customFormat="1"/>
    <row r="334" s="413" customFormat="1"/>
    <row r="335" s="413" customFormat="1"/>
    <row r="336" s="413" customFormat="1"/>
    <row r="337" s="413" customFormat="1"/>
    <row r="338" s="413" customFormat="1"/>
    <row r="339" s="413" customFormat="1"/>
    <row r="340" s="413" customFormat="1"/>
    <row r="341" s="413" customFormat="1"/>
    <row r="342" s="413" customFormat="1"/>
    <row r="343" s="413" customFormat="1"/>
    <row r="344" s="413" customFormat="1"/>
    <row r="345" s="413" customFormat="1"/>
    <row r="346" s="413" customFormat="1"/>
    <row r="347" s="413" customFormat="1"/>
    <row r="348" s="413" customFormat="1"/>
    <row r="349" s="413" customFormat="1"/>
    <row r="350" s="413" customFormat="1"/>
    <row r="351" s="413" customFormat="1"/>
    <row r="352" s="413" customFormat="1"/>
    <row r="353" s="413" customFormat="1"/>
    <row r="354" s="413" customFormat="1"/>
    <row r="355" s="413" customFormat="1"/>
    <row r="356" s="413" customFormat="1"/>
    <row r="357" s="413" customFormat="1"/>
    <row r="358" s="413" customFormat="1"/>
    <row r="359" s="413" customFormat="1"/>
    <row r="360" s="413" customFormat="1"/>
    <row r="361" s="413" customFormat="1"/>
    <row r="362" s="413" customFormat="1"/>
    <row r="363" s="413" customFormat="1"/>
    <row r="364" s="413" customFormat="1"/>
    <row r="365" s="413" customFormat="1"/>
    <row r="366" s="413" customFormat="1"/>
    <row r="367" s="413" customFormat="1"/>
    <row r="368" s="413" customFormat="1"/>
    <row r="369" s="413" customFormat="1"/>
    <row r="370" s="413" customFormat="1"/>
    <row r="371" s="413" customFormat="1"/>
    <row r="372" s="413" customFormat="1"/>
    <row r="373" s="413" customFormat="1"/>
    <row r="374" s="413" customFormat="1"/>
    <row r="375" s="413" customFormat="1"/>
    <row r="376" s="413" customFormat="1"/>
    <row r="377" s="413" customFormat="1"/>
    <row r="378" s="413" customFormat="1"/>
    <row r="379" s="413" customFormat="1"/>
    <row r="380" s="413" customFormat="1"/>
    <row r="381" s="413" customFormat="1"/>
    <row r="382" s="413" customFormat="1"/>
    <row r="383" s="413" customFormat="1"/>
    <row r="384" s="413" customFormat="1"/>
    <row r="385" s="413" customFormat="1"/>
    <row r="386" s="413" customFormat="1"/>
    <row r="387" s="413" customFormat="1"/>
    <row r="388" s="413" customFormat="1"/>
    <row r="389" s="413" customFormat="1"/>
    <row r="390" s="413" customFormat="1"/>
    <row r="391" s="413" customFormat="1"/>
    <row r="392" s="413" customFormat="1"/>
    <row r="393" s="413" customFormat="1"/>
    <row r="394" s="413" customFormat="1"/>
    <row r="395" s="413" customFormat="1"/>
    <row r="396" s="413" customFormat="1"/>
    <row r="397" s="413" customFormat="1"/>
    <row r="398" s="413" customFormat="1"/>
    <row r="399" s="413" customFormat="1"/>
    <row r="400" s="413" customFormat="1"/>
    <row r="401" s="413" customFormat="1"/>
    <row r="402" s="413" customFormat="1"/>
    <row r="403" s="413" customFormat="1"/>
    <row r="404" s="413" customFormat="1"/>
    <row r="405" s="413" customFormat="1"/>
    <row r="406" s="413" customFormat="1"/>
    <row r="407" s="413" customFormat="1"/>
    <row r="408" s="413" customFormat="1"/>
    <row r="409" s="413" customFormat="1"/>
    <row r="410" s="413" customFormat="1"/>
    <row r="411" s="413" customFormat="1"/>
    <row r="412" s="413" customFormat="1"/>
    <row r="413" s="413" customFormat="1"/>
    <row r="414" s="413" customFormat="1"/>
    <row r="415" s="413" customFormat="1"/>
    <row r="416" s="413" customFormat="1"/>
    <row r="417" s="413" customFormat="1"/>
    <row r="418" s="413" customFormat="1"/>
    <row r="419" s="413" customFormat="1"/>
    <row r="420" s="413" customFormat="1"/>
    <row r="421" s="413" customFormat="1"/>
    <row r="422" s="413" customFormat="1"/>
    <row r="423" s="413" customFormat="1"/>
    <row r="424" s="413" customFormat="1"/>
    <row r="425" s="413" customFormat="1"/>
    <row r="426" s="413" customFormat="1"/>
    <row r="427" s="413" customFormat="1"/>
    <row r="428" s="413" customFormat="1"/>
    <row r="429" s="413" customFormat="1"/>
    <row r="430" s="413" customFormat="1"/>
    <row r="431" s="413" customFormat="1"/>
    <row r="432" s="413" customFormat="1"/>
    <row r="433" s="413" customFormat="1"/>
    <row r="434" s="413" customFormat="1"/>
    <row r="435" s="413" customFormat="1"/>
    <row r="436" s="413" customFormat="1"/>
    <row r="437" s="413" customFormat="1"/>
    <row r="438" s="413" customFormat="1"/>
    <row r="439" s="413" customFormat="1"/>
    <row r="440" s="413" customFormat="1"/>
    <row r="441" s="413" customFormat="1"/>
    <row r="442" s="413" customFormat="1"/>
    <row r="443" s="413" customFormat="1"/>
    <row r="444" s="413" customFormat="1"/>
    <row r="445" s="413" customFormat="1"/>
    <row r="446" s="413" customFormat="1"/>
    <row r="447" s="413" customFormat="1"/>
    <row r="448" s="413" customFormat="1"/>
    <row r="449" s="413" customFormat="1"/>
    <row r="450" s="413" customFormat="1"/>
    <row r="451" s="413" customFormat="1"/>
    <row r="452" s="413" customFormat="1"/>
    <row r="453" s="413" customFormat="1"/>
    <row r="454" s="413" customFormat="1"/>
    <row r="455" s="413" customFormat="1"/>
    <row r="456" s="413" customFormat="1"/>
    <row r="457" s="413" customFormat="1"/>
    <row r="458" s="413" customFormat="1"/>
    <row r="459" s="413" customFormat="1"/>
    <row r="460" s="413" customFormat="1"/>
    <row r="461" s="413" customFormat="1"/>
    <row r="462" s="413" customFormat="1"/>
    <row r="463" s="413" customFormat="1"/>
    <row r="464" s="413" customFormat="1"/>
    <row r="465" s="413" customFormat="1"/>
    <row r="466" s="413" customFormat="1"/>
    <row r="467" s="413" customFormat="1"/>
    <row r="468" s="413" customFormat="1"/>
    <row r="469" s="413" customFormat="1"/>
    <row r="470" s="413" customFormat="1"/>
    <row r="471" s="413" customFormat="1"/>
    <row r="472" s="413" customFormat="1"/>
    <row r="473" s="413" customFormat="1"/>
    <row r="474" s="413" customFormat="1"/>
    <row r="475" s="413" customFormat="1"/>
    <row r="476" s="413" customFormat="1"/>
    <row r="477" s="413" customFormat="1"/>
    <row r="478" s="413" customFormat="1"/>
    <row r="479" s="413" customFormat="1"/>
    <row r="480" s="413" customFormat="1"/>
    <row r="481" s="413" customFormat="1"/>
    <row r="482" s="413" customFormat="1"/>
    <row r="483" s="413" customFormat="1"/>
    <row r="484" s="413" customFormat="1"/>
    <row r="485" s="413" customFormat="1"/>
    <row r="486" s="413" customFormat="1"/>
    <row r="487" s="413" customFormat="1"/>
    <row r="488" s="413" customFormat="1"/>
    <row r="489" s="413" customFormat="1"/>
    <row r="490" s="413" customFormat="1"/>
    <row r="491" s="413" customFormat="1"/>
    <row r="492" s="413" customFormat="1"/>
    <row r="493" s="413" customFormat="1"/>
    <row r="494" s="413" customFormat="1"/>
    <row r="495" s="413" customFormat="1"/>
    <row r="496" s="413" customFormat="1"/>
    <row r="497" s="413" customFormat="1"/>
    <row r="498" s="413" customFormat="1"/>
    <row r="499" s="413" customFormat="1"/>
    <row r="500" s="413" customFormat="1"/>
    <row r="501" s="413" customFormat="1"/>
    <row r="502" s="413" customFormat="1"/>
    <row r="503" s="413" customFormat="1"/>
    <row r="504" s="413" customFormat="1"/>
    <row r="505" s="413" customFormat="1"/>
    <row r="506" s="413" customFormat="1"/>
    <row r="507" s="413" customFormat="1"/>
    <row r="508" s="413" customFormat="1"/>
    <row r="509" s="413" customFormat="1"/>
    <row r="510" s="413" customFormat="1"/>
    <row r="511" s="413" customFormat="1"/>
    <row r="512" s="413" customFormat="1"/>
    <row r="513" s="413" customFormat="1"/>
    <row r="514" s="413" customFormat="1"/>
    <row r="515" s="413" customFormat="1"/>
    <row r="516" s="413" customFormat="1"/>
    <row r="517" s="413" customFormat="1"/>
    <row r="518" s="413" customFormat="1"/>
    <row r="519" s="413" customFormat="1"/>
    <row r="520" s="413" customFormat="1"/>
    <row r="521" s="413" customFormat="1"/>
    <row r="522" s="413" customFormat="1"/>
    <row r="523" s="413" customFormat="1"/>
    <row r="524" s="413" customFormat="1"/>
    <row r="525" s="413" customFormat="1"/>
    <row r="526" s="413" customFormat="1"/>
    <row r="527" s="413" customFormat="1"/>
    <row r="528" s="413" customFormat="1"/>
    <row r="529" s="413" customFormat="1"/>
    <row r="530" s="413" customFormat="1"/>
    <row r="531" s="413" customFormat="1"/>
    <row r="532" s="413" customFormat="1"/>
    <row r="533" s="413" customFormat="1"/>
    <row r="534" s="413" customFormat="1"/>
    <row r="535" s="413" customFormat="1"/>
    <row r="536" s="413" customFormat="1"/>
    <row r="537" s="413" customFormat="1"/>
    <row r="538" s="413" customFormat="1"/>
    <row r="539" s="413" customFormat="1"/>
    <row r="540" s="413" customFormat="1"/>
    <row r="541" s="413" customFormat="1"/>
    <row r="542" s="413" customFormat="1"/>
    <row r="543" s="413" customFormat="1"/>
    <row r="544" s="413" customFormat="1"/>
    <row r="545" s="413" customFormat="1"/>
    <row r="546" s="413" customFormat="1"/>
    <row r="547" s="413" customFormat="1"/>
    <row r="548" s="413" customFormat="1"/>
    <row r="549" s="413" customFormat="1"/>
    <row r="550" s="413" customFormat="1"/>
    <row r="551" s="413" customFormat="1"/>
    <row r="552" s="413" customFormat="1"/>
    <row r="553" s="413" customFormat="1"/>
    <row r="554" s="413" customFormat="1"/>
    <row r="555" s="413" customFormat="1"/>
    <row r="556" s="413" customFormat="1"/>
    <row r="557" s="413" customFormat="1"/>
    <row r="558" s="413" customFormat="1"/>
    <row r="559" s="413" customFormat="1"/>
    <row r="560" s="413" customFormat="1"/>
    <row r="561" s="413" customFormat="1"/>
    <row r="562" s="413" customFormat="1"/>
    <row r="563" s="413" customFormat="1"/>
    <row r="564" s="413" customFormat="1"/>
    <row r="565" s="413" customFormat="1"/>
    <row r="566" s="413" customFormat="1"/>
    <row r="567" s="413" customFormat="1"/>
    <row r="568" s="413" customFormat="1"/>
    <row r="569" s="413" customFormat="1"/>
    <row r="570" s="413" customFormat="1"/>
    <row r="571" s="413" customFormat="1"/>
    <row r="572" s="413" customFormat="1"/>
    <row r="573" s="413" customFormat="1"/>
    <row r="574" s="413" customFormat="1"/>
    <row r="575" s="413" customFormat="1"/>
    <row r="576" s="413" customFormat="1"/>
    <row r="577" s="413" customFormat="1"/>
    <row r="578" s="413" customFormat="1"/>
    <row r="579" s="413" customFormat="1"/>
    <row r="580" s="413" customFormat="1"/>
    <row r="581" s="413" customFormat="1"/>
    <row r="582" s="413" customFormat="1"/>
    <row r="583" s="413" customFormat="1"/>
    <row r="584" s="413" customFormat="1"/>
    <row r="585" s="413" customFormat="1"/>
    <row r="586" s="413" customFormat="1"/>
    <row r="587" s="413" customFormat="1"/>
    <row r="588" s="413" customFormat="1"/>
    <row r="589" s="413" customFormat="1"/>
    <row r="590" s="413" customFormat="1"/>
    <row r="591" s="413" customFormat="1"/>
    <row r="592" s="413" customFormat="1"/>
    <row r="593" s="413" customFormat="1"/>
    <row r="594" s="413" customFormat="1"/>
    <row r="595" s="413" customFormat="1"/>
    <row r="596" s="413" customFormat="1"/>
    <row r="597" s="413" customFormat="1"/>
    <row r="598" s="413" customFormat="1"/>
    <row r="599" s="413" customFormat="1"/>
    <row r="600" s="413" customFormat="1"/>
    <row r="601" s="413" customFormat="1"/>
    <row r="602" s="413" customFormat="1"/>
    <row r="603" s="413" customFormat="1"/>
    <row r="604" s="413" customFormat="1"/>
    <row r="605" s="413" customFormat="1"/>
    <row r="606" s="413" customFormat="1"/>
    <row r="607" s="413" customFormat="1"/>
    <row r="608" s="413" customFormat="1"/>
    <row r="609" s="413" customFormat="1"/>
    <row r="610" s="413" customFormat="1"/>
    <row r="611" s="413" customFormat="1"/>
    <row r="612" s="413" customFormat="1"/>
    <row r="613" s="413" customFormat="1"/>
    <row r="614" s="413" customFormat="1"/>
    <row r="615" s="413" customFormat="1"/>
    <row r="616" s="413" customFormat="1"/>
    <row r="617" s="413" customFormat="1"/>
    <row r="618" s="413" customFormat="1"/>
    <row r="619" s="413" customFormat="1"/>
    <row r="620" s="413" customFormat="1"/>
    <row r="621" s="413" customFormat="1"/>
    <row r="622" s="413" customFormat="1"/>
    <row r="623" s="413" customFormat="1"/>
    <row r="624" s="413" customFormat="1"/>
    <row r="625" s="413" customFormat="1"/>
    <row r="626" s="413" customFormat="1"/>
    <row r="627" s="413" customFormat="1"/>
    <row r="628" s="413" customFormat="1"/>
    <row r="629" s="413" customFormat="1"/>
    <row r="630" s="413" customFormat="1"/>
    <row r="631" s="413" customFormat="1"/>
    <row r="632" s="413" customFormat="1"/>
    <row r="633" s="413" customFormat="1"/>
    <row r="634" s="413" customFormat="1"/>
    <row r="635" s="413" customFormat="1"/>
    <row r="636" s="413" customFormat="1"/>
    <row r="637" s="413" customFormat="1"/>
    <row r="638" s="413" customFormat="1"/>
    <row r="639" s="413" customFormat="1"/>
    <row r="640" s="413" customFormat="1"/>
    <row r="641" s="413" customFormat="1"/>
    <row r="642" s="413" customFormat="1"/>
    <row r="643" s="413" customFormat="1"/>
    <row r="644" s="413" customFormat="1"/>
    <row r="645" s="413" customFormat="1"/>
    <row r="646" s="413" customFormat="1"/>
    <row r="647" s="413" customFormat="1"/>
    <row r="648" s="413" customFormat="1"/>
    <row r="649" s="413" customFormat="1"/>
    <row r="650" s="413" customFormat="1"/>
    <row r="651" s="413" customFormat="1"/>
    <row r="652" s="413" customFormat="1"/>
    <row r="653" s="413" customFormat="1"/>
    <row r="654" s="413" customFormat="1"/>
    <row r="655" s="413" customFormat="1"/>
    <row r="656" s="413" customFormat="1"/>
    <row r="657" s="413" customFormat="1"/>
    <row r="658" s="413" customFormat="1"/>
    <row r="659" s="413" customFormat="1"/>
    <row r="660" s="413" customFormat="1"/>
    <row r="661" s="413" customFormat="1"/>
    <row r="662" s="413" customFormat="1"/>
    <row r="663" s="413" customFormat="1"/>
    <row r="664" s="413" customFormat="1"/>
    <row r="665" s="413" customFormat="1"/>
    <row r="666" s="413" customFormat="1"/>
    <row r="667" s="413" customFormat="1"/>
    <row r="668" s="413" customFormat="1"/>
    <row r="669" s="413" customFormat="1"/>
    <row r="670" s="413" customFormat="1"/>
    <row r="671" s="413" customFormat="1"/>
    <row r="672" s="413" customFormat="1"/>
    <row r="673" s="413" customFormat="1"/>
    <row r="674" s="413" customFormat="1"/>
    <row r="675" s="413" customFormat="1"/>
    <row r="676" s="413" customFormat="1"/>
    <row r="677" s="413" customFormat="1"/>
    <row r="678" s="413" customFormat="1"/>
    <row r="679" s="413" customFormat="1"/>
    <row r="680" s="413" customFormat="1"/>
    <row r="681" s="413" customFormat="1"/>
    <row r="682" s="413" customFormat="1"/>
    <row r="683" s="413" customFormat="1"/>
    <row r="684" s="413" customFormat="1"/>
    <row r="685" s="413" customFormat="1"/>
    <row r="686" s="413" customFormat="1"/>
    <row r="687" s="413" customFormat="1"/>
    <row r="688" s="413" customFormat="1"/>
    <row r="689" s="413" customFormat="1"/>
    <row r="690" s="413" customFormat="1"/>
    <row r="691" s="413" customFormat="1"/>
    <row r="692" s="413" customFormat="1"/>
    <row r="693" s="413" customFormat="1"/>
    <row r="694" s="413" customFormat="1"/>
    <row r="695" s="413" customFormat="1"/>
    <row r="696" s="413" customFormat="1"/>
    <row r="697" s="413" customFormat="1"/>
    <row r="698" s="413" customFormat="1"/>
    <row r="699" s="413" customFormat="1"/>
    <row r="700" s="413" customFormat="1"/>
    <row r="701" s="413" customFormat="1"/>
    <row r="702" s="413" customFormat="1"/>
    <row r="703" s="413" customFormat="1"/>
    <row r="704" s="413" customFormat="1"/>
    <row r="705" s="413" customFormat="1"/>
    <row r="706" s="413" customFormat="1"/>
    <row r="707" s="413" customFormat="1"/>
    <row r="708" s="413" customFormat="1"/>
    <row r="709" s="413" customFormat="1"/>
    <row r="710" s="413" customFormat="1"/>
    <row r="711" s="413" customFormat="1"/>
    <row r="712" s="413" customFormat="1"/>
    <row r="713" s="413" customFormat="1"/>
    <row r="714" s="413" customFormat="1"/>
    <row r="715" s="413" customFormat="1"/>
    <row r="716" s="413" customFormat="1"/>
    <row r="717" s="413" customFormat="1"/>
    <row r="718" s="413" customFormat="1"/>
    <row r="719" s="413" customFormat="1"/>
    <row r="720" s="413" customFormat="1"/>
    <row r="721" s="413" customFormat="1"/>
    <row r="722" s="413" customFormat="1"/>
    <row r="723" s="413" customFormat="1"/>
    <row r="724" s="413" customFormat="1"/>
    <row r="725" s="413" customFormat="1"/>
    <row r="726" s="413" customFormat="1"/>
    <row r="727" s="413" customFormat="1"/>
    <row r="728" s="413" customFormat="1"/>
    <row r="729" s="413" customFormat="1"/>
    <row r="730" s="413" customFormat="1"/>
    <row r="731" s="413" customFormat="1"/>
    <row r="732" s="413" customFormat="1"/>
    <row r="733" s="413" customFormat="1"/>
    <row r="734" s="413" customFormat="1"/>
    <row r="735" s="413" customFormat="1"/>
    <row r="736" s="413" customFormat="1"/>
    <row r="737" s="413" customFormat="1"/>
    <row r="738" s="413" customFormat="1"/>
    <row r="739" s="413" customFormat="1"/>
    <row r="740" s="413" customFormat="1"/>
    <row r="741" s="413" customFormat="1"/>
    <row r="742" s="413" customFormat="1"/>
    <row r="743" s="413" customFormat="1"/>
    <row r="744" s="413" customFormat="1"/>
    <row r="745" s="413" customFormat="1"/>
    <row r="746" s="413" customFormat="1"/>
    <row r="747" s="413" customFormat="1"/>
    <row r="748" s="413" customFormat="1"/>
    <row r="749" s="413" customFormat="1"/>
    <row r="750" s="413" customFormat="1"/>
    <row r="751" s="413" customFormat="1"/>
    <row r="752" s="413" customFormat="1"/>
    <row r="753" s="413" customFormat="1"/>
    <row r="754" s="413" customFormat="1"/>
    <row r="755" s="413" customFormat="1"/>
    <row r="756" s="413" customFormat="1"/>
    <row r="757" s="413" customFormat="1"/>
    <row r="758" s="413" customFormat="1"/>
    <row r="759" s="413" customFormat="1"/>
    <row r="760" s="413" customFormat="1"/>
    <row r="761" s="413" customFormat="1"/>
    <row r="762" s="413" customFormat="1"/>
    <row r="763" s="413" customFormat="1"/>
    <row r="764" s="413" customFormat="1"/>
    <row r="765" s="413" customFormat="1"/>
    <row r="766" s="413" customFormat="1"/>
    <row r="767" s="413" customFormat="1"/>
    <row r="768" s="413" customFormat="1"/>
    <row r="769" s="413" customFormat="1"/>
    <row r="770" s="413" customFormat="1"/>
    <row r="771" s="413" customFormat="1"/>
    <row r="772" s="413" customFormat="1"/>
    <row r="773" s="413" customFormat="1"/>
    <row r="774" s="413" customFormat="1"/>
    <row r="775" s="413" customFormat="1"/>
    <row r="776" s="413" customFormat="1"/>
    <row r="777" s="413" customFormat="1"/>
    <row r="778" s="413" customFormat="1"/>
    <row r="779" s="413" customFormat="1"/>
    <row r="780" s="413" customFormat="1"/>
    <row r="781" s="413" customFormat="1"/>
    <row r="782" s="413" customFormat="1"/>
    <row r="783" s="413" customFormat="1"/>
    <row r="784" s="413" customFormat="1"/>
    <row r="785" s="413" customFormat="1"/>
    <row r="786" s="413" customFormat="1"/>
    <row r="787" s="413" customFormat="1"/>
    <row r="788" s="413" customFormat="1"/>
    <row r="789" s="413" customFormat="1"/>
    <row r="790" s="413" customFormat="1"/>
    <row r="791" s="413" customFormat="1"/>
    <row r="792" s="413" customFormat="1"/>
    <row r="793" s="413" customFormat="1"/>
    <row r="794" s="413" customFormat="1"/>
    <row r="795" s="413" customFormat="1"/>
    <row r="796" s="413" customFormat="1"/>
    <row r="797" s="413" customFormat="1"/>
    <row r="798" s="413" customFormat="1"/>
    <row r="799" s="413" customFormat="1"/>
    <row r="800" s="413" customFormat="1"/>
    <row r="801" s="413" customFormat="1"/>
    <row r="802" s="413" customFormat="1"/>
    <row r="803" s="413" customFormat="1"/>
    <row r="804" s="413" customFormat="1"/>
    <row r="805" s="413" customFormat="1"/>
    <row r="806" s="413" customFormat="1"/>
    <row r="807" s="413" customFormat="1"/>
    <row r="808" s="413" customFormat="1"/>
    <row r="809" s="413" customFormat="1"/>
    <row r="810" s="413" customFormat="1"/>
    <row r="811" s="413" customFormat="1"/>
    <row r="812" s="413" customFormat="1"/>
    <row r="813" s="413" customFormat="1"/>
    <row r="814" s="413" customFormat="1"/>
    <row r="815" s="413" customFormat="1"/>
    <row r="816" s="413" customFormat="1"/>
    <row r="817" s="413" customFormat="1"/>
    <row r="818" s="413" customFormat="1"/>
    <row r="819" s="413" customFormat="1"/>
    <row r="820" s="413" customFormat="1"/>
    <row r="821" s="413" customFormat="1"/>
    <row r="822" s="413" customFormat="1"/>
    <row r="823" s="413" customFormat="1"/>
    <row r="824" s="413" customFormat="1"/>
    <row r="825" s="413" customFormat="1"/>
    <row r="826" s="413" customFormat="1"/>
    <row r="827" s="413" customFormat="1"/>
    <row r="828" s="413" customFormat="1"/>
    <row r="829" s="413" customFormat="1"/>
    <row r="830" s="413" customFormat="1"/>
    <row r="831" s="413" customFormat="1"/>
    <row r="832" s="413" customFormat="1"/>
    <row r="833" s="413" customFormat="1"/>
    <row r="834" s="413" customFormat="1"/>
    <row r="835" s="413" customFormat="1"/>
    <row r="836" s="413" customFormat="1"/>
    <row r="837" s="413" customFormat="1"/>
    <row r="838" s="413" customFormat="1"/>
    <row r="839" s="413" customFormat="1"/>
    <row r="840" s="413" customFormat="1"/>
    <row r="841" s="413" customFormat="1"/>
    <row r="842" s="413" customFormat="1"/>
    <row r="843" s="413" customFormat="1"/>
    <row r="844" s="413" customFormat="1"/>
    <row r="845" s="413" customFormat="1"/>
    <row r="846" s="413" customFormat="1"/>
    <row r="847" s="413" customFormat="1"/>
    <row r="848" s="413" customFormat="1"/>
    <row r="849" s="413" customFormat="1"/>
    <row r="850" s="413" customFormat="1"/>
    <row r="851" s="413" customFormat="1"/>
    <row r="852" s="413" customFormat="1"/>
    <row r="853" s="413" customFormat="1"/>
    <row r="854" s="413" customFormat="1"/>
    <row r="855" s="413" customFormat="1"/>
    <row r="856" s="413" customFormat="1"/>
    <row r="857" s="413" customFormat="1"/>
    <row r="858" s="413" customFormat="1"/>
    <row r="859" s="413" customFormat="1"/>
    <row r="860" s="413" customFormat="1"/>
    <row r="861" s="413" customFormat="1"/>
    <row r="862" s="413" customFormat="1"/>
    <row r="863" s="413" customFormat="1"/>
    <row r="864" s="413" customFormat="1"/>
    <row r="865" s="413" customFormat="1"/>
    <row r="866" s="413" customFormat="1"/>
    <row r="867" s="413" customFormat="1"/>
    <row r="868" s="413" customFormat="1"/>
    <row r="869" s="413" customFormat="1"/>
    <row r="870" s="413" customFormat="1"/>
    <row r="871" s="413" customFormat="1"/>
    <row r="872" s="413" customFormat="1"/>
    <row r="873" s="413" customFormat="1"/>
    <row r="874" s="413" customFormat="1"/>
    <row r="875" s="413" customFormat="1"/>
    <row r="876" s="413" customFormat="1"/>
    <row r="877" s="413" customFormat="1"/>
    <row r="878" s="413" customFormat="1"/>
    <row r="879" s="413" customFormat="1"/>
    <row r="880" s="413" customFormat="1"/>
    <row r="881" s="413" customFormat="1"/>
    <row r="882" s="413" customFormat="1"/>
    <row r="883" s="413" customFormat="1"/>
    <row r="884" s="413" customFormat="1"/>
    <row r="885" s="413" customFormat="1"/>
    <row r="886" s="413" customFormat="1"/>
    <row r="887" s="413" customFormat="1"/>
    <row r="888" s="413" customFormat="1"/>
    <row r="889" s="413" customFormat="1"/>
    <row r="890" s="413" customFormat="1"/>
    <row r="891" s="413" customFormat="1"/>
    <row r="892" s="413" customFormat="1"/>
    <row r="893" s="413" customFormat="1"/>
    <row r="894" s="413" customFormat="1"/>
    <row r="895" s="413" customFormat="1"/>
    <row r="896" s="413" customFormat="1"/>
    <row r="897" s="413" customFormat="1"/>
    <row r="898" s="413" customFormat="1"/>
    <row r="899" s="413" customFormat="1"/>
    <row r="900" s="413" customFormat="1"/>
    <row r="901" s="413" customFormat="1"/>
    <row r="902" s="413" customFormat="1"/>
    <row r="903" s="413" customFormat="1"/>
    <row r="904" s="413" customFormat="1"/>
    <row r="905" s="413" customFormat="1"/>
    <row r="906" s="413" customFormat="1"/>
    <row r="907" s="413" customFormat="1"/>
    <row r="908" s="413" customFormat="1"/>
    <row r="909" s="413" customFormat="1"/>
    <row r="910" s="413" customFormat="1"/>
    <row r="911" s="413" customFormat="1"/>
    <row r="912" s="413" customFormat="1"/>
    <row r="913" s="413" customFormat="1"/>
    <row r="914" s="413" customFormat="1"/>
    <row r="915" s="413" customFormat="1"/>
    <row r="916" s="413" customFormat="1"/>
    <row r="917" s="413" customFormat="1"/>
    <row r="918" s="413" customFormat="1"/>
    <row r="919" s="413" customFormat="1"/>
    <row r="920" s="413" customFormat="1"/>
    <row r="921" s="413" customFormat="1"/>
    <row r="922" s="413" customFormat="1"/>
    <row r="923" s="413" customFormat="1"/>
    <row r="924" s="413" customFormat="1"/>
    <row r="925" s="413" customFormat="1"/>
    <row r="926" s="413" customFormat="1"/>
    <row r="927" s="413" customFormat="1"/>
    <row r="928" s="413" customFormat="1"/>
    <row r="929" s="413" customFormat="1"/>
    <row r="930" s="413" customFormat="1"/>
    <row r="931" s="413" customFormat="1"/>
    <row r="932" s="413" customFormat="1"/>
    <row r="933" s="413" customFormat="1"/>
    <row r="934" s="413" customFormat="1"/>
    <row r="935" s="413" customFormat="1"/>
    <row r="936" s="413" customFormat="1"/>
    <row r="937" s="413" customFormat="1"/>
    <row r="938" s="413" customFormat="1"/>
    <row r="939" s="413" customFormat="1"/>
    <row r="940" s="413" customFormat="1"/>
    <row r="941" s="413" customFormat="1"/>
    <row r="942" s="413" customFormat="1"/>
    <row r="943" s="413" customFormat="1"/>
    <row r="944" s="413" customFormat="1"/>
    <row r="945" s="413" customFormat="1"/>
    <row r="946" s="413" customFormat="1"/>
    <row r="947" s="413" customFormat="1"/>
    <row r="948" s="413" customFormat="1"/>
    <row r="949" s="413" customFormat="1"/>
    <row r="950" s="413" customFormat="1"/>
    <row r="951" s="413" customFormat="1"/>
    <row r="952" s="413" customFormat="1"/>
    <row r="953" s="413" customFormat="1"/>
    <row r="954" s="413" customFormat="1"/>
    <row r="955" s="413" customFormat="1"/>
    <row r="956" s="413" customFormat="1"/>
    <row r="957" s="413" customFormat="1"/>
    <row r="958" s="413" customFormat="1"/>
    <row r="959" s="413" customFormat="1"/>
    <row r="960" s="413" customFormat="1"/>
    <row r="961" s="413" customFormat="1"/>
    <row r="962" s="413" customFormat="1"/>
    <row r="963" s="413" customFormat="1"/>
    <row r="964" s="413" customFormat="1"/>
    <row r="965" s="413" customFormat="1"/>
    <row r="966" s="413" customFormat="1"/>
    <row r="967" s="413" customFormat="1"/>
    <row r="968" s="413" customFormat="1"/>
    <row r="969" s="413" customFormat="1"/>
    <row r="970" s="413" customFormat="1"/>
    <row r="971" s="413" customFormat="1"/>
    <row r="972" s="413" customFormat="1"/>
    <row r="973" s="413" customFormat="1"/>
    <row r="974" s="413" customFormat="1"/>
    <row r="975" s="413" customFormat="1"/>
    <row r="976" s="413" customFormat="1"/>
    <row r="977" s="413" customFormat="1"/>
    <row r="978" s="413" customFormat="1"/>
    <row r="979" s="413" customFormat="1"/>
    <row r="980" s="413" customFormat="1"/>
    <row r="981" s="413" customFormat="1"/>
    <row r="982" s="413" customFormat="1"/>
    <row r="983" s="413" customFormat="1"/>
    <row r="984" s="413" customFormat="1"/>
    <row r="985" s="413" customFormat="1"/>
    <row r="986" s="413" customFormat="1"/>
    <row r="987" s="413" customFormat="1"/>
    <row r="988" s="413" customFormat="1"/>
    <row r="989" s="413" customFormat="1"/>
    <row r="990" s="413" customFormat="1"/>
    <row r="991" s="413" customFormat="1"/>
    <row r="992" s="413" customFormat="1"/>
    <row r="993" s="413" customFormat="1"/>
    <row r="994" s="413" customFormat="1"/>
    <row r="995" s="413" customFormat="1"/>
    <row r="996" s="413" customFormat="1"/>
    <row r="997" s="413" customFormat="1"/>
    <row r="998" s="413" customFormat="1"/>
    <row r="999" s="413" customFormat="1"/>
    <row r="1000" s="413" customFormat="1"/>
    <row r="1001" s="413" customFormat="1"/>
    <row r="1002" s="413" customFormat="1"/>
    <row r="1003" s="413" customFormat="1"/>
    <row r="1004" s="413" customFormat="1"/>
    <row r="1005" s="413" customFormat="1"/>
    <row r="1006" s="413" customFormat="1"/>
    <row r="1007" s="413" customFormat="1"/>
    <row r="1008" s="413" customFormat="1"/>
    <row r="1009" s="413" customFormat="1"/>
    <row r="1010" s="413" customFormat="1"/>
    <row r="1011" s="413" customFormat="1"/>
    <row r="1012" s="413" customFormat="1"/>
    <row r="1013" s="413" customFormat="1"/>
    <row r="1014" s="413" customFormat="1"/>
    <row r="1015" s="413" customFormat="1"/>
    <row r="1016" s="413" customFormat="1"/>
    <row r="1017" s="413" customFormat="1"/>
    <row r="1018" s="413" customFormat="1"/>
    <row r="1019" s="413" customFormat="1"/>
    <row r="1020" s="413" customFormat="1"/>
    <row r="1021" s="413" customFormat="1"/>
    <row r="1022" s="413" customFormat="1"/>
    <row r="1023" s="413" customFormat="1"/>
    <row r="1024" s="413" customFormat="1"/>
    <row r="1025" s="413" customFormat="1"/>
    <row r="1026" s="413" customFormat="1"/>
    <row r="1027" s="413" customForma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04073-F9B0-4247-BE17-0C056710C45B}">
  <dimension ref="A1:Y102"/>
  <sheetViews>
    <sheetView showGridLines="0" zoomScale="70" zoomScaleNormal="70" workbookViewId="0">
      <selection activeCell="C60" sqref="C60"/>
    </sheetView>
  </sheetViews>
  <sheetFormatPr baseColWidth="10" defaultColWidth="8.5" defaultRowHeight="16" outlineLevelRow="1"/>
  <cols>
    <col min="1" max="1" width="3.1640625" style="149" customWidth="1"/>
    <col min="2" max="2" width="1.5" style="149" customWidth="1"/>
    <col min="3" max="3" width="80.5" style="149" bestFit="1" customWidth="1"/>
    <col min="4" max="4" width="14.5" style="149" bestFit="1" customWidth="1"/>
    <col min="5" max="5" width="13.5" style="149" bestFit="1" customWidth="1"/>
    <col min="6" max="6" width="13.1640625" style="149" bestFit="1" customWidth="1"/>
    <col min="7" max="7" width="13.1640625" style="149" customWidth="1"/>
    <col min="8" max="8" width="13.5" style="149" customWidth="1"/>
    <col min="9" max="9" width="13.1640625" style="149" bestFit="1" customWidth="1"/>
    <col min="10" max="13" width="13.5" style="149" bestFit="1" customWidth="1"/>
    <col min="14" max="14" width="14.33203125" style="149" bestFit="1" customWidth="1"/>
    <col min="15" max="17" width="10.83203125" style="149" bestFit="1" customWidth="1"/>
    <col min="18" max="16384" width="8.5" style="149"/>
  </cols>
  <sheetData>
    <row r="1" spans="1:16" s="370" customFormat="1" ht="35">
      <c r="A1" s="487"/>
      <c r="C1" s="287" t="str">
        <f>Cover!$C$7&amp;" ("&amp;Cover!$C$8&amp;": "&amp;Cover!$C$9&amp;")"</f>
        <v>Grab Holdings Limited (NASDAQ: GRAB)</v>
      </c>
    </row>
    <row r="2" spans="1:16" s="370" customFormat="1">
      <c r="A2" s="371"/>
    </row>
    <row r="3" spans="1:16" s="370" customFormat="1">
      <c r="A3" s="371"/>
      <c r="C3" s="488" t="s">
        <v>42</v>
      </c>
      <c r="D3" s="652">
        <f ca="1">Cover!$C$18</f>
        <v>7.2080318777471293</v>
      </c>
    </row>
    <row r="4" spans="1:16" s="370" customFormat="1">
      <c r="A4" s="371"/>
      <c r="C4" s="667" t="s">
        <v>301</v>
      </c>
      <c r="D4" s="668">
        <f>D81</f>
        <v>0.36622390891840628</v>
      </c>
    </row>
    <row r="5" spans="1:16" s="397" customFormat="1" ht="19">
      <c r="A5" s="489"/>
      <c r="B5" s="490"/>
      <c r="C5" s="491" t="s">
        <v>10</v>
      </c>
      <c r="D5" s="376" t="s">
        <v>11</v>
      </c>
      <c r="E5" s="49"/>
      <c r="F5" s="49"/>
      <c r="G5" s="49"/>
      <c r="H5" s="49"/>
      <c r="I5" s="49"/>
      <c r="J5" s="49"/>
      <c r="K5" s="49"/>
      <c r="L5" s="49"/>
      <c r="M5" s="49"/>
      <c r="N5" s="49"/>
    </row>
    <row r="6" spans="1:16" s="397" customFormat="1" ht="19">
      <c r="A6" s="489"/>
      <c r="B6" s="490"/>
      <c r="C6" s="377"/>
      <c r="D6" s="371"/>
      <c r="E6" s="49" t="s">
        <v>43</v>
      </c>
      <c r="F6" s="49"/>
      <c r="G6" s="49"/>
      <c r="H6" s="49"/>
      <c r="I6" s="49"/>
      <c r="J6" s="49" t="s">
        <v>44</v>
      </c>
      <c r="K6" s="49"/>
      <c r="L6" s="49"/>
      <c r="M6" s="49"/>
      <c r="N6" s="49"/>
    </row>
    <row r="7" spans="1:16" s="493" customFormat="1">
      <c r="A7" s="489"/>
      <c r="B7" s="490"/>
      <c r="C7" s="147" t="str">
        <f>"In "&amp;Cover!$C$10&amp;", unless stated otherwise"</f>
        <v>In USD Mn, unless stated otherwise</v>
      </c>
      <c r="D7" s="492"/>
      <c r="E7" s="669">
        <v>20</v>
      </c>
      <c r="F7" s="669">
        <f t="shared" ref="F7:N7" si="0">E7+1</f>
        <v>21</v>
      </c>
      <c r="G7" s="669">
        <f t="shared" si="0"/>
        <v>22</v>
      </c>
      <c r="H7" s="669">
        <f t="shared" si="0"/>
        <v>23</v>
      </c>
      <c r="I7" s="669">
        <f t="shared" si="0"/>
        <v>24</v>
      </c>
      <c r="J7" s="670">
        <f t="shared" si="0"/>
        <v>25</v>
      </c>
      <c r="K7" s="670">
        <f t="shared" si="0"/>
        <v>26</v>
      </c>
      <c r="L7" s="670">
        <f t="shared" si="0"/>
        <v>27</v>
      </c>
      <c r="M7" s="670">
        <f t="shared" si="0"/>
        <v>28</v>
      </c>
      <c r="N7" s="670">
        <f t="shared" si="0"/>
        <v>29</v>
      </c>
      <c r="P7" s="671" t="s">
        <v>46</v>
      </c>
    </row>
    <row r="8" spans="1:16" s="325" customFormat="1">
      <c r="A8" s="495"/>
      <c r="C8" s="325" t="s">
        <v>162</v>
      </c>
      <c r="E8" s="304">
        <v>44196</v>
      </c>
      <c r="F8" s="304">
        <f>EOMONTH(E8,12)</f>
        <v>44561</v>
      </c>
      <c r="G8" s="304">
        <f t="shared" ref="G8:N8" si="1">EOMONTH(F8,12)</f>
        <v>44926</v>
      </c>
      <c r="H8" s="304">
        <f t="shared" si="1"/>
        <v>45291</v>
      </c>
      <c r="I8" s="304">
        <f t="shared" si="1"/>
        <v>45657</v>
      </c>
      <c r="J8" s="304">
        <f t="shared" si="1"/>
        <v>46022</v>
      </c>
      <c r="K8" s="304">
        <f t="shared" si="1"/>
        <v>46387</v>
      </c>
      <c r="L8" s="304">
        <f t="shared" si="1"/>
        <v>46752</v>
      </c>
      <c r="M8" s="304">
        <f t="shared" si="1"/>
        <v>47118</v>
      </c>
      <c r="N8" s="304">
        <f t="shared" si="1"/>
        <v>47483</v>
      </c>
    </row>
    <row r="9" spans="1:16">
      <c r="L9" s="672"/>
    </row>
    <row r="10" spans="1:16">
      <c r="A10" s="97">
        <v>1</v>
      </c>
      <c r="C10" s="380" t="s">
        <v>302</v>
      </c>
      <c r="D10" s="380"/>
      <c r="E10" s="381">
        <v>20</v>
      </c>
      <c r="F10" s="381">
        <f t="shared" ref="F10:N10" si="2">E10+1</f>
        <v>21</v>
      </c>
      <c r="G10" s="381">
        <f t="shared" si="2"/>
        <v>22</v>
      </c>
      <c r="H10" s="381">
        <f t="shared" si="2"/>
        <v>23</v>
      </c>
      <c r="I10" s="381">
        <f t="shared" si="2"/>
        <v>24</v>
      </c>
      <c r="J10" s="673">
        <f t="shared" si="2"/>
        <v>25</v>
      </c>
      <c r="K10" s="673">
        <f t="shared" si="2"/>
        <v>26</v>
      </c>
      <c r="L10" s="673">
        <f t="shared" si="2"/>
        <v>27</v>
      </c>
      <c r="M10" s="673">
        <f t="shared" si="2"/>
        <v>28</v>
      </c>
      <c r="N10" s="673">
        <f t="shared" si="2"/>
        <v>29</v>
      </c>
    </row>
    <row r="11" spans="1:16" s="325" customFormat="1">
      <c r="E11" s="674"/>
      <c r="F11" s="674"/>
      <c r="G11" s="674"/>
      <c r="H11" s="674"/>
      <c r="I11" s="674"/>
      <c r="J11" s="674"/>
      <c r="K11" s="674"/>
      <c r="L11" s="674"/>
      <c r="M11" s="674"/>
      <c r="N11" s="674"/>
    </row>
    <row r="12" spans="1:16" ht="19">
      <c r="C12" s="675" t="s">
        <v>303</v>
      </c>
      <c r="D12" s="676"/>
    </row>
    <row r="13" spans="1:16">
      <c r="C13" s="677" t="s">
        <v>304</v>
      </c>
      <c r="D13" s="678">
        <f>WACC!O23</f>
        <v>0.10562019105444964</v>
      </c>
    </row>
    <row r="14" spans="1:16">
      <c r="C14" s="677" t="s">
        <v>305</v>
      </c>
      <c r="D14" s="678">
        <f>WACC!E15</f>
        <v>0.2149890954594208</v>
      </c>
    </row>
    <row r="15" spans="1:16">
      <c r="C15" s="677" t="s">
        <v>306</v>
      </c>
      <c r="D15" s="679">
        <v>46028</v>
      </c>
    </row>
    <row r="16" spans="1:16">
      <c r="J16" s="680"/>
    </row>
    <row r="17" spans="3:25">
      <c r="C17" s="316" t="s">
        <v>254</v>
      </c>
      <c r="E17" s="680">
        <f>'3FS'!D12</f>
        <v>469</v>
      </c>
      <c r="F17" s="680">
        <f>'3FS'!E12</f>
        <v>675</v>
      </c>
      <c r="G17" s="680">
        <f>'3FS'!F12</f>
        <v>1433</v>
      </c>
      <c r="H17" s="680">
        <f>'3FS'!G12</f>
        <v>2359</v>
      </c>
      <c r="I17" s="680">
        <f>'3FS'!H12</f>
        <v>2797</v>
      </c>
      <c r="J17" s="680">
        <f>'3FS'!I12</f>
        <v>3447.1579538043488</v>
      </c>
      <c r="K17" s="680">
        <f>'3FS'!J12</f>
        <v>4242.1624252758265</v>
      </c>
      <c r="L17" s="680">
        <f>'3FS'!K12</f>
        <v>5260.5364101367168</v>
      </c>
      <c r="M17" s="680">
        <f>'3FS'!L12</f>
        <v>6524.338542961098</v>
      </c>
      <c r="N17" s="680">
        <f>'3FS'!M12</f>
        <v>8096.0016716356249</v>
      </c>
    </row>
    <row r="18" spans="3:25">
      <c r="C18" s="681" t="s">
        <v>307</v>
      </c>
      <c r="D18" s="682"/>
      <c r="E18" s="664"/>
      <c r="F18" s="664">
        <f>F17/E17-1</f>
        <v>0.43923240938166308</v>
      </c>
      <c r="G18" s="664">
        <f t="shared" ref="G18:N18" si="3">G17/F17-1</f>
        <v>1.1229629629629629</v>
      </c>
      <c r="H18" s="664">
        <f t="shared" si="3"/>
        <v>0.64619678995115137</v>
      </c>
      <c r="I18" s="664">
        <f t="shared" si="3"/>
        <v>0.1856718948707079</v>
      </c>
      <c r="J18" s="664">
        <f t="shared" si="3"/>
        <v>0.23244832098832635</v>
      </c>
      <c r="K18" s="664">
        <f t="shared" si="3"/>
        <v>0.23062606417384957</v>
      </c>
      <c r="L18" s="664">
        <f t="shared" si="3"/>
        <v>0.24006011151133033</v>
      </c>
      <c r="M18" s="664">
        <f t="shared" si="3"/>
        <v>0.24024206550288585</v>
      </c>
      <c r="N18" s="664">
        <f t="shared" si="3"/>
        <v>0.24089233235300833</v>
      </c>
      <c r="O18" s="683"/>
      <c r="P18" s="683"/>
      <c r="Q18" s="683"/>
    </row>
    <row r="19" spans="3:25">
      <c r="J19" s="680"/>
      <c r="O19" s="683"/>
      <c r="P19" s="683"/>
      <c r="Q19" s="683"/>
    </row>
    <row r="20" spans="3:25">
      <c r="C20" s="316" t="s">
        <v>81</v>
      </c>
      <c r="E20" s="680">
        <f>'3FS'!D45</f>
        <v>-900</v>
      </c>
      <c r="F20" s="680">
        <f>'3FS'!E45</f>
        <v>-1498</v>
      </c>
      <c r="G20" s="680">
        <f>'3FS'!F45</f>
        <v>-1410</v>
      </c>
      <c r="H20" s="680">
        <f>'3FS'!G45</f>
        <v>-215</v>
      </c>
      <c r="I20" s="680">
        <f>'3FS'!H45</f>
        <v>166</v>
      </c>
      <c r="J20" s="680">
        <f ca="1">'3FS'!I45</f>
        <v>440.93235660676072</v>
      </c>
      <c r="K20" s="680">
        <f ca="1">'3FS'!J45</f>
        <v>699.52499600453973</v>
      </c>
      <c r="L20" s="680">
        <f ca="1">'3FS'!K45</f>
        <v>1062.505852492829</v>
      </c>
      <c r="M20" s="680">
        <f ca="1">'3FS'!L45</f>
        <v>1465.3364231341639</v>
      </c>
      <c r="N20" s="680">
        <f ca="1">'3FS'!M45</f>
        <v>2067.7114891556648</v>
      </c>
      <c r="O20" s="683"/>
      <c r="P20" s="683"/>
      <c r="Q20" s="683"/>
    </row>
    <row r="21" spans="3:25">
      <c r="C21" s="681" t="s">
        <v>308</v>
      </c>
      <c r="D21" s="316"/>
      <c r="E21" s="267">
        <f t="shared" ref="E21:N21" si="4">E20/E17</f>
        <v>-1.9189765458422174</v>
      </c>
      <c r="F21" s="267">
        <f t="shared" si="4"/>
        <v>-2.219259259259259</v>
      </c>
      <c r="G21" s="267">
        <f t="shared" si="4"/>
        <v>-0.98394975575715282</v>
      </c>
      <c r="H21" s="267">
        <f t="shared" si="4"/>
        <v>-9.1140313692242472E-2</v>
      </c>
      <c r="I21" s="267">
        <f t="shared" si="4"/>
        <v>5.9349302824454775E-2</v>
      </c>
      <c r="J21" s="267">
        <f t="shared" ca="1" si="4"/>
        <v>0.1279118515936119</v>
      </c>
      <c r="K21" s="267">
        <f t="shared" ca="1" si="4"/>
        <v>0.16489821130765789</v>
      </c>
      <c r="L21" s="267">
        <f t="shared" ca="1" si="4"/>
        <v>0.20197671295373001</v>
      </c>
      <c r="M21" s="267">
        <f t="shared" ca="1" si="4"/>
        <v>0.22459539974593576</v>
      </c>
      <c r="N21" s="267">
        <f t="shared" ca="1" si="4"/>
        <v>0.25539909365383417</v>
      </c>
      <c r="O21" s="683"/>
      <c r="P21" s="683"/>
      <c r="Q21" s="683"/>
    </row>
    <row r="22" spans="3:25">
      <c r="O22" s="683"/>
      <c r="P22" s="683"/>
      <c r="Q22" s="683"/>
    </row>
    <row r="23" spans="3:25">
      <c r="C23" s="684" t="s">
        <v>79</v>
      </c>
      <c r="E23" s="680">
        <f>'3FS'!D42</f>
        <v>-1287</v>
      </c>
      <c r="F23" s="680">
        <f>'3FS'!E42</f>
        <v>-1843</v>
      </c>
      <c r="G23" s="680">
        <f>'3FS'!F42</f>
        <v>-1560</v>
      </c>
      <c r="H23" s="680">
        <f>'3FS'!G42</f>
        <v>-360</v>
      </c>
      <c r="I23" s="680">
        <f>'3FS'!H42</f>
        <v>19</v>
      </c>
      <c r="J23" s="680">
        <f ca="1">'3FS'!I42</f>
        <v>166.99935773861722</v>
      </c>
      <c r="K23" s="680">
        <f ca="1">'3FS'!J42</f>
        <v>375.2002593444688</v>
      </c>
      <c r="L23" s="680">
        <f ca="1">'3FS'!K42</f>
        <v>675.69233184725056</v>
      </c>
      <c r="M23" s="680">
        <f ca="1">'3FS'!L42</f>
        <v>1098.9955950131398</v>
      </c>
      <c r="N23" s="680">
        <f ca="1">'3FS'!M42</f>
        <v>1687.5752740069622</v>
      </c>
      <c r="O23" s="683"/>
      <c r="P23" s="683"/>
      <c r="Q23" s="683"/>
      <c r="S23" s="192"/>
      <c r="T23" s="192"/>
      <c r="U23" s="192"/>
      <c r="V23" s="192"/>
      <c r="W23" s="192"/>
      <c r="X23" s="192"/>
      <c r="Y23" s="192"/>
    </row>
    <row r="24" spans="3:25">
      <c r="C24" s="681" t="s">
        <v>308</v>
      </c>
      <c r="D24" s="316"/>
      <c r="E24" s="267">
        <f>E23/E17</f>
        <v>-2.7441364605543712</v>
      </c>
      <c r="F24" s="267">
        <f t="shared" ref="F24:N24" si="5">F23/F17</f>
        <v>-2.7303703703703706</v>
      </c>
      <c r="G24" s="267">
        <f t="shared" si="5"/>
        <v>-1.0886252616887648</v>
      </c>
      <c r="H24" s="267">
        <f t="shared" si="5"/>
        <v>-0.15260703688003391</v>
      </c>
      <c r="I24" s="267">
        <f t="shared" si="5"/>
        <v>6.7929924919556666E-3</v>
      </c>
      <c r="J24" s="267">
        <f t="shared" ca="1" si="5"/>
        <v>4.8445519461710065E-2</v>
      </c>
      <c r="K24" s="267">
        <f t="shared" ca="1" si="5"/>
        <v>8.8445519461710184E-2</v>
      </c>
      <c r="L24" s="267">
        <f t="shared" ca="1" si="5"/>
        <v>0.12844551946171015</v>
      </c>
      <c r="M24" s="267">
        <f t="shared" ca="1" si="5"/>
        <v>0.16844551946171024</v>
      </c>
      <c r="N24" s="267">
        <f t="shared" ca="1" si="5"/>
        <v>0.20844551946171022</v>
      </c>
      <c r="O24" s="683"/>
      <c r="P24" s="683"/>
      <c r="Q24" s="683"/>
    </row>
    <row r="25" spans="3:25">
      <c r="C25" s="316"/>
      <c r="J25" s="680"/>
      <c r="K25" s="680"/>
      <c r="L25" s="680"/>
      <c r="M25" s="680"/>
      <c r="N25" s="680"/>
      <c r="O25" s="683"/>
      <c r="P25" s="683"/>
      <c r="Q25" s="683"/>
    </row>
    <row r="26" spans="3:25" s="325" customFormat="1">
      <c r="C26" s="685" t="s">
        <v>309</v>
      </c>
      <c r="E26" s="74"/>
      <c r="F26" s="74"/>
      <c r="G26" s="74"/>
      <c r="H26" s="74"/>
      <c r="I26" s="74"/>
      <c r="J26" s="686">
        <f>D14</f>
        <v>0.2149890954594208</v>
      </c>
      <c r="K26" s="194">
        <f>J26</f>
        <v>0.2149890954594208</v>
      </c>
      <c r="L26" s="194">
        <f t="shared" ref="L26:N26" si="6">K26</f>
        <v>0.2149890954594208</v>
      </c>
      <c r="M26" s="194">
        <f t="shared" si="6"/>
        <v>0.2149890954594208</v>
      </c>
      <c r="N26" s="194">
        <f t="shared" si="6"/>
        <v>0.2149890954594208</v>
      </c>
      <c r="O26" s="687"/>
      <c r="P26" s="687"/>
      <c r="Q26" s="687"/>
    </row>
    <row r="27" spans="3:25">
      <c r="C27" s="688" t="s">
        <v>310</v>
      </c>
      <c r="D27" s="412"/>
      <c r="E27" s="84"/>
      <c r="F27" s="84"/>
      <c r="G27" s="84"/>
      <c r="H27" s="84"/>
      <c r="I27" s="84"/>
      <c r="J27" s="689">
        <f ca="1">J23*(1-J26)</f>
        <v>131.09631687608768</v>
      </c>
      <c r="K27" s="689">
        <f t="shared" ref="K27:N27" ca="1" si="7">K23*(1-K26)</f>
        <v>294.53629497186137</v>
      </c>
      <c r="L27" s="689">
        <f t="shared" ca="1" si="7"/>
        <v>530.42584861454338</v>
      </c>
      <c r="M27" s="689">
        <f t="shared" ca="1" si="7"/>
        <v>862.72352612737689</v>
      </c>
      <c r="N27" s="689">
        <f t="shared" ca="1" si="7"/>
        <v>1324.7649923285212</v>
      </c>
      <c r="O27" s="683"/>
      <c r="P27" s="683"/>
      <c r="Q27" s="683"/>
    </row>
    <row r="28" spans="3:25">
      <c r="C28" s="690" t="s">
        <v>311</v>
      </c>
      <c r="E28" s="74"/>
      <c r="F28" s="74"/>
      <c r="G28" s="74"/>
      <c r="H28" s="74"/>
      <c r="I28" s="74"/>
      <c r="J28" s="691">
        <f>SUM('3FS'!I112:I113)</f>
        <v>273.9329988681435</v>
      </c>
      <c r="K28" s="691">
        <f>SUM('3FS'!J112:J113)</f>
        <v>324.32473666007104</v>
      </c>
      <c r="L28" s="691">
        <f>SUM('3FS'!K112:K113)</f>
        <v>386.81352064557842</v>
      </c>
      <c r="M28" s="691">
        <f>SUM('3FS'!L112:L113)</f>
        <v>366.34082812102412</v>
      </c>
      <c r="N28" s="691">
        <f>SUM('3FS'!M112:M113)</f>
        <v>380.13621514870272</v>
      </c>
      <c r="O28" s="683"/>
      <c r="P28" s="683"/>
      <c r="Q28" s="683"/>
    </row>
    <row r="29" spans="3:25">
      <c r="C29" s="690" t="s">
        <v>312</v>
      </c>
      <c r="E29" s="74"/>
      <c r="F29" s="74"/>
      <c r="G29" s="74"/>
      <c r="H29" s="74"/>
      <c r="I29" s="74"/>
      <c r="J29" s="691">
        <f>SUM('3FS'!I134:I135)</f>
        <v>-246.75585422396239</v>
      </c>
      <c r="K29" s="691">
        <f>SUM('3FS'!J134:J135)</f>
        <v>-303.66418569549103</v>
      </c>
      <c r="L29" s="691">
        <f>SUM('3FS'!K134:K135)</f>
        <v>-376.5618439755479</v>
      </c>
      <c r="M29" s="691">
        <f>SUM('3FS'!L134:L135)</f>
        <v>-467.02783916180897</v>
      </c>
      <c r="N29" s="691">
        <f>SUM('3FS'!M134:M135)</f>
        <v>-579.53126461128272</v>
      </c>
      <c r="O29" s="683"/>
      <c r="P29" s="683"/>
      <c r="Q29" s="683"/>
    </row>
    <row r="30" spans="3:25">
      <c r="C30" s="690" t="s">
        <v>313</v>
      </c>
      <c r="E30" s="74"/>
      <c r="F30" s="74"/>
      <c r="G30" s="74"/>
      <c r="H30" s="74"/>
      <c r="I30" s="74"/>
      <c r="J30" s="691">
        <f>SUM('3FS'!I115:I119)</f>
        <v>117.39704403336302</v>
      </c>
      <c r="K30" s="691">
        <f>SUM('3FS'!J115:J119)</f>
        <v>179.97989875832079</v>
      </c>
      <c r="L30" s="691">
        <f>SUM('3FS'!K115:K119)</f>
        <v>230.54819597948224</v>
      </c>
      <c r="M30" s="691">
        <f>SUM('3FS'!L115:L119)</f>
        <v>280.53873894444598</v>
      </c>
      <c r="N30" s="691">
        <f>SUM('3FS'!M115:M119)</f>
        <v>361.37809172789343</v>
      </c>
      <c r="O30" s="683"/>
      <c r="P30" s="683"/>
      <c r="Q30" s="683"/>
    </row>
    <row r="31" spans="3:25">
      <c r="C31" s="692" t="s">
        <v>314</v>
      </c>
      <c r="D31" s="412"/>
      <c r="E31" s="84"/>
      <c r="F31" s="84"/>
      <c r="G31" s="84"/>
      <c r="H31" s="84"/>
      <c r="I31" s="84"/>
      <c r="J31" s="689">
        <f ca="1">SUM(J27:J30)</f>
        <v>275.67050555363187</v>
      </c>
      <c r="K31" s="689">
        <f t="shared" ref="K31:N31" ca="1" si="8">SUM(K27:K30)</f>
        <v>495.17674469476219</v>
      </c>
      <c r="L31" s="689">
        <f t="shared" ca="1" si="8"/>
        <v>771.22572126405612</v>
      </c>
      <c r="M31" s="689">
        <f t="shared" ca="1" si="8"/>
        <v>1042.5752540310382</v>
      </c>
      <c r="N31" s="689">
        <f t="shared" ca="1" si="8"/>
        <v>1486.7480345938347</v>
      </c>
      <c r="O31" s="683"/>
      <c r="P31" s="683"/>
      <c r="Q31" s="683"/>
    </row>
    <row r="32" spans="3:25" s="325" customFormat="1">
      <c r="C32" s="685" t="s">
        <v>315</v>
      </c>
      <c r="E32" s="74"/>
      <c r="F32" s="74"/>
      <c r="G32" s="74"/>
      <c r="H32" s="74"/>
      <c r="I32" s="74"/>
      <c r="J32" s="693">
        <f>YEARFRAC(D15,J8)/2</f>
        <v>8.3333333333333332E-3</v>
      </c>
      <c r="K32" s="694">
        <f>J32+1</f>
        <v>1.0083333333333333</v>
      </c>
      <c r="L32" s="694">
        <f>K32+1</f>
        <v>2.0083333333333333</v>
      </c>
      <c r="M32" s="694">
        <f>L32+1</f>
        <v>3.0083333333333333</v>
      </c>
      <c r="N32" s="694">
        <f>M32+1</f>
        <v>4.0083333333333329</v>
      </c>
      <c r="O32" s="695"/>
    </row>
    <row r="33" spans="1:16">
      <c r="C33" s="696" t="s">
        <v>316</v>
      </c>
      <c r="D33" s="309"/>
      <c r="E33" s="324"/>
      <c r="F33" s="324"/>
      <c r="G33" s="324"/>
      <c r="H33" s="324"/>
      <c r="I33" s="324"/>
      <c r="J33" s="697">
        <f ca="1">J31/(1+J32)^$D$13</f>
        <v>275.42898039458447</v>
      </c>
      <c r="K33" s="697">
        <f t="shared" ref="K33:N33" ca="1" si="9">K31/(1+K32)^$D$13</f>
        <v>460.01783080960166</v>
      </c>
      <c r="L33" s="697">
        <f t="shared" ca="1" si="9"/>
        <v>686.53174949352785</v>
      </c>
      <c r="M33" s="697">
        <f t="shared" ca="1" si="9"/>
        <v>900.37257396784685</v>
      </c>
      <c r="N33" s="697">
        <f t="shared" ca="1" si="9"/>
        <v>1254.1100289353828</v>
      </c>
      <c r="O33" s="698"/>
    </row>
    <row r="34" spans="1:16">
      <c r="O34" s="698"/>
    </row>
    <row r="35" spans="1:16">
      <c r="A35" s="97">
        <v>2</v>
      </c>
      <c r="C35" s="699" t="s">
        <v>317</v>
      </c>
      <c r="D35" s="699"/>
      <c r="E35" s="699"/>
      <c r="F35" s="699"/>
      <c r="G35" s="699"/>
      <c r="H35" s="699"/>
      <c r="I35" s="699"/>
      <c r="J35" s="699"/>
      <c r="K35" s="699"/>
      <c r="L35" s="699"/>
      <c r="M35" s="397"/>
      <c r="N35" s="699"/>
      <c r="O35" s="698"/>
    </row>
    <row r="37" spans="1:16">
      <c r="C37" s="700" t="s">
        <v>318</v>
      </c>
      <c r="D37" s="701"/>
      <c r="E37" s="314"/>
      <c r="I37" s="700" t="s">
        <v>319</v>
      </c>
      <c r="J37" s="700"/>
      <c r="K37" s="700"/>
      <c r="L37" s="700"/>
      <c r="M37" s="700"/>
      <c r="N37" s="702"/>
    </row>
    <row r="38" spans="1:16">
      <c r="C38" s="703" t="s">
        <v>320</v>
      </c>
      <c r="D38" s="704">
        <v>0.04</v>
      </c>
      <c r="E38" s="314"/>
      <c r="I38" s="322" t="s">
        <v>321</v>
      </c>
      <c r="J38" s="322"/>
      <c r="K38" s="322"/>
      <c r="L38" s="322"/>
      <c r="M38" s="322"/>
      <c r="N38" s="705">
        <f>'Trading Comps'!F194</f>
        <v>26.884174812407544</v>
      </c>
      <c r="P38" s="149" t="s">
        <v>322</v>
      </c>
    </row>
    <row r="39" spans="1:16">
      <c r="C39" s="706" t="s">
        <v>323</v>
      </c>
      <c r="D39" s="38">
        <f ca="1">N31*(1+D38)</f>
        <v>1546.2179559775882</v>
      </c>
      <c r="E39" s="314"/>
      <c r="I39" s="707" t="s">
        <v>324</v>
      </c>
      <c r="J39" s="707"/>
      <c r="K39" s="707"/>
      <c r="L39" s="707"/>
      <c r="M39" s="707"/>
      <c r="N39" s="708">
        <f ca="1">N20</f>
        <v>2067.7114891556648</v>
      </c>
    </row>
    <row r="40" spans="1:16">
      <c r="C40" s="703" t="s">
        <v>325</v>
      </c>
      <c r="D40" s="708">
        <f ca="1">D39/(D13-D38)</f>
        <v>23563.143159619631</v>
      </c>
      <c r="E40" s="314"/>
      <c r="I40" s="322" t="s">
        <v>325</v>
      </c>
      <c r="J40" s="322"/>
      <c r="K40" s="322"/>
      <c r="L40" s="322"/>
      <c r="M40" s="322"/>
      <c r="N40" s="708">
        <f ca="1">N38*N39</f>
        <v>55588.717136084415</v>
      </c>
    </row>
    <row r="41" spans="1:16">
      <c r="C41" s="703" t="s">
        <v>326</v>
      </c>
      <c r="D41" s="708">
        <f ca="1">D40/(1+D13)^N32</f>
        <v>15756.000783704159</v>
      </c>
      <c r="E41" s="314"/>
      <c r="I41" s="322" t="s">
        <v>326</v>
      </c>
      <c r="J41" s="322"/>
      <c r="K41" s="322"/>
      <c r="L41" s="322"/>
      <c r="M41" s="322"/>
      <c r="N41" s="708">
        <f ca="1">N40/(1+D13)^N32</f>
        <v>37170.587337525365</v>
      </c>
    </row>
    <row r="42" spans="1:16">
      <c r="C42" s="703" t="s">
        <v>327</v>
      </c>
      <c r="D42" s="708">
        <f ca="1">SUM(J33:N33)</f>
        <v>3576.4611636009431</v>
      </c>
      <c r="E42" s="314"/>
      <c r="I42" s="322" t="s">
        <v>327</v>
      </c>
      <c r="J42" s="322"/>
      <c r="K42" s="322"/>
      <c r="L42" s="322"/>
      <c r="M42" s="322"/>
      <c r="N42" s="708">
        <f ca="1">SUM(J33:N33)</f>
        <v>3576.4611636009431</v>
      </c>
    </row>
    <row r="43" spans="1:16">
      <c r="A43" s="149" t="s">
        <v>57</v>
      </c>
      <c r="C43" s="531" t="s">
        <v>328</v>
      </c>
      <c r="D43" s="709">
        <f ca="1">SUM(D41:D42)</f>
        <v>19332.461947305103</v>
      </c>
      <c r="E43" s="314"/>
      <c r="I43" s="531" t="s">
        <v>328</v>
      </c>
      <c r="J43" s="531"/>
      <c r="K43" s="531"/>
      <c r="L43" s="531"/>
      <c r="M43" s="531"/>
      <c r="N43" s="709">
        <f ca="1">SUM(N41:N42)</f>
        <v>40747.048501126308</v>
      </c>
    </row>
    <row r="44" spans="1:16">
      <c r="C44" s="322" t="s">
        <v>329</v>
      </c>
      <c r="D44" s="710">
        <f>'3FS'!H53</f>
        <v>2964</v>
      </c>
      <c r="E44" s="314"/>
      <c r="I44" s="322" t="s">
        <v>329</v>
      </c>
      <c r="J44" s="322"/>
      <c r="K44" s="322"/>
      <c r="L44" s="322"/>
      <c r="M44" s="322"/>
      <c r="N44" s="710">
        <f>D44</f>
        <v>2964</v>
      </c>
    </row>
    <row r="45" spans="1:16">
      <c r="C45" s="322" t="s">
        <v>330</v>
      </c>
      <c r="D45" s="710">
        <v>0</v>
      </c>
      <c r="E45" s="314"/>
      <c r="I45" s="322" t="s">
        <v>331</v>
      </c>
      <c r="J45" s="322"/>
      <c r="K45" s="322"/>
      <c r="L45" s="322"/>
      <c r="M45" s="322"/>
      <c r="N45" s="710">
        <f>D45</f>
        <v>0</v>
      </c>
    </row>
    <row r="46" spans="1:16">
      <c r="C46" s="322" t="s">
        <v>332</v>
      </c>
      <c r="D46" s="710">
        <f>'3FS'!H64</f>
        <v>131</v>
      </c>
      <c r="E46" s="314"/>
      <c r="I46" s="322" t="s">
        <v>332</v>
      </c>
      <c r="J46" s="322"/>
      <c r="K46" s="322"/>
      <c r="L46" s="322"/>
      <c r="M46" s="322"/>
      <c r="N46" s="710">
        <f>D46</f>
        <v>131</v>
      </c>
    </row>
    <row r="47" spans="1:16">
      <c r="C47" s="322" t="s">
        <v>333</v>
      </c>
      <c r="D47" s="710">
        <f>-'3FS'!H78-'3FS'!H86</f>
        <v>-364</v>
      </c>
      <c r="E47" s="314"/>
      <c r="I47" s="322" t="s">
        <v>333</v>
      </c>
      <c r="J47" s="322"/>
      <c r="K47" s="322"/>
      <c r="L47" s="322"/>
      <c r="M47" s="322"/>
      <c r="N47" s="710">
        <f>D47</f>
        <v>-364</v>
      </c>
    </row>
    <row r="48" spans="1:16">
      <c r="C48" s="322" t="s">
        <v>334</v>
      </c>
      <c r="D48" s="710">
        <v>0</v>
      </c>
      <c r="E48" s="314"/>
      <c r="I48" s="322" t="s">
        <v>334</v>
      </c>
      <c r="J48" s="322"/>
      <c r="K48" s="322"/>
      <c r="L48" s="322"/>
      <c r="M48" s="322"/>
      <c r="N48" s="710">
        <f>D48</f>
        <v>0</v>
      </c>
    </row>
    <row r="49" spans="1:15">
      <c r="C49" s="711" t="s">
        <v>335</v>
      </c>
      <c r="D49" s="709">
        <f ca="1">SUM(D43:D48)</f>
        <v>22063.461947305103</v>
      </c>
      <c r="E49" s="314"/>
      <c r="F49" s="113"/>
      <c r="I49" s="711" t="s">
        <v>335</v>
      </c>
      <c r="J49" s="711"/>
      <c r="K49" s="711"/>
      <c r="L49" s="711"/>
      <c r="M49" s="711"/>
      <c r="N49" s="709">
        <f ca="1">SUM(N43:N48)</f>
        <v>43478.048501126308</v>
      </c>
    </row>
    <row r="50" spans="1:15">
      <c r="C50" s="322" t="s">
        <v>336</v>
      </c>
      <c r="D50" s="710">
        <f>'Debt &amp; Equity'!L103</f>
        <v>4037</v>
      </c>
      <c r="E50" s="712"/>
      <c r="F50" s="38"/>
      <c r="I50" s="322" t="s">
        <v>336</v>
      </c>
      <c r="J50" s="322"/>
      <c r="K50" s="322"/>
      <c r="L50" s="322"/>
      <c r="M50" s="322"/>
      <c r="N50" s="713">
        <f>D50</f>
        <v>4037</v>
      </c>
    </row>
    <row r="51" spans="1:15">
      <c r="A51" s="149" t="s">
        <v>57</v>
      </c>
      <c r="C51" s="160" t="s">
        <v>337</v>
      </c>
      <c r="D51" s="714">
        <f ca="1">D49/D50</f>
        <v>5.4653113567760965</v>
      </c>
      <c r="E51" s="715"/>
      <c r="F51" s="716"/>
      <c r="I51" s="160" t="s">
        <v>337</v>
      </c>
      <c r="J51" s="160"/>
      <c r="K51" s="160"/>
      <c r="L51" s="160"/>
      <c r="M51" s="160"/>
      <c r="N51" s="714">
        <f ca="1">N49/N50</f>
        <v>10.769890636890342</v>
      </c>
    </row>
    <row r="52" spans="1:15">
      <c r="C52" s="325" t="s">
        <v>338</v>
      </c>
      <c r="D52" s="717">
        <f>Cover!$C$19</f>
        <v>5.27</v>
      </c>
      <c r="E52" s="718"/>
      <c r="I52" s="325" t="s">
        <v>338</v>
      </c>
      <c r="J52" s="325"/>
      <c r="K52" s="325"/>
      <c r="L52" s="325"/>
      <c r="M52" s="325"/>
      <c r="N52" s="717">
        <f>Cover!$C$19</f>
        <v>5.27</v>
      </c>
    </row>
    <row r="53" spans="1:15">
      <c r="C53" s="325" t="s">
        <v>339</v>
      </c>
      <c r="D53" s="664">
        <f ca="1">D51/D52-1</f>
        <v>3.7060978515388365E-2</v>
      </c>
      <c r="E53" s="719"/>
      <c r="I53" s="325" t="s">
        <v>339</v>
      </c>
      <c r="J53" s="325"/>
      <c r="K53" s="325"/>
      <c r="L53" s="325"/>
      <c r="M53" s="325"/>
      <c r="N53" s="664">
        <f ca="1">N51/N52-1</f>
        <v>1.043622511743898</v>
      </c>
    </row>
    <row r="55" spans="1:15" outlineLevel="1">
      <c r="A55" s="97">
        <v>3</v>
      </c>
      <c r="C55" s="699" t="s">
        <v>2099</v>
      </c>
      <c r="D55" s="699"/>
      <c r="E55" s="699"/>
      <c r="F55" s="699"/>
      <c r="G55" s="699"/>
      <c r="H55" s="699"/>
      <c r="I55" s="699"/>
      <c r="J55" s="699"/>
      <c r="K55" s="699"/>
      <c r="L55" s="699"/>
      <c r="M55" s="397"/>
      <c r="N55" s="699"/>
      <c r="O55" s="698"/>
    </row>
    <row r="56" spans="1:15" outlineLevel="1">
      <c r="A56" s="720"/>
      <c r="C56" s="721"/>
      <c r="D56" s="721"/>
      <c r="E56" s="721"/>
      <c r="F56" s="721"/>
      <c r="G56" s="721"/>
      <c r="H56" s="721"/>
      <c r="I56" s="721"/>
      <c r="J56" s="721"/>
      <c r="K56" s="721"/>
      <c r="L56" s="721"/>
      <c r="N56" s="721"/>
      <c r="O56" s="698"/>
    </row>
    <row r="57" spans="1:15" outlineLevel="1">
      <c r="C57" s="722"/>
      <c r="D57" s="723" t="s">
        <v>320</v>
      </c>
      <c r="E57" s="724"/>
      <c r="F57" s="725"/>
      <c r="G57" s="724"/>
      <c r="H57" s="725"/>
      <c r="I57" s="726"/>
    </row>
    <row r="58" spans="1:15" outlineLevel="1">
      <c r="C58" s="727"/>
      <c r="D58" s="757">
        <f ca="1">D51</f>
        <v>5.4653113567760965</v>
      </c>
      <c r="E58" s="758">
        <f>F58-0.5%</f>
        <v>3.0000000000000002E-2</v>
      </c>
      <c r="F58" s="758">
        <f>G58-0.5%</f>
        <v>3.5000000000000003E-2</v>
      </c>
      <c r="G58" s="758">
        <v>0.04</v>
      </c>
      <c r="H58" s="758">
        <f>G58+0.5%</f>
        <v>4.4999999999999998E-2</v>
      </c>
      <c r="I58" s="759">
        <f>H58+0.5%</f>
        <v>4.9999999999999996E-2</v>
      </c>
    </row>
    <row r="59" spans="1:15" outlineLevel="1">
      <c r="C59" s="728"/>
      <c r="D59" s="760">
        <f>D60-1%</f>
        <v>8.5620191054449651E-2</v>
      </c>
      <c r="E59" s="764">
        <f t="dataTable" ref="E59:I63" dt2D="1" dtr="1" r1="D38" r2="D13" ca="1"/>
        <v>6.4907943194544577</v>
      </c>
      <c r="F59" s="765">
        <v>7.0016065882791878</v>
      </c>
      <c r="G59" s="765">
        <v>7.6243895124251644</v>
      </c>
      <c r="H59" s="765">
        <v>8.4004909976067506</v>
      </c>
      <c r="I59" s="766">
        <v>9.3944749427659442</v>
      </c>
    </row>
    <row r="60" spans="1:15" outlineLevel="1">
      <c r="C60" s="763" t="s">
        <v>180</v>
      </c>
      <c r="D60" s="760">
        <f>D61-1%</f>
        <v>9.5620191054449646E-2</v>
      </c>
      <c r="E60" s="767">
        <v>5.5820016424490602</v>
      </c>
      <c r="F60" s="768">
        <v>5.9337104586514151</v>
      </c>
      <c r="G60" s="769">
        <v>6.3486532928487902</v>
      </c>
      <c r="H60" s="770">
        <v>6.8455679303036909</v>
      </c>
      <c r="I60" s="771">
        <v>7.4514068457963178</v>
      </c>
    </row>
    <row r="61" spans="1:15" outlineLevel="1">
      <c r="C61" s="763"/>
      <c r="D61" s="760">
        <v>0.10562019105444964</v>
      </c>
      <c r="E61" s="767">
        <v>4.9166276094875094</v>
      </c>
      <c r="F61" s="772">
        <v>5.171545727011349</v>
      </c>
      <c r="G61" s="773">
        <v>5.4653113567760965</v>
      </c>
      <c r="H61" s="774">
        <v>5.8075370168797251</v>
      </c>
      <c r="I61" s="771">
        <v>6.2112917105259768</v>
      </c>
    </row>
    <row r="62" spans="1:15" outlineLevel="1">
      <c r="C62" s="729"/>
      <c r="D62" s="760">
        <f>D61+1%</f>
        <v>0.11562019105444964</v>
      </c>
      <c r="E62" s="767">
        <v>4.4091600565746347</v>
      </c>
      <c r="F62" s="775">
        <v>4.6011080362778927</v>
      </c>
      <c r="G62" s="776">
        <v>4.8184391811155853</v>
      </c>
      <c r="H62" s="777">
        <v>5.0665449729193446</v>
      </c>
      <c r="I62" s="771">
        <v>5.3524601322084706</v>
      </c>
    </row>
    <row r="63" spans="1:15" outlineLevel="1">
      <c r="C63" s="730"/>
      <c r="D63" s="781">
        <f>D62+1%</f>
        <v>0.12562019105444963</v>
      </c>
      <c r="E63" s="778">
        <v>4.0098725549776262</v>
      </c>
      <c r="F63" s="779">
        <v>4.158729861876636</v>
      </c>
      <c r="G63" s="779">
        <v>4.3249729401767345</v>
      </c>
      <c r="H63" s="779">
        <v>4.5118365449387223</v>
      </c>
      <c r="I63" s="780">
        <v>4.7234109580385848</v>
      </c>
    </row>
    <row r="64" spans="1:15" ht="9" customHeight="1" outlineLevel="1">
      <c r="C64" s="434"/>
      <c r="D64" s="267"/>
      <c r="G64" s="314"/>
    </row>
    <row r="65" spans="1:15" outlineLevel="1">
      <c r="C65" s="722"/>
      <c r="D65" s="723" t="s">
        <v>340</v>
      </c>
      <c r="E65" s="724"/>
      <c r="F65" s="725"/>
      <c r="G65" s="724"/>
      <c r="H65" s="725"/>
      <c r="I65" s="726"/>
    </row>
    <row r="66" spans="1:15" outlineLevel="1">
      <c r="C66" s="727"/>
      <c r="D66" s="757">
        <f ca="1">N51</f>
        <v>10.769890636890342</v>
      </c>
      <c r="E66" s="761">
        <f>F66-1</f>
        <v>24.9</v>
      </c>
      <c r="F66" s="761">
        <f>G66-1</f>
        <v>25.9</v>
      </c>
      <c r="G66" s="761">
        <v>26.9</v>
      </c>
      <c r="H66" s="761">
        <f>G66+1</f>
        <v>27.9</v>
      </c>
      <c r="I66" s="762">
        <f>H66+1</f>
        <v>28.9</v>
      </c>
    </row>
    <row r="67" spans="1:15" outlineLevel="1">
      <c r="C67" s="728"/>
      <c r="D67" s="760">
        <f>D68-1%</f>
        <v>8.5620191054449651E-2</v>
      </c>
      <c r="E67" s="764">
        <f t="dataTable" ref="E67:I71" dt2D="1" dtr="1" r1="N38" r2="D13" ca="1"/>
        <v>10.759592388242659</v>
      </c>
      <c r="F67" s="765">
        <v>11.128079436342642</v>
      </c>
      <c r="G67" s="765">
        <v>11.496566484442621</v>
      </c>
      <c r="H67" s="765">
        <v>11.865053532542602</v>
      </c>
      <c r="I67" s="766">
        <v>12.233540580642581</v>
      </c>
    </row>
    <row r="68" spans="1:15" outlineLevel="1">
      <c r="C68" s="763" t="s">
        <v>180</v>
      </c>
      <c r="D68" s="760">
        <f>D69-1%</f>
        <v>9.5620191054449646E-2</v>
      </c>
      <c r="E68" s="767">
        <v>10.417490932743876</v>
      </c>
      <c r="F68" s="768">
        <v>10.772680811878237</v>
      </c>
      <c r="G68" s="769">
        <v>11.127870691012596</v>
      </c>
      <c r="H68" s="770">
        <v>11.483060570146957</v>
      </c>
      <c r="I68" s="771">
        <v>11.838250449281317</v>
      </c>
    </row>
    <row r="69" spans="1:15" outlineLevel="1">
      <c r="C69" s="729"/>
      <c r="D69" s="760">
        <v>0.10562019105444964</v>
      </c>
      <c r="E69" s="767">
        <v>10.090336758145538</v>
      </c>
      <c r="F69" s="772">
        <v>10.432823657230934</v>
      </c>
      <c r="G69" s="773">
        <v>10.775310556316327</v>
      </c>
      <c r="H69" s="774">
        <v>11.117797455401721</v>
      </c>
      <c r="I69" s="771">
        <v>11.460284354487113</v>
      </c>
    </row>
    <row r="70" spans="1:15" outlineLevel="1">
      <c r="C70" s="729"/>
      <c r="D70" s="760">
        <f>D69+1%</f>
        <v>0.11562019105444964</v>
      </c>
      <c r="E70" s="767">
        <v>9.7773415755340576</v>
      </c>
      <c r="F70" s="775">
        <v>10.10768811276558</v>
      </c>
      <c r="G70" s="776">
        <v>10.438034649997098</v>
      </c>
      <c r="H70" s="777">
        <v>10.76838118722862</v>
      </c>
      <c r="I70" s="771">
        <v>11.09872772446014</v>
      </c>
    </row>
    <row r="71" spans="1:15" outlineLevel="1">
      <c r="C71" s="730"/>
      <c r="D71" s="781">
        <f>D70+1%</f>
        <v>0.12562019105444963</v>
      </c>
      <c r="E71" s="778">
        <v>9.4777654196915702</v>
      </c>
      <c r="F71" s="779">
        <v>9.7965045819686836</v>
      </c>
      <c r="G71" s="779">
        <v>10.115243744245801</v>
      </c>
      <c r="H71" s="779">
        <v>10.433982906522914</v>
      </c>
      <c r="I71" s="780">
        <v>10.752722068800029</v>
      </c>
    </row>
    <row r="72" spans="1:15" outlineLevel="1"/>
    <row r="73" spans="1:15" outlineLevel="1"/>
    <row r="74" spans="1:15">
      <c r="A74" s="97">
        <v>4</v>
      </c>
      <c r="C74" s="699" t="s">
        <v>341</v>
      </c>
      <c r="D74" s="699"/>
      <c r="E74" s="699"/>
      <c r="F74" s="699"/>
      <c r="G74" s="699"/>
      <c r="H74" s="699"/>
      <c r="I74" s="699"/>
      <c r="J74" s="699"/>
      <c r="K74" s="699"/>
      <c r="L74" s="699"/>
      <c r="M74" s="397"/>
      <c r="N74" s="699"/>
      <c r="O74" s="698"/>
    </row>
    <row r="76" spans="1:15">
      <c r="C76" s="322" t="s">
        <v>342</v>
      </c>
      <c r="D76" s="731">
        <f ca="1">D84</f>
        <v>5.4653113567760965</v>
      </c>
      <c r="E76" s="704">
        <v>0.4</v>
      </c>
    </row>
    <row r="77" spans="1:15">
      <c r="C77" s="322" t="s">
        <v>14</v>
      </c>
      <c r="D77" s="731">
        <f ca="1">D85</f>
        <v>10.769890636890342</v>
      </c>
      <c r="E77" s="704">
        <v>0.4</v>
      </c>
    </row>
    <row r="78" spans="1:15">
      <c r="C78" s="322" t="s">
        <v>343</v>
      </c>
      <c r="D78" s="732">
        <f ca="1">'Trading Comps'!F204</f>
        <v>3.569755401402769</v>
      </c>
      <c r="E78" s="704">
        <v>0.2</v>
      </c>
    </row>
    <row r="79" spans="1:15">
      <c r="C79" s="531" t="s">
        <v>344</v>
      </c>
      <c r="D79" s="733">
        <v>7.2</v>
      </c>
      <c r="E79" s="734">
        <f>SUM(E76:E78)</f>
        <v>1</v>
      </c>
    </row>
    <row r="80" spans="1:15">
      <c r="C80" s="325" t="s">
        <v>338</v>
      </c>
      <c r="D80" s="735">
        <f>Cover!$C$19</f>
        <v>5.27</v>
      </c>
      <c r="E80" s="736"/>
    </row>
    <row r="81" spans="3:14">
      <c r="C81" s="325" t="s">
        <v>339</v>
      </c>
      <c r="D81" s="664">
        <f>D79/D80-1</f>
        <v>0.36622390891840628</v>
      </c>
      <c r="E81" s="736"/>
    </row>
    <row r="83" spans="3:14" ht="17">
      <c r="C83" s="737" t="s">
        <v>345</v>
      </c>
      <c r="D83" s="738"/>
      <c r="E83" s="739"/>
      <c r="F83" s="740"/>
      <c r="G83" s="741"/>
      <c r="H83" s="741"/>
      <c r="I83" s="741"/>
      <c r="J83" s="741"/>
      <c r="K83" s="741"/>
      <c r="L83" s="738"/>
      <c r="M83" s="738"/>
      <c r="N83" s="738"/>
    </row>
    <row r="84" spans="3:14" s="316" customFormat="1">
      <c r="C84" s="322" t="s">
        <v>342</v>
      </c>
      <c r="D84" s="731">
        <f ca="1">D51</f>
        <v>5.4653113567760965</v>
      </c>
      <c r="E84" s="704">
        <v>0.5</v>
      </c>
    </row>
    <row r="85" spans="3:14" s="316" customFormat="1">
      <c r="C85" s="322" t="s">
        <v>14</v>
      </c>
      <c r="D85" s="731">
        <f ca="1">N51</f>
        <v>10.769890636890342</v>
      </c>
      <c r="E85" s="704">
        <v>0.5</v>
      </c>
    </row>
    <row r="86" spans="3:14" s="316" customFormat="1">
      <c r="C86" s="531" t="s">
        <v>346</v>
      </c>
      <c r="D86" s="733">
        <f ca="1">SUMPRODUCT(D84:D85,E84:E85)</f>
        <v>8.1176009968332181</v>
      </c>
      <c r="E86" s="734">
        <f>SUM(E84:E85)</f>
        <v>1</v>
      </c>
    </row>
    <row r="87" spans="3:14" s="316" customFormat="1">
      <c r="C87" s="325" t="s">
        <v>338</v>
      </c>
      <c r="D87" s="735">
        <f>Cover!$C$19</f>
        <v>5.27</v>
      </c>
      <c r="E87" s="736"/>
    </row>
    <row r="88" spans="3:14" s="316" customFormat="1">
      <c r="C88" s="325" t="s">
        <v>339</v>
      </c>
      <c r="D88" s="664">
        <f ca="1">D86/D87-1</f>
        <v>0.54034174512964306</v>
      </c>
      <c r="E88" s="736"/>
    </row>
    <row r="90" spans="3:14" ht="17">
      <c r="C90" s="737" t="s">
        <v>288</v>
      </c>
      <c r="D90" s="738"/>
      <c r="E90" s="739"/>
      <c r="F90" s="740"/>
      <c r="G90" s="741"/>
      <c r="H90" s="741"/>
      <c r="I90" s="741"/>
      <c r="J90" s="741"/>
      <c r="K90" s="741"/>
      <c r="L90" s="738"/>
      <c r="M90" s="738"/>
      <c r="N90" s="738"/>
    </row>
    <row r="91" spans="3:14">
      <c r="C91" s="322" t="s">
        <v>347</v>
      </c>
      <c r="D91" s="732">
        <f ca="1">'Trading Comps'!F204</f>
        <v>3.569755401402769</v>
      </c>
      <c r="E91" s="704">
        <v>1</v>
      </c>
    </row>
    <row r="92" spans="3:14">
      <c r="C92" s="531" t="s">
        <v>346</v>
      </c>
      <c r="D92" s="733">
        <f ca="1">SUMPRODUCT(D91:D91,E91:E91)</f>
        <v>3.569755401402769</v>
      </c>
      <c r="E92" s="734">
        <f>SUM(E91:E91)</f>
        <v>1</v>
      </c>
    </row>
    <row r="93" spans="3:14">
      <c r="C93" s="325" t="s">
        <v>338</v>
      </c>
      <c r="D93" s="735">
        <f>Cover!$C$19</f>
        <v>5.27</v>
      </c>
      <c r="E93" s="736"/>
    </row>
    <row r="94" spans="3:14">
      <c r="C94" s="325" t="s">
        <v>339</v>
      </c>
      <c r="D94" s="664">
        <f ca="1">D92/D93-1</f>
        <v>-0.3226270585573493</v>
      </c>
      <c r="E94" s="736"/>
    </row>
    <row r="96" spans="3:14" ht="17">
      <c r="C96" s="737" t="s">
        <v>348</v>
      </c>
      <c r="D96" s="738"/>
      <c r="E96" s="739"/>
      <c r="F96" s="740"/>
      <c r="G96" s="741"/>
      <c r="H96" s="741"/>
      <c r="I96" s="741"/>
      <c r="J96" s="741"/>
      <c r="K96" s="741"/>
      <c r="L96" s="738"/>
      <c r="M96" s="738"/>
      <c r="N96" s="738"/>
    </row>
    <row r="97" spans="3:7">
      <c r="D97" s="742" t="s">
        <v>349</v>
      </c>
      <c r="E97" s="742" t="s">
        <v>350</v>
      </c>
      <c r="F97" s="742" t="s">
        <v>351</v>
      </c>
      <c r="G97" s="742" t="s">
        <v>352</v>
      </c>
    </row>
    <row r="98" spans="3:7" ht="17">
      <c r="C98" s="322" t="s">
        <v>353</v>
      </c>
      <c r="D98" s="743">
        <v>3.36</v>
      </c>
      <c r="E98" s="744">
        <f>F98-D98</f>
        <v>3.2600000000000002</v>
      </c>
      <c r="F98" s="743">
        <v>6.62</v>
      </c>
      <c r="G98" s="434"/>
    </row>
    <row r="99" spans="3:7">
      <c r="C99" s="322" t="s">
        <v>354</v>
      </c>
      <c r="D99" s="744">
        <v>5.0504384160221392</v>
      </c>
      <c r="E99" s="744">
        <f t="shared" ref="E99:E102" si="10">F99-D99</f>
        <v>7.2692648481802298</v>
      </c>
      <c r="F99" s="744">
        <v>12.319703264202369</v>
      </c>
      <c r="G99" s="755">
        <f>$D$79</f>
        <v>7.2</v>
      </c>
    </row>
    <row r="100" spans="3:7">
      <c r="C100" s="322" t="s">
        <v>15</v>
      </c>
      <c r="D100" s="744">
        <v>2.0823059329659883</v>
      </c>
      <c r="E100" s="744">
        <f t="shared" si="10"/>
        <v>3.1083824576586259</v>
      </c>
      <c r="F100" s="744">
        <v>5.1906883906246142</v>
      </c>
      <c r="G100" s="755">
        <f ca="1">$D$92</f>
        <v>3.569755401402769</v>
      </c>
    </row>
    <row r="101" spans="3:7">
      <c r="C101" s="322" t="s">
        <v>342</v>
      </c>
      <c r="D101" s="745">
        <v>3.3378046120692177</v>
      </c>
      <c r="E101" s="744">
        <f t="shared" si="10"/>
        <v>5.0487151956229317</v>
      </c>
      <c r="F101" s="745">
        <v>8.3865198076921494</v>
      </c>
      <c r="G101" s="756">
        <f ca="1">$D$84</f>
        <v>5.4653113567760965</v>
      </c>
    </row>
    <row r="102" spans="3:7">
      <c r="C102" s="322" t="s">
        <v>14</v>
      </c>
      <c r="D102" s="744">
        <v>6.7630722199750615</v>
      </c>
      <c r="E102" s="744">
        <f t="shared" si="10"/>
        <v>9.489814500737527</v>
      </c>
      <c r="F102" s="744">
        <v>16.252886720712588</v>
      </c>
      <c r="G102" s="756">
        <f ca="1">$D$85</f>
        <v>10.769890636890342</v>
      </c>
    </row>
  </sheetData>
  <conditionalFormatting sqref="E59:I63">
    <cfRule type="colorScale" priority="2">
      <colorScale>
        <cfvo type="min"/>
        <cfvo type="max"/>
        <color rgb="FFFCFCFF"/>
        <color rgb="FF63BE7B"/>
      </colorScale>
    </cfRule>
    <cfRule type="colorScale" priority="3">
      <colorScale>
        <cfvo type="min"/>
        <cfvo type="percentile" val="50"/>
        <cfvo type="max"/>
        <color rgb="FFF8696B"/>
        <color rgb="FFFFEB84"/>
        <color rgb="FF63BE7B"/>
      </colorScale>
    </cfRule>
  </conditionalFormatting>
  <conditionalFormatting sqref="E67:I71">
    <cfRule type="colorScale" priority="1">
      <colorScale>
        <cfvo type="min"/>
        <cfvo type="max"/>
        <color rgb="FFFCFCFF"/>
        <color rgb="FF63BE7B"/>
      </colorScale>
    </cfRule>
  </conditionalFormatting>
  <dataValidations disablePrompts="1" count="1">
    <dataValidation type="list" allowBlank="1" showInputMessage="1" showErrorMessage="1" sqref="D5:D6" xr:uid="{CB74FECE-85C0-4535-AAD2-76559D8130B4}">
      <formula1>"Bear Case, Base Case, Bull Case"</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49BB7-2A65-4314-8821-44E7613AF641}">
  <dimension ref="A1:P58"/>
  <sheetViews>
    <sheetView showGridLines="0" zoomScale="70" zoomScaleNormal="70" workbookViewId="0">
      <selection activeCell="C21" sqref="C21"/>
    </sheetView>
  </sheetViews>
  <sheetFormatPr baseColWidth="10" defaultColWidth="8.5" defaultRowHeight="16"/>
  <cols>
    <col min="1" max="2" width="2.5" style="149" customWidth="1"/>
    <col min="3" max="3" width="80.5" style="149" customWidth="1"/>
    <col min="4" max="14" width="15.5" style="149" customWidth="1"/>
    <col min="15" max="16384" width="8.5" style="149"/>
  </cols>
  <sheetData>
    <row r="1" spans="1:16" s="438" customFormat="1" ht="35">
      <c r="A1" s="437"/>
      <c r="C1" s="287" t="str">
        <f>Cover!$C$7&amp;" ("&amp;Cover!$C$8&amp;": "&amp;Cover!$C$9&amp;")"</f>
        <v>Grab Holdings Limited (NASDAQ: GRAB)</v>
      </c>
    </row>
    <row r="2" spans="1:16" s="438" customFormat="1">
      <c r="A2" s="440"/>
    </row>
    <row r="3" spans="1:16" s="438" customFormat="1">
      <c r="A3" s="440"/>
      <c r="C3" s="441" t="s">
        <v>42</v>
      </c>
      <c r="D3" s="652">
        <f ca="1">Cover!$C$18</f>
        <v>7.2080318777471293</v>
      </c>
    </row>
    <row r="4" spans="1:16" s="438" customFormat="1">
      <c r="A4" s="440"/>
      <c r="C4" s="623" t="s">
        <v>301</v>
      </c>
      <c r="D4" s="624">
        <f ca="1">Cover!$C$20</f>
        <v>0.36774798439224476</v>
      </c>
    </row>
    <row r="5" spans="1:16" s="447" customFormat="1" ht="19">
      <c r="A5" s="442"/>
      <c r="B5" s="443"/>
      <c r="C5" s="444" t="s">
        <v>10</v>
      </c>
      <c r="D5" s="445" t="s">
        <v>11</v>
      </c>
      <c r="E5" s="446"/>
      <c r="F5" s="446"/>
      <c r="G5" s="446"/>
      <c r="H5" s="446"/>
      <c r="I5" s="446"/>
      <c r="J5" s="446"/>
      <c r="K5" s="446"/>
      <c r="L5" s="446"/>
      <c r="M5" s="446"/>
      <c r="N5" s="446"/>
    </row>
    <row r="6" spans="1:16" s="447" customFormat="1" ht="19">
      <c r="A6" s="442"/>
      <c r="B6" s="443"/>
      <c r="C6" s="448"/>
      <c r="D6" s="440"/>
      <c r="E6" s="446" t="s">
        <v>43</v>
      </c>
      <c r="F6" s="446"/>
      <c r="G6" s="446"/>
      <c r="H6" s="446"/>
      <c r="I6" s="446"/>
      <c r="J6" s="446" t="s">
        <v>44</v>
      </c>
      <c r="K6" s="446"/>
      <c r="L6" s="446"/>
      <c r="M6" s="446"/>
      <c r="N6" s="446"/>
    </row>
    <row r="7" spans="1:16" s="451" customFormat="1">
      <c r="A7" s="442"/>
      <c r="B7" s="443"/>
      <c r="C7" s="147" t="str">
        <f>"In "&amp;Cover!$C$10&amp;", unless stated otherwise"</f>
        <v>In USD Mn, unless stated otherwise</v>
      </c>
      <c r="D7" s="450"/>
      <c r="E7" s="625">
        <v>20</v>
      </c>
      <c r="F7" s="625">
        <f t="shared" ref="F7:N7" si="0">E7+1</f>
        <v>21</v>
      </c>
      <c r="G7" s="625">
        <f t="shared" si="0"/>
        <v>22</v>
      </c>
      <c r="H7" s="625">
        <f t="shared" si="0"/>
        <v>23</v>
      </c>
      <c r="I7" s="625">
        <f t="shared" si="0"/>
        <v>24</v>
      </c>
      <c r="J7" s="626">
        <f t="shared" si="0"/>
        <v>25</v>
      </c>
      <c r="K7" s="626">
        <f t="shared" si="0"/>
        <v>26</v>
      </c>
      <c r="L7" s="626">
        <f t="shared" si="0"/>
        <v>27</v>
      </c>
      <c r="M7" s="626">
        <f t="shared" si="0"/>
        <v>28</v>
      </c>
      <c r="N7" s="626">
        <f t="shared" si="0"/>
        <v>29</v>
      </c>
      <c r="P7" s="746" t="s">
        <v>46</v>
      </c>
    </row>
    <row r="8" spans="1:16">
      <c r="E8" s="616">
        <v>44196</v>
      </c>
      <c r="F8" s="616">
        <f>EOMONTH(E8,12)</f>
        <v>44561</v>
      </c>
      <c r="G8" s="616">
        <f t="shared" ref="G8:N8" si="1">EOMONTH(F8,12)</f>
        <v>44926</v>
      </c>
      <c r="H8" s="616">
        <f t="shared" si="1"/>
        <v>45291</v>
      </c>
      <c r="I8" s="616">
        <f t="shared" si="1"/>
        <v>45657</v>
      </c>
      <c r="J8" s="616">
        <f t="shared" si="1"/>
        <v>46022</v>
      </c>
      <c r="K8" s="616">
        <f t="shared" si="1"/>
        <v>46387</v>
      </c>
      <c r="L8" s="616">
        <f t="shared" si="1"/>
        <v>46752</v>
      </c>
      <c r="M8" s="616">
        <f t="shared" si="1"/>
        <v>47118</v>
      </c>
      <c r="N8" s="616">
        <f t="shared" si="1"/>
        <v>47483</v>
      </c>
      <c r="P8" s="149" t="s">
        <v>355</v>
      </c>
    </row>
    <row r="10" spans="1:16">
      <c r="A10" s="97">
        <v>1</v>
      </c>
      <c r="C10" s="659" t="s">
        <v>356</v>
      </c>
      <c r="D10" s="97"/>
      <c r="E10" s="97"/>
      <c r="F10" s="97"/>
      <c r="G10" s="97"/>
      <c r="H10" s="97"/>
      <c r="I10" s="97"/>
      <c r="J10" s="97"/>
      <c r="K10" s="97"/>
      <c r="L10" s="97"/>
      <c r="M10" s="97"/>
      <c r="N10" s="97"/>
      <c r="P10" s="149" t="s">
        <v>357</v>
      </c>
    </row>
    <row r="12" spans="1:16" ht="19">
      <c r="C12" s="617" t="s">
        <v>303</v>
      </c>
      <c r="D12" s="618"/>
      <c r="F12" s="617"/>
      <c r="G12" s="663"/>
      <c r="H12" s="663"/>
    </row>
    <row r="13" spans="1:16">
      <c r="C13" s="619" t="s">
        <v>304</v>
      </c>
      <c r="D13" s="620">
        <f>WACC!O23</f>
        <v>0.10562019105444964</v>
      </c>
    </row>
    <row r="14" spans="1:16">
      <c r="C14" s="619" t="s">
        <v>305</v>
      </c>
      <c r="D14" s="620">
        <f>WACC!E15</f>
        <v>0.2149890954594208</v>
      </c>
    </row>
    <row r="15" spans="1:16">
      <c r="C15" s="619" t="s">
        <v>306</v>
      </c>
      <c r="D15" s="621">
        <v>46016</v>
      </c>
    </row>
    <row r="16" spans="1:16">
      <c r="C16" s="619" t="s">
        <v>358</v>
      </c>
      <c r="D16" s="622">
        <v>0.16</v>
      </c>
    </row>
    <row r="17" spans="3:16">
      <c r="C17" s="619" t="s">
        <v>359</v>
      </c>
      <c r="D17" s="620">
        <v>0.04</v>
      </c>
    </row>
    <row r="19" spans="3:16">
      <c r="C19" s="316" t="s">
        <v>254</v>
      </c>
      <c r="E19" s="156">
        <f>'3FS'!D12</f>
        <v>469</v>
      </c>
      <c r="F19" s="156">
        <f>'3FS'!E12</f>
        <v>675</v>
      </c>
      <c r="G19" s="156">
        <f>'3FS'!F12</f>
        <v>1433</v>
      </c>
      <c r="H19" s="156">
        <f>'3FS'!G12</f>
        <v>2359</v>
      </c>
      <c r="I19" s="156">
        <f>'3FS'!H12</f>
        <v>2797</v>
      </c>
      <c r="J19" s="82">
        <f>I19*(1+J20)</f>
        <v>3244.52</v>
      </c>
      <c r="K19" s="82">
        <f t="shared" ref="K19:N19" si="2">J19*(1+K20)</f>
        <v>3763.6431999999995</v>
      </c>
      <c r="L19" s="82">
        <f t="shared" si="2"/>
        <v>4365.8261119999988</v>
      </c>
      <c r="M19" s="82">
        <f t="shared" si="2"/>
        <v>5064.3582899199982</v>
      </c>
      <c r="N19" s="82">
        <f t="shared" si="2"/>
        <v>5874.6556163071973</v>
      </c>
      <c r="P19" s="882"/>
    </row>
    <row r="20" spans="3:16">
      <c r="C20" s="325" t="s">
        <v>307</v>
      </c>
      <c r="E20" s="74"/>
      <c r="F20" s="664">
        <f>(F19-E19)/E19</f>
        <v>0.43923240938166314</v>
      </c>
      <c r="G20" s="664">
        <f t="shared" ref="G20:I20" si="3">(G19-F19)/F19</f>
        <v>1.1229629629629629</v>
      </c>
      <c r="H20" s="664">
        <f t="shared" si="3"/>
        <v>0.64619678995115148</v>
      </c>
      <c r="I20" s="664">
        <f t="shared" si="3"/>
        <v>0.18567189487070793</v>
      </c>
      <c r="J20" s="660">
        <f>$D$16</f>
        <v>0.16</v>
      </c>
      <c r="K20" s="660">
        <f t="shared" ref="K20:N20" si="4">$D$16</f>
        <v>0.16</v>
      </c>
      <c r="L20" s="660">
        <f t="shared" si="4"/>
        <v>0.16</v>
      </c>
      <c r="M20" s="660">
        <f t="shared" si="4"/>
        <v>0.16</v>
      </c>
      <c r="N20" s="660">
        <f t="shared" si="4"/>
        <v>0.16</v>
      </c>
    </row>
    <row r="22" spans="3:16">
      <c r="C22" s="316" t="s">
        <v>79</v>
      </c>
      <c r="E22" s="156">
        <f>'3FS'!D42</f>
        <v>-1287</v>
      </c>
      <c r="F22" s="156">
        <f>'3FS'!E42</f>
        <v>-1843</v>
      </c>
      <c r="G22" s="156">
        <f>'3FS'!F42</f>
        <v>-1560</v>
      </c>
      <c r="H22" s="156">
        <f>'3FS'!G42</f>
        <v>-360</v>
      </c>
      <c r="I22" s="156">
        <f>'3FS'!H42</f>
        <v>19</v>
      </c>
      <c r="J22" s="156">
        <f>J19*J23</f>
        <v>55.081879409814903</v>
      </c>
      <c r="K22" s="156">
        <f t="shared" ref="K22:N22" si="5">K19*K23</f>
        <v>270.28731205569551</v>
      </c>
      <c r="L22" s="156">
        <f t="shared" si="5"/>
        <v>466.7742234512192</v>
      </c>
      <c r="M22" s="156">
        <f t="shared" si="5"/>
        <v>642.74526500181412</v>
      </c>
      <c r="N22" s="156">
        <f t="shared" si="5"/>
        <v>863.07761972824824</v>
      </c>
    </row>
    <row r="23" spans="3:16">
      <c r="C23" s="325" t="s">
        <v>360</v>
      </c>
      <c r="E23" s="664">
        <f>E22/'3FS'!D12</f>
        <v>-2.7441364605543712</v>
      </c>
      <c r="F23" s="664">
        <f>F22/'3FS'!E12</f>
        <v>-2.7303703703703706</v>
      </c>
      <c r="G23" s="664">
        <f>G22/'3FS'!F12</f>
        <v>-1.0886252616887648</v>
      </c>
      <c r="H23" s="664">
        <f>H22/'3FS'!G12</f>
        <v>-0.15260703688003391</v>
      </c>
      <c r="I23" s="664">
        <f>I22/'3FS'!H12</f>
        <v>6.7929924919556666E-3</v>
      </c>
      <c r="J23" s="817">
        <v>1.6976896246537209E-2</v>
      </c>
      <c r="K23" s="817">
        <v>7.1815338939593298E-2</v>
      </c>
      <c r="L23" s="817">
        <v>0.10691544085281685</v>
      </c>
      <c r="M23" s="817">
        <f>L23+2%</f>
        <v>0.12691544085281684</v>
      </c>
      <c r="N23" s="817">
        <f>M23+2%</f>
        <v>0.14691544085281683</v>
      </c>
    </row>
    <row r="25" spans="3:16">
      <c r="C25" s="325" t="s">
        <v>169</v>
      </c>
      <c r="E25" s="74"/>
      <c r="F25" s="74"/>
      <c r="G25" s="74"/>
      <c r="H25" s="74"/>
      <c r="I25" s="74"/>
      <c r="J25" s="660">
        <f>$D$14</f>
        <v>0.2149890954594208</v>
      </c>
      <c r="K25" s="660">
        <f t="shared" ref="K25:N25" si="6">$D$14</f>
        <v>0.2149890954594208</v>
      </c>
      <c r="L25" s="660">
        <f t="shared" si="6"/>
        <v>0.2149890954594208</v>
      </c>
      <c r="M25" s="660">
        <f t="shared" si="6"/>
        <v>0.2149890954594208</v>
      </c>
      <c r="N25" s="660">
        <f t="shared" si="6"/>
        <v>0.2149890954594208</v>
      </c>
    </row>
    <row r="26" spans="3:16">
      <c r="C26" s="531" t="s">
        <v>310</v>
      </c>
      <c r="D26" s="412"/>
      <c r="E26" s="84"/>
      <c r="F26" s="84"/>
      <c r="G26" s="84"/>
      <c r="H26" s="84"/>
      <c r="I26" s="84"/>
      <c r="J26" s="80">
        <f>J22-(J22*J25)</f>
        <v>43.239875979293899</v>
      </c>
      <c r="K26" s="80">
        <f t="shared" ref="K26:N26" si="7">K22-(K22*K25)</f>
        <v>212.17848732268334</v>
      </c>
      <c r="L26" s="80">
        <f t="shared" si="7"/>
        <v>366.42285536766803</v>
      </c>
      <c r="M26" s="80">
        <f t="shared" si="7"/>
        <v>504.56204186824834</v>
      </c>
      <c r="N26" s="80">
        <f t="shared" si="7"/>
        <v>677.52534295160217</v>
      </c>
    </row>
    <row r="27" spans="3:16">
      <c r="C27" s="325" t="s">
        <v>361</v>
      </c>
      <c r="E27" s="74"/>
      <c r="F27" s="74"/>
      <c r="G27" s="74"/>
      <c r="H27" s="74"/>
      <c r="I27" s="74"/>
    </row>
    <row r="28" spans="3:16">
      <c r="C28" s="149" t="s">
        <v>311</v>
      </c>
      <c r="E28" s="74"/>
      <c r="F28" s="74"/>
      <c r="G28" s="74"/>
      <c r="H28" s="74"/>
      <c r="I28" s="74"/>
      <c r="J28" s="156">
        <f>SUM('3FS'!I112:I113)</f>
        <v>273.9329988681435</v>
      </c>
      <c r="K28" s="156">
        <f>SUM('3FS'!J112:J113)</f>
        <v>324.32473666007104</v>
      </c>
      <c r="L28" s="156">
        <f>SUM('3FS'!K112:K113)</f>
        <v>386.81352064557842</v>
      </c>
      <c r="M28" s="156">
        <f>SUM('3FS'!L112:L113)</f>
        <v>366.34082812102412</v>
      </c>
      <c r="N28" s="156">
        <f>SUM('3FS'!M112:M113)</f>
        <v>380.13621514870272</v>
      </c>
    </row>
    <row r="29" spans="3:16">
      <c r="C29" s="149" t="s">
        <v>312</v>
      </c>
      <c r="E29" s="74"/>
      <c r="F29" s="74"/>
      <c r="G29" s="74"/>
      <c r="H29" s="74"/>
      <c r="I29" s="74"/>
      <c r="J29" s="156">
        <f>'3FS'!I134+'3FS'!I135</f>
        <v>-246.75585422396239</v>
      </c>
      <c r="K29" s="156">
        <f>'3FS'!J134+'3FS'!J135</f>
        <v>-303.66418569549103</v>
      </c>
      <c r="L29" s="156">
        <f>'3FS'!K134+'3FS'!K135</f>
        <v>-376.5618439755479</v>
      </c>
      <c r="M29" s="156">
        <f>'3FS'!L134+'3FS'!L135</f>
        <v>-467.02783916180897</v>
      </c>
      <c r="N29" s="156">
        <f>'3FS'!M134+'3FS'!M135</f>
        <v>-579.53126461128272</v>
      </c>
    </row>
    <row r="30" spans="3:16">
      <c r="C30" s="149" t="s">
        <v>313</v>
      </c>
      <c r="E30" s="74"/>
      <c r="F30" s="74"/>
      <c r="G30" s="74"/>
      <c r="H30" s="74"/>
      <c r="I30" s="74"/>
      <c r="J30" s="156">
        <f>SUM('3FS'!I115:I119)</f>
        <v>117.39704403336302</v>
      </c>
      <c r="K30" s="156">
        <f>SUM('3FS'!J115:J119)</f>
        <v>179.97989875832079</v>
      </c>
      <c r="L30" s="156">
        <f>SUM('3FS'!K115:K119)</f>
        <v>230.54819597948224</v>
      </c>
      <c r="M30" s="156">
        <f>SUM('3FS'!L115:L119)</f>
        <v>280.53873894444598</v>
      </c>
      <c r="N30" s="156">
        <f>SUM('3FS'!M115:M119)</f>
        <v>361.37809172789343</v>
      </c>
    </row>
    <row r="31" spans="3:16">
      <c r="C31" s="531" t="s">
        <v>314</v>
      </c>
      <c r="D31" s="412"/>
      <c r="E31" s="84"/>
      <c r="F31" s="84"/>
      <c r="G31" s="84"/>
      <c r="H31" s="84"/>
      <c r="I31" s="84"/>
      <c r="J31" s="62">
        <f>SUM(J28:J30,J26)</f>
        <v>187.81406465683801</v>
      </c>
      <c r="K31" s="62">
        <f t="shared" ref="K31:N31" si="8">SUM(K28:K30,K26)</f>
        <v>412.81893704558411</v>
      </c>
      <c r="L31" s="62">
        <f t="shared" si="8"/>
        <v>607.22272801718077</v>
      </c>
      <c r="M31" s="62">
        <f t="shared" si="8"/>
        <v>684.41376977190953</v>
      </c>
      <c r="N31" s="62">
        <f t="shared" si="8"/>
        <v>839.5083852169156</v>
      </c>
    </row>
    <row r="32" spans="3:16">
      <c r="C32" s="149" t="s">
        <v>315</v>
      </c>
      <c r="E32" s="74"/>
      <c r="F32" s="74"/>
      <c r="G32" s="74"/>
      <c r="H32" s="74"/>
      <c r="I32" s="74"/>
      <c r="J32" s="661">
        <f>YEARFRAC(D15,J8)/2</f>
        <v>8.3333333333333332E-3</v>
      </c>
      <c r="K32" s="192">
        <f>J32+1</f>
        <v>1.0083333333333333</v>
      </c>
      <c r="L32" s="192">
        <f t="shared" ref="L32:N32" si="9">K32+1</f>
        <v>2.0083333333333333</v>
      </c>
      <c r="M32" s="192">
        <f t="shared" si="9"/>
        <v>3.0083333333333333</v>
      </c>
      <c r="N32" s="192">
        <f t="shared" si="9"/>
        <v>4.0083333333333329</v>
      </c>
    </row>
    <row r="33" spans="1:14">
      <c r="C33" s="526" t="s">
        <v>316</v>
      </c>
      <c r="D33" s="309"/>
      <c r="E33" s="324"/>
      <c r="F33" s="324"/>
      <c r="G33" s="324"/>
      <c r="H33" s="324"/>
      <c r="I33" s="324"/>
      <c r="J33" s="58">
        <f>J31/(1+J32)^$D$13</f>
        <v>187.64951378569393</v>
      </c>
      <c r="K33" s="58">
        <f t="shared" ref="K33:N33" si="10">K31/(1+K32)^$D$13</f>
        <v>383.5076545323148</v>
      </c>
      <c r="L33" s="58">
        <f t="shared" si="10"/>
        <v>540.53913180514257</v>
      </c>
      <c r="M33" s="58">
        <f t="shared" si="10"/>
        <v>591.06274119395698</v>
      </c>
      <c r="N33" s="58">
        <f t="shared" si="10"/>
        <v>708.14681491306442</v>
      </c>
    </row>
    <row r="35" spans="1:14">
      <c r="A35" s="97">
        <v>2</v>
      </c>
      <c r="C35" s="659" t="s">
        <v>317</v>
      </c>
      <c r="D35" s="97"/>
      <c r="E35" s="97"/>
      <c r="F35" s="97"/>
      <c r="G35" s="97"/>
      <c r="H35" s="97"/>
      <c r="I35" s="97"/>
      <c r="J35" s="97"/>
      <c r="K35" s="97"/>
      <c r="L35" s="97"/>
      <c r="M35" s="97"/>
      <c r="N35" s="97"/>
    </row>
    <row r="37" spans="1:14">
      <c r="C37" s="61" t="s">
        <v>318</v>
      </c>
      <c r="I37" s="700" t="s">
        <v>319</v>
      </c>
      <c r="J37" s="700"/>
      <c r="K37" s="700"/>
      <c r="L37" s="700"/>
      <c r="M37" s="700"/>
      <c r="N37" s="702"/>
    </row>
    <row r="38" spans="1:14">
      <c r="C38" s="149" t="s">
        <v>320</v>
      </c>
      <c r="D38" s="665">
        <f>D17</f>
        <v>0.04</v>
      </c>
      <c r="I38" s="322" t="s">
        <v>321</v>
      </c>
      <c r="J38" s="322"/>
      <c r="K38" s="322"/>
      <c r="L38" s="322"/>
      <c r="M38" s="322"/>
      <c r="N38" s="705">
        <f>'Trading Comps'!F194</f>
        <v>26.884174812407544</v>
      </c>
    </row>
    <row r="39" spans="1:14">
      <c r="C39" s="149" t="s">
        <v>323</v>
      </c>
      <c r="D39" s="82">
        <f>N31*(1+D38)</f>
        <v>873.08872062559226</v>
      </c>
      <c r="I39" s="707" t="s">
        <v>324</v>
      </c>
      <c r="J39" s="707"/>
      <c r="K39" s="707"/>
      <c r="L39" s="707"/>
      <c r="M39" s="707"/>
      <c r="N39" s="708">
        <f>N22+N28</f>
        <v>1243.2138348769508</v>
      </c>
    </row>
    <row r="40" spans="1:14">
      <c r="C40" s="149" t="s">
        <v>325</v>
      </c>
      <c r="D40" s="82">
        <f>D39/(D13-D38)</f>
        <v>13305.184069048653</v>
      </c>
      <c r="I40" s="322" t="s">
        <v>325</v>
      </c>
      <c r="J40" s="322"/>
      <c r="K40" s="322"/>
      <c r="L40" s="322"/>
      <c r="M40" s="322"/>
      <c r="N40" s="708">
        <f>N38*N39</f>
        <v>33422.778066035513</v>
      </c>
    </row>
    <row r="41" spans="1:14">
      <c r="C41" s="149" t="s">
        <v>326</v>
      </c>
      <c r="D41" s="82">
        <f>D40/(1+D13)^N32</f>
        <v>8896.7965436170925</v>
      </c>
      <c r="I41" s="322" t="s">
        <v>326</v>
      </c>
      <c r="J41" s="322"/>
      <c r="K41" s="322"/>
      <c r="L41" s="322"/>
      <c r="M41" s="322"/>
      <c r="N41" s="708">
        <f>N40/(1+D13)^N32</f>
        <v>22348.857019401421</v>
      </c>
    </row>
    <row r="42" spans="1:14">
      <c r="C42" s="149" t="s">
        <v>327</v>
      </c>
      <c r="D42" s="82">
        <f>SUM(J33:N33)</f>
        <v>2410.9058562301725</v>
      </c>
      <c r="I42" s="322" t="s">
        <v>327</v>
      </c>
      <c r="J42" s="322"/>
      <c r="K42" s="322"/>
      <c r="L42" s="322"/>
      <c r="M42" s="322"/>
      <c r="N42" s="708">
        <f>SUM(J33:N33)</f>
        <v>2410.9058562301725</v>
      </c>
    </row>
    <row r="43" spans="1:14">
      <c r="C43" s="531" t="s">
        <v>328</v>
      </c>
      <c r="D43" s="62">
        <f>SUM(D41:D42)</f>
        <v>11307.702399847265</v>
      </c>
      <c r="I43" s="531" t="s">
        <v>328</v>
      </c>
      <c r="J43" s="531"/>
      <c r="K43" s="531"/>
      <c r="L43" s="531"/>
      <c r="M43" s="531"/>
      <c r="N43" s="709">
        <f>SUM(N41:N42)</f>
        <v>24759.762875631593</v>
      </c>
    </row>
    <row r="44" spans="1:14">
      <c r="C44" s="149" t="s">
        <v>329</v>
      </c>
      <c r="D44" s="156">
        <f>DCF!D44</f>
        <v>2964</v>
      </c>
      <c r="I44" s="322" t="s">
        <v>329</v>
      </c>
      <c r="J44" s="322"/>
      <c r="K44" s="322"/>
      <c r="L44" s="322"/>
      <c r="M44" s="322"/>
      <c r="N44" s="710">
        <v>2964</v>
      </c>
    </row>
    <row r="45" spans="1:14">
      <c r="C45" s="149" t="s">
        <v>330</v>
      </c>
      <c r="D45" s="156">
        <f>DCF!D45</f>
        <v>0</v>
      </c>
      <c r="I45" s="322" t="s">
        <v>331</v>
      </c>
      <c r="J45" s="322"/>
      <c r="K45" s="322"/>
      <c r="L45" s="322"/>
      <c r="M45" s="322"/>
      <c r="N45" s="710">
        <v>0</v>
      </c>
    </row>
    <row r="46" spans="1:14">
      <c r="C46" s="149" t="s">
        <v>332</v>
      </c>
      <c r="D46" s="156">
        <f>DCF!D46</f>
        <v>131</v>
      </c>
      <c r="I46" s="322" t="s">
        <v>332</v>
      </c>
      <c r="J46" s="322"/>
      <c r="K46" s="322"/>
      <c r="L46" s="322"/>
      <c r="M46" s="322"/>
      <c r="N46" s="710">
        <v>131</v>
      </c>
    </row>
    <row r="47" spans="1:14">
      <c r="C47" s="149" t="s">
        <v>333</v>
      </c>
      <c r="D47" s="156">
        <f>DCF!D47</f>
        <v>-364</v>
      </c>
      <c r="I47" s="322" t="s">
        <v>333</v>
      </c>
      <c r="J47" s="322"/>
      <c r="K47" s="322"/>
      <c r="L47" s="322"/>
      <c r="M47" s="322"/>
      <c r="N47" s="710">
        <v>-364</v>
      </c>
    </row>
    <row r="48" spans="1:14">
      <c r="C48" s="149" t="s">
        <v>334</v>
      </c>
      <c r="D48" s="156">
        <f>DCF!D48</f>
        <v>0</v>
      </c>
      <c r="I48" s="322" t="s">
        <v>334</v>
      </c>
      <c r="J48" s="322"/>
      <c r="K48" s="322"/>
      <c r="L48" s="322"/>
      <c r="M48" s="322"/>
      <c r="N48" s="710">
        <v>0</v>
      </c>
    </row>
    <row r="49" spans="3:14">
      <c r="C49" s="531" t="s">
        <v>335</v>
      </c>
      <c r="D49" s="662">
        <f>SUM(D43:D48)</f>
        <v>14038.702399847265</v>
      </c>
      <c r="I49" s="711" t="s">
        <v>335</v>
      </c>
      <c r="J49" s="711"/>
      <c r="K49" s="711"/>
      <c r="L49" s="711"/>
      <c r="M49" s="711"/>
      <c r="N49" s="709">
        <f>SUM(N43:N48)</f>
        <v>27490.762875631593</v>
      </c>
    </row>
    <row r="50" spans="3:14">
      <c r="C50" s="149" t="s">
        <v>336</v>
      </c>
      <c r="D50" s="156">
        <f>DCF!D50</f>
        <v>4037</v>
      </c>
      <c r="I50" s="322" t="s">
        <v>336</v>
      </c>
      <c r="J50" s="322"/>
      <c r="K50" s="322"/>
      <c r="L50" s="322"/>
      <c r="M50" s="322"/>
      <c r="N50" s="713">
        <f>D50</f>
        <v>4037</v>
      </c>
    </row>
    <row r="51" spans="3:14">
      <c r="C51" s="526" t="s">
        <v>337</v>
      </c>
      <c r="D51" s="666">
        <f>D49/D50</f>
        <v>3.477508644995607</v>
      </c>
      <c r="I51" s="160" t="s">
        <v>337</v>
      </c>
      <c r="J51" s="160"/>
      <c r="K51" s="160"/>
      <c r="L51" s="160"/>
      <c r="M51" s="160"/>
      <c r="N51" s="714">
        <f>N49/N50</f>
        <v>6.8097009847985124</v>
      </c>
    </row>
    <row r="52" spans="3:14">
      <c r="C52" s="325" t="s">
        <v>362</v>
      </c>
      <c r="D52" s="818">
        <f>Cover!C19</f>
        <v>5.27</v>
      </c>
      <c r="I52" s="325" t="s">
        <v>338</v>
      </c>
      <c r="J52" s="325"/>
      <c r="K52" s="325"/>
      <c r="L52" s="325"/>
      <c r="M52" s="325"/>
      <c r="N52" s="717">
        <f>Cover!$C$19</f>
        <v>5.27</v>
      </c>
    </row>
    <row r="53" spans="3:14">
      <c r="I53" s="325"/>
      <c r="J53" s="325"/>
      <c r="K53" s="325"/>
      <c r="L53" s="325"/>
      <c r="M53" s="325"/>
      <c r="N53" s="664"/>
    </row>
    <row r="54" spans="3:14" ht="17">
      <c r="C54" s="737" t="s">
        <v>345</v>
      </c>
      <c r="D54" s="738"/>
      <c r="E54" s="739"/>
      <c r="F54" s="740"/>
      <c r="G54" s="741"/>
      <c r="H54" s="741"/>
      <c r="I54" s="741"/>
      <c r="J54" s="741"/>
      <c r="K54" s="741"/>
      <c r="L54" s="738"/>
      <c r="M54" s="738"/>
      <c r="N54" s="738"/>
    </row>
    <row r="55" spans="3:14">
      <c r="C55" s="322" t="s">
        <v>342</v>
      </c>
      <c r="D55" s="731">
        <f>D51</f>
        <v>3.477508644995607</v>
      </c>
      <c r="E55" s="704">
        <v>0.5</v>
      </c>
      <c r="F55" s="316"/>
      <c r="G55" s="316"/>
      <c r="H55" s="316"/>
      <c r="I55" s="316"/>
      <c r="J55" s="316"/>
      <c r="K55" s="316"/>
      <c r="L55" s="316"/>
      <c r="M55" s="316"/>
      <c r="N55" s="316"/>
    </row>
    <row r="56" spans="3:14">
      <c r="C56" s="322" t="s">
        <v>14</v>
      </c>
      <c r="D56" s="731">
        <f>N51</f>
        <v>6.8097009847985124</v>
      </c>
      <c r="E56" s="704">
        <v>0.5</v>
      </c>
      <c r="F56" s="316"/>
      <c r="G56" s="316"/>
      <c r="H56" s="316"/>
      <c r="I56" s="316"/>
      <c r="J56" s="316"/>
      <c r="K56" s="316"/>
      <c r="L56" s="316"/>
      <c r="M56" s="316"/>
      <c r="N56" s="316"/>
    </row>
    <row r="57" spans="3:14">
      <c r="C57" s="531" t="s">
        <v>346</v>
      </c>
      <c r="D57" s="733">
        <f>SUMPRODUCT(D55:D56,E55:E56)</f>
        <v>5.1436048148970599</v>
      </c>
      <c r="E57" s="734">
        <f>SUM(E55:E56)</f>
        <v>1</v>
      </c>
      <c r="F57" s="316"/>
      <c r="G57" s="316"/>
      <c r="H57" s="316"/>
      <c r="I57" s="316"/>
      <c r="J57" s="316"/>
      <c r="K57" s="316"/>
      <c r="L57" s="316"/>
      <c r="M57" s="316"/>
      <c r="N57" s="316"/>
    </row>
    <row r="58" spans="3:14">
      <c r="C58" s="325" t="s">
        <v>338</v>
      </c>
      <c r="D58" s="735">
        <f>Cover!$C$19</f>
        <v>5.27</v>
      </c>
      <c r="E58" s="736"/>
      <c r="F58" s="316"/>
      <c r="G58" s="316"/>
      <c r="H58" s="316"/>
      <c r="I58" s="316"/>
      <c r="J58" s="316"/>
      <c r="K58" s="316"/>
      <c r="L58" s="316"/>
      <c r="M58" s="316"/>
      <c r="N58" s="316"/>
    </row>
  </sheetData>
  <dataValidations disablePrompts="1" count="1">
    <dataValidation type="list" allowBlank="1" showInputMessage="1" showErrorMessage="1" sqref="D5:D6" xr:uid="{7C2C04A4-EE45-4F83-A46F-6F0ED4EE7702}">
      <formula1>"Bear Case, Base Case, Bull Case"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DEC9F-9342-4382-82B7-1A14261CC4C2}">
  <dimension ref="A1:Y295"/>
  <sheetViews>
    <sheetView showGridLines="0" topLeftCell="A211" zoomScale="75" workbookViewId="0">
      <selection activeCell="C293" sqref="C293"/>
    </sheetView>
  </sheetViews>
  <sheetFormatPr baseColWidth="10" defaultColWidth="8.5" defaultRowHeight="16"/>
  <cols>
    <col min="1" max="1" width="8.5" style="149"/>
    <col min="2" max="4" width="35.5" style="149" customWidth="1"/>
    <col min="5" max="5" width="20.5" style="149" customWidth="1"/>
    <col min="6" max="25" width="25.5" style="149" customWidth="1"/>
    <col min="26" max="16384" width="8.5" style="149"/>
  </cols>
  <sheetData>
    <row r="1" spans="1:25" s="397" customFormat="1" ht="35">
      <c r="B1" s="287" t="str">
        <f>Cover!$C$7&amp;" ("&amp;Cover!$C$8&amp;": "&amp;Cover!$C$9&amp;")"</f>
        <v>Grab Holdings Limited (NASDAQ: GRAB)</v>
      </c>
      <c r="C1" s="39"/>
      <c r="D1" s="39"/>
      <c r="E1" s="39"/>
      <c r="F1" s="39"/>
      <c r="G1" s="39"/>
      <c r="H1" s="39"/>
      <c r="I1" s="39"/>
      <c r="J1" s="39"/>
      <c r="K1" s="39"/>
      <c r="L1" s="39"/>
      <c r="M1" s="39"/>
    </row>
    <row r="2" spans="1:25" s="397" customFormat="1">
      <c r="B2" s="39"/>
      <c r="C2" s="39"/>
      <c r="D2" s="39"/>
      <c r="E2" s="39"/>
      <c r="F2" s="39"/>
      <c r="G2" s="39"/>
      <c r="H2" s="39"/>
      <c r="I2" s="39"/>
      <c r="J2" s="39"/>
      <c r="K2" s="39"/>
      <c r="L2" s="39"/>
      <c r="M2" s="39"/>
    </row>
    <row r="3" spans="1:25" s="397" customFormat="1">
      <c r="B3" s="391" t="s">
        <v>264</v>
      </c>
      <c r="C3" s="652">
        <f ca="1">Cover!$C$18</f>
        <v>7.2080318777471293</v>
      </c>
      <c r="D3" s="48"/>
      <c r="E3" s="48"/>
      <c r="F3" s="48"/>
      <c r="G3" s="48"/>
      <c r="H3" s="48"/>
      <c r="I3" s="48"/>
      <c r="J3" s="48"/>
      <c r="K3" s="48"/>
      <c r="L3" s="48"/>
      <c r="M3" s="48"/>
    </row>
    <row r="4" spans="1:25" s="397" customFormat="1">
      <c r="B4" s="392" t="s">
        <v>265</v>
      </c>
      <c r="C4" s="653" t="str">
        <f>[1]Cover!D11</f>
        <v>Base Case</v>
      </c>
      <c r="D4" s="47"/>
      <c r="E4" s="47"/>
      <c r="F4" s="48"/>
      <c r="G4" s="48"/>
      <c r="H4" s="48"/>
      <c r="I4" s="48"/>
      <c r="J4" s="48"/>
      <c r="K4" s="48"/>
      <c r="L4" s="48"/>
      <c r="M4" s="48"/>
    </row>
    <row r="5" spans="1:25" s="397" customFormat="1" ht="19">
      <c r="B5" s="47"/>
      <c r="C5" s="48"/>
      <c r="D5" s="48"/>
      <c r="E5" s="49"/>
      <c r="F5" s="49"/>
      <c r="G5" s="49"/>
      <c r="H5" s="49"/>
      <c r="I5" s="49"/>
      <c r="J5" s="49"/>
      <c r="K5" s="49"/>
      <c r="L5" s="49"/>
      <c r="M5" s="49"/>
    </row>
    <row r="6" spans="1:25" s="397" customFormat="1">
      <c r="B6" s="50"/>
      <c r="C6" s="51"/>
      <c r="D6" s="51"/>
      <c r="E6" s="394"/>
      <c r="F6" s="395"/>
      <c r="G6" s="395"/>
      <c r="H6" s="396"/>
      <c r="I6" s="395"/>
      <c r="J6" s="395"/>
      <c r="K6" s="396"/>
      <c r="L6" s="395"/>
      <c r="M6" s="395"/>
      <c r="O6" s="185"/>
    </row>
    <row r="8" spans="1:25">
      <c r="A8" s="149" t="s">
        <v>57</v>
      </c>
      <c r="B8" s="636" t="s">
        <v>363</v>
      </c>
      <c r="C8" s="637" t="s">
        <v>364</v>
      </c>
      <c r="D8" s="636" t="s">
        <v>365</v>
      </c>
      <c r="E8" s="637" t="s">
        <v>366</v>
      </c>
      <c r="F8" s="636" t="s">
        <v>367</v>
      </c>
      <c r="G8" s="636" t="s">
        <v>368</v>
      </c>
      <c r="H8" s="636" t="s">
        <v>369</v>
      </c>
      <c r="I8" s="636" t="s">
        <v>370</v>
      </c>
      <c r="J8" s="636" t="s">
        <v>371</v>
      </c>
      <c r="K8" s="636" t="s">
        <v>372</v>
      </c>
      <c r="L8" s="636" t="s">
        <v>373</v>
      </c>
      <c r="M8" s="636" t="s">
        <v>374</v>
      </c>
      <c r="N8" s="636" t="s">
        <v>375</v>
      </c>
      <c r="O8" s="636" t="s">
        <v>376</v>
      </c>
      <c r="P8" s="636" t="s">
        <v>377</v>
      </c>
      <c r="Q8" s="636" t="s">
        <v>378</v>
      </c>
      <c r="R8" s="636" t="s">
        <v>379</v>
      </c>
      <c r="S8" s="636" t="s">
        <v>380</v>
      </c>
      <c r="T8" s="636" t="s">
        <v>381</v>
      </c>
      <c r="U8" s="636" t="s">
        <v>382</v>
      </c>
      <c r="V8" s="636" t="s">
        <v>383</v>
      </c>
      <c r="W8" s="636" t="s">
        <v>384</v>
      </c>
      <c r="X8" s="636" t="s">
        <v>385</v>
      </c>
      <c r="Y8" s="636" t="s">
        <v>386</v>
      </c>
    </row>
    <row r="9" spans="1:25">
      <c r="B9" s="634" t="s">
        <v>387</v>
      </c>
      <c r="C9" s="635" t="s">
        <v>388</v>
      </c>
      <c r="D9" s="634" t="s">
        <v>389</v>
      </c>
      <c r="E9" s="635" t="s">
        <v>390</v>
      </c>
      <c r="F9" s="112">
        <f>'GDP Growth Rates'!E2/100</f>
        <v>0.11229714827285903</v>
      </c>
      <c r="G9" s="112">
        <f>'GDP Growth Rates'!F2/100</f>
        <v>5.3574032474859194E-2</v>
      </c>
      <c r="H9" s="112">
        <f>'GDP Growth Rates'!G2/100</f>
        <v>0.13826319547128135</v>
      </c>
      <c r="I9" s="112">
        <f>'GDP Growth Rates'!H2/100</f>
        <v>3.9249838199946652E-2</v>
      </c>
      <c r="J9" s="112">
        <f>'GDP Growth Rates'!I2/100</f>
        <v>0.2139052839264923</v>
      </c>
      <c r="K9" s="112">
        <f>'GDP Growth Rates'!J2/100</f>
        <v>0.14362441471073722</v>
      </c>
      <c r="L9" s="112">
        <f>'GDP Growth Rates'!K2/100</f>
        <v>4.2635477677734459E-3</v>
      </c>
      <c r="M9" s="112">
        <f>'GDP Growth Rates'!L2/100</f>
        <v>0.12752287092669731</v>
      </c>
      <c r="N9" s="112">
        <f>'GDP Growth Rates'!M2/100</f>
        <v>5.600744658632209E-2</v>
      </c>
      <c r="O9" s="112">
        <f>'GDP Growth Rates'!N2/100</f>
        <v>2.7245433621956465E-2</v>
      </c>
      <c r="P9" s="112">
        <f>'GDP Growth Rates'!O2/100</f>
        <v>1.4513146606643091E-2</v>
      </c>
      <c r="Q9" s="112">
        <f>'GDP Growth Rates'!P2/100</f>
        <v>2.260314202798213E-2</v>
      </c>
      <c r="R9" s="112">
        <f>'GDP Growth Rates'!Q2/100</f>
        <v>2.647003202745097E-2</v>
      </c>
      <c r="S9" s="112">
        <f>'GDP Growth Rates'!R2/100</f>
        <v>1.1892281294451692E-2</v>
      </c>
      <c r="T9" s="112">
        <f>'GDP Growth Rates'!S2/100</f>
        <v>3.9116034162555165E-2</v>
      </c>
      <c r="U9" s="112">
        <f>'GDP Growth Rates'!T2/100</f>
        <v>-2.3511006720346613E-2</v>
      </c>
      <c r="V9" s="112">
        <f>'GDP Growth Rates'!U2/100</f>
        <v>-0.20738839367634326</v>
      </c>
      <c r="W9" s="112">
        <f>'GDP Growth Rates'!V2/100</f>
        <v>-6.2401719924026933E-2</v>
      </c>
      <c r="X9" s="112">
        <f>'GDP Growth Rates'!W2/100</f>
        <v>2.2669437364918821E-2</v>
      </c>
      <c r="Y9" s="112" t="e">
        <f>'GDP Growth Rates'!X2/100</f>
        <v>#VALUE!</v>
      </c>
    </row>
    <row r="10" spans="1:25">
      <c r="B10" s="634" t="s">
        <v>387</v>
      </c>
      <c r="C10" s="635" t="s">
        <v>388</v>
      </c>
      <c r="D10" s="634" t="s">
        <v>391</v>
      </c>
      <c r="E10" s="635" t="s">
        <v>392</v>
      </c>
      <c r="F10" s="112">
        <f>'GDP Growth Rates'!E3/100</f>
        <v>5.1308219305618935E-2</v>
      </c>
      <c r="G10" s="112">
        <f>'GDP Growth Rates'!F3/100</f>
        <v>6.0189812403863951E-2</v>
      </c>
      <c r="H10" s="112">
        <f>'GDP Growth Rates'!G3/100</f>
        <v>6.5000926115820909E-2</v>
      </c>
      <c r="I10" s="112">
        <f>'GDP Growth Rates'!H3/100</f>
        <v>6.9070623071370671E-2</v>
      </c>
      <c r="J10" s="112">
        <f>'GDP Growth Rates'!I3/100</f>
        <v>2.6907515236214579E-2</v>
      </c>
      <c r="K10" s="112">
        <f>'GDP Growth Rates'!J3/100</f>
        <v>2.9731544268124709E-2</v>
      </c>
      <c r="L10" s="112">
        <f>'GDP Growth Rates'!K3/100</f>
        <v>2.4635168391571368E-2</v>
      </c>
      <c r="M10" s="112">
        <f>'GDP Growth Rates'!L3/100</f>
        <v>9.8412988020410812E-3</v>
      </c>
      <c r="N10" s="112">
        <f>'GDP Growth Rates'!M3/100</f>
        <v>1.7072283175405972E-2</v>
      </c>
      <c r="O10" s="112">
        <f>'GDP Growth Rates'!N3/100</f>
        <v>2.240226953826422E-2</v>
      </c>
      <c r="P10" s="112">
        <f>'GDP Growth Rates'!O3/100</f>
        <v>2.2277040745779006E-2</v>
      </c>
      <c r="Q10" s="112">
        <f>'GDP Growth Rates'!P3/100</f>
        <v>3.9089355136224524E-2</v>
      </c>
      <c r="R10" s="112">
        <f>'GDP Growth Rates'!Q3/100</f>
        <v>3.2831759333007256E-2</v>
      </c>
      <c r="S10" s="112">
        <f>'GDP Growth Rates'!R3/100</f>
        <v>3.6714192809890848E-2</v>
      </c>
      <c r="T10" s="112">
        <f>'GDP Growth Rates'!S3/100</f>
        <v>2.0625779017612159E-2</v>
      </c>
      <c r="U10" s="112">
        <f>'GDP Growth Rates'!T3/100</f>
        <v>-3.3137563688891591E-2</v>
      </c>
      <c r="V10" s="112">
        <f>'GDP Growth Rates'!U3/100</f>
        <v>8.9695761907409521E-2</v>
      </c>
      <c r="W10" s="112">
        <f>'GDP Growth Rates'!V3/100</f>
        <v>4.8266961191276464E-2</v>
      </c>
      <c r="X10" s="112">
        <f>'GDP Growth Rates'!W3/100</f>
        <v>3.9366168919259932E-2</v>
      </c>
      <c r="Y10" s="112">
        <f>'GDP Growth Rates'!X3/100</f>
        <v>3.9617191122371338E-2</v>
      </c>
    </row>
    <row r="11" spans="1:25">
      <c r="B11" s="634" t="s">
        <v>387</v>
      </c>
      <c r="C11" s="635" t="s">
        <v>388</v>
      </c>
      <c r="D11" s="634" t="s">
        <v>393</v>
      </c>
      <c r="E11" s="635" t="s">
        <v>394</v>
      </c>
      <c r="F11" s="112">
        <f>'GDP Growth Rates'!E4/100</f>
        <v>5.3999999996952541E-2</v>
      </c>
      <c r="G11" s="112">
        <f>'GDP Growth Rates'!F4/100</f>
        <v>2.8999999990585223E-2</v>
      </c>
      <c r="H11" s="112">
        <f>'GDP Growth Rates'!G4/100</f>
        <v>3.1000000012867446E-2</v>
      </c>
      <c r="I11" s="112">
        <f>'GDP Growth Rates'!H4/100</f>
        <v>2.4999999992937064E-2</v>
      </c>
      <c r="J11" s="112">
        <f>'GDP Growth Rates'!I4/100</f>
        <v>1.1999999996951942E-2</v>
      </c>
      <c r="K11" s="112">
        <f>'GDP Growth Rates'!J4/100</f>
        <v>4.8000000009356399E-2</v>
      </c>
      <c r="L11" s="112">
        <f>'GDP Growth Rates'!K4/100</f>
        <v>2.9999999994190885E-2</v>
      </c>
      <c r="M11" s="112">
        <f>'GDP Growth Rates'!L4/100</f>
        <v>2.4000000003443205E-2</v>
      </c>
      <c r="N11" s="112">
        <f>'GDP Growth Rates'!M4/100</f>
        <v>2.6000000006116436E-2</v>
      </c>
      <c r="O11" s="112">
        <f>'GDP Growth Rates'!N4/100</f>
        <v>4.0999999986650125E-2</v>
      </c>
      <c r="P11" s="112">
        <f>'GDP Growth Rates'!O4/100</f>
        <v>3.2000000008902275E-2</v>
      </c>
      <c r="Q11" s="112">
        <f>'GDP Growth Rates'!P4/100</f>
        <v>3.9000000001762063E-2</v>
      </c>
      <c r="R11" s="112">
        <f>'GDP Growth Rates'!Q4/100</f>
        <v>1.4999999989558716E-2</v>
      </c>
      <c r="S11" s="112">
        <f>'GDP Growth Rates'!R4/100</f>
        <v>1.4000000008828124E-2</v>
      </c>
      <c r="T11" s="112">
        <f>'GDP Growth Rates'!S4/100</f>
        <v>8.9999999921914764E-3</v>
      </c>
      <c r="U11" s="112">
        <f>'GDP Growth Rates'!T4/100</f>
        <v>-4.9999999990859717E-2</v>
      </c>
      <c r="V11" s="112">
        <f>'GDP Growth Rates'!U4/100</f>
        <v>3.7999999990070706E-2</v>
      </c>
      <c r="W11" s="112">
        <f>'GDP Growth Rates'!V4/100</f>
        <v>3.6000000009491516E-2</v>
      </c>
      <c r="X11" s="112">
        <f>'GDP Growth Rates'!W4/100</f>
        <v>4.1000000000596372E-2</v>
      </c>
      <c r="Y11" s="112">
        <f>'GDP Growth Rates'!X4/100</f>
        <v>3.299999999396093E-2</v>
      </c>
    </row>
    <row r="12" spans="1:25">
      <c r="B12" s="634" t="s">
        <v>387</v>
      </c>
      <c r="C12" s="635" t="s">
        <v>388</v>
      </c>
      <c r="D12" s="634" t="s">
        <v>395</v>
      </c>
      <c r="E12" s="635" t="s">
        <v>396</v>
      </c>
      <c r="F12" s="112">
        <f>'GDP Growth Rates'!E5/100</f>
        <v>-4.0816326530612908E-3</v>
      </c>
      <c r="G12" s="112">
        <f>'GDP Growth Rates'!F5/100</f>
        <v>-4.0983606557377074E-2</v>
      </c>
      <c r="H12" s="112">
        <f>'GDP Growth Rates'!G5/100</f>
        <v>1.8518518518518618E-2</v>
      </c>
      <c r="I12" s="112">
        <f>'GDP Growth Rates'!H5/100</f>
        <v>-2.6573426573426529E-2</v>
      </c>
      <c r="J12" s="112">
        <f>'GDP Growth Rates'!I5/100</f>
        <v>-4.1666666666666574E-2</v>
      </c>
      <c r="K12" s="112">
        <f>'GDP Growth Rates'!J5/100</f>
        <v>2.9985007496252081E-3</v>
      </c>
      <c r="L12" s="112">
        <f>'GDP Growth Rates'!K5/100</f>
        <v>0</v>
      </c>
      <c r="M12" s="112">
        <f>'GDP Growth Rates'!L5/100</f>
        <v>-4.3348281016442482E-2</v>
      </c>
      <c r="N12" s="112">
        <f>'GDP Growth Rates'!M5/100</f>
        <v>-2.5000000000000001E-2</v>
      </c>
      <c r="O12" s="112">
        <f>'GDP Growth Rates'!N5/100</f>
        <v>1.7628205128205111E-2</v>
      </c>
      <c r="P12" s="112">
        <f>'GDP Growth Rates'!O5/100</f>
        <v>3.1496062992125928E-2</v>
      </c>
      <c r="Q12" s="112">
        <f>'GDP Growth Rates'!P5/100</f>
        <v>-1.6793893129770934E-2</v>
      </c>
      <c r="R12" s="112">
        <f>'GDP Growth Rates'!Q5/100</f>
        <v>-6.9875776397515493E-2</v>
      </c>
      <c r="S12" s="112">
        <f>'GDP Growth Rates'!R5/100</f>
        <v>2.6711185308847973E-2</v>
      </c>
      <c r="T12" s="112">
        <f>'GDP Growth Rates'!S5/100</f>
        <v>-4.8780487804877736E-3</v>
      </c>
      <c r="U12" s="112">
        <f>'GDP Growth Rates'!T5/100</f>
        <v>4.4117647058823622E-2</v>
      </c>
      <c r="V12" s="112">
        <f>'GDP Growth Rates'!U5/100</f>
        <v>-7.8247261345852342E-3</v>
      </c>
      <c r="W12" s="112">
        <f>'GDP Growth Rates'!V5/100</f>
        <v>1.7350157728706534E-2</v>
      </c>
      <c r="X12" s="112" t="e">
        <f>'GDP Growth Rates'!W5/100</f>
        <v>#VALUE!</v>
      </c>
      <c r="Y12" s="112" t="e">
        <f>'GDP Growth Rates'!X5/100</f>
        <v>#VALUE!</v>
      </c>
    </row>
    <row r="13" spans="1:25">
      <c r="B13" s="634" t="s">
        <v>387</v>
      </c>
      <c r="C13" s="635" t="s">
        <v>388</v>
      </c>
      <c r="D13" s="634" t="s">
        <v>397</v>
      </c>
      <c r="E13" s="635" t="s">
        <v>398</v>
      </c>
      <c r="F13" s="112">
        <f>'GDP Growth Rates'!E6/100</f>
        <v>5.3977959850042223E-2</v>
      </c>
      <c r="G13" s="112">
        <f>'GDP Growth Rates'!F6/100</f>
        <v>4.8086886991692099E-2</v>
      </c>
      <c r="H13" s="112">
        <f>'GDP Growth Rates'!G6/100</f>
        <v>1.5531881410322228E-2</v>
      </c>
      <c r="I13" s="112">
        <f>'GDP Growth Rates'!H6/100</f>
        <v>-5.5591863685058057E-2</v>
      </c>
      <c r="J13" s="112">
        <f>'GDP Growth Rates'!I6/100</f>
        <v>-5.3028465434829142E-2</v>
      </c>
      <c r="K13" s="112">
        <f>'GDP Growth Rates'!J6/100</f>
        <v>-1.9749579996534549E-2</v>
      </c>
      <c r="L13" s="112">
        <f>'GDP Growth Rates'!K6/100</f>
        <v>-8.0697534113909341E-5</v>
      </c>
      <c r="M13" s="112">
        <f>'GDP Growth Rates'!L6/100</f>
        <v>-4.9744437185350279E-2</v>
      </c>
      <c r="N13" s="112">
        <f>'GDP Growth Rates'!M6/100</f>
        <v>-3.5475965154934383E-2</v>
      </c>
      <c r="O13" s="112">
        <f>'GDP Growth Rates'!N6/100</f>
        <v>2.5044655211451782E-2</v>
      </c>
      <c r="P13" s="112">
        <f>'GDP Growth Rates'!O6/100</f>
        <v>1.4341403952271604E-2</v>
      </c>
      <c r="Q13" s="112">
        <f>'GDP Growth Rates'!P6/100</f>
        <v>3.7096780697898596E-2</v>
      </c>
      <c r="R13" s="112">
        <f>'GDP Growth Rates'!Q6/100</f>
        <v>3.46071889630295E-3</v>
      </c>
      <c r="S13" s="112">
        <f>'GDP Growth Rates'!R6/100</f>
        <v>1.5887654904635441E-2</v>
      </c>
      <c r="T13" s="112">
        <f>'GDP Growth Rates'!S6/100</f>
        <v>2.015547638483085E-2</v>
      </c>
      <c r="U13" s="112">
        <f>'GDP Growth Rates'!T6/100</f>
        <v>-0.11183939935538391</v>
      </c>
      <c r="V13" s="112">
        <f>'GDP Growth Rates'!U6/100</f>
        <v>8.2867787904940399E-2</v>
      </c>
      <c r="W13" s="112">
        <f>'GDP Growth Rates'!V6/100</f>
        <v>9.5646122564818373E-2</v>
      </c>
      <c r="X13" s="112">
        <f>'GDP Growth Rates'!W6/100</f>
        <v>2.5835548096131901E-2</v>
      </c>
      <c r="Y13" s="112">
        <f>'GDP Growth Rates'!X6/100</f>
        <v>3.3718203263899793E-2</v>
      </c>
    </row>
    <row r="14" spans="1:25">
      <c r="B14" s="634" t="s">
        <v>387</v>
      </c>
      <c r="C14" s="635" t="s">
        <v>388</v>
      </c>
      <c r="D14" s="634" t="s">
        <v>399</v>
      </c>
      <c r="E14" s="635" t="s">
        <v>400</v>
      </c>
      <c r="F14" s="112">
        <f>'GDP Growth Rates'!E7/100</f>
        <v>0.15029999990551318</v>
      </c>
      <c r="G14" s="112">
        <f>'GDP Growth Rates'!F7/100</f>
        <v>0.11549999997879028</v>
      </c>
      <c r="H14" s="112">
        <f>'GDP Growth Rates'!G7/100</f>
        <v>0.140100000086059</v>
      </c>
      <c r="I14" s="112">
        <f>'GDP Growth Rates'!H7/100</f>
        <v>0.11169999994214636</v>
      </c>
      <c r="J14" s="112">
        <f>'GDP Growth Rates'!I7/100</f>
        <v>8.6000000215278767E-3</v>
      </c>
      <c r="K14" s="112">
        <f>'GDP Growth Rates'!J7/100</f>
        <v>4.3983759381076341E-2</v>
      </c>
      <c r="L14" s="112">
        <f>'GDP Growth Rates'!K7/100</f>
        <v>3.4720531479810288E-2</v>
      </c>
      <c r="M14" s="112">
        <f>'GDP Growth Rates'!L7/100</f>
        <v>8.5421070758414153E-2</v>
      </c>
      <c r="N14" s="112">
        <f>'GDP Growth Rates'!M7/100</f>
        <v>4.9546130311273799E-2</v>
      </c>
      <c r="O14" s="112">
        <f>'GDP Growth Rates'!N7/100</f>
        <v>4.8225592696215645E-2</v>
      </c>
      <c r="P14" s="112">
        <f>'GDP Growth Rates'!O7/100</f>
        <v>9.4357156132500106E-3</v>
      </c>
      <c r="Q14" s="112">
        <f>'GDP Growth Rates'!P7/100</f>
        <v>-2.5800496440493249E-2</v>
      </c>
      <c r="R14" s="112">
        <f>'GDP Growth Rates'!Q7/100</f>
        <v>-1.4721294108575478E-3</v>
      </c>
      <c r="S14" s="112">
        <f>'GDP Growth Rates'!R7/100</f>
        <v>-1.3163616889689535E-2</v>
      </c>
      <c r="T14" s="112">
        <f>'GDP Growth Rates'!S7/100</f>
        <v>-7.0227295761601735E-3</v>
      </c>
      <c r="U14" s="112">
        <f>'GDP Growth Rates'!T7/100</f>
        <v>-5.6382147171493389E-2</v>
      </c>
      <c r="V14" s="112">
        <f>'GDP Growth Rates'!U7/100</f>
        <v>1.1992105214515334E-2</v>
      </c>
      <c r="W14" s="112">
        <f>'GDP Growth Rates'!V7/100</f>
        <v>3.0447265239191806E-2</v>
      </c>
      <c r="X14" s="112">
        <f>'GDP Growth Rates'!W7/100</f>
        <v>1.0780995197067256E-2</v>
      </c>
      <c r="Y14" s="112">
        <f>'GDP Growth Rates'!X7/100</f>
        <v>4.4239045294474554E-2</v>
      </c>
    </row>
    <row r="15" spans="1:25">
      <c r="B15" s="634" t="s">
        <v>387</v>
      </c>
      <c r="C15" s="635" t="s">
        <v>388</v>
      </c>
      <c r="D15" s="634" t="s">
        <v>401</v>
      </c>
      <c r="E15" s="635" t="s">
        <v>402</v>
      </c>
      <c r="F15" s="112">
        <f>'GDP Growth Rates'!E8/100</f>
        <v>6.4736894178174118E-2</v>
      </c>
      <c r="G15" s="112">
        <f>'GDP Growth Rates'!F8/100</f>
        <v>0.12708147487362481</v>
      </c>
      <c r="H15" s="112">
        <f>'GDP Growth Rates'!G8/100</f>
        <v>9.3151827231568521E-2</v>
      </c>
      <c r="I15" s="112">
        <f>'GDP Growth Rates'!H8/100</f>
        <v>-1.4006598185176245E-4</v>
      </c>
      <c r="J15" s="112">
        <f>'GDP Growth Rates'!I8/100</f>
        <v>-0.11962879470347104</v>
      </c>
      <c r="K15" s="112">
        <f>'GDP Growth Rates'!J8/100</f>
        <v>-7.8405068373097186E-2</v>
      </c>
      <c r="L15" s="112">
        <f>'GDP Growth Rates'!K8/100</f>
        <v>-1.9587426221757197E-2</v>
      </c>
      <c r="M15" s="112">
        <f>'GDP Growth Rates'!L8/100</f>
        <v>3.3731427394795899E-2</v>
      </c>
      <c r="N15" s="112">
        <f>'GDP Growth Rates'!M8/100</f>
        <v>-6.0098232959936125E-3</v>
      </c>
      <c r="O15" s="112">
        <f>'GDP Growth Rates'!N8/100</f>
        <v>2.1982918873879667E-2</v>
      </c>
      <c r="P15" s="112">
        <f>'GDP Growth Rates'!O8/100</f>
        <v>1.4216199759537175E-2</v>
      </c>
      <c r="Q15" s="112">
        <f>'GDP Growth Rates'!P8/100</f>
        <v>4.1203675438060972E-2</v>
      </c>
      <c r="R15" s="112">
        <f>'GDP Growth Rates'!Q8/100</f>
        <v>2.7127265797362698E-2</v>
      </c>
      <c r="S15" s="112">
        <f>'GDP Growth Rates'!R8/100</f>
        <v>6.7120048715972588E-2</v>
      </c>
      <c r="T15" s="112">
        <f>'GDP Growth Rates'!S8/100</f>
        <v>3.1722219373937009E-2</v>
      </c>
      <c r="U15" s="112">
        <f>'GDP Growth Rates'!T8/100</f>
        <v>-0.1886877652081479</v>
      </c>
      <c r="V15" s="112">
        <f>'GDP Growth Rates'!U8/100</f>
        <v>8.1728631118662201E-2</v>
      </c>
      <c r="W15" s="112">
        <f>'GDP Growth Rates'!V8/100</f>
        <v>9.1078062338595778E-2</v>
      </c>
      <c r="X15" s="112">
        <f>'GDP Growth Rates'!W8/100</f>
        <v>2.4273630011033588E-2</v>
      </c>
      <c r="Y15" s="112">
        <f>'GDP Growth Rates'!X8/100</f>
        <v>4.3275214503640171E-2</v>
      </c>
    </row>
    <row r="16" spans="1:25">
      <c r="B16" s="634" t="s">
        <v>387</v>
      </c>
      <c r="C16" s="635" t="s">
        <v>388</v>
      </c>
      <c r="D16" s="634" t="s">
        <v>403</v>
      </c>
      <c r="E16" s="635" t="s">
        <v>404</v>
      </c>
      <c r="F16" s="112">
        <f>'GDP Growth Rates'!E9/100</f>
        <v>8.8516599201343665E-2</v>
      </c>
      <c r="G16" s="112">
        <f>'GDP Growth Rates'!F9/100</f>
        <v>8.0471515004302746E-2</v>
      </c>
      <c r="H16" s="112">
        <f>'GDP Growth Rates'!G9/100</f>
        <v>9.0076508750475737E-2</v>
      </c>
      <c r="I16" s="112">
        <f>'GDP Growth Rates'!H9/100</f>
        <v>4.0572331034640571E-2</v>
      </c>
      <c r="J16" s="112">
        <f>'GDP Growth Rates'!I9/100</f>
        <v>-5.9185250763494679E-2</v>
      </c>
      <c r="K16" s="112">
        <f>'GDP Growth Rates'!J9/100</f>
        <v>0.10125398156100232</v>
      </c>
      <c r="L16" s="112">
        <f>'GDP Growth Rates'!K9/100</f>
        <v>6.0039516928057847E-2</v>
      </c>
      <c r="M16" s="112">
        <f>'GDP Growth Rates'!L9/100</f>
        <v>-1.026420454432099E-2</v>
      </c>
      <c r="N16" s="112">
        <f>'GDP Growth Rates'!M9/100</f>
        <v>2.4053237807943616E-2</v>
      </c>
      <c r="O16" s="112">
        <f>'GDP Growth Rates'!N9/100</f>
        <v>-2.5126153208139358E-2</v>
      </c>
      <c r="P16" s="112">
        <f>'GDP Growth Rates'!O9/100</f>
        <v>2.7311598282894353E-2</v>
      </c>
      <c r="Q16" s="112">
        <f>'GDP Growth Rates'!P9/100</f>
        <v>-2.0803278437781073E-2</v>
      </c>
      <c r="R16" s="112">
        <f>'GDP Growth Rates'!Q9/100</f>
        <v>2.8185029777591807E-2</v>
      </c>
      <c r="S16" s="112">
        <f>'GDP Growth Rates'!R9/100</f>
        <v>-2.6173964628203806E-2</v>
      </c>
      <c r="T16" s="112">
        <f>'GDP Growth Rates'!S9/100</f>
        <v>-2.0008610028578459E-2</v>
      </c>
      <c r="U16" s="112">
        <f>'GDP Growth Rates'!T9/100</f>
        <v>-9.9004848136463999E-2</v>
      </c>
      <c r="V16" s="112">
        <f>'GDP Growth Rates'!U9/100</f>
        <v>0.10441811988250564</v>
      </c>
      <c r="W16" s="112">
        <f>'GDP Growth Rates'!V9/100</f>
        <v>5.2698796738407196E-2</v>
      </c>
      <c r="X16" s="112">
        <f>'GDP Growth Rates'!W9/100</f>
        <v>-1.611001620901888E-2</v>
      </c>
      <c r="Y16" s="112">
        <f>'GDP Growth Rates'!X9/100</f>
        <v>-1.7191051472237717E-2</v>
      </c>
    </row>
    <row r="17" spans="2:25">
      <c r="B17" s="634" t="s">
        <v>387</v>
      </c>
      <c r="C17" s="635" t="s">
        <v>388</v>
      </c>
      <c r="D17" s="634" t="s">
        <v>405</v>
      </c>
      <c r="E17" s="635" t="s">
        <v>406</v>
      </c>
      <c r="F17" s="112">
        <f>'GDP Growth Rates'!E10/100</f>
        <v>0.13899999999113263</v>
      </c>
      <c r="G17" s="112">
        <f>'GDP Growth Rates'!F10/100</f>
        <v>0.13199999999466144</v>
      </c>
      <c r="H17" s="112">
        <f>'GDP Growth Rates'!G10/100</f>
        <v>0.13700000001546697</v>
      </c>
      <c r="I17" s="112">
        <f>'GDP Growth Rates'!H10/100</f>
        <v>6.9000000004295861E-2</v>
      </c>
      <c r="J17" s="112">
        <f>'GDP Growth Rates'!I10/100</f>
        <v>-0.14100000000699781</v>
      </c>
      <c r="K17" s="112">
        <f>'GDP Growth Rates'!J10/100</f>
        <v>2.2000000002150983E-2</v>
      </c>
      <c r="L17" s="112">
        <f>'GDP Growth Rates'!K10/100</f>
        <v>4.6999999986741162E-2</v>
      </c>
      <c r="M17" s="112">
        <f>'GDP Growth Rates'!L10/100</f>
        <v>7.2000000009648624E-2</v>
      </c>
      <c r="N17" s="112">
        <f>'GDP Growth Rates'!M10/100</f>
        <v>3.2999999999999974E-2</v>
      </c>
      <c r="O17" s="112">
        <f>'GDP Growth Rates'!N10/100</f>
        <v>3.6000000005899292E-2</v>
      </c>
      <c r="P17" s="112">
        <f>'GDP Growth Rates'!O10/100</f>
        <v>3.1999999989662485E-2</v>
      </c>
      <c r="Q17" s="112">
        <f>'GDP Growth Rates'!P10/100</f>
        <v>1.9999999982599093E-3</v>
      </c>
      <c r="R17" s="112">
        <f>'GDP Growth Rates'!Q10/100</f>
        <v>7.5000000016414395E-2</v>
      </c>
      <c r="S17" s="112">
        <f>'GDP Growth Rates'!R10/100</f>
        <v>5.1999999996532438E-2</v>
      </c>
      <c r="T17" s="112">
        <f>'GDP Growth Rates'!S10/100</f>
        <v>7.5999999985391753E-2</v>
      </c>
      <c r="U17" s="112">
        <f>'GDP Growth Rates'!T10/100</f>
        <v>-7.1999999992063121E-2</v>
      </c>
      <c r="V17" s="112">
        <f>'GDP Growth Rates'!U10/100</f>
        <v>5.8000000006564537E-2</v>
      </c>
      <c r="W17" s="112">
        <f>'GDP Growth Rates'!V10/100</f>
        <v>0.12599999999776629</v>
      </c>
      <c r="X17" s="112">
        <f>'GDP Growth Rates'!W10/100</f>
        <v>8.2999999995953852E-2</v>
      </c>
      <c r="Y17" s="112">
        <f>'GDP Growth Rates'!X10/100</f>
        <v>5.9000000004622848E-2</v>
      </c>
    </row>
    <row r="18" spans="2:25">
      <c r="B18" s="634" t="s">
        <v>387</v>
      </c>
      <c r="C18" s="635" t="s">
        <v>388</v>
      </c>
      <c r="D18" s="634" t="s">
        <v>407</v>
      </c>
      <c r="E18" s="635" t="s">
        <v>408</v>
      </c>
      <c r="F18" s="112">
        <f>'GDP Growth Rates'!E11/100</f>
        <v>-3.8313767206376781E-3</v>
      </c>
      <c r="G18" s="112">
        <f>'GDP Growth Rates'!F11/100</f>
        <v>1.1274114641162356E-2</v>
      </c>
      <c r="H18" s="112">
        <f>'GDP Growth Rates'!G11/100</f>
        <v>3.0895443848508963E-2</v>
      </c>
      <c r="I18" s="112">
        <f>'GDP Growth Rates'!H11/100</f>
        <v>1.835755171913675E-2</v>
      </c>
      <c r="J18" s="112">
        <f>'GDP Growth Rates'!I11/100</f>
        <v>-0.11677741369385189</v>
      </c>
      <c r="K18" s="112">
        <f>'GDP Growth Rates'!J11/100</f>
        <v>-2.733456792506388E-2</v>
      </c>
      <c r="L18" s="112">
        <f>'GDP Growth Rates'!K11/100</f>
        <v>3.3692371842151091E-2</v>
      </c>
      <c r="M18" s="112">
        <f>'GDP Growth Rates'!L11/100</f>
        <v>-1.0407998843668338E-2</v>
      </c>
      <c r="N18" s="112">
        <f>'GDP Growth Rates'!M11/100</f>
        <v>6.4314826041882184E-2</v>
      </c>
      <c r="O18" s="112">
        <f>'GDP Growth Rates'!N11/100</f>
        <v>-1.5865751381723497E-2</v>
      </c>
      <c r="P18" s="112">
        <f>'GDP Growth Rates'!O11/100</f>
        <v>-6.2362590237124496E-3</v>
      </c>
      <c r="Q18" s="112">
        <f>'GDP Growth Rates'!P11/100</f>
        <v>1.7196249798944196E-2</v>
      </c>
      <c r="R18" s="112">
        <f>'GDP Growth Rates'!Q11/100</f>
        <v>7.04853338603499E-2</v>
      </c>
      <c r="S18" s="112">
        <f>'GDP Growth Rates'!R11/100</f>
        <v>2.3970861998132306E-2</v>
      </c>
      <c r="T18" s="112">
        <f>'GDP Growth Rates'!S11/100</f>
        <v>-2.2324420265186832E-2</v>
      </c>
      <c r="U18" s="112">
        <f>'GDP Growth Rates'!T11/100</f>
        <v>-0.26211820214516945</v>
      </c>
      <c r="V18" s="112">
        <f>'GDP Growth Rates'!U11/100</f>
        <v>0.24132627356979783</v>
      </c>
      <c r="W18" s="112">
        <f>'GDP Growth Rates'!V11/100</f>
        <v>8.5179181051754538E-2</v>
      </c>
      <c r="X18" s="112">
        <f>'GDP Growth Rates'!W11/100</f>
        <v>4.2637194145294759E-2</v>
      </c>
      <c r="Y18" s="112" t="e">
        <f>'GDP Growth Rates'!X11/100</f>
        <v>#VALUE!</v>
      </c>
    </row>
    <row r="19" spans="2:25">
      <c r="B19" s="634" t="s">
        <v>387</v>
      </c>
      <c r="C19" s="635" t="s">
        <v>388</v>
      </c>
      <c r="D19" s="634" t="s">
        <v>409</v>
      </c>
      <c r="E19" s="635" t="s">
        <v>410</v>
      </c>
      <c r="F19" s="112">
        <f>'GDP Growth Rates'!E12/100</f>
        <v>3.1541675318422051E-2</v>
      </c>
      <c r="G19" s="112">
        <f>'GDP Growth Rates'!F12/100</f>
        <v>2.7553461055722719E-2</v>
      </c>
      <c r="H19" s="112">
        <f>'GDP Growth Rates'!G12/100</f>
        <v>3.7733217130356565E-2</v>
      </c>
      <c r="I19" s="112">
        <f>'GDP Growth Rates'!H12/100</f>
        <v>3.5862669522604591E-2</v>
      </c>
      <c r="J19" s="112">
        <f>'GDP Growth Rates'!I12/100</f>
        <v>1.8925558192254926E-2</v>
      </c>
      <c r="K19" s="112">
        <f>'GDP Growth Rates'!J12/100</f>
        <v>2.2199802653654926E-2</v>
      </c>
      <c r="L19" s="112">
        <f>'GDP Growth Rates'!K12/100</f>
        <v>2.4070801829198841E-2</v>
      </c>
      <c r="M19" s="112">
        <f>'GDP Growth Rates'!L12/100</f>
        <v>3.916709424540727E-2</v>
      </c>
      <c r="N19" s="112">
        <f>'GDP Growth Rates'!M12/100</f>
        <v>2.6021933943655852E-2</v>
      </c>
      <c r="O19" s="112">
        <f>'GDP Growth Rates'!N12/100</f>
        <v>2.5952841159404157E-2</v>
      </c>
      <c r="P19" s="112">
        <f>'GDP Growth Rates'!O12/100</f>
        <v>2.1901692869522121E-2</v>
      </c>
      <c r="Q19" s="112">
        <f>'GDP Growth Rates'!P12/100</f>
        <v>2.7593859723838959E-2</v>
      </c>
      <c r="R19" s="112">
        <f>'GDP Growth Rates'!Q12/100</f>
        <v>2.2795917982034269E-2</v>
      </c>
      <c r="S19" s="112">
        <f>'GDP Growth Rates'!R12/100</f>
        <v>2.8784697146788288E-2</v>
      </c>
      <c r="T19" s="112">
        <f>'GDP Growth Rates'!S12/100</f>
        <v>2.1715450573717588E-2</v>
      </c>
      <c r="U19" s="112">
        <f>'GDP Growth Rates'!T12/100</f>
        <v>-1.1959073582997349E-3</v>
      </c>
      <c r="V19" s="112">
        <f>'GDP Growth Rates'!U12/100</f>
        <v>2.1111681476878631E-2</v>
      </c>
      <c r="W19" s="112">
        <f>'GDP Growth Rates'!V12/100</f>
        <v>4.2423855533613872E-2</v>
      </c>
      <c r="X19" s="112">
        <f>'GDP Growth Rates'!W12/100</f>
        <v>3.4419922000902547E-2</v>
      </c>
      <c r="Y19" s="112">
        <f>'GDP Growth Rates'!X12/100</f>
        <v>1.4311125201703022E-2</v>
      </c>
    </row>
    <row r="20" spans="2:25">
      <c r="B20" s="634" t="s">
        <v>387</v>
      </c>
      <c r="C20" s="635" t="s">
        <v>388</v>
      </c>
      <c r="D20" s="634" t="s">
        <v>411</v>
      </c>
      <c r="E20" s="635" t="s">
        <v>412</v>
      </c>
      <c r="F20" s="112">
        <f>'GDP Growth Rates'!E13/100</f>
        <v>2.3203651426678251E-2</v>
      </c>
      <c r="G20" s="112">
        <f>'GDP Growth Rates'!F13/100</f>
        <v>3.2693360150605887E-2</v>
      </c>
      <c r="H20" s="112">
        <f>'GDP Growth Rates'!G13/100</f>
        <v>3.7752246872918532E-2</v>
      </c>
      <c r="I20" s="112">
        <f>'GDP Growth Rates'!H13/100</f>
        <v>1.453305621421137E-2</v>
      </c>
      <c r="J20" s="112">
        <f>'GDP Growth Rates'!I13/100</f>
        <v>-3.5862647255129901E-2</v>
      </c>
      <c r="K20" s="112">
        <f>'GDP Growth Rates'!J13/100</f>
        <v>1.808982430436629E-2</v>
      </c>
      <c r="L20" s="112">
        <f>'GDP Growth Rates'!K13/100</f>
        <v>2.9274680016914516E-2</v>
      </c>
      <c r="M20" s="112">
        <f>'GDP Growth Rates'!L13/100</f>
        <v>6.2824623947963683E-3</v>
      </c>
      <c r="N20" s="112">
        <f>'GDP Growth Rates'!M13/100</f>
        <v>-2.5072642331845428E-3</v>
      </c>
      <c r="O20" s="112">
        <f>'GDP Growth Rates'!N13/100</f>
        <v>7.5579885031666549E-3</v>
      </c>
      <c r="P20" s="112">
        <f>'GDP Growth Rates'!O13/100</f>
        <v>1.3035233182619805E-2</v>
      </c>
      <c r="Q20" s="112">
        <f>'GDP Growth Rates'!P13/100</f>
        <v>2.1172196449431198E-2</v>
      </c>
      <c r="R20" s="112">
        <f>'GDP Growth Rates'!Q13/100</f>
        <v>2.2722499203820662E-2</v>
      </c>
      <c r="S20" s="112">
        <f>'GDP Growth Rates'!R13/100</f>
        <v>2.484221140800244E-2</v>
      </c>
      <c r="T20" s="112">
        <f>'GDP Growth Rates'!S13/100</f>
        <v>1.7549761964928762E-2</v>
      </c>
      <c r="U20" s="112">
        <f>'GDP Growth Rates'!T13/100</f>
        <v>-6.3182550920993633E-2</v>
      </c>
      <c r="V20" s="112">
        <f>'GDP Growth Rates'!U13/100</f>
        <v>4.7953288569954254E-2</v>
      </c>
      <c r="W20" s="112">
        <f>'GDP Growth Rates'!V13/100</f>
        <v>5.2778944853865827E-2</v>
      </c>
      <c r="X20" s="112">
        <f>'GDP Growth Rates'!W13/100</f>
        <v>-9.5496252938912108E-3</v>
      </c>
      <c r="Y20" s="112">
        <f>'GDP Growth Rates'!X13/100</f>
        <v>-1.1735405355218801E-2</v>
      </c>
    </row>
    <row r="21" spans="2:25">
      <c r="B21" s="634" t="s">
        <v>387</v>
      </c>
      <c r="C21" s="635" t="s">
        <v>388</v>
      </c>
      <c r="D21" s="634" t="s">
        <v>413</v>
      </c>
      <c r="E21" s="635" t="s">
        <v>414</v>
      </c>
      <c r="F21" s="112">
        <f>'GDP Growth Rates'!E14/100</f>
        <v>0.2796153806852435</v>
      </c>
      <c r="G21" s="112">
        <f>'GDP Growth Rates'!F14/100</f>
        <v>0.34466209363795569</v>
      </c>
      <c r="H21" s="112">
        <f>'GDP Growth Rates'!G14/100</f>
        <v>0.25463215906121661</v>
      </c>
      <c r="I21" s="112">
        <f>'GDP Growth Rates'!H14/100</f>
        <v>0.10591437294393045</v>
      </c>
      <c r="J21" s="112">
        <f>'GDP Growth Rates'!I14/100</f>
        <v>9.3695027841860248E-2</v>
      </c>
      <c r="K21" s="112">
        <f>'GDP Growth Rates'!J14/100</f>
        <v>4.7888327097977024E-2</v>
      </c>
      <c r="L21" s="112">
        <f>'GDP Growth Rates'!K14/100</f>
        <v>-1.572997621083843E-2</v>
      </c>
      <c r="M21" s="112">
        <f>'GDP Growth Rates'!L14/100</f>
        <v>2.2029390226780948E-2</v>
      </c>
      <c r="N21" s="112">
        <f>'GDP Growth Rates'!M14/100</f>
        <v>5.843415762372544E-2</v>
      </c>
      <c r="O21" s="112">
        <f>'GDP Growth Rates'!N14/100</f>
        <v>2.7975854340362788E-2</v>
      </c>
      <c r="P21" s="112">
        <f>'GDP Growth Rates'!O14/100</f>
        <v>1.0495463680440196E-2</v>
      </c>
      <c r="Q21" s="112">
        <f>'GDP Growth Rates'!P14/100</f>
        <v>-3.0635984535124408E-2</v>
      </c>
      <c r="R21" s="112">
        <f>'GDP Growth Rates'!Q14/100</f>
        <v>1.5361464668615099E-3</v>
      </c>
      <c r="S21" s="112">
        <f>'GDP Growth Rates'!R14/100</f>
        <v>1.5004017069940971E-2</v>
      </c>
      <c r="T21" s="112">
        <f>'GDP Growth Rates'!S14/100</f>
        <v>2.4798089344393759E-2</v>
      </c>
      <c r="U21" s="112">
        <f>'GDP Growth Rates'!T14/100</f>
        <v>-4.1989607923123201E-2</v>
      </c>
      <c r="V21" s="112">
        <f>'GDP Growth Rates'!U14/100</f>
        <v>5.6164402686064395E-2</v>
      </c>
      <c r="W21" s="112">
        <f>'GDP Growth Rates'!V14/100</f>
        <v>4.7146803785754372E-2</v>
      </c>
      <c r="X21" s="112">
        <f>'GDP Growth Rates'!W14/100</f>
        <v>1.3544773175544691E-2</v>
      </c>
      <c r="Y21" s="112">
        <f>'GDP Growth Rates'!X14/100</f>
        <v>4.071402105446538E-2</v>
      </c>
    </row>
    <row r="22" spans="2:25">
      <c r="B22" s="634" t="s">
        <v>387</v>
      </c>
      <c r="C22" s="635" t="s">
        <v>388</v>
      </c>
      <c r="D22" s="634" t="s">
        <v>415</v>
      </c>
      <c r="E22" s="635" t="s">
        <v>416</v>
      </c>
      <c r="F22" s="112">
        <f>'GDP Growth Rates'!E15/100</f>
        <v>3.3960842053601115E-2</v>
      </c>
      <c r="G22" s="112">
        <f>'GDP Growth Rates'!F15/100</f>
        <v>2.516592217127055E-2</v>
      </c>
      <c r="H22" s="112">
        <f>'GDP Growth Rates'!G15/100</f>
        <v>1.4460999123575817E-2</v>
      </c>
      <c r="I22" s="112">
        <f>'GDP Growth Rates'!H15/100</f>
        <v>-2.3236480704185141E-2</v>
      </c>
      <c r="J22" s="112">
        <f>'GDP Growth Rates'!I15/100</f>
        <v>-4.1754280564734216E-2</v>
      </c>
      <c r="K22" s="112">
        <f>'GDP Growth Rates'!J15/100</f>
        <v>1.5386624869383496E-2</v>
      </c>
      <c r="L22" s="112">
        <f>'GDP Growth Rates'!K15/100</f>
        <v>6.1317073589064819E-3</v>
      </c>
      <c r="M22" s="112">
        <f>'GDP Growth Rates'!L15/100</f>
        <v>4.5201241028963036E-2</v>
      </c>
      <c r="N22" s="112">
        <f>'GDP Growth Rates'!M15/100</f>
        <v>-2.8632800299449316E-2</v>
      </c>
      <c r="O22" s="112">
        <f>'GDP Growth Rates'!N15/100</f>
        <v>1.8473059422066312E-2</v>
      </c>
      <c r="P22" s="112">
        <f>'GDP Growth Rates'!O15/100</f>
        <v>9.9674894324168414E-3</v>
      </c>
      <c r="Q22" s="112">
        <f>'GDP Growth Rates'!P15/100</f>
        <v>-1.1562670375339933E-2</v>
      </c>
      <c r="R22" s="112">
        <f>'GDP Growth Rates'!Q15/100</f>
        <v>3.371236486112679E-2</v>
      </c>
      <c r="S22" s="112">
        <f>'GDP Growth Rates'!R15/100</f>
        <v>2.3985200060388366E-2</v>
      </c>
      <c r="T22" s="112">
        <f>'GDP Growth Rates'!S15/100</f>
        <v>-8.3905130101315714E-3</v>
      </c>
      <c r="U22" s="112">
        <f>'GDP Growth Rates'!T15/100</f>
        <v>-0.20089555432484146</v>
      </c>
      <c r="V22" s="112">
        <f>'GDP Growth Rates'!U15/100</f>
        <v>0.17586897369156801</v>
      </c>
      <c r="W22" s="112">
        <f>'GDP Growth Rates'!V15/100</f>
        <v>0.10877455014596762</v>
      </c>
      <c r="X22" s="112">
        <f>'GDP Growth Rates'!W15/100</f>
        <v>3.048774962850203E-2</v>
      </c>
      <c r="Y22" s="112">
        <f>'GDP Growth Rates'!X15/100</f>
        <v>3.3785066074614602E-2</v>
      </c>
    </row>
    <row r="23" spans="2:25">
      <c r="B23" s="634" t="s">
        <v>387</v>
      </c>
      <c r="C23" s="635" t="s">
        <v>388</v>
      </c>
      <c r="D23" s="634" t="s">
        <v>417</v>
      </c>
      <c r="E23" s="635" t="s">
        <v>418</v>
      </c>
      <c r="F23" s="112">
        <f>'GDP Growth Rates'!E16/100</f>
        <v>6.7689973778950197E-2</v>
      </c>
      <c r="G23" s="112">
        <f>'GDP Growth Rates'!F16/100</f>
        <v>6.466999519504199E-2</v>
      </c>
      <c r="H23" s="112">
        <f>'GDP Growth Rates'!G16/100</f>
        <v>8.2939612909384272E-2</v>
      </c>
      <c r="I23" s="112">
        <f>'GDP Growth Rates'!H16/100</f>
        <v>6.2450109499579722E-2</v>
      </c>
      <c r="J23" s="112">
        <f>'GDP Growth Rates'!I16/100</f>
        <v>2.53988570158225E-2</v>
      </c>
      <c r="K23" s="112">
        <f>'GDP Growth Rates'!J16/100</f>
        <v>4.3342989754845004E-2</v>
      </c>
      <c r="L23" s="112">
        <f>'GDP Growth Rates'!K16/100</f>
        <v>1.9281579117079558E-2</v>
      </c>
      <c r="M23" s="112">
        <f>'GDP Growth Rates'!L16/100</f>
        <v>3.8030289904306187E-2</v>
      </c>
      <c r="N23" s="112">
        <f>'GDP Growth Rates'!M16/100</f>
        <v>5.2926222490620345E-2</v>
      </c>
      <c r="O23" s="112">
        <f>'GDP Growth Rates'!N16/100</f>
        <v>4.3088569265707692E-2</v>
      </c>
      <c r="P23" s="112">
        <f>'GDP Growth Rates'!O16/100</f>
        <v>2.5078720526761487E-2</v>
      </c>
      <c r="Q23" s="112">
        <f>'GDP Growth Rates'!P16/100</f>
        <v>3.8149932742242501E-2</v>
      </c>
      <c r="R23" s="112">
        <f>'GDP Growth Rates'!Q16/100</f>
        <v>4.9538353412365697E-2</v>
      </c>
      <c r="S23" s="112">
        <f>'GDP Growth Rates'!R16/100</f>
        <v>2.052588649798608E-2</v>
      </c>
      <c r="T23" s="112">
        <f>'GDP Growth Rates'!S16/100</f>
        <v>2.0528777441865459E-2</v>
      </c>
      <c r="U23" s="112">
        <f>'GDP Growth Rates'!T16/100</f>
        <v>-5.9113629524152028E-2</v>
      </c>
      <c r="V23" s="112">
        <f>'GDP Growth Rates'!U16/100</f>
        <v>4.3500409166898638E-2</v>
      </c>
      <c r="W23" s="112">
        <f>'GDP Growth Rates'!V16/100</f>
        <v>6.1801612547518515E-2</v>
      </c>
      <c r="X23" s="112">
        <f>'GDP Growth Rates'!W16/100</f>
        <v>3.8781161484556605E-2</v>
      </c>
      <c r="Y23" s="112">
        <f>'GDP Growth Rates'!X16/100</f>
        <v>3.017248390927392E-2</v>
      </c>
    </row>
    <row r="24" spans="2:25">
      <c r="B24" s="634" t="s">
        <v>387</v>
      </c>
      <c r="C24" s="635" t="s">
        <v>388</v>
      </c>
      <c r="D24" s="634" t="s">
        <v>419</v>
      </c>
      <c r="E24" s="635" t="s">
        <v>420</v>
      </c>
      <c r="F24" s="112">
        <f>'GDP Growth Rates'!E17/100</f>
        <v>6.5359449387550228E-2</v>
      </c>
      <c r="G24" s="112">
        <f>'GDP Growth Rates'!F17/100</f>
        <v>6.6719049857678805E-2</v>
      </c>
      <c r="H24" s="112">
        <f>'GDP Growth Rates'!G17/100</f>
        <v>7.0585993544984835E-2</v>
      </c>
      <c r="I24" s="112">
        <f>'GDP Growth Rates'!H17/100</f>
        <v>6.0137897573853537E-2</v>
      </c>
      <c r="J24" s="112">
        <f>'GDP Growth Rates'!I17/100</f>
        <v>5.0451247991933741E-2</v>
      </c>
      <c r="K24" s="112">
        <f>'GDP Growth Rates'!J17/100</f>
        <v>5.5717881853312147E-2</v>
      </c>
      <c r="L24" s="112">
        <f>'GDP Growth Rates'!K17/100</f>
        <v>6.4643791249772847E-2</v>
      </c>
      <c r="M24" s="112">
        <f>'GDP Growth Rates'!L17/100</f>
        <v>6.5214587790644318E-2</v>
      </c>
      <c r="N24" s="112">
        <f>'GDP Growth Rates'!M17/100</f>
        <v>6.013605658343437E-2</v>
      </c>
      <c r="O24" s="112">
        <f>'GDP Growth Rates'!N17/100</f>
        <v>6.0610593588495049E-2</v>
      </c>
      <c r="P24" s="112">
        <f>'GDP Growth Rates'!O17/100</f>
        <v>6.5526398781619685E-2</v>
      </c>
      <c r="Q24" s="112">
        <f>'GDP Growth Rates'!P17/100</f>
        <v>7.1134782127009258E-2</v>
      </c>
      <c r="R24" s="112">
        <f>'GDP Growth Rates'!Q17/100</f>
        <v>6.590249997940574E-2</v>
      </c>
      <c r="S24" s="112">
        <f>'GDP Growth Rates'!R17/100</f>
        <v>7.3194126301413573E-2</v>
      </c>
      <c r="T24" s="112">
        <f>'GDP Growth Rates'!S17/100</f>
        <v>7.8819151511772254E-2</v>
      </c>
      <c r="U24" s="112">
        <f>'GDP Growth Rates'!T17/100</f>
        <v>3.4480175512244526E-2</v>
      </c>
      <c r="V24" s="112">
        <f>'GDP Growth Rates'!U17/100</f>
        <v>6.9386791244244531E-2</v>
      </c>
      <c r="W24" s="112">
        <f>'GDP Growth Rates'!V17/100</f>
        <v>7.0998287757515752E-2</v>
      </c>
      <c r="X24" s="112">
        <f>'GDP Growth Rates'!W17/100</f>
        <v>5.7751123700788866E-2</v>
      </c>
      <c r="Y24" s="112">
        <f>'GDP Growth Rates'!X17/100</f>
        <v>4.2232591125016088E-2</v>
      </c>
    </row>
    <row r="25" spans="2:25">
      <c r="B25" s="634" t="s">
        <v>387</v>
      </c>
      <c r="C25" s="635" t="s">
        <v>388</v>
      </c>
      <c r="D25" s="634" t="s">
        <v>421</v>
      </c>
      <c r="E25" s="635" t="s">
        <v>422</v>
      </c>
      <c r="F25" s="112">
        <f>'GDP Growth Rates'!E18/100</f>
        <v>3.9554572075761317E-2</v>
      </c>
      <c r="G25" s="112">
        <f>'GDP Growth Rates'!F18/100</f>
        <v>6.0705462167351953E-2</v>
      </c>
      <c r="H25" s="112">
        <f>'GDP Growth Rates'!G18/100</f>
        <v>2.0791838625887918E-2</v>
      </c>
      <c r="I25" s="112">
        <f>'GDP Growth Rates'!H18/100</f>
        <v>6.334605908593147E-3</v>
      </c>
      <c r="J25" s="112">
        <f>'GDP Growth Rates'!I18/100</f>
        <v>-5.0172753825090267E-2</v>
      </c>
      <c r="K25" s="112">
        <f>'GDP Growth Rates'!J18/100</f>
        <v>-2.2177108562822668E-2</v>
      </c>
      <c r="L25" s="112">
        <f>'GDP Growth Rates'!K18/100</f>
        <v>-7.3143455865010767E-3</v>
      </c>
      <c r="M25" s="112">
        <f>'GDP Growth Rates'!L18/100</f>
        <v>-3.1331115107960271E-3</v>
      </c>
      <c r="N25" s="112">
        <f>'GDP Growth Rates'!M18/100</f>
        <v>-1.0103818461817156E-2</v>
      </c>
      <c r="O25" s="112">
        <f>'GDP Growth Rates'!N18/100</f>
        <v>8.2405477814020858E-4</v>
      </c>
      <c r="P25" s="112">
        <f>'GDP Growth Rates'!O18/100</f>
        <v>-8.4609852135632477E-3</v>
      </c>
      <c r="Q25" s="112">
        <f>'GDP Growth Rates'!P18/100</f>
        <v>1.791930334312667E-2</v>
      </c>
      <c r="R25" s="112">
        <f>'GDP Growth Rates'!Q18/100</f>
        <v>1.2844600157031038E-3</v>
      </c>
      <c r="S25" s="112">
        <f>'GDP Growth Rates'!R18/100</f>
        <v>-1.1740650937381929E-2</v>
      </c>
      <c r="T25" s="112">
        <f>'GDP Growth Rates'!S18/100</f>
        <v>6.5258541769841827E-3</v>
      </c>
      <c r="U25" s="112">
        <f>'GDP Growth Rates'!T18/100</f>
        <v>-0.1505436294958919</v>
      </c>
      <c r="V25" s="112">
        <f>'GDP Growth Rates'!U18/100</f>
        <v>-2.549658802165311E-3</v>
      </c>
      <c r="W25" s="112">
        <f>'GDP Growth Rates'!V18/100</f>
        <v>0.17832863025132695</v>
      </c>
      <c r="X25" s="112">
        <f>'GDP Growth Rates'!W18/100</f>
        <v>4.0938201097057175E-2</v>
      </c>
      <c r="Y25" s="112">
        <f>'GDP Growth Rates'!X18/100</f>
        <v>3.8000003189674343E-2</v>
      </c>
    </row>
    <row r="26" spans="2:25">
      <c r="B26" s="634" t="s">
        <v>387</v>
      </c>
      <c r="C26" s="635" t="s">
        <v>388</v>
      </c>
      <c r="D26" s="634" t="s">
        <v>423</v>
      </c>
      <c r="E26" s="635" t="s">
        <v>424</v>
      </c>
      <c r="F26" s="112">
        <f>'GDP Growth Rates'!E19/100</f>
        <v>9.4000015256880259E-2</v>
      </c>
      <c r="G26" s="112">
        <f>'GDP Growth Rates'!F19/100</f>
        <v>9.9999947182092083E-2</v>
      </c>
      <c r="H26" s="112">
        <f>'GDP Growth Rates'!G19/100</f>
        <v>8.6000066010841467E-2</v>
      </c>
      <c r="I26" s="112">
        <f>'GDP Growth Rates'!H19/100</f>
        <v>0.10199999520449211</v>
      </c>
      <c r="J26" s="112">
        <f>'GDP Growth Rates'!I19/100</f>
        <v>1.9999521454772662E-3</v>
      </c>
      <c r="K26" s="112">
        <f>'GDP Growth Rates'!J19/100</f>
        <v>7.7500170664920057E-2</v>
      </c>
      <c r="L26" s="112">
        <f>'GDP Growth Rates'!K19/100</f>
        <v>5.5499747229649191E-2</v>
      </c>
      <c r="M26" s="112">
        <f>'GDP Growth Rates'!L19/100</f>
        <v>1.7078525698542818E-2</v>
      </c>
      <c r="N26" s="112">
        <f>'GDP Growth Rates'!M19/100</f>
        <v>9.9871927865898165E-3</v>
      </c>
      <c r="O26" s="112">
        <f>'GDP Growth Rates'!N19/100</f>
        <v>1.6511246852446818E-2</v>
      </c>
      <c r="P26" s="112">
        <f>'GDP Growth Rates'!O19/100</f>
        <v>-3.8295705582836209E-2</v>
      </c>
      <c r="Q26" s="112">
        <f>'GDP Growth Rates'!P19/100</f>
        <v>-2.5264464355237663E-2</v>
      </c>
      <c r="R26" s="112">
        <f>'GDP Growth Rates'!Q19/100</f>
        <v>2.5321835002300758E-2</v>
      </c>
      <c r="S26" s="112">
        <f>'GDP Growth Rates'!R19/100</f>
        <v>3.1491975937496759E-2</v>
      </c>
      <c r="T26" s="112">
        <f>'GDP Growth Rates'!S19/100</f>
        <v>1.4464554769185014E-2</v>
      </c>
      <c r="U26" s="112">
        <f>'GDP Growth Rates'!T19/100</f>
        <v>-6.7274295062424013E-3</v>
      </c>
      <c r="V26" s="112">
        <f>'GDP Growth Rates'!U19/100</f>
        <v>2.4388621239682207E-2</v>
      </c>
      <c r="W26" s="112">
        <f>'GDP Growth Rates'!V19/100</f>
        <v>-4.6583959157358523E-2</v>
      </c>
      <c r="X26" s="112">
        <f>'GDP Growth Rates'!W19/100</f>
        <v>4.1265400715388124E-2</v>
      </c>
      <c r="Y26" s="112">
        <f>'GDP Growth Rates'!X19/100</f>
        <v>4.0098485246545156E-2</v>
      </c>
    </row>
    <row r="27" spans="2:25">
      <c r="B27" s="634" t="s">
        <v>387</v>
      </c>
      <c r="C27" s="635" t="s">
        <v>388</v>
      </c>
      <c r="D27" s="634" t="s">
        <v>425</v>
      </c>
      <c r="E27" s="635" t="s">
        <v>426</v>
      </c>
      <c r="F27" s="112">
        <f>'GDP Growth Rates'!E20/100</f>
        <v>2.3217379291183421E-2</v>
      </c>
      <c r="G27" s="112">
        <f>'GDP Growth Rates'!F20/100</f>
        <v>2.5523408732246223E-2</v>
      </c>
      <c r="H27" s="112">
        <f>'GDP Growth Rates'!G20/100</f>
        <v>3.6769246251580227E-2</v>
      </c>
      <c r="I27" s="112">
        <f>'GDP Growth Rates'!H20/100</f>
        <v>4.4690513072723091E-3</v>
      </c>
      <c r="J27" s="112">
        <f>'GDP Growth Rates'!I20/100</f>
        <v>-1.9064410551533514E-2</v>
      </c>
      <c r="K27" s="112">
        <f>'GDP Growth Rates'!J20/100</f>
        <v>2.7103115025466168E-2</v>
      </c>
      <c r="L27" s="112">
        <f>'GDP Growth Rates'!K20/100</f>
        <v>1.9311550241132524E-2</v>
      </c>
      <c r="M27" s="112">
        <f>'GDP Growth Rates'!L20/100</f>
        <v>2.1580361208974352E-3</v>
      </c>
      <c r="N27" s="112">
        <f>'GDP Growth Rates'!M20/100</f>
        <v>3.0549454907023233E-3</v>
      </c>
      <c r="O27" s="112">
        <f>'GDP Growth Rates'!N20/100</f>
        <v>1.7655403814992355E-2</v>
      </c>
      <c r="P27" s="112">
        <f>'GDP Growth Rates'!O20/100</f>
        <v>1.474164337319266E-2</v>
      </c>
      <c r="Q27" s="112">
        <f>'GDP Growth Rates'!P20/100</f>
        <v>1.1935027300775402E-2</v>
      </c>
      <c r="R27" s="112">
        <f>'GDP Growth Rates'!Q20/100</f>
        <v>1.4744676155678461E-2</v>
      </c>
      <c r="S27" s="112">
        <f>'GDP Growth Rates'!R20/100</f>
        <v>1.8779684738356509E-2</v>
      </c>
      <c r="T27" s="112">
        <f>'GDP Growth Rates'!S20/100</f>
        <v>2.4428900448155984E-2</v>
      </c>
      <c r="U27" s="112">
        <f>'GDP Growth Rates'!T20/100</f>
        <v>-4.7929839083518007E-2</v>
      </c>
      <c r="V27" s="112">
        <f>'GDP Growth Rates'!U20/100</f>
        <v>6.2075998127443056E-2</v>
      </c>
      <c r="W27" s="112">
        <f>'GDP Growth Rates'!V20/100</f>
        <v>4.2593607365269008E-2</v>
      </c>
      <c r="X27" s="112">
        <f>'GDP Growth Rates'!W20/100</f>
        <v>1.201691781996999E-2</v>
      </c>
      <c r="Y27" s="112">
        <f>'GDP Growth Rates'!X20/100</f>
        <v>1.0188986250612401E-2</v>
      </c>
    </row>
    <row r="28" spans="2:25">
      <c r="B28" s="634" t="s">
        <v>387</v>
      </c>
      <c r="C28" s="635" t="s">
        <v>388</v>
      </c>
      <c r="D28" s="634" t="s">
        <v>427</v>
      </c>
      <c r="E28" s="635" t="s">
        <v>428</v>
      </c>
      <c r="F28" s="112">
        <f>'GDP Growth Rates'!E21/100</f>
        <v>2.2195388419297329E-2</v>
      </c>
      <c r="G28" s="112">
        <f>'GDP Growth Rates'!F21/100</f>
        <v>4.5114473758226976E-2</v>
      </c>
      <c r="H28" s="112">
        <f>'GDP Growth Rates'!G21/100</f>
        <v>3.3532482910813288E-2</v>
      </c>
      <c r="I28" s="112">
        <f>'GDP Growth Rates'!H21/100</f>
        <v>-1.6821164462035229E-2</v>
      </c>
      <c r="J28" s="112">
        <f>'GDP Growth Rates'!I21/100</f>
        <v>-3.8932146829810678E-3</v>
      </c>
      <c r="K28" s="112">
        <f>'GDP Growth Rates'!J21/100</f>
        <v>1.1140357874026136E-2</v>
      </c>
      <c r="L28" s="112">
        <f>'GDP Growth Rates'!K21/100</f>
        <v>-2.4454378122534593E-3</v>
      </c>
      <c r="M28" s="112">
        <f>'GDP Growth Rates'!L21/100</f>
        <v>3.7377757861718097E-2</v>
      </c>
      <c r="N28" s="112">
        <f>'GDP Growth Rates'!M21/100</f>
        <v>4.4543260068606261E-2</v>
      </c>
      <c r="O28" s="112">
        <f>'GDP Growth Rates'!N21/100</f>
        <v>4.0308455775031719E-2</v>
      </c>
      <c r="P28" s="112">
        <f>'GDP Growth Rates'!O21/100</f>
        <v>2.8761837951595908E-2</v>
      </c>
      <c r="Q28" s="112">
        <f>'GDP Growth Rates'!P21/100</f>
        <v>5.4551653597002315E-4</v>
      </c>
      <c r="R28" s="112">
        <f>'GDP Growth Rates'!Q21/100</f>
        <v>-1.812853540516585E-2</v>
      </c>
      <c r="S28" s="112">
        <f>'GDP Growth Rates'!R21/100</f>
        <v>1.1105712500867497E-2</v>
      </c>
      <c r="T28" s="112">
        <f>'GDP Growth Rates'!S21/100</f>
        <v>4.2676368961808604E-2</v>
      </c>
      <c r="U28" s="112">
        <f>'GDP Growth Rates'!T21/100</f>
        <v>-0.1390291006452179</v>
      </c>
      <c r="V28" s="112">
        <f>'GDP Growth Rates'!U21/100</f>
        <v>0.17746170120567911</v>
      </c>
      <c r="W28" s="112">
        <f>'GDP Growth Rates'!V21/100</f>
        <v>9.6529777238975781E-2</v>
      </c>
      <c r="X28" s="112">
        <f>'GDP Growth Rates'!W21/100</f>
        <v>1.1490168206586162E-2</v>
      </c>
      <c r="Y28" s="112">
        <f>'GDP Growth Rates'!X21/100</f>
        <v>8.151789827067972E-2</v>
      </c>
    </row>
    <row r="29" spans="2:25">
      <c r="B29" s="634" t="s">
        <v>387</v>
      </c>
      <c r="C29" s="635" t="s">
        <v>388</v>
      </c>
      <c r="D29" s="634" t="s">
        <v>429</v>
      </c>
      <c r="E29" s="635" t="s">
        <v>430</v>
      </c>
      <c r="F29" s="112">
        <f>'GDP Growth Rates'!E22/100</f>
        <v>1.7131645636118405E-2</v>
      </c>
      <c r="G29" s="112">
        <f>'GDP Growth Rates'!F22/100</f>
        <v>3.9437388281579756E-2</v>
      </c>
      <c r="H29" s="112">
        <f>'GDP Growth Rates'!G22/100</f>
        <v>5.9863493217760889E-2</v>
      </c>
      <c r="I29" s="112">
        <f>'GDP Growth Rates'!H22/100</f>
        <v>4.8965770842964676E-2</v>
      </c>
      <c r="J29" s="112">
        <f>'GDP Growth Rates'!I22/100</f>
        <v>2.3192921391283788E-2</v>
      </c>
      <c r="K29" s="112">
        <f>'GDP Growth Rates'!J22/100</f>
        <v>2.1140647264839173E-2</v>
      </c>
      <c r="L29" s="112">
        <f>'GDP Growth Rates'!K22/100</f>
        <v>2.9637529190420082E-2</v>
      </c>
      <c r="M29" s="112">
        <f>'GDP Growth Rates'!L22/100</f>
        <v>4.8112233156879965E-2</v>
      </c>
      <c r="N29" s="112">
        <f>'GDP Growth Rates'!M22/100</f>
        <v>7.191433721449457E-2</v>
      </c>
      <c r="O29" s="112">
        <f>'GDP Growth Rates'!N22/100</f>
        <v>6.3576790979193165E-2</v>
      </c>
      <c r="P29" s="112">
        <f>'GDP Growth Rates'!O22/100</f>
        <v>1.7781510603027753E-2</v>
      </c>
      <c r="Q29" s="112">
        <f>'GDP Growth Rates'!P22/100</f>
        <v>3.3396734262969262E-2</v>
      </c>
      <c r="R29" s="112">
        <f>'GDP Growth Rates'!Q22/100</f>
        <v>5.6715619515044439E-2</v>
      </c>
      <c r="S29" s="112">
        <f>'GDP Growth Rates'!R22/100</f>
        <v>6.6972536218088838E-2</v>
      </c>
      <c r="T29" s="112">
        <f>'GDP Growth Rates'!S22/100</f>
        <v>6.8656866284833459E-2</v>
      </c>
      <c r="U29" s="112">
        <f>'GDP Growth Rates'!T22/100</f>
        <v>3.8487924003013346E-2</v>
      </c>
      <c r="V29" s="112">
        <f>'GDP Growth Rates'!U22/100</f>
        <v>7.155451645757395E-2</v>
      </c>
      <c r="W29" s="112">
        <f>'GDP Growth Rates'!V22/100</f>
        <v>6.2529470537362505E-2</v>
      </c>
      <c r="X29" s="112">
        <f>'GDP Growth Rates'!W22/100</f>
        <v>6.3527773854441985E-2</v>
      </c>
      <c r="Y29" s="112">
        <f>'GDP Growth Rates'!X22/100</f>
        <v>7.4531156622620068E-2</v>
      </c>
    </row>
    <row r="30" spans="2:25">
      <c r="B30" s="634" t="s">
        <v>387</v>
      </c>
      <c r="C30" s="635" t="s">
        <v>388</v>
      </c>
      <c r="D30" s="634" t="s">
        <v>431</v>
      </c>
      <c r="E30" s="635" t="s">
        <v>432</v>
      </c>
      <c r="F30" s="112">
        <f>'GDP Growth Rates'!E23/100</f>
        <v>1.6742061141050753E-2</v>
      </c>
      <c r="G30" s="112">
        <f>'GDP Growth Rates'!F23/100</f>
        <v>5.5438663804406048E-2</v>
      </c>
      <c r="H30" s="112">
        <f>'GDP Growth Rates'!G23/100</f>
        <v>3.3451397087760737E-2</v>
      </c>
      <c r="I30" s="112">
        <f>'GDP Growth Rates'!H23/100</f>
        <v>-1.8659558263518648E-2</v>
      </c>
      <c r="J30" s="112">
        <f>'GDP Growth Rates'!I23/100</f>
        <v>-5.6266977105160973E-2</v>
      </c>
      <c r="K30" s="112">
        <f>'GDP Growth Rates'!J23/100</f>
        <v>-2.502878289473685E-2</v>
      </c>
      <c r="L30" s="112">
        <f>'GDP Growth Rates'!K23/100</f>
        <v>-3.7427443174070305E-2</v>
      </c>
      <c r="M30" s="112">
        <f>'GDP Growth Rates'!L23/100</f>
        <v>-5.3052991067529691E-2</v>
      </c>
      <c r="N30" s="112">
        <f>'GDP Growth Rates'!M23/100</f>
        <v>-2.7970854542303412E-3</v>
      </c>
      <c r="O30" s="112">
        <f>'GDP Growth Rates'!N23/100</f>
        <v>-3.701067593642577E-2</v>
      </c>
      <c r="P30" s="112">
        <f>'GDP Growth Rates'!O23/100</f>
        <v>7.7552969956897755E-3</v>
      </c>
      <c r="Q30" s="112">
        <f>'GDP Growth Rates'!P23/100</f>
        <v>-6.5720630425920492E-3</v>
      </c>
      <c r="R30" s="112">
        <f>'GDP Growth Rates'!Q23/100</f>
        <v>3.6114198370611493E-2</v>
      </c>
      <c r="S30" s="112">
        <f>'GDP Growth Rates'!R23/100</f>
        <v>-4.3280130033930674E-3</v>
      </c>
      <c r="T30" s="112">
        <f>'GDP Growth Rates'!S23/100</f>
        <v>3.0710646124066441E-3</v>
      </c>
      <c r="U30" s="112">
        <f>'GDP Growth Rates'!T23/100</f>
        <v>-6.8275730348017732E-2</v>
      </c>
      <c r="V30" s="112">
        <f>'GDP Growth Rates'!U23/100</f>
        <v>4.6074291710946937E-2</v>
      </c>
      <c r="W30" s="112">
        <f>'GDP Growth Rates'!V23/100</f>
        <v>6.476225711867073E-2</v>
      </c>
      <c r="X30" s="112">
        <f>'GDP Growth Rates'!W23/100</f>
        <v>4.9172155726416381E-2</v>
      </c>
      <c r="Y30" s="112">
        <f>'GDP Growth Rates'!X23/100</f>
        <v>2.1053688222023085E-2</v>
      </c>
    </row>
    <row r="31" spans="2:25">
      <c r="B31" s="634" t="s">
        <v>387</v>
      </c>
      <c r="C31" s="635" t="s">
        <v>388</v>
      </c>
      <c r="D31" s="634" t="s">
        <v>433</v>
      </c>
      <c r="E31" s="635" t="s">
        <v>434</v>
      </c>
      <c r="F31" s="112">
        <f>'GDP Growth Rates'!E24/100</f>
        <v>6.9350714676665884E-2</v>
      </c>
      <c r="G31" s="112">
        <f>'GDP Growth Rates'!F24/100</f>
        <v>5.6408051539139026E-2</v>
      </c>
      <c r="H31" s="112">
        <f>'GDP Growth Rates'!G24/100</f>
        <v>0.16104783654201241</v>
      </c>
      <c r="I31" s="112">
        <f>'GDP Growth Rates'!H24/100</f>
        <v>4.5294487769623547E-2</v>
      </c>
      <c r="J31" s="112">
        <f>'GDP Growth Rates'!I24/100</f>
        <v>7.6674923855313465E-2</v>
      </c>
      <c r="K31" s="112">
        <f>'GDP Growth Rates'!J24/100</f>
        <v>0.11931873837622931</v>
      </c>
      <c r="L31" s="112">
        <f>'GDP Growth Rates'!K24/100</f>
        <v>8.4892584842807969E-2</v>
      </c>
      <c r="M31" s="112">
        <f>'GDP Growth Rates'!L24/100</f>
        <v>5.1648201268389468E-2</v>
      </c>
      <c r="N31" s="112">
        <f>'GDP Growth Rates'!M24/100</f>
        <v>1.7363403950569279E-2</v>
      </c>
      <c r="O31" s="112">
        <f>'GDP Growth Rates'!N24/100</f>
        <v>5.8810855065828775E-2</v>
      </c>
      <c r="P31" s="112">
        <f>'GDP Growth Rates'!O24/100</f>
        <v>6.6608012886619716E-2</v>
      </c>
      <c r="Q31" s="112">
        <f>'GDP Growth Rates'!P24/100</f>
        <v>8.4759433923296254E-2</v>
      </c>
      <c r="R31" s="112">
        <f>'GDP Growth Rates'!Q24/100</f>
        <v>2.0868452273306703E-2</v>
      </c>
      <c r="S31" s="112">
        <f>'GDP Growth Rates'!R24/100</f>
        <v>3.5018718573273731E-2</v>
      </c>
      <c r="T31" s="112">
        <f>'GDP Growth Rates'!S24/100</f>
        <v>5.7551485124650553E-2</v>
      </c>
      <c r="U31" s="112">
        <f>'GDP Growth Rates'!T24/100</f>
        <v>-0.1021839742085686</v>
      </c>
      <c r="V31" s="112">
        <f>'GDP Growth Rates'!U24/100</f>
        <v>4.4213673894501537E-2</v>
      </c>
      <c r="W31" s="112">
        <f>'GDP Growth Rates'!V24/100</f>
        <v>5.2138678378622384E-2</v>
      </c>
      <c r="X31" s="112">
        <f>'GDP Growth Rates'!W24/100</f>
        <v>4.8825939625363191E-2</v>
      </c>
      <c r="Y31" s="112" t="e">
        <f>'GDP Growth Rates'!X24/100</f>
        <v>#VALUE!</v>
      </c>
    </row>
    <row r="32" spans="2:25">
      <c r="B32" s="634" t="s">
        <v>387</v>
      </c>
      <c r="C32" s="635" t="s">
        <v>388</v>
      </c>
      <c r="D32" s="634" t="s">
        <v>435</v>
      </c>
      <c r="E32" s="635" t="s">
        <v>436</v>
      </c>
      <c r="F32" s="112">
        <f>'GDP Growth Rates'!E25/100</f>
        <v>4.4214331268797903E-2</v>
      </c>
      <c r="G32" s="112">
        <f>'GDP Growth Rates'!F25/100</f>
        <v>4.7970088235606737E-2</v>
      </c>
      <c r="H32" s="112">
        <f>'GDP Growth Rates'!G25/100</f>
        <v>4.5643842688788683E-2</v>
      </c>
      <c r="I32" s="112">
        <f>'GDP Growth Rates'!H25/100</f>
        <v>6.1484978746216397E-2</v>
      </c>
      <c r="J32" s="112">
        <f>'GDP Growth Rates'!I25/100</f>
        <v>3.3569995743056469E-2</v>
      </c>
      <c r="K32" s="112">
        <f>'GDP Growth Rates'!J25/100</f>
        <v>4.126722591056705E-2</v>
      </c>
      <c r="L32" s="112">
        <f>'GDP Growth Rates'!K25/100</f>
        <v>5.2040924430859975E-2</v>
      </c>
      <c r="M32" s="112">
        <f>'GDP Growth Rates'!L25/100</f>
        <v>5.1222755809175735E-2</v>
      </c>
      <c r="N32" s="112">
        <f>'GDP Growth Rates'!M25/100</f>
        <v>6.7960114281084144E-2</v>
      </c>
      <c r="O32" s="112">
        <f>'GDP Growth Rates'!N25/100</f>
        <v>5.4605695063513621E-2</v>
      </c>
      <c r="P32" s="112">
        <f>'GDP Growth Rates'!O25/100</f>
        <v>4.8571871797141314E-2</v>
      </c>
      <c r="Q32" s="112">
        <f>'GDP Growth Rates'!P25/100</f>
        <v>4.2639208638211273E-2</v>
      </c>
      <c r="R32" s="112">
        <f>'GDP Growth Rates'!Q25/100</f>
        <v>4.1952063336039486E-2</v>
      </c>
      <c r="S32" s="112">
        <f>'GDP Growth Rates'!R25/100</f>
        <v>4.2236236527184445E-2</v>
      </c>
      <c r="T32" s="112">
        <f>'GDP Growth Rates'!S25/100</f>
        <v>2.2167056396103106E-2</v>
      </c>
      <c r="U32" s="112">
        <f>'GDP Growth Rates'!T25/100</f>
        <v>-8.7378843576993007E-2</v>
      </c>
      <c r="V32" s="112">
        <f>'GDP Growth Rates'!U25/100</f>
        <v>6.1113726971414623E-2</v>
      </c>
      <c r="W32" s="112">
        <f>'GDP Growth Rates'!V25/100</f>
        <v>3.6056804263363489E-2</v>
      </c>
      <c r="X32" s="112">
        <f>'GDP Growth Rates'!W25/100</f>
        <v>3.0819652104773068E-2</v>
      </c>
      <c r="Y32" s="112">
        <f>'GDP Growth Rates'!X25/100</f>
        <v>1.3846827897225182E-2</v>
      </c>
    </row>
    <row r="33" spans="2:25">
      <c r="B33" s="634" t="s">
        <v>387</v>
      </c>
      <c r="C33" s="635" t="s">
        <v>388</v>
      </c>
      <c r="D33" s="634" t="s">
        <v>437</v>
      </c>
      <c r="E33" s="635" t="s">
        <v>438</v>
      </c>
      <c r="F33" s="112">
        <f>'GDP Growth Rates'!E26/100</f>
        <v>3.8971779899219287E-2</v>
      </c>
      <c r="G33" s="112">
        <f>'GDP Growth Rates'!F26/100</f>
        <v>5.4140035707943353E-2</v>
      </c>
      <c r="H33" s="112">
        <f>'GDP Growth Rates'!G26/100</f>
        <v>5.857126342170943E-2</v>
      </c>
      <c r="I33" s="112">
        <f>'GDP Growth Rates'!H26/100</f>
        <v>5.4438310345017699E-2</v>
      </c>
      <c r="J33" s="112">
        <f>'GDP Growth Rates'!I26/100</f>
        <v>-3.0044559301334602E-2</v>
      </c>
      <c r="K33" s="112">
        <f>'GDP Growth Rates'!J26/100</f>
        <v>8.6566926023708395E-3</v>
      </c>
      <c r="L33" s="112">
        <f>'GDP Growth Rates'!K26/100</f>
        <v>9.5951124724126657E-3</v>
      </c>
      <c r="M33" s="112">
        <f>'GDP Growth Rates'!L26/100</f>
        <v>-8.2183647421689449E-3</v>
      </c>
      <c r="N33" s="112">
        <f>'GDP Growth Rates'!M26/100</f>
        <v>2.3498566632458022E-2</v>
      </c>
      <c r="O33" s="112">
        <f>'GDP Growth Rates'!N26/100</f>
        <v>1.1538510920040324E-2</v>
      </c>
      <c r="P33" s="112">
        <f>'GDP Growth Rates'!O26/100</f>
        <v>4.3147506111633475E-2</v>
      </c>
      <c r="Q33" s="112">
        <f>'GDP Growth Rates'!P26/100</f>
        <v>3.2422552117191403E-2</v>
      </c>
      <c r="R33" s="112">
        <f>'GDP Growth Rates'!Q26/100</f>
        <v>3.2441009588946627E-2</v>
      </c>
      <c r="S33" s="112">
        <f>'GDP Growth Rates'!R26/100</f>
        <v>3.8274992054689677E-2</v>
      </c>
      <c r="T33" s="112">
        <f>'GDP Growth Rates'!S26/100</f>
        <v>2.8873433441487465E-2</v>
      </c>
      <c r="U33" s="112">
        <f>'GDP Growth Rates'!T26/100</f>
        <v>-3.0150951475986149E-2</v>
      </c>
      <c r="V33" s="112">
        <f>'GDP Growth Rates'!U26/100</f>
        <v>7.3899623401275677E-2</v>
      </c>
      <c r="W33" s="112">
        <f>'GDP Growth Rates'!V26/100</f>
        <v>4.2268110109554585E-2</v>
      </c>
      <c r="X33" s="112">
        <f>'GDP Growth Rates'!W26/100</f>
        <v>1.9943952031946422E-2</v>
      </c>
      <c r="Y33" s="112">
        <f>'GDP Growth Rates'!X26/100</f>
        <v>2.4800470838283389E-2</v>
      </c>
    </row>
    <row r="34" spans="2:25">
      <c r="B34" s="634" t="s">
        <v>387</v>
      </c>
      <c r="C34" s="635" t="s">
        <v>388</v>
      </c>
      <c r="D34" s="634" t="s">
        <v>439</v>
      </c>
      <c r="E34" s="635" t="s">
        <v>440</v>
      </c>
      <c r="F34" s="112">
        <f>'GDP Growth Rates'!E27/100</f>
        <v>4.5566456532318111E-2</v>
      </c>
      <c r="G34" s="112">
        <f>'GDP Growth Rates'!F27/100</f>
        <v>8.3638710928230608E-2</v>
      </c>
      <c r="H34" s="112">
        <f>'GDP Growth Rates'!G27/100</f>
        <v>5.7925557772711758E-2</v>
      </c>
      <c r="I34" s="112">
        <f>'GDP Growth Rates'!H27/100</f>
        <v>3.2520729579683237E-2</v>
      </c>
      <c r="J34" s="112">
        <f>'GDP Growth Rates'!I27/100</f>
        <v>-0.1414423461634233</v>
      </c>
      <c r="K34" s="112">
        <f>'GDP Growth Rates'!J27/100</f>
        <v>0.10119723330909267</v>
      </c>
      <c r="L34" s="112">
        <f>'GDP Growth Rates'!K27/100</f>
        <v>6.8384105006025209E-2</v>
      </c>
      <c r="M34" s="112">
        <f>'GDP Growth Rates'!L27/100</f>
        <v>-1.7085711659370873E-3</v>
      </c>
      <c r="N34" s="112">
        <f>'GDP Growth Rates'!M27/100</f>
        <v>0.11102906877877786</v>
      </c>
      <c r="O34" s="112">
        <f>'GDP Growth Rates'!N27/100</f>
        <v>5.6971442202759875E-2</v>
      </c>
      <c r="P34" s="112">
        <f>'GDP Growth Rates'!O27/100</f>
        <v>-4.8513250461762851E-2</v>
      </c>
      <c r="Q34" s="112">
        <f>'GDP Growth Rates'!P27/100</f>
        <v>7.2044247591426677E-2</v>
      </c>
      <c r="R34" s="112">
        <f>'GDP Growth Rates'!Q27/100</f>
        <v>4.1143785602663741E-2</v>
      </c>
      <c r="S34" s="112">
        <f>'GDP Growth Rates'!R27/100</f>
        <v>4.1886923900019045E-2</v>
      </c>
      <c r="T34" s="112">
        <f>'GDP Growth Rates'!S27/100</f>
        <v>3.0317733708240268E-2</v>
      </c>
      <c r="U34" s="112">
        <f>'GDP Growth Rates'!T27/100</f>
        <v>-8.7288824114946525E-2</v>
      </c>
      <c r="V34" s="112">
        <f>'GDP Growth Rates'!U27/100</f>
        <v>0.11916272413183009</v>
      </c>
      <c r="W34" s="112">
        <f>'GDP Growth Rates'!V27/100</f>
        <v>5.4860170644677166E-2</v>
      </c>
      <c r="X34" s="112">
        <f>'GDP Growth Rates'!W27/100</f>
        <v>3.2080681222443841E-2</v>
      </c>
      <c r="Y34" s="112">
        <f>'GDP Growth Rates'!X27/100</f>
        <v>-2.9898687946792818E-2</v>
      </c>
    </row>
    <row r="35" spans="2:25">
      <c r="B35" s="634" t="s">
        <v>387</v>
      </c>
      <c r="C35" s="635" t="s">
        <v>388</v>
      </c>
      <c r="D35" s="634" t="s">
        <v>441</v>
      </c>
      <c r="E35" s="635" t="s">
        <v>442</v>
      </c>
      <c r="F35" s="112">
        <f>'GDP Growth Rates'!E28/100</f>
        <v>3.2021320613043115E-2</v>
      </c>
      <c r="G35" s="112">
        <f>'GDP Growth Rates'!F28/100</f>
        <v>3.9619887112261692E-2</v>
      </c>
      <c r="H35" s="112">
        <f>'GDP Growth Rates'!G28/100</f>
        <v>6.0698706067833827E-2</v>
      </c>
      <c r="I35" s="112">
        <f>'GDP Growth Rates'!H28/100</f>
        <v>5.0941954465873636E-2</v>
      </c>
      <c r="J35" s="112">
        <f>'GDP Growth Rates'!I28/100</f>
        <v>-1.2581200216116883E-3</v>
      </c>
      <c r="K35" s="112">
        <f>'GDP Growth Rates'!J28/100</f>
        <v>7.5282258181536429E-2</v>
      </c>
      <c r="L35" s="112">
        <f>'GDP Growth Rates'!K28/100</f>
        <v>3.974423079447021E-2</v>
      </c>
      <c r="M35" s="112">
        <f>'GDP Growth Rates'!L28/100</f>
        <v>1.9211759857653731E-2</v>
      </c>
      <c r="N35" s="112">
        <f>'GDP Growth Rates'!M28/100</f>
        <v>3.0048226694443229E-2</v>
      </c>
      <c r="O35" s="112">
        <f>'GDP Growth Rates'!N28/100</f>
        <v>5.0395574024224739E-3</v>
      </c>
      <c r="P35" s="112">
        <f>'GDP Growth Rates'!O28/100</f>
        <v>-3.5457633926942546E-2</v>
      </c>
      <c r="Q35" s="112">
        <f>'GDP Growth Rates'!P28/100</f>
        <v>-3.2759169078219227E-2</v>
      </c>
      <c r="R35" s="112">
        <f>'GDP Growth Rates'!Q28/100</f>
        <v>1.3228690540439913E-2</v>
      </c>
      <c r="S35" s="112">
        <f>'GDP Growth Rates'!R28/100</f>
        <v>1.7836667616339952E-2</v>
      </c>
      <c r="T35" s="112">
        <f>'GDP Growth Rates'!S28/100</f>
        <v>1.2207778236084153E-2</v>
      </c>
      <c r="U35" s="112">
        <f>'GDP Growth Rates'!T28/100</f>
        <v>-3.2767587964736007E-2</v>
      </c>
      <c r="V35" s="112">
        <f>'GDP Growth Rates'!U28/100</f>
        <v>4.7626043790860849E-2</v>
      </c>
      <c r="W35" s="112">
        <f>'GDP Growth Rates'!V28/100</f>
        <v>3.0166943539301484E-2</v>
      </c>
      <c r="X35" s="112">
        <f>'GDP Growth Rates'!W28/100</f>
        <v>3.2416553290698147E-2</v>
      </c>
      <c r="Y35" s="112">
        <f>'GDP Growth Rates'!X28/100</f>
        <v>3.3958664545484393E-2</v>
      </c>
    </row>
    <row r="36" spans="2:25">
      <c r="B36" s="634" t="s">
        <v>387</v>
      </c>
      <c r="C36" s="635" t="s">
        <v>388</v>
      </c>
      <c r="D36" s="634" t="s">
        <v>443</v>
      </c>
      <c r="E36" s="635" t="s">
        <v>444</v>
      </c>
      <c r="F36" s="112" t="e">
        <f>'GDP Growth Rates'!E29/100</f>
        <v>#VALUE!</v>
      </c>
      <c r="G36" s="112" t="e">
        <f>'GDP Growth Rates'!F29/100</f>
        <v>#VALUE!</v>
      </c>
      <c r="H36" s="112" t="e">
        <f>'GDP Growth Rates'!G29/100</f>
        <v>#VALUE!</v>
      </c>
      <c r="I36" s="112" t="e">
        <f>'GDP Growth Rates'!H29/100</f>
        <v>#VALUE!</v>
      </c>
      <c r="J36" s="112" t="e">
        <f>'GDP Growth Rates'!I29/100</f>
        <v>#VALUE!</v>
      </c>
      <c r="K36" s="112" t="e">
        <f>'GDP Growth Rates'!J29/100</f>
        <v>#VALUE!</v>
      </c>
      <c r="L36" s="112" t="e">
        <f>'GDP Growth Rates'!K29/100</f>
        <v>#VALUE!</v>
      </c>
      <c r="M36" s="112" t="e">
        <f>'GDP Growth Rates'!L29/100</f>
        <v>#VALUE!</v>
      </c>
      <c r="N36" s="112" t="e">
        <f>'GDP Growth Rates'!M29/100</f>
        <v>#VALUE!</v>
      </c>
      <c r="O36" s="112" t="e">
        <f>'GDP Growth Rates'!N29/100</f>
        <v>#VALUE!</v>
      </c>
      <c r="P36" s="112" t="e">
        <f>'GDP Growth Rates'!O29/100</f>
        <v>#VALUE!</v>
      </c>
      <c r="Q36" s="112" t="e">
        <f>'GDP Growth Rates'!P29/100</f>
        <v>#VALUE!</v>
      </c>
      <c r="R36" s="112" t="e">
        <f>'GDP Growth Rates'!Q29/100</f>
        <v>#VALUE!</v>
      </c>
      <c r="S36" s="112" t="e">
        <f>'GDP Growth Rates'!R29/100</f>
        <v>#VALUE!</v>
      </c>
      <c r="T36" s="112" t="e">
        <f>'GDP Growth Rates'!S29/100</f>
        <v>#VALUE!</v>
      </c>
      <c r="U36" s="112" t="e">
        <f>'GDP Growth Rates'!T29/100</f>
        <v>#VALUE!</v>
      </c>
      <c r="V36" s="112" t="e">
        <f>'GDP Growth Rates'!U29/100</f>
        <v>#VALUE!</v>
      </c>
      <c r="W36" s="112" t="e">
        <f>'GDP Growth Rates'!V29/100</f>
        <v>#VALUE!</v>
      </c>
      <c r="X36" s="112" t="e">
        <f>'GDP Growth Rates'!W29/100</f>
        <v>#VALUE!</v>
      </c>
      <c r="Y36" s="112" t="e">
        <f>'GDP Growth Rates'!X29/100</f>
        <v>#VALUE!</v>
      </c>
    </row>
    <row r="37" spans="2:25">
      <c r="B37" s="634" t="s">
        <v>387</v>
      </c>
      <c r="C37" s="635" t="s">
        <v>388</v>
      </c>
      <c r="D37" s="634" t="s">
        <v>445</v>
      </c>
      <c r="E37" s="635" t="s">
        <v>446</v>
      </c>
      <c r="F37" s="112">
        <f>'GDP Growth Rates'!E30/100</f>
        <v>-3.9251887198048508E-5</v>
      </c>
      <c r="G37" s="112">
        <f>'GDP Growth Rates'!F30/100</f>
        <v>4.0984126097812067E-2</v>
      </c>
      <c r="H37" s="112">
        <f>'GDP Growth Rates'!G30/100</f>
        <v>-3.7636234757041788E-2</v>
      </c>
      <c r="I37" s="112">
        <f>'GDP Growth Rates'!H30/100</f>
        <v>-3.9007108208565879E-2</v>
      </c>
      <c r="J37" s="112">
        <f>'GDP Growth Rates'!I30/100</f>
        <v>-1.9002538618213122E-2</v>
      </c>
      <c r="K37" s="112">
        <f>'GDP Growth Rates'!J30/100</f>
        <v>2.7413643351482192E-2</v>
      </c>
      <c r="L37" s="112">
        <f>'GDP Growth Rates'!K30/100</f>
        <v>3.7444063872803926E-2</v>
      </c>
      <c r="M37" s="112">
        <f>'GDP Growth Rates'!L30/100</f>
        <v>9.1313532441425586E-3</v>
      </c>
      <c r="N37" s="112">
        <f>'GDP Growth Rates'!M30/100</f>
        <v>-2.1247831862075798E-2</v>
      </c>
      <c r="O37" s="112">
        <f>'GDP Growth Rates'!N30/100</f>
        <v>-2.5078872163048091E-2</v>
      </c>
      <c r="P37" s="112">
        <f>'GDP Growth Rates'!O30/100</f>
        <v>-3.9238348793352888E-3</v>
      </c>
      <c r="Q37" s="112">
        <f>'GDP Growth Rates'!P30/100</f>
        <v>-2.477917765204566E-2</v>
      </c>
      <c r="R37" s="112">
        <f>'GDP Growth Rates'!Q30/100</f>
        <v>1.3287265131818344E-2</v>
      </c>
      <c r="S37" s="112">
        <f>'GDP Growth Rates'!R30/100</f>
        <v>5.2371054473667302E-4</v>
      </c>
      <c r="T37" s="112">
        <f>'GDP Growth Rates'!S30/100</f>
        <v>3.8688441643288912E-2</v>
      </c>
      <c r="U37" s="112">
        <f>'GDP Growth Rates'!T30/100</f>
        <v>1.133573406054026E-2</v>
      </c>
      <c r="V37" s="112">
        <f>'GDP Growth Rates'!U30/100</f>
        <v>-1.5907624807543642E-2</v>
      </c>
      <c r="W37" s="112">
        <f>'GDP Growth Rates'!V30/100</f>
        <v>-1.6283315402236553E-2</v>
      </c>
      <c r="X37" s="112">
        <f>'GDP Growth Rates'!W30/100</f>
        <v>1.1276441916160564E-2</v>
      </c>
      <c r="Y37" s="112">
        <f>'GDP Growth Rates'!X30/100</f>
        <v>4.2003727347205595E-2</v>
      </c>
    </row>
    <row r="38" spans="2:25">
      <c r="B38" s="634" t="s">
        <v>387</v>
      </c>
      <c r="C38" s="635" t="s">
        <v>388</v>
      </c>
      <c r="D38" s="634" t="s">
        <v>447</v>
      </c>
      <c r="E38" s="635" t="s">
        <v>448</v>
      </c>
      <c r="F38" s="112">
        <f>'GDP Growth Rates'!E31/100</f>
        <v>7.0563492118169646E-2</v>
      </c>
      <c r="G38" s="112">
        <f>'GDP Growth Rates'!F31/100</f>
        <v>6.8025889874584203E-2</v>
      </c>
      <c r="H38" s="112">
        <f>'GDP Growth Rates'!G31/100</f>
        <v>6.6543876490021886E-2</v>
      </c>
      <c r="I38" s="112">
        <f>'GDP Growth Rates'!H31/100</f>
        <v>6.129558799011818E-2</v>
      </c>
      <c r="J38" s="112">
        <f>'GDP Growth Rates'!I31/100</f>
        <v>-3.3471413670420558E-2</v>
      </c>
      <c r="K38" s="112">
        <f>'GDP Growth Rates'!J31/100</f>
        <v>1.5553596346203164E-2</v>
      </c>
      <c r="L38" s="112">
        <f>'GDP Growth Rates'!K31/100</f>
        <v>2.0901752701553845E-2</v>
      </c>
      <c r="M38" s="112">
        <f>'GDP Growth Rates'!L31/100</f>
        <v>7.4881489679657423E-3</v>
      </c>
      <c r="N38" s="112">
        <f>'GDP Growth Rates'!M31/100</f>
        <v>-5.4275160303015471E-3</v>
      </c>
      <c r="O38" s="112">
        <f>'GDP Growth Rates'!N31/100</f>
        <v>9.4944898509048414E-3</v>
      </c>
      <c r="P38" s="112">
        <f>'GDP Growth Rates'!O31/100</f>
        <v>3.3975532586942164E-2</v>
      </c>
      <c r="Q38" s="112">
        <f>'GDP Growth Rates'!P31/100</f>
        <v>3.0266289313891831E-2</v>
      </c>
      <c r="R38" s="112">
        <f>'GDP Growth Rates'!Q31/100</f>
        <v>2.7459264470779347E-2</v>
      </c>
      <c r="S38" s="112">
        <f>'GDP Growth Rates'!R31/100</f>
        <v>2.5494643471817968E-2</v>
      </c>
      <c r="T38" s="112">
        <f>'GDP Growth Rates'!S31/100</f>
        <v>3.7888503647800317E-2</v>
      </c>
      <c r="U38" s="112">
        <f>'GDP Growth Rates'!T31/100</f>
        <v>-3.2157374344501617E-2</v>
      </c>
      <c r="V38" s="112">
        <f>'GDP Growth Rates'!U31/100</f>
        <v>7.7806148140697792E-2</v>
      </c>
      <c r="W38" s="112">
        <f>'GDP Growth Rates'!V31/100</f>
        <v>4.0387775830168095E-2</v>
      </c>
      <c r="X38" s="112">
        <f>'GDP Growth Rates'!W31/100</f>
        <v>1.8868148390717751E-2</v>
      </c>
      <c r="Y38" s="112">
        <f>'GDP Growth Rates'!X31/100</f>
        <v>2.8108277518888086E-2</v>
      </c>
    </row>
    <row r="39" spans="2:25">
      <c r="B39" s="634" t="s">
        <v>387</v>
      </c>
      <c r="C39" s="635" t="s">
        <v>388</v>
      </c>
      <c r="D39" s="634" t="s">
        <v>449</v>
      </c>
      <c r="E39" s="635" t="s">
        <v>450</v>
      </c>
      <c r="F39" s="112">
        <f>'GDP Growth Rates'!E32/100</f>
        <v>8.6618732284122479E-2</v>
      </c>
      <c r="G39" s="112">
        <f>'GDP Growth Rates'!F32/100</f>
        <v>6.2531646881747782E-2</v>
      </c>
      <c r="H39" s="112">
        <f>'GDP Growth Rates'!G32/100</f>
        <v>4.1113790176151639E-2</v>
      </c>
      <c r="I39" s="112">
        <f>'GDP Growth Rates'!H32/100</f>
        <v>5.7999917410538726E-2</v>
      </c>
      <c r="J39" s="112">
        <f>'GDP Growth Rates'!I32/100</f>
        <v>2.961950858666924E-2</v>
      </c>
      <c r="K39" s="112">
        <f>'GDP Growth Rates'!J32/100</f>
        <v>8.4462815770762492E-2</v>
      </c>
      <c r="L39" s="112">
        <f>'GDP Growth Rates'!K32/100</f>
        <v>6.6225626130669332E-2</v>
      </c>
      <c r="M39" s="112">
        <f>'GDP Growth Rates'!L32/100</f>
        <v>6.4526723795314642E-2</v>
      </c>
      <c r="N39" s="112">
        <f>'GDP Growth Rates'!M32/100</f>
        <v>5.7925848450986736E-2</v>
      </c>
      <c r="O39" s="112">
        <f>'GDP Growth Rates'!N32/100</f>
        <v>4.326845614529759E-2</v>
      </c>
      <c r="P39" s="112">
        <f>'GDP Growth Rates'!O32/100</f>
        <v>3.9212287937935034E-2</v>
      </c>
      <c r="Q39" s="112">
        <f>'GDP Growth Rates'!P32/100</f>
        <v>5.9579767075402398E-2</v>
      </c>
      <c r="R39" s="112">
        <f>'GDP Growth Rates'!Q32/100</f>
        <v>6.2034894112186836E-2</v>
      </c>
      <c r="S39" s="112">
        <f>'GDP Growth Rates'!R32/100</f>
        <v>6.6045690681234101E-2</v>
      </c>
      <c r="T39" s="112">
        <f>'GDP Growth Rates'!S32/100</f>
        <v>5.8892049706813478E-2</v>
      </c>
      <c r="U39" s="112">
        <f>'GDP Growth Rates'!T32/100</f>
        <v>2.0107726240622129E-2</v>
      </c>
      <c r="V39" s="112">
        <f>'GDP Growth Rates'!U32/100</f>
        <v>6.9425249257234756E-2</v>
      </c>
      <c r="W39" s="112">
        <f>'GDP Growth Rates'!V32/100</f>
        <v>1.4972397409896985E-2</v>
      </c>
      <c r="X39" s="112">
        <f>'GDP Growth Rates'!W32/100</f>
        <v>2.9601814738492892E-2</v>
      </c>
      <c r="Y39" s="112">
        <f>'GDP Growth Rates'!X32/100</f>
        <v>4.9851030062518335E-2</v>
      </c>
    </row>
    <row r="40" spans="2:25">
      <c r="B40" s="634" t="s">
        <v>387</v>
      </c>
      <c r="C40" s="635" t="s">
        <v>388</v>
      </c>
      <c r="D40" s="634" t="s">
        <v>451</v>
      </c>
      <c r="E40" s="635" t="s">
        <v>452</v>
      </c>
      <c r="F40" s="112">
        <f>'GDP Growth Rates'!E33/100</f>
        <v>9.0000000090191181E-3</v>
      </c>
      <c r="G40" s="112">
        <f>'GDP Growth Rates'!F33/100</f>
        <v>5.4138071449144433E-2</v>
      </c>
      <c r="H40" s="112">
        <f>'GDP Growth Rates'!G33/100</f>
        <v>3.4519485638194285E-2</v>
      </c>
      <c r="I40" s="112">
        <f>'GDP Growth Rates'!H33/100</f>
        <v>4.8617163671264049E-2</v>
      </c>
      <c r="J40" s="112">
        <f>'GDP Growth Rates'!I33/100</f>
        <v>3.8127453663341838E-2</v>
      </c>
      <c r="K40" s="112">
        <f>'GDP Growth Rates'!J33/100</f>
        <v>5.1241599943980559E-2</v>
      </c>
      <c r="L40" s="112">
        <f>'GDP Growth Rates'!K33/100</f>
        <v>4.0325999884441473E-2</v>
      </c>
      <c r="M40" s="112">
        <f>'GDP Growth Rates'!L33/100</f>
        <v>4.4467063311149531E-2</v>
      </c>
      <c r="N40" s="112">
        <f>'GDP Growth Rates'!M33/100</f>
        <v>4.9241898983468389E-2</v>
      </c>
      <c r="O40" s="112">
        <f>'GDP Growth Rates'!N33/100</f>
        <v>4.2406502140265728E-2</v>
      </c>
      <c r="P40" s="112">
        <f>'GDP Growth Rates'!O33/100</f>
        <v>-3.9000000804854974E-2</v>
      </c>
      <c r="Q40" s="112">
        <f>'GDP Growth Rates'!P33/100</f>
        <v>-6.0000090911638895E-3</v>
      </c>
      <c r="R40" s="112">
        <f>'GDP Growth Rates'!Q33/100</f>
        <v>5.0000126242927935E-3</v>
      </c>
      <c r="S40" s="112">
        <f>'GDP Growth Rates'!R33/100</f>
        <v>1.6099354212771432E-2</v>
      </c>
      <c r="T40" s="112">
        <f>'GDP Growth Rates'!S33/100</f>
        <v>1.8125653240155231E-2</v>
      </c>
      <c r="U40" s="112">
        <f>'GDP Growth Rates'!T33/100</f>
        <v>3.2715689263838497E-3</v>
      </c>
      <c r="V40" s="112">
        <f>'GDP Growth Rates'!U33/100</f>
        <v>3.0999999987062665E-2</v>
      </c>
      <c r="W40" s="112">
        <f>'GDP Growth Rates'!V33/100</f>
        <v>1.8489994394821282E-2</v>
      </c>
      <c r="X40" s="112">
        <f>'GDP Growth Rates'!W33/100</f>
        <v>2.6655396041818734E-2</v>
      </c>
      <c r="Y40" s="112">
        <f>'GDP Growth Rates'!X33/100</f>
        <v>3.4892317483896845E-2</v>
      </c>
    </row>
    <row r="41" spans="2:25">
      <c r="B41" s="634" t="s">
        <v>387</v>
      </c>
      <c r="C41" s="635" t="s">
        <v>388</v>
      </c>
      <c r="D41" s="634" t="s">
        <v>453</v>
      </c>
      <c r="E41" s="635" t="s">
        <v>454</v>
      </c>
      <c r="F41" s="112">
        <f>'GDP Growth Rates'!E34/100</f>
        <v>6.9124579572020076E-2</v>
      </c>
      <c r="G41" s="112">
        <f>'GDP Growth Rates'!F34/100</f>
        <v>7.9837504479504842E-2</v>
      </c>
      <c r="H41" s="112">
        <f>'GDP Growth Rates'!G34/100</f>
        <v>0.1517068797355168</v>
      </c>
      <c r="I41" s="112">
        <f>'GDP Growth Rates'!H34/100</f>
        <v>7.0390112956512776E-2</v>
      </c>
      <c r="J41" s="112">
        <f>'GDP Growth Rates'!I34/100</f>
        <v>-1.5035867238567846E-2</v>
      </c>
      <c r="K41" s="112">
        <f>'GDP Growth Rates'!J34/100</f>
        <v>1.8364191498997828E-2</v>
      </c>
      <c r="L41" s="112">
        <f>'GDP Growth Rates'!K34/100</f>
        <v>3.9247182133828315E-2</v>
      </c>
      <c r="M41" s="112">
        <f>'GDP Growth Rates'!L34/100</f>
        <v>1.0836484837616638E-2</v>
      </c>
      <c r="N41" s="112">
        <f>'GDP Growth Rates'!M34/100</f>
        <v>6.3213672738513084E-3</v>
      </c>
      <c r="O41" s="112">
        <f>'GDP Growth Rates'!N34/100</f>
        <v>6.9666684011858134E-3</v>
      </c>
      <c r="P41" s="112">
        <f>'GDP Growth Rates'!O34/100</f>
        <v>9.3602650780883322E-3</v>
      </c>
      <c r="Q41" s="112">
        <f>'GDP Growth Rates'!P34/100</f>
        <v>4.2807148266237077E-2</v>
      </c>
      <c r="R41" s="112">
        <f>'GDP Growth Rates'!Q34/100</f>
        <v>4.5513148102973987E-2</v>
      </c>
      <c r="S41" s="112">
        <f>'GDP Growth Rates'!R34/100</f>
        <v>3.7069645831084158E-2</v>
      </c>
      <c r="T41" s="112">
        <f>'GDP Growth Rates'!S34/100</f>
        <v>6.9478263405185883E-2</v>
      </c>
      <c r="U41" s="112">
        <f>'GDP Growth Rates'!T34/100</f>
        <v>-0.20805275899073522</v>
      </c>
      <c r="V41" s="112">
        <f>'GDP Growth Rates'!U34/100</f>
        <v>7.0335301069451364E-2</v>
      </c>
      <c r="W41" s="112">
        <f>'GDP Growth Rates'!V34/100</f>
        <v>0.1584367568464195</v>
      </c>
      <c r="X41" s="112">
        <f>'GDP Growth Rates'!W34/100</f>
        <v>5.3911442736601034E-2</v>
      </c>
      <c r="Y41" s="112">
        <f>'GDP Growth Rates'!X34/100</f>
        <v>7.2718814720441144E-2</v>
      </c>
    </row>
    <row r="42" spans="2:25">
      <c r="B42" s="634" t="s">
        <v>387</v>
      </c>
      <c r="C42" s="635" t="s">
        <v>388</v>
      </c>
      <c r="D42" s="634" t="s">
        <v>260</v>
      </c>
      <c r="E42" s="635" t="s">
        <v>455</v>
      </c>
      <c r="F42" s="112">
        <f>'GDP Growth Rates'!E35/100</f>
        <v>0.13303333835845493</v>
      </c>
      <c r="G42" s="112">
        <f>'GDP Growth Rates'!F35/100</f>
        <v>0.10943360068169355</v>
      </c>
      <c r="H42" s="112">
        <f>'GDP Growth Rates'!G35/100</f>
        <v>0.10398458101200973</v>
      </c>
      <c r="I42" s="112">
        <f>'GDP Growth Rates'!H35/100</f>
        <v>7.476366066310107E-2</v>
      </c>
      <c r="J42" s="112">
        <f>'GDP Growth Rates'!I35/100</f>
        <v>4.0747785059906505E-2</v>
      </c>
      <c r="K42" s="112">
        <f>'GDP Growth Rates'!J35/100</f>
        <v>5.0769184322924731E-2</v>
      </c>
      <c r="L42" s="112">
        <f>'GDP Growth Rates'!K35/100</f>
        <v>7.2866581387955168E-2</v>
      </c>
      <c r="M42" s="112">
        <f>'GDP Growth Rates'!L35/100</f>
        <v>7.6502565787036195E-2</v>
      </c>
      <c r="N42" s="112">
        <f>'GDP Growth Rates'!M35/100</f>
        <v>7.8574997554251957E-2</v>
      </c>
      <c r="O42" s="112">
        <f>'GDP Growth Rates'!N35/100</f>
        <v>8.0003207461856643E-2</v>
      </c>
      <c r="P42" s="112">
        <f>'GDP Growth Rates'!O35/100</f>
        <v>7.2070347252951167E-2</v>
      </c>
      <c r="Q42" s="112">
        <f>'GDP Growth Rates'!P35/100</f>
        <v>7.9055011613070436E-2</v>
      </c>
      <c r="R42" s="112">
        <f>'GDP Growth Rates'!Q35/100</f>
        <v>8.0750391553597894E-2</v>
      </c>
      <c r="S42" s="112">
        <f>'GDP Growth Rates'!R35/100</f>
        <v>8.7762237622446268E-2</v>
      </c>
      <c r="T42" s="112">
        <f>'GDP Growth Rates'!S35/100</f>
        <v>7.9369501358852401E-2</v>
      </c>
      <c r="U42" s="112">
        <f>'GDP Growth Rates'!T35/100</f>
        <v>-3.555721934065488E-2</v>
      </c>
      <c r="V42" s="112">
        <f>'GDP Growth Rates'!U35/100</f>
        <v>3.0898428415199391E-2</v>
      </c>
      <c r="W42" s="112">
        <f>'GDP Growth Rates'!V35/100</f>
        <v>5.1299011076726658E-2</v>
      </c>
      <c r="X42" s="112">
        <f>'GDP Growth Rates'!W35/100</f>
        <v>5.0073304381264165E-2</v>
      </c>
      <c r="Y42" s="112">
        <f>'GDP Growth Rates'!X35/100</f>
        <v>6.0158145735460807E-2</v>
      </c>
    </row>
    <row r="43" spans="2:25">
      <c r="B43" s="634" t="s">
        <v>387</v>
      </c>
      <c r="C43" s="635" t="s">
        <v>388</v>
      </c>
      <c r="D43" s="634" t="s">
        <v>456</v>
      </c>
      <c r="E43" s="635" t="s">
        <v>457</v>
      </c>
      <c r="F43" s="112">
        <f>'GDP Growth Rates'!E36/100</f>
        <v>2.2282702092411739E-2</v>
      </c>
      <c r="G43" s="112">
        <f>'GDP Growth Rates'!F36/100</f>
        <v>3.8095832756613678E-2</v>
      </c>
      <c r="H43" s="112">
        <f>'GDP Growth Rates'!G36/100</f>
        <v>4.327589009728712E-2</v>
      </c>
      <c r="I43" s="112">
        <f>'GDP Growth Rates'!H36/100</f>
        <v>2.8476778892105016E-2</v>
      </c>
      <c r="J43" s="112">
        <f>'GDP Growth Rates'!I36/100</f>
        <v>2.5792517773875402E-2</v>
      </c>
      <c r="K43" s="112">
        <f>'GDP Growth Rates'!J36/100</f>
        <v>2.8990247212201437E-2</v>
      </c>
      <c r="L43" s="112">
        <f>'GDP Growth Rates'!K36/100</f>
        <v>3.3792112850604496E-2</v>
      </c>
      <c r="M43" s="112">
        <f>'GDP Growth Rates'!L36/100</f>
        <v>4.6259787220957096E-2</v>
      </c>
      <c r="N43" s="112">
        <f>'GDP Growth Rates'!M36/100</f>
        <v>4.9955291613078288E-2</v>
      </c>
      <c r="O43" s="112">
        <f>'GDP Growth Rates'!N36/100</f>
        <v>5.7198181450919774E-2</v>
      </c>
      <c r="P43" s="112">
        <f>'GDP Growth Rates'!O36/100</f>
        <v>5.6669529870393233E-2</v>
      </c>
      <c r="Q43" s="112">
        <f>'GDP Growth Rates'!P36/100</f>
        <v>4.5357942367880072E-2</v>
      </c>
      <c r="R43" s="112">
        <f>'GDP Growth Rates'!Q36/100</f>
        <v>3.5411765492600722E-2</v>
      </c>
      <c r="S43" s="112">
        <f>'GDP Growth Rates'!R36/100</f>
        <v>3.9555142389204857E-2</v>
      </c>
      <c r="T43" s="112">
        <f>'GDP Growth Rates'!S36/100</f>
        <v>3.4750599819498122E-2</v>
      </c>
      <c r="U43" s="112">
        <f>'GDP Growth Rates'!T36/100</f>
        <v>2.5993291590711465E-3</v>
      </c>
      <c r="V43" s="112">
        <f>'GDP Growth Rates'!U36/100</f>
        <v>3.3388574717950516E-2</v>
      </c>
      <c r="W43" s="112">
        <f>'GDP Growth Rates'!V36/100</f>
        <v>3.7367840056411979E-2</v>
      </c>
      <c r="X43" s="112">
        <f>'GDP Growth Rates'!W36/100</f>
        <v>3.2483449782387624E-2</v>
      </c>
      <c r="Y43" s="112">
        <f>'GDP Growth Rates'!X36/100</f>
        <v>3.6707428468098442E-2</v>
      </c>
    </row>
    <row r="44" spans="2:25">
      <c r="B44" s="634" t="s">
        <v>387</v>
      </c>
      <c r="C44" s="635" t="s">
        <v>388</v>
      </c>
      <c r="D44" s="634" t="s">
        <v>458</v>
      </c>
      <c r="E44" s="635" t="s">
        <v>459</v>
      </c>
      <c r="F44" s="112">
        <f>'GDP Growth Rates'!E37/100</f>
        <v>3.210454390635633E-2</v>
      </c>
      <c r="G44" s="112">
        <f>'GDP Growth Rates'!F37/100</f>
        <v>2.6379437500734751E-2</v>
      </c>
      <c r="H44" s="112">
        <f>'GDP Growth Rates'!G37/100</f>
        <v>2.0499046372678579E-2</v>
      </c>
      <c r="I44" s="112">
        <f>'GDP Growth Rates'!H37/100</f>
        <v>9.9540630114074696E-3</v>
      </c>
      <c r="J44" s="112">
        <f>'GDP Growth Rates'!I37/100</f>
        <v>-2.9150862155026686E-2</v>
      </c>
      <c r="K44" s="112">
        <f>'GDP Growth Rates'!J37/100</f>
        <v>3.0908063446933483E-2</v>
      </c>
      <c r="L44" s="112">
        <f>'GDP Growth Rates'!K37/100</f>
        <v>3.1371944217036402E-2</v>
      </c>
      <c r="M44" s="112">
        <f>'GDP Growth Rates'!L37/100</f>
        <v>1.7556612914548284E-2</v>
      </c>
      <c r="N44" s="112">
        <f>'GDP Growth Rates'!M37/100</f>
        <v>2.3258135480642893E-2</v>
      </c>
      <c r="O44" s="112">
        <f>'GDP Growth Rates'!N37/100</f>
        <v>2.8734667778581125E-2</v>
      </c>
      <c r="P44" s="112">
        <f>'GDP Growth Rates'!O37/100</f>
        <v>6.4997100173485476E-3</v>
      </c>
      <c r="Q44" s="112">
        <f>'GDP Growth Rates'!P37/100</f>
        <v>1.0385509249085488E-2</v>
      </c>
      <c r="R44" s="112">
        <f>'GDP Growth Rates'!Q37/100</f>
        <v>3.0338349120022201E-2</v>
      </c>
      <c r="S44" s="112">
        <f>'GDP Growth Rates'!R37/100</f>
        <v>2.7429634490665506E-2</v>
      </c>
      <c r="T44" s="112">
        <f>'GDP Growth Rates'!S37/100</f>
        <v>1.908431945906159E-2</v>
      </c>
      <c r="U44" s="112">
        <f>'GDP Growth Rates'!T37/100</f>
        <v>-5.0382334346889907E-2</v>
      </c>
      <c r="V44" s="112">
        <f>'GDP Growth Rates'!U37/100</f>
        <v>5.9505280280438055E-2</v>
      </c>
      <c r="W44" s="112">
        <f>'GDP Growth Rates'!V37/100</f>
        <v>4.1890362810085124E-2</v>
      </c>
      <c r="X44" s="112">
        <f>'GDP Growth Rates'!W37/100</f>
        <v>1.5287455083835794E-2</v>
      </c>
      <c r="Y44" s="112">
        <f>'GDP Growth Rates'!X37/100</f>
        <v>1.5280811085283973E-2</v>
      </c>
    </row>
    <row r="45" spans="2:25">
      <c r="B45" s="634" t="s">
        <v>387</v>
      </c>
      <c r="C45" s="635" t="s">
        <v>388</v>
      </c>
      <c r="D45" s="634" t="s">
        <v>460</v>
      </c>
      <c r="E45" s="635" t="s">
        <v>461</v>
      </c>
      <c r="F45" s="112" t="e">
        <f>'GDP Growth Rates'!E38/100</f>
        <v>#VALUE!</v>
      </c>
      <c r="G45" s="112" t="e">
        <f>'GDP Growth Rates'!F38/100</f>
        <v>#VALUE!</v>
      </c>
      <c r="H45" s="112">
        <f>'GDP Growth Rates'!G38/100</f>
        <v>3.162625226527993E-2</v>
      </c>
      <c r="I45" s="112">
        <f>'GDP Growth Rates'!H38/100</f>
        <v>-3.5740120109298344E-3</v>
      </c>
      <c r="J45" s="112">
        <f>'GDP Growth Rates'!I38/100</f>
        <v>-7.2004824466470579E-2</v>
      </c>
      <c r="K45" s="112">
        <f>'GDP Growth Rates'!J38/100</f>
        <v>-2.7156352621757661E-2</v>
      </c>
      <c r="L45" s="112">
        <f>'GDP Growth Rates'!K38/100</f>
        <v>1.1690621983910602E-2</v>
      </c>
      <c r="M45" s="112">
        <f>'GDP Growth Rates'!L38/100</f>
        <v>1.2297536570114858E-2</v>
      </c>
      <c r="N45" s="112">
        <f>'GDP Growth Rates'!M38/100</f>
        <v>1.2793310199902095E-2</v>
      </c>
      <c r="O45" s="112">
        <f>'GDP Growth Rates'!N38/100</f>
        <v>2.6545279845127112E-2</v>
      </c>
      <c r="P45" s="112">
        <f>'GDP Growth Rates'!O38/100</f>
        <v>2.8331222262960979E-2</v>
      </c>
      <c r="Q45" s="112">
        <f>'GDP Growth Rates'!P38/100</f>
        <v>3.2399743389566853E-2</v>
      </c>
      <c r="R45" s="112">
        <f>'GDP Growth Rates'!Q38/100</f>
        <v>3.1840459233452238E-2</v>
      </c>
      <c r="S45" s="112">
        <f>'GDP Growth Rates'!R38/100</f>
        <v>4.2672674524964122E-2</v>
      </c>
      <c r="T45" s="112">
        <f>'GDP Growth Rates'!S38/100</f>
        <v>3.9156353424941559E-2</v>
      </c>
      <c r="U45" s="112">
        <f>'GDP Growth Rates'!T38/100</f>
        <v>-4.9548064075924429E-2</v>
      </c>
      <c r="V45" s="112">
        <f>'GDP Growth Rates'!U38/100</f>
        <v>4.9049294127044195E-2</v>
      </c>
      <c r="W45" s="112">
        <f>'GDP Growth Rates'!V38/100</f>
        <v>5.1563295424833344E-2</v>
      </c>
      <c r="X45" s="112">
        <f>'GDP Growth Rates'!W38/100</f>
        <v>4.3596759570036593E-2</v>
      </c>
      <c r="Y45" s="112" t="e">
        <f>'GDP Growth Rates'!X38/100</f>
        <v>#VALUE!</v>
      </c>
    </row>
    <row r="46" spans="2:25">
      <c r="B46" s="634" t="s">
        <v>387</v>
      </c>
      <c r="C46" s="635" t="s">
        <v>388</v>
      </c>
      <c r="D46" s="634" t="s">
        <v>462</v>
      </c>
      <c r="E46" s="635" t="s">
        <v>463</v>
      </c>
      <c r="F46" s="112">
        <f>'GDP Growth Rates'!E39/100</f>
        <v>9.082105148719535E-3</v>
      </c>
      <c r="G46" s="112">
        <f>'GDP Growth Rates'!F39/100</f>
        <v>4.7710854304410473E-2</v>
      </c>
      <c r="H46" s="112">
        <f>'GDP Growth Rates'!G39/100</f>
        <v>4.6075348545202531E-2</v>
      </c>
      <c r="I46" s="112">
        <f>'GDP Growth Rates'!H39/100</f>
        <v>2.0541309620048478E-2</v>
      </c>
      <c r="J46" s="112">
        <f>'GDP Growth Rates'!I39/100</f>
        <v>8.5872604264099414E-2</v>
      </c>
      <c r="K46" s="112">
        <f>'GDP Growth Rates'!J39/100</f>
        <v>4.6308184322330706E-2</v>
      </c>
      <c r="L46" s="112">
        <f>'GDP Growth Rates'!K39/100</f>
        <v>4.1946153374198901E-2</v>
      </c>
      <c r="M46" s="112">
        <f>'GDP Growth Rates'!L39/100</f>
        <v>5.0537612535691778E-2</v>
      </c>
      <c r="N46" s="112">
        <f>'GDP Growth Rates'!M39/100</f>
        <v>-0.36391977098388673</v>
      </c>
      <c r="O46" s="112">
        <f>'GDP Growth Rates'!N39/100</f>
        <v>8.1070515326487681E-4</v>
      </c>
      <c r="P46" s="112">
        <f>'GDP Growth Rates'!O39/100</f>
        <v>4.3371210302023115E-2</v>
      </c>
      <c r="Q46" s="112">
        <f>'GDP Growth Rates'!P39/100</f>
        <v>4.7503168412234231E-2</v>
      </c>
      <c r="R46" s="112">
        <f>'GDP Growth Rates'!Q39/100</f>
        <v>4.5272782134623102E-2</v>
      </c>
      <c r="S46" s="112">
        <f>'GDP Growth Rates'!R39/100</f>
        <v>3.7894435927546224E-2</v>
      </c>
      <c r="T46" s="112">
        <f>'GDP Growth Rates'!S39/100</f>
        <v>3.0999999999999944E-2</v>
      </c>
      <c r="U46" s="112">
        <f>'GDP Growth Rates'!T39/100</f>
        <v>8.9999999685706194E-3</v>
      </c>
      <c r="V46" s="112">
        <f>'GDP Growth Rates'!U39/100</f>
        <v>9.8291999626422925E-3</v>
      </c>
      <c r="W46" s="112">
        <f>'GDP Growth Rates'!V39/100</f>
        <v>4.5390188150700797E-3</v>
      </c>
      <c r="X46" s="112">
        <f>'GDP Growth Rates'!W39/100</f>
        <v>6.9996838992121011E-3</v>
      </c>
      <c r="Y46" s="112">
        <f>'GDP Growth Rates'!X39/100</f>
        <v>1.539632474828494E-2</v>
      </c>
    </row>
    <row r="47" spans="2:25">
      <c r="B47" s="634" t="s">
        <v>387</v>
      </c>
      <c r="C47" s="635" t="s">
        <v>388</v>
      </c>
      <c r="D47" s="634" t="s">
        <v>464</v>
      </c>
      <c r="E47" s="635" t="s">
        <v>465</v>
      </c>
      <c r="F47" s="112">
        <f>'GDP Growth Rates'!E40/100</f>
        <v>0.17332533735083672</v>
      </c>
      <c r="G47" s="112">
        <f>'GDP Growth Rates'!F40/100</f>
        <v>-5.2152226483480031E-3</v>
      </c>
      <c r="H47" s="112">
        <f>'GDP Growth Rates'!G40/100</f>
        <v>4.3562121138045452E-2</v>
      </c>
      <c r="I47" s="112">
        <f>'GDP Growth Rates'!H40/100</f>
        <v>3.1083622164388914E-2</v>
      </c>
      <c r="J47" s="112">
        <f>'GDP Growth Rates'!I40/100</f>
        <v>-1.3384843664611169E-2</v>
      </c>
      <c r="K47" s="112">
        <f>'GDP Growth Rates'!J40/100</f>
        <v>0.13794388929096343</v>
      </c>
      <c r="L47" s="112">
        <f>'GDP Growth Rates'!K40/100</f>
        <v>4.5535903996333504E-2</v>
      </c>
      <c r="M47" s="112">
        <f>'GDP Growth Rates'!L40/100</f>
        <v>9.052680250894013E-2</v>
      </c>
      <c r="N47" s="112">
        <f>'GDP Growth Rates'!M40/100</f>
        <v>2.8073518871181591E-2</v>
      </c>
      <c r="O47" s="112">
        <f>'GDP Growth Rates'!N40/100</f>
        <v>2.0629809711576855E-2</v>
      </c>
      <c r="P47" s="112">
        <f>'GDP Growth Rates'!O40/100</f>
        <v>3.3108856741758785E-2</v>
      </c>
      <c r="Q47" s="112">
        <f>'GDP Growth Rates'!P40/100</f>
        <v>-4.1299283720585153E-2</v>
      </c>
      <c r="R47" s="112">
        <f>'GDP Growth Rates'!Q40/100</f>
        <v>-1.6279936708343427E-2</v>
      </c>
      <c r="S47" s="112">
        <f>'GDP Growth Rates'!R40/100</f>
        <v>5.7411158075815365E-2</v>
      </c>
      <c r="T47" s="112">
        <f>'GDP Growth Rates'!S40/100</f>
        <v>5.3886564691979257E-2</v>
      </c>
      <c r="U47" s="112">
        <f>'GDP Growth Rates'!T40/100</f>
        <v>-4.0889436325535653E-3</v>
      </c>
      <c r="V47" s="112">
        <f>'GDP Growth Rates'!U40/100</f>
        <v>2.9397916326441022E-3</v>
      </c>
      <c r="W47" s="112">
        <f>'GDP Growth Rates'!V40/100</f>
        <v>0.12896616430008237</v>
      </c>
      <c r="X47" s="112">
        <f>'GDP Growth Rates'!W40/100</f>
        <v>4.1174517920100441E-2</v>
      </c>
      <c r="Y47" s="112">
        <f>'GDP Growth Rates'!X40/100</f>
        <v>3.6544511046340489E-2</v>
      </c>
    </row>
    <row r="48" spans="2:25">
      <c r="B48" s="634" t="s">
        <v>387</v>
      </c>
      <c r="C48" s="635" t="s">
        <v>388</v>
      </c>
      <c r="D48" s="634" t="s">
        <v>466</v>
      </c>
      <c r="E48" s="635" t="s">
        <v>467</v>
      </c>
      <c r="F48" s="112" t="e">
        <f>'GDP Growth Rates'!E41/100</f>
        <v>#VALUE!</v>
      </c>
      <c r="G48" s="112" t="e">
        <f>'GDP Growth Rates'!F41/100</f>
        <v>#VALUE!</v>
      </c>
      <c r="H48" s="112" t="e">
        <f>'GDP Growth Rates'!G41/100</f>
        <v>#VALUE!</v>
      </c>
      <c r="I48" s="112" t="e">
        <f>'GDP Growth Rates'!H41/100</f>
        <v>#VALUE!</v>
      </c>
      <c r="J48" s="112" t="e">
        <f>'GDP Growth Rates'!I41/100</f>
        <v>#VALUE!</v>
      </c>
      <c r="K48" s="112">
        <f>'GDP Growth Rates'!J41/100</f>
        <v>-3.606632315727424E-2</v>
      </c>
      <c r="L48" s="112">
        <f>'GDP Growth Rates'!K41/100</f>
        <v>1.1250431089537187E-2</v>
      </c>
      <c r="M48" s="112">
        <f>'GDP Growth Rates'!L41/100</f>
        <v>-5.7536612213911272E-2</v>
      </c>
      <c r="N48" s="112">
        <f>'GDP Growth Rates'!M41/100</f>
        <v>4.939311205287851E-3</v>
      </c>
      <c r="O48" s="112">
        <f>'GDP Growth Rates'!N41/100</f>
        <v>2.4271017848231081E-2</v>
      </c>
      <c r="P48" s="112">
        <f>'GDP Growth Rates'!O41/100</f>
        <v>3.7436708382938377E-3</v>
      </c>
      <c r="Q48" s="112">
        <f>'GDP Growth Rates'!P41/100</f>
        <v>1.2130240765719549E-2</v>
      </c>
      <c r="R48" s="112">
        <f>'GDP Growth Rates'!Q41/100</f>
        <v>1.8064813138358459E-2</v>
      </c>
      <c r="S48" s="112">
        <f>'GDP Growth Rates'!R41/100</f>
        <v>1.1222435658518038E-2</v>
      </c>
      <c r="T48" s="112">
        <f>'GDP Growth Rates'!S41/100</f>
        <v>1.5733559615634222E-2</v>
      </c>
      <c r="U48" s="112">
        <f>'GDP Growth Rates'!T41/100</f>
        <v>-8.896779265919591E-2</v>
      </c>
      <c r="V48" s="112">
        <f>'GDP Growth Rates'!U41/100</f>
        <v>9.9368013698507549E-2</v>
      </c>
      <c r="W48" s="112">
        <f>'GDP Growth Rates'!V41/100</f>
        <v>5.3419614037586882E-2</v>
      </c>
      <c r="X48" s="112">
        <f>'GDP Growth Rates'!W41/100</f>
        <v>3.7150059036726614E-2</v>
      </c>
      <c r="Y48" s="112" t="e">
        <f>'GDP Growth Rates'!X41/100</f>
        <v>#VALUE!</v>
      </c>
    </row>
    <row r="49" spans="2:25">
      <c r="B49" s="634" t="s">
        <v>387</v>
      </c>
      <c r="C49" s="635" t="s">
        <v>388</v>
      </c>
      <c r="D49" s="634" t="s">
        <v>468</v>
      </c>
      <c r="E49" s="635" t="s">
        <v>469</v>
      </c>
      <c r="F49" s="112">
        <f>'GDP Growth Rates'!E42/100</f>
        <v>5.8370457191775811E-2</v>
      </c>
      <c r="G49" s="112">
        <f>'GDP Growth Rates'!F42/100</f>
        <v>6.0499908256396819E-2</v>
      </c>
      <c r="H49" s="112">
        <f>'GDP Growth Rates'!G42/100</f>
        <v>5.1682309852843104E-2</v>
      </c>
      <c r="I49" s="112">
        <f>'GDP Growth Rates'!H42/100</f>
        <v>3.7893928063523818E-2</v>
      </c>
      <c r="J49" s="112">
        <f>'GDP Growth Rates'!I42/100</f>
        <v>-1.1180372364287762E-2</v>
      </c>
      <c r="K49" s="112">
        <f>'GDP Growth Rates'!J42/100</f>
        <v>5.8516510222404748E-2</v>
      </c>
      <c r="L49" s="112">
        <f>'GDP Growth Rates'!K42/100</f>
        <v>6.2238967850913839E-2</v>
      </c>
      <c r="M49" s="112">
        <f>'GDP Growth Rates'!L42/100</f>
        <v>6.1553400185549376E-2</v>
      </c>
      <c r="N49" s="112">
        <f>'GDP Growth Rates'!M42/100</f>
        <v>3.3085082471008463E-2</v>
      </c>
      <c r="O49" s="112">
        <f>'GDP Growth Rates'!N42/100</f>
        <v>1.7926494713925933E-2</v>
      </c>
      <c r="P49" s="112">
        <f>'GDP Growth Rates'!O42/100</f>
        <v>2.1519424998118382E-2</v>
      </c>
      <c r="Q49" s="112">
        <f>'GDP Growth Rates'!P42/100</f>
        <v>1.7530387490709957E-2</v>
      </c>
      <c r="R49" s="112">
        <f>'GDP Growth Rates'!Q42/100</f>
        <v>1.3576953734395688E-2</v>
      </c>
      <c r="S49" s="112">
        <f>'GDP Growth Rates'!R42/100</f>
        <v>3.9900294778997675E-2</v>
      </c>
      <c r="T49" s="112">
        <f>'GDP Growth Rates'!S42/100</f>
        <v>6.3436753382843849E-3</v>
      </c>
      <c r="U49" s="112">
        <f>'GDP Growth Rates'!T42/100</f>
        <v>-6.143474792240923E-2</v>
      </c>
      <c r="V49" s="112">
        <f>'GDP Growth Rates'!U42/100</f>
        <v>0.11314920487904857</v>
      </c>
      <c r="W49" s="112">
        <f>'GDP Growth Rates'!V42/100</f>
        <v>2.1539935619245797E-2</v>
      </c>
      <c r="X49" s="112">
        <f>'GDP Growth Rates'!W42/100</f>
        <v>5.213679772468254E-3</v>
      </c>
      <c r="Y49" s="112">
        <f>'GDP Growth Rates'!X42/100</f>
        <v>2.6443115487153789E-2</v>
      </c>
    </row>
    <row r="50" spans="2:25">
      <c r="B50" s="634" t="s">
        <v>387</v>
      </c>
      <c r="C50" s="635" t="s">
        <v>388</v>
      </c>
      <c r="D50" s="634" t="s">
        <v>470</v>
      </c>
      <c r="E50" s="635" t="s">
        <v>471</v>
      </c>
      <c r="F50" s="112">
        <f>'GDP Growth Rates'!E43/100</f>
        <v>0.11458238455067019</v>
      </c>
      <c r="G50" s="112">
        <f>'GDP Growth Rates'!F43/100</f>
        <v>0.12674675165523525</v>
      </c>
      <c r="H50" s="112">
        <f>'GDP Growth Rates'!G43/100</f>
        <v>0.14149985494712738</v>
      </c>
      <c r="I50" s="112">
        <f>'GDP Growth Rates'!H43/100</f>
        <v>9.6702458860285112E-2</v>
      </c>
      <c r="J50" s="112">
        <f>'GDP Growth Rates'!I43/100</f>
        <v>9.4026997277804447E-2</v>
      </c>
      <c r="K50" s="112">
        <f>'GDP Growth Rates'!J43/100</f>
        <v>0.10596271976168153</v>
      </c>
      <c r="L50" s="112">
        <f>'GDP Growth Rates'!K43/100</f>
        <v>9.461335887073602E-2</v>
      </c>
      <c r="M50" s="112">
        <f>'GDP Growth Rates'!L43/100</f>
        <v>7.8561742705558685E-2</v>
      </c>
      <c r="N50" s="112">
        <f>'GDP Growth Rates'!M43/100</f>
        <v>7.7787240944671654E-2</v>
      </c>
      <c r="O50" s="112">
        <f>'GDP Growth Rates'!N43/100</f>
        <v>7.461900282294337E-2</v>
      </c>
      <c r="P50" s="112">
        <f>'GDP Growth Rates'!O43/100</f>
        <v>6.9787800265747671E-2</v>
      </c>
      <c r="Q50" s="112">
        <f>'GDP Growth Rates'!P43/100</f>
        <v>6.7755556283701709E-2</v>
      </c>
      <c r="R50" s="112">
        <f>'GDP Growth Rates'!Q43/100</f>
        <v>6.8912663621211012E-2</v>
      </c>
      <c r="S50" s="112">
        <f>'GDP Growth Rates'!R43/100</f>
        <v>6.7567180016683326E-2</v>
      </c>
      <c r="T50" s="112">
        <f>'GDP Growth Rates'!S43/100</f>
        <v>6.0685023505370451E-2</v>
      </c>
      <c r="U50" s="112">
        <f>'GDP Growth Rates'!T43/100</f>
        <v>2.3401884307841386E-2</v>
      </c>
      <c r="V50" s="112">
        <f>'GDP Growth Rates'!U43/100</f>
        <v>8.5700851316632201E-2</v>
      </c>
      <c r="W50" s="112">
        <f>'GDP Growth Rates'!V43/100</f>
        <v>3.1341888719577042E-2</v>
      </c>
      <c r="X50" s="112">
        <f>'GDP Growth Rates'!W43/100</f>
        <v>5.4148433009967502E-2</v>
      </c>
      <c r="Y50" s="112">
        <f>'GDP Growth Rates'!X43/100</f>
        <v>4.9773565917572003E-2</v>
      </c>
    </row>
    <row r="51" spans="2:25">
      <c r="B51" s="634" t="s">
        <v>387</v>
      </c>
      <c r="C51" s="635" t="s">
        <v>388</v>
      </c>
      <c r="D51" s="634" t="s">
        <v>472</v>
      </c>
      <c r="E51" s="635" t="s">
        <v>473</v>
      </c>
      <c r="F51" s="112">
        <f>'GDP Growth Rates'!E44/100</f>
        <v>4.8287611077374067E-2</v>
      </c>
      <c r="G51" s="112">
        <f>'GDP Growth Rates'!F44/100</f>
        <v>6.7168686984440173E-2</v>
      </c>
      <c r="H51" s="112">
        <f>'GDP Growth Rates'!G44/100</f>
        <v>6.7381946909097504E-2</v>
      </c>
      <c r="I51" s="112">
        <f>'GDP Growth Rates'!H44/100</f>
        <v>3.2834461861654063E-2</v>
      </c>
      <c r="J51" s="112">
        <f>'GDP Growth Rates'!I44/100</f>
        <v>1.1396486454806194E-2</v>
      </c>
      <c r="K51" s="112">
        <f>'GDP Growth Rates'!J44/100</f>
        <v>4.4946589707092241E-2</v>
      </c>
      <c r="L51" s="112">
        <f>'GDP Growth Rates'!K44/100</f>
        <v>6.9478919817355517E-2</v>
      </c>
      <c r="M51" s="112">
        <f>'GDP Growth Rates'!L44/100</f>
        <v>3.9126357671611489E-2</v>
      </c>
      <c r="N51" s="112">
        <f>'GDP Growth Rates'!M44/100</f>
        <v>5.1339935199567178E-2</v>
      </c>
      <c r="O51" s="112">
        <f>'GDP Growth Rates'!N44/100</f>
        <v>4.4990300011097162E-2</v>
      </c>
      <c r="P51" s="112">
        <f>'GDP Growth Rates'!O44/100</f>
        <v>2.9559013752752321E-2</v>
      </c>
      <c r="Q51" s="112">
        <f>'GDP Growth Rates'!P44/100</f>
        <v>2.0873825016279424E-2</v>
      </c>
      <c r="R51" s="112">
        <f>'GDP Growth Rates'!Q44/100</f>
        <v>1.3593608678874602E-2</v>
      </c>
      <c r="S51" s="112">
        <f>'GDP Growth Rates'!R44/100</f>
        <v>2.5643242827770366E-2</v>
      </c>
      <c r="T51" s="112">
        <f>'GDP Growth Rates'!S44/100</f>
        <v>3.1868553924553282E-2</v>
      </c>
      <c r="U51" s="112">
        <f>'GDP Growth Rates'!T44/100</f>
        <v>-7.1859141376085914E-2</v>
      </c>
      <c r="V51" s="112">
        <f>'GDP Growth Rates'!U44/100</f>
        <v>0.10801198190487839</v>
      </c>
      <c r="W51" s="112">
        <f>'GDP Growth Rates'!V44/100</f>
        <v>7.3282772942797864E-2</v>
      </c>
      <c r="X51" s="112">
        <f>'GDP Growth Rates'!W44/100</f>
        <v>7.123800319743339E-3</v>
      </c>
      <c r="Y51" s="112">
        <f>'GDP Growth Rates'!X44/100</f>
        <v>1.7438014504115956E-2</v>
      </c>
    </row>
    <row r="52" spans="2:25">
      <c r="B52" s="634" t="s">
        <v>387</v>
      </c>
      <c r="C52" s="635" t="s">
        <v>388</v>
      </c>
      <c r="D52" s="634" t="s">
        <v>474</v>
      </c>
      <c r="E52" s="635" t="s">
        <v>475</v>
      </c>
      <c r="F52" s="112">
        <f>'GDP Growth Rates'!E45/100</f>
        <v>2.8375478698833233E-2</v>
      </c>
      <c r="G52" s="112">
        <f>'GDP Growth Rates'!F45/100</f>
        <v>2.6469554759411977E-2</v>
      </c>
      <c r="H52" s="112">
        <f>'GDP Growth Rates'!G45/100</f>
        <v>8.0004234895538675E-3</v>
      </c>
      <c r="I52" s="112">
        <f>'GDP Growth Rates'!H45/100</f>
        <v>3.964611188718152E-2</v>
      </c>
      <c r="J52" s="112">
        <f>'GDP Growth Rates'!I45/100</f>
        <v>6.486928819906311E-2</v>
      </c>
      <c r="K52" s="112">
        <f>'GDP Growth Rates'!J45/100</f>
        <v>4.8010581682338654E-2</v>
      </c>
      <c r="L52" s="112">
        <f>'GDP Growth Rates'!K45/100</f>
        <v>5.8881526705416999E-2</v>
      </c>
      <c r="M52" s="112">
        <f>'GDP Growth Rates'!L45/100</f>
        <v>6.3106397375404272E-2</v>
      </c>
      <c r="N52" s="112">
        <f>'GDP Growth Rates'!M45/100</f>
        <v>8.9272695336596111E-2</v>
      </c>
      <c r="O52" s="112">
        <f>'GDP Growth Rates'!N45/100</f>
        <v>3.8956932895121525E-2</v>
      </c>
      <c r="P52" s="112">
        <f>'GDP Growth Rates'!O45/100</f>
        <v>1.9920646874693942E-2</v>
      </c>
      <c r="Q52" s="112">
        <f>'GDP Growth Rates'!P45/100</f>
        <v>2.7802285421223587E-2</v>
      </c>
      <c r="R52" s="112">
        <f>'GDP Growth Rates'!Q45/100</f>
        <v>5.596189520730107E-2</v>
      </c>
      <c r="S52" s="112">
        <f>'GDP Growth Rates'!R45/100</f>
        <v>4.0596059366280454E-2</v>
      </c>
      <c r="T52" s="112">
        <f>'GDP Growth Rates'!S45/100</f>
        <v>3.6287702443718643E-2</v>
      </c>
      <c r="U52" s="112">
        <f>'GDP Growth Rates'!T45/100</f>
        <v>4.005317935133107E-2</v>
      </c>
      <c r="V52" s="112">
        <f>'GDP Growth Rates'!U45/100</f>
        <v>2.725798450795594E-2</v>
      </c>
      <c r="W52" s="112">
        <f>'GDP Growth Rates'!V45/100</f>
        <v>2.8183950656263619E-2</v>
      </c>
      <c r="X52" s="112">
        <f>'GDP Growth Rates'!W45/100</f>
        <v>3.0646623685557584E-2</v>
      </c>
      <c r="Y52" s="112">
        <f>'GDP Growth Rates'!X45/100</f>
        <v>3.388783506268396E-2</v>
      </c>
    </row>
    <row r="53" spans="2:25">
      <c r="B53" s="634" t="s">
        <v>387</v>
      </c>
      <c r="C53" s="635" t="s">
        <v>388</v>
      </c>
      <c r="D53" s="634" t="s">
        <v>476</v>
      </c>
      <c r="E53" s="635" t="s">
        <v>178</v>
      </c>
      <c r="F53" s="112">
        <f>'GDP Growth Rates'!E46/100</f>
        <v>6.135151155489723E-2</v>
      </c>
      <c r="G53" s="112">
        <f>'GDP Growth Rates'!F46/100</f>
        <v>5.3209795654899777E-2</v>
      </c>
      <c r="H53" s="112">
        <f>'GDP Growth Rates'!G46/100</f>
        <v>6.2594777643739691E-2</v>
      </c>
      <c r="I53" s="112">
        <f>'GDP Growth Rates'!H46/100</f>
        <v>6.2258942686919311E-2</v>
      </c>
      <c r="J53" s="112">
        <f>'GDP Growth Rates'!I46/100</f>
        <v>2.8550640101148446E-2</v>
      </c>
      <c r="K53" s="112">
        <f>'GDP Growth Rates'!J46/100</f>
        <v>7.1079765758139221E-2</v>
      </c>
      <c r="L53" s="112">
        <f>'GDP Growth Rates'!K46/100</f>
        <v>6.8746708900163045E-2</v>
      </c>
      <c r="M53" s="112">
        <f>'GDP Growth Rates'!L46/100</f>
        <v>7.0868989467194152E-2</v>
      </c>
      <c r="N53" s="112">
        <f>'GDP Growth Rates'!M46/100</f>
        <v>8.4819566360875454E-2</v>
      </c>
      <c r="O53" s="112">
        <f>'GDP Growth Rates'!N46/100</f>
        <v>9.4702880993100966E-2</v>
      </c>
      <c r="P53" s="112">
        <f>'GDP Growth Rates'!O46/100</f>
        <v>6.9161671192256052E-2</v>
      </c>
      <c r="Q53" s="112">
        <f>'GDP Growth Rates'!P46/100</f>
        <v>2.399398911334515E-2</v>
      </c>
      <c r="R53" s="112">
        <f>'GDP Growth Rates'!Q46/100</f>
        <v>3.7269476588300987E-2</v>
      </c>
      <c r="S53" s="112">
        <f>'GDP Growth Rates'!R46/100</f>
        <v>5.8211210996902449E-2</v>
      </c>
      <c r="T53" s="112">
        <f>'GDP Growth Rates'!S46/100</f>
        <v>4.38452887429834E-2</v>
      </c>
      <c r="U53" s="112">
        <f>'GDP Growth Rates'!T46/100</f>
        <v>1.7354227668149348E-2</v>
      </c>
      <c r="V53" s="112">
        <f>'GDP Growth Rates'!U46/100</f>
        <v>6.2001540107594622E-2</v>
      </c>
      <c r="W53" s="112">
        <f>'GDP Growth Rates'!V46/100</f>
        <v>8.9244478507951752E-2</v>
      </c>
      <c r="X53" s="112">
        <f>'GDP Growth Rates'!W46/100</f>
        <v>8.6090897234843589E-2</v>
      </c>
      <c r="Y53" s="112">
        <f>'GDP Growth Rates'!X46/100</f>
        <v>6.675930289867793E-2</v>
      </c>
    </row>
    <row r="54" spans="2:25">
      <c r="B54" s="634" t="s">
        <v>387</v>
      </c>
      <c r="C54" s="635" t="s">
        <v>388</v>
      </c>
      <c r="D54" s="634" t="s">
        <v>477</v>
      </c>
      <c r="E54" s="635" t="s">
        <v>478</v>
      </c>
      <c r="F54" s="112">
        <f>'GDP Growth Rates'!E47/100</f>
        <v>7.7557589780664807E-2</v>
      </c>
      <c r="G54" s="112">
        <f>'GDP Growth Rates'!F47/100</f>
        <v>7.9862383633429068E-2</v>
      </c>
      <c r="H54" s="112">
        <f>'GDP Growth Rates'!G47/100</f>
        <v>-6.6139948044100116E-2</v>
      </c>
      <c r="I54" s="112">
        <f>'GDP Growth Rates'!H47/100</f>
        <v>6.3063759558525875E-2</v>
      </c>
      <c r="J54" s="112">
        <f>'GDP Growth Rates'!I47/100</f>
        <v>0.11637288861575755</v>
      </c>
      <c r="K54" s="112">
        <f>'GDP Growth Rates'!J47/100</f>
        <v>9.9312654309557755E-2</v>
      </c>
      <c r="L54" s="112">
        <f>'GDP Growth Rates'!K47/100</f>
        <v>2.2059193628671779E-2</v>
      </c>
      <c r="M54" s="112">
        <f>'GDP Growth Rates'!L47/100</f>
        <v>9.9471531425756432E-2</v>
      </c>
      <c r="N54" s="112">
        <f>'GDP Growth Rates'!M47/100</f>
        <v>-7.1243445187644736E-3</v>
      </c>
      <c r="O54" s="112">
        <f>'GDP Growth Rates'!N47/100</f>
        <v>6.6460654092844754E-2</v>
      </c>
      <c r="P54" s="112">
        <f>'GDP Growth Rates'!O47/100</f>
        <v>4.1519306129376328E-3</v>
      </c>
      <c r="Q54" s="112">
        <f>'GDP Growth Rates'!P47/100</f>
        <v>-8.685243439137863E-2</v>
      </c>
      <c r="R54" s="112">
        <f>'GDP Growth Rates'!Q47/100</f>
        <v>-5.5947737191554693E-2</v>
      </c>
      <c r="S54" s="112">
        <f>'GDP Growth Rates'!R47/100</f>
        <v>-2.3043178012584205E-2</v>
      </c>
      <c r="T54" s="112">
        <f>'GDP Growth Rates'!S47/100</f>
        <v>1.1244739197652932E-2</v>
      </c>
      <c r="U54" s="112">
        <f>'GDP Growth Rates'!T47/100</f>
        <v>-6.2677722796322541E-2</v>
      </c>
      <c r="V54" s="112">
        <f>'GDP Growth Rates'!U47/100</f>
        <v>1.0150703699090826E-2</v>
      </c>
      <c r="W54" s="112">
        <f>'GDP Growth Rates'!V47/100</f>
        <v>1.4753561324713331E-2</v>
      </c>
      <c r="X54" s="112">
        <f>'GDP Growth Rates'!W47/100</f>
        <v>1.9068642634675399E-2</v>
      </c>
      <c r="Y54" s="112">
        <f>'GDP Growth Rates'!X47/100</f>
        <v>2.5796663953513814E-2</v>
      </c>
    </row>
    <row r="55" spans="2:25">
      <c r="B55" s="634" t="s">
        <v>387</v>
      </c>
      <c r="C55" s="635" t="s">
        <v>388</v>
      </c>
      <c r="D55" s="634" t="s">
        <v>479</v>
      </c>
      <c r="E55" s="635" t="s">
        <v>480</v>
      </c>
      <c r="F55" s="112">
        <f>'GDP Growth Rates'!E48/100</f>
        <v>3.9766663681802615E-2</v>
      </c>
      <c r="G55" s="112">
        <f>'GDP Growth Rates'!F48/100</f>
        <v>7.3266954325066969E-2</v>
      </c>
      <c r="H55" s="112">
        <f>'GDP Growth Rates'!G48/100</f>
        <v>8.2151319834871547E-2</v>
      </c>
      <c r="I55" s="112">
        <f>'GDP Growth Rates'!H48/100</f>
        <v>4.7381748775402174E-2</v>
      </c>
      <c r="J55" s="112">
        <f>'GDP Growth Rates'!I48/100</f>
        <v>-8.7345594278778541E-3</v>
      </c>
      <c r="K55" s="112">
        <f>'GDP Growth Rates'!J48/100</f>
        <v>5.3603435263411117E-2</v>
      </c>
      <c r="L55" s="112">
        <f>'GDP Growth Rates'!K48/100</f>
        <v>4.4031592397043087E-2</v>
      </c>
      <c r="M55" s="112">
        <f>'GDP Growth Rates'!L48/100</f>
        <v>4.882592410257388E-2</v>
      </c>
      <c r="N55" s="112">
        <f>'GDP Growth Rates'!M48/100</f>
        <v>2.4947661120995404E-2</v>
      </c>
      <c r="O55" s="112">
        <f>'GDP Growth Rates'!N48/100</f>
        <v>3.5421098776597687E-2</v>
      </c>
      <c r="P55" s="112">
        <f>'GDP Growth Rates'!O48/100</f>
        <v>3.6520809680288265E-2</v>
      </c>
      <c r="Q55" s="112">
        <f>'GDP Growth Rates'!P48/100</f>
        <v>4.2043232517589929E-2</v>
      </c>
      <c r="R55" s="112">
        <f>'GDP Growth Rates'!Q48/100</f>
        <v>4.1576989627609036E-2</v>
      </c>
      <c r="S55" s="112">
        <f>'GDP Growth Rates'!R48/100</f>
        <v>2.615904404337897E-2</v>
      </c>
      <c r="T55" s="112">
        <f>'GDP Growth Rates'!S48/100</f>
        <v>2.4175118176251259E-2</v>
      </c>
      <c r="U55" s="112">
        <f>'GDP Growth Rates'!T48/100</f>
        <v>-4.273354321614619E-2</v>
      </c>
      <c r="V55" s="112">
        <f>'GDP Growth Rates'!U48/100</f>
        <v>7.9357622474314701E-2</v>
      </c>
      <c r="W55" s="112">
        <f>'GDP Growth Rates'!V48/100</f>
        <v>4.5514917795839833E-2</v>
      </c>
      <c r="X55" s="112">
        <f>'GDP Growth Rates'!W48/100</f>
        <v>5.1119218322913725E-2</v>
      </c>
      <c r="Y55" s="112">
        <f>'GDP Growth Rates'!X48/100</f>
        <v>4.3212242964722376E-2</v>
      </c>
    </row>
    <row r="56" spans="2:25">
      <c r="B56" s="634" t="s">
        <v>387</v>
      </c>
      <c r="C56" s="635" t="s">
        <v>388</v>
      </c>
      <c r="D56" s="634" t="s">
        <v>481</v>
      </c>
      <c r="E56" s="635" t="s">
        <v>482</v>
      </c>
      <c r="F56" s="112">
        <f>'GDP Growth Rates'!E49/100</f>
        <v>9.9606556485478843E-3</v>
      </c>
      <c r="G56" s="112">
        <f>'GDP Growth Rates'!F49/100</f>
        <v>2.8155785925232664E-2</v>
      </c>
      <c r="H56" s="112">
        <f>'GDP Growth Rates'!G49/100</f>
        <v>1.1014297679347749E-2</v>
      </c>
      <c r="I56" s="112">
        <f>'GDP Growth Rates'!H49/100</f>
        <v>4.7826659787671984E-2</v>
      </c>
      <c r="J56" s="112">
        <f>'GDP Growth Rates'!I49/100</f>
        <v>3.6033215666705302E-2</v>
      </c>
      <c r="K56" s="112">
        <f>'GDP Growth Rates'!J49/100</f>
        <v>6.8480493990701344E-2</v>
      </c>
      <c r="L56" s="112">
        <f>'GDP Growth Rates'!K49/100</f>
        <v>-5.3704472400057879E-2</v>
      </c>
      <c r="M56" s="112">
        <f>'GDP Growth Rates'!L49/100</f>
        <v>7.6204117645164896E-2</v>
      </c>
      <c r="N56" s="112">
        <f>'GDP Growth Rates'!M49/100</f>
        <v>0.10760213131125582</v>
      </c>
      <c r="O56" s="112">
        <f>'GDP Growth Rates'!N49/100</f>
        <v>9.371999942403747E-2</v>
      </c>
      <c r="P56" s="112">
        <f>'GDP Growth Rates'!O49/100</f>
        <v>7.1949494272819117E-2</v>
      </c>
      <c r="Q56" s="112">
        <f>'GDP Growth Rates'!P49/100</f>
        <v>7.1727596395633239E-2</v>
      </c>
      <c r="R56" s="112">
        <f>'GDP Growth Rates'!Q49/100</f>
        <v>7.4107624259250424E-2</v>
      </c>
      <c r="S56" s="112">
        <f>'GDP Growth Rates'!R49/100</f>
        <v>4.8431460588917757E-2</v>
      </c>
      <c r="T56" s="112">
        <f>'GDP Growth Rates'!S49/100</f>
        <v>6.7213716758497813E-2</v>
      </c>
      <c r="U56" s="112">
        <f>'GDP Growth Rates'!T49/100</f>
        <v>6.9972859349422831E-3</v>
      </c>
      <c r="V56" s="112">
        <f>'GDP Growth Rates'!U49/100</f>
        <v>7.0633291020523223E-2</v>
      </c>
      <c r="W56" s="112">
        <f>'GDP Growth Rates'!V49/100</f>
        <v>6.399883627205312E-2</v>
      </c>
      <c r="X56" s="112">
        <f>'GDP Growth Rates'!W49/100</f>
        <v>6.4504579690257483E-2</v>
      </c>
      <c r="Y56" s="112">
        <f>'GDP Growth Rates'!X49/100</f>
        <v>5.9500000000203099E-2</v>
      </c>
    </row>
    <row r="57" spans="2:25">
      <c r="B57" s="634" t="s">
        <v>387</v>
      </c>
      <c r="C57" s="635" t="s">
        <v>388</v>
      </c>
      <c r="D57" s="634" t="s">
        <v>483</v>
      </c>
      <c r="E57" s="635" t="s">
        <v>484</v>
      </c>
      <c r="F57" s="112">
        <f>'GDP Growth Rates'!E50/100</f>
        <v>4.3270765220591298E-2</v>
      </c>
      <c r="G57" s="112">
        <f>'GDP Growth Rates'!F50/100</f>
        <v>5.081465904072701E-2</v>
      </c>
      <c r="H57" s="112">
        <f>'GDP Growth Rates'!G50/100</f>
        <v>5.0488862087603364E-2</v>
      </c>
      <c r="I57" s="112">
        <f>'GDP Growth Rates'!H50/100</f>
        <v>1.9685900928191131E-2</v>
      </c>
      <c r="J57" s="112">
        <f>'GDP Growth Rates'!I50/100</f>
        <v>-6.8139561778942551E-2</v>
      </c>
      <c r="K57" s="112">
        <f>'GDP Growth Rates'!J50/100</f>
        <v>-1.3340815240057112E-2</v>
      </c>
      <c r="L57" s="112">
        <f>'GDP Growth Rates'!K50/100</f>
        <v>-9.7751452744660123E-4</v>
      </c>
      <c r="M57" s="112">
        <f>'GDP Growth Rates'!L50/100</f>
        <v>-2.2537455807858323E-2</v>
      </c>
      <c r="N57" s="112">
        <f>'GDP Growth Rates'!M50/100</f>
        <v>-1.2544982621149358E-3</v>
      </c>
      <c r="O57" s="112">
        <f>'GDP Growth Rates'!N50/100</f>
        <v>-5.5715019730610037E-3</v>
      </c>
      <c r="P57" s="112">
        <f>'GDP Growth Rates'!O50/100</f>
        <v>2.3231751580385519E-2</v>
      </c>
      <c r="Q57" s="112">
        <f>'GDP Growth Rates'!P50/100</f>
        <v>3.4611294735676666E-2</v>
      </c>
      <c r="R57" s="112">
        <f>'GDP Growth Rates'!Q50/100</f>
        <v>3.2809581214065846E-2</v>
      </c>
      <c r="S57" s="112">
        <f>'GDP Growth Rates'!R50/100</f>
        <v>2.90468149344008E-2</v>
      </c>
      <c r="T57" s="112">
        <f>'GDP Growth Rates'!S50/100</f>
        <v>3.1004391144375774E-2</v>
      </c>
      <c r="U57" s="112">
        <f>'GDP Growth Rates'!T50/100</f>
        <v>-8.3116425788468715E-2</v>
      </c>
      <c r="V57" s="112">
        <f>'GDP Growth Rates'!U50/100</f>
        <v>0.12631700327771184</v>
      </c>
      <c r="W57" s="112">
        <f>'GDP Growth Rates'!V50/100</f>
        <v>7.287936432065649E-2</v>
      </c>
      <c r="X57" s="112">
        <f>'GDP Growth Rates'!W50/100</f>
        <v>3.3025448808632521E-2</v>
      </c>
      <c r="Y57" s="112">
        <f>'GDP Growth Rates'!X50/100</f>
        <v>3.8149452166742891E-2</v>
      </c>
    </row>
    <row r="58" spans="2:25">
      <c r="B58" s="634" t="s">
        <v>387</v>
      </c>
      <c r="C58" s="635" t="s">
        <v>388</v>
      </c>
      <c r="D58" s="634" t="s">
        <v>485</v>
      </c>
      <c r="E58" s="635" t="s">
        <v>486</v>
      </c>
      <c r="F58" s="112">
        <f>'GDP Growth Rates'!E51/100</f>
        <v>0.11201656421909362</v>
      </c>
      <c r="G58" s="112">
        <f>'GDP Growth Rates'!F51/100</f>
        <v>0.12065863112995316</v>
      </c>
      <c r="H58" s="112">
        <f>'GDP Growth Rates'!G51/100</f>
        <v>7.2621369664794322E-2</v>
      </c>
      <c r="I58" s="112">
        <f>'GDP Growth Rates'!H51/100</f>
        <v>4.1168280416468118E-2</v>
      </c>
      <c r="J58" s="112">
        <f>'GDP Growth Rates'!I51/100</f>
        <v>1.4513054307407031E-2</v>
      </c>
      <c r="K58" s="112">
        <f>'GDP Growth Rates'!J51/100</f>
        <v>2.3903522965072314E-2</v>
      </c>
      <c r="L58" s="112">
        <f>'GDP Growth Rates'!K51/100</f>
        <v>2.8023008364762632E-2</v>
      </c>
      <c r="M58" s="112">
        <f>'GDP Growth Rates'!L51/100</f>
        <v>3.014900288987718E-2</v>
      </c>
      <c r="N58" s="112">
        <f>'GDP Growth Rates'!M51/100</f>
        <v>2.7476025625721122E-2</v>
      </c>
      <c r="O58" s="112">
        <f>'GDP Growth Rates'!N51/100</f>
        <v>1.047576631876538E-2</v>
      </c>
      <c r="P58" s="112">
        <f>'GDP Growth Rates'!O51/100</f>
        <v>4.4383335888394979E-2</v>
      </c>
      <c r="Q58" s="112">
        <f>'GDP Growth Rates'!P51/100</f>
        <v>5.1284309570074522E-3</v>
      </c>
      <c r="R58" s="112">
        <f>'GDP Growth Rates'!Q51/100</f>
        <v>1.8097917721228356E-2</v>
      </c>
      <c r="S58" s="112">
        <f>'GDP Growth Rates'!R51/100</f>
        <v>2.2479485408623247E-2</v>
      </c>
      <c r="T58" s="112">
        <f>'GDP Growth Rates'!S51/100</f>
        <v>-1.6308722360662386E-3</v>
      </c>
      <c r="U58" s="112">
        <f>'GDP Growth Rates'!T51/100</f>
        <v>-0.1094908460488621</v>
      </c>
      <c r="V58" s="112">
        <f>'GDP Growth Rates'!U51/100</f>
        <v>1.2536934250131112E-2</v>
      </c>
      <c r="W58" s="112">
        <f>'GDP Growth Rates'!V51/100</f>
        <v>1.7750487982576713E-2</v>
      </c>
      <c r="X58" s="112">
        <f>'GDP Growth Rates'!W51/100</f>
        <v>-1.9293712316968054E-2</v>
      </c>
      <c r="Y58" s="112" t="e">
        <f>'GDP Growth Rates'!X51/100</f>
        <v>#VALUE!</v>
      </c>
    </row>
    <row r="59" spans="2:25">
      <c r="B59" s="634" t="s">
        <v>387</v>
      </c>
      <c r="C59" s="635" t="s">
        <v>388</v>
      </c>
      <c r="D59" s="634" t="s">
        <v>487</v>
      </c>
      <c r="E59" s="635" t="s">
        <v>488</v>
      </c>
      <c r="F59" s="112">
        <f>'GDP Growth Rates'!E52/100</f>
        <v>6.7642534520166468E-3</v>
      </c>
      <c r="G59" s="112">
        <f>'GDP Growth Rates'!F52/100</f>
        <v>1.6359346898703536E-2</v>
      </c>
      <c r="H59" s="112">
        <f>'GDP Growth Rates'!G52/100</f>
        <v>2.4699632283678739E-2</v>
      </c>
      <c r="I59" s="112">
        <f>'GDP Growth Rates'!H52/100</f>
        <v>2.1880430801916758E-2</v>
      </c>
      <c r="J59" s="112">
        <f>'GDP Growth Rates'!I52/100</f>
        <v>-5.3130824233818428E-3</v>
      </c>
      <c r="K59" s="112">
        <f>'GDP Growth Rates'!J52/100</f>
        <v>8.2306608813141223E-4</v>
      </c>
      <c r="L59" s="112">
        <f>'GDP Growth Rates'!K52/100</f>
        <v>5.0845748203722958E-3</v>
      </c>
      <c r="M59" s="112">
        <f>'GDP Growth Rates'!L52/100</f>
        <v>-3.4895082430242042E-3</v>
      </c>
      <c r="N59" s="112">
        <f>'GDP Growth Rates'!M52/100</f>
        <v>-6.356969075911394E-3</v>
      </c>
      <c r="O59" s="112">
        <f>'GDP Growth Rates'!N52/100</f>
        <v>-6.3739737332713271E-3</v>
      </c>
      <c r="P59" s="112">
        <f>'GDP Growth Rates'!O52/100</f>
        <v>4.5815154416004589E-3</v>
      </c>
      <c r="Q59" s="112">
        <f>'GDP Growth Rates'!P52/100</f>
        <v>-1.0677084865527747E-2</v>
      </c>
      <c r="R59" s="112">
        <f>'GDP Growth Rates'!Q52/100</f>
        <v>-1.2762081008495017E-2</v>
      </c>
      <c r="S59" s="112">
        <f>'GDP Growth Rates'!R52/100</f>
        <v>-2.1041113310102874E-2</v>
      </c>
      <c r="T59" s="112">
        <f>'GDP Growth Rates'!S52/100</f>
        <v>-3.2061317190253506E-2</v>
      </c>
      <c r="U59" s="112">
        <f>'GDP Growth Rates'!T52/100</f>
        <v>-0.18438470350539377</v>
      </c>
      <c r="V59" s="112">
        <f>'GDP Growth Rates'!U52/100</f>
        <v>4.1837119305355087E-2</v>
      </c>
      <c r="W59" s="112">
        <f>'GDP Growth Rates'!V52/100</f>
        <v>7.9230000000000161E-2</v>
      </c>
      <c r="X59" s="112">
        <f>'GDP Growth Rates'!W52/100</f>
        <v>4.2019999999999273E-2</v>
      </c>
      <c r="Y59" s="112" t="e">
        <f>'GDP Growth Rates'!X52/100</f>
        <v>#VALUE!</v>
      </c>
    </row>
    <row r="60" spans="2:25">
      <c r="B60" s="634" t="s">
        <v>387</v>
      </c>
      <c r="C60" s="635" t="s">
        <v>388</v>
      </c>
      <c r="D60" s="634" t="s">
        <v>489</v>
      </c>
      <c r="E60" s="635" t="s">
        <v>490</v>
      </c>
      <c r="F60" s="112">
        <f>'GDP Growth Rates'!E53/100</f>
        <v>4.8529876217558582E-2</v>
      </c>
      <c r="G60" s="112">
        <f>'GDP Growth Rates'!F53/100</f>
        <v>4.7137835859395946E-2</v>
      </c>
      <c r="H60" s="112">
        <f>'GDP Growth Rates'!G53/100</f>
        <v>5.0982261485479796E-2</v>
      </c>
      <c r="I60" s="112">
        <f>'GDP Growth Rates'!H53/100</f>
        <v>3.6469892210393907E-2</v>
      </c>
      <c r="J60" s="112">
        <f>'GDP Growth Rates'!I53/100</f>
        <v>-2.0150820368369439E-2</v>
      </c>
      <c r="K60" s="112">
        <f>'GDP Growth Rates'!J53/100</f>
        <v>2.2826710011978831E-2</v>
      </c>
      <c r="L60" s="112">
        <f>'GDP Growth Rates'!K53/100</f>
        <v>4.1671186840868298E-3</v>
      </c>
      <c r="M60" s="112">
        <f>'GDP Growth Rates'!L53/100</f>
        <v>-3.4473815137458674E-2</v>
      </c>
      <c r="N60" s="112">
        <f>'GDP Growth Rates'!M53/100</f>
        <v>-6.5874775111834649E-2</v>
      </c>
      <c r="O60" s="112">
        <f>'GDP Growth Rates'!N53/100</f>
        <v>-1.7760586772861586E-2</v>
      </c>
      <c r="P60" s="112">
        <f>'GDP Growth Rates'!O53/100</f>
        <v>3.4189203888901287E-2</v>
      </c>
      <c r="Q60" s="112">
        <f>'GDP Growth Rates'!P53/100</f>
        <v>6.5735908092467807E-2</v>
      </c>
      <c r="R60" s="112">
        <f>'GDP Growth Rates'!Q53/100</f>
        <v>5.7508323655452498E-2</v>
      </c>
      <c r="S60" s="112">
        <f>'GDP Growth Rates'!R53/100</f>
        <v>6.2716636005640397E-2</v>
      </c>
      <c r="T60" s="112">
        <f>'GDP Growth Rates'!S53/100</f>
        <v>5.8755958338660721E-2</v>
      </c>
      <c r="U60" s="112">
        <f>'GDP Growth Rates'!T53/100</f>
        <v>-3.2206301863756719E-2</v>
      </c>
      <c r="V60" s="112">
        <f>'GDP Growth Rates'!U53/100</f>
        <v>0.11388189268430522</v>
      </c>
      <c r="W60" s="112">
        <f>'GDP Growth Rates'!V53/100</f>
        <v>7.2048678074387876E-2</v>
      </c>
      <c r="X60" s="112">
        <f>'GDP Growth Rates'!W53/100</f>
        <v>2.7639097541960495E-2</v>
      </c>
      <c r="Y60" s="112">
        <f>'GDP Growth Rates'!X53/100</f>
        <v>3.4480617042135009E-2</v>
      </c>
    </row>
    <row r="61" spans="2:25">
      <c r="B61" s="634" t="s">
        <v>387</v>
      </c>
      <c r="C61" s="635" t="s">
        <v>388</v>
      </c>
      <c r="D61" s="634" t="s">
        <v>491</v>
      </c>
      <c r="E61" s="635" t="s">
        <v>492</v>
      </c>
      <c r="F61" s="112">
        <f>'GDP Growth Rates'!E54/100</f>
        <v>6.3750288608679137E-2</v>
      </c>
      <c r="G61" s="112">
        <f>'GDP Growth Rates'!F54/100</f>
        <v>6.6231729917744675E-2</v>
      </c>
      <c r="H61" s="112">
        <f>'GDP Growth Rates'!G54/100</f>
        <v>5.4888259516451682E-2</v>
      </c>
      <c r="I61" s="112">
        <f>'GDP Growth Rates'!H54/100</f>
        <v>2.6122680720513925E-2</v>
      </c>
      <c r="J61" s="112">
        <f>'GDP Growth Rates'!I54/100</f>
        <v>-4.7983241668492556E-2</v>
      </c>
      <c r="K61" s="112">
        <f>'GDP Growth Rates'!J54/100</f>
        <v>2.7146650990770099E-2</v>
      </c>
      <c r="L61" s="112">
        <f>'GDP Growth Rates'!K54/100</f>
        <v>1.7723808533847318E-2</v>
      </c>
      <c r="M61" s="112">
        <f>'GDP Growth Rates'!L54/100</f>
        <v>-7.7066819062274307E-3</v>
      </c>
      <c r="N61" s="112">
        <f>'GDP Growth Rates'!M54/100</f>
        <v>-4.1812416044749055E-4</v>
      </c>
      <c r="O61" s="112">
        <f>'GDP Growth Rates'!N54/100</f>
        <v>2.2452121986263479E-2</v>
      </c>
      <c r="P61" s="112">
        <f>'GDP Growth Rates'!O54/100</f>
        <v>4.9587584891560399E-2</v>
      </c>
      <c r="Q61" s="112">
        <f>'GDP Growth Rates'!P54/100</f>
        <v>2.5808701392137579E-2</v>
      </c>
      <c r="R61" s="112">
        <f>'GDP Growth Rates'!Q54/100</f>
        <v>5.1735652996788131E-2</v>
      </c>
      <c r="S61" s="112">
        <f>'GDP Growth Rates'!R54/100</f>
        <v>2.8303058826786583E-2</v>
      </c>
      <c r="T61" s="112">
        <f>'GDP Growth Rates'!S54/100</f>
        <v>3.5657765812826057E-2</v>
      </c>
      <c r="U61" s="112">
        <f>'GDP Growth Rates'!T54/100</f>
        <v>-5.3048795546387598E-2</v>
      </c>
      <c r="V61" s="112">
        <f>'GDP Growth Rates'!U54/100</f>
        <v>4.0290183205514862E-2</v>
      </c>
      <c r="W61" s="112">
        <f>'GDP Growth Rates'!V54/100</f>
        <v>2.847170658381401E-2</v>
      </c>
      <c r="X61" s="112">
        <f>'GDP Growth Rates'!W54/100</f>
        <v>-5.5261820112022524E-4</v>
      </c>
      <c r="Y61" s="112">
        <f>'GDP Growth Rates'!X54/100</f>
        <v>1.1203846269866488E-2</v>
      </c>
    </row>
    <row r="62" spans="2:25">
      <c r="B62" s="634" t="s">
        <v>387</v>
      </c>
      <c r="C62" s="635" t="s">
        <v>388</v>
      </c>
      <c r="D62" s="634" t="s">
        <v>493</v>
      </c>
      <c r="E62" s="635" t="s">
        <v>494</v>
      </c>
      <c r="F62" s="112">
        <f>'GDP Growth Rates'!E55/100</f>
        <v>2.3596088299252783E-2</v>
      </c>
      <c r="G62" s="112">
        <f>'GDP Growth Rates'!F55/100</f>
        <v>3.8164876990817193E-2</v>
      </c>
      <c r="H62" s="112">
        <f>'GDP Growth Rates'!G55/100</f>
        <v>9.8717381594512696E-3</v>
      </c>
      <c r="I62" s="112">
        <f>'GDP Growth Rates'!H55/100</f>
        <v>-4.1717843999100526E-3</v>
      </c>
      <c r="J62" s="112">
        <f>'GDP Growth Rates'!I55/100</f>
        <v>-4.9744790566905832E-2</v>
      </c>
      <c r="K62" s="112">
        <f>'GDP Growth Rates'!J55/100</f>
        <v>1.5828970310880236E-2</v>
      </c>
      <c r="L62" s="112">
        <f>'GDP Growth Rates'!K55/100</f>
        <v>1.3108037609605959E-2</v>
      </c>
      <c r="M62" s="112">
        <f>'GDP Growth Rates'!L55/100</f>
        <v>-5.432301616707491E-5</v>
      </c>
      <c r="N62" s="112">
        <f>'GDP Growth Rates'!M55/100</f>
        <v>1.3926734316197127E-2</v>
      </c>
      <c r="O62" s="112">
        <f>'GDP Growth Rates'!N55/100</f>
        <v>1.2779998319283123E-2</v>
      </c>
      <c r="P62" s="112">
        <f>'GDP Growth Rates'!O55/100</f>
        <v>2.1044145644530089E-2</v>
      </c>
      <c r="Q62" s="112">
        <f>'GDP Growth Rates'!P55/100</f>
        <v>3.0730454920909266E-2</v>
      </c>
      <c r="R62" s="112">
        <f>'GDP Growth Rates'!Q55/100</f>
        <v>3.0564772392271778E-2</v>
      </c>
      <c r="S62" s="112">
        <f>'GDP Growth Rates'!R55/100</f>
        <v>1.8600074900921016E-2</v>
      </c>
      <c r="T62" s="112">
        <f>'GDP Growth Rates'!S55/100</f>
        <v>1.7114009393273618E-2</v>
      </c>
      <c r="U62" s="112">
        <f>'GDP Growth Rates'!T55/100</f>
        <v>-1.7801060183129068E-2</v>
      </c>
      <c r="V62" s="112">
        <f>'GDP Growth Rates'!U55/100</f>
        <v>7.3820663344986312E-2</v>
      </c>
      <c r="W62" s="112">
        <f>'GDP Growth Rates'!V55/100</f>
        <v>1.5401730735789272E-2</v>
      </c>
      <c r="X62" s="112">
        <f>'GDP Growth Rates'!W55/100</f>
        <v>2.4951843451677291E-2</v>
      </c>
      <c r="Y62" s="112">
        <f>'GDP Growth Rates'!X55/100</f>
        <v>3.676197349719288E-2</v>
      </c>
    </row>
    <row r="63" spans="2:25">
      <c r="B63" s="634" t="s">
        <v>387</v>
      </c>
      <c r="C63" s="635" t="s">
        <v>388</v>
      </c>
      <c r="D63" s="634" t="s">
        <v>495</v>
      </c>
      <c r="E63" s="635" t="s">
        <v>496</v>
      </c>
      <c r="F63" s="112" t="e">
        <f>'GDP Growth Rates'!E56/100</f>
        <v>#VALUE!</v>
      </c>
      <c r="G63" s="112" t="e">
        <f>'GDP Growth Rates'!F56/100</f>
        <v>#VALUE!</v>
      </c>
      <c r="H63" s="112" t="e">
        <f>'GDP Growth Rates'!G56/100</f>
        <v>#VALUE!</v>
      </c>
      <c r="I63" s="112" t="e">
        <f>'GDP Growth Rates'!H56/100</f>
        <v>#VALUE!</v>
      </c>
      <c r="J63" s="112" t="e">
        <f>'GDP Growth Rates'!I56/100</f>
        <v>#VALUE!</v>
      </c>
      <c r="K63" s="112" t="e">
        <f>'GDP Growth Rates'!J56/100</f>
        <v>#VALUE!</v>
      </c>
      <c r="L63" s="112" t="e">
        <f>'GDP Growth Rates'!K56/100</f>
        <v>#VALUE!</v>
      </c>
      <c r="M63" s="112" t="e">
        <f>'GDP Growth Rates'!L56/100</f>
        <v>#VALUE!</v>
      </c>
      <c r="N63" s="112" t="e">
        <f>'GDP Growth Rates'!M56/100</f>
        <v>#VALUE!</v>
      </c>
      <c r="O63" s="112">
        <f>'GDP Growth Rates'!N56/100</f>
        <v>7.1929872846369702E-2</v>
      </c>
      <c r="P63" s="112">
        <f>'GDP Growth Rates'!O56/100</f>
        <v>7.3089856345079904E-2</v>
      </c>
      <c r="Q63" s="112">
        <f>'GDP Growth Rates'!P56/100</f>
        <v>7.1234323372871985E-2</v>
      </c>
      <c r="R63" s="112">
        <f>'GDP Growth Rates'!Q56/100</f>
        <v>5.4580915172119972E-2</v>
      </c>
      <c r="S63" s="112">
        <f>'GDP Growth Rates'!R56/100</f>
        <v>4.7743393494319261E-2</v>
      </c>
      <c r="T63" s="112">
        <f>'GDP Growth Rates'!S56/100</f>
        <v>5.545080811549781E-2</v>
      </c>
      <c r="U63" s="112">
        <f>'GDP Growth Rates'!T56/100</f>
        <v>1.2021151728968959E-2</v>
      </c>
      <c r="V63" s="112">
        <f>'GDP Growth Rates'!U56/100</f>
        <v>4.4071566756115316E-2</v>
      </c>
      <c r="W63" s="112">
        <f>'GDP Growth Rates'!V56/100</f>
        <v>5.1665370285437433E-2</v>
      </c>
      <c r="X63" s="112">
        <f>'GDP Growth Rates'!W56/100</f>
        <v>7.3720714870199516E-2</v>
      </c>
      <c r="Y63" s="112">
        <f>'GDP Growth Rates'!X56/100</f>
        <v>5.9538299885484779E-2</v>
      </c>
    </row>
    <row r="64" spans="2:25">
      <c r="B64" s="634" t="s">
        <v>387</v>
      </c>
      <c r="C64" s="635" t="s">
        <v>388</v>
      </c>
      <c r="D64" s="634" t="s">
        <v>497</v>
      </c>
      <c r="E64" s="635" t="s">
        <v>498</v>
      </c>
      <c r="F64" s="112">
        <f>'GDP Growth Rates'!E57/100</f>
        <v>9.1528647277914384E-3</v>
      </c>
      <c r="G64" s="112">
        <f>'GDP Growth Rates'!F57/100</f>
        <v>4.4007747981205936E-2</v>
      </c>
      <c r="H64" s="112">
        <f>'GDP Growth Rates'!G57/100</f>
        <v>5.3579375575878031E-2</v>
      </c>
      <c r="I64" s="112">
        <f>'GDP Growth Rates'!H57/100</f>
        <v>7.1213121776223146E-2</v>
      </c>
      <c r="J64" s="112">
        <f>'GDP Growth Rates'!I57/100</f>
        <v>-1.1357514564832201E-2</v>
      </c>
      <c r="K64" s="112">
        <f>'GDP Growth Rates'!J57/100</f>
        <v>-1.0561085769498391E-3</v>
      </c>
      <c r="L64" s="112">
        <f>'GDP Growth Rates'!K57/100</f>
        <v>4.2738887889143484E-4</v>
      </c>
      <c r="M64" s="112">
        <f>'GDP Growth Rates'!L57/100</f>
        <v>-1.573917931422102E-3</v>
      </c>
      <c r="N64" s="112">
        <f>'GDP Growth Rates'!M57/100</f>
        <v>4.5039972976042007E-5</v>
      </c>
      <c r="O64" s="112">
        <f>'GDP Growth Rates'!N57/100</f>
        <v>2.3352174206769261E-2</v>
      </c>
      <c r="P64" s="112">
        <f>'GDP Growth Rates'!O57/100</f>
        <v>-3.3733826247689509E-2</v>
      </c>
      <c r="Q64" s="112">
        <f>'GDP Growth Rates'!P57/100</f>
        <v>1.4472455648926257E-2</v>
      </c>
      <c r="R64" s="112">
        <f>'GDP Growth Rates'!Q57/100</f>
        <v>-7.544363754728195E-2</v>
      </c>
      <c r="S64" s="112">
        <f>'GDP Growth Rates'!R57/100</f>
        <v>2.9640106104660047E-2</v>
      </c>
      <c r="T64" s="112">
        <f>'GDP Growth Rates'!S57/100</f>
        <v>3.9480975793805301E-2</v>
      </c>
      <c r="U64" s="112">
        <f>'GDP Growth Rates'!T57/100</f>
        <v>-0.15706402454586182</v>
      </c>
      <c r="V64" s="112">
        <f>'GDP Growth Rates'!U57/100</f>
        <v>5.3798383895471175E-2</v>
      </c>
      <c r="W64" s="112">
        <f>'GDP Growth Rates'!V57/100</f>
        <v>0.1039680766161213</v>
      </c>
      <c r="X64" s="112">
        <f>'GDP Growth Rates'!W57/100</f>
        <v>3.6522101220873397E-2</v>
      </c>
      <c r="Y64" s="112">
        <f>'GDP Growth Rates'!X57/100</f>
        <v>2.0527384725260021E-2</v>
      </c>
    </row>
    <row r="65" spans="2:25">
      <c r="B65" s="634" t="s">
        <v>387</v>
      </c>
      <c r="C65" s="635" t="s">
        <v>388</v>
      </c>
      <c r="D65" s="634" t="s">
        <v>499</v>
      </c>
      <c r="E65" s="635" t="s">
        <v>500</v>
      </c>
      <c r="F65" s="112">
        <f>'GDP Growth Rates'!E58/100</f>
        <v>9.4317893197728472E-2</v>
      </c>
      <c r="G65" s="112">
        <f>'GDP Growth Rates'!F58/100</f>
        <v>9.1712065095529885E-2</v>
      </c>
      <c r="H65" s="112">
        <f>'GDP Growth Rates'!G58/100</f>
        <v>7.4184057777423498E-2</v>
      </c>
      <c r="I65" s="112">
        <f>'GDP Growth Rates'!H58/100</f>
        <v>3.2680867128821234E-2</v>
      </c>
      <c r="J65" s="112">
        <f>'GDP Growth Rates'!I58/100</f>
        <v>1.0034529301871941E-2</v>
      </c>
      <c r="K65" s="112">
        <f>'GDP Growth Rates'!J58/100</f>
        <v>8.4011454120959575E-2</v>
      </c>
      <c r="L65" s="112">
        <f>'GDP Growth Rates'!K58/100</f>
        <v>3.1919622747552265E-2</v>
      </c>
      <c r="M65" s="112">
        <f>'GDP Growth Rates'!L58/100</f>
        <v>2.7756710084881606E-2</v>
      </c>
      <c r="N65" s="112">
        <f>'GDP Growth Rates'!M58/100</f>
        <v>4.9347330070988134E-2</v>
      </c>
      <c r="O65" s="112">
        <f>'GDP Growth Rates'!N58/100</f>
        <v>7.1112262967389206E-2</v>
      </c>
      <c r="P65" s="112">
        <f>'GDP Growth Rates'!O58/100</f>
        <v>6.9877113123638701E-2</v>
      </c>
      <c r="Q65" s="112">
        <f>'GDP Growth Rates'!P58/100</f>
        <v>6.7197407868129486E-2</v>
      </c>
      <c r="R65" s="112">
        <f>'GDP Growth Rates'!Q58/100</f>
        <v>3.9338617640157593E-2</v>
      </c>
      <c r="S65" s="112">
        <f>'GDP Growth Rates'!R58/100</f>
        <v>7.0975164021015905E-2</v>
      </c>
      <c r="T65" s="112">
        <f>'GDP Growth Rates'!S58/100</f>
        <v>4.8940301149583976E-2</v>
      </c>
      <c r="U65" s="112">
        <f>'GDP Growth Rates'!T58/100</f>
        <v>-7.9290523423106121E-2</v>
      </c>
      <c r="V65" s="112">
        <f>'GDP Growth Rates'!U58/100</f>
        <v>0.14012428906220692</v>
      </c>
      <c r="W65" s="112">
        <f>'GDP Growth Rates'!V58/100</f>
        <v>5.2379565290259507E-2</v>
      </c>
      <c r="X65" s="112">
        <f>'GDP Growth Rates'!W58/100</f>
        <v>2.1922984823793856E-2</v>
      </c>
      <c r="Y65" s="112">
        <f>'GDP Growth Rates'!X58/100</f>
        <v>4.9516968718248219E-2</v>
      </c>
    </row>
    <row r="66" spans="2:25">
      <c r="B66" s="634" t="s">
        <v>387</v>
      </c>
      <c r="C66" s="635" t="s">
        <v>388</v>
      </c>
      <c r="D66" s="634" t="s">
        <v>501</v>
      </c>
      <c r="E66" s="635" t="s">
        <v>502</v>
      </c>
      <c r="F66" s="112">
        <f>'GDP Growth Rates'!E59/100</f>
        <v>5.3986224399434235E-2</v>
      </c>
      <c r="G66" s="112">
        <f>'GDP Growth Rates'!F59/100</f>
        <v>4.3411319857763857E-2</v>
      </c>
      <c r="H66" s="112">
        <f>'GDP Growth Rates'!G59/100</f>
        <v>1.9024285970048425E-2</v>
      </c>
      <c r="I66" s="112">
        <f>'GDP Growth Rates'!H59/100</f>
        <v>6.5649206822471912E-2</v>
      </c>
      <c r="J66" s="112">
        <f>'GDP Growth Rates'!I59/100</f>
        <v>1.0910129698310981E-2</v>
      </c>
      <c r="K66" s="112">
        <f>'GDP Growth Rates'!J59/100</f>
        <v>4.0291378798662125E-2</v>
      </c>
      <c r="L66" s="112">
        <f>'GDP Growth Rates'!K59/100</f>
        <v>8.4814765633282288E-2</v>
      </c>
      <c r="M66" s="112">
        <f>'GDP Growth Rates'!L59/100</f>
        <v>5.7832123361719993E-2</v>
      </c>
      <c r="N66" s="112">
        <f>'GDP Growth Rates'!M59/100</f>
        <v>7.211236536791589E-2</v>
      </c>
      <c r="O66" s="112">
        <f>'GDP Growth Rates'!N59/100</f>
        <v>4.2260652038845589E-2</v>
      </c>
      <c r="P66" s="112">
        <f>'GDP Growth Rates'!O59/100</f>
        <v>1.1969210928761242E-3</v>
      </c>
      <c r="Q66" s="112">
        <f>'GDP Growth Rates'!P59/100</f>
        <v>-6.8795424587794682E-3</v>
      </c>
      <c r="R66" s="112">
        <f>'GDP Growth Rates'!Q59/100</f>
        <v>5.9703988095484134E-2</v>
      </c>
      <c r="S66" s="112">
        <f>'GDP Growth Rates'!R59/100</f>
        <v>1.0442946067960718E-2</v>
      </c>
      <c r="T66" s="112">
        <f>'GDP Growth Rates'!S59/100</f>
        <v>1.6540446460030012E-3</v>
      </c>
      <c r="U66" s="112">
        <f>'GDP Growth Rates'!T59/100</f>
        <v>-9.2450961916586472E-2</v>
      </c>
      <c r="V66" s="112">
        <f>'GDP Growth Rates'!U59/100</f>
        <v>9.4218926903363073E-2</v>
      </c>
      <c r="W66" s="112">
        <f>'GDP Growth Rates'!V59/100</f>
        <v>5.8684235486231133E-2</v>
      </c>
      <c r="X66" s="112">
        <f>'GDP Growth Rates'!W59/100</f>
        <v>1.9882381398423517E-2</v>
      </c>
      <c r="Y66" s="112">
        <f>'GDP Growth Rates'!X59/100</f>
        <v>-2.0012547634102588E-2</v>
      </c>
    </row>
    <row r="67" spans="2:25">
      <c r="B67" s="634" t="s">
        <v>387</v>
      </c>
      <c r="C67" s="635" t="s">
        <v>388</v>
      </c>
      <c r="D67" s="634" t="s">
        <v>503</v>
      </c>
      <c r="E67" s="635" t="s">
        <v>504</v>
      </c>
      <c r="F67" s="112">
        <f>'GDP Growth Rates'!E60/100</f>
        <v>4.471744471744344E-2</v>
      </c>
      <c r="G67" s="112">
        <f>'GDP Growth Rates'!F60/100</f>
        <v>6.8438381937911713E-2</v>
      </c>
      <c r="H67" s="112">
        <f>'GDP Growth Rates'!G60/100</f>
        <v>7.087827426810378E-2</v>
      </c>
      <c r="I67" s="112">
        <f>'GDP Growth Rates'!H60/100</f>
        <v>7.1562835660581928E-2</v>
      </c>
      <c r="J67" s="112">
        <f>'GDP Growth Rates'!I60/100</f>
        <v>4.6735997995239129E-2</v>
      </c>
      <c r="K67" s="112">
        <f>'GDP Growth Rates'!J60/100</f>
        <v>5.1472348575531013E-2</v>
      </c>
      <c r="L67" s="112">
        <f>'GDP Growth Rates'!K60/100</f>
        <v>1.7645719489981958E-2</v>
      </c>
      <c r="M67" s="112">
        <f>'GDP Growth Rates'!L60/100</f>
        <v>2.2261997986352498E-2</v>
      </c>
      <c r="N67" s="112">
        <f>'GDP Growth Rates'!M60/100</f>
        <v>2.1854660536214255E-2</v>
      </c>
      <c r="O67" s="112">
        <f>'GDP Growth Rates'!N60/100</f>
        <v>2.9159118798574753E-2</v>
      </c>
      <c r="P67" s="112">
        <f>'GDP Growth Rates'!O60/100</f>
        <v>4.372019077901413E-2</v>
      </c>
      <c r="Q67" s="112">
        <f>'GDP Growth Rates'!P60/100</f>
        <v>4.3466434555544706E-2</v>
      </c>
      <c r="R67" s="112">
        <f>'GDP Growth Rates'!Q60/100</f>
        <v>4.181220999947783E-2</v>
      </c>
      <c r="S67" s="112">
        <f>'GDP Growth Rates'!R60/100</f>
        <v>5.3311086189447965E-2</v>
      </c>
      <c r="T67" s="112">
        <f>'GDP Growth Rates'!S60/100</f>
        <v>5.5520930715695582E-2</v>
      </c>
      <c r="U67" s="112">
        <f>'GDP Growth Rates'!T60/100</f>
        <v>3.5501648378683796E-2</v>
      </c>
      <c r="V67" s="112">
        <f>'GDP Growth Rates'!U60/100</f>
        <v>3.2906460120221082E-2</v>
      </c>
      <c r="W67" s="112">
        <f>'GDP Growth Rates'!V60/100</f>
        <v>6.5878456088696705E-2</v>
      </c>
      <c r="X67" s="112">
        <f>'GDP Growth Rates'!W60/100</f>
        <v>3.7602805227924703E-2</v>
      </c>
      <c r="Y67" s="112">
        <f>'GDP Growth Rates'!X60/100</f>
        <v>2.3991692678251013E-2</v>
      </c>
    </row>
    <row r="68" spans="2:25">
      <c r="B68" s="634" t="s">
        <v>387</v>
      </c>
      <c r="C68" s="635" t="s">
        <v>388</v>
      </c>
      <c r="D68" s="634" t="s">
        <v>505</v>
      </c>
      <c r="E68" s="635" t="s">
        <v>506</v>
      </c>
      <c r="F68" s="112">
        <f>'GDP Growth Rates'!E61/100</f>
        <v>2.6808300936319397E-2</v>
      </c>
      <c r="G68" s="112">
        <f>'GDP Growth Rates'!F61/100</f>
        <v>4.3369986028604049E-2</v>
      </c>
      <c r="H68" s="112">
        <f>'GDP Growth Rates'!G61/100</f>
        <v>1.8476022058785874E-2</v>
      </c>
      <c r="I68" s="112">
        <f>'GDP Growth Rates'!H61/100</f>
        <v>2.1544029828276762E-2</v>
      </c>
      <c r="J68" s="112">
        <f>'GDP Growth Rates'!I61/100</f>
        <v>-2.1087683762752222E-2</v>
      </c>
      <c r="K68" s="112">
        <f>'GDP Growth Rates'!J61/100</f>
        <v>2.1541953669363494E-2</v>
      </c>
      <c r="L68" s="112">
        <f>'GDP Growth Rates'!K61/100</f>
        <v>3.7735849983468628E-2</v>
      </c>
      <c r="M68" s="112">
        <f>'GDP Growth Rates'!L61/100</f>
        <v>2.8877001018869065E-2</v>
      </c>
      <c r="N68" s="112">
        <f>'GDP Growth Rates'!M61/100</f>
        <v>2.1829523249963501E-2</v>
      </c>
      <c r="O68" s="112">
        <f>'GDP Growth Rates'!N61/100</f>
        <v>1.7293998423458988E-2</v>
      </c>
      <c r="P68" s="112">
        <f>'GDP Growth Rates'!O61/100</f>
        <v>2.4000000885211533E-2</v>
      </c>
      <c r="Q68" s="112">
        <f>'GDP Growth Rates'!P61/100</f>
        <v>2.5390624113586426E-2</v>
      </c>
      <c r="R68" s="112">
        <f>'GDP Growth Rates'!Q61/100</f>
        <v>2.2476190813413836E-2</v>
      </c>
      <c r="S68" s="112">
        <f>'GDP Growth Rates'!R61/100</f>
        <v>2.4124442237792039E-2</v>
      </c>
      <c r="T68" s="112">
        <f>'GDP Growth Rates'!S61/100</f>
        <v>2.4374715906578359E-2</v>
      </c>
      <c r="U68" s="112">
        <f>'GDP Growth Rates'!T61/100</f>
        <v>-7.8931013598670038E-2</v>
      </c>
      <c r="V68" s="112">
        <f>'GDP Growth Rates'!U61/100</f>
        <v>0.11904761701595674</v>
      </c>
      <c r="W68" s="112">
        <f>'GDP Growth Rates'!V61/100</f>
        <v>2.9546151654988931E-2</v>
      </c>
      <c r="X68" s="112">
        <f>'GDP Growth Rates'!W61/100</f>
        <v>3.5391566928735047E-2</v>
      </c>
      <c r="Y68" s="112">
        <f>'GDP Growth Rates'!X61/100</f>
        <v>2.6020201612106889E-2</v>
      </c>
    </row>
    <row r="69" spans="2:25">
      <c r="B69" s="634" t="s">
        <v>387</v>
      </c>
      <c r="C69" s="635" t="s">
        <v>388</v>
      </c>
      <c r="D69" s="634" t="s">
        <v>507</v>
      </c>
      <c r="E69" s="635" t="s">
        <v>508</v>
      </c>
      <c r="F69" s="112">
        <f>'GDP Growth Rates'!E62/100</f>
        <v>0.16748700605354089</v>
      </c>
      <c r="G69" s="112">
        <f>'GDP Growth Rates'!F62/100</f>
        <v>7.7049176065876704E-2</v>
      </c>
      <c r="H69" s="112">
        <f>'GDP Growth Rates'!G62/100</f>
        <v>0.15282113919485724</v>
      </c>
      <c r="I69" s="112">
        <f>'GDP Growth Rates'!H62/100</f>
        <v>0.17799109133381136</v>
      </c>
      <c r="J69" s="112">
        <f>'GDP Growth Rates'!I62/100</f>
        <v>1.3433562880609458E-2</v>
      </c>
      <c r="K69" s="112">
        <f>'GDP Growth Rates'!J62/100</f>
        <v>-8.9241758885180641E-2</v>
      </c>
      <c r="L69" s="112">
        <f>'GDP Growth Rates'!K62/100</f>
        <v>6.5239236298987327E-2</v>
      </c>
      <c r="M69" s="112">
        <f>'GDP Growth Rates'!L62/100</f>
        <v>8.3128718444564098E-2</v>
      </c>
      <c r="N69" s="112">
        <f>'GDP Growth Rates'!M62/100</f>
        <v>-4.1331985013158316E-2</v>
      </c>
      <c r="O69" s="112">
        <f>'GDP Growth Rates'!N62/100</f>
        <v>4.150663015968661E-3</v>
      </c>
      <c r="P69" s="112">
        <f>'GDP Growth Rates'!O62/100</f>
        <v>-9.110041148815369E-2</v>
      </c>
      <c r="Q69" s="112">
        <f>'GDP Growth Rates'!P62/100</f>
        <v>-8.8164172321975653E-2</v>
      </c>
      <c r="R69" s="112">
        <f>'GDP Growth Rates'!Q62/100</f>
        <v>-5.667508504866859E-2</v>
      </c>
      <c r="S69" s="112">
        <f>'GDP Growth Rates'!R62/100</f>
        <v>-6.2365440673457471E-2</v>
      </c>
      <c r="T69" s="112">
        <f>'GDP Growth Rates'!S62/100</f>
        <v>-5.4818253789344455E-2</v>
      </c>
      <c r="U69" s="112">
        <f>'GDP Growth Rates'!T62/100</f>
        <v>-4.7910808338329364E-2</v>
      </c>
      <c r="V69" s="112">
        <f>'GDP Growth Rates'!U62/100</f>
        <v>8.6026995638206934E-3</v>
      </c>
      <c r="W69" s="112">
        <f>'GDP Growth Rates'!V62/100</f>
        <v>3.2235083165859775E-2</v>
      </c>
      <c r="X69" s="112">
        <f>'GDP Growth Rates'!W62/100</f>
        <v>-5.0893087207153229E-2</v>
      </c>
      <c r="Y69" s="112">
        <f>'GDP Growth Rates'!X62/100</f>
        <v>9.0724824598673592E-3</v>
      </c>
    </row>
    <row r="70" spans="2:25">
      <c r="B70" s="634" t="s">
        <v>387</v>
      </c>
      <c r="C70" s="635" t="s">
        <v>388</v>
      </c>
      <c r="D70" s="634" t="s">
        <v>509</v>
      </c>
      <c r="E70" s="635" t="s">
        <v>510</v>
      </c>
      <c r="F70" s="112">
        <f>'GDP Growth Rates'!E63/100</f>
        <v>2.5744495512484634E-2</v>
      </c>
      <c r="G70" s="112">
        <f>'GDP Growth Rates'!F63/100</f>
        <v>-9.6921711071135518E-3</v>
      </c>
      <c r="H70" s="112">
        <f>'GDP Growth Rates'!G63/100</f>
        <v>1.4268222112032304E-2</v>
      </c>
      <c r="I70" s="112">
        <f>'GDP Growth Rates'!H63/100</f>
        <v>-9.783030017824558E-2</v>
      </c>
      <c r="J70" s="112">
        <f>'GDP Growth Rates'!I63/100</f>
        <v>3.8765015275421033E-2</v>
      </c>
      <c r="K70" s="112">
        <f>'GDP Growth Rates'!J63/100</f>
        <v>2.1941903488808236E-2</v>
      </c>
      <c r="L70" s="112">
        <f>'GDP Growth Rates'!K63/100</f>
        <v>8.6798001013804929E-2</v>
      </c>
      <c r="M70" s="112" t="e">
        <f>'GDP Growth Rates'!L63/100</f>
        <v>#VALUE!</v>
      </c>
      <c r="N70" s="112" t="e">
        <f>'GDP Growth Rates'!M63/100</f>
        <v>#VALUE!</v>
      </c>
      <c r="O70" s="112" t="e">
        <f>'GDP Growth Rates'!N63/100</f>
        <v>#VALUE!</v>
      </c>
      <c r="P70" s="112" t="e">
        <f>'GDP Growth Rates'!O63/100</f>
        <v>#VALUE!</v>
      </c>
      <c r="Q70" s="112" t="e">
        <f>'GDP Growth Rates'!P63/100</f>
        <v>#VALUE!</v>
      </c>
      <c r="R70" s="112" t="e">
        <f>'GDP Growth Rates'!Q63/100</f>
        <v>#VALUE!</v>
      </c>
      <c r="S70" s="112" t="e">
        <f>'GDP Growth Rates'!R63/100</f>
        <v>#VALUE!</v>
      </c>
      <c r="T70" s="112" t="e">
        <f>'GDP Growth Rates'!S63/100</f>
        <v>#VALUE!</v>
      </c>
      <c r="U70" s="112" t="e">
        <f>'GDP Growth Rates'!T63/100</f>
        <v>#VALUE!</v>
      </c>
      <c r="V70" s="112" t="e">
        <f>'GDP Growth Rates'!U63/100</f>
        <v>#VALUE!</v>
      </c>
      <c r="W70" s="112" t="e">
        <f>'GDP Growth Rates'!V63/100</f>
        <v>#VALUE!</v>
      </c>
      <c r="X70" s="112" t="e">
        <f>'GDP Growth Rates'!W63/100</f>
        <v>#VALUE!</v>
      </c>
      <c r="Y70" s="112" t="e">
        <f>'GDP Growth Rates'!X63/100</f>
        <v>#VALUE!</v>
      </c>
    </row>
    <row r="71" spans="2:25">
      <c r="B71" s="634" t="s">
        <v>387</v>
      </c>
      <c r="C71" s="635" t="s">
        <v>388</v>
      </c>
      <c r="D71" s="634" t="s">
        <v>511</v>
      </c>
      <c r="E71" s="635" t="s">
        <v>512</v>
      </c>
      <c r="F71" s="112">
        <f>'GDP Growth Rates'!E64/100</f>
        <v>9.5230538646206633E-2</v>
      </c>
      <c r="G71" s="112">
        <f>'GDP Growth Rates'!F64/100</f>
        <v>9.7625713120665272E-2</v>
      </c>
      <c r="H71" s="112">
        <f>'GDP Growth Rates'!G64/100</f>
        <v>7.5709187931188207E-2</v>
      </c>
      <c r="I71" s="112">
        <f>'GDP Growth Rates'!H64/100</f>
        <v>-5.1253115430880312E-2</v>
      </c>
      <c r="J71" s="112">
        <f>'GDP Growth Rates'!I64/100</f>
        <v>-0.14630222542790633</v>
      </c>
      <c r="K71" s="112">
        <f>'GDP Growth Rates'!J64/100</f>
        <v>2.4497502063998981E-2</v>
      </c>
      <c r="L71" s="112">
        <f>'GDP Growth Rates'!K64/100</f>
        <v>7.6069745891316251E-2</v>
      </c>
      <c r="M71" s="112">
        <f>'GDP Growth Rates'!L64/100</f>
        <v>3.6720187250654138E-2</v>
      </c>
      <c r="N71" s="112">
        <f>'GDP Growth Rates'!M64/100</f>
        <v>1.7564937962186916E-2</v>
      </c>
      <c r="O71" s="112">
        <f>'GDP Growth Rates'!N64/100</f>
        <v>3.3227898818270207E-2</v>
      </c>
      <c r="P71" s="112">
        <f>'GDP Growth Rates'!O64/100</f>
        <v>1.8381526288293201E-2</v>
      </c>
      <c r="Q71" s="112">
        <f>'GDP Growth Rates'!P64/100</f>
        <v>3.093019207519589E-2</v>
      </c>
      <c r="R71" s="112">
        <f>'GDP Growth Rates'!Q64/100</f>
        <v>5.6346724896399109E-2</v>
      </c>
      <c r="S71" s="112">
        <f>'GDP Growth Rates'!R64/100</f>
        <v>3.6996975616172566E-2</v>
      </c>
      <c r="T71" s="112">
        <f>'GDP Growth Rates'!S64/100</f>
        <v>3.7266494346688432E-2</v>
      </c>
      <c r="U71" s="112">
        <f>'GDP Growth Rates'!T64/100</f>
        <v>-2.8838075148377839E-2</v>
      </c>
      <c r="V71" s="112">
        <f>'GDP Growth Rates'!U64/100</f>
        <v>7.1544467628014558E-2</v>
      </c>
      <c r="W71" s="112">
        <f>'GDP Growth Rates'!V64/100</f>
        <v>6.043051651309383E-4</v>
      </c>
      <c r="X71" s="112">
        <f>'GDP Growth Rates'!W64/100</f>
        <v>-3.0230387452077706E-2</v>
      </c>
      <c r="Y71" s="112">
        <f>'GDP Growth Rates'!X64/100</f>
        <v>-2.610062100608559E-3</v>
      </c>
    </row>
    <row r="72" spans="2:25">
      <c r="B72" s="634" t="s">
        <v>387</v>
      </c>
      <c r="C72" s="635" t="s">
        <v>388</v>
      </c>
      <c r="D72" s="634" t="s">
        <v>513</v>
      </c>
      <c r="E72" s="635" t="s">
        <v>514</v>
      </c>
      <c r="F72" s="112">
        <f>'GDP Growth Rates'!E65/100</f>
        <v>5.9987764736642218E-2</v>
      </c>
      <c r="G72" s="112">
        <f>'GDP Growth Rates'!F65/100</f>
        <v>5.9921669369447698E-2</v>
      </c>
      <c r="H72" s="112">
        <f>'GDP Growth Rates'!G65/100</f>
        <v>4.4353755089453981E-2</v>
      </c>
      <c r="I72" s="112">
        <f>'GDP Growth Rates'!H65/100</f>
        <v>8.2166393546592078E-3</v>
      </c>
      <c r="J72" s="112">
        <f>'GDP Growth Rates'!I65/100</f>
        <v>1.5650488408222855E-2</v>
      </c>
      <c r="K72" s="112">
        <f>'GDP Growth Rates'!J65/100</f>
        <v>3.7937550774569645E-2</v>
      </c>
      <c r="L72" s="112">
        <f>'GDP Growth Rates'!K65/100</f>
        <v>2.2472296183597962E-2</v>
      </c>
      <c r="M72" s="112">
        <f>'GDP Growth Rates'!L65/100</f>
        <v>5.3966307703617815E-2</v>
      </c>
      <c r="N72" s="112">
        <f>'GDP Growth Rates'!M65/100</f>
        <v>3.8612138049228403E-2</v>
      </c>
      <c r="O72" s="112">
        <f>'GDP Growth Rates'!N65/100</f>
        <v>1.4358974928682074E-2</v>
      </c>
      <c r="P72" s="112">
        <f>'GDP Growth Rates'!O65/100</f>
        <v>2.0469301509936599E-2</v>
      </c>
      <c r="Q72" s="112">
        <f>'GDP Growth Rates'!P65/100</f>
        <v>4.6758458373152789E-2</v>
      </c>
      <c r="R72" s="112">
        <f>'GDP Growth Rates'!Q65/100</f>
        <v>1.4567929756901918E-2</v>
      </c>
      <c r="S72" s="112">
        <f>'GDP Growth Rates'!R65/100</f>
        <v>2.5658600189319715E-3</v>
      </c>
      <c r="T72" s="112">
        <f>'GDP Growth Rates'!S65/100</f>
        <v>6.0831764512818014E-2</v>
      </c>
      <c r="U72" s="112">
        <f>'GDP Growth Rates'!T65/100</f>
        <v>-2.8628821367799161E-2</v>
      </c>
      <c r="V72" s="112">
        <f>'GDP Growth Rates'!U65/100</f>
        <v>3.4349689119705713E-2</v>
      </c>
      <c r="W72" s="112">
        <f>'GDP Growth Rates'!V65/100</f>
        <v>1.119590667755304E-2</v>
      </c>
      <c r="X72" s="112">
        <f>'GDP Growth Rates'!W65/100</f>
        <v>3.4444783120068226E-2</v>
      </c>
      <c r="Y72" s="112">
        <f>'GDP Growth Rates'!X65/100</f>
        <v>2.6407046161200043E-2</v>
      </c>
    </row>
    <row r="73" spans="2:25">
      <c r="B73" s="634" t="s">
        <v>387</v>
      </c>
      <c r="C73" s="635" t="s">
        <v>388</v>
      </c>
      <c r="D73" s="634" t="s">
        <v>515</v>
      </c>
      <c r="E73" s="635" t="s">
        <v>516</v>
      </c>
      <c r="F73" s="112">
        <f>'GDP Growth Rates'!E66/100</f>
        <v>0.11818765946649364</v>
      </c>
      <c r="G73" s="112">
        <f>'GDP Growth Rates'!F66/100</f>
        <v>0.10834727065877132</v>
      </c>
      <c r="H73" s="112">
        <f>'GDP Growth Rates'!G66/100</f>
        <v>0.11456167000023541</v>
      </c>
      <c r="I73" s="112">
        <f>'GDP Growth Rates'!H66/100</f>
        <v>0.10788521685372458</v>
      </c>
      <c r="J73" s="112">
        <f>'GDP Growth Rates'!I66/100</f>
        <v>8.8025531978257299E-2</v>
      </c>
      <c r="K73" s="112">
        <f>'GDP Growth Rates'!J66/100</f>
        <v>0.1255053834593069</v>
      </c>
      <c r="L73" s="112">
        <f>'GDP Growth Rates'!K66/100</f>
        <v>0.11178296227164168</v>
      </c>
      <c r="M73" s="112">
        <f>'GDP Growth Rates'!L66/100</f>
        <v>8.6478116333736921E-2</v>
      </c>
      <c r="N73" s="112">
        <f>'GDP Growth Rates'!M66/100</f>
        <v>0.10582270048267589</v>
      </c>
      <c r="O73" s="112">
        <f>'GDP Growth Rates'!N66/100</f>
        <v>0.10257492961005397</v>
      </c>
      <c r="P73" s="112">
        <f>'GDP Growth Rates'!O66/100</f>
        <v>0.10392463020233195</v>
      </c>
      <c r="Q73" s="112">
        <f>'GDP Growth Rates'!P66/100</f>
        <v>9.4334826578441097E-2</v>
      </c>
      <c r="R73" s="112">
        <f>'GDP Growth Rates'!Q66/100</f>
        <v>9.5641896575401397E-2</v>
      </c>
      <c r="S73" s="112">
        <f>'GDP Growth Rates'!R66/100</f>
        <v>6.8161477855728236E-2</v>
      </c>
      <c r="T73" s="112">
        <f>'GDP Growth Rates'!S66/100</f>
        <v>8.3640857331405416E-2</v>
      </c>
      <c r="U73" s="112">
        <f>'GDP Growth Rates'!T66/100</f>
        <v>6.0595308905480746E-2</v>
      </c>
      <c r="V73" s="112">
        <f>'GDP Growth Rates'!U66/100</f>
        <v>5.6415306925707683E-2</v>
      </c>
      <c r="W73" s="112">
        <f>'GDP Growth Rates'!V66/100</f>
        <v>5.3217598840337811E-2</v>
      </c>
      <c r="X73" s="112">
        <f>'GDP Growth Rates'!W66/100</f>
        <v>6.594245993570752E-2</v>
      </c>
      <c r="Y73" s="112">
        <f>'GDP Growth Rates'!X66/100</f>
        <v>7.3166911284838251E-2</v>
      </c>
    </row>
    <row r="74" spans="2:25">
      <c r="B74" s="634" t="s">
        <v>387</v>
      </c>
      <c r="C74" s="635" t="s">
        <v>388</v>
      </c>
      <c r="D74" s="634" t="s">
        <v>517</v>
      </c>
      <c r="E74" s="635" t="s">
        <v>518</v>
      </c>
      <c r="F74" s="112" t="e">
        <f>'GDP Growth Rates'!E67/100</f>
        <v>#VALUE!</v>
      </c>
      <c r="G74" s="112" t="e">
        <f>'GDP Growth Rates'!F67/100</f>
        <v>#VALUE!</v>
      </c>
      <c r="H74" s="112" t="e">
        <f>'GDP Growth Rates'!G67/100</f>
        <v>#VALUE!</v>
      </c>
      <c r="I74" s="112" t="e">
        <f>'GDP Growth Rates'!H67/100</f>
        <v>#VALUE!</v>
      </c>
      <c r="J74" s="112">
        <f>'GDP Growth Rates'!I67/100</f>
        <v>-4.5532982410347811E-2</v>
      </c>
      <c r="K74" s="112">
        <f>'GDP Growth Rates'!J67/100</f>
        <v>-3.798179912186157E-3</v>
      </c>
      <c r="L74" s="112">
        <f>'GDP Growth Rates'!K67/100</f>
        <v>3.5663631788443124E-2</v>
      </c>
      <c r="M74" s="112">
        <f>'GDP Growth Rates'!L67/100</f>
        <v>7.0814834448788416E-2</v>
      </c>
      <c r="N74" s="112">
        <f>'GDP Growth Rates'!M67/100</f>
        <v>5.8561438973576262E-2</v>
      </c>
      <c r="O74" s="112">
        <f>'GDP Growth Rates'!N67/100</f>
        <v>5.4321420684100445E-2</v>
      </c>
      <c r="P74" s="112">
        <f>'GDP Growth Rates'!O67/100</f>
        <v>9.5800193448623353E-3</v>
      </c>
      <c r="Q74" s="112">
        <f>'GDP Growth Rates'!P67/100</f>
        <v>1.3864479593829344E-2</v>
      </c>
      <c r="R74" s="112">
        <f>'GDP Growth Rates'!Q67/100</f>
        <v>3.5120136748844288E-2</v>
      </c>
      <c r="S74" s="112">
        <f>'GDP Growth Rates'!R67/100</f>
        <v>2.7637095226742899E-2</v>
      </c>
      <c r="T74" s="112">
        <f>'GDP Growth Rates'!S67/100</f>
        <v>4.5385102867618911E-2</v>
      </c>
      <c r="U74" s="112">
        <f>'GDP Growth Rates'!T67/100</f>
        <v>-1.6373211801702751E-2</v>
      </c>
      <c r="V74" s="112">
        <f>'GDP Growth Rates'!U67/100</f>
        <v>5.5043801725655754E-2</v>
      </c>
      <c r="W74" s="112">
        <f>'GDP Growth Rates'!V67/100</f>
        <v>3.5560238041839796E-2</v>
      </c>
      <c r="X74" s="112">
        <f>'GDP Growth Rates'!W67/100</f>
        <v>2.4890581166362013E-2</v>
      </c>
      <c r="Y74" s="112" t="e">
        <f>'GDP Growth Rates'!X67/100</f>
        <v>#VALUE!</v>
      </c>
    </row>
    <row r="75" spans="2:25">
      <c r="B75" s="634" t="s">
        <v>387</v>
      </c>
      <c r="C75" s="635" t="s">
        <v>388</v>
      </c>
      <c r="D75" s="634" t="s">
        <v>519</v>
      </c>
      <c r="E75" s="635" t="s">
        <v>520</v>
      </c>
      <c r="F75" s="112">
        <f>'GDP Growth Rates'!E68/100</f>
        <v>7.0000040243243687E-3</v>
      </c>
      <c r="G75" s="112">
        <f>'GDP Growth Rates'!F68/100</f>
        <v>1.8524838719948634E-2</v>
      </c>
      <c r="H75" s="112">
        <f>'GDP Growth Rates'!G68/100</f>
        <v>-8.5065431004582599E-3</v>
      </c>
      <c r="I75" s="112">
        <f>'GDP Growth Rates'!H68/100</f>
        <v>1.0327942202596745E-2</v>
      </c>
      <c r="J75" s="112">
        <f>'GDP Growth Rates'!I68/100</f>
        <v>-1.3860377076358076E-2</v>
      </c>
      <c r="K75" s="112">
        <f>'GDP Growth Rates'!J68/100</f>
        <v>2.954672422122414E-2</v>
      </c>
      <c r="L75" s="112">
        <f>'GDP Growth Rates'!K68/100</f>
        <v>2.7051430290104862E-2</v>
      </c>
      <c r="M75" s="112">
        <f>'GDP Growth Rates'!L68/100</f>
        <v>1.4113143817796754E-2</v>
      </c>
      <c r="N75" s="112">
        <f>'GDP Growth Rates'!M68/100</f>
        <v>4.7342194895653195E-2</v>
      </c>
      <c r="O75" s="112">
        <f>'GDP Growth Rates'!N68/100</f>
        <v>5.6035144061830806E-2</v>
      </c>
      <c r="P75" s="112">
        <f>'GDP Growth Rates'!O68/100</f>
        <v>4.5012004102876375E-2</v>
      </c>
      <c r="Q75" s="112">
        <f>'GDP Growth Rates'!P68/100</f>
        <v>2.4456517966417408E-2</v>
      </c>
      <c r="R75" s="112">
        <f>'GDP Growth Rates'!Q68/100</f>
        <v>5.3533645596510554E-2</v>
      </c>
      <c r="S75" s="112">
        <f>'GDP Growth Rates'!R68/100</f>
        <v>3.8123512220851835E-2</v>
      </c>
      <c r="T75" s="112">
        <f>'GDP Growth Rates'!S68/100</f>
        <v>-5.8194670934381063E-3</v>
      </c>
      <c r="U75" s="112">
        <f>'GDP Growth Rates'!T68/100</f>
        <v>-0.17038667370403915</v>
      </c>
      <c r="V75" s="112">
        <f>'GDP Growth Rates'!U68/100</f>
        <v>-4.8810361959849329E-2</v>
      </c>
      <c r="W75" s="112">
        <f>'GDP Growth Rates'!V68/100</f>
        <v>0.19792726688669915</v>
      </c>
      <c r="X75" s="112">
        <f>'GDP Growth Rates'!W68/100</f>
        <v>7.5242913513423992E-2</v>
      </c>
      <c r="Y75" s="112">
        <f>'GDP Growth Rates'!X68/100</f>
        <v>3.8289988872459449E-2</v>
      </c>
    </row>
    <row r="76" spans="2:25">
      <c r="B76" s="634" t="s">
        <v>387</v>
      </c>
      <c r="C76" s="635" t="s">
        <v>388</v>
      </c>
      <c r="D76" s="634" t="s">
        <v>521</v>
      </c>
      <c r="E76" s="635" t="s">
        <v>522</v>
      </c>
      <c r="F76" s="112">
        <f>'GDP Growth Rates'!E69/100</f>
        <v>2.7773091851801723E-2</v>
      </c>
      <c r="G76" s="112">
        <f>'GDP Growth Rates'!F69/100</f>
        <v>4.0195732651589537E-2</v>
      </c>
      <c r="H76" s="112">
        <f>'GDP Growth Rates'!G69/100</f>
        <v>5.3128017669414475E-2</v>
      </c>
      <c r="I76" s="112">
        <f>'GDP Growth Rates'!H69/100</f>
        <v>7.8443123571705093E-3</v>
      </c>
      <c r="J76" s="112">
        <f>'GDP Growth Rates'!I69/100</f>
        <v>-8.0760311655239295E-2</v>
      </c>
      <c r="K76" s="112">
        <f>'GDP Growth Rates'!J69/100</f>
        <v>3.1682879121621002E-2</v>
      </c>
      <c r="L76" s="112">
        <f>'GDP Growth Rates'!K69/100</f>
        <v>2.390394553968278E-2</v>
      </c>
      <c r="M76" s="112">
        <f>'GDP Growth Rates'!L69/100</f>
        <v>-1.522840130406891E-2</v>
      </c>
      <c r="N76" s="112">
        <f>'GDP Growth Rates'!M69/100</f>
        <v>-9.7974102494961818E-3</v>
      </c>
      <c r="O76" s="112">
        <f>'GDP Growth Rates'!N69/100</f>
        <v>-4.7806842478370012E-3</v>
      </c>
      <c r="P76" s="112">
        <f>'GDP Growth Rates'!O69/100</f>
        <v>4.6650376632267412E-3</v>
      </c>
      <c r="Q76" s="112">
        <f>'GDP Growth Rates'!P69/100</f>
        <v>2.5719341489875376E-2</v>
      </c>
      <c r="R76" s="112">
        <f>'GDP Growth Rates'!Q69/100</f>
        <v>3.3033700359103906E-2</v>
      </c>
      <c r="S76" s="112">
        <f>'GDP Growth Rates'!R69/100</f>
        <v>1.1929775974229244E-2</v>
      </c>
      <c r="T76" s="112">
        <f>'GDP Growth Rates'!S69/100</f>
        <v>1.3497384574173736E-2</v>
      </c>
      <c r="U76" s="112">
        <f>'GDP Growth Rates'!T69/100</f>
        <v>-2.4910360553570713E-2</v>
      </c>
      <c r="V76" s="112">
        <f>'GDP Growth Rates'!U69/100</f>
        <v>2.6763464149889699E-2</v>
      </c>
      <c r="W76" s="112">
        <f>'GDP Growth Rates'!V69/100</f>
        <v>7.6304191276352637E-3</v>
      </c>
      <c r="X76" s="112">
        <f>'GDP Growth Rates'!W69/100</f>
        <v>-9.4690486261103501E-3</v>
      </c>
      <c r="Y76" s="112">
        <f>'GDP Growth Rates'!X69/100</f>
        <v>-1.5421482107031181E-3</v>
      </c>
    </row>
    <row r="77" spans="2:25">
      <c r="B77" s="634" t="s">
        <v>387</v>
      </c>
      <c r="C77" s="635" t="s">
        <v>388</v>
      </c>
      <c r="D77" s="634" t="s">
        <v>523</v>
      </c>
      <c r="E77" s="635" t="s">
        <v>524</v>
      </c>
      <c r="F77" s="112">
        <f>'GDP Growth Rates'!E70/100</f>
        <v>1.8885658410928555E-2</v>
      </c>
      <c r="G77" s="112">
        <f>'GDP Growth Rates'!F70/100</f>
        <v>2.7140644875523635E-2</v>
      </c>
      <c r="H77" s="112">
        <f>'GDP Growth Rates'!G70/100</f>
        <v>2.5304818835106602E-2</v>
      </c>
      <c r="I77" s="112">
        <f>'GDP Growth Rates'!H70/100</f>
        <v>3.8017143584912105E-3</v>
      </c>
      <c r="J77" s="112">
        <f>'GDP Growth Rates'!I70/100</f>
        <v>-2.8245515371478264E-2</v>
      </c>
      <c r="K77" s="112">
        <f>'GDP Growth Rates'!J70/100</f>
        <v>2.0003247603905122E-2</v>
      </c>
      <c r="L77" s="112">
        <f>'GDP Growth Rates'!K70/100</f>
        <v>2.4375765372900701E-2</v>
      </c>
      <c r="M77" s="112">
        <f>'GDP Growth Rates'!L70/100</f>
        <v>1.8383526497301262E-3</v>
      </c>
      <c r="N77" s="112">
        <f>'GDP Growth Rates'!M70/100</f>
        <v>7.8175644623100018E-3</v>
      </c>
      <c r="O77" s="112">
        <f>'GDP Growth Rates'!N70/100</f>
        <v>9.9783294729525098E-3</v>
      </c>
      <c r="P77" s="112">
        <f>'GDP Growth Rates'!O70/100</f>
        <v>1.0667547478346221E-2</v>
      </c>
      <c r="Q77" s="112">
        <f>'GDP Growth Rates'!P70/100</f>
        <v>8.6003107542403263E-3</v>
      </c>
      <c r="R77" s="112">
        <f>'GDP Growth Rates'!Q70/100</f>
        <v>2.0836148599739913E-2</v>
      </c>
      <c r="S77" s="112">
        <f>'GDP Growth Rates'!R70/100</f>
        <v>1.6459087239588683E-2</v>
      </c>
      <c r="T77" s="112">
        <f>'GDP Growth Rates'!S70/100</f>
        <v>2.0274464641923659E-2</v>
      </c>
      <c r="U77" s="112">
        <f>'GDP Growth Rates'!T70/100</f>
        <v>-7.4406458994823052E-2</v>
      </c>
      <c r="V77" s="112">
        <f>'GDP Growth Rates'!U70/100</f>
        <v>6.8823378336023922E-2</v>
      </c>
      <c r="W77" s="112">
        <f>'GDP Growth Rates'!V70/100</f>
        <v>2.5708404756779258E-2</v>
      </c>
      <c r="X77" s="112">
        <f>'GDP Growth Rates'!W70/100</f>
        <v>9.3648751885085351E-3</v>
      </c>
      <c r="Y77" s="112">
        <f>'GDP Growth Rates'!X70/100</f>
        <v>1.166138514972289E-2</v>
      </c>
    </row>
    <row r="78" spans="2:25">
      <c r="B78" s="634" t="s">
        <v>387</v>
      </c>
      <c r="C78" s="635" t="s">
        <v>388</v>
      </c>
      <c r="D78" s="634" t="s">
        <v>525</v>
      </c>
      <c r="E78" s="635" t="s">
        <v>526</v>
      </c>
      <c r="F78" s="112">
        <f>'GDP Growth Rates'!E71/100</f>
        <v>3.0997347618000504E-3</v>
      </c>
      <c r="G78" s="112">
        <f>'GDP Growth Rates'!F71/100</f>
        <v>8.8958411759760738E-3</v>
      </c>
      <c r="H78" s="112">
        <f>'GDP Growth Rates'!G71/100</f>
        <v>1.7049756380300211E-2</v>
      </c>
      <c r="I78" s="112">
        <f>'GDP Growth Rates'!H71/100</f>
        <v>6.7675506631275078E-5</v>
      </c>
      <c r="J78" s="112">
        <f>'GDP Growth Rates'!I71/100</f>
        <v>-4.2313918306944628E-2</v>
      </c>
      <c r="K78" s="112">
        <f>'GDP Growth Rates'!J71/100</f>
        <v>-2.4660641898174022E-2</v>
      </c>
      <c r="L78" s="112">
        <f>'GDP Growth Rates'!K71/100</f>
        <v>-2.9619574542722946E-2</v>
      </c>
      <c r="M78" s="112">
        <f>'GDP Growth Rates'!L71/100</f>
        <v>-9.2753771253207169E-3</v>
      </c>
      <c r="N78" s="112">
        <f>'GDP Growth Rates'!M71/100</f>
        <v>3.988014143469343E-3</v>
      </c>
      <c r="O78" s="112">
        <f>'GDP Growth Rates'!N71/100</f>
        <v>5.9355445294228563E-3</v>
      </c>
      <c r="P78" s="112">
        <f>'GDP Growth Rates'!O71/100</f>
        <v>1.8033408145272604E-2</v>
      </c>
      <c r="Q78" s="112">
        <f>'GDP Growth Rates'!P71/100</f>
        <v>2.3021982367043847E-2</v>
      </c>
      <c r="R78" s="112">
        <f>'GDP Growth Rates'!Q71/100</f>
        <v>4.2926336310348742E-2</v>
      </c>
      <c r="S78" s="112">
        <f>'GDP Growth Rates'!R71/100</f>
        <v>1.8712319109126553E-2</v>
      </c>
      <c r="T78" s="112">
        <f>'GDP Growth Rates'!S71/100</f>
        <v>2.7000120670930272E-2</v>
      </c>
      <c r="U78" s="112">
        <f>'GDP Growth Rates'!T71/100</f>
        <v>-7.0509442210629769E-2</v>
      </c>
      <c r="V78" s="112">
        <f>'GDP Growth Rates'!U71/100</f>
        <v>2.0945299065854926E-2</v>
      </c>
      <c r="W78" s="112">
        <f>'GDP Growth Rates'!V71/100</f>
        <v>4.4663796996314599E-2</v>
      </c>
      <c r="X78" s="112">
        <f>'GDP Growth Rates'!W71/100</f>
        <v>2.9969270777956608E-2</v>
      </c>
      <c r="Y78" s="112" t="e">
        <f>'GDP Growth Rates'!X71/100</f>
        <v>#VALUE!</v>
      </c>
    </row>
    <row r="79" spans="2:25">
      <c r="B79" s="634" t="s">
        <v>387</v>
      </c>
      <c r="C79" s="635" t="s">
        <v>388</v>
      </c>
      <c r="D79" s="634" t="s">
        <v>527</v>
      </c>
      <c r="E79" s="635" t="s">
        <v>528</v>
      </c>
      <c r="F79" s="112">
        <f>'GDP Growth Rates'!E72/100</f>
        <v>2.6762033331092568E-2</v>
      </c>
      <c r="G79" s="112">
        <f>'GDP Growth Rates'!F72/100</f>
        <v>-2.8065783556905189E-2</v>
      </c>
      <c r="H79" s="112">
        <f>'GDP Growth Rates'!G72/100</f>
        <v>6.0081080248766766E-2</v>
      </c>
      <c r="I79" s="112">
        <f>'GDP Growth Rates'!H72/100</f>
        <v>-3.3084306487875068E-2</v>
      </c>
      <c r="J79" s="112">
        <f>'GDP Growth Rates'!I72/100</f>
        <v>1.3033111981661705E-3</v>
      </c>
      <c r="K79" s="112">
        <f>'GDP Growth Rates'!J72/100</f>
        <v>7.0898873145512631E-2</v>
      </c>
      <c r="L79" s="112">
        <f>'GDP Growth Rates'!K72/100</f>
        <v>7.0917533425865431E-2</v>
      </c>
      <c r="M79" s="112">
        <f>'GDP Growth Rates'!L72/100</f>
        <v>5.2510769175040647E-2</v>
      </c>
      <c r="N79" s="112">
        <f>'GDP Growth Rates'!M72/100</f>
        <v>5.6386990033869606E-2</v>
      </c>
      <c r="O79" s="112">
        <f>'GDP Growth Rates'!N72/100</f>
        <v>4.314964441074693E-2</v>
      </c>
      <c r="P79" s="112">
        <f>'GDP Growth Rates'!O72/100</f>
        <v>3.8788993950789032E-2</v>
      </c>
      <c r="Q79" s="112">
        <f>'GDP Growth Rates'!P72/100</f>
        <v>2.0914422082956179E-2</v>
      </c>
      <c r="R79" s="112">
        <f>'GDP Growth Rates'!Q72/100</f>
        <v>4.7264203091114607E-3</v>
      </c>
      <c r="S79" s="112">
        <f>'GDP Growth Rates'!R72/100</f>
        <v>8.3791658082157036E-3</v>
      </c>
      <c r="T79" s="112">
        <f>'GDP Growth Rates'!S72/100</f>
        <v>3.9208087945283125E-2</v>
      </c>
      <c r="U79" s="112">
        <f>'GDP Growth Rates'!T72/100</f>
        <v>-1.8377610635094042E-2</v>
      </c>
      <c r="V79" s="112">
        <f>'GDP Growth Rates'!U72/100</f>
        <v>1.467957315080909E-2</v>
      </c>
      <c r="W79" s="112">
        <f>'GDP Growth Rates'!V72/100</f>
        <v>3.0376144952569177E-2</v>
      </c>
      <c r="X79" s="112">
        <f>'GDP Growth Rates'!W72/100</f>
        <v>2.4458808309659331E-2</v>
      </c>
      <c r="Y79" s="112">
        <f>'GDP Growth Rates'!X72/100</f>
        <v>3.3839076078346721E-2</v>
      </c>
    </row>
    <row r="80" spans="2:25">
      <c r="B80" s="634" t="s">
        <v>387</v>
      </c>
      <c r="C80" s="635" t="s">
        <v>388</v>
      </c>
      <c r="D80" s="634" t="s">
        <v>529</v>
      </c>
      <c r="E80" s="635" t="s">
        <v>530</v>
      </c>
      <c r="F80" s="112">
        <f>'GDP Growth Rates'!E73/100</f>
        <v>-2.3517293617601923E-2</v>
      </c>
      <c r="G80" s="112">
        <f>'GDP Growth Rates'!F73/100</f>
        <v>-5.5558097724652099E-3</v>
      </c>
      <c r="H80" s="112">
        <f>'GDP Growth Rates'!G73/100</f>
        <v>3.043249508297393E-2</v>
      </c>
      <c r="I80" s="112">
        <f>'GDP Growth Rates'!H73/100</f>
        <v>6.2559055339428654E-2</v>
      </c>
      <c r="J80" s="112">
        <f>'GDP Growth Rates'!I73/100</f>
        <v>6.6657243078366971E-2</v>
      </c>
      <c r="K80" s="112">
        <f>'GDP Growth Rates'!J73/100</f>
        <v>5.9083358096828818E-2</v>
      </c>
      <c r="L80" s="112">
        <f>'GDP Growth Rates'!K73/100</f>
        <v>-8.1304442231565868E-2</v>
      </c>
      <c r="M80" s="112">
        <f>'GDP Growth Rates'!L73/100</f>
        <v>5.2415692463074065E-2</v>
      </c>
      <c r="N80" s="112">
        <f>'GDP Growth Rates'!M73/100</f>
        <v>2.8727687903270009E-2</v>
      </c>
      <c r="O80" s="112">
        <f>'GDP Growth Rates'!N73/100</f>
        <v>-1.4073824951095446E-2</v>
      </c>
      <c r="P80" s="112">
        <f>'GDP Growth Rates'!O73/100</f>
        <v>4.0580738039996046E-2</v>
      </c>
      <c r="Q80" s="112">
        <f>'GDP Growth Rates'!P73/100</f>
        <v>1.9433596547877557E-2</v>
      </c>
      <c r="R80" s="112">
        <f>'GDP Growth Rates'!Q73/100</f>
        <v>4.8226112492756955E-2</v>
      </c>
      <c r="S80" s="112">
        <f>'GDP Growth Rates'!R73/100</f>
        <v>7.2348903325857916E-2</v>
      </c>
      <c r="T80" s="112">
        <f>'GDP Growth Rates'!S73/100</f>
        <v>6.2220531599485866E-2</v>
      </c>
      <c r="U80" s="112">
        <f>'GDP Growth Rates'!T73/100</f>
        <v>5.9148728787397431E-3</v>
      </c>
      <c r="V80" s="112">
        <f>'GDP Growth Rates'!U73/100</f>
        <v>5.2559687881674366E-2</v>
      </c>
      <c r="W80" s="112">
        <f>'GDP Growth Rates'!V73/100</f>
        <v>5.492998255089461E-2</v>
      </c>
      <c r="X80" s="112">
        <f>'GDP Growth Rates'!W73/100</f>
        <v>4.7975089453094311E-2</v>
      </c>
      <c r="Y80" s="112">
        <f>'GDP Growth Rates'!X73/100</f>
        <v>5.7467176553559651E-2</v>
      </c>
    </row>
    <row r="81" spans="2:25">
      <c r="B81" s="634" t="s">
        <v>387</v>
      </c>
      <c r="C81" s="635" t="s">
        <v>388</v>
      </c>
      <c r="D81" s="634" t="s">
        <v>531</v>
      </c>
      <c r="E81" s="635" t="s">
        <v>532</v>
      </c>
      <c r="F81" s="112">
        <f>'GDP Growth Rates'!E74/100</f>
        <v>9.5911383285302632E-2</v>
      </c>
      <c r="G81" s="112">
        <f>'GDP Growth Rates'!F74/100</f>
        <v>9.421480811899087E-2</v>
      </c>
      <c r="H81" s="112">
        <f>'GDP Growth Rates'!G74/100</f>
        <v>0.12575569824640453</v>
      </c>
      <c r="I81" s="112">
        <f>'GDP Growth Rates'!H74/100</f>
        <v>2.4216144096064054E-2</v>
      </c>
      <c r="J81" s="112">
        <f>'GDP Growth Rates'!I74/100</f>
        <v>-3.6507522959682175E-2</v>
      </c>
      <c r="K81" s="112">
        <f>'GDP Growth Rates'!J74/100</f>
        <v>6.2464086530336263E-2</v>
      </c>
      <c r="L81" s="112">
        <f>'GDP Growth Rates'!K74/100</f>
        <v>7.9343365253077988E-2</v>
      </c>
      <c r="M81" s="112">
        <f>'GDP Growth Rates'!L74/100</f>
        <v>6.5788310195419517E-2</v>
      </c>
      <c r="N81" s="112">
        <f>'GDP Growth Rates'!M74/100</f>
        <v>5.1328853120938191E-2</v>
      </c>
      <c r="O81" s="112">
        <f>'GDP Growth Rates'!N74/100</f>
        <v>4.0904905958174281E-2</v>
      </c>
      <c r="P81" s="112">
        <f>'GDP Growth Rates'!O74/100</f>
        <v>3.3510235026535329E-2</v>
      </c>
      <c r="Q81" s="112">
        <f>'GDP Growth Rates'!P74/100</f>
        <v>3.4502151799687082E-2</v>
      </c>
      <c r="R81" s="112">
        <f>'GDP Growth Rates'!Q74/100</f>
        <v>5.1599026165882689E-2</v>
      </c>
      <c r="S81" s="112">
        <f>'GDP Growth Rates'!R74/100</f>
        <v>6.0620364126770028E-2</v>
      </c>
      <c r="T81" s="112">
        <f>'GDP Growth Rates'!S74/100</f>
        <v>5.3807192658995147E-2</v>
      </c>
      <c r="U81" s="112">
        <f>'GDP Growth Rates'!T74/100</f>
        <v>-6.2904717853838998E-2</v>
      </c>
      <c r="V81" s="112">
        <f>'GDP Growth Rates'!U74/100</f>
        <v>0.10644233658096923</v>
      </c>
      <c r="W81" s="112">
        <f>'GDP Growth Rates'!V74/100</f>
        <v>0.10958532138562389</v>
      </c>
      <c r="X81" s="112">
        <f>'GDP Growth Rates'!W74/100</f>
        <v>7.8322012655572593E-2</v>
      </c>
      <c r="Y81" s="112">
        <f>'GDP Growth Rates'!X74/100</f>
        <v>9.4285722015777493E-2</v>
      </c>
    </row>
    <row r="82" spans="2:25">
      <c r="B82" s="634" t="s">
        <v>387</v>
      </c>
      <c r="C82" s="635" t="s">
        <v>388</v>
      </c>
      <c r="D82" s="634" t="s">
        <v>229</v>
      </c>
      <c r="E82" s="635" t="s">
        <v>533</v>
      </c>
      <c r="F82" s="112">
        <f>'GDP Growth Rates'!E75/100</f>
        <v>8.8569725670544133E-3</v>
      </c>
      <c r="G82" s="112">
        <f>'GDP Growth Rates'!F75/100</f>
        <v>3.8557361463572873E-2</v>
      </c>
      <c r="H82" s="112">
        <f>'GDP Growth Rates'!G75/100</f>
        <v>2.8901071788807256E-2</v>
      </c>
      <c r="I82" s="112">
        <f>'GDP Growth Rates'!H75/100</f>
        <v>9.1040321415327696E-3</v>
      </c>
      <c r="J82" s="112">
        <f>'GDP Growth Rates'!I75/100</f>
        <v>-5.5451645447931103E-2</v>
      </c>
      <c r="K82" s="112">
        <f>'GDP Growth Rates'!J75/100</f>
        <v>4.1467675504048881E-2</v>
      </c>
      <c r="L82" s="112">
        <f>'GDP Growth Rates'!K75/100</f>
        <v>3.7579688448734744E-2</v>
      </c>
      <c r="M82" s="112">
        <f>'GDP Growth Rates'!L75/100</f>
        <v>4.7429132103845003E-3</v>
      </c>
      <c r="N82" s="112">
        <f>'GDP Growth Rates'!M75/100</f>
        <v>3.8622459204647442E-3</v>
      </c>
      <c r="O82" s="112">
        <f>'GDP Growth Rates'!N75/100</f>
        <v>2.1694988975851714E-2</v>
      </c>
      <c r="P82" s="112">
        <f>'GDP Growth Rates'!O75/100</f>
        <v>1.6527197865636084E-2</v>
      </c>
      <c r="Q82" s="112">
        <f>'GDP Growth Rates'!P75/100</f>
        <v>2.2947106641356071E-2</v>
      </c>
      <c r="R82" s="112">
        <f>'GDP Growth Rates'!Q75/100</f>
        <v>2.7160245463984295E-2</v>
      </c>
      <c r="S82" s="112">
        <f>'GDP Growth Rates'!R75/100</f>
        <v>1.1164431090242743E-2</v>
      </c>
      <c r="T82" s="112">
        <f>'GDP Growth Rates'!S75/100</f>
        <v>9.8789335016485329E-3</v>
      </c>
      <c r="U82" s="112">
        <f>'GDP Growth Rates'!T75/100</f>
        <v>-4.0951375168252611E-2</v>
      </c>
      <c r="V82" s="112">
        <f>'GDP Growth Rates'!U75/100</f>
        <v>3.6699998840451969E-2</v>
      </c>
      <c r="W82" s="112">
        <f>'GDP Growth Rates'!V75/100</f>
        <v>1.3697310461275834E-2</v>
      </c>
      <c r="X82" s="112">
        <f>'GDP Growth Rates'!W75/100</f>
        <v>-2.6643840118025252E-3</v>
      </c>
      <c r="Y82" s="112">
        <f>'GDP Growth Rates'!X75/100</f>
        <v>-2.3852685825616502E-3</v>
      </c>
    </row>
    <row r="83" spans="2:25">
      <c r="B83" s="634" t="s">
        <v>387</v>
      </c>
      <c r="C83" s="635" t="s">
        <v>388</v>
      </c>
      <c r="D83" s="634" t="s">
        <v>534</v>
      </c>
      <c r="E83" s="635" t="s">
        <v>535</v>
      </c>
      <c r="F83" s="112">
        <f>'GDP Growth Rates'!E76/100</f>
        <v>5.9000038185510417E-2</v>
      </c>
      <c r="G83" s="112">
        <f>'GDP Growth Rates'!F76/100</f>
        <v>6.3999126061803371E-2</v>
      </c>
      <c r="H83" s="112">
        <f>'GDP Growth Rates'!G76/100</f>
        <v>4.3468191044007939E-2</v>
      </c>
      <c r="I83" s="112">
        <f>'GDP Growth Rates'!H76/100</f>
        <v>9.149798938318171E-2</v>
      </c>
      <c r="J83" s="112">
        <f>'GDP Growth Rates'!I76/100</f>
        <v>4.8444870517507607E-2</v>
      </c>
      <c r="K83" s="112">
        <f>'GDP Growth Rates'!J76/100</f>
        <v>7.8997119405162131E-2</v>
      </c>
      <c r="L83" s="112">
        <f>'GDP Growth Rates'!K76/100</f>
        <v>0.14047123580314902</v>
      </c>
      <c r="M83" s="112">
        <f>'GDP Growth Rates'!L76/100</f>
        <v>9.2927894063005001E-2</v>
      </c>
      <c r="N83" s="112">
        <f>'GDP Growth Rates'!M76/100</f>
        <v>7.3125250167814501E-2</v>
      </c>
      <c r="O83" s="112">
        <f>'GDP Growth Rates'!N76/100</f>
        <v>2.8562401633088257E-2</v>
      </c>
      <c r="P83" s="112">
        <f>'GDP Growth Rates'!O76/100</f>
        <v>2.1207593381733433E-2</v>
      </c>
      <c r="Q83" s="112">
        <f>'GDP Growth Rates'!P76/100</f>
        <v>3.3734657496693646E-2</v>
      </c>
      <c r="R83" s="112">
        <f>'GDP Growth Rates'!Q76/100</f>
        <v>8.1288948810095574E-2</v>
      </c>
      <c r="S83" s="112">
        <f>'GDP Growth Rates'!R76/100</f>
        <v>6.2000776812728448E-2</v>
      </c>
      <c r="T83" s="112">
        <f>'GDP Growth Rates'!S76/100</f>
        <v>6.5077747939152039E-2</v>
      </c>
      <c r="U83" s="112">
        <f>'GDP Growth Rates'!T76/100</f>
        <v>5.1394167062817075E-3</v>
      </c>
      <c r="V83" s="112">
        <f>'GDP Growth Rates'!U76/100</f>
        <v>5.0764664353354194E-2</v>
      </c>
      <c r="W83" s="112">
        <f>'GDP Growth Rates'!V76/100</f>
        <v>3.8048498095216418E-2</v>
      </c>
      <c r="X83" s="112">
        <f>'GDP Growth Rates'!W76/100</f>
        <v>3.140090997637543E-2</v>
      </c>
      <c r="Y83" s="112">
        <f>'GDP Growth Rates'!X76/100</f>
        <v>5.6848726038983555E-2</v>
      </c>
    </row>
    <row r="84" spans="2:25">
      <c r="B84" s="634" t="s">
        <v>387</v>
      </c>
      <c r="C84" s="635" t="s">
        <v>388</v>
      </c>
      <c r="D84" s="634" t="s">
        <v>536</v>
      </c>
      <c r="E84" s="635" t="s">
        <v>537</v>
      </c>
      <c r="F84" s="112" t="e">
        <f>'GDP Growth Rates'!E77/100</f>
        <v>#VALUE!</v>
      </c>
      <c r="G84" s="112" t="e">
        <f>'GDP Growth Rates'!F77/100</f>
        <v>#VALUE!</v>
      </c>
      <c r="H84" s="112" t="e">
        <f>'GDP Growth Rates'!G77/100</f>
        <v>#VALUE!</v>
      </c>
      <c r="I84" s="112" t="e">
        <f>'GDP Growth Rates'!H77/100</f>
        <v>#VALUE!</v>
      </c>
      <c r="J84" s="112" t="e">
        <f>'GDP Growth Rates'!I77/100</f>
        <v>#VALUE!</v>
      </c>
      <c r="K84" s="112" t="e">
        <f>'GDP Growth Rates'!J77/100</f>
        <v>#VALUE!</v>
      </c>
      <c r="L84" s="112" t="e">
        <f>'GDP Growth Rates'!K77/100</f>
        <v>#VALUE!</v>
      </c>
      <c r="M84" s="112" t="e">
        <f>'GDP Growth Rates'!L77/100</f>
        <v>#VALUE!</v>
      </c>
      <c r="N84" s="112" t="e">
        <f>'GDP Growth Rates'!M77/100</f>
        <v>#VALUE!</v>
      </c>
      <c r="O84" s="112" t="e">
        <f>'GDP Growth Rates'!N77/100</f>
        <v>#VALUE!</v>
      </c>
      <c r="P84" s="112" t="e">
        <f>'GDP Growth Rates'!O77/100</f>
        <v>#VALUE!</v>
      </c>
      <c r="Q84" s="112" t="e">
        <f>'GDP Growth Rates'!P77/100</f>
        <v>#VALUE!</v>
      </c>
      <c r="R84" s="112" t="e">
        <f>'GDP Growth Rates'!Q77/100</f>
        <v>#VALUE!</v>
      </c>
      <c r="S84" s="112" t="e">
        <f>'GDP Growth Rates'!R77/100</f>
        <v>#VALUE!</v>
      </c>
      <c r="T84" s="112" t="e">
        <f>'GDP Growth Rates'!S77/100</f>
        <v>#VALUE!</v>
      </c>
      <c r="U84" s="112" t="e">
        <f>'GDP Growth Rates'!T77/100</f>
        <v>#VALUE!</v>
      </c>
      <c r="V84" s="112" t="e">
        <f>'GDP Growth Rates'!U77/100</f>
        <v>#VALUE!</v>
      </c>
      <c r="W84" s="112" t="e">
        <f>'GDP Growth Rates'!V77/100</f>
        <v>#VALUE!</v>
      </c>
      <c r="X84" s="112" t="e">
        <f>'GDP Growth Rates'!W77/100</f>
        <v>#VALUE!</v>
      </c>
      <c r="Y84" s="112" t="e">
        <f>'GDP Growth Rates'!X77/100</f>
        <v>#VALUE!</v>
      </c>
    </row>
    <row r="85" spans="2:25">
      <c r="B85" s="634" t="s">
        <v>387</v>
      </c>
      <c r="C85" s="635" t="s">
        <v>388</v>
      </c>
      <c r="D85" s="634" t="s">
        <v>538</v>
      </c>
      <c r="E85" s="635" t="s">
        <v>539</v>
      </c>
      <c r="F85" s="112">
        <f>'GDP Growth Rates'!E78/100</f>
        <v>1.1835063549328879E-2</v>
      </c>
      <c r="G85" s="112">
        <f>'GDP Growth Rates'!F78/100</f>
        <v>6.4433976248743641E-2</v>
      </c>
      <c r="H85" s="112">
        <f>'GDP Growth Rates'!G78/100</f>
        <v>3.5068697663945866E-2</v>
      </c>
      <c r="I85" s="112">
        <f>'GDP Growth Rates'!H78/100</f>
        <v>5.7474023820077488E-4</v>
      </c>
      <c r="J85" s="112">
        <f>'GDP Growth Rates'!I78/100</f>
        <v>-4.1192760671501107E-2</v>
      </c>
      <c r="K85" s="112">
        <f>'GDP Growth Rates'!J78/100</f>
        <v>-5.6937412158003013E-2</v>
      </c>
      <c r="L85" s="112">
        <f>'GDP Growth Rates'!K78/100</f>
        <v>-9.876778753002427E-2</v>
      </c>
      <c r="M85" s="112">
        <f>'GDP Growth Rates'!L78/100</f>
        <v>-8.3311342109999201E-2</v>
      </c>
      <c r="N85" s="112">
        <f>'GDP Growth Rates'!M78/100</f>
        <v>-2.2721169988802359E-2</v>
      </c>
      <c r="O85" s="112">
        <f>'GDP Growth Rates'!N78/100</f>
        <v>7.92225060962835E-3</v>
      </c>
      <c r="P85" s="112">
        <f>'GDP Growth Rates'!O78/100</f>
        <v>-2.2830189217285125E-3</v>
      </c>
      <c r="Q85" s="112">
        <f>'GDP Growth Rates'!P78/100</f>
        <v>-3.1794767841205387E-4</v>
      </c>
      <c r="R85" s="112">
        <f>'GDP Growth Rates'!Q78/100</f>
        <v>1.4731247270235172E-2</v>
      </c>
      <c r="S85" s="112">
        <f>'GDP Growth Rates'!R78/100</f>
        <v>2.0646720789240902E-2</v>
      </c>
      <c r="T85" s="112">
        <f>'GDP Growth Rates'!S78/100</f>
        <v>2.2771806533480828E-2</v>
      </c>
      <c r="U85" s="112">
        <f>'GDP Growth Rates'!T78/100</f>
        <v>-9.1962314972697787E-2</v>
      </c>
      <c r="V85" s="112">
        <f>'GDP Growth Rates'!U78/100</f>
        <v>8.6544978600213082E-2</v>
      </c>
      <c r="W85" s="112">
        <f>'GDP Growth Rates'!V78/100</f>
        <v>5.7436490252633664E-2</v>
      </c>
      <c r="X85" s="112">
        <f>'GDP Growth Rates'!W78/100</f>
        <v>2.3321244494581776E-2</v>
      </c>
      <c r="Y85" s="112">
        <f>'GDP Growth Rates'!X78/100</f>
        <v>2.2717362261510488E-2</v>
      </c>
    </row>
    <row r="86" spans="2:25">
      <c r="B86" s="634" t="s">
        <v>387</v>
      </c>
      <c r="C86" s="635" t="s">
        <v>388</v>
      </c>
      <c r="D86" s="634" t="s">
        <v>540</v>
      </c>
      <c r="E86" s="635" t="s">
        <v>541</v>
      </c>
      <c r="F86" s="112">
        <f>'GDP Growth Rates'!E79/100</f>
        <v>4.9874917709019258E-2</v>
      </c>
      <c r="G86" s="112">
        <f>'GDP Growth Rates'!F79/100</f>
        <v>5.5556949008001198E-2</v>
      </c>
      <c r="H86" s="112">
        <f>'GDP Growth Rates'!G79/100</f>
        <v>2.3524379811805007E-2</v>
      </c>
      <c r="I86" s="112">
        <f>'GDP Growth Rates'!H79/100</f>
        <v>6.1661327018618976E-2</v>
      </c>
      <c r="J86" s="112">
        <f>'GDP Growth Rates'!I79/100</f>
        <v>8.6595232888694793E-3</v>
      </c>
      <c r="K86" s="112">
        <f>'GDP Growth Rates'!J79/100</f>
        <v>1.7358250588966513E-2</v>
      </c>
      <c r="L86" s="112">
        <f>'GDP Growth Rates'!K79/100</f>
        <v>-4.9651939195908311E-3</v>
      </c>
      <c r="M86" s="112">
        <f>'GDP Growth Rates'!L79/100</f>
        <v>1.3941933595562546E-2</v>
      </c>
      <c r="N86" s="112">
        <f>'GDP Growth Rates'!M79/100</f>
        <v>-1.2982806933551104E-2</v>
      </c>
      <c r="O86" s="112">
        <f>'GDP Growth Rates'!N79/100</f>
        <v>4.7421356730151985E-2</v>
      </c>
      <c r="P86" s="112">
        <f>'GDP Growth Rates'!O79/100</f>
        <v>-2.5293180239447537E-2</v>
      </c>
      <c r="Q86" s="112">
        <f>'GDP Growth Rates'!P79/100</f>
        <v>4.681954109723023E-2</v>
      </c>
      <c r="R86" s="112">
        <f>'GDP Growth Rates'!Q79/100</f>
        <v>5.2728182880031223E-4</v>
      </c>
      <c r="S86" s="112">
        <f>'GDP Growth Rates'!R79/100</f>
        <v>6.2306542854094005E-3</v>
      </c>
      <c r="T86" s="112">
        <f>'GDP Growth Rates'!S79/100</f>
        <v>2.8321775679868325E-2</v>
      </c>
      <c r="U86" s="112">
        <f>'GDP Growth Rates'!T79/100</f>
        <v>2.5078976210430428E-3</v>
      </c>
      <c r="V86" s="112">
        <f>'GDP Growth Rates'!U79/100</f>
        <v>1.6340941099299611E-2</v>
      </c>
      <c r="W86" s="112">
        <f>'GDP Growth Rates'!V79/100</f>
        <v>2.0045558086560361E-2</v>
      </c>
      <c r="X86" s="112">
        <f>'GDP Growth Rates'!W79/100</f>
        <v>8.6596198699815836E-3</v>
      </c>
      <c r="Y86" s="112" t="e">
        <f>'GDP Growth Rates'!X79/100</f>
        <v>#VALUE!</v>
      </c>
    </row>
    <row r="87" spans="2:25">
      <c r="B87" s="634" t="s">
        <v>387</v>
      </c>
      <c r="C87" s="635" t="s">
        <v>388</v>
      </c>
      <c r="D87" s="634" t="s">
        <v>542</v>
      </c>
      <c r="E87" s="635" t="s">
        <v>543</v>
      </c>
      <c r="F87" s="112">
        <f>'GDP Growth Rates'!E80/100</f>
        <v>0.13276188330627206</v>
      </c>
      <c r="G87" s="112">
        <f>'GDP Growth Rates'!F80/100</f>
        <v>-3.9953282442748164E-2</v>
      </c>
      <c r="H87" s="112">
        <f>'GDP Growth Rates'!G80/100</f>
        <v>6.123450947414668E-2</v>
      </c>
      <c r="I87" s="112">
        <f>'GDP Growth Rates'!H80/100</f>
        <v>9.4754262490769747E-3</v>
      </c>
      <c r="J87" s="112">
        <f>'GDP Growth Rates'!I80/100</f>
        <v>-6.6132813479954533E-2</v>
      </c>
      <c r="K87" s="112">
        <f>'GDP Growth Rates'!J80/100</f>
        <v>-5.1114618717372192E-3</v>
      </c>
      <c r="L87" s="112">
        <f>'GDP Growth Rates'!K80/100</f>
        <v>7.6477355033873094E-3</v>
      </c>
      <c r="M87" s="112">
        <f>'GDP Growth Rates'!L80/100</f>
        <v>-1.1548381640980097E-2</v>
      </c>
      <c r="N87" s="112">
        <f>'GDP Growth Rates'!M80/100</f>
        <v>2.3510980167790477E-2</v>
      </c>
      <c r="O87" s="112">
        <f>'GDP Growth Rates'!N80/100</f>
        <v>7.3421239603794819E-2</v>
      </c>
      <c r="P87" s="112">
        <f>'GDP Growth Rates'!O80/100</f>
        <v>6.4452231469314392E-2</v>
      </c>
      <c r="Q87" s="112">
        <f>'GDP Growth Rates'!P80/100</f>
        <v>3.7396039558691002E-2</v>
      </c>
      <c r="R87" s="112">
        <f>'GDP Growth Rates'!Q80/100</f>
        <v>4.4386756694815122E-2</v>
      </c>
      <c r="S87" s="112">
        <f>'GDP Growth Rates'!R80/100</f>
        <v>4.3614403936479675E-2</v>
      </c>
      <c r="T87" s="112">
        <f>'GDP Growth Rates'!S80/100</f>
        <v>6.7651173887375649E-3</v>
      </c>
      <c r="U87" s="112">
        <f>'GDP Growth Rates'!T80/100</f>
        <v>-0.13756622257210679</v>
      </c>
      <c r="V87" s="112">
        <f>'GDP Growth Rates'!U80/100</f>
        <v>4.6874781693453403E-2</v>
      </c>
      <c r="W87" s="112">
        <f>'GDP Growth Rates'!V80/100</f>
        <v>7.3207406155187449E-2</v>
      </c>
      <c r="X87" s="112">
        <f>'GDP Growth Rates'!W80/100</f>
        <v>4.6797618159358623E-2</v>
      </c>
      <c r="Y87" s="112">
        <f>'GDP Growth Rates'!X80/100</f>
        <v>3.6930593278619736E-2</v>
      </c>
    </row>
    <row r="88" spans="2:25">
      <c r="B88" s="634" t="s">
        <v>387</v>
      </c>
      <c r="C88" s="635" t="s">
        <v>388</v>
      </c>
      <c r="D88" s="634" t="s">
        <v>544</v>
      </c>
      <c r="E88" s="635" t="s">
        <v>545</v>
      </c>
      <c r="F88" s="112">
        <f>'GDP Growth Rates'!E81/100</f>
        <v>3.6423163494986713E-2</v>
      </c>
      <c r="G88" s="112">
        <f>'GDP Growth Rates'!F81/100</f>
        <v>-3.6525172754195409E-2</v>
      </c>
      <c r="H88" s="112">
        <f>'GDP Growth Rates'!G81/100</f>
        <v>7.1721311475410228E-3</v>
      </c>
      <c r="I88" s="112">
        <f>'GDP Growth Rates'!H81/100</f>
        <v>2.0345879959308207E-2</v>
      </c>
      <c r="J88" s="112">
        <f>'GDP Growth Rates'!I81/100</f>
        <v>4.3868394815554266E-3</v>
      </c>
      <c r="K88" s="112">
        <f>'GDP Growth Rates'!J81/100</f>
        <v>2.2632519356760097E-2</v>
      </c>
      <c r="L88" s="112">
        <f>'GDP Growth Rates'!K81/100</f>
        <v>7.7654824305952276E-4</v>
      </c>
      <c r="M88" s="112">
        <f>'GDP Growth Rates'!L81/100</f>
        <v>2.1338506304558535E-2</v>
      </c>
      <c r="N88" s="112">
        <f>'GDP Growth Rates'!M81/100</f>
        <v>1.6904083570750145E-2</v>
      </c>
      <c r="O88" s="112">
        <f>'GDP Growth Rates'!N81/100</f>
        <v>1.7930519237952892E-2</v>
      </c>
      <c r="P88" s="112">
        <f>'GDP Growth Rates'!O81/100</f>
        <v>8.2568807339448817E-3</v>
      </c>
      <c r="Q88" s="112">
        <f>'GDP Growth Rates'!P81/100</f>
        <v>1.8198362147406044E-3</v>
      </c>
      <c r="R88" s="112">
        <f>'GDP Growth Rates'!Q81/100</f>
        <v>8.9009990917348607E-3</v>
      </c>
      <c r="S88" s="112">
        <f>'GDP Growth Rates'!R81/100</f>
        <v>-8.2823190493338927E-3</v>
      </c>
      <c r="T88" s="112">
        <f>'GDP Growth Rates'!S81/100</f>
        <v>2.5236020334059646E-2</v>
      </c>
      <c r="U88" s="112">
        <f>'GDP Growth Rates'!T81/100</f>
        <v>-0.10518859571453859</v>
      </c>
      <c r="V88" s="112">
        <f>'GDP Growth Rates'!U81/100</f>
        <v>2.0581832574708015E-2</v>
      </c>
      <c r="W88" s="112">
        <f>'GDP Growth Rates'!V81/100</f>
        <v>5.0998642621679267E-2</v>
      </c>
      <c r="X88" s="112" t="e">
        <f>'GDP Growth Rates'!W81/100</f>
        <v>#VALUE!</v>
      </c>
      <c r="Y88" s="112" t="e">
        <f>'GDP Growth Rates'!X81/100</f>
        <v>#VALUE!</v>
      </c>
    </row>
    <row r="89" spans="2:25">
      <c r="B89" s="634" t="s">
        <v>387</v>
      </c>
      <c r="C89" s="635" t="s">
        <v>388</v>
      </c>
      <c r="D89" s="634" t="s">
        <v>546</v>
      </c>
      <c r="E89" s="635" t="s">
        <v>547</v>
      </c>
      <c r="F89" s="112">
        <f>'GDP Growth Rates'!E82/100</f>
        <v>3.2760269258888572E-2</v>
      </c>
      <c r="G89" s="112">
        <f>'GDP Growth Rates'!F82/100</f>
        <v>5.3513977871153598E-2</v>
      </c>
      <c r="H89" s="112">
        <f>'GDP Growth Rates'!G82/100</f>
        <v>6.337718690162035E-2</v>
      </c>
      <c r="I89" s="112">
        <f>'GDP Growth Rates'!H82/100</f>
        <v>3.2935240002848476E-2</v>
      </c>
      <c r="J89" s="112">
        <f>'GDP Growth Rates'!I82/100</f>
        <v>4.768981065963942E-3</v>
      </c>
      <c r="K89" s="112">
        <f>'GDP Growth Rates'!J82/100</f>
        <v>2.8841754280037719E-2</v>
      </c>
      <c r="L89" s="112">
        <f>'GDP Growth Rates'!K82/100</f>
        <v>4.1639068829334887E-2</v>
      </c>
      <c r="M89" s="112">
        <f>'GDP Growth Rates'!L82/100</f>
        <v>2.974708568476615E-2</v>
      </c>
      <c r="N89" s="112">
        <f>'GDP Growth Rates'!M82/100</f>
        <v>3.6948190244916218E-2</v>
      </c>
      <c r="O89" s="112">
        <f>'GDP Growth Rates'!N82/100</f>
        <v>4.4439778304870427E-2</v>
      </c>
      <c r="P89" s="112">
        <f>'GDP Growth Rates'!O82/100</f>
        <v>4.0921707214116337E-2</v>
      </c>
      <c r="Q89" s="112">
        <f>'GDP Growth Rates'!P82/100</f>
        <v>2.6778027326436842E-2</v>
      </c>
      <c r="R89" s="112">
        <f>'GDP Growth Rates'!Q82/100</f>
        <v>3.079851271474851E-2</v>
      </c>
      <c r="S89" s="112">
        <f>'GDP Growth Rates'!R82/100</f>
        <v>3.4068734647273828E-2</v>
      </c>
      <c r="T89" s="112">
        <f>'GDP Growth Rates'!S82/100</f>
        <v>4.0178979343828018E-2</v>
      </c>
      <c r="U89" s="112">
        <f>'GDP Growth Rates'!T82/100</f>
        <v>-1.7855519446760438E-2</v>
      </c>
      <c r="V89" s="112">
        <f>'GDP Growth Rates'!U82/100</f>
        <v>8.0417038372514044E-2</v>
      </c>
      <c r="W89" s="112">
        <f>'GDP Growth Rates'!V82/100</f>
        <v>4.1845180871260511E-2</v>
      </c>
      <c r="X89" s="112">
        <f>'GDP Growth Rates'!W82/100</f>
        <v>3.5331567008694692E-2</v>
      </c>
      <c r="Y89" s="112">
        <f>'GDP Growth Rates'!X82/100</f>
        <v>3.6518646289819545E-2</v>
      </c>
    </row>
    <row r="90" spans="2:25">
      <c r="B90" s="634" t="s">
        <v>387</v>
      </c>
      <c r="C90" s="635" t="s">
        <v>388</v>
      </c>
      <c r="D90" s="634" t="s">
        <v>548</v>
      </c>
      <c r="E90" s="635" t="s">
        <v>549</v>
      </c>
      <c r="F90" s="112">
        <f>'GDP Growth Rates'!E83/100</f>
        <v>2.9972725627581839E-2</v>
      </c>
      <c r="G90" s="112">
        <f>'GDP Growth Rates'!F83/100</f>
        <v>1.18960211693242E-2</v>
      </c>
      <c r="H90" s="112">
        <f>'GDP Growth Rates'!G83/100</f>
        <v>6.8174711107028121E-2</v>
      </c>
      <c r="I90" s="112">
        <f>'GDP Growth Rates'!H83/100</f>
        <v>4.1330161596583252E-2</v>
      </c>
      <c r="J90" s="112">
        <f>'GDP Growth Rates'!I83/100</f>
        <v>-1.1226420484868669E-2</v>
      </c>
      <c r="K90" s="112">
        <f>'GDP Growth Rates'!J83/100</f>
        <v>4.8133601696755332E-2</v>
      </c>
      <c r="L90" s="112">
        <f>'GDP Growth Rates'!K83/100</f>
        <v>5.6121117743097526E-2</v>
      </c>
      <c r="M90" s="112">
        <f>'GDP Growth Rates'!L83/100</f>
        <v>5.9152862613332219E-2</v>
      </c>
      <c r="N90" s="112">
        <f>'GDP Growth Rates'!M83/100</f>
        <v>3.9456870862405256E-2</v>
      </c>
      <c r="O90" s="112">
        <f>'GDP Growth Rates'!N83/100</f>
        <v>3.696553116640857E-2</v>
      </c>
      <c r="P90" s="112">
        <f>'GDP Growth Rates'!O83/100</f>
        <v>3.8259105694943542E-2</v>
      </c>
      <c r="Q90" s="112">
        <f>'GDP Growth Rates'!P83/100</f>
        <v>0.1082062719659001</v>
      </c>
      <c r="R90" s="112">
        <f>'GDP Growth Rates'!Q83/100</f>
        <v>0.10300005342735517</v>
      </c>
      <c r="S90" s="112">
        <f>'GDP Growth Rates'!R83/100</f>
        <v>6.3584919273671547E-2</v>
      </c>
      <c r="T90" s="112">
        <f>'GDP Growth Rates'!S83/100</f>
        <v>5.6169144688987559E-2</v>
      </c>
      <c r="U90" s="112">
        <f>'GDP Growth Rates'!T83/100</f>
        <v>4.7045909611357503E-2</v>
      </c>
      <c r="V90" s="112">
        <f>'GDP Growth Rates'!U83/100</f>
        <v>5.5823328114905021E-2</v>
      </c>
      <c r="W90" s="112">
        <f>'GDP Growth Rates'!V83/100</f>
        <v>3.9724078420072147E-2</v>
      </c>
      <c r="X90" s="112">
        <f>'GDP Growth Rates'!W83/100</f>
        <v>5.5417266862770161E-2</v>
      </c>
      <c r="Y90" s="112">
        <f>'GDP Growth Rates'!X83/100</f>
        <v>5.6685239347435044E-2</v>
      </c>
    </row>
    <row r="91" spans="2:25">
      <c r="B91" s="634" t="s">
        <v>387</v>
      </c>
      <c r="C91" s="635" t="s">
        <v>388</v>
      </c>
      <c r="D91" s="634" t="s">
        <v>550</v>
      </c>
      <c r="E91" s="635" t="s">
        <v>551</v>
      </c>
      <c r="F91" s="112">
        <f>'GDP Growth Rates'!E84/100</f>
        <v>6.5597711184607735E-2</v>
      </c>
      <c r="G91" s="112">
        <f>'GDP Growth Rates'!F84/100</f>
        <v>2.6665049326957159E-2</v>
      </c>
      <c r="H91" s="112">
        <f>'GDP Growth Rates'!G84/100</f>
        <v>2.5598264707875133E-2</v>
      </c>
      <c r="I91" s="112">
        <f>'GDP Growth Rates'!H84/100</f>
        <v>4.5245751461025205E-2</v>
      </c>
      <c r="J91" s="112">
        <f>'GDP Growth Rates'!I84/100</f>
        <v>2.4479510609868527E-2</v>
      </c>
      <c r="K91" s="112">
        <f>'GDP Growth Rates'!J84/100</f>
        <v>5.6053631135826121E-2</v>
      </c>
      <c r="L91" s="112">
        <f>'GDP Growth Rates'!K84/100</f>
        <v>8.0850416717355392E-2</v>
      </c>
      <c r="M91" s="112">
        <f>'GDP Growth Rates'!L84/100</f>
        <v>-1.712869584464187E-2</v>
      </c>
      <c r="N91" s="112">
        <f>'GDP Growth Rates'!M84/100</f>
        <v>3.2560719085208661E-2</v>
      </c>
      <c r="O91" s="112">
        <f>'GDP Growth Rates'!N84/100</f>
        <v>9.6452574584142779E-3</v>
      </c>
      <c r="P91" s="112">
        <f>'GDP Growth Rates'!O84/100</f>
        <v>6.134089362312295E-2</v>
      </c>
      <c r="Q91" s="112">
        <f>'GDP Growth Rates'!P84/100</f>
        <v>5.4326782650304037E-2</v>
      </c>
      <c r="R91" s="112">
        <f>'GDP Growth Rates'!Q84/100</f>
        <v>4.6636794391326362E-2</v>
      </c>
      <c r="S91" s="112">
        <f>'GDP Growth Rates'!R84/100</f>
        <v>3.7614535963700318E-2</v>
      </c>
      <c r="T91" s="112">
        <f>'GDP Growth Rates'!S84/100</f>
        <v>5.5657453358556805E-2</v>
      </c>
      <c r="U91" s="112">
        <f>'GDP Growth Rates'!T84/100</f>
        <v>2.1281149012628758E-2</v>
      </c>
      <c r="V91" s="112">
        <f>'GDP Growth Rates'!U84/100</f>
        <v>5.2373664063488833E-2</v>
      </c>
      <c r="W91" s="112">
        <f>'GDP Growth Rates'!V84/100</f>
        <v>5.585137280114736E-2</v>
      </c>
      <c r="X91" s="112">
        <f>'GDP Growth Rates'!W84/100</f>
        <v>4.4636993613339226E-2</v>
      </c>
      <c r="Y91" s="112">
        <f>'GDP Growth Rates'!X84/100</f>
        <v>4.813485951882953E-2</v>
      </c>
    </row>
    <row r="92" spans="2:25">
      <c r="B92" s="634" t="s">
        <v>387</v>
      </c>
      <c r="C92" s="635" t="s">
        <v>388</v>
      </c>
      <c r="D92" s="634" t="s">
        <v>552</v>
      </c>
      <c r="E92" s="635" t="s">
        <v>553</v>
      </c>
      <c r="F92" s="112">
        <f>'GDP Growth Rates'!E85/100</f>
        <v>-1.9509575950171439E-2</v>
      </c>
      <c r="G92" s="112">
        <f>'GDP Growth Rates'!F85/100</f>
        <v>5.1296093477299964E-2</v>
      </c>
      <c r="H92" s="112">
        <f>'GDP Growth Rates'!G85/100</f>
        <v>7.1912362405745681E-2</v>
      </c>
      <c r="I92" s="112">
        <f>'GDP Growth Rates'!H85/100</f>
        <v>1.7552234959201912E-2</v>
      </c>
      <c r="J92" s="112">
        <f>'GDP Growth Rates'!I85/100</f>
        <v>3.6115084721858468E-2</v>
      </c>
      <c r="K92" s="112">
        <f>'GDP Growth Rates'!J85/100</f>
        <v>4.1384416013734153E-2</v>
      </c>
      <c r="L92" s="112">
        <f>'GDP Growth Rates'!K85/100</f>
        <v>5.196251560516018E-2</v>
      </c>
      <c r="M92" s="112">
        <f>'GDP Growth Rates'!L85/100</f>
        <v>5.2763306204680872E-2</v>
      </c>
      <c r="N92" s="112">
        <f>'GDP Growth Rates'!M85/100</f>
        <v>3.6533843333823202E-2</v>
      </c>
      <c r="O92" s="112">
        <f>'GDP Growth Rates'!N85/100</f>
        <v>1.6864944501958377E-2</v>
      </c>
      <c r="P92" s="112">
        <f>'GDP Growth Rates'!O85/100</f>
        <v>6.8740459061949364E-3</v>
      </c>
      <c r="Q92" s="112">
        <f>'GDP Growth Rates'!P85/100</f>
        <v>3.80745626378814E-2</v>
      </c>
      <c r="R92" s="112">
        <f>'GDP Growth Rates'!Q85/100</f>
        <v>3.7344915457128425E-2</v>
      </c>
      <c r="S92" s="112">
        <f>'GDP Growth Rates'!R85/100</f>
        <v>4.4409128847596693E-2</v>
      </c>
      <c r="T92" s="112">
        <f>'GDP Growth Rates'!S85/100</f>
        <v>5.3528400353566499E-2</v>
      </c>
      <c r="U92" s="112">
        <f>'GDP Growth Rates'!T85/100</f>
        <v>0.43479651716848994</v>
      </c>
      <c r="V92" s="112">
        <f>'GDP Growth Rates'!U85/100</f>
        <v>0.20059997556841808</v>
      </c>
      <c r="W92" s="112">
        <f>'GDP Growth Rates'!V85/100</f>
        <v>0.63334634365485498</v>
      </c>
      <c r="X92" s="112">
        <f>'GDP Growth Rates'!W85/100</f>
        <v>0.33795011115872969</v>
      </c>
      <c r="Y92" s="112">
        <f>'GDP Growth Rates'!X85/100</f>
        <v>0.43372009477713191</v>
      </c>
    </row>
    <row r="93" spans="2:25">
      <c r="B93" s="634" t="s">
        <v>387</v>
      </c>
      <c r="C93" s="635" t="s">
        <v>388</v>
      </c>
      <c r="D93" s="634" t="s">
        <v>554</v>
      </c>
      <c r="E93" s="635" t="s">
        <v>555</v>
      </c>
      <c r="F93" s="112">
        <f>'GDP Growth Rates'!E86/100</f>
        <v>3.0721733766473136E-2</v>
      </c>
      <c r="G93" s="112">
        <f>'GDP Growth Rates'!F86/100</f>
        <v>1.7687506028819511E-2</v>
      </c>
      <c r="H93" s="112">
        <f>'GDP Growth Rates'!G86/100</f>
        <v>4.7065299400830297E-2</v>
      </c>
      <c r="I93" s="112">
        <f>'GDP Growth Rates'!H86/100</f>
        <v>2.6580323082746986E-2</v>
      </c>
      <c r="J93" s="112">
        <f>'GDP Growth Rates'!I86/100</f>
        <v>5.8903789484431569E-2</v>
      </c>
      <c r="K93" s="112">
        <f>'GDP Growth Rates'!J86/100</f>
        <v>-5.6515115344829919E-2</v>
      </c>
      <c r="L93" s="112">
        <f>'GDP Growth Rates'!K86/100</f>
        <v>5.0982135441003607E-2</v>
      </c>
      <c r="M93" s="112">
        <f>'GDP Growth Rates'!L86/100</f>
        <v>5.0242440358158544E-3</v>
      </c>
      <c r="N93" s="112">
        <f>'GDP Growth Rates'!M86/100</f>
        <v>4.3247841147287434E-2</v>
      </c>
      <c r="O93" s="112">
        <f>'GDP Growth Rates'!N86/100</f>
        <v>2.8887725086337922E-2</v>
      </c>
      <c r="P93" s="112">
        <f>'GDP Growth Rates'!O86/100</f>
        <v>1.4000000085972743E-2</v>
      </c>
      <c r="Q93" s="112">
        <f>'GDP Growth Rates'!P86/100</f>
        <v>1.8124680784753197E-2</v>
      </c>
      <c r="R93" s="112">
        <f>'GDP Growth Rates'!Q86/100</f>
        <v>2.5102713454468528E-2</v>
      </c>
      <c r="S93" s="112">
        <f>'GDP Growth Rates'!R86/100</f>
        <v>1.6678109548465585E-2</v>
      </c>
      <c r="T93" s="112">
        <f>'GDP Growth Rates'!S86/100</f>
        <v>-1.7230969983923216E-2</v>
      </c>
      <c r="U93" s="112">
        <f>'GDP Growth Rates'!T86/100</f>
        <v>-3.3055054696589252E-2</v>
      </c>
      <c r="V93" s="112">
        <f>'GDP Growth Rates'!U86/100</f>
        <v>-1.7982398893148569E-2</v>
      </c>
      <c r="W93" s="112">
        <f>'GDP Growth Rates'!V86/100</f>
        <v>-1.6819839689797788E-2</v>
      </c>
      <c r="X93" s="112">
        <f>'GDP Growth Rates'!W86/100</f>
        <v>-1.8638842025483767E-2</v>
      </c>
      <c r="Y93" s="112">
        <f>'GDP Growth Rates'!X86/100</f>
        <v>-4.1696339580813202E-2</v>
      </c>
    </row>
    <row r="94" spans="2:25">
      <c r="B94" s="634" t="s">
        <v>387</v>
      </c>
      <c r="C94" s="635" t="s">
        <v>388</v>
      </c>
      <c r="D94" s="634" t="s">
        <v>556</v>
      </c>
      <c r="E94" s="635" t="s">
        <v>557</v>
      </c>
      <c r="F94" s="112">
        <f>'GDP Growth Rates'!E87/100</f>
        <v>6.0505992221597325E-2</v>
      </c>
      <c r="G94" s="112">
        <f>'GDP Growth Rates'!F87/100</f>
        <v>6.567243551775874E-2</v>
      </c>
      <c r="H94" s="112">
        <f>'GDP Growth Rates'!G87/100</f>
        <v>6.1883271667800839E-2</v>
      </c>
      <c r="I94" s="112">
        <f>'GDP Growth Rates'!H87/100</f>
        <v>4.2316001100934246E-2</v>
      </c>
      <c r="J94" s="112">
        <f>'GDP Growth Rates'!I87/100</f>
        <v>-2.4316278798801109E-2</v>
      </c>
      <c r="K94" s="112">
        <f>'GDP Growth Rates'!J87/100</f>
        <v>3.7311403443300861E-2</v>
      </c>
      <c r="L94" s="112">
        <f>'GDP Growth Rates'!K87/100</f>
        <v>3.8356906620750524E-2</v>
      </c>
      <c r="M94" s="112">
        <f>'GDP Growth Rates'!L87/100</f>
        <v>4.1286877486693928E-2</v>
      </c>
      <c r="N94" s="112">
        <f>'GDP Growth Rates'!M87/100</f>
        <v>2.7915597574680078E-2</v>
      </c>
      <c r="O94" s="112">
        <f>'GDP Growth Rates'!N87/100</f>
        <v>3.0580805621437009E-2</v>
      </c>
      <c r="P94" s="112">
        <f>'GDP Growth Rates'!O87/100</f>
        <v>3.8400799709395132E-2</v>
      </c>
      <c r="Q94" s="112">
        <f>'GDP Growth Rates'!P87/100</f>
        <v>3.8929721972641287E-2</v>
      </c>
      <c r="R94" s="112">
        <f>'GDP Growth Rates'!Q87/100</f>
        <v>4.8429139105038675E-2</v>
      </c>
      <c r="S94" s="112">
        <f>'GDP Growth Rates'!R87/100</f>
        <v>3.8449947696673516E-2</v>
      </c>
      <c r="T94" s="112">
        <f>'GDP Growth Rates'!S87/100</f>
        <v>2.5596343459231435E-2</v>
      </c>
      <c r="U94" s="112">
        <f>'GDP Growth Rates'!T87/100</f>
        <v>-8.9650822326729551E-2</v>
      </c>
      <c r="V94" s="112">
        <f>'GDP Growth Rates'!U87/100</f>
        <v>0.12565284377127894</v>
      </c>
      <c r="W94" s="112">
        <f>'GDP Growth Rates'!V87/100</f>
        <v>4.1435619401376723E-2</v>
      </c>
      <c r="X94" s="112">
        <f>'GDP Growth Rates'!W87/100</f>
        <v>3.5758476045441225E-2</v>
      </c>
      <c r="Y94" s="112">
        <f>'GDP Growth Rates'!X87/100</f>
        <v>3.5539700329666885E-2</v>
      </c>
    </row>
    <row r="95" spans="2:25">
      <c r="B95" s="634" t="s">
        <v>387</v>
      </c>
      <c r="C95" s="635" t="s">
        <v>388</v>
      </c>
      <c r="D95" s="634" t="s">
        <v>558</v>
      </c>
      <c r="E95" s="635" t="s">
        <v>559</v>
      </c>
      <c r="F95" s="112">
        <f>'GDP Growth Rates'!E88/100</f>
        <v>7.388176318939628E-2</v>
      </c>
      <c r="G95" s="112">
        <f>'GDP Growth Rates'!F88/100</f>
        <v>7.0326247913137227E-2</v>
      </c>
      <c r="H95" s="112">
        <f>'GDP Growth Rates'!G88/100</f>
        <v>6.4648641190963196E-2</v>
      </c>
      <c r="I95" s="112">
        <f>'GDP Growth Rates'!H88/100</f>
        <v>2.12792093606744E-2</v>
      </c>
      <c r="J95" s="112">
        <f>'GDP Growth Rates'!I88/100</f>
        <v>-2.459140985903403E-2</v>
      </c>
      <c r="K95" s="112">
        <f>'GDP Growth Rates'!J88/100</f>
        <v>6.7676658174788143E-2</v>
      </c>
      <c r="L95" s="112">
        <f>'GDP Growth Rates'!K88/100</f>
        <v>4.8146810012065944E-2</v>
      </c>
      <c r="M95" s="112">
        <f>'GDP Growth Rates'!L88/100</f>
        <v>1.7002938026964926E-2</v>
      </c>
      <c r="N95" s="112">
        <f>'GDP Growth Rates'!M88/100</f>
        <v>3.1015169639448316E-2</v>
      </c>
      <c r="O95" s="112">
        <f>'GDP Growth Rates'!N88/100</f>
        <v>2.7624303011989183E-2</v>
      </c>
      <c r="P95" s="112">
        <f>'GDP Growth Rates'!O88/100</f>
        <v>2.3877833954599765E-2</v>
      </c>
      <c r="Q95" s="112">
        <f>'GDP Growth Rates'!P88/100</f>
        <v>2.175436927658609E-2</v>
      </c>
      <c r="R95" s="112">
        <f>'GDP Growth Rates'!Q88/100</f>
        <v>3.7961135811964655E-2</v>
      </c>
      <c r="S95" s="112">
        <f>'GDP Growth Rates'!R88/100</f>
        <v>2.8469345759766184E-2</v>
      </c>
      <c r="T95" s="112">
        <f>'GDP Growth Rates'!S88/100</f>
        <v>-1.6723951654533806E-2</v>
      </c>
      <c r="U95" s="112">
        <f>'GDP Growth Rates'!T88/100</f>
        <v>-6.5447832016685373E-2</v>
      </c>
      <c r="V95" s="112">
        <f>'GDP Growth Rates'!U88/100</f>
        <v>6.4544247325682993E-2</v>
      </c>
      <c r="W95" s="112">
        <f>'GDP Growth Rates'!V88/100</f>
        <v>-3.6837514169857283E-2</v>
      </c>
      <c r="X95" s="112">
        <f>'GDP Growth Rates'!W88/100</f>
        <v>3.2144890171447144E-2</v>
      </c>
      <c r="Y95" s="112">
        <f>'GDP Growth Rates'!X88/100</f>
        <v>2.5411975388228002E-2</v>
      </c>
    </row>
    <row r="96" spans="2:25">
      <c r="B96" s="634" t="s">
        <v>387</v>
      </c>
      <c r="C96" s="635" t="s">
        <v>388</v>
      </c>
      <c r="D96" s="634" t="s">
        <v>560</v>
      </c>
      <c r="E96" s="635" t="s">
        <v>561</v>
      </c>
      <c r="F96" s="112">
        <f>'GDP Growth Rates'!E89/100</f>
        <v>4.3002831846167308E-2</v>
      </c>
      <c r="G96" s="112">
        <f>'GDP Growth Rates'!F89/100</f>
        <v>3.9339316271205432E-2</v>
      </c>
      <c r="H96" s="112">
        <f>'GDP Growth Rates'!G89/100</f>
        <v>3.3235433787892534E-3</v>
      </c>
      <c r="I96" s="112">
        <f>'GDP Growth Rates'!H89/100</f>
        <v>9.9343708547965544E-3</v>
      </c>
      <c r="J96" s="112">
        <f>'GDP Growth Rates'!I89/100</f>
        <v>-6.7401660845501962E-2</v>
      </c>
      <c r="K96" s="112">
        <f>'GDP Growth Rates'!J89/100</f>
        <v>1.0679506815204576E-2</v>
      </c>
      <c r="L96" s="112">
        <f>'GDP Growth Rates'!K89/100</f>
        <v>1.9167091659974177E-2</v>
      </c>
      <c r="M96" s="112">
        <f>'GDP Growth Rates'!L89/100</f>
        <v>-1.3394844651818118E-2</v>
      </c>
      <c r="N96" s="112">
        <f>'GDP Growth Rates'!M89/100</f>
        <v>2.0321699067814621E-2</v>
      </c>
      <c r="O96" s="112">
        <f>'GDP Growth Rates'!N89/100</f>
        <v>4.334353641139671E-2</v>
      </c>
      <c r="P96" s="112">
        <f>'GDP Growth Rates'!O89/100</f>
        <v>3.6598161540695458E-2</v>
      </c>
      <c r="Q96" s="112">
        <f>'GDP Growth Rates'!P89/100</f>
        <v>2.4386414130934213E-2</v>
      </c>
      <c r="R96" s="112">
        <f>'GDP Growth Rates'!Q89/100</f>
        <v>4.1241838945180548E-2</v>
      </c>
      <c r="S96" s="112">
        <f>'GDP Growth Rates'!R89/100</f>
        <v>5.6061381376887598E-2</v>
      </c>
      <c r="T96" s="112">
        <f>'GDP Growth Rates'!S89/100</f>
        <v>5.0771849508893324E-2</v>
      </c>
      <c r="U96" s="112">
        <f>'GDP Growth Rates'!T89/100</f>
        <v>-4.338725400240577E-2</v>
      </c>
      <c r="V96" s="112">
        <f>'GDP Growth Rates'!U89/100</f>
        <v>7.2229158081113673E-2</v>
      </c>
      <c r="W96" s="112">
        <f>'GDP Growth Rates'!V89/100</f>
        <v>4.2703475516290439E-2</v>
      </c>
      <c r="X96" s="112">
        <f>'GDP Growth Rates'!W89/100</f>
        <v>-8.4252884063909048E-3</v>
      </c>
      <c r="Y96" s="112">
        <f>'GDP Growth Rates'!X89/100</f>
        <v>5.1230579065713756E-3</v>
      </c>
    </row>
    <row r="97" spans="2:25">
      <c r="B97" s="634" t="s">
        <v>387</v>
      </c>
      <c r="C97" s="635" t="s">
        <v>388</v>
      </c>
      <c r="D97" s="634" t="s">
        <v>562</v>
      </c>
      <c r="E97" s="635" t="s">
        <v>563</v>
      </c>
      <c r="F97" s="112">
        <f>'GDP Growth Rates'!E90/100</f>
        <v>6.1244390544764403E-2</v>
      </c>
      <c r="G97" s="112">
        <f>'GDP Growth Rates'!F90/100</f>
        <v>6.3169930216992326E-2</v>
      </c>
      <c r="H97" s="112">
        <f>'GDP Growth Rates'!G90/100</f>
        <v>8.4548601037353566E-2</v>
      </c>
      <c r="I97" s="112">
        <f>'GDP Growth Rates'!H90/100</f>
        <v>2.2094964133305979E-2</v>
      </c>
      <c r="J97" s="112">
        <f>'GDP Growth Rates'!I90/100</f>
        <v>-7.6638095199309364E-2</v>
      </c>
      <c r="K97" s="112">
        <f>'GDP Growth Rates'!J90/100</f>
        <v>-2.8327749227643296E-2</v>
      </c>
      <c r="L97" s="112">
        <f>'GDP Growth Rates'!K90/100</f>
        <v>1.845779148828413E-2</v>
      </c>
      <c r="M97" s="112">
        <f>'GDP Growth Rates'!L90/100</f>
        <v>1.0636365958641677E-2</v>
      </c>
      <c r="N97" s="112">
        <f>'GDP Growth Rates'!M90/100</f>
        <v>4.5524602892335932E-2</v>
      </c>
      <c r="O97" s="112">
        <f>'GDP Growth Rates'!N90/100</f>
        <v>1.6872150348133344E-2</v>
      </c>
      <c r="P97" s="112">
        <f>'GDP Growth Rates'!O90/100</f>
        <v>4.4366637389808547E-2</v>
      </c>
      <c r="Q97" s="112">
        <f>'GDP Growth Rates'!P90/100</f>
        <v>6.3036871247927451E-2</v>
      </c>
      <c r="R97" s="112">
        <f>'GDP Growth Rates'!Q90/100</f>
        <v>4.1949487893467391E-2</v>
      </c>
      <c r="S97" s="112">
        <f>'GDP Growth Rates'!R90/100</f>
        <v>4.8891730021822323E-2</v>
      </c>
      <c r="T97" s="112">
        <f>'GDP Growth Rates'!S90/100</f>
        <v>1.8611779461165979E-2</v>
      </c>
      <c r="U97" s="112">
        <f>'GDP Growth Rates'!T90/100</f>
        <v>-6.9404530682900256E-2</v>
      </c>
      <c r="V97" s="112">
        <f>'GDP Growth Rates'!U90/100</f>
        <v>5.0334061312738071E-2</v>
      </c>
      <c r="W97" s="112">
        <f>'GDP Growth Rates'!V90/100</f>
        <v>8.9789708517549652E-2</v>
      </c>
      <c r="X97" s="112">
        <f>'GDP Growth Rates'!W90/100</f>
        <v>5.6464618192356257E-2</v>
      </c>
      <c r="Y97" s="112">
        <f>'GDP Growth Rates'!X90/100</f>
        <v>5.1686312172938642E-3</v>
      </c>
    </row>
    <row r="98" spans="2:25">
      <c r="B98" s="634" t="s">
        <v>387</v>
      </c>
      <c r="C98" s="635" t="s">
        <v>388</v>
      </c>
      <c r="D98" s="634" t="s">
        <v>564</v>
      </c>
      <c r="E98" s="635" t="s">
        <v>565</v>
      </c>
      <c r="F98" s="112">
        <f>'GDP Growth Rates'!E91/100</f>
        <v>7.9234306214831782E-2</v>
      </c>
      <c r="G98" s="112">
        <f>'GDP Growth Rates'!F91/100</f>
        <v>8.0607325716665054E-2</v>
      </c>
      <c r="H98" s="112">
        <f>'GDP Growth Rates'!G91/100</f>
        <v>7.6608150670107025E-2</v>
      </c>
      <c r="I98" s="112">
        <f>'GDP Growth Rates'!H91/100</f>
        <v>3.0866980592198133E-2</v>
      </c>
      <c r="J98" s="112">
        <f>'GDP Growth Rates'!I91/100</f>
        <v>7.8618888328607431E-2</v>
      </c>
      <c r="K98" s="112">
        <f>'GDP Growth Rates'!J91/100</f>
        <v>8.4975847022123505E-2</v>
      </c>
      <c r="L98" s="112">
        <f>'GDP Growth Rates'!K91/100</f>
        <v>5.2413161993769532E-2</v>
      </c>
      <c r="M98" s="112">
        <f>'GDP Growth Rates'!L91/100</f>
        <v>5.45638755166587E-2</v>
      </c>
      <c r="N98" s="112">
        <f>'GDP Growth Rates'!M91/100</f>
        <v>6.3861064009482507E-2</v>
      </c>
      <c r="O98" s="112">
        <f>'GDP Growth Rates'!N91/100</f>
        <v>7.410227605088536E-2</v>
      </c>
      <c r="P98" s="112">
        <f>'GDP Growth Rates'!O91/100</f>
        <v>7.9962537857147145E-2</v>
      </c>
      <c r="Q98" s="112">
        <f>'GDP Growth Rates'!P91/100</f>
        <v>8.2563055017908629E-2</v>
      </c>
      <c r="R98" s="112">
        <f>'GDP Growth Rates'!Q91/100</f>
        <v>6.7953834189791132E-2</v>
      </c>
      <c r="S98" s="112">
        <f>'GDP Growth Rates'!R91/100</f>
        <v>6.453851344977693E-2</v>
      </c>
      <c r="T98" s="112">
        <f>'GDP Growth Rates'!S91/100</f>
        <v>3.8714369407035605E-2</v>
      </c>
      <c r="U98" s="112">
        <f>'GDP Growth Rates'!T91/100</f>
        <v>-5.7777247068680142E-2</v>
      </c>
      <c r="V98" s="112">
        <f>'GDP Growth Rates'!U91/100</f>
        <v>9.6895924919287502E-2</v>
      </c>
      <c r="W98" s="112">
        <f>'GDP Growth Rates'!V91/100</f>
        <v>7.6093649776889552E-2</v>
      </c>
      <c r="X98" s="112">
        <f>'GDP Growth Rates'!W91/100</f>
        <v>9.1907549302834471E-2</v>
      </c>
      <c r="Y98" s="112">
        <f>'GDP Growth Rates'!X91/100</f>
        <v>6.4842236303375669E-2</v>
      </c>
    </row>
    <row r="99" spans="2:25">
      <c r="B99" s="634" t="s">
        <v>387</v>
      </c>
      <c r="C99" s="635" t="s">
        <v>388</v>
      </c>
      <c r="D99" s="634" t="s">
        <v>233</v>
      </c>
      <c r="E99" s="635" t="s">
        <v>566</v>
      </c>
      <c r="F99" s="112">
        <f>'GDP Growth Rates'!E92/100</f>
        <v>5.6925713038338446E-2</v>
      </c>
      <c r="G99" s="112">
        <f>'GDP Growth Rates'!F92/100</f>
        <v>5.5009517852034832E-2</v>
      </c>
      <c r="H99" s="112">
        <f>'GDP Growth Rates'!G92/100</f>
        <v>6.3450222266721423E-2</v>
      </c>
      <c r="I99" s="112">
        <f>'GDP Growth Rates'!H92/100</f>
        <v>6.0137036000912331E-2</v>
      </c>
      <c r="J99" s="112">
        <f>'GDP Growth Rates'!I92/100</f>
        <v>4.6288711825615253E-2</v>
      </c>
      <c r="K99" s="112">
        <f>'GDP Growth Rates'!J92/100</f>
        <v>6.2238541806236614E-2</v>
      </c>
      <c r="L99" s="112">
        <f>'GDP Growth Rates'!K92/100</f>
        <v>6.1697842077100801E-2</v>
      </c>
      <c r="M99" s="112">
        <f>'GDP Growth Rates'!L92/100</f>
        <v>6.0300506530561508E-2</v>
      </c>
      <c r="N99" s="112">
        <f>'GDP Growth Rates'!M92/100</f>
        <v>5.5572636889100975E-2</v>
      </c>
      <c r="O99" s="112">
        <f>'GDP Growth Rates'!N92/100</f>
        <v>5.0066684257549954E-2</v>
      </c>
      <c r="P99" s="112">
        <f>'GDP Growth Rates'!O92/100</f>
        <v>4.8763223002212329E-2</v>
      </c>
      <c r="Q99" s="112">
        <f>'GDP Growth Rates'!P92/100</f>
        <v>5.0330691828017679E-2</v>
      </c>
      <c r="R99" s="112">
        <f>'GDP Growth Rates'!Q92/100</f>
        <v>5.0697859013491636E-2</v>
      </c>
      <c r="S99" s="112">
        <f>'GDP Growth Rates'!R92/100</f>
        <v>5.1742915395502395E-2</v>
      </c>
      <c r="T99" s="112">
        <f>'GDP Growth Rates'!S92/100</f>
        <v>5.0192876804628243E-2</v>
      </c>
      <c r="U99" s="112">
        <f>'GDP Growth Rates'!T92/100</f>
        <v>-2.0655118293416451E-2</v>
      </c>
      <c r="V99" s="112">
        <f>'GDP Growth Rates'!U92/100</f>
        <v>3.7028856282775136E-2</v>
      </c>
      <c r="W99" s="112">
        <f>'GDP Growth Rates'!V92/100</f>
        <v>5.3071972266479861E-2</v>
      </c>
      <c r="X99" s="112">
        <f>'GDP Growth Rates'!W92/100</f>
        <v>5.0490233183599714E-2</v>
      </c>
      <c r="Y99" s="112">
        <f>'GDP Growth Rates'!X92/100</f>
        <v>5.0303446941903758E-2</v>
      </c>
    </row>
    <row r="100" spans="2:25">
      <c r="B100" s="634" t="s">
        <v>387</v>
      </c>
      <c r="C100" s="635" t="s">
        <v>388</v>
      </c>
      <c r="D100" s="634" t="s">
        <v>567</v>
      </c>
      <c r="E100" s="635" t="s">
        <v>568</v>
      </c>
      <c r="F100" s="112">
        <f>'GDP Growth Rates'!E93/100</f>
        <v>3.1898040813102282E-2</v>
      </c>
      <c r="G100" s="112">
        <f>'GDP Growth Rates'!F93/100</f>
        <v>4.9997952693596942E-2</v>
      </c>
      <c r="H100" s="112">
        <f>'GDP Growth Rates'!G93/100</f>
        <v>8.1557735184346433E-2</v>
      </c>
      <c r="I100" s="112">
        <f>'GDP Growth Rates'!H93/100</f>
        <v>2.5085655251105266E-3</v>
      </c>
      <c r="J100" s="112">
        <f>'GDP Growth Rates'!I93/100</f>
        <v>1.0073854628562202E-2</v>
      </c>
      <c r="K100" s="112">
        <f>'GDP Growth Rates'!J93/100</f>
        <v>5.7979382959026111E-2</v>
      </c>
      <c r="L100" s="112">
        <f>'GDP Growth Rates'!K93/100</f>
        <v>2.6457179200895808E-2</v>
      </c>
      <c r="M100" s="112">
        <f>'GDP Growth Rates'!L93/100</f>
        <v>-3.7471713986413989E-2</v>
      </c>
      <c r="N100" s="112">
        <f>'GDP Growth Rates'!M93/100</f>
        <v>-1.5219792049416299E-2</v>
      </c>
      <c r="O100" s="112">
        <f>'GDP Growth Rates'!N93/100</f>
        <v>4.9847750670949438E-2</v>
      </c>
      <c r="P100" s="112">
        <f>'GDP Growth Rates'!O93/100</f>
        <v>-1.4248849393749055E-2</v>
      </c>
      <c r="Q100" s="112">
        <f>'GDP Growth Rates'!P93/100</f>
        <v>8.8150866425181953E-2</v>
      </c>
      <c r="R100" s="112">
        <f>'GDP Growth Rates'!Q93/100</f>
        <v>2.7585052457887543E-2</v>
      </c>
      <c r="S100" s="112">
        <f>'GDP Growth Rates'!R93/100</f>
        <v>-1.8380075709303584E-2</v>
      </c>
      <c r="T100" s="112">
        <f>'GDP Growth Rates'!S93/100</f>
        <v>-3.0705879849703025E-2</v>
      </c>
      <c r="U100" s="112">
        <f>'GDP Growth Rates'!T93/100</f>
        <v>3.330288459265944E-2</v>
      </c>
      <c r="V100" s="112">
        <f>'GDP Growth Rates'!U93/100</f>
        <v>4.7197777315716394E-2</v>
      </c>
      <c r="W100" s="112">
        <f>'GDP Growth Rates'!V93/100</f>
        <v>3.776631401529059E-2</v>
      </c>
      <c r="X100" s="112">
        <f>'GDP Growth Rates'!W93/100</f>
        <v>5.0448901951213827E-2</v>
      </c>
      <c r="Y100" s="112">
        <f>'GDP Growth Rates'!X93/100</f>
        <v>3.0400003094751042E-2</v>
      </c>
    </row>
    <row r="101" spans="2:25">
      <c r="B101" s="634" t="s">
        <v>387</v>
      </c>
      <c r="C101" s="635" t="s">
        <v>388</v>
      </c>
      <c r="D101" s="634" t="s">
        <v>569</v>
      </c>
      <c r="E101" s="635" t="s">
        <v>570</v>
      </c>
      <c r="F101" s="112">
        <f>'GDP Growth Rates'!E94/100</f>
        <v>1.6752286358682797E-2</v>
      </c>
      <c r="G101" s="112">
        <f>'GDP Growth Rates'!F94/100</f>
        <v>5.6382991522063719E-2</v>
      </c>
      <c r="H101" s="112">
        <f>'GDP Growth Rates'!G94/100</f>
        <v>1.8885393624395307E-2</v>
      </c>
      <c r="I101" s="112">
        <f>'GDP Growth Rates'!H94/100</f>
        <v>8.2281071038327699E-2</v>
      </c>
      <c r="J101" s="112">
        <f>'GDP Growth Rates'!I94/100</f>
        <v>3.3792990944277082E-2</v>
      </c>
      <c r="K101" s="112">
        <f>'GDP Growth Rates'!J94/100</f>
        <v>6.4025648447119318E-2</v>
      </c>
      <c r="L101" s="112">
        <f>'GDP Growth Rates'!K94/100</f>
        <v>7.5464712004259984E-2</v>
      </c>
      <c r="M101" s="112">
        <f>'GDP Growth Rates'!L94/100</f>
        <v>0.13936430173753706</v>
      </c>
      <c r="N101" s="112">
        <f>'GDP Growth Rates'!M94/100</f>
        <v>7.6282859229875447E-2</v>
      </c>
      <c r="O101" s="112">
        <f>'GDP Growth Rates'!N94/100</f>
        <v>2.2636881756361332E-2</v>
      </c>
      <c r="P101" s="112">
        <f>'GDP Growth Rates'!O94/100</f>
        <v>2.6067664293954067E-2</v>
      </c>
      <c r="Q101" s="112">
        <f>'GDP Growth Rates'!P94/100</f>
        <v>0.13787373018708934</v>
      </c>
      <c r="R101" s="112">
        <f>'GDP Growth Rates'!Q94/100</f>
        <v>-1.8197503511830887E-2</v>
      </c>
      <c r="S101" s="112">
        <f>'GDP Growth Rates'!R94/100</f>
        <v>2.6338509910562351E-2</v>
      </c>
      <c r="T101" s="112">
        <f>'GDP Growth Rates'!S94/100</f>
        <v>5.5137905754232296E-2</v>
      </c>
      <c r="U101" s="112">
        <f>'GDP Growth Rates'!T94/100</f>
        <v>-0.12036793093115179</v>
      </c>
      <c r="V101" s="112">
        <f>'GDP Growth Rates'!U94/100</f>
        <v>1.5021807095203741E-2</v>
      </c>
      <c r="W101" s="112">
        <f>'GDP Growth Rates'!V94/100</f>
        <v>7.9590480499266217E-2</v>
      </c>
      <c r="X101" s="112">
        <f>'GDP Growth Rates'!W94/100</f>
        <v>5.177055251311913E-3</v>
      </c>
      <c r="Y101" s="112">
        <f>'GDP Growth Rates'!X94/100</f>
        <v>-1.5452519831830358E-2</v>
      </c>
    </row>
    <row r="102" spans="2:25">
      <c r="B102" s="634" t="s">
        <v>387</v>
      </c>
      <c r="C102" s="635" t="s">
        <v>388</v>
      </c>
      <c r="D102" s="634" t="s">
        <v>571</v>
      </c>
      <c r="E102" s="635" t="s">
        <v>572</v>
      </c>
      <c r="F102" s="112">
        <f>'GDP Growth Rates'!E95/100</f>
        <v>5.7397826655828793E-2</v>
      </c>
      <c r="G102" s="112">
        <f>'GDP Growth Rates'!F95/100</f>
        <v>4.9878548051340628E-2</v>
      </c>
      <c r="H102" s="112">
        <f>'GDP Growth Rates'!G95/100</f>
        <v>5.310116730129337E-2</v>
      </c>
      <c r="I102" s="112">
        <f>'GDP Growth Rates'!H95/100</f>
        <v>-4.4840695671926764E-2</v>
      </c>
      <c r="J102" s="112">
        <f>'GDP Growth Rates'!I95/100</f>
        <v>-5.0957817882690076E-2</v>
      </c>
      <c r="K102" s="112">
        <f>'GDP Growth Rates'!J95/100</f>
        <v>1.6829722706203115E-2</v>
      </c>
      <c r="L102" s="112">
        <f>'GDP Growth Rates'!K95/100</f>
        <v>1.6487740040615789E-2</v>
      </c>
      <c r="M102" s="112">
        <f>'GDP Growth Rates'!L95/100</f>
        <v>-3.989604817310948E-3</v>
      </c>
      <c r="N102" s="112">
        <f>'GDP Growth Rates'!M95/100</f>
        <v>2.1921761948905782E-2</v>
      </c>
      <c r="O102" s="112">
        <f>'GDP Growth Rates'!N95/100</f>
        <v>9.3360337504583696E-2</v>
      </c>
      <c r="P102" s="112">
        <f>'GDP Growth Rates'!O95/100</f>
        <v>0.24615569898020467</v>
      </c>
      <c r="Q102" s="112">
        <f>'GDP Growth Rates'!P95/100</f>
        <v>1.2226384923420994E-2</v>
      </c>
      <c r="R102" s="112">
        <f>'GDP Growth Rates'!Q95/100</f>
        <v>0.1004962848216617</v>
      </c>
      <c r="S102" s="112">
        <f>'GDP Growth Rates'!R95/100</f>
        <v>7.5443421414266965E-2</v>
      </c>
      <c r="T102" s="112">
        <f>'GDP Growth Rates'!S95/100</f>
        <v>5.0405499616115887E-2</v>
      </c>
      <c r="U102" s="112">
        <f>'GDP Growth Rates'!T95/100</f>
        <v>7.1578988000836008E-2</v>
      </c>
      <c r="V102" s="112">
        <f>'GDP Growth Rates'!U95/100</f>
        <v>0.16255613523335755</v>
      </c>
      <c r="W102" s="112">
        <f>'GDP Growth Rates'!V95/100</f>
        <v>8.6195034561877146E-2</v>
      </c>
      <c r="X102" s="112">
        <f>'GDP Growth Rates'!W95/100</f>
        <v>-5.5300073886595982E-2</v>
      </c>
      <c r="Y102" s="112">
        <f>'GDP Growth Rates'!X95/100</f>
        <v>1.2213342989892765E-2</v>
      </c>
    </row>
    <row r="103" spans="2:25">
      <c r="B103" s="634" t="s">
        <v>387</v>
      </c>
      <c r="C103" s="635" t="s">
        <v>388</v>
      </c>
      <c r="D103" s="634" t="s">
        <v>573</v>
      </c>
      <c r="E103" s="635" t="s">
        <v>574</v>
      </c>
      <c r="F103" s="112">
        <f>'GDP Growth Rates'!E96/100</f>
        <v>5.8999993357667507E-2</v>
      </c>
      <c r="G103" s="112">
        <f>'GDP Growth Rates'!F96/100</f>
        <v>7.6999987125343242E-2</v>
      </c>
      <c r="H103" s="112">
        <f>'GDP Growth Rates'!G96/100</f>
        <v>7.5000002298881721E-2</v>
      </c>
      <c r="I103" s="112">
        <f>'GDP Growth Rates'!H96/100</f>
        <v>4.9000010008154501E-2</v>
      </c>
      <c r="J103" s="112">
        <f>'GDP Growth Rates'!I96/100</f>
        <v>2.1000002718137411E-2</v>
      </c>
      <c r="K103" s="112">
        <f>'GDP Growth Rates'!J96/100</f>
        <v>3.3999984239595736E-2</v>
      </c>
      <c r="L103" s="112">
        <f>'GDP Growth Rates'!K96/100</f>
        <v>1.999999382074151E-2</v>
      </c>
      <c r="M103" s="112">
        <f>'GDP Growth Rates'!L96/100</f>
        <v>7.3038910851171715E-2</v>
      </c>
      <c r="N103" s="112">
        <f>'GDP Growth Rates'!M96/100</f>
        <v>4.1418615875349334E-2</v>
      </c>
      <c r="O103" s="112">
        <f>'GDP Growth Rates'!N96/100</f>
        <v>5.1550998374859915E-2</v>
      </c>
      <c r="P103" s="112">
        <f>'GDP Growth Rates'!O96/100</f>
        <v>-3.8586688219808705E-3</v>
      </c>
      <c r="Q103" s="112">
        <f>'GDP Growth Rates'!P96/100</f>
        <v>6.9523028489940658E-2</v>
      </c>
      <c r="R103" s="112">
        <f>'GDP Growth Rates'!Q96/100</f>
        <v>2.8377580709368858E-2</v>
      </c>
      <c r="S103" s="112">
        <f>'GDP Growth Rates'!R96/100</f>
        <v>2.2133975392250989E-2</v>
      </c>
      <c r="T103" s="112">
        <f>'GDP Growth Rates'!S96/100</f>
        <v>2.5487784739826225E-3</v>
      </c>
      <c r="U103" s="112">
        <f>'GDP Growth Rates'!T96/100</f>
        <v>-8.8368169747347458E-2</v>
      </c>
      <c r="V103" s="112">
        <f>'GDP Growth Rates'!U96/100</f>
        <v>3.8378363233463941E-2</v>
      </c>
      <c r="W103" s="112">
        <f>'GDP Growth Rates'!V96/100</f>
        <v>-4.165393452132321E-2</v>
      </c>
      <c r="X103" s="112" t="e">
        <f>'GDP Growth Rates'!W96/100</f>
        <v>#VALUE!</v>
      </c>
      <c r="Y103" s="112" t="e">
        <f>'GDP Growth Rates'!X96/100</f>
        <v>#VALUE!</v>
      </c>
    </row>
    <row r="104" spans="2:25">
      <c r="B104" s="634" t="s">
        <v>387</v>
      </c>
      <c r="C104" s="635" t="s">
        <v>388</v>
      </c>
      <c r="D104" s="634" t="s">
        <v>575</v>
      </c>
      <c r="E104" s="635" t="s">
        <v>576</v>
      </c>
      <c r="F104" s="112">
        <f>'GDP Growth Rates'!E97/100</f>
        <v>4.3877888704155057E-2</v>
      </c>
      <c r="G104" s="112">
        <f>'GDP Growth Rates'!F97/100</f>
        <v>5.60162698158004E-2</v>
      </c>
      <c r="H104" s="112">
        <f>'GDP Growth Rates'!G97/100</f>
        <v>6.3233495049974664E-2</v>
      </c>
      <c r="I104" s="112">
        <f>'GDP Growth Rates'!H97/100</f>
        <v>3.2220959998726643E-2</v>
      </c>
      <c r="J104" s="112">
        <f>'GDP Growth Rates'!I97/100</f>
        <v>1.2377315972181436E-2</v>
      </c>
      <c r="K104" s="112">
        <f>'GDP Growth Rates'!J97/100</f>
        <v>5.5343403390219377E-2</v>
      </c>
      <c r="L104" s="112">
        <f>'GDP Growth Rates'!K97/100</f>
        <v>5.5187962137165127E-2</v>
      </c>
      <c r="M104" s="112">
        <f>'GDP Growth Rates'!L97/100</f>
        <v>2.4471683674131838E-2</v>
      </c>
      <c r="N104" s="112">
        <f>'GDP Growth Rates'!M97/100</f>
        <v>4.0857091863820472E-2</v>
      </c>
      <c r="O104" s="112">
        <f>'GDP Growth Rates'!N97/100</f>
        <v>3.7758284321310925E-2</v>
      </c>
      <c r="P104" s="112">
        <f>'GDP Growth Rates'!O97/100</f>
        <v>2.2376031748248836E-2</v>
      </c>
      <c r="Q104" s="112">
        <f>'GDP Growth Rates'!P97/100</f>
        <v>4.4597827186082101E-2</v>
      </c>
      <c r="R104" s="112">
        <f>'GDP Growth Rates'!Q97/100</f>
        <v>4.3469311670645966E-2</v>
      </c>
      <c r="S104" s="112">
        <f>'GDP Growth Rates'!R97/100</f>
        <v>4.0038986218702492E-2</v>
      </c>
      <c r="T104" s="112">
        <f>'GDP Growth Rates'!S97/100</f>
        <v>3.710496327504046E-2</v>
      </c>
      <c r="U104" s="112">
        <f>'GDP Growth Rates'!T97/100</f>
        <v>-2.0216154823758926E-2</v>
      </c>
      <c r="V104" s="112">
        <f>'GDP Growth Rates'!U97/100</f>
        <v>9.3883740335462845E-2</v>
      </c>
      <c r="W104" s="112">
        <f>'GDP Growth Rates'!V97/100</f>
        <v>6.2632634384128638E-2</v>
      </c>
      <c r="X104" s="112">
        <f>'GDP Growth Rates'!W97/100</f>
        <v>1.8265204948238391E-2</v>
      </c>
      <c r="Y104" s="112">
        <f>'GDP Growth Rates'!X97/100</f>
        <v>8.7196842437744244E-3</v>
      </c>
    </row>
    <row r="105" spans="2:25">
      <c r="B105" s="634" t="s">
        <v>387</v>
      </c>
      <c r="C105" s="635" t="s">
        <v>388</v>
      </c>
      <c r="D105" s="634" t="s">
        <v>577</v>
      </c>
      <c r="E105" s="635" t="s">
        <v>578</v>
      </c>
      <c r="F105" s="112">
        <f>'GDP Growth Rates'!E98/100</f>
        <v>7.6241067730649092E-3</v>
      </c>
      <c r="G105" s="112">
        <f>'GDP Growth Rates'!F98/100</f>
        <v>1.7994799223424424E-2</v>
      </c>
      <c r="H105" s="112">
        <f>'GDP Growth Rates'!G98/100</f>
        <v>1.4622920528929058E-2</v>
      </c>
      <c r="I105" s="112">
        <f>'GDP Growth Rates'!H98/100</f>
        <v>-1.0231385117709664E-2</v>
      </c>
      <c r="J105" s="112">
        <f>'GDP Growth Rates'!I98/100</f>
        <v>-5.3051540123399119E-2</v>
      </c>
      <c r="K105" s="112">
        <f>'GDP Growth Rates'!J98/100</f>
        <v>1.5291057324710096E-2</v>
      </c>
      <c r="L105" s="112">
        <f>'GDP Growth Rates'!K98/100</f>
        <v>6.9546315444017634E-3</v>
      </c>
      <c r="M105" s="112">
        <f>'GDP Growth Rates'!L98/100</f>
        <v>-3.1252387728299594E-2</v>
      </c>
      <c r="N105" s="112">
        <f>'GDP Growth Rates'!M98/100</f>
        <v>-1.8180251074979167E-2</v>
      </c>
      <c r="O105" s="112">
        <f>'GDP Growth Rates'!N98/100</f>
        <v>-1.3876173045446195E-5</v>
      </c>
      <c r="P105" s="112">
        <f>'GDP Growth Rates'!O98/100</f>
        <v>8.8566763524080723E-3</v>
      </c>
      <c r="Q105" s="112">
        <f>'GDP Growth Rates'!P98/100</f>
        <v>1.2362210851166112E-2</v>
      </c>
      <c r="R105" s="112">
        <f>'GDP Growth Rates'!Q98/100</f>
        <v>1.6036999529410137E-2</v>
      </c>
      <c r="S105" s="112">
        <f>'GDP Growth Rates'!R98/100</f>
        <v>8.2664671234411458E-3</v>
      </c>
      <c r="T105" s="112">
        <f>'GDP Growth Rates'!S98/100</f>
        <v>4.2916253378034244E-3</v>
      </c>
      <c r="U105" s="112">
        <f>'GDP Growth Rates'!T98/100</f>
        <v>-8.8682212218534465E-2</v>
      </c>
      <c r="V105" s="112">
        <f>'GDP Growth Rates'!U98/100</f>
        <v>8.9310621080005467E-2</v>
      </c>
      <c r="W105" s="112">
        <f>'GDP Growth Rates'!V98/100</f>
        <v>4.8211766991356486E-2</v>
      </c>
      <c r="X105" s="112">
        <f>'GDP Growth Rates'!W98/100</f>
        <v>7.1537250086753093E-3</v>
      </c>
      <c r="Y105" s="112">
        <f>'GDP Growth Rates'!X98/100</f>
        <v>7.2579238023442374E-3</v>
      </c>
    </row>
    <row r="106" spans="2:25">
      <c r="B106" s="634" t="s">
        <v>387</v>
      </c>
      <c r="C106" s="635" t="s">
        <v>388</v>
      </c>
      <c r="D106" s="634" t="s">
        <v>579</v>
      </c>
      <c r="E106" s="635" t="s">
        <v>580</v>
      </c>
      <c r="F106" s="112">
        <f>'GDP Growth Rates'!E99/100</f>
        <v>8.9379793594500257E-3</v>
      </c>
      <c r="G106" s="112">
        <f>'GDP Growth Rates'!F99/100</f>
        <v>2.8991253495887149E-2</v>
      </c>
      <c r="H106" s="112">
        <f>'GDP Growth Rates'!G99/100</f>
        <v>1.4319540366511774E-2</v>
      </c>
      <c r="I106" s="112">
        <f>'GDP Growth Rates'!H99/100</f>
        <v>-8.1173670328081472E-3</v>
      </c>
      <c r="J106" s="112">
        <f>'GDP Growth Rates'!I99/100</f>
        <v>-4.3453018579463959E-2</v>
      </c>
      <c r="K106" s="112">
        <f>'GDP Growth Rates'!J99/100</f>
        <v>-1.4571472094750248E-2</v>
      </c>
      <c r="L106" s="112">
        <f>'GDP Growth Rates'!K99/100</f>
        <v>1.7303762674692108E-2</v>
      </c>
      <c r="M106" s="112">
        <f>'GDP Growth Rates'!L99/100</f>
        <v>-6.1363603986912098E-3</v>
      </c>
      <c r="N106" s="112">
        <f>'GDP Growth Rates'!M99/100</f>
        <v>5.176860128024003E-3</v>
      </c>
      <c r="O106" s="112">
        <f>'GDP Growth Rates'!N99/100</f>
        <v>6.8982235737433941E-3</v>
      </c>
      <c r="P106" s="112">
        <f>'GDP Growth Rates'!O99/100</f>
        <v>9.2148712538030961E-3</v>
      </c>
      <c r="Q106" s="112">
        <f>'GDP Growth Rates'!P99/100</f>
        <v>1.3752230644553833E-2</v>
      </c>
      <c r="R106" s="112">
        <f>'GDP Growth Rates'!Q99/100</f>
        <v>9.9712306233519146E-3</v>
      </c>
      <c r="S106" s="112">
        <f>'GDP Growth Rates'!R99/100</f>
        <v>1.8899236812108599E-2</v>
      </c>
      <c r="T106" s="112">
        <f>'GDP Growth Rates'!S99/100</f>
        <v>8.9229165382222683E-3</v>
      </c>
      <c r="U106" s="112">
        <f>'GDP Growth Rates'!T99/100</f>
        <v>-9.9203224505441334E-2</v>
      </c>
      <c r="V106" s="112">
        <f>'GDP Growth Rates'!U99/100</f>
        <v>4.6014245003338346E-2</v>
      </c>
      <c r="W106" s="112">
        <f>'GDP Growth Rates'!V99/100</f>
        <v>5.2215198515961278E-2</v>
      </c>
      <c r="X106" s="112">
        <f>'GDP Growth Rates'!W99/100</f>
        <v>2.6046630553220068E-2</v>
      </c>
      <c r="Y106" s="112">
        <f>'GDP Growth Rates'!X99/100</f>
        <v>-7.188069117723188E-3</v>
      </c>
    </row>
    <row r="107" spans="2:25">
      <c r="B107" s="634" t="s">
        <v>387</v>
      </c>
      <c r="C107" s="635" t="s">
        <v>388</v>
      </c>
      <c r="D107" s="634" t="s">
        <v>581</v>
      </c>
      <c r="E107" s="635" t="s">
        <v>582</v>
      </c>
      <c r="F107" s="112">
        <f>'GDP Growth Rates'!E100/100</f>
        <v>1.8039008721582091E-2</v>
      </c>
      <c r="G107" s="112">
        <f>'GDP Growth Rates'!F100/100</f>
        <v>1.3723501275831041E-2</v>
      </c>
      <c r="H107" s="112">
        <f>'GDP Growth Rates'!G100/100</f>
        <v>1.4839694115747194E-2</v>
      </c>
      <c r="I107" s="112">
        <f>'GDP Growth Rates'!H100/100</f>
        <v>-1.2242890006171337E-2</v>
      </c>
      <c r="J107" s="112">
        <f>'GDP Growth Rates'!I100/100</f>
        <v>-5.6932363589274074E-2</v>
      </c>
      <c r="K107" s="112">
        <f>'GDP Growth Rates'!J100/100</f>
        <v>4.097917919431808E-2</v>
      </c>
      <c r="L107" s="112">
        <f>'GDP Growth Rates'!K100/100</f>
        <v>2.3809523799542376E-4</v>
      </c>
      <c r="M107" s="112">
        <f>'GDP Growth Rates'!L100/100</f>
        <v>1.3747509990527363E-2</v>
      </c>
      <c r="N107" s="112">
        <f>'GDP Growth Rates'!M100/100</f>
        <v>2.0051001768121069E-2</v>
      </c>
      <c r="O107" s="112">
        <f>'GDP Growth Rates'!N100/100</f>
        <v>2.9620551414188869E-3</v>
      </c>
      <c r="P107" s="112">
        <f>'GDP Growth Rates'!O100/100</f>
        <v>1.560626696807816E-2</v>
      </c>
      <c r="Q107" s="112">
        <f>'GDP Growth Rates'!P100/100</f>
        <v>7.5382674578912652E-3</v>
      </c>
      <c r="R107" s="112">
        <f>'GDP Growth Rates'!Q100/100</f>
        <v>1.6753317517335945E-2</v>
      </c>
      <c r="S107" s="112">
        <f>'GDP Growth Rates'!R100/100</f>
        <v>6.4339102353314108E-3</v>
      </c>
      <c r="T107" s="112">
        <f>'GDP Growth Rates'!S100/100</f>
        <v>-4.0216920089494578E-3</v>
      </c>
      <c r="U107" s="112">
        <f>'GDP Growth Rates'!T100/100</f>
        <v>-4.1687645714674343E-2</v>
      </c>
      <c r="V107" s="112">
        <f>'GDP Growth Rates'!U100/100</f>
        <v>2.6965740418718839E-2</v>
      </c>
      <c r="W107" s="112">
        <f>'GDP Growth Rates'!V100/100</f>
        <v>9.4199877548328467E-3</v>
      </c>
      <c r="X107" s="112">
        <f>'GDP Growth Rates'!W100/100</f>
        <v>1.4750348105338418E-2</v>
      </c>
      <c r="Y107" s="112">
        <f>'GDP Growth Rates'!X100/100</f>
        <v>8.3698564385215946E-4</v>
      </c>
    </row>
    <row r="108" spans="2:25">
      <c r="B108" s="634" t="s">
        <v>387</v>
      </c>
      <c r="C108" s="635" t="s">
        <v>388</v>
      </c>
      <c r="D108" s="634" t="s">
        <v>583</v>
      </c>
      <c r="E108" s="635" t="s">
        <v>584</v>
      </c>
      <c r="F108" s="112">
        <f>'GDP Growth Rates'!E101/100</f>
        <v>8.1465948107993139E-2</v>
      </c>
      <c r="G108" s="112">
        <f>'GDP Growth Rates'!F101/100</f>
        <v>8.0929752781193257E-2</v>
      </c>
      <c r="H108" s="112">
        <f>'GDP Growth Rates'!G101/100</f>
        <v>8.1761699520464651E-2</v>
      </c>
      <c r="I108" s="112">
        <f>'GDP Growth Rates'!H101/100</f>
        <v>7.2203863728013851E-2</v>
      </c>
      <c r="J108" s="112">
        <f>'GDP Growth Rates'!I101/100</f>
        <v>5.0237100727266865E-2</v>
      </c>
      <c r="K108" s="112">
        <f>'GDP Growth Rates'!J101/100</f>
        <v>2.314834220630459E-2</v>
      </c>
      <c r="L108" s="112">
        <f>'GDP Growth Rates'!K101/100</f>
        <v>2.7371798863210443E-2</v>
      </c>
      <c r="M108" s="112">
        <f>'GDP Growth Rates'!L101/100</f>
        <v>2.4293580010023845E-2</v>
      </c>
      <c r="N108" s="112">
        <f>'GDP Growth Rates'!M101/100</f>
        <v>2.6099473754863142E-2</v>
      </c>
      <c r="O108" s="112">
        <f>'GDP Growth Rates'!N101/100</f>
        <v>3.3840780993347155E-2</v>
      </c>
      <c r="P108" s="112">
        <f>'GDP Growth Rates'!O101/100</f>
        <v>2.4965287931518816E-2</v>
      </c>
      <c r="Q108" s="112">
        <f>'GDP Growth Rates'!P101/100</f>
        <v>1.9941808493012018E-2</v>
      </c>
      <c r="R108" s="112">
        <f>'GDP Growth Rates'!Q101/100</f>
        <v>2.4735981544904462E-2</v>
      </c>
      <c r="S108" s="112">
        <f>'GDP Growth Rates'!R101/100</f>
        <v>1.9190709134156377E-2</v>
      </c>
      <c r="T108" s="112">
        <f>'GDP Growth Rates'!S101/100</f>
        <v>1.7512407786622504E-2</v>
      </c>
      <c r="U108" s="112">
        <f>'GDP Growth Rates'!T101/100</f>
        <v>-1.1027518830904626E-2</v>
      </c>
      <c r="V108" s="112">
        <f>'GDP Growth Rates'!U101/100</f>
        <v>3.6556435899914703E-2</v>
      </c>
      <c r="W108" s="112">
        <f>'GDP Growth Rates'!V101/100</f>
        <v>2.6474351491205823E-2</v>
      </c>
      <c r="X108" s="112">
        <f>'GDP Growth Rates'!W101/100</f>
        <v>2.8840833928168337E-2</v>
      </c>
      <c r="Y108" s="112">
        <f>'GDP Growth Rates'!X101/100</f>
        <v>2.4888940960364748E-2</v>
      </c>
    </row>
    <row r="109" spans="2:25">
      <c r="B109" s="634" t="s">
        <v>387</v>
      </c>
      <c r="C109" s="635" t="s">
        <v>388</v>
      </c>
      <c r="D109" s="634" t="s">
        <v>585</v>
      </c>
      <c r="E109" s="635" t="s">
        <v>586</v>
      </c>
      <c r="F109" s="112">
        <f>'GDP Growth Rates'!E102/100</f>
        <v>9.6999999992268188E-2</v>
      </c>
      <c r="G109" s="112">
        <f>'GDP Growth Rates'!F102/100</f>
        <v>0.10700000000000003</v>
      </c>
      <c r="H109" s="112">
        <f>'GDP Growth Rates'!G102/100</f>
        <v>8.8999999999940516E-2</v>
      </c>
      <c r="I109" s="112">
        <f>'GDP Growth Rates'!H102/100</f>
        <v>3.3000000002109148E-2</v>
      </c>
      <c r="J109" s="112">
        <f>'GDP Growth Rates'!I102/100</f>
        <v>1.1999999994287264E-2</v>
      </c>
      <c r="K109" s="112">
        <f>'GDP Growth Rates'!J102/100</f>
        <v>7.3000000032981377E-2</v>
      </c>
      <c r="L109" s="112">
        <f>'GDP Growth Rates'!K102/100</f>
        <v>7.400000001441881E-2</v>
      </c>
      <c r="M109" s="112">
        <f>'GDP Growth Rates'!L102/100</f>
        <v>4.799999995282974E-2</v>
      </c>
      <c r="N109" s="112">
        <f>'GDP Growth Rates'!M102/100</f>
        <v>5.9999999967108406E-2</v>
      </c>
      <c r="O109" s="112">
        <f>'GDP Growth Rates'!N102/100</f>
        <v>4.2000000056670504E-2</v>
      </c>
      <c r="P109" s="112">
        <f>'GDP Growth Rates'!O102/100</f>
        <v>1.2000000005328814E-2</v>
      </c>
      <c r="Q109" s="112">
        <f>'GDP Growth Rates'!P102/100</f>
        <v>1.0999999991017261E-2</v>
      </c>
      <c r="R109" s="112">
        <f>'GDP Growth Rates'!Q102/100</f>
        <v>4.1000000025735804E-2</v>
      </c>
      <c r="S109" s="112">
        <f>'GDP Growth Rates'!R102/100</f>
        <v>4.0999999930984077E-2</v>
      </c>
      <c r="T109" s="112">
        <f>'GDP Growth Rates'!S102/100</f>
        <v>4.5000000009188315E-2</v>
      </c>
      <c r="U109" s="112">
        <f>'GDP Growth Rates'!T102/100</f>
        <v>-2.499999996279996E-2</v>
      </c>
      <c r="V109" s="112">
        <f>'GDP Growth Rates'!U102/100</f>
        <v>4.2999999972945631E-2</v>
      </c>
      <c r="W109" s="112">
        <f>'GDP Growth Rates'!V102/100</f>
        <v>3.1999999997073446E-2</v>
      </c>
      <c r="X109" s="112">
        <f>'GDP Growth Rates'!W102/100</f>
        <v>5.0999999999999941E-2</v>
      </c>
      <c r="Y109" s="112">
        <f>'GDP Growth Rates'!X102/100</f>
        <v>4.8000000000002242E-2</v>
      </c>
    </row>
    <row r="110" spans="2:25">
      <c r="B110" s="634" t="s">
        <v>387</v>
      </c>
      <c r="C110" s="635" t="s">
        <v>388</v>
      </c>
      <c r="D110" s="634" t="s">
        <v>587</v>
      </c>
      <c r="E110" s="635" t="s">
        <v>588</v>
      </c>
      <c r="F110" s="112">
        <f>'GDP Growth Rates'!E103/100</f>
        <v>5.9066660798005731E-2</v>
      </c>
      <c r="G110" s="112">
        <f>'GDP Growth Rates'!F103/100</f>
        <v>6.4724943001548352E-2</v>
      </c>
      <c r="H110" s="112">
        <f>'GDP Growth Rates'!G103/100</f>
        <v>6.8507297699878358E-2</v>
      </c>
      <c r="I110" s="112">
        <f>'GDP Growth Rates'!H103/100</f>
        <v>2.3228274481297715E-3</v>
      </c>
      <c r="J110" s="112">
        <f>'GDP Growth Rates'!I103/100</f>
        <v>3.3069398163108873E-2</v>
      </c>
      <c r="K110" s="112">
        <f>'GDP Growth Rates'!J103/100</f>
        <v>8.0584736029090609E-2</v>
      </c>
      <c r="L110" s="112">
        <f>'GDP Growth Rates'!K103/100</f>
        <v>5.1211061197056013E-2</v>
      </c>
      <c r="M110" s="112">
        <f>'GDP Growth Rates'!L103/100</f>
        <v>4.56867961444982E-2</v>
      </c>
      <c r="N110" s="112">
        <f>'GDP Growth Rates'!M103/100</f>
        <v>3.7978483925754036E-2</v>
      </c>
      <c r="O110" s="112">
        <f>'GDP Growth Rates'!N103/100</f>
        <v>5.020111002324839E-2</v>
      </c>
      <c r="P110" s="112">
        <f>'GDP Growth Rates'!O103/100</f>
        <v>4.9677211275976706E-2</v>
      </c>
      <c r="Q110" s="112">
        <f>'GDP Growth Rates'!P103/100</f>
        <v>4.213517068147439E-2</v>
      </c>
      <c r="R110" s="112">
        <f>'GDP Growth Rates'!Q103/100</f>
        <v>3.8379581736472088E-2</v>
      </c>
      <c r="S110" s="112">
        <f>'GDP Growth Rates'!R103/100</f>
        <v>5.6479464070921921E-2</v>
      </c>
      <c r="T110" s="112">
        <f>'GDP Growth Rates'!S103/100</f>
        <v>5.1141588576780063E-2</v>
      </c>
      <c r="U110" s="112">
        <f>'GDP Growth Rates'!T103/100</f>
        <v>-2.7276632743881636E-3</v>
      </c>
      <c r="V110" s="112">
        <f>'GDP Growth Rates'!U103/100</f>
        <v>7.5904894733346703E-2</v>
      </c>
      <c r="W110" s="112">
        <f>'GDP Growth Rates'!V103/100</f>
        <v>4.859981042879994E-2</v>
      </c>
      <c r="X110" s="112">
        <f>'GDP Growth Rates'!W103/100</f>
        <v>5.5558730131986638E-2</v>
      </c>
      <c r="Y110" s="112">
        <f>'GDP Growth Rates'!X103/100</f>
        <v>4.4964982846120875E-2</v>
      </c>
    </row>
    <row r="111" spans="2:25">
      <c r="B111" s="634" t="s">
        <v>387</v>
      </c>
      <c r="C111" s="635" t="s">
        <v>388</v>
      </c>
      <c r="D111" s="634" t="s">
        <v>589</v>
      </c>
      <c r="E111" s="635" t="s">
        <v>590</v>
      </c>
      <c r="F111" s="112">
        <f>'GDP Growth Rates'!E104/100</f>
        <v>1.2924302946584873E-2</v>
      </c>
      <c r="G111" s="112">
        <f>'GDP Growth Rates'!F104/100</f>
        <v>5.7769344983618541E-2</v>
      </c>
      <c r="H111" s="112">
        <f>'GDP Growth Rates'!G104/100</f>
        <v>3.0550798156666871E-2</v>
      </c>
      <c r="I111" s="112">
        <f>'GDP Growth Rates'!H104/100</f>
        <v>-2.9847312163183089E-2</v>
      </c>
      <c r="J111" s="112">
        <f>'GDP Growth Rates'!I104/100</f>
        <v>5.3680119464831928E-3</v>
      </c>
      <c r="K111" s="112">
        <f>'GDP Growth Rates'!J104/100</f>
        <v>1.2259519892487986E-2</v>
      </c>
      <c r="L111" s="112">
        <f>'GDP Growth Rates'!K104/100</f>
        <v>3.2637271953222469E-2</v>
      </c>
      <c r="M111" s="112">
        <f>'GDP Growth Rates'!L104/100</f>
        <v>5.8036597464525809E-2</v>
      </c>
      <c r="N111" s="112">
        <f>'GDP Growth Rates'!M104/100</f>
        <v>7.7309218869964696E-2</v>
      </c>
      <c r="O111" s="112">
        <f>'GDP Growth Rates'!N104/100</f>
        <v>1.2636626804459468E-2</v>
      </c>
      <c r="P111" s="112">
        <f>'GDP Growth Rates'!O104/100</f>
        <v>0.11265320943129381</v>
      </c>
      <c r="Q111" s="112">
        <f>'GDP Growth Rates'!P104/100</f>
        <v>7.0880346577866932E-2</v>
      </c>
      <c r="R111" s="112">
        <f>'GDP Growth Rates'!Q104/100</f>
        <v>3.7491178264237562E-2</v>
      </c>
      <c r="S111" s="112">
        <f>'GDP Growth Rates'!R104/100</f>
        <v>3.4794397210587247E-2</v>
      </c>
      <c r="T111" s="112">
        <f>'GDP Growth Rates'!S104/100</f>
        <v>3.2642875645825742E-2</v>
      </c>
      <c r="U111" s="112">
        <f>'GDP Growth Rates'!T104/100</f>
        <v>-1.4680671807810767E-2</v>
      </c>
      <c r="V111" s="112">
        <f>'GDP Growth Rates'!U104/100</f>
        <v>8.4797378713821273E-2</v>
      </c>
      <c r="W111" s="112">
        <f>'GDP Growth Rates'!V104/100</f>
        <v>4.5663259310037174E-2</v>
      </c>
      <c r="X111" s="112">
        <f>'GDP Growth Rates'!W104/100</f>
        <v>2.6520108748987924E-2</v>
      </c>
      <c r="Y111" s="112">
        <f>'GDP Growth Rates'!X104/100</f>
        <v>5.2668992638504622E-2</v>
      </c>
    </row>
    <row r="112" spans="2:25">
      <c r="B112" s="634" t="s">
        <v>387</v>
      </c>
      <c r="C112" s="635" t="s">
        <v>388</v>
      </c>
      <c r="D112" s="634" t="s">
        <v>591</v>
      </c>
      <c r="E112" s="635" t="s">
        <v>592</v>
      </c>
      <c r="F112" s="112" t="e">
        <f>'GDP Growth Rates'!E105/100</f>
        <v>#VALUE!</v>
      </c>
      <c r="G112" s="112" t="e">
        <f>'GDP Growth Rates'!F105/100</f>
        <v>#VALUE!</v>
      </c>
      <c r="H112" s="112" t="e">
        <f>'GDP Growth Rates'!G105/100</f>
        <v>#VALUE!</v>
      </c>
      <c r="I112" s="112" t="e">
        <f>'GDP Growth Rates'!H105/100</f>
        <v>#VALUE!</v>
      </c>
      <c r="J112" s="112" t="e">
        <f>'GDP Growth Rates'!I105/100</f>
        <v>#VALUE!</v>
      </c>
      <c r="K112" s="112" t="e">
        <f>'GDP Growth Rates'!J105/100</f>
        <v>#VALUE!</v>
      </c>
      <c r="L112" s="112" t="e">
        <f>'GDP Growth Rates'!K105/100</f>
        <v>#VALUE!</v>
      </c>
      <c r="M112" s="112" t="e">
        <f>'GDP Growth Rates'!L105/100</f>
        <v>#VALUE!</v>
      </c>
      <c r="N112" s="112" t="e">
        <f>'GDP Growth Rates'!M105/100</f>
        <v>#VALUE!</v>
      </c>
      <c r="O112" s="112" t="e">
        <f>'GDP Growth Rates'!N105/100</f>
        <v>#VALUE!</v>
      </c>
      <c r="P112" s="112" t="e">
        <f>'GDP Growth Rates'!O105/100</f>
        <v>#VALUE!</v>
      </c>
      <c r="Q112" s="112" t="e">
        <f>'GDP Growth Rates'!P105/100</f>
        <v>#VALUE!</v>
      </c>
      <c r="R112" s="112" t="e">
        <f>'GDP Growth Rates'!Q105/100</f>
        <v>#VALUE!</v>
      </c>
      <c r="S112" s="112" t="e">
        <f>'GDP Growth Rates'!R105/100</f>
        <v>#VALUE!</v>
      </c>
      <c r="T112" s="112" t="e">
        <f>'GDP Growth Rates'!S105/100</f>
        <v>#VALUE!</v>
      </c>
      <c r="U112" s="112" t="e">
        <f>'GDP Growth Rates'!T105/100</f>
        <v>#VALUE!</v>
      </c>
      <c r="V112" s="112" t="e">
        <f>'GDP Growth Rates'!U105/100</f>
        <v>#VALUE!</v>
      </c>
      <c r="W112" s="112" t="e">
        <f>'GDP Growth Rates'!V105/100</f>
        <v>#VALUE!</v>
      </c>
      <c r="X112" s="112" t="e">
        <f>'GDP Growth Rates'!W105/100</f>
        <v>#VALUE!</v>
      </c>
      <c r="Y112" s="112" t="e">
        <f>'GDP Growth Rates'!X105/100</f>
        <v>#VALUE!</v>
      </c>
    </row>
    <row r="113" spans="2:25">
      <c r="B113" s="634" t="s">
        <v>387</v>
      </c>
      <c r="C113" s="635" t="s">
        <v>388</v>
      </c>
      <c r="D113" s="634" t="s">
        <v>593</v>
      </c>
      <c r="E113" s="635" t="s">
        <v>594</v>
      </c>
      <c r="F113" s="112">
        <f>'GDP Growth Rates'!E106/100</f>
        <v>4.3085427141123629E-2</v>
      </c>
      <c r="G113" s="112">
        <f>'GDP Growth Rates'!F106/100</f>
        <v>5.2643265946672388E-2</v>
      </c>
      <c r="H113" s="112">
        <f>'GDP Growth Rates'!G106/100</f>
        <v>5.799548415032163E-2</v>
      </c>
      <c r="I113" s="112">
        <f>'GDP Growth Rates'!H106/100</f>
        <v>3.0129848728116713E-2</v>
      </c>
      <c r="J113" s="112">
        <f>'GDP Growth Rates'!I106/100</f>
        <v>7.9269898951818615E-3</v>
      </c>
      <c r="K113" s="112">
        <f>'GDP Growth Rates'!J106/100</f>
        <v>6.8048249178367118E-2</v>
      </c>
      <c r="L113" s="112">
        <f>'GDP Growth Rates'!K106/100</f>
        <v>3.6856677821252647E-2</v>
      </c>
      <c r="M113" s="112">
        <f>'GDP Growth Rates'!L106/100</f>
        <v>2.4025309924618626E-2</v>
      </c>
      <c r="N113" s="112">
        <f>'GDP Growth Rates'!M106/100</f>
        <v>3.1647086364718434E-2</v>
      </c>
      <c r="O113" s="112">
        <f>'GDP Growth Rates'!N106/100</f>
        <v>3.2024537945736002E-2</v>
      </c>
      <c r="P113" s="112">
        <f>'GDP Growth Rates'!O106/100</f>
        <v>2.8091032682413298E-2</v>
      </c>
      <c r="Q113" s="112">
        <f>'GDP Growth Rates'!P106/100</f>
        <v>2.9468817150862633E-2</v>
      </c>
      <c r="R113" s="112">
        <f>'GDP Growth Rates'!Q106/100</f>
        <v>3.1596357401277683E-2</v>
      </c>
      <c r="S113" s="112">
        <f>'GDP Growth Rates'!R106/100</f>
        <v>2.9074037737713495E-2</v>
      </c>
      <c r="T113" s="112">
        <f>'GDP Growth Rates'!S106/100</f>
        <v>2.2439778601101211E-2</v>
      </c>
      <c r="U113" s="112">
        <f>'GDP Growth Rates'!T106/100</f>
        <v>-7.0941535939768128E-3</v>
      </c>
      <c r="V113" s="112">
        <f>'GDP Growth Rates'!U106/100</f>
        <v>4.3047348190696937E-2</v>
      </c>
      <c r="W113" s="112">
        <f>'GDP Growth Rates'!V106/100</f>
        <v>2.6126721918722638E-2</v>
      </c>
      <c r="X113" s="112">
        <f>'GDP Growth Rates'!W106/100</f>
        <v>1.3567332431109804E-2</v>
      </c>
      <c r="Y113" s="112" t="e">
        <f>'GDP Growth Rates'!X106/100</f>
        <v>#VALUE!</v>
      </c>
    </row>
    <row r="114" spans="2:25">
      <c r="B114" s="634" t="s">
        <v>387</v>
      </c>
      <c r="C114" s="635" t="s">
        <v>388</v>
      </c>
      <c r="D114" s="634" t="s">
        <v>595</v>
      </c>
      <c r="E114" s="635" t="s">
        <v>596</v>
      </c>
      <c r="F114" s="112" t="e">
        <f>'GDP Growth Rates'!E107/100</f>
        <v>#VALUE!</v>
      </c>
      <c r="G114" s="112" t="e">
        <f>'GDP Growth Rates'!F107/100</f>
        <v>#VALUE!</v>
      </c>
      <c r="H114" s="112" t="e">
        <f>'GDP Growth Rates'!G107/100</f>
        <v>#VALUE!</v>
      </c>
      <c r="I114" s="112" t="e">
        <f>'GDP Growth Rates'!H107/100</f>
        <v>#VALUE!</v>
      </c>
      <c r="J114" s="112">
        <f>'GDP Growth Rates'!I107/100</f>
        <v>5.0348541383989275E-2</v>
      </c>
      <c r="K114" s="112">
        <f>'GDP Growth Rates'!J107/100</f>
        <v>4.9399509596139521E-2</v>
      </c>
      <c r="L114" s="112">
        <f>'GDP Growth Rates'!K107/100</f>
        <v>6.3198102289676109E-2</v>
      </c>
      <c r="M114" s="112">
        <f>'GDP Growth Rates'!L107/100</f>
        <v>1.7121959589054825E-2</v>
      </c>
      <c r="N114" s="112">
        <f>'GDP Growth Rates'!M107/100</f>
        <v>5.3407991190027815E-2</v>
      </c>
      <c r="O114" s="112">
        <f>'GDP Growth Rates'!N107/100</f>
        <v>3.348804784316229E-2</v>
      </c>
      <c r="P114" s="112">
        <f>'GDP Growth Rates'!O107/100</f>
        <v>5.9162312834521058E-2</v>
      </c>
      <c r="Q114" s="112">
        <f>'GDP Growth Rates'!P107/100</f>
        <v>5.571775047316322E-2</v>
      </c>
      <c r="R114" s="112">
        <f>'GDP Growth Rates'!Q107/100</f>
        <v>4.8256556529805435E-2</v>
      </c>
      <c r="S114" s="112">
        <f>'GDP Growth Rates'!R107/100</f>
        <v>3.4066322705628524E-2</v>
      </c>
      <c r="T114" s="112">
        <f>'GDP Growth Rates'!S107/100</f>
        <v>4.75680057007834E-2</v>
      </c>
      <c r="U114" s="112">
        <f>'GDP Growth Rates'!T107/100</f>
        <v>-5.34027547826166E-2</v>
      </c>
      <c r="V114" s="112">
        <f>'GDP Growth Rates'!U107/100</f>
        <v>0.10745656081958302</v>
      </c>
      <c r="W114" s="112">
        <f>'GDP Growth Rates'!V107/100</f>
        <v>4.2784989582754347E-2</v>
      </c>
      <c r="X114" s="112">
        <f>'GDP Growth Rates'!W107/100</f>
        <v>4.0676270143643764E-2</v>
      </c>
      <c r="Y114" s="112">
        <f>'GDP Growth Rates'!X107/100</f>
        <v>4.4127382875508374E-2</v>
      </c>
    </row>
    <row r="115" spans="2:25">
      <c r="B115" s="634" t="s">
        <v>387</v>
      </c>
      <c r="C115" s="635" t="s">
        <v>388</v>
      </c>
      <c r="D115" s="634" t="s">
        <v>597</v>
      </c>
      <c r="E115" s="635" t="s">
        <v>598</v>
      </c>
      <c r="F115" s="112">
        <f>'GDP Growth Rates'!E108/100</f>
        <v>0.10609044984022845</v>
      </c>
      <c r="G115" s="112">
        <f>'GDP Growth Rates'!F108/100</f>
        <v>7.5147730002402116E-2</v>
      </c>
      <c r="H115" s="112">
        <f>'GDP Growth Rates'!G108/100</f>
        <v>5.9915755105931508E-2</v>
      </c>
      <c r="I115" s="112">
        <f>'GDP Growth Rates'!H108/100</f>
        <v>2.4797569427854427E-2</v>
      </c>
      <c r="J115" s="112">
        <f>'GDP Growth Rates'!I108/100</f>
        <v>-7.0760564307341123E-2</v>
      </c>
      <c r="K115" s="112">
        <f>'GDP Growth Rates'!J108/100</f>
        <v>-2.3705480470201365E-2</v>
      </c>
      <c r="L115" s="112">
        <f>'GDP Growth Rates'!K108/100</f>
        <v>9.6286341294699013E-2</v>
      </c>
      <c r="M115" s="112">
        <f>'GDP Growth Rates'!L108/100</f>
        <v>6.6258750370158451E-2</v>
      </c>
      <c r="N115" s="112">
        <f>'GDP Growth Rates'!M108/100</f>
        <v>1.1494653430844864E-2</v>
      </c>
      <c r="O115" s="112">
        <f>'GDP Growth Rates'!N108/100</f>
        <v>5.0091473923517069E-3</v>
      </c>
      <c r="P115" s="112">
        <f>'GDP Growth Rates'!O108/100</f>
        <v>5.9277073334125414E-3</v>
      </c>
      <c r="Q115" s="112">
        <f>'GDP Growth Rates'!P108/100</f>
        <v>2.9260758773873193E-2</v>
      </c>
      <c r="R115" s="112">
        <f>'GDP Growth Rates'!Q108/100</f>
        <v>-4.712222701167619E-2</v>
      </c>
      <c r="S115" s="112">
        <f>'GDP Growth Rates'!R108/100</f>
        <v>2.7433305386129377E-2</v>
      </c>
      <c r="T115" s="112">
        <f>'GDP Growth Rates'!S108/100</f>
        <v>2.2638169055351227E-2</v>
      </c>
      <c r="U115" s="112">
        <f>'GDP Growth Rates'!T108/100</f>
        <v>-4.8177898225727912E-2</v>
      </c>
      <c r="V115" s="112">
        <f>'GDP Growth Rates'!U108/100</f>
        <v>1.6726368963021088E-2</v>
      </c>
      <c r="W115" s="112">
        <f>'GDP Growth Rates'!V108/100</f>
        <v>6.7586670465067153E-2</v>
      </c>
      <c r="X115" s="112">
        <f>'GDP Growth Rates'!W108/100</f>
        <v>-1.6672058973843065E-2</v>
      </c>
      <c r="Y115" s="112">
        <f>'GDP Growth Rates'!X108/100</f>
        <v>-2.5601111329454369E-2</v>
      </c>
    </row>
    <row r="116" spans="2:25">
      <c r="B116" s="634" t="s">
        <v>387</v>
      </c>
      <c r="C116" s="635" t="s">
        <v>388</v>
      </c>
      <c r="D116" s="634" t="s">
        <v>599</v>
      </c>
      <c r="E116" s="635" t="s">
        <v>600</v>
      </c>
      <c r="F116" s="112">
        <f>'GDP Growth Rates'!E109/100</f>
        <v>-1.7551540404421929E-3</v>
      </c>
      <c r="G116" s="112">
        <f>'GDP Growth Rates'!F109/100</f>
        <v>3.1028987419998089E-2</v>
      </c>
      <c r="H116" s="112">
        <f>'GDP Growth Rates'!G109/100</f>
        <v>8.5428747750760717E-2</v>
      </c>
      <c r="I116" s="112">
        <f>'GDP Growth Rates'!H109/100</f>
        <v>8.4016160486142868E-2</v>
      </c>
      <c r="J116" s="112">
        <f>'GDP Growth Rates'!I109/100</f>
        <v>2.8862945753773062E-2</v>
      </c>
      <c r="K116" s="112">
        <f>'GDP Growth Rates'!J109/100</f>
        <v>-4.7156659679161803E-3</v>
      </c>
      <c r="L116" s="112">
        <f>'GDP Growth Rates'!K109/100</f>
        <v>5.9562742969350352E-2</v>
      </c>
      <c r="M116" s="112">
        <f>'GDP Growth Rates'!L109/100</f>
        <v>-8.8150199843937569E-4</v>
      </c>
      <c r="N116" s="112">
        <f>'GDP Growth Rates'!M109/100</f>
        <v>0.10915469452804544</v>
      </c>
      <c r="O116" s="112">
        <f>'GDP Growth Rates'!N109/100</f>
        <v>4.0240386308325216E-2</v>
      </c>
      <c r="P116" s="112">
        <f>'GDP Growth Rates'!O109/100</f>
        <v>3.8758254451243916E-2</v>
      </c>
      <c r="Q116" s="112">
        <f>'GDP Growth Rates'!P109/100</f>
        <v>4.3358559219011571E-2</v>
      </c>
      <c r="R116" s="112">
        <f>'GDP Growth Rates'!Q109/100</f>
        <v>4.7399372237788381E-2</v>
      </c>
      <c r="S116" s="112">
        <f>'GDP Growth Rates'!R109/100</f>
        <v>3.7579101355716488E-2</v>
      </c>
      <c r="T116" s="112">
        <f>'GDP Growth Rates'!S109/100</f>
        <v>4.6006256570759803E-2</v>
      </c>
      <c r="U116" s="112">
        <f>'GDP Growth Rates'!T109/100</f>
        <v>-7.1489775772795527E-2</v>
      </c>
      <c r="V116" s="112">
        <f>'GDP Growth Rates'!U109/100</f>
        <v>5.5070076267192292E-2</v>
      </c>
      <c r="W116" s="112">
        <f>'GDP Growth Rates'!V109/100</f>
        <v>8.9675052004139111E-2</v>
      </c>
      <c r="X116" s="112">
        <f>'GDP Growth Rates'!W109/100</f>
        <v>9.0132928339342014E-2</v>
      </c>
      <c r="Y116" s="112">
        <f>'GDP Growth Rates'!X109/100</f>
        <v>9.0401355612001175E-2</v>
      </c>
    </row>
    <row r="117" spans="2:25">
      <c r="B117" s="634" t="s">
        <v>387</v>
      </c>
      <c r="C117" s="635" t="s">
        <v>388</v>
      </c>
      <c r="D117" s="634" t="s">
        <v>601</v>
      </c>
      <c r="E117" s="635" t="s">
        <v>602</v>
      </c>
      <c r="F117" s="112">
        <f>'GDP Growth Rates'!E110/100</f>
        <v>7.1075683681126656E-2</v>
      </c>
      <c r="G117" s="112">
        <f>'GDP Growth Rates'!F110/100</f>
        <v>8.6192662083280691E-2</v>
      </c>
      <c r="H117" s="112">
        <f>'GDP Growth Rates'!G110/100</f>
        <v>7.5968288005487772E-2</v>
      </c>
      <c r="I117" s="112">
        <f>'GDP Growth Rates'!H110/100</f>
        <v>7.8249027633701188E-2</v>
      </c>
      <c r="J117" s="112">
        <f>'GDP Growth Rates'!I110/100</f>
        <v>7.5017749122585256E-2</v>
      </c>
      <c r="K117" s="112">
        <f>'GDP Growth Rates'!J110/100</f>
        <v>8.5269055173971681E-2</v>
      </c>
      <c r="L117" s="112">
        <f>'GDP Growth Rates'!K110/100</f>
        <v>8.0386526802372488E-2</v>
      </c>
      <c r="M117" s="112">
        <f>'GDP Growth Rates'!L110/100</f>
        <v>8.0260984346128342E-2</v>
      </c>
      <c r="N117" s="112">
        <f>'GDP Growth Rates'!M110/100</f>
        <v>8.026300226990174E-2</v>
      </c>
      <c r="O117" s="112">
        <f>'GDP Growth Rates'!N110/100</f>
        <v>7.611963439793186E-2</v>
      </c>
      <c r="P117" s="112">
        <f>'GDP Growth Rates'!O110/100</f>
        <v>7.2700658437378538E-2</v>
      </c>
      <c r="Q117" s="112">
        <f>'GDP Growth Rates'!P110/100</f>
        <v>7.0228362550113846E-2</v>
      </c>
      <c r="R117" s="112">
        <f>'GDP Growth Rates'!Q110/100</f>
        <v>6.8925308726988987E-2</v>
      </c>
      <c r="S117" s="112">
        <f>'GDP Growth Rates'!R110/100</f>
        <v>6.2479600075587172E-2</v>
      </c>
      <c r="T117" s="112">
        <f>'GDP Growth Rates'!S110/100</f>
        <v>5.4577350924847966E-2</v>
      </c>
      <c r="U117" s="112">
        <f>'GDP Growth Rates'!T110/100</f>
        <v>5.0303182901868127E-3</v>
      </c>
      <c r="V117" s="112">
        <f>'GDP Growth Rates'!U110/100</f>
        <v>2.5283510048610226E-2</v>
      </c>
      <c r="W117" s="112">
        <f>'GDP Growth Rates'!V110/100</f>
        <v>2.7074265264315472E-2</v>
      </c>
      <c r="X117" s="112">
        <f>'GDP Growth Rates'!W110/100</f>
        <v>3.7456814015823167E-2</v>
      </c>
      <c r="Y117" s="112">
        <f>'GDP Growth Rates'!X110/100</f>
        <v>4.2582572465158106E-2</v>
      </c>
    </row>
    <row r="118" spans="2:25">
      <c r="B118" s="634" t="s">
        <v>387</v>
      </c>
      <c r="C118" s="635" t="s">
        <v>388</v>
      </c>
      <c r="D118" s="634" t="s">
        <v>603</v>
      </c>
      <c r="E118" s="635" t="s">
        <v>604</v>
      </c>
      <c r="F118" s="112">
        <f>'GDP Growth Rates'!E111/100</f>
        <v>0.11615317855745701</v>
      </c>
      <c r="G118" s="112">
        <f>'GDP Growth Rates'!F111/100</f>
        <v>0.12825017846905012</v>
      </c>
      <c r="H118" s="112">
        <f>'GDP Growth Rates'!G111/100</f>
        <v>0.10414537279271401</v>
      </c>
      <c r="I118" s="112">
        <f>'GDP Growth Rates'!H111/100</f>
        <v>-3.3887166584995757E-2</v>
      </c>
      <c r="J118" s="112">
        <f>'GDP Growth Rates'!I111/100</f>
        <v>-0.16040019531304212</v>
      </c>
      <c r="K118" s="112">
        <f>'GDP Growth Rates'!J111/100</f>
        <v>-3.6612585955476222E-2</v>
      </c>
      <c r="L118" s="112">
        <f>'GDP Growth Rates'!K111/100</f>
        <v>3.0363448266881504E-2</v>
      </c>
      <c r="M118" s="112">
        <f>'GDP Growth Rates'!L111/100</f>
        <v>7.3052405720089697E-2</v>
      </c>
      <c r="N118" s="112">
        <f>'GDP Growth Rates'!M111/100</f>
        <v>2.0960902815624821E-2</v>
      </c>
      <c r="O118" s="112">
        <f>'GDP Growth Rates'!N111/100</f>
        <v>2.0949597710558977E-2</v>
      </c>
      <c r="P118" s="112">
        <f>'GDP Growth Rates'!O111/100</f>
        <v>3.7833671208497177E-2</v>
      </c>
      <c r="Q118" s="112">
        <f>'GDP Growth Rates'!P111/100</f>
        <v>2.5516860197403447E-2</v>
      </c>
      <c r="R118" s="112">
        <f>'GDP Growth Rates'!Q111/100</f>
        <v>3.3989487262393113E-2</v>
      </c>
      <c r="S118" s="112">
        <f>'GDP Growth Rates'!R111/100</f>
        <v>4.3097128629450338E-2</v>
      </c>
      <c r="T118" s="112">
        <f>'GDP Growth Rates'!S111/100</f>
        <v>6.7537277188422706E-3</v>
      </c>
      <c r="U118" s="112">
        <f>'GDP Growth Rates'!T111/100</f>
        <v>-3.4692275078055418E-2</v>
      </c>
      <c r="V118" s="112">
        <f>'GDP Growth Rates'!U111/100</f>
        <v>6.9425417306259188E-2</v>
      </c>
      <c r="W118" s="112">
        <f>'GDP Growth Rates'!V111/100</f>
        <v>1.8067719800806542E-2</v>
      </c>
      <c r="X118" s="112">
        <f>'GDP Growth Rates'!W111/100</f>
        <v>2.8542180010658738E-2</v>
      </c>
      <c r="Y118" s="112">
        <f>'GDP Growth Rates'!X111/100</f>
        <v>-4.4249112634327046E-3</v>
      </c>
    </row>
    <row r="119" spans="2:25">
      <c r="B119" s="634" t="s">
        <v>387</v>
      </c>
      <c r="C119" s="635" t="s">
        <v>388</v>
      </c>
      <c r="D119" s="634" t="s">
        <v>605</v>
      </c>
      <c r="E119" s="635" t="s">
        <v>606</v>
      </c>
      <c r="F119" s="112">
        <f>'GDP Growth Rates'!E112/100</f>
        <v>2.6857793101634542E-2</v>
      </c>
      <c r="G119" s="112">
        <f>'GDP Growth Rates'!F112/100</f>
        <v>1.5495150008321303E-2</v>
      </c>
      <c r="H119" s="112">
        <f>'GDP Growth Rates'!G112/100</f>
        <v>9.3106225264114356E-2</v>
      </c>
      <c r="I119" s="112">
        <f>'GDP Growth Rates'!H112/100</f>
        <v>9.0691282678908178E-2</v>
      </c>
      <c r="J119" s="112">
        <f>'GDP Growth Rates'!I112/100</f>
        <v>0.10232155577776013</v>
      </c>
      <c r="K119" s="112">
        <f>'GDP Growth Rates'!J112/100</f>
        <v>7.9751355584493241E-2</v>
      </c>
      <c r="L119" s="112">
        <f>'GDP Growth Rates'!K112/100</f>
        <v>8.6733987855276955E-3</v>
      </c>
      <c r="M119" s="112">
        <f>'GDP Growth Rates'!L112/100</f>
        <v>2.5647913368003827E-2</v>
      </c>
      <c r="N119" s="112">
        <f>'GDP Growth Rates'!M112/100</f>
        <v>3.8278734986016048E-2</v>
      </c>
      <c r="O119" s="112">
        <f>'GDP Growth Rates'!N112/100</f>
        <v>2.4840601050074299E-2</v>
      </c>
      <c r="P119" s="112">
        <f>'GDP Growth Rates'!O112/100</f>
        <v>4.6232079259758054E-3</v>
      </c>
      <c r="Q119" s="112">
        <f>'GDP Growth Rates'!P112/100</f>
        <v>1.5545494085694287E-2</v>
      </c>
      <c r="R119" s="112">
        <f>'GDP Growth Rates'!Q112/100</f>
        <v>9.0302846407381305E-3</v>
      </c>
      <c r="S119" s="112">
        <f>'GDP Growth Rates'!R112/100</f>
        <v>-1.8847057563165067E-2</v>
      </c>
      <c r="T119" s="112">
        <f>'GDP Growth Rates'!S112/100</f>
        <v>-6.9149247285102577E-2</v>
      </c>
      <c r="U119" s="112">
        <f>'GDP Growth Rates'!T112/100</f>
        <v>-0.21399899691432125</v>
      </c>
      <c r="V119" s="112">
        <f>'GDP Growth Rates'!U112/100</f>
        <v>-7.0012386251411554E-2</v>
      </c>
      <c r="W119" s="112">
        <f>'GDP Growth Rates'!V112/100</f>
        <v>-6.2167897066311185E-3</v>
      </c>
      <c r="X119" s="112">
        <f>'GDP Growth Rates'!W112/100</f>
        <v>-7.6058447025731364E-3</v>
      </c>
      <c r="Y119" s="112" t="e">
        <f>'GDP Growth Rates'!X112/100</f>
        <v>#VALUE!</v>
      </c>
    </row>
    <row r="120" spans="2:25">
      <c r="B120" s="634" t="s">
        <v>387</v>
      </c>
      <c r="C120" s="635" t="s">
        <v>388</v>
      </c>
      <c r="D120" s="634" t="s">
        <v>607</v>
      </c>
      <c r="E120" s="635" t="s">
        <v>608</v>
      </c>
      <c r="F120" s="112">
        <f>'GDP Growth Rates'!E113/100</f>
        <v>3.4661222275531145E-2</v>
      </c>
      <c r="G120" s="112">
        <f>'GDP Growth Rates'!F113/100</f>
        <v>4.2300952280520929E-2</v>
      </c>
      <c r="H120" s="112">
        <f>'GDP Growth Rates'!G113/100</f>
        <v>4.1879140995715144E-2</v>
      </c>
      <c r="I120" s="112">
        <f>'GDP Growth Rates'!H113/100</f>
        <v>5.5234196697864633E-2</v>
      </c>
      <c r="J120" s="112">
        <f>'GDP Growth Rates'!I113/100</f>
        <v>-1.2537577992083158E-2</v>
      </c>
      <c r="K120" s="112">
        <f>'GDP Growth Rates'!J113/100</f>
        <v>5.2696707805628622E-2</v>
      </c>
      <c r="L120" s="112">
        <f>'GDP Growth Rates'!K113/100</f>
        <v>4.6164139452875189E-2</v>
      </c>
      <c r="M120" s="112">
        <f>'GDP Growth Rates'!L113/100</f>
        <v>6.3340837467944763E-2</v>
      </c>
      <c r="N120" s="112">
        <f>'GDP Growth Rates'!M113/100</f>
        <v>1.7925255557554465E-2</v>
      </c>
      <c r="O120" s="112">
        <f>'GDP Growth Rates'!N113/100</f>
        <v>1.710549905454755E-2</v>
      </c>
      <c r="P120" s="112">
        <f>'GDP Growth Rates'!O113/100</f>
        <v>3.1240667804454603E-2</v>
      </c>
      <c r="Q120" s="112">
        <f>'GDP Growth Rates'!P113/100</f>
        <v>3.6089073168771364E-2</v>
      </c>
      <c r="R120" s="112">
        <f>'GDP Growth Rates'!Q113/100</f>
        <v>-3.1381749373347104E-2</v>
      </c>
      <c r="S120" s="112">
        <f>'GDP Growth Rates'!R113/100</f>
        <v>-1.4806331584824051E-2</v>
      </c>
      <c r="T120" s="112">
        <f>'GDP Growth Rates'!S113/100</f>
        <v>-1.4179938308520547E-2</v>
      </c>
      <c r="U120" s="112">
        <f>'GDP Growth Rates'!T113/100</f>
        <v>-8.1559587991426666E-2</v>
      </c>
      <c r="V120" s="112">
        <f>'GDP Growth Rates'!U113/100</f>
        <v>2.2667106700653791E-2</v>
      </c>
      <c r="W120" s="112">
        <f>'GDP Growth Rates'!V113/100</f>
        <v>2.3877802018628387E-2</v>
      </c>
      <c r="X120" s="112">
        <f>'GDP Growth Rates'!W113/100</f>
        <v>1.8266252585236346E-2</v>
      </c>
      <c r="Y120" s="112">
        <f>'GDP Growth Rates'!X113/100</f>
        <v>2.762238185326879E-2</v>
      </c>
    </row>
    <row r="121" spans="2:25">
      <c r="B121" s="634" t="s">
        <v>387</v>
      </c>
      <c r="C121" s="635" t="s">
        <v>388</v>
      </c>
      <c r="D121" s="634" t="s">
        <v>609</v>
      </c>
      <c r="E121" s="635" t="s">
        <v>610</v>
      </c>
      <c r="F121" s="112">
        <f>'GDP Growth Rates'!E114/100</f>
        <v>5.2812124530929483E-2</v>
      </c>
      <c r="G121" s="112">
        <f>'GDP Growth Rates'!F114/100</f>
        <v>8.0439099719005897E-2</v>
      </c>
      <c r="H121" s="112">
        <f>'GDP Growth Rates'!G114/100</f>
        <v>9.5352753628228162E-2</v>
      </c>
      <c r="I121" s="112">
        <f>'GDP Growth Rates'!H114/100</f>
        <v>7.1456911281147631E-2</v>
      </c>
      <c r="J121" s="112">
        <f>'GDP Growth Rates'!I114/100</f>
        <v>5.3005405029153109E-2</v>
      </c>
      <c r="K121" s="112">
        <f>'GDP Growth Rates'!J114/100</f>
        <v>6.0998252400414683E-2</v>
      </c>
      <c r="L121" s="112">
        <f>'GDP Growth Rates'!K114/100</f>
        <v>8.2007682249706448E-2</v>
      </c>
      <c r="M121" s="112">
        <f>'GDP Growth Rates'!L114/100</f>
        <v>7.9938144455536667E-2</v>
      </c>
      <c r="N121" s="112">
        <f>'GDP Growth Rates'!M114/100</f>
        <v>8.6872878163968326E-2</v>
      </c>
      <c r="O121" s="112">
        <f>'GDP Growth Rates'!N114/100</f>
        <v>7.013931002875182E-3</v>
      </c>
      <c r="P121" s="112">
        <f>'GDP Growth Rates'!O114/100</f>
        <v>-1.8564969559093926E-4</v>
      </c>
      <c r="Q121" s="112">
        <f>'GDP Growth Rates'!P114/100</f>
        <v>-1.5549586174877988E-2</v>
      </c>
      <c r="R121" s="112">
        <f>'GDP Growth Rates'!Q114/100</f>
        <v>2.4551559201223937E-2</v>
      </c>
      <c r="S121" s="112">
        <f>'GDP Growth Rates'!R114/100</f>
        <v>1.1575751220735526E-2</v>
      </c>
      <c r="T121" s="112">
        <f>'GDP Growth Rates'!S114/100</f>
        <v>-2.467297635326858E-2</v>
      </c>
      <c r="U121" s="112">
        <f>'GDP Growth Rates'!T114/100</f>
        <v>-2.9824912764947271E-2</v>
      </c>
      <c r="V121" s="112">
        <f>'GDP Growth Rates'!U114/100</f>
        <v>4.9867128348161739E-2</v>
      </c>
      <c r="W121" s="112">
        <f>'GDP Growth Rates'!V114/100</f>
        <v>4.8081051729065509E-2</v>
      </c>
      <c r="X121" s="112">
        <f>'GDP Growth Rates'!W114/100</f>
        <v>4.6837568876131143E-2</v>
      </c>
      <c r="Y121" s="112">
        <f>'GDP Growth Rates'!X114/100</f>
        <v>4.7929148215681179E-2</v>
      </c>
    </row>
    <row r="122" spans="2:25">
      <c r="B122" s="634" t="s">
        <v>387</v>
      </c>
      <c r="C122" s="635" t="s">
        <v>388</v>
      </c>
      <c r="D122" s="634" t="s">
        <v>611</v>
      </c>
      <c r="E122" s="635" t="s">
        <v>612</v>
      </c>
      <c r="F122" s="112">
        <f>'GDP Growth Rates'!E115/100</f>
        <v>0.11870756522615096</v>
      </c>
      <c r="G122" s="112">
        <f>'GDP Growth Rates'!F115/100</f>
        <v>6.5005254195927897E-2</v>
      </c>
      <c r="H122" s="112">
        <f>'GDP Growth Rates'!G115/100</f>
        <v>6.2299827856183751E-2</v>
      </c>
      <c r="I122" s="112">
        <f>'GDP Growth Rates'!H115/100</f>
        <v>-1.6204823879988339E-3</v>
      </c>
      <c r="J122" s="112">
        <f>'GDP Growth Rates'!I115/100</f>
        <v>-4.400181763102097E-2</v>
      </c>
      <c r="K122" s="112">
        <f>'GDP Growth Rates'!J115/100</f>
        <v>5.0272476723774988E-2</v>
      </c>
      <c r="L122" s="112">
        <f>'GDP Growth Rates'!K115/100</f>
        <v>-0.50338515138498618</v>
      </c>
      <c r="M122" s="112">
        <f>'GDP Growth Rates'!L115/100</f>
        <v>0.86826748439578438</v>
      </c>
      <c r="N122" s="112">
        <f>'GDP Growth Rates'!M115/100</f>
        <v>-0.17997961574568122</v>
      </c>
      <c r="O122" s="112">
        <f>'GDP Growth Rates'!N115/100</f>
        <v>-0.23042805828221502</v>
      </c>
      <c r="P122" s="112">
        <f>'GDP Growth Rates'!O115/100</f>
        <v>-8.4265625211884295E-3</v>
      </c>
      <c r="Q122" s="112">
        <f>'GDP Growth Rates'!P115/100</f>
        <v>-1.4909411172621958E-2</v>
      </c>
      <c r="R122" s="112">
        <f>'GDP Growth Rates'!Q115/100</f>
        <v>0.32491802186268759</v>
      </c>
      <c r="S122" s="112">
        <f>'GDP Growth Rates'!R115/100</f>
        <v>7.9413678529104026E-2</v>
      </c>
      <c r="T122" s="112">
        <f>'GDP Growth Rates'!S115/100</f>
        <v>-0.11196082885338583</v>
      </c>
      <c r="U122" s="112">
        <f>'GDP Growth Rates'!T115/100</f>
        <v>-0.29455296728282376</v>
      </c>
      <c r="V122" s="112">
        <f>'GDP Growth Rates'!U115/100</f>
        <v>0.28333462462229819</v>
      </c>
      <c r="W122" s="112">
        <f>'GDP Growth Rates'!V115/100</f>
        <v>-8.2516300410528765E-2</v>
      </c>
      <c r="X122" s="112">
        <f>'GDP Growth Rates'!W115/100</f>
        <v>0.10155818177032615</v>
      </c>
      <c r="Y122" s="112">
        <f>'GDP Growth Rates'!X115/100</f>
        <v>-6.0583252691061773E-3</v>
      </c>
    </row>
    <row r="123" spans="2:25">
      <c r="B123" s="634" t="s">
        <v>387</v>
      </c>
      <c r="C123" s="635" t="s">
        <v>388</v>
      </c>
      <c r="D123" s="634" t="s">
        <v>613</v>
      </c>
      <c r="E123" s="635" t="s">
        <v>614</v>
      </c>
      <c r="F123" s="112">
        <f>'GDP Growth Rates'!E116/100</f>
        <v>4.8280767774352425E-2</v>
      </c>
      <c r="G123" s="112">
        <f>'GDP Growth Rates'!F116/100</f>
        <v>8.6449685726728093E-2</v>
      </c>
      <c r="H123" s="112">
        <f>'GDP Growth Rates'!G116/100</f>
        <v>3.3259635093690038E-2</v>
      </c>
      <c r="I123" s="112">
        <f>'GDP Growth Rates'!H116/100</f>
        <v>1.7980884783641075E-2</v>
      </c>
      <c r="J123" s="112">
        <f>'GDP Growth Rates'!I116/100</f>
        <v>-1.1574829197563617E-2</v>
      </c>
      <c r="K123" s="112" t="e">
        <f>'GDP Growth Rates'!J116/100</f>
        <v>#VALUE!</v>
      </c>
      <c r="L123" s="112" t="e">
        <f>'GDP Growth Rates'!K116/100</f>
        <v>#VALUE!</v>
      </c>
      <c r="M123" s="112" t="e">
        <f>'GDP Growth Rates'!L116/100</f>
        <v>#VALUE!</v>
      </c>
      <c r="N123" s="112" t="e">
        <f>'GDP Growth Rates'!M116/100</f>
        <v>#VALUE!</v>
      </c>
      <c r="O123" s="112" t="e">
        <f>'GDP Growth Rates'!N116/100</f>
        <v>#VALUE!</v>
      </c>
      <c r="P123" s="112" t="e">
        <f>'GDP Growth Rates'!O116/100</f>
        <v>#VALUE!</v>
      </c>
      <c r="Q123" s="112" t="e">
        <f>'GDP Growth Rates'!P116/100</f>
        <v>#VALUE!</v>
      </c>
      <c r="R123" s="112" t="e">
        <f>'GDP Growth Rates'!Q116/100</f>
        <v>#VALUE!</v>
      </c>
      <c r="S123" s="112" t="e">
        <f>'GDP Growth Rates'!R116/100</f>
        <v>#VALUE!</v>
      </c>
      <c r="T123" s="112" t="e">
        <f>'GDP Growth Rates'!S116/100</f>
        <v>#VALUE!</v>
      </c>
      <c r="U123" s="112" t="e">
        <f>'GDP Growth Rates'!T116/100</f>
        <v>#VALUE!</v>
      </c>
      <c r="V123" s="112" t="e">
        <f>'GDP Growth Rates'!U116/100</f>
        <v>#VALUE!</v>
      </c>
      <c r="W123" s="112" t="e">
        <f>'GDP Growth Rates'!V116/100</f>
        <v>#VALUE!</v>
      </c>
      <c r="X123" s="112" t="e">
        <f>'GDP Growth Rates'!W116/100</f>
        <v>#VALUE!</v>
      </c>
      <c r="Y123" s="112" t="e">
        <f>'GDP Growth Rates'!X116/100</f>
        <v>#VALUE!</v>
      </c>
    </row>
    <row r="124" spans="2:25">
      <c r="B124" s="634" t="s">
        <v>387</v>
      </c>
      <c r="C124" s="635" t="s">
        <v>388</v>
      </c>
      <c r="D124" s="634" t="s">
        <v>615</v>
      </c>
      <c r="E124" s="635" t="s">
        <v>616</v>
      </c>
      <c r="F124" s="112">
        <f>'GDP Growth Rates'!E117/100</f>
        <v>7.7314467577491969E-2</v>
      </c>
      <c r="G124" s="112">
        <f>'GDP Growth Rates'!F117/100</f>
        <v>7.3954812246862928E-2</v>
      </c>
      <c r="H124" s="112">
        <f>'GDP Growth Rates'!G117/100</f>
        <v>0.11077928257867313</v>
      </c>
      <c r="I124" s="112">
        <f>'GDP Growth Rates'!H117/100</f>
        <v>2.5994615460560196E-2</v>
      </c>
      <c r="J124" s="112">
        <f>'GDP Growth Rates'!I117/100</f>
        <v>-0.1483861178948476</v>
      </c>
      <c r="K124" s="112">
        <f>'GDP Growth Rates'!J117/100</f>
        <v>4.2719956655076887E-3</v>
      </c>
      <c r="L124" s="112">
        <f>'GDP Growth Rates'!K117/100</f>
        <v>6.3236366482129824E-2</v>
      </c>
      <c r="M124" s="112">
        <f>'GDP Growth Rates'!L117/100</f>
        <v>4.382905843551569E-2</v>
      </c>
      <c r="N124" s="112">
        <f>'GDP Growth Rates'!M117/100</f>
        <v>4.0469131857532543E-2</v>
      </c>
      <c r="O124" s="112">
        <f>'GDP Growth Rates'!N117/100</f>
        <v>3.7725437958098948E-2</v>
      </c>
      <c r="P124" s="112">
        <f>'GDP Growth Rates'!O117/100</f>
        <v>2.8328064334323385E-2</v>
      </c>
      <c r="Q124" s="112">
        <f>'GDP Growth Rates'!P117/100</f>
        <v>2.6719221505332912E-2</v>
      </c>
      <c r="R124" s="112">
        <f>'GDP Growth Rates'!Q117/100</f>
        <v>4.6122431031280942E-2</v>
      </c>
      <c r="S124" s="112">
        <f>'GDP Growth Rates'!R117/100</f>
        <v>4.9183678010681152E-2</v>
      </c>
      <c r="T124" s="112">
        <f>'GDP Growth Rates'!S117/100</f>
        <v>4.6773518353045065E-2</v>
      </c>
      <c r="U124" s="112">
        <f>'GDP Growth Rates'!T117/100</f>
        <v>4.2815833698142572E-4</v>
      </c>
      <c r="V124" s="112">
        <f>'GDP Growth Rates'!U117/100</f>
        <v>6.3800160617987267E-2</v>
      </c>
      <c r="W124" s="112">
        <f>'GDP Growth Rates'!V117/100</f>
        <v>2.5375257401153418E-2</v>
      </c>
      <c r="X124" s="112">
        <f>'GDP Growth Rates'!W117/100</f>
        <v>3.4226271627726137E-3</v>
      </c>
      <c r="Y124" s="112">
        <f>'GDP Growth Rates'!X117/100</f>
        <v>2.7726312453028468E-2</v>
      </c>
    </row>
    <row r="125" spans="2:25">
      <c r="B125" s="634" t="s">
        <v>387</v>
      </c>
      <c r="C125" s="635" t="s">
        <v>388</v>
      </c>
      <c r="D125" s="634" t="s">
        <v>617</v>
      </c>
      <c r="E125" s="635" t="s">
        <v>618</v>
      </c>
      <c r="F125" s="112">
        <f>'GDP Growth Rates'!E118/100</f>
        <v>2.4828749846838746E-2</v>
      </c>
      <c r="G125" s="112">
        <f>'GDP Growth Rates'!F118/100</f>
        <v>6.0167154014547038E-2</v>
      </c>
      <c r="H125" s="112">
        <f>'GDP Growth Rates'!G118/100</f>
        <v>8.0986672304808285E-2</v>
      </c>
      <c r="I125" s="112">
        <f>'GDP Growth Rates'!H118/100</f>
        <v>-3.0017562493684126E-3</v>
      </c>
      <c r="J125" s="112">
        <f>'GDP Growth Rates'!I118/100</f>
        <v>-3.2389540914749236E-2</v>
      </c>
      <c r="K125" s="112">
        <f>'GDP Growth Rates'!J118/100</f>
        <v>3.7604145432002835E-2</v>
      </c>
      <c r="L125" s="112">
        <f>'GDP Growth Rates'!K118/100</f>
        <v>1.0442985532332472E-2</v>
      </c>
      <c r="M125" s="112">
        <f>'GDP Growth Rates'!L118/100</f>
        <v>1.6499021276455323E-2</v>
      </c>
      <c r="N125" s="112">
        <f>'GDP Growth Rates'!M118/100</f>
        <v>3.1717898996868284E-2</v>
      </c>
      <c r="O125" s="112">
        <f>'GDP Growth Rates'!N118/100</f>
        <v>2.6230867915488149E-2</v>
      </c>
      <c r="P125" s="112">
        <f>'GDP Growth Rates'!O118/100</f>
        <v>2.2697842330283463E-2</v>
      </c>
      <c r="Q125" s="112">
        <f>'GDP Growth Rates'!P118/100</f>
        <v>4.9781901152011587E-2</v>
      </c>
      <c r="R125" s="112">
        <f>'GDP Growth Rates'!Q118/100</f>
        <v>1.3171871375428452E-2</v>
      </c>
      <c r="S125" s="112">
        <f>'GDP Growth Rates'!R118/100</f>
        <v>1.6112956133816851E-2</v>
      </c>
      <c r="T125" s="112">
        <f>'GDP Growth Rates'!S118/100</f>
        <v>2.7493192907265894E-2</v>
      </c>
      <c r="U125" s="112">
        <f>'GDP Growth Rates'!T118/100</f>
        <v>-5.1005163403982576E-3</v>
      </c>
      <c r="V125" s="112">
        <f>'GDP Growth Rates'!U118/100</f>
        <v>6.9297342584232952E-2</v>
      </c>
      <c r="W125" s="112">
        <f>'GDP Growth Rates'!V118/100</f>
        <v>-1.0950535116083557E-2</v>
      </c>
      <c r="X125" s="112">
        <f>'GDP Growth Rates'!W118/100</f>
        <v>-6.9363272769231796E-3</v>
      </c>
      <c r="Y125" s="112">
        <f>'GDP Growth Rates'!X118/100</f>
        <v>1.0316167134892425E-2</v>
      </c>
    </row>
    <row r="126" spans="2:25">
      <c r="B126" s="634" t="s">
        <v>387</v>
      </c>
      <c r="C126" s="635" t="s">
        <v>388</v>
      </c>
      <c r="D126" s="634" t="s">
        <v>619</v>
      </c>
      <c r="E126" s="635" t="s">
        <v>620</v>
      </c>
      <c r="F126" s="112">
        <f>'GDP Growth Rates'!E119/100</f>
        <v>8.0752313059305289E-2</v>
      </c>
      <c r="G126" s="112">
        <f>'GDP Growth Rates'!F119/100</f>
        <v>0.1339059327663476</v>
      </c>
      <c r="H126" s="112">
        <f>'GDP Growth Rates'!G119/100</f>
        <v>0.14476496167270383</v>
      </c>
      <c r="I126" s="112">
        <f>'GDP Growth Rates'!H119/100</f>
        <v>3.3912965131993787E-2</v>
      </c>
      <c r="J126" s="112">
        <f>'GDP Growth Rates'!I119/100</f>
        <v>1.274378235181345E-2</v>
      </c>
      <c r="K126" s="112">
        <f>'GDP Growth Rates'!J119/100</f>
        <v>0.25122788177916378</v>
      </c>
      <c r="L126" s="112">
        <f>'GDP Growth Rates'!K119/100</f>
        <v>0.2161646948145011</v>
      </c>
      <c r="M126" s="112">
        <f>'GDP Growth Rates'!L119/100</f>
        <v>9.2421445955360046E-2</v>
      </c>
      <c r="N126" s="112">
        <f>'GDP Growth Rates'!M119/100</f>
        <v>0.10752892994904513</v>
      </c>
      <c r="O126" s="112">
        <f>'GDP Growth Rates'!N119/100</f>
        <v>-2.0483781414104386E-2</v>
      </c>
      <c r="P126" s="112">
        <f>'GDP Growth Rates'!O119/100</f>
        <v>-0.21514293239482854</v>
      </c>
      <c r="Q126" s="112">
        <f>'GDP Growth Rates'!P119/100</f>
        <v>-6.7918361788686351E-3</v>
      </c>
      <c r="R126" s="112">
        <f>'GDP Growth Rates'!Q119/100</f>
        <v>9.8600515135786257E-2</v>
      </c>
      <c r="S126" s="112">
        <f>'GDP Growth Rates'!R119/100</f>
        <v>6.4052791570464507E-2</v>
      </c>
      <c r="T126" s="112">
        <f>'GDP Growth Rates'!S119/100</f>
        <v>-2.5634151500998001E-2</v>
      </c>
      <c r="U126" s="112">
        <f>'GDP Growth Rates'!T119/100</f>
        <v>-0.54336106274585672</v>
      </c>
      <c r="V126" s="112">
        <f>'GDP Growth Rates'!U119/100</f>
        <v>0.235358913163209</v>
      </c>
      <c r="W126" s="112">
        <f>'GDP Growth Rates'!V119/100</f>
        <v>-0.19609344932572753</v>
      </c>
      <c r="X126" s="112">
        <f>'GDP Growth Rates'!W119/100</f>
        <v>0.75061857136085708</v>
      </c>
      <c r="Y126" s="112">
        <f>'GDP Growth Rates'!X119/100</f>
        <v>8.8081596846163845E-2</v>
      </c>
    </row>
    <row r="127" spans="2:25">
      <c r="B127" s="634" t="s">
        <v>387</v>
      </c>
      <c r="C127" s="635" t="s">
        <v>388</v>
      </c>
      <c r="D127" s="634" t="s">
        <v>621</v>
      </c>
      <c r="E127" s="635" t="s">
        <v>622</v>
      </c>
      <c r="F127" s="112">
        <f>'GDP Growth Rates'!E120/100</f>
        <v>4.7558450949911873E-2</v>
      </c>
      <c r="G127" s="112">
        <f>'GDP Growth Rates'!F120/100</f>
        <v>5.3985084485368019E-2</v>
      </c>
      <c r="H127" s="112">
        <f>'GDP Growth Rates'!G120/100</f>
        <v>5.71056419885052E-2</v>
      </c>
      <c r="I127" s="112">
        <f>'GDP Growth Rates'!H120/100</f>
        <v>6.7126325391300132E-2</v>
      </c>
      <c r="J127" s="112">
        <f>'GDP Growth Rates'!I120/100</f>
        <v>-3.9787086116543975E-2</v>
      </c>
      <c r="K127" s="112">
        <f>'GDP Growth Rates'!J120/100</f>
        <v>6.1923974462212072E-3</v>
      </c>
      <c r="L127" s="112">
        <f>'GDP Growth Rates'!K120/100</f>
        <v>1.5784270536655497E-2</v>
      </c>
      <c r="M127" s="112">
        <f>'GDP Growth Rates'!L120/100</f>
        <v>3.011148116212084E-2</v>
      </c>
      <c r="N127" s="112">
        <f>'GDP Growth Rates'!M120/100</f>
        <v>2.3003762280072663E-2</v>
      </c>
      <c r="O127" s="112">
        <f>'GDP Growth Rates'!N120/100</f>
        <v>3.3392031119536654E-2</v>
      </c>
      <c r="P127" s="112">
        <f>'GDP Growth Rates'!O120/100</f>
        <v>3.1322980749030477E-2</v>
      </c>
      <c r="Q127" s="112">
        <f>'GDP Growth Rates'!P120/100</f>
        <v>3.993146061994992E-2</v>
      </c>
      <c r="R127" s="112">
        <f>'GDP Growth Rates'!Q120/100</f>
        <v>3.9333075946279335E-2</v>
      </c>
      <c r="S127" s="112">
        <f>'GDP Growth Rates'!R120/100</f>
        <v>3.1943565174439782E-2</v>
      </c>
      <c r="T127" s="112">
        <f>'GDP Growth Rates'!S120/100</f>
        <v>4.4112321290958934E-2</v>
      </c>
      <c r="U127" s="112">
        <f>'GDP Growth Rates'!T120/100</f>
        <v>-7.1376716206448948E-2</v>
      </c>
      <c r="V127" s="112">
        <f>'GDP Growth Rates'!U120/100</f>
        <v>4.6506834319399247E-2</v>
      </c>
      <c r="W127" s="112">
        <f>'GDP Growth Rates'!V120/100</f>
        <v>4.1560977838081214E-2</v>
      </c>
      <c r="X127" s="112">
        <f>'GDP Growth Rates'!W120/100</f>
        <v>4.2030461580397686E-2</v>
      </c>
      <c r="Y127" s="112">
        <f>'GDP Growth Rates'!X120/100</f>
        <v>4.1999999999822395E-2</v>
      </c>
    </row>
    <row r="128" spans="2:25">
      <c r="B128" s="634" t="s">
        <v>387</v>
      </c>
      <c r="C128" s="635" t="s">
        <v>388</v>
      </c>
      <c r="D128" s="634" t="s">
        <v>623</v>
      </c>
      <c r="E128" s="635" t="s">
        <v>624</v>
      </c>
      <c r="F128" s="112">
        <f>'GDP Growth Rates'!E121/100</f>
        <v>3.2687260231706573E-2</v>
      </c>
      <c r="G128" s="112">
        <f>'GDP Growth Rates'!F121/100</f>
        <v>4.6999997640469075E-2</v>
      </c>
      <c r="H128" s="112">
        <f>'GDP Growth Rates'!G121/100</f>
        <v>9.5999998768346875E-2</v>
      </c>
      <c r="I128" s="112">
        <f>'GDP Growth Rates'!H121/100</f>
        <v>7.639736399445908E-2</v>
      </c>
      <c r="J128" s="112">
        <f>'GDP Growth Rates'!I121/100</f>
        <v>8.3281098524037991E-2</v>
      </c>
      <c r="K128" s="112">
        <f>'GDP Growth Rates'!J121/100</f>
        <v>6.8740658541614152E-2</v>
      </c>
      <c r="L128" s="112">
        <f>'GDP Growth Rates'!K121/100</f>
        <v>4.9326699981372853E-2</v>
      </c>
      <c r="M128" s="112">
        <f>'GDP Growth Rates'!L121/100</f>
        <v>1.9000000007290935E-2</v>
      </c>
      <c r="N128" s="112">
        <f>'GDP Growth Rates'!M121/100</f>
        <v>5.410349998171668E-2</v>
      </c>
      <c r="O128" s="112">
        <f>'GDP Growth Rates'!N121/100</f>
        <v>5.6252700010513905E-2</v>
      </c>
      <c r="P128" s="112">
        <f>'GDP Growth Rates'!O121/100</f>
        <v>2.8000000000335489E-2</v>
      </c>
      <c r="Q128" s="112">
        <f>'GDP Growth Rates'!P121/100</f>
        <v>2.499999999143114E-2</v>
      </c>
      <c r="R128" s="112">
        <f>'GDP Growth Rates'!Q121/100</f>
        <v>4.0000000008917166E-2</v>
      </c>
      <c r="S128" s="112">
        <f>'GDP Growth Rates'!R121/100</f>
        <v>4.3535647161921105E-2</v>
      </c>
      <c r="T128" s="112">
        <f>'GDP Growth Rates'!S121/100</f>
        <v>5.7168251919433713E-2</v>
      </c>
      <c r="U128" s="112">
        <f>'GDP Growth Rates'!T121/100</f>
        <v>7.9359642978728568E-3</v>
      </c>
      <c r="V128" s="112">
        <f>'GDP Growth Rates'!U121/100</f>
        <v>4.5582921201608284E-2</v>
      </c>
      <c r="W128" s="112">
        <f>'GDP Growth Rates'!V121/100</f>
        <v>9.2111506900593547E-3</v>
      </c>
      <c r="X128" s="112">
        <f>'GDP Growth Rates'!W121/100</f>
        <v>1.8924579875638302E-2</v>
      </c>
      <c r="Y128" s="112">
        <f>'GDP Growth Rates'!X121/100</f>
        <v>1.8268500001019417E-2</v>
      </c>
    </row>
    <row r="129" spans="2:25">
      <c r="B129" s="634" t="s">
        <v>387</v>
      </c>
      <c r="C129" s="635" t="s">
        <v>388</v>
      </c>
      <c r="D129" s="634" t="s">
        <v>257</v>
      </c>
      <c r="E129" s="635" t="s">
        <v>625</v>
      </c>
      <c r="F129" s="112">
        <f>'GDP Growth Rates'!E122/100</f>
        <v>5.3321391614148582E-2</v>
      </c>
      <c r="G129" s="112">
        <f>'GDP Growth Rates'!F122/100</f>
        <v>5.5848470671515001E-2</v>
      </c>
      <c r="H129" s="112">
        <f>'GDP Growth Rates'!G122/100</f>
        <v>6.2987859274094685E-2</v>
      </c>
      <c r="I129" s="112">
        <f>'GDP Growth Rates'!H122/100</f>
        <v>4.8317698891309678E-2</v>
      </c>
      <c r="J129" s="112">
        <f>'GDP Growth Rates'!I122/100</f>
        <v>-1.5135287159871353E-2</v>
      </c>
      <c r="K129" s="112">
        <f>'GDP Growth Rates'!J122/100</f>
        <v>7.4248473832609671E-2</v>
      </c>
      <c r="L129" s="112">
        <f>'GDP Growth Rates'!K122/100</f>
        <v>5.2939128341400306E-2</v>
      </c>
      <c r="M129" s="112">
        <f>'GDP Growth Rates'!L122/100</f>
        <v>5.4734541925385259E-2</v>
      </c>
      <c r="N129" s="112">
        <f>'GDP Growth Rates'!M122/100</f>
        <v>4.693722525578934E-2</v>
      </c>
      <c r="O129" s="112">
        <f>'GDP Growth Rates'!N122/100</f>
        <v>6.0067219455820296E-2</v>
      </c>
      <c r="P129" s="112">
        <f>'GDP Growth Rates'!O122/100</f>
        <v>5.0915324215501129E-2</v>
      </c>
      <c r="Q129" s="112">
        <f>'GDP Growth Rates'!P122/100</f>
        <v>4.4497813976154106E-2</v>
      </c>
      <c r="R129" s="112">
        <f>'GDP Growth Rates'!Q122/100</f>
        <v>5.8127224098332847E-2</v>
      </c>
      <c r="S129" s="112">
        <f>'GDP Growth Rates'!R122/100</f>
        <v>4.8430869763488149E-2</v>
      </c>
      <c r="T129" s="112">
        <f>'GDP Growth Rates'!S122/100</f>
        <v>4.413187421295859E-2</v>
      </c>
      <c r="U129" s="112">
        <f>'GDP Growth Rates'!T122/100</f>
        <v>-5.4568465842670125E-2</v>
      </c>
      <c r="V129" s="112">
        <f>'GDP Growth Rates'!U122/100</f>
        <v>3.315349543991658E-2</v>
      </c>
      <c r="W129" s="112">
        <f>'GDP Growth Rates'!V122/100</f>
        <v>8.8618218757804637E-2</v>
      </c>
      <c r="X129" s="112">
        <f>'GDP Growth Rates'!W122/100</f>
        <v>3.5554871541050942E-2</v>
      </c>
      <c r="Y129" s="112">
        <f>'GDP Growth Rates'!X122/100</f>
        <v>5.1141554782909111E-2</v>
      </c>
    </row>
    <row r="130" spans="2:25">
      <c r="B130" s="634" t="s">
        <v>387</v>
      </c>
      <c r="C130" s="635" t="s">
        <v>388</v>
      </c>
      <c r="D130" s="634" t="s">
        <v>626</v>
      </c>
      <c r="E130" s="635" t="s">
        <v>627</v>
      </c>
      <c r="F130" s="112">
        <f>'GDP Growth Rates'!E123/100</f>
        <v>-0.11177309772038385</v>
      </c>
      <c r="G130" s="112">
        <f>'GDP Growth Rates'!F123/100</f>
        <v>0.23630272098124294</v>
      </c>
      <c r="H130" s="112">
        <f>'GDP Growth Rates'!G123/100</f>
        <v>7.1333802337135668E-2</v>
      </c>
      <c r="I130" s="112">
        <f>'GDP Growth Rates'!H123/100</f>
        <v>8.9764546052698513E-2</v>
      </c>
      <c r="J130" s="112">
        <f>'GDP Growth Rates'!I123/100</f>
        <v>-8.340698760429803E-2</v>
      </c>
      <c r="K130" s="112">
        <f>'GDP Growth Rates'!J123/100</f>
        <v>6.7854679094087086E-2</v>
      </c>
      <c r="L130" s="112">
        <f>'GDP Growth Rates'!K123/100</f>
        <v>8.8434259452278216E-2</v>
      </c>
      <c r="M130" s="112">
        <f>'GDP Growth Rates'!L123/100</f>
        <v>2.3892881255925431E-2</v>
      </c>
      <c r="N130" s="112">
        <f>'GDP Growth Rates'!M123/100</f>
        <v>6.9749622683046367E-2</v>
      </c>
      <c r="O130" s="112">
        <f>'GDP Growth Rates'!N123/100</f>
        <v>7.8606863718052158E-2</v>
      </c>
      <c r="P130" s="112">
        <f>'GDP Growth Rates'!O123/100</f>
        <v>3.8681353357138022E-2</v>
      </c>
      <c r="Q130" s="112">
        <f>'GDP Growth Rates'!P123/100</f>
        <v>6.3752830306640085E-2</v>
      </c>
      <c r="R130" s="112">
        <f>'GDP Growth Rates'!Q123/100</f>
        <v>7.0744287170630568E-2</v>
      </c>
      <c r="S130" s="112">
        <f>'GDP Growth Rates'!R123/100</f>
        <v>8.5689555970945436E-2</v>
      </c>
      <c r="T130" s="112">
        <f>'GDP Growth Rates'!S123/100</f>
        <v>6.9230598083256614E-2</v>
      </c>
      <c r="U130" s="112">
        <f>'GDP Growth Rates'!T123/100</f>
        <v>-0.32908828728442502</v>
      </c>
      <c r="V130" s="112">
        <f>'GDP Growth Rates'!U123/100</f>
        <v>0.37507870004707483</v>
      </c>
      <c r="W130" s="112">
        <f>'GDP Growth Rates'!V123/100</f>
        <v>0.13826089530681357</v>
      </c>
      <c r="X130" s="112">
        <f>'GDP Growth Rates'!W123/100</f>
        <v>4.7263919504302122E-2</v>
      </c>
      <c r="Y130" s="112">
        <f>'GDP Growth Rates'!X123/100</f>
        <v>5.1339622308209272E-2</v>
      </c>
    </row>
    <row r="131" spans="2:25">
      <c r="B131" s="634" t="s">
        <v>387</v>
      </c>
      <c r="C131" s="635" t="s">
        <v>388</v>
      </c>
      <c r="D131" s="634" t="s">
        <v>628</v>
      </c>
      <c r="E131" s="635" t="s">
        <v>629</v>
      </c>
      <c r="F131" s="112">
        <f>'GDP Growth Rates'!E124/100</f>
        <v>7.5046846350018653E-2</v>
      </c>
      <c r="G131" s="112">
        <f>'GDP Growth Rates'!F124/100</f>
        <v>6.6542611217275158E-2</v>
      </c>
      <c r="H131" s="112">
        <f>'GDP Growth Rates'!G124/100</f>
        <v>3.8750281631275245E-2</v>
      </c>
      <c r="I131" s="112">
        <f>'GDP Growth Rates'!H124/100</f>
        <v>6.537353951757012E-2</v>
      </c>
      <c r="J131" s="112">
        <f>'GDP Growth Rates'!I124/100</f>
        <v>4.6335098478097622E-2</v>
      </c>
      <c r="K131" s="112">
        <f>'GDP Growth Rates'!J124/100</f>
        <v>6.9217218856117313E-2</v>
      </c>
      <c r="L131" s="112">
        <f>'GDP Growth Rates'!K124/100</f>
        <v>4.0191352545648727E-2</v>
      </c>
      <c r="M131" s="112">
        <f>'GDP Growth Rates'!L124/100</f>
        <v>-5.7058858890134444E-3</v>
      </c>
      <c r="N131" s="112">
        <f>'GDP Growth Rates'!M124/100</f>
        <v>2.3821259541026051E-2</v>
      </c>
      <c r="O131" s="112">
        <f>'GDP Growth Rates'!N124/100</f>
        <v>7.6025346897140342E-2</v>
      </c>
      <c r="P131" s="112">
        <f>'GDP Growth Rates'!O124/100</f>
        <v>5.9747161012107884E-2</v>
      </c>
      <c r="Q131" s="112">
        <f>'GDP Growth Rates'!P124/100</f>
        <v>6.0050630855949833E-2</v>
      </c>
      <c r="R131" s="112">
        <f>'GDP Growth Rates'!Q124/100</f>
        <v>5.3755476964793873E-2</v>
      </c>
      <c r="S131" s="112">
        <f>'GDP Growth Rates'!R124/100</f>
        <v>4.8678499993526428E-2</v>
      </c>
      <c r="T131" s="112">
        <f>'GDP Growth Rates'!S124/100</f>
        <v>4.9999991169970455E-2</v>
      </c>
      <c r="U131" s="112">
        <f>'GDP Growth Rates'!T124/100</f>
        <v>-1.1690750095271341E-2</v>
      </c>
      <c r="V131" s="112">
        <f>'GDP Growth Rates'!U124/100</f>
        <v>3.1009412441844974E-2</v>
      </c>
      <c r="W131" s="112">
        <f>'GDP Growth Rates'!V124/100</f>
        <v>3.5082827896139007E-2</v>
      </c>
      <c r="X131" s="112">
        <f>'GDP Growth Rates'!W124/100</f>
        <v>4.717161039895032E-2</v>
      </c>
      <c r="Y131" s="112">
        <f>'GDP Growth Rates'!X124/100</f>
        <v>5.0045459374303644E-2</v>
      </c>
    </row>
    <row r="132" spans="2:25">
      <c r="B132" s="634" t="s">
        <v>387</v>
      </c>
      <c r="C132" s="635" t="s">
        <v>388</v>
      </c>
      <c r="D132" s="634" t="s">
        <v>630</v>
      </c>
      <c r="E132" s="635" t="s">
        <v>631</v>
      </c>
      <c r="F132" s="112">
        <f>'GDP Growth Rates'!E125/100</f>
        <v>2.8806712728293604E-2</v>
      </c>
      <c r="G132" s="112">
        <f>'GDP Growth Rates'!F125/100</f>
        <v>2.336122733612285E-2</v>
      </c>
      <c r="H132" s="112">
        <f>'GDP Growth Rates'!G125/100</f>
        <v>5.0366639508184506E-2</v>
      </c>
      <c r="I132" s="112">
        <f>'GDP Growth Rates'!H125/100</f>
        <v>4.4101262252309398E-2</v>
      </c>
      <c r="J132" s="112">
        <f>'GDP Growth Rates'!I125/100</f>
        <v>-1.3953425545710019E-2</v>
      </c>
      <c r="K132" s="112">
        <f>'GDP Growth Rates'!J125/100</f>
        <v>6.197345169111898E-2</v>
      </c>
      <c r="L132" s="112">
        <f>'GDP Growth Rates'!K125/100</f>
        <v>9.9196367529637546E-3</v>
      </c>
      <c r="M132" s="112">
        <f>'GDP Growth Rates'!L125/100</f>
        <v>4.1025903029683806E-2</v>
      </c>
      <c r="N132" s="112">
        <f>'GDP Growth Rates'!M125/100</f>
        <v>6.291715744012577E-2</v>
      </c>
      <c r="O132" s="112">
        <f>'GDP Growth Rates'!N125/100</f>
        <v>7.631129374826856E-2</v>
      </c>
      <c r="P132" s="112">
        <f>'GDP Growth Rates'!O125/100</f>
        <v>9.6210975622834816E-2</v>
      </c>
      <c r="Q132" s="112">
        <f>'GDP Growth Rates'!P125/100</f>
        <v>4.0777192948128371E-2</v>
      </c>
      <c r="R132" s="112">
        <f>'GDP Growth Rates'!Q125/100</f>
        <v>0.12972119343497951</v>
      </c>
      <c r="S132" s="112">
        <f>'GDP Growth Rates'!R125/100</f>
        <v>7.1890965369190096E-2</v>
      </c>
      <c r="T132" s="112">
        <f>'GDP Growth Rates'!S125/100</f>
        <v>4.0847060284733915E-2</v>
      </c>
      <c r="U132" s="112">
        <f>'GDP Growth Rates'!T125/100</f>
        <v>-3.3583425315473932E-2</v>
      </c>
      <c r="V132" s="112">
        <f>'GDP Growth Rates'!U125/100</f>
        <v>0.13299789320965275</v>
      </c>
      <c r="W132" s="112">
        <f>'GDP Growth Rates'!V125/100</f>
        <v>4.2693185301229307E-2</v>
      </c>
      <c r="X132" s="112">
        <f>'GDP Growth Rates'!W125/100</f>
        <v>6.7963131111880418E-2</v>
      </c>
      <c r="Y132" s="112">
        <f>'GDP Growth Rates'!X125/100</f>
        <v>5.9692819612568539E-2</v>
      </c>
    </row>
    <row r="133" spans="2:25">
      <c r="B133" s="634" t="s">
        <v>387</v>
      </c>
      <c r="C133" s="635" t="s">
        <v>388</v>
      </c>
      <c r="D133" s="634" t="s">
        <v>632</v>
      </c>
      <c r="E133" s="635" t="s">
        <v>633</v>
      </c>
      <c r="F133" s="112">
        <f>'GDP Growth Rates'!E126/100</f>
        <v>1.7910447761194062E-2</v>
      </c>
      <c r="G133" s="112">
        <f>'GDP Growth Rates'!F126/100</f>
        <v>1.7595307917888192E-3</v>
      </c>
      <c r="H133" s="112">
        <f>'GDP Growth Rates'!G126/100</f>
        <v>3.6885245901639364E-2</v>
      </c>
      <c r="I133" s="112">
        <f>'GDP Growth Rates'!H126/100</f>
        <v>-7.5663466967814799E-2</v>
      </c>
      <c r="J133" s="112">
        <f>'GDP Growth Rates'!I126/100</f>
        <v>3.6652412950519277E-2</v>
      </c>
      <c r="K133" s="112">
        <f>'GDP Growth Rates'!J126/100</f>
        <v>5.5391868002357111E-2</v>
      </c>
      <c r="L133" s="112">
        <f>'GDP Growth Rates'!K126/100</f>
        <v>-5.0251256281407565E-3</v>
      </c>
      <c r="M133" s="112">
        <f>'GDP Growth Rates'!L126/100</f>
        <v>-1.2906846240179562E-2</v>
      </c>
      <c r="N133" s="112">
        <f>'GDP Growth Rates'!M126/100</f>
        <v>3.8089823763501868E-2</v>
      </c>
      <c r="O133" s="112">
        <f>'GDP Growth Rates'!N126/100</f>
        <v>-1.2595837897042656E-2</v>
      </c>
      <c r="P133" s="112">
        <f>'GDP Growth Rates'!O126/100</f>
        <v>1.8857459789240069E-2</v>
      </c>
      <c r="Q133" s="112">
        <f>'GDP Growth Rates'!P126/100</f>
        <v>2.5040827436037034E-2</v>
      </c>
      <c r="R133" s="112">
        <f>'GDP Growth Rates'!Q126/100</f>
        <v>3.5581518852894331E-2</v>
      </c>
      <c r="S133" s="112">
        <f>'GDP Growth Rates'!R126/100</f>
        <v>5.4871794871794888E-2</v>
      </c>
      <c r="T133" s="112">
        <f>'GDP Growth Rates'!S126/100</f>
        <v>0.10452114730189592</v>
      </c>
      <c r="U133" s="112">
        <f>'GDP Growth Rates'!T126/100</f>
        <v>-2.7728873239436638E-2</v>
      </c>
      <c r="V133" s="112">
        <f>'GDP Growth Rates'!U126/100</f>
        <v>1.22227252150293E-2</v>
      </c>
      <c r="W133" s="112">
        <f>'GDP Growth Rates'!V126/100</f>
        <v>-1.1180679785331051E-2</v>
      </c>
      <c r="X133" s="112">
        <f>'GDP Growth Rates'!W126/100</f>
        <v>-3.9348710990502127E-2</v>
      </c>
      <c r="Y133" s="112">
        <f>'GDP Growth Rates'!X126/100</f>
        <v>2.7709680223196927E-2</v>
      </c>
    </row>
    <row r="134" spans="2:25">
      <c r="B134" s="634" t="s">
        <v>387</v>
      </c>
      <c r="C134" s="635" t="s">
        <v>388</v>
      </c>
      <c r="D134" s="634" t="s">
        <v>634</v>
      </c>
      <c r="E134" s="635" t="s">
        <v>635</v>
      </c>
      <c r="F134" s="112">
        <f>'GDP Growth Rates'!E127/100</f>
        <v>8.5662873200941902E-2</v>
      </c>
      <c r="G134" s="112">
        <f>'GDP Growth Rates'!F127/100</f>
        <v>0.18333198693234506</v>
      </c>
      <c r="H134" s="112">
        <f>'GDP Growth Rates'!G127/100</f>
        <v>-1.9694227498840887E-2</v>
      </c>
      <c r="I134" s="112">
        <f>'GDP Growth Rates'!H127/100</f>
        <v>-3.3107922343080533E-3</v>
      </c>
      <c r="J134" s="112">
        <f>'GDP Growth Rates'!I127/100</f>
        <v>9.7875914332007591E-4</v>
      </c>
      <c r="K134" s="112">
        <f>'GDP Growth Rates'!J127/100</f>
        <v>2.6202294810454278E-2</v>
      </c>
      <c r="L134" s="112">
        <f>'GDP Growth Rates'!K127/100</f>
        <v>4.172783278153986E-2</v>
      </c>
      <c r="M134" s="112">
        <f>'GDP Growth Rates'!L127/100</f>
        <v>4.4700131917047942E-2</v>
      </c>
      <c r="N134" s="112">
        <f>'GDP Growth Rates'!M127/100</f>
        <v>4.1508131898954019E-2</v>
      </c>
      <c r="O134" s="112">
        <f>'GDP Growth Rates'!N127/100</f>
        <v>4.2748232881445747E-2</v>
      </c>
      <c r="P134" s="112">
        <f>'GDP Growth Rates'!O127/100</f>
        <v>5.3763392409925073E-2</v>
      </c>
      <c r="Q134" s="112">
        <f>'GDP Growth Rates'!P127/100</f>
        <v>1.2609092306722545E-2</v>
      </c>
      <c r="R134" s="112">
        <f>'GDP Growth Rates'!Q127/100</f>
        <v>6.270545669376773E-2</v>
      </c>
      <c r="S134" s="112">
        <f>'GDP Growth Rates'!R127/100</f>
        <v>4.7721736569262131E-2</v>
      </c>
      <c r="T134" s="112">
        <f>'GDP Growth Rates'!S127/100</f>
        <v>3.1410048930696918E-2</v>
      </c>
      <c r="U134" s="112">
        <f>'GDP Growth Rates'!T127/100</f>
        <v>-3.6065738415106807E-3</v>
      </c>
      <c r="V134" s="112">
        <f>'GDP Growth Rates'!U127/100</f>
        <v>7.4271539513826208E-3</v>
      </c>
      <c r="W134" s="112">
        <f>'GDP Growth Rates'!V127/100</f>
        <v>6.7960051018228565E-2</v>
      </c>
      <c r="X134" s="112">
        <f>'GDP Growth Rates'!W127/100</f>
        <v>6.5071871985859384E-2</v>
      </c>
      <c r="Y134" s="112">
        <f>'GDP Growth Rates'!X127/100</f>
        <v>5.2000000000000025E-2</v>
      </c>
    </row>
    <row r="135" spans="2:25">
      <c r="B135" s="634" t="s">
        <v>387</v>
      </c>
      <c r="C135" s="635" t="s">
        <v>388</v>
      </c>
      <c r="D135" s="634" t="s">
        <v>636</v>
      </c>
      <c r="E135" s="635" t="s">
        <v>637</v>
      </c>
      <c r="F135" s="112">
        <f>'GDP Growth Rates'!E128/100</f>
        <v>1.777543020344538E-2</v>
      </c>
      <c r="G135" s="112">
        <f>'GDP Growth Rates'!F128/100</f>
        <v>4.8655446077552969E-2</v>
      </c>
      <c r="H135" s="112">
        <f>'GDP Growth Rates'!G128/100</f>
        <v>5.7270161598166849E-2</v>
      </c>
      <c r="I135" s="112">
        <f>'GDP Growth Rates'!H128/100</f>
        <v>5.3869625420725098E-2</v>
      </c>
      <c r="J135" s="112">
        <f>'GDP Growth Rates'!I128/100</f>
        <v>3.3150769979078093E-2</v>
      </c>
      <c r="K135" s="112">
        <f>'GDP Growth Rates'!J128/100</f>
        <v>4.3772032234429332E-2</v>
      </c>
      <c r="L135" s="112">
        <f>'GDP Growth Rates'!K128/100</f>
        <v>4.0775380661033298E-2</v>
      </c>
      <c r="M135" s="112">
        <f>'GDP Growth Rates'!L128/100</f>
        <v>3.4961183647086641E-2</v>
      </c>
      <c r="N135" s="112">
        <f>'GDP Growth Rates'!M128/100</f>
        <v>3.3604060997413254E-2</v>
      </c>
      <c r="O135" s="112">
        <f>'GDP Growth Rates'!N128/100</f>
        <v>3.8269698200933677E-2</v>
      </c>
      <c r="P135" s="112">
        <f>'GDP Growth Rates'!O128/100</f>
        <v>3.6905569036943288E-2</v>
      </c>
      <c r="Q135" s="112">
        <f>'GDP Growth Rates'!P128/100</f>
        <v>3.862468263400004E-2</v>
      </c>
      <c r="R135" s="112">
        <f>'GDP Growth Rates'!Q128/100</f>
        <v>3.9379838063235299E-2</v>
      </c>
      <c r="S135" s="112">
        <f>'GDP Growth Rates'!R128/100</f>
        <v>4.0067405719854891E-2</v>
      </c>
      <c r="T135" s="112">
        <f>'GDP Growth Rates'!S128/100</f>
        <v>2.8912849934651631E-2</v>
      </c>
      <c r="U135" s="112">
        <f>'GDP Growth Rates'!T128/100</f>
        <v>-0.14546538149016569</v>
      </c>
      <c r="V135" s="112">
        <f>'GDP Growth Rates'!U128/100</f>
        <v>3.4037986617766192E-2</v>
      </c>
      <c r="W135" s="112">
        <f>'GDP Growth Rates'!V128/100</f>
        <v>8.6930667526406602E-2</v>
      </c>
      <c r="X135" s="112">
        <f>'GDP Growth Rates'!W128/100</f>
        <v>5.0078138175562115E-2</v>
      </c>
      <c r="Y135" s="112">
        <f>'GDP Growth Rates'!X128/100</f>
        <v>4.6939031839850431E-2</v>
      </c>
    </row>
    <row r="136" spans="2:25">
      <c r="B136" s="634" t="s">
        <v>387</v>
      </c>
      <c r="C136" s="635" t="s">
        <v>388</v>
      </c>
      <c r="D136" s="634" t="s">
        <v>638</v>
      </c>
      <c r="E136" s="635" t="s">
        <v>639</v>
      </c>
      <c r="F136" s="112">
        <f>'GDP Growth Rates'!E129/100</f>
        <v>2.1132471147329711E-2</v>
      </c>
      <c r="G136" s="112">
        <f>'GDP Growth Rates'!F129/100</f>
        <v>4.8050135166490121E-2</v>
      </c>
      <c r="H136" s="112">
        <f>'GDP Growth Rates'!G129/100</f>
        <v>2.0778639395329038E-2</v>
      </c>
      <c r="I136" s="112">
        <f>'GDP Growth Rates'!H129/100</f>
        <v>9.4333187291293537E-3</v>
      </c>
      <c r="J136" s="112">
        <f>'GDP Growth Rates'!I129/100</f>
        <v>-6.2952505669728681E-2</v>
      </c>
      <c r="K136" s="112">
        <f>'GDP Growth Rates'!J129/100</f>
        <v>4.9713345779989877E-2</v>
      </c>
      <c r="L136" s="112">
        <f>'GDP Growth Rates'!K129/100</f>
        <v>3.4440450630887368E-2</v>
      </c>
      <c r="M136" s="112">
        <f>'GDP Growth Rates'!L129/100</f>
        <v>3.5532107551275519E-2</v>
      </c>
      <c r="N136" s="112">
        <f>'GDP Growth Rates'!M129/100</f>
        <v>8.5210155016470432E-3</v>
      </c>
      <c r="O136" s="112">
        <f>'GDP Growth Rates'!N129/100</f>
        <v>2.5037634986289133E-2</v>
      </c>
      <c r="P136" s="112">
        <f>'GDP Growth Rates'!O129/100</f>
        <v>2.7023234484472313E-2</v>
      </c>
      <c r="Q136" s="112">
        <f>'GDP Growth Rates'!P129/100</f>
        <v>1.7724932340035762E-2</v>
      </c>
      <c r="R136" s="112">
        <f>'GDP Growth Rates'!Q129/100</f>
        <v>1.8717285418653945E-2</v>
      </c>
      <c r="S136" s="112">
        <f>'GDP Growth Rates'!R129/100</f>
        <v>1.9720820770188396E-2</v>
      </c>
      <c r="T136" s="112">
        <f>'GDP Growth Rates'!S129/100</f>
        <v>-3.9269050509929569E-3</v>
      </c>
      <c r="U136" s="112">
        <f>'GDP Growth Rates'!T129/100</f>
        <v>-8.3540345657636406E-2</v>
      </c>
      <c r="V136" s="112">
        <f>'GDP Growth Rates'!U129/100</f>
        <v>6.0484834570463164E-2</v>
      </c>
      <c r="W136" s="112">
        <f>'GDP Growth Rates'!V129/100</f>
        <v>3.7109889311718262E-2</v>
      </c>
      <c r="X136" s="112">
        <f>'GDP Growth Rates'!W129/100</f>
        <v>3.2953909570288008E-2</v>
      </c>
      <c r="Y136" s="112">
        <f>'GDP Growth Rates'!X129/100</f>
        <v>1.454062478479898E-2</v>
      </c>
    </row>
    <row r="137" spans="2:25">
      <c r="B137" s="634" t="s">
        <v>387</v>
      </c>
      <c r="C137" s="635" t="s">
        <v>388</v>
      </c>
      <c r="D137" s="634" t="s">
        <v>640</v>
      </c>
      <c r="E137" s="635" t="s">
        <v>641</v>
      </c>
      <c r="F137" s="112">
        <f>'GDP Growth Rates'!E130/100</f>
        <v>2.0418671639554447E-2</v>
      </c>
      <c r="G137" s="112">
        <f>'GDP Growth Rates'!F130/100</f>
        <v>-8.1055293416483205E-4</v>
      </c>
      <c r="H137" s="112">
        <f>'GDP Growth Rates'!G130/100</f>
        <v>-1.8361852940239773E-2</v>
      </c>
      <c r="I137" s="112">
        <f>'GDP Growth Rates'!H130/100</f>
        <v>-2.4084925866622201E-2</v>
      </c>
      <c r="J137" s="112">
        <f>'GDP Growth Rates'!I130/100</f>
        <v>1.0930992410524566E-2</v>
      </c>
      <c r="K137" s="112">
        <f>'GDP Growth Rates'!J130/100</f>
        <v>2.2593899558593193E-2</v>
      </c>
      <c r="L137" s="112">
        <f>'GDP Growth Rates'!K130/100</f>
        <v>3.1885747547392783E-2</v>
      </c>
      <c r="M137" s="112">
        <f>'GDP Growth Rates'!L130/100</f>
        <v>-1.8668197547554399E-2</v>
      </c>
      <c r="N137" s="112">
        <f>'GDP Growth Rates'!M130/100</f>
        <v>-3.6797677907348288E-2</v>
      </c>
      <c r="O137" s="112">
        <f>'GDP Growth Rates'!N130/100</f>
        <v>-2.3057757452932464E-2</v>
      </c>
      <c r="P137" s="112">
        <f>'GDP Growth Rates'!O130/100</f>
        <v>4.6218840040493918E-2</v>
      </c>
      <c r="Q137" s="112">
        <f>'GDP Growth Rates'!P130/100</f>
        <v>4.8410180238704472E-3</v>
      </c>
      <c r="R137" s="112">
        <f>'GDP Growth Rates'!Q130/100</f>
        <v>8.2304526748970368E-3</v>
      </c>
      <c r="S137" s="112">
        <f>'GDP Growth Rates'!R130/100</f>
        <v>0</v>
      </c>
      <c r="T137" s="112">
        <f>'GDP Growth Rates'!S130/100</f>
        <v>4.0816326530612346E-2</v>
      </c>
      <c r="U137" s="112">
        <f>'GDP Growth Rates'!T130/100</f>
        <v>-1.6729541714552879E-2</v>
      </c>
      <c r="V137" s="112">
        <f>'GDP Growth Rates'!U130/100</f>
        <v>3.0997045729213538E-2</v>
      </c>
      <c r="W137" s="112">
        <f>'GDP Growth Rates'!V130/100</f>
        <v>-2.9058658059566936E-2</v>
      </c>
      <c r="X137" s="112">
        <f>'GDP Growth Rates'!W130/100</f>
        <v>4.8214776245714573E-3</v>
      </c>
      <c r="Y137" s="112">
        <f>'GDP Growth Rates'!X130/100</f>
        <v>7.1908351174255359E-3</v>
      </c>
    </row>
    <row r="138" spans="2:25">
      <c r="B138" s="634" t="s">
        <v>387</v>
      </c>
      <c r="C138" s="635" t="s">
        <v>388</v>
      </c>
      <c r="D138" s="634" t="s">
        <v>642</v>
      </c>
      <c r="E138" s="635" t="s">
        <v>643</v>
      </c>
      <c r="F138" s="112">
        <f>'GDP Growth Rates'!E131/100</f>
        <v>7.500000149372596E-2</v>
      </c>
      <c r="G138" s="112">
        <f>'GDP Growth Rates'!F131/100</f>
        <v>4.7999998367083095E-2</v>
      </c>
      <c r="H138" s="112">
        <f>'GDP Growth Rates'!G131/100</f>
        <v>3.0000002258552455E-2</v>
      </c>
      <c r="I138" s="112">
        <f>'GDP Growth Rates'!H131/100</f>
        <v>7.8000001454152257E-2</v>
      </c>
      <c r="J138" s="112">
        <f>'GDP Growth Rates'!I131/100</f>
        <v>-6.0000002635282781E-2</v>
      </c>
      <c r="K138" s="112">
        <f>'GDP Growth Rates'!J131/100</f>
        <v>7.1000001070583629E-2</v>
      </c>
      <c r="L138" s="112">
        <f>'GDP Growth Rates'!K131/100</f>
        <v>5.8181661468482415E-2</v>
      </c>
      <c r="M138" s="112">
        <f>'GDP Growth Rates'!L131/100</f>
        <v>-5.8973395476257908E-3</v>
      </c>
      <c r="N138" s="112">
        <f>'GDP Growth Rates'!M131/100</f>
        <v>9.0438656074180987E-2</v>
      </c>
      <c r="O138" s="112">
        <f>'GDP Growth Rates'!N131/100</f>
        <v>4.9996258540765552E-2</v>
      </c>
      <c r="P138" s="112">
        <f>'GDP Growth Rates'!O131/100</f>
        <v>-3.3823562238720229E-3</v>
      </c>
      <c r="Q138" s="112">
        <f>'GDP Growth Rates'!P131/100</f>
        <v>4.6460143625940871E-2</v>
      </c>
      <c r="R138" s="112">
        <f>'GDP Growth Rates'!Q131/100</f>
        <v>4.1756120510627853E-2</v>
      </c>
      <c r="S138" s="112">
        <f>'GDP Growth Rates'!R131/100</f>
        <v>4.0755954658503415E-2</v>
      </c>
      <c r="T138" s="112">
        <f>'GDP Growth Rates'!S131/100</f>
        <v>3.5523140853476035E-2</v>
      </c>
      <c r="U138" s="112">
        <f>'GDP Growth Rates'!T131/100</f>
        <v>-8.2759783197694933E-2</v>
      </c>
      <c r="V138" s="112">
        <f>'GDP Growth Rates'!U131/100</f>
        <v>0.13929999788978578</v>
      </c>
      <c r="W138" s="112">
        <f>'GDP Growth Rates'!V131/100</f>
        <v>-4.6000000000000082E-2</v>
      </c>
      <c r="X138" s="112">
        <f>'GDP Growth Rates'!W131/100</f>
        <v>1.2000000000000028E-2</v>
      </c>
      <c r="Y138" s="112">
        <f>'GDP Growth Rates'!X131/100</f>
        <v>1.0305941245098893E-3</v>
      </c>
    </row>
    <row r="139" spans="2:25">
      <c r="B139" s="634" t="s">
        <v>387</v>
      </c>
      <c r="C139" s="635" t="s">
        <v>388</v>
      </c>
      <c r="D139" s="634" t="s">
        <v>644</v>
      </c>
      <c r="E139" s="635" t="s">
        <v>645</v>
      </c>
      <c r="F139" s="112">
        <f>'GDP Growth Rates'!E132/100</f>
        <v>1.8954141085919786E-2</v>
      </c>
      <c r="G139" s="112">
        <f>'GDP Growth Rates'!F132/100</f>
        <v>5.817648496700073E-2</v>
      </c>
      <c r="H139" s="112">
        <f>'GDP Growth Rates'!G132/100</f>
        <v>0.14437514437514437</v>
      </c>
      <c r="I139" s="112">
        <f>'GDP Growth Rates'!H132/100</f>
        <v>7.4687121517965239E-3</v>
      </c>
      <c r="J139" s="112">
        <f>'GDP Growth Rates'!I132/100</f>
        <v>-0.11336986575836505</v>
      </c>
      <c r="K139" s="112">
        <f>'GDP Growth Rates'!J132/100</f>
        <v>2.0652196265409799E-2</v>
      </c>
      <c r="L139" s="112">
        <f>'GDP Growth Rates'!K132/100</f>
        <v>7.0223569461761878E-2</v>
      </c>
      <c r="M139" s="112">
        <f>'GDP Growth Rates'!L132/100</f>
        <v>1.0122184123046054E-2</v>
      </c>
      <c r="N139" s="112">
        <f>'GDP Growth Rates'!M132/100</f>
        <v>9.5770983235481569E-2</v>
      </c>
      <c r="O139" s="112">
        <f>'GDP Growth Rates'!N132/100</f>
        <v>7.1870277753796757E-2</v>
      </c>
      <c r="P139" s="112">
        <f>'GDP Growth Rates'!O132/100</f>
        <v>4.9103717653623563E-2</v>
      </c>
      <c r="Q139" s="112">
        <f>'GDP Growth Rates'!P132/100</f>
        <v>3.008443587527438E-2</v>
      </c>
      <c r="R139" s="112">
        <f>'GDP Growth Rates'!Q132/100</f>
        <v>-3.2061832381321265E-2</v>
      </c>
      <c r="S139" s="112">
        <f>'GDP Growth Rates'!R132/100</f>
        <v>5.6979012119292634E-2</v>
      </c>
      <c r="T139" s="112">
        <f>'GDP Growth Rates'!S132/100</f>
        <v>7.120889519753959E-2</v>
      </c>
      <c r="U139" s="112">
        <f>'GDP Growth Rates'!T132/100</f>
        <v>-0.13239104829210832</v>
      </c>
      <c r="V139" s="112">
        <f>'GDP Growth Rates'!U132/100</f>
        <v>0.22232215585120826</v>
      </c>
      <c r="W139" s="112">
        <f>'GDP Growth Rates'!V132/100</f>
        <v>0.11046939427175161</v>
      </c>
      <c r="X139" s="112">
        <f>'GDP Growth Rates'!W132/100</f>
        <v>5.043382591953588E-2</v>
      </c>
      <c r="Y139" s="112" t="e">
        <f>'GDP Growth Rates'!X132/100</f>
        <v>#VALUE!</v>
      </c>
    </row>
    <row r="140" spans="2:25">
      <c r="B140" s="634" t="s">
        <v>387</v>
      </c>
      <c r="C140" s="635" t="s">
        <v>388</v>
      </c>
      <c r="D140" s="634" t="s">
        <v>646</v>
      </c>
      <c r="E140" s="635" t="s">
        <v>647</v>
      </c>
      <c r="F140" s="112">
        <f>'GDP Growth Rates'!E133/100</f>
        <v>7.2536654379601509E-2</v>
      </c>
      <c r="G140" s="112">
        <f>'GDP Growth Rates'!F133/100</f>
        <v>8.5562348166436528E-2</v>
      </c>
      <c r="H140" s="112">
        <f>'GDP Growth Rates'!G133/100</f>
        <v>0.10248016359005746</v>
      </c>
      <c r="I140" s="112">
        <f>'GDP Growth Rates'!H133/100</f>
        <v>8.9003679406755076E-2</v>
      </c>
      <c r="J140" s="112">
        <f>'GDP Growth Rates'!I133/100</f>
        <v>-1.2685989360828244E-2</v>
      </c>
      <c r="K140" s="112">
        <f>'GDP Growth Rates'!J133/100</f>
        <v>6.3651616786310969E-2</v>
      </c>
      <c r="L140" s="112">
        <f>'GDP Growth Rates'!K133/100</f>
        <v>0.17290777586955541</v>
      </c>
      <c r="M140" s="112">
        <f>'GDP Growth Rates'!L133/100</f>
        <v>0.12319819849403203</v>
      </c>
      <c r="N140" s="112">
        <f>'GDP Growth Rates'!M133/100</f>
        <v>0.11648916187892495</v>
      </c>
      <c r="O140" s="112">
        <f>'GDP Growth Rates'!N133/100</f>
        <v>7.8852254820476156E-2</v>
      </c>
      <c r="P140" s="112">
        <f>'GDP Growth Rates'!O133/100</f>
        <v>2.379835807317221E-2</v>
      </c>
      <c r="Q140" s="112">
        <f>'GDP Growth Rates'!P133/100</f>
        <v>1.4897844867957701E-2</v>
      </c>
      <c r="R140" s="112">
        <f>'GDP Growth Rates'!Q133/100</f>
        <v>5.6368763869477194E-2</v>
      </c>
      <c r="S140" s="112">
        <f>'GDP Growth Rates'!R133/100</f>
        <v>7.7448806202488077E-2</v>
      </c>
      <c r="T140" s="112">
        <f>'GDP Growth Rates'!S133/100</f>
        <v>5.6022442206425466E-2</v>
      </c>
      <c r="U140" s="112">
        <f>'GDP Growth Rates'!T133/100</f>
        <v>-4.5577519758343073E-2</v>
      </c>
      <c r="V140" s="112">
        <f>'GDP Growth Rates'!U133/100</f>
        <v>1.6367695773666213E-2</v>
      </c>
      <c r="W140" s="112">
        <f>'GDP Growth Rates'!V133/100</f>
        <v>5.032709636652697E-2</v>
      </c>
      <c r="X140" s="112">
        <f>'GDP Growth Rates'!W133/100</f>
        <v>7.4221127615025043E-2</v>
      </c>
      <c r="Y140" s="112">
        <f>'GDP Growth Rates'!X133/100</f>
        <v>4.8640014335570497E-2</v>
      </c>
    </row>
    <row r="141" spans="2:25">
      <c r="B141" s="634" t="s">
        <v>387</v>
      </c>
      <c r="C141" s="635" t="s">
        <v>388</v>
      </c>
      <c r="D141" s="634" t="s">
        <v>648</v>
      </c>
      <c r="E141" s="635" t="s">
        <v>649</v>
      </c>
      <c r="F141" s="112">
        <f>'GDP Growth Rates'!E134/100</f>
        <v>4.1806045088547565E-2</v>
      </c>
      <c r="G141" s="112">
        <f>'GDP Growth Rates'!F134/100</f>
        <v>8.5664180296420658E-2</v>
      </c>
      <c r="H141" s="112">
        <f>'GDP Growth Rates'!G134/100</f>
        <v>6.8101501252699134E-2</v>
      </c>
      <c r="I141" s="112">
        <f>'GDP Growth Rates'!H134/100</f>
        <v>7.2227525921252603E-2</v>
      </c>
      <c r="J141" s="112">
        <f>'GDP Growth Rates'!I134/100</f>
        <v>-5.7950969947724362E-2</v>
      </c>
      <c r="K141" s="112">
        <f>'GDP Growth Rates'!J134/100</f>
        <v>2.7343310823382865E-2</v>
      </c>
      <c r="L141" s="112">
        <f>'GDP Growth Rates'!K134/100</f>
        <v>3.2284510206106065E-2</v>
      </c>
      <c r="M141" s="112">
        <f>'GDP Growth Rates'!L134/100</f>
        <v>-2.7237907713062271E-2</v>
      </c>
      <c r="N141" s="112">
        <f>'GDP Growth Rates'!M134/100</f>
        <v>3.5489799124505762E-2</v>
      </c>
      <c r="O141" s="112">
        <f>'GDP Growth Rates'!N134/100</f>
        <v>1.7836985810670142E-2</v>
      </c>
      <c r="P141" s="112">
        <f>'GDP Growth Rates'!O134/100</f>
        <v>3.3903813971207342E-2</v>
      </c>
      <c r="Q141" s="112">
        <f>'GDP Growth Rates'!P134/100</f>
        <v>2.9492803209751058E-2</v>
      </c>
      <c r="R141" s="112">
        <f>'GDP Growth Rates'!Q134/100</f>
        <v>4.7164652757203385E-2</v>
      </c>
      <c r="S141" s="112">
        <f>'GDP Growth Rates'!R134/100</f>
        <v>5.0778888113380986E-2</v>
      </c>
      <c r="T141" s="112">
        <f>'GDP Growth Rates'!S134/100</f>
        <v>4.0629449916719691E-2</v>
      </c>
      <c r="U141" s="112">
        <f>'GDP Growth Rates'!T134/100</f>
        <v>-0.15306893757040654</v>
      </c>
      <c r="V141" s="112">
        <f>'GDP Growth Rates'!U134/100</f>
        <v>0.13043464252155232</v>
      </c>
      <c r="W141" s="112">
        <f>'GDP Growth Rates'!V134/100</f>
        <v>6.4066803287927451E-2</v>
      </c>
      <c r="X141" s="112">
        <f>'GDP Growth Rates'!W134/100</f>
        <v>6.3376975424354776E-2</v>
      </c>
      <c r="Y141" s="112">
        <f>'GDP Growth Rates'!X134/100</f>
        <v>3.0403157975006537E-2</v>
      </c>
    </row>
    <row r="142" spans="2:25">
      <c r="B142" s="634" t="s">
        <v>387</v>
      </c>
      <c r="C142" s="635" t="s">
        <v>388</v>
      </c>
      <c r="D142" s="634" t="s">
        <v>650</v>
      </c>
      <c r="E142" s="635" t="s">
        <v>651</v>
      </c>
      <c r="F142" s="112">
        <f>'GDP Growth Rates'!E135/100</f>
        <v>3.1922497301583093E-2</v>
      </c>
      <c r="G142" s="112">
        <f>'GDP Growth Rates'!F135/100</f>
        <v>7.7908200104026978E-2</v>
      </c>
      <c r="H142" s="112">
        <f>'GDP Growth Rates'!G135/100</f>
        <v>3.441067766904183E-2</v>
      </c>
      <c r="I142" s="112">
        <f>'GDP Growth Rates'!H135/100</f>
        <v>5.6845393628473177E-2</v>
      </c>
      <c r="J142" s="112">
        <f>'GDP Growth Rates'!I135/100</f>
        <v>3.7457694013625795E-2</v>
      </c>
      <c r="K142" s="112">
        <f>'GDP Growth Rates'!J135/100</f>
        <v>3.4995570940321553E-2</v>
      </c>
      <c r="L142" s="112">
        <f>'GDP Growth Rates'!K135/100</f>
        <v>5.5246452331984698E-2</v>
      </c>
      <c r="M142" s="112">
        <f>'GDP Growth Rates'!L135/100</f>
        <v>3.0623436850299727E-2</v>
      </c>
      <c r="N142" s="112">
        <f>'GDP Growth Rates'!M135/100</f>
        <v>4.1222128686094379E-2</v>
      </c>
      <c r="O142" s="112">
        <f>'GDP Growth Rates'!N135/100</f>
        <v>2.7192440802028983E-2</v>
      </c>
      <c r="P142" s="112">
        <f>'GDP Growth Rates'!O135/100</f>
        <v>4.3445829763523847E-2</v>
      </c>
      <c r="Q142" s="112">
        <f>'GDP Growth Rates'!P135/100</f>
        <v>5.211855060896795E-3</v>
      </c>
      <c r="R142" s="112">
        <f>'GDP Growth Rates'!Q135/100</f>
        <v>5.0578981617344566E-2</v>
      </c>
      <c r="S142" s="112">
        <f>'GDP Growth Rates'!R135/100</f>
        <v>3.0656413302595525E-2</v>
      </c>
      <c r="T142" s="112">
        <f>'GDP Growth Rates'!S135/100</f>
        <v>2.8909747613707709E-2</v>
      </c>
      <c r="U142" s="112">
        <f>'GDP Growth Rates'!T135/100</f>
        <v>-7.1782074424677378E-2</v>
      </c>
      <c r="V142" s="112">
        <f>'GDP Growth Rates'!U135/100</f>
        <v>8.1547388982368144E-2</v>
      </c>
      <c r="W142" s="112">
        <f>'GDP Growth Rates'!V135/100</f>
        <v>1.5272035797611067E-2</v>
      </c>
      <c r="X142" s="112">
        <f>'GDP Growth Rates'!W135/100</f>
        <v>3.4033413007883408E-2</v>
      </c>
      <c r="Y142" s="112">
        <f>'GDP Growth Rates'!X135/100</f>
        <v>3.2365137352101385E-2</v>
      </c>
    </row>
    <row r="143" spans="2:25">
      <c r="B143" s="634" t="s">
        <v>387</v>
      </c>
      <c r="C143" s="635" t="s">
        <v>388</v>
      </c>
      <c r="D143" s="634" t="s">
        <v>652</v>
      </c>
      <c r="E143" s="635" t="s">
        <v>653</v>
      </c>
      <c r="F143" s="112">
        <f>'GDP Growth Rates'!E136/100</f>
        <v>6.3120237802319248E-2</v>
      </c>
      <c r="G143" s="112">
        <f>'GDP Growth Rates'!F136/100</f>
        <v>9.9106775678291542E-2</v>
      </c>
      <c r="H143" s="112">
        <f>'GDP Growth Rates'!G136/100</f>
        <v>7.6493539379586653E-2</v>
      </c>
      <c r="I143" s="112">
        <f>'GDP Growth Rates'!H136/100</f>
        <v>6.8780294256099522E-2</v>
      </c>
      <c r="J143" s="112">
        <f>'GDP Growth Rates'!I136/100</f>
        <v>5.9289718746081521E-2</v>
      </c>
      <c r="K143" s="112">
        <f>'GDP Growth Rates'!J136/100</f>
        <v>6.6797293566286414E-2</v>
      </c>
      <c r="L143" s="112">
        <f>'GDP Growth Rates'!K136/100</f>
        <v>7.1340584230044468E-2</v>
      </c>
      <c r="M143" s="112">
        <f>'GDP Growth Rates'!L136/100</f>
        <v>7.9945031610722028E-2</v>
      </c>
      <c r="N143" s="112">
        <f>'GDP Growth Rates'!M136/100</f>
        <v>6.5714138966553717E-2</v>
      </c>
      <c r="O143" s="112">
        <f>'GDP Growth Rates'!N136/100</f>
        <v>7.7025684483930948E-2</v>
      </c>
      <c r="P143" s="112">
        <f>'GDP Growth Rates'!O136/100</f>
        <v>7.3930936986376997E-2</v>
      </c>
      <c r="Q143" s="112">
        <f>'GDP Growth Rates'!P136/100</f>
        <v>4.6969902422579535E-2</v>
      </c>
      <c r="R143" s="112">
        <f>'GDP Growth Rates'!Q136/100</f>
        <v>2.6382073731065814E-2</v>
      </c>
      <c r="S143" s="112">
        <f>'GDP Growth Rates'!R136/100</f>
        <v>3.4849320242278166E-2</v>
      </c>
      <c r="T143" s="112">
        <f>'GDP Growth Rates'!S136/100</f>
        <v>2.3178139482147486E-2</v>
      </c>
      <c r="U143" s="112">
        <f>'GDP Growth Rates'!T136/100</f>
        <v>-1.2195225001119213E-2</v>
      </c>
      <c r="V143" s="112">
        <f>'GDP Growth Rates'!U136/100</f>
        <v>2.3774357276150654E-2</v>
      </c>
      <c r="W143" s="112">
        <f>'GDP Growth Rates'!V136/100</f>
        <v>4.3644507443260781E-2</v>
      </c>
      <c r="X143" s="112">
        <f>'GDP Growth Rates'!W136/100</f>
        <v>5.4368591229251993E-2</v>
      </c>
      <c r="Y143" s="112">
        <f>'GDP Growth Rates'!X136/100</f>
        <v>1.8517750247445688E-2</v>
      </c>
    </row>
    <row r="144" spans="2:25">
      <c r="B144" s="634" t="s">
        <v>387</v>
      </c>
      <c r="C144" s="635" t="s">
        <v>388</v>
      </c>
      <c r="D144" s="634" t="s">
        <v>654</v>
      </c>
      <c r="E144" s="635" t="s">
        <v>655</v>
      </c>
      <c r="F144" s="112">
        <f>'GDP Growth Rates'!E137/100</f>
        <v>0.1356895002164562</v>
      </c>
      <c r="G144" s="112">
        <f>'GDP Growth Rates'!F137/100</f>
        <v>0.13076101379237243</v>
      </c>
      <c r="H144" s="112">
        <f>'GDP Growth Rates'!G137/100</f>
        <v>0.11991435240214642</v>
      </c>
      <c r="I144" s="112">
        <f>'GDP Growth Rates'!H137/100</f>
        <v>0.10255305392980787</v>
      </c>
      <c r="J144" s="112">
        <f>'GDP Growth Rates'!I137/100</f>
        <v>0.10550009096193165</v>
      </c>
      <c r="K144" s="112">
        <f>'GDP Growth Rates'!J137/100</f>
        <v>9.6344394520444035E-2</v>
      </c>
      <c r="L144" s="112">
        <f>'GDP Growth Rates'!K137/100</f>
        <v>5.5914823782366056E-2</v>
      </c>
      <c r="M144" s="112">
        <f>'GDP Growth Rates'!L137/100</f>
        <v>7.3326704470414936E-2</v>
      </c>
      <c r="N144" s="112">
        <f>'GDP Growth Rates'!M137/100</f>
        <v>8.4260010250176695E-2</v>
      </c>
      <c r="O144" s="112">
        <f>'GDP Growth Rates'!N137/100</f>
        <v>8.1699074555827741E-2</v>
      </c>
      <c r="P144" s="112">
        <f>'GDP Growth Rates'!O137/100</f>
        <v>6.9928402902612138E-2</v>
      </c>
      <c r="Q144" s="112">
        <f>'GDP Growth Rates'!P137/100</f>
        <v>5.8624729151857194E-2</v>
      </c>
      <c r="R144" s="112">
        <f>'GDP Growth Rates'!Q137/100</f>
        <v>6.1361082436030473E-2</v>
      </c>
      <c r="S144" s="112">
        <f>'GDP Growth Rates'!R137/100</f>
        <v>6.2688622147107506E-2</v>
      </c>
      <c r="T144" s="112">
        <f>'GDP Growth Rates'!S137/100</f>
        <v>6.5791100676541425E-2</v>
      </c>
      <c r="U144" s="112">
        <f>'GDP Growth Rates'!T137/100</f>
        <v>-9.0483471798464304E-2</v>
      </c>
      <c r="V144" s="112">
        <f>'GDP Growth Rates'!U137/100</f>
        <v>-0.12016372482917674</v>
      </c>
      <c r="W144" s="112">
        <f>'GDP Growth Rates'!V137/100</f>
        <v>4.0374934360085032E-2</v>
      </c>
      <c r="X144" s="112">
        <f>'GDP Growth Rates'!W137/100</f>
        <v>9.5844662512611471E-3</v>
      </c>
      <c r="Y144" s="112">
        <f>'GDP Growth Rates'!X137/100</f>
        <v>-9.7204641363362043E-3</v>
      </c>
    </row>
    <row r="145" spans="2:25">
      <c r="B145" s="634" t="s">
        <v>387</v>
      </c>
      <c r="C145" s="635" t="s">
        <v>388</v>
      </c>
      <c r="D145" s="634" t="s">
        <v>656</v>
      </c>
      <c r="E145" s="635" t="s">
        <v>657</v>
      </c>
      <c r="F145" s="112">
        <f>'GDP Growth Rates'!E138/100</f>
        <v>2.5292626581902199E-2</v>
      </c>
      <c r="G145" s="112">
        <f>'GDP Growth Rates'!F138/100</f>
        <v>7.0731753184582538E-2</v>
      </c>
      <c r="H145" s="112">
        <f>'GDP Growth Rates'!G138/100</f>
        <v>5.3740441516763438E-2</v>
      </c>
      <c r="I145" s="112">
        <f>'GDP Growth Rates'!H138/100</f>
        <v>2.6498120378026756E-2</v>
      </c>
      <c r="J145" s="112">
        <f>'GDP Growth Rates'!I138/100</f>
        <v>2.9597091400108866E-3</v>
      </c>
      <c r="K145" s="112">
        <f>'GDP Growth Rates'!J138/100</f>
        <v>6.0392494795585776E-2</v>
      </c>
      <c r="L145" s="112">
        <f>'GDP Growth Rates'!K138/100</f>
        <v>5.0913381386433795E-2</v>
      </c>
      <c r="M145" s="112">
        <f>'GDP Growth Rates'!L138/100</f>
        <v>5.0616820696263998E-2</v>
      </c>
      <c r="N145" s="112">
        <f>'GDP Growth Rates'!M138/100</f>
        <v>5.6147196225448538E-2</v>
      </c>
      <c r="O145" s="112">
        <f>'GDP Growth Rates'!N138/100</f>
        <v>6.092519159779556E-2</v>
      </c>
      <c r="P145" s="112">
        <f>'GDP Growth Rates'!O138/100</f>
        <v>4.2641745376367481E-2</v>
      </c>
      <c r="Q145" s="112">
        <f>'GDP Growth Rates'!P138/100</f>
        <v>3.3794450206329427E-4</v>
      </c>
      <c r="R145" s="112">
        <f>'GDP Growth Rates'!Q138/100</f>
        <v>-1.0272480885670916E-2</v>
      </c>
      <c r="S145" s="112">
        <f>'GDP Growth Rates'!R138/100</f>
        <v>1.0599394986075197E-2</v>
      </c>
      <c r="T145" s="112">
        <f>'GDP Growth Rates'!S138/100</f>
        <v>-8.3915216341935665E-3</v>
      </c>
      <c r="U145" s="112">
        <f>'GDP Growth Rates'!T138/100</f>
        <v>-8.1014020144331914E-2</v>
      </c>
      <c r="V145" s="112">
        <f>'GDP Growth Rates'!U138/100</f>
        <v>3.6038291924870264E-2</v>
      </c>
      <c r="W145" s="112">
        <f>'GDP Growth Rates'!V138/100</f>
        <v>5.3987247622409314E-2</v>
      </c>
      <c r="X145" s="112">
        <f>'GDP Growth Rates'!W138/100</f>
        <v>4.4428060381957547E-2</v>
      </c>
      <c r="Y145" s="112">
        <f>'GDP Growth Rates'!X138/100</f>
        <v>3.7115449741623931E-2</v>
      </c>
    </row>
    <row r="146" spans="2:25">
      <c r="B146" s="634" t="s">
        <v>387</v>
      </c>
      <c r="C146" s="635" t="s">
        <v>388</v>
      </c>
      <c r="D146" s="634" t="s">
        <v>658</v>
      </c>
      <c r="E146" s="635" t="s">
        <v>659</v>
      </c>
      <c r="F146" s="112">
        <f>'GDP Growth Rates'!E139/100</f>
        <v>-3.5564887447149828E-3</v>
      </c>
      <c r="G146" s="112">
        <f>'GDP Growth Rates'!F139/100</f>
        <v>8.3287608057226944E-2</v>
      </c>
      <c r="H146" s="112">
        <f>'GDP Growth Rates'!G139/100</f>
        <v>-0.22185304977996723</v>
      </c>
      <c r="I146" s="112">
        <f>'GDP Growth Rates'!H139/100</f>
        <v>0.20380907592447842</v>
      </c>
      <c r="J146" s="112">
        <f>'GDP Growth Rates'!I139/100</f>
        <v>-5.6519327996731476E-2</v>
      </c>
      <c r="K146" s="112">
        <f>'GDP Growth Rates'!J139/100</f>
        <v>-1.5997691123855872E-3</v>
      </c>
      <c r="L146" s="112">
        <f>'GDP Growth Rates'!K139/100</f>
        <v>0.14394633415729502</v>
      </c>
      <c r="M146" s="112">
        <f>'GDP Growth Rates'!L139/100</f>
        <v>0.25279320502218922</v>
      </c>
      <c r="N146" s="112">
        <f>'GDP Growth Rates'!M139/100</f>
        <v>3.6477404166362533E-2</v>
      </c>
      <c r="O146" s="112">
        <f>'GDP Growth Rates'!N139/100</f>
        <v>0.16423335638610864</v>
      </c>
      <c r="P146" s="112">
        <f>'GDP Growth Rates'!O139/100</f>
        <v>2.698017273675106E-2</v>
      </c>
      <c r="Q146" s="112">
        <f>'GDP Growth Rates'!P139/100</f>
        <v>4.36324053905588E-2</v>
      </c>
      <c r="R146" s="112">
        <f>'GDP Growth Rates'!Q139/100</f>
        <v>-6.0112299865351562E-2</v>
      </c>
      <c r="S146" s="112">
        <f>'GDP Growth Rates'!R139/100</f>
        <v>-1.2191220145697769E-2</v>
      </c>
      <c r="T146" s="112">
        <f>'GDP Growth Rates'!S139/100</f>
        <v>8.4867365919310919E-2</v>
      </c>
      <c r="U146" s="112">
        <f>'GDP Growth Rates'!T139/100</f>
        <v>1.9818194937727612E-2</v>
      </c>
      <c r="V146" s="112">
        <f>'GDP Growth Rates'!U139/100</f>
        <v>7.2065946659143953E-2</v>
      </c>
      <c r="W146" s="112">
        <f>'GDP Growth Rates'!V139/100</f>
        <v>2.9515183463878002E-2</v>
      </c>
      <c r="X146" s="112">
        <f>'GDP Growth Rates'!W139/100</f>
        <v>6.4641033466782006E-3</v>
      </c>
      <c r="Y146" s="112">
        <f>'GDP Growth Rates'!X139/100</f>
        <v>1.7602516223349057E-2</v>
      </c>
    </row>
    <row r="147" spans="2:25">
      <c r="B147" s="634" t="s">
        <v>387</v>
      </c>
      <c r="C147" s="635" t="s">
        <v>388</v>
      </c>
      <c r="D147" s="634" t="s">
        <v>660</v>
      </c>
      <c r="E147" s="635" t="s">
        <v>661</v>
      </c>
      <c r="F147" s="112">
        <f>'GDP Growth Rates'!E140/100</f>
        <v>3.4791810482949617E-2</v>
      </c>
      <c r="G147" s="112">
        <f>'GDP Growth Rates'!F140/100</f>
        <v>3.3646147805627746E-2</v>
      </c>
      <c r="H147" s="112">
        <f>'GDP Growth Rates'!G140/100</f>
        <v>3.4115602798027569E-2</v>
      </c>
      <c r="I147" s="112">
        <f>'GDP Growth Rates'!H140/100</f>
        <v>6.1046391437347157E-2</v>
      </c>
      <c r="J147" s="112">
        <f>'GDP Growth Rates'!I140/100</f>
        <v>4.5330787246486037E-2</v>
      </c>
      <c r="K147" s="112">
        <f>'GDP Growth Rates'!J140/100</f>
        <v>4.8164146469457304E-2</v>
      </c>
      <c r="L147" s="112">
        <f>'GDP Growth Rates'!K140/100</f>
        <v>3.4218087011616237E-2</v>
      </c>
      <c r="M147" s="112">
        <f>'GDP Growth Rates'!L140/100</f>
        <v>4.6701419244695327E-2</v>
      </c>
      <c r="N147" s="112">
        <f>'GDP Growth Rates'!M140/100</f>
        <v>3.5251531712914924E-2</v>
      </c>
      <c r="O147" s="112">
        <f>'GDP Growth Rates'!N140/100</f>
        <v>6.0114828425044065E-2</v>
      </c>
      <c r="P147" s="112">
        <f>'GDP Growth Rates'!O140/100</f>
        <v>3.9760532716297092E-2</v>
      </c>
      <c r="Q147" s="112">
        <f>'GDP Growth Rates'!P140/100</f>
        <v>4.3311371938152378E-3</v>
      </c>
      <c r="R147" s="112">
        <f>'GDP Growth Rates'!Q140/100</f>
        <v>8.9772793564346642E-2</v>
      </c>
      <c r="S147" s="112">
        <f>'GDP Growth Rates'!R140/100</f>
        <v>7.622376103979335E-2</v>
      </c>
      <c r="T147" s="112">
        <f>'GDP Growth Rates'!S140/100</f>
        <v>6.6570554311046803E-2</v>
      </c>
      <c r="U147" s="112">
        <f>'GDP Growth Rates'!T140/100</f>
        <v>-2.3696206292072048E-2</v>
      </c>
      <c r="V147" s="112">
        <f>'GDP Growth Rates'!U140/100</f>
        <v>4.838149614114997E-2</v>
      </c>
      <c r="W147" s="112">
        <f>'GDP Growth Rates'!V140/100</f>
        <v>5.6313145568450976E-2</v>
      </c>
      <c r="X147" s="112">
        <f>'GDP Growth Rates'!W140/100</f>
        <v>1.9825484362839204E-2</v>
      </c>
      <c r="Y147" s="112">
        <f>'GDP Growth Rates'!X140/100</f>
        <v>3.6653743074496814E-2</v>
      </c>
    </row>
    <row r="148" spans="2:25">
      <c r="B148" s="634" t="s">
        <v>387</v>
      </c>
      <c r="C148" s="635" t="s">
        <v>388</v>
      </c>
      <c r="D148" s="634" t="s">
        <v>662</v>
      </c>
      <c r="E148" s="635" t="s">
        <v>663</v>
      </c>
      <c r="F148" s="112">
        <f>'GDP Growth Rates'!E141/100</f>
        <v>2.0339633619914251E-2</v>
      </c>
      <c r="G148" s="112">
        <f>'GDP Growth Rates'!F141/100</f>
        <v>3.537375096807821E-2</v>
      </c>
      <c r="H148" s="112">
        <f>'GDP Growth Rates'!G141/100</f>
        <v>3.8853064480182269E-2</v>
      </c>
      <c r="I148" s="112">
        <f>'GDP Growth Rates'!H141/100</f>
        <v>2.1168159364213748E-2</v>
      </c>
      <c r="J148" s="112">
        <f>'GDP Growth Rates'!I141/100</f>
        <v>-3.6652904914509607E-2</v>
      </c>
      <c r="K148" s="112">
        <f>'GDP Growth Rates'!J141/100</f>
        <v>1.31932032302214E-2</v>
      </c>
      <c r="L148" s="112">
        <f>'GDP Growth Rates'!K141/100</f>
        <v>1.773345162694227E-2</v>
      </c>
      <c r="M148" s="112">
        <f>'GDP Growth Rates'!L141/100</f>
        <v>-9.778768777477324E-3</v>
      </c>
      <c r="N148" s="112">
        <f>'GDP Growth Rates'!M141/100</f>
        <v>-3.0232560053960355E-4</v>
      </c>
      <c r="O148" s="112">
        <f>'GDP Growth Rates'!N141/100</f>
        <v>1.6126100129401095E-2</v>
      </c>
      <c r="P148" s="112">
        <f>'GDP Growth Rates'!O141/100</f>
        <v>2.1206052386084622E-2</v>
      </c>
      <c r="Q148" s="112">
        <f>'GDP Growth Rates'!P141/100</f>
        <v>2.4242857295548249E-2</v>
      </c>
      <c r="R148" s="112">
        <f>'GDP Growth Rates'!Q141/100</f>
        <v>2.7815461930993591E-2</v>
      </c>
      <c r="S148" s="112">
        <f>'GDP Growth Rates'!R141/100</f>
        <v>2.2587403735731044E-2</v>
      </c>
      <c r="T148" s="112">
        <f>'GDP Growth Rates'!S141/100</f>
        <v>2.3000915791675708E-2</v>
      </c>
      <c r="U148" s="112">
        <f>'GDP Growth Rates'!T141/100</f>
        <v>-3.8679533382322259E-2</v>
      </c>
      <c r="V148" s="112">
        <f>'GDP Growth Rates'!U141/100</f>
        <v>6.2768306708325949E-2</v>
      </c>
      <c r="W148" s="112">
        <f>'GDP Growth Rates'!V141/100</f>
        <v>5.0072345515961132E-2</v>
      </c>
      <c r="X148" s="112">
        <f>'GDP Growth Rates'!W141/100</f>
        <v>7.4560834901177481E-4</v>
      </c>
      <c r="Y148" s="112">
        <f>'GDP Growth Rates'!X141/100</f>
        <v>9.7967492151596509E-3</v>
      </c>
    </row>
    <row r="149" spans="2:25">
      <c r="B149" s="634" t="s">
        <v>387</v>
      </c>
      <c r="C149" s="635" t="s">
        <v>388</v>
      </c>
      <c r="D149" s="634" t="s">
        <v>664</v>
      </c>
      <c r="E149" s="635" t="s">
        <v>665</v>
      </c>
      <c r="F149" s="112" t="e">
        <f>'GDP Growth Rates'!E142/100</f>
        <v>#VALUE!</v>
      </c>
      <c r="G149" s="112" t="e">
        <f>'GDP Growth Rates'!F142/100</f>
        <v>#VALUE!</v>
      </c>
      <c r="H149" s="112" t="e">
        <f>'GDP Growth Rates'!G142/100</f>
        <v>#VALUE!</v>
      </c>
      <c r="I149" s="112" t="e">
        <f>'GDP Growth Rates'!H142/100</f>
        <v>#VALUE!</v>
      </c>
      <c r="J149" s="112" t="e">
        <f>'GDP Growth Rates'!I142/100</f>
        <v>#VALUE!</v>
      </c>
      <c r="K149" s="112" t="e">
        <f>'GDP Growth Rates'!J142/100</f>
        <v>#VALUE!</v>
      </c>
      <c r="L149" s="112" t="e">
        <f>'GDP Growth Rates'!K142/100</f>
        <v>#VALUE!</v>
      </c>
      <c r="M149" s="112" t="e">
        <f>'GDP Growth Rates'!L142/100</f>
        <v>#VALUE!</v>
      </c>
      <c r="N149" s="112" t="e">
        <f>'GDP Growth Rates'!M142/100</f>
        <v>#VALUE!</v>
      </c>
      <c r="O149" s="112" t="e">
        <f>'GDP Growth Rates'!N142/100</f>
        <v>#VALUE!</v>
      </c>
      <c r="P149" s="112" t="e">
        <f>'GDP Growth Rates'!O142/100</f>
        <v>#VALUE!</v>
      </c>
      <c r="Q149" s="112" t="e">
        <f>'GDP Growth Rates'!P142/100</f>
        <v>#VALUE!</v>
      </c>
      <c r="R149" s="112" t="e">
        <f>'GDP Growth Rates'!Q142/100</f>
        <v>#VALUE!</v>
      </c>
      <c r="S149" s="112">
        <f>'GDP Growth Rates'!R142/100</f>
        <v>3.9957072820387934E-2</v>
      </c>
      <c r="T149" s="112">
        <f>'GDP Growth Rates'!S142/100</f>
        <v>-1.4000000019845089E-2</v>
      </c>
      <c r="U149" s="112">
        <f>'GDP Growth Rates'!T142/100</f>
        <v>-2.4000000006440699E-2</v>
      </c>
      <c r="V149" s="112">
        <f>'GDP Growth Rates'!U142/100</f>
        <v>-2.0999999976284867E-2</v>
      </c>
      <c r="W149" s="112">
        <f>'GDP Growth Rates'!V142/100</f>
        <v>3.4999999963137608E-2</v>
      </c>
      <c r="X149" s="112" t="e">
        <f>'GDP Growth Rates'!W142/100</f>
        <v>#VALUE!</v>
      </c>
      <c r="Y149" s="112" t="e">
        <f>'GDP Growth Rates'!X142/100</f>
        <v>#VALUE!</v>
      </c>
    </row>
    <row r="150" spans="2:25">
      <c r="B150" s="634" t="s">
        <v>387</v>
      </c>
      <c r="C150" s="635" t="s">
        <v>388</v>
      </c>
      <c r="D150" s="634" t="s">
        <v>666</v>
      </c>
      <c r="E150" s="635" t="s">
        <v>667</v>
      </c>
      <c r="F150" s="112">
        <f>'GDP Growth Rates'!E143/100</f>
        <v>3.3529276040506206E-2</v>
      </c>
      <c r="G150" s="112">
        <f>'GDP Growth Rates'!F143/100</f>
        <v>2.7797805910561663E-2</v>
      </c>
      <c r="H150" s="112">
        <f>'GDP Growth Rates'!G143/100</f>
        <v>3.056416389849545E-2</v>
      </c>
      <c r="I150" s="112">
        <f>'GDP Growth Rates'!H143/100</f>
        <v>-1.0170384693397523E-2</v>
      </c>
      <c r="J150" s="112">
        <f>'GDP Growth Rates'!I143/100</f>
        <v>-3.7466112071300018E-4</v>
      </c>
      <c r="K150" s="112">
        <f>'GDP Growth Rates'!J143/100</f>
        <v>1.4586363491134903E-2</v>
      </c>
      <c r="L150" s="112">
        <f>'GDP Growth Rates'!K143/100</f>
        <v>2.0934962166991228E-2</v>
      </c>
      <c r="M150" s="112">
        <f>'GDP Growth Rates'!L143/100</f>
        <v>2.3663066465617392E-2</v>
      </c>
      <c r="N150" s="112">
        <f>'GDP Growth Rates'!M143/100</f>
        <v>2.5895419903159789E-2</v>
      </c>
      <c r="O150" s="112">
        <f>'GDP Growth Rates'!N143/100</f>
        <v>3.8263849176029936E-2</v>
      </c>
      <c r="P150" s="112">
        <f>'GDP Growth Rates'!O143/100</f>
        <v>3.6903690838723267E-2</v>
      </c>
      <c r="Q150" s="112">
        <f>'GDP Growth Rates'!P143/100</f>
        <v>3.7791106835433366E-2</v>
      </c>
      <c r="R150" s="112">
        <f>'GDP Growth Rates'!Q143/100</f>
        <v>3.3787321947076523E-2</v>
      </c>
      <c r="S150" s="112">
        <f>'GDP Growth Rates'!R143/100</f>
        <v>3.4705820386632807E-2</v>
      </c>
      <c r="T150" s="112">
        <f>'GDP Growth Rates'!S143/100</f>
        <v>2.3174714403480151E-2</v>
      </c>
      <c r="U150" s="112">
        <f>'GDP Growth Rates'!T143/100</f>
        <v>-3.0724689602654111E-3</v>
      </c>
      <c r="V150" s="112">
        <f>'GDP Growth Rates'!U143/100</f>
        <v>4.5354056571609506E-2</v>
      </c>
      <c r="W150" s="112">
        <f>'GDP Growth Rates'!V143/100</f>
        <v>3.4963868645884161E-2</v>
      </c>
      <c r="X150" s="112">
        <f>'GDP Growth Rates'!W143/100</f>
        <v>1.3942518156356555E-2</v>
      </c>
      <c r="Y150" s="112">
        <f>'GDP Growth Rates'!X143/100</f>
        <v>-1.2646241856727159E-3</v>
      </c>
    </row>
    <row r="151" spans="2:25">
      <c r="B151" s="634" t="s">
        <v>387</v>
      </c>
      <c r="C151" s="635" t="s">
        <v>388</v>
      </c>
      <c r="D151" s="634" t="s">
        <v>668</v>
      </c>
      <c r="E151" s="635" t="s">
        <v>669</v>
      </c>
      <c r="F151" s="112">
        <f>'GDP Growth Rates'!E144/100</f>
        <v>4.2823983377065389E-2</v>
      </c>
      <c r="G151" s="112">
        <f>'GDP Growth Rates'!F144/100</f>
        <v>4.1529455984625374E-2</v>
      </c>
      <c r="H151" s="112">
        <f>'GDP Growth Rates'!G144/100</f>
        <v>5.076352018098703E-2</v>
      </c>
      <c r="I151" s="112">
        <f>'GDP Growth Rates'!H144/100</f>
        <v>3.4357169360808085E-2</v>
      </c>
      <c r="J151" s="112">
        <f>'GDP Growth Rates'!I144/100</f>
        <v>-3.2926651586196981E-2</v>
      </c>
      <c r="K151" s="112">
        <f>'GDP Growth Rates'!J144/100</f>
        <v>4.4100991171654585E-2</v>
      </c>
      <c r="L151" s="112">
        <f>'GDP Growth Rates'!K144/100</f>
        <v>6.3166855349184203E-2</v>
      </c>
      <c r="M151" s="112">
        <f>'GDP Growth Rates'!L144/100</f>
        <v>6.4961364710875949E-2</v>
      </c>
      <c r="N151" s="112">
        <f>'GDP Growth Rates'!M144/100</f>
        <v>4.9270941344730375E-2</v>
      </c>
      <c r="O151" s="112">
        <f>'GDP Growth Rates'!N144/100</f>
        <v>4.7854601358998251E-2</v>
      </c>
      <c r="P151" s="112">
        <f>'GDP Growth Rates'!O144/100</f>
        <v>4.7922676833269694E-2</v>
      </c>
      <c r="Q151" s="112">
        <f>'GDP Growth Rates'!P144/100</f>
        <v>4.5631473952496719E-2</v>
      </c>
      <c r="R151" s="112">
        <f>'GDP Growth Rates'!Q144/100</f>
        <v>4.6312075758020939E-2</v>
      </c>
      <c r="S151" s="112">
        <f>'GDP Growth Rates'!R144/100</f>
        <v>-3.3633566598573028E-2</v>
      </c>
      <c r="T151" s="112">
        <f>'GDP Growth Rates'!S144/100</f>
        <v>-2.8968698672890127E-2</v>
      </c>
      <c r="U151" s="112">
        <f>'GDP Growth Rates'!T144/100</f>
        <v>-2.2365417626232328E-2</v>
      </c>
      <c r="V151" s="112">
        <f>'GDP Growth Rates'!U144/100</f>
        <v>0.10454389484407983</v>
      </c>
      <c r="W151" s="112">
        <f>'GDP Growth Rates'!V144/100</f>
        <v>3.5502994561397543E-2</v>
      </c>
      <c r="X151" s="112">
        <f>'GDP Growth Rates'!W144/100</f>
        <v>4.4277438476037358E-2</v>
      </c>
      <c r="Y151" s="112">
        <f>'GDP Growth Rates'!X144/100</f>
        <v>3.5878302292344982E-2</v>
      </c>
    </row>
    <row r="152" spans="2:25">
      <c r="B152" s="634" t="s">
        <v>387</v>
      </c>
      <c r="C152" s="635" t="s">
        <v>388</v>
      </c>
      <c r="D152" s="634" t="s">
        <v>670</v>
      </c>
      <c r="E152" s="635" t="s">
        <v>671</v>
      </c>
      <c r="F152" s="112">
        <f>'GDP Growth Rates'!E145/100</f>
        <v>7.3318688425851666E-2</v>
      </c>
      <c r="G152" s="112">
        <f>'GDP Growth Rates'!F145/100</f>
        <v>5.9310499735034196E-2</v>
      </c>
      <c r="H152" s="112">
        <f>'GDP Growth Rates'!G145/100</f>
        <v>3.1427240838673071E-2</v>
      </c>
      <c r="I152" s="112">
        <f>'GDP Growth Rates'!H145/100</f>
        <v>7.7314142277733713E-2</v>
      </c>
      <c r="J152" s="112">
        <f>'GDP Growth Rates'!I145/100</f>
        <v>1.9626009069464486E-2</v>
      </c>
      <c r="K152" s="112">
        <f>'GDP Growth Rates'!J145/100</f>
        <v>8.5781667426225283E-2</v>
      </c>
      <c r="L152" s="112">
        <f>'GDP Growth Rates'!K145/100</f>
        <v>2.35775693603874E-2</v>
      </c>
      <c r="M152" s="112">
        <f>'GDP Growth Rates'!L145/100</f>
        <v>0.1054894457634461</v>
      </c>
      <c r="N152" s="112">
        <f>'GDP Growth Rates'!M145/100</f>
        <v>5.3151306339472626E-2</v>
      </c>
      <c r="O152" s="112">
        <f>'GDP Growth Rates'!N145/100</f>
        <v>6.6421366549560337E-2</v>
      </c>
      <c r="P152" s="112">
        <f>'GDP Growth Rates'!O145/100</f>
        <v>4.3926488320729075E-2</v>
      </c>
      <c r="Q152" s="112">
        <f>'GDP Growth Rates'!P145/100</f>
        <v>5.7408931505815698E-2</v>
      </c>
      <c r="R152" s="112">
        <f>'GDP Growth Rates'!Q145/100</f>
        <v>5.0053607861554356E-2</v>
      </c>
      <c r="S152" s="112">
        <f>'GDP Growth Rates'!R145/100</f>
        <v>7.2114180276289658E-2</v>
      </c>
      <c r="T152" s="112">
        <f>'GDP Growth Rates'!S145/100</f>
        <v>5.9398525712352213E-2</v>
      </c>
      <c r="U152" s="112">
        <f>'GDP Growth Rates'!T145/100</f>
        <v>3.5506410943689136E-2</v>
      </c>
      <c r="V152" s="112">
        <f>'GDP Growth Rates'!U145/100</f>
        <v>1.3835963619847718E-2</v>
      </c>
      <c r="W152" s="112">
        <f>'GDP Growth Rates'!V145/100</f>
        <v>0.11900000000027716</v>
      </c>
      <c r="X152" s="112">
        <f>'GDP Growth Rates'!W145/100</f>
        <v>1.6676340648427868E-2</v>
      </c>
      <c r="Y152" s="112">
        <f>'GDP Growth Rates'!X145/100</f>
        <v>8.4215978952545359E-2</v>
      </c>
    </row>
    <row r="153" spans="2:25">
      <c r="B153" s="634" t="s">
        <v>387</v>
      </c>
      <c r="C153" s="635" t="s">
        <v>388</v>
      </c>
      <c r="D153" s="634" t="s">
        <v>672</v>
      </c>
      <c r="E153" s="635" t="s">
        <v>673</v>
      </c>
      <c r="F153" s="112">
        <f>'GDP Growth Rates'!E146/100</f>
        <v>6.4385165253831922E-2</v>
      </c>
      <c r="G153" s="112">
        <f>'GDP Growth Rates'!F146/100</f>
        <v>6.0594280320291176E-2</v>
      </c>
      <c r="H153" s="112">
        <f>'GDP Growth Rates'!G146/100</f>
        <v>6.5911303606873445E-2</v>
      </c>
      <c r="I153" s="112">
        <f>'GDP Growth Rates'!H146/100</f>
        <v>6.7644727778017E-2</v>
      </c>
      <c r="J153" s="112">
        <f>'GDP Growth Rates'!I146/100</f>
        <v>8.0369251009906717E-2</v>
      </c>
      <c r="K153" s="112">
        <f>'GDP Growth Rates'!J146/100</f>
        <v>8.0056559162864568E-2</v>
      </c>
      <c r="L153" s="112">
        <f>'GDP Growth Rates'!K146/100</f>
        <v>5.3079242028951229E-2</v>
      </c>
      <c r="M153" s="112">
        <f>'GDP Growth Rates'!L146/100</f>
        <v>4.230061174931677E-2</v>
      </c>
      <c r="N153" s="112">
        <f>'GDP Growth Rates'!M146/100</f>
        <v>6.6713353930617239E-2</v>
      </c>
      <c r="O153" s="112">
        <f>'GDP Growth Rates'!N146/100</f>
        <v>6.3097186552546702E-2</v>
      </c>
      <c r="P153" s="112">
        <f>'GDP Growth Rates'!O146/100</f>
        <v>2.6526932954300263E-2</v>
      </c>
      <c r="Q153" s="112">
        <f>'GDP Growth Rates'!P146/100</f>
        <v>-1.6168689490652925E-2</v>
      </c>
      <c r="R153" s="112">
        <f>'GDP Growth Rates'!Q146/100</f>
        <v>8.0588661910221057E-3</v>
      </c>
      <c r="S153" s="112">
        <f>'GDP Growth Rates'!R146/100</f>
        <v>1.9227573420065057E-2</v>
      </c>
      <c r="T153" s="112">
        <f>'GDP Growth Rates'!S146/100</f>
        <v>2.2084292771488094E-2</v>
      </c>
      <c r="U153" s="112">
        <f>'GDP Growth Rates'!T146/100</f>
        <v>-1.7942530827445749E-2</v>
      </c>
      <c r="V153" s="112">
        <f>'GDP Growth Rates'!U146/100</f>
        <v>3.6471865407244619E-2</v>
      </c>
      <c r="W153" s="112">
        <f>'GDP Growth Rates'!V146/100</f>
        <v>3.2516814082709261E-2</v>
      </c>
      <c r="X153" s="112">
        <f>'GDP Growth Rates'!W146/100</f>
        <v>2.8602149910836375E-2</v>
      </c>
      <c r="Y153" s="112">
        <f>'GDP Growth Rates'!X146/100</f>
        <v>3.4264394713514862E-2</v>
      </c>
    </row>
    <row r="154" spans="2:25">
      <c r="B154" s="634" t="s">
        <v>387</v>
      </c>
      <c r="C154" s="635" t="s">
        <v>388</v>
      </c>
      <c r="D154" s="634" t="s">
        <v>674</v>
      </c>
      <c r="E154" s="635" t="s">
        <v>675</v>
      </c>
      <c r="F154" s="112">
        <f>'GDP Growth Rates'!E147/100</f>
        <v>4.7240886420197373E-2</v>
      </c>
      <c r="G154" s="112">
        <f>'GDP Growth Rates'!F147/100</f>
        <v>5.1370251615350498E-2</v>
      </c>
      <c r="H154" s="112">
        <f>'GDP Growth Rates'!G147/100</f>
        <v>6.473486857523468E-2</v>
      </c>
      <c r="I154" s="112">
        <f>'GDP Growth Rates'!H147/100</f>
        <v>5.4720013901559526E-2</v>
      </c>
      <c r="J154" s="112">
        <f>'GDP Growth Rates'!I147/100</f>
        <v>-3.5861485697967054E-3</v>
      </c>
      <c r="K154" s="112">
        <f>'GDP Growth Rates'!J147/100</f>
        <v>3.3587508577381159E-2</v>
      </c>
      <c r="L154" s="112">
        <f>'GDP Growth Rates'!K147/100</f>
        <v>2.3398860452033148E-2</v>
      </c>
      <c r="M154" s="112">
        <f>'GDP Growth Rates'!L147/100</f>
        <v>-4.5618322360793688E-3</v>
      </c>
      <c r="N154" s="112">
        <f>'GDP Growth Rates'!M147/100</f>
        <v>2.9252576645048406E-2</v>
      </c>
      <c r="O154" s="112">
        <f>'GDP Growth Rates'!N147/100</f>
        <v>3.6291235127637267E-2</v>
      </c>
      <c r="P154" s="112">
        <f>'GDP Growth Rates'!O147/100</f>
        <v>3.8558651404173784E-2</v>
      </c>
      <c r="Q154" s="112">
        <f>'GDP Growth Rates'!P147/100</f>
        <v>2.8482051936330636E-2</v>
      </c>
      <c r="R154" s="112">
        <f>'GDP Growth Rates'!Q147/100</f>
        <v>1.0817727381324289E-2</v>
      </c>
      <c r="S154" s="112">
        <f>'GDP Growth Rates'!R147/100</f>
        <v>2.880596709642674E-2</v>
      </c>
      <c r="T154" s="112">
        <f>'GDP Growth Rates'!S147/100</f>
        <v>3.9104195384017257E-2</v>
      </c>
      <c r="U154" s="112">
        <f>'GDP Growth Rates'!T147/100</f>
        <v>-4.6884500095665228E-2</v>
      </c>
      <c r="V154" s="112">
        <f>'GDP Growth Rates'!U147/100</f>
        <v>4.5106794903822162E-2</v>
      </c>
      <c r="W154" s="112">
        <f>'GDP Growth Rates'!V147/100</f>
        <v>2.7588841533296743E-2</v>
      </c>
      <c r="X154" s="112">
        <f>'GDP Growth Rates'!W147/100</f>
        <v>2.0725420884511722E-2</v>
      </c>
      <c r="Y154" s="112">
        <f>'GDP Growth Rates'!X147/100</f>
        <v>2.7562491733897618E-2</v>
      </c>
    </row>
    <row r="155" spans="2:25">
      <c r="B155" s="634" t="s">
        <v>387</v>
      </c>
      <c r="C155" s="635" t="s">
        <v>388</v>
      </c>
      <c r="D155" s="634" t="s">
        <v>676</v>
      </c>
      <c r="E155" s="635" t="s">
        <v>677</v>
      </c>
      <c r="F155" s="112">
        <f>'GDP Growth Rates'!E148/100</f>
        <v>-0.12702893436838394</v>
      </c>
      <c r="G155" s="112">
        <f>'GDP Growth Rates'!F148/100</f>
        <v>-6.8714632174616097E-2</v>
      </c>
      <c r="H155" s="112">
        <f>'GDP Growth Rates'!G148/100</f>
        <v>-6.684027777777786E-2</v>
      </c>
      <c r="I155" s="112">
        <f>'GDP Growth Rates'!H148/100</f>
        <v>-0.11069767441860463</v>
      </c>
      <c r="J155" s="112">
        <f>'GDP Growth Rates'!I148/100</f>
        <v>-0.17573221757322174</v>
      </c>
      <c r="K155" s="112">
        <f>'GDP Growth Rates'!J148/100</f>
        <v>1.3959390862944048E-2</v>
      </c>
      <c r="L155" s="112">
        <f>'GDP Growth Rates'!K148/100</f>
        <v>-7.3842302878598221E-2</v>
      </c>
      <c r="M155" s="112">
        <f>'GDP Growth Rates'!L148/100</f>
        <v>8.1081081081080704E-3</v>
      </c>
      <c r="N155" s="112">
        <f>'GDP Growth Rates'!M148/100</f>
        <v>2.6809651474530797E-2</v>
      </c>
      <c r="O155" s="112">
        <f>'GDP Growth Rates'!N148/100</f>
        <v>4.1775456919060046E-2</v>
      </c>
      <c r="P155" s="112">
        <f>'GDP Growth Rates'!O148/100</f>
        <v>3.3834586466165321E-2</v>
      </c>
      <c r="Q155" s="112">
        <f>'GDP Growth Rates'!P148/100</f>
        <v>0.29212121212121217</v>
      </c>
      <c r="R155" s="112">
        <f>'GDP Growth Rates'!Q148/100</f>
        <v>0.23170731707317074</v>
      </c>
      <c r="S155" s="112">
        <f>'GDP Growth Rates'!R148/100</f>
        <v>-0.19497334348819492</v>
      </c>
      <c r="T155" s="112">
        <f>'GDP Growth Rates'!S148/100</f>
        <v>-0.11447492904446549</v>
      </c>
      <c r="U155" s="112">
        <f>'GDP Growth Rates'!T148/100</f>
        <v>-0.29059829059829057</v>
      </c>
      <c r="V155" s="112">
        <f>'GDP Growth Rates'!U148/100</f>
        <v>4.9698795180722899E-2</v>
      </c>
      <c r="W155" s="112">
        <f>'GDP Growth Rates'!V148/100</f>
        <v>0.16642754662840759</v>
      </c>
      <c r="X155" s="112" t="e">
        <f>'GDP Growth Rates'!W148/100</f>
        <v>#VALUE!</v>
      </c>
      <c r="Y155" s="112" t="e">
        <f>'GDP Growth Rates'!X148/100</f>
        <v>#VALUE!</v>
      </c>
    </row>
    <row r="156" spans="2:25">
      <c r="B156" s="634" t="s">
        <v>387</v>
      </c>
      <c r="C156" s="635" t="s">
        <v>388</v>
      </c>
      <c r="D156" s="634" t="s">
        <v>678</v>
      </c>
      <c r="E156" s="635" t="s">
        <v>679</v>
      </c>
      <c r="F156" s="112">
        <f>'GDP Growth Rates'!E149/100</f>
        <v>2.6851229033908481E-2</v>
      </c>
      <c r="G156" s="112">
        <f>'GDP Growth Rates'!F149/100</f>
        <v>2.4614731163516552E-2</v>
      </c>
      <c r="H156" s="112">
        <f>'GDP Growth Rates'!G149/100</f>
        <v>2.9140400065322751E-2</v>
      </c>
      <c r="I156" s="112">
        <f>'GDP Growth Rates'!H149/100</f>
        <v>4.8191954975793294E-3</v>
      </c>
      <c r="J156" s="112">
        <f>'GDP Growth Rates'!I149/100</f>
        <v>-1.9403647259663329E-2</v>
      </c>
      <c r="K156" s="112">
        <f>'GDP Growth Rates'!J149/100</f>
        <v>7.8705186149407788E-3</v>
      </c>
      <c r="L156" s="112">
        <f>'GDP Growth Rates'!K149/100</f>
        <v>1.1056560338298311E-2</v>
      </c>
      <c r="M156" s="112">
        <f>'GDP Growth Rates'!L149/100</f>
        <v>2.7179592489473377E-2</v>
      </c>
      <c r="N156" s="112">
        <f>'GDP Growth Rates'!M149/100</f>
        <v>1.0161908404464128E-2</v>
      </c>
      <c r="O156" s="112">
        <f>'GDP Growth Rates'!N149/100</f>
        <v>2.0481320043894299E-2</v>
      </c>
      <c r="P156" s="112">
        <f>'GDP Growth Rates'!O149/100</f>
        <v>1.8573397162390107E-2</v>
      </c>
      <c r="Q156" s="112">
        <f>'GDP Growth Rates'!P149/100</f>
        <v>1.1647242392881906E-2</v>
      </c>
      <c r="R156" s="112">
        <f>'GDP Growth Rates'!Q149/100</f>
        <v>2.463746265741534E-2</v>
      </c>
      <c r="S156" s="112">
        <f>'GDP Growth Rates'!R149/100</f>
        <v>8.2893150051690165E-3</v>
      </c>
      <c r="T156" s="112">
        <f>'GDP Growth Rates'!S149/100</f>
        <v>1.1237469496875718E-2</v>
      </c>
      <c r="U156" s="112">
        <f>'GDP Growth Rates'!T149/100</f>
        <v>-1.2781717723403432E-2</v>
      </c>
      <c r="V156" s="112">
        <f>'GDP Growth Rates'!U149/100</f>
        <v>3.9086867683063388E-2</v>
      </c>
      <c r="W156" s="112">
        <f>'GDP Growth Rates'!V149/100</f>
        <v>3.2462286026093211E-2</v>
      </c>
      <c r="X156" s="112">
        <f>'GDP Growth Rates'!W149/100</f>
        <v>7.2120480603032888E-4</v>
      </c>
      <c r="Y156" s="112">
        <f>'GDP Growth Rates'!X149/100</f>
        <v>2.1004532783729105E-2</v>
      </c>
    </row>
    <row r="157" spans="2:25">
      <c r="B157" s="634" t="s">
        <v>387</v>
      </c>
      <c r="C157" s="635" t="s">
        <v>388</v>
      </c>
      <c r="D157" s="634" t="s">
        <v>680</v>
      </c>
      <c r="E157" s="635" t="s">
        <v>681</v>
      </c>
      <c r="F157" s="112">
        <f>'GDP Growth Rates'!E150/100</f>
        <v>2.7794436030615089E-2</v>
      </c>
      <c r="G157" s="112">
        <f>'GDP Growth Rates'!F150/100</f>
        <v>4.6698148193932809E-2</v>
      </c>
      <c r="H157" s="112">
        <f>'GDP Growth Rates'!G150/100</f>
        <v>4.9806546705152784E-2</v>
      </c>
      <c r="I157" s="112">
        <f>'GDP Growth Rates'!H150/100</f>
        <v>8.9500589500589603E-2</v>
      </c>
      <c r="J157" s="112">
        <f>'GDP Growth Rates'!I150/100</f>
        <v>5.9819669490440222E-2</v>
      </c>
      <c r="K157" s="112">
        <f>'GDP Growth Rates'!J150/100</f>
        <v>2.4719985658277325E-2</v>
      </c>
      <c r="L157" s="112">
        <f>'GDP Growth Rates'!K150/100</f>
        <v>2.8946097354119189E-2</v>
      </c>
      <c r="M157" s="112">
        <f>'GDP Growth Rates'!L150/100</f>
        <v>8.8631222555701758E-2</v>
      </c>
      <c r="N157" s="112">
        <f>'GDP Growth Rates'!M150/100</f>
        <v>5.2277040814594215E-2</v>
      </c>
      <c r="O157" s="112">
        <f>'GDP Growth Rates'!N150/100</f>
        <v>1.2922522941108098E-2</v>
      </c>
      <c r="P157" s="112">
        <f>'GDP Growth Rates'!O150/100</f>
        <v>5.0170579971904487E-2</v>
      </c>
      <c r="Q157" s="112">
        <f>'GDP Growth Rates'!P150/100</f>
        <v>5.0464239457169102E-2</v>
      </c>
      <c r="R157" s="112">
        <f>'GDP Growth Rates'!Q150/100</f>
        <v>3.0405756592244869E-3</v>
      </c>
      <c r="S157" s="112">
        <f>'GDP Growth Rates'!R150/100</f>
        <v>1.2871039154328799E-2</v>
      </c>
      <c r="T157" s="112">
        <f>'GDP Growth Rates'!S150/100</f>
        <v>-1.1286380172805793E-2</v>
      </c>
      <c r="U157" s="112">
        <f>'GDP Growth Rates'!T150/100</f>
        <v>-3.3797205269799943E-2</v>
      </c>
      <c r="V157" s="112">
        <f>'GDP Growth Rates'!U150/100</f>
        <v>2.5821749892892997E-2</v>
      </c>
      <c r="W157" s="112">
        <f>'GDP Growth Rates'!V150/100</f>
        <v>7.9857072835427798E-2</v>
      </c>
      <c r="X157" s="112">
        <f>'GDP Growth Rates'!W150/100</f>
        <v>1.1871348955885281E-2</v>
      </c>
      <c r="Y157" s="112">
        <f>'GDP Growth Rates'!X150/100</f>
        <v>1.6740766300813448E-2</v>
      </c>
    </row>
    <row r="158" spans="2:25">
      <c r="B158" s="634" t="s">
        <v>387</v>
      </c>
      <c r="C158" s="635" t="s">
        <v>388</v>
      </c>
      <c r="D158" s="634" t="s">
        <v>682</v>
      </c>
      <c r="E158" s="635" t="s">
        <v>683</v>
      </c>
      <c r="F158" s="112">
        <f>'GDP Growth Rates'!E151/100</f>
        <v>7.2765744364722024E-2</v>
      </c>
      <c r="G158" s="112">
        <f>'GDP Growth Rates'!F151/100</f>
        <v>6.0516376756999647E-2</v>
      </c>
      <c r="H158" s="112">
        <f>'GDP Growth Rates'!G151/100</f>
        <v>4.4448143398844023E-2</v>
      </c>
      <c r="I158" s="112">
        <f>'GDP Growth Rates'!H151/100</f>
        <v>2.1204410433083042E-2</v>
      </c>
      <c r="J158" s="112">
        <f>'GDP Growth Rates'!I151/100</f>
        <v>3.472550595673482E-2</v>
      </c>
      <c r="K158" s="112">
        <f>'GDP Growth Rates'!J151/100</f>
        <v>1.5017175215288319E-2</v>
      </c>
      <c r="L158" s="112">
        <f>'GDP Growth Rates'!K151/100</f>
        <v>2.6801168542170472E-2</v>
      </c>
      <c r="M158" s="112">
        <f>'GDP Growth Rates'!L151/100</f>
        <v>3.0275839108862924E-2</v>
      </c>
      <c r="N158" s="112">
        <f>'GDP Growth Rates'!M151/100</f>
        <v>4.3668650497838683E-2</v>
      </c>
      <c r="O158" s="112">
        <f>'GDP Growth Rates'!N151/100</f>
        <v>4.116428171614217E-2</v>
      </c>
      <c r="P158" s="112">
        <f>'GDP Growth Rates'!O151/100</f>
        <v>4.2179420957250642E-2</v>
      </c>
      <c r="Q158" s="112">
        <f>'GDP Growth Rates'!P151/100</f>
        <v>6.5738382851104268E-2</v>
      </c>
      <c r="R158" s="112">
        <f>'GDP Growth Rates'!Q151/100</f>
        <v>4.4326259068397461E-2</v>
      </c>
      <c r="S158" s="112">
        <f>'GDP Growth Rates'!R151/100</f>
        <v>6.1517026109951869E-2</v>
      </c>
      <c r="T158" s="112">
        <f>'GDP Growth Rates'!S151/100</f>
        <v>2.4976369294336536E-2</v>
      </c>
      <c r="U158" s="112">
        <f>'GDP Growth Rates'!T151/100</f>
        <v>-1.2740874433870886E-2</v>
      </c>
      <c r="V158" s="112">
        <f>'GDP Growth Rates'!U151/100</f>
        <v>6.5138857585270243E-2</v>
      </c>
      <c r="W158" s="112">
        <f>'GDP Growth Rates'!V151/100</f>
        <v>4.7781068690357954E-2</v>
      </c>
      <c r="X158" s="112">
        <f>'GDP Growth Rates'!W151/100</f>
        <v>-3.9838971667350621E-4</v>
      </c>
      <c r="Y158" s="112">
        <f>'GDP Growth Rates'!X151/100</f>
        <v>3.2347844321014778E-2</v>
      </c>
    </row>
    <row r="159" spans="2:25">
      <c r="B159" s="634" t="s">
        <v>387</v>
      </c>
      <c r="C159" s="635" t="s">
        <v>388</v>
      </c>
      <c r="D159" s="634" t="s">
        <v>684</v>
      </c>
      <c r="E159" s="635" t="s">
        <v>685</v>
      </c>
      <c r="F159" s="112">
        <f>'GDP Growth Rates'!E152/100</f>
        <v>3.4139654003197961E-2</v>
      </c>
      <c r="G159" s="112">
        <f>'GDP Growth Rates'!F152/100</f>
        <v>-1.2371989193619016E-3</v>
      </c>
      <c r="H159" s="112">
        <f>'GDP Growth Rates'!G152/100</f>
        <v>1.7540310150582456E-2</v>
      </c>
      <c r="I159" s="112">
        <f>'GDP Growth Rates'!H152/100</f>
        <v>-5.4939766587910839E-2</v>
      </c>
      <c r="J159" s="112">
        <f>'GDP Growth Rates'!I152/100</f>
        <v>-7.2605760118379978E-2</v>
      </c>
      <c r="K159" s="112">
        <f>'GDP Growth Rates'!J152/100</f>
        <v>-8.9589586010212947E-3</v>
      </c>
      <c r="L159" s="112">
        <f>'GDP Growth Rates'!K152/100</f>
        <v>5.1182802251307183E-2</v>
      </c>
      <c r="M159" s="112">
        <f>'GDP Growth Rates'!L152/100</f>
        <v>1.2534124167347329E-2</v>
      </c>
      <c r="N159" s="112">
        <f>'GDP Growth Rates'!M152/100</f>
        <v>-3.0362268810169298E-2</v>
      </c>
      <c r="O159" s="112">
        <f>'GDP Growth Rates'!N152/100</f>
        <v>4.7699994328551015E-2</v>
      </c>
      <c r="P159" s="112">
        <f>'GDP Growth Rates'!O152/100</f>
        <v>8.1999798301281429E-2</v>
      </c>
      <c r="Q159" s="112">
        <f>'GDP Growth Rates'!P152/100</f>
        <v>-4.3998926755151047E-3</v>
      </c>
      <c r="R159" s="112">
        <f>'GDP Growth Rates'!Q152/100</f>
        <v>-3.2600184552075716E-2</v>
      </c>
      <c r="S159" s="112">
        <f>'GDP Growth Rates'!R152/100</f>
        <v>1.1000833957139377E-3</v>
      </c>
      <c r="T159" s="112">
        <f>'GDP Growth Rates'!S152/100</f>
        <v>2.0001506865479257E-3</v>
      </c>
      <c r="U159" s="112">
        <f>'GDP Growth Rates'!T152/100</f>
        <v>-5.999433925323544E-2</v>
      </c>
      <c r="V159" s="112">
        <f>'GDP Growth Rates'!U152/100</f>
        <v>-0.1379389321906058</v>
      </c>
      <c r="W159" s="112">
        <f>'GDP Growth Rates'!V152/100</f>
        <v>-1.3184271665502366E-2</v>
      </c>
      <c r="X159" s="112">
        <f>'GDP Growth Rates'!W152/100</f>
        <v>1.8770319839259884E-2</v>
      </c>
      <c r="Y159" s="112" t="e">
        <f>'GDP Growth Rates'!X152/100</f>
        <v>#VALUE!</v>
      </c>
    </row>
    <row r="160" spans="2:25">
      <c r="B160" s="634" t="s">
        <v>387</v>
      </c>
      <c r="C160" s="635" t="s">
        <v>388</v>
      </c>
      <c r="D160" s="634" t="s">
        <v>686</v>
      </c>
      <c r="E160" s="635" t="s">
        <v>687</v>
      </c>
      <c r="F160" s="112">
        <f>'GDP Growth Rates'!E153/100</f>
        <v>8.2761833450353067E-2</v>
      </c>
      <c r="G160" s="112">
        <f>'GDP Growth Rates'!F153/100</f>
        <v>9.8572387056475183E-2</v>
      </c>
      <c r="H160" s="112">
        <f>'GDP Growth Rates'!G153/100</f>
        <v>0.13153065378293349</v>
      </c>
      <c r="I160" s="112">
        <f>'GDP Growth Rates'!H153/100</f>
        <v>0.10197432590795842</v>
      </c>
      <c r="J160" s="112">
        <f>'GDP Growth Rates'!I153/100</f>
        <v>1.6118640597605493E-2</v>
      </c>
      <c r="K160" s="112">
        <f>'GDP Growth Rates'!J153/100</f>
        <v>6.0733935310608729E-2</v>
      </c>
      <c r="L160" s="112">
        <f>'GDP Growth Rates'!K153/100</f>
        <v>0.11908877224953088</v>
      </c>
      <c r="M160" s="112">
        <f>'GDP Growth Rates'!L153/100</f>
        <v>9.6272934643901922E-2</v>
      </c>
      <c r="N160" s="112">
        <f>'GDP Growth Rates'!M153/100</f>
        <v>6.3243538866284588E-2</v>
      </c>
      <c r="O160" s="112">
        <f>'GDP Growth Rates'!N153/100</f>
        <v>4.625813755655514E-2</v>
      </c>
      <c r="P160" s="112">
        <f>'GDP Growth Rates'!O153/100</f>
        <v>5.2669171959551592E-2</v>
      </c>
      <c r="Q160" s="112">
        <f>'GDP Growth Rates'!P153/100</f>
        <v>4.5719670793727546E-2</v>
      </c>
      <c r="R160" s="112">
        <f>'GDP Growth Rates'!Q153/100</f>
        <v>5.7440594635578039E-2</v>
      </c>
      <c r="S160" s="112">
        <f>'GDP Growth Rates'!R153/100</f>
        <v>3.9181980738990346E-2</v>
      </c>
      <c r="T160" s="112">
        <f>'GDP Growth Rates'!S153/100</f>
        <v>3.1030678863035916E-2</v>
      </c>
      <c r="U160" s="112">
        <f>'GDP Growth Rates'!T153/100</f>
        <v>-0.17821229969500763</v>
      </c>
      <c r="V160" s="112">
        <f>'GDP Growth Rates'!U153/100</f>
        <v>0.16467124919155879</v>
      </c>
      <c r="W160" s="112">
        <f>'GDP Growth Rates'!V153/100</f>
        <v>0.10769665870618979</v>
      </c>
      <c r="X160" s="112">
        <f>'GDP Growth Rates'!W153/100</f>
        <v>7.3993015562621875E-2</v>
      </c>
      <c r="Y160" s="112">
        <f>'GDP Growth Rates'!X153/100</f>
        <v>2.8616666352324672E-2</v>
      </c>
    </row>
    <row r="161" spans="2:25">
      <c r="B161" s="634" t="s">
        <v>387</v>
      </c>
      <c r="C161" s="635" t="s">
        <v>388</v>
      </c>
      <c r="D161" s="634" t="s">
        <v>688</v>
      </c>
      <c r="E161" s="635" t="s">
        <v>689</v>
      </c>
      <c r="F161" s="112">
        <f>'GDP Growth Rates'!E154/100</f>
        <v>6.3447959230965412E-2</v>
      </c>
      <c r="G161" s="112">
        <f>'GDP Growth Rates'!F154/100</f>
        <v>5.4099440910730719E-2</v>
      </c>
      <c r="H161" s="112">
        <f>'GDP Growth Rates'!G154/100</f>
        <v>7.8151892286238797E-2</v>
      </c>
      <c r="I161" s="112">
        <f>'GDP Growth Rates'!H154/100</f>
        <v>-2.9645784588058178E-3</v>
      </c>
      <c r="J161" s="112">
        <f>'GDP Growth Rates'!I154/100</f>
        <v>6.8004214832209586E-2</v>
      </c>
      <c r="K161" s="112">
        <f>'GDP Growth Rates'!J154/100</f>
        <v>0.1012845407202316</v>
      </c>
      <c r="L161" s="112">
        <f>'GDP Growth Rates'!K154/100</f>
        <v>1.1075436261961613E-2</v>
      </c>
      <c r="M161" s="112">
        <f>'GDP Growth Rates'!L154/100</f>
        <v>4.6571195968623871E-2</v>
      </c>
      <c r="N161" s="112">
        <f>'GDP Growth Rates'!M154/100</f>
        <v>3.824946328006746E-2</v>
      </c>
      <c r="O161" s="112">
        <f>'GDP Growth Rates'!N154/100</f>
        <v>0.13543770621654588</v>
      </c>
      <c r="P161" s="112">
        <f>'GDP Growth Rates'!O154/100</f>
        <v>6.5783563230427541E-2</v>
      </c>
      <c r="Q161" s="112">
        <f>'GDP Growth Rates'!P154/100</f>
        <v>5.4895731527818722E-2</v>
      </c>
      <c r="R161" s="112">
        <f>'GDP Growth Rates'!Q154/100</f>
        <v>3.5346108175045854E-2</v>
      </c>
      <c r="S161" s="112">
        <f>'GDP Growth Rates'!R154/100</f>
        <v>-2.7925228495995214E-3</v>
      </c>
      <c r="T161" s="112">
        <f>'GDP Growth Rates'!S154/100</f>
        <v>4.4805145694258218E-2</v>
      </c>
      <c r="U161" s="112">
        <f>'GDP Growth Rates'!T154/100</f>
        <v>-3.1674320443481466E-2</v>
      </c>
      <c r="V161" s="112">
        <f>'GDP Growth Rates'!U154/100</f>
        <v>-5.1135341857819587E-3</v>
      </c>
      <c r="W161" s="112">
        <f>'GDP Growth Rates'!V154/100</f>
        <v>5.707584042381967E-2</v>
      </c>
      <c r="X161" s="112">
        <f>'GDP Growth Rates'!W154/100</f>
        <v>3.8108862290605144E-2</v>
      </c>
      <c r="Y161" s="112">
        <f>'GDP Growth Rates'!X154/100</f>
        <v>4.0950290020300886E-2</v>
      </c>
    </row>
    <row r="162" spans="2:25">
      <c r="B162" s="634" t="s">
        <v>387</v>
      </c>
      <c r="C162" s="635" t="s">
        <v>388</v>
      </c>
      <c r="D162" s="634" t="s">
        <v>690</v>
      </c>
      <c r="E162" s="635" t="s">
        <v>691</v>
      </c>
      <c r="F162" s="112">
        <f>'GDP Growth Rates'!E155/100</f>
        <v>2.1334906645960102E-2</v>
      </c>
      <c r="G162" s="112">
        <f>'GDP Growth Rates'!F155/100</f>
        <v>4.8071171926837623E-2</v>
      </c>
      <c r="H162" s="112">
        <f>'GDP Growth Rates'!G155/100</f>
        <v>5.4216228721823544E-2</v>
      </c>
      <c r="I162" s="112">
        <f>'GDP Growth Rates'!H155/100</f>
        <v>6.4962921197090961E-2</v>
      </c>
      <c r="J162" s="112">
        <f>'GDP Growth Rates'!I155/100</f>
        <v>-2.6113732808028091E-3</v>
      </c>
      <c r="K162" s="112">
        <f>'GDP Growth Rates'!J155/100</f>
        <v>0.11095231268552055</v>
      </c>
      <c r="L162" s="112">
        <f>'GDP Growth Rates'!K155/100</f>
        <v>4.2863712070228245E-2</v>
      </c>
      <c r="M162" s="112">
        <f>'GDP Growth Rates'!L155/100</f>
        <v>-7.0804311231688647E-3</v>
      </c>
      <c r="N162" s="112">
        <f>'GDP Growth Rates'!M155/100</f>
        <v>8.2930764894047118E-2</v>
      </c>
      <c r="O162" s="112">
        <f>'GDP Growth Rates'!N155/100</f>
        <v>5.301238592370254E-2</v>
      </c>
      <c r="P162" s="112">
        <f>'GDP Growth Rates'!O155/100</f>
        <v>2.9571517348710614E-2</v>
      </c>
      <c r="Q162" s="112">
        <f>'GDP Growth Rates'!P155/100</f>
        <v>4.2680258331458276E-2</v>
      </c>
      <c r="R162" s="112">
        <f>'GDP Growth Rates'!Q155/100</f>
        <v>4.810078855540411E-2</v>
      </c>
      <c r="S162" s="112">
        <f>'GDP Growth Rates'!R155/100</f>
        <v>3.204250340766393E-2</v>
      </c>
      <c r="T162" s="112">
        <f>'GDP Growth Rates'!S155/100</f>
        <v>-4.0185510068000948E-3</v>
      </c>
      <c r="U162" s="112">
        <f>'GDP Growth Rates'!T155/100</f>
        <v>-8.1978539097191574E-3</v>
      </c>
      <c r="V162" s="112">
        <f>'GDP Growth Rates'!U155/100</f>
        <v>4.01673731780312E-2</v>
      </c>
      <c r="W162" s="112">
        <f>'GDP Growth Rates'!V155/100</f>
        <v>1.7603836612406099E-3</v>
      </c>
      <c r="X162" s="112">
        <f>'GDP Growth Rates'!W155/100</f>
        <v>4.9992279113015174E-2</v>
      </c>
      <c r="Y162" s="112">
        <f>'GDP Growth Rates'!X155/100</f>
        <v>4.2499601046404226E-2</v>
      </c>
    </row>
    <row r="163" spans="2:25">
      <c r="B163" s="634" t="s">
        <v>387</v>
      </c>
      <c r="C163" s="635" t="s">
        <v>388</v>
      </c>
      <c r="D163" s="634" t="s">
        <v>692</v>
      </c>
      <c r="E163" s="635" t="s">
        <v>693</v>
      </c>
      <c r="F163" s="112">
        <f>'GDP Growth Rates'!E156/100</f>
        <v>6.2850603250960119E-2</v>
      </c>
      <c r="G163" s="112">
        <f>'GDP Growth Rates'!F156/100</f>
        <v>7.5288990440594006E-2</v>
      </c>
      <c r="H163" s="112">
        <f>'GDP Growth Rates'!G156/100</f>
        <v>8.5183877690954979E-2</v>
      </c>
      <c r="I163" s="112">
        <f>'GDP Growth Rates'!H156/100</f>
        <v>9.1265683014642038E-2</v>
      </c>
      <c r="J163" s="112">
        <f>'GDP Growth Rates'!I156/100</f>
        <v>1.0958236592426972E-2</v>
      </c>
      <c r="K163" s="112">
        <f>'GDP Growth Rates'!J156/100</f>
        <v>8.3324591074957655E-2</v>
      </c>
      <c r="L163" s="112">
        <f>'GDP Growth Rates'!K156/100</f>
        <v>6.3271924016111716E-2</v>
      </c>
      <c r="M163" s="112">
        <f>'GDP Growth Rates'!L156/100</f>
        <v>6.1397247056043512E-2</v>
      </c>
      <c r="N163" s="112">
        <f>'GDP Growth Rates'!M156/100</f>
        <v>5.8525182108492828E-2</v>
      </c>
      <c r="O163" s="112">
        <f>'GDP Growth Rates'!N156/100</f>
        <v>2.3821573718054056E-2</v>
      </c>
      <c r="P163" s="112">
        <f>'GDP Growth Rates'!O156/100</f>
        <v>3.2522447721845114E-2</v>
      </c>
      <c r="Q163" s="112">
        <f>'GDP Growth Rates'!P156/100</f>
        <v>3.9533187152076724E-2</v>
      </c>
      <c r="R163" s="112">
        <f>'GDP Growth Rates'!Q156/100</f>
        <v>2.5188354423313512E-2</v>
      </c>
      <c r="S163" s="112">
        <f>'GDP Growth Rates'!R156/100</f>
        <v>3.9693513413649982E-2</v>
      </c>
      <c r="T163" s="112">
        <f>'GDP Growth Rates'!S156/100</f>
        <v>2.2406317687504895E-2</v>
      </c>
      <c r="U163" s="112">
        <f>'GDP Growth Rates'!T156/100</f>
        <v>-0.10933306501038231</v>
      </c>
      <c r="V163" s="112">
        <f>'GDP Growth Rates'!U156/100</f>
        <v>0.1336262409031248</v>
      </c>
      <c r="W163" s="112">
        <f>'GDP Growth Rates'!V156/100</f>
        <v>2.8090335533015036E-2</v>
      </c>
      <c r="X163" s="112">
        <f>'GDP Growth Rates'!W156/100</f>
        <v>-4.0324215149426836E-3</v>
      </c>
      <c r="Y163" s="112">
        <f>'GDP Growth Rates'!X156/100</f>
        <v>3.3039409817151581E-2</v>
      </c>
    </row>
    <row r="164" spans="2:25">
      <c r="B164" s="634" t="s">
        <v>387</v>
      </c>
      <c r="C164" s="635" t="s">
        <v>388</v>
      </c>
      <c r="D164" s="634" t="s">
        <v>244</v>
      </c>
      <c r="E164" s="635" t="s">
        <v>694</v>
      </c>
      <c r="F164" s="112">
        <f>'GDP Growth Rates'!E157/100</f>
        <v>4.9425051187767792E-2</v>
      </c>
      <c r="G164" s="112">
        <f>'GDP Growth Rates'!F157/100</f>
        <v>5.3164168213693873E-2</v>
      </c>
      <c r="H164" s="112">
        <f>'GDP Growth Rates'!G157/100</f>
        <v>6.5192915501893794E-2</v>
      </c>
      <c r="I164" s="112">
        <f>'GDP Growth Rates'!H157/100</f>
        <v>4.344487305091832E-2</v>
      </c>
      <c r="J164" s="112">
        <f>'GDP Growth Rates'!I157/100</f>
        <v>1.4483230627566854E-2</v>
      </c>
      <c r="K164" s="112">
        <f>'GDP Growth Rates'!J157/100</f>
        <v>7.3344999603453823E-2</v>
      </c>
      <c r="L164" s="112">
        <f>'GDP Growth Rates'!K157/100</f>
        <v>3.8582328279566272E-2</v>
      </c>
      <c r="M164" s="112">
        <f>'GDP Growth Rates'!L157/100</f>
        <v>6.8969517105098535E-2</v>
      </c>
      <c r="N164" s="112">
        <f>'GDP Growth Rates'!M157/100</f>
        <v>6.7505313014225549E-2</v>
      </c>
      <c r="O164" s="112">
        <f>'GDP Growth Rates'!N157/100</f>
        <v>6.3479874826086732E-2</v>
      </c>
      <c r="P164" s="112">
        <f>'GDP Growth Rates'!O157/100</f>
        <v>6.3483097167276126E-2</v>
      </c>
      <c r="Q164" s="112">
        <f>'GDP Growth Rates'!P157/100</f>
        <v>7.1494567500075157E-2</v>
      </c>
      <c r="R164" s="112">
        <f>'GDP Growth Rates'!Q157/100</f>
        <v>6.9309883258402039E-2</v>
      </c>
      <c r="S164" s="112">
        <f>'GDP Growth Rates'!R157/100</f>
        <v>6.3414855715347329E-2</v>
      </c>
      <c r="T164" s="112">
        <f>'GDP Growth Rates'!S157/100</f>
        <v>6.1185256622130313E-2</v>
      </c>
      <c r="U164" s="112">
        <f>'GDP Growth Rates'!T157/100</f>
        <v>-9.5182947404529733E-2</v>
      </c>
      <c r="V164" s="112">
        <f>'GDP Growth Rates'!U157/100</f>
        <v>5.7147331318511616E-2</v>
      </c>
      <c r="W164" s="112">
        <f>'GDP Growth Rates'!V157/100</f>
        <v>7.5809821278556344E-2</v>
      </c>
      <c r="X164" s="112">
        <f>'GDP Growth Rates'!W157/100</f>
        <v>5.5189496786286298E-2</v>
      </c>
      <c r="Y164" s="112">
        <f>'GDP Growth Rates'!X157/100</f>
        <v>5.6920161282341154E-2</v>
      </c>
    </row>
    <row r="165" spans="2:25">
      <c r="B165" s="634" t="s">
        <v>387</v>
      </c>
      <c r="C165" s="635" t="s">
        <v>388</v>
      </c>
      <c r="D165" s="634" t="s">
        <v>695</v>
      </c>
      <c r="E165" s="635" t="s">
        <v>696</v>
      </c>
      <c r="F165" s="112">
        <f>'GDP Growth Rates'!E158/100</f>
        <v>3.260822746792158E-2</v>
      </c>
      <c r="G165" s="112">
        <f>'GDP Growth Rates'!F158/100</f>
        <v>6.2021071093437283E-2</v>
      </c>
      <c r="H165" s="112">
        <f>'GDP Growth Rates'!G158/100</f>
        <v>6.7604478527625952E-2</v>
      </c>
      <c r="I165" s="112">
        <f>'GDP Growth Rates'!H158/100</f>
        <v>4.3837706927460543E-2</v>
      </c>
      <c r="J165" s="112">
        <f>'GDP Growth Rates'!I158/100</f>
        <v>2.6151285929168325E-2</v>
      </c>
      <c r="K165" s="112">
        <f>'GDP Growth Rates'!J158/100</f>
        <v>3.1689274825803582E-2</v>
      </c>
      <c r="L165" s="112">
        <f>'GDP Growth Rates'!K158/100</f>
        <v>5.2554625661279601E-2</v>
      </c>
      <c r="M165" s="112">
        <f>'GDP Growth Rates'!L158/100</f>
        <v>1.5117816764457502E-2</v>
      </c>
      <c r="N165" s="112">
        <f>'GDP Growth Rates'!M158/100</f>
        <v>6.842406070518052E-3</v>
      </c>
      <c r="O165" s="112">
        <f>'GDP Growth Rates'!N158/100</f>
        <v>3.9205086239003178E-2</v>
      </c>
      <c r="P165" s="112">
        <f>'GDP Growth Rates'!O158/100</f>
        <v>4.4317670026447757E-2</v>
      </c>
      <c r="Q165" s="112">
        <f>'GDP Growth Rates'!P158/100</f>
        <v>3.0311776759484699E-2</v>
      </c>
      <c r="R165" s="112">
        <f>'GDP Growth Rates'!Q158/100</f>
        <v>5.1524577332590693E-2</v>
      </c>
      <c r="S165" s="112">
        <f>'GDP Growth Rates'!R158/100</f>
        <v>6.2458584723942036E-2</v>
      </c>
      <c r="T165" s="112">
        <f>'GDP Growth Rates'!S158/100</f>
        <v>4.5804581725619894E-2</v>
      </c>
      <c r="U165" s="112">
        <f>'GDP Growth Rates'!T158/100</f>
        <v>-2.0355688239997675E-2</v>
      </c>
      <c r="V165" s="112">
        <f>'GDP Growth Rates'!U158/100</f>
        <v>6.9271826605250053E-2</v>
      </c>
      <c r="W165" s="112">
        <f>'GDP Growth Rates'!V158/100</f>
        <v>5.2554569738603618E-2</v>
      </c>
      <c r="X165" s="112">
        <f>'GDP Growth Rates'!W158/100</f>
        <v>2.4961083401787219E-3</v>
      </c>
      <c r="Y165" s="112">
        <f>'GDP Growth Rates'!X158/100</f>
        <v>2.9233880806668965E-2</v>
      </c>
    </row>
    <row r="166" spans="2:25">
      <c r="B166" s="634" t="s">
        <v>387</v>
      </c>
      <c r="C166" s="635" t="s">
        <v>388</v>
      </c>
      <c r="D166" s="634" t="s">
        <v>697</v>
      </c>
      <c r="E166" s="635" t="s">
        <v>698</v>
      </c>
      <c r="F166" s="112">
        <f>'GDP Growth Rates'!E159/100</f>
        <v>7.818475651758092E-3</v>
      </c>
      <c r="G166" s="112">
        <f>'GDP Growth Rates'!F159/100</f>
        <v>1.625035321419915E-2</v>
      </c>
      <c r="H166" s="112">
        <f>'GDP Growth Rates'!G159/100</f>
        <v>2.5065793651548346E-2</v>
      </c>
      <c r="I166" s="112">
        <f>'GDP Growth Rates'!H159/100</f>
        <v>3.1924734289916048E-3</v>
      </c>
      <c r="J166" s="112">
        <f>'GDP Growth Rates'!I159/100</f>
        <v>-3.1220782604831923E-2</v>
      </c>
      <c r="K166" s="112">
        <f>'GDP Growth Rates'!J159/100</f>
        <v>1.7376245278014579E-2</v>
      </c>
      <c r="L166" s="112">
        <f>'GDP Growth Rates'!K159/100</f>
        <v>-1.71352745071583E-2</v>
      </c>
      <c r="M166" s="112">
        <f>'GDP Growth Rates'!L159/100</f>
        <v>-4.0509026561716725E-2</v>
      </c>
      <c r="N166" s="112">
        <f>'GDP Growth Rates'!M159/100</f>
        <v>-9.841065690724236E-3</v>
      </c>
      <c r="O166" s="112">
        <f>'GDP Growth Rates'!N159/100</f>
        <v>7.4139141684450745E-3</v>
      </c>
      <c r="P166" s="112">
        <f>'GDP Growth Rates'!O159/100</f>
        <v>1.5897980288062712E-2</v>
      </c>
      <c r="Q166" s="112">
        <f>'GDP Growth Rates'!P159/100</f>
        <v>2.0041412864648861E-2</v>
      </c>
      <c r="R166" s="112">
        <f>'GDP Growth Rates'!Q159/100</f>
        <v>3.3147205642082726E-2</v>
      </c>
      <c r="S166" s="112">
        <f>'GDP Growth Rates'!R159/100</f>
        <v>2.9462824400740006E-2</v>
      </c>
      <c r="T166" s="112">
        <f>'GDP Growth Rates'!S159/100</f>
        <v>2.7456847956423617E-2</v>
      </c>
      <c r="U166" s="112">
        <f>'GDP Growth Rates'!T159/100</f>
        <v>-8.204632012399031E-2</v>
      </c>
      <c r="V166" s="112">
        <f>'GDP Growth Rates'!U159/100</f>
        <v>5.5587577155667277E-2</v>
      </c>
      <c r="W166" s="112">
        <f>'GDP Growth Rates'!V159/100</f>
        <v>6.9858417811996962E-2</v>
      </c>
      <c r="X166" s="112">
        <f>'GDP Growth Rates'!W159/100</f>
        <v>2.6131285435102285E-2</v>
      </c>
      <c r="Y166" s="112">
        <f>'GDP Growth Rates'!X159/100</f>
        <v>1.928444060439773E-2</v>
      </c>
    </row>
    <row r="167" spans="2:25">
      <c r="B167" s="634" t="s">
        <v>387</v>
      </c>
      <c r="C167" s="635" t="s">
        <v>388</v>
      </c>
      <c r="D167" s="634" t="s">
        <v>699</v>
      </c>
      <c r="E167" s="635" t="s">
        <v>700</v>
      </c>
      <c r="F167" s="112">
        <f>'GDP Growth Rates'!E160/100</f>
        <v>-1.9869387177270284E-2</v>
      </c>
      <c r="G167" s="112">
        <f>'GDP Growth Rates'!F160/100</f>
        <v>-1.4094140568482344E-2</v>
      </c>
      <c r="H167" s="112">
        <f>'GDP Growth Rates'!G160/100</f>
        <v>-1.1628066557399279E-2</v>
      </c>
      <c r="I167" s="112">
        <f>'GDP Growth Rates'!H160/100</f>
        <v>-1.8441342183188426E-2</v>
      </c>
      <c r="J167" s="112">
        <f>'GDP Growth Rates'!I160/100</f>
        <v>-1.9524251838112433E-2</v>
      </c>
      <c r="K167" s="112">
        <f>'GDP Growth Rates'!J160/100</f>
        <v>-4.1325411917236465E-3</v>
      </c>
      <c r="L167" s="112">
        <f>'GDP Growth Rates'!K160/100</f>
        <v>-3.5851063685031193E-3</v>
      </c>
      <c r="M167" s="112">
        <f>'GDP Growth Rates'!L160/100</f>
        <v>2.9275150094406401E-4</v>
      </c>
      <c r="N167" s="112">
        <f>'GDP Growth Rates'!M160/100</f>
        <v>-3.0682666694177383E-3</v>
      </c>
      <c r="O167" s="112">
        <f>'GDP Growth Rates'!N160/100</f>
        <v>-1.190363473469418E-2</v>
      </c>
      <c r="P167" s="112">
        <f>'GDP Growth Rates'!O160/100</f>
        <v>-1.0492900323867359E-2</v>
      </c>
      <c r="Q167" s="112">
        <f>'GDP Growth Rates'!P160/100</f>
        <v>-1.2636943478111675E-2</v>
      </c>
      <c r="R167" s="112">
        <f>'GDP Growth Rates'!Q160/100</f>
        <v>-2.8852183839848066E-2</v>
      </c>
      <c r="S167" s="112">
        <f>'GDP Growth Rates'!R160/100</f>
        <v>-4.3614270316253541E-2</v>
      </c>
      <c r="T167" s="112">
        <f>'GDP Growth Rates'!S160/100</f>
        <v>1.6754637949820933E-2</v>
      </c>
      <c r="U167" s="112">
        <f>'GDP Growth Rates'!T160/100</f>
        <v>-4.1808743093345979E-2</v>
      </c>
      <c r="V167" s="112">
        <f>'GDP Growth Rates'!U160/100</f>
        <v>3.8522271952923857E-3</v>
      </c>
      <c r="W167" s="112">
        <f>'GDP Growth Rates'!V160/100</f>
        <v>2.9570956549958682E-2</v>
      </c>
      <c r="X167" s="112">
        <f>'GDP Growth Rates'!W160/100</f>
        <v>4.9810125248070849E-3</v>
      </c>
      <c r="Y167" s="112">
        <f>'GDP Growth Rates'!X160/100</f>
        <v>3.2267054222914877E-2</v>
      </c>
    </row>
    <row r="168" spans="2:25">
      <c r="B168" s="634" t="s">
        <v>387</v>
      </c>
      <c r="C168" s="635" t="s">
        <v>388</v>
      </c>
      <c r="D168" s="634" t="s">
        <v>701</v>
      </c>
      <c r="E168" s="635" t="s">
        <v>702</v>
      </c>
      <c r="F168" s="112">
        <f>'GDP Growth Rates'!E161/100</f>
        <v>7.4927584827906776E-2</v>
      </c>
      <c r="G168" s="112">
        <f>'GDP Growth Rates'!F161/100</f>
        <v>0.26170245670303188</v>
      </c>
      <c r="H168" s="112">
        <f>'GDP Growth Rates'!G161/100</f>
        <v>0.17985656816026349</v>
      </c>
      <c r="I168" s="112">
        <f>'GDP Growth Rates'!H161/100</f>
        <v>0.17663556362608943</v>
      </c>
      <c r="J168" s="112">
        <f>'GDP Growth Rates'!I161/100</f>
        <v>0.1195656112890859</v>
      </c>
      <c r="K168" s="112">
        <f>'GDP Growth Rates'!J161/100</f>
        <v>0.19592331533785895</v>
      </c>
      <c r="L168" s="112">
        <f>'GDP Growth Rates'!K161/100</f>
        <v>0.13375176410792861</v>
      </c>
      <c r="M168" s="112">
        <f>'GDP Growth Rates'!L161/100</f>
        <v>4.7300118436078405E-2</v>
      </c>
      <c r="N168" s="112">
        <f>'GDP Growth Rates'!M161/100</f>
        <v>5.5560406430660694E-2</v>
      </c>
      <c r="O168" s="112">
        <f>'GDP Growth Rates'!N161/100</f>
        <v>5.334323291964594E-2</v>
      </c>
      <c r="P168" s="112">
        <f>'GDP Growth Rates'!O161/100</f>
        <v>4.7533457243873728E-2</v>
      </c>
      <c r="Q168" s="112">
        <f>'GDP Growth Rates'!P161/100</f>
        <v>3.0641918843015644E-2</v>
      </c>
      <c r="R168" s="112">
        <f>'GDP Growth Rates'!Q161/100</f>
        <v>-1.4976047022783802E-2</v>
      </c>
      <c r="S168" s="112">
        <f>'GDP Growth Rates'!R161/100</f>
        <v>1.2348722019106475E-2</v>
      </c>
      <c r="T168" s="112">
        <f>'GDP Growth Rates'!S161/100</f>
        <v>6.8824095459267196E-3</v>
      </c>
      <c r="U168" s="112">
        <f>'GDP Growth Rates'!T161/100</f>
        <v>-3.5576039896783984E-2</v>
      </c>
      <c r="V168" s="112">
        <f>'GDP Growth Rates'!U161/100</f>
        <v>1.6268467191877533E-2</v>
      </c>
      <c r="W168" s="112">
        <f>'GDP Growth Rates'!V161/100</f>
        <v>4.1850097098286201E-2</v>
      </c>
      <c r="X168" s="112">
        <f>'GDP Growth Rates'!W161/100</f>
        <v>1.1871599162377606E-2</v>
      </c>
      <c r="Y168" s="112">
        <f>'GDP Growth Rates'!X161/100</f>
        <v>2.7684143359769705E-2</v>
      </c>
    </row>
    <row r="169" spans="2:25">
      <c r="B169" s="634" t="s">
        <v>387</v>
      </c>
      <c r="C169" s="635" t="s">
        <v>388</v>
      </c>
      <c r="D169" s="634" t="s">
        <v>703</v>
      </c>
      <c r="E169" s="635" t="s">
        <v>704</v>
      </c>
      <c r="F169" s="112">
        <f>'GDP Growth Rates'!E162/100</f>
        <v>4.6681480508487E-2</v>
      </c>
      <c r="G169" s="112">
        <f>'GDP Growth Rates'!F162/100</f>
        <v>8.0288110759916265E-2</v>
      </c>
      <c r="H169" s="112">
        <f>'GDP Growth Rates'!G162/100</f>
        <v>7.2338077436280485E-2</v>
      </c>
      <c r="I169" s="112">
        <f>'GDP Growth Rates'!H162/100</f>
        <v>9.3074671707733786E-2</v>
      </c>
      <c r="J169" s="112">
        <f>'GDP Growth Rates'!I162/100</f>
        <v>-5.5167061584301111E-2</v>
      </c>
      <c r="K169" s="112">
        <f>'GDP Growth Rates'!J162/100</f>
        <v>-3.905811573029723E-2</v>
      </c>
      <c r="L169" s="112">
        <f>'GDP Growth Rates'!K162/100</f>
        <v>4.495589099463132E-2</v>
      </c>
      <c r="M169" s="112">
        <f>'GDP Growth Rates'!L162/100</f>
        <v>1.9036169679960295E-2</v>
      </c>
      <c r="N169" s="112">
        <f>'GDP Growth Rates'!M162/100</f>
        <v>2.7877187747023411E-3</v>
      </c>
      <c r="O169" s="112">
        <f>'GDP Growth Rates'!N162/100</f>
        <v>4.1160010926783175E-2</v>
      </c>
      <c r="P169" s="112">
        <f>'GDP Growth Rates'!O162/100</f>
        <v>3.1570360543854009E-2</v>
      </c>
      <c r="Q169" s="112">
        <f>'GDP Growth Rates'!P162/100</f>
        <v>2.8599325230208875E-2</v>
      </c>
      <c r="R169" s="112">
        <f>'GDP Growth Rates'!Q162/100</f>
        <v>8.1954782664126077E-2</v>
      </c>
      <c r="S169" s="112">
        <f>'GDP Growth Rates'!R162/100</f>
        <v>6.1209300071460006E-2</v>
      </c>
      <c r="T169" s="112">
        <f>'GDP Growth Rates'!S162/100</f>
        <v>3.9232638496349351E-2</v>
      </c>
      <c r="U169" s="112">
        <f>'GDP Growth Rates'!T162/100</f>
        <v>-3.6743844091018898E-2</v>
      </c>
      <c r="V169" s="112">
        <f>'GDP Growth Rates'!U162/100</f>
        <v>5.5457096259051042E-2</v>
      </c>
      <c r="W169" s="112">
        <f>'GDP Growth Rates'!V162/100</f>
        <v>3.9653076631171728E-2</v>
      </c>
      <c r="X169" s="112">
        <f>'GDP Growth Rates'!W162/100</f>
        <v>2.4042717791280949E-2</v>
      </c>
      <c r="Y169" s="112">
        <f>'GDP Growth Rates'!X162/100</f>
        <v>8.136872034820896E-3</v>
      </c>
    </row>
    <row r="170" spans="2:25">
      <c r="B170" s="634" t="s">
        <v>387</v>
      </c>
      <c r="C170" s="635" t="s">
        <v>388</v>
      </c>
      <c r="D170" s="634" t="s">
        <v>705</v>
      </c>
      <c r="E170" s="635" t="s">
        <v>706</v>
      </c>
      <c r="F170" s="112">
        <f>'GDP Growth Rates'!E163/100</f>
        <v>6.3999654479946877E-2</v>
      </c>
      <c r="G170" s="112">
        <f>'GDP Growth Rates'!F163/100</f>
        <v>8.2000682545632059E-2</v>
      </c>
      <c r="H170" s="112">
        <f>'GDP Growth Rates'!G163/100</f>
        <v>8.4999777691651138E-2</v>
      </c>
      <c r="I170" s="112">
        <f>'GDP Growth Rates'!H163/100</f>
        <v>5.1999692640495712E-2</v>
      </c>
      <c r="J170" s="112">
        <f>'GDP Growth Rates'!I163/100</f>
        <v>-7.7999939127127507E-2</v>
      </c>
      <c r="K170" s="112">
        <f>'GDP Growth Rates'!J163/100</f>
        <v>4.4999999992067219E-2</v>
      </c>
      <c r="L170" s="112">
        <f>'GDP Growth Rates'!K163/100</f>
        <v>4.3000291856774876E-2</v>
      </c>
      <c r="M170" s="112">
        <f>'GDP Growth Rates'!L163/100</f>
        <v>4.024086157469213E-2</v>
      </c>
      <c r="N170" s="112">
        <f>'GDP Growth Rates'!M163/100</f>
        <v>1.75542214874298E-2</v>
      </c>
      <c r="O170" s="112">
        <f>'GDP Growth Rates'!N163/100</f>
        <v>7.3626722176567232E-3</v>
      </c>
      <c r="P170" s="112">
        <f>'GDP Growth Rates'!O163/100</f>
        <v>-1.9727192258040843E-2</v>
      </c>
      <c r="Q170" s="112">
        <f>'GDP Growth Rates'!P163/100</f>
        <v>1.9369007126053361E-3</v>
      </c>
      <c r="R170" s="112">
        <f>'GDP Growth Rates'!Q163/100</f>
        <v>1.8257900640183351E-2</v>
      </c>
      <c r="S170" s="112">
        <f>'GDP Growth Rates'!R163/100</f>
        <v>2.8072454105960105E-2</v>
      </c>
      <c r="T170" s="112">
        <f>'GDP Growth Rates'!S163/100</f>
        <v>2.1980757133500929E-2</v>
      </c>
      <c r="U170" s="112">
        <f>'GDP Growth Rates'!T163/100</f>
        <v>-2.6536545010277308E-2</v>
      </c>
      <c r="V170" s="112">
        <f>'GDP Growth Rates'!U163/100</f>
        <v>5.8664917729259546E-2</v>
      </c>
      <c r="W170" s="112">
        <f>'GDP Growth Rates'!V163/100</f>
        <v>-1.4358821385984157E-2</v>
      </c>
      <c r="X170" s="112">
        <f>'GDP Growth Rates'!W163/100</f>
        <v>4.0825248125928082E-2</v>
      </c>
      <c r="Y170" s="112">
        <f>'GDP Growth Rates'!X163/100</f>
        <v>4.3443747549152929E-2</v>
      </c>
    </row>
    <row r="171" spans="2:25">
      <c r="B171" s="634" t="s">
        <v>387</v>
      </c>
      <c r="C171" s="635" t="s">
        <v>388</v>
      </c>
      <c r="D171" s="634" t="s">
        <v>707</v>
      </c>
      <c r="E171" s="635" t="s">
        <v>708</v>
      </c>
      <c r="F171" s="112">
        <f>'GDP Growth Rates'!E164/100</f>
        <v>9.377899167368596E-2</v>
      </c>
      <c r="G171" s="112">
        <f>'GDP Growth Rates'!F164/100</f>
        <v>9.2270757679888071E-2</v>
      </c>
      <c r="H171" s="112">
        <f>'GDP Growth Rates'!G164/100</f>
        <v>7.6332981912527631E-2</v>
      </c>
      <c r="I171" s="112">
        <f>'GDP Growth Rates'!H164/100</f>
        <v>0.11161247324732343</v>
      </c>
      <c r="J171" s="112">
        <f>'GDP Growth Rates'!I164/100</f>
        <v>6.2482575062050787E-2</v>
      </c>
      <c r="K171" s="112">
        <f>'GDP Growth Rates'!J164/100</f>
        <v>7.3346564500675268E-2</v>
      </c>
      <c r="L171" s="112">
        <f>'GDP Growth Rates'!K164/100</f>
        <v>7.9583886984709404E-2</v>
      </c>
      <c r="M171" s="112">
        <f>'GDP Growth Rates'!L164/100</f>
        <v>8.6415081583632231E-2</v>
      </c>
      <c r="N171" s="112">
        <f>'GDP Growth Rates'!M164/100</f>
        <v>4.7198485697826274E-2</v>
      </c>
      <c r="O171" s="112">
        <f>'GDP Growth Rates'!N164/100</f>
        <v>6.1671661516693205E-2</v>
      </c>
      <c r="P171" s="112">
        <f>'GDP Growth Rates'!O164/100</f>
        <v>8.8568555974538013E-2</v>
      </c>
      <c r="Q171" s="112">
        <f>'GDP Growth Rates'!P164/100</f>
        <v>5.9707452543109413E-2</v>
      </c>
      <c r="R171" s="112">
        <f>'GDP Growth Rates'!Q164/100</f>
        <v>3.9181709362846533E-2</v>
      </c>
      <c r="S171" s="112">
        <f>'GDP Growth Rates'!R164/100</f>
        <v>8.5164672259240889E-2</v>
      </c>
      <c r="T171" s="112">
        <f>'GDP Growth Rates'!S164/100</f>
        <v>9.4473851861309729E-2</v>
      </c>
      <c r="U171" s="112">
        <f>'GDP Growth Rates'!T164/100</f>
        <v>-3.3736874636978199E-2</v>
      </c>
      <c r="V171" s="112">
        <f>'GDP Growth Rates'!U164/100</f>
        <v>0.10858432018489551</v>
      </c>
      <c r="W171" s="112">
        <f>'GDP Growth Rates'!V164/100</f>
        <v>8.1612072087291238E-2</v>
      </c>
      <c r="X171" s="112">
        <f>'GDP Growth Rates'!W164/100</f>
        <v>8.2499030201455811E-2</v>
      </c>
      <c r="Y171" s="112">
        <f>'GDP Growth Rates'!X164/100</f>
        <v>8.8906552957311369E-2</v>
      </c>
    </row>
    <row r="172" spans="2:25">
      <c r="B172" s="634" t="s">
        <v>387</v>
      </c>
      <c r="C172" s="635" t="s">
        <v>388</v>
      </c>
      <c r="D172" s="634" t="s">
        <v>709</v>
      </c>
      <c r="E172" s="635" t="s">
        <v>710</v>
      </c>
      <c r="F172" s="112">
        <f>'GDP Growth Rates'!E165/100</f>
        <v>6.6392036130073398E-2</v>
      </c>
      <c r="G172" s="112">
        <f>'GDP Growth Rates'!F165/100</f>
        <v>2.1321271467735131E-2</v>
      </c>
      <c r="H172" s="112">
        <f>'GDP Growth Rates'!G165/100</f>
        <v>4.8598255001725474E-3</v>
      </c>
      <c r="I172" s="112">
        <f>'GDP Growth Rates'!H165/100</f>
        <v>3.556104673950003E-2</v>
      </c>
      <c r="J172" s="112">
        <f>'GDP Growth Rates'!I165/100</f>
        <v>-5.416776018345928E-3</v>
      </c>
      <c r="K172" s="112">
        <f>'GDP Growth Rates'!J165/100</f>
        <v>6.1247199226124989E-2</v>
      </c>
      <c r="L172" s="112">
        <f>'GDP Growth Rates'!K165/100</f>
        <v>3.8490779466039557E-2</v>
      </c>
      <c r="M172" s="112">
        <f>'GDP Growth Rates'!L165/100</f>
        <v>-3.7321302089026599E-2</v>
      </c>
      <c r="N172" s="112">
        <f>'GDP Growth Rates'!M165/100</f>
        <v>1.0729327648893161E-3</v>
      </c>
      <c r="O172" s="112">
        <f>'GDP Growth Rates'!N165/100</f>
        <v>6.5992376878286048E-3</v>
      </c>
      <c r="P172" s="112">
        <f>'GDP Growth Rates'!O165/100</f>
        <v>3.8503618166493968E-2</v>
      </c>
      <c r="Q172" s="112">
        <f>'GDP Growth Rates'!P165/100</f>
        <v>7.9838628784712998E-2</v>
      </c>
      <c r="R172" s="112">
        <f>'GDP Growth Rates'!Q165/100</f>
        <v>1.4062823997130068E-2</v>
      </c>
      <c r="S172" s="112">
        <f>'GDP Growth Rates'!R165/100</f>
        <v>-6.096471033801407E-3</v>
      </c>
      <c r="T172" s="112">
        <f>'GDP Growth Rates'!S165/100</f>
        <v>4.4518589168869055E-2</v>
      </c>
      <c r="U172" s="112">
        <f>'GDP Growth Rates'!T165/100</f>
        <v>-3.108444010531386E-2</v>
      </c>
      <c r="V172" s="112">
        <f>'GDP Growth Rates'!U165/100</f>
        <v>-7.0788309429150764E-2</v>
      </c>
      <c r="W172" s="112">
        <f>'GDP Growth Rates'!V165/100</f>
        <v>-5.3062908996697897E-2</v>
      </c>
      <c r="X172" s="112">
        <f>'GDP Growth Rates'!W165/100</f>
        <v>9.2086492396468878E-2</v>
      </c>
      <c r="Y172" s="112">
        <f>'GDP Growth Rates'!X165/100</f>
        <v>9.4223504415869422E-2</v>
      </c>
    </row>
    <row r="173" spans="2:25">
      <c r="B173" s="634" t="s">
        <v>387</v>
      </c>
      <c r="C173" s="635" t="s">
        <v>388</v>
      </c>
      <c r="D173" s="634" t="s">
        <v>711</v>
      </c>
      <c r="E173" s="635" t="s">
        <v>712</v>
      </c>
      <c r="F173" s="112">
        <f>'GDP Growth Rates'!E166/100</f>
        <v>2.4251069900142568E-2</v>
      </c>
      <c r="G173" s="112">
        <f>'GDP Growth Rates'!F166/100</f>
        <v>3.8300835654596167E-2</v>
      </c>
      <c r="H173" s="112">
        <f>'GDP Growth Rates'!G166/100</f>
        <v>7.1093226022803435E-2</v>
      </c>
      <c r="I173" s="112">
        <f>'GDP Growth Rates'!H166/100</f>
        <v>-5.0093926111458133E-3</v>
      </c>
      <c r="J173" s="112">
        <f>'GDP Growth Rates'!I166/100</f>
        <v>-0.10320956576463175</v>
      </c>
      <c r="K173" s="112">
        <f>'GDP Growth Rates'!J166/100</f>
        <v>-5.4736842105263153E-2</v>
      </c>
      <c r="L173" s="112">
        <f>'GDP Growth Rates'!K166/100</f>
        <v>-8.314773570898297E-2</v>
      </c>
      <c r="M173" s="112">
        <f>'GDP Growth Rates'!L166/100</f>
        <v>-7.0445344129554568E-2</v>
      </c>
      <c r="N173" s="112">
        <f>'GDP Growth Rates'!M166/100</f>
        <v>-7.839721254355397E-3</v>
      </c>
      <c r="O173" s="112">
        <f>'GDP Growth Rates'!N166/100</f>
        <v>-7.0237050043898816E-3</v>
      </c>
      <c r="P173" s="112">
        <f>'GDP Growth Rates'!O166/100</f>
        <v>2.2915055612926664E-2</v>
      </c>
      <c r="Q173" s="112">
        <f>'GDP Growth Rates'!P166/100</f>
        <v>2.3444058605542467E-2</v>
      </c>
      <c r="R173" s="112">
        <f>'GDP Growth Rates'!Q166/100</f>
        <v>2.5826546632805505E-3</v>
      </c>
      <c r="S173" s="112">
        <f>'GDP Growth Rates'!R166/100</f>
        <v>1.4939053181737024E-2</v>
      </c>
      <c r="T173" s="112">
        <f>'GDP Growth Rates'!S166/100</f>
        <v>2.0656851473274146E-2</v>
      </c>
      <c r="U173" s="112">
        <f>'GDP Growth Rates'!T166/100</f>
        <v>-6.6479108178060214E-2</v>
      </c>
      <c r="V173" s="112">
        <f>'GDP Growth Rates'!U166/100</f>
        <v>0.13897789507623387</v>
      </c>
      <c r="W173" s="112">
        <f>'GDP Growth Rates'!V166/100</f>
        <v>7.8984414576760434E-2</v>
      </c>
      <c r="X173" s="112" t="e">
        <f>'GDP Growth Rates'!W166/100</f>
        <v>#VALUE!</v>
      </c>
      <c r="Y173" s="112" t="e">
        <f>'GDP Growth Rates'!X166/100</f>
        <v>#VALUE!</v>
      </c>
    </row>
    <row r="174" spans="2:25">
      <c r="B174" s="634" t="s">
        <v>387</v>
      </c>
      <c r="C174" s="635" t="s">
        <v>388</v>
      </c>
      <c r="D174" s="634" t="s">
        <v>713</v>
      </c>
      <c r="E174" s="635" t="s">
        <v>714</v>
      </c>
      <c r="F174" s="112">
        <f>'GDP Growth Rates'!E167/100</f>
        <v>6.6146247503359915E-2</v>
      </c>
      <c r="G174" s="112">
        <f>'GDP Growth Rates'!F167/100</f>
        <v>8.8661093594402593E-2</v>
      </c>
      <c r="H174" s="112">
        <f>'GDP Growth Rates'!G167/100</f>
        <v>3.6414718516602419E-2</v>
      </c>
      <c r="I174" s="112">
        <f>'GDP Growth Rates'!H167/100</f>
        <v>6.2287850696101967E-2</v>
      </c>
      <c r="J174" s="112">
        <f>'GDP Growth Rates'!I167/100</f>
        <v>3.3023996664506117E-2</v>
      </c>
      <c r="K174" s="112">
        <f>'GDP Growth Rates'!J167/100</f>
        <v>1.4484552289063543E-2</v>
      </c>
      <c r="L174" s="112">
        <f>'GDP Growth Rates'!K167/100</f>
        <v>1.9994321033325945E-2</v>
      </c>
      <c r="M174" s="112">
        <f>'GDP Growth Rates'!L167/100</f>
        <v>2.9429427741602298E-2</v>
      </c>
      <c r="N174" s="112">
        <f>'GDP Growth Rates'!M167/100</f>
        <v>5.1196773542851307E-2</v>
      </c>
      <c r="O174" s="112">
        <f>'GDP Growth Rates'!N167/100</f>
        <v>4.9062104866486746E-2</v>
      </c>
      <c r="P174" s="112">
        <f>'GDP Growth Rates'!O167/100</f>
        <v>1.5397042826734975E-2</v>
      </c>
      <c r="Q174" s="112">
        <f>'GDP Growth Rates'!P167/100</f>
        <v>5.1768246868411298E-2</v>
      </c>
      <c r="R174" s="112">
        <f>'GDP Growth Rates'!Q167/100</f>
        <v>4.1129796628195409E-2</v>
      </c>
      <c r="S174" s="112">
        <f>'GDP Growth Rates'!R167/100</f>
        <v>4.3781280826497238E-2</v>
      </c>
      <c r="T174" s="112">
        <f>'GDP Growth Rates'!S167/100</f>
        <v>2.0143167212940655E-2</v>
      </c>
      <c r="U174" s="112">
        <f>'GDP Growth Rates'!T167/100</f>
        <v>2.6248594954381161E-2</v>
      </c>
      <c r="V174" s="112">
        <f>'GDP Growth Rates'!U167/100</f>
        <v>1.899298913378317E-2</v>
      </c>
      <c r="W174" s="112">
        <f>'GDP Growth Rates'!V167/100</f>
        <v>1.6869849221656352E-3</v>
      </c>
      <c r="X174" s="112">
        <f>'GDP Growth Rates'!W167/100</f>
        <v>3.7225277500145637E-3</v>
      </c>
      <c r="Y174" s="112">
        <f>'GDP Growth Rates'!X167/100</f>
        <v>9.0000059899249148E-3</v>
      </c>
    </row>
    <row r="175" spans="2:25">
      <c r="B175" s="634" t="s">
        <v>387</v>
      </c>
      <c r="C175" s="635" t="s">
        <v>388</v>
      </c>
      <c r="D175" s="634" t="s">
        <v>715</v>
      </c>
      <c r="E175" s="635" t="s">
        <v>716</v>
      </c>
      <c r="F175" s="112">
        <f>'GDP Growth Rates'!E168/100</f>
        <v>5.9448962393483525E-2</v>
      </c>
      <c r="G175" s="112">
        <f>'GDP Growth Rates'!F168/100</f>
        <v>3.3134847362590134E-2</v>
      </c>
      <c r="H175" s="112">
        <f>'GDP Growth Rates'!G168/100</f>
        <v>2.2136539637252782E-2</v>
      </c>
      <c r="I175" s="112">
        <f>'GDP Growth Rates'!H168/100</f>
        <v>6.2379875365458019E-2</v>
      </c>
      <c r="J175" s="112">
        <f>'GDP Growth Rates'!I168/100</f>
        <v>-1.0667171124020314E-2</v>
      </c>
      <c r="K175" s="112">
        <f>'GDP Growth Rates'!J168/100</f>
        <v>5.0395150823516983E-2</v>
      </c>
      <c r="L175" s="112">
        <f>'GDP Growth Rates'!K168/100</f>
        <v>0.11758856805200481</v>
      </c>
      <c r="M175" s="112">
        <f>'GDP Growth Rates'!L168/100</f>
        <v>5.7615073241280186E-2</v>
      </c>
      <c r="N175" s="112">
        <f>'GDP Growth Rates'!M168/100</f>
        <v>2.9456999070129653E-2</v>
      </c>
      <c r="O175" s="112">
        <f>'GDP Growth Rates'!N168/100</f>
        <v>4.024640705845272E-2</v>
      </c>
      <c r="P175" s="112">
        <f>'GDP Growth Rates'!O168/100</f>
        <v>4.6551231665269907E-2</v>
      </c>
      <c r="Q175" s="112">
        <f>'GDP Growth Rates'!P168/100</f>
        <v>1.7040746576595611E-2</v>
      </c>
      <c r="R175" s="112">
        <f>'GDP Growth Rates'!Q168/100</f>
        <v>1.1820799330852623E-2</v>
      </c>
      <c r="S175" s="112">
        <f>'GDP Growth Rates'!R168/100</f>
        <v>3.2269508901591026E-2</v>
      </c>
      <c r="T175" s="112">
        <f>'GDP Growth Rates'!S168/100</f>
        <v>1.6515635888557655E-2</v>
      </c>
      <c r="U175" s="112">
        <f>'GDP Growth Rates'!T168/100</f>
        <v>-3.8047647303899909E-2</v>
      </c>
      <c r="V175" s="112">
        <f>'GDP Growth Rates'!U168/100</f>
        <v>6.5195969832541889E-2</v>
      </c>
      <c r="W175" s="112">
        <f>'GDP Growth Rates'!V168/100</f>
        <v>0.12000587475292888</v>
      </c>
      <c r="X175" s="112">
        <f>'GDP Growth Rates'!W168/100</f>
        <v>5.4259243939316091E-3</v>
      </c>
      <c r="Y175" s="112">
        <f>'GDP Growth Rates'!X168/100</f>
        <v>1.8079551514729814E-2</v>
      </c>
    </row>
    <row r="176" spans="2:25">
      <c r="B176" s="634" t="s">
        <v>387</v>
      </c>
      <c r="C176" s="635" t="s">
        <v>388</v>
      </c>
      <c r="D176" s="634" t="s">
        <v>717</v>
      </c>
      <c r="E176" s="635" t="s">
        <v>718</v>
      </c>
      <c r="F176" s="112">
        <f>'GDP Growth Rates'!E169/100</f>
        <v>4.310238526396333E-2</v>
      </c>
      <c r="G176" s="112">
        <f>'GDP Growth Rates'!F169/100</f>
        <v>2.3307709833023865E-2</v>
      </c>
      <c r="H176" s="112">
        <f>'GDP Growth Rates'!G169/100</f>
        <v>2.8271192013337439E-2</v>
      </c>
      <c r="I176" s="112">
        <f>'GDP Growth Rates'!H169/100</f>
        <v>3.7031690639138616E-2</v>
      </c>
      <c r="J176" s="112">
        <f>'GDP Growth Rates'!I169/100</f>
        <v>2.7521044845505285E-2</v>
      </c>
      <c r="K176" s="112">
        <f>'GDP Growth Rates'!J169/100</f>
        <v>3.39088925336209E-2</v>
      </c>
      <c r="L176" s="112">
        <f>'GDP Growth Rates'!K169/100</f>
        <v>1.3340910796125769E-2</v>
      </c>
      <c r="M176" s="112">
        <f>'GDP Growth Rates'!L169/100</f>
        <v>4.0029955509045721E-2</v>
      </c>
      <c r="N176" s="112">
        <f>'GDP Growth Rates'!M169/100</f>
        <v>2.4123852760557868E-2</v>
      </c>
      <c r="O176" s="112">
        <f>'GDP Growth Rates'!N169/100</f>
        <v>6.2240744379098628E-2</v>
      </c>
      <c r="P176" s="112">
        <f>'GDP Growth Rates'!O169/100</f>
        <v>6.3670436506698277E-2</v>
      </c>
      <c r="Q176" s="112">
        <f>'GDP Growth Rates'!P169/100</f>
        <v>6.3560685718187807E-2</v>
      </c>
      <c r="R176" s="112">
        <f>'GDP Growth Rates'!Q169/100</f>
        <v>7.4074861863012986E-2</v>
      </c>
      <c r="S176" s="112">
        <f>'GDP Growth Rates'!R169/100</f>
        <v>6.2092410338908624E-2</v>
      </c>
      <c r="T176" s="112">
        <f>'GDP Growth Rates'!S169/100</f>
        <v>4.6136280974970842E-2</v>
      </c>
      <c r="U176" s="112">
        <f>'GDP Growth Rates'!T169/100</f>
        <v>1.3420737726679021E-2</v>
      </c>
      <c r="V176" s="112">
        <f>'GDP Growth Rates'!U169/100</f>
        <v>6.5440010996430403E-2</v>
      </c>
      <c r="W176" s="112">
        <f>'GDP Growth Rates'!V169/100</f>
        <v>3.8504319373576831E-2</v>
      </c>
      <c r="X176" s="112">
        <f>'GDP Growth Rates'!W169/100</f>
        <v>4.2574308328028963E-2</v>
      </c>
      <c r="Y176" s="112">
        <f>'GDP Growth Rates'!X169/100</f>
        <v>6.8920074029138481E-2</v>
      </c>
    </row>
    <row r="177" spans="2:25">
      <c r="B177" s="634" t="s">
        <v>387</v>
      </c>
      <c r="C177" s="635" t="s">
        <v>388</v>
      </c>
      <c r="D177" s="634" t="s">
        <v>719</v>
      </c>
      <c r="E177" s="635" t="s">
        <v>720</v>
      </c>
      <c r="F177" s="112">
        <f>'GDP Growth Rates'!E170/100</f>
        <v>5.9034979833987505E-2</v>
      </c>
      <c r="G177" s="112">
        <f>'GDP Growth Rates'!F170/100</f>
        <v>3.9006638550375075E-2</v>
      </c>
      <c r="H177" s="112">
        <f>'GDP Growth Rates'!G170/100</f>
        <v>7.8320716633740239E-2</v>
      </c>
      <c r="I177" s="112">
        <f>'GDP Growth Rates'!H170/100</f>
        <v>5.1608927729224235E-2</v>
      </c>
      <c r="J177" s="112">
        <f>'GDP Growth Rates'!I170/100</f>
        <v>-3.1426104649936663E-2</v>
      </c>
      <c r="K177" s="112">
        <f>'GDP Growth Rates'!J170/100</f>
        <v>1.6109726614483861E-2</v>
      </c>
      <c r="L177" s="112">
        <f>'GDP Growth Rates'!K170/100</f>
        <v>5.4272478583939688E-4</v>
      </c>
      <c r="M177" s="112">
        <f>'GDP Growth Rates'!L170/100</f>
        <v>-4.4395602949771273E-3</v>
      </c>
      <c r="N177" s="112">
        <f>'GDP Growth Rates'!M170/100</f>
        <v>4.5157876294470607E-3</v>
      </c>
      <c r="O177" s="112">
        <f>'GDP Growth Rates'!N170/100</f>
        <v>-1.804270248220476E-2</v>
      </c>
      <c r="P177" s="112">
        <f>'GDP Growth Rates'!O170/100</f>
        <v>1.2957385118974827E-2</v>
      </c>
      <c r="Q177" s="112">
        <f>'GDP Growth Rates'!P170/100</f>
        <v>2.9751977921194311E-2</v>
      </c>
      <c r="R177" s="112">
        <f>'GDP Growth Rates'!Q170/100</f>
        <v>2.363393786909242E-2</v>
      </c>
      <c r="S177" s="112">
        <f>'GDP Growth Rates'!R170/100</f>
        <v>4.6493503549100694E-2</v>
      </c>
      <c r="T177" s="112">
        <f>'GDP Growth Rates'!S170/100</f>
        <v>4.750207938990144E-2</v>
      </c>
      <c r="U177" s="112">
        <f>'GDP Growth Rates'!T170/100</f>
        <v>-9.5002399185159445E-3</v>
      </c>
      <c r="V177" s="112">
        <f>'GDP Growth Rates'!U170/100</f>
        <v>7.9490565047227763E-2</v>
      </c>
      <c r="W177" s="112">
        <f>'GDP Growth Rates'!V170/100</f>
        <v>2.6309864440884071E-2</v>
      </c>
      <c r="X177" s="112">
        <f>'GDP Growth Rates'!W170/100</f>
        <v>3.8474711278494167E-2</v>
      </c>
      <c r="Y177" s="112">
        <f>'GDP Growth Rates'!X170/100</f>
        <v>3.8780127959719121E-2</v>
      </c>
    </row>
    <row r="178" spans="2:25">
      <c r="B178" s="634" t="s">
        <v>387</v>
      </c>
      <c r="C178" s="635" t="s">
        <v>388</v>
      </c>
      <c r="D178" s="634" t="s">
        <v>721</v>
      </c>
      <c r="E178" s="635" t="s">
        <v>722</v>
      </c>
      <c r="F178" s="112">
        <f>'GDP Growth Rates'!E171/100</f>
        <v>9.0057617374237967E-2</v>
      </c>
      <c r="G178" s="112">
        <f>'GDP Growth Rates'!F171/100</f>
        <v>9.4061285573282735E-2</v>
      </c>
      <c r="H178" s="112">
        <f>'GDP Growth Rates'!G171/100</f>
        <v>8.8760664557087948E-2</v>
      </c>
      <c r="I178" s="112">
        <f>'GDP Growth Rates'!H171/100</f>
        <v>-2.7259462615486427E-2</v>
      </c>
      <c r="J178" s="112">
        <f>'GDP Growth Rates'!I171/100</f>
        <v>-2.4793759472613742E-2</v>
      </c>
      <c r="K178" s="112">
        <f>'GDP Growth Rates'!J171/100</f>
        <v>4.5051320431206673E-2</v>
      </c>
      <c r="L178" s="112">
        <f>'GDP Growth Rates'!K171/100</f>
        <v>9.5097833517957045E-2</v>
      </c>
      <c r="M178" s="112">
        <f>'GDP Growth Rates'!L171/100</f>
        <v>3.110678493924297E-2</v>
      </c>
      <c r="N178" s="112">
        <f>'GDP Growth Rates'!M171/100</f>
        <v>1.2537349624294904E-2</v>
      </c>
      <c r="O178" s="112">
        <f>'GDP Growth Rates'!N171/100</f>
        <v>4.0636918123521042E-2</v>
      </c>
      <c r="P178" s="112">
        <f>'GDP Growth Rates'!O171/100</f>
        <v>8.9140088750469026E-2</v>
      </c>
      <c r="Q178" s="112">
        <f>'GDP Growth Rates'!P171/100</f>
        <v>0.12117527245391344</v>
      </c>
      <c r="R178" s="112">
        <f>'GDP Growth Rates'!Q171/100</f>
        <v>6.954162187942714E-2</v>
      </c>
      <c r="S178" s="112">
        <f>'GDP Growth Rates'!R171/100</f>
        <v>4.9394727225431152E-2</v>
      </c>
      <c r="T178" s="112">
        <f>'GDP Growth Rates'!S171/100</f>
        <v>5.514292073734197E-2</v>
      </c>
      <c r="U178" s="112">
        <f>'GDP Growth Rates'!T171/100</f>
        <v>-0.11739860828173193</v>
      </c>
      <c r="V178" s="112">
        <f>'GDP Growth Rates'!U171/100</f>
        <v>5.5228163120727911E-3</v>
      </c>
      <c r="W178" s="112">
        <f>'GDP Growth Rates'!V171/100</f>
        <v>0.12710468890283549</v>
      </c>
      <c r="X178" s="112">
        <f>'GDP Growth Rates'!W171/100</f>
        <v>2.2592532228328535E-2</v>
      </c>
      <c r="Y178" s="112">
        <f>'GDP Growth Rates'!X171/100</f>
        <v>3.4656806641534102E-2</v>
      </c>
    </row>
    <row r="179" spans="2:25">
      <c r="B179" s="634" t="s">
        <v>387</v>
      </c>
      <c r="C179" s="635" t="s">
        <v>388</v>
      </c>
      <c r="D179" s="634" t="s">
        <v>723</v>
      </c>
      <c r="E179" s="635" t="s">
        <v>724</v>
      </c>
      <c r="F179" s="112">
        <f>'GDP Growth Rates'!E172/100</f>
        <v>4.3534998939362593E-2</v>
      </c>
      <c r="G179" s="112">
        <f>'GDP Growth Rates'!F172/100</f>
        <v>4.2831104999739578E-2</v>
      </c>
      <c r="H179" s="112">
        <f>'GDP Growth Rates'!G172/100</f>
        <v>3.7497580475164084E-2</v>
      </c>
      <c r="I179" s="112">
        <f>'GDP Growth Rates'!H172/100</f>
        <v>3.6860596993212341E-2</v>
      </c>
      <c r="J179" s="112">
        <f>'GDP Growth Rates'!I172/100</f>
        <v>1.5308032395871578E-2</v>
      </c>
      <c r="K179" s="112">
        <f>'GDP Growth Rates'!J172/100</f>
        <v>6.3556659580049482E-2</v>
      </c>
      <c r="L179" s="112">
        <f>'GDP Growth Rates'!K172/100</f>
        <v>8.1006551871491722E-2</v>
      </c>
      <c r="M179" s="112">
        <f>'GDP Growth Rates'!L172/100</f>
        <v>0.10578331663386976</v>
      </c>
      <c r="N179" s="112">
        <f>'GDP Growth Rates'!M172/100</f>
        <v>0.14663323807522916</v>
      </c>
      <c r="O179" s="112">
        <f>'GDP Growth Rates'!N172/100</f>
        <v>-7.8150151245724123E-2</v>
      </c>
      <c r="P179" s="112">
        <f>'GDP Growth Rates'!O172/100</f>
        <v>-4.363332620937882E-2</v>
      </c>
      <c r="Q179" s="112">
        <f>'GDP Growth Rates'!P172/100</f>
        <v>6.4374365276425746E-2</v>
      </c>
      <c r="R179" s="112">
        <f>'GDP Growth Rates'!Q172/100</f>
        <v>3.2078608771598738E-2</v>
      </c>
      <c r="S179" s="112">
        <f>'GDP Growth Rates'!R172/100</f>
        <v>2.8938564123676968E-2</v>
      </c>
      <c r="T179" s="112">
        <f>'GDP Growth Rates'!S172/100</f>
        <v>5.502709373781528E-2</v>
      </c>
      <c r="U179" s="112">
        <f>'GDP Growth Rates'!T172/100</f>
        <v>-1.2533490322766027E-2</v>
      </c>
      <c r="V179" s="112">
        <f>'GDP Growth Rates'!U172/100</f>
        <v>5.896852704709403E-2</v>
      </c>
      <c r="W179" s="112">
        <f>'GDP Growth Rates'!V172/100</f>
        <v>5.3135546141915027E-2</v>
      </c>
      <c r="X179" s="112">
        <f>'GDP Growth Rates'!W172/100</f>
        <v>5.7100218981805992E-2</v>
      </c>
      <c r="Y179" s="112">
        <f>'GDP Growth Rates'!X172/100</f>
        <v>4.0000000257011267E-2</v>
      </c>
    </row>
    <row r="180" spans="2:25">
      <c r="B180" s="634" t="s">
        <v>387</v>
      </c>
      <c r="C180" s="635" t="s">
        <v>388</v>
      </c>
      <c r="D180" s="634" t="s">
        <v>231</v>
      </c>
      <c r="E180" s="635" t="s">
        <v>725</v>
      </c>
      <c r="F180" s="112">
        <f>'GDP Growth Rates'!E173/100</f>
        <v>7.3663223925075835E-2</v>
      </c>
      <c r="G180" s="112">
        <f>'GDP Growth Rates'!F173/100</f>
        <v>9.0067660787175749E-2</v>
      </c>
      <c r="H180" s="112">
        <f>'GDP Growth Rates'!G173/100</f>
        <v>9.0215195126889261E-2</v>
      </c>
      <c r="I180" s="112">
        <f>'GDP Growth Rates'!H173/100</f>
        <v>1.8634834546203505E-2</v>
      </c>
      <c r="J180" s="112">
        <f>'GDP Growth Rates'!I173/100</f>
        <v>1.279533827780881E-3</v>
      </c>
      <c r="K180" s="112">
        <f>'GDP Growth Rates'!J173/100</f>
        <v>0.14519749710899404</v>
      </c>
      <c r="L180" s="112">
        <f>'GDP Growth Rates'!K173/100</f>
        <v>6.2149341685898918E-2</v>
      </c>
      <c r="M180" s="112">
        <f>'GDP Growth Rates'!L173/100</f>
        <v>4.4354975937853709E-2</v>
      </c>
      <c r="N180" s="112">
        <f>'GDP Growth Rates'!M173/100</f>
        <v>4.8176309912067554E-2</v>
      </c>
      <c r="O180" s="112">
        <f>'GDP Growth Rates'!N173/100</f>
        <v>3.9355402770900695E-2</v>
      </c>
      <c r="P180" s="112">
        <f>'GDP Growth Rates'!O173/100</f>
        <v>2.9767993163480638E-2</v>
      </c>
      <c r="Q180" s="112">
        <f>'GDP Growth Rates'!P173/100</f>
        <v>3.7475784879279245E-2</v>
      </c>
      <c r="R180" s="112">
        <f>'GDP Growth Rates'!Q173/100</f>
        <v>4.4768991584587636E-2</v>
      </c>
      <c r="S180" s="112">
        <f>'GDP Growth Rates'!R173/100</f>
        <v>3.4519759658686977E-2</v>
      </c>
      <c r="T180" s="112">
        <f>'GDP Growth Rates'!S173/100</f>
        <v>1.3080411815312658E-2</v>
      </c>
      <c r="U180" s="112">
        <f>'GDP Growth Rates'!T173/100</f>
        <v>-3.8147088551071275E-2</v>
      </c>
      <c r="V180" s="112">
        <f>'GDP Growth Rates'!U173/100</f>
        <v>9.7568044629903025E-2</v>
      </c>
      <c r="W180" s="112">
        <f>'GDP Growth Rates'!V173/100</f>
        <v>4.1080002189715116E-2</v>
      </c>
      <c r="X180" s="112">
        <f>'GDP Growth Rates'!W173/100</f>
        <v>1.8214069411538532E-2</v>
      </c>
      <c r="Y180" s="112">
        <f>'GDP Growth Rates'!X173/100</f>
        <v>4.3880236246186539E-2</v>
      </c>
    </row>
    <row r="181" spans="2:25">
      <c r="B181" s="634" t="s">
        <v>387</v>
      </c>
      <c r="C181" s="635" t="s">
        <v>388</v>
      </c>
      <c r="D181" s="634" t="s">
        <v>726</v>
      </c>
      <c r="E181" s="635" t="s">
        <v>727</v>
      </c>
      <c r="F181" s="112" t="e">
        <f>'GDP Growth Rates'!E174/100</f>
        <v>#VALUE!</v>
      </c>
      <c r="G181" s="112" t="e">
        <f>'GDP Growth Rates'!F174/100</f>
        <v>#VALUE!</v>
      </c>
      <c r="H181" s="112" t="e">
        <f>'GDP Growth Rates'!G174/100</f>
        <v>#VALUE!</v>
      </c>
      <c r="I181" s="112" t="e">
        <f>'GDP Growth Rates'!H174/100</f>
        <v>#VALUE!</v>
      </c>
      <c r="J181" s="112" t="e">
        <f>'GDP Growth Rates'!I174/100</f>
        <v>#VALUE!</v>
      </c>
      <c r="K181" s="112">
        <f>'GDP Growth Rates'!J174/100</f>
        <v>3.1999926921936608E-2</v>
      </c>
      <c r="L181" s="112">
        <f>'GDP Growth Rates'!K174/100</f>
        <v>4.6000034141539456E-2</v>
      </c>
      <c r="M181" s="112">
        <f>'GDP Growth Rates'!L174/100</f>
        <v>1.3905445677313111E-2</v>
      </c>
      <c r="N181" s="112">
        <f>'GDP Growth Rates'!M174/100</f>
        <v>1.3067310345967798E-2</v>
      </c>
      <c r="O181" s="112">
        <f>'GDP Growth Rates'!N174/100</f>
        <v>1.5803822153911254E-2</v>
      </c>
      <c r="P181" s="112">
        <f>'GDP Growth Rates'!O174/100</f>
        <v>1.0581314999700453E-3</v>
      </c>
      <c r="Q181" s="112">
        <f>'GDP Growth Rates'!P174/100</f>
        <v>9.6775836306881042E-3</v>
      </c>
      <c r="R181" s="112">
        <f>'GDP Growth Rates'!Q174/100</f>
        <v>-7.535213998824275E-2</v>
      </c>
      <c r="S181" s="112">
        <f>'GDP Growth Rates'!R174/100</f>
        <v>-6.8569829922794409E-2</v>
      </c>
      <c r="T181" s="112">
        <f>'GDP Growth Rates'!S174/100</f>
        <v>0.10965000935239204</v>
      </c>
      <c r="U181" s="112">
        <f>'GDP Growth Rates'!T174/100</f>
        <v>-0.13316788722156686</v>
      </c>
      <c r="V181" s="112">
        <f>'GDP Growth Rates'!U174/100</f>
        <v>4.5775967793334475E-2</v>
      </c>
      <c r="W181" s="112">
        <f>'GDP Growth Rates'!V174/100</f>
        <v>9.8000011114577748E-2</v>
      </c>
      <c r="X181" s="112">
        <f>'GDP Growth Rates'!W174/100</f>
        <v>3.7999999999999971E-2</v>
      </c>
      <c r="Y181" s="112">
        <f>'GDP Growth Rates'!X174/100</f>
        <v>3.4999999999999858E-2</v>
      </c>
    </row>
    <row r="182" spans="2:25">
      <c r="B182" s="634" t="s">
        <v>387</v>
      </c>
      <c r="C182" s="635" t="s">
        <v>388</v>
      </c>
      <c r="D182" s="634" t="s">
        <v>728</v>
      </c>
      <c r="E182" s="635" t="s">
        <v>729</v>
      </c>
      <c r="F182" s="112">
        <f>'GDP Growth Rates'!E175/100</f>
        <v>6.4849322227438652E-2</v>
      </c>
      <c r="G182" s="112">
        <f>'GDP Growth Rates'!F175/100</f>
        <v>8.9256870477021549E-2</v>
      </c>
      <c r="H182" s="112">
        <f>'GDP Growth Rates'!G175/100</f>
        <v>0.10818629507490357</v>
      </c>
      <c r="I182" s="112">
        <f>'GDP Growth Rates'!H175/100</f>
        <v>5.3633772123194916E-2</v>
      </c>
      <c r="J182" s="112">
        <f>'GDP Growth Rates'!I175/100</f>
        <v>-5.5053379097222577E-2</v>
      </c>
      <c r="K182" s="112">
        <f>'GDP Growth Rates'!J175/100</f>
        <v>6.7905815914242287E-2</v>
      </c>
      <c r="L182" s="112">
        <f>'GDP Growth Rates'!K175/100</f>
        <v>2.5624247321555344E-2</v>
      </c>
      <c r="M182" s="112">
        <f>'GDP Growth Rates'!L175/100</f>
        <v>1.5691710470270549E-2</v>
      </c>
      <c r="N182" s="112">
        <f>'GDP Growth Rates'!M175/100</f>
        <v>7.0332354524720135E-3</v>
      </c>
      <c r="O182" s="112">
        <f>'GDP Growth Rates'!N175/100</f>
        <v>2.7079515144948801E-2</v>
      </c>
      <c r="P182" s="112">
        <f>'GDP Growth Rates'!O175/100</f>
        <v>5.1768790972213312E-2</v>
      </c>
      <c r="Q182" s="112">
        <f>'GDP Growth Rates'!P175/100</f>
        <v>1.9478184152455783E-2</v>
      </c>
      <c r="R182" s="112">
        <f>'GDP Growth Rates'!Q175/100</f>
        <v>2.8747332745369506E-2</v>
      </c>
      <c r="S182" s="112">
        <f>'GDP Growth Rates'!R175/100</f>
        <v>4.0621198189648308E-2</v>
      </c>
      <c r="T182" s="112">
        <f>'GDP Growth Rates'!S175/100</f>
        <v>2.275899100193925E-2</v>
      </c>
      <c r="U182" s="112">
        <f>'GDP Growth Rates'!T175/100</f>
        <v>-2.5855124173320688E-2</v>
      </c>
      <c r="V182" s="112">
        <f>'GDP Growth Rates'!U175/100</f>
        <v>5.6995926329251032E-2</v>
      </c>
      <c r="W182" s="112">
        <f>'GDP Growth Rates'!V175/100</f>
        <v>4.3735950856917324E-3</v>
      </c>
      <c r="X182" s="112">
        <f>'GDP Growth Rates'!W175/100</f>
        <v>2.1681491156957406E-2</v>
      </c>
      <c r="Y182" s="112">
        <f>'GDP Growth Rates'!X175/100</f>
        <v>2.0616777177357618E-2</v>
      </c>
    </row>
    <row r="183" spans="2:25">
      <c r="B183" s="634" t="s">
        <v>387</v>
      </c>
      <c r="C183" s="635" t="s">
        <v>388</v>
      </c>
      <c r="D183" s="634" t="s">
        <v>730</v>
      </c>
      <c r="E183" s="635" t="s">
        <v>731</v>
      </c>
      <c r="F183" s="112">
        <f>'GDP Growth Rates'!E176/100</f>
        <v>3.8541277114568971E-2</v>
      </c>
      <c r="G183" s="112">
        <f>'GDP Growth Rates'!F176/100</f>
        <v>5.9087813001117408E-2</v>
      </c>
      <c r="H183" s="112">
        <f>'GDP Growth Rates'!G176/100</f>
        <v>7.1392312914716025E-2</v>
      </c>
      <c r="I183" s="112">
        <f>'GDP Growth Rates'!H176/100</f>
        <v>3.3722386611412671E-2</v>
      </c>
      <c r="J183" s="112">
        <f>'GDP Growth Rates'!I176/100</f>
        <v>-7.5905861404638703E-2</v>
      </c>
      <c r="K183" s="112">
        <f>'GDP Growth Rates'!J176/100</f>
        <v>1.1121371930673547E-2</v>
      </c>
      <c r="L183" s="112">
        <f>'GDP Growth Rates'!K176/100</f>
        <v>6.5543812837974254E-3</v>
      </c>
      <c r="M183" s="112">
        <f>'GDP Growth Rates'!L176/100</f>
        <v>-2.915537820404623E-2</v>
      </c>
      <c r="N183" s="112">
        <f>'GDP Growth Rates'!M176/100</f>
        <v>-8.2377641769167554E-3</v>
      </c>
      <c r="O183" s="112">
        <f>'GDP Growth Rates'!N176/100</f>
        <v>2.7628332763974157E-2</v>
      </c>
      <c r="P183" s="112">
        <f>'GDP Growth Rates'!O176/100</f>
        <v>2.3933062133816775E-2</v>
      </c>
      <c r="Q183" s="112">
        <f>'GDP Growth Rates'!P176/100</f>
        <v>3.0344148666365384E-2</v>
      </c>
      <c r="R183" s="112">
        <f>'GDP Growth Rates'!Q176/100</f>
        <v>5.1744021557995838E-2</v>
      </c>
      <c r="S183" s="112">
        <f>'GDP Growth Rates'!R176/100</f>
        <v>4.379083473311951E-2</v>
      </c>
      <c r="T183" s="112">
        <f>'GDP Growth Rates'!S176/100</f>
        <v>3.5052533238191186E-2</v>
      </c>
      <c r="U183" s="112">
        <f>'GDP Growth Rates'!T176/100</f>
        <v>-4.0850009494289595E-2</v>
      </c>
      <c r="V183" s="112">
        <f>'GDP Growth Rates'!U176/100</f>
        <v>8.3896515818722428E-2</v>
      </c>
      <c r="W183" s="112">
        <f>'GDP Growth Rates'!V176/100</f>
        <v>2.6992387452382759E-2</v>
      </c>
      <c r="X183" s="112">
        <f>'GDP Growth Rates'!W176/100</f>
        <v>2.1125909846062711E-2</v>
      </c>
      <c r="Y183" s="112">
        <f>'GDP Growth Rates'!X176/100</f>
        <v>1.5910147992140224E-2</v>
      </c>
    </row>
    <row r="184" spans="2:25">
      <c r="B184" s="634" t="s">
        <v>387</v>
      </c>
      <c r="C184" s="635" t="s">
        <v>388</v>
      </c>
      <c r="D184" s="634" t="s">
        <v>732</v>
      </c>
      <c r="E184" s="635" t="s">
        <v>733</v>
      </c>
      <c r="F184" s="112">
        <f>'GDP Growth Rates'!E177/100</f>
        <v>7.3578419335601664E-2</v>
      </c>
      <c r="G184" s="112">
        <f>'GDP Growth Rates'!F177/100</f>
        <v>4.138280318253848E-2</v>
      </c>
      <c r="H184" s="112">
        <f>'GDP Growth Rates'!G177/100</f>
        <v>3.6396724294813512E-2</v>
      </c>
      <c r="I184" s="112">
        <f>'GDP Growth Rates'!H177/100</f>
        <v>6.2259695437619056E-2</v>
      </c>
      <c r="J184" s="112">
        <f>'GDP Growth Rates'!I177/100</f>
        <v>2.8642679016743812E-2</v>
      </c>
      <c r="K184" s="112">
        <f>'GDP Growth Rates'!J177/100</f>
        <v>9.7083881692872465E-2</v>
      </c>
      <c r="L184" s="112">
        <f>'GDP Growth Rates'!K177/100</f>
        <v>7.4299496167590739E-2</v>
      </c>
      <c r="M184" s="112">
        <f>'GDP Growth Rates'!L177/100</f>
        <v>2.4660013869788316E-2</v>
      </c>
      <c r="N184" s="112">
        <f>'GDP Growth Rates'!M177/100</f>
        <v>5.2377401778032746E-2</v>
      </c>
      <c r="O184" s="112">
        <f>'GDP Growth Rates'!N177/100</f>
        <v>1.1892174709235804E-2</v>
      </c>
      <c r="P184" s="112">
        <f>'GDP Growth Rates'!O177/100</f>
        <v>1.676146156497765E-2</v>
      </c>
      <c r="Q184" s="112">
        <f>'GDP Growth Rates'!P177/100</f>
        <v>5.5547315336695394E-2</v>
      </c>
      <c r="R184" s="112">
        <f>'GDP Growth Rates'!Q177/100</f>
        <v>3.0753480342463602E-2</v>
      </c>
      <c r="S184" s="112">
        <f>'GDP Growth Rates'!R177/100</f>
        <v>2.7459954233409575E-2</v>
      </c>
      <c r="T184" s="112">
        <f>'GDP Growth Rates'!S177/100</f>
        <v>1.7485665545183195E-2</v>
      </c>
      <c r="U184" s="112">
        <f>'GDP Growth Rates'!T177/100</f>
        <v>-3.3811475409836048E-2</v>
      </c>
      <c r="V184" s="112">
        <f>'GDP Growth Rates'!U177/100</f>
        <v>2.5643497541694843E-2</v>
      </c>
      <c r="W184" s="112">
        <f>'GDP Growth Rates'!V177/100</f>
        <v>2.4024814362252157E-2</v>
      </c>
      <c r="X184" s="112">
        <f>'GDP Growth Rates'!W177/100</f>
        <v>2.6563618673471297E-2</v>
      </c>
      <c r="Y184" s="112">
        <f>'GDP Growth Rates'!X177/100</f>
        <v>2.5393419170243164E-2</v>
      </c>
    </row>
    <row r="185" spans="2:25">
      <c r="B185" s="634" t="s">
        <v>387</v>
      </c>
      <c r="C185" s="635" t="s">
        <v>388</v>
      </c>
      <c r="D185" s="634" t="s">
        <v>734</v>
      </c>
      <c r="E185" s="635" t="s">
        <v>735</v>
      </c>
      <c r="F185" s="112">
        <f>'GDP Growth Rates'!E178/100</f>
        <v>7.1103143112442951E-2</v>
      </c>
      <c r="G185" s="112">
        <f>'GDP Growth Rates'!F178/100</f>
        <v>6.4863707327001238E-2</v>
      </c>
      <c r="H185" s="112">
        <f>'GDP Growth Rates'!G178/100</f>
        <v>6.6943519256080747E-2</v>
      </c>
      <c r="I185" s="112">
        <f>'GDP Growth Rates'!H178/100</f>
        <v>6.6943519256986259E-2</v>
      </c>
      <c r="J185" s="112">
        <f>'GDP Growth Rates'!I178/100</f>
        <v>6.6943519256186482E-2</v>
      </c>
      <c r="K185" s="112">
        <f>'GDP Growth Rates'!J178/100</f>
        <v>6.694351925563026E-2</v>
      </c>
      <c r="L185" s="112">
        <f>'GDP Growth Rates'!K178/100</f>
        <v>6.6943519256344355E-2</v>
      </c>
      <c r="M185" s="112">
        <f>'GDP Growth Rates'!L178/100</f>
        <v>6.694351925543103E-2</v>
      </c>
      <c r="N185" s="112">
        <f>'GDP Growth Rates'!M178/100</f>
        <v>0.10959298616474285</v>
      </c>
      <c r="O185" s="112">
        <f>'GDP Growth Rates'!N178/100</f>
        <v>8.9780059057323877E-2</v>
      </c>
      <c r="P185" s="112">
        <f>'GDP Growth Rates'!O178/100</f>
        <v>0.1046218812351654</v>
      </c>
      <c r="Q185" s="112">
        <f>'GDP Growth Rates'!P178/100</f>
        <v>7.0348726004205553E-2</v>
      </c>
      <c r="R185" s="112">
        <f>'GDP Growth Rates'!Q178/100</f>
        <v>0.14735795604528293</v>
      </c>
      <c r="S185" s="112">
        <f>'GDP Growth Rates'!R178/100</f>
        <v>2.0543150725943635E-2</v>
      </c>
      <c r="T185" s="112">
        <f>'GDP Growth Rates'!S178/100</f>
        <v>2.8243133654527953E-2</v>
      </c>
      <c r="U185" s="112">
        <f>'GDP Growth Rates'!T178/100</f>
        <v>-2.7524810392823867E-2</v>
      </c>
      <c r="V185" s="112">
        <f>'GDP Growth Rates'!U178/100</f>
        <v>3.4582279293904603E-2</v>
      </c>
      <c r="W185" s="112">
        <f>'GDP Growth Rates'!V178/100</f>
        <v>2.7271142958214655E-2</v>
      </c>
      <c r="X185" s="112">
        <f>'GDP Growth Rates'!W178/100</f>
        <v>4.2163843261085389E-2</v>
      </c>
      <c r="Y185" s="112">
        <f>'GDP Growth Rates'!X178/100</f>
        <v>3.9723208086603276E-2</v>
      </c>
    </row>
    <row r="186" spans="2:25">
      <c r="B186" s="634" t="s">
        <v>387</v>
      </c>
      <c r="C186" s="635" t="s">
        <v>388</v>
      </c>
      <c r="D186" s="634" t="s">
        <v>736</v>
      </c>
      <c r="E186" s="635" t="s">
        <v>737</v>
      </c>
      <c r="F186" s="112">
        <f>'GDP Growth Rates'!E179/100</f>
        <v>5.2770519729546661E-2</v>
      </c>
      <c r="G186" s="112">
        <f>'GDP Growth Rates'!F179/100</f>
        <v>5.6038064589588855E-2</v>
      </c>
      <c r="H186" s="112">
        <f>'GDP Growth Rates'!G179/100</f>
        <v>5.3604740539416156E-2</v>
      </c>
      <c r="I186" s="112">
        <f>'GDP Growth Rates'!H179/100</f>
        <v>3.1910438863287996E-2</v>
      </c>
      <c r="J186" s="112">
        <f>'GDP Growth Rates'!I179/100</f>
        <v>-1.5380891352558308E-2</v>
      </c>
      <c r="K186" s="112">
        <f>'GDP Growth Rates'!J179/100</f>
        <v>3.039732881279562E-2</v>
      </c>
      <c r="L186" s="112">
        <f>'GDP Growth Rates'!K179/100</f>
        <v>3.1685562785881839E-2</v>
      </c>
      <c r="M186" s="112">
        <f>'GDP Growth Rates'!L179/100</f>
        <v>2.3962323846574519E-2</v>
      </c>
      <c r="N186" s="112">
        <f>'GDP Growth Rates'!M179/100</f>
        <v>2.4854680082658832E-2</v>
      </c>
      <c r="O186" s="112">
        <f>'GDP Growth Rates'!N179/100</f>
        <v>1.4138264522379273E-2</v>
      </c>
      <c r="P186" s="112">
        <f>'GDP Growth Rates'!O179/100</f>
        <v>1.3218622367822945E-2</v>
      </c>
      <c r="Q186" s="112">
        <f>'GDP Growth Rates'!P179/100</f>
        <v>6.6455230785811637E-3</v>
      </c>
      <c r="R186" s="112">
        <f>'GDP Growth Rates'!Q179/100</f>
        <v>1.1579469518173511E-2</v>
      </c>
      <c r="S186" s="112">
        <f>'GDP Growth Rates'!R179/100</f>
        <v>1.5567838472167637E-2</v>
      </c>
      <c r="T186" s="112">
        <f>'GDP Growth Rates'!S179/100</f>
        <v>2.5993557687633028E-3</v>
      </c>
      <c r="U186" s="112">
        <f>'GDP Growth Rates'!T179/100</f>
        <v>-6.1689177146757007E-2</v>
      </c>
      <c r="V186" s="112">
        <f>'GDP Growth Rates'!U179/100</f>
        <v>4.9550325944075553E-2</v>
      </c>
      <c r="W186" s="112">
        <f>'GDP Growth Rates'!V179/100</f>
        <v>1.9114799603350434E-2</v>
      </c>
      <c r="X186" s="112">
        <f>'GDP Growth Rates'!W179/100</f>
        <v>6.9848519372483512E-3</v>
      </c>
      <c r="Y186" s="112">
        <f>'GDP Growth Rates'!X179/100</f>
        <v>5.7985369230391373E-3</v>
      </c>
    </row>
    <row r="187" spans="2:25">
      <c r="B187" s="634" t="s">
        <v>387</v>
      </c>
      <c r="C187" s="635" t="s">
        <v>388</v>
      </c>
      <c r="D187" s="634" t="s">
        <v>738</v>
      </c>
      <c r="E187" s="635" t="s">
        <v>739</v>
      </c>
      <c r="F187" s="112" t="e">
        <f>'GDP Growth Rates'!E180/100</f>
        <v>#VALUE!</v>
      </c>
      <c r="G187" s="112" t="e">
        <f>'GDP Growth Rates'!F180/100</f>
        <v>#VALUE!</v>
      </c>
      <c r="H187" s="112" t="e">
        <f>'GDP Growth Rates'!G180/100</f>
        <v>#VALUE!</v>
      </c>
      <c r="I187" s="112" t="e">
        <f>'GDP Growth Rates'!H180/100</f>
        <v>#VALUE!</v>
      </c>
      <c r="J187" s="112">
        <f>'GDP Growth Rates'!I180/100</f>
        <v>5.0416418798334209E-2</v>
      </c>
      <c r="K187" s="112">
        <f>'GDP Growth Rates'!J180/100</f>
        <v>5.4934163952994483E-2</v>
      </c>
      <c r="L187" s="112">
        <f>'GDP Growth Rates'!K180/100</f>
        <v>-4.6403167360085859E-2</v>
      </c>
      <c r="M187" s="112">
        <f>'GDP Growth Rates'!L180/100</f>
        <v>-0.46082122374300694</v>
      </c>
      <c r="N187" s="112">
        <f>'GDP Growth Rates'!M180/100</f>
        <v>0.13129731140694331</v>
      </c>
      <c r="O187" s="112">
        <f>'GDP Growth Rates'!N180/100</f>
        <v>3.3736484771573601E-2</v>
      </c>
      <c r="P187" s="112">
        <f>'GDP Growth Rates'!O180/100</f>
        <v>-0.10793364627114314</v>
      </c>
      <c r="Q187" s="112" t="e">
        <f>'GDP Growth Rates'!P180/100</f>
        <v>#VALUE!</v>
      </c>
      <c r="R187" s="112" t="e">
        <f>'GDP Growth Rates'!Q180/100</f>
        <v>#VALUE!</v>
      </c>
      <c r="S187" s="112" t="e">
        <f>'GDP Growth Rates'!R180/100</f>
        <v>#VALUE!</v>
      </c>
      <c r="T187" s="112" t="e">
        <f>'GDP Growth Rates'!S180/100</f>
        <v>#VALUE!</v>
      </c>
      <c r="U187" s="112" t="e">
        <f>'GDP Growth Rates'!T180/100</f>
        <v>#VALUE!</v>
      </c>
      <c r="V187" s="112" t="e">
        <f>'GDP Growth Rates'!U180/100</f>
        <v>#VALUE!</v>
      </c>
      <c r="W187" s="112" t="e">
        <f>'GDP Growth Rates'!V180/100</f>
        <v>#VALUE!</v>
      </c>
      <c r="X187" s="112" t="e">
        <f>'GDP Growth Rates'!W180/100</f>
        <v>#VALUE!</v>
      </c>
      <c r="Y187" s="112" t="e">
        <f>'GDP Growth Rates'!X180/100</f>
        <v>#VALUE!</v>
      </c>
    </row>
    <row r="188" spans="2:25">
      <c r="B188" s="634" t="s">
        <v>387</v>
      </c>
      <c r="C188" s="635" t="s">
        <v>388</v>
      </c>
      <c r="D188" s="634" t="s">
        <v>740</v>
      </c>
      <c r="E188" s="635" t="s">
        <v>741</v>
      </c>
      <c r="F188" s="112">
        <f>'GDP Growth Rates'!E181/100</f>
        <v>3.5512255846124961E-2</v>
      </c>
      <c r="G188" s="112">
        <f>'GDP Growth Rates'!F181/100</f>
        <v>4.0434351560509896E-2</v>
      </c>
      <c r="H188" s="112">
        <f>'GDP Growth Rates'!G181/100</f>
        <v>3.5335001316597212E-2</v>
      </c>
      <c r="I188" s="112">
        <f>'GDP Growth Rates'!H181/100</f>
        <v>7.6716574829069377E-3</v>
      </c>
      <c r="J188" s="112">
        <f>'GDP Growth Rates'!I181/100</f>
        <v>-3.7681330694005338E-2</v>
      </c>
      <c r="K188" s="112">
        <f>'GDP Growth Rates'!J181/100</f>
        <v>9.41223116369514E-4</v>
      </c>
      <c r="L188" s="112">
        <f>'GDP Growth Rates'!K181/100</f>
        <v>-6.3992063652034406E-3</v>
      </c>
      <c r="M188" s="112">
        <f>'GDP Growth Rates'!L181/100</f>
        <v>-2.8651136863774837E-2</v>
      </c>
      <c r="N188" s="112">
        <f>'GDP Growth Rates'!M181/100</f>
        <v>-1.4273222475762565E-2</v>
      </c>
      <c r="O188" s="112">
        <f>'GDP Growth Rates'!N181/100</f>
        <v>1.5204859364723121E-2</v>
      </c>
      <c r="P188" s="112">
        <f>'GDP Growth Rates'!O181/100</f>
        <v>4.0608667247386591E-2</v>
      </c>
      <c r="Q188" s="112">
        <f>'GDP Growth Rates'!P181/100</f>
        <v>2.9151559859578669E-2</v>
      </c>
      <c r="R188" s="112">
        <f>'GDP Growth Rates'!Q181/100</f>
        <v>2.8960420786500692E-2</v>
      </c>
      <c r="S188" s="112">
        <f>'GDP Growth Rates'!R181/100</f>
        <v>2.3954112447887751E-2</v>
      </c>
      <c r="T188" s="112">
        <f>'GDP Growth Rates'!S181/100</f>
        <v>1.9611785084171062E-2</v>
      </c>
      <c r="U188" s="112">
        <f>'GDP Growth Rates'!T181/100</f>
        <v>-0.10940070635037059</v>
      </c>
      <c r="V188" s="112">
        <f>'GDP Growth Rates'!U181/100</f>
        <v>6.6831442047300127E-2</v>
      </c>
      <c r="W188" s="112">
        <f>'GDP Growth Rates'!V181/100</f>
        <v>6.1793121996611404E-2</v>
      </c>
      <c r="X188" s="112">
        <f>'GDP Growth Rates'!W181/100</f>
        <v>2.6756634629065985E-2</v>
      </c>
      <c r="Y188" s="112">
        <f>'GDP Growth Rates'!X181/100</f>
        <v>3.1501956451722324E-2</v>
      </c>
    </row>
    <row r="189" spans="2:25">
      <c r="B189" s="634" t="s">
        <v>387</v>
      </c>
      <c r="C189" s="635" t="s">
        <v>388</v>
      </c>
      <c r="D189" s="634" t="s">
        <v>742</v>
      </c>
      <c r="E189" s="635" t="s">
        <v>743</v>
      </c>
      <c r="F189" s="112">
        <f>'GDP Growth Rates'!E182/100</f>
        <v>6.2417480437644744E-2</v>
      </c>
      <c r="G189" s="112">
        <f>'GDP Growth Rates'!F182/100</f>
        <v>7.668291901079187E-2</v>
      </c>
      <c r="H189" s="112">
        <f>'GDP Growth Rates'!G182/100</f>
        <v>6.796826118928663E-2</v>
      </c>
      <c r="I189" s="112">
        <f>'GDP Growth Rates'!H182/100</f>
        <v>5.95008814473897E-2</v>
      </c>
      <c r="J189" s="112">
        <f>'GDP Growth Rates'!I182/100</f>
        <v>3.5389120531784217E-2</v>
      </c>
      <c r="K189" s="112">
        <f>'GDP Growth Rates'!J182/100</f>
        <v>8.0159673704046377E-2</v>
      </c>
      <c r="L189" s="112">
        <f>'GDP Growth Rates'!K182/100</f>
        <v>8.6694830116057067E-2</v>
      </c>
      <c r="M189" s="112">
        <f>'GDP Growth Rates'!L182/100</f>
        <v>8.6321813802403821E-2</v>
      </c>
      <c r="N189" s="112">
        <f>'GDP Growth Rates'!M182/100</f>
        <v>4.0517463292691076E-2</v>
      </c>
      <c r="O189" s="112">
        <f>'GDP Growth Rates'!N182/100</f>
        <v>6.3779788928939929E-2</v>
      </c>
      <c r="P189" s="112">
        <f>'GDP Growth Rates'!O182/100</f>
        <v>4.2059554767764663E-2</v>
      </c>
      <c r="Q189" s="112">
        <f>'GDP Growth Rates'!P182/100</f>
        <v>5.0536248899443595E-2</v>
      </c>
      <c r="R189" s="112">
        <f>'GDP Growth Rates'!Q182/100</f>
        <v>6.4606812706575312E-2</v>
      </c>
      <c r="S189" s="112">
        <f>'GDP Growth Rates'!R182/100</f>
        <v>2.3100842554584489E-2</v>
      </c>
      <c r="T189" s="112">
        <f>'GDP Growth Rates'!S182/100</f>
        <v>-2.2048388683127483E-3</v>
      </c>
      <c r="U189" s="112">
        <f>'GDP Growth Rates'!T182/100</f>
        <v>-4.624515037495016E-2</v>
      </c>
      <c r="V189" s="112">
        <f>'GDP Growth Rates'!U182/100</f>
        <v>4.2074764951156994E-2</v>
      </c>
      <c r="W189" s="112">
        <f>'GDP Growth Rates'!V182/100</f>
        <v>-7.3491930130674496E-2</v>
      </c>
      <c r="X189" s="112">
        <f>'GDP Growth Rates'!W182/100</f>
        <v>-2.329848189833399E-2</v>
      </c>
      <c r="Y189" s="112">
        <f>'GDP Growth Rates'!X182/100</f>
        <v>5.0087193095715889E-2</v>
      </c>
    </row>
    <row r="190" spans="2:25">
      <c r="B190" s="634" t="s">
        <v>387</v>
      </c>
      <c r="C190" s="635" t="s">
        <v>388</v>
      </c>
      <c r="D190" s="634" t="s">
        <v>744</v>
      </c>
      <c r="E190" s="635" t="s">
        <v>745</v>
      </c>
      <c r="F190" s="112">
        <f>'GDP Growth Rates'!E183/100</f>
        <v>9.7328207029801633E-2</v>
      </c>
      <c r="G190" s="112">
        <f>'GDP Growth Rates'!F183/100</f>
        <v>3.1503811996822291E-2</v>
      </c>
      <c r="H190" s="112">
        <f>'GDP Growth Rates'!G183/100</f>
        <v>6.0060232654375054E-3</v>
      </c>
      <c r="I190" s="112">
        <f>'GDP Growth Rates'!H183/100</f>
        <v>0.11317035826710935</v>
      </c>
      <c r="J190" s="112">
        <f>'GDP Growth Rates'!I183/100</f>
        <v>-3.4047401537624464E-2</v>
      </c>
      <c r="K190" s="112">
        <f>'GDP Growth Rates'!J183/100</f>
        <v>-5.4194206533054513E-4</v>
      </c>
      <c r="L190" s="112">
        <f>'GDP Growth Rates'!K183/100</f>
        <v>1.6166073042368792E-2</v>
      </c>
      <c r="M190" s="112">
        <f>'GDP Growth Rates'!L183/100</f>
        <v>-7.3763673744839768E-3</v>
      </c>
      <c r="N190" s="112">
        <f>'GDP Growth Rates'!M183/100</f>
        <v>5.7272808723470375E-2</v>
      </c>
      <c r="O190" s="112">
        <f>'GDP Growth Rates'!N183/100</f>
        <v>7.5769660232892166E-2</v>
      </c>
      <c r="P190" s="112">
        <f>'GDP Growth Rates'!O183/100</f>
        <v>6.9413552787662529E-3</v>
      </c>
      <c r="Q190" s="112">
        <f>'GDP Growth Rates'!P183/100</f>
        <v>3.9327031927328164E-2</v>
      </c>
      <c r="R190" s="112">
        <f>'GDP Growth Rates'!Q183/100</f>
        <v>2.2094114729999605E-3</v>
      </c>
      <c r="S190" s="112">
        <f>'GDP Growth Rates'!R183/100</f>
        <v>2.0035254980097221E-2</v>
      </c>
      <c r="T190" s="112">
        <f>'GDP Growth Rates'!S183/100</f>
        <v>2.9382465805635576E-2</v>
      </c>
      <c r="U190" s="112">
        <f>'GDP Growth Rates'!T183/100</f>
        <v>-0.15301889174064884</v>
      </c>
      <c r="V190" s="112">
        <f>'GDP Growth Rates'!U183/100</f>
        <v>3.6760687921631075E-3</v>
      </c>
      <c r="W190" s="112">
        <f>'GDP Growth Rates'!V183/100</f>
        <v>0.10342404054602511</v>
      </c>
      <c r="X190" s="112">
        <f>'GDP Growth Rates'!W183/100</f>
        <v>4.3285577155980519E-2</v>
      </c>
      <c r="Y190" s="112">
        <f>'GDP Growth Rates'!X183/100</f>
        <v>1.1664402290745954E-2</v>
      </c>
    </row>
    <row r="191" spans="2:25">
      <c r="B191" s="634" t="s">
        <v>387</v>
      </c>
      <c r="C191" s="635" t="s">
        <v>388</v>
      </c>
      <c r="D191" s="634" t="s">
        <v>746</v>
      </c>
      <c r="E191" s="635" t="s">
        <v>747</v>
      </c>
      <c r="F191" s="112">
        <f>'GDP Growth Rates'!E184/100</f>
        <v>-4.1030472629023504E-3</v>
      </c>
      <c r="G191" s="112">
        <f>'GDP Growth Rates'!F184/100</f>
        <v>6.1952572914104852E-2</v>
      </c>
      <c r="H191" s="112">
        <f>'GDP Growth Rates'!G184/100</f>
        <v>1.6916185743391311E-2</v>
      </c>
      <c r="I191" s="112">
        <f>'GDP Growth Rates'!H184/100</f>
        <v>4.949321940280569E-2</v>
      </c>
      <c r="J191" s="112">
        <f>'GDP Growth Rates'!I184/100</f>
        <v>-2.828899548306282E-2</v>
      </c>
      <c r="K191" s="112">
        <f>'GDP Growth Rates'!J184/100</f>
        <v>3.3001854607148575E-3</v>
      </c>
      <c r="L191" s="112">
        <f>'GDP Growth Rates'!K184/100</f>
        <v>4.326942805321423E-2</v>
      </c>
      <c r="M191" s="112">
        <f>'GDP Growth Rates'!L184/100</f>
        <v>-1.0875614826235847E-3</v>
      </c>
      <c r="N191" s="112">
        <f>'GDP Growth Rates'!M184/100</f>
        <v>-1.8187760373599104E-2</v>
      </c>
      <c r="O191" s="112">
        <f>'GDP Growth Rates'!N184/100</f>
        <v>1.32809022110105E-2</v>
      </c>
      <c r="P191" s="112">
        <f>'GDP Growth Rates'!O184/100</f>
        <v>1.019178364129516E-3</v>
      </c>
      <c r="Q191" s="112">
        <f>'GDP Growth Rates'!P184/100</f>
        <v>3.4278721452521095E-2</v>
      </c>
      <c r="R191" s="112">
        <f>'GDP Growth Rates'!Q184/100</f>
        <v>3.3798261727224596E-2</v>
      </c>
      <c r="S191" s="112">
        <f>'GDP Growth Rates'!R184/100</f>
        <v>2.8867790217160093E-2</v>
      </c>
      <c r="T191" s="112">
        <f>'GDP Growth Rates'!S184/100</f>
        <v>-7.0032239629944119E-3</v>
      </c>
      <c r="U191" s="112">
        <f>'GDP Growth Rates'!T184/100</f>
        <v>-0.24361473212912244</v>
      </c>
      <c r="V191" s="112">
        <f>'GDP Growth Rates'!U184/100</f>
        <v>0.11598783583642984</v>
      </c>
      <c r="W191" s="112">
        <f>'GDP Growth Rates'!V184/100</f>
        <v>0.20388443182841429</v>
      </c>
      <c r="X191" s="112">
        <f>'GDP Growth Rates'!W184/100</f>
        <v>2.2098827652651636E-2</v>
      </c>
      <c r="Y191" s="112">
        <f>'GDP Growth Rates'!X184/100</f>
        <v>3.8917502421889766E-2</v>
      </c>
    </row>
    <row r="192" spans="2:25">
      <c r="B192" s="634" t="s">
        <v>387</v>
      </c>
      <c r="C192" s="635" t="s">
        <v>388</v>
      </c>
      <c r="D192" s="634" t="s">
        <v>748</v>
      </c>
      <c r="E192" s="635" t="s">
        <v>749</v>
      </c>
      <c r="F192" s="112" t="e">
        <f>'GDP Growth Rates'!E185/100</f>
        <v>#VALUE!</v>
      </c>
      <c r="G192" s="112" t="e">
        <f>'GDP Growth Rates'!F185/100</f>
        <v>#VALUE!</v>
      </c>
      <c r="H192" s="112" t="e">
        <f>'GDP Growth Rates'!G185/100</f>
        <v>#VALUE!</v>
      </c>
      <c r="I192" s="112" t="e">
        <f>'GDP Growth Rates'!H185/100</f>
        <v>#VALUE!</v>
      </c>
      <c r="J192" s="112" t="e">
        <f>'GDP Growth Rates'!I185/100</f>
        <v>#VALUE!</v>
      </c>
      <c r="K192" s="112" t="e">
        <f>'GDP Growth Rates'!J185/100</f>
        <v>#VALUE!</v>
      </c>
      <c r="L192" s="112" t="e">
        <f>'GDP Growth Rates'!K185/100</f>
        <v>#VALUE!</v>
      </c>
      <c r="M192" s="112" t="e">
        <f>'GDP Growth Rates'!L185/100</f>
        <v>#VALUE!</v>
      </c>
      <c r="N192" s="112" t="e">
        <f>'GDP Growth Rates'!M185/100</f>
        <v>#VALUE!</v>
      </c>
      <c r="O192" s="112" t="e">
        <f>'GDP Growth Rates'!N185/100</f>
        <v>#VALUE!</v>
      </c>
      <c r="P192" s="112">
        <f>'GDP Growth Rates'!O185/100</f>
        <v>0.01</v>
      </c>
      <c r="Q192" s="112">
        <f>'GDP Growth Rates'!P185/100</f>
        <v>0.05</v>
      </c>
      <c r="R192" s="112">
        <f>'GDP Growth Rates'!Q185/100</f>
        <v>-8.0000032403829524E-2</v>
      </c>
      <c r="S192" s="112">
        <f>'GDP Growth Rates'!R185/100</f>
        <v>-7.9999950689822866E-2</v>
      </c>
      <c r="T192" s="112">
        <f>'GDP Growth Rates'!S185/100</f>
        <v>6.5000036370082059E-2</v>
      </c>
      <c r="U192" s="112">
        <f>'GDP Growth Rates'!T185/100</f>
        <v>-0.12500002246730957</v>
      </c>
      <c r="V192" s="112">
        <f>'GDP Growth Rates'!U185/100</f>
        <v>4.8999996713353366E-2</v>
      </c>
      <c r="W192" s="112" t="e">
        <f>'GDP Growth Rates'!V185/100</f>
        <v>#VALUE!</v>
      </c>
      <c r="X192" s="112" t="e">
        <f>'GDP Growth Rates'!W185/100</f>
        <v>#VALUE!</v>
      </c>
      <c r="Y192" s="112" t="e">
        <f>'GDP Growth Rates'!X185/100</f>
        <v>#VALUE!</v>
      </c>
    </row>
    <row r="193" spans="2:25">
      <c r="B193" s="634" t="s">
        <v>387</v>
      </c>
      <c r="C193" s="635" t="s">
        <v>388</v>
      </c>
      <c r="D193" s="634" t="s">
        <v>750</v>
      </c>
      <c r="E193" s="635" t="s">
        <v>751</v>
      </c>
      <c r="F193" s="112">
        <f>'GDP Growth Rates'!E186/100</f>
        <v>2.488557339381316E-2</v>
      </c>
      <c r="G193" s="112">
        <f>'GDP Growth Rates'!F186/100</f>
        <v>6.9969262675882507E-2</v>
      </c>
      <c r="H193" s="112">
        <f>'GDP Growth Rates'!G186/100</f>
        <v>3.3229685982929025E-2</v>
      </c>
      <c r="I193" s="112">
        <f>'GDP Growth Rates'!H186/100</f>
        <v>4.04640808638888E-3</v>
      </c>
      <c r="J193" s="112">
        <f>'GDP Growth Rates'!I186/100</f>
        <v>-1.3781936056056026E-2</v>
      </c>
      <c r="K193" s="112">
        <f>'GDP Growth Rates'!J186/100</f>
        <v>-4.4704679350780194E-2</v>
      </c>
      <c r="L193" s="112">
        <f>'GDP Growth Rates'!K186/100</f>
        <v>-6.0627665148327023E-3</v>
      </c>
      <c r="M193" s="112">
        <f>'GDP Growth Rates'!L186/100</f>
        <v>1.1691121837647813E-2</v>
      </c>
      <c r="N193" s="112">
        <f>'GDP Growth Rates'!M186/100</f>
        <v>2.4624841721544045E-2</v>
      </c>
      <c r="O193" s="112">
        <f>'GDP Growth Rates'!N186/100</f>
        <v>1.2502543692718148E-2</v>
      </c>
      <c r="P193" s="112">
        <f>'GDP Growth Rates'!O186/100</f>
        <v>2.7831611943520188E-2</v>
      </c>
      <c r="Q193" s="112">
        <f>'GDP Growth Rates'!P186/100</f>
        <v>4.1459316818393432E-2</v>
      </c>
      <c r="R193" s="112">
        <f>'GDP Growth Rates'!Q186/100</f>
        <v>1.448830633671605E-2</v>
      </c>
      <c r="S193" s="112">
        <f>'GDP Growth Rates'!R186/100</f>
        <v>3.1756114423991025E-2</v>
      </c>
      <c r="T193" s="112">
        <f>'GDP Growth Rates'!S186/100</f>
        <v>6.6842848108423425E-3</v>
      </c>
      <c r="U193" s="112">
        <f>'GDP Growth Rates'!T186/100</f>
        <v>-4.2689243442264907E-2</v>
      </c>
      <c r="V193" s="112">
        <f>'GDP Growth Rates'!U186/100</f>
        <v>2.0934012446545865E-2</v>
      </c>
      <c r="W193" s="112">
        <f>'GDP Growth Rates'!V186/100</f>
        <v>3.1108330034352035E-2</v>
      </c>
      <c r="X193" s="112">
        <f>'GDP Growth Rates'!W186/100</f>
        <v>5.3263647209871721E-2</v>
      </c>
      <c r="Y193" s="112">
        <f>'GDP Growth Rates'!X186/100</f>
        <v>4.0618349005020919E-2</v>
      </c>
    </row>
    <row r="194" spans="2:25">
      <c r="B194" s="634" t="s">
        <v>387</v>
      </c>
      <c r="C194" s="635" t="s">
        <v>388</v>
      </c>
      <c r="D194" s="634" t="s">
        <v>752</v>
      </c>
      <c r="E194" s="635" t="s">
        <v>753</v>
      </c>
      <c r="F194" s="112">
        <f>'GDP Growth Rates'!E187/100</f>
        <v>5.6435155134363126E-2</v>
      </c>
      <c r="G194" s="112">
        <f>'GDP Growth Rates'!F187/100</f>
        <v>6.5314117467791991E-2</v>
      </c>
      <c r="H194" s="112">
        <f>'GDP Growth Rates'!G187/100</f>
        <v>5.7352742366448412E-2</v>
      </c>
      <c r="I194" s="112">
        <f>'GDP Growth Rates'!H187/100</f>
        <v>3.8467447312105774E-2</v>
      </c>
      <c r="J194" s="112">
        <f>'GDP Growth Rates'!I187/100</f>
        <v>-2.7677043659913778E-2</v>
      </c>
      <c r="K194" s="112">
        <f>'GDP Growth Rates'!J187/100</f>
        <v>3.8582419523010711E-2</v>
      </c>
      <c r="L194" s="112">
        <f>'GDP Growth Rates'!K187/100</f>
        <v>-3.2135320925337114E-2</v>
      </c>
      <c r="M194" s="112">
        <f>'GDP Growth Rates'!L187/100</f>
        <v>-0.17004688404894466</v>
      </c>
      <c r="N194" s="112">
        <f>'GDP Growth Rates'!M187/100</f>
        <v>1.9551446330242184E-2</v>
      </c>
      <c r="O194" s="112">
        <f>'GDP Growth Rates'!N187/100</f>
        <v>4.6613795422987325E-2</v>
      </c>
      <c r="P194" s="112">
        <f>'GDP Growth Rates'!O187/100</f>
        <v>1.9101768905275093E-2</v>
      </c>
      <c r="Q194" s="112">
        <f>'GDP Growth Rates'!P187/100</f>
        <v>3.4676421840928812E-2</v>
      </c>
      <c r="R194" s="112">
        <f>'GDP Growth Rates'!Q187/100</f>
        <v>7.0925628476643963E-3</v>
      </c>
      <c r="S194" s="112">
        <f>'GDP Growth Rates'!R187/100</f>
        <v>-2.6809305497998964E-2</v>
      </c>
      <c r="T194" s="112">
        <f>'GDP Growth Rates'!S187/100</f>
        <v>-2.1782510453009111E-2</v>
      </c>
      <c r="U194" s="112">
        <f>'GDP Growth Rates'!T187/100</f>
        <v>-3.6298008241075194E-2</v>
      </c>
      <c r="V194" s="112">
        <f>'GDP Growth Rates'!U187/100</f>
        <v>-1.8685204827206973E-2</v>
      </c>
      <c r="W194" s="112">
        <f>'GDP Growth Rates'!V187/100</f>
        <v>-9.5781659111918317E-3</v>
      </c>
      <c r="X194" s="112">
        <f>'GDP Growth Rates'!W187/100</f>
        <v>-0.29433271832514946</v>
      </c>
      <c r="Y194" s="112">
        <f>'GDP Growth Rates'!X187/100</f>
        <v>-0.13493292059286888</v>
      </c>
    </row>
    <row r="195" spans="2:25">
      <c r="B195" s="634" t="s">
        <v>387</v>
      </c>
      <c r="C195" s="635" t="s">
        <v>388</v>
      </c>
      <c r="D195" s="634" t="s">
        <v>754</v>
      </c>
      <c r="E195" s="635" t="s">
        <v>755</v>
      </c>
      <c r="F195" s="112">
        <f>'GDP Growth Rates'!E188/100</f>
        <v>4.5000002108688764E-2</v>
      </c>
      <c r="G195" s="112">
        <f>'GDP Growth Rates'!F188/100</f>
        <v>5.7935435846330423E-2</v>
      </c>
      <c r="H195" s="112">
        <f>'GDP Growth Rates'!G188/100</f>
        <v>5.1114877777345809E-2</v>
      </c>
      <c r="I195" s="112">
        <f>'GDP Growth Rates'!H188/100</f>
        <v>4.1434068116562625E-2</v>
      </c>
      <c r="J195" s="112">
        <f>'GDP Growth Rates'!I188/100</f>
        <v>3.0136989826621063E-2</v>
      </c>
      <c r="K195" s="112">
        <f>'GDP Growth Rates'!J188/100</f>
        <v>5.1688251522581365E-2</v>
      </c>
      <c r="L195" s="112">
        <f>'GDP Growth Rates'!K188/100</f>
        <v>5.8493676717300928E-2</v>
      </c>
      <c r="M195" s="112">
        <f>'GDP Growth Rates'!L188/100</f>
        <v>2.6903497466884686E-2</v>
      </c>
      <c r="N195" s="112">
        <f>'GDP Growth Rates'!M188/100</f>
        <v>2.9334416518612016E-2</v>
      </c>
      <c r="O195" s="112">
        <f>'GDP Growth Rates'!N188/100</f>
        <v>2.5550303164547472E-3</v>
      </c>
      <c r="P195" s="112">
        <f>'GDP Growth Rates'!O188/100</f>
        <v>-3.4130426806762128E-2</v>
      </c>
      <c r="Q195" s="112">
        <f>'GDP Growth Rates'!P188/100</f>
        <v>-4.9116605090585068E-2</v>
      </c>
      <c r="R195" s="112">
        <f>'GDP Growth Rates'!Q188/100</f>
        <v>1.5660378253489711E-2</v>
      </c>
      <c r="S195" s="112">
        <f>'GDP Growth Rates'!R188/100</f>
        <v>4.9482710846888552E-2</v>
      </c>
      <c r="T195" s="112">
        <f>'GDP Growth Rates'!S188/100</f>
        <v>1.1675897723387721E-2</v>
      </c>
      <c r="U195" s="112">
        <f>'GDP Growth Rates'!T188/100</f>
        <v>-0.15975191714862191</v>
      </c>
      <c r="V195" s="112">
        <f>'GDP Growth Rates'!U188/100</f>
        <v>-2.4353858361283755E-2</v>
      </c>
      <c r="W195" s="112">
        <f>'GDP Growth Rates'!V188/100</f>
        <v>2.4062223560121793E-2</v>
      </c>
      <c r="X195" s="112">
        <f>'GDP Growth Rates'!W188/100</f>
        <v>2.5395667544682539E-2</v>
      </c>
      <c r="Y195" s="112">
        <f>'GDP Growth Rates'!X188/100</f>
        <v>2.8395860284605449E-2</v>
      </c>
    </row>
    <row r="196" spans="2:25">
      <c r="B196" s="634" t="s">
        <v>387</v>
      </c>
      <c r="C196" s="635" t="s">
        <v>388</v>
      </c>
      <c r="D196" s="634" t="s">
        <v>756</v>
      </c>
      <c r="E196" s="635" t="s">
        <v>757</v>
      </c>
      <c r="F196" s="112">
        <f>'GDP Growth Rates'!E189/100</f>
        <v>2.7931768601992247E-2</v>
      </c>
      <c r="G196" s="112">
        <f>'GDP Growth Rates'!F189/100</f>
        <v>4.6759987031356899E-2</v>
      </c>
      <c r="H196" s="112">
        <f>'GDP Growth Rates'!G189/100</f>
        <v>3.2249113242818622E-2</v>
      </c>
      <c r="I196" s="112">
        <f>'GDP Growth Rates'!H189/100</f>
        <v>-9.2312308560221368E-3</v>
      </c>
      <c r="J196" s="112">
        <f>'GDP Growth Rates'!I189/100</f>
        <v>-4.2555737447281528E-2</v>
      </c>
      <c r="K196" s="112">
        <f>'GDP Growth Rates'!J189/100</f>
        <v>5.7507358394407078E-2</v>
      </c>
      <c r="L196" s="112">
        <f>'GDP Growth Rates'!K189/100</f>
        <v>3.163910496657877E-2</v>
      </c>
      <c r="M196" s="112">
        <f>'GDP Growth Rates'!L189/100</f>
        <v>-4.1446573683597875E-3</v>
      </c>
      <c r="N196" s="112">
        <f>'GDP Growth Rates'!M189/100</f>
        <v>1.13771650768102E-2</v>
      </c>
      <c r="O196" s="112">
        <f>'GDP Growth Rates'!N189/100</f>
        <v>2.2957637921659852E-2</v>
      </c>
      <c r="P196" s="112">
        <f>'GDP Growth Rates'!O189/100</f>
        <v>4.410140687029937E-2</v>
      </c>
      <c r="Q196" s="112">
        <f>'GDP Growth Rates'!P189/100</f>
        <v>2.3497408070902566E-2</v>
      </c>
      <c r="R196" s="112">
        <f>'GDP Growth Rates'!Q189/100</f>
        <v>1.8251560179848952E-2</v>
      </c>
      <c r="S196" s="112">
        <f>'GDP Growth Rates'!R189/100</f>
        <v>1.9029645725483421E-2</v>
      </c>
      <c r="T196" s="112">
        <f>'GDP Growth Rates'!S189/100</f>
        <v>2.549647872031045E-2</v>
      </c>
      <c r="U196" s="112">
        <f>'GDP Growth Rates'!T189/100</f>
        <v>-2.0053375219518017E-2</v>
      </c>
      <c r="V196" s="112">
        <f>'GDP Growth Rates'!U189/100</f>
        <v>5.9375085889641355E-2</v>
      </c>
      <c r="W196" s="112">
        <f>'GDP Growth Rates'!V189/100</f>
        <v>1.4592884998004365E-2</v>
      </c>
      <c r="X196" s="112">
        <f>'GDP Growth Rates'!W189/100</f>
        <v>-1.1416193539778873E-3</v>
      </c>
      <c r="Y196" s="112">
        <f>'GDP Growth Rates'!X189/100</f>
        <v>9.7383221294859365E-3</v>
      </c>
    </row>
    <row r="197" spans="2:25">
      <c r="B197" s="634" t="s">
        <v>387</v>
      </c>
      <c r="C197" s="635" t="s">
        <v>388</v>
      </c>
      <c r="D197" s="634" t="s">
        <v>758</v>
      </c>
      <c r="E197" s="635" t="s">
        <v>759</v>
      </c>
      <c r="F197" s="112">
        <f>'GDP Growth Rates'!E190/100</f>
        <v>2.7496991061873928E-2</v>
      </c>
      <c r="G197" s="112">
        <f>'GDP Growth Rates'!F190/100</f>
        <v>4.0736284178369005E-2</v>
      </c>
      <c r="H197" s="112">
        <f>'GDP Growth Rates'!G190/100</f>
        <v>3.9163757722758132E-2</v>
      </c>
      <c r="I197" s="112">
        <f>'GDP Growth Rates'!H190/100</f>
        <v>2.8079835919565994E-2</v>
      </c>
      <c r="J197" s="112">
        <f>'GDP Growth Rates'!I190/100</f>
        <v>-2.297374525709216E-2</v>
      </c>
      <c r="K197" s="112">
        <f>'GDP Growth Rates'!J190/100</f>
        <v>3.24339715656356E-2</v>
      </c>
      <c r="L197" s="112">
        <f>'GDP Growth Rates'!K190/100</f>
        <v>1.8131083045959572E-2</v>
      </c>
      <c r="M197" s="112">
        <f>'GDP Growth Rates'!L190/100</f>
        <v>1.179253852505127E-2</v>
      </c>
      <c r="N197" s="112">
        <f>'GDP Growth Rates'!M190/100</f>
        <v>1.7921440071611699E-2</v>
      </c>
      <c r="O197" s="112">
        <f>'GDP Growth Rates'!N190/100</f>
        <v>2.3498814150017894E-2</v>
      </c>
      <c r="P197" s="112">
        <f>'GDP Growth Rates'!O190/100</f>
        <v>1.644627508494878E-2</v>
      </c>
      <c r="Q197" s="112">
        <f>'GDP Growth Rates'!P190/100</f>
        <v>2.0686896903956153E-2</v>
      </c>
      <c r="R197" s="112">
        <f>'GDP Growth Rates'!Q190/100</f>
        <v>1.3627996548885904E-2</v>
      </c>
      <c r="S197" s="112">
        <f>'GDP Growth Rates'!R190/100</f>
        <v>2.8604457943903584E-2</v>
      </c>
      <c r="T197" s="112">
        <f>'GDP Growth Rates'!S190/100</f>
        <v>1.1419821896569147E-2</v>
      </c>
      <c r="U197" s="112">
        <f>'GDP Growth Rates'!T190/100</f>
        <v>-2.1417371200803784E-2</v>
      </c>
      <c r="V197" s="112">
        <f>'GDP Growth Rates'!U190/100</f>
        <v>5.5596202060584403E-2</v>
      </c>
      <c r="W197" s="112">
        <f>'GDP Growth Rates'!V190/100</f>
        <v>3.0440610296942339E-2</v>
      </c>
      <c r="X197" s="112">
        <f>'GDP Growth Rates'!W190/100</f>
        <v>6.8332817437604379E-3</v>
      </c>
      <c r="Y197" s="112">
        <f>'GDP Growth Rates'!X190/100</f>
        <v>1.3023333254110554E-2</v>
      </c>
    </row>
    <row r="198" spans="2:25">
      <c r="B198" s="634" t="s">
        <v>387</v>
      </c>
      <c r="C198" s="635" t="s">
        <v>388</v>
      </c>
      <c r="D198" s="634" t="s">
        <v>760</v>
      </c>
      <c r="E198" s="635" t="s">
        <v>761</v>
      </c>
      <c r="F198" s="112">
        <f>'GDP Growth Rates'!E191/100</f>
        <v>6.2150778353928189E-2</v>
      </c>
      <c r="G198" s="112">
        <f>'GDP Growth Rates'!F191/100</f>
        <v>5.0461955558552631E-2</v>
      </c>
      <c r="H198" s="112">
        <f>'GDP Growth Rates'!G191/100</f>
        <v>5.6745917768580512E-2</v>
      </c>
      <c r="I198" s="112">
        <f>'GDP Growth Rates'!H191/100</f>
        <v>4.4766727360801895E-2</v>
      </c>
      <c r="J198" s="112">
        <f>'GDP Growth Rates'!I191/100</f>
        <v>5.9120427933770543E-2</v>
      </c>
      <c r="K198" s="112">
        <f>'GDP Growth Rates'!J191/100</f>
        <v>5.1919058407533074E-2</v>
      </c>
      <c r="L198" s="112">
        <f>'GDP Growth Rates'!K191/100</f>
        <v>2.850002843579702E-2</v>
      </c>
      <c r="M198" s="112">
        <f>'GDP Growth Rates'!L191/100</f>
        <v>-0.26339017077253246</v>
      </c>
      <c r="N198" s="112">
        <f>'GDP Growth Rates'!M191/100</f>
        <v>-0.26300087661506127</v>
      </c>
      <c r="O198" s="112">
        <f>'GDP Growth Rates'!N191/100</f>
        <v>-0.10310339909052998</v>
      </c>
      <c r="P198" s="112">
        <f>'GDP Growth Rates'!O191/100</f>
        <v>-4.1797916132319986E-2</v>
      </c>
      <c r="Q198" s="112">
        <f>'GDP Growth Rates'!P191/100</f>
        <v>-6.405590739361898E-2</v>
      </c>
      <c r="R198" s="112">
        <f>'GDP Growth Rates'!Q191/100</f>
        <v>-7.2328177747054663E-3</v>
      </c>
      <c r="S198" s="112">
        <f>'GDP Growth Rates'!R191/100</f>
        <v>1.3931760783083717E-2</v>
      </c>
      <c r="T198" s="112">
        <f>'GDP Growth Rates'!S191/100</f>
        <v>1.2207052207052271E-2</v>
      </c>
      <c r="U198" s="112">
        <f>'GDP Growth Rates'!T191/100</f>
        <v>-6.9715450423512952E-3</v>
      </c>
      <c r="V198" s="112">
        <f>'GDP Growth Rates'!U191/100</f>
        <v>1.8542159006412363E-2</v>
      </c>
      <c r="W198" s="112">
        <f>'GDP Growth Rates'!V191/100</f>
        <v>7.3278130186136539E-3</v>
      </c>
      <c r="X198" s="112">
        <f>'GDP Growth Rates'!W191/100</f>
        <v>-1.2072642027964377E-2</v>
      </c>
      <c r="Y198" s="112" t="e">
        <f>'GDP Growth Rates'!X191/100</f>
        <v>#VALUE!</v>
      </c>
    </row>
    <row r="199" spans="2:25">
      <c r="B199" s="634" t="s">
        <v>387</v>
      </c>
      <c r="C199" s="635" t="s">
        <v>388</v>
      </c>
      <c r="D199" s="634" t="s">
        <v>762</v>
      </c>
      <c r="E199" s="635" t="s">
        <v>763</v>
      </c>
      <c r="F199" s="112">
        <f>'GDP Growth Rates'!E192/100</f>
        <v>6.6999985165540898E-2</v>
      </c>
      <c r="G199" s="112">
        <f>'GDP Growth Rates'!F192/100</f>
        <v>7.0000032110899613E-2</v>
      </c>
      <c r="H199" s="112">
        <f>'GDP Growth Rates'!G192/100</f>
        <v>7.8000001187216131E-2</v>
      </c>
      <c r="I199" s="112">
        <f>'GDP Growth Rates'!H192/100</f>
        <v>7.8999982715493924E-2</v>
      </c>
      <c r="J199" s="112">
        <f>'GDP Growth Rates'!I192/100</f>
        <v>3.9000011482649623E-2</v>
      </c>
      <c r="K199" s="112">
        <f>'GDP Growth Rates'!J192/100</f>
        <v>6.4999990858523524E-2</v>
      </c>
      <c r="L199" s="112">
        <f>'GDP Growth Rates'!K192/100</f>
        <v>7.4000005995671081E-2</v>
      </c>
      <c r="M199" s="112">
        <f>'GDP Growth Rates'!L192/100</f>
        <v>7.499999463215247E-2</v>
      </c>
      <c r="N199" s="112">
        <f>'GDP Growth Rates'!M192/100</f>
        <v>7.3999997470037895E-2</v>
      </c>
      <c r="O199" s="112">
        <f>'GDP Growth Rates'!N192/100</f>
        <v>6.7000006901625261E-2</v>
      </c>
      <c r="P199" s="112">
        <f>'GDP Growth Rates'!O192/100</f>
        <v>6.0193033177118591E-2</v>
      </c>
      <c r="Q199" s="112">
        <f>'GDP Growth Rates'!P192/100</f>
        <v>6.8999999999999909E-2</v>
      </c>
      <c r="R199" s="112">
        <f>'GDP Growth Rates'!Q192/100</f>
        <v>7.1000004186430918E-2</v>
      </c>
      <c r="S199" s="112">
        <f>'GDP Growth Rates'!R192/100</f>
        <v>7.5999988895536039E-2</v>
      </c>
      <c r="T199" s="112">
        <f>'GDP Growth Rates'!S192/100</f>
        <v>7.4000001631055592E-2</v>
      </c>
      <c r="U199" s="112">
        <f>'GDP Growth Rates'!T192/100</f>
        <v>4.4000011155349343E-2</v>
      </c>
      <c r="V199" s="112">
        <f>'GDP Growth Rates'!U192/100</f>
        <v>9.3999995503752279E-2</v>
      </c>
      <c r="W199" s="112">
        <f>'GDP Growth Rates'!V192/100</f>
        <v>8.0000003384636365E-2</v>
      </c>
      <c r="X199" s="112">
        <f>'GDP Growth Rates'!W192/100</f>
        <v>8.2999992165193534E-2</v>
      </c>
      <c r="Y199" s="112">
        <f>'GDP Growth Rates'!X192/100</f>
        <v>8.3999998098398129E-2</v>
      </c>
    </row>
    <row r="200" spans="2:25">
      <c r="B200" s="634" t="s">
        <v>387</v>
      </c>
      <c r="C200" s="635" t="s">
        <v>388</v>
      </c>
      <c r="D200" s="634" t="s">
        <v>764</v>
      </c>
      <c r="E200" s="635" t="s">
        <v>765</v>
      </c>
      <c r="F200" s="112">
        <f>'GDP Growth Rates'!E193/100</f>
        <v>7.4763192597478392E-2</v>
      </c>
      <c r="G200" s="112">
        <f>'GDP Growth Rates'!F193/100</f>
        <v>6.5322213884781349E-2</v>
      </c>
      <c r="H200" s="112">
        <f>'GDP Growth Rates'!G193/100</f>
        <v>6.7685352029371593E-2</v>
      </c>
      <c r="I200" s="112">
        <f>'GDP Growth Rates'!H193/100</f>
        <v>5.6864168590522436E-2</v>
      </c>
      <c r="J200" s="112">
        <f>'GDP Growth Rates'!I193/100</f>
        <v>5.2691052487346325E-2</v>
      </c>
      <c r="K200" s="112">
        <f>'GDP Growth Rates'!J193/100</f>
        <v>6.33652342666889E-2</v>
      </c>
      <c r="L200" s="112">
        <f>'GDP Growth Rates'!K193/100</f>
        <v>7.6721554348606419E-2</v>
      </c>
      <c r="M200" s="112">
        <f>'GDP Growth Rates'!L193/100</f>
        <v>4.5001535601013103E-2</v>
      </c>
      <c r="N200" s="112">
        <f>'GDP Growth Rates'!M193/100</f>
        <v>6.7815856006531589E-2</v>
      </c>
      <c r="O200" s="112">
        <f>'GDP Growth Rates'!N193/100</f>
        <v>6.7324618683248336E-2</v>
      </c>
      <c r="P200" s="112">
        <f>'GDP Growth Rates'!O193/100</f>
        <v>6.1606287740668224E-2</v>
      </c>
      <c r="Q200" s="112">
        <f>'GDP Growth Rates'!P193/100</f>
        <v>6.867116196445508E-2</v>
      </c>
      <c r="R200" s="112">
        <f>'GDP Growth Rates'!Q193/100</f>
        <v>6.7622771683414837E-2</v>
      </c>
      <c r="S200" s="112">
        <f>'GDP Growth Rates'!R193/100</f>
        <v>5.4680818152800868E-2</v>
      </c>
      <c r="T200" s="112">
        <f>'GDP Growth Rates'!S193/100</f>
        <v>5.7999999999672272E-2</v>
      </c>
      <c r="U200" s="112">
        <f>'GDP Growth Rates'!T193/100</f>
        <v>1.9919646064785468E-2</v>
      </c>
      <c r="V200" s="112">
        <f>'GDP Growth Rates'!U193/100</f>
        <v>4.3213842948048156E-2</v>
      </c>
      <c r="W200" s="112">
        <f>'GDP Growth Rates'!V193/100</f>
        <v>4.5660057643095511E-2</v>
      </c>
      <c r="X200" s="112">
        <f>'GDP Growth Rates'!W193/100</f>
        <v>5.0695235320339406E-2</v>
      </c>
      <c r="Y200" s="112">
        <f>'GDP Growth Rates'!X193/100</f>
        <v>5.5263138305945037E-2</v>
      </c>
    </row>
    <row r="201" spans="2:25">
      <c r="B201" s="634" t="s">
        <v>387</v>
      </c>
      <c r="C201" s="635" t="s">
        <v>388</v>
      </c>
      <c r="D201" s="634" t="s">
        <v>239</v>
      </c>
      <c r="E201" s="635" t="s">
        <v>766</v>
      </c>
      <c r="F201" s="112">
        <f>'GDP Growth Rates'!E194/100</f>
        <v>4.187638428843371E-2</v>
      </c>
      <c r="G201" s="112">
        <f>'GDP Growth Rates'!F194/100</f>
        <v>4.9678108924610741E-2</v>
      </c>
      <c r="H201" s="112">
        <f>'GDP Growth Rates'!G194/100</f>
        <v>5.4351516905080929E-2</v>
      </c>
      <c r="I201" s="112">
        <f>'GDP Growth Rates'!H194/100</f>
        <v>1.7256988486633418E-2</v>
      </c>
      <c r="J201" s="112">
        <f>'GDP Growth Rates'!I194/100</f>
        <v>-6.9061823230057943E-3</v>
      </c>
      <c r="K201" s="112">
        <f>'GDP Growth Rates'!J194/100</f>
        <v>7.5133905326162417E-2</v>
      </c>
      <c r="L201" s="112">
        <f>'GDP Growth Rates'!K194/100</f>
        <v>8.4013208305333369E-3</v>
      </c>
      <c r="M201" s="112">
        <f>'GDP Growth Rates'!L194/100</f>
        <v>7.242796202496421E-2</v>
      </c>
      <c r="N201" s="112">
        <f>'GDP Growth Rates'!M194/100</f>
        <v>2.6874955632055587E-2</v>
      </c>
      <c r="O201" s="112">
        <f>'GDP Growth Rates'!N194/100</f>
        <v>9.8446886361942629E-3</v>
      </c>
      <c r="P201" s="112">
        <f>'GDP Growth Rates'!O194/100</f>
        <v>3.1340472491163493E-2</v>
      </c>
      <c r="Q201" s="112">
        <f>'GDP Growth Rates'!P194/100</f>
        <v>3.4351577169218217E-2</v>
      </c>
      <c r="R201" s="112">
        <f>'GDP Growth Rates'!Q194/100</f>
        <v>4.1776810321000966E-2</v>
      </c>
      <c r="S201" s="112">
        <f>'GDP Growth Rates'!R194/100</f>
        <v>4.2228702874607081E-2</v>
      </c>
      <c r="T201" s="112">
        <f>'GDP Growth Rates'!S194/100</f>
        <v>2.1145577962827816E-2</v>
      </c>
      <c r="U201" s="112">
        <f>'GDP Growth Rates'!T194/100</f>
        <v>-6.0500384685162202E-2</v>
      </c>
      <c r="V201" s="112">
        <f>'GDP Growth Rates'!U194/100</f>
        <v>1.5521660842664743E-2</v>
      </c>
      <c r="W201" s="112">
        <f>'GDP Growth Rates'!V194/100</f>
        <v>2.5803787470982654E-2</v>
      </c>
      <c r="X201" s="112">
        <f>'GDP Growth Rates'!W194/100</f>
        <v>2.0177509532832687E-2</v>
      </c>
      <c r="Y201" s="112">
        <f>'GDP Growth Rates'!X194/100</f>
        <v>2.5259617577149528E-2</v>
      </c>
    </row>
    <row r="202" spans="2:25">
      <c r="B202" s="634" t="s">
        <v>387</v>
      </c>
      <c r="C202" s="635" t="s">
        <v>388</v>
      </c>
      <c r="D202" s="634" t="s">
        <v>767</v>
      </c>
      <c r="E202" s="635" t="s">
        <v>768</v>
      </c>
      <c r="F202" s="112">
        <f>'GDP Growth Rates'!E195/100</f>
        <v>2.9845796380748624E-2</v>
      </c>
      <c r="G202" s="112">
        <f>'GDP Growth Rates'!F195/100</f>
        <v>-4.1160926894211372E-2</v>
      </c>
      <c r="H202" s="112">
        <f>'GDP Growth Rates'!G195/100</f>
        <v>0.1026538845422013</v>
      </c>
      <c r="I202" s="112">
        <f>'GDP Growth Rates'!H195/100</f>
        <v>0.11394804826646493</v>
      </c>
      <c r="J202" s="112">
        <f>'GDP Growth Rates'!I195/100</f>
        <v>0.10146954418347548</v>
      </c>
      <c r="K202" s="112">
        <f>'GDP Growth Rates'!J195/100</f>
        <v>9.3315117662921235E-2</v>
      </c>
      <c r="L202" s="112">
        <f>'GDP Growth Rates'!K195/100</f>
        <v>5.9585397121065427E-2</v>
      </c>
      <c r="M202" s="112">
        <f>'GDP Growth Rates'!L195/100</f>
        <v>4.8606218682746768E-2</v>
      </c>
      <c r="N202" s="112">
        <f>'GDP Growth Rates'!M195/100</f>
        <v>3.1043668321114666E-2</v>
      </c>
      <c r="O202" s="112">
        <f>'GDP Growth Rates'!N195/100</f>
        <v>4.4724984656963757E-2</v>
      </c>
      <c r="P202" s="112">
        <f>'GDP Growth Rates'!O195/100</f>
        <v>2.480040402183974E-2</v>
      </c>
      <c r="Q202" s="112">
        <f>'GDP Growth Rates'!P195/100</f>
        <v>3.0099306255335138E-2</v>
      </c>
      <c r="R202" s="112">
        <f>'GDP Growth Rates'!Q195/100</f>
        <v>-3.1824152248919546E-2</v>
      </c>
      <c r="S202" s="112">
        <f>'GDP Growth Rates'!R195/100</f>
        <v>1.1475491486123701E-6</v>
      </c>
      <c r="T202" s="112">
        <f>'GDP Growth Rates'!S195/100</f>
        <v>0.23412013584388261</v>
      </c>
      <c r="U202" s="112">
        <f>'GDP Growth Rates'!T195/100</f>
        <v>0.31961918565386954</v>
      </c>
      <c r="V202" s="112">
        <f>'GDP Growth Rates'!U195/100</f>
        <v>5.3155385366764139E-2</v>
      </c>
      <c r="W202" s="112">
        <f>'GDP Growth Rates'!V195/100</f>
        <v>-0.2054158474717333</v>
      </c>
      <c r="X202" s="112">
        <f>'GDP Growth Rates'!W195/100</f>
        <v>-0.18124790956373174</v>
      </c>
      <c r="Y202" s="112">
        <f>'GDP Growth Rates'!X195/100</f>
        <v>-2.1891215563334187E-2</v>
      </c>
    </row>
    <row r="203" spans="2:25">
      <c r="B203" s="634" t="s">
        <v>387</v>
      </c>
      <c r="C203" s="635" t="s">
        <v>388</v>
      </c>
      <c r="D203" s="634" t="s">
        <v>769</v>
      </c>
      <c r="E203" s="635" t="s">
        <v>770</v>
      </c>
      <c r="F203" s="112">
        <f>'GDP Growth Rates'!E196/100</f>
        <v>-4.6662993841333815E-2</v>
      </c>
      <c r="G203" s="112">
        <f>'GDP Growth Rates'!F196/100</f>
        <v>2.650132099434728E-2</v>
      </c>
      <c r="H203" s="112">
        <f>'GDP Growth Rates'!G196/100</f>
        <v>-1.1751203922476776E-2</v>
      </c>
      <c r="I203" s="112">
        <f>'GDP Growth Rates'!H196/100</f>
        <v>4.0356452760748451E-2</v>
      </c>
      <c r="J203" s="112">
        <f>'GDP Growth Rates'!I196/100</f>
        <v>5.453823992626667E-2</v>
      </c>
      <c r="K203" s="112">
        <f>'GDP Growth Rates'!J196/100</f>
        <v>5.8543526941056141E-2</v>
      </c>
      <c r="L203" s="112">
        <f>'GDP Growth Rates'!K196/100</f>
        <v>5.8232522365878621E-2</v>
      </c>
      <c r="M203" s="112">
        <f>'GDP Growth Rates'!L196/100</f>
        <v>6.3026954206915065E-2</v>
      </c>
      <c r="N203" s="112">
        <f>'GDP Growth Rates'!M196/100</f>
        <v>5.8242658324455049E-2</v>
      </c>
      <c r="O203" s="112">
        <f>'GDP Growth Rates'!N196/100</f>
        <v>5.6332402182029E-2</v>
      </c>
      <c r="P203" s="112">
        <f>'GDP Growth Rates'!O196/100</f>
        <v>5.4680312927273746E-2</v>
      </c>
      <c r="Q203" s="112">
        <f>'GDP Growth Rates'!P196/100</f>
        <v>4.2148956092582492E-2</v>
      </c>
      <c r="R203" s="112">
        <f>'GDP Growth Rates'!Q196/100</f>
        <v>4.0081332616230439E-2</v>
      </c>
      <c r="S203" s="112">
        <f>'GDP Growth Rates'!R196/100</f>
        <v>4.7950602703237026E-2</v>
      </c>
      <c r="T203" s="112">
        <f>'GDP Growth Rates'!S196/100</f>
        <v>4.9229259168597252E-2</v>
      </c>
      <c r="U203" s="112">
        <f>'GDP Growth Rates'!T196/100</f>
        <v>1.9921550187034426E-2</v>
      </c>
      <c r="V203" s="112">
        <f>'GDP Growth Rates'!U196/100</f>
        <v>5.9908761039231422E-2</v>
      </c>
      <c r="W203" s="112">
        <f>'GDP Growth Rates'!V196/100</f>
        <v>5.7595425152173335E-2</v>
      </c>
      <c r="X203" s="112">
        <f>'GDP Growth Rates'!W196/100</f>
        <v>6.4079221563624167E-2</v>
      </c>
      <c r="Y203" s="112">
        <f>'GDP Growth Rates'!X196/100</f>
        <v>5.3000053141664123E-2</v>
      </c>
    </row>
    <row r="204" spans="2:25">
      <c r="B204" s="634" t="s">
        <v>387</v>
      </c>
      <c r="C204" s="635" t="s">
        <v>388</v>
      </c>
      <c r="D204" s="634" t="s">
        <v>771</v>
      </c>
      <c r="E204" s="635" t="s">
        <v>772</v>
      </c>
      <c r="F204" s="112">
        <f>'GDP Growth Rates'!E197/100</f>
        <v>-6.5765070349516463E-3</v>
      </c>
      <c r="G204" s="112">
        <f>'GDP Growth Rates'!F197/100</f>
        <v>-2.1656634268038176E-2</v>
      </c>
      <c r="H204" s="112">
        <f>'GDP Growth Rates'!G197/100</f>
        <v>-2.4643077910022272E-2</v>
      </c>
      <c r="I204" s="112">
        <f>'GDP Growth Rates'!H197/100</f>
        <v>4.8628413237699702E-2</v>
      </c>
      <c r="J204" s="112">
        <f>'GDP Growth Rates'!I197/100</f>
        <v>-5.1291781915053181E-2</v>
      </c>
      <c r="K204" s="112">
        <f>'GDP Growth Rates'!J197/100</f>
        <v>8.2439691408183087E-3</v>
      </c>
      <c r="L204" s="112">
        <f>'GDP Growth Rates'!K197/100</f>
        <v>6.7036974623876797E-2</v>
      </c>
      <c r="M204" s="112">
        <f>'GDP Growth Rates'!L197/100</f>
        <v>9.1976102492307629E-3</v>
      </c>
      <c r="N204" s="112">
        <f>'GDP Growth Rates'!M197/100</f>
        <v>3.9392253013733128E-3</v>
      </c>
      <c r="O204" s="112">
        <f>'GDP Growth Rates'!N197/100</f>
        <v>1.9905376989081559E-2</v>
      </c>
      <c r="P204" s="112">
        <f>'GDP Growth Rates'!O197/100</f>
        <v>1.1137440239806579E-2</v>
      </c>
      <c r="Q204" s="112">
        <f>'GDP Growth Rates'!P197/100</f>
        <v>6.5986987941795833E-2</v>
      </c>
      <c r="R204" s="112">
        <f>'GDP Growth Rates'!Q197/100</f>
        <v>3.2023197622424393E-2</v>
      </c>
      <c r="S204" s="112">
        <f>'GDP Growth Rates'!R197/100</f>
        <v>6.8754650668071803E-3</v>
      </c>
      <c r="T204" s="112">
        <f>'GDP Growth Rates'!S197/100</f>
        <v>-2.0843339142196269E-3</v>
      </c>
      <c r="U204" s="112">
        <f>'GDP Growth Rates'!T197/100</f>
        <v>1.7833958990116371E-2</v>
      </c>
      <c r="V204" s="112">
        <f>'GDP Growth Rates'!U197/100</f>
        <v>3.6260427301044729E-3</v>
      </c>
      <c r="W204" s="112">
        <f>'GDP Growth Rates'!V197/100</f>
        <v>-2.3098644452045961E-2</v>
      </c>
      <c r="X204" s="112">
        <f>'GDP Growth Rates'!W197/100</f>
        <v>2.0841558363654544E-2</v>
      </c>
      <c r="Y204" s="112" t="e">
        <f>'GDP Growth Rates'!X197/100</f>
        <v>#VALUE!</v>
      </c>
    </row>
    <row r="205" spans="2:25">
      <c r="B205" s="634" t="s">
        <v>387</v>
      </c>
      <c r="C205" s="635" t="s">
        <v>388</v>
      </c>
      <c r="D205" s="634" t="s">
        <v>773</v>
      </c>
      <c r="E205" s="635" t="s">
        <v>774</v>
      </c>
      <c r="F205" s="112">
        <f>'GDP Growth Rates'!E198/100</f>
        <v>6.2089378795417503E-2</v>
      </c>
      <c r="G205" s="112">
        <f>'GDP Growth Rates'!F198/100</f>
        <v>0.13208058605173492</v>
      </c>
      <c r="H205" s="112">
        <f>'GDP Growth Rates'!G198/100</f>
        <v>4.75420970092722E-2</v>
      </c>
      <c r="I205" s="112">
        <f>'GDP Growth Rates'!H198/100</f>
        <v>3.3917370780738733E-2</v>
      </c>
      <c r="J205" s="112">
        <f>'GDP Growth Rates'!I198/100</f>
        <v>-4.3917292474613984E-2</v>
      </c>
      <c r="K205" s="112">
        <f>'GDP Growth Rates'!J198/100</f>
        <v>3.3232247102737061E-2</v>
      </c>
      <c r="L205" s="112">
        <f>'GDP Growth Rates'!K198/100</f>
        <v>-2.9435440904376263E-3</v>
      </c>
      <c r="M205" s="112">
        <f>'GDP Growth Rates'!L198/100</f>
        <v>6.7100836632247224E-2</v>
      </c>
      <c r="N205" s="112">
        <f>'GDP Growth Rates'!M198/100</f>
        <v>3.3446064754054421E-2</v>
      </c>
      <c r="O205" s="112">
        <f>'GDP Growth Rates'!N198/100</f>
        <v>3.6953651508303265E-2</v>
      </c>
      <c r="P205" s="112">
        <f>'GDP Growth Rates'!O198/100</f>
        <v>-5.6481695339748225E-3</v>
      </c>
      <c r="Q205" s="112">
        <f>'GDP Growth Rates'!P198/100</f>
        <v>-7.4034532659717059E-2</v>
      </c>
      <c r="R205" s="112">
        <f>'GDP Growth Rates'!Q198/100</f>
        <v>-4.8185889067650575E-2</v>
      </c>
      <c r="S205" s="112">
        <f>'GDP Growth Rates'!R198/100</f>
        <v>-9.8552508286402947E-3</v>
      </c>
      <c r="T205" s="112">
        <f>'GDP Growth Rates'!S198/100</f>
        <v>4.718133841871577E-3</v>
      </c>
      <c r="U205" s="112">
        <f>'GDP Growth Rates'!T198/100</f>
        <v>-8.9027944600665598E-2</v>
      </c>
      <c r="V205" s="112">
        <f>'GDP Growth Rates'!U198/100</f>
        <v>-9.119928668656456E-3</v>
      </c>
      <c r="W205" s="112">
        <f>'GDP Growth Rates'!V198/100</f>
        <v>1.0822223395081921E-2</v>
      </c>
      <c r="X205" s="112">
        <f>'GDP Growth Rates'!W198/100</f>
        <v>1.4271133977040051E-2</v>
      </c>
      <c r="Y205" s="112">
        <f>'GDP Growth Rates'!X198/100</f>
        <v>1.6506033458527868E-2</v>
      </c>
    </row>
    <row r="206" spans="2:25">
      <c r="B206" s="634" t="s">
        <v>387</v>
      </c>
      <c r="C206" s="635" t="s">
        <v>388</v>
      </c>
      <c r="D206" s="634" t="s">
        <v>775</v>
      </c>
      <c r="E206" s="635" t="s">
        <v>776</v>
      </c>
      <c r="F206" s="112">
        <f>'GDP Growth Rates'!E199/100</f>
        <v>3.4865455430439028E-2</v>
      </c>
      <c r="G206" s="112">
        <f>'GDP Growth Rates'!F199/100</f>
        <v>5.2440998324691603E-2</v>
      </c>
      <c r="H206" s="112">
        <f>'GDP Growth Rates'!G199/100</f>
        <v>6.7095209745355364E-2</v>
      </c>
      <c r="I206" s="112">
        <f>'GDP Growth Rates'!H199/100</f>
        <v>4.2377814750281857E-2</v>
      </c>
      <c r="J206" s="112">
        <f>'GDP Growth Rates'!I199/100</f>
        <v>3.0434501237155159E-2</v>
      </c>
      <c r="K206" s="112">
        <f>'GDP Growth Rates'!J199/100</f>
        <v>2.9711327506651203E-2</v>
      </c>
      <c r="L206" s="112">
        <f>'GDP Growth Rates'!K199/100</f>
        <v>-2.046633895356436E-2</v>
      </c>
      <c r="M206" s="112">
        <f>'GDP Growth Rates'!L199/100</f>
        <v>4.2166771153563189E-2</v>
      </c>
      <c r="N206" s="112">
        <f>'GDP Growth Rates'!M199/100</f>
        <v>2.4299309644642903E-2</v>
      </c>
      <c r="O206" s="112">
        <f>'GDP Growth Rates'!N199/100</f>
        <v>3.0903280307077521E-2</v>
      </c>
      <c r="P206" s="112">
        <f>'GDP Growth Rates'!O199/100</f>
        <v>9.6770310822012102E-3</v>
      </c>
      <c r="Q206" s="112">
        <f>'GDP Growth Rates'!P199/100</f>
        <v>1.1174259489107356E-2</v>
      </c>
      <c r="R206" s="112">
        <f>'GDP Growth Rates'!Q199/100</f>
        <v>2.2378386796594329E-2</v>
      </c>
      <c r="S206" s="112">
        <f>'GDP Growth Rates'!R199/100</f>
        <v>2.62493010870395E-2</v>
      </c>
      <c r="T206" s="112">
        <f>'GDP Growth Rates'!S199/100</f>
        <v>1.5878466546650431E-2</v>
      </c>
      <c r="U206" s="112">
        <f>'GDP Growth Rates'!T199/100</f>
        <v>-9.0119341239023779E-2</v>
      </c>
      <c r="V206" s="112">
        <f>'GDP Growth Rates'!U199/100</f>
        <v>4.7363207484732044E-2</v>
      </c>
      <c r="W206" s="112">
        <f>'GDP Growth Rates'!V199/100</f>
        <v>2.6733182184056688E-2</v>
      </c>
      <c r="X206" s="112">
        <f>'GDP Growth Rates'!W199/100</f>
        <v>3.9156567493932928E-4</v>
      </c>
      <c r="Y206" s="112">
        <f>'GDP Growth Rates'!X199/100</f>
        <v>1.3506525349018118E-2</v>
      </c>
    </row>
    <row r="207" spans="2:25">
      <c r="B207" s="634" t="s">
        <v>387</v>
      </c>
      <c r="C207" s="635" t="s">
        <v>388</v>
      </c>
      <c r="D207" s="634" t="s">
        <v>777</v>
      </c>
      <c r="E207" s="635" t="s">
        <v>778</v>
      </c>
      <c r="F207" s="112">
        <f>'GDP Growth Rates'!E200/100</f>
        <v>8.9923049362651705E-2</v>
      </c>
      <c r="G207" s="112">
        <f>'GDP Growth Rates'!F200/100</f>
        <v>6.9479880857199278E-2</v>
      </c>
      <c r="H207" s="112">
        <f>'GDP Growth Rates'!G200/100</f>
        <v>5.0435079315710424E-2</v>
      </c>
      <c r="I207" s="112">
        <f>'GDP Growth Rates'!H200/100</f>
        <v>8.1502457300770461E-3</v>
      </c>
      <c r="J207" s="112">
        <f>'GDP Growth Rates'!I200/100</f>
        <v>-4.8231539530176948E-2</v>
      </c>
      <c r="K207" s="112">
        <f>'GDP Growth Rates'!J200/100</f>
        <v>8.4271043227619066E-2</v>
      </c>
      <c r="L207" s="112">
        <f>'GDP Growth Rates'!K200/100</f>
        <v>0.11200110583350352</v>
      </c>
      <c r="M207" s="112">
        <f>'GDP Growth Rates'!L200/100</f>
        <v>4.7884927110800814E-2</v>
      </c>
      <c r="N207" s="112">
        <f>'GDP Growth Rates'!M200/100</f>
        <v>8.4858169965302613E-2</v>
      </c>
      <c r="O207" s="112">
        <f>'GDP Growth Rates'!N200/100</f>
        <v>4.9397151613657965E-2</v>
      </c>
      <c r="P207" s="112">
        <f>'GDP Growth Rates'!O200/100</f>
        <v>6.0844869044366305E-2</v>
      </c>
      <c r="Q207" s="112">
        <f>'GDP Growth Rates'!P200/100</f>
        <v>3.3230842084574587E-2</v>
      </c>
      <c r="R207" s="112">
        <f>'GDP Growth Rates'!Q200/100</f>
        <v>7.5019974891749108E-2</v>
      </c>
      <c r="S207" s="112">
        <f>'GDP Growth Rates'!R200/100</f>
        <v>3.0131703931214986E-2</v>
      </c>
      <c r="T207" s="112">
        <f>'GDP Growth Rates'!S200/100</f>
        <v>8.1851452672667344E-3</v>
      </c>
      <c r="U207" s="112">
        <f>'GDP Growth Rates'!T200/100</f>
        <v>1.8598730397646222E-2</v>
      </c>
      <c r="V207" s="112">
        <f>'GDP Growth Rates'!U200/100</f>
        <v>0.11439395692656575</v>
      </c>
      <c r="W207" s="112">
        <f>'GDP Growth Rates'!V200/100</f>
        <v>5.5334278749278099E-2</v>
      </c>
      <c r="X207" s="112">
        <f>'GDP Growth Rates'!W200/100</f>
        <v>5.1111681848870202E-2</v>
      </c>
      <c r="Y207" s="112">
        <f>'GDP Growth Rates'!X200/100</f>
        <v>3.1840243547922142E-2</v>
      </c>
    </row>
    <row r="208" spans="2:25">
      <c r="B208" s="634" t="s">
        <v>387</v>
      </c>
      <c r="C208" s="635" t="s">
        <v>388</v>
      </c>
      <c r="D208" s="634" t="s">
        <v>779</v>
      </c>
      <c r="E208" s="635" t="s">
        <v>780</v>
      </c>
      <c r="F208" s="112">
        <f>'GDP Growth Rates'!E201/100</f>
        <v>0.13034034870021999</v>
      </c>
      <c r="G208" s="112">
        <f>'GDP Growth Rates'!F201/100</f>
        <v>0.10973308325401704</v>
      </c>
      <c r="H208" s="112">
        <f>'GDP Growth Rates'!G201/100</f>
        <v>0.11059299470450014</v>
      </c>
      <c r="I208" s="112">
        <f>'GDP Growth Rates'!H201/100</f>
        <v>0.14700000000000002</v>
      </c>
      <c r="J208" s="112">
        <f>'GDP Growth Rates'!I201/100</f>
        <v>6.1000001148564277E-2</v>
      </c>
      <c r="K208" s="112">
        <f>'GDP Growth Rates'!J201/100</f>
        <v>9.1999999880548272E-2</v>
      </c>
      <c r="L208" s="112">
        <f>'GDP Growth Rates'!K201/100</f>
        <v>0.1469999992787234</v>
      </c>
      <c r="M208" s="112">
        <f>'GDP Growth Rates'!L201/100</f>
        <v>0.11099999961554488</v>
      </c>
      <c r="N208" s="112">
        <f>'GDP Growth Rates'!M201/100</f>
        <v>0.10200000101398984</v>
      </c>
      <c r="O208" s="112">
        <f>'GDP Growth Rates'!N201/100</f>
        <v>0.10299999970545912</v>
      </c>
      <c r="P208" s="112">
        <f>'GDP Growth Rates'!O201/100</f>
        <v>6.49999990951666E-2</v>
      </c>
      <c r="Q208" s="112">
        <f>'GDP Growth Rates'!P201/100</f>
        <v>6.1999999664300989E-2</v>
      </c>
      <c r="R208" s="112">
        <f>'GDP Growth Rates'!Q201/100</f>
        <v>6.5000000468297542E-2</v>
      </c>
      <c r="S208" s="112">
        <f>'GDP Growth Rates'!R201/100</f>
        <v>6.1999999413711891E-2</v>
      </c>
      <c r="T208" s="112">
        <f>'GDP Growth Rates'!S201/100</f>
        <v>6.3000000422671149E-2</v>
      </c>
      <c r="U208" s="112">
        <f>'GDP Growth Rates'!T201/100</f>
        <v>5.9000000485259961E-2</v>
      </c>
      <c r="V208" s="112">
        <f>'GDP Growth Rates'!U201/100</f>
        <v>6.2000000174707567E-2</v>
      </c>
      <c r="W208" s="112">
        <f>'GDP Growth Rates'!V201/100</f>
        <v>6.1999999362169829E-2</v>
      </c>
      <c r="X208" s="112">
        <f>'GDP Growth Rates'!W201/100</f>
        <v>6.3001575854987099E-2</v>
      </c>
      <c r="Y208" s="112">
        <f>'GDP Growth Rates'!X201/100</f>
        <v>2.2641172265904289E-2</v>
      </c>
    </row>
    <row r="209" spans="2:25">
      <c r="B209" s="634" t="s">
        <v>387</v>
      </c>
      <c r="C209" s="635" t="s">
        <v>388</v>
      </c>
      <c r="D209" s="634" t="s">
        <v>781</v>
      </c>
      <c r="E209" s="635" t="s">
        <v>782</v>
      </c>
      <c r="F209" s="112" t="e">
        <f>'GDP Growth Rates'!E202/100</f>
        <v>#VALUE!</v>
      </c>
      <c r="G209" s="112" t="e">
        <f>'GDP Growth Rates'!F202/100</f>
        <v>#VALUE!</v>
      </c>
      <c r="H209" s="112" t="e">
        <f>'GDP Growth Rates'!G202/100</f>
        <v>#VALUE!</v>
      </c>
      <c r="I209" s="112">
        <f>'GDP Growth Rates'!H202/100</f>
        <v>8.2718931248614916E-2</v>
      </c>
      <c r="J209" s="112">
        <f>'GDP Growth Rates'!I202/100</f>
        <v>-0.19550246759502216</v>
      </c>
      <c r="K209" s="112">
        <f>'GDP Growth Rates'!J202/100</f>
        <v>9.8492485381068209E-3</v>
      </c>
      <c r="L209" s="112">
        <f>'GDP Growth Rates'!K202/100</f>
        <v>4.6204989297823858E-2</v>
      </c>
      <c r="M209" s="112">
        <f>'GDP Growth Rates'!L202/100</f>
        <v>-2.6665556205336428E-2</v>
      </c>
      <c r="N209" s="112">
        <f>'GDP Growth Rates'!M202/100</f>
        <v>1.0708804955403224E-2</v>
      </c>
      <c r="O209" s="112">
        <f>'GDP Growth Rates'!N202/100</f>
        <v>8.7112958082421699E-2</v>
      </c>
      <c r="P209" s="112">
        <f>'GDP Growth Rates'!O202/100</f>
        <v>0.11314829392992891</v>
      </c>
      <c r="Q209" s="112">
        <f>'GDP Growth Rates'!P202/100</f>
        <v>7.2511862757026507E-2</v>
      </c>
      <c r="R209" s="112">
        <f>'GDP Growth Rates'!Q202/100</f>
        <v>-2.4902226041480447E-2</v>
      </c>
      <c r="S209" s="112">
        <f>'GDP Growth Rates'!R202/100</f>
        <v>0.91137038873708065</v>
      </c>
      <c r="T209" s="112">
        <f>'GDP Growth Rates'!S202/100</f>
        <v>4.9817054938299209E-2</v>
      </c>
      <c r="U209" s="112">
        <f>'GDP Growth Rates'!T202/100</f>
        <v>-0.33817097343465191</v>
      </c>
      <c r="V209" s="112">
        <f>'GDP Growth Rates'!U202/100</f>
        <v>0.29629378172241416</v>
      </c>
      <c r="W209" s="112">
        <f>'GDP Growth Rates'!V202/100</f>
        <v>0.14087123416815289</v>
      </c>
      <c r="X209" s="112">
        <f>'GDP Growth Rates'!W202/100</f>
        <v>0.13731148113922842</v>
      </c>
      <c r="Y209" s="112">
        <f>'GDP Growth Rates'!X202/100</f>
        <v>5.6368251744336247E-2</v>
      </c>
    </row>
    <row r="210" spans="2:25">
      <c r="B210" s="634" t="s">
        <v>387</v>
      </c>
      <c r="C210" s="635" t="s">
        <v>388</v>
      </c>
      <c r="D210" s="634" t="s">
        <v>783</v>
      </c>
      <c r="E210" s="635" t="s">
        <v>784</v>
      </c>
      <c r="F210" s="112">
        <f>'GDP Growth Rates'!E203/100</f>
        <v>-4.6511627906976688E-2</v>
      </c>
      <c r="G210" s="112">
        <f>'GDP Growth Rates'!F203/100</f>
        <v>2.4390243902439011E-2</v>
      </c>
      <c r="H210" s="112">
        <f>'GDP Growth Rates'!G203/100</f>
        <v>7.1428571428571383E-2</v>
      </c>
      <c r="I210" s="112">
        <f>'GDP Growth Rates'!H203/100</f>
        <v>6.6666666666666707E-2</v>
      </c>
      <c r="J210" s="112">
        <f>'GDP Growth Rates'!I203/100</f>
        <v>-6.25E-2</v>
      </c>
      <c r="K210" s="112">
        <f>'GDP Growth Rates'!J203/100</f>
        <v>-2.2222222222222286E-2</v>
      </c>
      <c r="L210" s="112">
        <f>'GDP Growth Rates'!K203/100</f>
        <v>6.8181818181818135E-2</v>
      </c>
      <c r="M210" s="112">
        <f>'GDP Growth Rates'!L203/100</f>
        <v>-2.1276595744680833E-2</v>
      </c>
      <c r="N210" s="112">
        <f>'GDP Growth Rates'!M203/100</f>
        <v>4.3478260869565161E-2</v>
      </c>
      <c r="O210" s="112">
        <f>'GDP Growth Rates'!N203/100</f>
        <v>0</v>
      </c>
      <c r="P210" s="112">
        <f>'GDP Growth Rates'!O203/100</f>
        <v>0.10416666666666671</v>
      </c>
      <c r="Q210" s="112">
        <f>'GDP Growth Rates'!P203/100</f>
        <v>5.6603773584905641E-2</v>
      </c>
      <c r="R210" s="112">
        <f>'GDP Growth Rates'!Q203/100</f>
        <v>2.4483928571428636E-2</v>
      </c>
      <c r="S210" s="112">
        <f>'GDP Growth Rates'!R203/100</f>
        <v>1.3872838415160231E-2</v>
      </c>
      <c r="T210" s="112">
        <f>'GDP Growth Rates'!S203/100</f>
        <v>0.1382209844069662</v>
      </c>
      <c r="U210" s="112">
        <f>'GDP Growth Rates'!T203/100</f>
        <v>-4.274932069013971E-2</v>
      </c>
      <c r="V210" s="112">
        <f>'GDP Growth Rates'!U203/100</f>
        <v>1.8041359113615981E-2</v>
      </c>
      <c r="W210" s="112">
        <f>'GDP Growth Rates'!V203/100</f>
        <v>6.7730936143830436E-3</v>
      </c>
      <c r="X210" s="112">
        <f>'GDP Growth Rates'!W203/100</f>
        <v>3.8528091951703231E-2</v>
      </c>
      <c r="Y210" s="112" t="e">
        <f>'GDP Growth Rates'!X203/100</f>
        <v>#VALUE!</v>
      </c>
    </row>
    <row r="211" spans="2:25">
      <c r="B211" s="634" t="s">
        <v>387</v>
      </c>
      <c r="C211" s="635" t="s">
        <v>388</v>
      </c>
      <c r="D211" s="634" t="s">
        <v>785</v>
      </c>
      <c r="E211" s="635" t="s">
        <v>786</v>
      </c>
      <c r="F211" s="112">
        <f>'GDP Growth Rates'!E204/100</f>
        <v>6.3325651162315644E-2</v>
      </c>
      <c r="G211" s="112">
        <f>'GDP Growth Rates'!F204/100</f>
        <v>0.10784744385745341</v>
      </c>
      <c r="H211" s="112">
        <f>'GDP Growth Rates'!G204/100</f>
        <v>8.4124259655107073E-2</v>
      </c>
      <c r="I211" s="112">
        <f>'GDP Growth Rates'!H204/100</f>
        <v>8.7087519015449852E-2</v>
      </c>
      <c r="J211" s="112">
        <f>'GDP Growth Rates'!I204/100</f>
        <v>6.8015173486039512E-2</v>
      </c>
      <c r="K211" s="112">
        <f>'GDP Growth Rates'!J204/100</f>
        <v>5.6376116374975707E-2</v>
      </c>
      <c r="L211" s="112">
        <f>'GDP Growth Rates'!K204/100</f>
        <v>9.3916554927176044E-2</v>
      </c>
      <c r="M211" s="112">
        <f>'GDP Growth Rates'!L204/100</f>
        <v>3.8374556060522876E-2</v>
      </c>
      <c r="N211" s="112">
        <f>'GDP Growth Rates'!M204/100</f>
        <v>3.5869058262302501E-2</v>
      </c>
      <c r="O211" s="112">
        <f>'GDP Growth Rates'!N204/100</f>
        <v>5.1063073253979636E-2</v>
      </c>
      <c r="P211" s="112">
        <f>'GDP Growth Rates'!O204/100</f>
        <v>5.1878598600246593E-2</v>
      </c>
      <c r="Q211" s="112">
        <f>'GDP Growth Rates'!P204/100</f>
        <v>4.7810002925448174E-2</v>
      </c>
      <c r="R211" s="112">
        <f>'GDP Growth Rates'!Q204/100</f>
        <v>3.1314055172359613E-2</v>
      </c>
      <c r="S211" s="112">
        <f>'GDP Growth Rates'!R204/100</f>
        <v>6.3039237826299652E-2</v>
      </c>
      <c r="T211" s="112">
        <f>'GDP Growth Rates'!S204/100</f>
        <v>6.4387450327643869E-2</v>
      </c>
      <c r="U211" s="112">
        <f>'GDP Growth Rates'!T204/100</f>
        <v>2.9513064221809771E-2</v>
      </c>
      <c r="V211" s="112">
        <f>'GDP Growth Rates'!U204/100</f>
        <v>3.5365803407089801E-2</v>
      </c>
      <c r="W211" s="112">
        <f>'GDP Growth Rates'!V204/100</f>
        <v>4.5880219218177275E-2</v>
      </c>
      <c r="X211" s="112">
        <f>'GDP Growth Rates'!W204/100</f>
        <v>5.336972955114689E-2</v>
      </c>
      <c r="Y211" s="112">
        <f>'GDP Growth Rates'!X204/100</f>
        <v>6.1364520184639844E-2</v>
      </c>
    </row>
    <row r="212" spans="2:25">
      <c r="B212" s="634" t="s">
        <v>387</v>
      </c>
      <c r="C212" s="635" t="s">
        <v>388</v>
      </c>
      <c r="D212" s="634" t="s">
        <v>787</v>
      </c>
      <c r="E212" s="635" t="s">
        <v>788</v>
      </c>
      <c r="F212" s="112">
        <f>'GDP Growth Rates'!E205/100</f>
        <v>3.0712303924520939E-2</v>
      </c>
      <c r="G212" s="112">
        <f>'GDP Growth Rates'!F205/100</f>
        <v>7.5714207632296679E-2</v>
      </c>
      <c r="H212" s="112">
        <f>'GDP Growth Rates'!G205/100</f>
        <v>8.2158444516571477E-2</v>
      </c>
      <c r="I212" s="112">
        <f>'GDP Growth Rates'!H205/100</f>
        <v>2.2434915962828796E-2</v>
      </c>
      <c r="J212" s="112">
        <f>'GDP Growth Rates'!I205/100</f>
        <v>-0.15136467910150159</v>
      </c>
      <c r="K212" s="112">
        <f>'GDP Growth Rates'!J205/100</f>
        <v>4.0920043666808681E-2</v>
      </c>
      <c r="L212" s="112">
        <f>'GDP Growth Rates'!K205/100</f>
        <v>5.4452808104847608E-2</v>
      </c>
      <c r="M212" s="112">
        <f>'GDP Growth Rates'!L205/100</f>
        <v>1.5231496720065252E-3</v>
      </c>
      <c r="N212" s="112">
        <f>'GDP Growth Rates'!M205/100</f>
        <v>4.5439094492707001E-4</v>
      </c>
      <c r="O212" s="112">
        <f>'GDP Growth Rates'!N205/100</f>
        <v>-0.10078894984095271</v>
      </c>
      <c r="P212" s="112">
        <f>'GDP Growth Rates'!O205/100</f>
        <v>-9.7729872128676051E-2</v>
      </c>
      <c r="Q212" s="112">
        <f>'GDP Growth Rates'!P205/100</f>
        <v>2.440981944920665E-2</v>
      </c>
      <c r="R212" s="112">
        <f>'GDP Growth Rates'!Q205/100</f>
        <v>2.3599722809949101E-2</v>
      </c>
      <c r="S212" s="112">
        <f>'GDP Growth Rates'!R205/100</f>
        <v>3.4883623402265869E-2</v>
      </c>
      <c r="T212" s="112">
        <f>'GDP Growth Rates'!S205/100</f>
        <v>3.1995038635413378E-2</v>
      </c>
      <c r="U212" s="112">
        <f>'GDP Growth Rates'!T205/100</f>
        <v>-3.7528179398316153E-2</v>
      </c>
      <c r="V212" s="112">
        <f>'GDP Growth Rates'!U205/100</f>
        <v>3.4456206594594363E-2</v>
      </c>
      <c r="W212" s="112">
        <f>'GDP Growth Rates'!V205/100</f>
        <v>-0.28758584215508493</v>
      </c>
      <c r="X212" s="112">
        <f>'GDP Growth Rates'!W205/100</f>
        <v>5.534733547458856E-2</v>
      </c>
      <c r="Y212" s="112">
        <f>'GDP Growth Rates'!X205/100</f>
        <v>2.9138222147053482E-2</v>
      </c>
    </row>
    <row r="213" spans="2:25">
      <c r="B213" s="634" t="s">
        <v>387</v>
      </c>
      <c r="C213" s="635" t="s">
        <v>388</v>
      </c>
      <c r="D213" s="634" t="s">
        <v>789</v>
      </c>
      <c r="E213" s="635" t="s">
        <v>790</v>
      </c>
      <c r="F213" s="112">
        <f>'GDP Growth Rates'!E206/100</f>
        <v>4.8551411955335196E-2</v>
      </c>
      <c r="G213" s="112">
        <f>'GDP Growth Rates'!F206/100</f>
        <v>9.8373197692395845E-2</v>
      </c>
      <c r="H213" s="112">
        <f>'GDP Growth Rates'!G206/100</f>
        <v>3.1843901732460725E-2</v>
      </c>
      <c r="I213" s="112">
        <f>'GDP Growth Rates'!H206/100</f>
        <v>3.1918362733181598E-2</v>
      </c>
      <c r="J213" s="112">
        <f>'GDP Growth Rates'!I206/100</f>
        <v>-5.2429219038502735E-2</v>
      </c>
      <c r="K213" s="112">
        <f>'GDP Growth Rates'!J206/100</f>
        <v>1.6028500467135415E-2</v>
      </c>
      <c r="L213" s="112">
        <f>'GDP Growth Rates'!K206/100</f>
        <v>6.216121816643707E-2</v>
      </c>
      <c r="M213" s="112">
        <f>'GDP Growth Rates'!L206/100</f>
        <v>1.8244807850986006E-2</v>
      </c>
      <c r="N213" s="112">
        <f>'GDP Growth Rates'!M206/100</f>
        <v>5.055559658079687E-2</v>
      </c>
      <c r="O213" s="112">
        <f>'GDP Growth Rates'!N206/100</f>
        <v>4.1656918406492167E-2</v>
      </c>
      <c r="P213" s="112">
        <f>'GDP Growth Rates'!O206/100</f>
        <v>6.7867728765661758E-2</v>
      </c>
      <c r="Q213" s="112">
        <f>'GDP Growth Rates'!P206/100</f>
        <v>5.5614907597993264E-2</v>
      </c>
      <c r="R213" s="112">
        <f>'GDP Growth Rates'!Q206/100</f>
        <v>7.3506871394120312E-3</v>
      </c>
      <c r="S213" s="112">
        <f>'GDP Growth Rates'!R206/100</f>
        <v>1.3139138815357825E-2</v>
      </c>
      <c r="T213" s="112">
        <f>'GDP Growth Rates'!S206/100</f>
        <v>1.1083481345329603E-2</v>
      </c>
      <c r="U213" s="112">
        <f>'GDP Growth Rates'!T206/100</f>
        <v>-4.9570524330331552E-2</v>
      </c>
      <c r="V213" s="112">
        <f>'GDP Growth Rates'!U206/100</f>
        <v>4.3547552965991942E-2</v>
      </c>
      <c r="W213" s="112">
        <f>'GDP Growth Rates'!V206/100</f>
        <v>7.5096970349644465E-2</v>
      </c>
      <c r="X213" s="112">
        <f>'GDP Growth Rates'!W206/100</f>
        <v>3.6187065311815869E-2</v>
      </c>
      <c r="Y213" s="112">
        <f>'GDP Growth Rates'!X206/100</f>
        <v>3.7616154455314896E-2</v>
      </c>
    </row>
    <row r="214" spans="2:25">
      <c r="B214" s="634" t="s">
        <v>387</v>
      </c>
      <c r="C214" s="635" t="s">
        <v>388</v>
      </c>
      <c r="D214" s="634" t="s">
        <v>791</v>
      </c>
      <c r="E214" s="635" t="s">
        <v>792</v>
      </c>
      <c r="F214" s="112">
        <f>'GDP Growth Rates'!E207/100</f>
        <v>2.7326607668118896E-2</v>
      </c>
      <c r="G214" s="112">
        <f>'GDP Growth Rates'!F207/100</f>
        <v>2.3806940353246802E-2</v>
      </c>
      <c r="H214" s="112">
        <f>'GDP Growth Rates'!G207/100</f>
        <v>2.6248799534028536E-2</v>
      </c>
      <c r="I214" s="112">
        <f>'GDP Growth Rates'!H207/100</f>
        <v>-2.4879726075664622E-3</v>
      </c>
      <c r="J214" s="112">
        <f>'GDP Growth Rates'!I207/100</f>
        <v>-4.6205537076842516E-2</v>
      </c>
      <c r="K214" s="112">
        <f>'GDP Growth Rates'!J207/100</f>
        <v>2.2333150881534605E-2</v>
      </c>
      <c r="L214" s="112">
        <f>'GDP Growth Rates'!K207/100</f>
        <v>1.1383623984066275E-2</v>
      </c>
      <c r="M214" s="112">
        <f>'GDP Growth Rates'!L207/100</f>
        <v>1.5089983466822759E-2</v>
      </c>
      <c r="N214" s="112">
        <f>'GDP Growth Rates'!M207/100</f>
        <v>1.7999214970283645E-2</v>
      </c>
      <c r="O214" s="112">
        <f>'GDP Growth Rates'!N207/100</f>
        <v>3.1946373193892298E-2</v>
      </c>
      <c r="P214" s="112">
        <f>'GDP Growth Rates'!O207/100</f>
        <v>2.2228884228033364E-2</v>
      </c>
      <c r="Q214" s="112">
        <f>'GDP Growth Rates'!P207/100</f>
        <v>1.9217100993400748E-2</v>
      </c>
      <c r="R214" s="112">
        <f>'GDP Growth Rates'!Q207/100</f>
        <v>2.6565048756620229E-2</v>
      </c>
      <c r="S214" s="112">
        <f>'GDP Growth Rates'!R207/100</f>
        <v>1.4051902598153844E-2</v>
      </c>
      <c r="T214" s="112">
        <f>'GDP Growth Rates'!S207/100</f>
        <v>1.6244751803840388E-2</v>
      </c>
      <c r="U214" s="112">
        <f>'GDP Growth Rates'!T207/100</f>
        <v>-0.10296918859170973</v>
      </c>
      <c r="V214" s="112">
        <f>'GDP Growth Rates'!U207/100</f>
        <v>8.5759508739302395E-2</v>
      </c>
      <c r="W214" s="112">
        <f>'GDP Growth Rates'!V207/100</f>
        <v>4.8390851787713414E-2</v>
      </c>
      <c r="X214" s="112">
        <f>'GDP Growth Rates'!W207/100</f>
        <v>3.9708234553962997E-3</v>
      </c>
      <c r="Y214" s="112">
        <f>'GDP Growth Rates'!X207/100</f>
        <v>1.1006678663927119E-2</v>
      </c>
    </row>
    <row r="215" spans="2:25">
      <c r="B215" s="634" t="s">
        <v>387</v>
      </c>
      <c r="C215" s="635" t="s">
        <v>388</v>
      </c>
      <c r="D215" s="634" t="s">
        <v>793</v>
      </c>
      <c r="E215" s="635" t="s">
        <v>167</v>
      </c>
      <c r="F215" s="112">
        <f>'GDP Growth Rates'!E208/100</f>
        <v>3.483549935445595E-2</v>
      </c>
      <c r="G215" s="112">
        <f>'GDP Growth Rates'!F208/100</f>
        <v>2.784539638178913E-2</v>
      </c>
      <c r="H215" s="112">
        <f>'GDP Growth Rates'!G208/100</f>
        <v>2.0038582990915755E-2</v>
      </c>
      <c r="I215" s="112">
        <f>'GDP Growth Rates'!H208/100</f>
        <v>1.1358724816099652E-3</v>
      </c>
      <c r="J215" s="112">
        <f>'GDP Growth Rates'!I208/100</f>
        <v>-2.5765002322500122E-2</v>
      </c>
      <c r="K215" s="112">
        <f>'GDP Growth Rates'!J208/100</f>
        <v>2.6951925823485112E-2</v>
      </c>
      <c r="L215" s="112">
        <f>'GDP Growth Rates'!K208/100</f>
        <v>1.5644068553730649E-2</v>
      </c>
      <c r="M215" s="112">
        <f>'GDP Growth Rates'!L208/100</f>
        <v>2.289113386319002E-2</v>
      </c>
      <c r="N215" s="112">
        <f>'GDP Growth Rates'!M208/100</f>
        <v>2.1178300978646831E-2</v>
      </c>
      <c r="O215" s="112">
        <f>'GDP Growth Rates'!N208/100</f>
        <v>2.5238198137262059E-2</v>
      </c>
      <c r="P215" s="112">
        <f>'GDP Growth Rates'!O208/100</f>
        <v>2.9455504559977187E-2</v>
      </c>
      <c r="Q215" s="112">
        <f>'GDP Growth Rates'!P208/100</f>
        <v>1.8194514762052166E-2</v>
      </c>
      <c r="R215" s="112">
        <f>'GDP Growth Rates'!Q208/100</f>
        <v>2.4576223017508596E-2</v>
      </c>
      <c r="S215" s="112">
        <f>'GDP Growth Rates'!R208/100</f>
        <v>2.9665050691659617E-2</v>
      </c>
      <c r="T215" s="112">
        <f>'GDP Growth Rates'!S208/100</f>
        <v>2.583825330188887E-2</v>
      </c>
      <c r="U215" s="112">
        <f>'GDP Growth Rates'!T208/100</f>
        <v>-2.1630291386651238E-2</v>
      </c>
      <c r="V215" s="112">
        <f>'GDP Growth Rates'!U208/100</f>
        <v>6.0550529330455592E-2</v>
      </c>
      <c r="W215" s="112">
        <f>'GDP Growth Rates'!V208/100</f>
        <v>2.5123753198331968E-2</v>
      </c>
      <c r="X215" s="112">
        <f>'GDP Growth Rates'!W208/100</f>
        <v>2.8875560090598357E-2</v>
      </c>
      <c r="Y215" s="112">
        <f>'GDP Growth Rates'!X208/100</f>
        <v>2.7961903562139269E-2</v>
      </c>
    </row>
    <row r="216" spans="2:25">
      <c r="B216" s="634" t="s">
        <v>387</v>
      </c>
      <c r="C216" s="635" t="s">
        <v>388</v>
      </c>
      <c r="D216" s="634" t="s">
        <v>794</v>
      </c>
      <c r="E216" s="635" t="s">
        <v>795</v>
      </c>
      <c r="F216" s="112">
        <f>'GDP Growth Rates'!E209/100</f>
        <v>7.4601321302473031E-2</v>
      </c>
      <c r="G216" s="112">
        <f>'GDP Growth Rates'!F209/100</f>
        <v>4.0985773544540083E-2</v>
      </c>
      <c r="H216" s="112">
        <f>'GDP Growth Rates'!G209/100</f>
        <v>6.5415108450481652E-2</v>
      </c>
      <c r="I216" s="112">
        <f>'GDP Growth Rates'!H209/100</f>
        <v>7.1761446645510749E-2</v>
      </c>
      <c r="J216" s="112">
        <f>'GDP Growth Rates'!I209/100</f>
        <v>4.2434941946242616E-2</v>
      </c>
      <c r="K216" s="112">
        <f>'GDP Growth Rates'!J209/100</f>
        <v>7.8034096507169012E-2</v>
      </c>
      <c r="L216" s="112">
        <f>'GDP Growth Rates'!K209/100</f>
        <v>5.1621330246360626E-2</v>
      </c>
      <c r="M216" s="112">
        <f>'GDP Growth Rates'!L209/100</f>
        <v>3.5381787205686945E-2</v>
      </c>
      <c r="N216" s="112">
        <f>'GDP Growth Rates'!M209/100</f>
        <v>4.6375386290241634E-2</v>
      </c>
      <c r="O216" s="112">
        <f>'GDP Growth Rates'!N209/100</f>
        <v>3.2387912295236417E-2</v>
      </c>
      <c r="P216" s="112">
        <f>'GDP Growth Rates'!O209/100</f>
        <v>3.7074125768134535E-3</v>
      </c>
      <c r="Q216" s="112">
        <f>'GDP Growth Rates'!P209/100</f>
        <v>1.6897982297177521E-2</v>
      </c>
      <c r="R216" s="112">
        <f>'GDP Growth Rates'!Q209/100</f>
        <v>1.7403764337421138E-2</v>
      </c>
      <c r="S216" s="112">
        <f>'GDP Growth Rates'!R209/100</f>
        <v>1.647776089401134E-3</v>
      </c>
      <c r="T216" s="112">
        <f>'GDP Growth Rates'!S209/100</f>
        <v>9.2835114126749822E-3</v>
      </c>
      <c r="U216" s="112">
        <f>'GDP Growth Rates'!T209/100</f>
        <v>-7.3573270648472258E-2</v>
      </c>
      <c r="V216" s="112">
        <f>'GDP Growth Rates'!U209/100</f>
        <v>5.8442731255817934E-2</v>
      </c>
      <c r="W216" s="112">
        <f>'GDP Growth Rates'!V209/100</f>
        <v>4.4862270307207269E-2</v>
      </c>
      <c r="X216" s="112">
        <f>'GDP Growth Rates'!W209/100</f>
        <v>7.421287853159271E-3</v>
      </c>
      <c r="Y216" s="112">
        <f>'GDP Growth Rates'!X209/100</f>
        <v>3.1082547806617244E-2</v>
      </c>
    </row>
    <row r="217" spans="2:25">
      <c r="B217" s="634" t="s">
        <v>387</v>
      </c>
      <c r="C217" s="635" t="s">
        <v>388</v>
      </c>
      <c r="D217" s="634" t="s">
        <v>796</v>
      </c>
      <c r="E217" s="635" t="s">
        <v>797</v>
      </c>
      <c r="F217" s="112">
        <f>'GDP Growth Rates'!E210/100</f>
        <v>6.9500071956909715E-2</v>
      </c>
      <c r="G217" s="112">
        <f>'GDP Growth Rates'!F210/100</f>
        <v>7.4514184762176819E-2</v>
      </c>
      <c r="H217" s="112">
        <f>'GDP Growth Rates'!G210/100</f>
        <v>9.4730053054453978E-2</v>
      </c>
      <c r="I217" s="112">
        <f>'GDP Growth Rates'!H210/100</f>
        <v>9.0291610178477699E-2</v>
      </c>
      <c r="J217" s="112">
        <f>'GDP Growth Rates'!I210/100</f>
        <v>8.0509333273396641E-2</v>
      </c>
      <c r="K217" s="112">
        <f>'GDP Growth Rates'!J210/100</f>
        <v>7.5971679610016024E-2</v>
      </c>
      <c r="L217" s="112">
        <f>'GDP Growth Rates'!K210/100</f>
        <v>7.5251398942297668E-2</v>
      </c>
      <c r="M217" s="112">
        <f>'GDP Growth Rates'!L210/100</f>
        <v>7.102444887063171E-2</v>
      </c>
      <c r="N217" s="112">
        <f>'GDP Growth Rates'!M210/100</f>
        <v>7.2965503696989911E-2</v>
      </c>
      <c r="O217" s="112">
        <f>'GDP Growth Rates'!N210/100</f>
        <v>6.8738384408163988E-2</v>
      </c>
      <c r="P217" s="112">
        <f>'GDP Growth Rates'!O210/100</f>
        <v>7.2187735082080304E-2</v>
      </c>
      <c r="Q217" s="112">
        <f>'GDP Growth Rates'!P210/100</f>
        <v>5.9321507999329268E-2</v>
      </c>
      <c r="R217" s="112">
        <f>'GDP Growth Rates'!Q210/100</f>
        <v>4.3952746334926331E-2</v>
      </c>
      <c r="S217" s="112">
        <f>'GDP Growth Rates'!R210/100</f>
        <v>5.5591957291928791E-2</v>
      </c>
      <c r="T217" s="112">
        <f>'GDP Growth Rates'!S210/100</f>
        <v>6.7799239965523561E-2</v>
      </c>
      <c r="U217" s="112">
        <f>'GDP Growth Rates'!T210/100</f>
        <v>1.5633427726051537E-2</v>
      </c>
      <c r="V217" s="112">
        <f>'GDP Growth Rates'!U210/100</f>
        <v>8.034683126400495E-2</v>
      </c>
      <c r="W217" s="112">
        <f>'GDP Growth Rates'!V210/100</f>
        <v>6.0013423220344177E-2</v>
      </c>
      <c r="X217" s="112">
        <f>'GDP Growth Rates'!W210/100</f>
        <v>6.2914163508231133E-2</v>
      </c>
      <c r="Y217" s="112">
        <f>'GDP Growth Rates'!X210/100</f>
        <v>6.4999999999767646E-2</v>
      </c>
    </row>
    <row r="218" spans="2:25">
      <c r="B218" s="634" t="s">
        <v>387</v>
      </c>
      <c r="C218" s="635" t="s">
        <v>388</v>
      </c>
      <c r="D218" s="634" t="s">
        <v>798</v>
      </c>
      <c r="E218" s="635" t="s">
        <v>799</v>
      </c>
      <c r="F218" s="112">
        <f>'GDP Growth Rates'!E211/100</f>
        <v>5.30532647259227E-2</v>
      </c>
      <c r="G218" s="112">
        <f>'GDP Growth Rates'!F211/100</f>
        <v>8.4606974720542641E-2</v>
      </c>
      <c r="H218" s="112">
        <f>'GDP Growth Rates'!G211/100</f>
        <v>2.8758922877537996E-2</v>
      </c>
      <c r="I218" s="112">
        <f>'GDP Growth Rates'!H211/100</f>
        <v>5.6009918214721351E-2</v>
      </c>
      <c r="J218" s="112">
        <f>'GDP Growth Rates'!I211/100</f>
        <v>3.0373035409960211E-2</v>
      </c>
      <c r="K218" s="112">
        <f>'GDP Growth Rates'!J211/100</f>
        <v>1.2588672032932634E-2</v>
      </c>
      <c r="L218" s="112">
        <f>'GDP Growth Rates'!K211/100</f>
        <v>3.1398029002341163E-2</v>
      </c>
      <c r="M218" s="112">
        <f>'GDP Growth Rates'!L211/100</f>
        <v>1.0100476869204157E-2</v>
      </c>
      <c r="N218" s="112">
        <f>'GDP Growth Rates'!M211/100</f>
        <v>4.6339041513509469E-3</v>
      </c>
      <c r="O218" s="112">
        <f>'GDP Growth Rates'!N211/100</f>
        <v>2.5750403162877973E-2</v>
      </c>
      <c r="P218" s="112">
        <f>'GDP Growth Rates'!O211/100</f>
        <v>3.9659194644487313E-2</v>
      </c>
      <c r="Q218" s="112">
        <f>'GDP Growth Rates'!P211/100</f>
        <v>3.4715447154471522E-2</v>
      </c>
      <c r="R218" s="112">
        <f>'GDP Growth Rates'!Q211/100</f>
        <v>4.4126659856996896E-2</v>
      </c>
      <c r="S218" s="112">
        <f>'GDP Growth Rates'!R211/100</f>
        <v>2.9002302725644569E-2</v>
      </c>
      <c r="T218" s="112">
        <f>'GDP Growth Rates'!S211/100</f>
        <v>3.2411876554044171E-2</v>
      </c>
      <c r="U218" s="112">
        <f>'GDP Growth Rates'!T211/100</f>
        <v>-4.9924914288952495E-2</v>
      </c>
      <c r="V218" s="112">
        <f>'GDP Growth Rates'!U211/100</f>
        <v>-1.552294891294622E-2</v>
      </c>
      <c r="W218" s="112">
        <f>'GDP Growth Rates'!V211/100</f>
        <v>5.1862286242256202E-2</v>
      </c>
      <c r="X218" s="112">
        <f>'GDP Growth Rates'!W211/100</f>
        <v>-9.6479228166174383E-3</v>
      </c>
      <c r="Y218" s="112">
        <f>'GDP Growth Rates'!X211/100</f>
        <v>3.9672583060705195E-2</v>
      </c>
    </row>
    <row r="219" spans="2:25">
      <c r="B219" s="634" t="s">
        <v>387</v>
      </c>
      <c r="C219" s="635" t="s">
        <v>388</v>
      </c>
      <c r="D219" s="634" t="s">
        <v>800</v>
      </c>
      <c r="E219" s="635" t="s">
        <v>801</v>
      </c>
      <c r="F219" s="112">
        <f>'GDP Growth Rates'!E212/100</f>
        <v>0.10317913804314842</v>
      </c>
      <c r="G219" s="112">
        <f>'GDP Growth Rates'!F212/100</f>
        <v>9.872149108510371E-2</v>
      </c>
      <c r="H219" s="112">
        <f>'GDP Growth Rates'!G212/100</f>
        <v>8.7535788078585031E-2</v>
      </c>
      <c r="I219" s="112">
        <f>'GDP Growth Rates'!H212/100</f>
        <v>5.277854123987822E-2</v>
      </c>
      <c r="J219" s="112">
        <f>'GDP Growth Rates'!I212/100</f>
        <v>-3.2023026574900228E-2</v>
      </c>
      <c r="K219" s="112">
        <f>'GDP Growth Rates'!J212/100</f>
        <v>-1.4887912507834784E-2</v>
      </c>
      <c r="L219" s="112">
        <f>'GDP Growth Rates'!K212/100</f>
        <v>4.1764253592392747E-2</v>
      </c>
      <c r="M219" s="112">
        <f>'GDP Growth Rates'!L212/100</f>
        <v>5.6259569750864102E-2</v>
      </c>
      <c r="N219" s="112">
        <f>'GDP Growth Rates'!M212/100</f>
        <v>1.3430940360747599E-2</v>
      </c>
      <c r="O219" s="112">
        <f>'GDP Growth Rates'!N212/100</f>
        <v>-3.8943864745066177E-2</v>
      </c>
      <c r="P219" s="112" t="e">
        <f>'GDP Growth Rates'!O212/100</f>
        <v>#VALUE!</v>
      </c>
      <c r="Q219" s="112" t="e">
        <f>'GDP Growth Rates'!P212/100</f>
        <v>#VALUE!</v>
      </c>
      <c r="R219" s="112" t="e">
        <f>'GDP Growth Rates'!Q212/100</f>
        <v>#VALUE!</v>
      </c>
      <c r="S219" s="112" t="e">
        <f>'GDP Growth Rates'!R212/100</f>
        <v>#VALUE!</v>
      </c>
      <c r="T219" s="112" t="e">
        <f>'GDP Growth Rates'!S212/100</f>
        <v>#VALUE!</v>
      </c>
      <c r="U219" s="112" t="e">
        <f>'GDP Growth Rates'!T212/100</f>
        <v>#VALUE!</v>
      </c>
      <c r="V219" s="112" t="e">
        <f>'GDP Growth Rates'!U212/100</f>
        <v>#VALUE!</v>
      </c>
      <c r="W219" s="112" t="e">
        <f>'GDP Growth Rates'!V212/100</f>
        <v>#VALUE!</v>
      </c>
      <c r="X219" s="112" t="e">
        <f>'GDP Growth Rates'!W212/100</f>
        <v>#VALUE!</v>
      </c>
      <c r="Y219" s="112" t="e">
        <f>'GDP Growth Rates'!X212/100</f>
        <v>#VALUE!</v>
      </c>
    </row>
    <row r="220" spans="2:25">
      <c r="B220" s="634" t="s">
        <v>387</v>
      </c>
      <c r="C220" s="635" t="s">
        <v>388</v>
      </c>
      <c r="D220" s="634" t="s">
        <v>802</v>
      </c>
      <c r="E220" s="635" t="s">
        <v>803</v>
      </c>
      <c r="F220" s="112">
        <f>'GDP Growth Rates'!E213/100</f>
        <v>7.5472477289591777E-2</v>
      </c>
      <c r="G220" s="112">
        <f>'GDP Growth Rates'!F213/100</f>
        <v>6.9779548105671121E-2</v>
      </c>
      <c r="H220" s="112">
        <f>'GDP Growth Rates'!G213/100</f>
        <v>7.1295044860543874E-2</v>
      </c>
      <c r="I220" s="112">
        <f>'GDP Growth Rates'!H213/100</f>
        <v>5.6617712089136206E-2</v>
      </c>
      <c r="J220" s="112">
        <f>'GDP Growth Rates'!I213/100</f>
        <v>5.3978975401418126E-2</v>
      </c>
      <c r="K220" s="112">
        <f>'GDP Growth Rates'!J213/100</f>
        <v>6.4232448223948205E-2</v>
      </c>
      <c r="L220" s="112">
        <f>'GDP Growth Rates'!K213/100</f>
        <v>6.4131688968168274E-2</v>
      </c>
      <c r="M220" s="112">
        <f>'GDP Growth Rates'!L213/100</f>
        <v>5.5045447041188994E-2</v>
      </c>
      <c r="N220" s="112">
        <f>'GDP Growth Rates'!M213/100</f>
        <v>5.5535108102607179E-2</v>
      </c>
      <c r="O220" s="112">
        <f>'GDP Growth Rates'!N213/100</f>
        <v>6.4222431211856723E-2</v>
      </c>
      <c r="P220" s="112">
        <f>'GDP Growth Rates'!O213/100</f>
        <v>6.9871543059861096E-2</v>
      </c>
      <c r="Q220" s="112">
        <f>'GDP Growth Rates'!P213/100</f>
        <v>6.6900089266042351E-2</v>
      </c>
      <c r="R220" s="112">
        <f>'GDP Growth Rates'!Q213/100</f>
        <v>6.9401903735920603E-2</v>
      </c>
      <c r="S220" s="112">
        <f>'GDP Growth Rates'!R213/100</f>
        <v>7.4650068557275087E-2</v>
      </c>
      <c r="T220" s="112">
        <f>'GDP Growth Rates'!S213/100</f>
        <v>7.3592627010500566E-2</v>
      </c>
      <c r="U220" s="112">
        <f>'GDP Growth Rates'!T213/100</f>
        <v>2.8654132091227212E-2</v>
      </c>
      <c r="V220" s="112">
        <f>'GDP Growth Rates'!U213/100</f>
        <v>2.5537285264813078E-2</v>
      </c>
      <c r="W220" s="112">
        <f>'GDP Growth Rates'!V213/100</f>
        <v>8.5375004675578764E-2</v>
      </c>
      <c r="X220" s="112">
        <f>'GDP Growth Rates'!W213/100</f>
        <v>5.0650239145507502E-2</v>
      </c>
      <c r="Y220" s="112">
        <f>'GDP Growth Rates'!X213/100</f>
        <v>7.0911874663397476E-2</v>
      </c>
    </row>
    <row r="221" spans="2:25">
      <c r="B221" s="634" t="s">
        <v>387</v>
      </c>
      <c r="C221" s="635" t="s">
        <v>388</v>
      </c>
      <c r="D221" s="634" t="s">
        <v>804</v>
      </c>
      <c r="E221" s="635" t="s">
        <v>805</v>
      </c>
      <c r="F221" s="112">
        <f>'GDP Growth Rates'!E214/100</f>
        <v>3.4853090172238976E-2</v>
      </c>
      <c r="G221" s="112">
        <f>'GDP Growth Rates'!F214/100</f>
        <v>3.5049931466614337E-2</v>
      </c>
      <c r="H221" s="112">
        <f>'GDP Growth Rates'!G214/100</f>
        <v>4.0105940219447689E-2</v>
      </c>
      <c r="I221" s="112">
        <f>'GDP Growth Rates'!H214/100</f>
        <v>1.2186249545289058E-2</v>
      </c>
      <c r="J221" s="112">
        <f>'GDP Growth Rates'!I214/100</f>
        <v>-6.5947888589398082E-2</v>
      </c>
      <c r="K221" s="112">
        <f>'GDP Growth Rates'!J214/100</f>
        <v>5.9638322431705146E-3</v>
      </c>
      <c r="L221" s="112">
        <f>'GDP Growth Rates'!K214/100</f>
        <v>-8.2042455536431469E-2</v>
      </c>
      <c r="M221" s="112">
        <f>'GDP Growth Rates'!L214/100</f>
        <v>-0.14812500000000001</v>
      </c>
      <c r="N221" s="112">
        <f>'GDP Growth Rates'!M214/100</f>
        <v>-6.2851552946930844E-2</v>
      </c>
      <c r="O221" s="112">
        <f>'GDP Growth Rates'!N214/100</f>
        <v>-1.7745302713987457E-2</v>
      </c>
      <c r="P221" s="112">
        <f>'GDP Growth Rates'!O214/100</f>
        <v>-4.2507970244420792E-3</v>
      </c>
      <c r="Q221" s="112">
        <f>'GDP Growth Rates'!P214/100</f>
        <v>1.600853788687303E-2</v>
      </c>
      <c r="R221" s="112">
        <f>'GDP Growth Rates'!Q214/100</f>
        <v>-7.3529411764705795E-3</v>
      </c>
      <c r="S221" s="112">
        <f>'GDP Growth Rates'!R214/100</f>
        <v>1.8783068783068728E-2</v>
      </c>
      <c r="T221" s="112">
        <f>'GDP Growth Rates'!S214/100</f>
        <v>2.908335497273427E-2</v>
      </c>
      <c r="U221" s="112">
        <f>'GDP Growth Rates'!T214/100</f>
        <v>-1.6149381781478667E-2</v>
      </c>
      <c r="V221" s="112">
        <f>'GDP Growth Rates'!U214/100</f>
        <v>3.6676070787381436E-2</v>
      </c>
      <c r="W221" s="112">
        <f>'GDP Growth Rates'!V214/100</f>
        <v>-1.3112320633349838E-2</v>
      </c>
      <c r="X221" s="112" t="e">
        <f>'GDP Growth Rates'!W214/100</f>
        <v>#VALUE!</v>
      </c>
      <c r="Y221" s="112" t="e">
        <f>'GDP Growth Rates'!X214/100</f>
        <v>#VALUE!</v>
      </c>
    </row>
    <row r="222" spans="2:25">
      <c r="B222" s="634" t="s">
        <v>387</v>
      </c>
      <c r="C222" s="635" t="s">
        <v>388</v>
      </c>
      <c r="D222" s="634" t="s">
        <v>806</v>
      </c>
      <c r="E222" s="635" t="s">
        <v>807</v>
      </c>
      <c r="F222" s="112">
        <f>'GDP Growth Rates'!E215/100</f>
        <v>0.11290651182927135</v>
      </c>
      <c r="G222" s="112">
        <f>'GDP Growth Rates'!F215/100</f>
        <v>-9.9655610347707587E-3</v>
      </c>
      <c r="H222" s="112">
        <f>'GDP Growth Rates'!G215/100</f>
        <v>3.7882815208598118E-2</v>
      </c>
      <c r="I222" s="112">
        <f>'GDP Growth Rates'!H215/100</f>
        <v>7.4291822554783518E-2</v>
      </c>
      <c r="J222" s="112">
        <f>'GDP Growth Rates'!I215/100</f>
        <v>8.593490878938638E-2</v>
      </c>
      <c r="K222" s="112">
        <f>'GDP Growth Rates'!J215/100</f>
        <v>5.7773620562941941E-2</v>
      </c>
      <c r="L222" s="112">
        <f>'GDP Growth Rates'!K215/100</f>
        <v>9.6008084891359424E-2</v>
      </c>
      <c r="M222" s="112">
        <f>'GDP Growth Rates'!L215/100</f>
        <v>6.0964565632615403E-2</v>
      </c>
      <c r="N222" s="112">
        <f>'GDP Growth Rates'!M215/100</f>
        <v>4.6985698655223444E-2</v>
      </c>
      <c r="O222" s="112">
        <f>'GDP Growth Rates'!N215/100</f>
        <v>-1.5786665085529706E-3</v>
      </c>
      <c r="P222" s="112">
        <f>'GDP Growth Rates'!O215/100</f>
        <v>3.7212996711478749E-2</v>
      </c>
      <c r="Q222" s="112">
        <f>'GDP Growth Rates'!P215/100</f>
        <v>8.8646188199593468E-2</v>
      </c>
      <c r="R222" s="112">
        <f>'GDP Growth Rates'!Q215/100</f>
        <v>1.4193675629478691E-2</v>
      </c>
      <c r="S222" s="112">
        <f>'GDP Growth Rates'!R215/100</f>
        <v>1.2270773778270296E-2</v>
      </c>
      <c r="T222" s="112">
        <f>'GDP Growth Rates'!S215/100</f>
        <v>1.3626874655806205E-2</v>
      </c>
      <c r="U222" s="112">
        <f>'GDP Growth Rates'!T215/100</f>
        <v>-0.11318466106513356</v>
      </c>
      <c r="V222" s="112">
        <f>'GDP Growth Rates'!U215/100</f>
        <v>7.0119822759200326E-2</v>
      </c>
      <c r="W222" s="112">
        <f>'GDP Growth Rates'!V215/100</f>
        <v>4.0827602734710526E-2</v>
      </c>
      <c r="X222" s="112">
        <f>'GDP Growth Rates'!W215/100</f>
        <v>-4.5558042852574372E-2</v>
      </c>
      <c r="Y222" s="112">
        <f>'GDP Growth Rates'!X215/100</f>
        <v>-0.26557526452987729</v>
      </c>
    </row>
    <row r="223" spans="2:25">
      <c r="B223" s="634" t="s">
        <v>387</v>
      </c>
      <c r="C223" s="635" t="s">
        <v>388</v>
      </c>
      <c r="D223" s="634" t="s">
        <v>808</v>
      </c>
      <c r="E223" s="635" t="s">
        <v>809</v>
      </c>
      <c r="F223" s="112">
        <f>'GDP Growth Rates'!E216/100</f>
        <v>5.5917480756326798E-2</v>
      </c>
      <c r="G223" s="112">
        <f>'GDP Growth Rates'!F216/100</f>
        <v>3.1704093592236401E-2</v>
      </c>
      <c r="H223" s="112">
        <f>'GDP Growth Rates'!G216/100</f>
        <v>3.3384279560509642E-2</v>
      </c>
      <c r="I223" s="112">
        <f>'GDP Growth Rates'!H216/100</f>
        <v>3.647569470126328E-2</v>
      </c>
      <c r="J223" s="112">
        <f>'GDP Growth Rates'!I216/100</f>
        <v>3.8662295158774215E-2</v>
      </c>
      <c r="K223" s="112">
        <f>'GDP Growth Rates'!J216/100</f>
        <v>7.702307045142319E-2</v>
      </c>
      <c r="L223" s="112">
        <f>'GDP Growth Rates'!K216/100</f>
        <v>-0.12714896899888231</v>
      </c>
      <c r="M223" s="112">
        <f>'GDP Growth Rates'!L216/100</f>
        <v>2.3929902034774672E-2</v>
      </c>
      <c r="N223" s="112">
        <f>'GDP Growth Rates'!M216/100</f>
        <v>4.8235190811281539E-2</v>
      </c>
      <c r="O223" s="112">
        <f>'GDP Growth Rates'!N216/100</f>
        <v>-1.8869023790976768E-3</v>
      </c>
      <c r="P223" s="112">
        <f>'GDP Growth Rates'!O216/100</f>
        <v>-0.2799454624469277</v>
      </c>
      <c r="Q223" s="112">
        <f>'GDP Growth Rates'!P216/100</f>
        <v>-9.3751238238057796E-2</v>
      </c>
      <c r="R223" s="112">
        <f>'GDP Growth Rates'!Q216/100</f>
        <v>-5.0717956426149013E-2</v>
      </c>
      <c r="S223" s="112">
        <f>'GDP Growth Rates'!R216/100</f>
        <v>7.5244759197288149E-3</v>
      </c>
      <c r="T223" s="112" t="e">
        <f>'GDP Growth Rates'!S216/100</f>
        <v>#VALUE!</v>
      </c>
      <c r="U223" s="112" t="e">
        <f>'GDP Growth Rates'!T216/100</f>
        <v>#VALUE!</v>
      </c>
      <c r="V223" s="112" t="e">
        <f>'GDP Growth Rates'!U216/100</f>
        <v>#VALUE!</v>
      </c>
      <c r="W223" s="112" t="e">
        <f>'GDP Growth Rates'!V216/100</f>
        <v>#VALUE!</v>
      </c>
      <c r="X223" s="112" t="e">
        <f>'GDP Growth Rates'!W216/100</f>
        <v>#VALUE!</v>
      </c>
      <c r="Y223" s="112" t="e">
        <f>'GDP Growth Rates'!X216/100</f>
        <v>#VALUE!</v>
      </c>
    </row>
    <row r="224" spans="2:25">
      <c r="B224" s="634" t="s">
        <v>387</v>
      </c>
      <c r="C224" s="635" t="s">
        <v>388</v>
      </c>
      <c r="D224" s="634" t="s">
        <v>810</v>
      </c>
      <c r="E224" s="635" t="s">
        <v>811</v>
      </c>
      <c r="F224" s="112">
        <f>'GDP Growth Rates'!E217/100</f>
        <v>7.2355990065554321E-2</v>
      </c>
      <c r="G224" s="112">
        <f>'GDP Growth Rates'!F217/100</f>
        <v>7.903694444800792E-2</v>
      </c>
      <c r="H224" s="112">
        <f>'GDP Growth Rates'!G217/100</f>
        <v>8.3524362444740638E-2</v>
      </c>
      <c r="I224" s="112">
        <f>'GDP Growth Rates'!H217/100</f>
        <v>7.7738958154236287E-2</v>
      </c>
      <c r="J224" s="112">
        <f>'GDP Growth Rates'!I217/100</f>
        <v>9.2203484058663035E-2</v>
      </c>
      <c r="K224" s="112">
        <f>'GDP Growth Rates'!J217/100</f>
        <v>0.10298223324121267</v>
      </c>
      <c r="L224" s="112">
        <f>'GDP Growth Rates'!K217/100</f>
        <v>5.5692521926301877E-2</v>
      </c>
      <c r="M224" s="112">
        <f>'GDP Growth Rates'!L217/100</f>
        <v>7.5973810490199439E-2</v>
      </c>
      <c r="N224" s="112">
        <f>'GDP Growth Rates'!M217/100</f>
        <v>5.0575369504725243E-2</v>
      </c>
      <c r="O224" s="112">
        <f>'GDP Growth Rates'!N217/100</f>
        <v>4.6932831637670487E-2</v>
      </c>
      <c r="P224" s="112">
        <f>'GDP Growth Rates'!O217/100</f>
        <v>2.9203751121796132E-2</v>
      </c>
      <c r="Q224" s="112">
        <f>'GDP Growth Rates'!P217/100</f>
        <v>3.7551003167898785E-2</v>
      </c>
      <c r="R224" s="112">
        <f>'GDP Growth Rates'!Q217/100</f>
        <v>3.5258627714992628E-2</v>
      </c>
      <c r="S224" s="112">
        <f>'GDP Growth Rates'!R217/100</f>
        <v>4.0344938966716481E-2</v>
      </c>
      <c r="T224" s="112">
        <f>'GDP Growth Rates'!S217/100</f>
        <v>1.44130602603785E-2</v>
      </c>
      <c r="U224" s="112">
        <f>'GDP Growth Rates'!T217/100</f>
        <v>-2.7850550654516724E-2</v>
      </c>
      <c r="V224" s="112">
        <f>'GDP Growth Rates'!U217/100</f>
        <v>6.234922047264476E-2</v>
      </c>
      <c r="W224" s="112">
        <f>'GDP Growth Rates'!V217/100</f>
        <v>5.2112236035624732E-2</v>
      </c>
      <c r="X224" s="112">
        <f>'GDP Growth Rates'!W217/100</f>
        <v>5.3679428549305894E-2</v>
      </c>
      <c r="Y224" s="112">
        <f>'GDP Growth Rates'!X217/100</f>
        <v>4.043148299444297E-2</v>
      </c>
    </row>
    <row r="225" spans="2:25">
      <c r="B225" s="634" t="s">
        <v>387</v>
      </c>
      <c r="C225" s="635" t="s">
        <v>388</v>
      </c>
      <c r="D225" s="634" t="s">
        <v>812</v>
      </c>
      <c r="E225" s="635" t="s">
        <v>813</v>
      </c>
      <c r="F225" s="112">
        <f>'GDP Growth Rates'!E218/100</f>
        <v>-5.7110837065036578E-2</v>
      </c>
      <c r="G225" s="112">
        <f>'GDP Growth Rates'!F218/100</f>
        <v>-3.4614951878136679E-2</v>
      </c>
      <c r="H225" s="112">
        <f>'GDP Growth Rates'!G218/100</f>
        <v>-3.6533268353551168E-2</v>
      </c>
      <c r="I225" s="112">
        <f>'GDP Growth Rates'!H218/100</f>
        <v>-0.17668946330105512</v>
      </c>
      <c r="J225" s="112">
        <f>'GDP Growth Rates'!I218/100</f>
        <v>0.13272078582067665</v>
      </c>
      <c r="K225" s="112">
        <f>'GDP Growth Rates'!J218/100</f>
        <v>0.19675407656253555</v>
      </c>
      <c r="L225" s="112">
        <f>'GDP Growth Rates'!K218/100</f>
        <v>0.14193915731251011</v>
      </c>
      <c r="M225" s="112">
        <f>'GDP Growth Rates'!L218/100</f>
        <v>0.16665428979756997</v>
      </c>
      <c r="N225" s="112">
        <f>'GDP Growth Rates'!M218/100</f>
        <v>1.9894855396942291E-2</v>
      </c>
      <c r="O225" s="112">
        <f>'GDP Growth Rates'!N218/100</f>
        <v>2.3769857039505241E-2</v>
      </c>
      <c r="P225" s="112">
        <f>'GDP Growth Rates'!O218/100</f>
        <v>1.779853540920712E-2</v>
      </c>
      <c r="Q225" s="112">
        <f>'GDP Growth Rates'!P218/100</f>
        <v>7.5579405437120779E-3</v>
      </c>
      <c r="R225" s="112">
        <f>'GDP Growth Rates'!Q218/100</f>
        <v>4.7344112255432974E-2</v>
      </c>
      <c r="S225" s="112">
        <f>'GDP Growth Rates'!R218/100</f>
        <v>5.0099213818811279E-2</v>
      </c>
      <c r="T225" s="112">
        <f>'GDP Growth Rates'!S218/100</f>
        <v>-6.3324497510857183E-2</v>
      </c>
      <c r="U225" s="112">
        <f>'GDP Growth Rates'!T218/100</f>
        <v>-7.8169328407513061E-2</v>
      </c>
      <c r="V225" s="112">
        <f>'GDP Growth Rates'!U218/100</f>
        <v>8.4680391693441812E-2</v>
      </c>
      <c r="W225" s="112">
        <f>'GDP Growth Rates'!V218/100</f>
        <v>6.1391761744748974E-2</v>
      </c>
      <c r="X225" s="112">
        <f>'GDP Growth Rates'!W218/100</f>
        <v>5.3367703733952679E-2</v>
      </c>
      <c r="Y225" s="112">
        <f>'GDP Growth Rates'!X218/100</f>
        <v>2.0294841433712348E-2</v>
      </c>
    </row>
    <row r="226" spans="2:25">
      <c r="B226" s="634" t="s">
        <v>387</v>
      </c>
      <c r="C226" s="635" t="s">
        <v>388</v>
      </c>
      <c r="D226" s="634" t="s">
        <v>814</v>
      </c>
      <c r="E226" s="635" t="s">
        <v>815</v>
      </c>
      <c r="F226" s="112">
        <f>'GDP Growth Rates'!E219/100</f>
        <v>6.1624933497316903E-2</v>
      </c>
      <c r="G226" s="112">
        <f>'GDP Growth Rates'!F219/100</f>
        <v>6.577438603467485E-2</v>
      </c>
      <c r="H226" s="112">
        <f>'GDP Growth Rates'!G219/100</f>
        <v>6.6469350471877242E-2</v>
      </c>
      <c r="I226" s="112">
        <f>'GDP Growth Rates'!H219/100</f>
        <v>4.3661731032863145E-2</v>
      </c>
      <c r="J226" s="112">
        <f>'GDP Growth Rates'!I219/100</f>
        <v>8.9265136110157073E-3</v>
      </c>
      <c r="K226" s="112">
        <f>'GDP Growth Rates'!J219/100</f>
        <v>5.2079434406321783E-2</v>
      </c>
      <c r="L226" s="112">
        <f>'GDP Growth Rates'!K219/100</f>
        <v>4.0589232721120541E-2</v>
      </c>
      <c r="M226" s="112">
        <f>'GDP Growth Rates'!L219/100</f>
        <v>1.767969542412743E-2</v>
      </c>
      <c r="N226" s="112">
        <f>'GDP Growth Rates'!M219/100</f>
        <v>4.3177251676446107E-2</v>
      </c>
      <c r="O226" s="112">
        <f>'GDP Growth Rates'!N219/100</f>
        <v>4.0143505581414302E-2</v>
      </c>
      <c r="P226" s="112">
        <f>'GDP Growth Rates'!O219/100</f>
        <v>3.0033669287938096E-2</v>
      </c>
      <c r="Q226" s="112">
        <f>'GDP Growth Rates'!P219/100</f>
        <v>2.195991207379052E-2</v>
      </c>
      <c r="R226" s="112">
        <f>'GDP Growth Rates'!Q219/100</f>
        <v>2.6962378291510873E-2</v>
      </c>
      <c r="S226" s="112">
        <f>'GDP Growth Rates'!R219/100</f>
        <v>2.6650380745653734E-2</v>
      </c>
      <c r="T226" s="112">
        <f>'GDP Growth Rates'!S219/100</f>
        <v>2.2003404329238804E-2</v>
      </c>
      <c r="U226" s="112">
        <f>'GDP Growth Rates'!T219/100</f>
        <v>-2.8597839210471251E-2</v>
      </c>
      <c r="V226" s="112">
        <f>'GDP Growth Rates'!U219/100</f>
        <v>4.5635680759566387E-2</v>
      </c>
      <c r="W226" s="112">
        <f>'GDP Growth Rates'!V219/100</f>
        <v>3.5557687871619947E-2</v>
      </c>
      <c r="X226" s="112">
        <f>'GDP Growth Rates'!W219/100</f>
        <v>1.8913073872193705E-2</v>
      </c>
      <c r="Y226" s="112">
        <f>'GDP Growth Rates'!X219/100</f>
        <v>2.7668037304499505E-2</v>
      </c>
    </row>
    <row r="227" spans="2:25">
      <c r="B227" s="634" t="s">
        <v>387</v>
      </c>
      <c r="C227" s="635" t="s">
        <v>388</v>
      </c>
      <c r="D227" s="634" t="s">
        <v>816</v>
      </c>
      <c r="E227" s="635" t="s">
        <v>817</v>
      </c>
      <c r="F227" s="112">
        <f>'GDP Growth Rates'!E220/100</f>
        <v>5.9121108808749767E-2</v>
      </c>
      <c r="G227" s="112">
        <f>'GDP Growth Rates'!F220/100</f>
        <v>5.355183697699701E-2</v>
      </c>
      <c r="H227" s="112">
        <f>'GDP Growth Rates'!G220/100</f>
        <v>5.5023286899064348E-2</v>
      </c>
      <c r="I227" s="112">
        <f>'GDP Growth Rates'!H220/100</f>
        <v>6.2761345113260064E-2</v>
      </c>
      <c r="J227" s="112">
        <f>'GDP Growth Rates'!I220/100</f>
        <v>6.1255291674972907E-2</v>
      </c>
      <c r="K227" s="112">
        <f>'GDP Growth Rates'!J220/100</f>
        <v>7.0320247234436126E-2</v>
      </c>
      <c r="L227" s="112">
        <f>'GDP Growth Rates'!K220/100</f>
        <v>4.9466662453979071E-2</v>
      </c>
      <c r="M227" s="112">
        <f>'GDP Growth Rates'!L220/100</f>
        <v>5.1405755767892886E-2</v>
      </c>
      <c r="N227" s="112">
        <f>'GDP Growth Rates'!M220/100</f>
        <v>6.0280228896078827E-2</v>
      </c>
      <c r="O227" s="112">
        <f>'GDP Growth Rates'!N220/100</f>
        <v>5.7124585226159326E-2</v>
      </c>
      <c r="P227" s="112">
        <f>'GDP Growth Rates'!O220/100</f>
        <v>2.9280096098400321E-2</v>
      </c>
      <c r="Q227" s="112">
        <f>'GDP Growth Rates'!P220/100</f>
        <v>1.9417748941414458E-3</v>
      </c>
      <c r="R227" s="112">
        <f>'GDP Growth Rates'!Q220/100</f>
        <v>2.2961675473938781E-2</v>
      </c>
      <c r="S227" s="112">
        <f>'GDP Growth Rates'!R220/100</f>
        <v>2.9046543751129549E-2</v>
      </c>
      <c r="T227" s="112">
        <f>'GDP Growth Rates'!S220/100</f>
        <v>3.2821629979396791E-2</v>
      </c>
      <c r="U227" s="112">
        <f>'GDP Growth Rates'!T220/100</f>
        <v>-9.8411742515334306E-3</v>
      </c>
      <c r="V227" s="112">
        <f>'GDP Growth Rates'!U220/100</f>
        <v>4.0300003060735889E-2</v>
      </c>
      <c r="W227" s="112">
        <f>'GDP Growth Rates'!V220/100</f>
        <v>3.9749635448374364E-2</v>
      </c>
      <c r="X227" s="112">
        <f>'GDP Growth Rates'!W220/100</f>
        <v>3.357986994886545E-2</v>
      </c>
      <c r="Y227" s="112">
        <f>'GDP Growth Rates'!X220/100</f>
        <v>4.1761028893151607E-2</v>
      </c>
    </row>
    <row r="228" spans="2:25">
      <c r="B228" s="634" t="s">
        <v>387</v>
      </c>
      <c r="C228" s="635" t="s">
        <v>388</v>
      </c>
      <c r="D228" s="634" t="s">
        <v>818</v>
      </c>
      <c r="E228" s="635" t="s">
        <v>819</v>
      </c>
      <c r="F228" s="112">
        <f>'GDP Growth Rates'!E221/100</f>
        <v>5.5711199283827284E-2</v>
      </c>
      <c r="G228" s="112">
        <f>'GDP Growth Rates'!F221/100</f>
        <v>6.2824261704674603E-2</v>
      </c>
      <c r="H228" s="112">
        <f>'GDP Growth Rates'!G221/100</f>
        <v>4.5997619617738079E-2</v>
      </c>
      <c r="I228" s="112">
        <f>'GDP Growth Rates'!H221/100</f>
        <v>5.5685656694827369E-2</v>
      </c>
      <c r="J228" s="112">
        <f>'GDP Growth Rates'!I221/100</f>
        <v>6.4266429618670884E-3</v>
      </c>
      <c r="K228" s="112">
        <f>'GDP Growth Rates'!J221/100</f>
        <v>4.8377172153874E-2</v>
      </c>
      <c r="L228" s="112">
        <f>'GDP Growth Rates'!K221/100</f>
        <v>3.7862130618346583E-2</v>
      </c>
      <c r="M228" s="112">
        <f>'GDP Growth Rates'!L221/100</f>
        <v>5.0983116246057281E-2</v>
      </c>
      <c r="N228" s="112">
        <f>'GDP Growth Rates'!M221/100</f>
        <v>2.6595231097267059E-2</v>
      </c>
      <c r="O228" s="112">
        <f>'GDP Growth Rates'!N221/100</f>
        <v>2.5897328582069435E-2</v>
      </c>
      <c r="P228" s="112">
        <f>'GDP Growth Rates'!O221/100</f>
        <v>3.2942234887690491E-2</v>
      </c>
      <c r="Q228" s="112">
        <f>'GDP Growth Rates'!P221/100</f>
        <v>3.5492835188491938E-2</v>
      </c>
      <c r="R228" s="112">
        <f>'GDP Growth Rates'!Q221/100</f>
        <v>1.6048258955611915E-2</v>
      </c>
      <c r="S228" s="112">
        <f>'GDP Growth Rates'!R221/100</f>
        <v>2.6428452090216725E-2</v>
      </c>
      <c r="T228" s="112">
        <f>'GDP Growth Rates'!S221/100</f>
        <v>1.7269161369727611E-2</v>
      </c>
      <c r="U228" s="112">
        <f>'GDP Growth Rates'!T221/100</f>
        <v>-4.757144995768272E-2</v>
      </c>
      <c r="V228" s="112">
        <f>'GDP Growth Rates'!U221/100</f>
        <v>4.4045759597888721E-2</v>
      </c>
      <c r="W228" s="112">
        <f>'GDP Growth Rates'!V221/100</f>
        <v>6.9954138183775424E-2</v>
      </c>
      <c r="X228" s="112">
        <f>'GDP Growth Rates'!W221/100</f>
        <v>1.5043551993805977E-2</v>
      </c>
      <c r="Y228" s="112">
        <f>'GDP Growth Rates'!X221/100</f>
        <v>1.5489191239935564E-2</v>
      </c>
    </row>
    <row r="229" spans="2:25">
      <c r="B229" s="634" t="s">
        <v>387</v>
      </c>
      <c r="C229" s="635" t="s">
        <v>388</v>
      </c>
      <c r="D229" s="634" t="s">
        <v>820</v>
      </c>
      <c r="E229" s="635" t="s">
        <v>821</v>
      </c>
      <c r="F229" s="112">
        <f>'GDP Growth Rates'!E222/100</f>
        <v>4.4016455270615894E-2</v>
      </c>
      <c r="G229" s="112">
        <f>'GDP Growth Rates'!F222/100</f>
        <v>7.856433449948326E-2</v>
      </c>
      <c r="H229" s="112">
        <f>'GDP Growth Rates'!G222/100</f>
        <v>3.8685290033032088E-2</v>
      </c>
      <c r="I229" s="112">
        <f>'GDP Growth Rates'!H222/100</f>
        <v>1.7112317634678787E-2</v>
      </c>
      <c r="J229" s="112">
        <f>'GDP Growth Rates'!I222/100</f>
        <v>-3.3726731227482529E-2</v>
      </c>
      <c r="K229" s="112">
        <f>'GDP Growth Rates'!J222/100</f>
        <v>1.8947285672138464E-2</v>
      </c>
      <c r="L229" s="112">
        <f>'GDP Growth Rates'!K222/100</f>
        <v>8.5439235247366692E-3</v>
      </c>
      <c r="M229" s="112">
        <f>'GDP Growth Rates'!L222/100</f>
        <v>4.4041586473648947E-2</v>
      </c>
      <c r="N229" s="112">
        <f>'GDP Growth Rates'!M222/100</f>
        <v>1.4705609794228138E-2</v>
      </c>
      <c r="O229" s="112">
        <f>'GDP Growth Rates'!N222/100</f>
        <v>2.5616567641340283E-2</v>
      </c>
      <c r="P229" s="112">
        <f>'GDP Growth Rates'!O222/100</f>
        <v>-1.3095870451515167E-3</v>
      </c>
      <c r="Q229" s="112">
        <f>'GDP Growth Rates'!P222/100</f>
        <v>-3.0252654969647495E-2</v>
      </c>
      <c r="R229" s="112">
        <f>'GDP Growth Rates'!Q222/100</f>
        <v>-7.8770192552821069E-3</v>
      </c>
      <c r="S229" s="112">
        <f>'GDP Growth Rates'!R222/100</f>
        <v>1.2310564069212547E-2</v>
      </c>
      <c r="T229" s="112">
        <f>'GDP Growth Rates'!S222/100</f>
        <v>9.1913416772119658E-3</v>
      </c>
      <c r="U229" s="112">
        <f>'GDP Growth Rates'!T222/100</f>
        <v>-9.113253103563039E-2</v>
      </c>
      <c r="V229" s="112">
        <f>'GDP Growth Rates'!U222/100</f>
        <v>6.4790691099325948E-2</v>
      </c>
      <c r="W229" s="112">
        <f>'GDP Growth Rates'!V222/100</f>
        <v>0.15018157162776619</v>
      </c>
      <c r="X229" s="112">
        <f>'GDP Growth Rates'!W222/100</f>
        <v>9.0079519622707091E-2</v>
      </c>
      <c r="Y229" s="112">
        <f>'GDP Growth Rates'!X222/100</f>
        <v>0.13344325867934528</v>
      </c>
    </row>
    <row r="230" spans="2:25">
      <c r="B230" s="634" t="s">
        <v>387</v>
      </c>
      <c r="C230" s="635" t="s">
        <v>388</v>
      </c>
      <c r="D230" s="634" t="s">
        <v>822</v>
      </c>
      <c r="E230" s="635" t="s">
        <v>823</v>
      </c>
      <c r="F230" s="112">
        <f>'GDP Growth Rates'!E223/100</f>
        <v>4.9098404079115171E-2</v>
      </c>
      <c r="G230" s="112">
        <f>'GDP Growth Rates'!F223/100</f>
        <v>6.6411559006068752E-2</v>
      </c>
      <c r="H230" s="112">
        <f>'GDP Growth Rates'!G223/100</f>
        <v>6.3388377474276461E-2</v>
      </c>
      <c r="I230" s="112">
        <f>'GDP Growth Rates'!H223/100</f>
        <v>3.9620651169266524E-2</v>
      </c>
      <c r="J230" s="112">
        <f>'GDP Growth Rates'!I223/100</f>
        <v>-3.6223514024727024E-2</v>
      </c>
      <c r="K230" s="112">
        <f>'GDP Growth Rates'!J223/100</f>
        <v>1.5385663139084755E-2</v>
      </c>
      <c r="L230" s="112">
        <f>'GDP Growth Rates'!K223/100</f>
        <v>3.6011856898606566E-2</v>
      </c>
      <c r="M230" s="112">
        <f>'GDP Growth Rates'!L223/100</f>
        <v>8.3722966670521266E-3</v>
      </c>
      <c r="N230" s="112">
        <f>'GDP Growth Rates'!M223/100</f>
        <v>6.6820944314898156E-3</v>
      </c>
      <c r="O230" s="112">
        <f>'GDP Growth Rates'!N223/100</f>
        <v>3.2620212741421711E-2</v>
      </c>
      <c r="P230" s="112">
        <f>'GDP Growth Rates'!O223/100</f>
        <v>4.0017829910073459E-2</v>
      </c>
      <c r="Q230" s="112">
        <f>'GDP Growth Rates'!P223/100</f>
        <v>2.8070553417610711E-2</v>
      </c>
      <c r="R230" s="112">
        <f>'GDP Growth Rates'!Q223/100</f>
        <v>5.1070076593995282E-2</v>
      </c>
      <c r="S230" s="112">
        <f>'GDP Growth Rates'!R223/100</f>
        <v>5.064130423193134E-2</v>
      </c>
      <c r="T230" s="112">
        <f>'GDP Growth Rates'!S223/100</f>
        <v>4.0267112474345911E-2</v>
      </c>
      <c r="U230" s="112">
        <f>'GDP Growth Rates'!T223/100</f>
        <v>-3.3153681048413403E-2</v>
      </c>
      <c r="V230" s="112">
        <f>'GDP Growth Rates'!U223/100</f>
        <v>6.5460768168742897E-2</v>
      </c>
      <c r="W230" s="112">
        <f>'GDP Growth Rates'!V223/100</f>
        <v>4.0366641421289699E-2</v>
      </c>
      <c r="X230" s="112">
        <f>'GDP Growth Rates'!W223/100</f>
        <v>7.6327813188028417E-3</v>
      </c>
      <c r="Y230" s="112">
        <f>'GDP Growth Rates'!X223/100</f>
        <v>1.9633055238237346E-2</v>
      </c>
    </row>
    <row r="231" spans="2:25">
      <c r="B231" s="634" t="s">
        <v>387</v>
      </c>
      <c r="C231" s="635" t="s">
        <v>388</v>
      </c>
      <c r="D231" s="634" t="s">
        <v>824</v>
      </c>
      <c r="E231" s="635" t="s">
        <v>825</v>
      </c>
      <c r="F231" s="112">
        <f>'GDP Growth Rates'!E224/100</f>
        <v>5.8951462725397759E-2</v>
      </c>
      <c r="G231" s="112">
        <f>'GDP Growth Rates'!F224/100</f>
        <v>6.0717155582242978E-2</v>
      </c>
      <c r="H231" s="112">
        <f>'GDP Growth Rates'!G224/100</f>
        <v>5.7132181968074604E-2</v>
      </c>
      <c r="I231" s="112">
        <f>'GDP Growth Rates'!H224/100</f>
        <v>3.4500565663022231E-2</v>
      </c>
      <c r="J231" s="112">
        <f>'GDP Growth Rates'!I224/100</f>
        <v>7.2375960729344517E-3</v>
      </c>
      <c r="K231" s="112">
        <f>'GDP Growth Rates'!J224/100</f>
        <v>6.5036287794201689E-2</v>
      </c>
      <c r="L231" s="112">
        <f>'GDP Growth Rates'!K224/100</f>
        <v>4.9782649986760387E-2</v>
      </c>
      <c r="M231" s="112">
        <f>'GDP Growth Rates'!L224/100</f>
        <v>4.2084047557502655E-2</v>
      </c>
      <c r="N231" s="112">
        <f>'GDP Growth Rates'!M224/100</f>
        <v>4.0711113175065206E-2</v>
      </c>
      <c r="O231" s="112">
        <f>'GDP Growth Rates'!N224/100</f>
        <v>4.1343331777880223E-2</v>
      </c>
      <c r="P231" s="112">
        <f>'GDP Growth Rates'!O224/100</f>
        <v>4.4137472158001859E-2</v>
      </c>
      <c r="Q231" s="112">
        <f>'GDP Growth Rates'!P224/100</f>
        <v>4.4039027176237935E-2</v>
      </c>
      <c r="R231" s="112">
        <f>'GDP Growth Rates'!Q224/100</f>
        <v>4.6489450679557225E-2</v>
      </c>
      <c r="S231" s="112">
        <f>'GDP Growth Rates'!R224/100</f>
        <v>3.8410976541858162E-2</v>
      </c>
      <c r="T231" s="112">
        <f>'GDP Growth Rates'!S224/100</f>
        <v>2.3871912472840647E-2</v>
      </c>
      <c r="U231" s="112">
        <f>'GDP Growth Rates'!T224/100</f>
        <v>-4.2153043663299028E-2</v>
      </c>
      <c r="V231" s="112">
        <f>'GDP Growth Rates'!U224/100</f>
        <v>7.5064814004759908E-2</v>
      </c>
      <c r="W231" s="112">
        <f>'GDP Growth Rates'!V224/100</f>
        <v>5.9601946033986476E-2</v>
      </c>
      <c r="X231" s="112">
        <f>'GDP Growth Rates'!W224/100</f>
        <v>4.6109008700226467E-2</v>
      </c>
      <c r="Y231" s="112">
        <f>'GDP Growth Rates'!X224/100</f>
        <v>3.5824610412904717E-2</v>
      </c>
    </row>
    <row r="232" spans="2:25">
      <c r="B232" s="634" t="s">
        <v>387</v>
      </c>
      <c r="C232" s="635" t="s">
        <v>388</v>
      </c>
      <c r="D232" s="634" t="s">
        <v>826</v>
      </c>
      <c r="E232" s="635" t="s">
        <v>827</v>
      </c>
      <c r="F232" s="112">
        <f>'GDP Growth Rates'!E225/100</f>
        <v>5.958599810257198E-2</v>
      </c>
      <c r="G232" s="112">
        <f>'GDP Growth Rates'!F225/100</f>
        <v>6.4850899609545112E-2</v>
      </c>
      <c r="H232" s="112">
        <f>'GDP Growth Rates'!G225/100</f>
        <v>7.4857634957016472E-2</v>
      </c>
      <c r="I232" s="112">
        <f>'GDP Growth Rates'!H225/100</f>
        <v>4.4359701547271868E-2</v>
      </c>
      <c r="J232" s="112">
        <f>'GDP Growth Rates'!I225/100</f>
        <v>2.6235669600221313E-2</v>
      </c>
      <c r="K232" s="112">
        <f>'GDP Growth Rates'!J225/100</f>
        <v>7.6180368729149142E-2</v>
      </c>
      <c r="L232" s="112">
        <f>'GDP Growth Rates'!K225/100</f>
        <v>5.4582546194483827E-2</v>
      </c>
      <c r="M232" s="112">
        <f>'GDP Growth Rates'!L225/100</f>
        <v>5.2052337100679864E-2</v>
      </c>
      <c r="N232" s="112">
        <f>'GDP Growth Rates'!M225/100</f>
        <v>5.2736828023205506E-2</v>
      </c>
      <c r="O232" s="112">
        <f>'GDP Growth Rates'!N225/100</f>
        <v>4.8029900533622938E-2</v>
      </c>
      <c r="P232" s="112">
        <f>'GDP Growth Rates'!O225/100</f>
        <v>4.720185771259082E-2</v>
      </c>
      <c r="Q232" s="112">
        <f>'GDP Growth Rates'!P225/100</f>
        <v>4.6463746976015588E-2</v>
      </c>
      <c r="R232" s="112">
        <f>'GDP Growth Rates'!Q225/100</f>
        <v>5.0496218967289223E-2</v>
      </c>
      <c r="S232" s="112">
        <f>'GDP Growth Rates'!R225/100</f>
        <v>4.7843128392732977E-2</v>
      </c>
      <c r="T232" s="112">
        <f>'GDP Growth Rates'!S225/100</f>
        <v>4.0437292452971715E-2</v>
      </c>
      <c r="U232" s="112">
        <f>'GDP Growth Rates'!T225/100</f>
        <v>-5.4128673368552432E-4</v>
      </c>
      <c r="V232" s="112">
        <f>'GDP Growth Rates'!U225/100</f>
        <v>6.3397358353444136E-2</v>
      </c>
      <c r="W232" s="112">
        <f>'GDP Growth Rates'!V225/100</f>
        <v>2.9904715952247186E-2</v>
      </c>
      <c r="X232" s="112">
        <f>'GDP Growth Rates'!W225/100</f>
        <v>4.1939549505955964E-2</v>
      </c>
      <c r="Y232" s="112">
        <f>'GDP Growth Rates'!X225/100</f>
        <v>3.8945931508952897E-2</v>
      </c>
    </row>
    <row r="233" spans="2:25">
      <c r="B233" s="634" t="s">
        <v>387</v>
      </c>
      <c r="C233" s="635" t="s">
        <v>388</v>
      </c>
      <c r="D233" s="634" t="s">
        <v>828</v>
      </c>
      <c r="E233" s="635" t="s">
        <v>829</v>
      </c>
      <c r="F233" s="112">
        <f>'GDP Growth Rates'!E226/100</f>
        <v>0.10049382754726281</v>
      </c>
      <c r="G233" s="112">
        <f>'GDP Growth Rates'!F226/100</f>
        <v>0.11070304119950052</v>
      </c>
      <c r="H233" s="112">
        <f>'GDP Growth Rates'!G226/100</f>
        <v>0.12451747131027943</v>
      </c>
      <c r="I233" s="112">
        <f>'GDP Growth Rates'!H226/100</f>
        <v>8.6488258479748628E-2</v>
      </c>
      <c r="J233" s="112">
        <f>'GDP Growth Rates'!I226/100</f>
        <v>8.0160320063088056E-2</v>
      </c>
      <c r="K233" s="112">
        <f>'GDP Growth Rates'!J226/100</f>
        <v>9.8979522090944558E-2</v>
      </c>
      <c r="L233" s="112">
        <f>'GDP Growth Rates'!K226/100</f>
        <v>8.5848031440385317E-2</v>
      </c>
      <c r="M233" s="112">
        <f>'GDP Growth Rates'!L226/100</f>
        <v>7.5791375654262791E-2</v>
      </c>
      <c r="N233" s="112">
        <f>'GDP Growth Rates'!M226/100</f>
        <v>7.3175368328623161E-2</v>
      </c>
      <c r="O233" s="112">
        <f>'GDP Growth Rates'!N226/100</f>
        <v>7.0229796969841801E-2</v>
      </c>
      <c r="P233" s="112">
        <f>'GDP Growth Rates'!O226/100</f>
        <v>6.6614282192022076E-2</v>
      </c>
      <c r="Q233" s="112">
        <f>'GDP Growth Rates'!P226/100</f>
        <v>6.5100772915701557E-2</v>
      </c>
      <c r="R233" s="112">
        <f>'GDP Growth Rates'!Q226/100</f>
        <v>6.6666909138265285E-2</v>
      </c>
      <c r="S233" s="112">
        <f>'GDP Growth Rates'!R226/100</f>
        <v>6.5371900922158513E-2</v>
      </c>
      <c r="T233" s="112">
        <f>'GDP Growth Rates'!S226/100</f>
        <v>5.8857935889594017E-2</v>
      </c>
      <c r="U233" s="112">
        <f>'GDP Growth Rates'!T226/100</f>
        <v>1.3452889645040784E-2</v>
      </c>
      <c r="V233" s="112">
        <f>'GDP Growth Rates'!U226/100</f>
        <v>7.7197986588591616E-2</v>
      </c>
      <c r="W233" s="112">
        <f>'GDP Growth Rates'!V226/100</f>
        <v>3.5453750042520937E-2</v>
      </c>
      <c r="X233" s="112">
        <f>'GDP Growth Rates'!W226/100</f>
        <v>5.2547782192951899E-2</v>
      </c>
      <c r="Y233" s="112">
        <f>'GDP Growth Rates'!X226/100</f>
        <v>4.962599562241763E-2</v>
      </c>
    </row>
    <row r="234" spans="2:25">
      <c r="B234" s="634" t="s">
        <v>387</v>
      </c>
      <c r="C234" s="635" t="s">
        <v>388</v>
      </c>
      <c r="D234" s="634" t="s">
        <v>830</v>
      </c>
      <c r="E234" s="635" t="s">
        <v>831</v>
      </c>
      <c r="F234" s="112">
        <f>'GDP Growth Rates'!E227/100</f>
        <v>0.10048960700440006</v>
      </c>
      <c r="G234" s="112">
        <f>'GDP Growth Rates'!F227/100</f>
        <v>0.11069766077185307</v>
      </c>
      <c r="H234" s="112">
        <f>'GDP Growth Rates'!G227/100</f>
        <v>0.12451018665976064</v>
      </c>
      <c r="I234" s="112">
        <f>'GDP Growth Rates'!H227/100</f>
        <v>8.6483636353959378E-2</v>
      </c>
      <c r="J234" s="112">
        <f>'GDP Growth Rates'!I227/100</f>
        <v>8.0154481905613723E-2</v>
      </c>
      <c r="K234" s="112">
        <f>'GDP Growth Rates'!J227/100</f>
        <v>9.8975949189937615E-2</v>
      </c>
      <c r="L234" s="112">
        <f>'GDP Growth Rates'!K227/100</f>
        <v>8.5847449690242564E-2</v>
      </c>
      <c r="M234" s="112">
        <f>'GDP Growth Rates'!L227/100</f>
        <v>7.5790769210146755E-2</v>
      </c>
      <c r="N234" s="112">
        <f>'GDP Growth Rates'!M227/100</f>
        <v>7.3172764510147911E-2</v>
      </c>
      <c r="O234" s="112">
        <f>'GDP Growth Rates'!N227/100</f>
        <v>7.0229889161731049E-2</v>
      </c>
      <c r="P234" s="112">
        <f>'GDP Growth Rates'!O227/100</f>
        <v>6.6614338009038224E-2</v>
      </c>
      <c r="Q234" s="112">
        <f>'GDP Growth Rates'!P227/100</f>
        <v>6.5099207022962555E-2</v>
      </c>
      <c r="R234" s="112">
        <f>'GDP Growth Rates'!Q227/100</f>
        <v>6.666422263130628E-2</v>
      </c>
      <c r="S234" s="112">
        <f>'GDP Growth Rates'!R227/100</f>
        <v>6.537036065870111E-2</v>
      </c>
      <c r="T234" s="112">
        <f>'GDP Growth Rates'!S227/100</f>
        <v>5.8857132469739497E-2</v>
      </c>
      <c r="U234" s="112">
        <f>'GDP Growth Rates'!T227/100</f>
        <v>1.3451781381745178E-2</v>
      </c>
      <c r="V234" s="112">
        <f>'GDP Growth Rates'!U227/100</f>
        <v>7.71948607337309E-2</v>
      </c>
      <c r="W234" s="112">
        <f>'GDP Growth Rates'!V227/100</f>
        <v>3.545315884992789E-2</v>
      </c>
      <c r="X234" s="112">
        <f>'GDP Growth Rates'!W227/100</f>
        <v>5.2547176353900653E-2</v>
      </c>
      <c r="Y234" s="112">
        <f>'GDP Growth Rates'!X227/100</f>
        <v>4.962607115764911E-2</v>
      </c>
    </row>
    <row r="235" spans="2:25">
      <c r="B235" s="634" t="s">
        <v>387</v>
      </c>
      <c r="C235" s="635" t="s">
        <v>388</v>
      </c>
      <c r="D235" s="634" t="s">
        <v>832</v>
      </c>
      <c r="E235" s="635" t="s">
        <v>833</v>
      </c>
      <c r="F235" s="112">
        <f>'GDP Growth Rates'!E228/100</f>
        <v>1.7719186866137021E-2</v>
      </c>
      <c r="G235" s="112">
        <f>'GDP Growth Rates'!F228/100</f>
        <v>3.3216015340721015E-2</v>
      </c>
      <c r="H235" s="112">
        <f>'GDP Growth Rates'!G228/100</f>
        <v>3.0115056101668074E-2</v>
      </c>
      <c r="I235" s="112">
        <f>'GDP Growth Rates'!H228/100</f>
        <v>4.1650193847391388E-3</v>
      </c>
      <c r="J235" s="112">
        <f>'GDP Growth Rates'!I228/100</f>
        <v>-4.4828520407029941E-2</v>
      </c>
      <c r="K235" s="112">
        <f>'GDP Growth Rates'!J228/100</f>
        <v>2.1213391326394059E-2</v>
      </c>
      <c r="L235" s="112">
        <f>'GDP Growth Rates'!K228/100</f>
        <v>1.7782227347170762E-2</v>
      </c>
      <c r="M235" s="112">
        <f>'GDP Growth Rates'!L228/100</f>
        <v>-9.1784301176770101E-3</v>
      </c>
      <c r="N235" s="112">
        <f>'GDP Growth Rates'!M228/100</f>
        <v>-1.6975203934477179E-3</v>
      </c>
      <c r="O235" s="112">
        <f>'GDP Growth Rates'!N228/100</f>
        <v>1.4520010388254576E-2</v>
      </c>
      <c r="P235" s="112">
        <f>'GDP Growth Rates'!O228/100</f>
        <v>2.1410319458092745E-2</v>
      </c>
      <c r="Q235" s="112">
        <f>'GDP Growth Rates'!P228/100</f>
        <v>1.8224685629950558E-2</v>
      </c>
      <c r="R235" s="112">
        <f>'GDP Growth Rates'!Q228/100</f>
        <v>2.5974949354143462E-2</v>
      </c>
      <c r="S235" s="112">
        <f>'GDP Growth Rates'!R228/100</f>
        <v>1.7705125717898652E-2</v>
      </c>
      <c r="T235" s="112">
        <f>'GDP Growth Rates'!S228/100</f>
        <v>1.6275605718827961E-2</v>
      </c>
      <c r="U235" s="112">
        <f>'GDP Growth Rates'!T228/100</f>
        <v>-6.0463911124646191E-2</v>
      </c>
      <c r="V235" s="112">
        <f>'GDP Growth Rates'!U228/100</f>
        <v>6.3584474278722214E-2</v>
      </c>
      <c r="W235" s="112">
        <f>'GDP Growth Rates'!V228/100</f>
        <v>3.5431541433043778E-2</v>
      </c>
      <c r="X235" s="112">
        <f>'GDP Growth Rates'!W228/100</f>
        <v>4.1869630505443926E-3</v>
      </c>
      <c r="Y235" s="112">
        <f>'GDP Growth Rates'!X228/100</f>
        <v>8.6329700760985877E-3</v>
      </c>
    </row>
    <row r="236" spans="2:25">
      <c r="B236" s="634" t="s">
        <v>387</v>
      </c>
      <c r="C236" s="635" t="s">
        <v>388</v>
      </c>
      <c r="D236" s="634" t="s">
        <v>834</v>
      </c>
      <c r="E236" s="635" t="s">
        <v>835</v>
      </c>
      <c r="F236" s="112">
        <f>'GDP Growth Rates'!E229/100</f>
        <v>2.7109826025312173E-2</v>
      </c>
      <c r="G236" s="112">
        <f>'GDP Growth Rates'!F229/100</f>
        <v>3.9098731162036271E-2</v>
      </c>
      <c r="H236" s="112">
        <f>'GDP Growth Rates'!G229/100</f>
        <v>3.6450267536345109E-2</v>
      </c>
      <c r="I236" s="112">
        <f>'GDP Growth Rates'!H229/100</f>
        <v>9.9864754237646031E-3</v>
      </c>
      <c r="J236" s="112">
        <f>'GDP Growth Rates'!I229/100</f>
        <v>-4.4333905899911624E-2</v>
      </c>
      <c r="K236" s="112">
        <f>'GDP Growth Rates'!J229/100</f>
        <v>2.6255620699014343E-2</v>
      </c>
      <c r="L236" s="112">
        <f>'GDP Growth Rates'!K229/100</f>
        <v>2.3766118864893146E-2</v>
      </c>
      <c r="M236" s="112">
        <f>'GDP Growth Rates'!L229/100</f>
        <v>3.1107753923063797E-3</v>
      </c>
      <c r="N236" s="112">
        <f>'GDP Growth Rates'!M229/100</f>
        <v>8.715646323579164E-3</v>
      </c>
      <c r="O236" s="112">
        <f>'GDP Growth Rates'!N229/100</f>
        <v>1.9436335405028871E-2</v>
      </c>
      <c r="P236" s="112">
        <f>'GDP Growth Rates'!O229/100</f>
        <v>2.098006805719237E-2</v>
      </c>
      <c r="Q236" s="112">
        <f>'GDP Growth Rates'!P229/100</f>
        <v>1.8819678046046562E-2</v>
      </c>
      <c r="R236" s="112">
        <f>'GDP Growth Rates'!Q229/100</f>
        <v>2.8731751450172566E-2</v>
      </c>
      <c r="S236" s="112">
        <f>'GDP Growth Rates'!R229/100</f>
        <v>2.1241732492646576E-2</v>
      </c>
      <c r="T236" s="112">
        <f>'GDP Growth Rates'!S229/100</f>
        <v>1.8568153800879939E-2</v>
      </c>
      <c r="U236" s="112">
        <f>'GDP Growth Rates'!T229/100</f>
        <v>-5.407884961633215E-2</v>
      </c>
      <c r="V236" s="112">
        <f>'GDP Growth Rates'!U229/100</f>
        <v>6.7664244812200847E-2</v>
      </c>
      <c r="W236" s="112">
        <f>'GDP Growth Rates'!V229/100</f>
        <v>3.3011566701317607E-2</v>
      </c>
      <c r="X236" s="112">
        <f>'GDP Growth Rates'!W229/100</f>
        <v>1.0694465164508386E-2</v>
      </c>
      <c r="Y236" s="112">
        <f>'GDP Growth Rates'!X229/100</f>
        <v>1.5157845110571201E-2</v>
      </c>
    </row>
    <row r="237" spans="2:25">
      <c r="B237" s="634" t="s">
        <v>387</v>
      </c>
      <c r="C237" s="635" t="s">
        <v>388</v>
      </c>
      <c r="D237" s="634" t="s">
        <v>836</v>
      </c>
      <c r="E237" s="635" t="s">
        <v>837</v>
      </c>
      <c r="F237" s="112">
        <f>'GDP Growth Rates'!E230/100</f>
        <v>8.4676577296609143E-2</v>
      </c>
      <c r="G237" s="112">
        <f>'GDP Growth Rates'!F230/100</f>
        <v>8.1827752010956087E-2</v>
      </c>
      <c r="H237" s="112">
        <f>'GDP Growth Rates'!G230/100</f>
        <v>7.1501828011742818E-2</v>
      </c>
      <c r="I237" s="112">
        <f>'GDP Growth Rates'!H230/100</f>
        <v>3.0475926649350667E-2</v>
      </c>
      <c r="J237" s="112">
        <f>'GDP Growth Rates'!I230/100</f>
        <v>-3.4586204076252895E-2</v>
      </c>
      <c r="K237" s="112">
        <f>'GDP Growth Rates'!J230/100</f>
        <v>7.0604053043780091E-2</v>
      </c>
      <c r="L237" s="112">
        <f>'GDP Growth Rates'!K230/100</f>
        <v>8.4300077637352325E-2</v>
      </c>
      <c r="M237" s="112">
        <f>'GDP Growth Rates'!L230/100</f>
        <v>4.0466168608435285E-2</v>
      </c>
      <c r="N237" s="112">
        <f>'GDP Growth Rates'!M230/100</f>
        <v>6.5085652365977756E-2</v>
      </c>
      <c r="O237" s="112">
        <f>'GDP Growth Rates'!N230/100</f>
        <v>3.3619473011400773E-2</v>
      </c>
      <c r="P237" s="112">
        <f>'GDP Growth Rates'!O230/100</f>
        <v>3.5694127359251981E-2</v>
      </c>
      <c r="Q237" s="112">
        <f>'GDP Growth Rates'!P230/100</f>
        <v>2.7817935736472493E-2</v>
      </c>
      <c r="R237" s="112">
        <f>'GDP Growth Rates'!Q230/100</f>
        <v>5.8191720133977186E-2</v>
      </c>
      <c r="S237" s="112">
        <f>'GDP Growth Rates'!R230/100</f>
        <v>3.4973983676072462E-2</v>
      </c>
      <c r="T237" s="112">
        <f>'GDP Growth Rates'!S230/100</f>
        <v>2.3064893435058593E-2</v>
      </c>
      <c r="U237" s="112">
        <f>'GDP Growth Rates'!T230/100</f>
        <v>2.9502381681960799E-3</v>
      </c>
      <c r="V237" s="112">
        <f>'GDP Growth Rates'!U230/100</f>
        <v>9.0447679361919317E-2</v>
      </c>
      <c r="W237" s="112">
        <f>'GDP Growth Rates'!V230/100</f>
        <v>3.1058344605009863E-2</v>
      </c>
      <c r="X237" s="112">
        <f>'GDP Growth Rates'!W230/100</f>
        <v>5.0758400279859756E-2</v>
      </c>
      <c r="Y237" s="112">
        <f>'GDP Growth Rates'!X230/100</f>
        <v>3.7519390958337763E-2</v>
      </c>
    </row>
    <row r="238" spans="2:25">
      <c r="B238" s="634" t="s">
        <v>387</v>
      </c>
      <c r="C238" s="635" t="s">
        <v>388</v>
      </c>
      <c r="D238" s="634" t="s">
        <v>838</v>
      </c>
      <c r="E238" s="635" t="s">
        <v>839</v>
      </c>
      <c r="F238" s="112">
        <f>'GDP Growth Rates'!E231/100</f>
        <v>6.6129298622382038E-2</v>
      </c>
      <c r="G238" s="112">
        <f>'GDP Growth Rates'!F231/100</f>
        <v>7.8448284783052741E-2</v>
      </c>
      <c r="H238" s="112">
        <f>'GDP Growth Rates'!G231/100</f>
        <v>7.6157362669728029E-2</v>
      </c>
      <c r="I238" s="112">
        <f>'GDP Growth Rates'!H231/100</f>
        <v>4.4708546693471192E-2</v>
      </c>
      <c r="J238" s="112">
        <f>'GDP Growth Rates'!I231/100</f>
        <v>-4.688914887301749E-2</v>
      </c>
      <c r="K238" s="112">
        <f>'GDP Growth Rates'!J231/100</f>
        <v>4.6616621245040048E-2</v>
      </c>
      <c r="L238" s="112">
        <f>'GDP Growth Rates'!K231/100</f>
        <v>5.8985117498325509E-2</v>
      </c>
      <c r="M238" s="112">
        <f>'GDP Growth Rates'!L231/100</f>
        <v>3.4483142143443786E-2</v>
      </c>
      <c r="N238" s="112">
        <f>'GDP Growth Rates'!M231/100</f>
        <v>3.3424167812561904E-2</v>
      </c>
      <c r="O238" s="112">
        <f>'GDP Growth Rates'!N231/100</f>
        <v>2.3419869832197265E-2</v>
      </c>
      <c r="P238" s="112">
        <f>'GDP Growth Rates'!O231/100</f>
        <v>1.4869266664871787E-2</v>
      </c>
      <c r="Q238" s="112">
        <f>'GDP Growth Rates'!P231/100</f>
        <v>1.8600930096626059E-2</v>
      </c>
      <c r="R238" s="112">
        <f>'GDP Growth Rates'!Q231/100</f>
        <v>4.2935258053049805E-2</v>
      </c>
      <c r="S238" s="112">
        <f>'GDP Growth Rates'!R231/100</f>
        <v>3.7320520167723858E-2</v>
      </c>
      <c r="T238" s="112">
        <f>'GDP Growth Rates'!S231/100</f>
        <v>2.6980367980445407E-2</v>
      </c>
      <c r="U238" s="112">
        <f>'GDP Growth Rates'!T231/100</f>
        <v>-1.4616108460230634E-2</v>
      </c>
      <c r="V238" s="112">
        <f>'GDP Growth Rates'!U231/100</f>
        <v>7.4805771450443787E-2</v>
      </c>
      <c r="W238" s="112">
        <f>'GDP Growth Rates'!V231/100</f>
        <v>1.9474739367641832E-2</v>
      </c>
      <c r="X238" s="112">
        <f>'GDP Growth Rates'!W231/100</f>
        <v>3.8417570106383747E-2</v>
      </c>
      <c r="Y238" s="112">
        <f>'GDP Growth Rates'!X231/100</f>
        <v>3.6730758617806315E-2</v>
      </c>
    </row>
    <row r="239" spans="2:25">
      <c r="B239" s="634" t="s">
        <v>387</v>
      </c>
      <c r="C239" s="635" t="s">
        <v>388</v>
      </c>
      <c r="D239" s="634" t="s">
        <v>840</v>
      </c>
      <c r="E239" s="635" t="s">
        <v>841</v>
      </c>
      <c r="F239" s="112">
        <f>'GDP Growth Rates'!E232/100</f>
        <v>1.9838230420347998E-2</v>
      </c>
      <c r="G239" s="112">
        <f>'GDP Growth Rates'!F232/100</f>
        <v>3.5649451088690255E-2</v>
      </c>
      <c r="H239" s="112">
        <f>'GDP Growth Rates'!G232/100</f>
        <v>3.1421493912846328E-2</v>
      </c>
      <c r="I239" s="112">
        <f>'GDP Growth Rates'!H232/100</f>
        <v>6.2325292680273491E-3</v>
      </c>
      <c r="J239" s="112">
        <f>'GDP Growth Rates'!I232/100</f>
        <v>-4.3121506459675343E-2</v>
      </c>
      <c r="K239" s="112">
        <f>'GDP Growth Rates'!J232/100</f>
        <v>2.1845195020449636E-2</v>
      </c>
      <c r="L239" s="112">
        <f>'GDP Growth Rates'!K232/100</f>
        <v>1.9612009754830524E-2</v>
      </c>
      <c r="M239" s="112">
        <f>'GDP Growth Rates'!L232/100</f>
        <v>-7.6178543929728447E-3</v>
      </c>
      <c r="N239" s="112">
        <f>'GDP Growth Rates'!M232/100</f>
        <v>-3.5674675046124091E-4</v>
      </c>
      <c r="O239" s="112">
        <f>'GDP Growth Rates'!N232/100</f>
        <v>1.6293580615306381E-2</v>
      </c>
      <c r="P239" s="112">
        <f>'GDP Growth Rates'!O232/100</f>
        <v>2.3704798412292831E-2</v>
      </c>
      <c r="Q239" s="112">
        <f>'GDP Growth Rates'!P232/100</f>
        <v>1.9461161181005337E-2</v>
      </c>
      <c r="R239" s="112">
        <f>'GDP Growth Rates'!Q232/100</f>
        <v>2.7941430523320605E-2</v>
      </c>
      <c r="S239" s="112">
        <f>'GDP Growth Rates'!R232/100</f>
        <v>2.0540414117159001E-2</v>
      </c>
      <c r="T239" s="112">
        <f>'GDP Growth Rates'!S232/100</f>
        <v>1.8771585670859708E-2</v>
      </c>
      <c r="U239" s="112">
        <f>'GDP Growth Rates'!T232/100</f>
        <v>-5.5734328838517373E-2</v>
      </c>
      <c r="V239" s="112">
        <f>'GDP Growth Rates'!U232/100</f>
        <v>6.3571358569924852E-2</v>
      </c>
      <c r="W239" s="112">
        <f>'GDP Growth Rates'!V232/100</f>
        <v>3.4921438470139773E-2</v>
      </c>
      <c r="X239" s="112">
        <f>'GDP Growth Rates'!W232/100</f>
        <v>4.5550239598924234E-3</v>
      </c>
      <c r="Y239" s="112">
        <f>'GDP Growth Rates'!X232/100</f>
        <v>1.025367827248445E-2</v>
      </c>
    </row>
    <row r="240" spans="2:25">
      <c r="B240" s="634" t="s">
        <v>387</v>
      </c>
      <c r="C240" s="635" t="s">
        <v>388</v>
      </c>
      <c r="D240" s="634" t="s">
        <v>842</v>
      </c>
      <c r="E240" s="635" t="s">
        <v>843</v>
      </c>
      <c r="F240" s="112">
        <f>'GDP Growth Rates'!E233/100</f>
        <v>5.877944433697152E-2</v>
      </c>
      <c r="G240" s="112">
        <f>'GDP Growth Rates'!F233/100</f>
        <v>5.8098881324535084E-2</v>
      </c>
      <c r="H240" s="112">
        <f>'GDP Growth Rates'!G233/100</f>
        <v>5.9915033560564691E-2</v>
      </c>
      <c r="I240" s="112">
        <f>'GDP Growth Rates'!H233/100</f>
        <v>5.0520975303652446E-2</v>
      </c>
      <c r="J240" s="112">
        <f>'GDP Growth Rates'!I233/100</f>
        <v>3.018282572568836E-2</v>
      </c>
      <c r="K240" s="112">
        <f>'GDP Growth Rates'!J233/100</f>
        <v>7.0443262161189887E-2</v>
      </c>
      <c r="L240" s="112">
        <f>'GDP Growth Rates'!K233/100</f>
        <v>6.3872136026247976E-4</v>
      </c>
      <c r="M240" s="112">
        <f>'GDP Growth Rates'!L233/100</f>
        <v>5.6042584697371327E-2</v>
      </c>
      <c r="N240" s="112">
        <f>'GDP Growth Rates'!M233/100</f>
        <v>3.492522851566221E-2</v>
      </c>
      <c r="O240" s="112">
        <f>'GDP Growth Rates'!N233/100</f>
        <v>2.3339895953216967E-2</v>
      </c>
      <c r="P240" s="112">
        <f>'GDP Growth Rates'!O233/100</f>
        <v>8.1289881210007305E-3</v>
      </c>
      <c r="Q240" s="112">
        <f>'GDP Growth Rates'!P233/100</f>
        <v>2.157600081954868E-2</v>
      </c>
      <c r="R240" s="112">
        <f>'GDP Growth Rates'!Q233/100</f>
        <v>2.5686963987813841E-2</v>
      </c>
      <c r="S240" s="112">
        <f>'GDP Growth Rates'!R233/100</f>
        <v>2.75006146665892E-2</v>
      </c>
      <c r="T240" s="112">
        <f>'GDP Growth Rates'!S233/100</f>
        <v>2.3136612406299262E-2</v>
      </c>
      <c r="U240" s="112">
        <f>'GDP Growth Rates'!T233/100</f>
        <v>-5.0231159413669534E-2</v>
      </c>
      <c r="V240" s="112">
        <f>'GDP Growth Rates'!U233/100</f>
        <v>2.4403702955874282E-2</v>
      </c>
      <c r="W240" s="112">
        <f>'GDP Growth Rates'!V233/100</f>
        <v>1.2399953162956336E-2</v>
      </c>
      <c r="X240" s="112">
        <f>'GDP Growth Rates'!W233/100</f>
        <v>1.9618826379323055E-2</v>
      </c>
      <c r="Y240" s="112">
        <f>'GDP Growth Rates'!X233/100</f>
        <v>1.6539894995995608E-2</v>
      </c>
    </row>
    <row r="241" spans="2:25">
      <c r="B241" s="634" t="s">
        <v>387</v>
      </c>
      <c r="C241" s="635" t="s">
        <v>388</v>
      </c>
      <c r="D241" s="634" t="s">
        <v>844</v>
      </c>
      <c r="E241" s="635" t="s">
        <v>845</v>
      </c>
      <c r="F241" s="112">
        <f>'GDP Growth Rates'!E234/100</f>
        <v>5.6623308275670185E-2</v>
      </c>
      <c r="G241" s="112">
        <f>'GDP Growth Rates'!F234/100</f>
        <v>5.8330143233078786E-2</v>
      </c>
      <c r="H241" s="112">
        <f>'GDP Growth Rates'!G234/100</f>
        <v>5.4370685182091164E-2</v>
      </c>
      <c r="I241" s="112">
        <f>'GDP Growth Rates'!H234/100</f>
        <v>5.6425635553484739E-2</v>
      </c>
      <c r="J241" s="112">
        <f>'GDP Growth Rates'!I234/100</f>
        <v>3.5969067451769664E-2</v>
      </c>
      <c r="K241" s="112">
        <f>'GDP Growth Rates'!J234/100</f>
        <v>6.1824077013142471E-2</v>
      </c>
      <c r="L241" s="112">
        <f>'GDP Growth Rates'!K234/100</f>
        <v>4.576659076950975E-2</v>
      </c>
      <c r="M241" s="112">
        <f>'GDP Growth Rates'!L234/100</f>
        <v>3.997934807909715E-2</v>
      </c>
      <c r="N241" s="112">
        <f>'GDP Growth Rates'!M234/100</f>
        <v>5.6925679361019374E-2</v>
      </c>
      <c r="O241" s="112">
        <f>'GDP Growth Rates'!N234/100</f>
        <v>5.609676397755621E-2</v>
      </c>
      <c r="P241" s="112">
        <f>'GDP Growth Rates'!O234/100</f>
        <v>4.9260560624693708E-2</v>
      </c>
      <c r="Q241" s="112">
        <f>'GDP Growth Rates'!P234/100</f>
        <v>4.4509553279943506E-2</v>
      </c>
      <c r="R241" s="112">
        <f>'GDP Growth Rates'!Q234/100</f>
        <v>5.0267872003298353E-2</v>
      </c>
      <c r="S241" s="112">
        <f>'GDP Growth Rates'!R234/100</f>
        <v>4.2344499590569316E-2</v>
      </c>
      <c r="T241" s="112">
        <f>'GDP Growth Rates'!S234/100</f>
        <v>4.4679459749190187E-2</v>
      </c>
      <c r="U241" s="112">
        <f>'GDP Growth Rates'!T234/100</f>
        <v>2.3949519348529691E-3</v>
      </c>
      <c r="V241" s="112">
        <f>'GDP Growth Rates'!U234/100</f>
        <v>4.2418829154822361E-2</v>
      </c>
      <c r="W241" s="112">
        <f>'GDP Growth Rates'!V234/100</f>
        <v>4.9921359347225407E-2</v>
      </c>
      <c r="X241" s="112">
        <f>'GDP Growth Rates'!W234/100</f>
        <v>3.4812055575774249E-2</v>
      </c>
      <c r="Y241" s="112">
        <f>'GDP Growth Rates'!X234/100</f>
        <v>5.2437795231380306E-2</v>
      </c>
    </row>
    <row r="242" spans="2:25">
      <c r="B242" s="634" t="s">
        <v>387</v>
      </c>
      <c r="C242" s="635" t="s">
        <v>388</v>
      </c>
      <c r="D242" s="634" t="s">
        <v>846</v>
      </c>
      <c r="E242" s="635" t="s">
        <v>847</v>
      </c>
      <c r="F242" s="112">
        <f>'GDP Growth Rates'!E235/100</f>
        <v>2.9965034323999901E-2</v>
      </c>
      <c r="G242" s="112">
        <f>'GDP Growth Rates'!F235/100</f>
        <v>3.2500604861927657E-2</v>
      </c>
      <c r="H242" s="112">
        <f>'GDP Growth Rates'!G235/100</f>
        <v>2.8638637613726134E-2</v>
      </c>
      <c r="I242" s="112">
        <f>'GDP Growth Rates'!H235/100</f>
        <v>6.7489657026004578E-3</v>
      </c>
      <c r="J242" s="112">
        <f>'GDP Growth Rates'!I235/100</f>
        <v>-3.3544179108915273E-2</v>
      </c>
      <c r="K242" s="112">
        <f>'GDP Growth Rates'!J235/100</f>
        <v>3.0364965535228949E-2</v>
      </c>
      <c r="L242" s="112">
        <f>'GDP Growth Rates'!K235/100</f>
        <v>2.0475100465437067E-2</v>
      </c>
      <c r="M242" s="112">
        <f>'GDP Growth Rates'!L235/100</f>
        <v>1.4587397950223817E-2</v>
      </c>
      <c r="N242" s="112">
        <f>'GDP Growth Rates'!M235/100</f>
        <v>1.6122100294354312E-2</v>
      </c>
      <c r="O242" s="112">
        <f>'GDP Growth Rates'!N235/100</f>
        <v>2.1524385305130379E-2</v>
      </c>
      <c r="P242" s="112">
        <f>'GDP Growth Rates'!O235/100</f>
        <v>2.34360859010809E-2</v>
      </c>
      <c r="Q242" s="112">
        <f>'GDP Growth Rates'!P235/100</f>
        <v>1.8263589416147568E-2</v>
      </c>
      <c r="R242" s="112">
        <f>'GDP Growth Rates'!Q235/100</f>
        <v>2.4721151676251055E-2</v>
      </c>
      <c r="S242" s="112">
        <f>'GDP Growth Rates'!R235/100</f>
        <v>2.3685362628292666E-2</v>
      </c>
      <c r="T242" s="112">
        <f>'GDP Growth Rates'!S235/100</f>
        <v>1.9136694134952847E-2</v>
      </c>
      <c r="U242" s="112">
        <f>'GDP Growth Rates'!T235/100</f>
        <v>-3.8745159868203129E-2</v>
      </c>
      <c r="V242" s="112">
        <f>'GDP Growth Rates'!U235/100</f>
        <v>5.8433714536385392E-2</v>
      </c>
      <c r="W242" s="112">
        <f>'GDP Growth Rates'!V235/100</f>
        <v>3.0032783499684541E-2</v>
      </c>
      <c r="X242" s="112">
        <f>'GDP Growth Rates'!W235/100</f>
        <v>1.8213284864161638E-2</v>
      </c>
      <c r="Y242" s="112">
        <f>'GDP Growth Rates'!X235/100</f>
        <v>1.9269982883662919E-2</v>
      </c>
    </row>
    <row r="243" spans="2:25">
      <c r="B243" s="634" t="s">
        <v>387</v>
      </c>
      <c r="C243" s="635" t="s">
        <v>388</v>
      </c>
      <c r="D243" s="634" t="s">
        <v>848</v>
      </c>
      <c r="E243" s="635" t="s">
        <v>849</v>
      </c>
      <c r="F243" s="112">
        <f>'GDP Growth Rates'!E236/100</f>
        <v>7.227175629488912E-2</v>
      </c>
      <c r="G243" s="112">
        <f>'GDP Growth Rates'!F236/100</f>
        <v>8.3133876305793997E-2</v>
      </c>
      <c r="H243" s="112">
        <f>'GDP Growth Rates'!G236/100</f>
        <v>8.9595483647662913E-2</v>
      </c>
      <c r="I243" s="112">
        <f>'GDP Growth Rates'!H236/100</f>
        <v>5.9414729614510262E-2</v>
      </c>
      <c r="J243" s="112">
        <f>'GDP Growth Rates'!I236/100</f>
        <v>2.8313032025859285E-2</v>
      </c>
      <c r="K243" s="112">
        <f>'GDP Growth Rates'!J236/100</f>
        <v>7.8273423162905406E-2</v>
      </c>
      <c r="L243" s="112">
        <f>'GDP Growth Rates'!K236/100</f>
        <v>6.3683467405311667E-2</v>
      </c>
      <c r="M243" s="112">
        <f>'GDP Growth Rates'!L236/100</f>
        <v>5.4602631334189626E-2</v>
      </c>
      <c r="N243" s="112">
        <f>'GDP Growth Rates'!M236/100</f>
        <v>5.2382180463234104E-2</v>
      </c>
      <c r="O243" s="112">
        <f>'GDP Growth Rates'!N236/100</f>
        <v>4.8434052679527044E-2</v>
      </c>
      <c r="P243" s="112">
        <f>'GDP Growth Rates'!O236/100</f>
        <v>4.385941657116902E-2</v>
      </c>
      <c r="Q243" s="112">
        <f>'GDP Growth Rates'!P236/100</f>
        <v>4.5460750200617496E-2</v>
      </c>
      <c r="R243" s="112">
        <f>'GDP Growth Rates'!Q236/100</f>
        <v>5.2296730261862621E-2</v>
      </c>
      <c r="S243" s="112">
        <f>'GDP Growth Rates'!R236/100</f>
        <v>4.9596998932547078E-2</v>
      </c>
      <c r="T243" s="112">
        <f>'GDP Growth Rates'!S236/100</f>
        <v>4.0389309814515571E-2</v>
      </c>
      <c r="U243" s="112">
        <f>'GDP Growth Rates'!T236/100</f>
        <v>-1.2491002680246482E-2</v>
      </c>
      <c r="V243" s="112">
        <f>'GDP Growth Rates'!U236/100</f>
        <v>7.6242489688196566E-2</v>
      </c>
      <c r="W243" s="112">
        <f>'GDP Growth Rates'!V236/100</f>
        <v>3.7356225162674409E-2</v>
      </c>
      <c r="X243" s="112">
        <f>'GDP Growth Rates'!W236/100</f>
        <v>4.8204914203248565E-2</v>
      </c>
      <c r="Y243" s="112">
        <f>'GDP Growth Rates'!X236/100</f>
        <v>4.3138203873644587E-2</v>
      </c>
    </row>
    <row r="244" spans="2:25">
      <c r="B244" s="634" t="s">
        <v>387</v>
      </c>
      <c r="C244" s="635" t="s">
        <v>388</v>
      </c>
      <c r="D244" s="634" t="s">
        <v>850</v>
      </c>
      <c r="E244" s="635" t="s">
        <v>851</v>
      </c>
      <c r="F244" s="112">
        <f>'GDP Growth Rates'!E237/100</f>
        <v>7.1427928340931854E-2</v>
      </c>
      <c r="G244" s="112">
        <f>'GDP Growth Rates'!F237/100</f>
        <v>8.1270634231565705E-2</v>
      </c>
      <c r="H244" s="112">
        <f>'GDP Growth Rates'!G237/100</f>
        <v>8.7112754123782568E-2</v>
      </c>
      <c r="I244" s="112">
        <f>'GDP Growth Rates'!H237/100</f>
        <v>5.8697771369697734E-2</v>
      </c>
      <c r="J244" s="112">
        <f>'GDP Growth Rates'!I237/100</f>
        <v>3.0098839504814238E-2</v>
      </c>
      <c r="K244" s="112">
        <f>'GDP Growth Rates'!J237/100</f>
        <v>7.6937446080658417E-2</v>
      </c>
      <c r="L244" s="112">
        <f>'GDP Growth Rates'!K237/100</f>
        <v>6.19531700072595E-2</v>
      </c>
      <c r="M244" s="112">
        <f>'GDP Growth Rates'!L237/100</f>
        <v>5.299187210279712E-2</v>
      </c>
      <c r="N244" s="112">
        <f>'GDP Growth Rates'!M237/100</f>
        <v>5.2391943599998714E-2</v>
      </c>
      <c r="O244" s="112">
        <f>'GDP Growth Rates'!N237/100</f>
        <v>4.888260158105865E-2</v>
      </c>
      <c r="P244" s="112">
        <f>'GDP Growth Rates'!O237/100</f>
        <v>4.3120342541718627E-2</v>
      </c>
      <c r="Q244" s="112">
        <f>'GDP Growth Rates'!P237/100</f>
        <v>4.4462194023813878E-2</v>
      </c>
      <c r="R244" s="112">
        <f>'GDP Growth Rates'!Q237/100</f>
        <v>5.133629350800973E-2</v>
      </c>
      <c r="S244" s="112">
        <f>'GDP Growth Rates'!R237/100</f>
        <v>4.9139633337463809E-2</v>
      </c>
      <c r="T244" s="112">
        <f>'GDP Growth Rates'!S237/100</f>
        <v>4.0360075431629949E-2</v>
      </c>
      <c r="U244" s="112">
        <f>'GDP Growth Rates'!T237/100</f>
        <v>-1.2196812214060201E-2</v>
      </c>
      <c r="V244" s="112">
        <f>'GDP Growth Rates'!U237/100</f>
        <v>7.3844048434247328E-2</v>
      </c>
      <c r="W244" s="112">
        <f>'GDP Growth Rates'!V237/100</f>
        <v>3.7827797012671881E-2</v>
      </c>
      <c r="X244" s="112">
        <f>'GDP Growth Rates'!W237/100</f>
        <v>4.6859112071385454E-2</v>
      </c>
      <c r="Y244" s="112">
        <f>'GDP Growth Rates'!X237/100</f>
        <v>4.3067541368657626E-2</v>
      </c>
    </row>
    <row r="245" spans="2:25">
      <c r="B245" s="634" t="s">
        <v>387</v>
      </c>
      <c r="C245" s="635" t="s">
        <v>388</v>
      </c>
      <c r="D245" s="634" t="s">
        <v>852</v>
      </c>
      <c r="E245" s="635" t="s">
        <v>853</v>
      </c>
      <c r="F245" s="112">
        <f>'GDP Growth Rates'!E238/100</f>
        <v>5.9676232584858581E-2</v>
      </c>
      <c r="G245" s="112">
        <f>'GDP Growth Rates'!F238/100</f>
        <v>5.7225009073012811E-2</v>
      </c>
      <c r="H245" s="112">
        <f>'GDP Growth Rates'!G238/100</f>
        <v>5.4225095244002264E-2</v>
      </c>
      <c r="I245" s="112">
        <f>'GDP Growth Rates'!H238/100</f>
        <v>4.1742313447990113E-2</v>
      </c>
      <c r="J245" s="112">
        <f>'GDP Growth Rates'!I238/100</f>
        <v>5.882656014613772E-2</v>
      </c>
      <c r="K245" s="112">
        <f>'GDP Growth Rates'!J238/100</f>
        <v>5.9426548524794925E-2</v>
      </c>
      <c r="L245" s="112">
        <f>'GDP Growth Rates'!K238/100</f>
        <v>4.1977900385474387E-2</v>
      </c>
      <c r="M245" s="112">
        <f>'GDP Growth Rates'!L238/100</f>
        <v>4.5051508854881489E-2</v>
      </c>
      <c r="N245" s="112">
        <f>'GDP Growth Rates'!M238/100</f>
        <v>5.6724556034556173E-2</v>
      </c>
      <c r="O245" s="112">
        <f>'GDP Growth Rates'!N238/100</f>
        <v>5.7437603378152742E-2</v>
      </c>
      <c r="P245" s="112">
        <f>'GDP Growth Rates'!O238/100</f>
        <v>3.836712022439201E-2</v>
      </c>
      <c r="Q245" s="112">
        <f>'GDP Growth Rates'!P238/100</f>
        <v>2.2749774214655644E-2</v>
      </c>
      <c r="R245" s="112">
        <f>'GDP Growth Rates'!Q238/100</f>
        <v>2.7712530069526908E-2</v>
      </c>
      <c r="S245" s="112">
        <f>'GDP Growth Rates'!R238/100</f>
        <v>3.865219105155987E-2</v>
      </c>
      <c r="T245" s="112">
        <f>'GDP Growth Rates'!S238/100</f>
        <v>3.0209335273275569E-2</v>
      </c>
      <c r="U245" s="112">
        <f>'GDP Growth Rates'!T238/100</f>
        <v>-1.4183253894414065E-2</v>
      </c>
      <c r="V245" s="112">
        <f>'GDP Growth Rates'!U238/100</f>
        <v>5.2645791672621699E-2</v>
      </c>
      <c r="W245" s="112">
        <f>'GDP Growth Rates'!V238/100</f>
        <v>4.3654101609596555E-2</v>
      </c>
      <c r="X245" s="112">
        <f>'GDP Growth Rates'!W238/100</f>
        <v>2.7369666468022302E-2</v>
      </c>
      <c r="Y245" s="112">
        <f>'GDP Growth Rates'!X238/100</f>
        <v>3.8708201655073965E-2</v>
      </c>
    </row>
    <row r="246" spans="2:25">
      <c r="B246" s="634" t="s">
        <v>387</v>
      </c>
      <c r="C246" s="635" t="s">
        <v>388</v>
      </c>
      <c r="D246" s="634" t="s">
        <v>854</v>
      </c>
      <c r="E246" s="635" t="s">
        <v>855</v>
      </c>
      <c r="F246" s="112">
        <f>'GDP Growth Rates'!E239/100</f>
        <v>6.4920492135816799E-2</v>
      </c>
      <c r="G246" s="112">
        <f>'GDP Growth Rates'!F239/100</f>
        <v>6.4469083410934477E-2</v>
      </c>
      <c r="H246" s="112">
        <f>'GDP Growth Rates'!G239/100</f>
        <v>6.4397671993643255E-2</v>
      </c>
      <c r="I246" s="112">
        <f>'GDP Growth Rates'!H239/100</f>
        <v>5.9393129224783507E-2</v>
      </c>
      <c r="J246" s="112">
        <f>'GDP Growth Rates'!I239/100</f>
        <v>4.2480187678651193E-2</v>
      </c>
      <c r="K246" s="112">
        <f>'GDP Growth Rates'!J239/100</f>
        <v>6.4425860630546339E-2</v>
      </c>
      <c r="L246" s="112">
        <f>'GDP Growth Rates'!K239/100</f>
        <v>4.2432411185168634E-2</v>
      </c>
      <c r="M246" s="112">
        <f>'GDP Growth Rates'!L239/100</f>
        <v>2.3418935535645603E-2</v>
      </c>
      <c r="N246" s="112">
        <f>'GDP Growth Rates'!M239/100</f>
        <v>4.8206788783506906E-2</v>
      </c>
      <c r="O246" s="112">
        <f>'GDP Growth Rates'!N239/100</f>
        <v>5.0886048483544499E-2</v>
      </c>
      <c r="P246" s="112">
        <f>'GDP Growth Rates'!O239/100</f>
        <v>3.0304314524580319E-2</v>
      </c>
      <c r="Q246" s="112">
        <f>'GDP Growth Rates'!P239/100</f>
        <v>4.2794411401930008E-2</v>
      </c>
      <c r="R246" s="112">
        <f>'GDP Growth Rates'!Q239/100</f>
        <v>5.2051408731007741E-2</v>
      </c>
      <c r="S246" s="112">
        <f>'GDP Growth Rates'!R239/100</f>
        <v>4.8451933891495998E-2</v>
      </c>
      <c r="T246" s="112">
        <f>'GDP Growth Rates'!S239/100</f>
        <v>4.9672464924092739E-2</v>
      </c>
      <c r="U246" s="112">
        <f>'GDP Growth Rates'!T239/100</f>
        <v>-3.1591388570517153E-3</v>
      </c>
      <c r="V246" s="112">
        <f>'GDP Growth Rates'!U239/100</f>
        <v>3.6725064951081521E-2</v>
      </c>
      <c r="W246" s="112">
        <f>'GDP Growth Rates'!V239/100</f>
        <v>4.3880927016311376E-2</v>
      </c>
      <c r="X246" s="112">
        <f>'GDP Growth Rates'!W239/100</f>
        <v>3.2574986513173199E-2</v>
      </c>
      <c r="Y246" s="112">
        <f>'GDP Growth Rates'!X239/100</f>
        <v>4.5516130036096884E-2</v>
      </c>
    </row>
    <row r="247" spans="2:25">
      <c r="B247" s="634" t="s">
        <v>387</v>
      </c>
      <c r="C247" s="635" t="s">
        <v>388</v>
      </c>
      <c r="D247" s="634" t="s">
        <v>856</v>
      </c>
      <c r="E247" s="635" t="s">
        <v>857</v>
      </c>
      <c r="F247" s="112">
        <f>'GDP Growth Rates'!E240/100</f>
        <v>6.2221580043514135E-2</v>
      </c>
      <c r="G247" s="112">
        <f>'GDP Growth Rates'!F240/100</f>
        <v>6.0749917666715447E-2</v>
      </c>
      <c r="H247" s="112">
        <f>'GDP Growth Rates'!G240/100</f>
        <v>5.9192344826140726E-2</v>
      </c>
      <c r="I247" s="112">
        <f>'GDP Growth Rates'!H240/100</f>
        <v>5.0403529490364037E-2</v>
      </c>
      <c r="J247" s="112">
        <f>'GDP Growth Rates'!I240/100</f>
        <v>5.0606388433339193E-2</v>
      </c>
      <c r="K247" s="112">
        <f>'GDP Growth Rates'!J240/100</f>
        <v>6.1921129020138181E-2</v>
      </c>
      <c r="L247" s="112">
        <f>'GDP Growth Rates'!K240/100</f>
        <v>4.2205229276954553E-2</v>
      </c>
      <c r="M247" s="112">
        <f>'GDP Growth Rates'!L240/100</f>
        <v>3.4229365822155133E-2</v>
      </c>
      <c r="N247" s="112">
        <f>'GDP Growth Rates'!M240/100</f>
        <v>5.2507907170921297E-2</v>
      </c>
      <c r="O247" s="112">
        <f>'GDP Growth Rates'!N240/100</f>
        <v>5.4204041840460772E-2</v>
      </c>
      <c r="P247" s="112">
        <f>'GDP Growth Rates'!O240/100</f>
        <v>3.4400196137230242E-2</v>
      </c>
      <c r="Q247" s="112">
        <f>'GDP Growth Rates'!P240/100</f>
        <v>3.2572744258910262E-2</v>
      </c>
      <c r="R247" s="112">
        <f>'GDP Growth Rates'!Q240/100</f>
        <v>3.9757985448342768E-2</v>
      </c>
      <c r="S247" s="112">
        <f>'GDP Growth Rates'!R240/100</f>
        <v>4.3559484564998315E-2</v>
      </c>
      <c r="T247" s="112">
        <f>'GDP Growth Rates'!S240/100</f>
        <v>4.0001333958576593E-2</v>
      </c>
      <c r="U247" s="112">
        <f>'GDP Growth Rates'!T240/100</f>
        <v>-8.5853902449088085E-3</v>
      </c>
      <c r="V247" s="112">
        <f>'GDP Growth Rates'!U240/100</f>
        <v>4.4517262207009765E-2</v>
      </c>
      <c r="W247" s="112">
        <f>'GDP Growth Rates'!V240/100</f>
        <v>4.3769046262121379E-2</v>
      </c>
      <c r="X247" s="112">
        <f>'GDP Growth Rates'!W240/100</f>
        <v>3.0007765287601133E-2</v>
      </c>
      <c r="Y247" s="112">
        <f>'GDP Growth Rates'!X240/100</f>
        <v>4.2167115163579467E-2</v>
      </c>
    </row>
    <row r="248" spans="2:25">
      <c r="B248" s="634" t="s">
        <v>387</v>
      </c>
      <c r="C248" s="635" t="s">
        <v>388</v>
      </c>
      <c r="D248" s="634" t="s">
        <v>858</v>
      </c>
      <c r="E248" s="635" t="s">
        <v>859</v>
      </c>
      <c r="F248" s="112">
        <f>'GDP Growth Rates'!E241/100</f>
        <v>7.7949595081301198E-2</v>
      </c>
      <c r="G248" s="112">
        <f>'GDP Growth Rates'!F241/100</f>
        <v>9.2930059599730441E-2</v>
      </c>
      <c r="H248" s="112">
        <f>'GDP Growth Rates'!G241/100</f>
        <v>0.10204454334347603</v>
      </c>
      <c r="I248" s="112">
        <f>'GDP Growth Rates'!H241/100</f>
        <v>6.9574599161072115E-2</v>
      </c>
      <c r="J248" s="112">
        <f>'GDP Growth Rates'!I241/100</f>
        <v>3.7412168480309448E-2</v>
      </c>
      <c r="K248" s="112">
        <f>'GDP Growth Rates'!J241/100</f>
        <v>8.0331594069159282E-2</v>
      </c>
      <c r="L248" s="112">
        <f>'GDP Growth Rates'!K241/100</f>
        <v>7.1607620827527543E-2</v>
      </c>
      <c r="M248" s="112">
        <f>'GDP Growth Rates'!L241/100</f>
        <v>5.8275977137356418E-2</v>
      </c>
      <c r="N248" s="112">
        <f>'GDP Growth Rates'!M241/100</f>
        <v>5.6440438569456859E-2</v>
      </c>
      <c r="O248" s="112">
        <f>'GDP Growth Rates'!N241/100</f>
        <v>5.2809906295544239E-2</v>
      </c>
      <c r="P248" s="112">
        <f>'GDP Growth Rates'!O241/100</f>
        <v>4.7009433581041836E-2</v>
      </c>
      <c r="Q248" s="112">
        <f>'GDP Growth Rates'!P241/100</f>
        <v>4.447474256847727E-2</v>
      </c>
      <c r="R248" s="112">
        <f>'GDP Growth Rates'!Q241/100</f>
        <v>5.3020698207905781E-2</v>
      </c>
      <c r="S248" s="112">
        <f>'GDP Growth Rates'!R241/100</f>
        <v>5.4410930044665379E-2</v>
      </c>
      <c r="T248" s="112">
        <f>'GDP Growth Rates'!S241/100</f>
        <v>4.7455413938598812E-2</v>
      </c>
      <c r="U248" s="112">
        <f>'GDP Growth Rates'!T241/100</f>
        <v>3.0369377978878729E-3</v>
      </c>
      <c r="V248" s="112">
        <f>'GDP Growth Rates'!U241/100</f>
        <v>7.5862532160527962E-2</v>
      </c>
      <c r="W248" s="112">
        <f>'GDP Growth Rates'!V241/100</f>
        <v>3.3028670649152755E-2</v>
      </c>
      <c r="X248" s="112">
        <f>'GDP Growth Rates'!W241/100</f>
        <v>4.3534891846105379E-2</v>
      </c>
      <c r="Y248" s="112">
        <f>'GDP Growth Rates'!X241/100</f>
        <v>4.453015101294213E-2</v>
      </c>
    </row>
    <row r="249" spans="2:25">
      <c r="B249" s="634" t="s">
        <v>387</v>
      </c>
      <c r="C249" s="635" t="s">
        <v>388</v>
      </c>
      <c r="D249" s="634" t="s">
        <v>860</v>
      </c>
      <c r="E249" s="635" t="s">
        <v>861</v>
      </c>
      <c r="F249" s="112">
        <f>'GDP Growth Rates'!E242/100</f>
        <v>3.9385325841579541E-2</v>
      </c>
      <c r="G249" s="112">
        <f>'GDP Growth Rates'!F242/100</f>
        <v>5.1377580499552947E-2</v>
      </c>
      <c r="H249" s="112">
        <f>'GDP Growth Rates'!G242/100</f>
        <v>5.190328726575473E-2</v>
      </c>
      <c r="I249" s="112">
        <f>'GDP Growth Rates'!H242/100</f>
        <v>3.6456922530101965E-2</v>
      </c>
      <c r="J249" s="112">
        <f>'GDP Growth Rates'!I242/100</f>
        <v>-2.2787823805991963E-2</v>
      </c>
      <c r="K249" s="112">
        <f>'GDP Growth Rates'!J242/100</f>
        <v>6.3885305986199944E-2</v>
      </c>
      <c r="L249" s="112">
        <f>'GDP Growth Rates'!K242/100</f>
        <v>4.4029471004010931E-2</v>
      </c>
      <c r="M249" s="112">
        <f>'GDP Growth Rates'!L242/100</f>
        <v>2.5681636842800514E-2</v>
      </c>
      <c r="N249" s="112">
        <f>'GDP Growth Rates'!M242/100</f>
        <v>2.7557701194493234E-2</v>
      </c>
      <c r="O249" s="112">
        <f>'GDP Growth Rates'!N242/100</f>
        <v>1.3328338198022323E-2</v>
      </c>
      <c r="P249" s="112">
        <f>'GDP Growth Rates'!O242/100</f>
        <v>4.0325665296315092E-3</v>
      </c>
      <c r="Q249" s="112">
        <f>'GDP Growth Rates'!P242/100</f>
        <v>-3.3675831511715158E-3</v>
      </c>
      <c r="R249" s="112">
        <f>'GDP Growth Rates'!Q242/100</f>
        <v>1.8825738681312459E-2</v>
      </c>
      <c r="S249" s="112">
        <f>'GDP Growth Rates'!R242/100</f>
        <v>1.5892639202467931E-2</v>
      </c>
      <c r="T249" s="112">
        <f>'GDP Growth Rates'!S242/100</f>
        <v>6.8279883783471003E-3</v>
      </c>
      <c r="U249" s="112">
        <f>'GDP Growth Rates'!T242/100</f>
        <v>-6.617724975330247E-2</v>
      </c>
      <c r="V249" s="112">
        <f>'GDP Growth Rates'!U242/100</f>
        <v>7.0820737717136095E-2</v>
      </c>
      <c r="W249" s="112">
        <f>'GDP Growth Rates'!V242/100</f>
        <v>3.9689841328385426E-2</v>
      </c>
      <c r="X249" s="112">
        <f>'GDP Growth Rates'!W242/100</f>
        <v>2.2530415761797117E-2</v>
      </c>
      <c r="Y249" s="112">
        <f>'GDP Growth Rates'!X242/100</f>
        <v>2.2652588312442389E-2</v>
      </c>
    </row>
    <row r="250" spans="2:25">
      <c r="B250" s="634" t="s">
        <v>387</v>
      </c>
      <c r="C250" s="635" t="s">
        <v>388</v>
      </c>
      <c r="D250" s="634" t="s">
        <v>862</v>
      </c>
      <c r="E250" s="635" t="s">
        <v>863</v>
      </c>
      <c r="F250" s="112">
        <f>'GDP Growth Rates'!E243/100</f>
        <v>3.9886505100669323E-2</v>
      </c>
      <c r="G250" s="112">
        <f>'GDP Growth Rates'!F243/100</f>
        <v>5.230210381363179E-2</v>
      </c>
      <c r="H250" s="112">
        <f>'GDP Growth Rates'!G243/100</f>
        <v>5.3034490962344305E-2</v>
      </c>
      <c r="I250" s="112">
        <f>'GDP Growth Rates'!H243/100</f>
        <v>3.7293334963633809E-2</v>
      </c>
      <c r="J250" s="112">
        <f>'GDP Growth Rates'!I243/100</f>
        <v>-2.4233354273662116E-2</v>
      </c>
      <c r="K250" s="112">
        <f>'GDP Growth Rates'!J243/100</f>
        <v>6.6876439035713983E-2</v>
      </c>
      <c r="L250" s="112">
        <f>'GDP Growth Rates'!K243/100</f>
        <v>4.4264538319048793E-2</v>
      </c>
      <c r="M250" s="112">
        <f>'GDP Growth Rates'!L243/100</f>
        <v>2.3433753076987075E-2</v>
      </c>
      <c r="N250" s="112">
        <f>'GDP Growth Rates'!M243/100</f>
        <v>2.7694237157791547E-2</v>
      </c>
      <c r="O250" s="112">
        <f>'GDP Growth Rates'!N243/100</f>
        <v>1.2698788155445727E-2</v>
      </c>
      <c r="P250" s="112">
        <f>'GDP Growth Rates'!O243/100</f>
        <v>2.5279333494970047E-3</v>
      </c>
      <c r="Q250" s="112">
        <f>'GDP Growth Rates'!P243/100</f>
        <v>-5.4093167908274608E-3</v>
      </c>
      <c r="R250" s="112">
        <f>'GDP Growth Rates'!Q243/100</f>
        <v>1.9773497043561291E-2</v>
      </c>
      <c r="S250" s="112">
        <f>'GDP Growth Rates'!R243/100</f>
        <v>1.5525463705135821E-2</v>
      </c>
      <c r="T250" s="112">
        <f>'GDP Growth Rates'!S243/100</f>
        <v>6.0002744388825136E-3</v>
      </c>
      <c r="U250" s="112">
        <f>'GDP Growth Rates'!T243/100</f>
        <v>-6.5236090907036012E-2</v>
      </c>
      <c r="V250" s="112">
        <f>'GDP Growth Rates'!U243/100</f>
        <v>6.8704044530770711E-2</v>
      </c>
      <c r="W250" s="112">
        <f>'GDP Growth Rates'!V243/100</f>
        <v>3.8517395301548449E-2</v>
      </c>
      <c r="X250" s="112">
        <f>'GDP Growth Rates'!W243/100</f>
        <v>2.1885694605886245E-2</v>
      </c>
      <c r="Y250" s="112">
        <f>'GDP Growth Rates'!X243/100</f>
        <v>2.0121138618432753E-2</v>
      </c>
    </row>
    <row r="251" spans="2:25">
      <c r="B251" s="634" t="s">
        <v>387</v>
      </c>
      <c r="C251" s="635" t="s">
        <v>388</v>
      </c>
      <c r="D251" s="634" t="s">
        <v>864</v>
      </c>
      <c r="E251" s="635" t="s">
        <v>865</v>
      </c>
      <c r="F251" s="112">
        <f>'GDP Growth Rates'!E244/100</f>
        <v>4.0345248349180025E-2</v>
      </c>
      <c r="G251" s="112">
        <f>'GDP Growth Rates'!F244/100</f>
        <v>5.2473740408013753E-2</v>
      </c>
      <c r="H251" s="112">
        <f>'GDP Growth Rates'!G244/100</f>
        <v>5.3592117560276049E-2</v>
      </c>
      <c r="I251" s="112">
        <f>'GDP Growth Rates'!H244/100</f>
        <v>3.8142675775063847E-2</v>
      </c>
      <c r="J251" s="112">
        <f>'GDP Growth Rates'!I244/100</f>
        <v>-2.325689821577626E-2</v>
      </c>
      <c r="K251" s="112">
        <f>'GDP Growth Rates'!J244/100</f>
        <v>6.6795457111871459E-2</v>
      </c>
      <c r="L251" s="112">
        <f>'GDP Growth Rates'!K244/100</f>
        <v>4.5765186452367601E-2</v>
      </c>
      <c r="M251" s="112">
        <f>'GDP Growth Rates'!L244/100</f>
        <v>2.6387461695404683E-2</v>
      </c>
      <c r="N251" s="112">
        <f>'GDP Growth Rates'!M244/100</f>
        <v>2.8485184900511058E-2</v>
      </c>
      <c r="O251" s="112">
        <f>'GDP Growth Rates'!N244/100</f>
        <v>1.3943900381879502E-2</v>
      </c>
      <c r="P251" s="112">
        <f>'GDP Growth Rates'!O244/100</f>
        <v>3.6145294564174433E-3</v>
      </c>
      <c r="Q251" s="112">
        <f>'GDP Growth Rates'!P244/100</f>
        <v>-3.3783016934199848E-3</v>
      </c>
      <c r="R251" s="112">
        <f>'GDP Growth Rates'!Q244/100</f>
        <v>1.9822447622395174E-2</v>
      </c>
      <c r="S251" s="112">
        <f>'GDP Growth Rates'!R244/100</f>
        <v>1.6765087051874305E-2</v>
      </c>
      <c r="T251" s="112">
        <f>'GDP Growth Rates'!S244/100</f>
        <v>6.7825828840850019E-3</v>
      </c>
      <c r="U251" s="112">
        <f>'GDP Growth Rates'!T244/100</f>
        <v>-6.5290236404353691E-2</v>
      </c>
      <c r="V251" s="112">
        <f>'GDP Growth Rates'!U244/100</f>
        <v>7.2800781598665057E-2</v>
      </c>
      <c r="W251" s="112">
        <f>'GDP Growth Rates'!V244/100</f>
        <v>4.0002517562987949E-2</v>
      </c>
      <c r="X251" s="112">
        <f>'GDP Growth Rates'!W244/100</f>
        <v>2.3386131930027858E-2</v>
      </c>
      <c r="Y251" s="112">
        <f>'GDP Growth Rates'!X244/100</f>
        <v>2.2441060750872027E-2</v>
      </c>
    </row>
    <row r="252" spans="2:25">
      <c r="B252" s="634" t="s">
        <v>387</v>
      </c>
      <c r="C252" s="635" t="s">
        <v>388</v>
      </c>
      <c r="D252" s="634" t="s">
        <v>866</v>
      </c>
      <c r="E252" s="635" t="s">
        <v>867</v>
      </c>
      <c r="F252" s="112">
        <f>'GDP Growth Rates'!E245/100</f>
        <v>7.506275797327476E-2</v>
      </c>
      <c r="G252" s="112">
        <f>'GDP Growth Rates'!F245/100</f>
        <v>6.8604433699408676E-2</v>
      </c>
      <c r="H252" s="112">
        <f>'GDP Growth Rates'!G245/100</f>
        <v>7.2514397286583973E-2</v>
      </c>
      <c r="I252" s="112">
        <f>'GDP Growth Rates'!H245/100</f>
        <v>6.4579397157851451E-2</v>
      </c>
      <c r="J252" s="112">
        <f>'GDP Growth Rates'!I245/100</f>
        <v>4.2248535613838387E-2</v>
      </c>
      <c r="K252" s="112">
        <f>'GDP Growth Rates'!J245/100</f>
        <v>6.274673805196955E-2</v>
      </c>
      <c r="L252" s="112">
        <f>'GDP Growth Rates'!K245/100</f>
        <v>3.3227431601906547E-2</v>
      </c>
      <c r="M252" s="112">
        <f>'GDP Growth Rates'!L245/100</f>
        <v>3.1993375765839431E-2</v>
      </c>
      <c r="N252" s="112">
        <f>'GDP Growth Rates'!M245/100</f>
        <v>5.7591267336261326E-2</v>
      </c>
      <c r="O252" s="112">
        <f>'GDP Growth Rates'!N245/100</f>
        <v>5.4810311690586103E-2</v>
      </c>
      <c r="P252" s="112">
        <f>'GDP Growth Rates'!O245/100</f>
        <v>2.8093996066292704E-2</v>
      </c>
      <c r="Q252" s="112">
        <f>'GDP Growth Rates'!P245/100</f>
        <v>3.7319998933500076E-2</v>
      </c>
      <c r="R252" s="112">
        <f>'GDP Growth Rates'!Q245/100</f>
        <v>4.5463047315651151E-2</v>
      </c>
      <c r="S252" s="112">
        <f>'GDP Growth Rates'!R245/100</f>
        <v>4.6439836665046669E-2</v>
      </c>
      <c r="T252" s="112">
        <f>'GDP Growth Rates'!S245/100</f>
        <v>5.1019778141707661E-2</v>
      </c>
      <c r="U252" s="112">
        <f>'GDP Growth Rates'!T245/100</f>
        <v>-9.9896524137889743E-4</v>
      </c>
      <c r="V252" s="112">
        <f>'GDP Growth Rates'!U245/100</f>
        <v>2.8213417429632841E-2</v>
      </c>
      <c r="W252" s="112">
        <f>'GDP Growth Rates'!V245/100</f>
        <v>4.7731511546661949E-2</v>
      </c>
      <c r="X252" s="112">
        <f>'GDP Growth Rates'!W245/100</f>
        <v>3.0522202675470851E-2</v>
      </c>
      <c r="Y252" s="112">
        <f>'GDP Growth Rates'!X245/100</f>
        <v>3.8638548565135551E-2</v>
      </c>
    </row>
    <row r="253" spans="2:25">
      <c r="B253" s="634" t="s">
        <v>387</v>
      </c>
      <c r="C253" s="635" t="s">
        <v>388</v>
      </c>
      <c r="D253" s="634" t="s">
        <v>868</v>
      </c>
      <c r="E253" s="635" t="s">
        <v>869</v>
      </c>
      <c r="F253" s="112">
        <f>'GDP Growth Rates'!E246/100</f>
        <v>7.3681466502775378E-2</v>
      </c>
      <c r="G253" s="112">
        <f>'GDP Growth Rates'!F246/100</f>
        <v>8.2174325191387537E-2</v>
      </c>
      <c r="H253" s="112">
        <f>'GDP Growth Rates'!G246/100</f>
        <v>8.8405766744032513E-2</v>
      </c>
      <c r="I253" s="112">
        <f>'GDP Growth Rates'!H246/100</f>
        <v>5.9401226920433176E-2</v>
      </c>
      <c r="J253" s="112">
        <f>'GDP Growth Rates'!I246/100</f>
        <v>4.0192087708072394E-2</v>
      </c>
      <c r="K253" s="112">
        <f>'GDP Growth Rates'!J246/100</f>
        <v>8.1591298491999142E-2</v>
      </c>
      <c r="L253" s="112">
        <f>'GDP Growth Rates'!K246/100</f>
        <v>6.3613837455361449E-2</v>
      </c>
      <c r="M253" s="112">
        <f>'GDP Growth Rates'!L246/100</f>
        <v>5.4871187080265005E-2</v>
      </c>
      <c r="N253" s="112">
        <f>'GDP Growth Rates'!M246/100</f>
        <v>5.6188059535549971E-2</v>
      </c>
      <c r="O253" s="112">
        <f>'GDP Growth Rates'!N246/100</f>
        <v>5.1937929672110104E-2</v>
      </c>
      <c r="P253" s="112">
        <f>'GDP Growth Rates'!O246/100</f>
        <v>4.7064137466723534E-2</v>
      </c>
      <c r="Q253" s="112">
        <f>'GDP Growth Rates'!P246/100</f>
        <v>4.7382062480572529E-2</v>
      </c>
      <c r="R253" s="112">
        <f>'GDP Growth Rates'!Q246/100</f>
        <v>5.3196277211331446E-2</v>
      </c>
      <c r="S253" s="112">
        <f>'GDP Growth Rates'!R246/100</f>
        <v>5.0097589849957845E-2</v>
      </c>
      <c r="T253" s="112">
        <f>'GDP Growth Rates'!S246/100</f>
        <v>4.1365914075448984E-2</v>
      </c>
      <c r="U253" s="112">
        <f>'GDP Growth Rates'!T246/100</f>
        <v>-1.0574432740004056E-2</v>
      </c>
      <c r="V253" s="112">
        <f>'GDP Growth Rates'!U246/100</f>
        <v>7.4142150848722957E-2</v>
      </c>
      <c r="W253" s="112">
        <f>'GDP Growth Rates'!V246/100</f>
        <v>3.9590511584207067E-2</v>
      </c>
      <c r="X253" s="112">
        <f>'GDP Growth Rates'!W246/100</f>
        <v>4.8177375937149096E-2</v>
      </c>
      <c r="Y253" s="112">
        <f>'GDP Growth Rates'!X246/100</f>
        <v>4.3334649815597572E-2</v>
      </c>
    </row>
    <row r="254" spans="2:25">
      <c r="B254" s="634" t="s">
        <v>387</v>
      </c>
      <c r="C254" s="635" t="s">
        <v>388</v>
      </c>
      <c r="D254" s="634" t="s">
        <v>870</v>
      </c>
      <c r="E254" s="635" t="s">
        <v>871</v>
      </c>
      <c r="F254" s="112">
        <f>'GDP Growth Rates'!E247/100</f>
        <v>6.2444987454321393E-2</v>
      </c>
      <c r="G254" s="112">
        <f>'GDP Growth Rates'!F247/100</f>
        <v>5.4094098640222799E-2</v>
      </c>
      <c r="H254" s="112">
        <f>'GDP Growth Rates'!G247/100</f>
        <v>5.5373105961911334E-2</v>
      </c>
      <c r="I254" s="112">
        <f>'GDP Growth Rates'!H247/100</f>
        <v>4.9980632434329667E-2</v>
      </c>
      <c r="J254" s="112">
        <f>'GDP Growth Rates'!I247/100</f>
        <v>3.4455966446496691E-2</v>
      </c>
      <c r="K254" s="112">
        <f>'GDP Growth Rates'!J247/100</f>
        <v>6.4884145053157594E-2</v>
      </c>
      <c r="L254" s="112">
        <f>'GDP Growth Rates'!K247/100</f>
        <v>-1.7023473272350031E-3</v>
      </c>
      <c r="M254" s="112">
        <f>'GDP Growth Rates'!L247/100</f>
        <v>-4.5622704063415682E-2</v>
      </c>
      <c r="N254" s="112">
        <f>'GDP Growth Rates'!M247/100</f>
        <v>2.362875261607968E-2</v>
      </c>
      <c r="O254" s="112">
        <f>'GDP Growth Rates'!N247/100</f>
        <v>3.0748772444736686E-2</v>
      </c>
      <c r="P254" s="112">
        <f>'GDP Growth Rates'!O247/100</f>
        <v>-2.1026184423682679E-2</v>
      </c>
      <c r="Q254" s="112">
        <f>'GDP Growth Rates'!P247/100</f>
        <v>6.9485709556951743E-3</v>
      </c>
      <c r="R254" s="112">
        <f>'GDP Growth Rates'!Q247/100</f>
        <v>1.7872047110498529E-2</v>
      </c>
      <c r="S254" s="112">
        <f>'GDP Growth Rates'!R247/100</f>
        <v>2.7692997578436403E-2</v>
      </c>
      <c r="T254" s="112">
        <f>'GDP Growth Rates'!S247/100</f>
        <v>3.4556618926950333E-2</v>
      </c>
      <c r="U254" s="112">
        <f>'GDP Growth Rates'!T247/100</f>
        <v>-1.0441670052411495E-2</v>
      </c>
      <c r="V254" s="112">
        <f>'GDP Growth Rates'!U247/100</f>
        <v>1.2674289405463241E-2</v>
      </c>
      <c r="W254" s="112">
        <f>'GDP Growth Rates'!V247/100</f>
        <v>3.6366776313226691E-2</v>
      </c>
      <c r="X254" s="112">
        <f>'GDP Growth Rates'!W247/100</f>
        <v>-2.0224210761982421E-3</v>
      </c>
      <c r="Y254" s="112">
        <f>'GDP Growth Rates'!X247/100</f>
        <v>2.332101940624412E-2</v>
      </c>
    </row>
    <row r="255" spans="2:25">
      <c r="B255" s="634" t="s">
        <v>387</v>
      </c>
      <c r="C255" s="635" t="s">
        <v>388</v>
      </c>
      <c r="D255" s="634" t="s">
        <v>872</v>
      </c>
      <c r="E255" s="635" t="s">
        <v>873</v>
      </c>
      <c r="F255" s="112">
        <f>'GDP Growth Rates'!E248/100</f>
        <v>6.6999361047200376E-2</v>
      </c>
      <c r="G255" s="112">
        <f>'GDP Growth Rates'!F248/100</f>
        <v>6.9661640014734724E-2</v>
      </c>
      <c r="H255" s="112">
        <f>'GDP Growth Rates'!G248/100</f>
        <v>6.8911861449530251E-2</v>
      </c>
      <c r="I255" s="112">
        <f>'GDP Growth Rates'!H248/100</f>
        <v>4.5830686662456231E-2</v>
      </c>
      <c r="J255" s="112">
        <f>'GDP Growth Rates'!I248/100</f>
        <v>5.9536225937946198E-2</v>
      </c>
      <c r="K255" s="112">
        <f>'GDP Growth Rates'!J248/100</f>
        <v>6.8538625383673099E-2</v>
      </c>
      <c r="L255" s="112">
        <f>'GDP Growth Rates'!K248/100</f>
        <v>4.7579499178740152E-2</v>
      </c>
      <c r="M255" s="112">
        <f>'GDP Growth Rates'!L248/100</f>
        <v>5.1722157967777634E-2</v>
      </c>
      <c r="N255" s="112">
        <f>'GDP Growth Rates'!M248/100</f>
        <v>5.6770960968088389E-2</v>
      </c>
      <c r="O255" s="112">
        <f>'GDP Growth Rates'!N248/100</f>
        <v>6.1254552154477011E-2</v>
      </c>
      <c r="P255" s="112">
        <f>'GDP Growth Rates'!O248/100</f>
        <v>5.9338484928058932E-2</v>
      </c>
      <c r="Q255" s="112">
        <f>'GDP Growth Rates'!P248/100</f>
        <v>5.6881395145802427E-2</v>
      </c>
      <c r="R255" s="112">
        <f>'GDP Growth Rates'!Q248/100</f>
        <v>5.4531381639697687E-2</v>
      </c>
      <c r="S255" s="112">
        <f>'GDP Growth Rates'!R248/100</f>
        <v>5.4344052720577594E-2</v>
      </c>
      <c r="T255" s="112">
        <f>'GDP Growth Rates'!S248/100</f>
        <v>4.0706981332097457E-2</v>
      </c>
      <c r="U255" s="112">
        <f>'GDP Growth Rates'!T248/100</f>
        <v>-3.6016672725245939E-2</v>
      </c>
      <c r="V255" s="112">
        <f>'GDP Growth Rates'!U248/100</f>
        <v>6.6579834861218073E-2</v>
      </c>
      <c r="W255" s="112">
        <f>'GDP Growth Rates'!V248/100</f>
        <v>6.1278441512635881E-2</v>
      </c>
      <c r="X255" s="112">
        <f>'GDP Growth Rates'!W248/100</f>
        <v>6.0163278478391646E-2</v>
      </c>
      <c r="Y255" s="112">
        <f>'GDP Growth Rates'!X248/100</f>
        <v>5.1321625441368611E-2</v>
      </c>
    </row>
    <row r="256" spans="2:25">
      <c r="B256" s="634" t="s">
        <v>387</v>
      </c>
      <c r="C256" s="635" t="s">
        <v>388</v>
      </c>
      <c r="D256" s="634" t="s">
        <v>874</v>
      </c>
      <c r="E256" s="635" t="s">
        <v>875</v>
      </c>
      <c r="F256" s="112">
        <f>'GDP Growth Rates'!E249/100</f>
        <v>5.2880649289461415E-2</v>
      </c>
      <c r="G256" s="112">
        <f>'GDP Growth Rates'!F249/100</f>
        <v>5.9911814293684952E-2</v>
      </c>
      <c r="H256" s="112">
        <f>'GDP Growth Rates'!G249/100</f>
        <v>5.2313414544328939E-2</v>
      </c>
      <c r="I256" s="112">
        <f>'GDP Growth Rates'!H249/100</f>
        <v>4.3755920197261704E-2</v>
      </c>
      <c r="J256" s="112">
        <f>'GDP Growth Rates'!I249/100</f>
        <v>1.1132267952014701E-2</v>
      </c>
      <c r="K256" s="112">
        <f>'GDP Growth Rates'!J249/100</f>
        <v>4.8073142859552435E-2</v>
      </c>
      <c r="L256" s="112">
        <f>'GDP Growth Rates'!K249/100</f>
        <v>3.7940150852094234E-2</v>
      </c>
      <c r="M256" s="112">
        <f>'GDP Growth Rates'!L249/100</f>
        <v>3.9653151427228008E-2</v>
      </c>
      <c r="N256" s="112">
        <f>'GDP Growth Rates'!M249/100</f>
        <v>2.4243020797302107E-2</v>
      </c>
      <c r="O256" s="112">
        <f>'GDP Growth Rates'!N249/100</f>
        <v>3.0720110767761922E-2</v>
      </c>
      <c r="P256" s="112">
        <f>'GDP Growth Rates'!O249/100</f>
        <v>2.7275046082813219E-2</v>
      </c>
      <c r="Q256" s="112">
        <f>'GDP Growth Rates'!P249/100</f>
        <v>4.4845849762178459E-2</v>
      </c>
      <c r="R256" s="112">
        <f>'GDP Growth Rates'!Q249/100</f>
        <v>2.2443344252288285E-2</v>
      </c>
      <c r="S256" s="112">
        <f>'GDP Growth Rates'!R249/100</f>
        <v>2.6108240914558111E-2</v>
      </c>
      <c r="T256" s="112">
        <f>'GDP Growth Rates'!S249/100</f>
        <v>1.4860109423223094E-2</v>
      </c>
      <c r="U256" s="112">
        <f>'GDP Growth Rates'!T249/100</f>
        <v>-3.3078311837047639E-2</v>
      </c>
      <c r="V256" s="112">
        <f>'GDP Growth Rates'!U249/100</f>
        <v>5.0848879691885146E-2</v>
      </c>
      <c r="W256" s="112">
        <f>'GDP Growth Rates'!V249/100</f>
        <v>6.3774503594380583E-2</v>
      </c>
      <c r="X256" s="112">
        <f>'GDP Growth Rates'!W249/100</f>
        <v>2.1537582485023847E-2</v>
      </c>
      <c r="Y256" s="112">
        <f>'GDP Growth Rates'!X249/100</f>
        <v>1.9418749039173944E-2</v>
      </c>
    </row>
    <row r="257" spans="2:25">
      <c r="B257" s="634" t="s">
        <v>387</v>
      </c>
      <c r="C257" s="635" t="s">
        <v>388</v>
      </c>
      <c r="D257" s="634" t="s">
        <v>876</v>
      </c>
      <c r="E257" s="635" t="s">
        <v>877</v>
      </c>
      <c r="F257" s="112">
        <f>'GDP Growth Rates'!E250/100</f>
        <v>4.9508247510914601E-2</v>
      </c>
      <c r="G257" s="112">
        <f>'GDP Growth Rates'!F250/100</f>
        <v>5.4004089868291631E-2</v>
      </c>
      <c r="H257" s="112">
        <f>'GDP Growth Rates'!G250/100</f>
        <v>5.8174975988223993E-2</v>
      </c>
      <c r="I257" s="112">
        <f>'GDP Growth Rates'!H250/100</f>
        <v>3.4632836371265088E-2</v>
      </c>
      <c r="J257" s="112">
        <f>'GDP Growth Rates'!I250/100</f>
        <v>2.830779631644802E-2</v>
      </c>
      <c r="K257" s="112">
        <f>'GDP Growth Rates'!J250/100</f>
        <v>4.8304065449094512E-2</v>
      </c>
      <c r="L257" s="112">
        <f>'GDP Growth Rates'!K250/100</f>
        <v>-3.7551350408131156E-3</v>
      </c>
      <c r="M257" s="112">
        <f>'GDP Growth Rates'!L250/100</f>
        <v>3.5560244140742582E-2</v>
      </c>
      <c r="N257" s="112">
        <f>'GDP Growth Rates'!M250/100</f>
        <v>1.1175396883362793E-2</v>
      </c>
      <c r="O257" s="112">
        <f>'GDP Growth Rates'!N250/100</f>
        <v>2.3963251352372622E-2</v>
      </c>
      <c r="P257" s="112">
        <f>'GDP Growth Rates'!O250/100</f>
        <v>1.1120903552565266E-2</v>
      </c>
      <c r="Q257" s="112">
        <f>'GDP Growth Rates'!P250/100</f>
        <v>5.5669405018924749E-2</v>
      </c>
      <c r="R257" s="112">
        <f>'GDP Growth Rates'!Q250/100</f>
        <v>3.3397033251472835E-2</v>
      </c>
      <c r="S257" s="112">
        <f>'GDP Growth Rates'!R250/100</f>
        <v>2.5540684614695549E-2</v>
      </c>
      <c r="T257" s="112">
        <f>'GDP Growth Rates'!S250/100</f>
        <v>1.2190774489085499E-2</v>
      </c>
      <c r="U257" s="112">
        <f>'GDP Growth Rates'!T250/100</f>
        <v>-2.860877249714008E-2</v>
      </c>
      <c r="V257" s="112">
        <f>'GDP Growth Rates'!U250/100</f>
        <v>4.468192981469727E-2</v>
      </c>
      <c r="W257" s="112">
        <f>'GDP Growth Rates'!V250/100</f>
        <v>4.1791829383931826E-2</v>
      </c>
      <c r="X257" s="112">
        <f>'GDP Growth Rates'!W250/100</f>
        <v>2.8383671828392066E-2</v>
      </c>
      <c r="Y257" s="112">
        <f>'GDP Growth Rates'!X250/100</f>
        <v>1.9658739865806608E-2</v>
      </c>
    </row>
    <row r="258" spans="2:25">
      <c r="B258" s="634" t="s">
        <v>387</v>
      </c>
      <c r="C258" s="635" t="s">
        <v>388</v>
      </c>
      <c r="D258" s="634" t="s">
        <v>878</v>
      </c>
      <c r="E258" s="635" t="s">
        <v>879</v>
      </c>
      <c r="F258" s="112">
        <f>'GDP Growth Rates'!E251/100</f>
        <v>4.9111022021540267E-2</v>
      </c>
      <c r="G258" s="112">
        <f>'GDP Growth Rates'!F251/100</f>
        <v>5.4429268035040224E-2</v>
      </c>
      <c r="H258" s="112">
        <f>'GDP Growth Rates'!G251/100</f>
        <v>5.8301612260770241E-2</v>
      </c>
      <c r="I258" s="112">
        <f>'GDP Growth Rates'!H251/100</f>
        <v>3.4390113726526721E-2</v>
      </c>
      <c r="J258" s="112">
        <f>'GDP Growth Rates'!I251/100</f>
        <v>2.7941499237534657E-2</v>
      </c>
      <c r="K258" s="112">
        <f>'GDP Growth Rates'!J251/100</f>
        <v>4.8240477975925983E-2</v>
      </c>
      <c r="L258" s="112">
        <f>'GDP Growth Rates'!K251/100</f>
        <v>-4.4311312418304286E-3</v>
      </c>
      <c r="M258" s="112">
        <f>'GDP Growth Rates'!L251/100</f>
        <v>3.5370737755598326E-2</v>
      </c>
      <c r="N258" s="112">
        <f>'GDP Growth Rates'!M251/100</f>
        <v>1.0901662582443662E-2</v>
      </c>
      <c r="O258" s="112">
        <f>'GDP Growth Rates'!N251/100</f>
        <v>2.4165213426834812E-2</v>
      </c>
      <c r="P258" s="112">
        <f>'GDP Growth Rates'!O251/100</f>
        <v>1.0919777156829298E-2</v>
      </c>
      <c r="Q258" s="112">
        <f>'GDP Growth Rates'!P251/100</f>
        <v>5.5408597747010048E-2</v>
      </c>
      <c r="R258" s="112">
        <f>'GDP Growth Rates'!Q251/100</f>
        <v>3.3553692019120403E-2</v>
      </c>
      <c r="S258" s="112">
        <f>'GDP Growth Rates'!R251/100</f>
        <v>2.5646911242802446E-2</v>
      </c>
      <c r="T258" s="112">
        <f>'GDP Growth Rates'!S251/100</f>
        <v>1.2179428327986415E-2</v>
      </c>
      <c r="U258" s="112">
        <f>'GDP Growth Rates'!T251/100</f>
        <v>-2.7939610309203288E-2</v>
      </c>
      <c r="V258" s="112">
        <f>'GDP Growth Rates'!U251/100</f>
        <v>4.4498315765400205E-2</v>
      </c>
      <c r="W258" s="112">
        <f>'GDP Growth Rates'!V251/100</f>
        <v>4.179896002487183E-2</v>
      </c>
      <c r="X258" s="112">
        <f>'GDP Growth Rates'!W251/100</f>
        <v>2.8929975144982478E-2</v>
      </c>
      <c r="Y258" s="112">
        <f>'GDP Growth Rates'!X251/100</f>
        <v>2.1613571335384874E-2</v>
      </c>
    </row>
    <row r="259" spans="2:25">
      <c r="B259" s="634" t="s">
        <v>387</v>
      </c>
      <c r="C259" s="635" t="s">
        <v>388</v>
      </c>
      <c r="D259" s="634" t="s">
        <v>880</v>
      </c>
      <c r="E259" s="635" t="s">
        <v>881</v>
      </c>
      <c r="F259" s="112">
        <f>'GDP Growth Rates'!E252/100</f>
        <v>7.3892339476338831E-2</v>
      </c>
      <c r="G259" s="112">
        <f>'GDP Growth Rates'!F252/100</f>
        <v>8.2695684330267485E-2</v>
      </c>
      <c r="H259" s="112">
        <f>'GDP Growth Rates'!G252/100</f>
        <v>8.9002874781512128E-2</v>
      </c>
      <c r="I259" s="112">
        <f>'GDP Growth Rates'!H252/100</f>
        <v>5.9566257591639131E-2</v>
      </c>
      <c r="J259" s="112">
        <f>'GDP Growth Rates'!I252/100</f>
        <v>4.0298449672266944E-2</v>
      </c>
      <c r="K259" s="112">
        <f>'GDP Growth Rates'!J252/100</f>
        <v>8.1899350854565831E-2</v>
      </c>
      <c r="L259" s="112">
        <f>'GDP Growth Rates'!K252/100</f>
        <v>6.4799219630641711E-2</v>
      </c>
      <c r="M259" s="112">
        <f>'GDP Growth Rates'!L252/100</f>
        <v>5.6581082589455323E-2</v>
      </c>
      <c r="N259" s="112">
        <f>'GDP Growth Rates'!M252/100</f>
        <v>5.6688465329254714E-2</v>
      </c>
      <c r="O259" s="112">
        <f>'GDP Growth Rates'!N252/100</f>
        <v>5.2253369207269314E-2</v>
      </c>
      <c r="P259" s="112">
        <f>'GDP Growth Rates'!O252/100</f>
        <v>4.8057071345655657E-2</v>
      </c>
      <c r="Q259" s="112">
        <f>'GDP Growth Rates'!P252/100</f>
        <v>4.7932822403540742E-2</v>
      </c>
      <c r="R259" s="112">
        <f>'GDP Growth Rates'!Q252/100</f>
        <v>5.3658623778121778E-2</v>
      </c>
      <c r="S259" s="112">
        <f>'GDP Growth Rates'!R252/100</f>
        <v>5.038087593246203E-2</v>
      </c>
      <c r="T259" s="112">
        <f>'GDP Growth Rates'!S252/100</f>
        <v>4.145015186151866E-2</v>
      </c>
      <c r="U259" s="112">
        <f>'GDP Growth Rates'!T252/100</f>
        <v>-1.0576064275762747E-2</v>
      </c>
      <c r="V259" s="112">
        <f>'GDP Growth Rates'!U252/100</f>
        <v>7.4897638989350951E-2</v>
      </c>
      <c r="W259" s="112">
        <f>'GDP Growth Rates'!V252/100</f>
        <v>3.962784017487337E-2</v>
      </c>
      <c r="X259" s="112">
        <f>'GDP Growth Rates'!W252/100</f>
        <v>4.8756831003946531E-2</v>
      </c>
      <c r="Y259" s="112">
        <f>'GDP Growth Rates'!X252/100</f>
        <v>4.3554994954611036E-2</v>
      </c>
    </row>
    <row r="260" spans="2:25">
      <c r="B260" s="634" t="s">
        <v>387</v>
      </c>
      <c r="C260" s="635" t="s">
        <v>388</v>
      </c>
      <c r="D260" s="634" t="s">
        <v>882</v>
      </c>
      <c r="E260" s="635" t="s">
        <v>883</v>
      </c>
      <c r="F260" s="112">
        <f>'GDP Growth Rates'!E253/100</f>
        <v>3.4612832307834934E-2</v>
      </c>
      <c r="G260" s="112">
        <f>'GDP Growth Rates'!F253/100</f>
        <v>2.7743146338336827E-2</v>
      </c>
      <c r="H260" s="112">
        <f>'GDP Growth Rates'!G253/100</f>
        <v>2.0080830491201029E-2</v>
      </c>
      <c r="I260" s="112">
        <f>'GDP Growth Rates'!H253/100</f>
        <v>1.8162437681333188E-3</v>
      </c>
      <c r="J260" s="112">
        <f>'GDP Growth Rates'!I253/100</f>
        <v>-2.6046076408093626E-2</v>
      </c>
      <c r="K260" s="112">
        <f>'GDP Growth Rates'!J253/100</f>
        <v>2.7239591669271306E-2</v>
      </c>
      <c r="L260" s="112">
        <f>'GDP Growth Rates'!K253/100</f>
        <v>1.686211320817364E-2</v>
      </c>
      <c r="M260" s="112">
        <f>'GDP Growth Rates'!L253/100</f>
        <v>2.2433785943366757E-2</v>
      </c>
      <c r="N260" s="112">
        <f>'GDP Growth Rates'!M253/100</f>
        <v>2.1334968845291086E-2</v>
      </c>
      <c r="O260" s="112">
        <f>'GDP Growth Rates'!N253/100</f>
        <v>2.5494471364894623E-2</v>
      </c>
      <c r="P260" s="112">
        <f>'GDP Growth Rates'!O253/100</f>
        <v>2.7611045598068956E-2</v>
      </c>
      <c r="Q260" s="112">
        <f>'GDP Growth Rates'!P253/100</f>
        <v>1.7574135922103835E-2</v>
      </c>
      <c r="R260" s="112">
        <f>'GDP Growth Rates'!Q253/100</f>
        <v>2.5028449614174803E-2</v>
      </c>
      <c r="S260" s="112">
        <f>'GDP Growth Rates'!R253/100</f>
        <v>2.947893141548235E-2</v>
      </c>
      <c r="T260" s="112">
        <f>'GDP Growth Rates'!S253/100</f>
        <v>2.530365862668461E-2</v>
      </c>
      <c r="U260" s="112">
        <f>'GDP Growth Rates'!T253/100</f>
        <v>-2.387608409381585E-2</v>
      </c>
      <c r="V260" s="112">
        <f>'GDP Growth Rates'!U253/100</f>
        <v>6.0467295655090965E-2</v>
      </c>
      <c r="W260" s="112">
        <f>'GDP Growth Rates'!V253/100</f>
        <v>2.6400063314872709E-2</v>
      </c>
      <c r="X260" s="112">
        <f>'GDP Growth Rates'!W253/100</f>
        <v>2.7841404105767679E-2</v>
      </c>
      <c r="Y260" s="112">
        <f>'GDP Growth Rates'!X253/100</f>
        <v>2.7000692532397751E-2</v>
      </c>
    </row>
    <row r="261" spans="2:25">
      <c r="B261" s="634" t="s">
        <v>387</v>
      </c>
      <c r="C261" s="635" t="s">
        <v>388</v>
      </c>
      <c r="D261" s="634" t="s">
        <v>884</v>
      </c>
      <c r="E261" s="635" t="s">
        <v>885</v>
      </c>
      <c r="F261" s="112" t="e">
        <f>'GDP Growth Rates'!E254/100</f>
        <v>#VALUE!</v>
      </c>
      <c r="G261" s="112" t="e">
        <f>'GDP Growth Rates'!F254/100</f>
        <v>#VALUE!</v>
      </c>
      <c r="H261" s="112" t="e">
        <f>'GDP Growth Rates'!G254/100</f>
        <v>#VALUE!</v>
      </c>
      <c r="I261" s="112" t="e">
        <f>'GDP Growth Rates'!H254/100</f>
        <v>#VALUE!</v>
      </c>
      <c r="J261" s="112" t="e">
        <f>'GDP Growth Rates'!I254/100</f>
        <v>#VALUE!</v>
      </c>
      <c r="K261" s="112" t="e">
        <f>'GDP Growth Rates'!J254/100</f>
        <v>#VALUE!</v>
      </c>
      <c r="L261" s="112" t="e">
        <f>'GDP Growth Rates'!K254/100</f>
        <v>#VALUE!</v>
      </c>
      <c r="M261" s="112" t="e">
        <f>'GDP Growth Rates'!L254/100</f>
        <v>#VALUE!</v>
      </c>
      <c r="N261" s="112" t="e">
        <f>'GDP Growth Rates'!M254/100</f>
        <v>#VALUE!</v>
      </c>
      <c r="O261" s="112" t="e">
        <f>'GDP Growth Rates'!N254/100</f>
        <v>#VALUE!</v>
      </c>
      <c r="P261" s="112" t="e">
        <f>'GDP Growth Rates'!O254/100</f>
        <v>#VALUE!</v>
      </c>
      <c r="Q261" s="112" t="e">
        <f>'GDP Growth Rates'!P254/100</f>
        <v>#VALUE!</v>
      </c>
      <c r="R261" s="112" t="e">
        <f>'GDP Growth Rates'!Q254/100</f>
        <v>#VALUE!</v>
      </c>
      <c r="S261" s="112" t="e">
        <f>'GDP Growth Rates'!R254/100</f>
        <v>#VALUE!</v>
      </c>
      <c r="T261" s="112" t="e">
        <f>'GDP Growth Rates'!S254/100</f>
        <v>#VALUE!</v>
      </c>
      <c r="U261" s="112" t="e">
        <f>'GDP Growth Rates'!T254/100</f>
        <v>#VALUE!</v>
      </c>
      <c r="V261" s="112" t="e">
        <f>'GDP Growth Rates'!U254/100</f>
        <v>#VALUE!</v>
      </c>
      <c r="W261" s="112" t="e">
        <f>'GDP Growth Rates'!V254/100</f>
        <v>#VALUE!</v>
      </c>
      <c r="X261" s="112" t="e">
        <f>'GDP Growth Rates'!W254/100</f>
        <v>#VALUE!</v>
      </c>
      <c r="Y261" s="112" t="e">
        <f>'GDP Growth Rates'!X254/100</f>
        <v>#VALUE!</v>
      </c>
    </row>
    <row r="262" spans="2:25">
      <c r="B262" s="634" t="s">
        <v>387</v>
      </c>
      <c r="C262" s="635" t="s">
        <v>388</v>
      </c>
      <c r="D262" s="634" t="s">
        <v>886</v>
      </c>
      <c r="E262" s="635" t="s">
        <v>887</v>
      </c>
      <c r="F262" s="112">
        <f>'GDP Growth Rates'!E255/100</f>
        <v>2.837366502488152E-2</v>
      </c>
      <c r="G262" s="112">
        <f>'GDP Growth Rates'!F255/100</f>
        <v>3.048151106359967E-2</v>
      </c>
      <c r="H262" s="112">
        <f>'GDP Growth Rates'!G255/100</f>
        <v>2.5939448823168617E-2</v>
      </c>
      <c r="I262" s="112">
        <f>'GDP Growth Rates'!H255/100</f>
        <v>3.7934083545118824E-3</v>
      </c>
      <c r="J262" s="112">
        <f>'GDP Growth Rates'!I255/100</f>
        <v>-3.3865376679464848E-2</v>
      </c>
      <c r="K262" s="112">
        <f>'GDP Growth Rates'!J255/100</f>
        <v>2.954246514904952E-2</v>
      </c>
      <c r="L262" s="112">
        <f>'GDP Growth Rates'!K255/100</f>
        <v>1.8957960836184215E-2</v>
      </c>
      <c r="M262" s="112">
        <f>'GDP Growth Rates'!L255/100</f>
        <v>1.3701944786100454E-2</v>
      </c>
      <c r="N262" s="112">
        <f>'GDP Growth Rates'!M255/100</f>
        <v>1.6172749700962327E-2</v>
      </c>
      <c r="O262" s="112">
        <f>'GDP Growth Rates'!N255/100</f>
        <v>2.1829720212404025E-2</v>
      </c>
      <c r="P262" s="112">
        <f>'GDP Growth Rates'!O255/100</f>
        <v>2.5175463523664943E-2</v>
      </c>
      <c r="Q262" s="112">
        <f>'GDP Growth Rates'!P255/100</f>
        <v>1.8433244775090715E-2</v>
      </c>
      <c r="R262" s="112">
        <f>'GDP Growth Rates'!Q255/100</f>
        <v>2.5709910321650112E-2</v>
      </c>
      <c r="S262" s="112">
        <f>'GDP Growth Rates'!R255/100</f>
        <v>2.3379228505223608E-2</v>
      </c>
      <c r="T262" s="112">
        <f>'GDP Growth Rates'!S255/100</f>
        <v>1.8580124934186416E-2</v>
      </c>
      <c r="U262" s="112">
        <f>'GDP Growth Rates'!T255/100</f>
        <v>-3.9021769722256183E-2</v>
      </c>
      <c r="V262" s="112">
        <f>'GDP Growth Rates'!U255/100</f>
        <v>5.9570896739133447E-2</v>
      </c>
      <c r="W262" s="112">
        <f>'GDP Growth Rates'!V255/100</f>
        <v>3.0534747681363966E-2</v>
      </c>
      <c r="X262" s="112">
        <f>'GDP Growth Rates'!W255/100</f>
        <v>1.8233071590788796E-2</v>
      </c>
      <c r="Y262" s="112">
        <f>'GDP Growth Rates'!X255/100</f>
        <v>1.784524087837042E-2</v>
      </c>
    </row>
    <row r="263" spans="2:25">
      <c r="B263" s="634" t="s">
        <v>387</v>
      </c>
      <c r="C263" s="635" t="s">
        <v>388</v>
      </c>
      <c r="D263" s="634" t="s">
        <v>888</v>
      </c>
      <c r="E263" s="635" t="s">
        <v>889</v>
      </c>
      <c r="F263" s="112">
        <f>'GDP Growth Rates'!E256/100</f>
        <v>4.4440826158123344E-2</v>
      </c>
      <c r="G263" s="112">
        <f>'GDP Growth Rates'!F256/100</f>
        <v>6.319446952193658E-2</v>
      </c>
      <c r="H263" s="112">
        <f>'GDP Growth Rates'!G256/100</f>
        <v>5.400650748719954E-2</v>
      </c>
      <c r="I263" s="112">
        <f>'GDP Growth Rates'!H256/100</f>
        <v>9.5891938183001457E-3</v>
      </c>
      <c r="J263" s="112">
        <f>'GDP Growth Rates'!I256/100</f>
        <v>-5.0038859729995409E-2</v>
      </c>
      <c r="K263" s="112">
        <f>'GDP Growth Rates'!J256/100</f>
        <v>2.3989825150610784E-2</v>
      </c>
      <c r="L263" s="112">
        <f>'GDP Growth Rates'!K256/100</f>
        <v>3.382919222427546E-2</v>
      </c>
      <c r="M263" s="112">
        <f>'GDP Growth Rates'!L256/100</f>
        <v>1.2345132734722597E-2</v>
      </c>
      <c r="N263" s="112">
        <f>'GDP Growth Rates'!M256/100</f>
        <v>9.4450539153829987E-3</v>
      </c>
      <c r="O263" s="112">
        <f>'GDP Growth Rates'!N256/100</f>
        <v>2.0385203154606159E-2</v>
      </c>
      <c r="P263" s="112">
        <f>'GDP Growth Rates'!O256/100</f>
        <v>3.4927734693908689E-2</v>
      </c>
      <c r="Q263" s="112">
        <f>'GDP Growth Rates'!P256/100</f>
        <v>4.1551513607333702E-2</v>
      </c>
      <c r="R263" s="112">
        <f>'GDP Growth Rates'!Q256/100</f>
        <v>5.1651184157050806E-2</v>
      </c>
      <c r="S263" s="112">
        <f>'GDP Growth Rates'!R256/100</f>
        <v>4.4188474553681092E-2</v>
      </c>
      <c r="T263" s="112">
        <f>'GDP Growth Rates'!S256/100</f>
        <v>4.3378061036871002E-2</v>
      </c>
      <c r="U263" s="112">
        <f>'GDP Growth Rates'!T256/100</f>
        <v>-5.7971934781880209E-2</v>
      </c>
      <c r="V263" s="112">
        <f>'GDP Growth Rates'!U256/100</f>
        <v>7.7400561671257861E-2</v>
      </c>
      <c r="W263" s="112">
        <f>'GDP Growth Rates'!V256/100</f>
        <v>4.619974866077612E-2</v>
      </c>
      <c r="X263" s="112">
        <f>'GDP Growth Rates'!W256/100</f>
        <v>2.6844224309310931E-2</v>
      </c>
      <c r="Y263" s="112">
        <f>'GDP Growth Rates'!X256/100</f>
        <v>2.9351387274728039E-2</v>
      </c>
    </row>
    <row r="264" spans="2:25">
      <c r="B264" s="634" t="s">
        <v>387</v>
      </c>
      <c r="C264" s="635" t="s">
        <v>388</v>
      </c>
      <c r="D264" s="634" t="s">
        <v>890</v>
      </c>
      <c r="E264" s="635" t="s">
        <v>891</v>
      </c>
      <c r="F264" s="112">
        <f>'GDP Growth Rates'!E257/100</f>
        <v>2.4307804198569441E-2</v>
      </c>
      <c r="G264" s="112">
        <f>'GDP Growth Rates'!F257/100</f>
        <v>2.3411305736058808E-2</v>
      </c>
      <c r="H264" s="112">
        <f>'GDP Growth Rates'!G257/100</f>
        <v>1.3525763454853745E-3</v>
      </c>
      <c r="I264" s="112">
        <f>'GDP Growth Rates'!H257/100</f>
        <v>1.9612611273432775E-2</v>
      </c>
      <c r="J264" s="112">
        <f>'GDP Growth Rates'!I257/100</f>
        <v>-5.8061784311522046E-3</v>
      </c>
      <c r="K264" s="112">
        <f>'GDP Growth Rates'!J257/100</f>
        <v>3.7350757959582669E-2</v>
      </c>
      <c r="L264" s="112">
        <f>'GDP Growth Rates'!K257/100</f>
        <v>3.843868607336276E-2</v>
      </c>
      <c r="M264" s="112">
        <f>'GDP Growth Rates'!L257/100</f>
        <v>1.0122874688642298E-2</v>
      </c>
      <c r="N264" s="112">
        <f>'GDP Growth Rates'!M257/100</f>
        <v>3.2236170645712436E-2</v>
      </c>
      <c r="O264" s="112">
        <f>'GDP Growth Rates'!N257/100</f>
        <v>3.566989307107505E-2</v>
      </c>
      <c r="P264" s="112">
        <f>'GDP Growth Rates'!O257/100</f>
        <v>4.0088853115742326E-2</v>
      </c>
      <c r="Q264" s="112">
        <f>'GDP Growth Rates'!P257/100</f>
        <v>3.6484077269590645E-2</v>
      </c>
      <c r="R264" s="112">
        <f>'GDP Growth Rates'!Q257/100</f>
        <v>3.8716999829899804E-2</v>
      </c>
      <c r="S264" s="112">
        <f>'GDP Growth Rates'!R257/100</f>
        <v>2.7680948599259805E-2</v>
      </c>
      <c r="T264" s="112">
        <f>'GDP Growth Rates'!S257/100</f>
        <v>1.1536188414301023E-2</v>
      </c>
      <c r="U264" s="112">
        <f>'GDP Growth Rates'!T257/100</f>
        <v>-0.10150927937419056</v>
      </c>
      <c r="V264" s="112">
        <f>'GDP Growth Rates'!U257/100</f>
        <v>-2.6888692305154508E-2</v>
      </c>
      <c r="W264" s="112">
        <f>'GDP Growth Rates'!V257/100</f>
        <v>9.3749622783042524E-2</v>
      </c>
      <c r="X264" s="112">
        <f>'GDP Growth Rates'!W257/100</f>
        <v>5.0545381475617858E-2</v>
      </c>
      <c r="Y264" s="112">
        <f>'GDP Growth Rates'!X257/100</f>
        <v>4.0014509851623782E-2</v>
      </c>
    </row>
    <row r="265" spans="2:25">
      <c r="B265" s="634" t="s">
        <v>387</v>
      </c>
      <c r="C265" s="635" t="s">
        <v>388</v>
      </c>
      <c r="D265" s="634" t="s">
        <v>892</v>
      </c>
      <c r="E265" s="635" t="s">
        <v>893</v>
      </c>
      <c r="F265" s="112">
        <f>'GDP Growth Rates'!E258/100</f>
        <v>2.7859343852044704E-2</v>
      </c>
      <c r="G265" s="112">
        <f>'GDP Growth Rates'!F258/100</f>
        <v>2.9416924658247155E-2</v>
      </c>
      <c r="H265" s="112">
        <f>'GDP Growth Rates'!G258/100</f>
        <v>2.5408828486331032E-2</v>
      </c>
      <c r="I265" s="112">
        <f>'GDP Growth Rates'!H258/100</f>
        <v>3.4890129916995251E-3</v>
      </c>
      <c r="J265" s="112">
        <f>'GDP Growth Rates'!I258/100</f>
        <v>-3.3789057801306227E-2</v>
      </c>
      <c r="K265" s="112">
        <f>'GDP Growth Rates'!J258/100</f>
        <v>2.8919794368802484E-2</v>
      </c>
      <c r="L265" s="112">
        <f>'GDP Growth Rates'!K258/100</f>
        <v>1.6808744034886018E-2</v>
      </c>
      <c r="M265" s="112">
        <f>'GDP Growth Rates'!L258/100</f>
        <v>1.2344519742490121E-2</v>
      </c>
      <c r="N265" s="112">
        <f>'GDP Growth Rates'!M258/100</f>
        <v>1.5166883113424205E-2</v>
      </c>
      <c r="O265" s="112">
        <f>'GDP Growth Rates'!N258/100</f>
        <v>2.0143148578419527E-2</v>
      </c>
      <c r="P265" s="112">
        <f>'GDP Growth Rates'!O258/100</f>
        <v>2.2371485960769065E-2</v>
      </c>
      <c r="Q265" s="112">
        <f>'GDP Growth Rates'!P258/100</f>
        <v>1.7935783818821278E-2</v>
      </c>
      <c r="R265" s="112">
        <f>'GDP Growth Rates'!Q258/100</f>
        <v>2.4425470503145447E-2</v>
      </c>
      <c r="S265" s="112">
        <f>'GDP Growth Rates'!R258/100</f>
        <v>2.2454197947416644E-2</v>
      </c>
      <c r="T265" s="112">
        <f>'GDP Growth Rates'!S258/100</f>
        <v>1.8363911282889233E-2</v>
      </c>
      <c r="U265" s="112">
        <f>'GDP Growth Rates'!T258/100</f>
        <v>-4.0788532104336923E-2</v>
      </c>
      <c r="V265" s="112">
        <f>'GDP Growth Rates'!U258/100</f>
        <v>5.6792157969465649E-2</v>
      </c>
      <c r="W265" s="112">
        <f>'GDP Growth Rates'!V258/100</f>
        <v>2.735376628701431E-2</v>
      </c>
      <c r="X265" s="112">
        <f>'GDP Growth Rates'!W258/100</f>
        <v>1.8608615920538796E-2</v>
      </c>
      <c r="Y265" s="112">
        <f>'GDP Growth Rates'!X258/100</f>
        <v>1.7925252956904957E-2</v>
      </c>
    </row>
    <row r="266" spans="2:25">
      <c r="B266" s="634" t="s">
        <v>387</v>
      </c>
      <c r="C266" s="635" t="s">
        <v>388</v>
      </c>
      <c r="D266" s="634" t="s">
        <v>894</v>
      </c>
      <c r="E266" s="635" t="s">
        <v>895</v>
      </c>
      <c r="F266" s="112">
        <f>'GDP Growth Rates'!E259/100</f>
        <v>6.0209364557953081E-2</v>
      </c>
      <c r="G266" s="112">
        <f>'GDP Growth Rates'!F259/100</f>
        <v>6.2061259964501118E-2</v>
      </c>
      <c r="H266" s="112">
        <f>'GDP Growth Rates'!G259/100</f>
        <v>6.0464843946315766E-2</v>
      </c>
      <c r="I266" s="112">
        <f>'GDP Growth Rates'!H259/100</f>
        <v>6.3829825694479189E-2</v>
      </c>
      <c r="J266" s="112">
        <f>'GDP Growth Rates'!I259/100</f>
        <v>4.8429051835667994E-2</v>
      </c>
      <c r="K266" s="112">
        <f>'GDP Growth Rates'!J259/100</f>
        <v>6.6009858658183596E-2</v>
      </c>
      <c r="L266" s="112">
        <f>'GDP Growth Rates'!K259/100</f>
        <v>4.3552269989486518E-2</v>
      </c>
      <c r="M266" s="112">
        <f>'GDP Growth Rates'!L259/100</f>
        <v>4.259241674631653E-2</v>
      </c>
      <c r="N266" s="112">
        <f>'GDP Growth Rates'!M259/100</f>
        <v>5.8841103311302587E-2</v>
      </c>
      <c r="O266" s="112">
        <f>'GDP Growth Rates'!N259/100</f>
        <v>5.2561804537658359E-2</v>
      </c>
      <c r="P266" s="112">
        <f>'GDP Growth Rates'!O259/100</f>
        <v>3.0738448290937585E-2</v>
      </c>
      <c r="Q266" s="112">
        <f>'GDP Growth Rates'!P259/100</f>
        <v>2.4141470481779236E-2</v>
      </c>
      <c r="R266" s="112">
        <f>'GDP Growth Rates'!Q259/100</f>
        <v>1.6480496762529384E-2</v>
      </c>
      <c r="S266" s="112">
        <f>'GDP Growth Rates'!R259/100</f>
        <v>2.6207308401726265E-2</v>
      </c>
      <c r="T266" s="112">
        <f>'GDP Growth Rates'!S259/100</f>
        <v>3.3412314357478434E-2</v>
      </c>
      <c r="U266" s="112">
        <f>'GDP Growth Rates'!T259/100</f>
        <v>-2.5354085534431903E-2</v>
      </c>
      <c r="V266" s="112">
        <f>'GDP Growth Rates'!U259/100</f>
        <v>3.187320497474417E-2</v>
      </c>
      <c r="W266" s="112">
        <f>'GDP Growth Rates'!V259/100</f>
        <v>4.2985792780072814E-2</v>
      </c>
      <c r="X266" s="112">
        <f>'GDP Growth Rates'!W259/100</f>
        <v>2.2853688387695286E-2</v>
      </c>
      <c r="Y266" s="112">
        <f>'GDP Growth Rates'!X259/100</f>
        <v>3.0997328718541155E-2</v>
      </c>
    </row>
    <row r="267" spans="2:25">
      <c r="B267" s="634" t="s">
        <v>387</v>
      </c>
      <c r="C267" s="635" t="s">
        <v>388</v>
      </c>
      <c r="D267" s="634" t="s">
        <v>896</v>
      </c>
      <c r="E267" s="635" t="s">
        <v>897</v>
      </c>
      <c r="F267" s="112">
        <f>'GDP Growth Rates'!E260/100</f>
        <v>4.3341970432579729E-2</v>
      </c>
      <c r="G267" s="112">
        <f>'GDP Growth Rates'!F260/100</f>
        <v>6.6359872712823453E-2</v>
      </c>
      <c r="H267" s="112">
        <f>'GDP Growth Rates'!G260/100</f>
        <v>4.6571151395677648E-2</v>
      </c>
      <c r="I267" s="112">
        <f>'GDP Growth Rates'!H260/100</f>
        <v>1.2490596332721964E-2</v>
      </c>
      <c r="J267" s="112">
        <f>'GDP Growth Rates'!I260/100</f>
        <v>-4.2742739910707143E-2</v>
      </c>
      <c r="K267" s="112">
        <f>'GDP Growth Rates'!J260/100</f>
        <v>2.2911476216550996E-2</v>
      </c>
      <c r="L267" s="112">
        <f>'GDP Growth Rates'!K260/100</f>
        <v>2.5652252851927387E-2</v>
      </c>
      <c r="M267" s="112">
        <f>'GDP Growth Rates'!L260/100</f>
        <v>2.2580883352823662E-2</v>
      </c>
      <c r="N267" s="112">
        <f>'GDP Growth Rates'!M260/100</f>
        <v>1.2236282695467367E-2</v>
      </c>
      <c r="O267" s="112">
        <f>'GDP Growth Rates'!N260/100</f>
        <v>2.2814227016757515E-2</v>
      </c>
      <c r="P267" s="112">
        <f>'GDP Growth Rates'!O260/100</f>
        <v>2.3177002577837127E-2</v>
      </c>
      <c r="Q267" s="112">
        <f>'GDP Growth Rates'!P260/100</f>
        <v>1.8120230736320197E-2</v>
      </c>
      <c r="R267" s="112">
        <f>'GDP Growth Rates'!Q260/100</f>
        <v>3.2715016789571082E-2</v>
      </c>
      <c r="S267" s="112">
        <f>'GDP Growth Rates'!R260/100</f>
        <v>3.3967263499289829E-2</v>
      </c>
      <c r="T267" s="112">
        <f>'GDP Growth Rates'!S260/100</f>
        <v>3.1952487589792467E-2</v>
      </c>
      <c r="U267" s="112">
        <f>'GDP Growth Rates'!T260/100</f>
        <v>-6.9410724942753313E-2</v>
      </c>
      <c r="V267" s="112">
        <f>'GDP Growth Rates'!U260/100</f>
        <v>6.9162272557130963E-2</v>
      </c>
      <c r="W267" s="112">
        <f>'GDP Growth Rates'!V260/100</f>
        <v>7.6791980607304286E-2</v>
      </c>
      <c r="X267" s="112">
        <f>'GDP Growth Rates'!W260/100</f>
        <v>4.6581616904428816E-2</v>
      </c>
      <c r="Y267" s="112">
        <f>'GDP Growth Rates'!X260/100</f>
        <v>6.192074352772934E-2</v>
      </c>
    </row>
    <row r="268" spans="2:25">
      <c r="B268" s="634" t="s">
        <v>387</v>
      </c>
      <c r="C268" s="635" t="s">
        <v>388</v>
      </c>
      <c r="D268" s="634" t="s">
        <v>898</v>
      </c>
      <c r="E268" s="635" t="s">
        <v>899</v>
      </c>
      <c r="F268" s="112">
        <f>'GDP Growth Rates'!E261/100</f>
        <v>7.6444922176081467E-2</v>
      </c>
      <c r="G268" s="112">
        <f>'GDP Growth Rates'!F261/100</f>
        <v>7.8951842299528174E-2</v>
      </c>
      <c r="H268" s="112">
        <f>'GDP Growth Rates'!G261/100</f>
        <v>7.534281730301487E-2</v>
      </c>
      <c r="I268" s="112">
        <f>'GDP Growth Rates'!H261/100</f>
        <v>3.4806357746218312E-2</v>
      </c>
      <c r="J268" s="112">
        <f>'GDP Growth Rates'!I261/100</f>
        <v>7.389811840677879E-2</v>
      </c>
      <c r="K268" s="112">
        <f>'GDP Growth Rates'!J261/100</f>
        <v>8.1944035177280619E-2</v>
      </c>
      <c r="L268" s="112">
        <f>'GDP Growth Rates'!K261/100</f>
        <v>5.4510940319072464E-2</v>
      </c>
      <c r="M268" s="112">
        <f>'GDP Growth Rates'!L261/100</f>
        <v>5.6451591564403006E-2</v>
      </c>
      <c r="N268" s="112">
        <f>'GDP Growth Rates'!M261/100</f>
        <v>6.2332651303769214E-2</v>
      </c>
      <c r="O268" s="112">
        <f>'GDP Growth Rates'!N261/100</f>
        <v>7.2454798666604606E-2</v>
      </c>
      <c r="P268" s="112">
        <f>'GDP Growth Rates'!O261/100</f>
        <v>7.6897393517118218E-2</v>
      </c>
      <c r="Q268" s="112">
        <f>'GDP Growth Rates'!P261/100</f>
        <v>7.969123336216398E-2</v>
      </c>
      <c r="R268" s="112">
        <f>'GDP Growth Rates'!Q261/100</f>
        <v>6.784119660177225E-2</v>
      </c>
      <c r="S268" s="112">
        <f>'GDP Growth Rates'!R261/100</f>
        <v>6.3936663253614509E-2</v>
      </c>
      <c r="T268" s="112">
        <f>'GDP Growth Rates'!S261/100</f>
        <v>4.0945430649412203E-2</v>
      </c>
      <c r="U268" s="112">
        <f>'GDP Growth Rates'!T261/100</f>
        <v>-4.987501736419233E-2</v>
      </c>
      <c r="V268" s="112">
        <f>'GDP Growth Rates'!U261/100</f>
        <v>9.2465995971539316E-2</v>
      </c>
      <c r="W268" s="112">
        <f>'GDP Growth Rates'!V261/100</f>
        <v>7.1011539263234058E-2</v>
      </c>
      <c r="X268" s="112">
        <f>'GDP Growth Rates'!W261/100</f>
        <v>8.5051178536900099E-2</v>
      </c>
      <c r="Y268" s="112">
        <f>'GDP Growth Rates'!X261/100</f>
        <v>6.2248422535275981E-2</v>
      </c>
    </row>
    <row r="269" spans="2:25">
      <c r="B269" s="634" t="s">
        <v>387</v>
      </c>
      <c r="C269" s="635" t="s">
        <v>388</v>
      </c>
      <c r="D269" s="634" t="s">
        <v>900</v>
      </c>
      <c r="E269" s="635" t="s">
        <v>901</v>
      </c>
      <c r="F269" s="112">
        <f>'GDP Growth Rates'!E262/100</f>
        <v>7.6444922176081467E-2</v>
      </c>
      <c r="G269" s="112">
        <f>'GDP Growth Rates'!F262/100</f>
        <v>7.8951842299528174E-2</v>
      </c>
      <c r="H269" s="112">
        <f>'GDP Growth Rates'!G262/100</f>
        <v>7.534281730301487E-2</v>
      </c>
      <c r="I269" s="112">
        <f>'GDP Growth Rates'!H262/100</f>
        <v>3.4806357746218312E-2</v>
      </c>
      <c r="J269" s="112">
        <f>'GDP Growth Rates'!I262/100</f>
        <v>7.389811840677879E-2</v>
      </c>
      <c r="K269" s="112">
        <f>'GDP Growth Rates'!J262/100</f>
        <v>8.1944035177280619E-2</v>
      </c>
      <c r="L269" s="112">
        <f>'GDP Growth Rates'!K262/100</f>
        <v>5.4510940319072464E-2</v>
      </c>
      <c r="M269" s="112">
        <f>'GDP Growth Rates'!L262/100</f>
        <v>5.6451591564403006E-2</v>
      </c>
      <c r="N269" s="112">
        <f>'GDP Growth Rates'!M262/100</f>
        <v>6.2332651303769214E-2</v>
      </c>
      <c r="O269" s="112">
        <f>'GDP Growth Rates'!N262/100</f>
        <v>7.2454798666604606E-2</v>
      </c>
      <c r="P269" s="112">
        <f>'GDP Growth Rates'!O262/100</f>
        <v>7.6897393517118218E-2</v>
      </c>
      <c r="Q269" s="112">
        <f>'GDP Growth Rates'!P262/100</f>
        <v>7.969123336216398E-2</v>
      </c>
      <c r="R269" s="112">
        <f>'GDP Growth Rates'!Q262/100</f>
        <v>6.784119660177225E-2</v>
      </c>
      <c r="S269" s="112">
        <f>'GDP Growth Rates'!R262/100</f>
        <v>6.3936663253614509E-2</v>
      </c>
      <c r="T269" s="112">
        <f>'GDP Growth Rates'!S262/100</f>
        <v>4.0945430649412203E-2</v>
      </c>
      <c r="U269" s="112">
        <f>'GDP Growth Rates'!T262/100</f>
        <v>-4.987501736419233E-2</v>
      </c>
      <c r="V269" s="112">
        <f>'GDP Growth Rates'!U262/100</f>
        <v>9.2465995971539316E-2</v>
      </c>
      <c r="W269" s="112">
        <f>'GDP Growth Rates'!V262/100</f>
        <v>7.1011539263234058E-2</v>
      </c>
      <c r="X269" s="112">
        <f>'GDP Growth Rates'!W262/100</f>
        <v>8.5051178536900099E-2</v>
      </c>
      <c r="Y269" s="112">
        <f>'GDP Growth Rates'!X262/100</f>
        <v>6.2248422535275981E-2</v>
      </c>
    </row>
    <row r="270" spans="2:25">
      <c r="B270" s="634" t="s">
        <v>387</v>
      </c>
      <c r="C270" s="635" t="s">
        <v>388</v>
      </c>
      <c r="D270" s="634" t="s">
        <v>902</v>
      </c>
      <c r="E270" s="635" t="s">
        <v>903</v>
      </c>
      <c r="F270" s="112">
        <f>'GDP Growth Rates'!E263/100</f>
        <v>6.0528175446219024E-2</v>
      </c>
      <c r="G270" s="112">
        <f>'GDP Growth Rates'!F263/100</f>
        <v>6.0427608488230075E-2</v>
      </c>
      <c r="H270" s="112">
        <f>'GDP Growth Rates'!G263/100</f>
        <v>6.1494713849658211E-2</v>
      </c>
      <c r="I270" s="112">
        <f>'GDP Growth Rates'!H263/100</f>
        <v>5.1912112155864776E-2</v>
      </c>
      <c r="J270" s="112">
        <f>'GDP Growth Rates'!I263/100</f>
        <v>3.1396025496025715E-2</v>
      </c>
      <c r="K270" s="112">
        <f>'GDP Growth Rates'!J263/100</f>
        <v>6.0138629085902978E-2</v>
      </c>
      <c r="L270" s="112">
        <f>'GDP Growth Rates'!K263/100</f>
        <v>4.4549147000052754E-2</v>
      </c>
      <c r="M270" s="112">
        <f>'GDP Growth Rates'!L263/100</f>
        <v>3.2794548242538753E-2</v>
      </c>
      <c r="N270" s="112">
        <f>'GDP Growth Rates'!M263/100</f>
        <v>5.0980338522254982E-2</v>
      </c>
      <c r="O270" s="112">
        <f>'GDP Growth Rates'!N263/100</f>
        <v>4.7959533354004408E-2</v>
      </c>
      <c r="P270" s="112">
        <f>'GDP Growth Rates'!O263/100</f>
        <v>2.9683782217409627E-2</v>
      </c>
      <c r="Q270" s="112">
        <f>'GDP Growth Rates'!P263/100</f>
        <v>1.2669054159063648E-2</v>
      </c>
      <c r="R270" s="112">
        <f>'GDP Growth Rates'!Q263/100</f>
        <v>2.5125233460454411E-2</v>
      </c>
      <c r="S270" s="112">
        <f>'GDP Growth Rates'!R263/100</f>
        <v>2.7748389749933294E-2</v>
      </c>
      <c r="T270" s="112">
        <f>'GDP Growth Rates'!S263/100</f>
        <v>2.6966970225990962E-2</v>
      </c>
      <c r="U270" s="112">
        <f>'GDP Growth Rates'!T263/100</f>
        <v>-1.9942935793726663E-2</v>
      </c>
      <c r="V270" s="112">
        <f>'GDP Growth Rates'!U263/100</f>
        <v>4.3148257491239829E-2</v>
      </c>
      <c r="W270" s="112">
        <f>'GDP Growth Rates'!V263/100</f>
        <v>3.7506583179793579E-2</v>
      </c>
      <c r="X270" s="112">
        <f>'GDP Growth Rates'!W263/100</f>
        <v>2.5746615378400294E-2</v>
      </c>
      <c r="Y270" s="112">
        <f>'GDP Growth Rates'!X263/100</f>
        <v>3.4284375945617993E-2</v>
      </c>
    </row>
    <row r="271" spans="2:25">
      <c r="B271" s="634" t="s">
        <v>387</v>
      </c>
      <c r="C271" s="635" t="s">
        <v>388</v>
      </c>
      <c r="D271" s="634" t="s">
        <v>904</v>
      </c>
      <c r="E271" s="635" t="s">
        <v>905</v>
      </c>
      <c r="F271" s="112">
        <f>'GDP Growth Rates'!E264/100</f>
        <v>5.9228201914535532E-2</v>
      </c>
      <c r="G271" s="112">
        <f>'GDP Growth Rates'!F264/100</f>
        <v>5.92793002246556E-2</v>
      </c>
      <c r="H271" s="112">
        <f>'GDP Growth Rates'!G264/100</f>
        <v>6.0174108487919112E-2</v>
      </c>
      <c r="I271" s="112">
        <f>'GDP Growth Rates'!H264/100</f>
        <v>5.0553804294568606E-2</v>
      </c>
      <c r="J271" s="112">
        <f>'GDP Growth Rates'!I264/100</f>
        <v>2.9939617668923547E-2</v>
      </c>
      <c r="K271" s="112">
        <f>'GDP Growth Rates'!J264/100</f>
        <v>5.8314473906489327E-2</v>
      </c>
      <c r="L271" s="112">
        <f>'GDP Growth Rates'!K264/100</f>
        <v>4.2497837411569893E-2</v>
      </c>
      <c r="M271" s="112">
        <f>'GDP Growth Rates'!L264/100</f>
        <v>3.1085068997324612E-2</v>
      </c>
      <c r="N271" s="112">
        <f>'GDP Growth Rates'!M264/100</f>
        <v>4.9172131513574725E-2</v>
      </c>
      <c r="O271" s="112">
        <f>'GDP Growth Rates'!N264/100</f>
        <v>4.6032504711101013E-2</v>
      </c>
      <c r="P271" s="112">
        <f>'GDP Growth Rates'!O264/100</f>
        <v>2.6863994199402157E-2</v>
      </c>
      <c r="Q271" s="112">
        <f>'GDP Growth Rates'!P264/100</f>
        <v>9.2969302609522235E-3</v>
      </c>
      <c r="R271" s="112">
        <f>'GDP Growth Rates'!Q264/100</f>
        <v>2.2014621846991246E-2</v>
      </c>
      <c r="S271" s="112">
        <f>'GDP Growth Rates'!R264/100</f>
        <v>2.5841852154202059E-2</v>
      </c>
      <c r="T271" s="112">
        <f>'GDP Growth Rates'!S264/100</f>
        <v>2.4185891633519391E-2</v>
      </c>
      <c r="U271" s="112">
        <f>'GDP Growth Rates'!T264/100</f>
        <v>-2.397348216806975E-2</v>
      </c>
      <c r="V271" s="112">
        <f>'GDP Growth Rates'!U264/100</f>
        <v>4.2444845352626007E-2</v>
      </c>
      <c r="W271" s="112">
        <f>'GDP Growth Rates'!V264/100</f>
        <v>3.6532762761410001E-2</v>
      </c>
      <c r="X271" s="112">
        <f>'GDP Growth Rates'!W264/100</f>
        <v>2.3439709011479692E-2</v>
      </c>
      <c r="Y271" s="112">
        <f>'GDP Growth Rates'!X264/100</f>
        <v>3.1956499281887714E-2</v>
      </c>
    </row>
    <row r="272" spans="2:25">
      <c r="B272" s="634" t="s">
        <v>387</v>
      </c>
      <c r="C272" s="635" t="s">
        <v>388</v>
      </c>
      <c r="D272" s="634" t="s">
        <v>906</v>
      </c>
      <c r="E272" s="635" t="s">
        <v>907</v>
      </c>
      <c r="F272" s="112">
        <f>'GDP Growth Rates'!E265/100</f>
        <v>6.0528175446219308E-2</v>
      </c>
      <c r="G272" s="112">
        <f>'GDP Growth Rates'!F265/100</f>
        <v>6.0427608488230075E-2</v>
      </c>
      <c r="H272" s="112">
        <f>'GDP Growth Rates'!G265/100</f>
        <v>6.1494713849657927E-2</v>
      </c>
      <c r="I272" s="112">
        <f>'GDP Growth Rates'!H265/100</f>
        <v>5.1912112155865484E-2</v>
      </c>
      <c r="J272" s="112">
        <f>'GDP Growth Rates'!I265/100</f>
        <v>3.1396025496025291E-2</v>
      </c>
      <c r="K272" s="112">
        <f>'GDP Growth Rates'!J265/100</f>
        <v>6.0138629085903117E-2</v>
      </c>
      <c r="L272" s="112">
        <f>'GDP Growth Rates'!K265/100</f>
        <v>4.4549147000052469E-2</v>
      </c>
      <c r="M272" s="112">
        <f>'GDP Growth Rates'!L265/100</f>
        <v>3.2794548242538753E-2</v>
      </c>
      <c r="N272" s="112">
        <f>'GDP Growth Rates'!M265/100</f>
        <v>5.0980338522254982E-2</v>
      </c>
      <c r="O272" s="112">
        <f>'GDP Growth Rates'!N265/100</f>
        <v>4.7959533354004408E-2</v>
      </c>
      <c r="P272" s="112">
        <f>'GDP Growth Rates'!O265/100</f>
        <v>2.9683782217409485E-2</v>
      </c>
      <c r="Q272" s="112">
        <f>'GDP Growth Rates'!P265/100</f>
        <v>1.2669054159063506E-2</v>
      </c>
      <c r="R272" s="112">
        <f>'GDP Growth Rates'!Q265/100</f>
        <v>2.5125233460454411E-2</v>
      </c>
      <c r="S272" s="112">
        <f>'GDP Growth Rates'!R265/100</f>
        <v>2.7748389749933294E-2</v>
      </c>
      <c r="T272" s="112">
        <f>'GDP Growth Rates'!S265/100</f>
        <v>2.6966970225990962E-2</v>
      </c>
      <c r="U272" s="112">
        <f>'GDP Growth Rates'!T265/100</f>
        <v>-1.9942935793726663E-2</v>
      </c>
      <c r="V272" s="112">
        <f>'GDP Growth Rates'!U265/100</f>
        <v>4.3148257491240113E-2</v>
      </c>
      <c r="W272" s="112">
        <f>'GDP Growth Rates'!V265/100</f>
        <v>3.750658317979344E-2</v>
      </c>
      <c r="X272" s="112">
        <f>'GDP Growth Rates'!W265/100</f>
        <v>2.574661537840001E-2</v>
      </c>
      <c r="Y272" s="112">
        <f>'GDP Growth Rates'!X265/100</f>
        <v>3.4284375945618138E-2</v>
      </c>
    </row>
    <row r="273" spans="1:25">
      <c r="B273" s="634" t="s">
        <v>387</v>
      </c>
      <c r="C273" s="635" t="s">
        <v>388</v>
      </c>
      <c r="D273" s="634" t="s">
        <v>908</v>
      </c>
      <c r="E273" s="635" t="s">
        <v>909</v>
      </c>
      <c r="F273" s="112">
        <f>'GDP Growth Rates'!E266/100</f>
        <v>7.5755640881859987E-2</v>
      </c>
      <c r="G273" s="112">
        <f>'GDP Growth Rates'!F266/100</f>
        <v>8.6190352245421875E-2</v>
      </c>
      <c r="H273" s="112">
        <f>'GDP Growth Rates'!G266/100</f>
        <v>9.4307675110241143E-2</v>
      </c>
      <c r="I273" s="112">
        <f>'GDP Growth Rates'!H266/100</f>
        <v>6.310881067785587E-2</v>
      </c>
      <c r="J273" s="112">
        <f>'GDP Growth Rates'!I266/100</f>
        <v>3.5419105734192866E-2</v>
      </c>
      <c r="K273" s="112">
        <f>'GDP Growth Rates'!J266/100</f>
        <v>8.536700869546493E-2</v>
      </c>
      <c r="L273" s="112">
        <f>'GDP Growth Rates'!K266/100</f>
        <v>6.9199151015659488E-2</v>
      </c>
      <c r="M273" s="112">
        <f>'GDP Growth Rates'!L266/100</f>
        <v>5.7797516040648984E-2</v>
      </c>
      <c r="N273" s="112">
        <f>'GDP Growth Rates'!M266/100</f>
        <v>5.6667931135114175E-2</v>
      </c>
      <c r="O273" s="112">
        <f>'GDP Growth Rates'!N266/100</f>
        <v>5.0011602117072729E-2</v>
      </c>
      <c r="P273" s="112">
        <f>'GDP Growth Rates'!O266/100</f>
        <v>4.521732277366567E-2</v>
      </c>
      <c r="Q273" s="112">
        <f>'GDP Growth Rates'!P266/100</f>
        <v>4.5649862452357581E-2</v>
      </c>
      <c r="R273" s="112">
        <f>'GDP Growth Rates'!Q266/100</f>
        <v>5.3433574171650233E-2</v>
      </c>
      <c r="S273" s="112">
        <f>'GDP Growth Rates'!R266/100</f>
        <v>4.9357864972256207E-2</v>
      </c>
      <c r="T273" s="112">
        <f>'GDP Growth Rates'!S266/100</f>
        <v>4.1642897274339251E-2</v>
      </c>
      <c r="U273" s="112">
        <f>'GDP Growth Rates'!T266/100</f>
        <v>-3.9838293366604204E-3</v>
      </c>
      <c r="V273" s="112">
        <f>'GDP Growth Rates'!U266/100</f>
        <v>7.6983651962928973E-2</v>
      </c>
      <c r="W273" s="112">
        <f>'GDP Growth Rates'!V266/100</f>
        <v>3.4250561592493935E-2</v>
      </c>
      <c r="X273" s="112">
        <f>'GDP Growth Rates'!W266/100</f>
        <v>4.5849820806655117E-2</v>
      </c>
      <c r="Y273" s="112">
        <f>'GDP Growth Rates'!X266/100</f>
        <v>4.1542622629821009E-2</v>
      </c>
    </row>
    <row r="274" spans="1:25">
      <c r="B274" s="634" t="s">
        <v>387</v>
      </c>
      <c r="C274" s="635" t="s">
        <v>388</v>
      </c>
      <c r="D274" s="634" t="s">
        <v>910</v>
      </c>
      <c r="E274" s="635" t="s">
        <v>911</v>
      </c>
      <c r="F274" s="112">
        <f>'GDP Growth Rates'!E267/100</f>
        <v>4.038615260850207E-2</v>
      </c>
      <c r="G274" s="112">
        <f>'GDP Growth Rates'!F267/100</f>
        <v>4.4712211670961753E-2</v>
      </c>
      <c r="H274" s="112">
        <f>'GDP Growth Rates'!G267/100</f>
        <v>4.3855832215937481E-2</v>
      </c>
      <c r="I274" s="112">
        <f>'GDP Growth Rates'!H267/100</f>
        <v>2.0739527261911802E-2</v>
      </c>
      <c r="J274" s="112">
        <f>'GDP Growth Rates'!I267/100</f>
        <v>-1.3195982243467767E-2</v>
      </c>
      <c r="K274" s="112">
        <f>'GDP Growth Rates'!J267/100</f>
        <v>4.5271470715416769E-2</v>
      </c>
      <c r="L274" s="112">
        <f>'GDP Growth Rates'!K267/100</f>
        <v>3.3473109825424813E-2</v>
      </c>
      <c r="M274" s="112">
        <f>'GDP Growth Rates'!L267/100</f>
        <v>2.7072811480056913E-2</v>
      </c>
      <c r="N274" s="112">
        <f>'GDP Growth Rates'!M267/100</f>
        <v>2.8890220126384918E-2</v>
      </c>
      <c r="O274" s="112">
        <f>'GDP Growth Rates'!N267/100</f>
        <v>3.1486237482111219E-2</v>
      </c>
      <c r="P274" s="112">
        <f>'GDP Growth Rates'!O267/100</f>
        <v>3.1345153253414824E-2</v>
      </c>
      <c r="Q274" s="112">
        <f>'GDP Growth Rates'!P267/100</f>
        <v>2.8143608967909017E-2</v>
      </c>
      <c r="R274" s="112">
        <f>'GDP Growth Rates'!Q267/100</f>
        <v>3.4563416013483138E-2</v>
      </c>
      <c r="S274" s="112">
        <f>'GDP Growth Rates'!R267/100</f>
        <v>3.296091280879352E-2</v>
      </c>
      <c r="T274" s="112">
        <f>'GDP Growth Rates'!S267/100</f>
        <v>2.7100401603168223E-2</v>
      </c>
      <c r="U274" s="112">
        <f>'GDP Growth Rates'!T267/100</f>
        <v>-2.8490823467067373E-2</v>
      </c>
      <c r="V274" s="112">
        <f>'GDP Growth Rates'!U267/100</f>
        <v>6.4195412773983232E-2</v>
      </c>
      <c r="W274" s="112">
        <f>'GDP Growth Rates'!V267/100</f>
        <v>3.3599113827870897E-2</v>
      </c>
      <c r="X274" s="112">
        <f>'GDP Growth Rates'!W267/100</f>
        <v>2.9433327307046113E-2</v>
      </c>
      <c r="Y274" s="112">
        <f>'GDP Growth Rates'!X267/100</f>
        <v>2.8632630262785314E-2</v>
      </c>
    </row>
    <row r="276" spans="1:25">
      <c r="A276" s="149" t="s">
        <v>57</v>
      </c>
      <c r="B276" s="397"/>
      <c r="C276" s="397">
        <v>2005</v>
      </c>
      <c r="D276" s="397">
        <f>C276+1</f>
        <v>2006</v>
      </c>
      <c r="E276" s="397">
        <f t="shared" ref="E276:V276" si="0">D276+1</f>
        <v>2007</v>
      </c>
      <c r="F276" s="397">
        <f t="shared" si="0"/>
        <v>2008</v>
      </c>
      <c r="G276" s="397">
        <f t="shared" si="0"/>
        <v>2009</v>
      </c>
      <c r="H276" s="397">
        <f t="shared" si="0"/>
        <v>2010</v>
      </c>
      <c r="I276" s="397">
        <f t="shared" si="0"/>
        <v>2011</v>
      </c>
      <c r="J276" s="397">
        <f t="shared" si="0"/>
        <v>2012</v>
      </c>
      <c r="K276" s="397">
        <f t="shared" si="0"/>
        <v>2013</v>
      </c>
      <c r="L276" s="397">
        <f t="shared" si="0"/>
        <v>2014</v>
      </c>
      <c r="M276" s="397">
        <f t="shared" si="0"/>
        <v>2015</v>
      </c>
      <c r="N276" s="397">
        <f t="shared" si="0"/>
        <v>2016</v>
      </c>
      <c r="O276" s="397">
        <f t="shared" si="0"/>
        <v>2017</v>
      </c>
      <c r="P276" s="397">
        <f t="shared" si="0"/>
        <v>2018</v>
      </c>
      <c r="Q276" s="397">
        <f t="shared" si="0"/>
        <v>2019</v>
      </c>
      <c r="R276" s="397">
        <f t="shared" si="0"/>
        <v>2020</v>
      </c>
      <c r="S276" s="397">
        <f t="shared" si="0"/>
        <v>2021</v>
      </c>
      <c r="T276" s="397">
        <f t="shared" si="0"/>
        <v>2022</v>
      </c>
      <c r="U276" s="397">
        <f t="shared" si="0"/>
        <v>2023</v>
      </c>
      <c r="V276" s="397">
        <f t="shared" si="0"/>
        <v>2024</v>
      </c>
    </row>
    <row r="277" spans="1:25">
      <c r="B277" s="38" t="s">
        <v>231</v>
      </c>
      <c r="C277" s="99">
        <f>_xlfn.XLOOKUP($B277,$D$9:$D$274,F$9:F$274)</f>
        <v>7.3663223925075835E-2</v>
      </c>
      <c r="D277" s="99">
        <f t="shared" ref="D277:V281" si="1">_xlfn.XLOOKUP($B277,$D$9:$D$274,G$9:G$274)</f>
        <v>9.0067660787175749E-2</v>
      </c>
      <c r="E277" s="99">
        <f t="shared" si="1"/>
        <v>9.0215195126889261E-2</v>
      </c>
      <c r="F277" s="99">
        <f t="shared" si="1"/>
        <v>1.8634834546203505E-2</v>
      </c>
      <c r="G277" s="99">
        <f t="shared" si="1"/>
        <v>1.279533827780881E-3</v>
      </c>
      <c r="H277" s="99">
        <f t="shared" si="1"/>
        <v>0.14519749710899404</v>
      </c>
      <c r="I277" s="99">
        <f t="shared" si="1"/>
        <v>6.2149341685898918E-2</v>
      </c>
      <c r="J277" s="99">
        <f t="shared" si="1"/>
        <v>4.4354975937853709E-2</v>
      </c>
      <c r="K277" s="99">
        <f t="shared" si="1"/>
        <v>4.8176309912067554E-2</v>
      </c>
      <c r="L277" s="99">
        <f t="shared" si="1"/>
        <v>3.9355402770900695E-2</v>
      </c>
      <c r="M277" s="99">
        <f t="shared" si="1"/>
        <v>2.9767993163480638E-2</v>
      </c>
      <c r="N277" s="99">
        <f t="shared" si="1"/>
        <v>3.7475784879279245E-2</v>
      </c>
      <c r="O277" s="99">
        <f t="shared" si="1"/>
        <v>4.4768991584587636E-2</v>
      </c>
      <c r="P277" s="99">
        <f t="shared" si="1"/>
        <v>3.4519759658686977E-2</v>
      </c>
      <c r="Q277" s="99">
        <f t="shared" si="1"/>
        <v>1.3080411815312658E-2</v>
      </c>
      <c r="R277" s="99">
        <f t="shared" si="1"/>
        <v>-3.8147088551071275E-2</v>
      </c>
      <c r="S277" s="99">
        <f t="shared" si="1"/>
        <v>9.7568044629903025E-2</v>
      </c>
      <c r="T277" s="99">
        <f t="shared" si="1"/>
        <v>4.1080002189715116E-2</v>
      </c>
      <c r="U277" s="99">
        <f t="shared" si="1"/>
        <v>1.8214069411538532E-2</v>
      </c>
      <c r="V277" s="99">
        <f t="shared" si="1"/>
        <v>4.3880236246186539E-2</v>
      </c>
    </row>
    <row r="278" spans="1:25">
      <c r="B278" s="38" t="s">
        <v>257</v>
      </c>
      <c r="C278" s="99">
        <f t="shared" ref="C278:C285" si="2">_xlfn.XLOOKUP($B278,$D$9:$D$274,F$9:F$274)</f>
        <v>5.3321391614148582E-2</v>
      </c>
      <c r="D278" s="99">
        <f t="shared" si="1"/>
        <v>5.5848470671515001E-2</v>
      </c>
      <c r="E278" s="99">
        <f t="shared" si="1"/>
        <v>6.2987859274094685E-2</v>
      </c>
      <c r="F278" s="99">
        <f t="shared" si="1"/>
        <v>4.8317698891309678E-2</v>
      </c>
      <c r="G278" s="99">
        <f t="shared" si="1"/>
        <v>-1.5135287159871353E-2</v>
      </c>
      <c r="H278" s="99">
        <f t="shared" si="1"/>
        <v>7.4248473832609671E-2</v>
      </c>
      <c r="I278" s="99">
        <f t="shared" si="1"/>
        <v>5.2939128341400306E-2</v>
      </c>
      <c r="J278" s="99">
        <f t="shared" si="1"/>
        <v>5.4734541925385259E-2</v>
      </c>
      <c r="K278" s="99">
        <f t="shared" si="1"/>
        <v>4.693722525578934E-2</v>
      </c>
      <c r="L278" s="99">
        <f t="shared" si="1"/>
        <v>6.0067219455820296E-2</v>
      </c>
      <c r="M278" s="99">
        <f t="shared" si="1"/>
        <v>5.0915324215501129E-2</v>
      </c>
      <c r="N278" s="99">
        <f t="shared" si="1"/>
        <v>4.4497813976154106E-2</v>
      </c>
      <c r="O278" s="99">
        <f t="shared" si="1"/>
        <v>5.8127224098332847E-2</v>
      </c>
      <c r="P278" s="99">
        <f t="shared" si="1"/>
        <v>4.8430869763488149E-2</v>
      </c>
      <c r="Q278" s="99">
        <f t="shared" si="1"/>
        <v>4.413187421295859E-2</v>
      </c>
      <c r="R278" s="99">
        <f t="shared" si="1"/>
        <v>-5.4568465842670125E-2</v>
      </c>
      <c r="S278" s="99">
        <f t="shared" si="1"/>
        <v>3.315349543991658E-2</v>
      </c>
      <c r="T278" s="99">
        <f t="shared" si="1"/>
        <v>8.8618218757804637E-2</v>
      </c>
      <c r="U278" s="99">
        <f t="shared" si="1"/>
        <v>3.5554871541050942E-2</v>
      </c>
      <c r="V278" s="99">
        <f t="shared" si="1"/>
        <v>5.1141554782909111E-2</v>
      </c>
    </row>
    <row r="279" spans="1:25">
      <c r="B279" s="38" t="s">
        <v>233</v>
      </c>
      <c r="C279" s="99">
        <f t="shared" si="2"/>
        <v>5.6925713038338446E-2</v>
      </c>
      <c r="D279" s="99">
        <f t="shared" si="1"/>
        <v>5.5009517852034832E-2</v>
      </c>
      <c r="E279" s="99">
        <f t="shared" si="1"/>
        <v>6.3450222266721423E-2</v>
      </c>
      <c r="F279" s="99">
        <f t="shared" si="1"/>
        <v>6.0137036000912331E-2</v>
      </c>
      <c r="G279" s="99">
        <f t="shared" si="1"/>
        <v>4.6288711825615253E-2</v>
      </c>
      <c r="H279" s="99">
        <f t="shared" si="1"/>
        <v>6.2238541806236614E-2</v>
      </c>
      <c r="I279" s="99">
        <f t="shared" si="1"/>
        <v>6.1697842077100801E-2</v>
      </c>
      <c r="J279" s="99">
        <f t="shared" si="1"/>
        <v>6.0300506530561508E-2</v>
      </c>
      <c r="K279" s="99">
        <f t="shared" si="1"/>
        <v>5.5572636889100975E-2</v>
      </c>
      <c r="L279" s="99">
        <f t="shared" si="1"/>
        <v>5.0066684257549954E-2</v>
      </c>
      <c r="M279" s="99">
        <f t="shared" si="1"/>
        <v>4.8763223002212329E-2</v>
      </c>
      <c r="N279" s="99">
        <f t="shared" si="1"/>
        <v>5.0330691828017679E-2</v>
      </c>
      <c r="O279" s="99">
        <f t="shared" si="1"/>
        <v>5.0697859013491636E-2</v>
      </c>
      <c r="P279" s="99">
        <f t="shared" si="1"/>
        <v>5.1742915395502395E-2</v>
      </c>
      <c r="Q279" s="99">
        <f t="shared" si="1"/>
        <v>5.0192876804628243E-2</v>
      </c>
      <c r="R279" s="99">
        <f t="shared" si="1"/>
        <v>-2.0655118293416451E-2</v>
      </c>
      <c r="S279" s="99">
        <f t="shared" si="1"/>
        <v>3.7028856282775136E-2</v>
      </c>
      <c r="T279" s="99">
        <f t="shared" si="1"/>
        <v>5.3071972266479861E-2</v>
      </c>
      <c r="U279" s="99">
        <f t="shared" si="1"/>
        <v>5.0490233183599714E-2</v>
      </c>
      <c r="V279" s="99">
        <f t="shared" si="1"/>
        <v>5.0303446941903758E-2</v>
      </c>
    </row>
    <row r="280" spans="1:25">
      <c r="B280" s="38" t="s">
        <v>244</v>
      </c>
      <c r="C280" s="99">
        <f t="shared" si="2"/>
        <v>4.9425051187767792E-2</v>
      </c>
      <c r="D280" s="99">
        <f t="shared" si="1"/>
        <v>5.3164168213693873E-2</v>
      </c>
      <c r="E280" s="99">
        <f t="shared" si="1"/>
        <v>6.5192915501893794E-2</v>
      </c>
      <c r="F280" s="99">
        <f t="shared" si="1"/>
        <v>4.344487305091832E-2</v>
      </c>
      <c r="G280" s="99">
        <f t="shared" si="1"/>
        <v>1.4483230627566854E-2</v>
      </c>
      <c r="H280" s="99">
        <f t="shared" si="1"/>
        <v>7.3344999603453823E-2</v>
      </c>
      <c r="I280" s="99">
        <f t="shared" si="1"/>
        <v>3.8582328279566272E-2</v>
      </c>
      <c r="J280" s="99">
        <f t="shared" si="1"/>
        <v>6.8969517105098535E-2</v>
      </c>
      <c r="K280" s="99">
        <f t="shared" si="1"/>
        <v>6.7505313014225549E-2</v>
      </c>
      <c r="L280" s="99">
        <f t="shared" si="1"/>
        <v>6.3479874826086732E-2</v>
      </c>
      <c r="M280" s="99">
        <f t="shared" si="1"/>
        <v>6.3483097167276126E-2</v>
      </c>
      <c r="N280" s="99">
        <f t="shared" si="1"/>
        <v>7.1494567500075157E-2</v>
      </c>
      <c r="O280" s="99">
        <f t="shared" si="1"/>
        <v>6.9309883258402039E-2</v>
      </c>
      <c r="P280" s="99">
        <f t="shared" si="1"/>
        <v>6.3414855715347329E-2</v>
      </c>
      <c r="Q280" s="99">
        <f t="shared" si="1"/>
        <v>6.1185256622130313E-2</v>
      </c>
      <c r="R280" s="99">
        <f t="shared" si="1"/>
        <v>-9.5182947404529733E-2</v>
      </c>
      <c r="S280" s="99">
        <f t="shared" si="1"/>
        <v>5.7147331318511616E-2</v>
      </c>
      <c r="T280" s="99">
        <f t="shared" si="1"/>
        <v>7.5809821278556344E-2</v>
      </c>
      <c r="U280" s="99">
        <f t="shared" si="1"/>
        <v>5.5189496786286298E-2</v>
      </c>
      <c r="V280" s="99">
        <f t="shared" si="1"/>
        <v>5.6920161282341154E-2</v>
      </c>
    </row>
    <row r="281" spans="1:25">
      <c r="B281" s="38" t="s">
        <v>239</v>
      </c>
      <c r="C281" s="99">
        <f t="shared" si="2"/>
        <v>4.187638428843371E-2</v>
      </c>
      <c r="D281" s="99">
        <f t="shared" si="1"/>
        <v>4.9678108924610741E-2</v>
      </c>
      <c r="E281" s="99">
        <f t="shared" si="1"/>
        <v>5.4351516905080929E-2</v>
      </c>
      <c r="F281" s="99">
        <f t="shared" si="1"/>
        <v>1.7256988486633418E-2</v>
      </c>
      <c r="G281" s="99">
        <f t="shared" si="1"/>
        <v>-6.9061823230057943E-3</v>
      </c>
      <c r="H281" s="99">
        <f t="shared" si="1"/>
        <v>7.5133905326162417E-2</v>
      </c>
      <c r="I281" s="99">
        <f t="shared" si="1"/>
        <v>8.4013208305333369E-3</v>
      </c>
      <c r="J281" s="99">
        <f t="shared" si="1"/>
        <v>7.242796202496421E-2</v>
      </c>
      <c r="K281" s="99">
        <f t="shared" si="1"/>
        <v>2.6874955632055587E-2</v>
      </c>
      <c r="L281" s="99">
        <f t="shared" si="1"/>
        <v>9.8446886361942629E-3</v>
      </c>
      <c r="M281" s="99">
        <f t="shared" si="1"/>
        <v>3.1340472491163493E-2</v>
      </c>
      <c r="N281" s="99">
        <f t="shared" si="1"/>
        <v>3.4351577169218217E-2</v>
      </c>
      <c r="O281" s="99">
        <f t="shared" si="1"/>
        <v>4.1776810321000966E-2</v>
      </c>
      <c r="P281" s="99">
        <f t="shared" si="1"/>
        <v>4.2228702874607081E-2</v>
      </c>
      <c r="Q281" s="99">
        <f t="shared" si="1"/>
        <v>2.1145577962827816E-2</v>
      </c>
      <c r="R281" s="99">
        <f t="shared" si="1"/>
        <v>-6.0500384685162202E-2</v>
      </c>
      <c r="S281" s="99">
        <f t="shared" si="1"/>
        <v>1.5521660842664743E-2</v>
      </c>
      <c r="T281" s="99">
        <f t="shared" si="1"/>
        <v>2.5803787470982654E-2</v>
      </c>
      <c r="U281" s="99">
        <f t="shared" si="1"/>
        <v>2.0177509532832687E-2</v>
      </c>
      <c r="V281" s="99">
        <f t="shared" si="1"/>
        <v>2.5259617577149528E-2</v>
      </c>
    </row>
    <row r="282" spans="1:25">
      <c r="B282" s="38" t="s">
        <v>258</v>
      </c>
      <c r="C282" s="638">
        <v>6.2899999999999998E-2</v>
      </c>
      <c r="D282" s="638">
        <v>6.2899999999999998E-2</v>
      </c>
      <c r="E282" s="638">
        <v>6.2899999999999998E-2</v>
      </c>
      <c r="F282" s="638">
        <v>6.2899999999999998E-2</v>
      </c>
      <c r="G282" s="638">
        <v>6.2899999999999998E-2</v>
      </c>
      <c r="H282" s="638">
        <v>6.2899999999999998E-2</v>
      </c>
      <c r="I282" s="638">
        <v>6.2899999999999998E-2</v>
      </c>
      <c r="J282" s="638">
        <v>6.2899999999999998E-2</v>
      </c>
      <c r="K282" s="638">
        <v>6.2899999999999998E-2</v>
      </c>
      <c r="L282" s="638">
        <v>6.2899999999999998E-2</v>
      </c>
      <c r="M282" s="638">
        <v>6.2899999999999998E-2</v>
      </c>
      <c r="N282" s="638">
        <v>6.2899999999999998E-2</v>
      </c>
      <c r="O282" s="638">
        <v>6.2899999999999998E-2</v>
      </c>
      <c r="P282" s="638">
        <v>6.2899999999999998E-2</v>
      </c>
      <c r="Q282" s="638">
        <v>6.2899999999999998E-2</v>
      </c>
      <c r="R282" s="638">
        <v>6.2899999999999998E-2</v>
      </c>
      <c r="S282" s="638">
        <v>6.2899999999999998E-2</v>
      </c>
      <c r="T282" s="638">
        <v>6.2899999999999998E-2</v>
      </c>
      <c r="U282" s="638">
        <v>6.2899999999999998E-2</v>
      </c>
      <c r="V282" s="638">
        <v>6.2899999999999998E-2</v>
      </c>
    </row>
    <row r="283" spans="1:25">
      <c r="B283" s="38" t="s">
        <v>259</v>
      </c>
      <c r="C283" s="99">
        <f>AVERAGE(C284:C285)</f>
        <v>0.13436141928745557</v>
      </c>
      <c r="D283" s="99">
        <f t="shared" ref="D283:V283" si="3">AVERAGE(D284:D285)</f>
        <v>0.12009730723703299</v>
      </c>
      <c r="E283" s="99">
        <f t="shared" si="3"/>
        <v>0.11194946670707807</v>
      </c>
      <c r="F283" s="99">
        <f t="shared" si="3"/>
        <v>8.8658357296454465E-2</v>
      </c>
      <c r="G283" s="99">
        <f t="shared" si="3"/>
        <v>7.3123938010919071E-2</v>
      </c>
      <c r="H283" s="99">
        <f t="shared" si="3"/>
        <v>7.3556789421684379E-2</v>
      </c>
      <c r="I283" s="99">
        <f t="shared" si="3"/>
        <v>6.4390702585160609E-2</v>
      </c>
      <c r="J283" s="99">
        <f t="shared" si="3"/>
        <v>7.4914635128725565E-2</v>
      </c>
      <c r="K283" s="99">
        <f t="shared" si="3"/>
        <v>8.1417503902214333E-2</v>
      </c>
      <c r="L283" s="99">
        <f t="shared" si="3"/>
        <v>8.0851141008842192E-2</v>
      </c>
      <c r="M283" s="99">
        <f t="shared" si="3"/>
        <v>7.0999375077781646E-2</v>
      </c>
      <c r="N283" s="99">
        <f t="shared" si="3"/>
        <v>6.8839870382463808E-2</v>
      </c>
      <c r="O283" s="99">
        <f t="shared" si="3"/>
        <v>7.1055736994814184E-2</v>
      </c>
      <c r="P283" s="99">
        <f t="shared" si="3"/>
        <v>7.5225429884776887E-2</v>
      </c>
      <c r="Q283" s="99">
        <f t="shared" si="3"/>
        <v>7.2580301017696913E-2</v>
      </c>
      <c r="R283" s="99">
        <f t="shared" si="3"/>
        <v>-6.3020345569559599E-2</v>
      </c>
      <c r="S283" s="99">
        <f t="shared" si="3"/>
        <v>-4.4632648206988673E-2</v>
      </c>
      <c r="T283" s="99">
        <f t="shared" si="3"/>
        <v>4.5836972718405845E-2</v>
      </c>
      <c r="U283" s="99">
        <f t="shared" si="3"/>
        <v>2.9828885316262654E-2</v>
      </c>
      <c r="V283" s="99">
        <f t="shared" si="3"/>
        <v>2.5218840799562301E-2</v>
      </c>
    </row>
    <row r="284" spans="1:25">
      <c r="B284" s="38" t="s">
        <v>260</v>
      </c>
      <c r="C284" s="99">
        <f t="shared" si="2"/>
        <v>0.13303333835845493</v>
      </c>
      <c r="D284" s="99">
        <f t="shared" ref="D284:D285" si="4">_xlfn.XLOOKUP($B284,$D$9:$D$274,G$9:G$274)</f>
        <v>0.10943360068169355</v>
      </c>
      <c r="E284" s="99">
        <f t="shared" ref="E284:E285" si="5">_xlfn.XLOOKUP($B284,$D$9:$D$274,H$9:H$274)</f>
        <v>0.10398458101200973</v>
      </c>
      <c r="F284" s="99">
        <f t="shared" ref="F284:F285" si="6">_xlfn.XLOOKUP($B284,$D$9:$D$274,I$9:I$274)</f>
        <v>7.476366066310107E-2</v>
      </c>
      <c r="G284" s="99">
        <f t="shared" ref="G284:G285" si="7">_xlfn.XLOOKUP($B284,$D$9:$D$274,J$9:J$274)</f>
        <v>4.0747785059906505E-2</v>
      </c>
      <c r="H284" s="99">
        <f t="shared" ref="H284:H285" si="8">_xlfn.XLOOKUP($B284,$D$9:$D$274,K$9:K$274)</f>
        <v>5.0769184322924731E-2</v>
      </c>
      <c r="I284" s="99">
        <f t="shared" ref="I284:I285" si="9">_xlfn.XLOOKUP($B284,$D$9:$D$274,L$9:L$274)</f>
        <v>7.2866581387955168E-2</v>
      </c>
      <c r="J284" s="99">
        <f t="shared" ref="J284:J285" si="10">_xlfn.XLOOKUP($B284,$D$9:$D$274,M$9:M$274)</f>
        <v>7.6502565787036195E-2</v>
      </c>
      <c r="K284" s="99">
        <f t="shared" ref="K284:K285" si="11">_xlfn.XLOOKUP($B284,$D$9:$D$274,N$9:N$274)</f>
        <v>7.8574997554251957E-2</v>
      </c>
      <c r="L284" s="99">
        <f t="shared" ref="L284:L285" si="12">_xlfn.XLOOKUP($B284,$D$9:$D$274,O$9:O$274)</f>
        <v>8.0003207461856643E-2</v>
      </c>
      <c r="M284" s="99">
        <f t="shared" ref="M284:M285" si="13">_xlfn.XLOOKUP($B284,$D$9:$D$274,P$9:P$274)</f>
        <v>7.2070347252951167E-2</v>
      </c>
      <c r="N284" s="99">
        <f t="shared" ref="N284:N285" si="14">_xlfn.XLOOKUP($B284,$D$9:$D$274,Q$9:Q$274)</f>
        <v>7.9055011613070436E-2</v>
      </c>
      <c r="O284" s="99">
        <f t="shared" ref="O284:O285" si="15">_xlfn.XLOOKUP($B284,$D$9:$D$274,R$9:R$274)</f>
        <v>8.0750391553597894E-2</v>
      </c>
      <c r="P284" s="99">
        <f t="shared" ref="P284:P285" si="16">_xlfn.XLOOKUP($B284,$D$9:$D$274,S$9:S$274)</f>
        <v>8.7762237622446268E-2</v>
      </c>
      <c r="Q284" s="99">
        <f t="shared" ref="Q284:Q285" si="17">_xlfn.XLOOKUP($B284,$D$9:$D$274,T$9:T$274)</f>
        <v>7.9369501358852401E-2</v>
      </c>
      <c r="R284" s="99">
        <f t="shared" ref="R284:R285" si="18">_xlfn.XLOOKUP($B284,$D$9:$D$274,U$9:U$274)</f>
        <v>-3.555721934065488E-2</v>
      </c>
      <c r="S284" s="99">
        <f t="shared" ref="S284:S285" si="19">_xlfn.XLOOKUP($B284,$D$9:$D$274,V$9:V$274)</f>
        <v>3.0898428415199391E-2</v>
      </c>
      <c r="T284" s="99">
        <f t="shared" ref="T284:T285" si="20">_xlfn.XLOOKUP($B284,$D$9:$D$274,W$9:W$274)</f>
        <v>5.1299011076726658E-2</v>
      </c>
      <c r="U284" s="99">
        <f t="shared" ref="U284:U285" si="21">_xlfn.XLOOKUP($B284,$D$9:$D$274,X$9:X$274)</f>
        <v>5.0073304381264165E-2</v>
      </c>
      <c r="V284" s="99">
        <f t="shared" ref="V284:V285" si="22">_xlfn.XLOOKUP($B284,$D$9:$D$274,Y$9:Y$274)</f>
        <v>6.0158145735460807E-2</v>
      </c>
    </row>
    <row r="285" spans="1:25">
      <c r="B285" s="38" t="s">
        <v>654</v>
      </c>
      <c r="C285" s="99">
        <f t="shared" si="2"/>
        <v>0.1356895002164562</v>
      </c>
      <c r="D285" s="99">
        <f t="shared" si="4"/>
        <v>0.13076101379237243</v>
      </c>
      <c r="E285" s="99">
        <f t="shared" si="5"/>
        <v>0.11991435240214642</v>
      </c>
      <c r="F285" s="99">
        <f t="shared" si="6"/>
        <v>0.10255305392980787</v>
      </c>
      <c r="G285" s="99">
        <f t="shared" si="7"/>
        <v>0.10550009096193165</v>
      </c>
      <c r="H285" s="99">
        <f t="shared" si="8"/>
        <v>9.6344394520444035E-2</v>
      </c>
      <c r="I285" s="99">
        <f t="shared" si="9"/>
        <v>5.5914823782366056E-2</v>
      </c>
      <c r="J285" s="99">
        <f t="shared" si="10"/>
        <v>7.3326704470414936E-2</v>
      </c>
      <c r="K285" s="99">
        <f t="shared" si="11"/>
        <v>8.4260010250176695E-2</v>
      </c>
      <c r="L285" s="99">
        <f t="shared" si="12"/>
        <v>8.1699074555827741E-2</v>
      </c>
      <c r="M285" s="99">
        <f t="shared" si="13"/>
        <v>6.9928402902612138E-2</v>
      </c>
      <c r="N285" s="99">
        <f t="shared" si="14"/>
        <v>5.8624729151857194E-2</v>
      </c>
      <c r="O285" s="99">
        <f t="shared" si="15"/>
        <v>6.1361082436030473E-2</v>
      </c>
      <c r="P285" s="99">
        <f t="shared" si="16"/>
        <v>6.2688622147107506E-2</v>
      </c>
      <c r="Q285" s="99">
        <f t="shared" si="17"/>
        <v>6.5791100676541425E-2</v>
      </c>
      <c r="R285" s="99">
        <f t="shared" si="18"/>
        <v>-9.0483471798464304E-2</v>
      </c>
      <c r="S285" s="99">
        <f t="shared" si="19"/>
        <v>-0.12016372482917674</v>
      </c>
      <c r="T285" s="99">
        <f t="shared" si="20"/>
        <v>4.0374934360085032E-2</v>
      </c>
      <c r="U285" s="99">
        <f t="shared" si="21"/>
        <v>9.5844662512611471E-3</v>
      </c>
      <c r="V285" s="99">
        <f t="shared" si="22"/>
        <v>-9.7204641363362043E-3</v>
      </c>
    </row>
    <row r="287" spans="1:25">
      <c r="A287" s="149" t="s">
        <v>57</v>
      </c>
      <c r="B287" s="50" t="s">
        <v>248</v>
      </c>
      <c r="C287" s="397"/>
      <c r="D287" s="397"/>
      <c r="E287" s="397"/>
      <c r="F287" s="397"/>
      <c r="G287" s="397"/>
      <c r="H287" s="397"/>
      <c r="I287" s="397"/>
      <c r="J287" s="397"/>
      <c r="K287" s="397"/>
      <c r="L287" s="639" t="s">
        <v>912</v>
      </c>
      <c r="M287" s="639" t="s">
        <v>913</v>
      </c>
      <c r="N287" s="639" t="s">
        <v>914</v>
      </c>
    </row>
    <row r="288" spans="1:25" ht="17">
      <c r="B288" s="38" t="s">
        <v>231</v>
      </c>
      <c r="C288" s="508"/>
      <c r="D288" s="496"/>
      <c r="E288" s="509"/>
      <c r="J288" s="583"/>
      <c r="K288" s="434"/>
      <c r="L288" s="594">
        <f>'Revenue Build'!J29</f>
        <v>578</v>
      </c>
      <c r="M288" s="591">
        <f>L288/SUM($L$288:$L$294)</f>
        <v>0.20664998212370397</v>
      </c>
      <c r="N288" s="640">
        <f>AVERAGE($C277:$V277)</f>
        <v>4.6765109032822959E-2</v>
      </c>
    </row>
    <row r="289" spans="2:14" ht="17">
      <c r="B289" s="38" t="s">
        <v>257</v>
      </c>
      <c r="C289" s="508"/>
      <c r="D289" s="496"/>
      <c r="E289" s="509"/>
      <c r="J289" s="583"/>
      <c r="K289" s="434"/>
      <c r="L289" s="594">
        <f>'Revenue Build'!J30</f>
        <v>816</v>
      </c>
      <c r="M289" s="591">
        <f t="shared" ref="M289:M294" si="23">L289/SUM($L$288:$L$294)</f>
        <v>0.29174115123346445</v>
      </c>
      <c r="N289" s="640">
        <f t="shared" ref="N289:N294" si="24">AVERAGE($C278:$V278)</f>
        <v>4.471347515238238E-2</v>
      </c>
    </row>
    <row r="290" spans="2:14" ht="17">
      <c r="B290" s="38" t="s">
        <v>233</v>
      </c>
      <c r="C290" s="508"/>
      <c r="D290" s="496"/>
      <c r="E290" s="509"/>
      <c r="J290" s="583"/>
      <c r="K290" s="434"/>
      <c r="L290" s="594">
        <f>'Revenue Build'!J31</f>
        <v>643</v>
      </c>
      <c r="M290" s="591">
        <f t="shared" si="23"/>
        <v>0.22988916696460493</v>
      </c>
      <c r="N290" s="640">
        <f t="shared" si="24"/>
        <v>4.9682718448468326E-2</v>
      </c>
    </row>
    <row r="291" spans="2:14" ht="17">
      <c r="B291" s="38" t="s">
        <v>244</v>
      </c>
      <c r="C291" s="508"/>
      <c r="D291" s="496"/>
      <c r="E291" s="509"/>
      <c r="J291" s="583"/>
      <c r="K291" s="434"/>
      <c r="L291" s="594">
        <f>'Revenue Build'!J32</f>
        <v>265</v>
      </c>
      <c r="M291" s="591">
        <f t="shared" si="23"/>
        <v>9.4744368966750092E-2</v>
      </c>
      <c r="N291" s="640">
        <f t="shared" si="24"/>
        <v>5.0818189746733397E-2</v>
      </c>
    </row>
    <row r="292" spans="2:14" ht="17">
      <c r="B292" s="38" t="s">
        <v>239</v>
      </c>
      <c r="C292" s="508"/>
      <c r="D292" s="496"/>
      <c r="E292" s="509"/>
      <c r="J292" s="583"/>
      <c r="K292" s="434"/>
      <c r="L292" s="594">
        <f>'Revenue Build'!J33</f>
        <v>252</v>
      </c>
      <c r="M292" s="591">
        <f t="shared" si="23"/>
        <v>9.0096531998569901E-2</v>
      </c>
      <c r="N292" s="640">
        <f t="shared" si="24"/>
        <v>2.7302249014447388E-2</v>
      </c>
    </row>
    <row r="293" spans="2:14" ht="17">
      <c r="B293" s="38" t="s">
        <v>258</v>
      </c>
      <c r="C293" s="508"/>
      <c r="D293" s="496"/>
      <c r="E293" s="509"/>
      <c r="J293" s="583"/>
      <c r="K293" s="434"/>
      <c r="L293" s="594">
        <f>'Revenue Build'!J34</f>
        <v>228</v>
      </c>
      <c r="M293" s="591">
        <f t="shared" si="23"/>
        <v>8.1515909903468006E-2</v>
      </c>
      <c r="N293" s="640">
        <f t="shared" si="24"/>
        <v>6.2899999999999984E-2</v>
      </c>
    </row>
    <row r="294" spans="2:14" ht="18" thickBot="1">
      <c r="B294" s="38" t="s">
        <v>259</v>
      </c>
      <c r="C294" s="508"/>
      <c r="D294" s="496"/>
      <c r="E294" s="509"/>
      <c r="J294" s="583"/>
      <c r="K294" s="434"/>
      <c r="L294" s="594">
        <f>'Revenue Build'!J35</f>
        <v>15</v>
      </c>
      <c r="M294" s="591">
        <f t="shared" si="23"/>
        <v>5.3628888094386842E-3</v>
      </c>
      <c r="N294" s="640">
        <f t="shared" si="24"/>
        <v>6.2762683950039172E-2</v>
      </c>
    </row>
    <row r="295" spans="2:14" ht="17" thickBot="1">
      <c r="B295" s="642" t="s">
        <v>915</v>
      </c>
      <c r="C295" s="641"/>
      <c r="D295" s="641"/>
      <c r="E295" s="641"/>
      <c r="F295" s="641"/>
      <c r="G295" s="641"/>
      <c r="H295" s="641"/>
      <c r="I295" s="641"/>
      <c r="J295" s="641"/>
      <c r="K295" s="641"/>
      <c r="L295" s="641"/>
      <c r="M295" s="641"/>
      <c r="N295" s="643">
        <f>SUMPRODUCT(M288:M294,N288:N294)</f>
        <v>4.6868803718790319E-2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02EDD-9BF2-46DA-BC61-60C2DE90987D}">
  <sheetPr>
    <tabColor rgb="FF00B14F"/>
  </sheetPr>
  <dimension ref="A1"/>
  <sheetViews>
    <sheetView showGridLines="0" workbookViewId="0"/>
  </sheetViews>
  <sheetFormatPr baseColWidth="10" defaultColWidth="8.83203125"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4D1A0-EE69-4D38-A98C-44890E778DE4}">
  <dimension ref="A1:T108"/>
  <sheetViews>
    <sheetView showGridLines="0" topLeftCell="A14" workbookViewId="0">
      <selection activeCell="M39" sqref="M39"/>
    </sheetView>
  </sheetViews>
  <sheetFormatPr baseColWidth="10" defaultColWidth="8.5" defaultRowHeight="16" outlineLevelCol="1"/>
  <cols>
    <col min="1" max="1" width="3.1640625" style="149" customWidth="1"/>
    <col min="2" max="2" width="1.5" style="149" customWidth="1"/>
    <col min="3" max="3" width="73.83203125" style="149" customWidth="1"/>
    <col min="4" max="4" width="8.5" style="149"/>
    <col min="5" max="5" width="12.5" style="149" bestFit="1" customWidth="1"/>
    <col min="6" max="6" width="15.83203125" style="149" bestFit="1" customWidth="1"/>
    <col min="7" max="7" width="13" style="149" customWidth="1"/>
    <col min="8" max="17" width="15.5" style="149" customWidth="1"/>
    <col min="18" max="18" width="11.1640625" style="149" customWidth="1" outlineLevel="1"/>
    <col min="19" max="16384" width="8.5" style="149"/>
  </cols>
  <sheetData>
    <row r="1" spans="1:20" s="370" customFormat="1" ht="35">
      <c r="A1" s="285"/>
      <c r="C1" s="1" t="str">
        <f>Cover!$C$7&amp;" ("&amp;Cover!$C$8&amp;": "&amp;Cover!$C$9&amp;")"</f>
        <v>Grab Holdings Limited (NASDAQ: GRAB)</v>
      </c>
      <c r="D1" s="288"/>
      <c r="E1" s="288"/>
    </row>
    <row r="2" spans="1:20" s="370" customFormat="1">
      <c r="A2" s="371"/>
      <c r="C2" s="288"/>
      <c r="D2" s="288"/>
      <c r="E2" s="288"/>
    </row>
    <row r="3" spans="1:20" s="295" customFormat="1">
      <c r="A3" s="290"/>
      <c r="B3" s="291"/>
      <c r="C3" s="372" t="s">
        <v>42</v>
      </c>
      <c r="D3" s="373"/>
      <c r="E3" s="652">
        <f ca="1">Cover!$C$18</f>
        <v>7.2080318777471293</v>
      </c>
      <c r="F3" s="290"/>
      <c r="G3" s="290"/>
      <c r="H3" s="290"/>
      <c r="I3" s="290"/>
      <c r="J3" s="290"/>
      <c r="K3" s="294"/>
      <c r="L3" s="294"/>
      <c r="M3" s="294"/>
      <c r="N3" s="294"/>
      <c r="O3" s="294"/>
      <c r="P3" s="294"/>
      <c r="Q3" s="294"/>
    </row>
    <row r="4" spans="1:20" s="295" customFormat="1">
      <c r="A4" s="290"/>
      <c r="B4" s="291"/>
      <c r="C4" s="374" t="s">
        <v>10</v>
      </c>
      <c r="D4" s="375"/>
      <c r="E4" s="376" t="str">
        <f>Cover!$C$11</f>
        <v>Base Case</v>
      </c>
      <c r="F4" s="294"/>
      <c r="G4" s="294"/>
      <c r="H4" s="294"/>
      <c r="I4" s="294"/>
      <c r="J4" s="294"/>
      <c r="K4" s="294"/>
      <c r="L4" s="294"/>
      <c r="M4" s="294"/>
      <c r="N4" s="294"/>
      <c r="O4" s="294"/>
      <c r="P4" s="294"/>
      <c r="Q4" s="294"/>
    </row>
    <row r="5" spans="1:20" s="295" customFormat="1" ht="19">
      <c r="A5" s="290"/>
      <c r="B5" s="291"/>
      <c r="C5" s="377"/>
      <c r="D5" s="377"/>
      <c r="E5" s="377"/>
      <c r="F5" s="185"/>
      <c r="H5" s="49" t="s">
        <v>916</v>
      </c>
      <c r="I5" s="49"/>
      <c r="J5" s="49"/>
      <c r="K5" s="49"/>
      <c r="L5" s="49"/>
      <c r="M5" s="49" t="s">
        <v>917</v>
      </c>
      <c r="N5" s="49"/>
      <c r="O5" s="49"/>
      <c r="P5" s="49"/>
      <c r="Q5" s="49"/>
      <c r="R5" s="294"/>
    </row>
    <row r="6" spans="1:20" s="295" customFormat="1">
      <c r="A6" s="290"/>
      <c r="B6" s="291"/>
      <c r="C6" s="147" t="str">
        <f>"In "&amp;Cover!$C$10&amp;", unless stated otherwise"</f>
        <v>In USD Mn, unless stated otherwise</v>
      </c>
      <c r="D6" s="378"/>
      <c r="E6" s="378"/>
      <c r="F6" s="301"/>
      <c r="H6" s="187">
        <v>20</v>
      </c>
      <c r="I6" s="187">
        <f t="shared" ref="I6:R6" si="0">H6+1</f>
        <v>21</v>
      </c>
      <c r="J6" s="187">
        <f t="shared" si="0"/>
        <v>22</v>
      </c>
      <c r="K6" s="187">
        <f t="shared" si="0"/>
        <v>23</v>
      </c>
      <c r="L6" s="187">
        <f t="shared" si="0"/>
        <v>24</v>
      </c>
      <c r="M6" s="302">
        <f t="shared" si="0"/>
        <v>25</v>
      </c>
      <c r="N6" s="302">
        <f t="shared" si="0"/>
        <v>26</v>
      </c>
      <c r="O6" s="302">
        <f t="shared" si="0"/>
        <v>27</v>
      </c>
      <c r="P6" s="302">
        <f t="shared" si="0"/>
        <v>28</v>
      </c>
      <c r="Q6" s="302">
        <f t="shared" si="0"/>
        <v>29</v>
      </c>
      <c r="R6" s="302">
        <f t="shared" si="0"/>
        <v>30</v>
      </c>
      <c r="S6" s="185"/>
      <c r="T6" s="185" t="s">
        <v>270</v>
      </c>
    </row>
    <row r="7" spans="1:20">
      <c r="C7" s="149" t="s">
        <v>162</v>
      </c>
      <c r="H7" s="304">
        <v>44196</v>
      </c>
      <c r="I7" s="304">
        <f>EOMONTH(H7,12)</f>
        <v>44561</v>
      </c>
      <c r="J7" s="304">
        <f t="shared" ref="J7:Q7" si="1">EOMONTH(I7,12)</f>
        <v>44926</v>
      </c>
      <c r="K7" s="304">
        <f t="shared" si="1"/>
        <v>45291</v>
      </c>
      <c r="L7" s="304">
        <f t="shared" si="1"/>
        <v>45657</v>
      </c>
      <c r="M7" s="304">
        <f t="shared" si="1"/>
        <v>46022</v>
      </c>
      <c r="N7" s="304">
        <f t="shared" si="1"/>
        <v>46387</v>
      </c>
      <c r="O7" s="304">
        <f t="shared" si="1"/>
        <v>46752</v>
      </c>
      <c r="P7" s="304">
        <f t="shared" si="1"/>
        <v>47118</v>
      </c>
      <c r="Q7" s="304">
        <f t="shared" si="1"/>
        <v>47483</v>
      </c>
    </row>
    <row r="9" spans="1:20">
      <c r="A9" s="379">
        <v>1</v>
      </c>
      <c r="C9" s="380" t="s">
        <v>918</v>
      </c>
      <c r="D9" s="380"/>
      <c r="E9" s="380"/>
      <c r="F9" s="380"/>
      <c r="G9" s="380"/>
      <c r="H9" s="381">
        <v>20</v>
      </c>
      <c r="I9" s="381">
        <f>H9+1</f>
        <v>21</v>
      </c>
      <c r="J9" s="381">
        <f>I9+1</f>
        <v>22</v>
      </c>
      <c r="K9" s="381">
        <f>J9+1</f>
        <v>23</v>
      </c>
      <c r="L9" s="381">
        <f>K9+1</f>
        <v>24</v>
      </c>
      <c r="M9" s="382">
        <v>25</v>
      </c>
      <c r="N9" s="382">
        <f>M9+1</f>
        <v>26</v>
      </c>
      <c r="O9" s="382">
        <f>N9+1</f>
        <v>27</v>
      </c>
      <c r="P9" s="382">
        <f>O9+1</f>
        <v>28</v>
      </c>
      <c r="Q9" s="382">
        <f>P9+1</f>
        <v>29</v>
      </c>
    </row>
    <row r="11" spans="1:20">
      <c r="C11" s="305" t="s">
        <v>919</v>
      </c>
      <c r="G11" s="306"/>
      <c r="H11" s="146">
        <f>'3FS'!D78</f>
        <v>140</v>
      </c>
      <c r="I11" s="146">
        <f>'3FS'!E78</f>
        <v>144</v>
      </c>
      <c r="J11" s="146">
        <f>'3FS'!F78</f>
        <v>117</v>
      </c>
      <c r="K11" s="146">
        <f>'3FS'!G78</f>
        <v>125</v>
      </c>
      <c r="L11" s="146">
        <f>'3FS'!H78</f>
        <v>123</v>
      </c>
      <c r="M11" s="38">
        <f>MAX(L11+M36+M62,0)</f>
        <v>1584</v>
      </c>
      <c r="N11" s="38">
        <f>MAX(M11+N36+N62,0)</f>
        <v>1584</v>
      </c>
      <c r="O11" s="38">
        <f>MAX(N11+O36+O62,0)</f>
        <v>1584</v>
      </c>
      <c r="P11" s="38">
        <f>MAX(O11+P36+P62,0)</f>
        <v>75</v>
      </c>
      <c r="Q11" s="38">
        <f>MAX(P11+Q36+Q62,0)</f>
        <v>0</v>
      </c>
    </row>
    <row r="12" spans="1:20">
      <c r="C12" s="307" t="s">
        <v>920</v>
      </c>
      <c r="G12" s="306"/>
      <c r="H12" s="146">
        <f>'3FS'!D86</f>
        <v>111</v>
      </c>
      <c r="I12" s="146">
        <f>'3FS'!E86</f>
        <v>2031</v>
      </c>
      <c r="J12" s="146">
        <f>'3FS'!F86</f>
        <v>1248</v>
      </c>
      <c r="K12" s="146">
        <f>'3FS'!G86</f>
        <v>668</v>
      </c>
      <c r="L12" s="146">
        <f>'3FS'!H86</f>
        <v>241</v>
      </c>
      <c r="M12" s="38">
        <f ca="1">M41-M11</f>
        <v>241</v>
      </c>
      <c r="N12" s="38">
        <f ca="1">N41-N11</f>
        <v>241</v>
      </c>
      <c r="O12" s="38">
        <f ca="1">O41-O11</f>
        <v>241</v>
      </c>
      <c r="P12" s="38">
        <f ca="1">P41-P11</f>
        <v>241</v>
      </c>
      <c r="Q12" s="38">
        <f ca="1">Q41-Q11</f>
        <v>158</v>
      </c>
    </row>
    <row r="13" spans="1:20">
      <c r="C13" s="308" t="s">
        <v>921</v>
      </c>
      <c r="D13" s="309"/>
      <c r="E13" s="309"/>
      <c r="F13" s="309"/>
      <c r="G13" s="310"/>
      <c r="H13" s="311">
        <f t="shared" ref="H13:Q13" si="2">SUM(H11:H12)</f>
        <v>251</v>
      </c>
      <c r="I13" s="311">
        <f t="shared" si="2"/>
        <v>2175</v>
      </c>
      <c r="J13" s="311">
        <f t="shared" si="2"/>
        <v>1365</v>
      </c>
      <c r="K13" s="311">
        <f t="shared" si="2"/>
        <v>793</v>
      </c>
      <c r="L13" s="311">
        <f t="shared" si="2"/>
        <v>364</v>
      </c>
      <c r="M13" s="311">
        <f t="shared" ca="1" si="2"/>
        <v>1825</v>
      </c>
      <c r="N13" s="311">
        <f t="shared" ca="1" si="2"/>
        <v>1825</v>
      </c>
      <c r="O13" s="311">
        <f t="shared" ca="1" si="2"/>
        <v>1825</v>
      </c>
      <c r="P13" s="311">
        <f t="shared" ca="1" si="2"/>
        <v>316</v>
      </c>
      <c r="Q13" s="312">
        <f t="shared" ca="1" si="2"/>
        <v>158</v>
      </c>
    </row>
    <row r="14" spans="1:20">
      <c r="C14" s="313"/>
      <c r="G14" s="314"/>
      <c r="H14" s="315"/>
      <c r="I14" s="315"/>
      <c r="J14" s="315"/>
      <c r="K14" s="315"/>
      <c r="L14" s="315"/>
      <c r="M14" s="315"/>
      <c r="N14" s="315"/>
      <c r="O14" s="315"/>
      <c r="P14" s="315"/>
      <c r="Q14" s="315"/>
    </row>
    <row r="15" spans="1:20">
      <c r="C15" s="316"/>
      <c r="G15" s="314"/>
      <c r="H15" s="314"/>
      <c r="I15" s="314"/>
      <c r="J15" s="314"/>
      <c r="K15" s="314"/>
      <c r="L15" s="314"/>
      <c r="M15" s="314"/>
      <c r="N15" s="314"/>
      <c r="O15" s="314"/>
      <c r="P15" s="314"/>
    </row>
    <row r="16" spans="1:20">
      <c r="C16" s="383" t="s">
        <v>922</v>
      </c>
      <c r="D16" s="383"/>
      <c r="E16" s="383"/>
      <c r="F16" s="383"/>
      <c r="G16" s="383"/>
      <c r="H16" s="384">
        <v>21</v>
      </c>
      <c r="I16" s="384">
        <f>H16+1</f>
        <v>22</v>
      </c>
      <c r="J16" s="384">
        <f>I16+1</f>
        <v>23</v>
      </c>
      <c r="K16" s="384">
        <f>J16+1</f>
        <v>24</v>
      </c>
      <c r="L16" s="384">
        <f>K16+1</f>
        <v>25</v>
      </c>
      <c r="M16" s="385">
        <v>26</v>
      </c>
      <c r="N16" s="385">
        <f>M16+1</f>
        <v>27</v>
      </c>
      <c r="O16" s="385">
        <f>N16+1</f>
        <v>28</v>
      </c>
      <c r="P16" s="385">
        <f>O16+1</f>
        <v>29</v>
      </c>
      <c r="Q16" s="385">
        <f>P16+1</f>
        <v>30</v>
      </c>
    </row>
    <row r="18" spans="3:17" ht="17" thickBot="1">
      <c r="C18" s="317" t="s">
        <v>923</v>
      </c>
      <c r="D18" s="318"/>
      <c r="E18" s="318"/>
      <c r="F18" s="319" t="s">
        <v>924</v>
      </c>
      <c r="G18" s="320"/>
      <c r="H18" s="320"/>
      <c r="I18" s="320"/>
      <c r="J18" s="320"/>
      <c r="K18" s="320"/>
      <c r="L18" s="320"/>
      <c r="M18" s="320"/>
      <c r="N18" s="320"/>
      <c r="O18" s="320"/>
      <c r="P18" s="320"/>
      <c r="Q18" s="320"/>
    </row>
    <row r="19" spans="3:17">
      <c r="C19" s="320"/>
      <c r="D19" s="320"/>
      <c r="E19" s="320"/>
      <c r="F19" s="320"/>
      <c r="G19" s="320"/>
      <c r="H19" s="320"/>
      <c r="I19" s="320"/>
      <c r="J19" s="320"/>
      <c r="K19" s="320"/>
      <c r="L19" s="320"/>
      <c r="M19" s="320"/>
      <c r="N19" s="320"/>
      <c r="O19" s="320"/>
      <c r="P19" s="320"/>
      <c r="Q19" s="320"/>
    </row>
    <row r="20" spans="3:17">
      <c r="C20" s="316" t="s">
        <v>254</v>
      </c>
      <c r="D20" s="316"/>
      <c r="E20" s="316"/>
      <c r="F20" s="316"/>
      <c r="G20" s="316"/>
      <c r="H20" s="321">
        <f>'3FS'!D12</f>
        <v>469</v>
      </c>
      <c r="I20" s="321">
        <f>'3FS'!E12</f>
        <v>675</v>
      </c>
      <c r="J20" s="321">
        <f>'3FS'!F12</f>
        <v>1433</v>
      </c>
      <c r="K20" s="321">
        <f>'3FS'!G12</f>
        <v>2359</v>
      </c>
      <c r="L20" s="321">
        <f>'3FS'!H12</f>
        <v>2797</v>
      </c>
      <c r="M20" s="321">
        <f>'3FS'!I12</f>
        <v>3447.1579538043488</v>
      </c>
      <c r="N20" s="321">
        <f>'3FS'!J12</f>
        <v>4242.1624252758265</v>
      </c>
      <c r="O20" s="321">
        <f>'3FS'!K12</f>
        <v>5260.5364101367168</v>
      </c>
      <c r="P20" s="321">
        <f>'3FS'!L12</f>
        <v>6524.338542961098</v>
      </c>
      <c r="Q20" s="321">
        <f>'3FS'!M12</f>
        <v>8096.0016716356249</v>
      </c>
    </row>
    <row r="22" spans="3:17">
      <c r="C22" s="322" t="s">
        <v>925</v>
      </c>
      <c r="H22" s="74"/>
      <c r="I22" s="74"/>
      <c r="J22" s="74"/>
      <c r="K22" s="74"/>
      <c r="L22" s="74"/>
      <c r="M22" s="146">
        <f>'3FS'!H53</f>
        <v>2964</v>
      </c>
      <c r="N22" s="146">
        <f ca="1">'3FS'!I53</f>
        <v>3387.2668227239692</v>
      </c>
      <c r="O22" s="146">
        <f ca="1">'3FS'!J53</f>
        <v>3227.6697244867378</v>
      </c>
      <c r="P22" s="146">
        <f ca="1">'3FS'!K53</f>
        <v>3232.7186144427114</v>
      </c>
      <c r="Q22" s="146">
        <f ca="1">'3FS'!L53</f>
        <v>1940.489605541514</v>
      </c>
    </row>
    <row r="23" spans="3:17">
      <c r="C23" s="322" t="s">
        <v>926</v>
      </c>
      <c r="H23" s="74"/>
      <c r="I23" s="74"/>
      <c r="J23" s="74"/>
      <c r="K23" s="74"/>
      <c r="L23" s="74"/>
      <c r="M23" s="146">
        <f ca="1">'3FS'!I131+'3FS'!I142</f>
        <v>-1037.7331772760308</v>
      </c>
      <c r="N23" s="146">
        <f ca="1">'3FS'!J131+'3FS'!J142</f>
        <v>-159.59709823723131</v>
      </c>
      <c r="O23" s="146">
        <f ca="1">'3FS'!K131+'3FS'!K142</f>
        <v>5.0488899559738911</v>
      </c>
      <c r="P23" s="146">
        <f ca="1">'3FS'!L131+'3FS'!L142</f>
        <v>216.7709910988026</v>
      </c>
      <c r="Q23" s="146">
        <f ca="1">'3FS'!M131+'3FS'!M142</f>
        <v>615.01747639757082</v>
      </c>
    </row>
    <row r="24" spans="3:17">
      <c r="C24" s="322" t="s">
        <v>927</v>
      </c>
      <c r="H24" s="74"/>
      <c r="I24" s="74"/>
      <c r="J24" s="74"/>
      <c r="K24" s="74"/>
      <c r="L24" s="74"/>
      <c r="M24" s="38">
        <f>M40</f>
        <v>-39</v>
      </c>
      <c r="N24" s="38">
        <f>N40</f>
        <v>0</v>
      </c>
      <c r="O24" s="38">
        <f>O40</f>
        <v>0</v>
      </c>
      <c r="P24" s="38">
        <f>P40</f>
        <v>-1509</v>
      </c>
      <c r="Q24" s="38">
        <f>Q40</f>
        <v>-158</v>
      </c>
    </row>
    <row r="25" spans="3:17">
      <c r="C25" s="322" t="s">
        <v>928</v>
      </c>
      <c r="H25" s="74"/>
      <c r="I25" s="74"/>
      <c r="J25" s="74"/>
      <c r="K25" s="74"/>
      <c r="L25" s="74"/>
      <c r="M25" s="38">
        <v>0</v>
      </c>
      <c r="N25" s="38">
        <v>0</v>
      </c>
      <c r="O25" s="38">
        <v>0</v>
      </c>
      <c r="P25" s="38">
        <v>0</v>
      </c>
      <c r="Q25" s="38">
        <v>0</v>
      </c>
    </row>
    <row r="26" spans="3:17">
      <c r="C26" s="322" t="s">
        <v>929</v>
      </c>
      <c r="H26" s="74"/>
      <c r="I26" s="74"/>
      <c r="J26" s="74"/>
      <c r="K26" s="74"/>
      <c r="L26" s="74"/>
      <c r="M26" s="38">
        <v>0</v>
      </c>
      <c r="N26" s="38">
        <v>0</v>
      </c>
      <c r="O26" s="38">
        <v>0</v>
      </c>
      <c r="P26" s="38">
        <v>0</v>
      </c>
      <c r="Q26" s="38">
        <v>0</v>
      </c>
    </row>
    <row r="27" spans="3:17">
      <c r="C27" s="322" t="s">
        <v>930</v>
      </c>
      <c r="F27" s="323">
        <v>0.05</v>
      </c>
      <c r="H27" s="74"/>
      <c r="I27" s="74"/>
      <c r="J27" s="74"/>
      <c r="K27" s="74"/>
      <c r="L27" s="74"/>
      <c r="M27" s="82">
        <f>-M20*$F$27</f>
        <v>-172.35789769021744</v>
      </c>
      <c r="N27" s="82">
        <f t="shared" ref="N27:Q27" si="3">-N20*$F$27</f>
        <v>-212.10812126379133</v>
      </c>
      <c r="O27" s="82">
        <f t="shared" si="3"/>
        <v>-263.02682050683586</v>
      </c>
      <c r="P27" s="82">
        <f t="shared" si="3"/>
        <v>-326.21692714805494</v>
      </c>
      <c r="Q27" s="82">
        <f t="shared" si="3"/>
        <v>-404.80008358178128</v>
      </c>
    </row>
    <row r="28" spans="3:17">
      <c r="C28" s="308" t="s">
        <v>931</v>
      </c>
      <c r="D28" s="309"/>
      <c r="E28" s="309"/>
      <c r="F28" s="309"/>
      <c r="G28" s="309"/>
      <c r="H28" s="324"/>
      <c r="I28" s="324"/>
      <c r="J28" s="324"/>
      <c r="K28" s="324"/>
      <c r="L28" s="324"/>
      <c r="M28" s="311">
        <f ca="1">IF($F$18="OFF",MIN(SUM(M22:M27),0),0)</f>
        <v>0</v>
      </c>
      <c r="N28" s="311">
        <f t="shared" ref="N28:Q28" ca="1" si="4">IF($F$18="OFF",MIN(SUM(N22:N27),0),0)</f>
        <v>0</v>
      </c>
      <c r="O28" s="311">
        <f t="shared" ca="1" si="4"/>
        <v>0</v>
      </c>
      <c r="P28" s="311">
        <f t="shared" ca="1" si="4"/>
        <v>0</v>
      </c>
      <c r="Q28" s="312">
        <f t="shared" ca="1" si="4"/>
        <v>0</v>
      </c>
    </row>
    <row r="29" spans="3:17">
      <c r="M29" s="192"/>
      <c r="N29" s="192"/>
      <c r="O29" s="192"/>
      <c r="P29" s="192"/>
      <c r="Q29" s="192"/>
    </row>
    <row r="30" spans="3:17">
      <c r="C30" s="316" t="s">
        <v>932</v>
      </c>
      <c r="D30" s="325"/>
      <c r="E30" s="325"/>
      <c r="F30" s="323">
        <v>1</v>
      </c>
      <c r="H30" s="325"/>
      <c r="I30" s="325"/>
      <c r="J30" s="325"/>
      <c r="K30" s="325"/>
      <c r="L30" s="325"/>
      <c r="M30" s="326"/>
      <c r="N30" s="325"/>
      <c r="O30" s="325"/>
      <c r="P30" s="325"/>
      <c r="Q30" s="325"/>
    </row>
    <row r="31" spans="3:17">
      <c r="D31" s="325"/>
      <c r="E31" s="325"/>
      <c r="F31" s="220"/>
      <c r="H31" s="325"/>
      <c r="I31" s="325"/>
      <c r="J31" s="325"/>
      <c r="K31" s="325"/>
      <c r="L31" s="325"/>
      <c r="M31" s="326"/>
      <c r="N31" s="325"/>
      <c r="O31" s="325"/>
      <c r="P31" s="325"/>
      <c r="Q31" s="325"/>
    </row>
    <row r="32" spans="3:17">
      <c r="C32" s="316" t="s">
        <v>933</v>
      </c>
      <c r="H32" s="74"/>
      <c r="I32" s="74"/>
      <c r="J32" s="74"/>
      <c r="K32" s="74"/>
      <c r="L32" s="74"/>
      <c r="M32" s="113">
        <f ca="1">ABS(M28)</f>
        <v>0</v>
      </c>
      <c r="N32" s="113">
        <f ca="1">ABS(N28)</f>
        <v>0</v>
      </c>
      <c r="O32" s="113">
        <f ca="1">ABS(O28)</f>
        <v>0</v>
      </c>
      <c r="P32" s="113">
        <f ca="1">ABS(P28)</f>
        <v>0</v>
      </c>
      <c r="Q32" s="113">
        <f ca="1">ABS(Q28)</f>
        <v>0</v>
      </c>
    </row>
    <row r="33" spans="3:18">
      <c r="C33" s="322" t="s">
        <v>155</v>
      </c>
      <c r="H33" s="74"/>
      <c r="I33" s="74"/>
      <c r="J33" s="74"/>
      <c r="K33" s="74"/>
      <c r="L33" s="74"/>
      <c r="M33" s="38">
        <f ca="1">$F$30*M32</f>
        <v>0</v>
      </c>
      <c r="N33" s="38">
        <f ca="1">$F$30*N32</f>
        <v>0</v>
      </c>
      <c r="O33" s="38">
        <f ca="1">$F$30*O32</f>
        <v>0</v>
      </c>
      <c r="P33" s="38">
        <f ca="1">$F$30*P32</f>
        <v>0</v>
      </c>
      <c r="Q33" s="38">
        <f ca="1">$F$30*Q32</f>
        <v>0</v>
      </c>
    </row>
    <row r="34" spans="3:18">
      <c r="C34" s="322" t="s">
        <v>156</v>
      </c>
      <c r="H34" s="74"/>
      <c r="I34" s="74"/>
      <c r="J34" s="74"/>
      <c r="K34" s="74"/>
      <c r="L34" s="74"/>
      <c r="M34" s="38">
        <f ca="1">(1-$F$30)*M32</f>
        <v>0</v>
      </c>
      <c r="N34" s="38">
        <f ca="1">(1-$F$30)*N32</f>
        <v>0</v>
      </c>
      <c r="O34" s="38">
        <f ca="1">(1-$F$30)*O32</f>
        <v>0</v>
      </c>
      <c r="P34" s="38">
        <f ca="1">(1-$F$30)*P32</f>
        <v>0</v>
      </c>
      <c r="Q34" s="38">
        <f ca="1">(1-$F$30)*Q32</f>
        <v>0</v>
      </c>
    </row>
    <row r="35" spans="3:18">
      <c r="C35" s="322"/>
      <c r="H35" s="74"/>
      <c r="I35" s="74"/>
      <c r="J35" s="74"/>
      <c r="K35" s="74"/>
      <c r="L35" s="74"/>
      <c r="M35" s="38"/>
      <c r="N35" s="38"/>
      <c r="O35" s="38"/>
      <c r="P35" s="38"/>
      <c r="Q35" s="38"/>
    </row>
    <row r="36" spans="3:18">
      <c r="C36" s="322" t="s">
        <v>934</v>
      </c>
      <c r="H36" s="74"/>
      <c r="I36" s="74"/>
      <c r="J36" s="74"/>
      <c r="K36" s="74"/>
      <c r="L36" s="74"/>
      <c r="M36" s="38">
        <v>1500</v>
      </c>
      <c r="N36" s="38">
        <v>0</v>
      </c>
      <c r="O36" s="38">
        <v>0</v>
      </c>
      <c r="P36" s="38">
        <v>0</v>
      </c>
      <c r="Q36" s="38">
        <v>0</v>
      </c>
    </row>
    <row r="38" spans="3:18">
      <c r="C38" s="322" t="s">
        <v>935</v>
      </c>
      <c r="H38" s="74"/>
      <c r="I38" s="74"/>
      <c r="J38" s="74"/>
      <c r="K38" s="74"/>
      <c r="L38" s="74"/>
      <c r="M38" s="38">
        <f>L13</f>
        <v>364</v>
      </c>
      <c r="N38" s="38">
        <f ca="1">M13</f>
        <v>1825</v>
      </c>
      <c r="O38" s="38">
        <f ca="1">N13</f>
        <v>1825</v>
      </c>
      <c r="P38" s="38">
        <f ca="1">O13</f>
        <v>1825</v>
      </c>
      <c r="Q38" s="38">
        <f ca="1">P13</f>
        <v>316</v>
      </c>
    </row>
    <row r="39" spans="3:18">
      <c r="C39" s="322" t="s">
        <v>936</v>
      </c>
      <c r="H39" s="74"/>
      <c r="I39" s="74"/>
      <c r="J39" s="74"/>
      <c r="K39" s="74"/>
      <c r="L39" s="74"/>
      <c r="M39" s="38">
        <f ca="1">M33+M36</f>
        <v>1500</v>
      </c>
      <c r="N39" s="38">
        <f ca="1">N33+N36</f>
        <v>0</v>
      </c>
      <c r="O39" s="38">
        <f ca="1">O33+O36</f>
        <v>0</v>
      </c>
      <c r="P39" s="38">
        <f ca="1">P33+P36</f>
        <v>0</v>
      </c>
      <c r="Q39" s="38">
        <f ca="1">Q33+Q36</f>
        <v>0</v>
      </c>
    </row>
    <row r="40" spans="3:18">
      <c r="C40" s="322" t="s">
        <v>937</v>
      </c>
      <c r="H40" s="74"/>
      <c r="I40" s="74"/>
      <c r="J40" s="74"/>
      <c r="K40" s="74"/>
      <c r="L40" s="74"/>
      <c r="M40" s="38">
        <f>M62</f>
        <v>-39</v>
      </c>
      <c r="N40" s="38">
        <f>N62</f>
        <v>0</v>
      </c>
      <c r="O40" s="38">
        <f>O62</f>
        <v>0</v>
      </c>
      <c r="P40" s="38">
        <f>P62</f>
        <v>-1509</v>
      </c>
      <c r="Q40" s="38">
        <f>Q62</f>
        <v>-158</v>
      </c>
    </row>
    <row r="41" spans="3:18">
      <c r="C41" s="308" t="s">
        <v>938</v>
      </c>
      <c r="D41" s="309"/>
      <c r="E41" s="309"/>
      <c r="F41" s="309"/>
      <c r="G41" s="309"/>
      <c r="H41" s="324"/>
      <c r="I41" s="324"/>
      <c r="J41" s="324"/>
      <c r="K41" s="324"/>
      <c r="L41" s="324"/>
      <c r="M41" s="311">
        <f ca="1">SUM(M38:M40)</f>
        <v>1825</v>
      </c>
      <c r="N41" s="311">
        <f ca="1">SUM(N38:N40)</f>
        <v>1825</v>
      </c>
      <c r="O41" s="311">
        <f ca="1">SUM(O38:O40)</f>
        <v>1825</v>
      </c>
      <c r="P41" s="311">
        <f ca="1">SUM(P38:P40)</f>
        <v>316</v>
      </c>
      <c r="Q41" s="312">
        <f ca="1">SUM(Q38:Q40)</f>
        <v>158</v>
      </c>
    </row>
    <row r="44" spans="3:18">
      <c r="C44" s="383" t="s">
        <v>939</v>
      </c>
      <c r="D44" s="383"/>
      <c r="E44" s="383"/>
      <c r="F44" s="383"/>
      <c r="G44" s="383"/>
      <c r="H44" s="384"/>
      <c r="I44" s="384"/>
      <c r="J44" s="384"/>
      <c r="K44" s="384"/>
      <c r="L44" s="384"/>
      <c r="M44" s="385"/>
      <c r="N44" s="385"/>
      <c r="O44" s="385"/>
      <c r="P44" s="385"/>
      <c r="Q44" s="385"/>
    </row>
    <row r="45" spans="3:18">
      <c r="C45" s="320"/>
      <c r="D45" s="75"/>
      <c r="E45" s="75"/>
      <c r="F45" s="75"/>
      <c r="G45" s="75"/>
      <c r="H45" s="75"/>
      <c r="I45" s="75"/>
      <c r="J45" s="75"/>
      <c r="K45" s="75"/>
      <c r="L45" s="75"/>
      <c r="M45" s="75"/>
      <c r="N45" s="75"/>
      <c r="O45" s="75"/>
      <c r="P45" s="75"/>
      <c r="Q45" s="75"/>
    </row>
    <row r="46" spans="3:18">
      <c r="C46" s="386" t="s">
        <v>940</v>
      </c>
      <c r="D46" s="386"/>
      <c r="E46" s="386"/>
      <c r="F46" s="387"/>
      <c r="G46" s="388"/>
      <c r="H46" s="388"/>
      <c r="I46" s="388"/>
      <c r="J46" s="388"/>
      <c r="K46" s="388"/>
      <c r="L46" s="388"/>
      <c r="M46" s="388"/>
      <c r="N46" s="389"/>
      <c r="O46" s="389"/>
      <c r="P46" s="389"/>
      <c r="Q46" s="389"/>
      <c r="R46" s="75"/>
    </row>
    <row r="47" spans="3:18">
      <c r="C47" s="320"/>
      <c r="D47" s="75"/>
      <c r="E47" s="75"/>
      <c r="F47" s="75"/>
      <c r="G47" s="75"/>
      <c r="H47" s="75"/>
      <c r="I47" s="75"/>
      <c r="J47" s="75"/>
      <c r="K47" s="75"/>
      <c r="L47" s="75"/>
      <c r="M47" s="75"/>
      <c r="N47" s="75"/>
      <c r="O47" s="75"/>
      <c r="P47" s="75"/>
      <c r="Q47" s="75"/>
      <c r="R47" s="75"/>
    </row>
    <row r="48" spans="3:18">
      <c r="C48" s="61" t="s">
        <v>941</v>
      </c>
      <c r="D48" s="75"/>
      <c r="E48" s="327" t="s">
        <v>942</v>
      </c>
      <c r="F48" s="327" t="s">
        <v>943</v>
      </c>
      <c r="G48" s="327" t="s">
        <v>225</v>
      </c>
      <c r="H48" s="75"/>
      <c r="I48" s="75"/>
      <c r="J48" s="75"/>
      <c r="K48" s="75"/>
      <c r="L48" s="75"/>
      <c r="M48" s="75"/>
      <c r="N48" s="75"/>
      <c r="O48" s="75"/>
      <c r="P48" s="75"/>
      <c r="Q48" s="75"/>
    </row>
    <row r="49" spans="3:18">
      <c r="C49" s="322" t="s">
        <v>944</v>
      </c>
      <c r="D49" s="75"/>
      <c r="E49" s="328">
        <v>39</v>
      </c>
      <c r="F49" s="329">
        <v>7.0000000000000007E-2</v>
      </c>
      <c r="G49" s="330">
        <v>25</v>
      </c>
      <c r="H49" s="74"/>
      <c r="I49" s="74"/>
      <c r="J49" s="74"/>
      <c r="K49" s="74"/>
      <c r="L49" s="74"/>
      <c r="M49" s="331">
        <f>IF(M$6=$G49,-$E49,0)</f>
        <v>-39</v>
      </c>
      <c r="N49" s="331">
        <f t="shared" ref="N49:R53" si="5">IF(N$6=$G49,-$E49,0)</f>
        <v>0</v>
      </c>
      <c r="O49" s="331">
        <f t="shared" si="5"/>
        <v>0</v>
      </c>
      <c r="P49" s="331">
        <f t="shared" si="5"/>
        <v>0</v>
      </c>
      <c r="Q49" s="331">
        <f t="shared" si="5"/>
        <v>0</v>
      </c>
      <c r="R49" s="331">
        <f t="shared" si="5"/>
        <v>0</v>
      </c>
    </row>
    <row r="50" spans="3:18">
      <c r="C50" s="322" t="s">
        <v>945</v>
      </c>
      <c r="D50" s="75"/>
      <c r="E50" s="328">
        <f>9</f>
        <v>9</v>
      </c>
      <c r="F50" s="329">
        <v>0.02</v>
      </c>
      <c r="G50" s="330">
        <v>28</v>
      </c>
      <c r="H50" s="74"/>
      <c r="I50" s="74"/>
      <c r="J50" s="74"/>
      <c r="K50" s="74"/>
      <c r="L50" s="74"/>
      <c r="M50" s="331">
        <f t="shared" ref="M50:M53" si="6">IF(M$6=$G50,-$E50,0)</f>
        <v>0</v>
      </c>
      <c r="N50" s="331">
        <f t="shared" si="5"/>
        <v>0</v>
      </c>
      <c r="O50" s="331">
        <f t="shared" si="5"/>
        <v>0</v>
      </c>
      <c r="P50" s="331">
        <f t="shared" si="5"/>
        <v>-9</v>
      </c>
      <c r="Q50" s="331">
        <f t="shared" si="5"/>
        <v>0</v>
      </c>
      <c r="R50" s="331">
        <f t="shared" si="5"/>
        <v>0</v>
      </c>
    </row>
    <row r="51" spans="3:18">
      <c r="C51" s="322" t="s">
        <v>946</v>
      </c>
      <c r="D51" s="75"/>
      <c r="E51" s="328">
        <v>158</v>
      </c>
      <c r="F51" s="329">
        <v>4.9500000000000002E-2</v>
      </c>
      <c r="G51" s="330">
        <v>29</v>
      </c>
      <c r="H51" s="74"/>
      <c r="I51" s="74"/>
      <c r="J51" s="74"/>
      <c r="K51" s="74"/>
      <c r="L51" s="74"/>
      <c r="M51" s="331">
        <f t="shared" ref="M51:R52" si="7">IF(M$6=$G51,-$E51,0)</f>
        <v>0</v>
      </c>
      <c r="N51" s="331">
        <f t="shared" si="7"/>
        <v>0</v>
      </c>
      <c r="O51" s="331">
        <f t="shared" si="7"/>
        <v>0</v>
      </c>
      <c r="P51" s="331">
        <f t="shared" si="7"/>
        <v>0</v>
      </c>
      <c r="Q51" s="331">
        <f t="shared" si="7"/>
        <v>-158</v>
      </c>
      <c r="R51" s="331">
        <f t="shared" si="7"/>
        <v>0</v>
      </c>
    </row>
    <row r="52" spans="3:18">
      <c r="C52" s="322" t="s">
        <v>947</v>
      </c>
      <c r="D52" s="75"/>
      <c r="E52" s="328">
        <v>1500</v>
      </c>
      <c r="F52" s="329">
        <v>0</v>
      </c>
      <c r="G52" s="330">
        <v>28</v>
      </c>
      <c r="H52" s="74"/>
      <c r="I52" s="74"/>
      <c r="J52" s="74"/>
      <c r="K52" s="74"/>
      <c r="L52" s="74"/>
      <c r="M52" s="331">
        <f t="shared" si="7"/>
        <v>0</v>
      </c>
      <c r="N52" s="331">
        <f t="shared" si="7"/>
        <v>0</v>
      </c>
      <c r="O52" s="331">
        <f t="shared" si="7"/>
        <v>0</v>
      </c>
      <c r="P52" s="331">
        <f t="shared" si="7"/>
        <v>-1500</v>
      </c>
      <c r="Q52" s="331">
        <f t="shared" si="7"/>
        <v>0</v>
      </c>
      <c r="R52" s="331">
        <f t="shared" si="7"/>
        <v>0</v>
      </c>
    </row>
    <row r="53" spans="3:18">
      <c r="C53" s="322" t="s">
        <v>948</v>
      </c>
      <c r="D53" s="75"/>
      <c r="E53" s="328">
        <v>158</v>
      </c>
      <c r="F53" s="329">
        <v>8.3000000000000004E-2</v>
      </c>
      <c r="G53" s="330">
        <v>37</v>
      </c>
      <c r="H53" s="74"/>
      <c r="I53" s="74"/>
      <c r="J53" s="74"/>
      <c r="K53" s="74"/>
      <c r="L53" s="74"/>
      <c r="M53" s="331">
        <f t="shared" si="6"/>
        <v>0</v>
      </c>
      <c r="N53" s="331">
        <f t="shared" si="5"/>
        <v>0</v>
      </c>
      <c r="O53" s="331">
        <f t="shared" si="5"/>
        <v>0</v>
      </c>
      <c r="P53" s="331">
        <f t="shared" si="5"/>
        <v>0</v>
      </c>
      <c r="Q53" s="331">
        <f t="shared" si="5"/>
        <v>0</v>
      </c>
      <c r="R53" s="331">
        <f t="shared" si="5"/>
        <v>0</v>
      </c>
    </row>
    <row r="54" spans="3:18">
      <c r="E54" s="332"/>
      <c r="G54" s="333"/>
    </row>
    <row r="55" spans="3:18">
      <c r="C55" s="334" t="s">
        <v>949</v>
      </c>
      <c r="D55" s="75"/>
      <c r="E55" s="335" t="s">
        <v>942</v>
      </c>
      <c r="F55" s="335" t="s">
        <v>950</v>
      </c>
      <c r="G55" s="335" t="s">
        <v>225</v>
      </c>
      <c r="M55" s="331"/>
      <c r="N55" s="331"/>
      <c r="O55" s="331"/>
      <c r="P55" s="331"/>
      <c r="Q55" s="331"/>
      <c r="R55" s="331"/>
    </row>
    <row r="56" spans="3:18">
      <c r="C56" s="336" cm="1">
        <f t="array" ref="C56:C60">TRANSPOSE($M$6:$Q$6)</f>
        <v>25</v>
      </c>
      <c r="D56" s="75"/>
      <c r="E56" s="337" cm="1">
        <f t="array" aca="1" ref="E56:E60" ca="1">TRANSPOSE($M$39:$Q$39)</f>
        <v>1500</v>
      </c>
      <c r="F56" s="329">
        <v>0</v>
      </c>
      <c r="G56" s="330">
        <f>C56+5</f>
        <v>30</v>
      </c>
      <c r="H56" s="74"/>
      <c r="I56" s="74"/>
      <c r="J56" s="74"/>
      <c r="K56" s="74"/>
      <c r="L56" s="74"/>
      <c r="M56" s="331">
        <f>IF(M$6=$G56,-$E56,0)</f>
        <v>0</v>
      </c>
      <c r="N56" s="331">
        <f>IF(N$44=$G56,-$E56,0)</f>
        <v>0</v>
      </c>
      <c r="O56" s="331">
        <f>IF(O$44=$G56,-$E56,0)</f>
        <v>0</v>
      </c>
      <c r="P56" s="331">
        <f>IF(P$44=$G56,-$E56,0)</f>
        <v>0</v>
      </c>
      <c r="Q56" s="331">
        <f>IF(Q$44=$G56,-$E56,0)</f>
        <v>0</v>
      </c>
      <c r="R56" s="331">
        <f>IF(R$44=$G56,-$E56,0)</f>
        <v>0</v>
      </c>
    </row>
    <row r="57" spans="3:18">
      <c r="C57" s="336">
        <v>26</v>
      </c>
      <c r="D57" s="75"/>
      <c r="E57" s="337">
        <f ca="1"/>
        <v>0</v>
      </c>
      <c r="F57" s="329">
        <v>0</v>
      </c>
      <c r="G57" s="330">
        <f t="shared" ref="G57:G60" si="8">C57+5</f>
        <v>31</v>
      </c>
      <c r="H57" s="74"/>
      <c r="I57" s="74"/>
      <c r="J57" s="74"/>
      <c r="K57" s="74"/>
      <c r="L57" s="74"/>
      <c r="M57" s="331">
        <f t="shared" ref="M57:R60" si="9">IF(M$44=$G57,-$E57,0)</f>
        <v>0</v>
      </c>
      <c r="N57" s="331">
        <f t="shared" si="9"/>
        <v>0</v>
      </c>
      <c r="O57" s="331">
        <f t="shared" si="9"/>
        <v>0</v>
      </c>
      <c r="P57" s="331">
        <f t="shared" si="9"/>
        <v>0</v>
      </c>
      <c r="Q57" s="331">
        <f t="shared" si="9"/>
        <v>0</v>
      </c>
      <c r="R57" s="331">
        <f t="shared" si="9"/>
        <v>0</v>
      </c>
    </row>
    <row r="58" spans="3:18">
      <c r="C58" s="336">
        <v>27</v>
      </c>
      <c r="D58" s="75"/>
      <c r="E58" s="337">
        <f ca="1"/>
        <v>0</v>
      </c>
      <c r="F58" s="329">
        <v>0</v>
      </c>
      <c r="G58" s="330">
        <f t="shared" si="8"/>
        <v>32</v>
      </c>
      <c r="H58" s="74"/>
      <c r="I58" s="74"/>
      <c r="J58" s="74"/>
      <c r="K58" s="74"/>
      <c r="L58" s="74"/>
      <c r="M58" s="331">
        <f t="shared" si="9"/>
        <v>0</v>
      </c>
      <c r="N58" s="331">
        <f t="shared" si="9"/>
        <v>0</v>
      </c>
      <c r="O58" s="331">
        <f t="shared" si="9"/>
        <v>0</v>
      </c>
      <c r="P58" s="331">
        <f t="shared" si="9"/>
        <v>0</v>
      </c>
      <c r="Q58" s="331">
        <f t="shared" si="9"/>
        <v>0</v>
      </c>
      <c r="R58" s="331">
        <f t="shared" si="9"/>
        <v>0</v>
      </c>
    </row>
    <row r="59" spans="3:18">
      <c r="C59" s="336">
        <v>28</v>
      </c>
      <c r="D59" s="75"/>
      <c r="E59" s="337">
        <f ca="1"/>
        <v>0</v>
      </c>
      <c r="F59" s="329">
        <v>0</v>
      </c>
      <c r="G59" s="330">
        <f t="shared" si="8"/>
        <v>33</v>
      </c>
      <c r="H59" s="74"/>
      <c r="I59" s="74"/>
      <c r="J59" s="74"/>
      <c r="K59" s="74"/>
      <c r="L59" s="74"/>
      <c r="M59" s="331">
        <f t="shared" si="9"/>
        <v>0</v>
      </c>
      <c r="N59" s="331">
        <f t="shared" si="9"/>
        <v>0</v>
      </c>
      <c r="O59" s="331">
        <f t="shared" si="9"/>
        <v>0</v>
      </c>
      <c r="P59" s="331">
        <f t="shared" si="9"/>
        <v>0</v>
      </c>
      <c r="Q59" s="331">
        <f t="shared" si="9"/>
        <v>0</v>
      </c>
      <c r="R59" s="331">
        <f t="shared" si="9"/>
        <v>0</v>
      </c>
    </row>
    <row r="60" spans="3:18">
      <c r="C60" s="336">
        <v>29</v>
      </c>
      <c r="D60" s="75"/>
      <c r="E60" s="337">
        <f ca="1"/>
        <v>0</v>
      </c>
      <c r="F60" s="329">
        <v>0</v>
      </c>
      <c r="G60" s="330">
        <f t="shared" si="8"/>
        <v>34</v>
      </c>
      <c r="H60" s="74"/>
      <c r="I60" s="74"/>
      <c r="J60" s="74"/>
      <c r="K60" s="74"/>
      <c r="L60" s="74"/>
      <c r="M60" s="331">
        <f t="shared" si="9"/>
        <v>0</v>
      </c>
      <c r="N60" s="331">
        <f t="shared" si="9"/>
        <v>0</v>
      </c>
      <c r="O60" s="331">
        <f t="shared" si="9"/>
        <v>0</v>
      </c>
      <c r="P60" s="331">
        <f t="shared" si="9"/>
        <v>0</v>
      </c>
      <c r="Q60" s="331">
        <f t="shared" si="9"/>
        <v>0</v>
      </c>
      <c r="R60" s="331">
        <f t="shared" si="9"/>
        <v>0</v>
      </c>
    </row>
    <row r="62" spans="3:18">
      <c r="C62" s="338" t="s">
        <v>951</v>
      </c>
      <c r="D62" s="160"/>
      <c r="E62" s="339"/>
      <c r="F62" s="340"/>
      <c r="G62" s="341"/>
      <c r="H62" s="324"/>
      <c r="I62" s="324"/>
      <c r="J62" s="324"/>
      <c r="K62" s="324"/>
      <c r="L62" s="324"/>
      <c r="M62" s="311">
        <f>SUM(M49:M60)</f>
        <v>-39</v>
      </c>
      <c r="N62" s="311">
        <f>SUM(N49:N60)</f>
        <v>0</v>
      </c>
      <c r="O62" s="311">
        <f>SUM(O49:O60)</f>
        <v>0</v>
      </c>
      <c r="P62" s="311">
        <f>SUM(P49:P60)</f>
        <v>-1509</v>
      </c>
      <c r="Q62" s="311">
        <f>SUM(Q49:Q60)</f>
        <v>-158</v>
      </c>
      <c r="R62" s="342">
        <f>SUM(R56:R60,R49:R49)</f>
        <v>0</v>
      </c>
    </row>
    <row r="63" spans="3:18">
      <c r="C63" s="320"/>
      <c r="D63" s="75"/>
      <c r="E63" s="75"/>
      <c r="F63" s="75"/>
      <c r="G63" s="75"/>
      <c r="H63" s="75"/>
      <c r="I63" s="75"/>
      <c r="J63" s="75"/>
      <c r="K63" s="75"/>
      <c r="L63" s="75"/>
      <c r="M63" s="75"/>
      <c r="N63" s="75"/>
      <c r="O63" s="75"/>
      <c r="P63" s="75"/>
      <c r="Q63" s="75"/>
    </row>
    <row r="64" spans="3:18">
      <c r="C64" s="386" t="s">
        <v>952</v>
      </c>
      <c r="D64" s="386"/>
      <c r="E64" s="386"/>
      <c r="F64" s="387"/>
      <c r="G64" s="388"/>
      <c r="H64" s="388"/>
      <c r="I64" s="388"/>
      <c r="J64" s="388"/>
      <c r="K64" s="388"/>
      <c r="L64" s="388"/>
      <c r="M64" s="388"/>
      <c r="N64" s="389"/>
      <c r="O64" s="389"/>
      <c r="P64" s="389"/>
      <c r="Q64" s="389"/>
    </row>
    <row r="65" spans="3:18">
      <c r="C65" s="320"/>
      <c r="D65" s="75"/>
      <c r="E65" s="343"/>
      <c r="F65" s="75"/>
      <c r="G65" s="75"/>
      <c r="H65" s="75"/>
      <c r="I65" s="75"/>
      <c r="J65" s="75"/>
      <c r="K65" s="75"/>
      <c r="L65" s="75"/>
      <c r="M65" s="75"/>
      <c r="N65" s="75"/>
      <c r="O65" s="75"/>
      <c r="P65" s="75"/>
      <c r="Q65" s="75"/>
    </row>
    <row r="66" spans="3:18">
      <c r="C66" s="61" t="s">
        <v>941</v>
      </c>
      <c r="D66" s="75"/>
      <c r="E66" s="327" t="s">
        <v>942</v>
      </c>
      <c r="F66" s="327" t="s">
        <v>943</v>
      </c>
      <c r="G66" s="327" t="s">
        <v>225</v>
      </c>
      <c r="H66" s="75"/>
      <c r="I66" s="75"/>
      <c r="J66" s="75"/>
      <c r="K66" s="75"/>
      <c r="L66" s="75"/>
      <c r="M66" s="75"/>
      <c r="N66" s="75"/>
      <c r="O66" s="75"/>
      <c r="P66" s="75"/>
      <c r="Q66" s="75"/>
    </row>
    <row r="67" spans="3:18">
      <c r="C67" s="322" t="s">
        <v>944</v>
      </c>
      <c r="D67" s="75"/>
      <c r="E67" s="328">
        <v>39</v>
      </c>
      <c r="F67" s="329">
        <v>7.0000000000000007E-2</v>
      </c>
      <c r="G67" s="330">
        <v>25</v>
      </c>
      <c r="H67" s="74"/>
      <c r="I67" s="74"/>
      <c r="J67" s="74"/>
      <c r="K67" s="74"/>
      <c r="L67" s="74"/>
      <c r="M67" s="331">
        <f t="shared" ref="M67:Q71" si="10">IF(M$6&lt;=$G67,-$E67*$F67,0)</f>
        <v>-2.7300000000000004</v>
      </c>
      <c r="N67" s="331">
        <f t="shared" si="10"/>
        <v>0</v>
      </c>
      <c r="O67" s="331">
        <f t="shared" si="10"/>
        <v>0</v>
      </c>
      <c r="P67" s="331">
        <f t="shared" si="10"/>
        <v>0</v>
      </c>
      <c r="Q67" s="331">
        <f t="shared" si="10"/>
        <v>0</v>
      </c>
      <c r="R67" s="331">
        <f t="shared" ref="R67:R71" si="11">IF(R$6=$G67,-$E67,0)</f>
        <v>0</v>
      </c>
    </row>
    <row r="68" spans="3:18">
      <c r="C68" s="322" t="s">
        <v>945</v>
      </c>
      <c r="D68" s="75"/>
      <c r="E68" s="328">
        <f>9</f>
        <v>9</v>
      </c>
      <c r="F68" s="329">
        <v>0.02</v>
      </c>
      <c r="G68" s="330">
        <v>28</v>
      </c>
      <c r="H68" s="74"/>
      <c r="I68" s="74"/>
      <c r="J68" s="74"/>
      <c r="K68" s="74"/>
      <c r="L68" s="74"/>
      <c r="M68" s="331">
        <f t="shared" si="10"/>
        <v>-0.18</v>
      </c>
      <c r="N68" s="331">
        <f t="shared" si="10"/>
        <v>-0.18</v>
      </c>
      <c r="O68" s="331">
        <f t="shared" si="10"/>
        <v>-0.18</v>
      </c>
      <c r="P68" s="331">
        <f t="shared" si="10"/>
        <v>-0.18</v>
      </c>
      <c r="Q68" s="331">
        <f t="shared" si="10"/>
        <v>0</v>
      </c>
      <c r="R68" s="331">
        <f t="shared" si="11"/>
        <v>0</v>
      </c>
    </row>
    <row r="69" spans="3:18">
      <c r="C69" s="322" t="s">
        <v>946</v>
      </c>
      <c r="D69" s="75"/>
      <c r="E69" s="328">
        <v>158</v>
      </c>
      <c r="F69" s="329">
        <v>4.9500000000000002E-2</v>
      </c>
      <c r="G69" s="330">
        <v>29</v>
      </c>
      <c r="H69" s="74"/>
      <c r="I69" s="74"/>
      <c r="J69" s="74"/>
      <c r="K69" s="74"/>
      <c r="L69" s="74"/>
      <c r="M69" s="331">
        <f t="shared" ref="M69:Q70" si="12">IF(M$6&lt;=$G69,-$E69*$F69,0)</f>
        <v>-7.8210000000000006</v>
      </c>
      <c r="N69" s="331">
        <f t="shared" si="12"/>
        <v>-7.8210000000000006</v>
      </c>
      <c r="O69" s="331">
        <f t="shared" si="12"/>
        <v>-7.8210000000000006</v>
      </c>
      <c r="P69" s="331">
        <f t="shared" si="12"/>
        <v>-7.8210000000000006</v>
      </c>
      <c r="Q69" s="331">
        <f t="shared" si="12"/>
        <v>-7.8210000000000006</v>
      </c>
      <c r="R69" s="331">
        <f>IF(R$6=$G69,-$E69,0)</f>
        <v>0</v>
      </c>
    </row>
    <row r="70" spans="3:18">
      <c r="C70" s="322" t="s">
        <v>947</v>
      </c>
      <c r="D70" s="75"/>
      <c r="E70" s="328">
        <v>1500</v>
      </c>
      <c r="F70" s="329">
        <v>0</v>
      </c>
      <c r="G70" s="330">
        <v>28</v>
      </c>
      <c r="H70" s="74"/>
      <c r="I70" s="74"/>
      <c r="J70" s="74"/>
      <c r="K70" s="74"/>
      <c r="L70" s="74"/>
      <c r="M70" s="331">
        <f t="shared" si="12"/>
        <v>0</v>
      </c>
      <c r="N70" s="331">
        <f t="shared" si="12"/>
        <v>0</v>
      </c>
      <c r="O70" s="331">
        <f t="shared" si="12"/>
        <v>0</v>
      </c>
      <c r="P70" s="331">
        <f t="shared" si="12"/>
        <v>0</v>
      </c>
      <c r="Q70" s="331">
        <f t="shared" si="12"/>
        <v>0</v>
      </c>
      <c r="R70" s="331">
        <f>IF(R$6=$G70,-$E70,0)</f>
        <v>0</v>
      </c>
    </row>
    <row r="71" spans="3:18">
      <c r="C71" s="322" t="s">
        <v>948</v>
      </c>
      <c r="D71" s="75"/>
      <c r="E71" s="328">
        <v>158</v>
      </c>
      <c r="F71" s="329">
        <v>8.3000000000000004E-2</v>
      </c>
      <c r="G71" s="330">
        <v>37</v>
      </c>
      <c r="H71" s="74"/>
      <c r="I71" s="74"/>
      <c r="J71" s="74"/>
      <c r="K71" s="74"/>
      <c r="L71" s="74"/>
      <c r="M71" s="331">
        <f t="shared" si="10"/>
        <v>-13.114000000000001</v>
      </c>
      <c r="N71" s="331">
        <f t="shared" si="10"/>
        <v>-13.114000000000001</v>
      </c>
      <c r="O71" s="331">
        <f t="shared" si="10"/>
        <v>-13.114000000000001</v>
      </c>
      <c r="P71" s="331">
        <f t="shared" si="10"/>
        <v>-13.114000000000001</v>
      </c>
      <c r="Q71" s="331">
        <f t="shared" si="10"/>
        <v>-13.114000000000001</v>
      </c>
      <c r="R71" s="331">
        <f t="shared" si="11"/>
        <v>0</v>
      </c>
    </row>
    <row r="72" spans="3:18">
      <c r="E72" s="332"/>
      <c r="G72" s="333"/>
    </row>
    <row r="73" spans="3:18">
      <c r="C73" s="320" t="s">
        <v>949</v>
      </c>
      <c r="D73" s="75"/>
      <c r="E73" s="327" t="s">
        <v>942</v>
      </c>
      <c r="F73" s="327" t="s">
        <v>950</v>
      </c>
      <c r="G73" s="327" t="s">
        <v>225</v>
      </c>
      <c r="M73" s="331"/>
      <c r="N73" s="331"/>
      <c r="O73" s="331"/>
      <c r="P73" s="331"/>
      <c r="Q73" s="331"/>
      <c r="R73" s="331"/>
    </row>
    <row r="74" spans="3:18">
      <c r="C74" s="336" cm="1">
        <f t="array" ref="C74:C78">TRANSPOSE($M$6:$Q$6)</f>
        <v>25</v>
      </c>
      <c r="D74" s="75"/>
      <c r="E74" s="337" cm="1">
        <f t="array" aca="1" ref="E74:E78" ca="1">TRANSPOSE($M$39:$Q$39)</f>
        <v>1500</v>
      </c>
      <c r="F74" s="329">
        <v>0</v>
      </c>
      <c r="G74" s="330">
        <f>C74+5</f>
        <v>30</v>
      </c>
      <c r="H74" s="74"/>
      <c r="I74" s="74"/>
      <c r="J74" s="74"/>
      <c r="K74" s="74"/>
      <c r="L74" s="74"/>
      <c r="M74" s="331">
        <f ca="1">IF(M$6&lt;=$G74,-$E74*$F74,0)</f>
        <v>0</v>
      </c>
      <c r="N74" s="331">
        <f t="shared" ref="M74:Q78" ca="1" si="13">IF(N$6&lt;=$G74,-$E74*$F74,0)</f>
        <v>0</v>
      </c>
      <c r="O74" s="331">
        <f t="shared" ca="1" si="13"/>
        <v>0</v>
      </c>
      <c r="P74" s="331">
        <f t="shared" ca="1" si="13"/>
        <v>0</v>
      </c>
      <c r="Q74" s="331">
        <f t="shared" ca="1" si="13"/>
        <v>0</v>
      </c>
      <c r="R74" s="331">
        <f>IF(R$44=$G74,-$E74,0)</f>
        <v>0</v>
      </c>
    </row>
    <row r="75" spans="3:18">
      <c r="C75" s="336">
        <v>26</v>
      </c>
      <c r="D75" s="75"/>
      <c r="E75" s="337">
        <f ca="1"/>
        <v>0</v>
      </c>
      <c r="F75" s="329">
        <v>0</v>
      </c>
      <c r="G75" s="330">
        <f t="shared" ref="G75:G78" si="14">C75+5</f>
        <v>31</v>
      </c>
      <c r="H75" s="74"/>
      <c r="I75" s="74"/>
      <c r="J75" s="74"/>
      <c r="K75" s="74"/>
      <c r="L75" s="74"/>
      <c r="M75" s="331">
        <f t="shared" ca="1" si="13"/>
        <v>0</v>
      </c>
      <c r="N75" s="331">
        <f t="shared" ca="1" si="13"/>
        <v>0</v>
      </c>
      <c r="O75" s="331">
        <f t="shared" ca="1" si="13"/>
        <v>0</v>
      </c>
      <c r="P75" s="331">
        <f t="shared" ca="1" si="13"/>
        <v>0</v>
      </c>
      <c r="Q75" s="331">
        <f t="shared" ca="1" si="13"/>
        <v>0</v>
      </c>
      <c r="R75" s="331">
        <f>IF(R$44=$G75,-$E75,0)</f>
        <v>0</v>
      </c>
    </row>
    <row r="76" spans="3:18">
      <c r="C76" s="336">
        <v>27</v>
      </c>
      <c r="D76" s="75"/>
      <c r="E76" s="337">
        <f ca="1"/>
        <v>0</v>
      </c>
      <c r="F76" s="329">
        <v>0</v>
      </c>
      <c r="G76" s="330">
        <f t="shared" si="14"/>
        <v>32</v>
      </c>
      <c r="H76" s="74"/>
      <c r="I76" s="74"/>
      <c r="J76" s="74"/>
      <c r="K76" s="74"/>
      <c r="L76" s="74"/>
      <c r="M76" s="331">
        <f t="shared" ca="1" si="13"/>
        <v>0</v>
      </c>
      <c r="N76" s="331">
        <f t="shared" ca="1" si="13"/>
        <v>0</v>
      </c>
      <c r="O76" s="331">
        <f t="shared" ca="1" si="13"/>
        <v>0</v>
      </c>
      <c r="P76" s="331">
        <f t="shared" ca="1" si="13"/>
        <v>0</v>
      </c>
      <c r="Q76" s="331">
        <f t="shared" ca="1" si="13"/>
        <v>0</v>
      </c>
      <c r="R76" s="331">
        <f>IF(R$44=$G76,-$E76,0)</f>
        <v>0</v>
      </c>
    </row>
    <row r="77" spans="3:18">
      <c r="C77" s="336">
        <v>28</v>
      </c>
      <c r="D77" s="75"/>
      <c r="E77" s="337">
        <f ca="1"/>
        <v>0</v>
      </c>
      <c r="F77" s="329">
        <v>0</v>
      </c>
      <c r="G77" s="330">
        <f t="shared" si="14"/>
        <v>33</v>
      </c>
      <c r="H77" s="74"/>
      <c r="I77" s="74"/>
      <c r="J77" s="74"/>
      <c r="K77" s="74"/>
      <c r="L77" s="74"/>
      <c r="M77" s="331">
        <f t="shared" ca="1" si="13"/>
        <v>0</v>
      </c>
      <c r="N77" s="331">
        <f t="shared" ca="1" si="13"/>
        <v>0</v>
      </c>
      <c r="O77" s="331">
        <f t="shared" ca="1" si="13"/>
        <v>0</v>
      </c>
      <c r="P77" s="331">
        <f t="shared" ca="1" si="13"/>
        <v>0</v>
      </c>
      <c r="Q77" s="331">
        <f t="shared" ca="1" si="13"/>
        <v>0</v>
      </c>
      <c r="R77" s="331">
        <f>IF(R$44=$G77,-$E77,0)</f>
        <v>0</v>
      </c>
    </row>
    <row r="78" spans="3:18">
      <c r="C78" s="336">
        <v>29</v>
      </c>
      <c r="D78" s="75"/>
      <c r="E78" s="337">
        <f ca="1"/>
        <v>0</v>
      </c>
      <c r="F78" s="329">
        <v>0</v>
      </c>
      <c r="G78" s="330">
        <f t="shared" si="14"/>
        <v>34</v>
      </c>
      <c r="H78" s="74"/>
      <c r="I78" s="74"/>
      <c r="J78" s="74"/>
      <c r="K78" s="74"/>
      <c r="L78" s="74"/>
      <c r="M78" s="331">
        <f t="shared" ca="1" si="13"/>
        <v>0</v>
      </c>
      <c r="N78" s="331">
        <f t="shared" ca="1" si="13"/>
        <v>0</v>
      </c>
      <c r="O78" s="331">
        <f t="shared" ca="1" si="13"/>
        <v>0</v>
      </c>
      <c r="P78" s="331">
        <f t="shared" ca="1" si="13"/>
        <v>0</v>
      </c>
      <c r="Q78" s="331">
        <f t="shared" ca="1" si="13"/>
        <v>0</v>
      </c>
      <c r="R78" s="331">
        <f>IF(R$44=$G78,-$E78,0)</f>
        <v>0</v>
      </c>
    </row>
    <row r="80" spans="3:18">
      <c r="C80" s="338" t="s">
        <v>953</v>
      </c>
      <c r="D80" s="160"/>
      <c r="E80" s="339"/>
      <c r="F80" s="340"/>
      <c r="G80" s="341"/>
      <c r="H80" s="324"/>
      <c r="I80" s="324"/>
      <c r="J80" s="324"/>
      <c r="K80" s="324"/>
      <c r="L80" s="324"/>
      <c r="M80" s="311">
        <f ca="1">SUM(M74:M78,M67:M71)</f>
        <v>-23.845000000000002</v>
      </c>
      <c r="N80" s="311">
        <f t="shared" ref="N80:R80" ca="1" si="15">SUM(N74:N78,N67:N71)</f>
        <v>-21.115000000000002</v>
      </c>
      <c r="O80" s="311">
        <f t="shared" ca="1" si="15"/>
        <v>-21.115000000000002</v>
      </c>
      <c r="P80" s="311">
        <f t="shared" ca="1" si="15"/>
        <v>-21.115000000000002</v>
      </c>
      <c r="Q80" s="312">
        <f t="shared" ca="1" si="15"/>
        <v>-20.935000000000002</v>
      </c>
      <c r="R80" s="315">
        <f t="shared" si="15"/>
        <v>0</v>
      </c>
    </row>
    <row r="82" spans="1:17">
      <c r="A82" s="379">
        <v>2</v>
      </c>
      <c r="C82" s="380" t="s">
        <v>954</v>
      </c>
      <c r="D82" s="380"/>
      <c r="E82" s="380"/>
      <c r="F82" s="380"/>
      <c r="G82" s="380"/>
      <c r="H82" s="380"/>
      <c r="I82" s="380"/>
      <c r="J82" s="380"/>
      <c r="K82" s="380"/>
      <c r="L82" s="380"/>
      <c r="M82" s="380"/>
      <c r="N82" s="380"/>
      <c r="O82" s="380"/>
      <c r="P82" s="380"/>
      <c r="Q82" s="380"/>
    </row>
    <row r="84" spans="1:17">
      <c r="C84" s="216" t="s">
        <v>955</v>
      </c>
      <c r="D84" s="217"/>
      <c r="E84" s="218"/>
      <c r="F84" s="219"/>
      <c r="G84" s="216"/>
      <c r="H84" s="216"/>
      <c r="I84" s="216"/>
      <c r="J84" s="216"/>
      <c r="K84" s="216"/>
      <c r="L84" s="216"/>
      <c r="M84" s="216"/>
      <c r="N84" s="216"/>
      <c r="O84" s="216"/>
      <c r="P84" s="216"/>
      <c r="Q84" s="216"/>
    </row>
    <row r="85" spans="1:17">
      <c r="C85" s="344" t="s">
        <v>956</v>
      </c>
      <c r="D85" s="345"/>
      <c r="E85" s="345"/>
      <c r="F85" s="345"/>
      <c r="G85" s="345"/>
      <c r="H85" s="74"/>
      <c r="I85" s="74"/>
      <c r="J85" s="74"/>
      <c r="K85" s="74"/>
      <c r="L85" s="74"/>
      <c r="M85" s="346">
        <f>L89</f>
        <v>-17347</v>
      </c>
      <c r="N85" s="346">
        <f t="shared" ref="N85:Q85" ca="1" si="16">M89</f>
        <v>-17222.592429365512</v>
      </c>
      <c r="O85" s="346">
        <f t="shared" ca="1" si="16"/>
        <v>-16890.95897590938</v>
      </c>
      <c r="P85" s="346">
        <f t="shared" ca="1" si="16"/>
        <v>-16263.474135667446</v>
      </c>
      <c r="Q85" s="346">
        <f t="shared" ca="1" si="16"/>
        <v>-15218.269946271805</v>
      </c>
    </row>
    <row r="86" spans="1:17">
      <c r="C86" s="344" t="s">
        <v>957</v>
      </c>
      <c r="D86" s="345"/>
      <c r="E86" s="345"/>
      <c r="F86" s="345"/>
      <c r="G86" s="345"/>
      <c r="H86" s="347">
        <f>'3FS'!D110</f>
        <v>-2608</v>
      </c>
      <c r="I86" s="347">
        <f>'3FS'!E110</f>
        <v>-3449</v>
      </c>
      <c r="J86" s="347">
        <f>'3FS'!F110</f>
        <v>-1683</v>
      </c>
      <c r="K86" s="347">
        <f>'3FS'!G110</f>
        <v>-434</v>
      </c>
      <c r="L86" s="347">
        <f>'3FS'!H110</f>
        <v>-105</v>
      </c>
      <c r="M86" s="348">
        <f ca="1">'3FS'!I110</f>
        <v>124.40757063448842</v>
      </c>
      <c r="N86" s="348">
        <f ca="1">'3FS'!J110</f>
        <v>331.63345345613197</v>
      </c>
      <c r="O86" s="348">
        <f ca="1">'3FS'!K110</f>
        <v>627.48484024193294</v>
      </c>
      <c r="P86" s="348">
        <f ca="1">'3FS'!L110</f>
        <v>1045.2041893956418</v>
      </c>
      <c r="Q86" s="348">
        <f ca="1">'3FS'!M110</f>
        <v>1627.236427897328</v>
      </c>
    </row>
    <row r="87" spans="1:17">
      <c r="C87" s="344" t="s">
        <v>958</v>
      </c>
      <c r="D87" s="345"/>
      <c r="E87" s="345"/>
      <c r="F87" s="345"/>
      <c r="G87" s="345"/>
      <c r="H87" s="74"/>
      <c r="I87" s="74"/>
      <c r="J87" s="74"/>
      <c r="K87" s="74"/>
      <c r="L87" s="74"/>
      <c r="M87" s="349">
        <f ca="1">M34</f>
        <v>0</v>
      </c>
      <c r="N87" s="349">
        <f ca="1">N34</f>
        <v>0</v>
      </c>
      <c r="O87" s="349">
        <f ca="1">O34</f>
        <v>0</v>
      </c>
      <c r="P87" s="349">
        <f ca="1">P34</f>
        <v>0</v>
      </c>
      <c r="Q87" s="349">
        <f ca="1">Q34</f>
        <v>0</v>
      </c>
    </row>
    <row r="88" spans="1:17">
      <c r="C88" s="344" t="s">
        <v>929</v>
      </c>
      <c r="D88" s="345"/>
      <c r="E88" s="345"/>
      <c r="F88" s="345"/>
      <c r="G88" s="345"/>
      <c r="H88" s="74"/>
      <c r="I88" s="74"/>
      <c r="J88" s="74"/>
      <c r="K88" s="74"/>
      <c r="L88" s="74"/>
      <c r="M88" s="349">
        <v>0</v>
      </c>
      <c r="N88" s="349">
        <v>0</v>
      </c>
      <c r="O88" s="349">
        <v>0</v>
      </c>
      <c r="P88" s="349">
        <v>0</v>
      </c>
      <c r="Q88" s="349">
        <v>0</v>
      </c>
    </row>
    <row r="89" spans="1:17">
      <c r="C89" s="350" t="s">
        <v>959</v>
      </c>
      <c r="D89" s="351"/>
      <c r="E89" s="351"/>
      <c r="F89" s="351"/>
      <c r="G89" s="351"/>
      <c r="H89" s="352">
        <f>'3FS'!D99</f>
        <v>-10490</v>
      </c>
      <c r="I89" s="352">
        <f>'3FS'!E99</f>
        <v>-14402</v>
      </c>
      <c r="J89" s="352">
        <f>'3FS'!F99</f>
        <v>-16277</v>
      </c>
      <c r="K89" s="352">
        <f>'3FS'!G99</f>
        <v>-16764</v>
      </c>
      <c r="L89" s="352">
        <f>'3FS'!H99</f>
        <v>-17347</v>
      </c>
      <c r="M89" s="353">
        <f ca="1">SUM(M85:M88)</f>
        <v>-17222.592429365512</v>
      </c>
      <c r="N89" s="353">
        <f t="shared" ref="N89:Q89" ca="1" si="17">SUM(N85:N88)</f>
        <v>-16890.95897590938</v>
      </c>
      <c r="O89" s="353">
        <f t="shared" ca="1" si="17"/>
        <v>-16263.474135667446</v>
      </c>
      <c r="P89" s="353">
        <f t="shared" ca="1" si="17"/>
        <v>-15218.269946271805</v>
      </c>
      <c r="Q89" s="353">
        <f t="shared" ca="1" si="17"/>
        <v>-13591.033518374477</v>
      </c>
    </row>
    <row r="91" spans="1:17">
      <c r="C91" s="216" t="s">
        <v>960</v>
      </c>
      <c r="D91" s="217"/>
      <c r="E91" s="218"/>
      <c r="F91" s="219"/>
      <c r="G91" s="216"/>
      <c r="H91" s="390"/>
      <c r="I91" s="390"/>
      <c r="J91" s="390"/>
      <c r="K91" s="390"/>
      <c r="L91" s="390"/>
      <c r="M91" s="216"/>
      <c r="N91" s="216"/>
      <c r="O91" s="216"/>
      <c r="P91" s="216"/>
      <c r="Q91" s="216"/>
    </row>
    <row r="92" spans="1:17">
      <c r="C92" s="354"/>
      <c r="D92" s="354"/>
      <c r="E92" s="354"/>
      <c r="F92" s="354"/>
      <c r="G92" s="354"/>
      <c r="H92" s="355"/>
      <c r="I92" s="355"/>
      <c r="J92" s="355"/>
      <c r="K92" s="355"/>
      <c r="L92" s="355"/>
      <c r="M92" s="356"/>
      <c r="N92" s="356"/>
      <c r="O92" s="356"/>
      <c r="P92" s="356"/>
      <c r="Q92" s="356"/>
    </row>
    <row r="93" spans="1:17">
      <c r="C93" s="357" t="s">
        <v>961</v>
      </c>
      <c r="D93" s="357"/>
      <c r="E93" s="357"/>
      <c r="F93" s="357"/>
      <c r="G93" s="357"/>
      <c r="H93" s="358"/>
      <c r="I93" s="359">
        <f t="shared" ref="I93:Q93" si="18">H96</f>
        <v>140</v>
      </c>
      <c r="J93" s="359">
        <f t="shared" si="18"/>
        <v>21529</v>
      </c>
      <c r="K93" s="359">
        <f t="shared" si="18"/>
        <v>22278</v>
      </c>
      <c r="L93" s="359">
        <f t="shared" si="18"/>
        <v>22669</v>
      </c>
      <c r="M93" s="360">
        <f t="shared" si="18"/>
        <v>23549</v>
      </c>
      <c r="N93" s="360">
        <f t="shared" si="18"/>
        <v>23549</v>
      </c>
      <c r="O93" s="360">
        <f t="shared" si="18"/>
        <v>23549</v>
      </c>
      <c r="P93" s="360">
        <f t="shared" si="18"/>
        <v>23549</v>
      </c>
      <c r="Q93" s="360">
        <f t="shared" si="18"/>
        <v>23549</v>
      </c>
    </row>
    <row r="94" spans="1:17">
      <c r="C94" s="354" t="s">
        <v>962</v>
      </c>
      <c r="D94" s="354"/>
      <c r="E94" s="354"/>
      <c r="F94" s="354"/>
      <c r="G94" s="354"/>
      <c r="H94" s="55">
        <v>54</v>
      </c>
      <c r="I94" s="55">
        <v>357</v>
      </c>
      <c r="J94" s="55">
        <v>412</v>
      </c>
      <c r="K94" s="55">
        <v>304</v>
      </c>
      <c r="L94" s="55">
        <v>279</v>
      </c>
      <c r="M94" s="361">
        <v>0</v>
      </c>
      <c r="N94" s="361">
        <v>0</v>
      </c>
      <c r="O94" s="361">
        <v>0</v>
      </c>
      <c r="P94" s="361">
        <v>0</v>
      </c>
      <c r="Q94" s="361">
        <v>0</v>
      </c>
    </row>
    <row r="95" spans="1:17">
      <c r="C95" s="354" t="s">
        <v>963</v>
      </c>
      <c r="D95" s="362"/>
      <c r="E95" s="362"/>
      <c r="F95" s="362"/>
      <c r="G95" s="362"/>
      <c r="H95" s="363">
        <v>0</v>
      </c>
      <c r="I95" s="363">
        <v>0</v>
      </c>
      <c r="J95" s="363">
        <v>0</v>
      </c>
      <c r="K95" s="363">
        <v>0</v>
      </c>
      <c r="L95" s="363">
        <v>0</v>
      </c>
      <c r="M95" s="364">
        <v>0</v>
      </c>
      <c r="N95" s="364">
        <v>0</v>
      </c>
      <c r="O95" s="364">
        <v>0</v>
      </c>
      <c r="P95" s="364">
        <v>0</v>
      </c>
      <c r="Q95" s="364">
        <v>0</v>
      </c>
    </row>
    <row r="96" spans="1:17">
      <c r="C96" s="365" t="s">
        <v>964</v>
      </c>
      <c r="D96" s="366"/>
      <c r="E96" s="366"/>
      <c r="F96" s="366"/>
      <c r="G96" s="366"/>
      <c r="H96" s="367">
        <f>'3FS'!D98</f>
        <v>140</v>
      </c>
      <c r="I96" s="367">
        <f>'3FS'!E98</f>
        <v>21529</v>
      </c>
      <c r="J96" s="367">
        <f>'3FS'!F98</f>
        <v>22278</v>
      </c>
      <c r="K96" s="367">
        <f>'3FS'!G98</f>
        <v>22669</v>
      </c>
      <c r="L96" s="367">
        <f>'3FS'!H98</f>
        <v>23549</v>
      </c>
      <c r="M96" s="368">
        <f t="shared" ref="M96:Q96" si="19">SUM(M93:M95)</f>
        <v>23549</v>
      </c>
      <c r="N96" s="368">
        <f t="shared" si="19"/>
        <v>23549</v>
      </c>
      <c r="O96" s="368">
        <f t="shared" si="19"/>
        <v>23549</v>
      </c>
      <c r="P96" s="368">
        <f t="shared" si="19"/>
        <v>23549</v>
      </c>
      <c r="Q96" s="368">
        <f t="shared" si="19"/>
        <v>23549</v>
      </c>
    </row>
    <row r="97" spans="3:17">
      <c r="H97" s="369"/>
      <c r="I97" s="369"/>
      <c r="J97" s="369"/>
      <c r="K97" s="369"/>
      <c r="L97" s="369"/>
    </row>
    <row r="98" spans="3:17">
      <c r="C98" s="216" t="s">
        <v>954</v>
      </c>
      <c r="D98" s="217"/>
      <c r="E98" s="218"/>
      <c r="F98" s="219"/>
      <c r="G98" s="216"/>
      <c r="H98" s="390"/>
      <c r="I98" s="390"/>
      <c r="J98" s="390"/>
      <c r="K98" s="390"/>
      <c r="L98" s="390"/>
      <c r="M98" s="216"/>
      <c r="N98" s="216"/>
      <c r="O98" s="216"/>
      <c r="P98" s="216"/>
      <c r="Q98" s="216"/>
    </row>
    <row r="100" spans="3:17">
      <c r="C100" s="38" t="s">
        <v>121</v>
      </c>
      <c r="D100" s="169"/>
      <c r="E100" s="169"/>
      <c r="F100" s="75"/>
      <c r="G100" s="76" t="s">
        <v>48</v>
      </c>
      <c r="H100" s="146">
        <f>'3FS'!D100</f>
        <v>3951</v>
      </c>
      <c r="I100" s="146">
        <f>'3FS'!E100</f>
        <v>606</v>
      </c>
      <c r="J100" s="146">
        <f>'3FS'!F100</f>
        <v>602</v>
      </c>
      <c r="K100" s="146">
        <f>'3FS'!G100</f>
        <v>544</v>
      </c>
      <c r="L100" s="146">
        <f>'3FS'!H100</f>
        <v>197</v>
      </c>
      <c r="M100" s="82">
        <f>M101*M20</f>
        <v>242.79231923470027</v>
      </c>
      <c r="N100" s="82">
        <f>N101*N20</f>
        <v>298.78655623144004</v>
      </c>
      <c r="O100" s="82">
        <f>O101*O20</f>
        <v>370.5132902384459</v>
      </c>
      <c r="P100" s="82">
        <f>P101*P20</f>
        <v>459.52616838160037</v>
      </c>
      <c r="Q100" s="82">
        <f>Q101*Q20</f>
        <v>570.22249886028533</v>
      </c>
    </row>
    <row r="101" spans="3:17">
      <c r="C101" s="101" t="s">
        <v>965</v>
      </c>
      <c r="D101" s="101"/>
      <c r="E101" s="101"/>
      <c r="F101" s="101"/>
      <c r="G101" s="101"/>
      <c r="H101" s="102">
        <f>H100/H20</f>
        <v>8.4243070362473347</v>
      </c>
      <c r="I101" s="102">
        <f>I100/I20</f>
        <v>0.89777777777777779</v>
      </c>
      <c r="J101" s="102">
        <f>J100/J20</f>
        <v>0.42009769713886952</v>
      </c>
      <c r="K101" s="102">
        <f>K100/K20</f>
        <v>0.23060618906316235</v>
      </c>
      <c r="L101" s="102">
        <f>L100/L20</f>
        <v>7.0432606363961384E-2</v>
      </c>
      <c r="M101" s="105">
        <f>L101</f>
        <v>7.0432606363961384E-2</v>
      </c>
      <c r="N101" s="105">
        <f>M101</f>
        <v>7.0432606363961384E-2</v>
      </c>
      <c r="O101" s="105">
        <f t="shared" ref="O101:Q101" si="20">N101</f>
        <v>7.0432606363961384E-2</v>
      </c>
      <c r="P101" s="105">
        <f t="shared" si="20"/>
        <v>7.0432606363961384E-2</v>
      </c>
      <c r="Q101" s="105">
        <f t="shared" si="20"/>
        <v>7.0432606363961384E-2</v>
      </c>
    </row>
    <row r="103" spans="3:17">
      <c r="C103" s="149" t="s">
        <v>966</v>
      </c>
      <c r="G103" s="76" t="s">
        <v>48</v>
      </c>
      <c r="H103" s="55">
        <v>3740</v>
      </c>
      <c r="I103" s="55">
        <v>3840</v>
      </c>
      <c r="J103" s="55">
        <v>3930</v>
      </c>
      <c r="K103" s="55">
        <v>4070</v>
      </c>
      <c r="L103" s="55">
        <v>4037</v>
      </c>
      <c r="M103" s="38">
        <f>L103</f>
        <v>4037</v>
      </c>
      <c r="N103" s="38">
        <f t="shared" ref="N103:Q103" si="21">M103</f>
        <v>4037</v>
      </c>
      <c r="O103" s="38">
        <f t="shared" si="21"/>
        <v>4037</v>
      </c>
      <c r="P103" s="38">
        <f t="shared" si="21"/>
        <v>4037</v>
      </c>
      <c r="Q103" s="38">
        <f t="shared" si="21"/>
        <v>4037</v>
      </c>
    </row>
    <row r="104" spans="3:17">
      <c r="C104" s="412"/>
      <c r="D104" s="412"/>
      <c r="E104" s="412"/>
      <c r="F104" s="412"/>
      <c r="G104" s="412"/>
      <c r="H104" s="84"/>
      <c r="I104" s="84"/>
      <c r="J104" s="84"/>
      <c r="K104" s="84"/>
      <c r="L104" s="84"/>
      <c r="M104" s="105">
        <v>0</v>
      </c>
      <c r="N104" s="105">
        <v>0</v>
      </c>
      <c r="O104" s="105">
        <v>0</v>
      </c>
      <c r="P104" s="105">
        <v>0</v>
      </c>
      <c r="Q104" s="105">
        <v>0</v>
      </c>
    </row>
    <row r="106" spans="3:17">
      <c r="C106" s="149" t="s">
        <v>967</v>
      </c>
      <c r="G106" s="76" t="s">
        <v>968</v>
      </c>
      <c r="H106" s="82">
        <f>H86/H103</f>
        <v>-0.69732620320855609</v>
      </c>
      <c r="I106" s="82">
        <f t="shared" ref="I106:Q106" si="22">I86/I103</f>
        <v>-0.89817708333333335</v>
      </c>
      <c r="J106" s="82">
        <f t="shared" si="22"/>
        <v>-0.42824427480916033</v>
      </c>
      <c r="K106" s="82">
        <f t="shared" si="22"/>
        <v>-0.10663390663390664</v>
      </c>
      <c r="L106" s="82">
        <f t="shared" si="22"/>
        <v>-2.6009412930393858E-2</v>
      </c>
      <c r="M106" s="82">
        <f t="shared" ca="1" si="22"/>
        <v>3.0816836917138574E-2</v>
      </c>
      <c r="N106" s="82">
        <f t="shared" ca="1" si="22"/>
        <v>8.2148489833077029E-2</v>
      </c>
      <c r="O106" s="82">
        <f t="shared" ca="1" si="22"/>
        <v>0.15543345064204434</v>
      </c>
      <c r="P106" s="82">
        <f t="shared" ca="1" si="22"/>
        <v>0.25890616531970323</v>
      </c>
      <c r="Q106" s="82">
        <f t="shared" ca="1" si="22"/>
        <v>0.40308061131962547</v>
      </c>
    </row>
    <row r="108" spans="3:17">
      <c r="C108" s="149" t="s">
        <v>1089</v>
      </c>
      <c r="H108" s="55">
        <v>-872</v>
      </c>
      <c r="I108" s="55">
        <v>-1039</v>
      </c>
      <c r="J108" s="55">
        <v>-872</v>
      </c>
      <c r="K108" s="55">
        <v>-6</v>
      </c>
      <c r="L108" s="55">
        <v>739</v>
      </c>
    </row>
  </sheetData>
  <dataValidations disablePrompts="1" count="2">
    <dataValidation type="list" allowBlank="1" showInputMessage="1" showErrorMessage="1" sqref="E4" xr:uid="{D9ED95BA-12F1-4D13-BCC6-38A9297B9A03}">
      <formula1>"Bear Case, Base Case, Bull Case"</formula1>
    </dataValidation>
    <dataValidation type="list" allowBlank="1" showInputMessage="1" showErrorMessage="1" sqref="F18" xr:uid="{7F4EA62D-81CF-4CD8-ADD8-19FA19CDA4E4}">
      <formula1>"ON,OFF"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8CAC2-166A-429D-8AF0-712FF62C742C}">
  <dimension ref="A1:R92"/>
  <sheetViews>
    <sheetView showGridLines="0" zoomScale="53" workbookViewId="0"/>
  </sheetViews>
  <sheetFormatPr baseColWidth="10" defaultColWidth="8.5" defaultRowHeight="16"/>
  <cols>
    <col min="1" max="2" width="2.5" style="149" customWidth="1"/>
    <col min="3" max="3" width="81.5" style="149" customWidth="1"/>
    <col min="4" max="5" width="10.5" style="149" customWidth="1"/>
    <col min="6" max="6" width="12.5" style="149" customWidth="1"/>
    <col min="7" max="16" width="15.5" style="149" customWidth="1"/>
    <col min="17" max="16384" width="8.5" style="149"/>
  </cols>
  <sheetData>
    <row r="1" spans="1:18" s="286" customFormat="1" ht="35">
      <c r="A1" s="285"/>
      <c r="C1" s="287" t="str">
        <f>Cover!$C$7&amp;" ("&amp;Cover!$C$8&amp;": "&amp;Cover!$C$9&amp;")"</f>
        <v>Grab Holdings Limited (NASDAQ: GRAB)</v>
      </c>
      <c r="D1" s="288"/>
      <c r="E1" s="288"/>
    </row>
    <row r="2" spans="1:18" s="286" customFormat="1">
      <c r="A2" s="289"/>
      <c r="C2" s="288"/>
      <c r="D2" s="288"/>
      <c r="E2" s="288"/>
    </row>
    <row r="3" spans="1:18" s="295" customFormat="1">
      <c r="A3" s="290"/>
      <c r="B3" s="291"/>
      <c r="C3" s="292" t="s">
        <v>42</v>
      </c>
      <c r="D3" s="293"/>
      <c r="E3" s="293"/>
      <c r="F3" s="652">
        <f ca="1">Cover!$C$18</f>
        <v>7.2080318777471293</v>
      </c>
      <c r="G3" s="290"/>
      <c r="H3" s="290"/>
      <c r="I3" s="290"/>
      <c r="J3" s="290"/>
      <c r="K3" s="290"/>
      <c r="L3" s="294"/>
      <c r="M3" s="294"/>
      <c r="N3" s="294"/>
      <c r="O3" s="294"/>
      <c r="P3" s="294"/>
      <c r="Q3" s="294"/>
      <c r="R3" s="294"/>
    </row>
    <row r="4" spans="1:18" s="295" customFormat="1">
      <c r="A4" s="290"/>
      <c r="B4" s="291"/>
      <c r="C4" s="296" t="s">
        <v>10</v>
      </c>
      <c r="D4" s="297"/>
      <c r="E4" s="297"/>
      <c r="F4" s="376" t="str">
        <f>Cover!$C$11</f>
        <v>Base Case</v>
      </c>
      <c r="G4" s="294"/>
      <c r="H4" s="294"/>
      <c r="I4" s="294"/>
      <c r="J4" s="294"/>
      <c r="K4" s="294"/>
      <c r="L4" s="294"/>
      <c r="M4" s="294"/>
      <c r="N4" s="294"/>
      <c r="O4" s="294"/>
      <c r="P4" s="294"/>
      <c r="Q4" s="294"/>
      <c r="R4" s="294"/>
    </row>
    <row r="5" spans="1:18" s="295" customFormat="1" ht="19">
      <c r="A5" s="290"/>
      <c r="B5" s="291"/>
      <c r="C5" s="298"/>
      <c r="D5" s="298"/>
      <c r="E5" s="298"/>
      <c r="F5" s="185"/>
      <c r="G5" s="49" t="s">
        <v>916</v>
      </c>
      <c r="H5" s="49"/>
      <c r="I5" s="49"/>
      <c r="J5" s="49"/>
      <c r="K5" s="49"/>
      <c r="L5" s="49" t="s">
        <v>917</v>
      </c>
      <c r="M5" s="299"/>
      <c r="N5" s="299"/>
      <c r="O5" s="299"/>
      <c r="P5" s="299"/>
      <c r="Q5" s="294"/>
      <c r="R5" s="294"/>
    </row>
    <row r="6" spans="1:18" s="295" customFormat="1">
      <c r="A6" s="290"/>
      <c r="B6" s="291"/>
      <c r="C6" s="147" t="str">
        <f>"In "&amp;Cover!$C$10&amp;", unless stated otherwise"</f>
        <v>In USD Mn, unless stated otherwise</v>
      </c>
      <c r="D6" s="300"/>
      <c r="E6" s="300"/>
      <c r="F6" s="301"/>
      <c r="G6" s="187">
        <v>20</v>
      </c>
      <c r="H6" s="187">
        <f t="shared" ref="H6:P6" si="0">G6+1</f>
        <v>21</v>
      </c>
      <c r="I6" s="187">
        <f t="shared" si="0"/>
        <v>22</v>
      </c>
      <c r="J6" s="187">
        <f t="shared" si="0"/>
        <v>23</v>
      </c>
      <c r="K6" s="187">
        <f t="shared" si="0"/>
        <v>24</v>
      </c>
      <c r="L6" s="302">
        <f t="shared" si="0"/>
        <v>25</v>
      </c>
      <c r="M6" s="302">
        <f t="shared" si="0"/>
        <v>26</v>
      </c>
      <c r="N6" s="302">
        <f t="shared" si="0"/>
        <v>27</v>
      </c>
      <c r="O6" s="302">
        <f t="shared" si="0"/>
        <v>28</v>
      </c>
      <c r="P6" s="302">
        <f t="shared" si="0"/>
        <v>29</v>
      </c>
      <c r="Q6" s="294"/>
      <c r="R6" s="185" t="s">
        <v>270</v>
      </c>
    </row>
    <row r="7" spans="1:18" s="220" customFormat="1"/>
    <row r="8" spans="1:18" s="220" customFormat="1"/>
    <row r="9" spans="1:18" s="220" customFormat="1"/>
    <row r="10" spans="1:18" s="158" customFormat="1">
      <c r="A10" s="185">
        <v>1</v>
      </c>
      <c r="C10" s="186" t="s">
        <v>969</v>
      </c>
      <c r="D10" s="186"/>
      <c r="E10" s="186"/>
      <c r="F10" s="185"/>
      <c r="G10" s="187"/>
      <c r="H10" s="187"/>
      <c r="I10" s="187"/>
      <c r="J10" s="187"/>
      <c r="K10" s="187"/>
      <c r="L10" s="188"/>
      <c r="M10" s="188"/>
      <c r="N10" s="188"/>
      <c r="O10" s="188"/>
      <c r="P10" s="188"/>
      <c r="Q10" s="221"/>
    </row>
    <row r="11" spans="1:18" s="221" customFormat="1">
      <c r="A11" s="222"/>
      <c r="F11" s="222"/>
      <c r="L11" s="223"/>
      <c r="M11" s="223"/>
      <c r="N11" s="223"/>
      <c r="O11" s="223"/>
      <c r="P11" s="223"/>
    </row>
    <row r="12" spans="1:18" s="210" customFormat="1">
      <c r="A12" s="176"/>
      <c r="C12" s="224" t="s">
        <v>99</v>
      </c>
      <c r="D12" s="225"/>
      <c r="E12" s="225"/>
      <c r="F12" s="226"/>
      <c r="G12" s="227">
        <f>'3FS'!D69</f>
        <v>913</v>
      </c>
      <c r="H12" s="227">
        <f>'3FS'!E69</f>
        <v>675</v>
      </c>
      <c r="I12" s="227">
        <f>'3FS'!F69</f>
        <v>904</v>
      </c>
      <c r="J12" s="227">
        <f>'3FS'!G69</f>
        <v>916</v>
      </c>
      <c r="K12" s="227">
        <f>'3FS'!H69</f>
        <v>975</v>
      </c>
      <c r="L12" s="228">
        <f>L35+L56</f>
        <v>961.25697173336016</v>
      </c>
      <c r="M12" s="228">
        <f>M35+M56</f>
        <v>947.04886014398494</v>
      </c>
      <c r="N12" s="228">
        <f>N35+N56</f>
        <v>932.94535115922463</v>
      </c>
      <c r="O12" s="228">
        <f>O35+O56</f>
        <v>998.50320857424776</v>
      </c>
      <c r="P12" s="229">
        <f>P35+P56</f>
        <v>1080.1258475902082</v>
      </c>
    </row>
    <row r="13" spans="1:18" s="210" customFormat="1">
      <c r="A13" s="176"/>
      <c r="C13" s="180" t="s">
        <v>307</v>
      </c>
      <c r="D13" s="180"/>
      <c r="E13" s="180"/>
      <c r="F13" s="181"/>
      <c r="G13" s="194"/>
      <c r="H13" s="194">
        <f t="shared" ref="H13:P13" si="1">H12/G12-1</f>
        <v>-0.26067907995618844</v>
      </c>
      <c r="I13" s="194">
        <f t="shared" si="1"/>
        <v>0.33925925925925915</v>
      </c>
      <c r="J13" s="194">
        <f t="shared" si="1"/>
        <v>1.327433628318575E-2</v>
      </c>
      <c r="K13" s="194">
        <f t="shared" si="1"/>
        <v>6.4410480349345045E-2</v>
      </c>
      <c r="L13" s="194">
        <f t="shared" si="1"/>
        <v>-1.4095413606810103E-2</v>
      </c>
      <c r="M13" s="194">
        <f t="shared" si="1"/>
        <v>-1.478076311244314E-2</v>
      </c>
      <c r="N13" s="194">
        <f t="shared" si="1"/>
        <v>-1.489206056656478E-2</v>
      </c>
      <c r="O13" s="194">
        <f t="shared" si="1"/>
        <v>7.02697723222101E-2</v>
      </c>
      <c r="P13" s="194">
        <f t="shared" si="1"/>
        <v>8.1744994222410661E-2</v>
      </c>
    </row>
    <row r="14" spans="1:18" s="210" customFormat="1">
      <c r="A14" s="176"/>
      <c r="C14" s="180"/>
      <c r="D14" s="180"/>
      <c r="E14" s="180"/>
      <c r="F14" s="181"/>
      <c r="G14" s="230"/>
      <c r="H14" s="230"/>
      <c r="I14" s="230"/>
      <c r="J14" s="230"/>
      <c r="K14" s="230"/>
      <c r="L14" s="231"/>
      <c r="M14" s="231"/>
      <c r="N14" s="231"/>
      <c r="O14" s="231"/>
      <c r="P14" s="231"/>
    </row>
    <row r="15" spans="1:18" s="210" customFormat="1">
      <c r="A15" s="176" t="s">
        <v>57</v>
      </c>
      <c r="C15" s="232" t="s">
        <v>29</v>
      </c>
      <c r="D15" s="168"/>
      <c r="E15" s="233"/>
      <c r="F15" s="234"/>
      <c r="G15" s="235"/>
      <c r="H15" s="168"/>
      <c r="I15" s="236"/>
      <c r="J15" s="168"/>
      <c r="K15" s="168"/>
      <c r="L15" s="168"/>
      <c r="M15" s="168"/>
      <c r="N15" s="168"/>
      <c r="O15" s="168"/>
      <c r="P15" s="168"/>
    </row>
    <row r="16" spans="1:18" s="220" customFormat="1"/>
    <row r="17" spans="1:16" s="210" customFormat="1" ht="19">
      <c r="A17" s="176"/>
      <c r="C17" s="237" t="s">
        <v>970</v>
      </c>
      <c r="D17" s="238" t="s">
        <v>971</v>
      </c>
      <c r="E17" s="238" t="s">
        <v>972</v>
      </c>
      <c r="F17" s="238" t="s">
        <v>235</v>
      </c>
      <c r="G17" s="194"/>
      <c r="H17" s="194"/>
      <c r="I17" s="194"/>
      <c r="J17" s="194"/>
      <c r="K17" s="194"/>
      <c r="L17" s="231"/>
      <c r="M17" s="231"/>
      <c r="N17" s="231"/>
      <c r="O17" s="231"/>
      <c r="P17" s="231"/>
    </row>
    <row r="18" spans="1:16" s="221" customFormat="1">
      <c r="A18" s="222"/>
      <c r="C18" s="206" t="s">
        <v>973</v>
      </c>
      <c r="D18" s="74"/>
      <c r="E18" s="74"/>
      <c r="F18" s="239">
        <v>13</v>
      </c>
      <c r="G18" s="240"/>
      <c r="H18" s="240"/>
      <c r="I18" s="240"/>
      <c r="J18" s="240"/>
      <c r="K18" s="240"/>
      <c r="L18" s="241"/>
      <c r="M18" s="241"/>
      <c r="N18" s="241"/>
      <c r="O18" s="241"/>
      <c r="P18" s="241"/>
    </row>
    <row r="19" spans="1:16" s="221" customFormat="1">
      <c r="A19" s="222"/>
      <c r="C19" s="206" t="s">
        <v>974</v>
      </c>
      <c r="D19" s="74"/>
      <c r="E19" s="74"/>
      <c r="F19" s="239">
        <v>4</v>
      </c>
      <c r="G19" s="240"/>
      <c r="H19" s="240"/>
      <c r="I19" s="240"/>
      <c r="J19" s="240"/>
      <c r="K19" s="240"/>
      <c r="L19" s="241"/>
      <c r="M19" s="241"/>
      <c r="N19" s="241"/>
      <c r="O19" s="241"/>
      <c r="P19" s="241"/>
    </row>
    <row r="20" spans="1:16" s="221" customFormat="1">
      <c r="A20" s="222"/>
      <c r="C20" s="206" t="s">
        <v>975</v>
      </c>
      <c r="D20" s="74"/>
      <c r="E20" s="74"/>
      <c r="F20" s="239">
        <v>3</v>
      </c>
      <c r="G20" s="240"/>
      <c r="H20" s="240"/>
      <c r="I20" s="240"/>
      <c r="J20" s="240"/>
      <c r="K20" s="240"/>
      <c r="L20" s="241"/>
      <c r="M20" s="241"/>
      <c r="N20" s="241"/>
      <c r="O20" s="241"/>
      <c r="P20" s="241"/>
    </row>
    <row r="21" spans="1:16" s="210" customFormat="1">
      <c r="A21" s="176"/>
      <c r="C21" s="242"/>
      <c r="D21" s="220"/>
      <c r="E21" s="220"/>
      <c r="F21" s="220"/>
      <c r="G21" s="194"/>
      <c r="H21" s="194"/>
      <c r="I21" s="194"/>
      <c r="J21" s="194"/>
      <c r="K21" s="194"/>
      <c r="L21" s="231"/>
      <c r="M21" s="231"/>
      <c r="N21" s="231"/>
      <c r="O21" s="231"/>
      <c r="P21" s="231"/>
    </row>
    <row r="22" spans="1:16" s="210" customFormat="1">
      <c r="A22" s="176"/>
      <c r="C22" s="243" t="s">
        <v>254</v>
      </c>
      <c r="D22" s="244"/>
      <c r="E22" s="244"/>
      <c r="F22" s="245"/>
      <c r="G22" s="246">
        <f>'3FS'!D12</f>
        <v>469</v>
      </c>
      <c r="H22" s="246">
        <f>'3FS'!E12</f>
        <v>675</v>
      </c>
      <c r="I22" s="246">
        <f>'3FS'!F12</f>
        <v>1433</v>
      </c>
      <c r="J22" s="246">
        <f>'3FS'!G12</f>
        <v>2359</v>
      </c>
      <c r="K22" s="246">
        <f>'3FS'!H12</f>
        <v>2797</v>
      </c>
      <c r="L22" s="246">
        <f>'3FS'!I12</f>
        <v>3447.1579538043488</v>
      </c>
      <c r="M22" s="246">
        <f>'3FS'!J12</f>
        <v>4242.1624252758265</v>
      </c>
      <c r="N22" s="246">
        <f>'3FS'!K12</f>
        <v>5260.5364101367168</v>
      </c>
      <c r="O22" s="246">
        <f>'3FS'!L12</f>
        <v>6524.338542961098</v>
      </c>
      <c r="P22" s="247">
        <f>'3FS'!M12</f>
        <v>8096.0016716356249</v>
      </c>
    </row>
    <row r="23" spans="1:16" s="210" customFormat="1">
      <c r="A23" s="176"/>
      <c r="C23" s="180" t="s">
        <v>307</v>
      </c>
      <c r="D23" s="180"/>
      <c r="E23" s="180"/>
      <c r="F23" s="181"/>
      <c r="G23" s="194"/>
      <c r="H23" s="194">
        <f t="shared" ref="H23:P23" si="2">H22/G22-1</f>
        <v>0.43923240938166308</v>
      </c>
      <c r="I23" s="194">
        <f t="shared" si="2"/>
        <v>1.1229629629629629</v>
      </c>
      <c r="J23" s="194">
        <f t="shared" si="2"/>
        <v>0.64619678995115137</v>
      </c>
      <c r="K23" s="194">
        <f t="shared" si="2"/>
        <v>0.1856718948707079</v>
      </c>
      <c r="L23" s="194">
        <f t="shared" si="2"/>
        <v>0.23244832098832635</v>
      </c>
      <c r="M23" s="194">
        <f t="shared" si="2"/>
        <v>0.23062606417384957</v>
      </c>
      <c r="N23" s="194">
        <f t="shared" si="2"/>
        <v>0.24006011151133033</v>
      </c>
      <c r="O23" s="194">
        <f t="shared" si="2"/>
        <v>0.24024206550288585</v>
      </c>
      <c r="P23" s="194">
        <f t="shared" si="2"/>
        <v>0.24089233235300833</v>
      </c>
    </row>
    <row r="24" spans="1:16" s="210" customFormat="1">
      <c r="A24" s="176"/>
      <c r="C24" s="237"/>
      <c r="D24" s="180"/>
      <c r="E24" s="180"/>
      <c r="F24" s="181"/>
      <c r="G24" s="194"/>
      <c r="H24" s="194"/>
      <c r="I24" s="194"/>
      <c r="J24" s="194"/>
      <c r="K24" s="194"/>
      <c r="L24" s="231"/>
      <c r="M24" s="231"/>
      <c r="N24" s="231"/>
      <c r="O24" s="231"/>
      <c r="P24" s="231"/>
    </row>
    <row r="25" spans="1:16" s="221" customFormat="1">
      <c r="A25" s="201"/>
      <c r="C25" s="248" t="s">
        <v>976</v>
      </c>
      <c r="D25" s="248"/>
      <c r="E25" s="248"/>
      <c r="F25" s="249"/>
      <c r="G25" s="250"/>
      <c r="H25" s="251">
        <f>H42</f>
        <v>6</v>
      </c>
      <c r="I25" s="251">
        <f t="shared" ref="I25:K25" si="3">I42</f>
        <v>252</v>
      </c>
      <c r="J25" s="251">
        <f t="shared" si="3"/>
        <v>28</v>
      </c>
      <c r="K25" s="251">
        <f t="shared" si="3"/>
        <v>84</v>
      </c>
      <c r="L25" s="252">
        <f>L22*L26</f>
        <v>72.220740186580031</v>
      </c>
      <c r="M25" s="252">
        <f t="shared" ref="M25:P25" si="4">M22*M26</f>
        <v>88.876725247533145</v>
      </c>
      <c r="N25" s="252">
        <f t="shared" si="4"/>
        <v>110.21248182121782</v>
      </c>
      <c r="O25" s="252">
        <f t="shared" si="4"/>
        <v>136.69015609814645</v>
      </c>
      <c r="P25" s="252">
        <f t="shared" si="4"/>
        <v>169.61776661032573</v>
      </c>
    </row>
    <row r="26" spans="1:16" s="221" customFormat="1">
      <c r="A26" s="253"/>
      <c r="C26" s="202" t="s">
        <v>965</v>
      </c>
      <c r="D26" s="202"/>
      <c r="E26" s="202"/>
      <c r="F26" s="203"/>
      <c r="G26" s="204"/>
      <c r="H26" s="204">
        <f t="shared" ref="H26:K26" si="5">H25/H22</f>
        <v>8.8888888888888889E-3</v>
      </c>
      <c r="I26" s="204">
        <f t="shared" si="5"/>
        <v>0.17585484996510817</v>
      </c>
      <c r="J26" s="204">
        <f t="shared" si="5"/>
        <v>1.1869436201780416E-2</v>
      </c>
      <c r="K26" s="204">
        <f t="shared" si="5"/>
        <v>3.0032177332856631E-2</v>
      </c>
      <c r="L26" s="303">
        <f>MEDIAN(H26:K26)</f>
        <v>2.0950806767318524E-2</v>
      </c>
      <c r="M26" s="303">
        <f>L26</f>
        <v>2.0950806767318524E-2</v>
      </c>
      <c r="N26" s="303">
        <f t="shared" ref="N26:P26" si="6">M26</f>
        <v>2.0950806767318524E-2</v>
      </c>
      <c r="O26" s="303">
        <f t="shared" si="6"/>
        <v>2.0950806767318524E-2</v>
      </c>
      <c r="P26" s="303">
        <f t="shared" si="6"/>
        <v>2.0950806767318524E-2</v>
      </c>
    </row>
    <row r="27" spans="1:16" s="210" customFormat="1">
      <c r="A27" s="176"/>
      <c r="C27" s="237"/>
      <c r="D27" s="180"/>
      <c r="E27" s="180"/>
      <c r="F27" s="181"/>
      <c r="G27" s="194"/>
      <c r="H27" s="194"/>
      <c r="I27" s="194"/>
      <c r="J27" s="194"/>
      <c r="K27" s="194"/>
      <c r="L27" s="231"/>
      <c r="M27" s="231"/>
      <c r="N27" s="231"/>
      <c r="O27" s="231"/>
      <c r="P27" s="231"/>
    </row>
    <row r="28" spans="1:16" s="210" customFormat="1">
      <c r="A28" s="176" t="s">
        <v>57</v>
      </c>
      <c r="C28" s="232" t="s">
        <v>977</v>
      </c>
      <c r="D28" s="168"/>
      <c r="E28" s="233"/>
      <c r="F28" s="234"/>
      <c r="G28" s="235"/>
      <c r="H28" s="168"/>
      <c r="I28" s="236"/>
      <c r="J28" s="168"/>
      <c r="K28" s="168"/>
      <c r="L28" s="168"/>
      <c r="M28" s="168"/>
      <c r="N28" s="168"/>
      <c r="O28" s="168"/>
      <c r="P28" s="168"/>
    </row>
    <row r="29" spans="1:16" s="221" customFormat="1">
      <c r="A29" s="222"/>
      <c r="D29" s="220"/>
      <c r="E29" s="220"/>
      <c r="F29" s="220"/>
      <c r="G29" s="223"/>
      <c r="H29" s="223"/>
      <c r="I29" s="223"/>
      <c r="J29" s="223"/>
      <c r="K29" s="223"/>
      <c r="L29" s="254"/>
    </row>
    <row r="30" spans="1:16" s="221" customFormat="1">
      <c r="A30" s="222"/>
      <c r="C30" s="237" t="s">
        <v>978</v>
      </c>
      <c r="D30" s="220"/>
      <c r="E30" s="220"/>
      <c r="F30" s="220"/>
      <c r="G30" s="255"/>
      <c r="H30" s="255"/>
      <c r="I30" s="240"/>
      <c r="J30" s="255"/>
      <c r="K30" s="255"/>
      <c r="L30" s="256"/>
      <c r="M30" s="256"/>
      <c r="N30" s="256"/>
      <c r="O30" s="256"/>
      <c r="P30" s="256"/>
    </row>
    <row r="31" spans="1:16" s="221" customFormat="1">
      <c r="C31" s="206" t="s">
        <v>973</v>
      </c>
      <c r="D31" s="220"/>
      <c r="E31" s="220"/>
      <c r="F31" s="220"/>
      <c r="G31" s="240">
        <v>84</v>
      </c>
      <c r="H31" s="240">
        <v>89</v>
      </c>
      <c r="I31" s="240">
        <v>69</v>
      </c>
      <c r="J31" s="257">
        <v>69</v>
      </c>
      <c r="K31" s="257">
        <v>70</v>
      </c>
      <c r="L31" s="241">
        <f t="shared" ref="L31:P34" si="7">K31+L38</f>
        <v>83.827979023819395</v>
      </c>
      <c r="M31" s="241">
        <f t="shared" si="7"/>
        <v>100.8450504253808</v>
      </c>
      <c r="N31" s="241">
        <f t="shared" si="7"/>
        <v>121.94724188519731</v>
      </c>
      <c r="O31" s="241">
        <f t="shared" si="7"/>
        <v>148.11906740795749</v>
      </c>
      <c r="P31" s="241">
        <f t="shared" si="7"/>
        <v>180.59548502283135</v>
      </c>
    </row>
    <row r="32" spans="1:16" s="221" customFormat="1">
      <c r="C32" s="206" t="s">
        <v>974</v>
      </c>
      <c r="D32" s="220"/>
      <c r="E32" s="220"/>
      <c r="F32" s="220"/>
      <c r="G32" s="240">
        <v>1644</v>
      </c>
      <c r="H32" s="240">
        <v>1644</v>
      </c>
      <c r="I32" s="240">
        <v>1644</v>
      </c>
      <c r="J32" s="257">
        <v>1644</v>
      </c>
      <c r="K32" s="257">
        <v>1644</v>
      </c>
      <c r="L32" s="241">
        <f t="shared" si="7"/>
        <v>1644</v>
      </c>
      <c r="M32" s="241">
        <f t="shared" si="7"/>
        <v>1644</v>
      </c>
      <c r="N32" s="241">
        <f t="shared" si="7"/>
        <v>1644</v>
      </c>
      <c r="O32" s="241">
        <f t="shared" si="7"/>
        <v>1644</v>
      </c>
      <c r="P32" s="241">
        <f t="shared" si="7"/>
        <v>1644</v>
      </c>
    </row>
    <row r="33" spans="1:16" s="221" customFormat="1">
      <c r="C33" s="206" t="s">
        <v>975</v>
      </c>
      <c r="D33" s="220"/>
      <c r="E33" s="220"/>
      <c r="F33" s="220"/>
      <c r="G33" s="240">
        <v>17</v>
      </c>
      <c r="H33" s="240">
        <v>18</v>
      </c>
      <c r="I33" s="240">
        <v>127</v>
      </c>
      <c r="J33" s="257">
        <v>155</v>
      </c>
      <c r="K33" s="257">
        <v>200</v>
      </c>
      <c r="L33" s="241">
        <f t="shared" si="7"/>
        <v>238.54638712339292</v>
      </c>
      <c r="M33" s="241">
        <f t="shared" si="7"/>
        <v>285.98257579717551</v>
      </c>
      <c r="N33" s="241">
        <f t="shared" si="7"/>
        <v>344.80630121365886</v>
      </c>
      <c r="O33" s="241">
        <f t="shared" si="7"/>
        <v>417.76195992477273</v>
      </c>
      <c r="P33" s="241">
        <f t="shared" si="7"/>
        <v>508.29207742115688</v>
      </c>
    </row>
    <row r="34" spans="1:16" s="221" customFormat="1">
      <c r="C34" s="206" t="s">
        <v>979</v>
      </c>
      <c r="D34" s="220"/>
      <c r="E34" s="220"/>
      <c r="F34" s="220"/>
      <c r="G34" s="240">
        <v>712</v>
      </c>
      <c r="H34" s="240">
        <v>712</v>
      </c>
      <c r="I34" s="240">
        <v>875</v>
      </c>
      <c r="J34" s="257">
        <v>875</v>
      </c>
      <c r="K34" s="257">
        <v>913</v>
      </c>
      <c r="L34" s="241">
        <f t="shared" si="7"/>
        <v>932.84637403936767</v>
      </c>
      <c r="M34" s="241">
        <f t="shared" si="7"/>
        <v>957.26983921155681</v>
      </c>
      <c r="N34" s="241">
        <f t="shared" si="7"/>
        <v>987.55640415647485</v>
      </c>
      <c r="O34" s="241">
        <f t="shared" si="7"/>
        <v>1025.1190760207473</v>
      </c>
      <c r="P34" s="241">
        <f t="shared" si="7"/>
        <v>1071.7303075198151</v>
      </c>
    </row>
    <row r="35" spans="1:16" s="221" customFormat="1">
      <c r="C35" s="258" t="s">
        <v>980</v>
      </c>
      <c r="D35" s="258"/>
      <c r="E35" s="258"/>
      <c r="F35" s="259"/>
      <c r="G35" s="260">
        <f t="shared" ref="G35:P35" si="8">SUM(G31:G34)</f>
        <v>2457</v>
      </c>
      <c r="H35" s="260">
        <f t="shared" si="8"/>
        <v>2463</v>
      </c>
      <c r="I35" s="260">
        <f t="shared" si="8"/>
        <v>2715</v>
      </c>
      <c r="J35" s="260">
        <f t="shared" si="8"/>
        <v>2743</v>
      </c>
      <c r="K35" s="260">
        <f t="shared" si="8"/>
        <v>2827</v>
      </c>
      <c r="L35" s="260">
        <f t="shared" si="8"/>
        <v>2899.2207401865799</v>
      </c>
      <c r="M35" s="260">
        <f t="shared" si="8"/>
        <v>2988.097465434113</v>
      </c>
      <c r="N35" s="260">
        <f t="shared" si="8"/>
        <v>3098.3099472553313</v>
      </c>
      <c r="O35" s="260">
        <f t="shared" si="8"/>
        <v>3235.0001033534777</v>
      </c>
      <c r="P35" s="260">
        <f t="shared" si="8"/>
        <v>3404.6178699638035</v>
      </c>
    </row>
    <row r="36" spans="1:16" s="221" customFormat="1">
      <c r="F36" s="222"/>
      <c r="G36" s="240"/>
      <c r="L36" s="223"/>
      <c r="M36" s="223"/>
      <c r="N36" s="223"/>
      <c r="O36" s="223"/>
      <c r="P36" s="223"/>
    </row>
    <row r="37" spans="1:16" s="221" customFormat="1">
      <c r="C37" s="237" t="s">
        <v>981</v>
      </c>
      <c r="D37" s="237"/>
      <c r="E37" s="237"/>
      <c r="F37" s="261"/>
      <c r="G37" s="262"/>
      <c r="H37" s="262"/>
      <c r="I37" s="262"/>
      <c r="J37" s="263"/>
      <c r="K37" s="263"/>
      <c r="L37" s="264"/>
      <c r="M37" s="256"/>
      <c r="N37" s="256"/>
      <c r="O37" s="256"/>
      <c r="P37" s="256"/>
    </row>
    <row r="38" spans="1:16" s="221" customFormat="1">
      <c r="C38" s="206" t="s">
        <v>973</v>
      </c>
      <c r="D38" s="265"/>
      <c r="E38" s="265"/>
      <c r="F38" s="222"/>
      <c r="G38" s="74"/>
      <c r="H38" s="199">
        <f t="shared" ref="H38:K41" si="9">H31-G31</f>
        <v>5</v>
      </c>
      <c r="I38" s="199">
        <f t="shared" si="9"/>
        <v>-20</v>
      </c>
      <c r="J38" s="199">
        <f t="shared" si="9"/>
        <v>0</v>
      </c>
      <c r="K38" s="199">
        <f t="shared" si="9"/>
        <v>1</v>
      </c>
      <c r="L38" s="241">
        <f t="shared" ref="L38:P41" si="10">L45*L$25</f>
        <v>13.82797902381939</v>
      </c>
      <c r="M38" s="241">
        <f t="shared" si="10"/>
        <v>17.017071401561406</v>
      </c>
      <c r="N38" s="241">
        <f t="shared" si="10"/>
        <v>21.102191459816506</v>
      </c>
      <c r="O38" s="241">
        <f t="shared" si="10"/>
        <v>26.17182552276018</v>
      </c>
      <c r="P38" s="241">
        <f t="shared" si="10"/>
        <v>32.476417614873874</v>
      </c>
    </row>
    <row r="39" spans="1:16" s="221" customFormat="1">
      <c r="C39" s="206" t="s">
        <v>974</v>
      </c>
      <c r="D39" s="265"/>
      <c r="E39" s="265"/>
      <c r="F39" s="222"/>
      <c r="G39" s="74"/>
      <c r="H39" s="199">
        <f t="shared" si="9"/>
        <v>0</v>
      </c>
      <c r="I39" s="199">
        <f t="shared" si="9"/>
        <v>0</v>
      </c>
      <c r="J39" s="199">
        <f t="shared" si="9"/>
        <v>0</v>
      </c>
      <c r="K39" s="199">
        <f t="shared" si="9"/>
        <v>0</v>
      </c>
      <c r="L39" s="241">
        <f t="shared" si="10"/>
        <v>0</v>
      </c>
      <c r="M39" s="241">
        <f t="shared" si="10"/>
        <v>0</v>
      </c>
      <c r="N39" s="241">
        <f t="shared" si="10"/>
        <v>0</v>
      </c>
      <c r="O39" s="241">
        <f t="shared" si="10"/>
        <v>0</v>
      </c>
      <c r="P39" s="241">
        <f t="shared" si="10"/>
        <v>0</v>
      </c>
    </row>
    <row r="40" spans="1:16" s="221" customFormat="1">
      <c r="C40" s="206" t="s">
        <v>975</v>
      </c>
      <c r="D40" s="265"/>
      <c r="E40" s="265"/>
      <c r="F40" s="222"/>
      <c r="G40" s="74"/>
      <c r="H40" s="199">
        <f t="shared" si="9"/>
        <v>1</v>
      </c>
      <c r="I40" s="199">
        <f t="shared" si="9"/>
        <v>109</v>
      </c>
      <c r="J40" s="199">
        <f t="shared" si="9"/>
        <v>28</v>
      </c>
      <c r="K40" s="199">
        <f t="shared" si="9"/>
        <v>45</v>
      </c>
      <c r="L40" s="241">
        <f t="shared" si="10"/>
        <v>38.546387123392911</v>
      </c>
      <c r="M40" s="241">
        <f t="shared" si="10"/>
        <v>47.436188673782567</v>
      </c>
      <c r="N40" s="241">
        <f t="shared" si="10"/>
        <v>58.82372541648332</v>
      </c>
      <c r="O40" s="241">
        <f t="shared" si="10"/>
        <v>72.95565871111387</v>
      </c>
      <c r="P40" s="241">
        <f t="shared" si="10"/>
        <v>90.530117496384165</v>
      </c>
    </row>
    <row r="41" spans="1:16" s="221" customFormat="1">
      <c r="C41" s="206" t="s">
        <v>979</v>
      </c>
      <c r="D41" s="265"/>
      <c r="E41" s="265"/>
      <c r="F41" s="222"/>
      <c r="G41" s="74"/>
      <c r="H41" s="199">
        <f t="shared" si="9"/>
        <v>0</v>
      </c>
      <c r="I41" s="199">
        <f t="shared" si="9"/>
        <v>163</v>
      </c>
      <c r="J41" s="199">
        <f t="shared" si="9"/>
        <v>0</v>
      </c>
      <c r="K41" s="199">
        <f t="shared" si="9"/>
        <v>38</v>
      </c>
      <c r="L41" s="241">
        <f t="shared" si="10"/>
        <v>19.846374039367728</v>
      </c>
      <c r="M41" s="241">
        <f t="shared" si="10"/>
        <v>24.423465172189168</v>
      </c>
      <c r="N41" s="241">
        <f t="shared" si="10"/>
        <v>30.286564944917995</v>
      </c>
      <c r="O41" s="241">
        <f t="shared" si="10"/>
        <v>37.562671864272389</v>
      </c>
      <c r="P41" s="241">
        <f t="shared" si="10"/>
        <v>46.611231499067692</v>
      </c>
    </row>
    <row r="42" spans="1:16" s="221" customFormat="1">
      <c r="C42" s="258" t="s">
        <v>982</v>
      </c>
      <c r="D42" s="258"/>
      <c r="E42" s="258"/>
      <c r="F42" s="259"/>
      <c r="G42" s="84"/>
      <c r="H42" s="211">
        <f t="shared" ref="H42:P42" si="11">SUM(H38:H41)</f>
        <v>6</v>
      </c>
      <c r="I42" s="211">
        <f t="shared" si="11"/>
        <v>252</v>
      </c>
      <c r="J42" s="211">
        <f t="shared" si="11"/>
        <v>28</v>
      </c>
      <c r="K42" s="211">
        <f t="shared" si="11"/>
        <v>84</v>
      </c>
      <c r="L42" s="211">
        <f t="shared" si="11"/>
        <v>72.220740186580031</v>
      </c>
      <c r="M42" s="211">
        <f t="shared" si="11"/>
        <v>88.876725247533145</v>
      </c>
      <c r="N42" s="211">
        <f t="shared" si="11"/>
        <v>110.21248182121782</v>
      </c>
      <c r="O42" s="211">
        <f t="shared" si="11"/>
        <v>136.69015609814642</v>
      </c>
      <c r="P42" s="211">
        <f t="shared" si="11"/>
        <v>169.61776661032573</v>
      </c>
    </row>
    <row r="43" spans="1:16" s="220" customFormat="1"/>
    <row r="44" spans="1:16" s="221" customFormat="1">
      <c r="A44" s="222"/>
      <c r="C44" s="237" t="s">
        <v>983</v>
      </c>
      <c r="D44" s="237"/>
      <c r="E44" s="237"/>
      <c r="F44" s="261"/>
      <c r="G44" s="262"/>
      <c r="H44" s="263"/>
      <c r="I44" s="263"/>
      <c r="J44" s="263"/>
      <c r="K44" s="263"/>
      <c r="L44" s="256"/>
      <c r="M44" s="256"/>
      <c r="N44" s="256"/>
      <c r="O44" s="256"/>
      <c r="P44" s="256"/>
    </row>
    <row r="45" spans="1:16" s="221" customFormat="1">
      <c r="A45" s="222"/>
      <c r="C45" s="206" t="s">
        <v>973</v>
      </c>
      <c r="D45" s="265"/>
      <c r="E45" s="265"/>
      <c r="F45" s="266"/>
      <c r="G45" s="74"/>
      <c r="H45" s="267">
        <f t="shared" ref="H45:K48" si="12">H38/H$42</f>
        <v>0.83333333333333337</v>
      </c>
      <c r="I45" s="267">
        <f t="shared" si="12"/>
        <v>-7.9365079365079361E-2</v>
      </c>
      <c r="J45" s="267">
        <f t="shared" si="12"/>
        <v>0</v>
      </c>
      <c r="K45" s="267">
        <f t="shared" si="12"/>
        <v>1.1904761904761904E-2</v>
      </c>
      <c r="L45" s="195">
        <f t="shared" ref="L45:L48" si="13">AVERAGE(G45:K45)</f>
        <v>0.19146825396825395</v>
      </c>
      <c r="M45" s="195">
        <f>L45</f>
        <v>0.19146825396825395</v>
      </c>
      <c r="N45" s="195">
        <f t="shared" ref="N45:P45" si="14">M45</f>
        <v>0.19146825396825395</v>
      </c>
      <c r="O45" s="195">
        <f t="shared" si="14"/>
        <v>0.19146825396825395</v>
      </c>
      <c r="P45" s="195">
        <f t="shared" si="14"/>
        <v>0.19146825396825395</v>
      </c>
    </row>
    <row r="46" spans="1:16" s="221" customFormat="1">
      <c r="A46" s="222"/>
      <c r="C46" s="206" t="s">
        <v>974</v>
      </c>
      <c r="D46" s="265"/>
      <c r="E46" s="265"/>
      <c r="F46" s="266"/>
      <c r="G46" s="74"/>
      <c r="H46" s="267">
        <f t="shared" si="12"/>
        <v>0</v>
      </c>
      <c r="I46" s="267">
        <f t="shared" si="12"/>
        <v>0</v>
      </c>
      <c r="J46" s="267">
        <f t="shared" si="12"/>
        <v>0</v>
      </c>
      <c r="K46" s="267">
        <f t="shared" si="12"/>
        <v>0</v>
      </c>
      <c r="L46" s="195">
        <f t="shared" si="13"/>
        <v>0</v>
      </c>
      <c r="M46" s="195">
        <f t="shared" ref="M46:P48" si="15">L46</f>
        <v>0</v>
      </c>
      <c r="N46" s="195">
        <f t="shared" si="15"/>
        <v>0</v>
      </c>
      <c r="O46" s="195">
        <f t="shared" si="15"/>
        <v>0</v>
      </c>
      <c r="P46" s="195">
        <f t="shared" si="15"/>
        <v>0</v>
      </c>
    </row>
    <row r="47" spans="1:16" s="221" customFormat="1">
      <c r="A47" s="222"/>
      <c r="C47" s="206" t="s">
        <v>975</v>
      </c>
      <c r="D47" s="265"/>
      <c r="E47" s="265"/>
      <c r="F47" s="266"/>
      <c r="G47" s="74"/>
      <c r="H47" s="267">
        <f t="shared" si="12"/>
        <v>0.16666666666666666</v>
      </c>
      <c r="I47" s="267">
        <f t="shared" si="12"/>
        <v>0.43253968253968256</v>
      </c>
      <c r="J47" s="267">
        <f t="shared" si="12"/>
        <v>1</v>
      </c>
      <c r="K47" s="267">
        <f t="shared" si="12"/>
        <v>0.5357142857142857</v>
      </c>
      <c r="L47" s="195">
        <f t="shared" si="13"/>
        <v>0.53373015873015872</v>
      </c>
      <c r="M47" s="195">
        <f t="shared" si="15"/>
        <v>0.53373015873015872</v>
      </c>
      <c r="N47" s="195">
        <f t="shared" si="15"/>
        <v>0.53373015873015872</v>
      </c>
      <c r="O47" s="195">
        <f t="shared" si="15"/>
        <v>0.53373015873015872</v>
      </c>
      <c r="P47" s="195">
        <f t="shared" si="15"/>
        <v>0.53373015873015872</v>
      </c>
    </row>
    <row r="48" spans="1:16" s="221" customFormat="1">
      <c r="A48" s="222"/>
      <c r="C48" s="206" t="s">
        <v>979</v>
      </c>
      <c r="D48" s="265"/>
      <c r="E48" s="265"/>
      <c r="F48" s="266"/>
      <c r="G48" s="74"/>
      <c r="H48" s="267">
        <f t="shared" si="12"/>
        <v>0</v>
      </c>
      <c r="I48" s="267">
        <f t="shared" si="12"/>
        <v>0.64682539682539686</v>
      </c>
      <c r="J48" s="267">
        <f t="shared" si="12"/>
        <v>0</v>
      </c>
      <c r="K48" s="267">
        <f t="shared" si="12"/>
        <v>0.45238095238095238</v>
      </c>
      <c r="L48" s="195">
        <f t="shared" si="13"/>
        <v>0.27480158730158732</v>
      </c>
      <c r="M48" s="195">
        <f t="shared" si="15"/>
        <v>0.27480158730158732</v>
      </c>
      <c r="N48" s="195">
        <f t="shared" si="15"/>
        <v>0.27480158730158732</v>
      </c>
      <c r="O48" s="195">
        <f t="shared" si="15"/>
        <v>0.27480158730158732</v>
      </c>
      <c r="P48" s="195">
        <f t="shared" si="15"/>
        <v>0.27480158730158732</v>
      </c>
    </row>
    <row r="49" spans="1:16" s="196" customFormat="1">
      <c r="A49" s="201"/>
      <c r="C49" s="258" t="s">
        <v>984</v>
      </c>
      <c r="D49" s="258"/>
      <c r="E49" s="258"/>
      <c r="F49" s="259"/>
      <c r="G49" s="84"/>
      <c r="H49" s="268">
        <f t="shared" ref="H49:P49" si="16">SUM(H45:H48)</f>
        <v>1</v>
      </c>
      <c r="I49" s="268">
        <f t="shared" si="16"/>
        <v>1</v>
      </c>
      <c r="J49" s="268">
        <f t="shared" si="16"/>
        <v>1</v>
      </c>
      <c r="K49" s="268">
        <f t="shared" si="16"/>
        <v>1</v>
      </c>
      <c r="L49" s="268">
        <f t="shared" si="16"/>
        <v>1</v>
      </c>
      <c r="M49" s="268">
        <f t="shared" si="16"/>
        <v>1</v>
      </c>
      <c r="N49" s="268">
        <f t="shared" si="16"/>
        <v>1</v>
      </c>
      <c r="O49" s="268">
        <f t="shared" si="16"/>
        <v>1</v>
      </c>
      <c r="P49" s="268">
        <f t="shared" si="16"/>
        <v>1</v>
      </c>
    </row>
    <row r="50" spans="1:16" s="221" customFormat="1">
      <c r="A50" s="222"/>
      <c r="F50" s="222"/>
    </row>
    <row r="51" spans="1:16" s="221" customFormat="1">
      <c r="A51" s="197" t="s">
        <v>57</v>
      </c>
      <c r="C51" s="232" t="s">
        <v>985</v>
      </c>
      <c r="D51" s="168"/>
      <c r="E51" s="233"/>
      <c r="F51" s="234"/>
      <c r="G51" s="235"/>
      <c r="H51" s="168"/>
      <c r="I51" s="236"/>
      <c r="J51" s="168"/>
      <c r="K51" s="168"/>
      <c r="L51" s="168"/>
      <c r="M51" s="168"/>
      <c r="N51" s="168"/>
      <c r="O51" s="168"/>
      <c r="P51" s="168"/>
    </row>
    <row r="52" spans="1:16" s="220" customFormat="1"/>
    <row r="53" spans="1:16">
      <c r="C53" s="61" t="s">
        <v>986</v>
      </c>
    </row>
    <row r="54" spans="1:16" s="221" customFormat="1">
      <c r="A54" s="222"/>
      <c r="C54" s="269" t="s">
        <v>987</v>
      </c>
      <c r="D54" s="269"/>
      <c r="E54" s="269"/>
      <c r="F54" s="222"/>
      <c r="G54" s="74"/>
      <c r="H54" s="74"/>
      <c r="I54" s="74"/>
      <c r="J54" s="74"/>
      <c r="K54" s="74"/>
      <c r="L54" s="199">
        <f>K56</f>
        <v>-1852</v>
      </c>
      <c r="M54" s="199">
        <f>L56</f>
        <v>-1937.9637684532197</v>
      </c>
      <c r="N54" s="199">
        <f>M56</f>
        <v>-2041.0486052901281</v>
      </c>
      <c r="O54" s="199">
        <f>N56</f>
        <v>-2165.3645960961067</v>
      </c>
      <c r="P54" s="199">
        <f>O56</f>
        <v>-2236.4968947792299</v>
      </c>
    </row>
    <row r="55" spans="1:16" s="221" customFormat="1">
      <c r="A55" s="222"/>
      <c r="C55" s="269" t="s">
        <v>988</v>
      </c>
      <c r="D55" s="269"/>
      <c r="E55" s="269"/>
      <c r="F55" s="222"/>
      <c r="G55" s="74"/>
      <c r="H55" s="74"/>
      <c r="I55" s="74"/>
      <c r="J55" s="74"/>
      <c r="K55" s="74"/>
      <c r="L55" s="199">
        <f>SUM(L64,L82)</f>
        <v>-85.963768453219643</v>
      </c>
      <c r="M55" s="199">
        <f t="shared" ref="M55:P55" si="17">SUM(M64,M82)</f>
        <v>-103.08483683690829</v>
      </c>
      <c r="N55" s="199">
        <f t="shared" si="17"/>
        <v>-124.31599080597836</v>
      </c>
      <c r="O55" s="199">
        <f t="shared" si="17"/>
        <v>-71.132298683123324</v>
      </c>
      <c r="P55" s="199">
        <f t="shared" si="17"/>
        <v>-87.995127594365414</v>
      </c>
    </row>
    <row r="56" spans="1:16" s="221" customFormat="1">
      <c r="A56" s="201"/>
      <c r="C56" s="258" t="s">
        <v>989</v>
      </c>
      <c r="D56" s="258"/>
      <c r="E56" s="258"/>
      <c r="F56" s="270"/>
      <c r="G56" s="271"/>
      <c r="H56" s="271"/>
      <c r="I56" s="271"/>
      <c r="J56" s="271"/>
      <c r="K56" s="271">
        <v>-1852</v>
      </c>
      <c r="L56" s="272">
        <f>SUM(L54:L55)</f>
        <v>-1937.9637684532197</v>
      </c>
      <c r="M56" s="272">
        <f>SUM(M54:M55)</f>
        <v>-2041.0486052901281</v>
      </c>
      <c r="N56" s="272">
        <f>SUM(N54:N55)</f>
        <v>-2165.3645960961067</v>
      </c>
      <c r="O56" s="272">
        <f>SUM(O54:O55)</f>
        <v>-2236.4968947792299</v>
      </c>
      <c r="P56" s="272">
        <f>SUM(P54:P55)</f>
        <v>-2324.4920223735953</v>
      </c>
    </row>
    <row r="57" spans="1:16" s="220" customFormat="1">
      <c r="K57" s="273"/>
    </row>
    <row r="58" spans="1:16" s="221" customFormat="1">
      <c r="A58" s="197" t="s">
        <v>57</v>
      </c>
      <c r="C58" s="274" t="str">
        <f>C18</f>
        <v>Trademark</v>
      </c>
      <c r="D58" s="274"/>
      <c r="E58" s="274"/>
      <c r="F58" s="275"/>
      <c r="G58" s="276"/>
      <c r="H58" s="276"/>
      <c r="I58" s="276"/>
      <c r="J58" s="276"/>
      <c r="K58" s="276"/>
      <c r="L58" s="276"/>
      <c r="M58" s="276"/>
      <c r="N58" s="277"/>
      <c r="O58" s="277"/>
      <c r="P58" s="277"/>
    </row>
    <row r="59" spans="1:16" s="221" customFormat="1">
      <c r="A59" s="222"/>
      <c r="B59" s="210"/>
      <c r="F59" s="222"/>
    </row>
    <row r="60" spans="1:16" s="221" customFormat="1">
      <c r="A60" s="222"/>
      <c r="C60" s="196" t="s">
        <v>990</v>
      </c>
      <c r="D60" s="196"/>
      <c r="E60" s="196"/>
      <c r="F60" s="205">
        <f>F18</f>
        <v>13</v>
      </c>
    </row>
    <row r="61" spans="1:16" s="221" customFormat="1">
      <c r="A61" s="222"/>
      <c r="F61" s="222"/>
    </row>
    <row r="62" spans="1:16" s="221" customFormat="1">
      <c r="A62" s="222"/>
      <c r="C62" s="242" t="s">
        <v>991</v>
      </c>
      <c r="D62" s="242"/>
      <c r="E62" s="242"/>
      <c r="F62" s="222"/>
      <c r="G62" s="74"/>
      <c r="H62" s="74"/>
      <c r="I62" s="74"/>
      <c r="J62" s="74"/>
      <c r="K62" s="74"/>
      <c r="L62" s="199">
        <f>K31</f>
        <v>70</v>
      </c>
      <c r="M62" s="199">
        <f>L65</f>
        <v>77.379672945064058</v>
      </c>
      <c r="N62" s="199">
        <f>M65</f>
        <v>86.63943277544233</v>
      </c>
      <c r="O62" s="199">
        <f>N65</f>
        <v>98.361067167166738</v>
      </c>
      <c r="P62" s="199">
        <f>O65</f>
        <v>113.13911827393018</v>
      </c>
    </row>
    <row r="63" spans="1:16" s="221" customFormat="1">
      <c r="A63" s="222"/>
      <c r="C63" s="242" t="s">
        <v>992</v>
      </c>
      <c r="D63" s="242"/>
      <c r="E63" s="242"/>
      <c r="F63" s="222"/>
      <c r="G63" s="74"/>
      <c r="H63" s="74"/>
      <c r="I63" s="74"/>
      <c r="J63" s="74"/>
      <c r="K63" s="74"/>
      <c r="L63" s="207">
        <f>L38</f>
        <v>13.82797902381939</v>
      </c>
      <c r="M63" s="207">
        <f t="shared" ref="M63:P63" si="18">M38</f>
        <v>17.017071401561406</v>
      </c>
      <c r="N63" s="207">
        <f t="shared" si="18"/>
        <v>21.102191459816506</v>
      </c>
      <c r="O63" s="207">
        <f t="shared" si="18"/>
        <v>26.17182552276018</v>
      </c>
      <c r="P63" s="207">
        <f t="shared" si="18"/>
        <v>32.476417614873874</v>
      </c>
    </row>
    <row r="64" spans="1:16" s="221" customFormat="1">
      <c r="A64" s="222"/>
      <c r="C64" s="242" t="s">
        <v>993</v>
      </c>
      <c r="D64" s="242"/>
      <c r="E64" s="242"/>
      <c r="F64" s="222"/>
      <c r="G64" s="74"/>
      <c r="H64" s="74"/>
      <c r="I64" s="74"/>
      <c r="J64" s="74"/>
      <c r="K64" s="74"/>
      <c r="L64" s="207">
        <f>L74</f>
        <v>-6.4483060787553379</v>
      </c>
      <c r="M64" s="207">
        <f t="shared" ref="M64:P64" si="19">M74</f>
        <v>-7.7573115711831386</v>
      </c>
      <c r="N64" s="207">
        <f t="shared" si="19"/>
        <v>-9.3805570680921004</v>
      </c>
      <c r="O64" s="207">
        <f t="shared" si="19"/>
        <v>-11.393774415996729</v>
      </c>
      <c r="P64" s="207">
        <f t="shared" si="19"/>
        <v>-13.891960386371643</v>
      </c>
    </row>
    <row r="65" spans="1:16" s="221" customFormat="1">
      <c r="A65" s="201"/>
      <c r="C65" s="193" t="s">
        <v>994</v>
      </c>
      <c r="D65" s="193"/>
      <c r="E65" s="193"/>
      <c r="F65" s="208"/>
      <c r="G65" s="209"/>
      <c r="H65" s="209"/>
      <c r="I65" s="209"/>
      <c r="J65" s="209"/>
      <c r="K65" s="209"/>
      <c r="L65" s="209">
        <f>SUM(L62:L64)</f>
        <v>77.379672945064058</v>
      </c>
      <c r="M65" s="209">
        <f>SUM(M62:M64)</f>
        <v>86.63943277544233</v>
      </c>
      <c r="N65" s="209">
        <f>SUM(N62:N64)</f>
        <v>98.361067167166738</v>
      </c>
      <c r="O65" s="209">
        <f>SUM(O62:O64)</f>
        <v>113.13911827393018</v>
      </c>
      <c r="P65" s="209">
        <f>SUM(P62:P64)</f>
        <v>131.72357550243242</v>
      </c>
    </row>
    <row r="66" spans="1:16" s="221" customFormat="1">
      <c r="A66" s="222"/>
      <c r="B66" s="242"/>
      <c r="F66" s="222"/>
    </row>
    <row r="67" spans="1:16" s="196" customFormat="1">
      <c r="A67" s="201"/>
      <c r="B67" s="158"/>
      <c r="C67" s="198" t="s">
        <v>995</v>
      </c>
      <c r="D67" s="198"/>
      <c r="E67" s="278" t="s">
        <v>996</v>
      </c>
      <c r="F67" s="279" t="s">
        <v>997</v>
      </c>
      <c r="G67" s="280"/>
      <c r="H67" s="280"/>
      <c r="I67" s="280"/>
      <c r="J67" s="280"/>
      <c r="K67" s="280"/>
      <c r="L67" s="280"/>
      <c r="M67" s="281"/>
      <c r="N67" s="282"/>
      <c r="O67" s="280"/>
      <c r="P67" s="280"/>
    </row>
    <row r="68" spans="1:16" s="221" customFormat="1">
      <c r="A68" s="222"/>
      <c r="B68" s="210"/>
      <c r="C68" s="200">
        <f>$L$6</f>
        <v>25</v>
      </c>
      <c r="D68" s="200"/>
      <c r="E68" s="241">
        <f>L62</f>
        <v>70</v>
      </c>
      <c r="F68" s="283">
        <f t="shared" ref="F68:F73" si="20">C68+$F$60-1</f>
        <v>37</v>
      </c>
      <c r="G68" s="74"/>
      <c r="H68" s="74"/>
      <c r="I68" s="74"/>
      <c r="J68" s="74"/>
      <c r="K68" s="74"/>
      <c r="L68" s="199">
        <f t="shared" ref="L68:P73" si="21">IF(AND(L$6&lt;=$F68,L$6&gt;=$C68),IFERROR(-$E68/$F$60,0),0)</f>
        <v>-5.384615384615385</v>
      </c>
      <c r="M68" s="199">
        <f t="shared" si="21"/>
        <v>-5.384615384615385</v>
      </c>
      <c r="N68" s="199">
        <f t="shared" si="21"/>
        <v>-5.384615384615385</v>
      </c>
      <c r="O68" s="199">
        <f t="shared" si="21"/>
        <v>-5.384615384615385</v>
      </c>
      <c r="P68" s="199">
        <f t="shared" si="21"/>
        <v>-5.384615384615385</v>
      </c>
    </row>
    <row r="69" spans="1:16" s="221" customFormat="1">
      <c r="A69" s="222"/>
      <c r="B69" s="210"/>
      <c r="C69" s="200" cm="1">
        <f t="array" ref="C69:C73">TRANSPOSE($L$6:$P$6)</f>
        <v>25</v>
      </c>
      <c r="D69" s="200"/>
      <c r="E69" s="241">
        <f t="array" ref="E69:E73">TRANSPOSE(L63:P63)</f>
        <v>13.82797902381939</v>
      </c>
      <c r="F69" s="283">
        <f t="shared" si="20"/>
        <v>37</v>
      </c>
      <c r="G69" s="74"/>
      <c r="H69" s="74"/>
      <c r="I69" s="74"/>
      <c r="J69" s="74"/>
      <c r="K69" s="74"/>
      <c r="L69" s="199">
        <f t="shared" si="21"/>
        <v>-1.0636906941399531</v>
      </c>
      <c r="M69" s="199">
        <f t="shared" si="21"/>
        <v>-1.0636906941399531</v>
      </c>
      <c r="N69" s="199">
        <f t="shared" si="21"/>
        <v>-1.0636906941399531</v>
      </c>
      <c r="O69" s="199">
        <f t="shared" si="21"/>
        <v>-1.0636906941399531</v>
      </c>
      <c r="P69" s="199">
        <f t="shared" si="21"/>
        <v>-1.0636906941399531</v>
      </c>
    </row>
    <row r="70" spans="1:16" s="221" customFormat="1">
      <c r="A70" s="222"/>
      <c r="B70" s="210"/>
      <c r="C70" s="200">
        <v>26</v>
      </c>
      <c r="D70" s="200"/>
      <c r="E70" s="241">
        <v>17.017071401561406</v>
      </c>
      <c r="F70" s="283">
        <f t="shared" si="20"/>
        <v>38</v>
      </c>
      <c r="G70" s="74"/>
      <c r="H70" s="74"/>
      <c r="I70" s="74"/>
      <c r="J70" s="74"/>
      <c r="K70" s="74"/>
      <c r="L70" s="199">
        <f t="shared" si="21"/>
        <v>0</v>
      </c>
      <c r="M70" s="199">
        <f t="shared" si="21"/>
        <v>-1.3090054924278005</v>
      </c>
      <c r="N70" s="199">
        <f t="shared" si="21"/>
        <v>-1.3090054924278005</v>
      </c>
      <c r="O70" s="199">
        <f t="shared" si="21"/>
        <v>-1.3090054924278005</v>
      </c>
      <c r="P70" s="199">
        <f t="shared" si="21"/>
        <v>-1.3090054924278005</v>
      </c>
    </row>
    <row r="71" spans="1:16" s="221" customFormat="1">
      <c r="A71" s="222"/>
      <c r="B71" s="210"/>
      <c r="C71" s="200">
        <v>27</v>
      </c>
      <c r="D71" s="200"/>
      <c r="E71" s="241">
        <v>21.102191459816506</v>
      </c>
      <c r="F71" s="283">
        <f t="shared" si="20"/>
        <v>39</v>
      </c>
      <c r="G71" s="74"/>
      <c r="H71" s="74"/>
      <c r="I71" s="74"/>
      <c r="J71" s="74"/>
      <c r="K71" s="74"/>
      <c r="L71" s="199">
        <f t="shared" si="21"/>
        <v>0</v>
      </c>
      <c r="M71" s="199">
        <f t="shared" si="21"/>
        <v>0</v>
      </c>
      <c r="N71" s="199">
        <f t="shared" si="21"/>
        <v>-1.623245496908962</v>
      </c>
      <c r="O71" s="199">
        <f t="shared" si="21"/>
        <v>-1.623245496908962</v>
      </c>
      <c r="P71" s="199">
        <f t="shared" si="21"/>
        <v>-1.623245496908962</v>
      </c>
    </row>
    <row r="72" spans="1:16" s="221" customFormat="1">
      <c r="A72" s="222"/>
      <c r="B72" s="210"/>
      <c r="C72" s="200">
        <v>28</v>
      </c>
      <c r="D72" s="200"/>
      <c r="E72" s="241">
        <v>26.17182552276018</v>
      </c>
      <c r="F72" s="283">
        <f t="shared" si="20"/>
        <v>40</v>
      </c>
      <c r="G72" s="74"/>
      <c r="H72" s="74"/>
      <c r="I72" s="74"/>
      <c r="J72" s="74"/>
      <c r="K72" s="74"/>
      <c r="L72" s="199">
        <f t="shared" si="21"/>
        <v>0</v>
      </c>
      <c r="M72" s="199">
        <f t="shared" si="21"/>
        <v>0</v>
      </c>
      <c r="N72" s="199">
        <f t="shared" si="21"/>
        <v>0</v>
      </c>
      <c r="O72" s="199">
        <f t="shared" si="21"/>
        <v>-2.0132173479046291</v>
      </c>
      <c r="P72" s="199">
        <f t="shared" si="21"/>
        <v>-2.0132173479046291</v>
      </c>
    </row>
    <row r="73" spans="1:16" s="221" customFormat="1">
      <c r="A73" s="222"/>
      <c r="B73" s="210"/>
      <c r="C73" s="200">
        <v>29</v>
      </c>
      <c r="D73" s="200"/>
      <c r="E73" s="241">
        <v>32.476417614873874</v>
      </c>
      <c r="F73" s="283">
        <f t="shared" si="20"/>
        <v>41</v>
      </c>
      <c r="G73" s="74"/>
      <c r="H73" s="74"/>
      <c r="I73" s="74"/>
      <c r="J73" s="74"/>
      <c r="K73" s="74"/>
      <c r="L73" s="199">
        <f t="shared" si="21"/>
        <v>0</v>
      </c>
      <c r="M73" s="199">
        <f t="shared" si="21"/>
        <v>0</v>
      </c>
      <c r="N73" s="199">
        <f t="shared" si="21"/>
        <v>0</v>
      </c>
      <c r="O73" s="199">
        <f t="shared" si="21"/>
        <v>0</v>
      </c>
      <c r="P73" s="199">
        <f t="shared" si="21"/>
        <v>-2.4981859703749132</v>
      </c>
    </row>
    <row r="74" spans="1:16" s="221" customFormat="1">
      <c r="A74" s="222"/>
      <c r="C74" s="193" t="s">
        <v>998</v>
      </c>
      <c r="D74" s="193"/>
      <c r="E74" s="193"/>
      <c r="F74" s="284"/>
      <c r="G74" s="84"/>
      <c r="H74" s="84"/>
      <c r="I74" s="84"/>
      <c r="J74" s="84"/>
      <c r="K74" s="84"/>
      <c r="L74" s="211">
        <f>SUM(L68:L73)</f>
        <v>-6.4483060787553379</v>
      </c>
      <c r="M74" s="211">
        <f>SUM(M68:M73)</f>
        <v>-7.7573115711831386</v>
      </c>
      <c r="N74" s="211">
        <f>SUM(N68:N73)</f>
        <v>-9.3805570680921004</v>
      </c>
      <c r="O74" s="211">
        <f>SUM(O68:O73)</f>
        <v>-11.393774415996729</v>
      </c>
      <c r="P74" s="211">
        <f>SUM(P68:P73)</f>
        <v>-13.891960386371643</v>
      </c>
    </row>
    <row r="76" spans="1:16">
      <c r="A76" s="197" t="s">
        <v>57</v>
      </c>
      <c r="B76" s="221"/>
      <c r="C76" s="274" t="str">
        <f>C20</f>
        <v>Other intangible assets</v>
      </c>
      <c r="D76" s="274"/>
      <c r="E76" s="274"/>
      <c r="F76" s="275"/>
      <c r="G76" s="276"/>
      <c r="H76" s="276"/>
      <c r="I76" s="276"/>
      <c r="J76" s="276"/>
      <c r="K76" s="276"/>
      <c r="L76" s="276"/>
      <c r="M76" s="276"/>
      <c r="N76" s="277"/>
      <c r="O76" s="277"/>
      <c r="P76" s="277"/>
    </row>
    <row r="77" spans="1:16">
      <c r="A77" s="222"/>
      <c r="B77" s="210"/>
      <c r="C77" s="221"/>
      <c r="D77" s="221"/>
      <c r="E77" s="221"/>
      <c r="F77" s="222"/>
      <c r="G77" s="221"/>
      <c r="H77" s="221"/>
      <c r="I77" s="221"/>
      <c r="J77" s="221"/>
      <c r="K77" s="221"/>
      <c r="L77" s="221"/>
      <c r="M77" s="221"/>
      <c r="N77" s="221"/>
      <c r="O77" s="221"/>
      <c r="P77" s="221"/>
    </row>
    <row r="78" spans="1:16">
      <c r="A78" s="222"/>
      <c r="B78" s="221"/>
      <c r="C78" s="196" t="s">
        <v>990</v>
      </c>
      <c r="D78" s="196"/>
      <c r="E78" s="196"/>
      <c r="F78" s="205">
        <f>F20</f>
        <v>3</v>
      </c>
      <c r="G78" s="221"/>
      <c r="H78" s="221"/>
      <c r="I78" s="221"/>
      <c r="J78" s="221"/>
      <c r="K78" s="221"/>
      <c r="L78" s="221"/>
      <c r="M78" s="221"/>
      <c r="N78" s="221"/>
      <c r="O78" s="221"/>
      <c r="P78" s="221"/>
    </row>
    <row r="79" spans="1:16">
      <c r="A79" s="222"/>
      <c r="B79" s="221"/>
      <c r="C79" s="221"/>
      <c r="D79" s="221"/>
      <c r="E79" s="221"/>
      <c r="F79" s="222"/>
      <c r="G79" s="221"/>
      <c r="H79" s="221"/>
      <c r="I79" s="221"/>
      <c r="J79" s="221"/>
      <c r="K79" s="221"/>
      <c r="L79" s="221"/>
      <c r="M79" s="221"/>
      <c r="N79" s="221"/>
      <c r="O79" s="221"/>
      <c r="P79" s="221"/>
    </row>
    <row r="80" spans="1:16">
      <c r="A80" s="222"/>
      <c r="B80" s="221"/>
      <c r="C80" s="242" t="s">
        <v>991</v>
      </c>
      <c r="D80" s="242"/>
      <c r="E80" s="242"/>
      <c r="F80" s="222"/>
      <c r="G80" s="74"/>
      <c r="H80" s="74"/>
      <c r="I80" s="74"/>
      <c r="J80" s="74"/>
      <c r="K80" s="74"/>
      <c r="L80" s="199">
        <f>K33</f>
        <v>200</v>
      </c>
      <c r="M80" s="199">
        <f>L83</f>
        <v>159.03092474892861</v>
      </c>
      <c r="N80" s="199">
        <f>M83</f>
        <v>111.13958815698602</v>
      </c>
      <c r="O80" s="199">
        <f>N83</f>
        <v>55.027879835583093</v>
      </c>
      <c r="P80" s="199">
        <f>O83</f>
        <v>68.24501427957037</v>
      </c>
    </row>
    <row r="81" spans="1:16">
      <c r="A81" s="222"/>
      <c r="B81" s="221"/>
      <c r="C81" s="242" t="s">
        <v>992</v>
      </c>
      <c r="D81" s="242"/>
      <c r="E81" s="242"/>
      <c r="F81" s="222"/>
      <c r="G81" s="74"/>
      <c r="H81" s="74"/>
      <c r="I81" s="74"/>
      <c r="J81" s="74"/>
      <c r="K81" s="74"/>
      <c r="L81" s="207">
        <f>L40</f>
        <v>38.546387123392911</v>
      </c>
      <c r="M81" s="207">
        <f t="shared" ref="M81:P81" si="22">M40</f>
        <v>47.436188673782567</v>
      </c>
      <c r="N81" s="207">
        <f t="shared" si="22"/>
        <v>58.82372541648332</v>
      </c>
      <c r="O81" s="207">
        <f t="shared" si="22"/>
        <v>72.95565871111387</v>
      </c>
      <c r="P81" s="207">
        <f t="shared" si="22"/>
        <v>90.530117496384165</v>
      </c>
    </row>
    <row r="82" spans="1:16">
      <c r="A82" s="222"/>
      <c r="B82" s="221"/>
      <c r="C82" s="242" t="s">
        <v>993</v>
      </c>
      <c r="D82" s="242"/>
      <c r="E82" s="242"/>
      <c r="F82" s="222"/>
      <c r="G82" s="74"/>
      <c r="H82" s="74"/>
      <c r="I82" s="74"/>
      <c r="J82" s="74"/>
      <c r="K82" s="74"/>
      <c r="L82" s="207">
        <f>L92</f>
        <v>-79.515462374464306</v>
      </c>
      <c r="M82" s="207">
        <f t="shared" ref="M82:P82" si="23">M92</f>
        <v>-95.327525265725157</v>
      </c>
      <c r="N82" s="207">
        <f t="shared" si="23"/>
        <v>-114.93543373788626</v>
      </c>
      <c r="O82" s="207">
        <f t="shared" si="23"/>
        <v>-59.738524267126593</v>
      </c>
      <c r="P82" s="207">
        <f t="shared" si="23"/>
        <v>-74.103167207993778</v>
      </c>
    </row>
    <row r="83" spans="1:16">
      <c r="A83" s="201"/>
      <c r="B83" s="221"/>
      <c r="C83" s="193" t="s">
        <v>994</v>
      </c>
      <c r="D83" s="193"/>
      <c r="E83" s="193"/>
      <c r="F83" s="208"/>
      <c r="G83" s="209"/>
      <c r="H83" s="209"/>
      <c r="I83" s="209"/>
      <c r="J83" s="209"/>
      <c r="K83" s="209"/>
      <c r="L83" s="209">
        <f>SUM(L80:L82)</f>
        <v>159.03092474892861</v>
      </c>
      <c r="M83" s="209">
        <f>SUM(M80:M82)</f>
        <v>111.13958815698602</v>
      </c>
      <c r="N83" s="209">
        <f>SUM(N80:N82)</f>
        <v>55.027879835583093</v>
      </c>
      <c r="O83" s="209">
        <f>SUM(O80:O82)</f>
        <v>68.24501427957037</v>
      </c>
      <c r="P83" s="209">
        <f>SUM(P80:P82)</f>
        <v>84.671964567960771</v>
      </c>
    </row>
    <row r="84" spans="1:16">
      <c r="A84" s="222"/>
      <c r="B84" s="242"/>
      <c r="C84" s="221"/>
      <c r="D84" s="221"/>
      <c r="E84" s="221"/>
      <c r="F84" s="222"/>
      <c r="G84" s="221"/>
      <c r="H84" s="221"/>
      <c r="I84" s="221"/>
      <c r="J84" s="221"/>
      <c r="K84" s="221"/>
      <c r="L84" s="221"/>
      <c r="M84" s="221"/>
      <c r="N84" s="221"/>
      <c r="O84" s="221"/>
      <c r="P84" s="221"/>
    </row>
    <row r="85" spans="1:16">
      <c r="A85" s="201"/>
      <c r="B85" s="158"/>
      <c r="C85" s="198" t="s">
        <v>995</v>
      </c>
      <c r="D85" s="198"/>
      <c r="E85" s="278" t="s">
        <v>996</v>
      </c>
      <c r="F85" s="279" t="s">
        <v>997</v>
      </c>
      <c r="G85" s="280"/>
      <c r="H85" s="280"/>
      <c r="I85" s="280"/>
      <c r="J85" s="280"/>
      <c r="K85" s="280"/>
      <c r="L85" s="280"/>
      <c r="M85" s="281"/>
      <c r="N85" s="282"/>
      <c r="O85" s="280"/>
      <c r="P85" s="280"/>
    </row>
    <row r="86" spans="1:16">
      <c r="A86" s="222"/>
      <c r="B86" s="210"/>
      <c r="C86" s="200">
        <f>$L$6</f>
        <v>25</v>
      </c>
      <c r="D86" s="200"/>
      <c r="E86" s="241">
        <f>L80</f>
        <v>200</v>
      </c>
      <c r="F86" s="283">
        <f>C86+$F$78-1</f>
        <v>27</v>
      </c>
      <c r="G86" s="74"/>
      <c r="H86" s="74"/>
      <c r="I86" s="74"/>
      <c r="J86" s="74"/>
      <c r="K86" s="74"/>
      <c r="L86" s="199">
        <f t="shared" ref="L86:P91" si="24">IF(AND(L$6&lt;=$F86,L$6&gt;=$C86),IFERROR(-$E86/$F$78,0),0)</f>
        <v>-66.666666666666671</v>
      </c>
      <c r="M86" s="199">
        <f t="shared" si="24"/>
        <v>-66.666666666666671</v>
      </c>
      <c r="N86" s="199">
        <f t="shared" si="24"/>
        <v>-66.666666666666671</v>
      </c>
      <c r="O86" s="199">
        <f t="shared" si="24"/>
        <v>0</v>
      </c>
      <c r="P86" s="199">
        <f t="shared" si="24"/>
        <v>0</v>
      </c>
    </row>
    <row r="87" spans="1:16">
      <c r="A87" s="222"/>
      <c r="B87" s="210"/>
      <c r="C87" s="200" cm="1">
        <f t="array" ref="C87:C91">TRANSPOSE($L$6:$P$6)</f>
        <v>25</v>
      </c>
      <c r="D87" s="200"/>
      <c r="E87" s="241">
        <f t="array" ref="E87:E91">TRANSPOSE(L81:P81)</f>
        <v>38.546387123392911</v>
      </c>
      <c r="F87" s="283">
        <f t="shared" ref="F87:F91" si="25">C87+$F$78-1</f>
        <v>27</v>
      </c>
      <c r="G87" s="74"/>
      <c r="H87" s="74"/>
      <c r="I87" s="74"/>
      <c r="J87" s="74"/>
      <c r="K87" s="74"/>
      <c r="L87" s="199">
        <f t="shared" si="24"/>
        <v>-12.848795707797636</v>
      </c>
      <c r="M87" s="199">
        <f t="shared" si="24"/>
        <v>-12.848795707797636</v>
      </c>
      <c r="N87" s="199">
        <f t="shared" si="24"/>
        <v>-12.848795707797636</v>
      </c>
      <c r="O87" s="199">
        <f t="shared" si="24"/>
        <v>0</v>
      </c>
      <c r="P87" s="199">
        <f t="shared" si="24"/>
        <v>0</v>
      </c>
    </row>
    <row r="88" spans="1:16">
      <c r="A88" s="222"/>
      <c r="B88" s="210"/>
      <c r="C88" s="200">
        <v>26</v>
      </c>
      <c r="D88" s="200"/>
      <c r="E88" s="241">
        <v>47.436188673782567</v>
      </c>
      <c r="F88" s="283">
        <f t="shared" si="25"/>
        <v>28</v>
      </c>
      <c r="G88" s="74"/>
      <c r="H88" s="74"/>
      <c r="I88" s="74"/>
      <c r="J88" s="74"/>
      <c r="K88" s="74"/>
      <c r="L88" s="199">
        <f t="shared" si="24"/>
        <v>0</v>
      </c>
      <c r="M88" s="199">
        <f t="shared" si="24"/>
        <v>-15.812062891260856</v>
      </c>
      <c r="N88" s="199">
        <f t="shared" si="24"/>
        <v>-15.812062891260856</v>
      </c>
      <c r="O88" s="199">
        <f t="shared" si="24"/>
        <v>-15.812062891260856</v>
      </c>
      <c r="P88" s="199">
        <f t="shared" si="24"/>
        <v>0</v>
      </c>
    </row>
    <row r="89" spans="1:16">
      <c r="A89" s="222"/>
      <c r="B89" s="210"/>
      <c r="C89" s="200">
        <v>27</v>
      </c>
      <c r="D89" s="200"/>
      <c r="E89" s="241">
        <v>58.82372541648332</v>
      </c>
      <c r="F89" s="283">
        <f t="shared" si="25"/>
        <v>29</v>
      </c>
      <c r="G89" s="74"/>
      <c r="H89" s="74"/>
      <c r="I89" s="74"/>
      <c r="J89" s="74"/>
      <c r="K89" s="74"/>
      <c r="L89" s="199">
        <f t="shared" si="24"/>
        <v>0</v>
      </c>
      <c r="M89" s="199">
        <f t="shared" si="24"/>
        <v>0</v>
      </c>
      <c r="N89" s="199">
        <f t="shared" si="24"/>
        <v>-19.607908472161107</v>
      </c>
      <c r="O89" s="199">
        <f t="shared" si="24"/>
        <v>-19.607908472161107</v>
      </c>
      <c r="P89" s="199">
        <f t="shared" si="24"/>
        <v>-19.607908472161107</v>
      </c>
    </row>
    <row r="90" spans="1:16">
      <c r="A90" s="222"/>
      <c r="B90" s="210"/>
      <c r="C90" s="200">
        <v>28</v>
      </c>
      <c r="D90" s="200"/>
      <c r="E90" s="241">
        <v>72.95565871111387</v>
      </c>
      <c r="F90" s="283">
        <f t="shared" si="25"/>
        <v>30</v>
      </c>
      <c r="G90" s="74"/>
      <c r="H90" s="74"/>
      <c r="I90" s="74"/>
      <c r="J90" s="74"/>
      <c r="K90" s="74"/>
      <c r="L90" s="199">
        <f t="shared" si="24"/>
        <v>0</v>
      </c>
      <c r="M90" s="199">
        <f t="shared" si="24"/>
        <v>0</v>
      </c>
      <c r="N90" s="199">
        <f t="shared" si="24"/>
        <v>0</v>
      </c>
      <c r="O90" s="199">
        <f t="shared" si="24"/>
        <v>-24.318552903704624</v>
      </c>
      <c r="P90" s="199">
        <f t="shared" si="24"/>
        <v>-24.318552903704624</v>
      </c>
    </row>
    <row r="91" spans="1:16">
      <c r="A91" s="222"/>
      <c r="B91" s="210"/>
      <c r="C91" s="200">
        <v>29</v>
      </c>
      <c r="D91" s="200"/>
      <c r="E91" s="241">
        <v>90.530117496384165</v>
      </c>
      <c r="F91" s="283">
        <f t="shared" si="25"/>
        <v>31</v>
      </c>
      <c r="G91" s="74"/>
      <c r="H91" s="74"/>
      <c r="I91" s="74"/>
      <c r="J91" s="74"/>
      <c r="K91" s="74"/>
      <c r="L91" s="199">
        <f t="shared" si="24"/>
        <v>0</v>
      </c>
      <c r="M91" s="199">
        <f t="shared" si="24"/>
        <v>0</v>
      </c>
      <c r="N91" s="199">
        <f t="shared" si="24"/>
        <v>0</v>
      </c>
      <c r="O91" s="199">
        <f t="shared" si="24"/>
        <v>0</v>
      </c>
      <c r="P91" s="199">
        <f t="shared" si="24"/>
        <v>-30.176705832128054</v>
      </c>
    </row>
    <row r="92" spans="1:16">
      <c r="A92" s="222"/>
      <c r="B92" s="221"/>
      <c r="C92" s="193" t="s">
        <v>998</v>
      </c>
      <c r="D92" s="193"/>
      <c r="E92" s="193"/>
      <c r="F92" s="284"/>
      <c r="G92" s="84"/>
      <c r="H92" s="84"/>
      <c r="I92" s="84"/>
      <c r="J92" s="84"/>
      <c r="K92" s="84"/>
      <c r="L92" s="211">
        <f>SUM(L86:L91)</f>
        <v>-79.515462374464306</v>
      </c>
      <c r="M92" s="211">
        <f>SUM(M86:M91)</f>
        <v>-95.327525265725157</v>
      </c>
      <c r="N92" s="211">
        <f>SUM(N86:N91)</f>
        <v>-114.93543373788626</v>
      </c>
      <c r="O92" s="211">
        <f>SUM(O86:O91)</f>
        <v>-59.738524267126593</v>
      </c>
      <c r="P92" s="211">
        <f>SUM(P86:P91)</f>
        <v>-74.103167207993778</v>
      </c>
    </row>
  </sheetData>
  <dataValidations count="1">
    <dataValidation type="list" allowBlank="1" showInputMessage="1" showErrorMessage="1" sqref="F4" xr:uid="{B07CB660-B953-4770-8C69-A9271FC5FA90}">
      <formula1>"Bear Case, Base Case, Bull Case"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EDA5D-35D8-424E-9444-DBA00AF29661}">
  <dimension ref="A1:Q180"/>
  <sheetViews>
    <sheetView showGridLines="0" topLeftCell="A126" zoomScale="55" zoomScaleNormal="55" workbookViewId="0">
      <selection activeCell="C159" sqref="C159"/>
    </sheetView>
  </sheetViews>
  <sheetFormatPr baseColWidth="10" defaultColWidth="8.5" defaultRowHeight="16"/>
  <cols>
    <col min="1" max="2" width="2.5" style="149" customWidth="1"/>
    <col min="3" max="3" width="83.5" style="149" customWidth="1"/>
    <col min="4" max="6" width="10.5" style="149" customWidth="1"/>
    <col min="7" max="16" width="15.5" style="149" customWidth="1"/>
    <col min="17" max="16384" width="8.5" style="149"/>
  </cols>
  <sheetData>
    <row r="1" spans="1:17" s="64" customFormat="1" ht="35">
      <c r="C1" s="1" t="str">
        <f>Cover!$C$7&amp;" ("&amp;Cover!$C$8&amp;": "&amp;Cover!$C$9&amp;")"</f>
        <v>Grab Holdings Limited (NASDAQ: GRAB)</v>
      </c>
      <c r="D1" s="91"/>
      <c r="E1" s="91"/>
      <c r="F1" s="92"/>
      <c r="G1" s="92"/>
      <c r="H1" s="92"/>
      <c r="I1" s="92"/>
      <c r="J1" s="92"/>
      <c r="K1" s="92"/>
      <c r="L1" s="92"/>
      <c r="M1" s="92"/>
      <c r="N1" s="92"/>
      <c r="O1" s="92"/>
      <c r="P1" s="92"/>
    </row>
    <row r="2" spans="1:17" s="64" customFormat="1">
      <c r="C2" s="92"/>
      <c r="D2" s="92"/>
      <c r="E2" s="92"/>
      <c r="F2" s="92"/>
      <c r="G2" s="92"/>
      <c r="H2" s="92"/>
      <c r="I2" s="92"/>
      <c r="J2" s="92"/>
      <c r="K2" s="92"/>
      <c r="L2" s="92"/>
      <c r="M2" s="92"/>
      <c r="N2" s="92"/>
      <c r="O2" s="92"/>
      <c r="P2" s="92"/>
    </row>
    <row r="3" spans="1:17" s="64" customFormat="1">
      <c r="C3" s="372" t="s">
        <v>42</v>
      </c>
      <c r="D3" s="373"/>
      <c r="E3" s="373"/>
      <c r="F3" s="652">
        <f ca="1">Cover!$C$18</f>
        <v>7.2080318777471293</v>
      </c>
      <c r="G3" s="94"/>
      <c r="H3" s="94"/>
      <c r="I3" s="94"/>
      <c r="J3" s="94"/>
      <c r="K3" s="94"/>
      <c r="L3" s="94"/>
      <c r="M3" s="94"/>
      <c r="N3" s="94"/>
      <c r="O3" s="94"/>
      <c r="P3" s="94"/>
    </row>
    <row r="4" spans="1:17" s="64" customFormat="1">
      <c r="C4" s="374" t="s">
        <v>10</v>
      </c>
      <c r="D4" s="375"/>
      <c r="E4" s="375"/>
      <c r="F4" s="376" t="str">
        <f>Cover!$C$11</f>
        <v>Base Case</v>
      </c>
      <c r="G4" s="93"/>
      <c r="H4" s="94"/>
      <c r="I4" s="94"/>
      <c r="J4" s="94"/>
      <c r="K4" s="94"/>
      <c r="L4" s="94"/>
      <c r="M4" s="94"/>
      <c r="N4" s="94"/>
      <c r="O4" s="94"/>
      <c r="P4" s="94"/>
    </row>
    <row r="5" spans="1:17" s="64" customFormat="1" ht="19">
      <c r="C5" s="93"/>
      <c r="D5" s="93"/>
      <c r="E5" s="93"/>
      <c r="F5" s="94"/>
      <c r="G5" s="95" t="s">
        <v>43</v>
      </c>
      <c r="H5" s="95"/>
      <c r="I5" s="95"/>
      <c r="J5" s="95"/>
      <c r="K5" s="95"/>
      <c r="L5" s="95" t="s">
        <v>44</v>
      </c>
      <c r="M5" s="95"/>
      <c r="N5" s="95"/>
      <c r="O5" s="95"/>
      <c r="P5" s="95"/>
    </row>
    <row r="6" spans="1:17" s="64" customFormat="1" ht="19">
      <c r="C6" s="147" t="str">
        <f>"In "&amp;Cover!$C$10&amp;", unless stated otherwise"</f>
        <v>In USD Mn, unless stated otherwise</v>
      </c>
      <c r="D6" s="65"/>
      <c r="E6" s="65"/>
      <c r="F6" s="96" t="s">
        <v>45</v>
      </c>
      <c r="G6" s="52">
        <v>20</v>
      </c>
      <c r="H6" s="52">
        <f>G6+1</f>
        <v>21</v>
      </c>
      <c r="I6" s="52">
        <f t="shared" ref="I6:P6" si="0">H6+1</f>
        <v>22</v>
      </c>
      <c r="J6" s="52">
        <f t="shared" si="0"/>
        <v>23</v>
      </c>
      <c r="K6" s="52">
        <f t="shared" si="0"/>
        <v>24</v>
      </c>
      <c r="L6" s="53">
        <f t="shared" si="0"/>
        <v>25</v>
      </c>
      <c r="M6" s="53">
        <f t="shared" si="0"/>
        <v>26</v>
      </c>
      <c r="N6" s="53">
        <f t="shared" si="0"/>
        <v>27</v>
      </c>
      <c r="O6" s="53">
        <f t="shared" si="0"/>
        <v>28</v>
      </c>
      <c r="P6" s="53">
        <f t="shared" si="0"/>
        <v>29</v>
      </c>
      <c r="Q6" s="116" t="s">
        <v>46</v>
      </c>
    </row>
    <row r="7" spans="1:17">
      <c r="G7" s="157">
        <v>44196</v>
      </c>
      <c r="H7" s="157">
        <f>EOMONTH(G7,12)</f>
        <v>44561</v>
      </c>
      <c r="I7" s="157">
        <f t="shared" ref="I7:P7" si="1">EOMONTH(H7,12)</f>
        <v>44926</v>
      </c>
      <c r="J7" s="157">
        <f t="shared" si="1"/>
        <v>45291</v>
      </c>
      <c r="K7" s="157">
        <f t="shared" si="1"/>
        <v>45657</v>
      </c>
      <c r="L7" s="157">
        <f t="shared" si="1"/>
        <v>46022</v>
      </c>
      <c r="M7" s="157">
        <f t="shared" si="1"/>
        <v>46387</v>
      </c>
      <c r="N7" s="157">
        <f t="shared" si="1"/>
        <v>46752</v>
      </c>
      <c r="O7" s="157">
        <f t="shared" si="1"/>
        <v>47118</v>
      </c>
      <c r="P7" s="157">
        <f t="shared" si="1"/>
        <v>47483</v>
      </c>
    </row>
    <row r="8" spans="1:17">
      <c r="G8" s="149">
        <v>366</v>
      </c>
      <c r="H8" s="149">
        <v>365</v>
      </c>
      <c r="I8" s="149">
        <v>365</v>
      </c>
      <c r="J8" s="149">
        <v>365</v>
      </c>
      <c r="K8" s="149">
        <v>366</v>
      </c>
      <c r="L8" s="149">
        <v>365</v>
      </c>
      <c r="M8" s="149">
        <v>365</v>
      </c>
      <c r="N8" s="149">
        <v>365</v>
      </c>
      <c r="O8" s="149">
        <v>366</v>
      </c>
      <c r="P8" s="149">
        <v>365</v>
      </c>
    </row>
    <row r="10" spans="1:17">
      <c r="A10" s="185">
        <v>1</v>
      </c>
      <c r="B10" s="158"/>
      <c r="C10" s="186" t="s">
        <v>999</v>
      </c>
      <c r="D10" s="186"/>
      <c r="E10" s="186"/>
      <c r="F10" s="186"/>
      <c r="G10" s="186"/>
      <c r="H10" s="185"/>
      <c r="I10" s="187"/>
      <c r="J10" s="187"/>
      <c r="K10" s="187"/>
      <c r="L10" s="187"/>
      <c r="M10" s="187"/>
      <c r="N10" s="188"/>
      <c r="O10" s="188"/>
      <c r="P10" s="188"/>
    </row>
    <row r="11" spans="1:17">
      <c r="A11" s="75"/>
      <c r="B11" s="75"/>
      <c r="C11" s="75"/>
      <c r="D11" s="75"/>
      <c r="E11" s="75"/>
      <c r="F11" s="75"/>
      <c r="G11" s="75"/>
      <c r="H11" s="75"/>
      <c r="I11" s="75"/>
      <c r="J11" s="75"/>
      <c r="K11" s="75"/>
      <c r="L11" s="75"/>
      <c r="M11" s="75"/>
      <c r="N11" s="75"/>
      <c r="O11" s="75"/>
      <c r="P11" s="75"/>
    </row>
    <row r="12" spans="1:17">
      <c r="A12" s="75"/>
      <c r="B12" s="75"/>
      <c r="C12" s="159" t="s">
        <v>1000</v>
      </c>
      <c r="D12" s="160"/>
      <c r="E12" s="161"/>
      <c r="F12" s="162" t="s">
        <v>48</v>
      </c>
      <c r="G12" s="163">
        <f>'3FS'!D12</f>
        <v>469</v>
      </c>
      <c r="H12" s="163">
        <f>'3FS'!E12</f>
        <v>675</v>
      </c>
      <c r="I12" s="163">
        <f>'3FS'!F12</f>
        <v>1433</v>
      </c>
      <c r="J12" s="163">
        <f>'3FS'!G12</f>
        <v>2359</v>
      </c>
      <c r="K12" s="163">
        <f>'3FS'!H12</f>
        <v>2797</v>
      </c>
      <c r="L12" s="163">
        <f>'3FS'!I12</f>
        <v>3447.1579538043488</v>
      </c>
      <c r="M12" s="163">
        <f>'3FS'!J12</f>
        <v>4242.1624252758265</v>
      </c>
      <c r="N12" s="163">
        <f>'3FS'!K12</f>
        <v>5260.5364101367168</v>
      </c>
      <c r="O12" s="163">
        <f>'3FS'!L12</f>
        <v>6524.338542961098</v>
      </c>
      <c r="P12" s="164">
        <f>'3FS'!M12</f>
        <v>8096.0016716356249</v>
      </c>
    </row>
    <row r="13" spans="1:17">
      <c r="A13" s="75"/>
      <c r="B13" s="75"/>
      <c r="C13" s="75" t="s">
        <v>307</v>
      </c>
      <c r="D13" s="75"/>
      <c r="E13" s="75"/>
      <c r="F13" s="75"/>
      <c r="G13" s="75"/>
      <c r="H13" s="99">
        <f>(H12-G12)/G12</f>
        <v>0.43923240938166314</v>
      </c>
      <c r="I13" s="99">
        <f t="shared" ref="I13:P13" si="2">(I12-H12)/H12</f>
        <v>1.1229629629629629</v>
      </c>
      <c r="J13" s="99">
        <f t="shared" si="2"/>
        <v>0.64619678995115148</v>
      </c>
      <c r="K13" s="99">
        <f t="shared" si="2"/>
        <v>0.18567189487070793</v>
      </c>
      <c r="L13" s="99">
        <f t="shared" si="2"/>
        <v>0.23244832098832635</v>
      </c>
      <c r="M13" s="99">
        <f t="shared" si="2"/>
        <v>0.23062606417384957</v>
      </c>
      <c r="N13" s="99">
        <f t="shared" si="2"/>
        <v>0.24006011151133028</v>
      </c>
      <c r="O13" s="99">
        <f t="shared" si="2"/>
        <v>0.24024206550288588</v>
      </c>
      <c r="P13" s="99">
        <f t="shared" si="2"/>
        <v>0.24089233235300833</v>
      </c>
    </row>
    <row r="14" spans="1:17">
      <c r="A14" s="75"/>
      <c r="B14" s="75"/>
      <c r="C14" s="75"/>
      <c r="D14" s="75"/>
      <c r="E14" s="75"/>
      <c r="F14" s="75"/>
      <c r="G14" s="75"/>
      <c r="H14" s="75"/>
      <c r="I14" s="75"/>
      <c r="J14" s="75"/>
      <c r="K14" s="75"/>
      <c r="L14" s="75"/>
      <c r="M14" s="75"/>
      <c r="N14" s="75"/>
      <c r="O14" s="75"/>
      <c r="P14" s="75"/>
    </row>
    <row r="15" spans="1:17">
      <c r="A15" s="185">
        <v>2</v>
      </c>
      <c r="B15" s="158"/>
      <c r="C15" s="186" t="s">
        <v>1001</v>
      </c>
      <c r="D15" s="186"/>
      <c r="E15" s="186"/>
      <c r="F15" s="186"/>
      <c r="G15" s="186"/>
      <c r="H15" s="185"/>
      <c r="I15" s="187"/>
      <c r="J15" s="187"/>
      <c r="K15" s="187"/>
      <c r="L15" s="187"/>
      <c r="M15" s="187"/>
      <c r="N15" s="188"/>
      <c r="O15" s="188"/>
      <c r="P15" s="188"/>
    </row>
    <row r="16" spans="1:17">
      <c r="A16" s="75"/>
      <c r="B16" s="75"/>
      <c r="C16" s="75"/>
      <c r="D16" s="75"/>
      <c r="E16" s="75"/>
      <c r="F16" s="75"/>
      <c r="G16" s="75"/>
      <c r="H16" s="75"/>
      <c r="I16" s="75"/>
      <c r="J16" s="75"/>
      <c r="K16" s="75"/>
      <c r="L16" s="75"/>
      <c r="M16" s="75"/>
      <c r="N16" s="75"/>
      <c r="O16" s="75"/>
      <c r="P16" s="75"/>
    </row>
    <row r="17" spans="1:16">
      <c r="A17" s="75"/>
      <c r="B17" s="75"/>
      <c r="C17" s="75" t="s">
        <v>53</v>
      </c>
      <c r="D17" s="75"/>
      <c r="E17" s="75"/>
      <c r="F17" s="76" t="s">
        <v>48</v>
      </c>
      <c r="G17" s="146">
        <f>'3FS'!D14</f>
        <v>-963</v>
      </c>
      <c r="H17" s="146">
        <f>'3FS'!E14</f>
        <v>-1070</v>
      </c>
      <c r="I17" s="146">
        <f>'3FS'!F14</f>
        <v>-1356</v>
      </c>
      <c r="J17" s="146">
        <f>'3FS'!G14</f>
        <v>-1499</v>
      </c>
      <c r="K17" s="146">
        <f>'3FS'!H14</f>
        <v>-1623</v>
      </c>
      <c r="L17" s="82">
        <f>L18*L$12</f>
        <v>-1914.084676118945</v>
      </c>
      <c r="M17" s="82">
        <f t="shared" ref="M17:P17" si="3">M18*M$12</f>
        <v>-2249.4684308358392</v>
      </c>
      <c r="N17" s="82">
        <f t="shared" si="3"/>
        <v>-2657.9626629300897</v>
      </c>
      <c r="O17" s="82">
        <f t="shared" si="3"/>
        <v>-3133.4086395279378</v>
      </c>
      <c r="P17" s="82">
        <f t="shared" si="3"/>
        <v>-3685.8227131279987</v>
      </c>
    </row>
    <row r="18" spans="1:16">
      <c r="A18" s="75"/>
      <c r="B18" s="75"/>
      <c r="C18" s="101" t="s">
        <v>965</v>
      </c>
      <c r="D18" s="101"/>
      <c r="E18" s="101"/>
      <c r="F18" s="101"/>
      <c r="G18" s="102">
        <f>G17/G$12</f>
        <v>-2.0533049040511728</v>
      </c>
      <c r="H18" s="102">
        <f t="shared" ref="H18:K18" si="4">H17/H$12</f>
        <v>-1.5851851851851853</v>
      </c>
      <c r="I18" s="102">
        <f t="shared" si="4"/>
        <v>-0.94626657362177247</v>
      </c>
      <c r="J18" s="102">
        <f t="shared" si="4"/>
        <v>-0.63543874523103006</v>
      </c>
      <c r="K18" s="102">
        <f t="shared" si="4"/>
        <v>-0.58026456918126568</v>
      </c>
      <c r="L18" s="102">
        <f>_xlfn.XLOOKUP($F$4,$C19:$C21,L19:L21)</f>
        <v>-0.55526456918126565</v>
      </c>
      <c r="M18" s="102">
        <f t="shared" ref="M18:P18" si="5">_xlfn.XLOOKUP($F$4,$C19:$C21,M19:M21)</f>
        <v>-0.53026456918126563</v>
      </c>
      <c r="N18" s="102">
        <f t="shared" si="5"/>
        <v>-0.50526456918126561</v>
      </c>
      <c r="O18" s="102">
        <f t="shared" si="5"/>
        <v>-0.48026456918126559</v>
      </c>
      <c r="P18" s="102">
        <f t="shared" si="5"/>
        <v>-0.45526456918126557</v>
      </c>
    </row>
    <row r="19" spans="1:16">
      <c r="A19" s="75"/>
      <c r="B19" s="75"/>
      <c r="C19" s="103" t="s">
        <v>1002</v>
      </c>
      <c r="D19" s="103"/>
      <c r="E19" s="104">
        <v>0.01</v>
      </c>
      <c r="F19" s="75"/>
      <c r="G19" s="75"/>
      <c r="H19" s="75"/>
      <c r="I19" s="75"/>
      <c r="J19" s="75"/>
      <c r="K19" s="75"/>
      <c r="L19" s="105">
        <f>L20+$E19</f>
        <v>-0.54526456918126565</v>
      </c>
      <c r="M19" s="105">
        <f t="shared" ref="M19:P19" si="6">M20+$E19</f>
        <v>-0.52026456918126562</v>
      </c>
      <c r="N19" s="105">
        <f t="shared" si="6"/>
        <v>-0.4952645691812656</v>
      </c>
      <c r="O19" s="105">
        <f t="shared" si="6"/>
        <v>-0.47026456918126558</v>
      </c>
      <c r="P19" s="105">
        <f t="shared" si="6"/>
        <v>-0.44526456918126556</v>
      </c>
    </row>
    <row r="20" spans="1:16">
      <c r="A20" s="75"/>
      <c r="B20" s="75"/>
      <c r="C20" s="103" t="s">
        <v>11</v>
      </c>
      <c r="D20" s="103"/>
      <c r="E20" s="104">
        <v>-2.5000000000000001E-2</v>
      </c>
      <c r="F20" s="75"/>
      <c r="G20" s="75"/>
      <c r="H20" s="75"/>
      <c r="I20" s="75"/>
      <c r="J20" s="75"/>
      <c r="K20" s="75"/>
      <c r="L20" s="105">
        <f>K18-E20</f>
        <v>-0.55526456918126565</v>
      </c>
      <c r="M20" s="105">
        <f>L20-$E20</f>
        <v>-0.53026456918126563</v>
      </c>
      <c r="N20" s="105">
        <f t="shared" ref="N20:P20" si="7">M20-$E20</f>
        <v>-0.50526456918126561</v>
      </c>
      <c r="O20" s="105">
        <f t="shared" si="7"/>
        <v>-0.48026456918126559</v>
      </c>
      <c r="P20" s="105">
        <f t="shared" si="7"/>
        <v>-0.45526456918126557</v>
      </c>
    </row>
    <row r="21" spans="1:16">
      <c r="A21" s="75"/>
      <c r="B21" s="75"/>
      <c r="C21" s="103" t="s">
        <v>1003</v>
      </c>
      <c r="D21" s="103"/>
      <c r="E21" s="104">
        <v>-0.01</v>
      </c>
      <c r="F21" s="75"/>
      <c r="G21" s="75"/>
      <c r="H21" s="75"/>
      <c r="I21" s="75"/>
      <c r="J21" s="75"/>
      <c r="K21" s="75"/>
      <c r="L21" s="105">
        <f>L20+$E21</f>
        <v>-0.56526456918126566</v>
      </c>
      <c r="M21" s="105">
        <f t="shared" ref="M21:P21" si="8">M20+$E21</f>
        <v>-0.54026456918126564</v>
      </c>
      <c r="N21" s="105">
        <f t="shared" si="8"/>
        <v>-0.51526456918126562</v>
      </c>
      <c r="O21" s="105">
        <f t="shared" si="8"/>
        <v>-0.4902645691812656</v>
      </c>
      <c r="P21" s="105">
        <f t="shared" si="8"/>
        <v>-0.46526456918126557</v>
      </c>
    </row>
    <row r="22" spans="1:16">
      <c r="A22" s="75"/>
      <c r="B22" s="75"/>
      <c r="C22" s="75"/>
      <c r="D22" s="75"/>
      <c r="E22" s="75"/>
      <c r="F22" s="75"/>
      <c r="G22" s="75"/>
      <c r="H22" s="75"/>
      <c r="I22" s="75"/>
      <c r="J22" s="75"/>
      <c r="K22" s="75"/>
      <c r="L22" s="75"/>
      <c r="M22" s="75"/>
      <c r="N22" s="75"/>
      <c r="O22" s="75"/>
      <c r="P22" s="75"/>
    </row>
    <row r="23" spans="1:16">
      <c r="A23" s="185">
        <v>3</v>
      </c>
      <c r="B23" s="158"/>
      <c r="C23" s="186" t="s">
        <v>58</v>
      </c>
      <c r="D23" s="186"/>
      <c r="E23" s="186"/>
      <c r="F23" s="186"/>
      <c r="G23" s="186"/>
      <c r="H23" s="185"/>
      <c r="I23" s="187"/>
      <c r="J23" s="187"/>
      <c r="K23" s="187"/>
      <c r="L23" s="187"/>
      <c r="M23" s="187"/>
      <c r="N23" s="188"/>
      <c r="O23" s="188"/>
      <c r="P23" s="188"/>
    </row>
    <row r="24" spans="1:16">
      <c r="A24" s="75"/>
      <c r="B24" s="75"/>
      <c r="C24" s="75"/>
      <c r="D24" s="75"/>
      <c r="E24" s="75"/>
      <c r="F24" s="75"/>
      <c r="G24" s="75"/>
      <c r="H24" s="75"/>
      <c r="I24" s="75"/>
      <c r="J24" s="75"/>
      <c r="K24" s="75"/>
      <c r="L24" s="75"/>
      <c r="M24" s="75"/>
      <c r="N24" s="75"/>
      <c r="O24" s="75"/>
      <c r="P24" s="75"/>
    </row>
    <row r="25" spans="1:16">
      <c r="A25" s="75"/>
      <c r="B25" s="75"/>
      <c r="C25" s="159" t="s">
        <v>1004</v>
      </c>
      <c r="D25" s="160"/>
      <c r="E25" s="161"/>
      <c r="F25" s="162" t="s">
        <v>48</v>
      </c>
      <c r="G25" s="165">
        <f>'3FS'!D28</f>
        <v>-804</v>
      </c>
      <c r="H25" s="165">
        <f>'3FS'!E28</f>
        <v>-1476</v>
      </c>
      <c r="I25" s="165">
        <f>'3FS'!F28</f>
        <v>-1744</v>
      </c>
      <c r="J25" s="165">
        <f>'3FS'!G28</f>
        <v>-1418</v>
      </c>
      <c r="K25" s="165">
        <f>'3FS'!H28</f>
        <v>-1342</v>
      </c>
      <c r="L25" s="166">
        <f>SUM(L28,L34,L40,L46,L52,L58,L64,L70,L76)</f>
        <v>-1623.468128639784</v>
      </c>
      <c r="M25" s="166">
        <f t="shared" ref="M25:P25" si="9">SUM(M28,M34,M40,M46,M52,M58,M64,M70,M76)</f>
        <v>-1934.2497570805244</v>
      </c>
      <c r="N25" s="166">
        <f t="shared" si="9"/>
        <v>-2319.6779233039883</v>
      </c>
      <c r="O25" s="166">
        <f t="shared" si="9"/>
        <v>-2779.0970607555664</v>
      </c>
      <c r="P25" s="167">
        <f t="shared" si="9"/>
        <v>-3327.1202084818301</v>
      </c>
    </row>
    <row r="26" spans="1:16">
      <c r="A26" s="75"/>
      <c r="B26" s="75"/>
      <c r="C26" s="75" t="s">
        <v>965</v>
      </c>
      <c r="D26" s="75"/>
      <c r="E26" s="75"/>
      <c r="F26" s="75"/>
      <c r="G26" s="102">
        <f>G25/G12</f>
        <v>-1.7142857142857142</v>
      </c>
      <c r="H26" s="102">
        <f t="shared" ref="H26:P26" si="10">H25/H12</f>
        <v>-2.1866666666666665</v>
      </c>
      <c r="I26" s="102">
        <f t="shared" si="10"/>
        <v>-1.2170272156315423</v>
      </c>
      <c r="J26" s="102">
        <f t="shared" si="10"/>
        <v>-0.60110216193302246</v>
      </c>
      <c r="K26" s="102">
        <f t="shared" si="10"/>
        <v>-0.47979978548444763</v>
      </c>
      <c r="L26" s="102">
        <f t="shared" si="10"/>
        <v>-0.47095843892157419</v>
      </c>
      <c r="M26" s="102">
        <f t="shared" si="10"/>
        <v>-0.45595843892157406</v>
      </c>
      <c r="N26" s="102">
        <f t="shared" si="10"/>
        <v>-0.44095843892157416</v>
      </c>
      <c r="O26" s="102">
        <f t="shared" si="10"/>
        <v>-0.42595843892157409</v>
      </c>
      <c r="P26" s="102">
        <f t="shared" si="10"/>
        <v>-0.41095843892157402</v>
      </c>
    </row>
    <row r="27" spans="1:16">
      <c r="A27" s="75"/>
      <c r="B27" s="75"/>
      <c r="C27" s="75"/>
      <c r="D27" s="75"/>
      <c r="E27" s="75"/>
      <c r="F27" s="75"/>
      <c r="G27" s="75"/>
      <c r="H27" s="75"/>
      <c r="I27" s="75"/>
      <c r="J27" s="75"/>
      <c r="K27" s="75"/>
      <c r="L27" s="75"/>
      <c r="M27" s="75"/>
      <c r="N27" s="75"/>
      <c r="O27" s="75"/>
      <c r="P27" s="75"/>
    </row>
    <row r="28" spans="1:16">
      <c r="A28" s="75"/>
      <c r="B28" s="75"/>
      <c r="C28" s="38" t="s">
        <v>59</v>
      </c>
      <c r="D28" s="75"/>
      <c r="E28" s="75"/>
      <c r="F28" s="76" t="s">
        <v>48</v>
      </c>
      <c r="G28" s="146">
        <f>'3FS'!D19</f>
        <v>-151</v>
      </c>
      <c r="H28" s="146">
        <f>'3FS'!E19</f>
        <v>-241</v>
      </c>
      <c r="I28" s="146">
        <f>'3FS'!F19</f>
        <v>-278</v>
      </c>
      <c r="J28" s="146">
        <f>'3FS'!G19</f>
        <v>-293</v>
      </c>
      <c r="K28" s="146">
        <f>'3FS'!H19</f>
        <v>-324</v>
      </c>
      <c r="L28" s="82">
        <f>L29*L$12</f>
        <v>-382.07746623119601</v>
      </c>
      <c r="M28" s="82">
        <f t="shared" ref="M28:P28" si="11">M29*M$12</f>
        <v>-448.98367635123446</v>
      </c>
      <c r="N28" s="82">
        <f t="shared" si="11"/>
        <v>-530.46406571219529</v>
      </c>
      <c r="O28" s="82">
        <f t="shared" si="11"/>
        <v>-625.28215581914617</v>
      </c>
      <c r="P28" s="82">
        <f t="shared" si="11"/>
        <v>-735.42782435495928</v>
      </c>
    </row>
    <row r="29" spans="1:16">
      <c r="A29" s="75"/>
      <c r="B29" s="75"/>
      <c r="C29" s="101" t="s">
        <v>965</v>
      </c>
      <c r="D29" s="101"/>
      <c r="E29" s="101"/>
      <c r="F29" s="101"/>
      <c r="G29" s="102">
        <f>G28/G$12</f>
        <v>-0.32196162046908317</v>
      </c>
      <c r="H29" s="102">
        <f t="shared" ref="H29:K29" si="12">H28/H$12</f>
        <v>-0.35703703703703704</v>
      </c>
      <c r="I29" s="102">
        <f t="shared" si="12"/>
        <v>-0.19399860432658758</v>
      </c>
      <c r="J29" s="102">
        <f t="shared" si="12"/>
        <v>-0.12420517168291649</v>
      </c>
      <c r="K29" s="102">
        <f t="shared" si="12"/>
        <v>-0.11583839828387558</v>
      </c>
      <c r="L29" s="102">
        <f>_xlfn.XLOOKUP($F$4,$C30:$C32,L30:L32)</f>
        <v>-0.11083839828387558</v>
      </c>
      <c r="M29" s="102">
        <f t="shared" ref="M29" si="13">_xlfn.XLOOKUP($F$4,$C30:$C32,M30:M32)</f>
        <v>-0.10583839828387558</v>
      </c>
      <c r="N29" s="102">
        <f t="shared" ref="N29" si="14">_xlfn.XLOOKUP($F$4,$C30:$C32,N30:N32)</f>
        <v>-0.10083839828387557</v>
      </c>
      <c r="O29" s="102">
        <f t="shared" ref="O29" si="15">_xlfn.XLOOKUP($F$4,$C30:$C32,O30:O32)</f>
        <v>-9.5838398283875567E-2</v>
      </c>
      <c r="P29" s="102">
        <f t="shared" ref="P29" si="16">_xlfn.XLOOKUP($F$4,$C30:$C32,P30:P32)</f>
        <v>-9.0838398283875563E-2</v>
      </c>
    </row>
    <row r="30" spans="1:16">
      <c r="A30" s="75"/>
      <c r="B30" s="75"/>
      <c r="C30" s="103" t="s">
        <v>1002</v>
      </c>
      <c r="D30" s="103"/>
      <c r="E30" s="104">
        <v>0.01</v>
      </c>
      <c r="F30" s="75"/>
      <c r="G30" s="75"/>
      <c r="H30" s="75"/>
      <c r="I30" s="75"/>
      <c r="J30" s="75"/>
      <c r="K30" s="75"/>
      <c r="L30" s="105">
        <f>L31+$E30</f>
        <v>-0.10083839828387559</v>
      </c>
      <c r="M30" s="105">
        <f t="shared" ref="M30:P30" si="17">M31+$E30</f>
        <v>-9.5838398283875581E-2</v>
      </c>
      <c r="N30" s="105">
        <f t="shared" si="17"/>
        <v>-9.0838398283875577E-2</v>
      </c>
      <c r="O30" s="105">
        <f t="shared" si="17"/>
        <v>-8.5838398283875572E-2</v>
      </c>
      <c r="P30" s="105">
        <f t="shared" si="17"/>
        <v>-8.0838398283875568E-2</v>
      </c>
    </row>
    <row r="31" spans="1:16">
      <c r="A31" s="75"/>
      <c r="B31" s="75"/>
      <c r="C31" s="103" t="s">
        <v>11</v>
      </c>
      <c r="D31" s="103"/>
      <c r="E31" s="104">
        <v>-5.0000000000000001E-3</v>
      </c>
      <c r="F31" s="75"/>
      <c r="G31" s="75"/>
      <c r="H31" s="75"/>
      <c r="I31" s="75"/>
      <c r="J31" s="75"/>
      <c r="K31" s="75"/>
      <c r="L31" s="105">
        <f>K29-E31</f>
        <v>-0.11083839828387558</v>
      </c>
      <c r="M31" s="105">
        <f>L31-$E31</f>
        <v>-0.10583839828387558</v>
      </c>
      <c r="N31" s="105">
        <f t="shared" ref="N31:P31" si="18">M31-$E31</f>
        <v>-0.10083839828387557</v>
      </c>
      <c r="O31" s="105">
        <f t="shared" si="18"/>
        <v>-9.5838398283875567E-2</v>
      </c>
      <c r="P31" s="105">
        <f t="shared" si="18"/>
        <v>-9.0838398283875563E-2</v>
      </c>
    </row>
    <row r="32" spans="1:16">
      <c r="A32" s="75"/>
      <c r="B32" s="75"/>
      <c r="C32" s="103" t="s">
        <v>1003</v>
      </c>
      <c r="D32" s="103"/>
      <c r="E32" s="104">
        <v>-0.01</v>
      </c>
      <c r="F32" s="75"/>
      <c r="G32" s="75"/>
      <c r="H32" s="75"/>
      <c r="I32" s="75"/>
      <c r="J32" s="75"/>
      <c r="K32" s="75"/>
      <c r="L32" s="105">
        <f>L31+$E32</f>
        <v>-0.12083839828387558</v>
      </c>
      <c r="M32" s="105">
        <f t="shared" ref="M32:P32" si="19">M31+$E32</f>
        <v>-0.11583839828387557</v>
      </c>
      <c r="N32" s="105">
        <f t="shared" si="19"/>
        <v>-0.11083839828387557</v>
      </c>
      <c r="O32" s="105">
        <f t="shared" si="19"/>
        <v>-0.10583839828387556</v>
      </c>
      <c r="P32" s="105">
        <f t="shared" si="19"/>
        <v>-0.10083839828387556</v>
      </c>
    </row>
    <row r="33" spans="1:16">
      <c r="A33" s="75"/>
      <c r="B33" s="75"/>
      <c r="C33" s="75"/>
      <c r="D33" s="75"/>
      <c r="E33" s="75"/>
      <c r="F33" s="75"/>
      <c r="G33" s="75"/>
      <c r="H33" s="75"/>
      <c r="I33" s="75"/>
      <c r="J33" s="75"/>
      <c r="K33" s="75"/>
      <c r="L33" s="75"/>
      <c r="M33" s="75"/>
      <c r="N33" s="75"/>
      <c r="O33" s="75"/>
      <c r="P33" s="75"/>
    </row>
    <row r="34" spans="1:16">
      <c r="A34" s="75"/>
      <c r="B34" s="75"/>
      <c r="C34" s="38" t="s">
        <v>60</v>
      </c>
      <c r="D34" s="75"/>
      <c r="E34" s="75"/>
      <c r="F34" s="76" t="s">
        <v>48</v>
      </c>
      <c r="G34" s="146">
        <f>'3FS'!D20</f>
        <v>-326</v>
      </c>
      <c r="H34" s="146">
        <f>'3FS'!E20</f>
        <v>-544</v>
      </c>
      <c r="I34" s="146">
        <f>'3FS'!F20</f>
        <v>-646</v>
      </c>
      <c r="J34" s="146">
        <f>'3FS'!G20</f>
        <v>-550</v>
      </c>
      <c r="K34" s="146">
        <f>'3FS'!H20</f>
        <v>-512</v>
      </c>
      <c r="L34" s="82">
        <f>(L35*L$12)</f>
        <v>-613.77775057700137</v>
      </c>
      <c r="M34" s="82">
        <f t="shared" ref="M34:P34" si="20">(M35*M$12)</f>
        <v>-734.12008534367476</v>
      </c>
      <c r="N34" s="82">
        <f t="shared" si="20"/>
        <v>-884.05035284330097</v>
      </c>
      <c r="O34" s="82">
        <f t="shared" si="20"/>
        <v>-1063.8147429041251</v>
      </c>
      <c r="P34" s="82">
        <f t="shared" si="20"/>
        <v>-1279.5995491556375</v>
      </c>
    </row>
    <row r="35" spans="1:16">
      <c r="A35" s="75"/>
      <c r="B35" s="75"/>
      <c r="C35" s="101" t="s">
        <v>965</v>
      </c>
      <c r="D35" s="101"/>
      <c r="E35" s="101"/>
      <c r="F35" s="101"/>
      <c r="G35" s="102">
        <f>G34/G$12</f>
        <v>-0.69509594882729209</v>
      </c>
      <c r="H35" s="102">
        <f t="shared" ref="H35:K35" si="21">H34/H$12</f>
        <v>-0.80592592592592593</v>
      </c>
      <c r="I35" s="102">
        <f t="shared" si="21"/>
        <v>-0.45080251221214235</v>
      </c>
      <c r="J35" s="102">
        <f t="shared" si="21"/>
        <v>-0.23314963967782959</v>
      </c>
      <c r="K35" s="102">
        <f t="shared" si="21"/>
        <v>-0.18305327136217375</v>
      </c>
      <c r="L35" s="102">
        <f>_xlfn.XLOOKUP($F$4,$C36:$C38,L36:L38)</f>
        <v>-0.17805327136217375</v>
      </c>
      <c r="M35" s="102">
        <f t="shared" ref="M35" si="22">_xlfn.XLOOKUP($F$4,$C36:$C38,M36:M38)</f>
        <v>-0.17305327136217374</v>
      </c>
      <c r="N35" s="102">
        <f t="shared" ref="N35" si="23">_xlfn.XLOOKUP($F$4,$C36:$C38,N36:N38)</f>
        <v>-0.16805327136217374</v>
      </c>
      <c r="O35" s="102">
        <f t="shared" ref="O35" si="24">_xlfn.XLOOKUP($F$4,$C36:$C38,O36:O38)</f>
        <v>-0.16305327136217374</v>
      </c>
      <c r="P35" s="102">
        <f t="shared" ref="P35" si="25">_xlfn.XLOOKUP($F$4,$C36:$C38,P36:P38)</f>
        <v>-0.15805327136217373</v>
      </c>
    </row>
    <row r="36" spans="1:16">
      <c r="A36" s="75"/>
      <c r="B36" s="75"/>
      <c r="C36" s="103" t="s">
        <v>1002</v>
      </c>
      <c r="D36" s="103"/>
      <c r="E36" s="104">
        <v>5.0000000000000001E-3</v>
      </c>
      <c r="F36" s="75"/>
      <c r="G36" s="75"/>
      <c r="H36" s="75"/>
      <c r="I36" s="75"/>
      <c r="J36" s="75"/>
      <c r="K36" s="75"/>
      <c r="L36" s="105">
        <f>L37+$E36</f>
        <v>-0.17305327136217374</v>
      </c>
      <c r="M36" s="105">
        <f t="shared" ref="M36:P36" si="26">M37+$E36</f>
        <v>-0.16805327136217374</v>
      </c>
      <c r="N36" s="105">
        <f t="shared" si="26"/>
        <v>-0.16305327136217374</v>
      </c>
      <c r="O36" s="105">
        <f t="shared" si="26"/>
        <v>-0.15805327136217373</v>
      </c>
      <c r="P36" s="105">
        <f t="shared" si="26"/>
        <v>-0.15305327136217373</v>
      </c>
    </row>
    <row r="37" spans="1:16">
      <c r="A37" s="75"/>
      <c r="B37" s="75"/>
      <c r="C37" s="103" t="s">
        <v>11</v>
      </c>
      <c r="D37" s="103"/>
      <c r="E37" s="104">
        <v>-5.0000000000000001E-3</v>
      </c>
      <c r="F37" s="75"/>
      <c r="G37" s="75"/>
      <c r="H37" s="75"/>
      <c r="I37" s="75"/>
      <c r="J37" s="75"/>
      <c r="K37" s="75"/>
      <c r="L37" s="105">
        <f>K35-E37</f>
        <v>-0.17805327136217375</v>
      </c>
      <c r="M37" s="105">
        <f>L37-$E37</f>
        <v>-0.17305327136217374</v>
      </c>
      <c r="N37" s="105">
        <f t="shared" ref="N37:P37" si="27">M37-$E37</f>
        <v>-0.16805327136217374</v>
      </c>
      <c r="O37" s="105">
        <f t="shared" si="27"/>
        <v>-0.16305327136217374</v>
      </c>
      <c r="P37" s="105">
        <f t="shared" si="27"/>
        <v>-0.15805327136217373</v>
      </c>
    </row>
    <row r="38" spans="1:16">
      <c r="A38" s="75"/>
      <c r="B38" s="75"/>
      <c r="C38" s="103" t="s">
        <v>1003</v>
      </c>
      <c r="D38" s="103"/>
      <c r="E38" s="104">
        <v>-5.0000000000000001E-3</v>
      </c>
      <c r="F38" s="75"/>
      <c r="G38" s="75"/>
      <c r="H38" s="75"/>
      <c r="I38" s="75"/>
      <c r="J38" s="75"/>
      <c r="K38" s="75"/>
      <c r="L38" s="105">
        <f>L37+$E38</f>
        <v>-0.18305327136217375</v>
      </c>
      <c r="M38" s="105">
        <f t="shared" ref="M38:P38" si="28">M37+$E38</f>
        <v>-0.17805327136217375</v>
      </c>
      <c r="N38" s="105">
        <f t="shared" si="28"/>
        <v>-0.17305327136217374</v>
      </c>
      <c r="O38" s="105">
        <f t="shared" si="28"/>
        <v>-0.16805327136217374</v>
      </c>
      <c r="P38" s="105">
        <f t="shared" si="28"/>
        <v>-0.16305327136217374</v>
      </c>
    </row>
    <row r="39" spans="1:16">
      <c r="A39" s="75"/>
      <c r="B39" s="75"/>
      <c r="C39" s="75"/>
      <c r="D39" s="75"/>
      <c r="E39" s="75"/>
      <c r="F39" s="75"/>
      <c r="G39" s="75"/>
      <c r="H39" s="75"/>
      <c r="I39" s="75"/>
      <c r="J39" s="75"/>
      <c r="K39" s="75"/>
      <c r="L39" s="75"/>
      <c r="M39" s="75"/>
      <c r="N39" s="75"/>
      <c r="O39" s="75"/>
      <c r="P39" s="75"/>
    </row>
    <row r="40" spans="1:16">
      <c r="A40" s="75"/>
      <c r="B40" s="75"/>
      <c r="C40" s="38" t="s">
        <v>61</v>
      </c>
      <c r="D40" s="75"/>
      <c r="E40" s="75"/>
      <c r="F40" s="76" t="s">
        <v>48</v>
      </c>
      <c r="G40" s="146">
        <f>'3FS'!D21</f>
        <v>-257</v>
      </c>
      <c r="H40" s="146">
        <f>'3FS'!E21</f>
        <v>-356</v>
      </c>
      <c r="I40" s="146">
        <f>'3FS'!F21</f>
        <v>-465</v>
      </c>
      <c r="J40" s="146">
        <f>'3FS'!G21</f>
        <v>-421</v>
      </c>
      <c r="K40" s="146">
        <f>'3FS'!H21</f>
        <v>-410</v>
      </c>
      <c r="L40" s="82">
        <f>L41*L$12</f>
        <v>-505.30381160521381</v>
      </c>
      <c r="M40" s="82">
        <f t="shared" ref="M40:P40" si="29">M41*M$12</f>
        <v>-600.62922876138941</v>
      </c>
      <c r="N40" s="82">
        <f t="shared" si="29"/>
        <v>-718.51366634412932</v>
      </c>
      <c r="O40" s="82">
        <f t="shared" si="29"/>
        <v>-858.50918092388883</v>
      </c>
      <c r="P40" s="82">
        <f t="shared" si="29"/>
        <v>-1024.837451504937</v>
      </c>
    </row>
    <row r="41" spans="1:16">
      <c r="A41" s="75"/>
      <c r="B41" s="75"/>
      <c r="C41" s="101" t="s">
        <v>965</v>
      </c>
      <c r="D41" s="101"/>
      <c r="E41" s="101"/>
      <c r="F41" s="101"/>
      <c r="G41" s="102">
        <f>G40/G$12</f>
        <v>-0.54797441364605548</v>
      </c>
      <c r="H41" s="102">
        <f t="shared" ref="H41:K41" si="30">H40/H$12</f>
        <v>-0.52740740740740744</v>
      </c>
      <c r="I41" s="102">
        <f t="shared" si="30"/>
        <v>-0.32449406838799721</v>
      </c>
      <c r="J41" s="102">
        <f t="shared" si="30"/>
        <v>-0.1784654514624841</v>
      </c>
      <c r="K41" s="102">
        <f t="shared" si="30"/>
        <v>-0.1465856274579907</v>
      </c>
      <c r="L41" s="102">
        <f>_xlfn.XLOOKUP($F$4,$C42:$C44,L42:L44)</f>
        <v>-0.1465856274579907</v>
      </c>
      <c r="M41" s="102">
        <f t="shared" ref="M41" si="31">_xlfn.XLOOKUP($F$4,$C42:$C44,M42:M44)</f>
        <v>-0.14158562745799069</v>
      </c>
      <c r="N41" s="102">
        <f t="shared" ref="N41" si="32">_xlfn.XLOOKUP($F$4,$C42:$C44,N42:N44)</f>
        <v>-0.13658562745799069</v>
      </c>
      <c r="O41" s="102">
        <f t="shared" ref="O41" si="33">_xlfn.XLOOKUP($F$4,$C42:$C44,O42:O44)</f>
        <v>-0.13158562745799068</v>
      </c>
      <c r="P41" s="102">
        <f t="shared" ref="P41" si="34">_xlfn.XLOOKUP($F$4,$C42:$C44,P42:P44)</f>
        <v>-0.12658562745799068</v>
      </c>
    </row>
    <row r="42" spans="1:16">
      <c r="A42" s="75"/>
      <c r="B42" s="75"/>
      <c r="C42" s="103" t="s">
        <v>1002</v>
      </c>
      <c r="D42" s="103"/>
      <c r="E42" s="104">
        <v>0.01</v>
      </c>
      <c r="F42" s="75"/>
      <c r="G42" s="75"/>
      <c r="H42" s="75"/>
      <c r="I42" s="75"/>
      <c r="J42" s="75"/>
      <c r="K42" s="75"/>
      <c r="L42" s="105">
        <f>L43+$E42</f>
        <v>-0.13658562745799069</v>
      </c>
      <c r="M42" s="105">
        <f t="shared" ref="M42:P42" si="35">M43+$E42</f>
        <v>-0.13158562745799068</v>
      </c>
      <c r="N42" s="105">
        <f t="shared" si="35"/>
        <v>-0.12658562745799068</v>
      </c>
      <c r="O42" s="105">
        <f t="shared" si="35"/>
        <v>-0.12158562745799069</v>
      </c>
      <c r="P42" s="105">
        <f t="shared" si="35"/>
        <v>-0.11658562745799068</v>
      </c>
    </row>
    <row r="43" spans="1:16">
      <c r="A43" s="75"/>
      <c r="B43" s="75"/>
      <c r="C43" s="103" t="s">
        <v>11</v>
      </c>
      <c r="D43" s="103"/>
      <c r="E43" s="104">
        <v>-5.0000000000000001E-3</v>
      </c>
      <c r="F43" s="75"/>
      <c r="G43" s="75"/>
      <c r="H43" s="75"/>
      <c r="I43" s="75"/>
      <c r="J43" s="75"/>
      <c r="K43" s="75"/>
      <c r="L43" s="105">
        <f>K41</f>
        <v>-0.1465856274579907</v>
      </c>
      <c r="M43" s="105">
        <f>L43-$E43</f>
        <v>-0.14158562745799069</v>
      </c>
      <c r="N43" s="105">
        <f t="shared" ref="N43:P43" si="36">M43-$E43</f>
        <v>-0.13658562745799069</v>
      </c>
      <c r="O43" s="105">
        <f t="shared" si="36"/>
        <v>-0.13158562745799068</v>
      </c>
      <c r="P43" s="105">
        <f t="shared" si="36"/>
        <v>-0.12658562745799068</v>
      </c>
    </row>
    <row r="44" spans="1:16">
      <c r="A44" s="75"/>
      <c r="B44" s="75"/>
      <c r="C44" s="103" t="s">
        <v>1003</v>
      </c>
      <c r="D44" s="103"/>
      <c r="E44" s="104">
        <v>-0.01</v>
      </c>
      <c r="F44" s="75"/>
      <c r="G44" s="75"/>
      <c r="H44" s="75"/>
      <c r="I44" s="75"/>
      <c r="J44" s="75"/>
      <c r="K44" s="75"/>
      <c r="L44" s="105">
        <f>L43+$E44</f>
        <v>-0.15658562745799071</v>
      </c>
      <c r="M44" s="105">
        <f t="shared" ref="M44:P44" si="37">M43+$E44</f>
        <v>-0.1515856274579907</v>
      </c>
      <c r="N44" s="105">
        <f t="shared" si="37"/>
        <v>-0.1465856274579907</v>
      </c>
      <c r="O44" s="105">
        <f t="shared" si="37"/>
        <v>-0.14158562745799069</v>
      </c>
      <c r="P44" s="105">
        <f t="shared" si="37"/>
        <v>-0.13658562745799069</v>
      </c>
    </row>
    <row r="45" spans="1:16">
      <c r="A45" s="75"/>
      <c r="B45" s="75"/>
      <c r="C45" s="75"/>
      <c r="D45" s="75"/>
      <c r="E45" s="75"/>
      <c r="F45" s="75"/>
      <c r="G45" s="75"/>
      <c r="H45" s="75"/>
      <c r="I45" s="75"/>
      <c r="J45" s="75"/>
      <c r="K45" s="75"/>
      <c r="L45" s="75"/>
      <c r="M45" s="75"/>
      <c r="N45" s="75"/>
      <c r="O45" s="75"/>
      <c r="P45" s="75"/>
    </row>
    <row r="46" spans="1:16">
      <c r="A46" s="75"/>
      <c r="B46" s="75"/>
      <c r="C46" s="38" t="s">
        <v>62</v>
      </c>
      <c r="D46" s="75"/>
      <c r="E46" s="75"/>
      <c r="F46" s="76" t="s">
        <v>48</v>
      </c>
      <c r="G46" s="146">
        <f>'3FS'!D22</f>
        <v>33</v>
      </c>
      <c r="H46" s="146">
        <f>'3FS'!E22</f>
        <v>12</v>
      </c>
      <c r="I46" s="146">
        <f>'3FS'!F22</f>
        <v>17</v>
      </c>
      <c r="J46" s="146">
        <f>'3FS'!G22</f>
        <v>17</v>
      </c>
      <c r="K46" s="146">
        <f>'3FS'!H22</f>
        <v>17</v>
      </c>
      <c r="L46" s="82">
        <f>L47*L$12</f>
        <v>40.894406988607074</v>
      </c>
      <c r="M46" s="82">
        <f t="shared" ref="M46:P46" si="38">M47*M$12</f>
        <v>50.325723119113086</v>
      </c>
      <c r="N46" s="82">
        <f t="shared" si="38"/>
        <v>62.406921822975711</v>
      </c>
      <c r="O46" s="82">
        <f t="shared" si="38"/>
        <v>77.399689623404512</v>
      </c>
      <c r="P46" s="82">
        <f t="shared" si="38"/>
        <v>96.044681380185366</v>
      </c>
    </row>
    <row r="47" spans="1:16">
      <c r="A47" s="75"/>
      <c r="B47" s="75"/>
      <c r="C47" s="101" t="s">
        <v>965</v>
      </c>
      <c r="D47" s="101"/>
      <c r="E47" s="101"/>
      <c r="F47" s="101"/>
      <c r="G47" s="102">
        <f>G46/G$12</f>
        <v>7.0362473347547971E-2</v>
      </c>
      <c r="H47" s="102">
        <f t="shared" ref="H47:K47" si="39">H46/H$12</f>
        <v>1.7777777777777778E-2</v>
      </c>
      <c r="I47" s="102">
        <f t="shared" si="39"/>
        <v>1.1863224005582694E-2</v>
      </c>
      <c r="J47" s="102">
        <f t="shared" si="39"/>
        <v>7.2064434082238235E-3</v>
      </c>
      <c r="K47" s="102">
        <f t="shared" si="39"/>
        <v>6.0779406506971754E-3</v>
      </c>
      <c r="L47" s="102">
        <f>_xlfn.XLOOKUP($F$4,$C48:$C50,L48:L50)</f>
        <v>1.1863224005582694E-2</v>
      </c>
      <c r="M47" s="102">
        <f t="shared" ref="M47" si="40">_xlfn.XLOOKUP($F$4,$C48:$C50,M48:M50)</f>
        <v>1.1863224005582694E-2</v>
      </c>
      <c r="N47" s="102">
        <f t="shared" ref="N47" si="41">_xlfn.XLOOKUP($F$4,$C48:$C50,N48:N50)</f>
        <v>1.1863224005582694E-2</v>
      </c>
      <c r="O47" s="102">
        <f t="shared" ref="O47" si="42">_xlfn.XLOOKUP($F$4,$C48:$C50,O48:O50)</f>
        <v>1.1863224005582694E-2</v>
      </c>
      <c r="P47" s="102">
        <f t="shared" ref="P47" si="43">_xlfn.XLOOKUP($F$4,$C48:$C50,P48:P50)</f>
        <v>1.1863224005582694E-2</v>
      </c>
    </row>
    <row r="48" spans="1:16">
      <c r="A48" s="75"/>
      <c r="B48" s="75"/>
      <c r="C48" s="103" t="s">
        <v>1002</v>
      </c>
      <c r="D48" s="103"/>
      <c r="E48" s="104">
        <v>5.0000000000000001E-3</v>
      </c>
      <c r="F48" s="75"/>
      <c r="G48" s="75"/>
      <c r="H48" s="75"/>
      <c r="I48" s="75"/>
      <c r="J48" s="75"/>
      <c r="K48" s="75"/>
      <c r="L48" s="105">
        <f>L49+$E48</f>
        <v>1.6863224005582694E-2</v>
      </c>
      <c r="M48" s="105">
        <f t="shared" ref="M48:P48" si="44">M49+$E48</f>
        <v>1.6863224005582694E-2</v>
      </c>
      <c r="N48" s="105">
        <f t="shared" si="44"/>
        <v>1.6863224005582694E-2</v>
      </c>
      <c r="O48" s="105">
        <f t="shared" si="44"/>
        <v>1.6863224005582694E-2</v>
      </c>
      <c r="P48" s="105">
        <f t="shared" si="44"/>
        <v>1.6863224005582694E-2</v>
      </c>
    </row>
    <row r="49" spans="1:16">
      <c r="A49" s="75"/>
      <c r="B49" s="75"/>
      <c r="C49" s="103" t="s">
        <v>11</v>
      </c>
      <c r="D49" s="103"/>
      <c r="E49" s="104">
        <v>0</v>
      </c>
      <c r="F49" s="75"/>
      <c r="G49" s="75"/>
      <c r="H49" s="75"/>
      <c r="I49" s="75"/>
      <c r="J49" s="75"/>
      <c r="K49" s="75"/>
      <c r="L49" s="105">
        <f>MEDIAN($G47:$K47)-$E49</f>
        <v>1.1863224005582694E-2</v>
      </c>
      <c r="M49" s="105">
        <f>L49-$E49</f>
        <v>1.1863224005582694E-2</v>
      </c>
      <c r="N49" s="105">
        <f t="shared" ref="N49:P49" si="45">M49-$E49</f>
        <v>1.1863224005582694E-2</v>
      </c>
      <c r="O49" s="105">
        <f t="shared" si="45"/>
        <v>1.1863224005582694E-2</v>
      </c>
      <c r="P49" s="105">
        <f t="shared" si="45"/>
        <v>1.1863224005582694E-2</v>
      </c>
    </row>
    <row r="50" spans="1:16">
      <c r="A50" s="75"/>
      <c r="B50" s="75"/>
      <c r="C50" s="103" t="s">
        <v>1003</v>
      </c>
      <c r="D50" s="103"/>
      <c r="E50" s="104">
        <v>-5.0000000000000001E-3</v>
      </c>
      <c r="F50" s="75"/>
      <c r="G50" s="75"/>
      <c r="H50" s="75"/>
      <c r="I50" s="75"/>
      <c r="J50" s="75"/>
      <c r="K50" s="75"/>
      <c r="L50" s="105">
        <f>L49+$E50</f>
        <v>6.8632240055826943E-3</v>
      </c>
      <c r="M50" s="105">
        <f t="shared" ref="M50:P50" si="46">M49+$E50</f>
        <v>6.8632240055826943E-3</v>
      </c>
      <c r="N50" s="105">
        <f t="shared" si="46"/>
        <v>6.8632240055826943E-3</v>
      </c>
      <c r="O50" s="105">
        <f t="shared" si="46"/>
        <v>6.8632240055826943E-3</v>
      </c>
      <c r="P50" s="105">
        <f t="shared" si="46"/>
        <v>6.8632240055826943E-3</v>
      </c>
    </row>
    <row r="51" spans="1:16">
      <c r="A51" s="75"/>
      <c r="B51" s="75"/>
      <c r="C51" s="75"/>
      <c r="D51" s="75"/>
      <c r="E51" s="75"/>
      <c r="F51" s="75"/>
      <c r="G51" s="75"/>
      <c r="H51" s="75"/>
      <c r="I51" s="75"/>
      <c r="J51" s="75"/>
      <c r="K51" s="75"/>
      <c r="L51" s="75"/>
      <c r="M51" s="75"/>
      <c r="N51" s="75"/>
      <c r="O51" s="75"/>
      <c r="P51" s="75"/>
    </row>
    <row r="52" spans="1:16">
      <c r="A52" s="75"/>
      <c r="B52" s="75"/>
      <c r="C52" s="38" t="s">
        <v>63</v>
      </c>
      <c r="D52" s="75"/>
      <c r="E52" s="75"/>
      <c r="F52" s="76" t="s">
        <v>48</v>
      </c>
      <c r="G52" s="146">
        <f>'3FS'!D23</f>
        <v>-40</v>
      </c>
      <c r="H52" s="146">
        <f>'3FS'!E23</f>
        <v>-11</v>
      </c>
      <c r="I52" s="146">
        <f>'3FS'!F23</f>
        <v>-12</v>
      </c>
      <c r="J52" s="146">
        <f>'3FS'!G23</f>
        <v>-4</v>
      </c>
      <c r="K52" s="146">
        <f>'3FS'!H23</f>
        <v>-4</v>
      </c>
      <c r="L52" s="82">
        <f>L53*L$12</f>
        <v>-28.866640227252049</v>
      </c>
      <c r="M52" s="82">
        <f t="shared" ref="M52:P52" si="47">M53*M$12</f>
        <v>-35.524039848785705</v>
      </c>
      <c r="N52" s="82">
        <f t="shared" si="47"/>
        <v>-44.051944816218146</v>
      </c>
      <c r="O52" s="82">
        <f t="shared" si="47"/>
        <v>-54.635075028285542</v>
      </c>
      <c r="P52" s="82">
        <f t="shared" si="47"/>
        <v>-67.796245680130852</v>
      </c>
    </row>
    <row r="53" spans="1:16">
      <c r="A53" s="75"/>
      <c r="B53" s="75"/>
      <c r="C53" s="101" t="s">
        <v>965</v>
      </c>
      <c r="D53" s="101"/>
      <c r="E53" s="101"/>
      <c r="F53" s="101"/>
      <c r="G53" s="102">
        <f>G52/G$12</f>
        <v>-8.5287846481876331E-2</v>
      </c>
      <c r="H53" s="102">
        <f t="shared" ref="H53:K53" si="48">H52/H$12</f>
        <v>-1.6296296296296295E-2</v>
      </c>
      <c r="I53" s="102">
        <f t="shared" si="48"/>
        <v>-8.3740404745289605E-3</v>
      </c>
      <c r="J53" s="102">
        <f t="shared" si="48"/>
        <v>-1.6956337431114879E-3</v>
      </c>
      <c r="K53" s="102">
        <f t="shared" si="48"/>
        <v>-1.4301036825169824E-3</v>
      </c>
      <c r="L53" s="102">
        <f>_xlfn.XLOOKUP($F$4,$C54:$C56,L54:L56)</f>
        <v>-8.3740404745289605E-3</v>
      </c>
      <c r="M53" s="102">
        <f t="shared" ref="M53" si="49">_xlfn.XLOOKUP($F$4,$C54:$C56,M54:M56)</f>
        <v>-8.3740404745289605E-3</v>
      </c>
      <c r="N53" s="102">
        <f t="shared" ref="N53" si="50">_xlfn.XLOOKUP($F$4,$C54:$C56,N54:N56)</f>
        <v>-8.3740404745289605E-3</v>
      </c>
      <c r="O53" s="102">
        <f t="shared" ref="O53" si="51">_xlfn.XLOOKUP($F$4,$C54:$C56,O54:O56)</f>
        <v>-8.3740404745289605E-3</v>
      </c>
      <c r="P53" s="102">
        <f t="shared" ref="P53" si="52">_xlfn.XLOOKUP($F$4,$C54:$C56,P54:P56)</f>
        <v>-8.3740404745289605E-3</v>
      </c>
    </row>
    <row r="54" spans="1:16">
      <c r="A54" s="75"/>
      <c r="B54" s="75"/>
      <c r="C54" s="103" t="s">
        <v>1002</v>
      </c>
      <c r="D54" s="103"/>
      <c r="E54" s="104">
        <v>5.0000000000000001E-3</v>
      </c>
      <c r="F54" s="75"/>
      <c r="G54" s="75"/>
      <c r="H54" s="75"/>
      <c r="I54" s="75"/>
      <c r="J54" s="75"/>
      <c r="K54" s="75"/>
      <c r="L54" s="105">
        <f>L55+$E54</f>
        <v>-3.3740404745289604E-3</v>
      </c>
      <c r="M54" s="105">
        <f t="shared" ref="M54:P54" si="53">M55+$E54</f>
        <v>-3.3740404745289604E-3</v>
      </c>
      <c r="N54" s="105">
        <f t="shared" si="53"/>
        <v>-3.3740404745289604E-3</v>
      </c>
      <c r="O54" s="105">
        <f t="shared" si="53"/>
        <v>-3.3740404745289604E-3</v>
      </c>
      <c r="P54" s="105">
        <f t="shared" si="53"/>
        <v>-3.3740404745289604E-3</v>
      </c>
    </row>
    <row r="55" spans="1:16">
      <c r="A55" s="75"/>
      <c r="B55" s="75"/>
      <c r="C55" s="103" t="s">
        <v>11</v>
      </c>
      <c r="D55" s="103"/>
      <c r="E55" s="104">
        <v>0</v>
      </c>
      <c r="F55" s="75"/>
      <c r="G55" s="75"/>
      <c r="H55" s="75"/>
      <c r="I55" s="75"/>
      <c r="J55" s="75"/>
      <c r="K55" s="75"/>
      <c r="L55" s="105">
        <f>MEDIAN($G53:$K53)-$E55</f>
        <v>-8.3740404745289605E-3</v>
      </c>
      <c r="M55" s="105">
        <f>L55-$E55</f>
        <v>-8.3740404745289605E-3</v>
      </c>
      <c r="N55" s="105">
        <f t="shared" ref="N55:P55" si="54">M55-$E55</f>
        <v>-8.3740404745289605E-3</v>
      </c>
      <c r="O55" s="105">
        <f t="shared" si="54"/>
        <v>-8.3740404745289605E-3</v>
      </c>
      <c r="P55" s="105">
        <f t="shared" si="54"/>
        <v>-8.3740404745289605E-3</v>
      </c>
    </row>
    <row r="56" spans="1:16">
      <c r="A56" s="75"/>
      <c r="B56" s="75"/>
      <c r="C56" s="103" t="s">
        <v>1003</v>
      </c>
      <c r="D56" s="103"/>
      <c r="E56" s="104">
        <v>-5.0000000000000001E-3</v>
      </c>
      <c r="F56" s="75"/>
      <c r="G56" s="75"/>
      <c r="H56" s="75"/>
      <c r="I56" s="75"/>
      <c r="J56" s="75"/>
      <c r="K56" s="75"/>
      <c r="L56" s="105">
        <f>L55+$E56</f>
        <v>-1.3374040474528961E-2</v>
      </c>
      <c r="M56" s="105">
        <f t="shared" ref="M56:P56" si="55">M55+$E56</f>
        <v>-1.3374040474528961E-2</v>
      </c>
      <c r="N56" s="105">
        <f t="shared" si="55"/>
        <v>-1.3374040474528961E-2</v>
      </c>
      <c r="O56" s="105">
        <f t="shared" si="55"/>
        <v>-1.3374040474528961E-2</v>
      </c>
      <c r="P56" s="105">
        <f t="shared" si="55"/>
        <v>-1.3374040474528961E-2</v>
      </c>
    </row>
    <row r="57" spans="1:16">
      <c r="A57" s="75"/>
      <c r="B57" s="75"/>
      <c r="C57" s="75"/>
      <c r="D57" s="75"/>
      <c r="E57" s="75"/>
      <c r="F57" s="75"/>
      <c r="G57" s="75"/>
      <c r="H57" s="75"/>
      <c r="I57" s="75"/>
      <c r="J57" s="75"/>
      <c r="K57" s="75"/>
      <c r="L57" s="75"/>
      <c r="M57" s="75"/>
      <c r="N57" s="75"/>
      <c r="O57" s="75"/>
      <c r="P57" s="75"/>
    </row>
    <row r="58" spans="1:16">
      <c r="A58" s="75"/>
      <c r="B58" s="75"/>
      <c r="C58" s="38" t="s">
        <v>64</v>
      </c>
      <c r="D58" s="75"/>
      <c r="E58" s="75"/>
      <c r="F58" s="76" t="s">
        <v>48</v>
      </c>
      <c r="G58" s="146">
        <f>'3FS'!D24</f>
        <v>-63</v>
      </c>
      <c r="H58" s="146">
        <f>'3FS'!E24</f>
        <v>-19</v>
      </c>
      <c r="I58" s="146">
        <f>'3FS'!F24</f>
        <v>-58</v>
      </c>
      <c r="J58" s="146">
        <f>'3FS'!G24</f>
        <v>-72</v>
      </c>
      <c r="K58" s="146">
        <f>'3FS'!H24</f>
        <v>-95</v>
      </c>
      <c r="L58" s="82">
        <f>L59*L$12</f>
        <v>-117.082590493891</v>
      </c>
      <c r="M58" s="82">
        <f t="shared" ref="M58:P58" si="56">M59*M$12</f>
        <v>-144.08488752277566</v>
      </c>
      <c r="N58" s="82">
        <f t="shared" si="56"/>
        <v>-178.67392168859067</v>
      </c>
      <c r="O58" s="82">
        <f t="shared" si="56"/>
        <v>-221.59891368655857</v>
      </c>
      <c r="P58" s="82">
        <f t="shared" si="56"/>
        <v>-274.98039285140663</v>
      </c>
    </row>
    <row r="59" spans="1:16">
      <c r="A59" s="75"/>
      <c r="B59" s="75"/>
      <c r="C59" s="101" t="s">
        <v>965</v>
      </c>
      <c r="D59" s="101"/>
      <c r="E59" s="101"/>
      <c r="F59" s="101"/>
      <c r="G59" s="102">
        <f>G58/G$12</f>
        <v>-0.13432835820895522</v>
      </c>
      <c r="H59" s="102">
        <f t="shared" ref="H59:K59" si="57">H58/H$12</f>
        <v>-2.8148148148148148E-2</v>
      </c>
      <c r="I59" s="102">
        <f t="shared" si="57"/>
        <v>-4.0474528960223306E-2</v>
      </c>
      <c r="J59" s="102">
        <f t="shared" si="57"/>
        <v>-3.0521407376006782E-2</v>
      </c>
      <c r="K59" s="102">
        <f t="shared" si="57"/>
        <v>-3.3964962459778335E-2</v>
      </c>
      <c r="L59" s="102">
        <f>_xlfn.XLOOKUP($F$4,$C60:$C62,L60:L62)</f>
        <v>-3.3964962459778335E-2</v>
      </c>
      <c r="M59" s="102">
        <f t="shared" ref="M59" si="58">_xlfn.XLOOKUP($F$4,$C60:$C62,M60:M62)</f>
        <v>-3.3964962459778335E-2</v>
      </c>
      <c r="N59" s="102">
        <f t="shared" ref="N59" si="59">_xlfn.XLOOKUP($F$4,$C60:$C62,N60:N62)</f>
        <v>-3.3964962459778335E-2</v>
      </c>
      <c r="O59" s="102">
        <f t="shared" ref="O59" si="60">_xlfn.XLOOKUP($F$4,$C60:$C62,O60:O62)</f>
        <v>-3.3964962459778335E-2</v>
      </c>
      <c r="P59" s="102">
        <f t="shared" ref="P59" si="61">_xlfn.XLOOKUP($F$4,$C60:$C62,P60:P62)</f>
        <v>-3.3964962459778335E-2</v>
      </c>
    </row>
    <row r="60" spans="1:16">
      <c r="A60" s="75"/>
      <c r="B60" s="75"/>
      <c r="C60" s="103" t="s">
        <v>1002</v>
      </c>
      <c r="D60" s="103"/>
      <c r="E60" s="104">
        <v>0.01</v>
      </c>
      <c r="F60" s="75"/>
      <c r="G60" s="75"/>
      <c r="H60" s="75"/>
      <c r="I60" s="75"/>
      <c r="J60" s="75"/>
      <c r="K60" s="75"/>
      <c r="L60" s="105">
        <f>L61+$E60</f>
        <v>-2.3964962459778333E-2</v>
      </c>
      <c r="M60" s="105">
        <f t="shared" ref="M60:P60" si="62">M61+$E60</f>
        <v>-2.3964962459778333E-2</v>
      </c>
      <c r="N60" s="105">
        <f t="shared" si="62"/>
        <v>-2.3964962459778333E-2</v>
      </c>
      <c r="O60" s="105">
        <f t="shared" si="62"/>
        <v>-2.3964962459778333E-2</v>
      </c>
      <c r="P60" s="105">
        <f t="shared" si="62"/>
        <v>-2.3964962459778333E-2</v>
      </c>
    </row>
    <row r="61" spans="1:16">
      <c r="A61" s="75"/>
      <c r="B61" s="75"/>
      <c r="C61" s="103" t="s">
        <v>11</v>
      </c>
      <c r="D61" s="103"/>
      <c r="E61" s="104">
        <v>0</v>
      </c>
      <c r="F61" s="75"/>
      <c r="G61" s="75"/>
      <c r="H61" s="75"/>
      <c r="I61" s="75"/>
      <c r="J61" s="75"/>
      <c r="K61" s="75"/>
      <c r="L61" s="105">
        <f>MEDIAN($G59:$K59)-$E61</f>
        <v>-3.3964962459778335E-2</v>
      </c>
      <c r="M61" s="105">
        <f>L61-$E61</f>
        <v>-3.3964962459778335E-2</v>
      </c>
      <c r="N61" s="105">
        <f t="shared" ref="N61" si="63">M61-$E61</f>
        <v>-3.3964962459778335E-2</v>
      </c>
      <c r="O61" s="105">
        <f t="shared" ref="O61" si="64">N61-$E61</f>
        <v>-3.3964962459778335E-2</v>
      </c>
      <c r="P61" s="105">
        <f t="shared" ref="P61" si="65">O61-$E61</f>
        <v>-3.3964962459778335E-2</v>
      </c>
    </row>
    <row r="62" spans="1:16">
      <c r="A62" s="75"/>
      <c r="B62" s="75"/>
      <c r="C62" s="103" t="s">
        <v>1003</v>
      </c>
      <c r="D62" s="103"/>
      <c r="E62" s="104">
        <v>-0.01</v>
      </c>
      <c r="F62" s="75"/>
      <c r="G62" s="75"/>
      <c r="H62" s="75"/>
      <c r="I62" s="75"/>
      <c r="J62" s="75"/>
      <c r="K62" s="75"/>
      <c r="L62" s="105">
        <f>L61+$E62</f>
        <v>-4.3964962459778337E-2</v>
      </c>
      <c r="M62" s="105">
        <f t="shared" ref="M62:P62" si="66">M61+$E62</f>
        <v>-4.3964962459778337E-2</v>
      </c>
      <c r="N62" s="105">
        <f t="shared" si="66"/>
        <v>-4.3964962459778337E-2</v>
      </c>
      <c r="O62" s="105">
        <f t="shared" si="66"/>
        <v>-4.3964962459778337E-2</v>
      </c>
      <c r="P62" s="105">
        <f t="shared" si="66"/>
        <v>-4.3964962459778337E-2</v>
      </c>
    </row>
    <row r="63" spans="1:16">
      <c r="A63" s="75"/>
      <c r="B63" s="75"/>
      <c r="C63" s="75"/>
      <c r="D63" s="75"/>
      <c r="E63" s="75"/>
      <c r="F63" s="75"/>
      <c r="G63" s="75"/>
      <c r="H63" s="75"/>
      <c r="I63" s="75"/>
      <c r="J63" s="75"/>
      <c r="K63" s="75"/>
      <c r="L63" s="75"/>
      <c r="M63" s="75"/>
      <c r="N63" s="75"/>
      <c r="O63" s="75"/>
      <c r="P63" s="75"/>
    </row>
    <row r="64" spans="1:16">
      <c r="A64" s="75"/>
      <c r="B64" s="75"/>
      <c r="C64" s="38" t="s">
        <v>65</v>
      </c>
      <c r="D64" s="75"/>
      <c r="E64" s="75"/>
      <c r="F64" s="76" t="s">
        <v>48</v>
      </c>
      <c r="G64" s="146">
        <f>'3FS'!D25</f>
        <v>0</v>
      </c>
      <c r="H64" s="146">
        <f>'3FS'!E25</f>
        <v>-1</v>
      </c>
      <c r="I64" s="146">
        <f>'3FS'!F25</f>
        <v>-8</v>
      </c>
      <c r="J64" s="146">
        <f>'3FS'!G25</f>
        <v>-56</v>
      </c>
      <c r="K64" s="146">
        <f>'3FS'!H25</f>
        <v>-14</v>
      </c>
      <c r="L64" s="82">
        <f>L65*L$12</f>
        <v>-17.254276493836567</v>
      </c>
      <c r="M64" s="82">
        <f t="shared" ref="M64:P64" si="67">M65*M$12</f>
        <v>-21.233562371777467</v>
      </c>
      <c r="N64" s="82">
        <f t="shared" si="67"/>
        <v>-26.330893722529151</v>
      </c>
      <c r="O64" s="82">
        <f t="shared" si="67"/>
        <v>-32.656682016966528</v>
      </c>
      <c r="P64" s="82">
        <f t="shared" si="67"/>
        <v>-40.523426314944132</v>
      </c>
    </row>
    <row r="65" spans="1:16">
      <c r="A65" s="75"/>
      <c r="B65" s="75"/>
      <c r="C65" s="101" t="s">
        <v>965</v>
      </c>
      <c r="D65" s="101"/>
      <c r="E65" s="101"/>
      <c r="F65" s="101"/>
      <c r="G65" s="102">
        <f>G64/G$12</f>
        <v>0</v>
      </c>
      <c r="H65" s="102">
        <f t="shared" ref="H65:K65" si="68">H64/H$12</f>
        <v>-1.4814814814814814E-3</v>
      </c>
      <c r="I65" s="102">
        <f t="shared" si="68"/>
        <v>-5.5826936496859731E-3</v>
      </c>
      <c r="J65" s="102">
        <f t="shared" si="68"/>
        <v>-2.3738872403560832E-2</v>
      </c>
      <c r="K65" s="102">
        <f t="shared" si="68"/>
        <v>-5.0053628888094386E-3</v>
      </c>
      <c r="L65" s="102">
        <f>_xlfn.XLOOKUP($F$4,$C66:$C68,L66:L68)</f>
        <v>-5.0053628888094386E-3</v>
      </c>
      <c r="M65" s="102">
        <f t="shared" ref="M65" si="69">_xlfn.XLOOKUP($F$4,$C66:$C68,M66:M68)</f>
        <v>-5.0053628888094386E-3</v>
      </c>
      <c r="N65" s="102">
        <f t="shared" ref="N65" si="70">_xlfn.XLOOKUP($F$4,$C66:$C68,N66:N68)</f>
        <v>-5.0053628888094386E-3</v>
      </c>
      <c r="O65" s="102">
        <f t="shared" ref="O65" si="71">_xlfn.XLOOKUP($F$4,$C66:$C68,O66:O68)</f>
        <v>-5.0053628888094386E-3</v>
      </c>
      <c r="P65" s="102">
        <f t="shared" ref="P65" si="72">_xlfn.XLOOKUP($F$4,$C66:$C68,P66:P68)</f>
        <v>-5.0053628888094386E-3</v>
      </c>
    </row>
    <row r="66" spans="1:16">
      <c r="A66" s="75"/>
      <c r="B66" s="75"/>
      <c r="C66" s="103" t="s">
        <v>1002</v>
      </c>
      <c r="D66" s="103"/>
      <c r="E66" s="104">
        <v>0</v>
      </c>
      <c r="F66" s="75"/>
      <c r="G66" s="75"/>
      <c r="H66" s="75"/>
      <c r="I66" s="75"/>
      <c r="J66" s="75"/>
      <c r="K66" s="75"/>
      <c r="L66" s="105">
        <f>L67+$E66</f>
        <v>-5.0053628888094386E-3</v>
      </c>
      <c r="M66" s="105">
        <f t="shared" ref="M66:P66" si="73">M67+$E66</f>
        <v>-5.0053628888094386E-3</v>
      </c>
      <c r="N66" s="105">
        <f t="shared" si="73"/>
        <v>-5.0053628888094386E-3</v>
      </c>
      <c r="O66" s="105">
        <f t="shared" si="73"/>
        <v>-5.0053628888094386E-3</v>
      </c>
      <c r="P66" s="105">
        <f t="shared" si="73"/>
        <v>-5.0053628888094386E-3</v>
      </c>
    </row>
    <row r="67" spans="1:16">
      <c r="A67" s="75"/>
      <c r="B67" s="75"/>
      <c r="C67" s="103" t="s">
        <v>11</v>
      </c>
      <c r="D67" s="103"/>
      <c r="E67" s="104">
        <v>0</v>
      </c>
      <c r="F67" s="75"/>
      <c r="G67" s="75"/>
      <c r="H67" s="75"/>
      <c r="I67" s="75"/>
      <c r="J67" s="75"/>
      <c r="K67" s="75"/>
      <c r="L67" s="105">
        <f>MEDIAN($G65:$K65)-$E67</f>
        <v>-5.0053628888094386E-3</v>
      </c>
      <c r="M67" s="105">
        <f>L67-$E67</f>
        <v>-5.0053628888094386E-3</v>
      </c>
      <c r="N67" s="105">
        <f t="shared" ref="N67" si="74">M67-$E67</f>
        <v>-5.0053628888094386E-3</v>
      </c>
      <c r="O67" s="105">
        <f t="shared" ref="O67" si="75">N67-$E67</f>
        <v>-5.0053628888094386E-3</v>
      </c>
      <c r="P67" s="105">
        <f t="shared" ref="P67" si="76">O67-$E67</f>
        <v>-5.0053628888094386E-3</v>
      </c>
    </row>
    <row r="68" spans="1:16">
      <c r="A68" s="75"/>
      <c r="B68" s="75"/>
      <c r="C68" s="103" t="s">
        <v>1003</v>
      </c>
      <c r="D68" s="103"/>
      <c r="E68" s="104">
        <v>0</v>
      </c>
      <c r="F68" s="75"/>
      <c r="G68" s="75"/>
      <c r="H68" s="75"/>
      <c r="I68" s="75"/>
      <c r="J68" s="75"/>
      <c r="K68" s="75"/>
      <c r="L68" s="105">
        <f>L67+$E68</f>
        <v>-5.0053628888094386E-3</v>
      </c>
      <c r="M68" s="105">
        <f t="shared" ref="M68:P68" si="77">M67+$E68</f>
        <v>-5.0053628888094386E-3</v>
      </c>
      <c r="N68" s="105">
        <f t="shared" si="77"/>
        <v>-5.0053628888094386E-3</v>
      </c>
      <c r="O68" s="105">
        <f t="shared" si="77"/>
        <v>-5.0053628888094386E-3</v>
      </c>
      <c r="P68" s="105">
        <f t="shared" si="77"/>
        <v>-5.0053628888094386E-3</v>
      </c>
    </row>
    <row r="69" spans="1:16">
      <c r="A69" s="75"/>
      <c r="B69" s="75"/>
      <c r="C69" s="75"/>
      <c r="D69" s="75"/>
      <c r="E69" s="75"/>
      <c r="F69" s="75"/>
      <c r="G69" s="75"/>
      <c r="H69" s="75"/>
      <c r="I69" s="75"/>
      <c r="J69" s="75"/>
      <c r="K69" s="75"/>
      <c r="L69" s="75"/>
      <c r="M69" s="75"/>
      <c r="N69" s="75"/>
      <c r="O69" s="75"/>
      <c r="P69" s="75"/>
    </row>
    <row r="70" spans="1:16">
      <c r="A70" s="75"/>
      <c r="B70" s="75"/>
      <c r="C70" s="38" t="s">
        <v>66</v>
      </c>
      <c r="D70" s="75"/>
      <c r="E70" s="75"/>
      <c r="F70" s="76" t="s">
        <v>48</v>
      </c>
      <c r="G70" s="146">
        <f>'3FS'!D26</f>
        <v>0</v>
      </c>
      <c r="H70" s="146">
        <f>'3FS'!E26</f>
        <v>37</v>
      </c>
      <c r="I70" s="146">
        <f>'3FS'!F26</f>
        <v>-294</v>
      </c>
      <c r="J70" s="146">
        <f>'3FS'!G26</f>
        <v>-39</v>
      </c>
      <c r="K70" s="146">
        <f>'3FS'!H26</f>
        <v>0</v>
      </c>
      <c r="L70" s="82">
        <f>L71*L$12</f>
        <v>0</v>
      </c>
      <c r="M70" s="82">
        <f t="shared" ref="M70:P70" si="78">M71*M$12</f>
        <v>0</v>
      </c>
      <c r="N70" s="82">
        <f t="shared" si="78"/>
        <v>0</v>
      </c>
      <c r="O70" s="82">
        <f t="shared" si="78"/>
        <v>0</v>
      </c>
      <c r="P70" s="82">
        <f t="shared" si="78"/>
        <v>0</v>
      </c>
    </row>
    <row r="71" spans="1:16">
      <c r="A71" s="75"/>
      <c r="B71" s="75"/>
      <c r="C71" s="101" t="s">
        <v>965</v>
      </c>
      <c r="D71" s="101"/>
      <c r="E71" s="101"/>
      <c r="F71" s="101"/>
      <c r="G71" s="102">
        <f>G70/G$12</f>
        <v>0</v>
      </c>
      <c r="H71" s="102">
        <f t="shared" ref="H71:K71" si="79">H70/H$12</f>
        <v>5.4814814814814816E-2</v>
      </c>
      <c r="I71" s="102">
        <f t="shared" si="79"/>
        <v>-0.20516399162595952</v>
      </c>
      <c r="J71" s="102">
        <f t="shared" si="79"/>
        <v>-1.6532428995337006E-2</v>
      </c>
      <c r="K71" s="102">
        <f t="shared" si="79"/>
        <v>0</v>
      </c>
      <c r="L71" s="102">
        <f>_xlfn.XLOOKUP($F$4,$C72:$C74,L72:L74)</f>
        <v>0</v>
      </c>
      <c r="M71" s="102">
        <f t="shared" ref="M71" si="80">_xlfn.XLOOKUP($F$4,$C72:$C74,M72:M74)</f>
        <v>0</v>
      </c>
      <c r="N71" s="102">
        <f t="shared" ref="N71" si="81">_xlfn.XLOOKUP($F$4,$C72:$C74,N72:N74)</f>
        <v>0</v>
      </c>
      <c r="O71" s="102">
        <f t="shared" ref="O71" si="82">_xlfn.XLOOKUP($F$4,$C72:$C74,O72:O74)</f>
        <v>0</v>
      </c>
      <c r="P71" s="102">
        <f t="shared" ref="P71" si="83">_xlfn.XLOOKUP($F$4,$C72:$C74,P72:P74)</f>
        <v>0</v>
      </c>
    </row>
    <row r="72" spans="1:16">
      <c r="A72" s="75"/>
      <c r="B72" s="75"/>
      <c r="C72" s="103" t="s">
        <v>1002</v>
      </c>
      <c r="D72" s="103"/>
      <c r="E72" s="104">
        <v>0</v>
      </c>
      <c r="F72" s="75"/>
      <c r="G72" s="75"/>
      <c r="H72" s="75"/>
      <c r="I72" s="75"/>
      <c r="J72" s="75"/>
      <c r="K72" s="75"/>
      <c r="L72" s="105">
        <f>L73+$E72</f>
        <v>0</v>
      </c>
      <c r="M72" s="105">
        <f t="shared" ref="M72:P72" si="84">M73+$E72</f>
        <v>0</v>
      </c>
      <c r="N72" s="105">
        <f t="shared" si="84"/>
        <v>0</v>
      </c>
      <c r="O72" s="105">
        <f t="shared" si="84"/>
        <v>0</v>
      </c>
      <c r="P72" s="105">
        <f t="shared" si="84"/>
        <v>0</v>
      </c>
    </row>
    <row r="73" spans="1:16">
      <c r="A73" s="75"/>
      <c r="B73" s="75"/>
      <c r="C73" s="103" t="s">
        <v>11</v>
      </c>
      <c r="D73" s="103"/>
      <c r="E73" s="104">
        <v>0</v>
      </c>
      <c r="F73" s="75"/>
      <c r="G73" s="75"/>
      <c r="H73" s="75"/>
      <c r="I73" s="75"/>
      <c r="J73" s="75"/>
      <c r="K73" s="75"/>
      <c r="L73" s="105">
        <f>MEDIAN($G71:$K71)-$E73</f>
        <v>0</v>
      </c>
      <c r="M73" s="105">
        <f>L73-$E73</f>
        <v>0</v>
      </c>
      <c r="N73" s="105">
        <f t="shared" ref="N73" si="85">M73-$E73</f>
        <v>0</v>
      </c>
      <c r="O73" s="105">
        <f t="shared" ref="O73" si="86">N73-$E73</f>
        <v>0</v>
      </c>
      <c r="P73" s="105">
        <f t="shared" ref="P73" si="87">O73-$E73</f>
        <v>0</v>
      </c>
    </row>
    <row r="74" spans="1:16">
      <c r="A74" s="75"/>
      <c r="B74" s="75"/>
      <c r="C74" s="103" t="s">
        <v>1003</v>
      </c>
      <c r="D74" s="103"/>
      <c r="E74" s="104">
        <v>0</v>
      </c>
      <c r="F74" s="75"/>
      <c r="G74" s="75"/>
      <c r="H74" s="75"/>
      <c r="I74" s="75"/>
      <c r="J74" s="75"/>
      <c r="K74" s="75"/>
      <c r="L74" s="105">
        <f>L73+$E74</f>
        <v>0</v>
      </c>
      <c r="M74" s="105">
        <f t="shared" ref="M74:P74" si="88">M73+$E74</f>
        <v>0</v>
      </c>
      <c r="N74" s="105">
        <f t="shared" si="88"/>
        <v>0</v>
      </c>
      <c r="O74" s="105">
        <f t="shared" si="88"/>
        <v>0</v>
      </c>
      <c r="P74" s="105">
        <f t="shared" si="88"/>
        <v>0</v>
      </c>
    </row>
    <row r="75" spans="1:16">
      <c r="A75" s="75"/>
      <c r="B75" s="75"/>
      <c r="C75" s="75"/>
      <c r="D75" s="75"/>
      <c r="E75" s="75"/>
      <c r="F75" s="75"/>
      <c r="G75" s="75"/>
      <c r="H75" s="75"/>
      <c r="I75" s="75"/>
      <c r="J75" s="75"/>
      <c r="K75" s="75"/>
      <c r="L75" s="75"/>
      <c r="M75" s="75"/>
      <c r="N75" s="75"/>
      <c r="O75" s="75"/>
      <c r="P75" s="75"/>
    </row>
    <row r="76" spans="1:16">
      <c r="A76" s="75"/>
      <c r="B76" s="75"/>
      <c r="C76" s="38" t="s">
        <v>67</v>
      </c>
      <c r="D76" s="75"/>
      <c r="E76" s="75"/>
      <c r="F76" s="76" t="s">
        <v>48</v>
      </c>
      <c r="G76" s="146">
        <f>'3FS'!D27</f>
        <v>0</v>
      </c>
      <c r="H76" s="146">
        <f>'3FS'!E27</f>
        <v>-353</v>
      </c>
      <c r="I76" s="146">
        <f>'3FS'!F27</f>
        <v>0</v>
      </c>
      <c r="J76" s="146">
        <f>'3FS'!G27</f>
        <v>0</v>
      </c>
      <c r="K76" s="146">
        <f>'3FS'!H27</f>
        <v>0</v>
      </c>
      <c r="L76" s="82">
        <f>L77*L$12</f>
        <v>0</v>
      </c>
      <c r="M76" s="82">
        <f t="shared" ref="M76:P76" si="89">M77*M$12</f>
        <v>0</v>
      </c>
      <c r="N76" s="82">
        <f t="shared" si="89"/>
        <v>0</v>
      </c>
      <c r="O76" s="82">
        <f t="shared" si="89"/>
        <v>0</v>
      </c>
      <c r="P76" s="82">
        <f t="shared" si="89"/>
        <v>0</v>
      </c>
    </row>
    <row r="77" spans="1:16">
      <c r="A77" s="75"/>
      <c r="B77" s="75"/>
      <c r="C77" s="101" t="s">
        <v>965</v>
      </c>
      <c r="D77" s="101"/>
      <c r="E77" s="101"/>
      <c r="F77" s="101"/>
      <c r="G77" s="102">
        <f>G76/G$12</f>
        <v>0</v>
      </c>
      <c r="H77" s="102">
        <f t="shared" ref="H77:K77" si="90">H76/H$12</f>
        <v>-0.52296296296296296</v>
      </c>
      <c r="I77" s="102">
        <f t="shared" si="90"/>
        <v>0</v>
      </c>
      <c r="J77" s="102">
        <f t="shared" si="90"/>
        <v>0</v>
      </c>
      <c r="K77" s="102">
        <f t="shared" si="90"/>
        <v>0</v>
      </c>
      <c r="L77" s="102">
        <f>_xlfn.XLOOKUP($F$4,$C78:$C80,L78:L80)</f>
        <v>0</v>
      </c>
      <c r="M77" s="102">
        <f t="shared" ref="M77" si="91">_xlfn.XLOOKUP($F$4,$C78:$C80,M78:M80)</f>
        <v>0</v>
      </c>
      <c r="N77" s="102">
        <f t="shared" ref="N77" si="92">_xlfn.XLOOKUP($F$4,$C78:$C80,N78:N80)</f>
        <v>0</v>
      </c>
      <c r="O77" s="102">
        <f t="shared" ref="O77" si="93">_xlfn.XLOOKUP($F$4,$C78:$C80,O78:O80)</f>
        <v>0</v>
      </c>
      <c r="P77" s="102">
        <f t="shared" ref="P77" si="94">_xlfn.XLOOKUP($F$4,$C78:$C80,P78:P80)</f>
        <v>0</v>
      </c>
    </row>
    <row r="78" spans="1:16">
      <c r="A78" s="75"/>
      <c r="B78" s="75"/>
      <c r="C78" s="103" t="s">
        <v>1002</v>
      </c>
      <c r="D78" s="103"/>
      <c r="E78" s="104">
        <v>0</v>
      </c>
      <c r="F78" s="75"/>
      <c r="G78" s="75"/>
      <c r="H78" s="75"/>
      <c r="I78" s="75"/>
      <c r="J78" s="75"/>
      <c r="K78" s="75"/>
      <c r="L78" s="105">
        <f>L79+$E78</f>
        <v>0</v>
      </c>
      <c r="M78" s="105">
        <f t="shared" ref="M78:P78" si="95">M79+$E78</f>
        <v>0</v>
      </c>
      <c r="N78" s="105">
        <f t="shared" si="95"/>
        <v>0</v>
      </c>
      <c r="O78" s="105">
        <f t="shared" si="95"/>
        <v>0</v>
      </c>
      <c r="P78" s="105">
        <f t="shared" si="95"/>
        <v>0</v>
      </c>
    </row>
    <row r="79" spans="1:16">
      <c r="A79" s="75"/>
      <c r="B79" s="75"/>
      <c r="C79" s="103" t="s">
        <v>11</v>
      </c>
      <c r="D79" s="103"/>
      <c r="E79" s="104">
        <v>0</v>
      </c>
      <c r="F79" s="75"/>
      <c r="G79" s="75"/>
      <c r="H79" s="75"/>
      <c r="I79" s="75"/>
      <c r="J79" s="75"/>
      <c r="K79" s="75"/>
      <c r="L79" s="105">
        <f>MEDIAN($G77:$K77)-$E79</f>
        <v>0</v>
      </c>
      <c r="M79" s="105">
        <f>L79-$E79</f>
        <v>0</v>
      </c>
      <c r="N79" s="105">
        <f t="shared" ref="N79" si="96">M79-$E79</f>
        <v>0</v>
      </c>
      <c r="O79" s="105">
        <f t="shared" ref="O79" si="97">N79-$E79</f>
        <v>0</v>
      </c>
      <c r="P79" s="105">
        <f t="shared" ref="P79" si="98">O79-$E79</f>
        <v>0</v>
      </c>
    </row>
    <row r="80" spans="1:16">
      <c r="A80" s="75"/>
      <c r="B80" s="75"/>
      <c r="C80" s="103" t="s">
        <v>1003</v>
      </c>
      <c r="D80" s="103"/>
      <c r="E80" s="104">
        <v>0</v>
      </c>
      <c r="F80" s="75"/>
      <c r="G80" s="75"/>
      <c r="H80" s="75"/>
      <c r="I80" s="75"/>
      <c r="J80" s="75"/>
      <c r="K80" s="75"/>
      <c r="L80" s="105">
        <f>L79+$E80</f>
        <v>0</v>
      </c>
      <c r="M80" s="105">
        <f t="shared" ref="M80:P80" si="99">M79+$E80</f>
        <v>0</v>
      </c>
      <c r="N80" s="105">
        <f t="shared" si="99"/>
        <v>0</v>
      </c>
      <c r="O80" s="105">
        <f t="shared" si="99"/>
        <v>0</v>
      </c>
      <c r="P80" s="105">
        <f t="shared" si="99"/>
        <v>0</v>
      </c>
    </row>
    <row r="81" spans="1:16">
      <c r="A81" s="75"/>
      <c r="B81" s="75"/>
      <c r="C81" s="75"/>
      <c r="D81" s="75"/>
      <c r="E81" s="75"/>
      <c r="F81" s="75"/>
      <c r="G81" s="75"/>
      <c r="H81" s="75"/>
      <c r="I81" s="75"/>
      <c r="J81" s="75"/>
      <c r="K81" s="75"/>
      <c r="L81" s="75"/>
      <c r="M81" s="75"/>
      <c r="N81" s="75"/>
      <c r="O81" s="75"/>
      <c r="P81" s="75"/>
    </row>
    <row r="82" spans="1:16">
      <c r="A82" s="185">
        <v>4</v>
      </c>
      <c r="B82" s="158"/>
      <c r="C82" s="186" t="s">
        <v>70</v>
      </c>
      <c r="D82" s="186"/>
      <c r="E82" s="186"/>
      <c r="F82" s="186"/>
      <c r="G82" s="186"/>
      <c r="H82" s="185"/>
      <c r="I82" s="187"/>
      <c r="J82" s="187"/>
      <c r="K82" s="187"/>
      <c r="L82" s="187"/>
      <c r="M82" s="187"/>
      <c r="N82" s="188"/>
      <c r="O82" s="188"/>
      <c r="P82" s="188"/>
    </row>
    <row r="83" spans="1:16">
      <c r="A83" s="75"/>
      <c r="B83" s="75"/>
      <c r="C83" s="75"/>
      <c r="D83" s="75"/>
      <c r="E83" s="75"/>
      <c r="F83" s="75"/>
      <c r="G83" s="75"/>
      <c r="H83" s="75"/>
      <c r="I83" s="75"/>
      <c r="J83" s="75"/>
      <c r="K83" s="75"/>
      <c r="L83" s="75"/>
      <c r="M83" s="75"/>
      <c r="N83" s="75"/>
      <c r="O83" s="75"/>
      <c r="P83" s="75"/>
    </row>
    <row r="84" spans="1:16">
      <c r="A84" s="75"/>
      <c r="B84" s="75"/>
      <c r="C84" s="89" t="s">
        <v>1005</v>
      </c>
      <c r="D84" s="89"/>
      <c r="E84" s="189"/>
      <c r="F84" s="189"/>
      <c r="G84" s="189"/>
      <c r="H84" s="189"/>
      <c r="I84" s="189"/>
      <c r="J84" s="189"/>
      <c r="K84" s="189"/>
      <c r="L84" s="189"/>
      <c r="M84" s="189"/>
      <c r="N84" s="189"/>
      <c r="O84" s="189"/>
      <c r="P84" s="189"/>
    </row>
    <row r="85" spans="1:16">
      <c r="A85" s="75"/>
      <c r="B85" s="75"/>
      <c r="C85" s="75"/>
      <c r="D85" s="75"/>
      <c r="E85" s="75"/>
      <c r="F85" s="75"/>
      <c r="G85" s="75"/>
      <c r="H85" s="75"/>
      <c r="I85" s="75"/>
      <c r="J85" s="75"/>
      <c r="K85" s="75"/>
      <c r="L85" s="75"/>
      <c r="M85" s="75"/>
      <c r="N85" s="75"/>
      <c r="O85" s="75"/>
      <c r="P85" s="75"/>
    </row>
    <row r="86" spans="1:16">
      <c r="A86" s="75"/>
      <c r="B86" s="75"/>
      <c r="C86" s="169" t="s">
        <v>71</v>
      </c>
      <c r="D86" s="169"/>
      <c r="E86" s="75"/>
      <c r="F86" s="76" t="s">
        <v>48</v>
      </c>
      <c r="G86" s="146">
        <f>'3FS'!D32</f>
        <v>-42</v>
      </c>
      <c r="H86" s="146">
        <f>'3FS'!E32</f>
        <v>0</v>
      </c>
      <c r="I86" s="146">
        <f>'3FS'!F32</f>
        <v>0</v>
      </c>
      <c r="J86" s="146">
        <f>'3FS'!G32</f>
        <v>0</v>
      </c>
      <c r="K86" s="146">
        <f>'3FS'!H32</f>
        <v>0</v>
      </c>
      <c r="L86" s="82">
        <f>L87*L$12</f>
        <v>0</v>
      </c>
      <c r="M86" s="82">
        <f t="shared" ref="M86:P86" si="100">M87*M$12</f>
        <v>0</v>
      </c>
      <c r="N86" s="82">
        <f t="shared" si="100"/>
        <v>0</v>
      </c>
      <c r="O86" s="82">
        <f t="shared" si="100"/>
        <v>0</v>
      </c>
      <c r="P86" s="82">
        <f t="shared" si="100"/>
        <v>0</v>
      </c>
    </row>
    <row r="87" spans="1:16">
      <c r="A87" s="75"/>
      <c r="B87" s="75"/>
      <c r="C87" s="101" t="s">
        <v>965</v>
      </c>
      <c r="D87" s="101"/>
      <c r="E87" s="101"/>
      <c r="F87" s="101"/>
      <c r="G87" s="102">
        <f>G86/G$12</f>
        <v>-8.9552238805970144E-2</v>
      </c>
      <c r="H87" s="102">
        <f t="shared" ref="H87:K87" si="101">H86/H$12</f>
        <v>0</v>
      </c>
      <c r="I87" s="102">
        <f t="shared" si="101"/>
        <v>0</v>
      </c>
      <c r="J87" s="102">
        <f t="shared" si="101"/>
        <v>0</v>
      </c>
      <c r="K87" s="102">
        <f t="shared" si="101"/>
        <v>0</v>
      </c>
      <c r="L87" s="105">
        <f>MEDIAN(G87:K87)</f>
        <v>0</v>
      </c>
      <c r="M87" s="105">
        <f>L87</f>
        <v>0</v>
      </c>
      <c r="N87" s="105">
        <f t="shared" ref="N87:P87" si="102">M87</f>
        <v>0</v>
      </c>
      <c r="O87" s="105">
        <f t="shared" si="102"/>
        <v>0</v>
      </c>
      <c r="P87" s="105">
        <f t="shared" si="102"/>
        <v>0</v>
      </c>
    </row>
    <row r="88" spans="1:16">
      <c r="A88" s="75"/>
      <c r="B88" s="75"/>
      <c r="C88" s="75"/>
      <c r="D88" s="75"/>
      <c r="E88" s="75"/>
      <c r="F88" s="75"/>
      <c r="G88" s="75"/>
      <c r="H88" s="75"/>
      <c r="I88" s="75"/>
      <c r="J88" s="75"/>
      <c r="K88" s="75"/>
      <c r="L88" s="75"/>
      <c r="M88" s="75"/>
      <c r="N88" s="75"/>
      <c r="O88" s="75"/>
      <c r="P88" s="75"/>
    </row>
    <row r="89" spans="1:16">
      <c r="A89" s="75"/>
      <c r="B89" s="75"/>
      <c r="C89" s="38" t="s">
        <v>73</v>
      </c>
      <c r="D89" s="169"/>
      <c r="E89" s="75"/>
      <c r="F89" s="76" t="s">
        <v>48</v>
      </c>
      <c r="G89" s="146">
        <f>'3FS'!D34</f>
        <v>53</v>
      </c>
      <c r="H89" s="146">
        <f>'3FS'!E34</f>
        <v>28</v>
      </c>
      <c r="I89" s="146">
        <f>'3FS'!F34</f>
        <v>107</v>
      </c>
      <c r="J89" s="146">
        <f>'3FS'!G34</f>
        <v>198</v>
      </c>
      <c r="K89" s="146">
        <f>'3FS'!H34</f>
        <v>187</v>
      </c>
      <c r="L89" s="82">
        <f>L90*L$12</f>
        <v>257.39420869299744</v>
      </c>
      <c r="M89" s="82">
        <f t="shared" ref="M89:P89" si="103">M90*M$12</f>
        <v>316.75602198500587</v>
      </c>
      <c r="N89" s="82">
        <f t="shared" si="103"/>
        <v>392.79650794461179</v>
      </c>
      <c r="O89" s="82">
        <f t="shared" si="103"/>
        <v>487.16275233554603</v>
      </c>
      <c r="P89" s="82">
        <f t="shared" si="103"/>
        <v>604.51652398116664</v>
      </c>
    </row>
    <row r="90" spans="1:16">
      <c r="A90" s="75"/>
      <c r="B90" s="75"/>
      <c r="C90" s="101" t="s">
        <v>965</v>
      </c>
      <c r="D90" s="101"/>
      <c r="E90" s="101"/>
      <c r="F90" s="101"/>
      <c r="G90" s="102">
        <f>G89/G$12</f>
        <v>0.11300639658848614</v>
      </c>
      <c r="H90" s="102">
        <f t="shared" ref="H90:K90" si="104">H89/H$12</f>
        <v>4.148148148148148E-2</v>
      </c>
      <c r="I90" s="102">
        <f t="shared" si="104"/>
        <v>7.4668527564549891E-2</v>
      </c>
      <c r="J90" s="102">
        <f t="shared" si="104"/>
        <v>8.393387028401865E-2</v>
      </c>
      <c r="K90" s="102">
        <f t="shared" si="104"/>
        <v>6.6857347157668931E-2</v>
      </c>
      <c r="L90" s="105">
        <f>MEDIAN(G90:K90)</f>
        <v>7.4668527564549891E-2</v>
      </c>
      <c r="M90" s="105">
        <f>L90</f>
        <v>7.4668527564549891E-2</v>
      </c>
      <c r="N90" s="105">
        <f t="shared" ref="N90" si="105">M90</f>
        <v>7.4668527564549891E-2</v>
      </c>
      <c r="O90" s="105">
        <f t="shared" ref="O90" si="106">N90</f>
        <v>7.4668527564549891E-2</v>
      </c>
      <c r="P90" s="105">
        <f t="shared" ref="P90" si="107">O90</f>
        <v>7.4668527564549891E-2</v>
      </c>
    </row>
    <row r="91" spans="1:16">
      <c r="A91" s="75"/>
      <c r="B91" s="75"/>
      <c r="C91" s="75"/>
      <c r="D91" s="75"/>
      <c r="E91" s="75"/>
      <c r="F91" s="75"/>
      <c r="G91" s="75"/>
      <c r="H91" s="75"/>
      <c r="I91" s="75"/>
      <c r="J91" s="75"/>
      <c r="K91" s="75"/>
      <c r="L91" s="75"/>
      <c r="M91" s="75"/>
      <c r="N91" s="75"/>
      <c r="O91" s="75"/>
      <c r="P91" s="75"/>
    </row>
    <row r="92" spans="1:16">
      <c r="A92" s="75"/>
      <c r="B92" s="75"/>
      <c r="C92" s="89" t="s">
        <v>1006</v>
      </c>
      <c r="D92" s="89"/>
      <c r="E92" s="189"/>
      <c r="F92" s="189"/>
      <c r="G92" s="189"/>
      <c r="H92" s="189"/>
      <c r="I92" s="189"/>
      <c r="J92" s="189"/>
      <c r="K92" s="189"/>
      <c r="L92" s="189"/>
      <c r="M92" s="189"/>
      <c r="N92" s="189"/>
      <c r="O92" s="189"/>
      <c r="P92" s="189"/>
    </row>
    <row r="93" spans="1:16">
      <c r="A93" s="75"/>
      <c r="B93" s="75"/>
      <c r="C93" s="75"/>
      <c r="D93" s="75"/>
      <c r="E93" s="75"/>
      <c r="F93" s="75"/>
      <c r="G93" s="75"/>
      <c r="H93" s="75"/>
      <c r="I93" s="75"/>
      <c r="J93" s="75"/>
      <c r="K93" s="75"/>
      <c r="L93" s="75"/>
      <c r="M93" s="75"/>
      <c r="N93" s="75"/>
      <c r="O93" s="75"/>
      <c r="P93" s="75"/>
    </row>
    <row r="94" spans="1:16">
      <c r="A94" s="75"/>
      <c r="B94" s="75"/>
      <c r="C94" s="159" t="s">
        <v>1007</v>
      </c>
      <c r="D94" s="161"/>
      <c r="E94" s="161"/>
      <c r="F94" s="162" t="s">
        <v>48</v>
      </c>
      <c r="G94" s="170">
        <f>'3FS'!D35</f>
        <v>-2735</v>
      </c>
      <c r="H94" s="170">
        <f>'3FS'!E35</f>
        <v>-3544</v>
      </c>
      <c r="I94" s="170">
        <f>'3FS'!F35</f>
        <v>-1726</v>
      </c>
      <c r="J94" s="170">
        <f>'3FS'!G35</f>
        <v>-459</v>
      </c>
      <c r="K94" s="170">
        <f>'3FS'!H35</f>
        <v>-87</v>
      </c>
      <c r="L94" s="170">
        <f ca="1">'3FS'!I35</f>
        <v>143.15435773861722</v>
      </c>
      <c r="M94" s="170">
        <f ca="1">'3FS'!J35</f>
        <v>354.0852593444688</v>
      </c>
      <c r="N94" s="170">
        <f ca="1">'3FS'!K35</f>
        <v>654.57733184725055</v>
      </c>
      <c r="O94" s="170">
        <f ca="1">'3FS'!L35</f>
        <v>1077.8805950131398</v>
      </c>
      <c r="P94" s="171">
        <f ca="1">'3FS'!M35</f>
        <v>1666.6402740069623</v>
      </c>
    </row>
    <row r="95" spans="1:16">
      <c r="A95" s="75"/>
      <c r="B95" s="75"/>
      <c r="C95" s="75"/>
      <c r="D95" s="75"/>
      <c r="E95" s="75"/>
      <c r="F95" s="75"/>
      <c r="G95" s="75"/>
      <c r="H95" s="75"/>
      <c r="I95" s="75"/>
      <c r="J95" s="75"/>
      <c r="K95" s="75"/>
      <c r="L95" s="75"/>
      <c r="M95" s="75"/>
      <c r="N95" s="75"/>
      <c r="O95" s="75"/>
      <c r="P95" s="75"/>
    </row>
    <row r="96" spans="1:16">
      <c r="A96" s="75"/>
      <c r="B96" s="75"/>
      <c r="C96" s="169" t="s">
        <v>75</v>
      </c>
      <c r="D96" s="169"/>
      <c r="E96" s="75"/>
      <c r="F96" s="76" t="s">
        <v>48</v>
      </c>
      <c r="G96" s="146">
        <f>'3FS'!D36</f>
        <v>-2</v>
      </c>
      <c r="H96" s="146">
        <f>'3FS'!E36</f>
        <v>-3</v>
      </c>
      <c r="I96" s="146">
        <f>'3FS'!F36</f>
        <v>-6</v>
      </c>
      <c r="J96" s="146">
        <f>'3FS'!G36</f>
        <v>-19</v>
      </c>
      <c r="K96" s="146">
        <f>'3FS'!H36</f>
        <v>-63</v>
      </c>
      <c r="L96" s="82">
        <f ca="1">L97*L94</f>
        <v>0.49763971403922558</v>
      </c>
      <c r="M96" s="82">
        <f t="shared" ref="M96:P96" ca="1" si="108">M97*M94</f>
        <v>1.2308873441870294</v>
      </c>
      <c r="N96" s="82">
        <f t="shared" ca="1" si="108"/>
        <v>2.2754716054944977</v>
      </c>
      <c r="O96" s="82">
        <f t="shared" ca="1" si="108"/>
        <v>3.7469777346922588</v>
      </c>
      <c r="P96" s="82">
        <f t="shared" ca="1" si="108"/>
        <v>5.7936510104529395</v>
      </c>
    </row>
    <row r="97" spans="1:16">
      <c r="A97" s="75"/>
      <c r="B97" s="75"/>
      <c r="C97" s="101" t="s">
        <v>1008</v>
      </c>
      <c r="D97" s="101"/>
      <c r="E97" s="101"/>
      <c r="F97" s="101"/>
      <c r="G97" s="102">
        <f>G96/G94</f>
        <v>7.3126142595978066E-4</v>
      </c>
      <c r="H97" s="102">
        <f t="shared" ref="H97:K97" si="109">H96/H94</f>
        <v>8.4650112866817154E-4</v>
      </c>
      <c r="I97" s="102">
        <f t="shared" si="109"/>
        <v>3.4762456546929316E-3</v>
      </c>
      <c r="J97" s="102">
        <f t="shared" si="109"/>
        <v>4.1394335511982572E-2</v>
      </c>
      <c r="K97" s="102">
        <f t="shared" si="109"/>
        <v>0.72413793103448276</v>
      </c>
      <c r="L97" s="105">
        <f>MEDIAN(G97:K97)</f>
        <v>3.4762456546929316E-3</v>
      </c>
      <c r="M97" s="105">
        <f>L97</f>
        <v>3.4762456546929316E-3</v>
      </c>
      <c r="N97" s="105">
        <f t="shared" ref="N97:P97" si="110">M97</f>
        <v>3.4762456546929316E-3</v>
      </c>
      <c r="O97" s="105">
        <f t="shared" si="110"/>
        <v>3.4762456546929316E-3</v>
      </c>
      <c r="P97" s="105">
        <f t="shared" si="110"/>
        <v>3.4762456546929316E-3</v>
      </c>
    </row>
    <row r="98" spans="1:16">
      <c r="A98" s="75"/>
      <c r="B98" s="75"/>
      <c r="C98" s="75"/>
      <c r="D98" s="75"/>
      <c r="E98" s="75"/>
      <c r="F98" s="75"/>
      <c r="G98" s="99"/>
      <c r="H98" s="99"/>
      <c r="I98" s="99"/>
      <c r="J98" s="99"/>
      <c r="K98" s="99"/>
      <c r="L98" s="75"/>
      <c r="M98" s="75"/>
      <c r="N98" s="75"/>
      <c r="O98" s="75"/>
      <c r="P98" s="75"/>
    </row>
    <row r="99" spans="1:16">
      <c r="A99" s="75"/>
      <c r="B99" s="75"/>
      <c r="C99" s="169" t="s">
        <v>76</v>
      </c>
      <c r="D99" s="169"/>
      <c r="E99" s="75"/>
      <c r="F99" s="76" t="s">
        <v>48</v>
      </c>
      <c r="G99" s="146">
        <f>'3FS'!D37</f>
        <v>-8</v>
      </c>
      <c r="H99" s="146">
        <f>'3FS'!E37</f>
        <v>-8</v>
      </c>
      <c r="I99" s="146">
        <f>'3FS'!F37</f>
        <v>-8</v>
      </c>
      <c r="J99" s="146">
        <f>'3FS'!G37</f>
        <v>-7</v>
      </c>
      <c r="K99" s="146">
        <f>'3FS'!H37</f>
        <v>-8</v>
      </c>
      <c r="L99" s="82">
        <f>L100*L$12</f>
        <v>-19.24442681816803</v>
      </c>
      <c r="M99" s="82">
        <f t="shared" ref="M99:P99" si="111">M100*M$12</f>
        <v>-23.682693232523803</v>
      </c>
      <c r="N99" s="82">
        <f t="shared" si="111"/>
        <v>-29.367963210812093</v>
      </c>
      <c r="O99" s="82">
        <f t="shared" si="111"/>
        <v>-36.423383352190356</v>
      </c>
      <c r="P99" s="82">
        <f t="shared" si="111"/>
        <v>-45.197497120087228</v>
      </c>
    </row>
    <row r="100" spans="1:16">
      <c r="A100" s="75"/>
      <c r="B100" s="75"/>
      <c r="C100" s="101" t="s">
        <v>965</v>
      </c>
      <c r="D100" s="101"/>
      <c r="E100" s="101"/>
      <c r="F100" s="101"/>
      <c r="G100" s="102">
        <f>G99/G$12</f>
        <v>-1.7057569296375266E-2</v>
      </c>
      <c r="H100" s="102">
        <f t="shared" ref="H100:K100" si="112">H99/H$12</f>
        <v>-1.1851851851851851E-2</v>
      </c>
      <c r="I100" s="102">
        <f t="shared" si="112"/>
        <v>-5.5826936496859731E-3</v>
      </c>
      <c r="J100" s="102">
        <f t="shared" si="112"/>
        <v>-2.967359050445104E-3</v>
      </c>
      <c r="K100" s="102">
        <f t="shared" si="112"/>
        <v>-2.8602073650339649E-3</v>
      </c>
      <c r="L100" s="105">
        <f>MEDIAN(G100:K100)</f>
        <v>-5.5826936496859731E-3</v>
      </c>
      <c r="M100" s="105">
        <f>L100</f>
        <v>-5.5826936496859731E-3</v>
      </c>
      <c r="N100" s="105">
        <f t="shared" ref="N100" si="113">M100</f>
        <v>-5.5826936496859731E-3</v>
      </c>
      <c r="O100" s="105">
        <f t="shared" ref="O100" si="114">N100</f>
        <v>-5.5826936496859731E-3</v>
      </c>
      <c r="P100" s="105">
        <f t="shared" ref="P100" si="115">O100</f>
        <v>-5.5826936496859731E-3</v>
      </c>
    </row>
    <row r="101" spans="1:16">
      <c r="A101" s="75"/>
      <c r="B101" s="75"/>
      <c r="C101" s="75"/>
      <c r="D101" s="75"/>
      <c r="E101" s="75"/>
      <c r="F101" s="75"/>
      <c r="G101" s="99"/>
      <c r="H101" s="99"/>
      <c r="I101" s="99"/>
      <c r="J101" s="99"/>
      <c r="K101" s="99"/>
      <c r="L101" s="75"/>
      <c r="M101" s="75"/>
      <c r="N101" s="75"/>
      <c r="O101" s="75"/>
      <c r="P101" s="75"/>
    </row>
    <row r="102" spans="1:16">
      <c r="A102" s="75"/>
      <c r="B102" s="75"/>
      <c r="C102" s="38" t="s">
        <v>77</v>
      </c>
      <c r="D102" s="169"/>
      <c r="E102" s="75"/>
      <c r="F102" s="76" t="s">
        <v>48</v>
      </c>
      <c r="G102" s="146">
        <f>'3FS'!D38</f>
        <v>137</v>
      </c>
      <c r="H102" s="146">
        <f>'3FS'!E38</f>
        <v>106</v>
      </c>
      <c r="I102" s="146">
        <f>'3FS'!F38</f>
        <v>57</v>
      </c>
      <c r="J102" s="146">
        <f>'3FS'!G38</f>
        <v>51</v>
      </c>
      <c r="K102" s="146">
        <f>'3FS'!H38</f>
        <v>53</v>
      </c>
      <c r="L102" s="82">
        <f>L103*L$12</f>
        <v>137.11654107944725</v>
      </c>
      <c r="M102" s="82">
        <f t="shared" ref="M102:P102" si="116">M103*M$12</f>
        <v>168.73918928173211</v>
      </c>
      <c r="N102" s="82">
        <f t="shared" si="116"/>
        <v>209.2467378770362</v>
      </c>
      <c r="O102" s="82">
        <f t="shared" si="116"/>
        <v>259.51660638435629</v>
      </c>
      <c r="P102" s="82">
        <f t="shared" si="116"/>
        <v>322.03216698062153</v>
      </c>
    </row>
    <row r="103" spans="1:16">
      <c r="A103" s="75"/>
      <c r="B103" s="75"/>
      <c r="C103" s="101" t="s">
        <v>965</v>
      </c>
      <c r="D103" s="101"/>
      <c r="E103" s="101"/>
      <c r="F103" s="101"/>
      <c r="G103" s="102">
        <f>G102/G$12</f>
        <v>0.29211087420042642</v>
      </c>
      <c r="H103" s="102">
        <f t="shared" ref="H103:K103" si="117">H102/H$12</f>
        <v>0.15703703703703703</v>
      </c>
      <c r="I103" s="102">
        <f t="shared" si="117"/>
        <v>3.9776692254012563E-2</v>
      </c>
      <c r="J103" s="102">
        <f t="shared" si="117"/>
        <v>2.1619330224671472E-2</v>
      </c>
      <c r="K103" s="102">
        <f t="shared" si="117"/>
        <v>1.8948873793350019E-2</v>
      </c>
      <c r="L103" s="105">
        <f>MEDIAN(G103:K103)</f>
        <v>3.9776692254012563E-2</v>
      </c>
      <c r="M103" s="105">
        <f>L103</f>
        <v>3.9776692254012563E-2</v>
      </c>
      <c r="N103" s="105">
        <f t="shared" ref="N103" si="118">M103</f>
        <v>3.9776692254012563E-2</v>
      </c>
      <c r="O103" s="105">
        <f t="shared" ref="O103" si="119">N103</f>
        <v>3.9776692254012563E-2</v>
      </c>
      <c r="P103" s="105">
        <f t="shared" ref="P103" si="120">O103</f>
        <v>3.9776692254012563E-2</v>
      </c>
    </row>
    <row r="104" spans="1:16">
      <c r="A104" s="75"/>
      <c r="B104" s="75"/>
      <c r="C104" s="75"/>
      <c r="D104" s="75"/>
      <c r="E104" s="75"/>
      <c r="F104" s="75"/>
      <c r="G104" s="99"/>
      <c r="H104" s="99"/>
      <c r="I104" s="99"/>
      <c r="J104" s="99"/>
      <c r="K104" s="99"/>
      <c r="L104" s="75"/>
      <c r="M104" s="75"/>
      <c r="N104" s="75"/>
      <c r="O104" s="75"/>
      <c r="P104" s="75"/>
    </row>
    <row r="105" spans="1:16">
      <c r="A105" s="75"/>
      <c r="B105" s="75"/>
      <c r="C105" s="75"/>
      <c r="D105" s="75"/>
      <c r="E105" s="75"/>
      <c r="F105" s="75"/>
      <c r="G105" s="75"/>
      <c r="H105" s="75"/>
      <c r="I105" s="75"/>
      <c r="J105" s="75"/>
      <c r="K105" s="75"/>
      <c r="L105" s="75"/>
      <c r="M105" s="75"/>
      <c r="N105" s="75"/>
      <c r="O105" s="75"/>
      <c r="P105" s="75"/>
    </row>
    <row r="106" spans="1:16">
      <c r="A106" s="185">
        <v>5</v>
      </c>
      <c r="B106" s="158"/>
      <c r="C106" s="186" t="s">
        <v>1009</v>
      </c>
      <c r="D106" s="186"/>
      <c r="E106" s="186"/>
      <c r="F106" s="186"/>
      <c r="G106" s="186"/>
      <c r="H106" s="185"/>
      <c r="I106" s="187"/>
      <c r="J106" s="187"/>
      <c r="K106" s="187"/>
      <c r="L106" s="187"/>
      <c r="M106" s="187"/>
      <c r="N106" s="188"/>
      <c r="O106" s="188"/>
      <c r="P106" s="188"/>
    </row>
    <row r="107" spans="1:16">
      <c r="A107" s="75"/>
      <c r="B107" s="75"/>
      <c r="C107" s="75"/>
      <c r="D107" s="75"/>
      <c r="E107" s="75"/>
      <c r="F107" s="75"/>
      <c r="G107" s="75"/>
      <c r="H107" s="75"/>
      <c r="I107" s="75"/>
      <c r="J107" s="75"/>
      <c r="K107" s="75"/>
      <c r="L107" s="75"/>
      <c r="M107" s="75"/>
      <c r="N107" s="75"/>
      <c r="O107" s="75"/>
      <c r="P107" s="75"/>
    </row>
    <row r="108" spans="1:16">
      <c r="A108" s="75" t="s">
        <v>57</v>
      </c>
      <c r="B108" s="75"/>
      <c r="C108" s="89" t="s">
        <v>1010</v>
      </c>
      <c r="D108" s="89"/>
      <c r="E108" s="189"/>
      <c r="F108" s="189"/>
      <c r="G108" s="189"/>
      <c r="H108" s="189"/>
      <c r="I108" s="189"/>
      <c r="J108" s="189"/>
      <c r="K108" s="189"/>
      <c r="L108" s="189"/>
      <c r="M108" s="189"/>
      <c r="N108" s="189"/>
      <c r="O108" s="189"/>
      <c r="P108" s="189"/>
    </row>
    <row r="109" spans="1:16">
      <c r="A109" s="75"/>
      <c r="B109" s="75"/>
      <c r="C109" s="75"/>
      <c r="D109" s="75"/>
      <c r="E109" s="75"/>
      <c r="F109" s="75"/>
      <c r="G109" s="75"/>
      <c r="H109" s="75"/>
      <c r="I109" s="75"/>
      <c r="J109" s="75"/>
      <c r="K109" s="75"/>
      <c r="L109" s="75"/>
      <c r="M109" s="75"/>
      <c r="N109" s="75"/>
      <c r="O109" s="75"/>
      <c r="P109" s="75"/>
    </row>
    <row r="110" spans="1:16">
      <c r="A110" s="75"/>
      <c r="B110" s="75"/>
      <c r="C110" s="38" t="s">
        <v>89</v>
      </c>
      <c r="D110" s="75"/>
      <c r="E110" s="172"/>
      <c r="F110" s="76" t="s">
        <v>48</v>
      </c>
      <c r="G110" s="173">
        <f>'3FS'!D56</f>
        <v>172</v>
      </c>
      <c r="H110" s="173">
        <f>'3FS'!E56</f>
        <v>255</v>
      </c>
      <c r="I110" s="173">
        <f>'3FS'!F56</f>
        <v>187</v>
      </c>
      <c r="J110" s="173">
        <f>'3FS'!G56</f>
        <v>196</v>
      </c>
      <c r="K110" s="173">
        <f>'3FS'!H56</f>
        <v>206</v>
      </c>
      <c r="L110" s="174">
        <f>L$12/L111</f>
        <v>254.57992769653663</v>
      </c>
      <c r="M110" s="174">
        <f t="shared" ref="M110:P110" si="121">M$12/M111</f>
        <v>313.29269443885204</v>
      </c>
      <c r="N110" s="174">
        <f t="shared" si="121"/>
        <v>388.50177360152799</v>
      </c>
      <c r="O110" s="174">
        <f t="shared" si="121"/>
        <v>480.51974967822173</v>
      </c>
      <c r="P110" s="174">
        <f t="shared" si="121"/>
        <v>597.90689832515238</v>
      </c>
    </row>
    <row r="111" spans="1:16">
      <c r="A111" s="75"/>
      <c r="B111" s="75"/>
      <c r="C111" s="175" t="s">
        <v>1011</v>
      </c>
      <c r="D111" s="175"/>
      <c r="E111" s="176"/>
      <c r="F111" s="177"/>
      <c r="G111" s="178">
        <f>G$12/G110</f>
        <v>2.7267441860465116</v>
      </c>
      <c r="H111" s="178">
        <f t="shared" ref="H111:K111" si="122">H$12/H110</f>
        <v>2.6470588235294117</v>
      </c>
      <c r="I111" s="178">
        <f t="shared" si="122"/>
        <v>7.6631016042780749</v>
      </c>
      <c r="J111" s="178">
        <f t="shared" si="122"/>
        <v>12.035714285714286</v>
      </c>
      <c r="K111" s="178">
        <f t="shared" si="122"/>
        <v>13.577669902912621</v>
      </c>
      <c r="L111" s="179">
        <f>L$8/L112</f>
        <v>13.540572444161493</v>
      </c>
      <c r="M111" s="179">
        <f t="shared" ref="M111:P111" si="123">M$8/M112</f>
        <v>13.540572444161493</v>
      </c>
      <c r="N111" s="179">
        <f t="shared" si="123"/>
        <v>13.540572444161493</v>
      </c>
      <c r="O111" s="179">
        <f t="shared" si="123"/>
        <v>13.577669902912621</v>
      </c>
      <c r="P111" s="179">
        <f t="shared" si="123"/>
        <v>13.540572444161493</v>
      </c>
    </row>
    <row r="112" spans="1:16">
      <c r="A112" s="75"/>
      <c r="B112" s="75"/>
      <c r="C112" s="180" t="s">
        <v>1012</v>
      </c>
      <c r="D112" s="180"/>
      <c r="E112" s="181"/>
      <c r="F112" s="182"/>
      <c r="G112" s="183">
        <f>G$8/G111</f>
        <v>134.22601279317698</v>
      </c>
      <c r="H112" s="183">
        <f t="shared" ref="H112:K112" si="124">H$8/H111</f>
        <v>137.88888888888889</v>
      </c>
      <c r="I112" s="183">
        <f t="shared" si="124"/>
        <v>47.630844382414516</v>
      </c>
      <c r="J112" s="183">
        <f t="shared" si="124"/>
        <v>30.326409495548958</v>
      </c>
      <c r="K112" s="183">
        <f t="shared" si="124"/>
        <v>26.956024311762604</v>
      </c>
      <c r="L112" s="184">
        <f>K112</f>
        <v>26.956024311762604</v>
      </c>
      <c r="M112" s="184">
        <f>L112</f>
        <v>26.956024311762604</v>
      </c>
      <c r="N112" s="184">
        <f>M112</f>
        <v>26.956024311762604</v>
      </c>
      <c r="O112" s="184">
        <f>N112</f>
        <v>26.956024311762604</v>
      </c>
      <c r="P112" s="184">
        <f>O112</f>
        <v>26.956024311762604</v>
      </c>
    </row>
    <row r="113" spans="1:16">
      <c r="A113" s="75"/>
      <c r="B113" s="75"/>
      <c r="C113" s="75"/>
      <c r="D113" s="75"/>
      <c r="E113" s="75"/>
      <c r="F113" s="75"/>
      <c r="G113" s="75"/>
      <c r="H113" s="75"/>
      <c r="I113" s="75"/>
      <c r="J113" s="75"/>
      <c r="K113" s="75"/>
      <c r="L113" s="75"/>
      <c r="M113" s="75"/>
      <c r="N113" s="75"/>
      <c r="O113" s="75"/>
      <c r="P113" s="75"/>
    </row>
    <row r="114" spans="1:16">
      <c r="A114" s="75"/>
      <c r="B114" s="75"/>
      <c r="C114" s="38" t="s">
        <v>91</v>
      </c>
      <c r="D114" s="75"/>
      <c r="E114" s="172"/>
      <c r="F114" s="76" t="s">
        <v>48</v>
      </c>
      <c r="G114" s="173">
        <f>'3FS'!D58</f>
        <v>3</v>
      </c>
      <c r="H114" s="173">
        <f>'3FS'!E58</f>
        <v>4</v>
      </c>
      <c r="I114" s="173">
        <f>'3FS'!F58</f>
        <v>48</v>
      </c>
      <c r="J114" s="173">
        <f>'3FS'!G58</f>
        <v>49</v>
      </c>
      <c r="K114" s="173">
        <f>'3FS'!H58</f>
        <v>59</v>
      </c>
      <c r="L114" s="174">
        <f>L$12/L115</f>
        <v>112.68228134517219</v>
      </c>
      <c r="M114" s="174">
        <f t="shared" ref="M114:P114" si="125">M$12/M115</f>
        <v>138.66975239393963</v>
      </c>
      <c r="N114" s="174">
        <f t="shared" si="125"/>
        <v>171.95882861687735</v>
      </c>
      <c r="O114" s="174">
        <f t="shared" si="125"/>
        <v>212.68786630223292</v>
      </c>
      <c r="P114" s="174">
        <f t="shared" si="125"/>
        <v>264.64581848575426</v>
      </c>
    </row>
    <row r="115" spans="1:16">
      <c r="A115" s="75"/>
      <c r="B115" s="75"/>
      <c r="C115" s="175" t="s">
        <v>1013</v>
      </c>
      <c r="D115" s="175"/>
      <c r="E115" s="176"/>
      <c r="F115" s="177"/>
      <c r="G115" s="178">
        <f>-G17/G114</f>
        <v>321</v>
      </c>
      <c r="H115" s="178">
        <f t="shared" ref="H115:K115" si="126">-H17/H114</f>
        <v>267.5</v>
      </c>
      <c r="I115" s="178">
        <f t="shared" si="126"/>
        <v>28.25</v>
      </c>
      <c r="J115" s="178">
        <f t="shared" si="126"/>
        <v>30.591836734693878</v>
      </c>
      <c r="K115" s="178">
        <f t="shared" si="126"/>
        <v>27.508474576271187</v>
      </c>
      <c r="L115" s="179">
        <f>L$8/L116</f>
        <v>30.591836734693874</v>
      </c>
      <c r="M115" s="179">
        <f t="shared" ref="M115:P115" si="127">M$8/M116</f>
        <v>30.591836734693874</v>
      </c>
      <c r="N115" s="179">
        <f t="shared" si="127"/>
        <v>30.591836734693874</v>
      </c>
      <c r="O115" s="179">
        <f t="shared" si="127"/>
        <v>30.675649986021803</v>
      </c>
      <c r="P115" s="179">
        <f t="shared" si="127"/>
        <v>30.591836734693874</v>
      </c>
    </row>
    <row r="116" spans="1:16">
      <c r="A116" s="75"/>
      <c r="B116" s="75"/>
      <c r="C116" s="180" t="s">
        <v>1014</v>
      </c>
      <c r="D116" s="180"/>
      <c r="E116" s="181"/>
      <c r="F116" s="182"/>
      <c r="G116" s="183">
        <f>G$8/G115</f>
        <v>1.1401869158878504</v>
      </c>
      <c r="H116" s="183">
        <f t="shared" ref="H116:K116" si="128">H$8/H115</f>
        <v>1.3644859813084111</v>
      </c>
      <c r="I116" s="183">
        <f t="shared" si="128"/>
        <v>12.920353982300885</v>
      </c>
      <c r="J116" s="183">
        <f t="shared" si="128"/>
        <v>11.931287525016678</v>
      </c>
      <c r="K116" s="183">
        <f t="shared" si="128"/>
        <v>13.304990757855823</v>
      </c>
      <c r="L116" s="184">
        <f>MEDIAN(G116:K116)</f>
        <v>11.931287525016678</v>
      </c>
      <c r="M116" s="184">
        <f>L116</f>
        <v>11.931287525016678</v>
      </c>
      <c r="N116" s="184">
        <f>M116</f>
        <v>11.931287525016678</v>
      </c>
      <c r="O116" s="184">
        <f>N116</f>
        <v>11.931287525016678</v>
      </c>
      <c r="P116" s="184">
        <f>O116</f>
        <v>11.931287525016678</v>
      </c>
    </row>
    <row r="117" spans="1:16">
      <c r="A117" s="75"/>
      <c r="B117" s="75"/>
      <c r="C117" s="75"/>
      <c r="D117" s="75"/>
      <c r="E117" s="75"/>
      <c r="F117" s="75"/>
      <c r="G117" s="75"/>
      <c r="H117" s="75"/>
      <c r="I117" s="75"/>
      <c r="J117" s="75"/>
      <c r="K117" s="75"/>
      <c r="L117" s="75"/>
      <c r="M117" s="75"/>
      <c r="N117" s="75"/>
      <c r="O117" s="75"/>
      <c r="P117" s="75"/>
    </row>
    <row r="118" spans="1:16">
      <c r="A118" s="75"/>
      <c r="B118" s="75"/>
      <c r="C118" s="38" t="s">
        <v>92</v>
      </c>
      <c r="D118" s="169"/>
      <c r="E118" s="75"/>
      <c r="F118" s="76" t="s">
        <v>48</v>
      </c>
      <c r="G118" s="146">
        <f>'3FS'!D59</f>
        <v>109</v>
      </c>
      <c r="H118" s="146">
        <f>'3FS'!E59</f>
        <v>185</v>
      </c>
      <c r="I118" s="146">
        <f>'3FS'!F59</f>
        <v>0</v>
      </c>
      <c r="J118" s="146">
        <f>'3FS'!G59</f>
        <v>0</v>
      </c>
      <c r="K118" s="146">
        <f>'3FS'!H59</f>
        <v>0</v>
      </c>
      <c r="L118" s="82">
        <f>L119*L$12</f>
        <v>0</v>
      </c>
      <c r="M118" s="82">
        <f t="shared" ref="M118:P118" si="129">M119*M$12</f>
        <v>0</v>
      </c>
      <c r="N118" s="82">
        <f t="shared" si="129"/>
        <v>0</v>
      </c>
      <c r="O118" s="82">
        <f t="shared" si="129"/>
        <v>0</v>
      </c>
      <c r="P118" s="82">
        <f t="shared" si="129"/>
        <v>0</v>
      </c>
    </row>
    <row r="119" spans="1:16">
      <c r="A119" s="75"/>
      <c r="B119" s="75"/>
      <c r="C119" s="101" t="s">
        <v>965</v>
      </c>
      <c r="D119" s="101"/>
      <c r="E119" s="101"/>
      <c r="F119" s="101"/>
      <c r="G119" s="102">
        <f>G118/G$12</f>
        <v>0.23240938166311301</v>
      </c>
      <c r="H119" s="102">
        <f t="shared" ref="H119:K119" si="130">H118/H$12</f>
        <v>0.27407407407407408</v>
      </c>
      <c r="I119" s="102">
        <f t="shared" si="130"/>
        <v>0</v>
      </c>
      <c r="J119" s="102">
        <f t="shared" si="130"/>
        <v>0</v>
      </c>
      <c r="K119" s="102">
        <f t="shared" si="130"/>
        <v>0</v>
      </c>
      <c r="L119" s="105">
        <f>MEDIAN(G119:K119)</f>
        <v>0</v>
      </c>
      <c r="M119" s="105">
        <f>L119</f>
        <v>0</v>
      </c>
      <c r="N119" s="105">
        <f t="shared" ref="N119:P119" si="131">M119</f>
        <v>0</v>
      </c>
      <c r="O119" s="105">
        <f t="shared" si="131"/>
        <v>0</v>
      </c>
      <c r="P119" s="105">
        <f t="shared" si="131"/>
        <v>0</v>
      </c>
    </row>
    <row r="120" spans="1:16">
      <c r="A120" s="75"/>
      <c r="B120" s="75"/>
      <c r="C120" s="75"/>
      <c r="D120" s="75"/>
      <c r="E120" s="75"/>
      <c r="F120" s="75"/>
      <c r="G120" s="75"/>
      <c r="H120" s="75"/>
      <c r="I120" s="75"/>
      <c r="J120" s="75"/>
      <c r="K120" s="75"/>
      <c r="L120" s="75"/>
      <c r="M120" s="75"/>
      <c r="N120" s="75"/>
      <c r="O120" s="75"/>
      <c r="P120" s="75"/>
    </row>
    <row r="121" spans="1:16">
      <c r="A121" s="75"/>
      <c r="B121" s="75"/>
      <c r="C121" s="38" t="s">
        <v>88</v>
      </c>
      <c r="D121" s="169"/>
      <c r="E121" s="75"/>
      <c r="F121" s="76" t="s">
        <v>48</v>
      </c>
      <c r="G121" s="146">
        <f>'3FS'!D55</f>
        <v>0</v>
      </c>
      <c r="H121" s="146">
        <f>'3FS'!E55</f>
        <v>0</v>
      </c>
      <c r="I121" s="146">
        <f>'3FS'!F55</f>
        <v>182</v>
      </c>
      <c r="J121" s="146">
        <f>'3FS'!G55</f>
        <v>208</v>
      </c>
      <c r="K121" s="146">
        <f>'3FS'!H55</f>
        <v>241</v>
      </c>
      <c r="L121" s="82">
        <f>L122*L$12</f>
        <v>297.02004535818668</v>
      </c>
      <c r="M121" s="82">
        <f t="shared" ref="M121:P121" si="132">M122*M$12</f>
        <v>365.52060939988354</v>
      </c>
      <c r="N121" s="82">
        <f t="shared" si="132"/>
        <v>453.26752765210898</v>
      </c>
      <c r="O121" s="82">
        <f t="shared" si="132"/>
        <v>562.16145472063806</v>
      </c>
      <c r="P121" s="82">
        <f t="shared" si="132"/>
        <v>697.5818387072527</v>
      </c>
    </row>
    <row r="122" spans="1:16">
      <c r="A122" s="75"/>
      <c r="B122" s="75"/>
      <c r="C122" s="101" t="s">
        <v>965</v>
      </c>
      <c r="D122" s="101"/>
      <c r="E122" s="101"/>
      <c r="F122" s="101"/>
      <c r="G122" s="102">
        <f>G121/G$12</f>
        <v>0</v>
      </c>
      <c r="H122" s="102">
        <f t="shared" ref="H122:K122" si="133">H121/H$12</f>
        <v>0</v>
      </c>
      <c r="I122" s="102">
        <f t="shared" si="133"/>
        <v>0.1270062805303559</v>
      </c>
      <c r="J122" s="102">
        <f t="shared" si="133"/>
        <v>8.8172954641797377E-2</v>
      </c>
      <c r="K122" s="102">
        <f t="shared" si="133"/>
        <v>8.6163746871648197E-2</v>
      </c>
      <c r="L122" s="105">
        <f>MEDIAN(G122:K122)</f>
        <v>8.6163746871648197E-2</v>
      </c>
      <c r="M122" s="105">
        <f>L122</f>
        <v>8.6163746871648197E-2</v>
      </c>
      <c r="N122" s="105">
        <f t="shared" ref="N122:P122" si="134">M122</f>
        <v>8.6163746871648197E-2</v>
      </c>
      <c r="O122" s="105">
        <f t="shared" si="134"/>
        <v>8.6163746871648197E-2</v>
      </c>
      <c r="P122" s="105">
        <f t="shared" si="134"/>
        <v>8.6163746871648197E-2</v>
      </c>
    </row>
    <row r="123" spans="1:16">
      <c r="A123" s="75"/>
      <c r="B123" s="75"/>
      <c r="C123" s="75"/>
      <c r="D123" s="75"/>
      <c r="E123" s="75"/>
      <c r="F123" s="75"/>
      <c r="G123" s="75"/>
      <c r="H123" s="75"/>
      <c r="I123" s="75"/>
      <c r="J123" s="75"/>
      <c r="K123" s="75"/>
      <c r="L123" s="75"/>
      <c r="M123" s="75"/>
      <c r="N123" s="75"/>
      <c r="O123" s="75"/>
      <c r="P123" s="75"/>
    </row>
    <row r="124" spans="1:16">
      <c r="A124" s="75" t="s">
        <v>57</v>
      </c>
      <c r="B124" s="75"/>
      <c r="C124" s="89" t="s">
        <v>1015</v>
      </c>
      <c r="D124" s="89"/>
      <c r="E124" s="189"/>
      <c r="F124" s="189"/>
      <c r="G124" s="189"/>
      <c r="H124" s="189"/>
      <c r="I124" s="189"/>
      <c r="J124" s="189"/>
      <c r="K124" s="189"/>
      <c r="L124" s="189"/>
      <c r="M124" s="189"/>
      <c r="N124" s="189"/>
      <c r="O124" s="189"/>
      <c r="P124" s="189"/>
    </row>
    <row r="125" spans="1:16">
      <c r="A125" s="75"/>
      <c r="B125" s="75"/>
      <c r="C125" s="75"/>
      <c r="D125" s="75"/>
      <c r="E125" s="75"/>
      <c r="F125" s="75"/>
      <c r="G125" s="75"/>
      <c r="H125" s="75"/>
      <c r="I125" s="75"/>
      <c r="J125" s="75"/>
      <c r="K125" s="75"/>
      <c r="L125" s="75"/>
      <c r="M125" s="75"/>
      <c r="N125" s="75"/>
      <c r="O125" s="75"/>
      <c r="P125" s="75"/>
    </row>
    <row r="126" spans="1:16">
      <c r="A126" s="75"/>
      <c r="B126" s="75"/>
      <c r="C126" s="38" t="s">
        <v>104</v>
      </c>
      <c r="D126" s="75"/>
      <c r="E126" s="172"/>
      <c r="F126" s="76" t="s">
        <v>48</v>
      </c>
      <c r="G126" s="173">
        <f>'3FS'!D77</f>
        <v>661</v>
      </c>
      <c r="H126" s="173">
        <f>'3FS'!E77</f>
        <v>844</v>
      </c>
      <c r="I126" s="173">
        <f>'3FS'!F77</f>
        <v>930</v>
      </c>
      <c r="J126" s="173">
        <f>'3FS'!G77</f>
        <v>925</v>
      </c>
      <c r="K126" s="173">
        <f>'3FS'!H77</f>
        <v>1169</v>
      </c>
      <c r="L126" s="174">
        <f>L$12/L127</f>
        <v>1444.6792984332585</v>
      </c>
      <c r="M126" s="174">
        <f t="shared" ref="M126:P126" si="135">M$12/M127</f>
        <v>1777.859999024359</v>
      </c>
      <c r="N126" s="174">
        <f t="shared" si="135"/>
        <v>2204.6532686416804</v>
      </c>
      <c r="O126" s="174">
        <f t="shared" si="135"/>
        <v>2726.8329484167048</v>
      </c>
      <c r="P126" s="174">
        <f t="shared" si="135"/>
        <v>3392.9765249616648</v>
      </c>
    </row>
    <row r="127" spans="1:16">
      <c r="A127" s="75"/>
      <c r="B127" s="75"/>
      <c r="C127" s="175" t="s">
        <v>1016</v>
      </c>
      <c r="D127" s="175"/>
      <c r="E127" s="176"/>
      <c r="F127" s="177"/>
      <c r="G127" s="178">
        <f>G$12/G126</f>
        <v>0.70953101361573379</v>
      </c>
      <c r="H127" s="178">
        <f t="shared" ref="H127:K127" si="136">H$12/H126</f>
        <v>0.79976303317535546</v>
      </c>
      <c r="I127" s="178">
        <f t="shared" si="136"/>
        <v>1.5408602150537634</v>
      </c>
      <c r="J127" s="178">
        <f t="shared" si="136"/>
        <v>2.5502702702702704</v>
      </c>
      <c r="K127" s="178">
        <f t="shared" si="136"/>
        <v>2.3926432848588539</v>
      </c>
      <c r="L127" s="179">
        <f>L$8/L128</f>
        <v>2.3861060081242669</v>
      </c>
      <c r="M127" s="179">
        <f t="shared" ref="M127:P127" si="137">M$8/M128</f>
        <v>2.3861060081242669</v>
      </c>
      <c r="N127" s="179">
        <f t="shared" si="137"/>
        <v>2.3861060081242669</v>
      </c>
      <c r="O127" s="179">
        <f t="shared" si="137"/>
        <v>2.3926432848588539</v>
      </c>
      <c r="P127" s="179">
        <f t="shared" si="137"/>
        <v>2.3861060081242669</v>
      </c>
    </row>
    <row r="128" spans="1:16">
      <c r="A128" s="75"/>
      <c r="B128" s="75"/>
      <c r="C128" s="180" t="s">
        <v>1012</v>
      </c>
      <c r="D128" s="180"/>
      <c r="E128" s="181"/>
      <c r="F128" s="182"/>
      <c r="G128" s="183">
        <f>G$8/G127</f>
        <v>515.83368869936032</v>
      </c>
      <c r="H128" s="183">
        <f t="shared" ref="H128:K128" si="138">H$8/H127</f>
        <v>456.38518518518515</v>
      </c>
      <c r="I128" s="183">
        <f t="shared" si="138"/>
        <v>236.88066992323797</v>
      </c>
      <c r="J128" s="183">
        <f t="shared" si="138"/>
        <v>143.12208562950403</v>
      </c>
      <c r="K128" s="183">
        <f t="shared" si="138"/>
        <v>152.96889524490524</v>
      </c>
      <c r="L128" s="184">
        <f>K128</f>
        <v>152.96889524490524</v>
      </c>
      <c r="M128" s="184">
        <f>L128</f>
        <v>152.96889524490524</v>
      </c>
      <c r="N128" s="184">
        <f>M128</f>
        <v>152.96889524490524</v>
      </c>
      <c r="O128" s="184">
        <f>N128</f>
        <v>152.96889524490524</v>
      </c>
      <c r="P128" s="184">
        <f>O128</f>
        <v>152.96889524490524</v>
      </c>
    </row>
    <row r="129" spans="1:16">
      <c r="A129" s="75"/>
      <c r="B129" s="75"/>
      <c r="C129" s="75"/>
      <c r="D129" s="75"/>
      <c r="E129" s="75"/>
      <c r="F129" s="75"/>
      <c r="G129" s="75"/>
      <c r="H129" s="75"/>
      <c r="I129" s="75"/>
      <c r="J129" s="75"/>
      <c r="K129" s="75"/>
      <c r="L129" s="75"/>
      <c r="M129" s="75"/>
      <c r="N129" s="75"/>
      <c r="O129" s="75"/>
      <c r="P129" s="75"/>
    </row>
    <row r="130" spans="1:16">
      <c r="A130" s="75"/>
      <c r="B130" s="75"/>
      <c r="C130" s="38" t="s">
        <v>107</v>
      </c>
      <c r="D130" s="169"/>
      <c r="E130" s="75"/>
      <c r="F130" s="76" t="s">
        <v>48</v>
      </c>
      <c r="G130" s="146">
        <f>'3FS'!D80</f>
        <v>35</v>
      </c>
      <c r="H130" s="146">
        <f>'3FS'!E80</f>
        <v>35</v>
      </c>
      <c r="I130" s="146">
        <f>'3FS'!F80</f>
        <v>38</v>
      </c>
      <c r="J130" s="146">
        <f>'3FS'!G80</f>
        <v>39</v>
      </c>
      <c r="K130" s="146">
        <f>'3FS'!H80</f>
        <v>41</v>
      </c>
      <c r="L130" s="82">
        <f>L131*L$12</f>
        <v>91.411027386298159</v>
      </c>
      <c r="M130" s="82">
        <f t="shared" ref="M130:P130" si="139">M131*M$12</f>
        <v>112.49279285448807</v>
      </c>
      <c r="N130" s="82">
        <f t="shared" si="139"/>
        <v>139.49782525135745</v>
      </c>
      <c r="O130" s="82">
        <f t="shared" si="139"/>
        <v>173.0110709229042</v>
      </c>
      <c r="P130" s="82">
        <f t="shared" si="139"/>
        <v>214.68811132041435</v>
      </c>
    </row>
    <row r="131" spans="1:16">
      <c r="A131" s="75"/>
      <c r="B131" s="75"/>
      <c r="C131" s="101" t="s">
        <v>965</v>
      </c>
      <c r="D131" s="101"/>
      <c r="E131" s="101"/>
      <c r="F131" s="101"/>
      <c r="G131" s="102">
        <f>G130/G$12</f>
        <v>7.4626865671641784E-2</v>
      </c>
      <c r="H131" s="102">
        <f t="shared" ref="H131:K131" si="140">H130/H$12</f>
        <v>5.185185185185185E-2</v>
      </c>
      <c r="I131" s="102">
        <f t="shared" si="140"/>
        <v>2.6517794836008374E-2</v>
      </c>
      <c r="J131" s="102">
        <f t="shared" si="140"/>
        <v>1.6532428995337006E-2</v>
      </c>
      <c r="K131" s="102">
        <f t="shared" si="140"/>
        <v>1.465856274579907E-2</v>
      </c>
      <c r="L131" s="105">
        <f>MEDIAN(G131:K131)</f>
        <v>2.6517794836008374E-2</v>
      </c>
      <c r="M131" s="105">
        <f>L131</f>
        <v>2.6517794836008374E-2</v>
      </c>
      <c r="N131" s="105">
        <f t="shared" ref="N131:P131" si="141">M131</f>
        <v>2.6517794836008374E-2</v>
      </c>
      <c r="O131" s="105">
        <f t="shared" si="141"/>
        <v>2.6517794836008374E-2</v>
      </c>
      <c r="P131" s="105">
        <f t="shared" si="141"/>
        <v>2.6517794836008374E-2</v>
      </c>
    </row>
    <row r="132" spans="1:16">
      <c r="A132" s="75"/>
      <c r="B132" s="75"/>
      <c r="C132" s="75"/>
      <c r="D132" s="75"/>
      <c r="E132" s="75"/>
      <c r="F132" s="75"/>
      <c r="G132" s="75"/>
      <c r="H132" s="75"/>
      <c r="I132" s="75"/>
      <c r="J132" s="75"/>
      <c r="K132" s="75"/>
      <c r="L132" s="75"/>
      <c r="M132" s="75"/>
      <c r="N132" s="75"/>
      <c r="O132" s="75"/>
      <c r="P132" s="75"/>
    </row>
    <row r="133" spans="1:16">
      <c r="C133" s="38" t="s">
        <v>108</v>
      </c>
      <c r="D133" s="169"/>
      <c r="E133" s="75"/>
      <c r="F133" s="76" t="s">
        <v>48</v>
      </c>
      <c r="G133" s="146">
        <f>'3FS'!D81</f>
        <v>0</v>
      </c>
      <c r="H133" s="146">
        <f>'3FS'!E81</f>
        <v>0</v>
      </c>
      <c r="I133" s="146">
        <f>'3FS'!F81</f>
        <v>3</v>
      </c>
      <c r="J133" s="146">
        <f>'3FS'!G81</f>
        <v>374</v>
      </c>
      <c r="K133" s="146">
        <f>'3FS'!H81</f>
        <v>1225</v>
      </c>
      <c r="L133" s="82">
        <f>L134*L$12</f>
        <v>7.2166600568130121</v>
      </c>
      <c r="M133" s="82">
        <f t="shared" ref="M133:P133" si="142">M134*M$12</f>
        <v>8.8810099621964262</v>
      </c>
      <c r="N133" s="82">
        <f t="shared" si="142"/>
        <v>11.012986204054537</v>
      </c>
      <c r="O133" s="82">
        <f t="shared" si="142"/>
        <v>13.658768757071385</v>
      </c>
      <c r="P133" s="82">
        <f t="shared" si="142"/>
        <v>16.949061420032713</v>
      </c>
    </row>
    <row r="134" spans="1:16">
      <c r="C134" s="101" t="s">
        <v>965</v>
      </c>
      <c r="D134" s="101"/>
      <c r="E134" s="101"/>
      <c r="F134" s="101"/>
      <c r="G134" s="102">
        <f>G133/G$12</f>
        <v>0</v>
      </c>
      <c r="H134" s="102">
        <f t="shared" ref="H134:K134" si="143">H133/H$12</f>
        <v>0</v>
      </c>
      <c r="I134" s="102">
        <f t="shared" si="143"/>
        <v>2.0935101186322401E-3</v>
      </c>
      <c r="J134" s="102">
        <f t="shared" si="143"/>
        <v>0.15854175498092413</v>
      </c>
      <c r="K134" s="102">
        <f t="shared" si="143"/>
        <v>0.43796925277082588</v>
      </c>
      <c r="L134" s="105">
        <f>MEDIAN(G134:K134)</f>
        <v>2.0935101186322401E-3</v>
      </c>
      <c r="M134" s="105">
        <f>L134</f>
        <v>2.0935101186322401E-3</v>
      </c>
      <c r="N134" s="105">
        <f t="shared" ref="N134" si="144">M134</f>
        <v>2.0935101186322401E-3</v>
      </c>
      <c r="O134" s="105">
        <f t="shared" ref="O134" si="145">N134</f>
        <v>2.0935101186322401E-3</v>
      </c>
      <c r="P134" s="105">
        <f t="shared" ref="P134" si="146">O134</f>
        <v>2.0935101186322401E-3</v>
      </c>
    </row>
    <row r="136" spans="1:16">
      <c r="A136" s="185">
        <v>6</v>
      </c>
      <c r="B136" s="158"/>
      <c r="C136" s="186" t="s">
        <v>1017</v>
      </c>
      <c r="D136" s="186"/>
      <c r="E136" s="186"/>
      <c r="F136" s="186"/>
      <c r="G136" s="186"/>
      <c r="H136" s="185"/>
      <c r="I136" s="187"/>
      <c r="J136" s="187"/>
      <c r="K136" s="187"/>
      <c r="L136" s="187"/>
      <c r="M136" s="187"/>
      <c r="N136" s="188"/>
      <c r="O136" s="188"/>
      <c r="P136" s="188"/>
    </row>
    <row r="137" spans="1:16">
      <c r="A137" s="75"/>
      <c r="B137" s="75"/>
      <c r="C137" s="75"/>
      <c r="D137" s="75"/>
      <c r="E137" s="75"/>
      <c r="F137" s="75"/>
      <c r="G137" s="75"/>
      <c r="H137" s="75"/>
      <c r="I137" s="75"/>
      <c r="J137" s="75"/>
      <c r="K137" s="75"/>
      <c r="L137" s="75"/>
      <c r="M137" s="75"/>
      <c r="N137" s="75"/>
      <c r="O137" s="75"/>
      <c r="P137" s="75"/>
    </row>
    <row r="138" spans="1:16">
      <c r="A138" s="75"/>
      <c r="B138" s="75"/>
      <c r="C138" s="159" t="s">
        <v>1018</v>
      </c>
      <c r="D138" s="161"/>
      <c r="E138" s="161"/>
      <c r="F138" s="162" t="s">
        <v>48</v>
      </c>
      <c r="G138" s="163">
        <f>'3FS'!D53</f>
        <v>2173</v>
      </c>
      <c r="H138" s="163">
        <f>'3FS'!E53</f>
        <v>4991</v>
      </c>
      <c r="I138" s="163">
        <f>'3FS'!F53</f>
        <v>1952</v>
      </c>
      <c r="J138" s="163">
        <f>'3FS'!G53</f>
        <v>3138</v>
      </c>
      <c r="K138" s="163">
        <f>'3FS'!H53</f>
        <v>2964</v>
      </c>
      <c r="L138" s="163">
        <f ca="1">'3FS'!I53</f>
        <v>3387.2668227239692</v>
      </c>
      <c r="M138" s="163">
        <f ca="1">'3FS'!J53</f>
        <v>3227.6697244867378</v>
      </c>
      <c r="N138" s="163">
        <f ca="1">'3FS'!K53</f>
        <v>3232.7186144427114</v>
      </c>
      <c r="O138" s="163">
        <f ca="1">'3FS'!L53</f>
        <v>1940.489605541514</v>
      </c>
      <c r="P138" s="164">
        <f ca="1">'3FS'!M53</f>
        <v>2397.5070819390849</v>
      </c>
    </row>
    <row r="139" spans="1:16">
      <c r="A139" s="75"/>
      <c r="B139" s="75"/>
      <c r="C139" s="75"/>
      <c r="D139" s="75"/>
      <c r="E139" s="75"/>
      <c r="F139" s="75"/>
      <c r="G139" s="75"/>
      <c r="H139" s="75"/>
      <c r="I139" s="75"/>
      <c r="J139" s="75"/>
      <c r="K139" s="75"/>
      <c r="L139" s="75"/>
      <c r="M139" s="75"/>
      <c r="N139" s="75"/>
      <c r="O139" s="75"/>
      <c r="P139" s="75"/>
    </row>
    <row r="140" spans="1:16">
      <c r="A140" s="75"/>
      <c r="B140" s="75"/>
      <c r="C140" s="216" t="s">
        <v>1019</v>
      </c>
      <c r="D140" s="213"/>
      <c r="E140" s="214"/>
      <c r="F140" s="215"/>
      <c r="G140" s="212"/>
      <c r="H140" s="212"/>
      <c r="I140" s="212"/>
      <c r="J140" s="212"/>
      <c r="K140" s="212"/>
      <c r="L140" s="212"/>
      <c r="M140" s="212"/>
      <c r="N140" s="212"/>
      <c r="O140" s="212"/>
      <c r="P140" s="212"/>
    </row>
    <row r="141" spans="1:16">
      <c r="A141" s="75"/>
      <c r="B141" s="75"/>
      <c r="C141" s="75"/>
      <c r="D141" s="75"/>
      <c r="E141" s="75"/>
      <c r="F141" s="75"/>
      <c r="G141" s="75"/>
      <c r="H141" s="75"/>
      <c r="I141" s="75"/>
      <c r="J141" s="75"/>
      <c r="K141" s="75"/>
      <c r="L141" s="75"/>
      <c r="M141" s="75"/>
      <c r="N141" s="75"/>
      <c r="O141" s="75"/>
      <c r="P141" s="75"/>
    </row>
    <row r="142" spans="1:16">
      <c r="A142" s="75"/>
      <c r="B142" s="75"/>
      <c r="C142" s="38" t="s">
        <v>87</v>
      </c>
      <c r="D142" s="169"/>
      <c r="E142" s="75"/>
      <c r="F142" s="76" t="s">
        <v>48</v>
      </c>
      <c r="G142" s="146">
        <f>'3FS'!D54</f>
        <v>1298</v>
      </c>
      <c r="H142" s="146">
        <f>'3FS'!E54</f>
        <v>3240</v>
      </c>
      <c r="I142" s="146">
        <f>'3FS'!F54</f>
        <v>3134</v>
      </c>
      <c r="J142" s="146">
        <f>'3FS'!G54</f>
        <v>1905</v>
      </c>
      <c r="K142" s="146">
        <f>'3FS'!H54</f>
        <v>2665</v>
      </c>
      <c r="L142" s="82">
        <f>L143*L$12</f>
        <v>2757.7263630434791</v>
      </c>
      <c r="M142" s="82">
        <f t="shared" ref="M142:P142" si="147">M143*M$12</f>
        <v>3181.6218189568699</v>
      </c>
      <c r="N142" s="82">
        <f t="shared" si="147"/>
        <v>3682.3754870957014</v>
      </c>
      <c r="O142" s="82">
        <f t="shared" si="147"/>
        <v>4240.8200529247133</v>
      </c>
      <c r="P142" s="82">
        <f t="shared" si="147"/>
        <v>4857.6010029813742</v>
      </c>
    </row>
    <row r="143" spans="1:16">
      <c r="A143" s="75"/>
      <c r="B143" s="75"/>
      <c r="C143" s="101" t="s">
        <v>965</v>
      </c>
      <c r="D143" s="101"/>
      <c r="E143" s="101"/>
      <c r="F143" s="101"/>
      <c r="G143" s="102">
        <f>G142/G$12</f>
        <v>2.7675906183368868</v>
      </c>
      <c r="H143" s="102">
        <f t="shared" ref="H143:K143" si="148">H142/H$12</f>
        <v>4.8</v>
      </c>
      <c r="I143" s="102">
        <f t="shared" si="148"/>
        <v>2.18702023726448</v>
      </c>
      <c r="J143" s="102">
        <f t="shared" si="148"/>
        <v>0.80754557015684614</v>
      </c>
      <c r="K143" s="102">
        <f t="shared" si="148"/>
        <v>0.95280657847693961</v>
      </c>
      <c r="L143" s="105">
        <v>0.8</v>
      </c>
      <c r="M143" s="105">
        <f>L143-5%</f>
        <v>0.75</v>
      </c>
      <c r="N143" s="105">
        <f t="shared" ref="N143:P143" si="149">M143-5%</f>
        <v>0.7</v>
      </c>
      <c r="O143" s="105">
        <f t="shared" si="149"/>
        <v>0.64999999999999991</v>
      </c>
      <c r="P143" s="105">
        <f t="shared" si="149"/>
        <v>0.59999999999999987</v>
      </c>
    </row>
    <row r="144" spans="1:16">
      <c r="A144" s="75"/>
      <c r="B144" s="75"/>
      <c r="C144" s="75"/>
      <c r="D144" s="75"/>
      <c r="E144" s="75"/>
      <c r="F144" s="75"/>
      <c r="G144" s="75"/>
      <c r="H144" s="75"/>
      <c r="I144" s="75"/>
      <c r="J144" s="75"/>
      <c r="K144" s="75"/>
      <c r="L144" s="75"/>
      <c r="M144" s="75"/>
      <c r="N144" s="75"/>
      <c r="O144" s="75"/>
      <c r="P144" s="75"/>
    </row>
    <row r="145" spans="1:16">
      <c r="A145" s="75"/>
      <c r="B145" s="75"/>
      <c r="C145" s="38" t="s">
        <v>90</v>
      </c>
      <c r="D145" s="169"/>
      <c r="E145" s="75"/>
      <c r="F145" s="76" t="s">
        <v>48</v>
      </c>
      <c r="G145" s="146">
        <f>'3FS'!D57</f>
        <v>0</v>
      </c>
      <c r="H145" s="146">
        <f>'3FS'!E57</f>
        <v>0</v>
      </c>
      <c r="I145" s="146">
        <f>'3FS'!F57</f>
        <v>185</v>
      </c>
      <c r="J145" s="146">
        <f>'3FS'!G57</f>
        <v>272</v>
      </c>
      <c r="K145" s="146">
        <f>'3FS'!H57</f>
        <v>431</v>
      </c>
      <c r="L145" s="82">
        <f>L146*L$12</f>
        <v>397.46797941279476</v>
      </c>
      <c r="M145" s="82">
        <f t="shared" ref="M145:P145" si="150">M146*M$12</f>
        <v>489.1344551399003</v>
      </c>
      <c r="N145" s="82">
        <f t="shared" si="150"/>
        <v>606.55612698481855</v>
      </c>
      <c r="O145" s="82">
        <f t="shared" si="150"/>
        <v>752.27642377508209</v>
      </c>
      <c r="P145" s="82">
        <f t="shared" si="150"/>
        <v>933.49404607244173</v>
      </c>
    </row>
    <row r="146" spans="1:16">
      <c r="A146" s="75"/>
      <c r="B146" s="75"/>
      <c r="C146" s="101" t="s">
        <v>965</v>
      </c>
      <c r="D146" s="101"/>
      <c r="E146" s="101"/>
      <c r="F146" s="101"/>
      <c r="G146" s="102">
        <f>G145/G$12</f>
        <v>0</v>
      </c>
      <c r="H146" s="102">
        <f t="shared" ref="H146:K146" si="151">H145/H$12</f>
        <v>0</v>
      </c>
      <c r="I146" s="102">
        <f t="shared" si="151"/>
        <v>0.12909979064898813</v>
      </c>
      <c r="J146" s="102">
        <f t="shared" si="151"/>
        <v>0.11530309453158118</v>
      </c>
      <c r="K146" s="102">
        <f t="shared" si="151"/>
        <v>0.15409367179120487</v>
      </c>
      <c r="L146" s="105">
        <f>MEDIAN(G146:K146)</f>
        <v>0.11530309453158118</v>
      </c>
      <c r="M146" s="105">
        <f>L146</f>
        <v>0.11530309453158118</v>
      </c>
      <c r="N146" s="105">
        <f t="shared" ref="N146:P146" si="152">M146</f>
        <v>0.11530309453158118</v>
      </c>
      <c r="O146" s="105">
        <f t="shared" si="152"/>
        <v>0.11530309453158118</v>
      </c>
      <c r="P146" s="105">
        <f t="shared" si="152"/>
        <v>0.11530309453158118</v>
      </c>
    </row>
    <row r="147" spans="1:16">
      <c r="A147" s="75"/>
      <c r="B147" s="75"/>
      <c r="C147" s="75"/>
      <c r="D147" s="75"/>
      <c r="E147" s="75"/>
      <c r="F147" s="75"/>
      <c r="G147" s="75"/>
      <c r="H147" s="75"/>
      <c r="I147" s="75"/>
      <c r="J147" s="75"/>
      <c r="K147" s="75"/>
      <c r="L147" s="75"/>
      <c r="M147" s="75"/>
      <c r="N147" s="75"/>
      <c r="O147" s="75"/>
      <c r="P147" s="75"/>
    </row>
    <row r="148" spans="1:16">
      <c r="A148" s="75"/>
      <c r="B148" s="75"/>
      <c r="C148" s="216" t="s">
        <v>1020</v>
      </c>
      <c r="D148" s="213"/>
      <c r="E148" s="214"/>
      <c r="F148" s="215"/>
      <c r="G148" s="212"/>
      <c r="H148" s="212"/>
      <c r="I148" s="212"/>
      <c r="J148" s="212"/>
      <c r="K148" s="212"/>
      <c r="L148" s="212"/>
      <c r="M148" s="212"/>
      <c r="N148" s="212"/>
      <c r="O148" s="212"/>
      <c r="P148" s="212"/>
    </row>
    <row r="149" spans="1:16">
      <c r="A149" s="75"/>
      <c r="B149" s="75"/>
      <c r="C149" s="75"/>
      <c r="D149" s="75"/>
      <c r="E149" s="75"/>
      <c r="F149" s="75"/>
      <c r="G149" s="75"/>
      <c r="H149" s="75"/>
      <c r="I149" s="75"/>
      <c r="J149" s="75"/>
      <c r="K149" s="75"/>
      <c r="L149" s="75"/>
      <c r="M149" s="75"/>
      <c r="N149" s="75"/>
      <c r="O149" s="75"/>
      <c r="P149" s="75"/>
    </row>
    <row r="150" spans="1:16">
      <c r="A150" s="75"/>
      <c r="B150" s="75"/>
      <c r="C150" s="38" t="s">
        <v>96</v>
      </c>
      <c r="D150" s="169"/>
      <c r="E150" s="75"/>
      <c r="F150" s="76" t="s">
        <v>48</v>
      </c>
      <c r="G150" s="146">
        <f>'3FS'!D64</f>
        <v>9</v>
      </c>
      <c r="H150" s="146">
        <f>'3FS'!E64</f>
        <v>14</v>
      </c>
      <c r="I150" s="146">
        <f>'3FS'!F64</f>
        <v>107</v>
      </c>
      <c r="J150" s="146">
        <f>'3FS'!G64</f>
        <v>102</v>
      </c>
      <c r="K150" s="146">
        <f>'3FS'!H64</f>
        <v>131</v>
      </c>
      <c r="L150" s="82">
        <f>L151*L$12</f>
        <v>149.05049227979805</v>
      </c>
      <c r="M150" s="82">
        <f t="shared" ref="M150:P150" si="153">M151*M$12</f>
        <v>183.42542067746263</v>
      </c>
      <c r="N150" s="82">
        <f t="shared" si="153"/>
        <v>227.45854761930696</v>
      </c>
      <c r="O150" s="82">
        <f t="shared" si="153"/>
        <v>282.10365891565579</v>
      </c>
      <c r="P150" s="82">
        <f t="shared" si="153"/>
        <v>350.06026727716562</v>
      </c>
    </row>
    <row r="151" spans="1:16">
      <c r="A151" s="75"/>
      <c r="B151" s="75"/>
      <c r="C151" s="101" t="s">
        <v>965</v>
      </c>
      <c r="D151" s="101"/>
      <c r="E151" s="101"/>
      <c r="F151" s="101"/>
      <c r="G151" s="102">
        <f>G150/G$12</f>
        <v>1.9189765458422176E-2</v>
      </c>
      <c r="H151" s="102">
        <f t="shared" ref="H151:K151" si="154">H150/H$12</f>
        <v>2.074074074074074E-2</v>
      </c>
      <c r="I151" s="102">
        <f t="shared" si="154"/>
        <v>7.4668527564549891E-2</v>
      </c>
      <c r="J151" s="102">
        <f t="shared" si="154"/>
        <v>4.3238660449342943E-2</v>
      </c>
      <c r="K151" s="102">
        <f t="shared" si="154"/>
        <v>4.6835895602431177E-2</v>
      </c>
      <c r="L151" s="105">
        <f>MEDIAN(G151:K151)</f>
        <v>4.3238660449342943E-2</v>
      </c>
      <c r="M151" s="105">
        <f>L151</f>
        <v>4.3238660449342943E-2</v>
      </c>
      <c r="N151" s="105">
        <f t="shared" ref="N151:P151" si="155">M151</f>
        <v>4.3238660449342943E-2</v>
      </c>
      <c r="O151" s="105">
        <f t="shared" si="155"/>
        <v>4.3238660449342943E-2</v>
      </c>
      <c r="P151" s="105">
        <f t="shared" si="155"/>
        <v>4.3238660449342943E-2</v>
      </c>
    </row>
    <row r="152" spans="1:16">
      <c r="A152" s="75"/>
      <c r="B152" s="75"/>
      <c r="C152" s="75"/>
      <c r="D152" s="75"/>
      <c r="E152" s="75"/>
      <c r="F152" s="75"/>
      <c r="G152" s="75"/>
      <c r="H152" s="75"/>
      <c r="I152" s="75"/>
      <c r="J152" s="75"/>
      <c r="K152" s="75"/>
      <c r="L152" s="75"/>
      <c r="M152" s="75"/>
      <c r="N152" s="75"/>
      <c r="O152" s="75"/>
      <c r="P152" s="75"/>
    </row>
    <row r="153" spans="1:16">
      <c r="A153" s="75"/>
      <c r="B153" s="75"/>
      <c r="C153" s="38" t="s">
        <v>87</v>
      </c>
      <c r="D153" s="169"/>
      <c r="E153" s="75"/>
      <c r="F153" s="76" t="s">
        <v>48</v>
      </c>
      <c r="G153" s="146">
        <f>'3FS'!D65</f>
        <v>377</v>
      </c>
      <c r="H153" s="146">
        <f>'3FS'!E65</f>
        <v>1241</v>
      </c>
      <c r="I153" s="146">
        <f>'3FS'!F65</f>
        <v>1742</v>
      </c>
      <c r="J153" s="146">
        <f>'3FS'!G65</f>
        <v>1188</v>
      </c>
      <c r="K153" s="146">
        <f>'3FS'!H65</f>
        <v>765</v>
      </c>
      <c r="L153" s="82">
        <f>L154*L$12</f>
        <v>942.82296555606968</v>
      </c>
      <c r="M153" s="82">
        <f t="shared" ref="M153:P153" si="156">M154*M$12</f>
        <v>1160.2625153149829</v>
      </c>
      <c r="N153" s="82">
        <f t="shared" si="156"/>
        <v>1438.7952641239142</v>
      </c>
      <c r="O153" s="82">
        <f t="shared" si="156"/>
        <v>1784.4544102128136</v>
      </c>
      <c r="P153" s="82">
        <f t="shared" si="156"/>
        <v>2214.31579506659</v>
      </c>
    </row>
    <row r="154" spans="1:16">
      <c r="A154" s="75"/>
      <c r="B154" s="75"/>
      <c r="C154" s="101" t="s">
        <v>965</v>
      </c>
      <c r="D154" s="101"/>
      <c r="E154" s="101"/>
      <c r="F154" s="101"/>
      <c r="G154" s="102">
        <f>G153/G$12</f>
        <v>0.80383795309168449</v>
      </c>
      <c r="H154" s="102">
        <f t="shared" ref="H154:K154" si="157">H153/H$12</f>
        <v>1.8385185185185184</v>
      </c>
      <c r="I154" s="102">
        <f t="shared" si="157"/>
        <v>1.2156315422191206</v>
      </c>
      <c r="J154" s="102">
        <f t="shared" si="157"/>
        <v>0.50360322170411187</v>
      </c>
      <c r="K154" s="102">
        <f t="shared" si="157"/>
        <v>0.27350732928137289</v>
      </c>
      <c r="L154" s="105">
        <f>K154</f>
        <v>0.27350732928137289</v>
      </c>
      <c r="M154" s="105">
        <f>L154</f>
        <v>0.27350732928137289</v>
      </c>
      <c r="N154" s="105">
        <f t="shared" ref="N154:P154" si="158">M154</f>
        <v>0.27350732928137289</v>
      </c>
      <c r="O154" s="105">
        <f t="shared" si="158"/>
        <v>0.27350732928137289</v>
      </c>
      <c r="P154" s="105">
        <f t="shared" si="158"/>
        <v>0.27350732928137289</v>
      </c>
    </row>
    <row r="155" spans="1:16">
      <c r="A155" s="75"/>
      <c r="B155" s="75"/>
      <c r="C155" s="75"/>
      <c r="D155" s="75"/>
      <c r="E155" s="75"/>
      <c r="F155" s="75"/>
      <c r="G155" s="75"/>
      <c r="H155" s="75"/>
      <c r="I155" s="75"/>
      <c r="J155" s="75"/>
      <c r="K155" s="75"/>
      <c r="L155" s="75"/>
      <c r="M155" s="75"/>
      <c r="N155" s="75"/>
      <c r="O155" s="75"/>
      <c r="P155" s="75"/>
    </row>
    <row r="156" spans="1:16">
      <c r="A156" s="75"/>
      <c r="B156" s="75"/>
      <c r="C156" s="38" t="s">
        <v>97</v>
      </c>
      <c r="D156" s="169"/>
      <c r="E156" s="75"/>
      <c r="F156" s="76" t="s">
        <v>48</v>
      </c>
      <c r="G156" s="146">
        <f>'3FS'!D66</f>
        <v>0</v>
      </c>
      <c r="H156" s="146">
        <f>'3FS'!E66</f>
        <v>5</v>
      </c>
      <c r="I156" s="146">
        <f>'3FS'!F66</f>
        <v>20</v>
      </c>
      <c r="J156" s="146">
        <f>'3FS'!G66</f>
        <v>56</v>
      </c>
      <c r="K156" s="146">
        <f>'3FS'!H66</f>
        <v>67</v>
      </c>
      <c r="L156" s="82">
        <f>L157*L$12</f>
        <v>48.111067045420079</v>
      </c>
      <c r="M156" s="82">
        <f t="shared" ref="M156:P156" si="159">M157*M$12</f>
        <v>59.206733081309508</v>
      </c>
      <c r="N156" s="82">
        <f t="shared" si="159"/>
        <v>73.419908027030246</v>
      </c>
      <c r="O156" s="82">
        <f t="shared" si="159"/>
        <v>91.058458380475898</v>
      </c>
      <c r="P156" s="82">
        <f t="shared" si="159"/>
        <v>112.99374280021807</v>
      </c>
    </row>
    <row r="157" spans="1:16">
      <c r="A157" s="75"/>
      <c r="B157" s="75"/>
      <c r="C157" s="101" t="s">
        <v>965</v>
      </c>
      <c r="D157" s="101"/>
      <c r="E157" s="101"/>
      <c r="F157" s="101"/>
      <c r="G157" s="102">
        <f>G156/G$12</f>
        <v>0</v>
      </c>
      <c r="H157" s="102">
        <f t="shared" ref="H157:K157" si="160">H156/H$12</f>
        <v>7.4074074074074077E-3</v>
      </c>
      <c r="I157" s="102">
        <f t="shared" si="160"/>
        <v>1.3956734124214934E-2</v>
      </c>
      <c r="J157" s="102">
        <f t="shared" si="160"/>
        <v>2.3738872403560832E-2</v>
      </c>
      <c r="K157" s="102">
        <f t="shared" si="160"/>
        <v>2.3954236682159458E-2</v>
      </c>
      <c r="L157" s="105">
        <f>MEDIAN(G157:K157)</f>
        <v>1.3956734124214934E-2</v>
      </c>
      <c r="M157" s="105">
        <f>L157</f>
        <v>1.3956734124214934E-2</v>
      </c>
      <c r="N157" s="105">
        <f t="shared" ref="N157:P157" si="161">M157</f>
        <v>1.3956734124214934E-2</v>
      </c>
      <c r="O157" s="105">
        <f t="shared" si="161"/>
        <v>1.3956734124214934E-2</v>
      </c>
      <c r="P157" s="105">
        <f t="shared" si="161"/>
        <v>1.3956734124214934E-2</v>
      </c>
    </row>
    <row r="158" spans="1:16">
      <c r="A158" s="75"/>
      <c r="B158" s="75"/>
      <c r="C158" s="75"/>
      <c r="D158" s="75"/>
      <c r="E158" s="75"/>
      <c r="F158" s="75"/>
      <c r="G158" s="75"/>
      <c r="H158" s="75"/>
      <c r="I158" s="75"/>
      <c r="J158" s="75"/>
      <c r="K158" s="75"/>
      <c r="L158" s="75"/>
      <c r="M158" s="75"/>
      <c r="N158" s="75"/>
      <c r="O158" s="75"/>
      <c r="P158" s="75"/>
    </row>
    <row r="159" spans="1:16">
      <c r="A159" s="75"/>
      <c r="B159" s="75"/>
      <c r="C159" s="38" t="s">
        <v>90</v>
      </c>
      <c r="D159" s="169"/>
      <c r="E159" s="75"/>
      <c r="F159" s="76" t="s">
        <v>48</v>
      </c>
      <c r="G159" s="146">
        <f>'3FS'!D68</f>
        <v>0</v>
      </c>
      <c r="H159" s="146">
        <f>'3FS'!E68</f>
        <v>0</v>
      </c>
      <c r="I159" s="146">
        <f>'3FS'!F68</f>
        <v>0</v>
      </c>
      <c r="J159" s="146">
        <f>'3FS'!G68</f>
        <v>54</v>
      </c>
      <c r="K159" s="146">
        <f>'3FS'!H68</f>
        <v>105</v>
      </c>
      <c r="L159" s="82">
        <f>L160*L$12</f>
        <v>0</v>
      </c>
      <c r="M159" s="82">
        <f t="shared" ref="M159:P159" si="162">M160*M$12</f>
        <v>0</v>
      </c>
      <c r="N159" s="82">
        <f t="shared" si="162"/>
        <v>0</v>
      </c>
      <c r="O159" s="82">
        <f t="shared" si="162"/>
        <v>0</v>
      </c>
      <c r="P159" s="82">
        <f t="shared" si="162"/>
        <v>0</v>
      </c>
    </row>
    <row r="160" spans="1:16">
      <c r="A160" s="75"/>
      <c r="B160" s="75"/>
      <c r="C160" s="101" t="s">
        <v>965</v>
      </c>
      <c r="D160" s="101"/>
      <c r="E160" s="101"/>
      <c r="F160" s="101"/>
      <c r="G160" s="102">
        <f>G159/G$12</f>
        <v>0</v>
      </c>
      <c r="H160" s="102">
        <f t="shared" ref="H160:K160" si="163">H159/H$12</f>
        <v>0</v>
      </c>
      <c r="I160" s="102">
        <f t="shared" si="163"/>
        <v>0</v>
      </c>
      <c r="J160" s="102">
        <f t="shared" si="163"/>
        <v>2.2891055532005086E-2</v>
      </c>
      <c r="K160" s="102">
        <f t="shared" si="163"/>
        <v>3.7540221666070787E-2</v>
      </c>
      <c r="L160" s="105">
        <f>MEDIAN(G160:K160)</f>
        <v>0</v>
      </c>
      <c r="M160" s="105">
        <f>L160</f>
        <v>0</v>
      </c>
      <c r="N160" s="105">
        <f t="shared" ref="N160:P160" si="164">M160</f>
        <v>0</v>
      </c>
      <c r="O160" s="105">
        <f t="shared" si="164"/>
        <v>0</v>
      </c>
      <c r="P160" s="105">
        <f t="shared" si="164"/>
        <v>0</v>
      </c>
    </row>
    <row r="161" spans="1:16">
      <c r="A161" s="75"/>
      <c r="B161" s="75"/>
      <c r="C161" s="75"/>
      <c r="D161" s="75"/>
      <c r="E161" s="75"/>
      <c r="F161" s="75"/>
      <c r="G161" s="75"/>
      <c r="H161" s="75"/>
      <c r="I161" s="75"/>
      <c r="J161" s="75"/>
      <c r="K161" s="75"/>
      <c r="L161" s="75"/>
      <c r="M161" s="75"/>
      <c r="N161" s="75"/>
      <c r="O161" s="75"/>
      <c r="P161" s="75"/>
    </row>
    <row r="162" spans="1:16">
      <c r="A162" s="75"/>
      <c r="B162" s="75"/>
      <c r="C162" s="38" t="s">
        <v>88</v>
      </c>
      <c r="D162" s="169"/>
      <c r="E162" s="75"/>
      <c r="F162" s="76" t="s">
        <v>48</v>
      </c>
      <c r="G162" s="146">
        <f>'3FS'!D70</f>
        <v>4</v>
      </c>
      <c r="H162" s="146">
        <f>'3FS'!E70</f>
        <v>127</v>
      </c>
      <c r="I162" s="146">
        <f>'3FS'!F70</f>
        <v>217</v>
      </c>
      <c r="J162" s="146">
        <f>'3FS'!G70</f>
        <v>196</v>
      </c>
      <c r="K162" s="146">
        <f>'3FS'!H70</f>
        <v>119</v>
      </c>
      <c r="L162" s="82">
        <f>L163*L$12</f>
        <v>286.41074987098443</v>
      </c>
      <c r="M162" s="82">
        <f t="shared" ref="M162:P162" si="165">M163*M$12</f>
        <v>352.46453385081048</v>
      </c>
      <c r="N162" s="82">
        <f t="shared" si="165"/>
        <v>437.07720915082513</v>
      </c>
      <c r="O162" s="82">
        <f t="shared" si="165"/>
        <v>542.08154066145619</v>
      </c>
      <c r="P162" s="82">
        <f t="shared" si="165"/>
        <v>672.66482731690644</v>
      </c>
    </row>
    <row r="163" spans="1:16">
      <c r="A163" s="75"/>
      <c r="B163" s="75"/>
      <c r="C163" s="101" t="s">
        <v>965</v>
      </c>
      <c r="D163" s="101"/>
      <c r="E163" s="101"/>
      <c r="F163" s="101"/>
      <c r="G163" s="102">
        <f>G162/G$12</f>
        <v>8.5287846481876331E-3</v>
      </c>
      <c r="H163" s="102">
        <f t="shared" ref="H163:K163" si="166">H162/H$12</f>
        <v>0.18814814814814815</v>
      </c>
      <c r="I163" s="102">
        <f t="shared" si="166"/>
        <v>0.15143056524773202</v>
      </c>
      <c r="J163" s="102">
        <f t="shared" si="166"/>
        <v>8.3086053412462904E-2</v>
      </c>
      <c r="K163" s="102">
        <f t="shared" si="166"/>
        <v>4.2545584554880229E-2</v>
      </c>
      <c r="L163" s="105">
        <f>MEDIAN(G163:K163)</f>
        <v>8.3086053412462904E-2</v>
      </c>
      <c r="M163" s="105">
        <f>L163</f>
        <v>8.3086053412462904E-2</v>
      </c>
      <c r="N163" s="105">
        <f t="shared" ref="N163:P163" si="167">M163</f>
        <v>8.3086053412462904E-2</v>
      </c>
      <c r="O163" s="105">
        <f t="shared" si="167"/>
        <v>8.3086053412462904E-2</v>
      </c>
      <c r="P163" s="105">
        <f t="shared" si="167"/>
        <v>8.3086053412462904E-2</v>
      </c>
    </row>
    <row r="164" spans="1:16">
      <c r="A164" s="75"/>
      <c r="B164" s="75"/>
      <c r="C164" s="75"/>
      <c r="D164" s="75"/>
      <c r="E164" s="75"/>
      <c r="F164" s="75"/>
      <c r="G164" s="75"/>
      <c r="H164" s="75"/>
      <c r="I164" s="75"/>
      <c r="J164" s="75"/>
      <c r="K164" s="75"/>
      <c r="L164" s="75"/>
      <c r="M164" s="75"/>
      <c r="N164" s="75"/>
      <c r="O164" s="75"/>
      <c r="P164" s="75"/>
    </row>
    <row r="165" spans="1:16">
      <c r="A165" s="75"/>
      <c r="B165" s="75"/>
      <c r="C165" s="216" t="s">
        <v>1021</v>
      </c>
      <c r="D165" s="213"/>
      <c r="E165" s="214"/>
      <c r="F165" s="215"/>
      <c r="G165" s="212"/>
      <c r="H165" s="212"/>
      <c r="I165" s="212"/>
      <c r="J165" s="212"/>
      <c r="K165" s="212"/>
      <c r="L165" s="212"/>
      <c r="M165" s="212"/>
      <c r="N165" s="212"/>
      <c r="O165" s="212"/>
      <c r="P165" s="212"/>
    </row>
    <row r="166" spans="1:16">
      <c r="A166" s="75"/>
      <c r="B166" s="75"/>
      <c r="C166" s="75"/>
      <c r="D166" s="75"/>
      <c r="E166" s="75"/>
      <c r="F166" s="75"/>
      <c r="G166" s="75"/>
      <c r="H166" s="75"/>
      <c r="I166" s="75"/>
      <c r="J166" s="75"/>
      <c r="K166" s="75"/>
      <c r="L166" s="75"/>
      <c r="M166" s="75"/>
      <c r="N166" s="75"/>
      <c r="O166" s="75"/>
      <c r="P166" s="75"/>
    </row>
    <row r="167" spans="1:16">
      <c r="A167" s="75"/>
      <c r="B167" s="75"/>
      <c r="C167" s="38" t="s">
        <v>106</v>
      </c>
      <c r="D167" s="169"/>
      <c r="E167" s="75"/>
      <c r="F167" s="76" t="s">
        <v>48</v>
      </c>
      <c r="G167" s="146">
        <f>'3FS'!D79</f>
        <v>0</v>
      </c>
      <c r="H167" s="146">
        <f>'3FS'!E79</f>
        <v>3</v>
      </c>
      <c r="I167" s="146">
        <f>'3FS'!F79</f>
        <v>9</v>
      </c>
      <c r="J167" s="146">
        <f>'3FS'!G79</f>
        <v>15</v>
      </c>
      <c r="K167" s="146">
        <f>'3FS'!H79</f>
        <v>34</v>
      </c>
      <c r="L167" s="82">
        <f>L168*L$12</f>
        <v>21.649980170439036</v>
      </c>
      <c r="M167" s="82">
        <f t="shared" ref="M167:P167" si="168">M168*M$12</f>
        <v>26.643029886589282</v>
      </c>
      <c r="N167" s="82">
        <f t="shared" si="168"/>
        <v>33.038958612163611</v>
      </c>
      <c r="O167" s="82">
        <f t="shared" si="168"/>
        <v>40.976306271214156</v>
      </c>
      <c r="P167" s="82">
        <f t="shared" si="168"/>
        <v>50.847184260098132</v>
      </c>
    </row>
    <row r="168" spans="1:16">
      <c r="A168" s="75"/>
      <c r="B168" s="75"/>
      <c r="C168" s="101" t="s">
        <v>965</v>
      </c>
      <c r="D168" s="101"/>
      <c r="E168" s="101"/>
      <c r="F168" s="101"/>
      <c r="G168" s="102">
        <f>G167/G$12</f>
        <v>0</v>
      </c>
      <c r="H168" s="102">
        <f t="shared" ref="H168:K168" si="169">H167/H$12</f>
        <v>4.4444444444444444E-3</v>
      </c>
      <c r="I168" s="102">
        <f t="shared" si="169"/>
        <v>6.2805303558967204E-3</v>
      </c>
      <c r="J168" s="102">
        <f t="shared" si="169"/>
        <v>6.3586265366680798E-3</v>
      </c>
      <c r="K168" s="102">
        <f t="shared" si="169"/>
        <v>1.2155881301394351E-2</v>
      </c>
      <c r="L168" s="105">
        <f>MEDIAN(G168:K168)</f>
        <v>6.2805303558967204E-3</v>
      </c>
      <c r="M168" s="105">
        <f>L168</f>
        <v>6.2805303558967204E-3</v>
      </c>
      <c r="N168" s="105">
        <f t="shared" ref="N168:P168" si="170">M168</f>
        <v>6.2805303558967204E-3</v>
      </c>
      <c r="O168" s="105">
        <f t="shared" si="170"/>
        <v>6.2805303558967204E-3</v>
      </c>
      <c r="P168" s="105">
        <f t="shared" si="170"/>
        <v>6.2805303558967204E-3</v>
      </c>
    </row>
    <row r="169" spans="1:16">
      <c r="A169" s="75"/>
      <c r="B169" s="75"/>
      <c r="C169" s="75"/>
      <c r="D169" s="75"/>
      <c r="E169" s="75"/>
      <c r="F169" s="75"/>
      <c r="G169" s="75"/>
      <c r="H169" s="75"/>
      <c r="I169" s="75"/>
      <c r="J169" s="75"/>
      <c r="K169" s="75"/>
      <c r="L169" s="75"/>
      <c r="M169" s="75"/>
      <c r="N169" s="75"/>
      <c r="O169" s="75"/>
      <c r="P169" s="75"/>
    </row>
    <row r="170" spans="1:16">
      <c r="A170" s="75"/>
      <c r="B170" s="75"/>
      <c r="C170" s="216" t="s">
        <v>1022</v>
      </c>
      <c r="D170" s="213"/>
      <c r="E170" s="214"/>
      <c r="F170" s="215"/>
      <c r="G170" s="212"/>
      <c r="H170" s="212"/>
      <c r="I170" s="212"/>
      <c r="J170" s="212"/>
      <c r="K170" s="212"/>
      <c r="L170" s="212"/>
      <c r="M170" s="212"/>
      <c r="N170" s="212"/>
      <c r="O170" s="212"/>
      <c r="P170" s="212"/>
    </row>
    <row r="171" spans="1:16">
      <c r="A171" s="75"/>
      <c r="B171" s="75"/>
      <c r="C171" s="75"/>
      <c r="D171" s="75"/>
      <c r="E171" s="75"/>
      <c r="F171" s="75"/>
      <c r="G171" s="75"/>
      <c r="H171" s="75"/>
      <c r="I171" s="75"/>
      <c r="J171" s="75"/>
      <c r="K171" s="75"/>
      <c r="L171" s="75"/>
      <c r="M171" s="75"/>
      <c r="N171" s="75"/>
      <c r="O171" s="75"/>
      <c r="P171" s="75"/>
    </row>
    <row r="172" spans="1:16">
      <c r="A172" s="75"/>
      <c r="B172" s="75"/>
      <c r="C172" s="38" t="s">
        <v>112</v>
      </c>
      <c r="D172" s="169"/>
      <c r="E172" s="75"/>
      <c r="F172" s="76" t="s">
        <v>48</v>
      </c>
      <c r="G172" s="146">
        <f>'3FS'!D87</f>
        <v>1</v>
      </c>
      <c r="H172" s="146">
        <f>'3FS'!E87</f>
        <v>3</v>
      </c>
      <c r="I172" s="146">
        <f>'3FS'!F87</f>
        <v>18</v>
      </c>
      <c r="J172" s="146">
        <f>'3FS'!G87</f>
        <v>20</v>
      </c>
      <c r="K172" s="146">
        <f>'3FS'!H87</f>
        <v>25</v>
      </c>
      <c r="L172" s="82">
        <f>L173*L$12</f>
        <v>29.225586721529027</v>
      </c>
      <c r="M172" s="82">
        <f t="shared" ref="M172:P172" si="171">M173*M$12</f>
        <v>35.965768760286785</v>
      </c>
      <c r="N172" s="82">
        <f t="shared" si="171"/>
        <v>44.599715219471953</v>
      </c>
      <c r="O172" s="82">
        <f t="shared" si="171"/>
        <v>55.314442924638385</v>
      </c>
      <c r="P172" s="82">
        <f t="shared" si="171"/>
        <v>68.639268093561881</v>
      </c>
    </row>
    <row r="173" spans="1:16">
      <c r="A173" s="75"/>
      <c r="B173" s="75"/>
      <c r="C173" s="101" t="s">
        <v>965</v>
      </c>
      <c r="D173" s="101"/>
      <c r="E173" s="101"/>
      <c r="F173" s="101"/>
      <c r="G173" s="102">
        <f>G172/G$12</f>
        <v>2.1321961620469083E-3</v>
      </c>
      <c r="H173" s="102">
        <f t="shared" ref="H173:K173" si="172">H172/H$12</f>
        <v>4.4444444444444444E-3</v>
      </c>
      <c r="I173" s="102">
        <f t="shared" si="172"/>
        <v>1.2561060711793441E-2</v>
      </c>
      <c r="J173" s="102">
        <f t="shared" si="172"/>
        <v>8.4781687155574392E-3</v>
      </c>
      <c r="K173" s="102">
        <f t="shared" si="172"/>
        <v>8.9381480157311403E-3</v>
      </c>
      <c r="L173" s="105">
        <f>MEDIAN(G173:K173)</f>
        <v>8.4781687155574392E-3</v>
      </c>
      <c r="M173" s="105">
        <f>L173</f>
        <v>8.4781687155574392E-3</v>
      </c>
      <c r="N173" s="105">
        <f t="shared" ref="N173:P173" si="173">M173</f>
        <v>8.4781687155574392E-3</v>
      </c>
      <c r="O173" s="105">
        <f t="shared" si="173"/>
        <v>8.4781687155574392E-3</v>
      </c>
      <c r="P173" s="105">
        <f t="shared" si="173"/>
        <v>8.4781687155574392E-3</v>
      </c>
    </row>
    <row r="174" spans="1:16">
      <c r="A174" s="75"/>
      <c r="B174" s="75"/>
      <c r="C174" s="75"/>
      <c r="D174" s="75"/>
      <c r="E174" s="75"/>
      <c r="F174" s="75"/>
      <c r="G174" s="75"/>
      <c r="H174" s="75"/>
      <c r="I174" s="75"/>
      <c r="J174" s="75"/>
      <c r="K174" s="75"/>
      <c r="L174" s="75"/>
      <c r="M174" s="75"/>
      <c r="N174" s="75"/>
      <c r="O174" s="75"/>
      <c r="P174" s="75"/>
    </row>
    <row r="175" spans="1:16">
      <c r="B175" s="158"/>
      <c r="C175" s="38" t="s">
        <v>114</v>
      </c>
      <c r="D175" s="169"/>
      <c r="E175" s="75"/>
      <c r="F175" s="76" t="s">
        <v>48</v>
      </c>
      <c r="G175" s="146">
        <f>'3FS'!D89</f>
        <v>0</v>
      </c>
      <c r="H175" s="146">
        <f>'3FS'!E89</f>
        <v>81</v>
      </c>
      <c r="I175" s="146">
        <f>'3FS'!F89</f>
        <v>132</v>
      </c>
      <c r="J175" s="146">
        <f>'3FS'!G89</f>
        <v>140</v>
      </c>
      <c r="K175" s="146">
        <f>'3FS'!H89</f>
        <v>66</v>
      </c>
      <c r="L175" s="82">
        <f>L176*L$12</f>
        <v>204.57910705070321</v>
      </c>
      <c r="M175" s="82">
        <f t="shared" ref="M175:P175" si="174">M176*M$12</f>
        <v>251.76038132200753</v>
      </c>
      <c r="N175" s="82">
        <f t="shared" si="174"/>
        <v>312.19800653630369</v>
      </c>
      <c r="O175" s="82">
        <f t="shared" si="174"/>
        <v>387.20110047246874</v>
      </c>
      <c r="P175" s="82">
        <f t="shared" si="174"/>
        <v>480.47487665493327</v>
      </c>
    </row>
    <row r="176" spans="1:16">
      <c r="C176" s="101" t="s">
        <v>965</v>
      </c>
      <c r="D176" s="101"/>
      <c r="E176" s="101"/>
      <c r="F176" s="101"/>
      <c r="G176" s="102">
        <f>G175/G$12</f>
        <v>0</v>
      </c>
      <c r="H176" s="102">
        <f t="shared" ref="H176:K176" si="175">H175/H$12</f>
        <v>0.12</v>
      </c>
      <c r="I176" s="102">
        <f t="shared" si="175"/>
        <v>9.2114445219818569E-2</v>
      </c>
      <c r="J176" s="102">
        <f t="shared" si="175"/>
        <v>5.9347181008902079E-2</v>
      </c>
      <c r="K176" s="102">
        <f t="shared" si="175"/>
        <v>2.359671076153021E-2</v>
      </c>
      <c r="L176" s="105">
        <f>MEDIAN(G176:K176)</f>
        <v>5.9347181008902079E-2</v>
      </c>
      <c r="M176" s="105">
        <f>L176</f>
        <v>5.9347181008902079E-2</v>
      </c>
      <c r="N176" s="105">
        <f t="shared" ref="N176:P176" si="176">M176</f>
        <v>5.9347181008902079E-2</v>
      </c>
      <c r="O176" s="105">
        <f t="shared" si="176"/>
        <v>5.9347181008902079E-2</v>
      </c>
      <c r="P176" s="105">
        <f t="shared" si="176"/>
        <v>5.9347181008902079E-2</v>
      </c>
    </row>
    <row r="177" spans="3:16">
      <c r="C177" s="75"/>
      <c r="D177" s="75"/>
      <c r="E177" s="75"/>
      <c r="F177" s="75"/>
      <c r="G177" s="75"/>
      <c r="H177" s="75"/>
      <c r="I177" s="75"/>
      <c r="J177" s="75"/>
      <c r="K177" s="75"/>
      <c r="L177" s="75"/>
      <c r="M177" s="75"/>
      <c r="N177" s="75"/>
      <c r="O177" s="75"/>
      <c r="P177" s="75"/>
    </row>
    <row r="178" spans="3:16">
      <c r="C178" s="38" t="s">
        <v>107</v>
      </c>
      <c r="D178" s="169"/>
      <c r="E178" s="75"/>
      <c r="F178" s="76" t="s">
        <v>48</v>
      </c>
      <c r="G178" s="146">
        <f>'3FS'!D90</f>
        <v>3</v>
      </c>
      <c r="H178" s="146">
        <f>'3FS'!E90</f>
        <v>18</v>
      </c>
      <c r="I178" s="146">
        <f>'3FS'!F90</f>
        <v>18</v>
      </c>
      <c r="J178" s="146">
        <f>'3FS'!G90</f>
        <v>18</v>
      </c>
      <c r="K178" s="146">
        <f>'3FS'!H90</f>
        <v>20</v>
      </c>
      <c r="L178" s="82">
        <f>L179*L$12</f>
        <v>26.303028049376124</v>
      </c>
      <c r="M178" s="82">
        <f t="shared" ref="M178:P178" si="177">M179*M$12</f>
        <v>32.369191884258107</v>
      </c>
      <c r="N178" s="82">
        <f t="shared" si="177"/>
        <v>40.139743697524757</v>
      </c>
      <c r="O178" s="82">
        <f t="shared" si="177"/>
        <v>49.782998632174547</v>
      </c>
      <c r="P178" s="82">
        <f t="shared" si="177"/>
        <v>61.775341284205702</v>
      </c>
    </row>
    <row r="179" spans="3:16">
      <c r="C179" s="101" t="s">
        <v>965</v>
      </c>
      <c r="D179" s="101"/>
      <c r="E179" s="101"/>
      <c r="F179" s="101"/>
      <c r="G179" s="102">
        <f>G178/G$12</f>
        <v>6.3965884861407248E-3</v>
      </c>
      <c r="H179" s="102">
        <f t="shared" ref="H179:K179" si="178">H178/H$12</f>
        <v>2.6666666666666668E-2</v>
      </c>
      <c r="I179" s="102">
        <f t="shared" si="178"/>
        <v>1.2561060711793441E-2</v>
      </c>
      <c r="J179" s="102">
        <f t="shared" si="178"/>
        <v>7.6303518440016954E-3</v>
      </c>
      <c r="K179" s="102">
        <f t="shared" si="178"/>
        <v>7.1505184125849122E-3</v>
      </c>
      <c r="L179" s="105">
        <f>MEDIAN(G179:K179)</f>
        <v>7.6303518440016954E-3</v>
      </c>
      <c r="M179" s="105">
        <f>L179</f>
        <v>7.6303518440016954E-3</v>
      </c>
      <c r="N179" s="105">
        <f t="shared" ref="N179:P179" si="179">M179</f>
        <v>7.6303518440016954E-3</v>
      </c>
      <c r="O179" s="105">
        <f t="shared" si="179"/>
        <v>7.6303518440016954E-3</v>
      </c>
      <c r="P179" s="105">
        <f t="shared" si="179"/>
        <v>7.6303518440016954E-3</v>
      </c>
    </row>
    <row r="180" spans="3:16">
      <c r="C180" s="75"/>
      <c r="D180" s="75"/>
      <c r="E180" s="75"/>
      <c r="F180" s="75"/>
      <c r="G180" s="75"/>
      <c r="H180" s="75"/>
      <c r="I180" s="75"/>
      <c r="J180" s="75"/>
      <c r="K180" s="75"/>
      <c r="L180" s="75"/>
      <c r="M180" s="75"/>
      <c r="N180" s="75"/>
      <c r="O180" s="75"/>
      <c r="P180" s="75"/>
    </row>
  </sheetData>
  <dataValidations count="1">
    <dataValidation type="list" allowBlank="1" showInputMessage="1" showErrorMessage="1" sqref="F4" xr:uid="{D9211C30-4952-4970-AD17-8B3273CA999B}">
      <formula1>"Bear Case, Base Case, Bull Case"</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9A57E-0919-471B-B1F6-88661A51DF3D}">
  <dimension ref="A1:Q181"/>
  <sheetViews>
    <sheetView showGridLines="0" topLeftCell="A17" zoomScale="118" zoomScaleNormal="100" workbookViewId="0">
      <selection activeCell="R28" sqref="R28"/>
    </sheetView>
  </sheetViews>
  <sheetFormatPr baseColWidth="10" defaultColWidth="8.5" defaultRowHeight="16"/>
  <cols>
    <col min="1" max="2" width="2.5" style="38" customWidth="1"/>
    <col min="3" max="3" width="79.5" style="38" customWidth="1"/>
    <col min="4" max="6" width="10.5" style="38" customWidth="1"/>
    <col min="7" max="16" width="15.5" style="38" customWidth="1"/>
    <col min="17" max="16384" width="8.5" style="38"/>
  </cols>
  <sheetData>
    <row r="1" spans="1:17" s="64" customFormat="1" ht="35">
      <c r="C1" s="1" t="str">
        <f>Cover!$C$7&amp;" ("&amp;Cover!$C$8&amp;": "&amp;Cover!$C$9&amp;")"</f>
        <v>Grab Holdings Limited (NASDAQ: GRAB)</v>
      </c>
      <c r="D1" s="1"/>
      <c r="E1" s="91"/>
      <c r="F1" s="92"/>
      <c r="G1" s="92"/>
      <c r="H1" s="92"/>
      <c r="I1" s="92"/>
      <c r="J1" s="92"/>
      <c r="K1" s="92"/>
      <c r="L1" s="92"/>
      <c r="M1" s="92"/>
      <c r="N1" s="92"/>
      <c r="O1" s="92"/>
      <c r="P1" s="92"/>
    </row>
    <row r="2" spans="1:17" s="64" customFormat="1">
      <c r="C2" s="92"/>
      <c r="D2" s="92"/>
      <c r="E2" s="92"/>
      <c r="F2" s="92"/>
      <c r="G2" s="92"/>
      <c r="H2" s="92"/>
      <c r="I2" s="92"/>
      <c r="J2" s="92"/>
      <c r="K2" s="92"/>
      <c r="L2" s="92"/>
      <c r="M2" s="92"/>
      <c r="N2" s="92"/>
      <c r="O2" s="92"/>
      <c r="P2" s="92"/>
    </row>
    <row r="3" spans="1:17" s="64" customFormat="1">
      <c r="C3" s="372" t="s">
        <v>42</v>
      </c>
      <c r="D3" s="373"/>
      <c r="E3" s="373"/>
      <c r="F3" s="652">
        <f ca="1">Cover!$C$18</f>
        <v>7.2080318777471293</v>
      </c>
      <c r="G3" s="94"/>
      <c r="H3" s="94"/>
      <c r="I3" s="94"/>
      <c r="J3" s="94"/>
      <c r="K3" s="94"/>
      <c r="L3" s="94"/>
      <c r="M3" s="94"/>
      <c r="N3" s="94"/>
      <c r="O3" s="94"/>
      <c r="P3" s="94"/>
    </row>
    <row r="4" spans="1:17" s="64" customFormat="1">
      <c r="C4" s="374" t="s">
        <v>10</v>
      </c>
      <c r="D4" s="375"/>
      <c r="E4" s="375"/>
      <c r="F4" s="376" t="str">
        <f>Cover!$C$11</f>
        <v>Base Case</v>
      </c>
      <c r="G4" s="93"/>
      <c r="H4" s="94"/>
      <c r="I4" s="94"/>
      <c r="J4" s="94"/>
      <c r="K4" s="94"/>
      <c r="L4" s="94"/>
      <c r="M4" s="94"/>
      <c r="N4" s="94"/>
      <c r="O4" s="94"/>
      <c r="P4" s="94"/>
    </row>
    <row r="5" spans="1:17" s="64" customFormat="1" ht="19">
      <c r="C5" s="93"/>
      <c r="D5" s="93"/>
      <c r="E5" s="93"/>
      <c r="F5" s="94"/>
      <c r="G5" s="95" t="s">
        <v>43</v>
      </c>
      <c r="H5" s="95"/>
      <c r="I5" s="95"/>
      <c r="J5" s="95"/>
      <c r="K5" s="95"/>
      <c r="L5" s="95" t="s">
        <v>44</v>
      </c>
      <c r="M5" s="95"/>
      <c r="N5" s="95"/>
      <c r="O5" s="95"/>
      <c r="P5" s="95"/>
    </row>
    <row r="6" spans="1:17" s="64" customFormat="1" ht="19">
      <c r="C6" s="147" t="str">
        <f>"In "&amp;Cover!$C$10&amp;", unless stated otherwise"</f>
        <v>In USD Mn, unless stated otherwise</v>
      </c>
      <c r="D6" s="147"/>
      <c r="E6" s="65"/>
      <c r="F6" s="96" t="s">
        <v>45</v>
      </c>
      <c r="G6" s="52">
        <v>20</v>
      </c>
      <c r="H6" s="52">
        <f>G6+1</f>
        <v>21</v>
      </c>
      <c r="I6" s="52">
        <f t="shared" ref="I6:P6" si="0">H6+1</f>
        <v>22</v>
      </c>
      <c r="J6" s="52">
        <f t="shared" si="0"/>
        <v>23</v>
      </c>
      <c r="K6" s="52">
        <f t="shared" si="0"/>
        <v>24</v>
      </c>
      <c r="L6" s="53">
        <f t="shared" si="0"/>
        <v>25</v>
      </c>
      <c r="M6" s="53">
        <f t="shared" si="0"/>
        <v>26</v>
      </c>
      <c r="N6" s="53">
        <f t="shared" si="0"/>
        <v>27</v>
      </c>
      <c r="O6" s="53">
        <f t="shared" si="0"/>
        <v>28</v>
      </c>
      <c r="P6" s="53">
        <f t="shared" si="0"/>
        <v>29</v>
      </c>
      <c r="Q6" s="116" t="s">
        <v>46</v>
      </c>
    </row>
    <row r="10" spans="1:17" ht="17">
      <c r="A10" s="185">
        <v>1</v>
      </c>
      <c r="B10" s="819"/>
      <c r="C10" s="186" t="s">
        <v>969</v>
      </c>
      <c r="D10" s="186"/>
      <c r="E10" s="186"/>
      <c r="F10" s="185"/>
      <c r="G10" s="187"/>
      <c r="H10" s="187"/>
      <c r="I10" s="187"/>
      <c r="J10" s="187"/>
      <c r="K10" s="187"/>
      <c r="L10" s="188"/>
      <c r="M10" s="188"/>
      <c r="N10" s="188"/>
      <c r="O10" s="188"/>
      <c r="P10" s="188"/>
    </row>
    <row r="11" spans="1:17">
      <c r="A11" s="197"/>
      <c r="B11" s="820"/>
      <c r="C11" s="820"/>
      <c r="D11" s="820"/>
      <c r="E11" s="820"/>
      <c r="F11" s="197"/>
      <c r="G11" s="820"/>
      <c r="H11" s="820"/>
      <c r="I11" s="820"/>
      <c r="J11" s="820"/>
      <c r="K11" s="820"/>
      <c r="L11" s="821"/>
      <c r="M11" s="821"/>
      <c r="N11" s="821"/>
      <c r="O11" s="821"/>
      <c r="P11" s="821"/>
    </row>
    <row r="12" spans="1:17">
      <c r="A12" s="176"/>
      <c r="B12" s="210"/>
      <c r="C12" s="224" t="s">
        <v>1023</v>
      </c>
      <c r="D12" s="225"/>
      <c r="E12" s="225"/>
      <c r="F12" s="226"/>
      <c r="G12" s="227">
        <f>'3FS'!D63</f>
        <v>384</v>
      </c>
      <c r="H12" s="227">
        <f>'3FS'!E63</f>
        <v>441</v>
      </c>
      <c r="I12" s="227">
        <f>'3FS'!F63</f>
        <v>492</v>
      </c>
      <c r="J12" s="227">
        <f>'3FS'!G63</f>
        <v>512</v>
      </c>
      <c r="K12" s="227">
        <f>'3FS'!H63</f>
        <v>567</v>
      </c>
      <c r="L12" s="228">
        <f>L26+K12+L88</f>
        <v>553.5658836224585</v>
      </c>
      <c r="M12" s="228">
        <f t="shared" ref="M12:P12" si="1">M26+L12+M88</f>
        <v>547.11344424725371</v>
      </c>
      <c r="N12" s="228">
        <f t="shared" si="1"/>
        <v>550.96527656198373</v>
      </c>
      <c r="O12" s="228">
        <f t="shared" si="1"/>
        <v>586.0944301877455</v>
      </c>
      <c r="P12" s="822">
        <f t="shared" si="1"/>
        <v>703.86684063436519</v>
      </c>
    </row>
    <row r="13" spans="1:17">
      <c r="A13" s="176"/>
      <c r="B13" s="210"/>
      <c r="C13" s="180" t="s">
        <v>307</v>
      </c>
      <c r="D13" s="180"/>
      <c r="E13" s="180"/>
      <c r="F13" s="181"/>
      <c r="G13" s="194"/>
      <c r="H13" s="194">
        <f t="shared" ref="H13:P13" si="2">H12/G12-1</f>
        <v>0.1484375</v>
      </c>
      <c r="I13" s="194">
        <f t="shared" si="2"/>
        <v>0.11564625850340127</v>
      </c>
      <c r="J13" s="194">
        <f t="shared" si="2"/>
        <v>4.0650406504065151E-2</v>
      </c>
      <c r="K13" s="194">
        <f t="shared" si="2"/>
        <v>0.107421875</v>
      </c>
      <c r="L13" s="194">
        <f t="shared" si="2"/>
        <v>-2.3693326944517645E-2</v>
      </c>
      <c r="M13" s="194">
        <f t="shared" si="2"/>
        <v>-1.1656136272309436E-2</v>
      </c>
      <c r="N13" s="194">
        <f t="shared" si="2"/>
        <v>7.0402808690426255E-3</v>
      </c>
      <c r="O13" s="194">
        <f t="shared" si="2"/>
        <v>6.3759287781196106E-2</v>
      </c>
      <c r="P13" s="194">
        <f t="shared" si="2"/>
        <v>0.20094442871414642</v>
      </c>
    </row>
    <row r="14" spans="1:17">
      <c r="A14" s="176"/>
      <c r="B14" s="210"/>
      <c r="C14" s="180"/>
      <c r="D14" s="180"/>
      <c r="E14" s="180"/>
      <c r="F14" s="181"/>
      <c r="G14" s="823"/>
      <c r="H14" s="823"/>
      <c r="I14" s="823"/>
      <c r="J14" s="823"/>
      <c r="K14" s="823"/>
      <c r="L14" s="823"/>
      <c r="M14" s="823"/>
      <c r="N14" s="823"/>
      <c r="O14" s="823"/>
      <c r="P14" s="823"/>
    </row>
    <row r="15" spans="1:17" ht="17">
      <c r="A15" s="176" t="s">
        <v>57</v>
      </c>
      <c r="B15" s="210"/>
      <c r="C15" s="737" t="s">
        <v>29</v>
      </c>
      <c r="D15" s="824"/>
      <c r="E15" s="825"/>
      <c r="F15" s="826"/>
      <c r="G15" s="827"/>
      <c r="H15" s="827"/>
      <c r="I15" s="827"/>
      <c r="J15" s="827"/>
      <c r="K15" s="827"/>
      <c r="L15" s="824"/>
      <c r="M15" s="824"/>
      <c r="N15" s="824"/>
      <c r="O15" s="824"/>
      <c r="P15" s="824"/>
    </row>
    <row r="16" spans="1:17" ht="17">
      <c r="A16" s="434"/>
      <c r="B16" s="434"/>
      <c r="C16" s="434"/>
      <c r="D16" s="434"/>
      <c r="E16" s="434"/>
      <c r="F16" s="434"/>
      <c r="G16" s="434"/>
      <c r="H16" s="434"/>
      <c r="I16" s="434"/>
      <c r="J16" s="434"/>
      <c r="K16" s="828"/>
      <c r="L16" s="829"/>
      <c r="M16" s="434"/>
      <c r="N16" s="434"/>
      <c r="O16" s="434"/>
      <c r="P16" s="434"/>
    </row>
    <row r="17" spans="1:16" ht="19">
      <c r="A17" s="176"/>
      <c r="B17" s="210"/>
      <c r="C17" s="237" t="s">
        <v>970</v>
      </c>
      <c r="D17" s="238" t="s">
        <v>971</v>
      </c>
      <c r="E17" s="238" t="s">
        <v>972</v>
      </c>
      <c r="F17" s="238" t="s">
        <v>235</v>
      </c>
      <c r="G17" s="194"/>
      <c r="H17" s="194"/>
      <c r="I17" s="194"/>
      <c r="J17" s="194"/>
      <c r="K17" s="194"/>
      <c r="L17" s="231"/>
      <c r="M17" s="231"/>
      <c r="N17" s="231"/>
      <c r="O17" s="231"/>
      <c r="P17" s="231"/>
    </row>
    <row r="18" spans="1:16">
      <c r="A18" s="197"/>
      <c r="B18" s="820"/>
      <c r="C18" s="206" t="s">
        <v>1024</v>
      </c>
      <c r="D18" s="239">
        <v>2</v>
      </c>
      <c r="E18" s="239">
        <v>3</v>
      </c>
      <c r="F18" s="830">
        <f>ROUNDUP(AVERAGE(D18:E18),0)</f>
        <v>3</v>
      </c>
      <c r="G18" s="240"/>
      <c r="H18" s="240"/>
      <c r="I18" s="240"/>
      <c r="J18" s="240"/>
      <c r="K18" s="240"/>
      <c r="L18" s="241"/>
      <c r="M18" s="241"/>
      <c r="N18" s="241"/>
      <c r="O18" s="241"/>
      <c r="P18" s="241"/>
    </row>
    <row r="19" spans="1:16">
      <c r="A19" s="197"/>
      <c r="B19" s="820"/>
      <c r="C19" s="206" t="s">
        <v>1025</v>
      </c>
      <c r="D19" s="239">
        <v>3</v>
      </c>
      <c r="E19" s="239">
        <v>5</v>
      </c>
      <c r="F19" s="830">
        <f t="shared" ref="F19:F21" si="3">ROUNDUP(AVERAGE(D19:E19),0)</f>
        <v>4</v>
      </c>
      <c r="G19" s="240"/>
      <c r="H19" s="240"/>
      <c r="I19" s="240"/>
      <c r="J19" s="240"/>
      <c r="K19" s="240"/>
      <c r="L19" s="241"/>
      <c r="M19" s="241"/>
      <c r="N19" s="241"/>
      <c r="O19" s="241"/>
      <c r="P19" s="241"/>
    </row>
    <row r="20" spans="1:16">
      <c r="A20" s="197"/>
      <c r="B20" s="820"/>
      <c r="C20" s="206" t="s">
        <v>1026</v>
      </c>
      <c r="D20" s="239">
        <v>5</v>
      </c>
      <c r="E20" s="239">
        <v>7</v>
      </c>
      <c r="F20" s="830">
        <f t="shared" si="3"/>
        <v>6</v>
      </c>
      <c r="G20" s="240"/>
      <c r="H20" s="240"/>
      <c r="I20" s="240"/>
      <c r="J20" s="240"/>
      <c r="K20" s="240"/>
      <c r="L20" s="241"/>
      <c r="M20" s="241"/>
      <c r="N20" s="241"/>
      <c r="O20" s="241"/>
      <c r="P20" s="241"/>
    </row>
    <row r="21" spans="1:16">
      <c r="A21" s="176"/>
      <c r="B21" s="210"/>
      <c r="C21" s="206" t="s">
        <v>1027</v>
      </c>
      <c r="D21" s="239">
        <v>4</v>
      </c>
      <c r="E21" s="239">
        <v>5</v>
      </c>
      <c r="F21" s="830">
        <f t="shared" si="3"/>
        <v>5</v>
      </c>
      <c r="G21" s="194"/>
      <c r="H21" s="194"/>
      <c r="I21" s="194"/>
      <c r="J21" s="194"/>
      <c r="K21" s="194"/>
      <c r="L21" s="231"/>
      <c r="M21" s="231"/>
      <c r="N21" s="231"/>
      <c r="O21" s="231"/>
      <c r="P21" s="231"/>
    </row>
    <row r="22" spans="1:16" ht="17">
      <c r="A22" s="176"/>
      <c r="B22" s="210"/>
      <c r="C22" s="206"/>
      <c r="D22" s="434"/>
      <c r="E22" s="434"/>
      <c r="F22" s="434"/>
      <c r="G22" s="194"/>
      <c r="H22" s="194"/>
      <c r="I22" s="194"/>
      <c r="J22" s="194"/>
      <c r="K22" s="194"/>
      <c r="L22" s="231"/>
      <c r="M22" s="231"/>
      <c r="N22" s="231"/>
      <c r="O22" s="231"/>
      <c r="P22" s="231"/>
    </row>
    <row r="23" spans="1:16">
      <c r="A23" s="176"/>
      <c r="B23" s="210"/>
      <c r="C23" s="831" t="s">
        <v>254</v>
      </c>
      <c r="D23" s="832"/>
      <c r="E23" s="832"/>
      <c r="F23" s="833"/>
      <c r="G23" s="834">
        <f>'3FS'!D12</f>
        <v>469</v>
      </c>
      <c r="H23" s="834">
        <f>'3FS'!E12</f>
        <v>675</v>
      </c>
      <c r="I23" s="834">
        <f>'3FS'!F12</f>
        <v>1433</v>
      </c>
      <c r="J23" s="834">
        <f>'3FS'!G12</f>
        <v>2359</v>
      </c>
      <c r="K23" s="834">
        <f>'3FS'!H12</f>
        <v>2797</v>
      </c>
      <c r="L23" s="834">
        <f>'3FS'!I12</f>
        <v>3447.1579538043488</v>
      </c>
      <c r="M23" s="834">
        <f>'3FS'!J12</f>
        <v>4242.1624252758265</v>
      </c>
      <c r="N23" s="834">
        <f>'3FS'!K12</f>
        <v>5260.5364101367168</v>
      </c>
      <c r="O23" s="834">
        <f>'3FS'!L12</f>
        <v>6524.338542961098</v>
      </c>
      <c r="P23" s="834">
        <f>'3FS'!M12</f>
        <v>8096.0016716356249</v>
      </c>
    </row>
    <row r="24" spans="1:16">
      <c r="A24" s="176"/>
      <c r="B24" s="210"/>
      <c r="C24" s="180" t="s">
        <v>307</v>
      </c>
      <c r="D24" s="180"/>
      <c r="E24" s="180"/>
      <c r="F24" s="181"/>
      <c r="G24" s="194"/>
      <c r="H24" s="194">
        <f t="shared" ref="H24:P24" si="4">H23/G23-1</f>
        <v>0.43923240938166308</v>
      </c>
      <c r="I24" s="194">
        <f t="shared" si="4"/>
        <v>1.1229629629629629</v>
      </c>
      <c r="J24" s="194">
        <f t="shared" si="4"/>
        <v>0.64619678995115137</v>
      </c>
      <c r="K24" s="194">
        <f t="shared" si="4"/>
        <v>0.1856718948707079</v>
      </c>
      <c r="L24" s="194">
        <f t="shared" si="4"/>
        <v>0.23244832098832635</v>
      </c>
      <c r="M24" s="194">
        <f t="shared" si="4"/>
        <v>0.23062606417384957</v>
      </c>
      <c r="N24" s="194">
        <f t="shared" si="4"/>
        <v>0.24006011151133033</v>
      </c>
      <c r="O24" s="194">
        <f t="shared" si="4"/>
        <v>0.24024206550288585</v>
      </c>
      <c r="P24" s="194">
        <f t="shared" si="4"/>
        <v>0.24089233235300833</v>
      </c>
    </row>
    <row r="25" spans="1:16" ht="17">
      <c r="A25" s="176"/>
      <c r="B25" s="210"/>
      <c r="C25" s="237"/>
      <c r="D25" s="180"/>
      <c r="E25" s="180"/>
      <c r="F25" s="181"/>
      <c r="G25" s="194"/>
      <c r="H25" s="194"/>
      <c r="I25" s="835"/>
      <c r="J25" s="194"/>
      <c r="K25" s="194"/>
      <c r="L25" s="231"/>
      <c r="M25" s="231"/>
      <c r="N25" s="231"/>
      <c r="O25" s="231"/>
      <c r="P25" s="231"/>
    </row>
    <row r="26" spans="1:16">
      <c r="A26" s="201"/>
      <c r="B26" s="820"/>
      <c r="C26" s="248" t="s">
        <v>1028</v>
      </c>
      <c r="D26" s="248"/>
      <c r="E26" s="248"/>
      <c r="F26" s="249"/>
      <c r="G26" s="836">
        <f>-'3FS'!D134</f>
        <v>22</v>
      </c>
      <c r="H26" s="836">
        <f>-'3FS'!E134</f>
        <v>73</v>
      </c>
      <c r="I26" s="836">
        <f>-'3FS'!F134</f>
        <v>58</v>
      </c>
      <c r="J26" s="836">
        <f>-'3FS'!G134</f>
        <v>71</v>
      </c>
      <c r="K26" s="836">
        <f>-'3FS'!H134</f>
        <v>77</v>
      </c>
      <c r="L26" s="252">
        <f>L23*L27</f>
        <v>174.53511403738236</v>
      </c>
      <c r="M26" s="252">
        <f t="shared" ref="M26:P26" si="5">M23*M27</f>
        <v>214.78746044795787</v>
      </c>
      <c r="N26" s="252">
        <f t="shared" si="5"/>
        <v>266.34936215433009</v>
      </c>
      <c r="O26" s="252">
        <f t="shared" si="5"/>
        <v>330.3376830636625</v>
      </c>
      <c r="P26" s="252">
        <f t="shared" si="5"/>
        <v>409.91349800095702</v>
      </c>
    </row>
    <row r="27" spans="1:16">
      <c r="A27" s="253"/>
      <c r="B27" s="820"/>
      <c r="C27" s="202" t="s">
        <v>965</v>
      </c>
      <c r="D27" s="202"/>
      <c r="E27" s="202"/>
      <c r="F27" s="203"/>
      <c r="G27" s="204">
        <f>G26/G23</f>
        <v>4.6908315565031986E-2</v>
      </c>
      <c r="H27" s="204">
        <f t="shared" ref="H27:K27" si="6">H26/H23</f>
        <v>0.10814814814814815</v>
      </c>
      <c r="I27" s="204">
        <f>I26/I23</f>
        <v>4.0474528960223306E-2</v>
      </c>
      <c r="J27" s="204">
        <f t="shared" si="6"/>
        <v>3.0097498940228909E-2</v>
      </c>
      <c r="K27" s="204">
        <f t="shared" si="6"/>
        <v>2.7529495888451914E-2</v>
      </c>
      <c r="L27" s="195">
        <f>AVERAGE(G27:K27)</f>
        <v>5.0631597500416861E-2</v>
      </c>
      <c r="M27" s="195">
        <f>L27+$R$27</f>
        <v>5.0631597500416861E-2</v>
      </c>
      <c r="N27" s="195">
        <f t="shared" ref="N27:P27" si="7">M27+$R$27</f>
        <v>5.0631597500416861E-2</v>
      </c>
      <c r="O27" s="195">
        <f t="shared" si="7"/>
        <v>5.0631597500416861E-2</v>
      </c>
      <c r="P27" s="195">
        <f t="shared" si="7"/>
        <v>5.0631597500416861E-2</v>
      </c>
    </row>
    <row r="28" spans="1:16">
      <c r="A28" s="176"/>
      <c r="B28" s="210"/>
      <c r="C28" s="237"/>
      <c r="D28" s="180"/>
      <c r="E28" s="180"/>
      <c r="F28" s="181"/>
      <c r="G28" s="194"/>
      <c r="H28" s="194"/>
      <c r="I28" s="194"/>
      <c r="J28" s="194"/>
      <c r="K28" s="194"/>
      <c r="L28" s="231"/>
      <c r="M28" s="231"/>
      <c r="N28" s="231"/>
      <c r="O28" s="231"/>
      <c r="P28" s="231"/>
    </row>
    <row r="29" spans="1:16" ht="17">
      <c r="A29" s="176" t="s">
        <v>57</v>
      </c>
      <c r="B29" s="210"/>
      <c r="C29" s="837" t="s">
        <v>977</v>
      </c>
      <c r="D29" s="838"/>
      <c r="E29" s="839"/>
      <c r="F29" s="840"/>
      <c r="G29" s="841"/>
      <c r="H29" s="842"/>
      <c r="I29" s="843"/>
      <c r="J29" s="838"/>
      <c r="K29" s="838"/>
      <c r="L29" s="838"/>
      <c r="M29" s="838"/>
      <c r="N29" s="838"/>
      <c r="O29" s="838"/>
      <c r="P29" s="838"/>
    </row>
    <row r="30" spans="1:16" ht="17">
      <c r="A30" s="197"/>
      <c r="B30" s="820"/>
      <c r="C30" s="820"/>
      <c r="D30" s="434"/>
      <c r="E30" s="434"/>
      <c r="F30" s="434"/>
      <c r="G30" s="821"/>
      <c r="H30" s="821"/>
      <c r="I30" s="821"/>
      <c r="J30" s="821"/>
      <c r="K30" s="821"/>
      <c r="L30" s="844"/>
      <c r="M30" s="820"/>
      <c r="N30" s="820"/>
      <c r="O30" s="820"/>
      <c r="P30" s="820"/>
    </row>
    <row r="31" spans="1:16" ht="17">
      <c r="A31" s="197"/>
      <c r="B31" s="820"/>
      <c r="C31" s="237" t="s">
        <v>1029</v>
      </c>
      <c r="D31" s="434"/>
      <c r="E31" s="434"/>
      <c r="F31" s="434"/>
      <c r="G31" s="255"/>
      <c r="H31" s="255"/>
      <c r="I31" s="240"/>
      <c r="J31" s="255"/>
      <c r="K31" s="255"/>
      <c r="L31" s="256"/>
      <c r="M31" s="256"/>
      <c r="N31" s="256"/>
      <c r="O31" s="256"/>
      <c r="P31" s="256"/>
    </row>
    <row r="32" spans="1:16" ht="17">
      <c r="A32" s="820"/>
      <c r="B32" s="820"/>
      <c r="C32" s="206" t="s">
        <v>1024</v>
      </c>
      <c r="D32" s="434"/>
      <c r="E32" s="828"/>
      <c r="F32" s="434"/>
      <c r="G32" s="240">
        <v>47.2</v>
      </c>
      <c r="H32" s="240">
        <v>52.8</v>
      </c>
      <c r="I32" s="240">
        <v>66.2</v>
      </c>
      <c r="J32" s="240">
        <v>67.2</v>
      </c>
      <c r="K32" s="240">
        <v>67.599999999999994</v>
      </c>
      <c r="L32" s="241">
        <f t="shared" ref="L32:P35" si="8">K32+L39</f>
        <v>77.792648777112774</v>
      </c>
      <c r="M32" s="241">
        <f t="shared" si="8"/>
        <v>90.33598802519748</v>
      </c>
      <c r="N32" s="241">
        <f t="shared" si="8"/>
        <v>105.89048269190185</v>
      </c>
      <c r="O32" s="241">
        <f t="shared" si="8"/>
        <v>125.1818212851889</v>
      </c>
      <c r="P32" s="241">
        <f t="shared" si="8"/>
        <v>149.12029542642446</v>
      </c>
    </row>
    <row r="33" spans="1:16" ht="17">
      <c r="A33" s="820"/>
      <c r="B33" s="820"/>
      <c r="C33" s="206" t="s">
        <v>1025</v>
      </c>
      <c r="D33" s="434"/>
      <c r="E33" s="828"/>
      <c r="F33" s="434"/>
      <c r="G33" s="240">
        <v>121.8</v>
      </c>
      <c r="H33" s="240">
        <v>194.3</v>
      </c>
      <c r="I33" s="240">
        <v>237.7</v>
      </c>
      <c r="J33" s="240">
        <v>255.9</v>
      </c>
      <c r="K33" s="240">
        <v>270.2</v>
      </c>
      <c r="L33" s="241">
        <f t="shared" si="8"/>
        <v>317.89030212830795</v>
      </c>
      <c r="M33" s="241">
        <f t="shared" si="8"/>
        <v>376.57923093572936</v>
      </c>
      <c r="N33" s="241">
        <f t="shared" si="8"/>
        <v>449.35703053714087</v>
      </c>
      <c r="O33" s="241">
        <f t="shared" si="8"/>
        <v>539.6191190375506</v>
      </c>
      <c r="P33" s="241">
        <f t="shared" si="8"/>
        <v>651.62465255987763</v>
      </c>
    </row>
    <row r="34" spans="1:16" ht="17">
      <c r="A34" s="820"/>
      <c r="B34" s="820"/>
      <c r="C34" s="206" t="s">
        <v>1026</v>
      </c>
      <c r="D34" s="434"/>
      <c r="E34" s="828"/>
      <c r="F34" s="434"/>
      <c r="G34" s="240">
        <v>459</v>
      </c>
      <c r="H34" s="240">
        <v>400.6</v>
      </c>
      <c r="I34" s="240">
        <v>411.7</v>
      </c>
      <c r="J34" s="240">
        <v>510.1</v>
      </c>
      <c r="K34" s="240">
        <v>580.79999999999995</v>
      </c>
      <c r="L34" s="241">
        <f t="shared" si="8"/>
        <v>676.22672554472331</v>
      </c>
      <c r="M34" s="241">
        <f t="shared" si="8"/>
        <v>793.66134121882442</v>
      </c>
      <c r="N34" s="241">
        <f t="shared" si="8"/>
        <v>939.28732382694034</v>
      </c>
      <c r="O34" s="241">
        <f t="shared" si="8"/>
        <v>1119.8987932877174</v>
      </c>
      <c r="P34" s="241">
        <f t="shared" si="8"/>
        <v>1344.0181808766051</v>
      </c>
    </row>
    <row r="35" spans="1:16" ht="17">
      <c r="A35" s="820"/>
      <c r="B35" s="820"/>
      <c r="C35" s="206" t="s">
        <v>1027</v>
      </c>
      <c r="D35" s="434"/>
      <c r="E35" s="434"/>
      <c r="F35" s="434"/>
      <c r="G35" s="240">
        <v>34</v>
      </c>
      <c r="H35" s="240">
        <v>33.200000000000003</v>
      </c>
      <c r="I35" s="240">
        <v>47.4</v>
      </c>
      <c r="J35" s="240">
        <v>57.7</v>
      </c>
      <c r="K35" s="240">
        <v>68.400000000000006</v>
      </c>
      <c r="L35" s="241">
        <f t="shared" si="8"/>
        <v>89.625437587238252</v>
      </c>
      <c r="M35" s="241">
        <f t="shared" si="8"/>
        <v>115.74601430558894</v>
      </c>
      <c r="N35" s="241">
        <f t="shared" si="8"/>
        <v>148.13709958368716</v>
      </c>
      <c r="O35" s="241">
        <f t="shared" si="8"/>
        <v>188.30988609287581</v>
      </c>
      <c r="P35" s="241">
        <f t="shared" si="8"/>
        <v>238.15998884138239</v>
      </c>
    </row>
    <row r="36" spans="1:16">
      <c r="A36" s="820"/>
      <c r="B36" s="820"/>
      <c r="C36" s="831" t="s">
        <v>1030</v>
      </c>
      <c r="D36" s="831"/>
      <c r="E36" s="831"/>
      <c r="F36" s="845"/>
      <c r="G36" s="846">
        <f t="shared" ref="G36:H36" si="9">SUM(G32:G35)</f>
        <v>662</v>
      </c>
      <c r="H36" s="846">
        <f t="shared" si="9"/>
        <v>680.90000000000009</v>
      </c>
      <c r="I36" s="846">
        <f>SUM(I32:I35)</f>
        <v>762.99999999999989</v>
      </c>
      <c r="J36" s="846">
        <f t="shared" ref="J36:P36" si="10">SUM(J32:J35)</f>
        <v>890.90000000000009</v>
      </c>
      <c r="K36" s="846">
        <f t="shared" si="10"/>
        <v>986.99999999999989</v>
      </c>
      <c r="L36" s="846">
        <f t="shared" si="10"/>
        <v>1161.5351140373823</v>
      </c>
      <c r="M36" s="846">
        <f t="shared" si="10"/>
        <v>1376.3225744853401</v>
      </c>
      <c r="N36" s="846">
        <f t="shared" si="10"/>
        <v>1642.6719366396703</v>
      </c>
      <c r="O36" s="846">
        <f t="shared" si="10"/>
        <v>1973.0096197033326</v>
      </c>
      <c r="P36" s="846">
        <f t="shared" si="10"/>
        <v>2382.9231177042898</v>
      </c>
    </row>
    <row r="37" spans="1:16" ht="17">
      <c r="A37" s="820"/>
      <c r="B37" s="820"/>
      <c r="C37" s="820"/>
      <c r="D37" s="820"/>
      <c r="E37" s="820"/>
      <c r="F37" s="197"/>
      <c r="G37" s="240"/>
      <c r="H37" s="820"/>
      <c r="I37" s="820"/>
      <c r="J37" s="820"/>
      <c r="K37" s="820"/>
      <c r="L37" s="434"/>
      <c r="M37" s="821"/>
      <c r="N37" s="821"/>
      <c r="O37" s="821"/>
      <c r="P37" s="821"/>
    </row>
    <row r="38" spans="1:16">
      <c r="A38" s="820"/>
      <c r="B38" s="820"/>
      <c r="C38" s="237" t="s">
        <v>1031</v>
      </c>
      <c r="D38" s="237"/>
      <c r="E38" s="237"/>
      <c r="F38" s="261"/>
      <c r="G38" s="262"/>
      <c r="H38" s="262"/>
      <c r="I38" s="262"/>
      <c r="J38" s="263"/>
      <c r="K38" s="263"/>
      <c r="L38" s="264"/>
      <c r="M38" s="256"/>
      <c r="N38" s="256"/>
      <c r="O38" s="256"/>
      <c r="P38" s="256"/>
    </row>
    <row r="39" spans="1:16">
      <c r="A39" s="820"/>
      <c r="B39" s="820"/>
      <c r="C39" s="206" t="s">
        <v>1024</v>
      </c>
      <c r="D39" s="265"/>
      <c r="E39" s="265"/>
      <c r="F39" s="197"/>
      <c r="G39" s="74"/>
      <c r="H39" s="199">
        <f>H32-G32</f>
        <v>5.5999999999999943</v>
      </c>
      <c r="I39" s="199">
        <f>I32-H32</f>
        <v>13.400000000000006</v>
      </c>
      <c r="J39" s="199">
        <f>J32-I32</f>
        <v>1</v>
      </c>
      <c r="K39" s="199">
        <f>K32-J32</f>
        <v>0.39999999999999147</v>
      </c>
      <c r="L39" s="241">
        <f t="shared" ref="L39:P42" si="11">ABS(L46*L$26)</f>
        <v>10.192648777112785</v>
      </c>
      <c r="M39" s="241">
        <f t="shared" si="11"/>
        <v>12.543339248084708</v>
      </c>
      <c r="N39" s="241">
        <f t="shared" si="11"/>
        <v>15.55449466670437</v>
      </c>
      <c r="O39" s="241">
        <f t="shared" si="11"/>
        <v>19.291338593287048</v>
      </c>
      <c r="P39" s="241">
        <f t="shared" si="11"/>
        <v>23.93847414123557</v>
      </c>
    </row>
    <row r="40" spans="1:16">
      <c r="A40" s="820"/>
      <c r="B40" s="820"/>
      <c r="C40" s="206" t="s">
        <v>1025</v>
      </c>
      <c r="D40" s="265"/>
      <c r="E40" s="265"/>
      <c r="F40" s="197"/>
      <c r="G40" s="74"/>
      <c r="H40" s="199">
        <f t="shared" ref="H40:K42" si="12">H33-G33</f>
        <v>72.500000000000014</v>
      </c>
      <c r="I40" s="199">
        <f t="shared" si="12"/>
        <v>43.399999999999977</v>
      </c>
      <c r="J40" s="199">
        <f t="shared" si="12"/>
        <v>18.200000000000017</v>
      </c>
      <c r="K40" s="199">
        <f t="shared" si="12"/>
        <v>14.299999999999983</v>
      </c>
      <c r="L40" s="241">
        <f t="shared" si="11"/>
        <v>47.69030212830797</v>
      </c>
      <c r="M40" s="241">
        <f t="shared" si="11"/>
        <v>58.688928807421405</v>
      </c>
      <c r="N40" s="241">
        <f t="shared" si="11"/>
        <v>72.777799601411516</v>
      </c>
      <c r="O40" s="241">
        <f t="shared" si="11"/>
        <v>90.262088500409718</v>
      </c>
      <c r="P40" s="241">
        <f t="shared" si="11"/>
        <v>112.00553352232707</v>
      </c>
    </row>
    <row r="41" spans="1:16">
      <c r="A41" s="820"/>
      <c r="B41" s="820"/>
      <c r="C41" s="206" t="s">
        <v>1026</v>
      </c>
      <c r="D41" s="265"/>
      <c r="E41" s="265"/>
      <c r="F41" s="197"/>
      <c r="G41" s="74"/>
      <c r="H41" s="199">
        <f t="shared" si="12"/>
        <v>-58.399999999999977</v>
      </c>
      <c r="I41" s="199">
        <f t="shared" si="12"/>
        <v>11.099999999999966</v>
      </c>
      <c r="J41" s="199">
        <f t="shared" si="12"/>
        <v>98.400000000000034</v>
      </c>
      <c r="K41" s="199">
        <f t="shared" si="12"/>
        <v>70.699999999999932</v>
      </c>
      <c r="L41" s="241">
        <f t="shared" si="11"/>
        <v>95.42672554472334</v>
      </c>
      <c r="M41" s="241">
        <f t="shared" si="11"/>
        <v>117.43461567410105</v>
      </c>
      <c r="N41" s="241">
        <f t="shared" si="11"/>
        <v>145.62598260811598</v>
      </c>
      <c r="O41" s="241">
        <f t="shared" si="11"/>
        <v>180.61146946077707</v>
      </c>
      <c r="P41" s="241">
        <f t="shared" si="11"/>
        <v>224.1193875888878</v>
      </c>
    </row>
    <row r="42" spans="1:16">
      <c r="A42" s="820"/>
      <c r="B42" s="820"/>
      <c r="C42" s="206" t="s">
        <v>1027</v>
      </c>
      <c r="D42" s="265"/>
      <c r="E42" s="265"/>
      <c r="F42" s="197"/>
      <c r="G42" s="74"/>
      <c r="H42" s="199">
        <f t="shared" si="12"/>
        <v>-0.79999999999999716</v>
      </c>
      <c r="I42" s="199">
        <f t="shared" si="12"/>
        <v>14.199999999999996</v>
      </c>
      <c r="J42" s="199">
        <f t="shared" si="12"/>
        <v>10.300000000000004</v>
      </c>
      <c r="K42" s="199">
        <f t="shared" si="12"/>
        <v>10.700000000000003</v>
      </c>
      <c r="L42" s="241">
        <f t="shared" si="11"/>
        <v>21.225437587238247</v>
      </c>
      <c r="M42" s="241">
        <f t="shared" si="11"/>
        <v>26.120576718350694</v>
      </c>
      <c r="N42" s="241">
        <f t="shared" si="11"/>
        <v>32.391085278098224</v>
      </c>
      <c r="O42" s="241">
        <f t="shared" si="11"/>
        <v>40.172786509188654</v>
      </c>
      <c r="P42" s="241">
        <f t="shared" si="11"/>
        <v>49.850102748506579</v>
      </c>
    </row>
    <row r="43" spans="1:16">
      <c r="A43" s="820"/>
      <c r="B43" s="820"/>
      <c r="C43" s="258" t="s">
        <v>982</v>
      </c>
      <c r="D43" s="258"/>
      <c r="E43" s="258"/>
      <c r="F43" s="259"/>
      <c r="G43" s="84"/>
      <c r="H43" s="211">
        <f t="shared" ref="H43:I43" si="13">SUM(H39:H42)</f>
        <v>18.900000000000034</v>
      </c>
      <c r="I43" s="211">
        <f t="shared" si="13"/>
        <v>82.099999999999937</v>
      </c>
      <c r="J43" s="211">
        <f t="shared" ref="J43:P43" si="14">SUM(J39:J42)</f>
        <v>127.90000000000006</v>
      </c>
      <c r="K43" s="211">
        <f t="shared" si="14"/>
        <v>96.099999999999909</v>
      </c>
      <c r="L43" s="211">
        <f t="shared" si="14"/>
        <v>174.53511403738233</v>
      </c>
      <c r="M43" s="211">
        <f t="shared" si="14"/>
        <v>214.78746044795784</v>
      </c>
      <c r="N43" s="211">
        <f t="shared" si="14"/>
        <v>266.34936215433009</v>
      </c>
      <c r="O43" s="211">
        <f t="shared" si="14"/>
        <v>330.3376830636625</v>
      </c>
      <c r="P43" s="211">
        <f t="shared" si="14"/>
        <v>409.91349800095702</v>
      </c>
    </row>
    <row r="44" spans="1:16" ht="17">
      <c r="A44" s="434"/>
      <c r="B44" s="434"/>
      <c r="C44" s="434"/>
      <c r="D44" s="434"/>
      <c r="E44" s="434"/>
      <c r="F44" s="434"/>
      <c r="G44" s="434"/>
      <c r="H44" s="434"/>
      <c r="I44" s="434"/>
      <c r="J44" s="434"/>
      <c r="K44" s="434"/>
      <c r="L44" s="434"/>
      <c r="M44" s="434"/>
      <c r="N44" s="434"/>
      <c r="O44" s="434"/>
      <c r="P44" s="434"/>
    </row>
    <row r="45" spans="1:16">
      <c r="A45" s="820"/>
      <c r="B45" s="820"/>
      <c r="C45" s="237" t="s">
        <v>1032</v>
      </c>
      <c r="D45" s="237"/>
      <c r="E45" s="237"/>
      <c r="F45" s="261"/>
      <c r="G45" s="262"/>
      <c r="H45" s="263"/>
      <c r="I45" s="263"/>
      <c r="J45" s="263"/>
      <c r="K45" s="263"/>
      <c r="L45" s="256"/>
      <c r="M45" s="256"/>
      <c r="N45" s="256"/>
      <c r="O45" s="256"/>
      <c r="P45" s="256"/>
    </row>
    <row r="46" spans="1:16" ht="17">
      <c r="A46" s="820"/>
      <c r="B46" s="820"/>
      <c r="C46" s="206" t="s">
        <v>1024</v>
      </c>
      <c r="D46" s="265"/>
      <c r="E46" s="265"/>
      <c r="F46" s="266"/>
      <c r="G46" s="74"/>
      <c r="H46" s="847">
        <f t="shared" ref="H46:K49" si="15">H39/H$43</f>
        <v>0.29629629629629545</v>
      </c>
      <c r="I46" s="847">
        <f t="shared" si="15"/>
        <v>0.16321559074299655</v>
      </c>
      <c r="J46" s="847">
        <f t="shared" si="15"/>
        <v>7.818608287724781E-3</v>
      </c>
      <c r="K46" s="847">
        <f t="shared" si="15"/>
        <v>4.1623309053068873E-3</v>
      </c>
      <c r="L46" s="195">
        <f>AVERAGE(I46:K46)</f>
        <v>5.8398843312009403E-2</v>
      </c>
      <c r="M46" s="195">
        <f>L46</f>
        <v>5.8398843312009403E-2</v>
      </c>
      <c r="N46" s="195">
        <f t="shared" ref="N46:P46" si="16">M46</f>
        <v>5.8398843312009403E-2</v>
      </c>
      <c r="O46" s="195">
        <f t="shared" si="16"/>
        <v>5.8398843312009403E-2</v>
      </c>
      <c r="P46" s="195">
        <f t="shared" si="16"/>
        <v>5.8398843312009403E-2</v>
      </c>
    </row>
    <row r="47" spans="1:16" ht="17">
      <c r="A47" s="197"/>
      <c r="B47" s="820"/>
      <c r="C47" s="206" t="s">
        <v>1025</v>
      </c>
      <c r="D47" s="265"/>
      <c r="E47" s="265"/>
      <c r="F47" s="266"/>
      <c r="G47" s="74"/>
      <c r="H47" s="847">
        <f t="shared" si="15"/>
        <v>3.8359788359788296</v>
      </c>
      <c r="I47" s="847">
        <f t="shared" si="15"/>
        <v>0.52862362971985399</v>
      </c>
      <c r="J47" s="847">
        <f t="shared" si="15"/>
        <v>0.14229867083659115</v>
      </c>
      <c r="K47" s="847">
        <f t="shared" si="15"/>
        <v>0.14880332986472422</v>
      </c>
      <c r="L47" s="195">
        <f t="shared" ref="L47:L49" si="17">AVERAGE(I47:K47)</f>
        <v>0.27324187680705642</v>
      </c>
      <c r="M47" s="195">
        <f t="shared" ref="M47:P49" si="18">L47</f>
        <v>0.27324187680705642</v>
      </c>
      <c r="N47" s="195">
        <f t="shared" si="18"/>
        <v>0.27324187680705642</v>
      </c>
      <c r="O47" s="195">
        <f t="shared" si="18"/>
        <v>0.27324187680705642</v>
      </c>
      <c r="P47" s="195">
        <f t="shared" si="18"/>
        <v>0.27324187680705642</v>
      </c>
    </row>
    <row r="48" spans="1:16" ht="17">
      <c r="A48" s="197"/>
      <c r="B48" s="820"/>
      <c r="C48" s="206" t="s">
        <v>1026</v>
      </c>
      <c r="D48" s="265"/>
      <c r="E48" s="265"/>
      <c r="F48" s="266"/>
      <c r="G48" s="74"/>
      <c r="H48" s="847">
        <f t="shared" si="15"/>
        <v>-3.0899470899470831</v>
      </c>
      <c r="I48" s="847">
        <f t="shared" si="15"/>
        <v>0.13520097442143697</v>
      </c>
      <c r="J48" s="847">
        <f t="shared" si="15"/>
        <v>0.76935105551211869</v>
      </c>
      <c r="K48" s="847">
        <f t="shared" si="15"/>
        <v>0.73569198751300724</v>
      </c>
      <c r="L48" s="195">
        <f t="shared" si="17"/>
        <v>0.54674800581552097</v>
      </c>
      <c r="M48" s="195">
        <f t="shared" si="18"/>
        <v>0.54674800581552097</v>
      </c>
      <c r="N48" s="195">
        <f t="shared" si="18"/>
        <v>0.54674800581552097</v>
      </c>
      <c r="O48" s="195">
        <f t="shared" si="18"/>
        <v>0.54674800581552097</v>
      </c>
      <c r="P48" s="195">
        <f t="shared" si="18"/>
        <v>0.54674800581552097</v>
      </c>
    </row>
    <row r="49" spans="1:16" ht="17">
      <c r="A49" s="197"/>
      <c r="B49" s="820"/>
      <c r="C49" s="206" t="s">
        <v>1027</v>
      </c>
      <c r="D49" s="265"/>
      <c r="E49" s="265"/>
      <c r="F49" s="266"/>
      <c r="G49" s="74"/>
      <c r="H49" s="847">
        <f t="shared" si="15"/>
        <v>-4.2328042328042104E-2</v>
      </c>
      <c r="I49" s="847">
        <f t="shared" si="15"/>
        <v>0.17295980511571263</v>
      </c>
      <c r="J49" s="847">
        <f t="shared" si="15"/>
        <v>8.0531665363565277E-2</v>
      </c>
      <c r="K49" s="847">
        <f t="shared" si="15"/>
        <v>0.11134235171696164</v>
      </c>
      <c r="L49" s="195">
        <f t="shared" si="17"/>
        <v>0.12161127406541317</v>
      </c>
      <c r="M49" s="195">
        <f t="shared" si="18"/>
        <v>0.12161127406541317</v>
      </c>
      <c r="N49" s="195">
        <f t="shared" si="18"/>
        <v>0.12161127406541317</v>
      </c>
      <c r="O49" s="195">
        <f t="shared" si="18"/>
        <v>0.12161127406541317</v>
      </c>
      <c r="P49" s="195">
        <f t="shared" si="18"/>
        <v>0.12161127406541317</v>
      </c>
    </row>
    <row r="50" spans="1:16">
      <c r="A50" s="201"/>
      <c r="B50" s="196"/>
      <c r="C50" s="258" t="s">
        <v>984</v>
      </c>
      <c r="D50" s="258"/>
      <c r="E50" s="258"/>
      <c r="F50" s="259"/>
      <c r="G50" s="84"/>
      <c r="H50" s="268">
        <f t="shared" ref="H50:P50" si="19">SUM(H46:H49)</f>
        <v>0.99999999999999978</v>
      </c>
      <c r="I50" s="268">
        <f t="shared" si="19"/>
        <v>1</v>
      </c>
      <c r="J50" s="268">
        <f t="shared" si="19"/>
        <v>0.99999999999999989</v>
      </c>
      <c r="K50" s="268">
        <f t="shared" si="19"/>
        <v>1</v>
      </c>
      <c r="L50" s="268">
        <f t="shared" si="19"/>
        <v>1</v>
      </c>
      <c r="M50" s="268">
        <f t="shared" si="19"/>
        <v>1</v>
      </c>
      <c r="N50" s="268">
        <f t="shared" si="19"/>
        <v>1</v>
      </c>
      <c r="O50" s="268">
        <f t="shared" si="19"/>
        <v>1</v>
      </c>
      <c r="P50" s="268">
        <f t="shared" si="19"/>
        <v>1</v>
      </c>
    </row>
    <row r="51" spans="1:16">
      <c r="A51" s="197"/>
      <c r="B51" s="820"/>
      <c r="C51" s="820"/>
      <c r="D51" s="820"/>
      <c r="E51" s="820"/>
      <c r="F51" s="197"/>
      <c r="G51" s="820"/>
      <c r="H51" s="820"/>
      <c r="I51" s="820"/>
      <c r="J51" s="820"/>
      <c r="K51" s="820"/>
      <c r="L51" s="820"/>
      <c r="M51" s="820"/>
      <c r="N51" s="820"/>
      <c r="O51" s="820"/>
      <c r="P51" s="820"/>
    </row>
    <row r="52" spans="1:16" ht="17">
      <c r="A52" s="176" t="s">
        <v>57</v>
      </c>
      <c r="B52" s="210"/>
      <c r="C52" s="837" t="s">
        <v>1033</v>
      </c>
      <c r="D52" s="838"/>
      <c r="E52" s="839"/>
      <c r="F52" s="840"/>
      <c r="G52" s="841"/>
      <c r="H52" s="842"/>
      <c r="I52" s="843"/>
      <c r="J52" s="838"/>
      <c r="K52" s="838"/>
      <c r="L52" s="838"/>
      <c r="M52" s="838"/>
      <c r="N52" s="838"/>
      <c r="O52" s="838"/>
      <c r="P52" s="838"/>
    </row>
    <row r="53" spans="1:16">
      <c r="A53" s="197"/>
      <c r="B53" s="820"/>
      <c r="C53" s="820"/>
      <c r="D53" s="820"/>
      <c r="E53" s="820"/>
      <c r="F53" s="197"/>
      <c r="G53" s="820"/>
      <c r="H53" s="820"/>
      <c r="I53" s="820"/>
      <c r="J53" s="820"/>
      <c r="K53" s="820"/>
      <c r="L53" s="820"/>
      <c r="M53" s="820"/>
      <c r="N53" s="820"/>
      <c r="O53" s="820"/>
      <c r="P53" s="820"/>
    </row>
    <row r="54" spans="1:16" ht="17">
      <c r="A54" s="197"/>
      <c r="B54" s="820"/>
      <c r="C54" s="237" t="s">
        <v>1029</v>
      </c>
      <c r="D54" s="434"/>
      <c r="E54" s="434"/>
      <c r="F54" s="434"/>
      <c r="G54" s="255"/>
      <c r="H54" s="255"/>
      <c r="I54" s="240"/>
      <c r="J54" s="255"/>
      <c r="K54" s="255"/>
      <c r="L54" s="256"/>
      <c r="M54" s="256"/>
      <c r="N54" s="256"/>
      <c r="O54" s="256"/>
      <c r="P54" s="256"/>
    </row>
    <row r="55" spans="1:16" ht="17">
      <c r="A55" s="197"/>
      <c r="B55" s="820"/>
      <c r="C55" s="206" t="s">
        <v>1024</v>
      </c>
      <c r="D55" s="434"/>
      <c r="E55" s="828"/>
      <c r="F55" s="434"/>
      <c r="G55" s="240">
        <v>47.2</v>
      </c>
      <c r="H55" s="240">
        <v>52.8</v>
      </c>
      <c r="I55" s="240">
        <v>66.2</v>
      </c>
      <c r="J55" s="240">
        <v>67.2</v>
      </c>
      <c r="K55" s="240">
        <v>67.599999999999994</v>
      </c>
      <c r="L55" s="241">
        <f>K55+L39</f>
        <v>77.792648777112774</v>
      </c>
      <c r="M55" s="241">
        <f t="shared" ref="M55:P55" si="20">L55+M39</f>
        <v>90.33598802519748</v>
      </c>
      <c r="N55" s="241">
        <f t="shared" si="20"/>
        <v>105.89048269190185</v>
      </c>
      <c r="O55" s="241">
        <f t="shared" si="20"/>
        <v>125.1818212851889</v>
      </c>
      <c r="P55" s="241">
        <f t="shared" si="20"/>
        <v>149.12029542642446</v>
      </c>
    </row>
    <row r="56" spans="1:16" ht="17">
      <c r="A56" s="197"/>
      <c r="B56" s="820"/>
      <c r="C56" s="206" t="s">
        <v>1025</v>
      </c>
      <c r="D56" s="434"/>
      <c r="E56" s="828"/>
      <c r="F56" s="434"/>
      <c r="G56" s="240">
        <v>121.8</v>
      </c>
      <c r="H56" s="240">
        <v>194.3</v>
      </c>
      <c r="I56" s="240">
        <v>237.7</v>
      </c>
      <c r="J56" s="240">
        <v>255.9</v>
      </c>
      <c r="K56" s="240">
        <v>270.2</v>
      </c>
      <c r="L56" s="241">
        <f t="shared" ref="L56:P58" si="21">K56+L40</f>
        <v>317.89030212830795</v>
      </c>
      <c r="M56" s="241">
        <f t="shared" si="21"/>
        <v>376.57923093572936</v>
      </c>
      <c r="N56" s="241">
        <f t="shared" si="21"/>
        <v>449.35703053714087</v>
      </c>
      <c r="O56" s="241">
        <f t="shared" si="21"/>
        <v>539.6191190375506</v>
      </c>
      <c r="P56" s="241">
        <f t="shared" si="21"/>
        <v>651.62465255987763</v>
      </c>
    </row>
    <row r="57" spans="1:16" ht="17">
      <c r="A57" s="197"/>
      <c r="B57" s="820"/>
      <c r="C57" s="206" t="s">
        <v>1026</v>
      </c>
      <c r="D57" s="434"/>
      <c r="E57" s="828"/>
      <c r="F57" s="434"/>
      <c r="G57" s="240">
        <v>459</v>
      </c>
      <c r="H57" s="240">
        <v>400.6</v>
      </c>
      <c r="I57" s="240">
        <v>411.7</v>
      </c>
      <c r="J57" s="240">
        <v>510.1</v>
      </c>
      <c r="K57" s="240">
        <v>580.79999999999995</v>
      </c>
      <c r="L57" s="241">
        <f t="shared" si="21"/>
        <v>676.22672554472331</v>
      </c>
      <c r="M57" s="241">
        <f t="shared" si="21"/>
        <v>793.66134121882442</v>
      </c>
      <c r="N57" s="241">
        <f t="shared" si="21"/>
        <v>939.28732382694034</v>
      </c>
      <c r="O57" s="241">
        <f t="shared" si="21"/>
        <v>1119.8987932877174</v>
      </c>
      <c r="P57" s="241">
        <f t="shared" si="21"/>
        <v>1344.0181808766051</v>
      </c>
    </row>
    <row r="58" spans="1:16" ht="17">
      <c r="A58" s="197"/>
      <c r="B58" s="820"/>
      <c r="C58" s="206" t="s">
        <v>1027</v>
      </c>
      <c r="D58" s="434"/>
      <c r="E58" s="434"/>
      <c r="F58" s="434"/>
      <c r="G58" s="240">
        <v>34</v>
      </c>
      <c r="H58" s="240">
        <v>33.200000000000003</v>
      </c>
      <c r="I58" s="240">
        <v>47.4</v>
      </c>
      <c r="J58" s="240">
        <v>57.7</v>
      </c>
      <c r="K58" s="240">
        <v>68.400000000000006</v>
      </c>
      <c r="L58" s="241">
        <f t="shared" si="21"/>
        <v>89.625437587238252</v>
      </c>
      <c r="M58" s="241">
        <f t="shared" si="21"/>
        <v>115.74601430558894</v>
      </c>
      <c r="N58" s="241">
        <f t="shared" si="21"/>
        <v>148.13709958368716</v>
      </c>
      <c r="O58" s="241">
        <f t="shared" si="21"/>
        <v>188.30988609287581</v>
      </c>
      <c r="P58" s="241">
        <f t="shared" si="21"/>
        <v>238.15998884138239</v>
      </c>
    </row>
    <row r="59" spans="1:16">
      <c r="A59" s="197"/>
      <c r="B59" s="820"/>
      <c r="C59" s="831" t="s">
        <v>1030</v>
      </c>
      <c r="D59" s="831"/>
      <c r="E59" s="831"/>
      <c r="F59" s="845"/>
      <c r="G59" s="846">
        <f t="shared" ref="G59:H59" si="22">SUM(G55:G58)</f>
        <v>662</v>
      </c>
      <c r="H59" s="846">
        <f t="shared" si="22"/>
        <v>680.90000000000009</v>
      </c>
      <c r="I59" s="846">
        <f>SUM(I55:I58)</f>
        <v>762.99999999999989</v>
      </c>
      <c r="J59" s="846">
        <f t="shared" ref="J59:P59" si="23">SUM(J55:J58)</f>
        <v>890.90000000000009</v>
      </c>
      <c r="K59" s="846">
        <f t="shared" si="23"/>
        <v>986.99999999999989</v>
      </c>
      <c r="L59" s="846">
        <f t="shared" si="23"/>
        <v>1161.5351140373823</v>
      </c>
      <c r="M59" s="846">
        <f t="shared" si="23"/>
        <v>1376.3225744853401</v>
      </c>
      <c r="N59" s="846">
        <f t="shared" si="23"/>
        <v>1642.6719366396703</v>
      </c>
      <c r="O59" s="846">
        <f t="shared" si="23"/>
        <v>1973.0096197033326</v>
      </c>
      <c r="P59" s="846">
        <f t="shared" si="23"/>
        <v>2382.9231177042898</v>
      </c>
    </row>
    <row r="60" spans="1:16">
      <c r="A60" s="197"/>
      <c r="B60" s="820"/>
      <c r="C60" s="820"/>
      <c r="D60" s="820"/>
      <c r="E60" s="820"/>
      <c r="F60" s="197"/>
      <c r="G60" s="820"/>
      <c r="H60" s="820"/>
      <c r="I60" s="820"/>
      <c r="J60" s="820"/>
      <c r="K60" s="820"/>
      <c r="L60" s="820"/>
      <c r="M60" s="820"/>
      <c r="N60" s="820"/>
      <c r="O60" s="820"/>
      <c r="P60" s="820"/>
    </row>
    <row r="61" spans="1:16">
      <c r="A61" s="197"/>
      <c r="B61" s="820"/>
      <c r="C61" s="848" t="s">
        <v>1034</v>
      </c>
      <c r="D61" s="820"/>
      <c r="E61" s="820"/>
      <c r="F61" s="197"/>
      <c r="G61" s="820"/>
      <c r="H61" s="820"/>
      <c r="I61" s="820"/>
      <c r="J61" s="820"/>
      <c r="K61" s="820"/>
      <c r="L61" s="820"/>
      <c r="M61" s="820"/>
      <c r="N61" s="820"/>
      <c r="O61" s="820"/>
      <c r="P61" s="820"/>
    </row>
    <row r="62" spans="1:16">
      <c r="A62" s="197"/>
      <c r="B62" s="820"/>
      <c r="C62" s="206" t="s">
        <v>1024</v>
      </c>
      <c r="D62" s="820"/>
      <c r="E62" s="820"/>
      <c r="F62" s="197"/>
      <c r="G62" s="240">
        <v>15</v>
      </c>
      <c r="H62" s="240">
        <v>16</v>
      </c>
      <c r="I62" s="240">
        <v>13</v>
      </c>
      <c r="J62" s="240">
        <v>12</v>
      </c>
      <c r="K62" s="240">
        <v>12</v>
      </c>
      <c r="L62" s="820"/>
      <c r="M62" s="820"/>
      <c r="N62" s="820"/>
      <c r="O62" s="820"/>
      <c r="P62" s="820"/>
    </row>
    <row r="63" spans="1:16">
      <c r="A63" s="197"/>
      <c r="B63" s="820"/>
      <c r="C63" s="206" t="s">
        <v>1025</v>
      </c>
      <c r="D63" s="820"/>
      <c r="E63" s="820"/>
      <c r="F63" s="197"/>
      <c r="G63" s="240">
        <v>39</v>
      </c>
      <c r="H63" s="240">
        <v>34</v>
      </c>
      <c r="I63" s="240">
        <v>48</v>
      </c>
      <c r="J63" s="240">
        <v>42</v>
      </c>
      <c r="K63" s="240">
        <v>44</v>
      </c>
      <c r="L63" s="820"/>
      <c r="M63" s="820"/>
      <c r="N63" s="820"/>
      <c r="O63" s="820"/>
      <c r="P63" s="820"/>
    </row>
    <row r="64" spans="1:16">
      <c r="A64" s="197"/>
      <c r="B64" s="820"/>
      <c r="C64" s="206" t="s">
        <v>1026</v>
      </c>
      <c r="D64" s="820"/>
      <c r="E64" s="820"/>
      <c r="F64" s="197"/>
      <c r="G64" s="240">
        <v>65</v>
      </c>
      <c r="H64" s="240">
        <v>53</v>
      </c>
      <c r="I64" s="240">
        <v>58</v>
      </c>
      <c r="J64" s="240">
        <v>65</v>
      </c>
      <c r="K64" s="240">
        <v>57</v>
      </c>
      <c r="L64" s="820"/>
      <c r="M64" s="820"/>
      <c r="N64" s="820"/>
      <c r="O64" s="820"/>
      <c r="P64" s="820"/>
    </row>
    <row r="65" spans="1:16">
      <c r="A65" s="197"/>
      <c r="B65" s="820"/>
      <c r="C65" s="206" t="s">
        <v>1027</v>
      </c>
      <c r="D65" s="820"/>
      <c r="E65" s="820"/>
      <c r="F65" s="197"/>
      <c r="G65" s="240">
        <v>7</v>
      </c>
      <c r="H65" s="240">
        <v>6</v>
      </c>
      <c r="I65" s="240">
        <v>10</v>
      </c>
      <c r="J65" s="240">
        <v>9</v>
      </c>
      <c r="K65" s="240">
        <v>9</v>
      </c>
      <c r="L65" s="820"/>
      <c r="M65" s="820"/>
      <c r="N65" s="820"/>
      <c r="O65" s="820"/>
      <c r="P65" s="820"/>
    </row>
    <row r="66" spans="1:16">
      <c r="A66" s="197"/>
      <c r="B66" s="820"/>
      <c r="C66" s="820"/>
      <c r="D66" s="820"/>
      <c r="E66" s="820"/>
      <c r="F66" s="197"/>
      <c r="G66" s="820"/>
      <c r="H66" s="820"/>
      <c r="I66" s="820"/>
      <c r="J66" s="820"/>
      <c r="K66" s="820"/>
      <c r="L66" s="820"/>
      <c r="M66" s="820"/>
      <c r="N66" s="820"/>
      <c r="O66" s="820"/>
      <c r="P66" s="820"/>
    </row>
    <row r="67" spans="1:16" ht="19">
      <c r="A67" s="197"/>
      <c r="B67" s="820"/>
      <c r="C67" s="848" t="s">
        <v>1035</v>
      </c>
      <c r="D67" s="238" t="s">
        <v>235</v>
      </c>
      <c r="E67" s="820"/>
      <c r="F67" s="197"/>
      <c r="G67" s="820"/>
      <c r="H67" s="820"/>
      <c r="I67" s="820"/>
      <c r="J67" s="820"/>
      <c r="K67" s="820"/>
      <c r="L67" s="820"/>
      <c r="M67" s="820"/>
      <c r="N67" s="820"/>
      <c r="O67" s="820"/>
      <c r="P67" s="820"/>
    </row>
    <row r="68" spans="1:16">
      <c r="A68" s="197"/>
      <c r="B68" s="820"/>
      <c r="C68" s="206" t="s">
        <v>1024</v>
      </c>
      <c r="D68" s="830">
        <f>ROUNDUP(AVERAGE($D18:$E18),0)</f>
        <v>3</v>
      </c>
      <c r="E68" s="820"/>
      <c r="F68" s="197"/>
      <c r="G68" s="174">
        <f>G62*$D68</f>
        <v>45</v>
      </c>
      <c r="H68" s="174">
        <f t="shared" ref="H68:K68" si="24">H62*$D68</f>
        <v>48</v>
      </c>
      <c r="I68" s="174">
        <f t="shared" si="24"/>
        <v>39</v>
      </c>
      <c r="J68" s="174">
        <f t="shared" si="24"/>
        <v>36</v>
      </c>
      <c r="K68" s="174">
        <f t="shared" si="24"/>
        <v>36</v>
      </c>
      <c r="L68" s="820"/>
      <c r="M68" s="820"/>
      <c r="N68" s="820"/>
      <c r="O68" s="820"/>
      <c r="P68" s="820"/>
    </row>
    <row r="69" spans="1:16">
      <c r="A69" s="197"/>
      <c r="B69" s="820"/>
      <c r="C69" s="206" t="s">
        <v>1025</v>
      </c>
      <c r="D69" s="830">
        <f t="shared" ref="D69:D71" si="25">ROUNDUP(AVERAGE($D19:$E19),0)</f>
        <v>4</v>
      </c>
      <c r="E69" s="820"/>
      <c r="F69" s="197"/>
      <c r="G69" s="174">
        <f t="shared" ref="G69:K69" si="26">G63*$D69</f>
        <v>156</v>
      </c>
      <c r="H69" s="174">
        <f t="shared" si="26"/>
        <v>136</v>
      </c>
      <c r="I69" s="174">
        <f t="shared" si="26"/>
        <v>192</v>
      </c>
      <c r="J69" s="174">
        <f t="shared" si="26"/>
        <v>168</v>
      </c>
      <c r="K69" s="174">
        <f t="shared" si="26"/>
        <v>176</v>
      </c>
      <c r="L69" s="820"/>
      <c r="M69" s="820"/>
      <c r="N69" s="820"/>
      <c r="O69" s="820"/>
      <c r="P69" s="820"/>
    </row>
    <row r="70" spans="1:16">
      <c r="A70" s="197"/>
      <c r="B70" s="820"/>
      <c r="C70" s="206" t="s">
        <v>1026</v>
      </c>
      <c r="D70" s="830">
        <f t="shared" si="25"/>
        <v>6</v>
      </c>
      <c r="E70" s="820"/>
      <c r="F70" s="197"/>
      <c r="G70" s="174">
        <f t="shared" ref="G70:K70" si="27">G64*$D70</f>
        <v>390</v>
      </c>
      <c r="H70" s="174">
        <f t="shared" si="27"/>
        <v>318</v>
      </c>
      <c r="I70" s="174">
        <f t="shared" si="27"/>
        <v>348</v>
      </c>
      <c r="J70" s="174">
        <f t="shared" si="27"/>
        <v>390</v>
      </c>
      <c r="K70" s="174">
        <f t="shared" si="27"/>
        <v>342</v>
      </c>
      <c r="L70" s="820"/>
      <c r="M70" s="820"/>
      <c r="N70" s="820"/>
      <c r="O70" s="820"/>
      <c r="P70" s="820"/>
    </row>
    <row r="71" spans="1:16">
      <c r="A71" s="197"/>
      <c r="B71" s="820"/>
      <c r="C71" s="206" t="s">
        <v>1027</v>
      </c>
      <c r="D71" s="830">
        <f t="shared" si="25"/>
        <v>5</v>
      </c>
      <c r="E71" s="820"/>
      <c r="F71" s="197"/>
      <c r="G71" s="174">
        <f t="shared" ref="G71:K71" si="28">G65*$D71</f>
        <v>35</v>
      </c>
      <c r="H71" s="174">
        <f t="shared" si="28"/>
        <v>30</v>
      </c>
      <c r="I71" s="174">
        <f t="shared" si="28"/>
        <v>50</v>
      </c>
      <c r="J71" s="174">
        <f t="shared" si="28"/>
        <v>45</v>
      </c>
      <c r="K71" s="174">
        <f t="shared" si="28"/>
        <v>45</v>
      </c>
      <c r="L71" s="820"/>
      <c r="M71" s="820"/>
      <c r="N71" s="820"/>
      <c r="O71" s="820"/>
      <c r="P71" s="820"/>
    </row>
    <row r="72" spans="1:16">
      <c r="A72" s="197"/>
      <c r="B72" s="820"/>
      <c r="C72" s="820"/>
      <c r="D72" s="820"/>
      <c r="E72" s="820"/>
      <c r="F72" s="197"/>
      <c r="G72" s="820"/>
      <c r="H72" s="820"/>
      <c r="I72" s="820"/>
      <c r="J72" s="820"/>
      <c r="K72" s="820"/>
      <c r="L72" s="820"/>
      <c r="M72" s="820"/>
      <c r="N72" s="820"/>
      <c r="O72" s="820"/>
      <c r="P72" s="820"/>
    </row>
    <row r="73" spans="1:16">
      <c r="A73" s="197"/>
      <c r="B73" s="820"/>
      <c r="C73" s="848" t="s">
        <v>1036</v>
      </c>
      <c r="D73" s="820"/>
      <c r="E73" s="820"/>
      <c r="F73" s="197"/>
      <c r="G73" s="820"/>
      <c r="H73" s="820"/>
      <c r="I73" s="820"/>
      <c r="J73" s="820"/>
      <c r="K73" s="820"/>
      <c r="L73" s="820"/>
      <c r="M73" s="820"/>
      <c r="N73" s="820"/>
      <c r="O73" s="820"/>
      <c r="P73" s="820"/>
    </row>
    <row r="74" spans="1:16">
      <c r="A74" s="197"/>
      <c r="B74" s="820"/>
      <c r="C74" s="206" t="s">
        <v>1024</v>
      </c>
      <c r="D74" s="820"/>
      <c r="E74" s="820"/>
      <c r="F74" s="197"/>
      <c r="G74" s="849">
        <f>G55-G68</f>
        <v>2.2000000000000028</v>
      </c>
      <c r="H74" s="849">
        <f t="shared" ref="H74:K74" si="29">H55-H68</f>
        <v>4.7999999999999972</v>
      </c>
      <c r="I74" s="849">
        <f t="shared" si="29"/>
        <v>27.200000000000003</v>
      </c>
      <c r="J74" s="849">
        <f t="shared" si="29"/>
        <v>31.200000000000003</v>
      </c>
      <c r="K74" s="849">
        <f t="shared" si="29"/>
        <v>31.599999999999994</v>
      </c>
      <c r="L74" s="850">
        <f>AVERAGE(G74:K74)</f>
        <v>19.399999999999999</v>
      </c>
      <c r="M74" s="850">
        <f>L74</f>
        <v>19.399999999999999</v>
      </c>
      <c r="N74" s="850">
        <f t="shared" ref="N74:P74" si="30">M74</f>
        <v>19.399999999999999</v>
      </c>
      <c r="O74" s="850">
        <f t="shared" si="30"/>
        <v>19.399999999999999</v>
      </c>
      <c r="P74" s="850">
        <f t="shared" si="30"/>
        <v>19.399999999999999</v>
      </c>
    </row>
    <row r="75" spans="1:16">
      <c r="A75" s="197"/>
      <c r="B75" s="820"/>
      <c r="C75" s="206" t="s">
        <v>1025</v>
      </c>
      <c r="D75" s="820"/>
      <c r="E75" s="820"/>
      <c r="F75" s="197"/>
      <c r="G75" s="849">
        <f t="shared" ref="G75:K77" si="31">G56-G69</f>
        <v>-34.200000000000003</v>
      </c>
      <c r="H75" s="849">
        <f t="shared" si="31"/>
        <v>58.300000000000011</v>
      </c>
      <c r="I75" s="849">
        <f t="shared" si="31"/>
        <v>45.699999999999989</v>
      </c>
      <c r="J75" s="849">
        <f t="shared" si="31"/>
        <v>87.9</v>
      </c>
      <c r="K75" s="849">
        <f t="shared" si="31"/>
        <v>94.199999999999989</v>
      </c>
      <c r="L75" s="850">
        <f t="shared" ref="L75:L77" si="32">AVERAGE(G75:K75)</f>
        <v>50.379999999999995</v>
      </c>
      <c r="M75" s="850">
        <f t="shared" ref="M75:P75" si="33">L75</f>
        <v>50.379999999999995</v>
      </c>
      <c r="N75" s="850">
        <f t="shared" si="33"/>
        <v>50.379999999999995</v>
      </c>
      <c r="O75" s="850">
        <f t="shared" si="33"/>
        <v>50.379999999999995</v>
      </c>
      <c r="P75" s="850">
        <f t="shared" si="33"/>
        <v>50.379999999999995</v>
      </c>
    </row>
    <row r="76" spans="1:16">
      <c r="A76" s="197"/>
      <c r="B76" s="820"/>
      <c r="C76" s="206" t="s">
        <v>1026</v>
      </c>
      <c r="D76" s="820"/>
      <c r="E76" s="820"/>
      <c r="F76" s="197"/>
      <c r="G76" s="849">
        <f t="shared" si="31"/>
        <v>69</v>
      </c>
      <c r="H76" s="849">
        <f t="shared" si="31"/>
        <v>82.600000000000023</v>
      </c>
      <c r="I76" s="849">
        <f t="shared" si="31"/>
        <v>63.699999999999989</v>
      </c>
      <c r="J76" s="849">
        <f t="shared" si="31"/>
        <v>120.10000000000002</v>
      </c>
      <c r="K76" s="849">
        <f t="shared" si="31"/>
        <v>238.79999999999995</v>
      </c>
      <c r="L76" s="850">
        <f t="shared" si="32"/>
        <v>114.84</v>
      </c>
      <c r="M76" s="850">
        <f t="shared" ref="M76:P76" si="34">L76</f>
        <v>114.84</v>
      </c>
      <c r="N76" s="850">
        <f t="shared" si="34"/>
        <v>114.84</v>
      </c>
      <c r="O76" s="850">
        <f t="shared" si="34"/>
        <v>114.84</v>
      </c>
      <c r="P76" s="850">
        <f t="shared" si="34"/>
        <v>114.84</v>
      </c>
    </row>
    <row r="77" spans="1:16">
      <c r="A77" s="197"/>
      <c r="B77" s="820"/>
      <c r="C77" s="206" t="s">
        <v>1027</v>
      </c>
      <c r="D77" s="820"/>
      <c r="E77" s="820"/>
      <c r="F77" s="197"/>
      <c r="G77" s="849">
        <f t="shared" si="31"/>
        <v>-1</v>
      </c>
      <c r="H77" s="849">
        <f t="shared" si="31"/>
        <v>3.2000000000000028</v>
      </c>
      <c r="I77" s="849">
        <f t="shared" si="31"/>
        <v>-2.6000000000000014</v>
      </c>
      <c r="J77" s="849">
        <f t="shared" si="31"/>
        <v>12.700000000000003</v>
      </c>
      <c r="K77" s="849">
        <f t="shared" si="31"/>
        <v>23.400000000000006</v>
      </c>
      <c r="L77" s="850">
        <f t="shared" si="32"/>
        <v>7.1400000000000023</v>
      </c>
      <c r="M77" s="850">
        <f t="shared" ref="M77:P77" si="35">L77</f>
        <v>7.1400000000000023</v>
      </c>
      <c r="N77" s="850">
        <f t="shared" si="35"/>
        <v>7.1400000000000023</v>
      </c>
      <c r="O77" s="850">
        <f t="shared" si="35"/>
        <v>7.1400000000000023</v>
      </c>
      <c r="P77" s="850">
        <f t="shared" si="35"/>
        <v>7.1400000000000023</v>
      </c>
    </row>
    <row r="78" spans="1:16">
      <c r="A78" s="197"/>
      <c r="B78" s="820"/>
      <c r="C78" s="820"/>
      <c r="D78" s="820"/>
      <c r="E78" s="820"/>
      <c r="F78" s="197"/>
      <c r="G78" s="820"/>
      <c r="H78" s="820"/>
      <c r="I78" s="820"/>
      <c r="J78" s="820"/>
      <c r="K78" s="820"/>
      <c r="L78" s="820"/>
      <c r="M78" s="820"/>
      <c r="N78" s="820"/>
      <c r="O78" s="820"/>
      <c r="P78" s="820"/>
    </row>
    <row r="79" spans="1:16">
      <c r="A79" s="197"/>
      <c r="B79" s="820"/>
      <c r="C79" s="848" t="s">
        <v>1037</v>
      </c>
      <c r="D79" s="820"/>
      <c r="E79" s="820"/>
      <c r="F79" s="197"/>
      <c r="G79" s="820"/>
      <c r="H79" s="820"/>
      <c r="I79" s="820"/>
      <c r="J79" s="820"/>
      <c r="K79" s="820"/>
      <c r="L79" s="820"/>
      <c r="M79" s="820"/>
      <c r="N79" s="820"/>
      <c r="O79" s="820"/>
      <c r="P79" s="820"/>
    </row>
    <row r="80" spans="1:16">
      <c r="A80" s="197"/>
      <c r="B80" s="820"/>
      <c r="C80" s="206" t="s">
        <v>1024</v>
      </c>
      <c r="D80" s="820"/>
      <c r="E80" s="820"/>
      <c r="F80" s="197"/>
      <c r="G80" s="99">
        <f>G74/G55</f>
        <v>4.661016949152548E-2</v>
      </c>
      <c r="H80" s="99">
        <f t="shared" ref="H80:K80" si="36">H74/H55</f>
        <v>9.0909090909090856E-2</v>
      </c>
      <c r="I80" s="99">
        <f t="shared" si="36"/>
        <v>0.41087613293051362</v>
      </c>
      <c r="J80" s="99">
        <f t="shared" si="36"/>
        <v>0.4642857142857143</v>
      </c>
      <c r="K80" s="99">
        <f t="shared" si="36"/>
        <v>0.46745562130177509</v>
      </c>
      <c r="L80" s="851">
        <f>AVERAGE(G80:K80)</f>
        <v>0.29602734578372386</v>
      </c>
      <c r="M80" s="851">
        <f>L80</f>
        <v>0.29602734578372386</v>
      </c>
      <c r="N80" s="851">
        <f t="shared" ref="N80:P80" si="37">M80</f>
        <v>0.29602734578372386</v>
      </c>
      <c r="O80" s="851">
        <f t="shared" si="37"/>
        <v>0.29602734578372386</v>
      </c>
      <c r="P80" s="851">
        <f t="shared" si="37"/>
        <v>0.29602734578372386</v>
      </c>
    </row>
    <row r="81" spans="1:16">
      <c r="A81" s="197"/>
      <c r="B81" s="820"/>
      <c r="C81" s="206" t="s">
        <v>1025</v>
      </c>
      <c r="D81" s="820"/>
      <c r="E81" s="820"/>
      <c r="F81" s="197"/>
      <c r="G81" s="99">
        <f t="shared" ref="G81:K83" si="38">G75/G56</f>
        <v>-0.28078817733990152</v>
      </c>
      <c r="H81" s="99">
        <f t="shared" si="38"/>
        <v>0.30005146680391154</v>
      </c>
      <c r="I81" s="99">
        <f t="shared" si="38"/>
        <v>0.19225915018931422</v>
      </c>
      <c r="J81" s="99">
        <f t="shared" si="38"/>
        <v>0.34349355216881594</v>
      </c>
      <c r="K81" s="99">
        <f t="shared" si="38"/>
        <v>0.34863064396743149</v>
      </c>
      <c r="L81" s="851">
        <f t="shared" ref="L81:L83" si="39">AVERAGE(G81:K81)</f>
        <v>0.18072932715791434</v>
      </c>
      <c r="M81" s="851">
        <f t="shared" ref="M81:P81" si="40">L81</f>
        <v>0.18072932715791434</v>
      </c>
      <c r="N81" s="851">
        <f t="shared" si="40"/>
        <v>0.18072932715791434</v>
      </c>
      <c r="O81" s="851">
        <f t="shared" si="40"/>
        <v>0.18072932715791434</v>
      </c>
      <c r="P81" s="851">
        <f t="shared" si="40"/>
        <v>0.18072932715791434</v>
      </c>
    </row>
    <row r="82" spans="1:16">
      <c r="A82" s="197"/>
      <c r="B82" s="820"/>
      <c r="C82" s="206" t="s">
        <v>1026</v>
      </c>
      <c r="D82" s="820"/>
      <c r="E82" s="820"/>
      <c r="F82" s="197"/>
      <c r="G82" s="99">
        <f t="shared" si="38"/>
        <v>0.15032679738562091</v>
      </c>
      <c r="H82" s="99">
        <f t="shared" si="38"/>
        <v>0.20619071392910637</v>
      </c>
      <c r="I82" s="99">
        <f t="shared" si="38"/>
        <v>0.15472431382074323</v>
      </c>
      <c r="J82" s="99">
        <f t="shared" si="38"/>
        <v>0.23544403058223881</v>
      </c>
      <c r="K82" s="99">
        <f t="shared" si="38"/>
        <v>0.41115702479338839</v>
      </c>
      <c r="L82" s="851">
        <f t="shared" si="39"/>
        <v>0.23156857610221956</v>
      </c>
      <c r="M82" s="851">
        <f t="shared" ref="M82:P82" si="41">L82</f>
        <v>0.23156857610221956</v>
      </c>
      <c r="N82" s="851">
        <f t="shared" si="41"/>
        <v>0.23156857610221956</v>
      </c>
      <c r="O82" s="851">
        <f t="shared" si="41"/>
        <v>0.23156857610221956</v>
      </c>
      <c r="P82" s="851">
        <f t="shared" si="41"/>
        <v>0.23156857610221956</v>
      </c>
    </row>
    <row r="83" spans="1:16">
      <c r="A83" s="197"/>
      <c r="B83" s="820"/>
      <c r="C83" s="206" t="s">
        <v>1027</v>
      </c>
      <c r="D83" s="820"/>
      <c r="E83" s="820"/>
      <c r="F83" s="197"/>
      <c r="G83" s="99">
        <f t="shared" si="38"/>
        <v>-2.9411764705882353E-2</v>
      </c>
      <c r="H83" s="99">
        <f t="shared" si="38"/>
        <v>9.6385542168674773E-2</v>
      </c>
      <c r="I83" s="99">
        <f t="shared" si="38"/>
        <v>-5.4852320675105516E-2</v>
      </c>
      <c r="J83" s="99">
        <f t="shared" si="38"/>
        <v>0.22010398613518201</v>
      </c>
      <c r="K83" s="99">
        <f t="shared" si="38"/>
        <v>0.3421052631578948</v>
      </c>
      <c r="L83" s="851">
        <f t="shared" si="39"/>
        <v>0.11486614121615275</v>
      </c>
      <c r="M83" s="851">
        <f t="shared" ref="M83:P83" si="42">L83</f>
        <v>0.11486614121615275</v>
      </c>
      <c r="N83" s="851">
        <f t="shared" si="42"/>
        <v>0.11486614121615275</v>
      </c>
      <c r="O83" s="851">
        <f t="shared" si="42"/>
        <v>0.11486614121615275</v>
      </c>
      <c r="P83" s="851">
        <f t="shared" si="42"/>
        <v>0.11486614121615275</v>
      </c>
    </row>
    <row r="84" spans="1:16">
      <c r="A84" s="197"/>
      <c r="B84" s="820"/>
      <c r="C84" s="820"/>
      <c r="D84" s="820"/>
      <c r="E84" s="820"/>
      <c r="F84" s="197"/>
      <c r="G84" s="820"/>
      <c r="H84" s="820"/>
      <c r="I84" s="820"/>
      <c r="J84" s="820"/>
      <c r="K84" s="820"/>
      <c r="L84" s="820"/>
      <c r="M84" s="820"/>
      <c r="N84" s="820"/>
      <c r="O84" s="820"/>
      <c r="P84" s="820"/>
    </row>
    <row r="85" spans="1:16" ht="17">
      <c r="A85" s="197" t="s">
        <v>57</v>
      </c>
      <c r="B85" s="820"/>
      <c r="C85" s="837" t="s">
        <v>985</v>
      </c>
      <c r="D85" s="838"/>
      <c r="E85" s="839"/>
      <c r="F85" s="840"/>
      <c r="G85" s="841"/>
      <c r="H85" s="842"/>
      <c r="I85" s="843"/>
      <c r="J85" s="838"/>
      <c r="K85" s="838"/>
      <c r="L85" s="838"/>
      <c r="M85" s="838"/>
      <c r="N85" s="838"/>
      <c r="O85" s="838"/>
      <c r="P85" s="838"/>
    </row>
    <row r="86" spans="1:16">
      <c r="A86" s="197"/>
      <c r="B86" s="820"/>
      <c r="C86" s="852" t="s">
        <v>1038</v>
      </c>
      <c r="D86" s="852"/>
      <c r="E86" s="852"/>
      <c r="F86" s="853"/>
      <c r="G86" s="854"/>
      <c r="H86" s="854"/>
      <c r="I86" s="854"/>
      <c r="J86" s="854"/>
      <c r="K86" s="854"/>
      <c r="L86" s="854"/>
      <c r="M86" s="854"/>
      <c r="N86" s="855"/>
      <c r="O86" s="855"/>
      <c r="P86" s="855"/>
    </row>
    <row r="87" spans="1:16">
      <c r="A87" s="197"/>
      <c r="B87" s="820"/>
      <c r="C87" s="269" t="s">
        <v>1039</v>
      </c>
      <c r="D87" s="269"/>
      <c r="E87" s="269"/>
      <c r="F87" s="197"/>
      <c r="G87" s="74"/>
      <c r="H87" s="74"/>
      <c r="I87" s="74"/>
      <c r="J87" s="74"/>
      <c r="K87" s="74"/>
      <c r="L87" s="199">
        <f>K89</f>
        <v>-558</v>
      </c>
      <c r="M87" s="199">
        <f>L89</f>
        <v>-745.9692304149238</v>
      </c>
      <c r="N87" s="199">
        <f>M89</f>
        <v>-967.20913023808657</v>
      </c>
      <c r="O87" s="199">
        <f>N89</f>
        <v>-1229.7066600776866</v>
      </c>
      <c r="P87" s="199">
        <f>O89</f>
        <v>-1524.9151895155874</v>
      </c>
    </row>
    <row r="88" spans="1:16">
      <c r="A88" s="197"/>
      <c r="B88" s="820"/>
      <c r="C88" s="269" t="s">
        <v>1040</v>
      </c>
      <c r="D88" s="269"/>
      <c r="E88" s="269"/>
      <c r="F88" s="197"/>
      <c r="G88" s="74"/>
      <c r="H88" s="74"/>
      <c r="I88" s="74"/>
      <c r="J88" s="74"/>
      <c r="K88" s="74"/>
      <c r="L88" s="199">
        <f>SUM(L97,L120,L143,L166)</f>
        <v>-187.96923041492383</v>
      </c>
      <c r="M88" s="199">
        <f t="shared" ref="M88:P88" si="43">SUM(M97,M120,M143,M166)</f>
        <v>-221.23989982316272</v>
      </c>
      <c r="N88" s="199">
        <f t="shared" si="43"/>
        <v>-262.49752983960008</v>
      </c>
      <c r="O88" s="199">
        <f t="shared" si="43"/>
        <v>-295.20852943790078</v>
      </c>
      <c r="P88" s="199">
        <f t="shared" si="43"/>
        <v>-292.14108755433733</v>
      </c>
    </row>
    <row r="89" spans="1:16">
      <c r="A89" s="201"/>
      <c r="B89" s="820"/>
      <c r="C89" s="258" t="s">
        <v>1041</v>
      </c>
      <c r="D89" s="258"/>
      <c r="E89" s="258"/>
      <c r="F89" s="270"/>
      <c r="G89" s="271"/>
      <c r="H89" s="271"/>
      <c r="I89" s="271"/>
      <c r="J89" s="271"/>
      <c r="K89" s="271">
        <v>-558</v>
      </c>
      <c r="L89" s="272">
        <f>SUM(L87:L88)</f>
        <v>-745.9692304149238</v>
      </c>
      <c r="M89" s="272">
        <f>SUM(M87:M88)</f>
        <v>-967.20913023808657</v>
      </c>
      <c r="N89" s="272">
        <f>SUM(N87:N88)</f>
        <v>-1229.7066600776866</v>
      </c>
      <c r="O89" s="272">
        <f>SUM(O87:O88)</f>
        <v>-1524.9151895155874</v>
      </c>
      <c r="P89" s="272">
        <f>SUM(P87:P88)</f>
        <v>-1817.0562770699248</v>
      </c>
    </row>
    <row r="90" spans="1:16" ht="17">
      <c r="A90" s="434"/>
      <c r="B90" s="434"/>
      <c r="C90" s="434"/>
      <c r="D90" s="434"/>
      <c r="E90" s="434"/>
      <c r="F90" s="434"/>
      <c r="G90" s="434"/>
      <c r="H90" s="434"/>
      <c r="I90" s="434"/>
      <c r="J90" s="434"/>
      <c r="K90" s="856"/>
      <c r="L90" s="434"/>
      <c r="M90" s="434"/>
      <c r="N90" s="434"/>
      <c r="O90" s="434"/>
      <c r="P90" s="434"/>
    </row>
    <row r="91" spans="1:16">
      <c r="A91" s="197" t="s">
        <v>57</v>
      </c>
      <c r="B91" s="820"/>
      <c r="C91" s="857" t="str">
        <f>C18</f>
        <v>Computers</v>
      </c>
      <c r="D91" s="857"/>
      <c r="E91" s="857"/>
      <c r="F91" s="858"/>
      <c r="G91" s="859"/>
      <c r="H91" s="859"/>
      <c r="I91" s="859"/>
      <c r="J91" s="859"/>
      <c r="K91" s="859"/>
      <c r="L91" s="859"/>
      <c r="M91" s="859"/>
      <c r="N91" s="860"/>
      <c r="O91" s="860"/>
      <c r="P91" s="860"/>
    </row>
    <row r="92" spans="1:16">
      <c r="A92" s="197"/>
      <c r="B92" s="210"/>
      <c r="C92" s="820"/>
      <c r="D92" s="820"/>
      <c r="E92" s="820"/>
      <c r="F92" s="197"/>
      <c r="G92" s="820"/>
      <c r="H92" s="820"/>
      <c r="I92" s="820"/>
      <c r="J92" s="820"/>
      <c r="K92" s="820"/>
      <c r="L92" s="820"/>
      <c r="M92" s="820"/>
      <c r="N92" s="820"/>
      <c r="O92" s="820"/>
      <c r="P92" s="820"/>
    </row>
    <row r="93" spans="1:16">
      <c r="A93" s="197"/>
      <c r="B93" s="820"/>
      <c r="C93" s="196" t="s">
        <v>990</v>
      </c>
      <c r="D93" s="196"/>
      <c r="E93" s="196"/>
      <c r="F93" s="205">
        <f>F18</f>
        <v>3</v>
      </c>
      <c r="G93" s="820"/>
      <c r="H93" s="820"/>
      <c r="I93" s="820"/>
      <c r="J93" s="820"/>
      <c r="K93" s="820"/>
      <c r="L93" s="820"/>
      <c r="M93" s="820"/>
      <c r="N93" s="820"/>
      <c r="O93" s="820"/>
      <c r="P93" s="820"/>
    </row>
    <row r="94" spans="1:16">
      <c r="A94" s="197"/>
      <c r="B94" s="820"/>
      <c r="C94" s="820"/>
      <c r="D94" s="820"/>
      <c r="E94" s="820"/>
      <c r="F94" s="197"/>
      <c r="G94" s="820"/>
      <c r="H94" s="820"/>
      <c r="I94" s="820"/>
      <c r="J94" s="820"/>
      <c r="K94" s="820"/>
      <c r="L94" s="820"/>
      <c r="M94" s="820"/>
      <c r="N94" s="820"/>
      <c r="O94" s="820"/>
      <c r="P94" s="820"/>
    </row>
    <row r="95" spans="1:16">
      <c r="A95" s="197"/>
      <c r="B95" s="820"/>
      <c r="C95" s="206" t="s">
        <v>991</v>
      </c>
      <c r="D95" s="206"/>
      <c r="E95" s="206"/>
      <c r="F95" s="197"/>
      <c r="G95" s="74"/>
      <c r="H95" s="74"/>
      <c r="I95" s="74"/>
      <c r="J95" s="74"/>
      <c r="K95" s="74"/>
      <c r="L95" s="199">
        <f>K32</f>
        <v>67.599999999999994</v>
      </c>
      <c r="M95" s="199">
        <f>L98</f>
        <v>59.334200106073318</v>
      </c>
      <c r="N95" s="199">
        <f>M98</f>
        <v>50.475701408715452</v>
      </c>
      <c r="O95" s="199">
        <f>N98</f>
        <v>40.978378498139648</v>
      </c>
      <c r="P95" s="199">
        <f>O98</f>
        <v>49.149489907552251</v>
      </c>
    </row>
    <row r="96" spans="1:16">
      <c r="A96" s="197"/>
      <c r="B96" s="820"/>
      <c r="C96" s="206" t="s">
        <v>992</v>
      </c>
      <c r="D96" s="206"/>
      <c r="E96" s="206"/>
      <c r="F96" s="197"/>
      <c r="G96" s="74"/>
      <c r="H96" s="74"/>
      <c r="I96" s="74"/>
      <c r="J96" s="74"/>
      <c r="K96" s="74"/>
      <c r="L96" s="207">
        <f>L39</f>
        <v>10.192648777112785</v>
      </c>
      <c r="M96" s="207">
        <f>M39</f>
        <v>12.543339248084708</v>
      </c>
      <c r="N96" s="207">
        <f>N39</f>
        <v>15.55449466670437</v>
      </c>
      <c r="O96" s="207">
        <f>O39</f>
        <v>19.291338593287048</v>
      </c>
      <c r="P96" s="207">
        <f>P39</f>
        <v>23.93847414123557</v>
      </c>
    </row>
    <row r="97" spans="1:16">
      <c r="A97" s="197"/>
      <c r="B97" s="820"/>
      <c r="C97" s="206" t="s">
        <v>993</v>
      </c>
      <c r="D97" s="206"/>
      <c r="E97" s="206"/>
      <c r="F97" s="197"/>
      <c r="G97" s="74"/>
      <c r="H97" s="74"/>
      <c r="I97" s="74"/>
      <c r="J97" s="74"/>
      <c r="K97" s="74"/>
      <c r="L97" s="207">
        <f>L112</f>
        <v>-18.458448671039456</v>
      </c>
      <c r="M97" s="207">
        <f t="shared" ref="M97:P97" si="44">M112</f>
        <v>-21.401837945442583</v>
      </c>
      <c r="N97" s="207">
        <f t="shared" si="44"/>
        <v>-25.051817577280179</v>
      </c>
      <c r="O97" s="207">
        <f t="shared" si="44"/>
        <v>-11.120227183874444</v>
      </c>
      <c r="P97" s="207">
        <f t="shared" si="44"/>
        <v>-13.794181635835749</v>
      </c>
    </row>
    <row r="98" spans="1:16">
      <c r="A98" s="201"/>
      <c r="B98" s="820"/>
      <c r="C98" s="193" t="s">
        <v>994</v>
      </c>
      <c r="D98" s="193"/>
      <c r="E98" s="193"/>
      <c r="F98" s="208"/>
      <c r="G98" s="209"/>
      <c r="H98" s="209"/>
      <c r="I98" s="209"/>
      <c r="J98" s="209"/>
      <c r="K98" s="209"/>
      <c r="L98" s="209">
        <f>SUM(L95:L97)</f>
        <v>59.334200106073318</v>
      </c>
      <c r="M98" s="209">
        <f>SUM(M95:M97)</f>
        <v>50.475701408715452</v>
      </c>
      <c r="N98" s="209">
        <f>SUM(N95:N97)</f>
        <v>40.978378498139648</v>
      </c>
      <c r="O98" s="209">
        <f>SUM(O95:O97)</f>
        <v>49.149489907552251</v>
      </c>
      <c r="P98" s="209">
        <f>SUM(P95:P97)</f>
        <v>59.293782412952076</v>
      </c>
    </row>
    <row r="99" spans="1:16">
      <c r="A99" s="197"/>
      <c r="B99" s="206"/>
      <c r="C99" s="820"/>
      <c r="D99" s="820"/>
      <c r="E99" s="820"/>
      <c r="F99" s="197"/>
      <c r="G99" s="820"/>
      <c r="H99" s="820"/>
      <c r="I99" s="820"/>
      <c r="J99" s="820"/>
      <c r="K99" s="820"/>
      <c r="L99" s="820"/>
      <c r="M99" s="820"/>
      <c r="N99" s="820"/>
      <c r="O99" s="820"/>
      <c r="P99" s="820"/>
    </row>
    <row r="100" spans="1:16">
      <c r="A100" s="197"/>
      <c r="B100" s="206"/>
      <c r="C100" s="852" t="s">
        <v>1042</v>
      </c>
      <c r="D100" s="820"/>
      <c r="E100" s="820"/>
      <c r="F100" s="197"/>
      <c r="G100" s="820"/>
      <c r="H100" s="820"/>
      <c r="I100" s="820"/>
      <c r="J100" s="820"/>
      <c r="K100" s="820"/>
      <c r="L100" s="820"/>
      <c r="M100" s="820"/>
      <c r="N100" s="820"/>
      <c r="O100" s="820"/>
      <c r="P100" s="820"/>
    </row>
    <row r="101" spans="1:16">
      <c r="A101" s="197"/>
      <c r="B101" s="206"/>
      <c r="C101" s="820" t="s">
        <v>1043</v>
      </c>
      <c r="D101" s="820"/>
      <c r="E101" s="820"/>
      <c r="F101" s="197"/>
      <c r="G101" s="820"/>
      <c r="H101" s="820"/>
      <c r="I101" s="820"/>
      <c r="J101" s="820"/>
      <c r="K101" s="820"/>
      <c r="L101" s="861">
        <f>L39</f>
        <v>10.192648777112785</v>
      </c>
      <c r="M101" s="861">
        <f t="shared" ref="M101:P101" si="45">M39</f>
        <v>12.543339248084708</v>
      </c>
      <c r="N101" s="861">
        <f t="shared" si="45"/>
        <v>15.55449466670437</v>
      </c>
      <c r="O101" s="861">
        <f t="shared" si="45"/>
        <v>19.291338593287048</v>
      </c>
      <c r="P101" s="861">
        <f t="shared" si="45"/>
        <v>23.93847414123557</v>
      </c>
    </row>
    <row r="102" spans="1:16">
      <c r="A102" s="197"/>
      <c r="B102" s="206"/>
      <c r="C102" s="820" t="s">
        <v>1044</v>
      </c>
      <c r="D102" s="820"/>
      <c r="E102" s="820"/>
      <c r="F102" s="197"/>
      <c r="G102" s="820"/>
      <c r="H102" s="820"/>
      <c r="I102" s="820"/>
      <c r="J102" s="820"/>
      <c r="K102" s="820"/>
      <c r="L102" s="861">
        <f>-L101*L80</f>
        <v>-3.0173027639944165</v>
      </c>
      <c r="M102" s="861">
        <f t="shared" ref="M102:P102" si="46">-M101*M80</f>
        <v>-3.7131714248753265</v>
      </c>
      <c r="N102" s="861">
        <f t="shared" si="46"/>
        <v>-4.604555771191583</v>
      </c>
      <c r="O102" s="861">
        <f t="shared" si="46"/>
        <v>-5.7107637603858823</v>
      </c>
      <c r="P102" s="861">
        <f t="shared" si="46"/>
        <v>-7.0864429621422742</v>
      </c>
    </row>
    <row r="103" spans="1:16">
      <c r="A103" s="197"/>
      <c r="B103" s="206"/>
      <c r="C103" s="862" t="s">
        <v>1045</v>
      </c>
      <c r="D103" s="863"/>
      <c r="E103" s="863"/>
      <c r="F103" s="864"/>
      <c r="G103" s="863"/>
      <c r="H103" s="863"/>
      <c r="I103" s="863"/>
      <c r="J103" s="863"/>
      <c r="K103" s="863"/>
      <c r="L103" s="209">
        <f>SUM(L101:L102)</f>
        <v>7.1753460131183679</v>
      </c>
      <c r="M103" s="209">
        <f t="shared" ref="M103:P103" si="47">SUM(M101:M102)</f>
        <v>8.830167823209381</v>
      </c>
      <c r="N103" s="209">
        <f t="shared" si="47"/>
        <v>10.949938895512787</v>
      </c>
      <c r="O103" s="209">
        <f t="shared" si="47"/>
        <v>13.580574832901165</v>
      </c>
      <c r="P103" s="209">
        <f t="shared" si="47"/>
        <v>16.852031179093295</v>
      </c>
    </row>
    <row r="104" spans="1:16">
      <c r="A104" s="197"/>
      <c r="B104" s="206"/>
      <c r="C104" s="196"/>
      <c r="D104" s="820"/>
      <c r="E104" s="820"/>
      <c r="F104" s="197"/>
      <c r="G104" s="820"/>
      <c r="H104" s="820"/>
      <c r="I104" s="820"/>
      <c r="J104" s="820"/>
      <c r="K104" s="820"/>
      <c r="L104" s="820"/>
      <c r="M104" s="820"/>
      <c r="N104" s="820"/>
      <c r="O104" s="820"/>
      <c r="P104" s="820"/>
    </row>
    <row r="105" spans="1:16">
      <c r="A105" s="201"/>
      <c r="B105" s="158"/>
      <c r="C105" s="198" t="s">
        <v>995</v>
      </c>
      <c r="D105" s="198"/>
      <c r="E105" s="865" t="s">
        <v>996</v>
      </c>
      <c r="F105" s="866" t="s">
        <v>997</v>
      </c>
      <c r="G105" s="280"/>
      <c r="H105" s="280"/>
      <c r="I105" s="280"/>
      <c r="J105" s="280"/>
      <c r="K105" s="280"/>
      <c r="L105" s="280"/>
      <c r="M105" s="281"/>
      <c r="N105" s="282"/>
      <c r="O105" s="280"/>
      <c r="P105" s="280"/>
    </row>
    <row r="106" spans="1:16">
      <c r="A106" s="197"/>
      <c r="B106" s="210"/>
      <c r="C106" s="200">
        <f>[2]Projections!$L$7</f>
        <v>25</v>
      </c>
      <c r="D106" s="200"/>
      <c r="E106" s="867">
        <f>L95-L74</f>
        <v>48.199999999999996</v>
      </c>
      <c r="F106" s="868">
        <f t="shared" ref="F106:F111" si="48">C106+$F$93-1</f>
        <v>27</v>
      </c>
      <c r="G106" s="74"/>
      <c r="H106" s="74"/>
      <c r="I106" s="74"/>
      <c r="J106" s="74"/>
      <c r="K106" s="74"/>
      <c r="L106" s="199">
        <f t="shared" ref="L106:L111" si="49">IF(AND(L$6&lt;=$F106,L$6&gt;=$C106),IFERROR(-$E106/$F$93,0),0)</f>
        <v>-16.066666666666666</v>
      </c>
      <c r="M106" s="199">
        <f t="shared" ref="M106:P106" si="50">IF(AND(M$6&lt;=$F106,M$6&gt;=$C106),IFERROR(-$E106/$F$93,0),0)</f>
        <v>-16.066666666666666</v>
      </c>
      <c r="N106" s="199">
        <f t="shared" si="50"/>
        <v>-16.066666666666666</v>
      </c>
      <c r="O106" s="199">
        <f t="shared" si="50"/>
        <v>0</v>
      </c>
      <c r="P106" s="199">
        <f t="shared" si="50"/>
        <v>0</v>
      </c>
    </row>
    <row r="107" spans="1:16">
      <c r="A107" s="197"/>
      <c r="B107" s="210"/>
      <c r="C107" s="200" cm="1">
        <f t="array" ref="C107:C111">TRANSPOSE([2]Projections!$L$7:$P$7)</f>
        <v>25</v>
      </c>
      <c r="D107" s="200"/>
      <c r="E107" s="867" cm="1">
        <f t="array" ref="E107:E111">TRANSPOSE(L103:P103)</f>
        <v>7.1753460131183679</v>
      </c>
      <c r="F107" s="868">
        <f t="shared" si="48"/>
        <v>27</v>
      </c>
      <c r="G107" s="74"/>
      <c r="H107" s="74"/>
      <c r="I107" s="74"/>
      <c r="J107" s="74"/>
      <c r="K107" s="74"/>
      <c r="L107" s="199">
        <f t="shared" si="49"/>
        <v>-2.3917820043727893</v>
      </c>
      <c r="M107" s="199">
        <f t="shared" ref="M107:P111" si="51">IF(AND(M$6&lt;=$F107,M$6&gt;=$C107),IFERROR(-$E107/$F$93,0),0)</f>
        <v>-2.3917820043727893</v>
      </c>
      <c r="N107" s="199">
        <f t="shared" si="51"/>
        <v>-2.3917820043727893</v>
      </c>
      <c r="O107" s="199">
        <f t="shared" si="51"/>
        <v>0</v>
      </c>
      <c r="P107" s="199">
        <f t="shared" si="51"/>
        <v>0</v>
      </c>
    </row>
    <row r="108" spans="1:16">
      <c r="A108" s="197"/>
      <c r="B108" s="210"/>
      <c r="C108" s="200">
        <v>26</v>
      </c>
      <c r="D108" s="200"/>
      <c r="E108" s="867">
        <v>8.830167823209381</v>
      </c>
      <c r="F108" s="868">
        <f t="shared" si="48"/>
        <v>28</v>
      </c>
      <c r="G108" s="74"/>
      <c r="H108" s="74"/>
      <c r="I108" s="74"/>
      <c r="J108" s="74"/>
      <c r="K108" s="74"/>
      <c r="L108" s="199">
        <f t="shared" si="49"/>
        <v>0</v>
      </c>
      <c r="M108" s="199">
        <f t="shared" si="51"/>
        <v>-2.9433892744031271</v>
      </c>
      <c r="N108" s="199">
        <f t="shared" si="51"/>
        <v>-2.9433892744031271</v>
      </c>
      <c r="O108" s="199">
        <f t="shared" si="51"/>
        <v>-2.9433892744031271</v>
      </c>
      <c r="P108" s="199">
        <f t="shared" si="51"/>
        <v>0</v>
      </c>
    </row>
    <row r="109" spans="1:16">
      <c r="A109" s="197"/>
      <c r="B109" s="210"/>
      <c r="C109" s="200">
        <v>27</v>
      </c>
      <c r="D109" s="200"/>
      <c r="E109" s="867">
        <v>10.949938895512787</v>
      </c>
      <c r="F109" s="868">
        <f t="shared" si="48"/>
        <v>29</v>
      </c>
      <c r="G109" s="74"/>
      <c r="H109" s="74"/>
      <c r="I109" s="74"/>
      <c r="J109" s="74"/>
      <c r="K109" s="74"/>
      <c r="L109" s="199">
        <f t="shared" si="49"/>
        <v>0</v>
      </c>
      <c r="M109" s="199">
        <f t="shared" si="51"/>
        <v>0</v>
      </c>
      <c r="N109" s="199">
        <f t="shared" si="51"/>
        <v>-3.6499796318375957</v>
      </c>
      <c r="O109" s="199">
        <f t="shared" si="51"/>
        <v>-3.6499796318375957</v>
      </c>
      <c r="P109" s="199">
        <f t="shared" si="51"/>
        <v>-3.6499796318375957</v>
      </c>
    </row>
    <row r="110" spans="1:16">
      <c r="A110" s="197"/>
      <c r="B110" s="210"/>
      <c r="C110" s="200">
        <v>28</v>
      </c>
      <c r="D110" s="200"/>
      <c r="E110" s="867">
        <v>13.580574832901165</v>
      </c>
      <c r="F110" s="868">
        <f t="shared" si="48"/>
        <v>30</v>
      </c>
      <c r="G110" s="74"/>
      <c r="H110" s="74"/>
      <c r="I110" s="74"/>
      <c r="J110" s="74"/>
      <c r="K110" s="74"/>
      <c r="L110" s="199">
        <f t="shared" si="49"/>
        <v>0</v>
      </c>
      <c r="M110" s="199">
        <f t="shared" si="51"/>
        <v>0</v>
      </c>
      <c r="N110" s="199">
        <f t="shared" si="51"/>
        <v>0</v>
      </c>
      <c r="O110" s="199">
        <f t="shared" si="51"/>
        <v>-4.5268582776337221</v>
      </c>
      <c r="P110" s="199">
        <f t="shared" si="51"/>
        <v>-4.5268582776337221</v>
      </c>
    </row>
    <row r="111" spans="1:16">
      <c r="A111" s="197"/>
      <c r="B111" s="210"/>
      <c r="C111" s="200">
        <v>29</v>
      </c>
      <c r="D111" s="200"/>
      <c r="E111" s="867">
        <v>16.852031179093295</v>
      </c>
      <c r="F111" s="868">
        <f t="shared" si="48"/>
        <v>31</v>
      </c>
      <c r="G111" s="74"/>
      <c r="H111" s="74"/>
      <c r="I111" s="74"/>
      <c r="J111" s="74"/>
      <c r="K111" s="74"/>
      <c r="L111" s="199">
        <f t="shared" si="49"/>
        <v>0</v>
      </c>
      <c r="M111" s="199">
        <f t="shared" si="51"/>
        <v>0</v>
      </c>
      <c r="N111" s="199">
        <f t="shared" si="51"/>
        <v>0</v>
      </c>
      <c r="O111" s="199">
        <f t="shared" si="51"/>
        <v>0</v>
      </c>
      <c r="P111" s="199">
        <f t="shared" si="51"/>
        <v>-5.6173437263644317</v>
      </c>
    </row>
    <row r="112" spans="1:16">
      <c r="A112" s="197"/>
      <c r="B112" s="820"/>
      <c r="C112" s="193" t="s">
        <v>998</v>
      </c>
      <c r="D112" s="193"/>
      <c r="E112" s="193"/>
      <c r="F112" s="864"/>
      <c r="G112" s="84"/>
      <c r="H112" s="84"/>
      <c r="I112" s="84"/>
      <c r="J112" s="84"/>
      <c r="K112" s="84"/>
      <c r="L112" s="211">
        <f>SUM(L106:L111)</f>
        <v>-18.458448671039456</v>
      </c>
      <c r="M112" s="211">
        <f>SUM(M106:M111)</f>
        <v>-21.401837945442583</v>
      </c>
      <c r="N112" s="211">
        <f>SUM(N106:N111)</f>
        <v>-25.051817577280179</v>
      </c>
      <c r="O112" s="211">
        <f>SUM(O106:O111)</f>
        <v>-11.120227183874444</v>
      </c>
      <c r="P112" s="211">
        <f>SUM(P106:P111)</f>
        <v>-13.794181635835749</v>
      </c>
    </row>
    <row r="114" spans="1:16">
      <c r="A114" s="197" t="s">
        <v>57</v>
      </c>
      <c r="B114" s="820"/>
      <c r="C114" s="857" t="str">
        <f>C19</f>
        <v>Building and Renovation</v>
      </c>
      <c r="D114" s="857"/>
      <c r="E114" s="857"/>
      <c r="F114" s="858"/>
      <c r="G114" s="859"/>
      <c r="H114" s="859"/>
      <c r="I114" s="859"/>
      <c r="J114" s="859"/>
      <c r="K114" s="859"/>
      <c r="L114" s="859"/>
      <c r="M114" s="859"/>
      <c r="N114" s="860"/>
      <c r="O114" s="860"/>
      <c r="P114" s="860"/>
    </row>
    <row r="115" spans="1:16">
      <c r="A115" s="197"/>
      <c r="B115" s="210"/>
      <c r="C115" s="820"/>
      <c r="D115" s="820"/>
      <c r="E115" s="820"/>
      <c r="F115" s="197"/>
      <c r="G115" s="820"/>
      <c r="H115" s="820"/>
      <c r="I115" s="820"/>
      <c r="J115" s="820"/>
      <c r="K115" s="820"/>
      <c r="L115" s="820"/>
      <c r="M115" s="820"/>
      <c r="N115" s="820"/>
      <c r="O115" s="820"/>
      <c r="P115" s="820"/>
    </row>
    <row r="116" spans="1:16">
      <c r="A116" s="197"/>
      <c r="B116" s="820"/>
      <c r="C116" s="196" t="s">
        <v>990</v>
      </c>
      <c r="D116" s="196"/>
      <c r="E116" s="196"/>
      <c r="F116" s="205">
        <f>F19</f>
        <v>4</v>
      </c>
      <c r="G116" s="820"/>
      <c r="H116" s="820"/>
      <c r="I116" s="820"/>
      <c r="J116" s="820"/>
      <c r="K116" s="820"/>
      <c r="L116" s="820"/>
      <c r="M116" s="820"/>
      <c r="N116" s="820"/>
      <c r="O116" s="820"/>
      <c r="P116" s="820"/>
    </row>
    <row r="117" spans="1:16">
      <c r="A117" s="197"/>
      <c r="B117" s="820"/>
      <c r="C117" s="820"/>
      <c r="D117" s="820"/>
      <c r="E117" s="820"/>
      <c r="F117" s="197"/>
      <c r="G117" s="820"/>
      <c r="H117" s="820"/>
      <c r="I117" s="820"/>
      <c r="J117" s="820"/>
      <c r="K117" s="820"/>
      <c r="L117" s="820"/>
      <c r="M117" s="820"/>
      <c r="N117" s="820"/>
      <c r="O117" s="820"/>
      <c r="P117" s="820"/>
    </row>
    <row r="118" spans="1:16">
      <c r="A118" s="197"/>
      <c r="B118" s="820"/>
      <c r="C118" s="206" t="s">
        <v>991</v>
      </c>
      <c r="D118" s="206"/>
      <c r="E118" s="206"/>
      <c r="F118" s="197"/>
      <c r="G118" s="74"/>
      <c r="H118" s="74"/>
      <c r="I118" s="74"/>
      <c r="J118" s="74"/>
      <c r="K118" s="74"/>
      <c r="L118" s="199">
        <f>K33</f>
        <v>270.2</v>
      </c>
      <c r="M118" s="199">
        <f>L121</f>
        <v>254.27047351098958</v>
      </c>
      <c r="N118" s="199">
        <f>M121</f>
        <v>238.67640976302113</v>
      </c>
      <c r="O118" s="199">
        <f>N121</f>
        <v>223.9482525469343</v>
      </c>
      <c r="P118" s="199">
        <f>O121</f>
        <v>210.30470772133737</v>
      </c>
    </row>
    <row r="119" spans="1:16">
      <c r="A119" s="197"/>
      <c r="B119" s="820"/>
      <c r="C119" s="206" t="s">
        <v>992</v>
      </c>
      <c r="D119" s="206"/>
      <c r="E119" s="206"/>
      <c r="F119" s="197"/>
      <c r="G119" s="74"/>
      <c r="H119" s="74"/>
      <c r="I119" s="74"/>
      <c r="J119" s="74"/>
      <c r="K119" s="74"/>
      <c r="L119" s="207">
        <f>L40</f>
        <v>47.69030212830797</v>
      </c>
      <c r="M119" s="207">
        <f t="shared" ref="M119:P119" si="52">M40</f>
        <v>58.688928807421405</v>
      </c>
      <c r="N119" s="207">
        <f t="shared" si="52"/>
        <v>72.777799601411516</v>
      </c>
      <c r="O119" s="207">
        <f t="shared" si="52"/>
        <v>90.262088500409718</v>
      </c>
      <c r="P119" s="207">
        <f t="shared" si="52"/>
        <v>112.00553352232707</v>
      </c>
    </row>
    <row r="120" spans="1:16">
      <c r="A120" s="197"/>
      <c r="B120" s="820"/>
      <c r="C120" s="206" t="s">
        <v>993</v>
      </c>
      <c r="D120" s="206"/>
      <c r="E120" s="206"/>
      <c r="F120" s="197"/>
      <c r="G120" s="74"/>
      <c r="H120" s="74"/>
      <c r="I120" s="74"/>
      <c r="J120" s="74"/>
      <c r="K120" s="74"/>
      <c r="L120" s="207">
        <f>L135</f>
        <v>-63.619828617318383</v>
      </c>
      <c r="M120" s="207">
        <f t="shared" ref="M120:P120" si="53">M135</f>
        <v>-74.282992555389853</v>
      </c>
      <c r="N120" s="207">
        <f t="shared" si="53"/>
        <v>-87.505956817498344</v>
      </c>
      <c r="O120" s="207">
        <f t="shared" si="53"/>
        <v>-103.90563332600664</v>
      </c>
      <c r="P120" s="207">
        <f t="shared" si="53"/>
        <v>-60.636037541165933</v>
      </c>
    </row>
    <row r="121" spans="1:16">
      <c r="A121" s="201"/>
      <c r="B121" s="820"/>
      <c r="C121" s="193" t="s">
        <v>994</v>
      </c>
      <c r="D121" s="193"/>
      <c r="E121" s="193"/>
      <c r="F121" s="208"/>
      <c r="G121" s="209"/>
      <c r="H121" s="209"/>
      <c r="I121" s="209"/>
      <c r="J121" s="209"/>
      <c r="K121" s="209"/>
      <c r="L121" s="209">
        <f>SUM(L118:L120)</f>
        <v>254.27047351098958</v>
      </c>
      <c r="M121" s="209">
        <f>SUM(M118:M120)</f>
        <v>238.67640976302113</v>
      </c>
      <c r="N121" s="209">
        <f>SUM(N118:N120)</f>
        <v>223.9482525469343</v>
      </c>
      <c r="O121" s="209">
        <f>SUM(O118:O120)</f>
        <v>210.30470772133737</v>
      </c>
      <c r="P121" s="209">
        <f>SUM(P118:P120)</f>
        <v>261.67420370249852</v>
      </c>
    </row>
    <row r="122" spans="1:16">
      <c r="A122" s="197"/>
      <c r="B122" s="206"/>
      <c r="C122" s="820"/>
      <c r="D122" s="820"/>
      <c r="E122" s="820"/>
      <c r="F122" s="197"/>
      <c r="G122" s="820"/>
      <c r="H122" s="820"/>
      <c r="I122" s="820"/>
      <c r="J122" s="820"/>
      <c r="K122" s="820"/>
      <c r="L122" s="820"/>
      <c r="M122" s="820"/>
      <c r="N122" s="820"/>
      <c r="O122" s="820"/>
      <c r="P122" s="820"/>
    </row>
    <row r="123" spans="1:16">
      <c r="A123" s="197"/>
      <c r="B123" s="206"/>
      <c r="C123" s="852" t="s">
        <v>1042</v>
      </c>
      <c r="D123" s="820"/>
      <c r="E123" s="820"/>
      <c r="F123" s="197"/>
      <c r="G123" s="820"/>
      <c r="H123" s="820"/>
      <c r="I123" s="820"/>
      <c r="J123" s="820"/>
      <c r="K123" s="820"/>
      <c r="L123" s="820"/>
      <c r="M123" s="820"/>
      <c r="N123" s="820"/>
      <c r="O123" s="820"/>
      <c r="P123" s="820"/>
    </row>
    <row r="124" spans="1:16">
      <c r="A124" s="197"/>
      <c r="B124" s="206"/>
      <c r="C124" s="820" t="s">
        <v>1043</v>
      </c>
      <c r="D124" s="820"/>
      <c r="E124" s="820"/>
      <c r="F124" s="197"/>
      <c r="G124" s="820"/>
      <c r="H124" s="820"/>
      <c r="I124" s="820"/>
      <c r="J124" s="820"/>
      <c r="K124" s="820"/>
      <c r="L124" s="861">
        <f>L40</f>
        <v>47.69030212830797</v>
      </c>
      <c r="M124" s="861">
        <f t="shared" ref="M124:P124" si="54">M40</f>
        <v>58.688928807421405</v>
      </c>
      <c r="N124" s="861">
        <f t="shared" si="54"/>
        <v>72.777799601411516</v>
      </c>
      <c r="O124" s="861">
        <f t="shared" si="54"/>
        <v>90.262088500409718</v>
      </c>
      <c r="P124" s="861">
        <f t="shared" si="54"/>
        <v>112.00553352232707</v>
      </c>
    </row>
    <row r="125" spans="1:16">
      <c r="A125" s="197"/>
      <c r="B125" s="206"/>
      <c r="C125" s="820" t="s">
        <v>1044</v>
      </c>
      <c r="D125" s="820"/>
      <c r="E125" s="820"/>
      <c r="F125" s="197"/>
      <c r="G125" s="820"/>
      <c r="H125" s="820"/>
      <c r="I125" s="820"/>
      <c r="J125" s="820"/>
      <c r="K125" s="820"/>
      <c r="L125" s="861">
        <f>-L124*L47</f>
        <v>-13.030987659034427</v>
      </c>
      <c r="M125" s="861">
        <f t="shared" ref="M125:P125" si="55">-M124*M47</f>
        <v>-16.036273055135545</v>
      </c>
      <c r="N125" s="861">
        <f t="shared" si="55"/>
        <v>-19.885942552977525</v>
      </c>
      <c r="O125" s="861">
        <f t="shared" si="55"/>
        <v>-24.663382466376575</v>
      </c>
      <c r="P125" s="861">
        <f t="shared" si="55"/>
        <v>-30.604602192416323</v>
      </c>
    </row>
    <row r="126" spans="1:16">
      <c r="A126" s="197"/>
      <c r="B126" s="206"/>
      <c r="C126" s="862" t="s">
        <v>1045</v>
      </c>
      <c r="D126" s="863"/>
      <c r="E126" s="863"/>
      <c r="F126" s="864"/>
      <c r="G126" s="863"/>
      <c r="H126" s="863"/>
      <c r="I126" s="863"/>
      <c r="J126" s="863"/>
      <c r="K126" s="863"/>
      <c r="L126" s="209">
        <f>SUM(L124:L125)</f>
        <v>34.659314469273539</v>
      </c>
      <c r="M126" s="209">
        <f t="shared" ref="M126" si="56">SUM(M124:M125)</f>
        <v>42.65265575228586</v>
      </c>
      <c r="N126" s="209">
        <f t="shared" ref="N126" si="57">SUM(N124:N125)</f>
        <v>52.891857048433991</v>
      </c>
      <c r="O126" s="209">
        <f t="shared" ref="O126" si="58">SUM(O124:O125)</f>
        <v>65.598706034033142</v>
      </c>
      <c r="P126" s="209">
        <f t="shared" ref="P126" si="59">SUM(P124:P125)</f>
        <v>81.400931329910748</v>
      </c>
    </row>
    <row r="127" spans="1:16">
      <c r="A127" s="197"/>
      <c r="B127" s="206"/>
      <c r="C127" s="196"/>
      <c r="D127" s="820"/>
      <c r="E127" s="820"/>
      <c r="F127" s="197"/>
      <c r="G127" s="820"/>
      <c r="H127" s="820"/>
      <c r="I127" s="820"/>
      <c r="J127" s="820"/>
      <c r="K127" s="820"/>
      <c r="L127" s="820"/>
      <c r="M127" s="820"/>
      <c r="N127" s="820"/>
      <c r="O127" s="820"/>
      <c r="P127" s="820"/>
    </row>
    <row r="128" spans="1:16">
      <c r="A128" s="201"/>
      <c r="B128" s="158"/>
      <c r="C128" s="198" t="s">
        <v>995</v>
      </c>
      <c r="D128" s="198"/>
      <c r="E128" s="865" t="s">
        <v>996</v>
      </c>
      <c r="F128" s="866" t="s">
        <v>997</v>
      </c>
      <c r="G128" s="280"/>
      <c r="H128" s="280"/>
      <c r="I128" s="280"/>
      <c r="J128" s="280"/>
      <c r="K128" s="280"/>
      <c r="L128" s="280"/>
      <c r="M128" s="281"/>
      <c r="N128" s="282"/>
      <c r="O128" s="280"/>
      <c r="P128" s="280"/>
    </row>
    <row r="129" spans="1:16">
      <c r="A129" s="197"/>
      <c r="B129" s="210"/>
      <c r="C129" s="200">
        <f>[2]Projections!$L$7</f>
        <v>25</v>
      </c>
      <c r="D129" s="200"/>
      <c r="E129" s="867">
        <f>L118-L75</f>
        <v>219.82</v>
      </c>
      <c r="F129" s="868">
        <f>C129+$F$116-1</f>
        <v>28</v>
      </c>
      <c r="G129" s="74"/>
      <c r="H129" s="74"/>
      <c r="I129" s="74"/>
      <c r="J129" s="74"/>
      <c r="K129" s="74"/>
      <c r="L129" s="199">
        <f>IF(AND(L$6&lt;=$F129,L$6&gt;=$C129),IFERROR(-$E129/$F$116,0),0)</f>
        <v>-54.954999999999998</v>
      </c>
      <c r="M129" s="199">
        <f t="shared" ref="M129:P134" si="60">IF(AND(M$6&lt;=$F129,M$6&gt;=$C129),IFERROR(-$E129/$F$116,0),0)</f>
        <v>-54.954999999999998</v>
      </c>
      <c r="N129" s="199">
        <f t="shared" si="60"/>
        <v>-54.954999999999998</v>
      </c>
      <c r="O129" s="199">
        <f t="shared" si="60"/>
        <v>-54.954999999999998</v>
      </c>
      <c r="P129" s="199">
        <f t="shared" si="60"/>
        <v>0</v>
      </c>
    </row>
    <row r="130" spans="1:16">
      <c r="A130" s="197"/>
      <c r="B130" s="210"/>
      <c r="C130" s="200" cm="1">
        <f t="array" ref="C130:C134">TRANSPOSE([2]Projections!$L$7:$P$7)</f>
        <v>25</v>
      </c>
      <c r="D130" s="200"/>
      <c r="E130" s="867" cm="1">
        <f t="array" ref="E130:E134">TRANSPOSE(L126:P126)</f>
        <v>34.659314469273539</v>
      </c>
      <c r="F130" s="868">
        <f t="shared" ref="F130:F134" si="61">C130+$F$116-1</f>
        <v>28</v>
      </c>
      <c r="G130" s="74"/>
      <c r="H130" s="74"/>
      <c r="I130" s="74"/>
      <c r="J130" s="74"/>
      <c r="K130" s="74"/>
      <c r="L130" s="199">
        <f t="shared" ref="L130:L134" si="62">IF(AND(L$6&lt;=$F130,L$6&gt;=$C130),IFERROR(-$E130/$F$116,0),0)</f>
        <v>-8.6648286173183848</v>
      </c>
      <c r="M130" s="199">
        <f t="shared" si="60"/>
        <v>-8.6648286173183848</v>
      </c>
      <c r="N130" s="199">
        <f t="shared" si="60"/>
        <v>-8.6648286173183848</v>
      </c>
      <c r="O130" s="199">
        <f t="shared" si="60"/>
        <v>-8.6648286173183848</v>
      </c>
      <c r="P130" s="199">
        <f t="shared" si="60"/>
        <v>0</v>
      </c>
    </row>
    <row r="131" spans="1:16">
      <c r="A131" s="197"/>
      <c r="B131" s="210"/>
      <c r="C131" s="200">
        <v>26</v>
      </c>
      <c r="D131" s="200"/>
      <c r="E131" s="867">
        <v>42.65265575228586</v>
      </c>
      <c r="F131" s="868">
        <f t="shared" si="61"/>
        <v>29</v>
      </c>
      <c r="G131" s="74"/>
      <c r="H131" s="74"/>
      <c r="I131" s="74"/>
      <c r="J131" s="74"/>
      <c r="K131" s="74"/>
      <c r="L131" s="199">
        <f t="shared" si="62"/>
        <v>0</v>
      </c>
      <c r="M131" s="199">
        <f t="shared" si="60"/>
        <v>-10.663163938071465</v>
      </c>
      <c r="N131" s="199">
        <f t="shared" si="60"/>
        <v>-10.663163938071465</v>
      </c>
      <c r="O131" s="199">
        <f t="shared" si="60"/>
        <v>-10.663163938071465</v>
      </c>
      <c r="P131" s="199">
        <f t="shared" si="60"/>
        <v>-10.663163938071465</v>
      </c>
    </row>
    <row r="132" spans="1:16">
      <c r="A132" s="197"/>
      <c r="B132" s="210"/>
      <c r="C132" s="200">
        <v>27</v>
      </c>
      <c r="D132" s="200"/>
      <c r="E132" s="867">
        <v>52.891857048433991</v>
      </c>
      <c r="F132" s="868">
        <f t="shared" si="61"/>
        <v>30</v>
      </c>
      <c r="G132" s="74"/>
      <c r="H132" s="74"/>
      <c r="I132" s="74"/>
      <c r="J132" s="74"/>
      <c r="K132" s="74"/>
      <c r="L132" s="199">
        <f t="shared" si="62"/>
        <v>0</v>
      </c>
      <c r="M132" s="199">
        <f t="shared" si="60"/>
        <v>0</v>
      </c>
      <c r="N132" s="199">
        <f t="shared" si="60"/>
        <v>-13.222964262108498</v>
      </c>
      <c r="O132" s="199">
        <f t="shared" si="60"/>
        <v>-13.222964262108498</v>
      </c>
      <c r="P132" s="199">
        <f t="shared" si="60"/>
        <v>-13.222964262108498</v>
      </c>
    </row>
    <row r="133" spans="1:16">
      <c r="A133" s="197"/>
      <c r="B133" s="210"/>
      <c r="C133" s="200">
        <v>28</v>
      </c>
      <c r="D133" s="200"/>
      <c r="E133" s="867">
        <v>65.598706034033142</v>
      </c>
      <c r="F133" s="868">
        <f t="shared" si="61"/>
        <v>31</v>
      </c>
      <c r="G133" s="74"/>
      <c r="H133" s="74"/>
      <c r="I133" s="74"/>
      <c r="J133" s="74"/>
      <c r="K133" s="74"/>
      <c r="L133" s="199">
        <f t="shared" si="62"/>
        <v>0</v>
      </c>
      <c r="M133" s="199">
        <f t="shared" si="60"/>
        <v>0</v>
      </c>
      <c r="N133" s="199">
        <f t="shared" si="60"/>
        <v>0</v>
      </c>
      <c r="O133" s="199">
        <f t="shared" si="60"/>
        <v>-16.399676508508286</v>
      </c>
      <c r="P133" s="199">
        <f t="shared" si="60"/>
        <v>-16.399676508508286</v>
      </c>
    </row>
    <row r="134" spans="1:16">
      <c r="A134" s="197"/>
      <c r="B134" s="210"/>
      <c r="C134" s="200">
        <v>29</v>
      </c>
      <c r="D134" s="200"/>
      <c r="E134" s="867">
        <v>81.400931329910748</v>
      </c>
      <c r="F134" s="868">
        <f t="shared" si="61"/>
        <v>32</v>
      </c>
      <c r="G134" s="74"/>
      <c r="H134" s="74"/>
      <c r="I134" s="74"/>
      <c r="J134" s="74"/>
      <c r="K134" s="74"/>
      <c r="L134" s="199">
        <f t="shared" si="62"/>
        <v>0</v>
      </c>
      <c r="M134" s="199">
        <f t="shared" si="60"/>
        <v>0</v>
      </c>
      <c r="N134" s="199">
        <f t="shared" si="60"/>
        <v>0</v>
      </c>
      <c r="O134" s="199">
        <f t="shared" si="60"/>
        <v>0</v>
      </c>
      <c r="P134" s="199">
        <f t="shared" si="60"/>
        <v>-20.350232832477687</v>
      </c>
    </row>
    <row r="135" spans="1:16">
      <c r="A135" s="197"/>
      <c r="B135" s="820"/>
      <c r="C135" s="193" t="s">
        <v>998</v>
      </c>
      <c r="D135" s="193"/>
      <c r="E135" s="193"/>
      <c r="F135" s="864"/>
      <c r="G135" s="84"/>
      <c r="H135" s="84"/>
      <c r="I135" s="84"/>
      <c r="J135" s="84"/>
      <c r="K135" s="84"/>
      <c r="L135" s="211">
        <f>SUM(L129:L134)</f>
        <v>-63.619828617318383</v>
      </c>
      <c r="M135" s="211">
        <f>SUM(M129:M134)</f>
        <v>-74.282992555389853</v>
      </c>
      <c r="N135" s="211">
        <f>SUM(N129:N134)</f>
        <v>-87.505956817498344</v>
      </c>
      <c r="O135" s="211">
        <f>SUM(O129:O134)</f>
        <v>-103.90563332600664</v>
      </c>
      <c r="P135" s="211">
        <f>SUM(P129:P134)</f>
        <v>-60.636037541165933</v>
      </c>
    </row>
    <row r="137" spans="1:16">
      <c r="A137" s="197" t="s">
        <v>57</v>
      </c>
      <c r="B137" s="820"/>
      <c r="C137" s="857" t="str">
        <f>C20</f>
        <v>Motor Vehicles</v>
      </c>
      <c r="D137" s="857"/>
      <c r="E137" s="857"/>
      <c r="F137" s="858"/>
      <c r="G137" s="859"/>
      <c r="H137" s="859"/>
      <c r="I137" s="859"/>
      <c r="J137" s="859"/>
      <c r="K137" s="859"/>
      <c r="L137" s="859"/>
      <c r="M137" s="859"/>
      <c r="N137" s="860"/>
      <c r="O137" s="860"/>
      <c r="P137" s="860"/>
    </row>
    <row r="138" spans="1:16">
      <c r="A138" s="197"/>
      <c r="B138" s="210"/>
      <c r="C138" s="820"/>
      <c r="D138" s="820"/>
      <c r="E138" s="820"/>
      <c r="F138" s="197"/>
      <c r="G138" s="820"/>
      <c r="H138" s="820"/>
      <c r="I138" s="820"/>
      <c r="J138" s="820"/>
      <c r="K138" s="820"/>
      <c r="L138" s="820"/>
      <c r="M138" s="820"/>
      <c r="N138" s="820"/>
      <c r="O138" s="820"/>
      <c r="P138" s="820"/>
    </row>
    <row r="139" spans="1:16">
      <c r="A139" s="197"/>
      <c r="B139" s="820"/>
      <c r="C139" s="196" t="s">
        <v>990</v>
      </c>
      <c r="D139" s="196"/>
      <c r="E139" s="196"/>
      <c r="F139" s="205">
        <f>F20</f>
        <v>6</v>
      </c>
      <c r="G139" s="820"/>
      <c r="H139" s="820"/>
      <c r="I139" s="820"/>
      <c r="J139" s="820"/>
      <c r="K139" s="820"/>
      <c r="L139" s="820"/>
      <c r="M139" s="820"/>
      <c r="N139" s="820"/>
      <c r="O139" s="820"/>
      <c r="P139" s="820"/>
    </row>
    <row r="140" spans="1:16">
      <c r="A140" s="197"/>
      <c r="B140" s="820"/>
      <c r="C140" s="820"/>
      <c r="D140" s="820"/>
      <c r="E140" s="820"/>
      <c r="F140" s="197"/>
      <c r="G140" s="820"/>
      <c r="H140" s="820"/>
      <c r="I140" s="820"/>
      <c r="J140" s="820"/>
      <c r="K140" s="820"/>
      <c r="L140" s="820"/>
      <c r="M140" s="820"/>
      <c r="N140" s="820"/>
      <c r="O140" s="820"/>
      <c r="P140" s="820"/>
    </row>
    <row r="141" spans="1:16">
      <c r="A141" s="197"/>
      <c r="B141" s="820"/>
      <c r="C141" s="206" t="s">
        <v>991</v>
      </c>
      <c r="D141" s="206"/>
      <c r="E141" s="206"/>
      <c r="F141" s="197"/>
      <c r="G141" s="74"/>
      <c r="H141" s="74"/>
      <c r="I141" s="74"/>
      <c r="J141" s="74"/>
      <c r="K141" s="74"/>
      <c r="L141" s="199">
        <f>K34</f>
        <v>580.79999999999995</v>
      </c>
      <c r="M141" s="199">
        <f>L144</f>
        <v>586.34524311335088</v>
      </c>
      <c r="N141" s="199">
        <f>M144</f>
        <v>598.85830153318989</v>
      </c>
      <c r="O141" s="199">
        <f>N144</f>
        <v>620.91213002503241</v>
      </c>
      <c r="P141" s="199">
        <f>O144</f>
        <v>654.82019059453341</v>
      </c>
    </row>
    <row r="142" spans="1:16">
      <c r="A142" s="197"/>
      <c r="B142" s="820"/>
      <c r="C142" s="206" t="s">
        <v>992</v>
      </c>
      <c r="D142" s="206"/>
      <c r="E142" s="206"/>
      <c r="F142" s="197"/>
      <c r="G142" s="74"/>
      <c r="H142" s="74"/>
      <c r="I142" s="74"/>
      <c r="J142" s="74"/>
      <c r="K142" s="74"/>
      <c r="L142" s="207">
        <f>L41</f>
        <v>95.42672554472334</v>
      </c>
      <c r="M142" s="207">
        <f t="shared" ref="M142:P142" si="63">M41</f>
        <v>117.43461567410105</v>
      </c>
      <c r="N142" s="207">
        <f t="shared" si="63"/>
        <v>145.62598260811598</v>
      </c>
      <c r="O142" s="207">
        <f t="shared" si="63"/>
        <v>180.61146946077707</v>
      </c>
      <c r="P142" s="207">
        <f t="shared" si="63"/>
        <v>224.1193875888878</v>
      </c>
    </row>
    <row r="143" spans="1:16">
      <c r="A143" s="197"/>
      <c r="B143" s="820"/>
      <c r="C143" s="206" t="s">
        <v>993</v>
      </c>
      <c r="D143" s="206"/>
      <c r="E143" s="206"/>
      <c r="F143" s="197"/>
      <c r="G143" s="74"/>
      <c r="H143" s="74"/>
      <c r="I143" s="74"/>
      <c r="J143" s="74"/>
      <c r="K143" s="74"/>
      <c r="L143" s="207">
        <f>L158</f>
        <v>-89.88148243137239</v>
      </c>
      <c r="M143" s="207">
        <f t="shared" ref="M143:P143" si="64">M158</f>
        <v>-104.92155725426207</v>
      </c>
      <c r="N143" s="207">
        <f t="shared" si="64"/>
        <v>-123.5721541162734</v>
      </c>
      <c r="O143" s="207">
        <f t="shared" si="64"/>
        <v>-146.70340889127596</v>
      </c>
      <c r="P143" s="207">
        <f t="shared" si="64"/>
        <v>-175.40680557928056</v>
      </c>
    </row>
    <row r="144" spans="1:16">
      <c r="A144" s="201"/>
      <c r="B144" s="820"/>
      <c r="C144" s="193" t="s">
        <v>994</v>
      </c>
      <c r="D144" s="193"/>
      <c r="E144" s="193"/>
      <c r="F144" s="208"/>
      <c r="G144" s="209"/>
      <c r="H144" s="209"/>
      <c r="I144" s="209"/>
      <c r="J144" s="209"/>
      <c r="K144" s="209"/>
      <c r="L144" s="209">
        <f>SUM(L141:L143)</f>
        <v>586.34524311335088</v>
      </c>
      <c r="M144" s="209">
        <f>SUM(M141:M143)</f>
        <v>598.85830153318989</v>
      </c>
      <c r="N144" s="209">
        <f>SUM(N141:N143)</f>
        <v>620.91213002503241</v>
      </c>
      <c r="O144" s="209">
        <f>SUM(O141:O143)</f>
        <v>654.82019059453341</v>
      </c>
      <c r="P144" s="209">
        <f>SUM(P141:P143)</f>
        <v>703.53277260414063</v>
      </c>
    </row>
    <row r="145" spans="1:16">
      <c r="A145" s="197"/>
      <c r="B145" s="206"/>
      <c r="C145" s="820"/>
      <c r="D145" s="820"/>
      <c r="E145" s="820"/>
      <c r="F145" s="197"/>
      <c r="G145" s="820"/>
      <c r="H145" s="820"/>
      <c r="I145" s="820"/>
      <c r="J145" s="820"/>
      <c r="K145" s="820"/>
      <c r="L145" s="820"/>
      <c r="M145" s="820"/>
      <c r="N145" s="820"/>
      <c r="O145" s="820"/>
      <c r="P145" s="820"/>
    </row>
    <row r="146" spans="1:16">
      <c r="A146" s="197"/>
      <c r="B146" s="206"/>
      <c r="C146" s="852" t="s">
        <v>1042</v>
      </c>
      <c r="D146" s="820"/>
      <c r="E146" s="820"/>
      <c r="F146" s="197"/>
      <c r="G146" s="820"/>
      <c r="H146" s="820"/>
      <c r="I146" s="820"/>
      <c r="J146" s="820"/>
      <c r="K146" s="820"/>
      <c r="L146" s="820"/>
      <c r="M146" s="820"/>
      <c r="N146" s="820"/>
      <c r="O146" s="820"/>
      <c r="P146" s="820"/>
    </row>
    <row r="147" spans="1:16">
      <c r="A147" s="197"/>
      <c r="B147" s="206"/>
      <c r="C147" s="820" t="s">
        <v>1043</v>
      </c>
      <c r="D147" s="820"/>
      <c r="E147" s="820"/>
      <c r="F147" s="197"/>
      <c r="G147" s="820"/>
      <c r="H147" s="820"/>
      <c r="I147" s="820"/>
      <c r="J147" s="820"/>
      <c r="K147" s="820"/>
      <c r="L147" s="861">
        <f>L41</f>
        <v>95.42672554472334</v>
      </c>
      <c r="M147" s="861">
        <f t="shared" ref="M147:P147" si="65">M41</f>
        <v>117.43461567410105</v>
      </c>
      <c r="N147" s="861">
        <f t="shared" si="65"/>
        <v>145.62598260811598</v>
      </c>
      <c r="O147" s="861">
        <f t="shared" si="65"/>
        <v>180.61146946077707</v>
      </c>
      <c r="P147" s="861">
        <f t="shared" si="65"/>
        <v>224.1193875888878</v>
      </c>
    </row>
    <row r="148" spans="1:16">
      <c r="A148" s="197"/>
      <c r="B148" s="206"/>
      <c r="C148" s="820" t="s">
        <v>1044</v>
      </c>
      <c r="D148" s="820"/>
      <c r="E148" s="820"/>
      <c r="F148" s="197"/>
      <c r="G148" s="820"/>
      <c r="H148" s="820"/>
      <c r="I148" s="820"/>
      <c r="J148" s="820"/>
      <c r="K148" s="820"/>
      <c r="L148" s="861">
        <f>-L147*L82</f>
        <v>-22.097830956488885</v>
      </c>
      <c r="M148" s="861">
        <f t="shared" ref="M148:P148" si="66">-M147*M82</f>
        <v>-27.194166736762977</v>
      </c>
      <c r="N148" s="861">
        <f t="shared" si="66"/>
        <v>-33.72240143604801</v>
      </c>
      <c r="O148" s="861">
        <f t="shared" si="66"/>
        <v>-41.823940810761663</v>
      </c>
      <c r="P148" s="861">
        <f t="shared" si="66"/>
        <v>-51.899007460860211</v>
      </c>
    </row>
    <row r="149" spans="1:16">
      <c r="A149" s="197"/>
      <c r="B149" s="206"/>
      <c r="C149" s="862" t="s">
        <v>1045</v>
      </c>
      <c r="D149" s="863"/>
      <c r="E149" s="863"/>
      <c r="F149" s="864"/>
      <c r="G149" s="863"/>
      <c r="H149" s="863"/>
      <c r="I149" s="863"/>
      <c r="J149" s="863"/>
      <c r="K149" s="863"/>
      <c r="L149" s="209">
        <f>SUM(L147:L148)</f>
        <v>73.328894588234448</v>
      </c>
      <c r="M149" s="209">
        <f t="shared" ref="M149" si="67">SUM(M147:M148)</f>
        <v>90.240448937338073</v>
      </c>
      <c r="N149" s="209">
        <f t="shared" ref="N149" si="68">SUM(N147:N148)</f>
        <v>111.90358117206796</v>
      </c>
      <c r="O149" s="209">
        <f t="shared" ref="O149" si="69">SUM(O147:O148)</f>
        <v>138.78752865001542</v>
      </c>
      <c r="P149" s="209">
        <f t="shared" ref="P149" si="70">SUM(P147:P148)</f>
        <v>172.22038012802759</v>
      </c>
    </row>
    <row r="150" spans="1:16">
      <c r="A150" s="197"/>
      <c r="B150" s="206"/>
      <c r="C150" s="196"/>
      <c r="D150" s="820"/>
      <c r="E150" s="820"/>
      <c r="F150" s="197"/>
      <c r="G150" s="820"/>
      <c r="H150" s="820"/>
      <c r="I150" s="820"/>
      <c r="J150" s="820"/>
      <c r="K150" s="820"/>
      <c r="L150" s="820"/>
      <c r="M150" s="820"/>
      <c r="N150" s="820"/>
      <c r="O150" s="820"/>
      <c r="P150" s="820"/>
    </row>
    <row r="151" spans="1:16">
      <c r="A151" s="201"/>
      <c r="B151" s="158"/>
      <c r="C151" s="198" t="s">
        <v>995</v>
      </c>
      <c r="D151" s="198"/>
      <c r="E151" s="865" t="s">
        <v>996</v>
      </c>
      <c r="F151" s="866" t="s">
        <v>997</v>
      </c>
      <c r="G151" s="280"/>
      <c r="H151" s="280"/>
      <c r="I151" s="280"/>
      <c r="J151" s="280"/>
      <c r="K151" s="280"/>
      <c r="L151" s="280"/>
      <c r="M151" s="281"/>
      <c r="N151" s="282"/>
      <c r="O151" s="280"/>
      <c r="P151" s="280"/>
    </row>
    <row r="152" spans="1:16">
      <c r="A152" s="197"/>
      <c r="B152" s="210"/>
      <c r="C152" s="200">
        <f>[2]Projections!$L$7</f>
        <v>25</v>
      </c>
      <c r="D152" s="200"/>
      <c r="E152" s="867">
        <f>L141-L76</f>
        <v>465.95999999999992</v>
      </c>
      <c r="F152" s="868">
        <f>C152+$F$139-1</f>
        <v>30</v>
      </c>
      <c r="G152" s="74"/>
      <c r="H152" s="74"/>
      <c r="I152" s="74"/>
      <c r="J152" s="74"/>
      <c r="K152" s="74"/>
      <c r="L152" s="199">
        <f>IF(AND(L$6&lt;=$F152,L$6&gt;=$C152),IFERROR(-$E152/$F$139,0),0)</f>
        <v>-77.659999999999982</v>
      </c>
      <c r="M152" s="199">
        <f t="shared" ref="M152:P157" si="71">IF(AND(M$6&lt;=$F152,M$6&gt;=$C152),IFERROR(-$E152/$F$139,0),0)</f>
        <v>-77.659999999999982</v>
      </c>
      <c r="N152" s="199">
        <f t="shared" si="71"/>
        <v>-77.659999999999982</v>
      </c>
      <c r="O152" s="199">
        <f t="shared" si="71"/>
        <v>-77.659999999999982</v>
      </c>
      <c r="P152" s="199">
        <f t="shared" si="71"/>
        <v>-77.659999999999982</v>
      </c>
    </row>
    <row r="153" spans="1:16">
      <c r="A153" s="197"/>
      <c r="B153" s="210"/>
      <c r="C153" s="200" cm="1">
        <f t="array" ref="C153:C157">TRANSPOSE([2]Projections!$L$7:$P$7)</f>
        <v>25</v>
      </c>
      <c r="D153" s="200"/>
      <c r="E153" s="867" cm="1">
        <f t="array" ref="E153:E157">TRANSPOSE(L149:P149)</f>
        <v>73.328894588234448</v>
      </c>
      <c r="F153" s="868">
        <f t="shared" ref="F153:F157" si="72">C153+$F$139-1</f>
        <v>30</v>
      </c>
      <c r="G153" s="74"/>
      <c r="H153" s="74"/>
      <c r="I153" s="74"/>
      <c r="J153" s="74"/>
      <c r="K153" s="74"/>
      <c r="L153" s="199">
        <f t="shared" ref="L153:L157" si="73">IF(AND(L$6&lt;=$F153,L$6&gt;=$C153),IFERROR(-$E153/$F$139,0),0)</f>
        <v>-12.221482431372408</v>
      </c>
      <c r="M153" s="199">
        <f t="shared" si="71"/>
        <v>-12.221482431372408</v>
      </c>
      <c r="N153" s="199">
        <f t="shared" si="71"/>
        <v>-12.221482431372408</v>
      </c>
      <c r="O153" s="199">
        <f t="shared" si="71"/>
        <v>-12.221482431372408</v>
      </c>
      <c r="P153" s="199">
        <f t="shared" si="71"/>
        <v>-12.221482431372408</v>
      </c>
    </row>
    <row r="154" spans="1:16">
      <c r="A154" s="197"/>
      <c r="B154" s="210"/>
      <c r="C154" s="200">
        <v>26</v>
      </c>
      <c r="D154" s="200"/>
      <c r="E154" s="867">
        <v>90.240448937338073</v>
      </c>
      <c r="F154" s="868">
        <f t="shared" si="72"/>
        <v>31</v>
      </c>
      <c r="G154" s="74"/>
      <c r="H154" s="74"/>
      <c r="I154" s="74"/>
      <c r="J154" s="74"/>
      <c r="K154" s="74"/>
      <c r="L154" s="199">
        <f t="shared" si="73"/>
        <v>0</v>
      </c>
      <c r="M154" s="199">
        <f t="shared" si="71"/>
        <v>-15.040074822889679</v>
      </c>
      <c r="N154" s="199">
        <f t="shared" si="71"/>
        <v>-15.040074822889679</v>
      </c>
      <c r="O154" s="199">
        <f t="shared" si="71"/>
        <v>-15.040074822889679</v>
      </c>
      <c r="P154" s="199">
        <f t="shared" si="71"/>
        <v>-15.040074822889679</v>
      </c>
    </row>
    <row r="155" spans="1:16">
      <c r="A155" s="197"/>
      <c r="B155" s="210"/>
      <c r="C155" s="200">
        <v>27</v>
      </c>
      <c r="D155" s="200"/>
      <c r="E155" s="867">
        <v>111.90358117206796</v>
      </c>
      <c r="F155" s="868">
        <f t="shared" si="72"/>
        <v>32</v>
      </c>
      <c r="G155" s="74"/>
      <c r="H155" s="74"/>
      <c r="I155" s="74"/>
      <c r="J155" s="74"/>
      <c r="K155" s="74"/>
      <c r="L155" s="199">
        <f t="shared" si="73"/>
        <v>0</v>
      </c>
      <c r="M155" s="199">
        <f t="shared" si="71"/>
        <v>0</v>
      </c>
      <c r="N155" s="199">
        <f t="shared" si="71"/>
        <v>-18.650596862011326</v>
      </c>
      <c r="O155" s="199">
        <f t="shared" si="71"/>
        <v>-18.650596862011326</v>
      </c>
      <c r="P155" s="199">
        <f t="shared" si="71"/>
        <v>-18.650596862011326</v>
      </c>
    </row>
    <row r="156" spans="1:16">
      <c r="A156" s="197"/>
      <c r="B156" s="210"/>
      <c r="C156" s="200">
        <v>28</v>
      </c>
      <c r="D156" s="200"/>
      <c r="E156" s="867">
        <v>138.78752865001542</v>
      </c>
      <c r="F156" s="868">
        <f t="shared" si="72"/>
        <v>33</v>
      </c>
      <c r="G156" s="74"/>
      <c r="H156" s="74"/>
      <c r="I156" s="74"/>
      <c r="J156" s="74"/>
      <c r="K156" s="74"/>
      <c r="L156" s="199">
        <f t="shared" si="73"/>
        <v>0</v>
      </c>
      <c r="M156" s="199">
        <f t="shared" si="71"/>
        <v>0</v>
      </c>
      <c r="N156" s="199">
        <f t="shared" si="71"/>
        <v>0</v>
      </c>
      <c r="O156" s="199">
        <f t="shared" si="71"/>
        <v>-23.131254775002571</v>
      </c>
      <c r="P156" s="199">
        <f t="shared" si="71"/>
        <v>-23.131254775002571</v>
      </c>
    </row>
    <row r="157" spans="1:16">
      <c r="A157" s="197"/>
      <c r="B157" s="210"/>
      <c r="C157" s="200">
        <v>29</v>
      </c>
      <c r="D157" s="200"/>
      <c r="E157" s="867">
        <v>172.22038012802759</v>
      </c>
      <c r="F157" s="868">
        <f t="shared" si="72"/>
        <v>34</v>
      </c>
      <c r="G157" s="74"/>
      <c r="H157" s="74"/>
      <c r="I157" s="74"/>
      <c r="J157" s="74"/>
      <c r="K157" s="74"/>
      <c r="L157" s="199">
        <f t="shared" si="73"/>
        <v>0</v>
      </c>
      <c r="M157" s="199">
        <f t="shared" si="71"/>
        <v>0</v>
      </c>
      <c r="N157" s="199">
        <f t="shared" si="71"/>
        <v>0</v>
      </c>
      <c r="O157" s="199">
        <f t="shared" si="71"/>
        <v>0</v>
      </c>
      <c r="P157" s="199">
        <f t="shared" si="71"/>
        <v>-28.703396688004599</v>
      </c>
    </row>
    <row r="158" spans="1:16">
      <c r="A158" s="197"/>
      <c r="B158" s="820"/>
      <c r="C158" s="193" t="s">
        <v>998</v>
      </c>
      <c r="D158" s="193"/>
      <c r="E158" s="193"/>
      <c r="F158" s="864"/>
      <c r="G158" s="84"/>
      <c r="H158" s="84"/>
      <c r="I158" s="84"/>
      <c r="J158" s="84"/>
      <c r="K158" s="84"/>
      <c r="L158" s="211">
        <f>SUM(L152:L157)</f>
        <v>-89.88148243137239</v>
      </c>
      <c r="M158" s="211">
        <f>SUM(M152:M157)</f>
        <v>-104.92155725426207</v>
      </c>
      <c r="N158" s="211">
        <f>SUM(N152:N157)</f>
        <v>-123.5721541162734</v>
      </c>
      <c r="O158" s="211">
        <f>SUM(O152:O157)</f>
        <v>-146.70340889127596</v>
      </c>
      <c r="P158" s="211">
        <f>SUM(P152:P157)</f>
        <v>-175.40680557928056</v>
      </c>
    </row>
    <row r="160" spans="1:16">
      <c r="A160" s="197" t="s">
        <v>57</v>
      </c>
      <c r="B160" s="820"/>
      <c r="C160" s="857" t="str">
        <f>C21</f>
        <v>Office and Other Equipment</v>
      </c>
      <c r="D160" s="857"/>
      <c r="E160" s="857"/>
      <c r="F160" s="858"/>
      <c r="G160" s="859"/>
      <c r="H160" s="859"/>
      <c r="I160" s="859"/>
      <c r="J160" s="859"/>
      <c r="K160" s="859"/>
      <c r="L160" s="859"/>
      <c r="M160" s="859"/>
      <c r="N160" s="860"/>
      <c r="O160" s="860"/>
      <c r="P160" s="860"/>
    </row>
    <row r="161" spans="1:16">
      <c r="A161" s="197"/>
      <c r="B161" s="210"/>
      <c r="C161" s="820"/>
      <c r="D161" s="820"/>
      <c r="E161" s="820"/>
      <c r="F161" s="197"/>
      <c r="G161" s="820"/>
      <c r="H161" s="820"/>
      <c r="I161" s="820"/>
      <c r="J161" s="820"/>
      <c r="K161" s="820"/>
      <c r="L161" s="820"/>
      <c r="M161" s="820"/>
      <c r="N161" s="820"/>
      <c r="O161" s="820"/>
      <c r="P161" s="820"/>
    </row>
    <row r="162" spans="1:16">
      <c r="A162" s="197"/>
      <c r="B162" s="820"/>
      <c r="C162" s="196" t="s">
        <v>990</v>
      </c>
      <c r="D162" s="196"/>
      <c r="E162" s="196"/>
      <c r="F162" s="205">
        <f>F21</f>
        <v>5</v>
      </c>
      <c r="G162" s="820"/>
      <c r="H162" s="820"/>
      <c r="I162" s="820"/>
      <c r="J162" s="820"/>
      <c r="K162" s="820"/>
      <c r="L162" s="820"/>
      <c r="M162" s="820"/>
      <c r="N162" s="820"/>
      <c r="O162" s="820"/>
      <c r="P162" s="820"/>
    </row>
    <row r="163" spans="1:16">
      <c r="A163" s="197"/>
      <c r="B163" s="820"/>
      <c r="C163" s="820"/>
      <c r="D163" s="820"/>
      <c r="E163" s="820"/>
      <c r="F163" s="197"/>
      <c r="G163" s="820"/>
      <c r="H163" s="820"/>
      <c r="I163" s="820"/>
      <c r="J163" s="820"/>
      <c r="K163" s="820"/>
      <c r="L163" s="820"/>
      <c r="M163" s="820"/>
      <c r="N163" s="820"/>
      <c r="O163" s="820"/>
      <c r="P163" s="820"/>
    </row>
    <row r="164" spans="1:16">
      <c r="A164" s="197"/>
      <c r="B164" s="820"/>
      <c r="C164" s="206" t="s">
        <v>991</v>
      </c>
      <c r="D164" s="206"/>
      <c r="E164" s="206"/>
      <c r="F164" s="197"/>
      <c r="G164" s="74"/>
      <c r="H164" s="74"/>
      <c r="I164" s="74"/>
      <c r="J164" s="74"/>
      <c r="K164" s="74"/>
      <c r="L164" s="199">
        <f>K35</f>
        <v>68.400000000000006</v>
      </c>
      <c r="M164" s="199">
        <f>L167</f>
        <v>73.615966892044668</v>
      </c>
      <c r="N164" s="199">
        <f>M167</f>
        <v>79.10303154232713</v>
      </c>
      <c r="O164" s="199">
        <f>N167</f>
        <v>85.126515491877171</v>
      </c>
      <c r="P164" s="199">
        <f>O167</f>
        <v>91.820041964322073</v>
      </c>
    </row>
    <row r="165" spans="1:16">
      <c r="A165" s="197"/>
      <c r="B165" s="820"/>
      <c r="C165" s="206" t="s">
        <v>992</v>
      </c>
      <c r="D165" s="206"/>
      <c r="E165" s="206"/>
      <c r="F165" s="197"/>
      <c r="G165" s="74"/>
      <c r="H165" s="74"/>
      <c r="I165" s="74"/>
      <c r="J165" s="74"/>
      <c r="K165" s="74"/>
      <c r="L165" s="207">
        <f>L42</f>
        <v>21.225437587238247</v>
      </c>
      <c r="M165" s="207">
        <f t="shared" ref="M165:P165" si="74">M42</f>
        <v>26.120576718350694</v>
      </c>
      <c r="N165" s="207">
        <f t="shared" si="74"/>
        <v>32.391085278098224</v>
      </c>
      <c r="O165" s="207">
        <f t="shared" si="74"/>
        <v>40.172786509188654</v>
      </c>
      <c r="P165" s="207">
        <f t="shared" si="74"/>
        <v>49.850102748506579</v>
      </c>
    </row>
    <row r="166" spans="1:16">
      <c r="A166" s="197"/>
      <c r="B166" s="820"/>
      <c r="C166" s="206" t="s">
        <v>993</v>
      </c>
      <c r="D166" s="206"/>
      <c r="E166" s="206"/>
      <c r="F166" s="197"/>
      <c r="G166" s="74"/>
      <c r="H166" s="74"/>
      <c r="I166" s="74"/>
      <c r="J166" s="74"/>
      <c r="K166" s="74"/>
      <c r="L166" s="207">
        <f>L181</f>
        <v>-16.009470695193581</v>
      </c>
      <c r="M166" s="207">
        <f t="shared" ref="M166:P166" si="75">M181</f>
        <v>-20.633512068068235</v>
      </c>
      <c r="N166" s="207">
        <f t="shared" si="75"/>
        <v>-26.367601328548183</v>
      </c>
      <c r="O166" s="207">
        <f t="shared" si="75"/>
        <v>-33.479260036743753</v>
      </c>
      <c r="P166" s="207">
        <f t="shared" si="75"/>
        <v>-42.304062798055128</v>
      </c>
    </row>
    <row r="167" spans="1:16">
      <c r="A167" s="201"/>
      <c r="B167" s="820"/>
      <c r="C167" s="193" t="s">
        <v>994</v>
      </c>
      <c r="D167" s="193"/>
      <c r="E167" s="193"/>
      <c r="F167" s="208"/>
      <c r="G167" s="209"/>
      <c r="H167" s="209"/>
      <c r="I167" s="209"/>
      <c r="J167" s="209"/>
      <c r="K167" s="209"/>
      <c r="L167" s="209">
        <f>SUM(L164:L166)</f>
        <v>73.615966892044668</v>
      </c>
      <c r="M167" s="209">
        <f>SUM(M164:M166)</f>
        <v>79.10303154232713</v>
      </c>
      <c r="N167" s="209">
        <f>SUM(N164:N166)</f>
        <v>85.126515491877171</v>
      </c>
      <c r="O167" s="209">
        <f>SUM(O164:O166)</f>
        <v>91.820041964322073</v>
      </c>
      <c r="P167" s="209">
        <f>SUM(P164:P166)</f>
        <v>99.366081914773531</v>
      </c>
    </row>
    <row r="168" spans="1:16">
      <c r="A168" s="197"/>
      <c r="B168" s="206"/>
      <c r="C168" s="820"/>
      <c r="D168" s="820"/>
      <c r="E168" s="820"/>
      <c r="F168" s="197"/>
      <c r="G168" s="820"/>
      <c r="H168" s="820"/>
      <c r="I168" s="820"/>
      <c r="J168" s="820"/>
      <c r="K168" s="820"/>
      <c r="L168" s="820"/>
      <c r="M168" s="820"/>
      <c r="N168" s="820"/>
      <c r="O168" s="820"/>
      <c r="P168" s="820"/>
    </row>
    <row r="169" spans="1:16">
      <c r="A169" s="197"/>
      <c r="B169" s="206"/>
      <c r="C169" s="852" t="s">
        <v>1042</v>
      </c>
      <c r="D169" s="820"/>
      <c r="E169" s="820"/>
      <c r="F169" s="197"/>
      <c r="G169" s="820"/>
      <c r="H169" s="820"/>
      <c r="I169" s="820"/>
      <c r="J169" s="820"/>
      <c r="K169" s="820"/>
      <c r="L169" s="820"/>
      <c r="M169" s="820"/>
      <c r="N169" s="820"/>
      <c r="O169" s="820"/>
      <c r="P169" s="820"/>
    </row>
    <row r="170" spans="1:16">
      <c r="A170" s="197"/>
      <c r="B170" s="206"/>
      <c r="C170" s="820" t="s">
        <v>1043</v>
      </c>
      <c r="D170" s="820"/>
      <c r="E170" s="820"/>
      <c r="F170" s="197"/>
      <c r="G170" s="820"/>
      <c r="H170" s="820"/>
      <c r="I170" s="820"/>
      <c r="J170" s="820"/>
      <c r="K170" s="820"/>
      <c r="L170" s="861">
        <f>L42</f>
        <v>21.225437587238247</v>
      </c>
      <c r="M170" s="861">
        <f t="shared" ref="M170:P170" si="76">M42</f>
        <v>26.120576718350694</v>
      </c>
      <c r="N170" s="861">
        <f t="shared" si="76"/>
        <v>32.391085278098224</v>
      </c>
      <c r="O170" s="861">
        <f t="shared" si="76"/>
        <v>40.172786509188654</v>
      </c>
      <c r="P170" s="861">
        <f t="shared" si="76"/>
        <v>49.850102748506579</v>
      </c>
    </row>
    <row r="171" spans="1:16">
      <c r="A171" s="197"/>
      <c r="B171" s="206"/>
      <c r="C171" s="820" t="s">
        <v>1044</v>
      </c>
      <c r="D171" s="820"/>
      <c r="E171" s="820"/>
      <c r="F171" s="197"/>
      <c r="G171" s="820"/>
      <c r="H171" s="820"/>
      <c r="I171" s="820"/>
      <c r="J171" s="820"/>
      <c r="K171" s="820"/>
      <c r="L171" s="861">
        <f>-L170*L83</f>
        <v>-2.4380841112703449</v>
      </c>
      <c r="M171" s="861">
        <f t="shared" ref="M171:P171" si="77">-M170*M83</f>
        <v>-3.0003698539774226</v>
      </c>
      <c r="N171" s="861">
        <f t="shared" si="77"/>
        <v>-3.7206389756984772</v>
      </c>
      <c r="O171" s="861">
        <f t="shared" si="77"/>
        <v>-4.6144929682108202</v>
      </c>
      <c r="P171" s="861">
        <f t="shared" si="77"/>
        <v>-5.7260889419496817</v>
      </c>
    </row>
    <row r="172" spans="1:16">
      <c r="A172" s="197"/>
      <c r="B172" s="206"/>
      <c r="C172" s="862" t="s">
        <v>1045</v>
      </c>
      <c r="D172" s="863"/>
      <c r="E172" s="863"/>
      <c r="F172" s="864"/>
      <c r="G172" s="863"/>
      <c r="H172" s="863"/>
      <c r="I172" s="863"/>
      <c r="J172" s="863"/>
      <c r="K172" s="863"/>
      <c r="L172" s="209">
        <f>SUM(L170:L171)</f>
        <v>18.787353475967901</v>
      </c>
      <c r="M172" s="209">
        <f t="shared" ref="M172" si="78">SUM(M170:M171)</f>
        <v>23.120206864373273</v>
      </c>
      <c r="N172" s="209">
        <f t="shared" ref="N172" si="79">SUM(N170:N171)</f>
        <v>28.670446302399746</v>
      </c>
      <c r="O172" s="209">
        <f t="shared" ref="O172" si="80">SUM(O170:O171)</f>
        <v>35.558293540977836</v>
      </c>
      <c r="P172" s="209">
        <f t="shared" ref="P172" si="81">SUM(P170:P171)</f>
        <v>44.124013806556896</v>
      </c>
    </row>
    <row r="173" spans="1:16">
      <c r="A173" s="197"/>
      <c r="B173" s="206"/>
      <c r="C173" s="196"/>
      <c r="D173" s="820"/>
      <c r="E173" s="820"/>
      <c r="F173" s="197"/>
      <c r="G173" s="820"/>
      <c r="H173" s="820"/>
      <c r="I173" s="820"/>
      <c r="J173" s="820"/>
      <c r="K173" s="820"/>
      <c r="L173" s="820"/>
      <c r="M173" s="820"/>
      <c r="N173" s="820"/>
      <c r="O173" s="820"/>
      <c r="P173" s="820"/>
    </row>
    <row r="174" spans="1:16">
      <c r="A174" s="201"/>
      <c r="B174" s="158"/>
      <c r="C174" s="198" t="s">
        <v>995</v>
      </c>
      <c r="D174" s="198"/>
      <c r="E174" s="865" t="s">
        <v>996</v>
      </c>
      <c r="F174" s="866" t="s">
        <v>997</v>
      </c>
      <c r="G174" s="280"/>
      <c r="H174" s="280"/>
      <c r="I174" s="280"/>
      <c r="J174" s="280"/>
      <c r="K174" s="280"/>
      <c r="L174" s="280"/>
      <c r="M174" s="281"/>
      <c r="N174" s="282"/>
      <c r="O174" s="280"/>
      <c r="P174" s="280"/>
    </row>
    <row r="175" spans="1:16">
      <c r="A175" s="197"/>
      <c r="B175" s="210"/>
      <c r="C175" s="200">
        <f>[2]Projections!$L$7</f>
        <v>25</v>
      </c>
      <c r="D175" s="200"/>
      <c r="E175" s="867">
        <f>L164-L77</f>
        <v>61.260000000000005</v>
      </c>
      <c r="F175" s="868">
        <f>C175+$F$162-1</f>
        <v>29</v>
      </c>
      <c r="G175" s="74"/>
      <c r="H175" s="74"/>
      <c r="I175" s="74"/>
      <c r="J175" s="74"/>
      <c r="K175" s="74"/>
      <c r="L175" s="199">
        <f>IF(AND(L$6&lt;=$F175,L$6&gt;=$C175),IFERROR(-$E175/$F$162,0),0)</f>
        <v>-12.252000000000001</v>
      </c>
      <c r="M175" s="199">
        <f t="shared" ref="M175:P180" si="82">IF(AND(M$6&lt;=$F175,M$6&gt;=$C175),IFERROR(-$E175/$F$162,0),0)</f>
        <v>-12.252000000000001</v>
      </c>
      <c r="N175" s="199">
        <f t="shared" si="82"/>
        <v>-12.252000000000001</v>
      </c>
      <c r="O175" s="199">
        <f t="shared" si="82"/>
        <v>-12.252000000000001</v>
      </c>
      <c r="P175" s="199">
        <f t="shared" si="82"/>
        <v>-12.252000000000001</v>
      </c>
    </row>
    <row r="176" spans="1:16">
      <c r="A176" s="197"/>
      <c r="B176" s="210"/>
      <c r="C176" s="200" cm="1">
        <f t="array" ref="C176:C180">TRANSPOSE([2]Projections!$L$7:$P$7)</f>
        <v>25</v>
      </c>
      <c r="D176" s="200"/>
      <c r="E176" s="867" cm="1">
        <f t="array" ref="E176:E180">TRANSPOSE(L172:P172)</f>
        <v>18.787353475967901</v>
      </c>
      <c r="F176" s="868">
        <f t="shared" ref="F176:F180" si="83">C176+$F$162-1</f>
        <v>29</v>
      </c>
      <c r="G176" s="74"/>
      <c r="H176" s="74"/>
      <c r="I176" s="74"/>
      <c r="J176" s="74"/>
      <c r="K176" s="74"/>
      <c r="L176" s="199">
        <f t="shared" ref="L176:L180" si="84">IF(AND(L$6&lt;=$F176,L$6&gt;=$C176),IFERROR(-$E176/$F$162,0),0)</f>
        <v>-3.7574706951935801</v>
      </c>
      <c r="M176" s="199">
        <f t="shared" si="82"/>
        <v>-3.7574706951935801</v>
      </c>
      <c r="N176" s="199">
        <f t="shared" si="82"/>
        <v>-3.7574706951935801</v>
      </c>
      <c r="O176" s="199">
        <f t="shared" si="82"/>
        <v>-3.7574706951935801</v>
      </c>
      <c r="P176" s="199">
        <f t="shared" si="82"/>
        <v>-3.7574706951935801</v>
      </c>
    </row>
    <row r="177" spans="1:16">
      <c r="A177" s="197"/>
      <c r="B177" s="210"/>
      <c r="C177" s="200">
        <v>26</v>
      </c>
      <c r="D177" s="200"/>
      <c r="E177" s="867">
        <v>23.120206864373273</v>
      </c>
      <c r="F177" s="868">
        <f t="shared" si="83"/>
        <v>30</v>
      </c>
      <c r="G177" s="74"/>
      <c r="H177" s="74"/>
      <c r="I177" s="74"/>
      <c r="J177" s="74"/>
      <c r="K177" s="74"/>
      <c r="L177" s="199">
        <f t="shared" si="84"/>
        <v>0</v>
      </c>
      <c r="M177" s="199">
        <f t="shared" si="82"/>
        <v>-4.6240413728746548</v>
      </c>
      <c r="N177" s="199">
        <f t="shared" si="82"/>
        <v>-4.6240413728746548</v>
      </c>
      <c r="O177" s="199">
        <f t="shared" si="82"/>
        <v>-4.6240413728746548</v>
      </c>
      <c r="P177" s="199">
        <f t="shared" si="82"/>
        <v>-4.6240413728746548</v>
      </c>
    </row>
    <row r="178" spans="1:16">
      <c r="A178" s="197"/>
      <c r="B178" s="210"/>
      <c r="C178" s="200">
        <v>27</v>
      </c>
      <c r="D178" s="200"/>
      <c r="E178" s="867">
        <v>28.670446302399746</v>
      </c>
      <c r="F178" s="868">
        <f t="shared" si="83"/>
        <v>31</v>
      </c>
      <c r="G178" s="74"/>
      <c r="H178" s="74"/>
      <c r="I178" s="74"/>
      <c r="J178" s="74"/>
      <c r="K178" s="74"/>
      <c r="L178" s="199">
        <f t="shared" si="84"/>
        <v>0</v>
      </c>
      <c r="M178" s="199">
        <f t="shared" si="82"/>
        <v>0</v>
      </c>
      <c r="N178" s="199">
        <f t="shared" si="82"/>
        <v>-5.7340892604799496</v>
      </c>
      <c r="O178" s="199">
        <f t="shared" si="82"/>
        <v>-5.7340892604799496</v>
      </c>
      <c r="P178" s="199">
        <f t="shared" si="82"/>
        <v>-5.7340892604799496</v>
      </c>
    </row>
    <row r="179" spans="1:16">
      <c r="A179" s="197"/>
      <c r="B179" s="210"/>
      <c r="C179" s="200">
        <v>28</v>
      </c>
      <c r="D179" s="200"/>
      <c r="E179" s="867">
        <v>35.558293540977836</v>
      </c>
      <c r="F179" s="868">
        <f t="shared" si="83"/>
        <v>32</v>
      </c>
      <c r="G179" s="74"/>
      <c r="H179" s="74"/>
      <c r="I179" s="74"/>
      <c r="J179" s="74"/>
      <c r="K179" s="74"/>
      <c r="L179" s="199">
        <f t="shared" si="84"/>
        <v>0</v>
      </c>
      <c r="M179" s="199">
        <f t="shared" si="82"/>
        <v>0</v>
      </c>
      <c r="N179" s="199">
        <f t="shared" si="82"/>
        <v>0</v>
      </c>
      <c r="O179" s="199">
        <f t="shared" si="82"/>
        <v>-7.1116587081955673</v>
      </c>
      <c r="P179" s="199">
        <f t="shared" si="82"/>
        <v>-7.1116587081955673</v>
      </c>
    </row>
    <row r="180" spans="1:16">
      <c r="A180" s="197"/>
      <c r="B180" s="210"/>
      <c r="C180" s="200">
        <v>29</v>
      </c>
      <c r="D180" s="200"/>
      <c r="E180" s="867">
        <v>44.124013806556896</v>
      </c>
      <c r="F180" s="868">
        <f t="shared" si="83"/>
        <v>33</v>
      </c>
      <c r="G180" s="74"/>
      <c r="H180" s="74"/>
      <c r="I180" s="74"/>
      <c r="J180" s="74"/>
      <c r="K180" s="74"/>
      <c r="L180" s="199">
        <f t="shared" si="84"/>
        <v>0</v>
      </c>
      <c r="M180" s="199">
        <f t="shared" si="82"/>
        <v>0</v>
      </c>
      <c r="N180" s="199">
        <f t="shared" si="82"/>
        <v>0</v>
      </c>
      <c r="O180" s="199">
        <f t="shared" si="82"/>
        <v>0</v>
      </c>
      <c r="P180" s="199">
        <f t="shared" si="82"/>
        <v>-8.8248027613113784</v>
      </c>
    </row>
    <row r="181" spans="1:16">
      <c r="A181" s="197"/>
      <c r="B181" s="820"/>
      <c r="C181" s="193" t="s">
        <v>998</v>
      </c>
      <c r="D181" s="193"/>
      <c r="E181" s="193"/>
      <c r="F181" s="864"/>
      <c r="G181" s="84"/>
      <c r="H181" s="84"/>
      <c r="I181" s="84"/>
      <c r="J181" s="84"/>
      <c r="K181" s="84"/>
      <c r="L181" s="211">
        <f>SUM(L175:L180)</f>
        <v>-16.009470695193581</v>
      </c>
      <c r="M181" s="211">
        <f>SUM(M175:M180)</f>
        <v>-20.633512068068235</v>
      </c>
      <c r="N181" s="211">
        <f>SUM(N175:N180)</f>
        <v>-26.367601328548183</v>
      </c>
      <c r="O181" s="211">
        <f>SUM(O175:O180)</f>
        <v>-33.479260036743753</v>
      </c>
      <c r="P181" s="211">
        <f>SUM(P175:P180)</f>
        <v>-42.304062798055128</v>
      </c>
    </row>
  </sheetData>
  <dataValidations count="1">
    <dataValidation type="list" allowBlank="1" showInputMessage="1" showErrorMessage="1" sqref="F4" xr:uid="{1A206833-C66F-4DDA-ACB5-ECC78E727C7F}">
      <formula1>"Bear Case, Base Case, Bull Case"</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F955C-10D2-48FD-9D61-7316C3C0A419}">
  <dimension ref="A1:U478"/>
  <sheetViews>
    <sheetView showGridLines="0" zoomScale="70" zoomScaleNormal="70" workbookViewId="0">
      <selection activeCell="C11" sqref="C11:J13"/>
    </sheetView>
  </sheetViews>
  <sheetFormatPr baseColWidth="10" defaultColWidth="8.5" defaultRowHeight="16"/>
  <cols>
    <col min="1" max="2" width="2.5" style="38" customWidth="1"/>
    <col min="3" max="3" width="79" style="38" customWidth="1"/>
    <col min="4" max="4" width="11.5" style="38" customWidth="1"/>
    <col min="5" max="5" width="11.83203125" style="38" customWidth="1"/>
    <col min="6" max="15" width="15.5" style="38" customWidth="1"/>
    <col min="16" max="16384" width="8.5" style="38"/>
  </cols>
  <sheetData>
    <row r="1" spans="1:21" s="64" customFormat="1" ht="35">
      <c r="C1" s="1" t="str">
        <f>Cover!$C$7&amp;" ("&amp;Cover!$C$8&amp;": "&amp;Cover!$C$9&amp;")"</f>
        <v>Grab Holdings Limited (NASDAQ: GRAB)</v>
      </c>
      <c r="D1" s="91"/>
      <c r="E1" s="92"/>
      <c r="F1" s="92"/>
      <c r="G1" s="92"/>
      <c r="H1" s="92"/>
      <c r="I1" s="92"/>
      <c r="J1" s="92"/>
      <c r="K1" s="92"/>
      <c r="L1" s="92"/>
      <c r="M1" s="92"/>
      <c r="N1" s="92"/>
      <c r="O1" s="92"/>
    </row>
    <row r="2" spans="1:21" s="64" customFormat="1">
      <c r="C2" s="92"/>
      <c r="D2" s="92"/>
      <c r="E2" s="92"/>
      <c r="F2" s="92"/>
      <c r="G2" s="92"/>
      <c r="H2" s="92"/>
      <c r="I2" s="92"/>
      <c r="J2" s="92"/>
      <c r="K2" s="92"/>
      <c r="L2" s="92"/>
      <c r="M2" s="92"/>
      <c r="N2" s="92"/>
      <c r="O2" s="92"/>
    </row>
    <row r="3" spans="1:21" s="64" customFormat="1">
      <c r="C3" s="654" t="s">
        <v>264</v>
      </c>
      <c r="D3" s="655"/>
      <c r="E3" s="652">
        <f ca="1">Cover!$C$18</f>
        <v>7.2080318777471293</v>
      </c>
      <c r="F3" s="94"/>
      <c r="G3" s="94"/>
      <c r="H3" s="94"/>
      <c r="I3" s="94"/>
      <c r="J3" s="94"/>
      <c r="K3" s="94"/>
      <c r="L3" s="94"/>
      <c r="M3" s="94"/>
      <c r="N3" s="94"/>
      <c r="O3" s="94"/>
    </row>
    <row r="4" spans="1:21" s="64" customFormat="1">
      <c r="C4" s="656" t="s">
        <v>265</v>
      </c>
      <c r="D4" s="657"/>
      <c r="E4" s="658" t="str">
        <f>Cover!$C$11</f>
        <v>Base Case</v>
      </c>
      <c r="F4" s="93"/>
      <c r="G4" s="94"/>
      <c r="H4" s="94"/>
      <c r="I4" s="94"/>
      <c r="J4" s="94"/>
      <c r="K4" s="94"/>
      <c r="L4" s="94"/>
      <c r="M4" s="94"/>
      <c r="N4" s="94"/>
      <c r="O4" s="94"/>
    </row>
    <row r="5" spans="1:21" s="64" customFormat="1" ht="19">
      <c r="C5" s="93"/>
      <c r="D5" s="93"/>
      <c r="E5" s="94"/>
      <c r="F5" s="95" t="s">
        <v>43</v>
      </c>
      <c r="G5" s="95"/>
      <c r="H5" s="95"/>
      <c r="I5" s="95"/>
      <c r="J5" s="95"/>
      <c r="K5" s="95" t="s">
        <v>44</v>
      </c>
      <c r="L5" s="95"/>
      <c r="M5" s="95"/>
      <c r="N5" s="95"/>
      <c r="O5" s="95"/>
    </row>
    <row r="6" spans="1:21" s="64" customFormat="1" ht="19">
      <c r="C6" s="147" t="str">
        <f>"In "&amp;Cover!$C$10&amp;", unless stated otherwise"</f>
        <v>In USD Mn, unless stated otherwise</v>
      </c>
      <c r="D6" s="65"/>
      <c r="E6" s="96" t="s">
        <v>45</v>
      </c>
      <c r="F6" s="52">
        <v>20</v>
      </c>
      <c r="G6" s="52">
        <f>F6+1</f>
        <v>21</v>
      </c>
      <c r="H6" s="52">
        <f t="shared" ref="H6:O6" si="0">G6+1</f>
        <v>22</v>
      </c>
      <c r="I6" s="52">
        <f t="shared" si="0"/>
        <v>23</v>
      </c>
      <c r="J6" s="52">
        <f t="shared" si="0"/>
        <v>24</v>
      </c>
      <c r="K6" s="53">
        <f t="shared" si="0"/>
        <v>25</v>
      </c>
      <c r="L6" s="53">
        <f t="shared" si="0"/>
        <v>26</v>
      </c>
      <c r="M6" s="53">
        <f t="shared" si="0"/>
        <v>27</v>
      </c>
      <c r="N6" s="53">
        <f t="shared" si="0"/>
        <v>28</v>
      </c>
      <c r="O6" s="53">
        <f t="shared" si="0"/>
        <v>29</v>
      </c>
      <c r="P6" s="116" t="s">
        <v>46</v>
      </c>
    </row>
    <row r="8" spans="1:21">
      <c r="A8" s="97">
        <v>1</v>
      </c>
      <c r="C8" s="65" t="s">
        <v>1046</v>
      </c>
      <c r="D8" s="65"/>
      <c r="E8" s="64"/>
      <c r="F8" s="64"/>
      <c r="G8" s="64"/>
      <c r="H8" s="64"/>
      <c r="I8" s="64"/>
      <c r="J8" s="64"/>
      <c r="K8" s="64"/>
      <c r="L8" s="64"/>
      <c r="M8" s="64"/>
      <c r="N8" s="64"/>
      <c r="O8" s="64"/>
      <c r="R8" s="99"/>
      <c r="S8" s="99"/>
      <c r="T8" s="99"/>
      <c r="U8" s="99"/>
    </row>
    <row r="9" spans="1:21">
      <c r="R9" s="99"/>
      <c r="S9" s="99"/>
      <c r="T9" s="99"/>
      <c r="U9" s="99"/>
    </row>
    <row r="10" spans="1:21">
      <c r="C10" s="85" t="s">
        <v>1047</v>
      </c>
      <c r="D10" s="85"/>
      <c r="E10" s="86"/>
      <c r="F10" s="86"/>
      <c r="G10" s="86"/>
      <c r="H10" s="86"/>
      <c r="I10" s="86"/>
      <c r="J10" s="86"/>
      <c r="K10" s="86"/>
      <c r="L10" s="86"/>
      <c r="M10" s="86"/>
      <c r="N10" s="86"/>
      <c r="O10" s="86"/>
    </row>
    <row r="11" spans="1:21">
      <c r="C11" s="38" t="s">
        <v>47</v>
      </c>
      <c r="E11" s="54" t="s">
        <v>48</v>
      </c>
      <c r="F11" s="55">
        <v>5</v>
      </c>
      <c r="G11" s="55">
        <v>148</v>
      </c>
      <c r="H11" s="55">
        <v>724</v>
      </c>
      <c r="I11" s="55">
        <v>1310</v>
      </c>
      <c r="J11" s="55">
        <v>1493</v>
      </c>
      <c r="K11" s="38">
        <f>K52</f>
        <v>1777.4296163266451</v>
      </c>
      <c r="L11" s="38">
        <f t="shared" ref="L11:O11" si="1">L52</f>
        <v>2109.9431719696076</v>
      </c>
      <c r="M11" s="38">
        <f t="shared" si="1"/>
        <v>2528.1524324321626</v>
      </c>
      <c r="N11" s="38">
        <f t="shared" si="1"/>
        <v>3029.4182579130843</v>
      </c>
      <c r="O11" s="38">
        <f t="shared" si="1"/>
        <v>3627.8214402058065</v>
      </c>
    </row>
    <row r="12" spans="1:21">
      <c r="C12" s="38" t="s">
        <v>49</v>
      </c>
      <c r="E12" s="54" t="s">
        <v>48</v>
      </c>
      <c r="F12" s="55">
        <v>438</v>
      </c>
      <c r="G12" s="55">
        <v>456</v>
      </c>
      <c r="H12" s="55">
        <v>643</v>
      </c>
      <c r="I12" s="55">
        <v>871</v>
      </c>
      <c r="J12" s="55">
        <v>1047</v>
      </c>
      <c r="K12" s="38">
        <f>K186</f>
        <v>1346.1042477269962</v>
      </c>
      <c r="L12" s="38">
        <f t="shared" ref="L12:O12" si="2">L186</f>
        <v>1729.3738745090534</v>
      </c>
      <c r="M12" s="38">
        <f t="shared" si="2"/>
        <v>2236.1566989731818</v>
      </c>
      <c r="N12" s="38">
        <f t="shared" si="2"/>
        <v>2888.0170917532114</v>
      </c>
      <c r="O12" s="38">
        <f t="shared" si="2"/>
        <v>3724.1224712015937</v>
      </c>
    </row>
    <row r="13" spans="1:21">
      <c r="C13" s="38" t="s">
        <v>50</v>
      </c>
      <c r="E13" s="54" t="s">
        <v>48</v>
      </c>
      <c r="F13" s="55">
        <v>-10</v>
      </c>
      <c r="G13" s="55">
        <v>27</v>
      </c>
      <c r="H13" s="55">
        <v>64</v>
      </c>
      <c r="I13" s="55">
        <v>177</v>
      </c>
      <c r="J13" s="55">
        <v>253</v>
      </c>
      <c r="K13" s="38">
        <f>K343</f>
        <v>317.85641298303085</v>
      </c>
      <c r="L13" s="38">
        <f t="shared" ref="L13:O13" si="3">L343</f>
        <v>394.52885497306556</v>
      </c>
      <c r="M13" s="38">
        <f t="shared" si="3"/>
        <v>484.23552341934965</v>
      </c>
      <c r="N13" s="38">
        <f t="shared" si="3"/>
        <v>589.61205116559859</v>
      </c>
      <c r="O13" s="38">
        <f t="shared" si="3"/>
        <v>719.12533054192329</v>
      </c>
    </row>
    <row r="14" spans="1:21" ht="17" thickBot="1">
      <c r="C14" s="38" t="s">
        <v>51</v>
      </c>
      <c r="D14" s="106"/>
      <c r="E14" s="98" t="s">
        <v>48</v>
      </c>
      <c r="F14" s="55">
        <v>36</v>
      </c>
      <c r="G14" s="55">
        <v>44</v>
      </c>
      <c r="H14" s="55">
        <v>2</v>
      </c>
      <c r="I14" s="55">
        <v>1</v>
      </c>
      <c r="J14" s="55">
        <v>4</v>
      </c>
      <c r="K14" s="38">
        <f>K474</f>
        <v>5.7676767676767682</v>
      </c>
      <c r="L14" s="38">
        <f t="shared" ref="L14:O14" si="4">L474</f>
        <v>8.3165238240995834</v>
      </c>
      <c r="M14" s="38">
        <f t="shared" si="4"/>
        <v>11.991755312022381</v>
      </c>
      <c r="N14" s="38">
        <f t="shared" si="4"/>
        <v>17.29114212920399</v>
      </c>
      <c r="O14" s="38">
        <f t="shared" si="4"/>
        <v>24.932429686301717</v>
      </c>
    </row>
    <row r="15" spans="1:21" ht="17" thickBot="1">
      <c r="C15" s="66" t="s">
        <v>52</v>
      </c>
      <c r="D15" s="100"/>
      <c r="E15" s="98" t="s">
        <v>48</v>
      </c>
      <c r="F15" s="68">
        <f t="shared" ref="F15:O15" si="5">SUM(F11:F14)</f>
        <v>469</v>
      </c>
      <c r="G15" s="68">
        <f t="shared" si="5"/>
        <v>675</v>
      </c>
      <c r="H15" s="68">
        <f t="shared" si="5"/>
        <v>1433</v>
      </c>
      <c r="I15" s="68">
        <f t="shared" si="5"/>
        <v>2359</v>
      </c>
      <c r="J15" s="68">
        <f t="shared" si="5"/>
        <v>2797</v>
      </c>
      <c r="K15" s="68">
        <f t="shared" si="5"/>
        <v>3447.1579538043488</v>
      </c>
      <c r="L15" s="68">
        <f t="shared" si="5"/>
        <v>4242.1624252758265</v>
      </c>
      <c r="M15" s="68">
        <f t="shared" si="5"/>
        <v>5260.5364101367168</v>
      </c>
      <c r="N15" s="68">
        <f t="shared" si="5"/>
        <v>6524.338542961098</v>
      </c>
      <c r="O15" s="69">
        <f t="shared" si="5"/>
        <v>8096.0016716356249</v>
      </c>
    </row>
    <row r="16" spans="1:21">
      <c r="C16" s="38" t="s">
        <v>307</v>
      </c>
      <c r="E16" s="54" t="s">
        <v>56</v>
      </c>
      <c r="F16" s="74"/>
      <c r="G16" s="99">
        <f>(G15-F15)/F15</f>
        <v>0.43923240938166314</v>
      </c>
      <c r="H16" s="99">
        <f t="shared" ref="H16:O16" si="6">(H15-G15)/G15</f>
        <v>1.1229629629629629</v>
      </c>
      <c r="I16" s="99">
        <f t="shared" si="6"/>
        <v>0.64619678995115148</v>
      </c>
      <c r="J16" s="99">
        <f t="shared" si="6"/>
        <v>0.18567189487070793</v>
      </c>
      <c r="K16" s="99">
        <f t="shared" si="6"/>
        <v>0.23244832098832635</v>
      </c>
      <c r="L16" s="99">
        <f t="shared" si="6"/>
        <v>0.23062606417384957</v>
      </c>
      <c r="M16" s="99">
        <f t="shared" si="6"/>
        <v>0.24006011151133028</v>
      </c>
      <c r="N16" s="99">
        <f t="shared" si="6"/>
        <v>0.24024206550288588</v>
      </c>
      <c r="O16" s="99">
        <f t="shared" si="6"/>
        <v>0.24089233235300833</v>
      </c>
    </row>
    <row r="18" spans="1:15">
      <c r="A18" s="97">
        <v>2</v>
      </c>
      <c r="C18" s="65" t="s">
        <v>1048</v>
      </c>
      <c r="D18" s="65"/>
      <c r="E18" s="64"/>
      <c r="F18" s="64"/>
      <c r="G18" s="64"/>
      <c r="H18" s="64"/>
      <c r="I18" s="64"/>
      <c r="J18" s="64"/>
      <c r="K18" s="64"/>
      <c r="L18" s="64"/>
      <c r="M18" s="64"/>
      <c r="N18" s="64"/>
      <c r="O18" s="64"/>
    </row>
    <row r="20" spans="1:15">
      <c r="C20" s="85" t="s">
        <v>1049</v>
      </c>
      <c r="D20" s="85"/>
      <c r="E20" s="86"/>
      <c r="F20" s="86"/>
      <c r="G20" s="86"/>
      <c r="H20" s="86"/>
      <c r="I20" s="86"/>
      <c r="J20" s="86"/>
      <c r="K20" s="86"/>
      <c r="L20" s="86"/>
      <c r="M20" s="86"/>
      <c r="N20" s="86"/>
      <c r="O20" s="86"/>
    </row>
    <row r="21" spans="1:15">
      <c r="C21" s="38" t="s">
        <v>47</v>
      </c>
      <c r="E21" s="54" t="s">
        <v>56</v>
      </c>
      <c r="F21" s="74"/>
      <c r="G21" s="99">
        <f t="shared" ref="G21:J23" si="7">(G11-F11)/F11</f>
        <v>28.6</v>
      </c>
      <c r="H21" s="99">
        <f t="shared" si="7"/>
        <v>3.8918918918918921</v>
      </c>
      <c r="I21" s="99">
        <f t="shared" si="7"/>
        <v>0.80939226519337015</v>
      </c>
      <c r="J21" s="99">
        <f t="shared" si="7"/>
        <v>0.13969465648854962</v>
      </c>
      <c r="K21" s="99">
        <f t="shared" ref="K21:O21" si="8">(K11-J11)/J11</f>
        <v>0.19050878521543546</v>
      </c>
      <c r="L21" s="99">
        <f t="shared" si="8"/>
        <v>0.18707551207015288</v>
      </c>
      <c r="M21" s="99">
        <f t="shared" si="8"/>
        <v>0.19820877927824068</v>
      </c>
      <c r="N21" s="99">
        <f t="shared" si="8"/>
        <v>0.1982735768027595</v>
      </c>
      <c r="O21" s="99">
        <f t="shared" si="8"/>
        <v>0.19753072416779854</v>
      </c>
    </row>
    <row r="22" spans="1:15">
      <c r="C22" s="38" t="s">
        <v>49</v>
      </c>
      <c r="E22" s="54" t="s">
        <v>56</v>
      </c>
      <c r="F22" s="74"/>
      <c r="G22" s="99">
        <f t="shared" si="7"/>
        <v>4.1095890410958902E-2</v>
      </c>
      <c r="H22" s="99">
        <f t="shared" si="7"/>
        <v>0.41008771929824561</v>
      </c>
      <c r="I22" s="99">
        <f t="shared" si="7"/>
        <v>0.35458786936236392</v>
      </c>
      <c r="J22" s="99">
        <f t="shared" si="7"/>
        <v>0.20206659012629161</v>
      </c>
      <c r="K22" s="99">
        <f t="shared" ref="K22:O22" si="9">(K12-J12)/J12</f>
        <v>0.28567740948137171</v>
      </c>
      <c r="L22" s="99">
        <f t="shared" si="9"/>
        <v>0.28472507046110168</v>
      </c>
      <c r="M22" s="99">
        <f t="shared" si="9"/>
        <v>0.29304410800585123</v>
      </c>
      <c r="N22" s="99">
        <f t="shared" si="9"/>
        <v>0.2915092636751962</v>
      </c>
      <c r="O22" s="99">
        <f t="shared" si="9"/>
        <v>0.28950845957106602</v>
      </c>
    </row>
    <row r="23" spans="1:15">
      <c r="C23" s="38" t="s">
        <v>50</v>
      </c>
      <c r="E23" s="54" t="s">
        <v>56</v>
      </c>
      <c r="F23" s="74"/>
      <c r="G23" s="99">
        <f t="shared" si="7"/>
        <v>-3.7</v>
      </c>
      <c r="H23" s="99">
        <f t="shared" si="7"/>
        <v>1.3703703703703705</v>
      </c>
      <c r="I23" s="99">
        <f t="shared" si="7"/>
        <v>1.765625</v>
      </c>
      <c r="J23" s="99">
        <f t="shared" si="7"/>
        <v>0.42937853107344631</v>
      </c>
      <c r="K23" s="99">
        <f t="shared" ref="K23:O23" si="10">(K13-J13)/J13</f>
        <v>0.25634945843095197</v>
      </c>
      <c r="L23" s="99">
        <f t="shared" si="10"/>
        <v>0.24121722532031456</v>
      </c>
      <c r="M23" s="99">
        <f t="shared" si="10"/>
        <v>0.22737669834671115</v>
      </c>
      <c r="N23" s="99">
        <f t="shared" si="10"/>
        <v>0.21761420352259556</v>
      </c>
      <c r="O23" s="99">
        <f t="shared" si="10"/>
        <v>0.21965846715699094</v>
      </c>
    </row>
    <row r="24" spans="1:15">
      <c r="C24" s="38" t="s">
        <v>1050</v>
      </c>
      <c r="E24" s="54" t="s">
        <v>56</v>
      </c>
      <c r="F24" s="74"/>
      <c r="G24" s="99">
        <f>(G14-F14)/F14</f>
        <v>0.22222222222222221</v>
      </c>
      <c r="H24" s="99">
        <f>(H14-G14)/G14</f>
        <v>-0.95454545454545459</v>
      </c>
      <c r="I24" s="99">
        <f t="shared" ref="I24:J24" si="11">(I14-H14)/H14</f>
        <v>-0.5</v>
      </c>
      <c r="J24" s="99">
        <f t="shared" si="11"/>
        <v>3</v>
      </c>
      <c r="K24" s="99">
        <f t="shared" ref="K24:O24" si="12">(K14-J14)/J14</f>
        <v>0.44191919191919204</v>
      </c>
      <c r="L24" s="99">
        <f t="shared" si="12"/>
        <v>0.4419191919191921</v>
      </c>
      <c r="M24" s="99">
        <f t="shared" si="12"/>
        <v>0.44191919191919216</v>
      </c>
      <c r="N24" s="99">
        <f t="shared" si="12"/>
        <v>0.4419191919191921</v>
      </c>
      <c r="O24" s="99">
        <f t="shared" si="12"/>
        <v>0.4419191919191921</v>
      </c>
    </row>
    <row r="26" spans="1:15">
      <c r="A26" s="97">
        <v>3</v>
      </c>
      <c r="C26" s="65" t="s">
        <v>1051</v>
      </c>
      <c r="D26" s="65"/>
      <c r="E26" s="64"/>
      <c r="F26" s="64"/>
      <c r="G26" s="64"/>
      <c r="H26" s="64"/>
      <c r="I26" s="64"/>
      <c r="J26" s="64"/>
      <c r="K26" s="64"/>
      <c r="L26" s="64"/>
      <c r="M26" s="64"/>
      <c r="N26" s="64"/>
      <c r="O26" s="64"/>
    </row>
    <row r="28" spans="1:15">
      <c r="C28" s="85" t="s">
        <v>1052</v>
      </c>
      <c r="D28" s="85"/>
      <c r="E28" s="86"/>
      <c r="F28" s="86"/>
      <c r="G28" s="86"/>
      <c r="H28" s="86"/>
      <c r="I28" s="86"/>
      <c r="J28" s="86"/>
      <c r="K28" s="86"/>
      <c r="L28" s="86"/>
      <c r="M28" s="86"/>
      <c r="N28" s="86"/>
      <c r="O28" s="86"/>
    </row>
    <row r="29" spans="1:15">
      <c r="C29" s="38" t="s">
        <v>231</v>
      </c>
      <c r="E29" s="54" t="s">
        <v>48</v>
      </c>
      <c r="F29" s="55">
        <v>246</v>
      </c>
      <c r="G29" s="55">
        <v>283</v>
      </c>
      <c r="H29" s="55">
        <v>302</v>
      </c>
      <c r="I29" s="55">
        <v>480</v>
      </c>
      <c r="J29" s="55">
        <v>578</v>
      </c>
      <c r="K29" s="152">
        <f>K38*K$15</f>
        <v>713.41544107793084</v>
      </c>
      <c r="L29" s="152">
        <f t="shared" ref="L29:O29" si="13">L38*L$15</f>
        <v>877.94763637458493</v>
      </c>
      <c r="M29" s="152">
        <f t="shared" si="13"/>
        <v>1088.7078438637766</v>
      </c>
      <c r="N29" s="152">
        <f t="shared" si="13"/>
        <v>1350.2612650028038</v>
      </c>
      <c r="O29" s="152">
        <f t="shared" si="13"/>
        <v>1675.5288504152527</v>
      </c>
    </row>
    <row r="30" spans="1:15">
      <c r="C30" s="38" t="s">
        <v>257</v>
      </c>
      <c r="E30" s="54" t="s">
        <v>48</v>
      </c>
      <c r="F30" s="55">
        <v>91</v>
      </c>
      <c r="G30" s="55">
        <v>108</v>
      </c>
      <c r="H30" s="55">
        <v>509</v>
      </c>
      <c r="I30" s="55">
        <v>673</v>
      </c>
      <c r="J30" s="55">
        <v>816</v>
      </c>
      <c r="K30" s="152">
        <f t="shared" ref="K30:O35" si="14">K39*K$15</f>
        <v>1071.1818264706224</v>
      </c>
      <c r="L30" s="152">
        <f t="shared" si="14"/>
        <v>1318.2242751240974</v>
      </c>
      <c r="M30" s="152">
        <f t="shared" si="14"/>
        <v>1634.6773416073308</v>
      </c>
      <c r="N30" s="152">
        <f t="shared" si="14"/>
        <v>2027.3956025858427</v>
      </c>
      <c r="O30" s="152">
        <f t="shared" si="14"/>
        <v>2515.7796578949792</v>
      </c>
    </row>
    <row r="31" spans="1:15">
      <c r="C31" s="38" t="s">
        <v>233</v>
      </c>
      <c r="E31" s="54" t="s">
        <v>48</v>
      </c>
      <c r="F31" s="55">
        <v>-61</v>
      </c>
      <c r="G31" s="55">
        <v>79</v>
      </c>
      <c r="H31" s="55">
        <v>275</v>
      </c>
      <c r="I31" s="55">
        <v>605</v>
      </c>
      <c r="J31" s="55">
        <v>643</v>
      </c>
      <c r="K31" s="152">
        <f t="shared" si="14"/>
        <v>779.35514686542433</v>
      </c>
      <c r="L31" s="152">
        <f t="shared" si="14"/>
        <v>959.09475698062954</v>
      </c>
      <c r="M31" s="152">
        <f t="shared" si="14"/>
        <v>1189.3351512913318</v>
      </c>
      <c r="N31" s="152">
        <f t="shared" si="14"/>
        <v>1475.0634846127487</v>
      </c>
      <c r="O31" s="152">
        <f t="shared" si="14"/>
        <v>1830.3949677898693</v>
      </c>
    </row>
    <row r="32" spans="1:15">
      <c r="C32" s="38" t="s">
        <v>244</v>
      </c>
      <c r="E32" s="54" t="s">
        <v>48</v>
      </c>
      <c r="F32" s="55">
        <v>51</v>
      </c>
      <c r="G32" s="55">
        <v>81</v>
      </c>
      <c r="H32" s="55">
        <v>125</v>
      </c>
      <c r="I32" s="55">
        <v>200</v>
      </c>
      <c r="J32" s="55">
        <v>265</v>
      </c>
      <c r="K32" s="152">
        <f t="shared" si="14"/>
        <v>306.51628043702414</v>
      </c>
      <c r="L32" s="152">
        <f t="shared" si="14"/>
        <v>377.2069237994229</v>
      </c>
      <c r="M32" s="152">
        <f t="shared" si="14"/>
        <v>467.75925998955825</v>
      </c>
      <c r="N32" s="152">
        <f t="shared" si="14"/>
        <v>580.13471076755116</v>
      </c>
      <c r="O32" s="152">
        <f t="shared" si="14"/>
        <v>719.88471432328436</v>
      </c>
    </row>
    <row r="33" spans="1:15">
      <c r="C33" s="38" t="s">
        <v>239</v>
      </c>
      <c r="E33" s="54" t="s">
        <v>48</v>
      </c>
      <c r="F33" s="55">
        <v>57</v>
      </c>
      <c r="G33" s="55">
        <v>76</v>
      </c>
      <c r="H33" s="55">
        <v>109</v>
      </c>
      <c r="I33" s="55">
        <v>205</v>
      </c>
      <c r="J33" s="55">
        <v>252</v>
      </c>
      <c r="K33" s="152">
        <f t="shared" si="14"/>
        <v>290.78151872742342</v>
      </c>
      <c r="L33" s="152">
        <f t="shared" si="14"/>
        <v>357.84331592602359</v>
      </c>
      <c r="M33" s="152">
        <f t="shared" si="14"/>
        <v>443.74722225080899</v>
      </c>
      <c r="N33" s="152">
        <f t="shared" si="14"/>
        <v>550.35397148551158</v>
      </c>
      <c r="O33" s="152">
        <f t="shared" si="14"/>
        <v>682.93002329639739</v>
      </c>
    </row>
    <row r="34" spans="1:15">
      <c r="C34" s="38" t="s">
        <v>258</v>
      </c>
      <c r="E34" s="54" t="s">
        <v>48</v>
      </c>
      <c r="F34" s="55">
        <v>0</v>
      </c>
      <c r="G34" s="55">
        <v>0</v>
      </c>
      <c r="H34" s="55">
        <v>108</v>
      </c>
      <c r="I34" s="55">
        <v>185</v>
      </c>
      <c r="J34" s="55">
        <v>228</v>
      </c>
      <c r="K34" s="152">
        <f t="shared" si="14"/>
        <v>270.3782188015835</v>
      </c>
      <c r="L34" s="152">
        <f t="shared" si="14"/>
        <v>332.73448324212859</v>
      </c>
      <c r="M34" s="152">
        <f t="shared" si="14"/>
        <v>412.61076039289884</v>
      </c>
      <c r="N34" s="152">
        <f t="shared" si="14"/>
        <v>511.73722171840524</v>
      </c>
      <c r="O34" s="152">
        <f t="shared" si="14"/>
        <v>635.0107946100004</v>
      </c>
    </row>
    <row r="35" spans="1:15">
      <c r="C35" s="38" t="s">
        <v>259</v>
      </c>
      <c r="E35" s="54" t="s">
        <v>48</v>
      </c>
      <c r="F35" s="55">
        <v>85</v>
      </c>
      <c r="G35" s="55">
        <v>48</v>
      </c>
      <c r="H35" s="55">
        <v>5</v>
      </c>
      <c r="I35" s="55">
        <v>11</v>
      </c>
      <c r="J35" s="55">
        <v>15</v>
      </c>
      <c r="K35" s="152">
        <f t="shared" si="14"/>
        <v>15.529521424340293</v>
      </c>
      <c r="L35" s="152">
        <f t="shared" si="14"/>
        <v>19.11103382893937</v>
      </c>
      <c r="M35" s="152">
        <f t="shared" si="14"/>
        <v>23.69883074101136</v>
      </c>
      <c r="N35" s="152">
        <f t="shared" si="14"/>
        <v>29.392286788235218</v>
      </c>
      <c r="O35" s="152">
        <f t="shared" si="14"/>
        <v>36.472663305841714</v>
      </c>
    </row>
    <row r="37" spans="1:15">
      <c r="C37" s="85" t="s">
        <v>1053</v>
      </c>
      <c r="D37" s="85"/>
      <c r="E37" s="86"/>
      <c r="F37" s="86"/>
      <c r="G37" s="86"/>
      <c r="H37" s="86"/>
      <c r="I37" s="86"/>
      <c r="J37" s="86"/>
      <c r="K37" s="86"/>
      <c r="L37" s="86"/>
      <c r="M37" s="86"/>
      <c r="N37" s="86"/>
      <c r="O37" s="86"/>
    </row>
    <row r="38" spans="1:15">
      <c r="C38" s="38" t="s">
        <v>231</v>
      </c>
      <c r="E38" s="54" t="s">
        <v>56</v>
      </c>
      <c r="F38" s="99">
        <f>F29/F$15</f>
        <v>0.52452025586353945</v>
      </c>
      <c r="G38" s="99">
        <f t="shared" ref="G38:J38" si="15">G29/G$15</f>
        <v>0.41925925925925928</v>
      </c>
      <c r="H38" s="99">
        <f t="shared" si="15"/>
        <v>0.2107466852756455</v>
      </c>
      <c r="I38" s="99">
        <f t="shared" si="15"/>
        <v>0.20347604917337855</v>
      </c>
      <c r="J38" s="99">
        <f t="shared" si="15"/>
        <v>0.20664998212370397</v>
      </c>
      <c r="K38" s="105">
        <f>AVERAGE(H38:J38)</f>
        <v>0.20695757219090935</v>
      </c>
      <c r="L38" s="105">
        <f>K38</f>
        <v>0.20695757219090935</v>
      </c>
      <c r="M38" s="105">
        <f t="shared" ref="M38:O38" si="16">L38</f>
        <v>0.20695757219090935</v>
      </c>
      <c r="N38" s="105">
        <f t="shared" si="16"/>
        <v>0.20695757219090935</v>
      </c>
      <c r="O38" s="105">
        <f t="shared" si="16"/>
        <v>0.20695757219090935</v>
      </c>
    </row>
    <row r="39" spans="1:15">
      <c r="C39" s="38" t="s">
        <v>257</v>
      </c>
      <c r="E39" s="54" t="s">
        <v>56</v>
      </c>
      <c r="F39" s="99">
        <f t="shared" ref="F39:J44" si="17">F30/F$15</f>
        <v>0.19402985074626866</v>
      </c>
      <c r="G39" s="99">
        <f t="shared" si="17"/>
        <v>0.16</v>
      </c>
      <c r="H39" s="99">
        <f t="shared" si="17"/>
        <v>0.35519888346127004</v>
      </c>
      <c r="I39" s="99">
        <f t="shared" si="17"/>
        <v>0.28529037727850787</v>
      </c>
      <c r="J39" s="99">
        <f t="shared" si="17"/>
        <v>0.29174115123346445</v>
      </c>
      <c r="K39" s="105">
        <f t="shared" ref="K39:K44" si="18">AVERAGE(H39:J39)</f>
        <v>0.31074347065774743</v>
      </c>
      <c r="L39" s="105">
        <f t="shared" ref="L39:O44" si="19">K39</f>
        <v>0.31074347065774743</v>
      </c>
      <c r="M39" s="105">
        <f t="shared" si="19"/>
        <v>0.31074347065774743</v>
      </c>
      <c r="N39" s="105">
        <f t="shared" si="19"/>
        <v>0.31074347065774743</v>
      </c>
      <c r="O39" s="105">
        <f t="shared" si="19"/>
        <v>0.31074347065774743</v>
      </c>
    </row>
    <row r="40" spans="1:15">
      <c r="C40" s="38" t="s">
        <v>233</v>
      </c>
      <c r="E40" s="54" t="s">
        <v>56</v>
      </c>
      <c r="F40" s="99">
        <f t="shared" si="17"/>
        <v>-0.13006396588486141</v>
      </c>
      <c r="G40" s="99">
        <f t="shared" si="17"/>
        <v>0.11703703703703704</v>
      </c>
      <c r="H40" s="99">
        <f t="shared" si="17"/>
        <v>0.19190509420795535</v>
      </c>
      <c r="I40" s="99">
        <f t="shared" si="17"/>
        <v>0.25646460364561252</v>
      </c>
      <c r="J40" s="99">
        <f t="shared" si="17"/>
        <v>0.22988916696460493</v>
      </c>
      <c r="K40" s="105">
        <f t="shared" si="18"/>
        <v>0.22608628827272426</v>
      </c>
      <c r="L40" s="105">
        <f t="shared" si="19"/>
        <v>0.22608628827272426</v>
      </c>
      <c r="M40" s="105">
        <f t="shared" si="19"/>
        <v>0.22608628827272426</v>
      </c>
      <c r="N40" s="105">
        <f t="shared" si="19"/>
        <v>0.22608628827272426</v>
      </c>
      <c r="O40" s="105">
        <f t="shared" si="19"/>
        <v>0.22608628827272426</v>
      </c>
    </row>
    <row r="41" spans="1:15">
      <c r="C41" s="38" t="s">
        <v>244</v>
      </c>
      <c r="E41" s="54" t="s">
        <v>56</v>
      </c>
      <c r="F41" s="99">
        <f t="shared" si="17"/>
        <v>0.10874200426439233</v>
      </c>
      <c r="G41" s="99">
        <f t="shared" si="17"/>
        <v>0.12</v>
      </c>
      <c r="H41" s="99">
        <f t="shared" si="17"/>
        <v>8.7229588276343334E-2</v>
      </c>
      <c r="I41" s="99">
        <f t="shared" si="17"/>
        <v>8.4781687155574395E-2</v>
      </c>
      <c r="J41" s="99">
        <f t="shared" si="17"/>
        <v>9.4744368966750092E-2</v>
      </c>
      <c r="K41" s="105">
        <f t="shared" si="18"/>
        <v>8.8918548132889283E-2</v>
      </c>
      <c r="L41" s="105">
        <f t="shared" si="19"/>
        <v>8.8918548132889283E-2</v>
      </c>
      <c r="M41" s="105">
        <f t="shared" si="19"/>
        <v>8.8918548132889283E-2</v>
      </c>
      <c r="N41" s="105">
        <f t="shared" si="19"/>
        <v>8.8918548132889283E-2</v>
      </c>
      <c r="O41" s="105">
        <f t="shared" si="19"/>
        <v>8.8918548132889283E-2</v>
      </c>
    </row>
    <row r="42" spans="1:15">
      <c r="C42" s="38" t="s">
        <v>239</v>
      </c>
      <c r="E42" s="54" t="s">
        <v>56</v>
      </c>
      <c r="F42" s="99">
        <f t="shared" si="17"/>
        <v>0.12153518123667377</v>
      </c>
      <c r="G42" s="99">
        <f t="shared" si="17"/>
        <v>0.11259259259259259</v>
      </c>
      <c r="H42" s="99">
        <f t="shared" si="17"/>
        <v>7.6064200976971391E-2</v>
      </c>
      <c r="I42" s="99">
        <f t="shared" si="17"/>
        <v>8.6901229334463759E-2</v>
      </c>
      <c r="J42" s="99">
        <f t="shared" si="17"/>
        <v>9.0096531998569901E-2</v>
      </c>
      <c r="K42" s="105">
        <f t="shared" si="18"/>
        <v>8.4353987436668346E-2</v>
      </c>
      <c r="L42" s="105">
        <f t="shared" si="19"/>
        <v>8.4353987436668346E-2</v>
      </c>
      <c r="M42" s="105">
        <f t="shared" si="19"/>
        <v>8.4353987436668346E-2</v>
      </c>
      <c r="N42" s="105">
        <f t="shared" si="19"/>
        <v>8.4353987436668346E-2</v>
      </c>
      <c r="O42" s="105">
        <f t="shared" si="19"/>
        <v>8.4353987436668346E-2</v>
      </c>
    </row>
    <row r="43" spans="1:15">
      <c r="C43" s="38" t="s">
        <v>258</v>
      </c>
      <c r="E43" s="54" t="s">
        <v>56</v>
      </c>
      <c r="F43" s="99">
        <f t="shared" si="17"/>
        <v>0</v>
      </c>
      <c r="G43" s="99">
        <f t="shared" si="17"/>
        <v>0</v>
      </c>
      <c r="H43" s="99">
        <f t="shared" si="17"/>
        <v>7.5366364270760641E-2</v>
      </c>
      <c r="I43" s="99">
        <f t="shared" si="17"/>
        <v>7.8423060618906318E-2</v>
      </c>
      <c r="J43" s="99">
        <f t="shared" si="17"/>
        <v>8.1515909903468006E-2</v>
      </c>
      <c r="K43" s="105">
        <f t="shared" si="18"/>
        <v>7.843511159771166E-2</v>
      </c>
      <c r="L43" s="105">
        <f t="shared" si="19"/>
        <v>7.843511159771166E-2</v>
      </c>
      <c r="M43" s="105">
        <f t="shared" si="19"/>
        <v>7.843511159771166E-2</v>
      </c>
      <c r="N43" s="105">
        <f t="shared" si="19"/>
        <v>7.843511159771166E-2</v>
      </c>
      <c r="O43" s="105">
        <f t="shared" si="19"/>
        <v>7.843511159771166E-2</v>
      </c>
    </row>
    <row r="44" spans="1:15">
      <c r="C44" s="38" t="s">
        <v>259</v>
      </c>
      <c r="E44" s="54" t="s">
        <v>56</v>
      </c>
      <c r="F44" s="99">
        <f t="shared" si="17"/>
        <v>0.18123667377398719</v>
      </c>
      <c r="G44" s="99">
        <f t="shared" si="17"/>
        <v>7.1111111111111111E-2</v>
      </c>
      <c r="H44" s="99">
        <f t="shared" si="17"/>
        <v>3.4891835310537334E-3</v>
      </c>
      <c r="I44" s="99">
        <f t="shared" si="17"/>
        <v>4.6629927935565915E-3</v>
      </c>
      <c r="J44" s="99">
        <f t="shared" si="17"/>
        <v>5.3628888094386842E-3</v>
      </c>
      <c r="K44" s="105">
        <f t="shared" si="18"/>
        <v>4.5050217113496698E-3</v>
      </c>
      <c r="L44" s="105">
        <f t="shared" si="19"/>
        <v>4.5050217113496698E-3</v>
      </c>
      <c r="M44" s="105">
        <f t="shared" si="19"/>
        <v>4.5050217113496698E-3</v>
      </c>
      <c r="N44" s="105">
        <f t="shared" si="19"/>
        <v>4.5050217113496698E-3</v>
      </c>
      <c r="O44" s="105">
        <f t="shared" si="19"/>
        <v>4.5050217113496698E-3</v>
      </c>
    </row>
    <row r="45" spans="1:15">
      <c r="F45" s="99"/>
      <c r="G45" s="99"/>
      <c r="H45" s="99"/>
      <c r="I45" s="99"/>
      <c r="J45" s="99"/>
    </row>
    <row r="46" spans="1:15">
      <c r="A46" s="97">
        <v>3</v>
      </c>
      <c r="C46" s="65" t="s">
        <v>1054</v>
      </c>
      <c r="D46" s="65"/>
      <c r="E46" s="64"/>
      <c r="F46" s="64"/>
      <c r="G46" s="64"/>
      <c r="H46" s="64"/>
      <c r="I46" s="64"/>
      <c r="J46" s="64"/>
      <c r="K46" s="64"/>
      <c r="L46" s="64"/>
      <c r="M46" s="64"/>
      <c r="N46" s="64"/>
      <c r="O46" s="64"/>
    </row>
    <row r="48" spans="1:15" ht="19">
      <c r="C48" s="61" t="s">
        <v>1055</v>
      </c>
      <c r="F48" s="61" t="s">
        <v>1056</v>
      </c>
      <c r="J48" s="878"/>
    </row>
    <row r="49" spans="3:15">
      <c r="C49" s="38" t="s">
        <v>1057</v>
      </c>
      <c r="D49" s="104">
        <v>7.4999999999999997E-2</v>
      </c>
      <c r="F49" s="38" t="s">
        <v>1058</v>
      </c>
      <c r="J49" s="38" t="s">
        <v>1059</v>
      </c>
    </row>
    <row r="50" spans="3:15">
      <c r="C50" s="38" t="s">
        <v>1060</v>
      </c>
      <c r="D50" s="104">
        <v>4.0000000000000001E-3</v>
      </c>
      <c r="F50" s="38" t="s">
        <v>1061</v>
      </c>
      <c r="J50" s="38" t="s">
        <v>1062</v>
      </c>
    </row>
    <row r="52" spans="3:15">
      <c r="C52" s="75" t="s">
        <v>47</v>
      </c>
      <c r="D52" s="75"/>
      <c r="E52" s="76" t="s">
        <v>48</v>
      </c>
      <c r="F52" s="82">
        <f>F11</f>
        <v>5</v>
      </c>
      <c r="G52" s="82">
        <f>G11</f>
        <v>148</v>
      </c>
      <c r="H52" s="82">
        <f>H11</f>
        <v>724</v>
      </c>
      <c r="I52" s="82">
        <f>I11</f>
        <v>1310</v>
      </c>
      <c r="J52" s="82">
        <f>J11</f>
        <v>1493</v>
      </c>
      <c r="K52" s="82">
        <f>K55*K58</f>
        <v>1777.4296163266451</v>
      </c>
      <c r="L52" s="82">
        <f t="shared" ref="L52:O52" si="20">L55*L58</f>
        <v>2109.9431719696076</v>
      </c>
      <c r="M52" s="82">
        <f t="shared" si="20"/>
        <v>2528.1524324321626</v>
      </c>
      <c r="N52" s="82">
        <f t="shared" si="20"/>
        <v>3029.4182579130843</v>
      </c>
      <c r="O52" s="82">
        <f t="shared" si="20"/>
        <v>3627.8214402058065</v>
      </c>
    </row>
    <row r="53" spans="3:15">
      <c r="C53" s="101" t="s">
        <v>307</v>
      </c>
      <c r="D53" s="101"/>
      <c r="E53" s="101"/>
      <c r="F53" s="84"/>
      <c r="G53" s="102">
        <f>(G52-F52)/F52</f>
        <v>28.6</v>
      </c>
      <c r="H53" s="102">
        <f t="shared" ref="H53:J53" si="21">(H52-G52)/G52</f>
        <v>3.8918918918918921</v>
      </c>
      <c r="I53" s="102">
        <f t="shared" si="21"/>
        <v>0.80939226519337015</v>
      </c>
      <c r="J53" s="102">
        <f t="shared" si="21"/>
        <v>0.13969465648854962</v>
      </c>
      <c r="K53" s="102">
        <f t="shared" ref="K53" si="22">(K52-J52)/J52</f>
        <v>0.19050878521543546</v>
      </c>
      <c r="L53" s="102">
        <f t="shared" ref="L53" si="23">(L52-K52)/K52</f>
        <v>0.18707551207015288</v>
      </c>
      <c r="M53" s="102">
        <f t="shared" ref="M53" si="24">(M52-L52)/L52</f>
        <v>0.19820877927824068</v>
      </c>
      <c r="N53" s="102">
        <f t="shared" ref="N53" si="25">(N52-M52)/M52</f>
        <v>0.1982735768027595</v>
      </c>
      <c r="O53" s="102">
        <f t="shared" ref="O53" si="26">(O52-N52)/N52</f>
        <v>0.19753072416779854</v>
      </c>
    </row>
    <row r="55" spans="3:15">
      <c r="C55" s="75" t="s">
        <v>1063</v>
      </c>
      <c r="D55" s="75"/>
      <c r="E55" s="76" t="s">
        <v>48</v>
      </c>
      <c r="F55" s="82">
        <v>5468</v>
      </c>
      <c r="G55" s="82">
        <v>8530</v>
      </c>
      <c r="H55" s="82">
        <v>10007</v>
      </c>
      <c r="I55" s="82">
        <v>10365</v>
      </c>
      <c r="J55" s="82">
        <v>11724</v>
      </c>
      <c r="K55" s="82">
        <f>K62*K109</f>
        <v>13532.46246617537</v>
      </c>
      <c r="L55" s="82">
        <f t="shared" ref="L55:O55" si="27">L62*L109</f>
        <v>15589.29824965823</v>
      </c>
      <c r="M55" s="82">
        <f t="shared" si="27"/>
        <v>18143.035339571983</v>
      </c>
      <c r="N55" s="82">
        <f t="shared" si="27"/>
        <v>21133.66523528309</v>
      </c>
      <c r="O55" s="82">
        <f t="shared" si="27"/>
        <v>24621.169891965681</v>
      </c>
    </row>
    <row r="56" spans="3:15">
      <c r="C56" s="101" t="s">
        <v>307</v>
      </c>
      <c r="D56" s="101"/>
      <c r="E56" s="101"/>
      <c r="F56" s="84"/>
      <c r="G56" s="102">
        <f>(G55-F55)/F55</f>
        <v>0.55998536942209221</v>
      </c>
      <c r="H56" s="102">
        <f t="shared" ref="H56" si="28">(H55-G55)/G55</f>
        <v>0.17315357561547479</v>
      </c>
      <c r="I56" s="102">
        <f t="shared" ref="I56" si="29">(I55-H55)/H55</f>
        <v>3.5774957529729187E-2</v>
      </c>
      <c r="J56" s="102">
        <f t="shared" ref="J56" si="30">(J55-I55)/I55</f>
        <v>0.13111432706222864</v>
      </c>
      <c r="K56" s="102">
        <f t="shared" ref="K56" si="31">(K55-J55)/J55</f>
        <v>0.15425302509172378</v>
      </c>
      <c r="L56" s="102">
        <f t="shared" ref="L56" si="32">(L55-K55)/K55</f>
        <v>0.15199272036585787</v>
      </c>
      <c r="M56" s="102">
        <f t="shared" ref="M56" si="33">(M55-L55)/L55</f>
        <v>0.1638134731285765</v>
      </c>
      <c r="N56" s="102">
        <f t="shared" ref="N56" si="34">(N55-M55)/M55</f>
        <v>0.16483624926796067</v>
      </c>
      <c r="O56" s="102">
        <f t="shared" ref="O56" si="35">(O55-N55)/N55</f>
        <v>0.16502128797138937</v>
      </c>
    </row>
    <row r="58" spans="3:15">
      <c r="C58" s="644" t="s">
        <v>1064</v>
      </c>
      <c r="D58" s="161"/>
      <c r="E58" s="162" t="s">
        <v>56</v>
      </c>
      <c r="F58" s="645">
        <f>F52/F55</f>
        <v>9.1441111923920993E-4</v>
      </c>
      <c r="G58" s="645">
        <f t="shared" ref="G58:J58" si="36">G52/G55</f>
        <v>1.7350527549824149E-2</v>
      </c>
      <c r="H58" s="645">
        <f t="shared" si="36"/>
        <v>7.2349355451184177E-2</v>
      </c>
      <c r="I58" s="645">
        <f t="shared" si="36"/>
        <v>0.12638687891944042</v>
      </c>
      <c r="J58" s="645">
        <f t="shared" si="36"/>
        <v>0.12734561583077447</v>
      </c>
      <c r="K58" s="645">
        <f>(J58+$D$50)</f>
        <v>0.13134561583077448</v>
      </c>
      <c r="L58" s="645">
        <f t="shared" ref="L58:O58" si="37">K58+$D$50</f>
        <v>0.13534561583077448</v>
      </c>
      <c r="M58" s="645">
        <f t="shared" si="37"/>
        <v>0.13934561583077448</v>
      </c>
      <c r="N58" s="645">
        <f t="shared" si="37"/>
        <v>0.14334561583077449</v>
      </c>
      <c r="O58" s="646">
        <f t="shared" si="37"/>
        <v>0.14734561583077449</v>
      </c>
    </row>
    <row r="60" spans="3:15">
      <c r="C60" s="85" t="s">
        <v>1065</v>
      </c>
      <c r="D60" s="85"/>
      <c r="E60" s="86"/>
      <c r="F60" s="86"/>
      <c r="G60" s="86"/>
      <c r="H60" s="86"/>
      <c r="I60" s="86"/>
      <c r="J60" s="86"/>
      <c r="K60" s="86"/>
      <c r="L60" s="86"/>
      <c r="M60" s="86"/>
      <c r="N60" s="86"/>
      <c r="O60" s="86"/>
    </row>
    <row r="62" spans="3:15">
      <c r="C62" s="107" t="s">
        <v>1066</v>
      </c>
      <c r="D62" s="107"/>
      <c r="E62" s="109" t="s">
        <v>1067</v>
      </c>
      <c r="F62" s="108">
        <v>14.8</v>
      </c>
      <c r="G62" s="108">
        <v>17.3</v>
      </c>
      <c r="H62" s="108">
        <v>19.399999999999999</v>
      </c>
      <c r="I62" s="108">
        <v>19.100000000000001</v>
      </c>
      <c r="J62" s="108">
        <v>21.7</v>
      </c>
      <c r="K62" s="107">
        <f>(K65+K71+K77+K83+K89+K95+K101)</f>
        <v>24.496002717196994</v>
      </c>
      <c r="L62" s="107">
        <f t="shared" ref="L62:O62" si="38">(L65+L71+L77+L83+L89+L95+L101)</f>
        <v>27.583810434191395</v>
      </c>
      <c r="M62" s="107">
        <f t="shared" si="38"/>
        <v>31.371435780626015</v>
      </c>
      <c r="N62" s="107">
        <f t="shared" si="38"/>
        <v>35.721126096682404</v>
      </c>
      <c r="O62" s="107">
        <f t="shared" si="38"/>
        <v>40.678643227329296</v>
      </c>
    </row>
    <row r="63" spans="3:15">
      <c r="F63" s="84"/>
      <c r="G63" s="102">
        <f>(G62-F62)/F62</f>
        <v>0.16891891891891891</v>
      </c>
      <c r="H63" s="102">
        <f t="shared" ref="H63" si="39">(H62-G62)/G62</f>
        <v>0.12138728323699409</v>
      </c>
      <c r="I63" s="102">
        <f t="shared" ref="I63" si="40">(I62-H62)/H62</f>
        <v>-1.5463917525773051E-2</v>
      </c>
      <c r="J63" s="102">
        <f t="shared" ref="J63" si="41">(J62-I62)/I62</f>
        <v>0.13612565445026165</v>
      </c>
      <c r="K63" s="102">
        <f>(K62-J62)/J62</f>
        <v>0.12884805148373249</v>
      </c>
      <c r="L63" s="102">
        <f t="shared" ref="L63:O63" si="42">(L62-K62)/K62</f>
        <v>0.12605353422934834</v>
      </c>
      <c r="M63" s="102">
        <f t="shared" si="42"/>
        <v>0.1373133474604975</v>
      </c>
      <c r="N63" s="102">
        <f t="shared" si="42"/>
        <v>0.13865129879527596</v>
      </c>
      <c r="O63" s="102">
        <f t="shared" si="42"/>
        <v>0.13878389827994031</v>
      </c>
    </row>
    <row r="65" spans="3:15">
      <c r="C65" s="75" t="s">
        <v>231</v>
      </c>
      <c r="D65" s="75"/>
      <c r="E65" s="76" t="s">
        <v>1067</v>
      </c>
      <c r="F65" s="82">
        <f>_xlfn.XLOOKUP($C65,$C$38:$C$44,F$38:F$44)*F$62</f>
        <v>7.7628997867803839</v>
      </c>
      <c r="G65" s="82">
        <f>_xlfn.XLOOKUP($C65,$C$38:$C$44,G$38:G$44)*G$62</f>
        <v>7.2531851851851856</v>
      </c>
      <c r="H65" s="82">
        <f>_xlfn.XLOOKUP($C65,$C$38:$C$44,H$38:H$44)*H$62</f>
        <v>4.0884856943475221</v>
      </c>
      <c r="I65" s="82">
        <f>_xlfn.XLOOKUP($C65,$C$38:$C$44,I$38:I$44)*I$62</f>
        <v>3.8863925392115308</v>
      </c>
      <c r="J65" s="82">
        <f>_xlfn.XLOOKUP($C65,$C$38:$C$44,J$38:J$44)*J$62</f>
        <v>4.4843046120843759</v>
      </c>
      <c r="K65" s="82">
        <f>J65*(1+K66)</f>
        <v>4.9327350732928137</v>
      </c>
      <c r="L65" s="82">
        <f t="shared" ref="L65" si="43">K65*(1+L66)</f>
        <v>5.3717484948158738</v>
      </c>
      <c r="M65" s="82">
        <f t="shared" ref="M65" si="44">L65*(1+M66)</f>
        <v>6.0163583141937789</v>
      </c>
      <c r="N65" s="82">
        <f t="shared" ref="N65" si="45">M65*(1+N66)</f>
        <v>6.7383213118970327</v>
      </c>
      <c r="O65" s="82">
        <f t="shared" ref="O65" si="46">N65*(1+O66)</f>
        <v>7.5469198693246771</v>
      </c>
    </row>
    <row r="66" spans="3:15">
      <c r="C66" s="101" t="s">
        <v>307</v>
      </c>
      <c r="D66" s="101"/>
      <c r="E66" s="101"/>
      <c r="F66" s="84"/>
      <c r="G66" s="102">
        <f>(G65-F65)/F65</f>
        <v>-6.5660335131879813E-2</v>
      </c>
      <c r="H66" s="102">
        <f t="shared" ref="H66" si="47">(H65-G65)/G65</f>
        <v>-0.43631858418583364</v>
      </c>
      <c r="I66" s="102">
        <f t="shared" ref="I66" si="48">(I65-H65)/H65</f>
        <v>-4.942983056425812E-2</v>
      </c>
      <c r="J66" s="102">
        <f t="shared" ref="J66" si="49">(J65-I65)/I65</f>
        <v>0.15384757634239107</v>
      </c>
      <c r="K66" s="102">
        <f>_xlfn.XLOOKUP($E$4,$C67:$C69,K67:K69)</f>
        <v>0.1</v>
      </c>
      <c r="L66" s="102">
        <f t="shared" ref="L66:O66" si="50">_xlfn.XLOOKUP($E$4,$C67:$C69,L67:L69)</f>
        <v>8.8999999999999996E-2</v>
      </c>
      <c r="M66" s="102">
        <f t="shared" si="50"/>
        <v>0.12</v>
      </c>
      <c r="N66" s="102">
        <f t="shared" si="50"/>
        <v>0.12</v>
      </c>
      <c r="O66" s="102">
        <f t="shared" si="50"/>
        <v>0.12</v>
      </c>
    </row>
    <row r="67" spans="3:15">
      <c r="C67" s="103" t="s">
        <v>1002</v>
      </c>
      <c r="D67" s="104">
        <v>0.01</v>
      </c>
      <c r="E67" s="75"/>
      <c r="F67" s="75"/>
      <c r="G67" s="75"/>
      <c r="H67" s="75"/>
      <c r="I67" s="75"/>
      <c r="J67" s="75"/>
      <c r="K67" s="105">
        <f>K68+$D67</f>
        <v>0.11</v>
      </c>
      <c r="L67" s="105">
        <f t="shared" ref="L67:O67" si="51">L68+$D67</f>
        <v>9.8999999999999991E-2</v>
      </c>
      <c r="M67" s="105">
        <f t="shared" si="51"/>
        <v>0.13</v>
      </c>
      <c r="N67" s="105">
        <f t="shared" si="51"/>
        <v>0.13</v>
      </c>
      <c r="O67" s="105">
        <f t="shared" si="51"/>
        <v>0.13</v>
      </c>
    </row>
    <row r="68" spans="3:15">
      <c r="C68" s="103" t="s">
        <v>11</v>
      </c>
      <c r="D68" s="104">
        <v>0</v>
      </c>
      <c r="E68" s="75"/>
      <c r="F68" s="75"/>
      <c r="G68" s="75"/>
      <c r="H68" s="75"/>
      <c r="I68" s="75"/>
      <c r="J68" s="75"/>
      <c r="K68" s="105">
        <f>_xlfn.XLOOKUP($C65,$C$169:$C$178,K$169:K$178)+$D$49</f>
        <v>0.1</v>
      </c>
      <c r="L68" s="105">
        <f t="shared" ref="L68:O68" si="52">_xlfn.XLOOKUP($C65,$C$169:$C$178,L$169:L$178)+$D$49</f>
        <v>8.8999999999999996E-2</v>
      </c>
      <c r="M68" s="105">
        <f t="shared" si="52"/>
        <v>0.12</v>
      </c>
      <c r="N68" s="105">
        <f t="shared" si="52"/>
        <v>0.12</v>
      </c>
      <c r="O68" s="105">
        <f t="shared" si="52"/>
        <v>0.12</v>
      </c>
    </row>
    <row r="69" spans="3:15">
      <c r="C69" s="103" t="s">
        <v>1003</v>
      </c>
      <c r="D69" s="104">
        <v>-0.01</v>
      </c>
      <c r="E69" s="75"/>
      <c r="F69" s="75"/>
      <c r="G69" s="75"/>
      <c r="H69" s="75"/>
      <c r="I69" s="115"/>
      <c r="J69" s="75"/>
      <c r="K69" s="105">
        <f>K68+$D69</f>
        <v>9.0000000000000011E-2</v>
      </c>
      <c r="L69" s="105">
        <f t="shared" ref="L69:O69" si="53">L68+$D69</f>
        <v>7.9000000000000001E-2</v>
      </c>
      <c r="M69" s="105">
        <f t="shared" si="53"/>
        <v>0.11</v>
      </c>
      <c r="N69" s="105">
        <f t="shared" si="53"/>
        <v>0.11</v>
      </c>
      <c r="O69" s="105">
        <f t="shared" si="53"/>
        <v>0.11</v>
      </c>
    </row>
    <row r="71" spans="3:15">
      <c r="C71" s="75" t="s">
        <v>257</v>
      </c>
      <c r="D71" s="75"/>
      <c r="E71" s="76" t="s">
        <v>1067</v>
      </c>
      <c r="F71" s="82">
        <f>_xlfn.XLOOKUP($C71,$C$38:$C$44,F$38:F$44)*F$62</f>
        <v>2.8716417910447762</v>
      </c>
      <c r="G71" s="82">
        <f>_xlfn.XLOOKUP($C71,$C$38:$C$44,G$38:G$44)*G$62</f>
        <v>2.7680000000000002</v>
      </c>
      <c r="H71" s="82">
        <f>_xlfn.XLOOKUP($C71,$C$38:$C$44,H$38:H$44)*H$62</f>
        <v>6.8908583391486387</v>
      </c>
      <c r="I71" s="82">
        <f>_xlfn.XLOOKUP($C71,$C$38:$C$44,I$38:I$44)*I$62</f>
        <v>5.4490462060195011</v>
      </c>
      <c r="J71" s="82">
        <f>_xlfn.XLOOKUP($C71,$C$38:$C$44,J$38:J$44)*J$62</f>
        <v>6.3307829817661787</v>
      </c>
      <c r="K71" s="82">
        <f>J71*(1+K72)</f>
        <v>7.1791079013228458</v>
      </c>
      <c r="L71" s="82">
        <f t="shared" ref="L71" si="54">K71*(1+L72)</f>
        <v>8.1052128205934935</v>
      </c>
      <c r="M71" s="82">
        <f t="shared" ref="M71" si="55">L71*(1+M72)</f>
        <v>9.1669957000912419</v>
      </c>
      <c r="N71" s="82">
        <f t="shared" ref="N71" si="56">M71*(1+N72)</f>
        <v>10.395373123903468</v>
      </c>
      <c r="O71" s="82">
        <f t="shared" ref="O71" si="57">N71*(1+O72)</f>
        <v>11.798748495630436</v>
      </c>
    </row>
    <row r="72" spans="3:15">
      <c r="C72" s="101" t="s">
        <v>307</v>
      </c>
      <c r="D72" s="101"/>
      <c r="E72" s="101"/>
      <c r="F72" s="84"/>
      <c r="G72" s="102">
        <f>(G71-F71)/F71</f>
        <v>-3.6091476091476046E-2</v>
      </c>
      <c r="H72" s="102">
        <f t="shared" ref="H72" si="58">(H71-G71)/G71</f>
        <v>1.4894719433340458</v>
      </c>
      <c r="I72" s="102">
        <f t="shared" ref="I72" si="59">(I71-H71)/H71</f>
        <v>-0.2092354917438736</v>
      </c>
      <c r="J72" s="102">
        <f t="shared" ref="J72" si="60">(J71-I71)/I71</f>
        <v>0.16181488326757676</v>
      </c>
      <c r="K72" s="102">
        <f>_xlfn.XLOOKUP($E$4,$C73:$C75,K73:K75)</f>
        <v>0.13400000000000001</v>
      </c>
      <c r="L72" s="102">
        <f t="shared" ref="L72:O72" si="61">_xlfn.XLOOKUP($E$4,$C73:$C75,L73:L75)</f>
        <v>0.129</v>
      </c>
      <c r="M72" s="102">
        <f t="shared" si="61"/>
        <v>0.13100000000000001</v>
      </c>
      <c r="N72" s="102">
        <f t="shared" si="61"/>
        <v>0.13400000000000001</v>
      </c>
      <c r="O72" s="102">
        <f t="shared" si="61"/>
        <v>0.13500000000000001</v>
      </c>
    </row>
    <row r="73" spans="3:15">
      <c r="C73" s="103" t="s">
        <v>1002</v>
      </c>
      <c r="D73" s="104">
        <v>0.01</v>
      </c>
      <c r="E73" s="75"/>
      <c r="F73" s="75"/>
      <c r="G73" s="75"/>
      <c r="H73" s="75"/>
      <c r="I73" s="75"/>
      <c r="J73" s="75"/>
      <c r="K73" s="105">
        <f>K74+$D73</f>
        <v>0.14400000000000002</v>
      </c>
      <c r="L73" s="105">
        <f t="shared" ref="L73:O73" si="62">L74+$D73</f>
        <v>0.13900000000000001</v>
      </c>
      <c r="M73" s="105">
        <f t="shared" si="62"/>
        <v>0.14100000000000001</v>
      </c>
      <c r="N73" s="105">
        <f t="shared" si="62"/>
        <v>0.14400000000000002</v>
      </c>
      <c r="O73" s="105">
        <f t="shared" si="62"/>
        <v>0.14500000000000002</v>
      </c>
    </row>
    <row r="74" spans="3:15">
      <c r="C74" s="103" t="s">
        <v>11</v>
      </c>
      <c r="D74" s="104">
        <v>0</v>
      </c>
      <c r="E74" s="75"/>
      <c r="F74" s="75"/>
      <c r="G74" s="75"/>
      <c r="H74" s="75"/>
      <c r="I74" s="75"/>
      <c r="J74" s="75"/>
      <c r="K74" s="105">
        <f>_xlfn.XLOOKUP($C71,$C$169:$C$178,K$169:K$178)+$D$49</f>
        <v>0.13400000000000001</v>
      </c>
      <c r="L74" s="105">
        <f t="shared" ref="L74:O74" si="63">_xlfn.XLOOKUP($C71,$C$169:$C$178,L$169:L$178)+$D$49</f>
        <v>0.129</v>
      </c>
      <c r="M74" s="105">
        <f t="shared" si="63"/>
        <v>0.13100000000000001</v>
      </c>
      <c r="N74" s="105">
        <f t="shared" si="63"/>
        <v>0.13400000000000001</v>
      </c>
      <c r="O74" s="105">
        <f t="shared" si="63"/>
        <v>0.13500000000000001</v>
      </c>
    </row>
    <row r="75" spans="3:15">
      <c r="C75" s="103" t="s">
        <v>1003</v>
      </c>
      <c r="D75" s="104">
        <v>-0.01</v>
      </c>
      <c r="E75" s="75"/>
      <c r="F75" s="75"/>
      <c r="G75" s="75"/>
      <c r="H75" s="75"/>
      <c r="I75" s="75"/>
      <c r="J75" s="75"/>
      <c r="K75" s="105">
        <f>K74+$D75</f>
        <v>0.12400000000000001</v>
      </c>
      <c r="L75" s="105">
        <f t="shared" ref="L75:O75" si="64">L74+$D75</f>
        <v>0.11900000000000001</v>
      </c>
      <c r="M75" s="105">
        <f t="shared" si="64"/>
        <v>0.12100000000000001</v>
      </c>
      <c r="N75" s="105">
        <f t="shared" si="64"/>
        <v>0.12400000000000001</v>
      </c>
      <c r="O75" s="105">
        <f t="shared" si="64"/>
        <v>0.125</v>
      </c>
    </row>
    <row r="77" spans="3:15">
      <c r="C77" s="75" t="s">
        <v>233</v>
      </c>
      <c r="D77" s="75"/>
      <c r="E77" s="76" t="s">
        <v>1067</v>
      </c>
      <c r="F77" s="82">
        <f>_xlfn.XLOOKUP($C77,$C$38:$C$44,F$38:F$44)*F$62</f>
        <v>-1.9249466950959491</v>
      </c>
      <c r="G77" s="82">
        <f>_xlfn.XLOOKUP($C77,$C$38:$C$44,G$38:G$44)*G$62</f>
        <v>2.0247407407407407</v>
      </c>
      <c r="H77" s="82">
        <f>_xlfn.XLOOKUP($C77,$C$38:$C$44,H$38:H$44)*H$62</f>
        <v>3.7229588276343333</v>
      </c>
      <c r="I77" s="82">
        <f>_xlfn.XLOOKUP($C77,$C$38:$C$44,I$38:I$44)*I$62</f>
        <v>4.8984739296311997</v>
      </c>
      <c r="J77" s="82">
        <f>_xlfn.XLOOKUP($C77,$C$38:$C$44,J$38:J$44)*J$62</f>
        <v>4.9885949231319264</v>
      </c>
      <c r="K77" s="82">
        <f>J77*(1+K78)</f>
        <v>5.5922149088308899</v>
      </c>
      <c r="L77" s="82">
        <f t="shared" ref="L77" si="65">K77*(1+L78)</f>
        <v>6.3415717066142285</v>
      </c>
      <c r="M77" s="82">
        <f t="shared" ref="M77" si="66">L77*(1+M78)</f>
        <v>7.254758032366678</v>
      </c>
      <c r="N77" s="82">
        <f t="shared" ref="N77" si="67">M77*(1+N78)</f>
        <v>8.29944318902748</v>
      </c>
      <c r="O77" s="82">
        <f t="shared" ref="O77" si="68">N77*(1+O78)</f>
        <v>9.48626356505841</v>
      </c>
    </row>
    <row r="78" spans="3:15">
      <c r="C78" s="101" t="s">
        <v>307</v>
      </c>
      <c r="D78" s="101"/>
      <c r="E78" s="101"/>
      <c r="F78" s="84"/>
      <c r="G78" s="102">
        <f>(G77-F77)/F77</f>
        <v>-2.0518424982359407</v>
      </c>
      <c r="H78" s="102">
        <f t="shared" ref="H78" si="69">(H77-G77)/G77</f>
        <v>0.83873359819505011</v>
      </c>
      <c r="I78" s="102">
        <f t="shared" ref="I78" si="70">(I77-H77)/H77</f>
        <v>0.31574754286063911</v>
      </c>
      <c r="J78" s="102">
        <f t="shared" ref="J78" si="71">(J77-I77)/I77</f>
        <v>1.8397769345178873E-2</v>
      </c>
      <c r="K78" s="102">
        <f>_xlfn.XLOOKUP($E$4,$C79:$C81,K79:K81)</f>
        <v>0.121</v>
      </c>
      <c r="L78" s="102">
        <f t="shared" ref="L78:O78" si="72">_xlfn.XLOOKUP($E$4,$C79:$C81,L79:L81)</f>
        <v>0.13400000000000001</v>
      </c>
      <c r="M78" s="102">
        <f t="shared" si="72"/>
        <v>0.14400000000000002</v>
      </c>
      <c r="N78" s="102">
        <f t="shared" si="72"/>
        <v>0.14400000000000002</v>
      </c>
      <c r="O78" s="102">
        <f t="shared" si="72"/>
        <v>0.14300000000000002</v>
      </c>
    </row>
    <row r="79" spans="3:15">
      <c r="C79" s="103" t="s">
        <v>1002</v>
      </c>
      <c r="D79" s="104">
        <v>0.01</v>
      </c>
      <c r="E79" s="75"/>
      <c r="F79" s="75"/>
      <c r="G79" s="75"/>
      <c r="H79" s="75"/>
      <c r="I79" s="75"/>
      <c r="J79" s="75"/>
      <c r="K79" s="105">
        <f>K80+$D79</f>
        <v>0.13100000000000001</v>
      </c>
      <c r="L79" s="105">
        <f t="shared" ref="L79:O79" si="73">L80+$D79</f>
        <v>0.14400000000000002</v>
      </c>
      <c r="M79" s="105">
        <f t="shared" si="73"/>
        <v>0.15400000000000003</v>
      </c>
      <c r="N79" s="105">
        <f t="shared" si="73"/>
        <v>0.15400000000000003</v>
      </c>
      <c r="O79" s="105">
        <f t="shared" si="73"/>
        <v>0.15300000000000002</v>
      </c>
    </row>
    <row r="80" spans="3:15">
      <c r="C80" s="103" t="s">
        <v>11</v>
      </c>
      <c r="D80" s="104">
        <v>0</v>
      </c>
      <c r="E80" s="75"/>
      <c r="F80" s="75"/>
      <c r="G80" s="75"/>
      <c r="H80" s="75"/>
      <c r="I80" s="75"/>
      <c r="J80" s="75"/>
      <c r="K80" s="105">
        <f>_xlfn.XLOOKUP($C77,$C$169:$C$178,K$169:K$178)+$D$49</f>
        <v>0.121</v>
      </c>
      <c r="L80" s="105">
        <f t="shared" ref="L80:O80" si="74">_xlfn.XLOOKUP($C77,$C$169:$C$178,L$169:L$178)+$D$49</f>
        <v>0.13400000000000001</v>
      </c>
      <c r="M80" s="105">
        <f t="shared" si="74"/>
        <v>0.14400000000000002</v>
      </c>
      <c r="N80" s="105">
        <f t="shared" si="74"/>
        <v>0.14400000000000002</v>
      </c>
      <c r="O80" s="105">
        <f t="shared" si="74"/>
        <v>0.14300000000000002</v>
      </c>
    </row>
    <row r="81" spans="3:15">
      <c r="C81" s="103" t="s">
        <v>1003</v>
      </c>
      <c r="D81" s="104">
        <v>-0.01</v>
      </c>
      <c r="E81" s="75"/>
      <c r="F81" s="75"/>
      <c r="G81" s="75"/>
      <c r="H81" s="75"/>
      <c r="I81" s="75"/>
      <c r="J81" s="75"/>
      <c r="K81" s="105">
        <f>K80+$D81</f>
        <v>0.111</v>
      </c>
      <c r="L81" s="105">
        <f t="shared" ref="L81:O81" si="75">L80+$D81</f>
        <v>0.12400000000000001</v>
      </c>
      <c r="M81" s="105">
        <f t="shared" si="75"/>
        <v>0.13400000000000001</v>
      </c>
      <c r="N81" s="105">
        <f t="shared" si="75"/>
        <v>0.13400000000000001</v>
      </c>
      <c r="O81" s="105">
        <f t="shared" si="75"/>
        <v>0.13300000000000001</v>
      </c>
    </row>
    <row r="83" spans="3:15">
      <c r="C83" s="75" t="s">
        <v>244</v>
      </c>
      <c r="D83" s="75"/>
      <c r="E83" s="76" t="s">
        <v>1067</v>
      </c>
      <c r="F83" s="82">
        <f>_xlfn.XLOOKUP($C83,$C$38:$C$44,F$38:F$44)*F$62</f>
        <v>1.6093816631130067</v>
      </c>
      <c r="G83" s="82">
        <f>_xlfn.XLOOKUP($C83,$C$38:$C$44,G$38:G$44)*G$62</f>
        <v>2.0760000000000001</v>
      </c>
      <c r="H83" s="82">
        <f>_xlfn.XLOOKUP($C83,$C$38:$C$44,H$38:H$44)*H$62</f>
        <v>1.6922540125610606</v>
      </c>
      <c r="I83" s="82">
        <f>_xlfn.XLOOKUP($C83,$C$38:$C$44,I$38:I$44)*I$62</f>
        <v>1.6193302246714711</v>
      </c>
      <c r="J83" s="82">
        <f>_xlfn.XLOOKUP($C83,$C$38:$C$44,J$38:J$44)*J$62</f>
        <v>2.0559528065784769</v>
      </c>
      <c r="K83" s="82">
        <f>J83*(1+K84)</f>
        <v>2.3684576331784051</v>
      </c>
      <c r="L83" s="82">
        <f t="shared" ref="L83" si="76">K83*(1+L84)</f>
        <v>2.7474108544869495</v>
      </c>
      <c r="M83" s="82">
        <f t="shared" ref="M83" si="77">L83*(1+M84)</f>
        <v>3.1842491803503745</v>
      </c>
      <c r="N83" s="82">
        <f t="shared" ref="N83" si="78">M83*(1+N84)</f>
        <v>3.6905448000260841</v>
      </c>
      <c r="O83" s="82">
        <f t="shared" ref="O83" si="79">N83*(1+O84)</f>
        <v>4.2773414232302311</v>
      </c>
    </row>
    <row r="84" spans="3:15">
      <c r="C84" s="101" t="s">
        <v>307</v>
      </c>
      <c r="D84" s="101"/>
      <c r="E84" s="101"/>
      <c r="F84" s="84"/>
      <c r="G84" s="102">
        <f>(G83-F83)/F83</f>
        <v>0.28993640699523032</v>
      </c>
      <c r="H84" s="102">
        <f t="shared" ref="H84" si="80">(H83-G83)/G83</f>
        <v>-0.18484874154091499</v>
      </c>
      <c r="I84" s="102">
        <f t="shared" ref="I84" si="81">(I83-H83)/H83</f>
        <v>-4.3092696101353259E-2</v>
      </c>
      <c r="J84" s="102">
        <f t="shared" ref="J84" si="82">(J83-I83)/I83</f>
        <v>0.26963158919335772</v>
      </c>
      <c r="K84" s="102">
        <f>_xlfn.XLOOKUP($E$4,$C85:$C87,K85:K87)</f>
        <v>0.152</v>
      </c>
      <c r="L84" s="102">
        <f t="shared" ref="L84:O84" si="83">_xlfn.XLOOKUP($E$4,$C85:$C87,L85:L87)</f>
        <v>0.16</v>
      </c>
      <c r="M84" s="102">
        <f t="shared" si="83"/>
        <v>0.159</v>
      </c>
      <c r="N84" s="102">
        <f t="shared" si="83"/>
        <v>0.159</v>
      </c>
      <c r="O84" s="102">
        <f t="shared" si="83"/>
        <v>0.159</v>
      </c>
    </row>
    <row r="85" spans="3:15">
      <c r="C85" s="103" t="s">
        <v>1002</v>
      </c>
      <c r="D85" s="104">
        <v>0.01</v>
      </c>
      <c r="E85" s="75"/>
      <c r="F85" s="75"/>
      <c r="G85" s="75"/>
      <c r="H85" s="75"/>
      <c r="I85" s="75"/>
      <c r="J85" s="75"/>
      <c r="K85" s="105">
        <f>K86+$D85</f>
        <v>0.16200000000000001</v>
      </c>
      <c r="L85" s="105">
        <f t="shared" ref="L85:O85" si="84">L86+$D85</f>
        <v>0.17</v>
      </c>
      <c r="M85" s="105">
        <f t="shared" si="84"/>
        <v>0.16900000000000001</v>
      </c>
      <c r="N85" s="105">
        <f t="shared" si="84"/>
        <v>0.16900000000000001</v>
      </c>
      <c r="O85" s="105">
        <f t="shared" si="84"/>
        <v>0.16900000000000001</v>
      </c>
    </row>
    <row r="86" spans="3:15">
      <c r="C86" s="103" t="s">
        <v>11</v>
      </c>
      <c r="D86" s="104">
        <v>0</v>
      </c>
      <c r="E86" s="75"/>
      <c r="F86" s="75"/>
      <c r="G86" s="75"/>
      <c r="H86" s="75"/>
      <c r="I86" s="75"/>
      <c r="J86" s="75"/>
      <c r="K86" s="105">
        <f>_xlfn.XLOOKUP($C83,$C$169:$C$178,K$169:K$178)+$D$49</f>
        <v>0.152</v>
      </c>
      <c r="L86" s="105">
        <f t="shared" ref="L86:O86" si="85">_xlfn.XLOOKUP($C83,$C$169:$C$178,L$169:L$178)+$D$49</f>
        <v>0.16</v>
      </c>
      <c r="M86" s="105">
        <f t="shared" si="85"/>
        <v>0.159</v>
      </c>
      <c r="N86" s="105">
        <f t="shared" si="85"/>
        <v>0.159</v>
      </c>
      <c r="O86" s="105">
        <f t="shared" si="85"/>
        <v>0.159</v>
      </c>
    </row>
    <row r="87" spans="3:15">
      <c r="C87" s="103" t="s">
        <v>1003</v>
      </c>
      <c r="D87" s="104">
        <v>-0.01</v>
      </c>
      <c r="E87" s="75"/>
      <c r="F87" s="75"/>
      <c r="G87" s="75"/>
      <c r="H87" s="75"/>
      <c r="I87" s="75"/>
      <c r="J87" s="75"/>
      <c r="K87" s="105">
        <f>K86+$D87</f>
        <v>0.14199999999999999</v>
      </c>
      <c r="L87" s="105">
        <f t="shared" ref="L87:O87" si="86">L86+$D87</f>
        <v>0.15</v>
      </c>
      <c r="M87" s="105">
        <f t="shared" si="86"/>
        <v>0.14899999999999999</v>
      </c>
      <c r="N87" s="105">
        <f t="shared" si="86"/>
        <v>0.14899999999999999</v>
      </c>
      <c r="O87" s="105">
        <f t="shared" si="86"/>
        <v>0.14899999999999999</v>
      </c>
    </row>
    <row r="89" spans="3:15">
      <c r="C89" s="75" t="s">
        <v>239</v>
      </c>
      <c r="D89" s="75"/>
      <c r="E89" s="76" t="s">
        <v>1067</v>
      </c>
      <c r="F89" s="82">
        <f>_xlfn.XLOOKUP($C89,$C$38:$C$44,F$38:F$44)*F$62</f>
        <v>1.7987206823027719</v>
      </c>
      <c r="G89" s="82">
        <f>_xlfn.XLOOKUP($C89,$C$38:$C$44,G$38:G$44)*G$62</f>
        <v>1.9478518518518519</v>
      </c>
      <c r="H89" s="82">
        <f>_xlfn.XLOOKUP($C89,$C$38:$C$44,H$38:H$44)*H$62</f>
        <v>1.4756454989532448</v>
      </c>
      <c r="I89" s="82">
        <f>_xlfn.XLOOKUP($C89,$C$38:$C$44,I$38:I$44)*I$62</f>
        <v>1.6598134802882578</v>
      </c>
      <c r="J89" s="82">
        <f>_xlfn.XLOOKUP($C89,$C$38:$C$44,J$38:J$44)*J$62</f>
        <v>1.9550947443689668</v>
      </c>
      <c r="K89" s="82">
        <f>J89*(1+K90)</f>
        <v>2.2405385770468356</v>
      </c>
      <c r="L89" s="82">
        <f t="shared" ref="L89" si="87">K89*(1+L90)</f>
        <v>2.5094032062924563</v>
      </c>
      <c r="M89" s="82">
        <f t="shared" ref="M89" si="88">L89*(1+M90)</f>
        <v>2.8205692038727213</v>
      </c>
      <c r="N89" s="82">
        <f t="shared" ref="N89" si="89">M89*(1+N90)</f>
        <v>3.178781492764557</v>
      </c>
      <c r="O89" s="82">
        <f t="shared" ref="O89" si="90">N89*(1+O90)</f>
        <v>3.5824867423456559</v>
      </c>
    </row>
    <row r="90" spans="3:15">
      <c r="C90" s="101" t="s">
        <v>307</v>
      </c>
      <c r="D90" s="101"/>
      <c r="E90" s="101"/>
      <c r="F90" s="84"/>
      <c r="G90" s="102">
        <f>(G89-F89)/F89</f>
        <v>8.290957624290958E-2</v>
      </c>
      <c r="H90" s="102">
        <f t="shared" ref="H90" si="91">(H89-G89)/G89</f>
        <v>-0.24242416200681458</v>
      </c>
      <c r="I90" s="102">
        <f t="shared" ref="I90" si="92">(I89-H89)/H89</f>
        <v>0.12480503038545052</v>
      </c>
      <c r="J90" s="102">
        <f t="shared" ref="J90" si="93">(J89-I89)/I89</f>
        <v>0.17790026866719255</v>
      </c>
      <c r="K90" s="102">
        <f>_xlfn.XLOOKUP($E$4,$C91:$C93,K91:K93)</f>
        <v>0.14599999999999999</v>
      </c>
      <c r="L90" s="102">
        <f t="shared" ref="L90:O90" si="94">_xlfn.XLOOKUP($E$4,$C91:$C93,L91:L93)</f>
        <v>0.12</v>
      </c>
      <c r="M90" s="102">
        <f t="shared" si="94"/>
        <v>0.124</v>
      </c>
      <c r="N90" s="102">
        <f t="shared" si="94"/>
        <v>0.127</v>
      </c>
      <c r="O90" s="102">
        <f t="shared" si="94"/>
        <v>0.127</v>
      </c>
    </row>
    <row r="91" spans="3:15">
      <c r="C91" s="103" t="s">
        <v>1002</v>
      </c>
      <c r="D91" s="104">
        <v>0.01</v>
      </c>
      <c r="E91" s="75"/>
      <c r="F91" s="75"/>
      <c r="G91" s="75"/>
      <c r="H91" s="75"/>
      <c r="I91" s="75"/>
      <c r="J91" s="75"/>
      <c r="K91" s="105">
        <f>K92+$D91</f>
        <v>0.156</v>
      </c>
      <c r="L91" s="105">
        <f t="shared" ref="L91:O91" si="95">L92+$D91</f>
        <v>0.13</v>
      </c>
      <c r="M91" s="105">
        <f t="shared" si="95"/>
        <v>0.13400000000000001</v>
      </c>
      <c r="N91" s="105">
        <f t="shared" si="95"/>
        <v>0.13700000000000001</v>
      </c>
      <c r="O91" s="105">
        <f t="shared" si="95"/>
        <v>0.13700000000000001</v>
      </c>
    </row>
    <row r="92" spans="3:15">
      <c r="C92" s="103" t="s">
        <v>11</v>
      </c>
      <c r="D92" s="104">
        <v>0</v>
      </c>
      <c r="E92" s="75"/>
      <c r="F92" s="75"/>
      <c r="G92" s="75"/>
      <c r="H92" s="75"/>
      <c r="I92" s="75"/>
      <c r="J92" s="75"/>
      <c r="K92" s="105">
        <f>_xlfn.XLOOKUP($C89,$C$169:$C$178,K$169:K$178)+$D$49</f>
        <v>0.14599999999999999</v>
      </c>
      <c r="L92" s="105">
        <f t="shared" ref="L92:O92" si="96">_xlfn.XLOOKUP($C89,$C$169:$C$178,L$169:L$178)+$D$49</f>
        <v>0.12</v>
      </c>
      <c r="M92" s="105">
        <f t="shared" si="96"/>
        <v>0.124</v>
      </c>
      <c r="N92" s="105">
        <f t="shared" si="96"/>
        <v>0.127</v>
      </c>
      <c r="O92" s="105">
        <f t="shared" si="96"/>
        <v>0.127</v>
      </c>
    </row>
    <row r="93" spans="3:15">
      <c r="C93" s="103" t="s">
        <v>1003</v>
      </c>
      <c r="D93" s="104">
        <v>-0.01</v>
      </c>
      <c r="E93" s="75"/>
      <c r="F93" s="75"/>
      <c r="G93" s="75"/>
      <c r="H93" s="75"/>
      <c r="I93" s="75"/>
      <c r="J93" s="75"/>
      <c r="K93" s="105">
        <f>K92+$D93</f>
        <v>0.13599999999999998</v>
      </c>
      <c r="L93" s="105">
        <f t="shared" ref="L93:O93" si="97">L92+$D93</f>
        <v>0.11</v>
      </c>
      <c r="M93" s="105">
        <f t="shared" si="97"/>
        <v>0.114</v>
      </c>
      <c r="N93" s="105">
        <f t="shared" si="97"/>
        <v>0.11700000000000001</v>
      </c>
      <c r="O93" s="105">
        <f t="shared" si="97"/>
        <v>0.11700000000000001</v>
      </c>
    </row>
    <row r="95" spans="3:15">
      <c r="C95" s="75" t="s">
        <v>258</v>
      </c>
      <c r="D95" s="75"/>
      <c r="E95" s="76" t="s">
        <v>1067</v>
      </c>
      <c r="F95" s="82">
        <f>_xlfn.XLOOKUP($C95,$C$38:$C$44,F$38:F$44)*F$62</f>
        <v>0</v>
      </c>
      <c r="G95" s="82">
        <f>_xlfn.XLOOKUP($C95,$C$38:$C$44,G$38:G$44)*G$62</f>
        <v>0</v>
      </c>
      <c r="H95" s="82">
        <f>_xlfn.XLOOKUP($C95,$C$38:$C$44,H$38:H$44)*H$62</f>
        <v>1.4621074668527563</v>
      </c>
      <c r="I95" s="82">
        <f>_xlfn.XLOOKUP($C95,$C$38:$C$44,I$38:I$44)*I$62</f>
        <v>1.4978804578211107</v>
      </c>
      <c r="J95" s="82">
        <f>_xlfn.XLOOKUP($C95,$C$38:$C$44,J$38:J$44)*J$62</f>
        <v>1.7688952449052557</v>
      </c>
      <c r="K95" s="82">
        <f>J95*(1+K96)</f>
        <v>2.0395362173757601</v>
      </c>
      <c r="L95" s="82">
        <f t="shared" ref="L95" si="98">K95*(1+L96)</f>
        <v>2.3352689688952455</v>
      </c>
      <c r="M95" s="82">
        <f t="shared" ref="M95" si="99">L95*(1+M96)</f>
        <v>2.7229236177318561</v>
      </c>
      <c r="N95" s="82">
        <f t="shared" ref="N95" si="100">M95*(1+N96)</f>
        <v>3.177651861893076</v>
      </c>
      <c r="O95" s="82">
        <f t="shared" ref="O95" si="101">N95*(1+O96)</f>
        <v>3.7051420709673266</v>
      </c>
    </row>
    <row r="96" spans="3:15">
      <c r="C96" s="101" t="s">
        <v>307</v>
      </c>
      <c r="D96" s="101"/>
      <c r="E96" s="101"/>
      <c r="F96" s="84"/>
      <c r="G96" s="102" t="e">
        <f>(G95-F95)/F95</f>
        <v>#DIV/0!</v>
      </c>
      <c r="H96" s="102" t="e">
        <f t="shared" ref="H96" si="102">(H95-G95)/G95</f>
        <v>#DIV/0!</v>
      </c>
      <c r="I96" s="102">
        <f t="shared" ref="I96" si="103">(I95-H95)/H95</f>
        <v>2.4466731604453926E-2</v>
      </c>
      <c r="J96" s="102">
        <f t="shared" ref="J96" si="104">(J95-I95)/I95</f>
        <v>0.1809321869906603</v>
      </c>
      <c r="K96" s="102">
        <f>_xlfn.XLOOKUP($E$4,$C97:$C99,K97:K99)</f>
        <v>0.153</v>
      </c>
      <c r="L96" s="102">
        <f t="shared" ref="L96:O96" si="105">_xlfn.XLOOKUP($E$4,$C97:$C99,L97:L99)</f>
        <v>0.14500000000000002</v>
      </c>
      <c r="M96" s="102">
        <f t="shared" si="105"/>
        <v>0.16599999999999998</v>
      </c>
      <c r="N96" s="102">
        <f t="shared" si="105"/>
        <v>0.16699999999999998</v>
      </c>
      <c r="O96" s="102">
        <f t="shared" si="105"/>
        <v>0.16599999999999998</v>
      </c>
    </row>
    <row r="97" spans="3:15">
      <c r="C97" s="103" t="s">
        <v>1002</v>
      </c>
      <c r="D97" s="104">
        <v>0.01</v>
      </c>
      <c r="E97" s="75"/>
      <c r="F97" s="75"/>
      <c r="G97" s="75"/>
      <c r="H97" s="75"/>
      <c r="I97" s="75"/>
      <c r="J97" s="75"/>
      <c r="K97" s="105">
        <f>K98+$D97</f>
        <v>0.16300000000000001</v>
      </c>
      <c r="L97" s="105">
        <f t="shared" ref="L97:O97" si="106">L98+$D97</f>
        <v>0.15500000000000003</v>
      </c>
      <c r="M97" s="105">
        <f t="shared" si="106"/>
        <v>0.17599999999999999</v>
      </c>
      <c r="N97" s="105">
        <f t="shared" si="106"/>
        <v>0.17699999999999999</v>
      </c>
      <c r="O97" s="105">
        <f t="shared" si="106"/>
        <v>0.17599999999999999</v>
      </c>
    </row>
    <row r="98" spans="3:15">
      <c r="C98" s="103" t="s">
        <v>11</v>
      </c>
      <c r="D98" s="104">
        <v>0</v>
      </c>
      <c r="E98" s="75"/>
      <c r="F98" s="75"/>
      <c r="G98" s="75"/>
      <c r="H98" s="75"/>
      <c r="I98" s="75"/>
      <c r="J98" s="75"/>
      <c r="K98" s="105">
        <f>_xlfn.XLOOKUP($C95,$C$169:$C$178,K$169:K$178)+$D$49</f>
        <v>0.153</v>
      </c>
      <c r="L98" s="105">
        <f t="shared" ref="L98:O98" si="107">_xlfn.XLOOKUP($C95,$C$169:$C$178,L$169:L$178)+$D$49</f>
        <v>0.14500000000000002</v>
      </c>
      <c r="M98" s="105">
        <f t="shared" si="107"/>
        <v>0.16599999999999998</v>
      </c>
      <c r="N98" s="105">
        <f t="shared" si="107"/>
        <v>0.16699999999999998</v>
      </c>
      <c r="O98" s="105">
        <f t="shared" si="107"/>
        <v>0.16599999999999998</v>
      </c>
    </row>
    <row r="99" spans="3:15">
      <c r="C99" s="103" t="s">
        <v>1003</v>
      </c>
      <c r="D99" s="104">
        <v>-0.01</v>
      </c>
      <c r="E99" s="75"/>
      <c r="F99" s="75"/>
      <c r="G99" s="75"/>
      <c r="H99" s="75"/>
      <c r="I99" s="75"/>
      <c r="J99" s="75"/>
      <c r="K99" s="105">
        <f>K98+$D99</f>
        <v>0.14299999999999999</v>
      </c>
      <c r="L99" s="105">
        <f t="shared" ref="L99:O99" si="108">L98+$D99</f>
        <v>0.13500000000000001</v>
      </c>
      <c r="M99" s="105">
        <f t="shared" si="108"/>
        <v>0.15599999999999997</v>
      </c>
      <c r="N99" s="105">
        <f t="shared" si="108"/>
        <v>0.15699999999999997</v>
      </c>
      <c r="O99" s="105">
        <f t="shared" si="108"/>
        <v>0.15599999999999997</v>
      </c>
    </row>
    <row r="101" spans="3:15">
      <c r="C101" s="75" t="s">
        <v>259</v>
      </c>
      <c r="D101" s="75"/>
      <c r="E101" s="76" t="s">
        <v>1067</v>
      </c>
      <c r="F101" s="82">
        <f>_xlfn.XLOOKUP($C101,$C$38:$C$44,F$38:F$44)*F$62</f>
        <v>2.6823027718550105</v>
      </c>
      <c r="G101" s="82">
        <f>_xlfn.XLOOKUP($C101,$C$38:$C$44,G$38:G$44)*G$62</f>
        <v>1.2302222222222223</v>
      </c>
      <c r="H101" s="82">
        <f>_xlfn.XLOOKUP($C101,$C$38:$C$44,H$38:H$44)*H$62</f>
        <v>6.769016050244242E-2</v>
      </c>
      <c r="I101" s="82">
        <f>_xlfn.XLOOKUP($C101,$C$38:$C$44,I$38:I$44)*I$62</f>
        <v>8.9063162356930903E-2</v>
      </c>
      <c r="J101" s="82">
        <f>_xlfn.XLOOKUP($C101,$C$38:$C$44,J$38:J$44)*J$62</f>
        <v>0.11637468716481944</v>
      </c>
      <c r="K101" s="82">
        <f>J101*(1+K102)</f>
        <v>0.14341240614944581</v>
      </c>
      <c r="L101" s="82">
        <f t="shared" ref="L101" si="109">K101*(1+L102)</f>
        <v>0.17319438249314739</v>
      </c>
      <c r="M101" s="82">
        <f t="shared" ref="M101" si="110">L101*(1+M102)</f>
        <v>0.20558173201936597</v>
      </c>
      <c r="N101" s="82">
        <f t="shared" ref="N101" si="111">M101*(1+N102)</f>
        <v>0.2410103171707034</v>
      </c>
      <c r="O101" s="82">
        <f t="shared" ref="O101" si="112">N101*(1+O102)</f>
        <v>0.28174106077255229</v>
      </c>
    </row>
    <row r="102" spans="3:15">
      <c r="C102" s="101" t="s">
        <v>307</v>
      </c>
      <c r="D102" s="101"/>
      <c r="E102" s="101"/>
      <c r="F102" s="84"/>
      <c r="G102" s="102">
        <f>(G101-F101)/F101</f>
        <v>-0.54135594417947352</v>
      </c>
      <c r="H102" s="102">
        <f t="shared" ref="H102" si="113">(H101-G101)/G101</f>
        <v>-0.94497729005401176</v>
      </c>
      <c r="I102" s="102">
        <f t="shared" ref="I102" si="114">(I101-H101)/H101</f>
        <v>0.31574754286063916</v>
      </c>
      <c r="J102" s="102">
        <f t="shared" ref="J102" si="115">(J101-I101)/I101</f>
        <v>0.30665343656263239</v>
      </c>
      <c r="K102" s="102">
        <f>_xlfn.XLOOKUP($E$4,$C103:$C105,K103:K105)</f>
        <v>0.23233333333333334</v>
      </c>
      <c r="L102" s="102">
        <f t="shared" ref="L102:O102" si="116">_xlfn.XLOOKUP($E$4,$C103:$C105,L103:L105)</f>
        <v>0.20766666666666667</v>
      </c>
      <c r="M102" s="102">
        <f t="shared" si="116"/>
        <v>0.187</v>
      </c>
      <c r="N102" s="102">
        <f t="shared" si="116"/>
        <v>0.17233333333333334</v>
      </c>
      <c r="O102" s="102">
        <f t="shared" si="116"/>
        <v>0.16899999999999998</v>
      </c>
    </row>
    <row r="103" spans="3:15">
      <c r="C103" s="103" t="s">
        <v>1002</v>
      </c>
      <c r="D103" s="104">
        <v>0.01</v>
      </c>
      <c r="E103" s="75"/>
      <c r="F103" s="75"/>
      <c r="G103" s="75"/>
      <c r="H103" s="75"/>
      <c r="I103" s="75"/>
      <c r="J103" s="75"/>
      <c r="K103" s="105">
        <f>K104+$D103</f>
        <v>0.24233333333333335</v>
      </c>
      <c r="L103" s="105">
        <f t="shared" ref="L103:O103" si="117">L104+$D103</f>
        <v>0.21766666666666667</v>
      </c>
      <c r="M103" s="105">
        <f t="shared" si="117"/>
        <v>0.19700000000000001</v>
      </c>
      <c r="N103" s="105">
        <f t="shared" si="117"/>
        <v>0.18233333333333335</v>
      </c>
      <c r="O103" s="105">
        <f t="shared" si="117"/>
        <v>0.17899999999999999</v>
      </c>
    </row>
    <row r="104" spans="3:15">
      <c r="C104" s="103" t="s">
        <v>11</v>
      </c>
      <c r="D104" s="104">
        <v>0</v>
      </c>
      <c r="E104" s="75"/>
      <c r="F104" s="75"/>
      <c r="G104" s="75"/>
      <c r="H104" s="75"/>
      <c r="I104" s="75"/>
      <c r="J104" s="75"/>
      <c r="K104" s="105">
        <f>_xlfn.XLOOKUP($C101,$C$169:$C$178,K$169:K$178)+$D$49</f>
        <v>0.23233333333333334</v>
      </c>
      <c r="L104" s="105">
        <f t="shared" ref="L104:O104" si="118">_xlfn.XLOOKUP($C101,$C$169:$C$178,L$169:L$178)+$D$49</f>
        <v>0.20766666666666667</v>
      </c>
      <c r="M104" s="105">
        <f t="shared" si="118"/>
        <v>0.187</v>
      </c>
      <c r="N104" s="105">
        <f t="shared" si="118"/>
        <v>0.17233333333333334</v>
      </c>
      <c r="O104" s="105">
        <f t="shared" si="118"/>
        <v>0.16899999999999998</v>
      </c>
    </row>
    <row r="105" spans="3:15">
      <c r="C105" s="103" t="s">
        <v>1003</v>
      </c>
      <c r="D105" s="104">
        <v>-0.01</v>
      </c>
      <c r="E105" s="75"/>
      <c r="F105" s="75"/>
      <c r="G105" s="75"/>
      <c r="H105" s="75"/>
      <c r="I105" s="75"/>
      <c r="J105" s="75"/>
      <c r="K105" s="105">
        <f>K104+$D105</f>
        <v>0.22233333333333333</v>
      </c>
      <c r="L105" s="105">
        <f t="shared" ref="L105:O105" si="119">L104+$D105</f>
        <v>0.19766666666666666</v>
      </c>
      <c r="M105" s="105">
        <f t="shared" si="119"/>
        <v>0.17699999999999999</v>
      </c>
      <c r="N105" s="105">
        <f t="shared" si="119"/>
        <v>0.16233333333333333</v>
      </c>
      <c r="O105" s="105">
        <f t="shared" si="119"/>
        <v>0.15899999999999997</v>
      </c>
    </row>
    <row r="107" spans="3:15">
      <c r="C107" s="85" t="s">
        <v>1068</v>
      </c>
      <c r="D107" s="85"/>
      <c r="E107" s="86"/>
      <c r="F107" s="86"/>
      <c r="G107" s="86"/>
      <c r="H107" s="86"/>
      <c r="I107" s="86"/>
      <c r="J107" s="86"/>
      <c r="K107" s="86"/>
      <c r="L107" s="86"/>
      <c r="M107" s="86"/>
      <c r="N107" s="86"/>
      <c r="O107" s="86"/>
    </row>
    <row r="109" spans="3:15">
      <c r="C109" s="107" t="s">
        <v>1069</v>
      </c>
      <c r="D109" s="107"/>
      <c r="E109" s="109" t="s">
        <v>968</v>
      </c>
      <c r="F109" s="114">
        <f>F55/F62</f>
        <v>369.45945945945942</v>
      </c>
      <c r="G109" s="114">
        <f t="shared" ref="G109:J109" si="120">G55/G62</f>
        <v>493.06358381502889</v>
      </c>
      <c r="H109" s="114">
        <f t="shared" si="120"/>
        <v>515.82474226804129</v>
      </c>
      <c r="I109" s="114">
        <f t="shared" si="120"/>
        <v>542.67015706806274</v>
      </c>
      <c r="J109" s="114">
        <f t="shared" si="120"/>
        <v>540.27649769585253</v>
      </c>
      <c r="K109" s="107">
        <f>SUM(K112,K118,K124,K130,K136,K142,K148)</f>
        <v>552.43553907165187</v>
      </c>
      <c r="L109" s="107">
        <f t="shared" ref="L109:O109" si="121">SUM(L112,L118,L124,L130,L136,L142,L148)</f>
        <v>565.16115809491578</v>
      </c>
      <c r="M109" s="107">
        <f t="shared" si="121"/>
        <v>578.32977318738267</v>
      </c>
      <c r="N109" s="107">
        <f t="shared" si="121"/>
        <v>591.62931140756723</v>
      </c>
      <c r="O109" s="107">
        <f t="shared" si="121"/>
        <v>605.26035134388019</v>
      </c>
    </row>
    <row r="110" spans="3:15">
      <c r="F110" s="84"/>
      <c r="G110" s="102">
        <f>(G109-F109)/F109</f>
        <v>0.33455395765589396</v>
      </c>
      <c r="H110" s="102">
        <f t="shared" ref="H110" si="122">(H109-G109)/G109</f>
        <v>4.6162724646789506E-2</v>
      </c>
      <c r="I110" s="102">
        <f t="shared" ref="I110" si="123">(I109-H109)/H109</f>
        <v>5.2043674140143499E-2</v>
      </c>
      <c r="J110" s="102">
        <f t="shared" ref="J110" si="124">(J109-I109)/I109</f>
        <v>-4.410891848452966E-3</v>
      </c>
      <c r="K110" s="102">
        <f>(K109-J109)/J109</f>
        <v>2.2505219878441302E-2</v>
      </c>
      <c r="L110" s="102">
        <f t="shared" ref="L110:O110" si="125">(L109-K109)/K109</f>
        <v>2.3035482193359335E-2</v>
      </c>
      <c r="M110" s="102">
        <f t="shared" si="125"/>
        <v>2.3300637179059811E-2</v>
      </c>
      <c r="N110" s="102">
        <f t="shared" si="125"/>
        <v>2.2996461252350948E-2</v>
      </c>
      <c r="O110" s="102">
        <f t="shared" si="125"/>
        <v>2.3039831991898518E-2</v>
      </c>
    </row>
    <row r="112" spans="3:15">
      <c r="C112" s="75" t="s">
        <v>231</v>
      </c>
      <c r="D112" s="75"/>
      <c r="E112" s="76" t="s">
        <v>968</v>
      </c>
      <c r="F112" s="82">
        <f>_xlfn.XLOOKUP($C112,$C$38:$C$44,F$38:F$44)*F$109</f>
        <v>193.78897020688063</v>
      </c>
      <c r="G112" s="82">
        <f>_xlfn.XLOOKUP($C112,$C$38:$C$44,G$38:G$44)*G$109</f>
        <v>206.72147291800471</v>
      </c>
      <c r="H112" s="82">
        <f>_xlfn.XLOOKUP($C112,$C$38:$C$44,H$38:H$44)*H$109</f>
        <v>108.70835461615385</v>
      </c>
      <c r="I112" s="82">
        <f>_xlfn.XLOOKUP($C112,$C$38:$C$44,I$38:I$44)*I$109</f>
        <v>110.42037956450619</v>
      </c>
      <c r="J112" s="82">
        <f>_xlfn.XLOOKUP($C112,$C$38:$C$44,J$38:J$44)*J$109</f>
        <v>111.64812859070531</v>
      </c>
      <c r="K112" s="82">
        <f>J112*(1+K113)</f>
        <v>113.2781912681296</v>
      </c>
      <c r="L112" s="82">
        <f t="shared" ref="L112" si="126">K112*(1+L113)</f>
        <v>115.31493314713059</v>
      </c>
      <c r="M112" s="82">
        <f t="shared" ref="M112" si="127">L112*(1+M113)</f>
        <v>117.50822317558902</v>
      </c>
      <c r="N112" s="82">
        <f t="shared" ref="N112" si="128">M112*(1+N113)</f>
        <v>119.73735416922995</v>
      </c>
      <c r="O112" s="82">
        <f t="shared" ref="O112" si="129">N112*(1+O113)</f>
        <v>122.02074551323715</v>
      </c>
    </row>
    <row r="113" spans="3:15">
      <c r="C113" s="101" t="s">
        <v>307</v>
      </c>
      <c r="D113" s="101"/>
      <c r="E113" s="101"/>
      <c r="F113" s="84"/>
      <c r="G113" s="102">
        <f>(G112-F112)/F112</f>
        <v>6.6734978246274279E-2</v>
      </c>
      <c r="H113" s="102">
        <f t="shared" ref="H113" si="130">(H112-G112)/G112</f>
        <v>-0.47413128843527247</v>
      </c>
      <c r="I113" s="102">
        <f t="shared" ref="I113" si="131">(I112-H112)/H112</f>
        <v>1.5748789082471615E-2</v>
      </c>
      <c r="J113" s="102">
        <f t="shared" ref="J113" si="132">(J112-I112)/I112</f>
        <v>1.1118862578097596E-2</v>
      </c>
      <c r="K113" s="102">
        <f>_xlfn.XLOOKUP($E$4,$C114:$C116,K114:K116)</f>
        <v>1.46E-2</v>
      </c>
      <c r="L113" s="102">
        <f t="shared" ref="L113:O113" si="133">_xlfn.XLOOKUP($E$4,$C114:$C116,L114:L116)</f>
        <v>1.7979999999999999E-2</v>
      </c>
      <c r="M113" s="102">
        <f t="shared" si="133"/>
        <v>1.9019999999999999E-2</v>
      </c>
      <c r="N113" s="102">
        <f t="shared" si="133"/>
        <v>1.8970000000000001E-2</v>
      </c>
      <c r="O113" s="102">
        <f t="shared" si="133"/>
        <v>1.907E-2</v>
      </c>
    </row>
    <row r="114" spans="3:15">
      <c r="C114" s="103" t="s">
        <v>1002</v>
      </c>
      <c r="D114" s="104">
        <v>0.01</v>
      </c>
      <c r="E114" s="75"/>
      <c r="F114" s="75"/>
      <c r="G114" s="75"/>
      <c r="H114" s="75"/>
      <c r="I114" s="75"/>
      <c r="J114" s="75"/>
      <c r="K114" s="105">
        <f>K115+$D114</f>
        <v>2.46E-2</v>
      </c>
      <c r="L114" s="105">
        <f t="shared" ref="L114:O114" si="134">L115+$D114</f>
        <v>2.7979999999999998E-2</v>
      </c>
      <c r="M114" s="105">
        <f t="shared" si="134"/>
        <v>2.9019999999999997E-2</v>
      </c>
      <c r="N114" s="105">
        <f t="shared" si="134"/>
        <v>2.8970000000000003E-2</v>
      </c>
      <c r="O114" s="105">
        <f t="shared" si="134"/>
        <v>2.9069999999999999E-2</v>
      </c>
    </row>
    <row r="115" spans="3:15">
      <c r="C115" s="103" t="s">
        <v>11</v>
      </c>
      <c r="D115" s="104">
        <v>0</v>
      </c>
      <c r="E115" s="75"/>
      <c r="F115" s="75"/>
      <c r="G115" s="75"/>
      <c r="H115" s="75"/>
      <c r="I115" s="75"/>
      <c r="J115" s="75"/>
      <c r="K115" s="105">
        <f>_xlfn.XLOOKUP($C112,$C$157:$C$166,K$157:K$166)</f>
        <v>1.46E-2</v>
      </c>
      <c r="L115" s="105">
        <f t="shared" ref="L115:O115" si="135">_xlfn.XLOOKUP($C112,$C$157:$C$166,L$157:L$166)</f>
        <v>1.7979999999999999E-2</v>
      </c>
      <c r="M115" s="105">
        <f t="shared" si="135"/>
        <v>1.9019999999999999E-2</v>
      </c>
      <c r="N115" s="105">
        <f t="shared" si="135"/>
        <v>1.8970000000000001E-2</v>
      </c>
      <c r="O115" s="105">
        <f t="shared" si="135"/>
        <v>1.907E-2</v>
      </c>
    </row>
    <row r="116" spans="3:15">
      <c r="C116" s="103" t="s">
        <v>1003</v>
      </c>
      <c r="D116" s="104">
        <v>-0.01</v>
      </c>
      <c r="E116" s="75"/>
      <c r="F116" s="75"/>
      <c r="G116" s="75"/>
      <c r="H116" s="75"/>
      <c r="I116" s="75"/>
      <c r="J116" s="75"/>
      <c r="K116" s="105">
        <f>K115+$D116</f>
        <v>4.5999999999999999E-3</v>
      </c>
      <c r="L116" s="105">
        <f t="shared" ref="L116:O116" si="136">L115+$D116</f>
        <v>7.9799999999999992E-3</v>
      </c>
      <c r="M116" s="105">
        <f t="shared" si="136"/>
        <v>9.0199999999999985E-3</v>
      </c>
      <c r="N116" s="105">
        <f t="shared" si="136"/>
        <v>8.9700000000000005E-3</v>
      </c>
      <c r="O116" s="105">
        <f t="shared" si="136"/>
        <v>9.0699999999999999E-3</v>
      </c>
    </row>
    <row r="118" spans="3:15">
      <c r="C118" s="75" t="s">
        <v>257</v>
      </c>
      <c r="D118" s="75"/>
      <c r="E118" s="76" t="s">
        <v>968</v>
      </c>
      <c r="F118" s="82">
        <f>_xlfn.XLOOKUP($C118,$C$38:$C$44,F$38:F$44)*F$109</f>
        <v>71.686163775716011</v>
      </c>
      <c r="G118" s="82">
        <f>_xlfn.XLOOKUP($C118,$C$38:$C$44,G$38:G$44)*G$109</f>
        <v>78.890173410404628</v>
      </c>
      <c r="H118" s="82">
        <f>_xlfn.XLOOKUP($C118,$C$38:$C$44,H$38:H$44)*H$109</f>
        <v>183.22037251530566</v>
      </c>
      <c r="I118" s="82">
        <f>_xlfn.XLOOKUP($C118,$C$38:$C$44,I$38:I$44)*I$109</f>
        <v>154.81857384773474</v>
      </c>
      <c r="J118" s="82">
        <f>_xlfn.XLOOKUP($C118,$C$38:$C$44,J$38:J$44)*J$109</f>
        <v>157.62088742217222</v>
      </c>
      <c r="K118" s="82">
        <f>J118*(1+K119)</f>
        <v>160.93092605803781</v>
      </c>
      <c r="L118" s="82">
        <f t="shared" ref="L118" si="137">K118*(1+L119)</f>
        <v>164.14793526993799</v>
      </c>
      <c r="M118" s="82">
        <f t="shared" ref="M118" si="138">L118*(1+M119)</f>
        <v>167.42925249598403</v>
      </c>
      <c r="N118" s="82">
        <f t="shared" ref="N118" si="139">M118*(1+N119)</f>
        <v>170.77951183842868</v>
      </c>
      <c r="O118" s="82">
        <f t="shared" ref="O118" si="140">N118*(1+O119)</f>
        <v>174.19339428007885</v>
      </c>
    </row>
    <row r="119" spans="3:15">
      <c r="C119" s="101" t="s">
        <v>307</v>
      </c>
      <c r="D119" s="101"/>
      <c r="E119" s="101"/>
      <c r="F119" s="84"/>
      <c r="G119" s="102">
        <f>(G118-F118)/F118</f>
        <v>0.10049372508239876</v>
      </c>
      <c r="H119" s="102">
        <f t="shared" ref="H119" si="141">(H118-G118)/G118</f>
        <v>1.3224739482083732</v>
      </c>
      <c r="I119" s="102">
        <f t="shared" ref="I119" si="142">(I118-H118)/H118</f>
        <v>-0.15501441394132259</v>
      </c>
      <c r="J119" s="102">
        <f t="shared" ref="J119" si="143">(J118-I118)/I118</f>
        <v>1.8100629044636298E-2</v>
      </c>
      <c r="K119" s="102">
        <f>_xlfn.XLOOKUP($E$4,$C120:$C122,K120:K122)</f>
        <v>2.1000000000000001E-2</v>
      </c>
      <c r="L119" s="102">
        <f t="shared" ref="L119:O119" si="144">_xlfn.XLOOKUP($E$4,$C120:$C122,L120:L122)</f>
        <v>1.9990000000000001E-2</v>
      </c>
      <c r="M119" s="102">
        <f t="shared" si="144"/>
        <v>1.9990000000000001E-2</v>
      </c>
      <c r="N119" s="102">
        <f t="shared" si="144"/>
        <v>2.001E-2</v>
      </c>
      <c r="O119" s="102">
        <f t="shared" si="144"/>
        <v>1.9990000000000001E-2</v>
      </c>
    </row>
    <row r="120" spans="3:15">
      <c r="C120" s="103" t="s">
        <v>1002</v>
      </c>
      <c r="D120" s="104">
        <v>0.01</v>
      </c>
      <c r="E120" s="75"/>
      <c r="F120" s="75"/>
      <c r="G120" s="75"/>
      <c r="H120" s="75"/>
      <c r="I120" s="75"/>
      <c r="J120" s="75"/>
      <c r="K120" s="105">
        <f>K121+$D120</f>
        <v>3.1E-2</v>
      </c>
      <c r="L120" s="105">
        <f t="shared" ref="L120:O120" si="145">L121+$D120</f>
        <v>2.9990000000000003E-2</v>
      </c>
      <c r="M120" s="105">
        <f t="shared" si="145"/>
        <v>2.9990000000000003E-2</v>
      </c>
      <c r="N120" s="105">
        <f t="shared" si="145"/>
        <v>3.0010000000000002E-2</v>
      </c>
      <c r="O120" s="105">
        <f t="shared" si="145"/>
        <v>2.9990000000000003E-2</v>
      </c>
    </row>
    <row r="121" spans="3:15">
      <c r="C121" s="103" t="s">
        <v>11</v>
      </c>
      <c r="D121" s="104">
        <v>0</v>
      </c>
      <c r="E121" s="75"/>
      <c r="F121" s="75"/>
      <c r="G121" s="75"/>
      <c r="H121" s="75"/>
      <c r="I121" s="75"/>
      <c r="J121" s="75"/>
      <c r="K121" s="105">
        <f>_xlfn.XLOOKUP($C118,$C$157:$C$166,K$157:K$166)</f>
        <v>2.1000000000000001E-2</v>
      </c>
      <c r="L121" s="105">
        <f t="shared" ref="L121:O121" si="146">_xlfn.XLOOKUP($C118,$C$157:$C$166,L$157:L$166)</f>
        <v>1.9990000000000001E-2</v>
      </c>
      <c r="M121" s="105">
        <f t="shared" si="146"/>
        <v>1.9990000000000001E-2</v>
      </c>
      <c r="N121" s="105">
        <f t="shared" si="146"/>
        <v>2.001E-2</v>
      </c>
      <c r="O121" s="105">
        <f t="shared" si="146"/>
        <v>1.9990000000000001E-2</v>
      </c>
    </row>
    <row r="122" spans="3:15">
      <c r="C122" s="103" t="s">
        <v>1003</v>
      </c>
      <c r="D122" s="104">
        <v>-0.01</v>
      </c>
      <c r="E122" s="75"/>
      <c r="F122" s="75"/>
      <c r="G122" s="75"/>
      <c r="H122" s="75"/>
      <c r="I122" s="75"/>
      <c r="J122" s="75"/>
      <c r="K122" s="105">
        <f>K121+$D122</f>
        <v>1.1000000000000001E-2</v>
      </c>
      <c r="L122" s="105">
        <f t="shared" ref="L122:O122" si="147">L121+$D122</f>
        <v>9.9900000000000006E-3</v>
      </c>
      <c r="M122" s="105">
        <f t="shared" si="147"/>
        <v>9.9900000000000006E-3</v>
      </c>
      <c r="N122" s="105">
        <f t="shared" si="147"/>
        <v>1.001E-2</v>
      </c>
      <c r="O122" s="105">
        <f t="shared" si="147"/>
        <v>9.9900000000000006E-3</v>
      </c>
    </row>
    <row r="124" spans="3:15">
      <c r="C124" s="75" t="s">
        <v>233</v>
      </c>
      <c r="D124" s="75"/>
      <c r="E124" s="76" t="s">
        <v>968</v>
      </c>
      <c r="F124" s="82">
        <f>_xlfn.XLOOKUP($C124,$C$38:$C$44,F$38:F$44)*F$109</f>
        <v>-48.053362530974468</v>
      </c>
      <c r="G124" s="82">
        <f>_xlfn.XLOOKUP($C124,$C$38:$C$44,G$38:G$44)*G$109</f>
        <v>57.706700920573752</v>
      </c>
      <c r="H124" s="82">
        <f>_xlfn.XLOOKUP($C124,$C$38:$C$44,H$38:H$44)*H$109</f>
        <v>98.989395759742749</v>
      </c>
      <c r="I124" s="82">
        <f>_xlfn.XLOOKUP($C124,$C$38:$C$44,I$38:I$44)*I$109</f>
        <v>139.17568674276299</v>
      </c>
      <c r="J124" s="82">
        <f>_xlfn.XLOOKUP($C124,$C$38:$C$44,J$38:J$44)*J$109</f>
        <v>124.20371398585384</v>
      </c>
      <c r="K124" s="82">
        <f>J124*(1+K125)</f>
        <v>127.44543092088462</v>
      </c>
      <c r="L124" s="82">
        <f t="shared" ref="L124" si="148">K124*(1+L125)</f>
        <v>130.7577376705184</v>
      </c>
      <c r="M124" s="82">
        <f t="shared" ref="M124" si="149">L124*(1+M125)</f>
        <v>134.15743884995189</v>
      </c>
      <c r="N124" s="82">
        <f t="shared" ref="N124" si="150">M124*(1+N125)</f>
        <v>137.51271639558919</v>
      </c>
      <c r="O124" s="82">
        <f t="shared" ref="O124" si="151">N124*(1+O125)</f>
        <v>140.94778405115102</v>
      </c>
    </row>
    <row r="125" spans="3:15">
      <c r="C125" s="101" t="s">
        <v>307</v>
      </c>
      <c r="D125" s="101"/>
      <c r="E125" s="101"/>
      <c r="F125" s="84"/>
      <c r="G125" s="102">
        <f>(G124-F124)/F124</f>
        <v>-2.2008878854914031</v>
      </c>
      <c r="H125" s="102">
        <f t="shared" ref="H125" si="152">(H124-G124)/G124</f>
        <v>0.71538823361241188</v>
      </c>
      <c r="I125" s="102">
        <f t="shared" ref="I125" si="153">(I124-H124)/H124</f>
        <v>0.40596561555498756</v>
      </c>
      <c r="J125" s="102">
        <f t="shared" ref="J125" si="154">(J124-I124)/I124</f>
        <v>-0.10757606524034402</v>
      </c>
      <c r="K125" s="102">
        <f>_xlfn.XLOOKUP($E$4,$C126:$C128,K126:K128)</f>
        <v>2.6099999999999998E-2</v>
      </c>
      <c r="L125" s="102">
        <f t="shared" ref="L125:O125" si="155">_xlfn.XLOOKUP($E$4,$C126:$C128,L126:L128)</f>
        <v>2.5990000000000003E-2</v>
      </c>
      <c r="M125" s="102">
        <f t="shared" si="155"/>
        <v>2.6000000000000002E-2</v>
      </c>
      <c r="N125" s="102">
        <f t="shared" si="155"/>
        <v>2.5009999999999998E-2</v>
      </c>
      <c r="O125" s="102">
        <f t="shared" si="155"/>
        <v>2.4980000000000002E-2</v>
      </c>
    </row>
    <row r="126" spans="3:15">
      <c r="C126" s="103" t="s">
        <v>1002</v>
      </c>
      <c r="D126" s="104">
        <v>0.01</v>
      </c>
      <c r="E126" s="75"/>
      <c r="F126" s="75"/>
      <c r="G126" s="75"/>
      <c r="H126" s="75"/>
      <c r="I126" s="75"/>
      <c r="J126" s="75"/>
      <c r="K126" s="105">
        <f>K127+$D126</f>
        <v>3.61E-2</v>
      </c>
      <c r="L126" s="105">
        <f t="shared" ref="L126:O126" si="156">L127+$D126</f>
        <v>3.5990000000000001E-2</v>
      </c>
      <c r="M126" s="105">
        <f t="shared" si="156"/>
        <v>3.6000000000000004E-2</v>
      </c>
      <c r="N126" s="105">
        <f t="shared" si="156"/>
        <v>3.5009999999999999E-2</v>
      </c>
      <c r="O126" s="105">
        <f t="shared" si="156"/>
        <v>3.4980000000000004E-2</v>
      </c>
    </row>
    <row r="127" spans="3:15">
      <c r="C127" s="103" t="s">
        <v>11</v>
      </c>
      <c r="D127" s="104">
        <v>0</v>
      </c>
      <c r="E127" s="75"/>
      <c r="F127" s="75"/>
      <c r="G127" s="75"/>
      <c r="H127" s="75"/>
      <c r="I127" s="75"/>
      <c r="J127" s="75"/>
      <c r="K127" s="105">
        <f>_xlfn.XLOOKUP($C124,$C$157:$C$166,K$157:K$166)</f>
        <v>2.6099999999999998E-2</v>
      </c>
      <c r="L127" s="105">
        <f t="shared" ref="L127:O127" si="157">_xlfn.XLOOKUP($C124,$C$157:$C$166,L$157:L$166)</f>
        <v>2.5990000000000003E-2</v>
      </c>
      <c r="M127" s="105">
        <f t="shared" si="157"/>
        <v>2.6000000000000002E-2</v>
      </c>
      <c r="N127" s="105">
        <f t="shared" si="157"/>
        <v>2.5009999999999998E-2</v>
      </c>
      <c r="O127" s="105">
        <f t="shared" si="157"/>
        <v>2.4980000000000002E-2</v>
      </c>
    </row>
    <row r="128" spans="3:15">
      <c r="C128" s="103" t="s">
        <v>1003</v>
      </c>
      <c r="D128" s="104">
        <v>-0.01</v>
      </c>
      <c r="E128" s="75"/>
      <c r="F128" s="75"/>
      <c r="G128" s="75"/>
      <c r="H128" s="75"/>
      <c r="I128" s="75"/>
      <c r="J128" s="75"/>
      <c r="K128" s="105">
        <f>K127+$D128</f>
        <v>1.6099999999999996E-2</v>
      </c>
      <c r="L128" s="105">
        <f t="shared" ref="L128:O128" si="158">L127+$D128</f>
        <v>1.5990000000000004E-2</v>
      </c>
      <c r="M128" s="105">
        <f t="shared" si="158"/>
        <v>1.6E-2</v>
      </c>
      <c r="N128" s="105">
        <f t="shared" si="158"/>
        <v>1.5009999999999997E-2</v>
      </c>
      <c r="O128" s="105">
        <f t="shared" si="158"/>
        <v>1.4980000000000002E-2</v>
      </c>
    </row>
    <row r="130" spans="3:15">
      <c r="C130" s="75" t="s">
        <v>244</v>
      </c>
      <c r="D130" s="75"/>
      <c r="E130" s="76" t="s">
        <v>968</v>
      </c>
      <c r="F130" s="82">
        <f>_xlfn.XLOOKUP($C130,$C$38:$C$44,F$38:F$44)*F$109</f>
        <v>40.175762116060625</v>
      </c>
      <c r="G130" s="82">
        <f>_xlfn.XLOOKUP($C130,$C$38:$C$44,G$38:G$44)*G$109</f>
        <v>59.167630057803464</v>
      </c>
      <c r="H130" s="82">
        <f>_xlfn.XLOOKUP($C130,$C$38:$C$44,H$38:H$44)*H$109</f>
        <v>44.995179890792159</v>
      </c>
      <c r="I130" s="82">
        <f>_xlfn.XLOOKUP($C130,$C$38:$C$44,I$38:I$44)*I$109</f>
        <v>46.008491485210911</v>
      </c>
      <c r="J130" s="82">
        <f>_xlfn.XLOOKUP($C130,$C$38:$C$44,J$38:J$44)*J$109</f>
        <v>51.188155841759361</v>
      </c>
      <c r="K130" s="82">
        <f>J130*(1+K131)</f>
        <v>52.606067758576096</v>
      </c>
      <c r="L130" s="82">
        <f t="shared" ref="L130" si="159">K130*(1+L131)</f>
        <v>54.183723730655792</v>
      </c>
      <c r="M130" s="82">
        <f t="shared" ref="M130" si="160">L130*(1+M131)</f>
        <v>55.809777279812778</v>
      </c>
      <c r="N130" s="82">
        <f t="shared" ref="N130" si="161">M130*(1+N131)</f>
        <v>57.482396304888766</v>
      </c>
      <c r="O130" s="82">
        <f t="shared" ref="O130" si="162">N130*(1+O131)</f>
        <v>59.207443017998486</v>
      </c>
    </row>
    <row r="131" spans="3:15">
      <c r="C131" s="101" t="s">
        <v>307</v>
      </c>
      <c r="D131" s="101"/>
      <c r="E131" s="101"/>
      <c r="F131" s="84"/>
      <c r="G131" s="102">
        <f>(G130-F130)/F130</f>
        <v>0.47271954386026865</v>
      </c>
      <c r="H131" s="102">
        <f t="shared" ref="H131" si="163">(H130-G130)/G130</f>
        <v>-0.23953046882502502</v>
      </c>
      <c r="I131" s="102">
        <f t="shared" ref="I131" si="164">(I130-H130)/H130</f>
        <v>2.2520447676354707E-2</v>
      </c>
      <c r="J131" s="102">
        <f t="shared" ref="J131" si="165">(J130-I130)/I130</f>
        <v>0.11258061695444666</v>
      </c>
      <c r="K131" s="102">
        <f>_xlfn.XLOOKUP($E$4,$C132:$C134,K132:K134)</f>
        <v>2.7699999999999999E-2</v>
      </c>
      <c r="L131" s="102">
        <f t="shared" ref="L131:O131" si="166">_xlfn.XLOOKUP($E$4,$C132:$C134,L132:L134)</f>
        <v>2.9990000000000003E-2</v>
      </c>
      <c r="M131" s="102">
        <f t="shared" si="166"/>
        <v>3.0009999999999998E-2</v>
      </c>
      <c r="N131" s="102">
        <f t="shared" si="166"/>
        <v>2.997E-2</v>
      </c>
      <c r="O131" s="102">
        <f t="shared" si="166"/>
        <v>3.0009999999999998E-2</v>
      </c>
    </row>
    <row r="132" spans="3:15">
      <c r="C132" s="103" t="s">
        <v>1002</v>
      </c>
      <c r="D132" s="104">
        <v>0.01</v>
      </c>
      <c r="E132" s="75"/>
      <c r="F132" s="75"/>
      <c r="G132" s="75"/>
      <c r="H132" s="75"/>
      <c r="I132" s="75"/>
      <c r="J132" s="75"/>
      <c r="K132" s="105">
        <f>K133+$D132</f>
        <v>3.7699999999999997E-2</v>
      </c>
      <c r="L132" s="105">
        <f t="shared" ref="L132:O132" si="167">L133+$D132</f>
        <v>3.9990000000000005E-2</v>
      </c>
      <c r="M132" s="105">
        <f t="shared" si="167"/>
        <v>4.0009999999999997E-2</v>
      </c>
      <c r="N132" s="105">
        <f t="shared" si="167"/>
        <v>3.9969999999999999E-2</v>
      </c>
      <c r="O132" s="105">
        <f t="shared" si="167"/>
        <v>4.0009999999999997E-2</v>
      </c>
    </row>
    <row r="133" spans="3:15">
      <c r="C133" s="103" t="s">
        <v>11</v>
      </c>
      <c r="D133" s="104">
        <v>0</v>
      </c>
      <c r="E133" s="75"/>
      <c r="F133" s="75"/>
      <c r="G133" s="75"/>
      <c r="H133" s="75"/>
      <c r="I133" s="75"/>
      <c r="J133" s="75"/>
      <c r="K133" s="105">
        <f>_xlfn.XLOOKUP($C130,$C$157:$C$166,K$157:K$166)</f>
        <v>2.7699999999999999E-2</v>
      </c>
      <c r="L133" s="105">
        <f t="shared" ref="L133:O133" si="168">_xlfn.XLOOKUP($C130,$C$157:$C$166,L$157:L$166)</f>
        <v>2.9990000000000003E-2</v>
      </c>
      <c r="M133" s="105">
        <f t="shared" si="168"/>
        <v>3.0009999999999998E-2</v>
      </c>
      <c r="N133" s="105">
        <f t="shared" si="168"/>
        <v>2.997E-2</v>
      </c>
      <c r="O133" s="105">
        <f t="shared" si="168"/>
        <v>3.0009999999999998E-2</v>
      </c>
    </row>
    <row r="134" spans="3:15">
      <c r="C134" s="103" t="s">
        <v>1003</v>
      </c>
      <c r="D134" s="104">
        <v>-0.01</v>
      </c>
      <c r="E134" s="75"/>
      <c r="F134" s="75"/>
      <c r="G134" s="75"/>
      <c r="H134" s="75"/>
      <c r="I134" s="75"/>
      <c r="J134" s="75"/>
      <c r="K134" s="105">
        <f>K133+$D134</f>
        <v>1.77E-2</v>
      </c>
      <c r="L134" s="105">
        <f t="shared" ref="L134:O134" si="169">L133+$D134</f>
        <v>1.9990000000000001E-2</v>
      </c>
      <c r="M134" s="105">
        <f t="shared" si="169"/>
        <v>2.001E-2</v>
      </c>
      <c r="N134" s="105">
        <f t="shared" si="169"/>
        <v>1.9970000000000002E-2</v>
      </c>
      <c r="O134" s="105">
        <f t="shared" si="169"/>
        <v>2.001E-2</v>
      </c>
    </row>
    <row r="136" spans="3:15">
      <c r="C136" s="75" t="s">
        <v>239</v>
      </c>
      <c r="D136" s="75"/>
      <c r="E136" s="76" t="s">
        <v>968</v>
      </c>
      <c r="F136" s="82">
        <f>_xlfn.XLOOKUP($C136,$C$38:$C$44,F$38:F$44)*F$109</f>
        <v>44.902322365008928</v>
      </c>
      <c r="G136" s="82">
        <f>_xlfn.XLOOKUP($C136,$C$38:$C$44,G$38:G$44)*G$109</f>
        <v>55.515307214729177</v>
      </c>
      <c r="H136" s="82">
        <f>_xlfn.XLOOKUP($C136,$C$38:$C$44,H$38:H$44)*H$109</f>
        <v>39.235796864770762</v>
      </c>
      <c r="I136" s="82">
        <f>_xlfn.XLOOKUP($C136,$C$38:$C$44,I$38:I$44)*I$109</f>
        <v>47.158703772341191</v>
      </c>
      <c r="J136" s="82">
        <f>_xlfn.XLOOKUP($C136,$C$38:$C$44,J$38:J$44)*J$109</f>
        <v>48.677038762729651</v>
      </c>
      <c r="K136" s="82">
        <f>J136*(1+K137)</f>
        <v>49.358517305407865</v>
      </c>
      <c r="L136" s="82">
        <f t="shared" ref="L136" si="170">K136*(1+L137)</f>
        <v>50.097907894642873</v>
      </c>
      <c r="M136" s="82">
        <f t="shared" ref="M136" si="171">L136*(1+M137)</f>
        <v>50.898472462799269</v>
      </c>
      <c r="N136" s="82">
        <f t="shared" ref="N136" si="172">M136*(1+N137)</f>
        <v>51.712848022204057</v>
      </c>
      <c r="O136" s="82">
        <f t="shared" ref="O136" si="173">N136*(1+O137)</f>
        <v>52.539736462079098</v>
      </c>
    </row>
    <row r="137" spans="3:15">
      <c r="C137" s="101" t="s">
        <v>307</v>
      </c>
      <c r="D137" s="101"/>
      <c r="E137" s="101"/>
      <c r="F137" s="84"/>
      <c r="G137" s="102">
        <f>(G136-F136)/F136</f>
        <v>0.23635714793207754</v>
      </c>
      <c r="H137" s="102">
        <f t="shared" ref="H137" si="174">(H136-G136)/G136</f>
        <v>-0.29324363255327851</v>
      </c>
      <c r="I137" s="102">
        <f t="shared" ref="I137" si="175">(I136-H136)/H136</f>
        <v>0.20193057209663273</v>
      </c>
      <c r="J137" s="102">
        <f t="shared" ref="J137" si="176">(J136-I136)/I136</f>
        <v>3.2196283377894097E-2</v>
      </c>
      <c r="K137" s="102">
        <f>_xlfn.XLOOKUP($E$4,$C138:$C140,K138:K140)</f>
        <v>1.3999999999999999E-2</v>
      </c>
      <c r="L137" s="102">
        <f t="shared" ref="L137:O137" si="177">_xlfn.XLOOKUP($E$4,$C138:$C140,L138:L140)</f>
        <v>1.498E-2</v>
      </c>
      <c r="M137" s="102">
        <f t="shared" si="177"/>
        <v>1.5980000000000001E-2</v>
      </c>
      <c r="N137" s="102">
        <f t="shared" si="177"/>
        <v>1.6E-2</v>
      </c>
      <c r="O137" s="102">
        <f t="shared" si="177"/>
        <v>1.5990000000000001E-2</v>
      </c>
    </row>
    <row r="138" spans="3:15">
      <c r="C138" s="103" t="s">
        <v>1002</v>
      </c>
      <c r="D138" s="104">
        <v>0.01</v>
      </c>
      <c r="E138" s="75"/>
      <c r="F138" s="75"/>
      <c r="G138" s="75"/>
      <c r="H138" s="75"/>
      <c r="I138" s="75"/>
      <c r="J138" s="75"/>
      <c r="K138" s="105">
        <f>K139+$D138</f>
        <v>2.4E-2</v>
      </c>
      <c r="L138" s="105">
        <f t="shared" ref="L138:O138" si="178">L139+$D138</f>
        <v>2.4980000000000002E-2</v>
      </c>
      <c r="M138" s="105">
        <f t="shared" si="178"/>
        <v>2.5980000000000003E-2</v>
      </c>
      <c r="N138" s="105">
        <f t="shared" si="178"/>
        <v>2.6000000000000002E-2</v>
      </c>
      <c r="O138" s="105">
        <f t="shared" si="178"/>
        <v>2.5989999999999999E-2</v>
      </c>
    </row>
    <row r="139" spans="3:15">
      <c r="C139" s="103" t="s">
        <v>11</v>
      </c>
      <c r="D139" s="104">
        <v>0</v>
      </c>
      <c r="E139" s="75"/>
      <c r="F139" s="75"/>
      <c r="G139" s="75"/>
      <c r="H139" s="75"/>
      <c r="I139" s="75"/>
      <c r="J139" s="75"/>
      <c r="K139" s="105">
        <f>_xlfn.XLOOKUP($C136,$C$157:$C$166,K$157:K$166)</f>
        <v>1.3999999999999999E-2</v>
      </c>
      <c r="L139" s="105">
        <f t="shared" ref="L139:O139" si="179">_xlfn.XLOOKUP($C136,$C$157:$C$166,L$157:L$166)</f>
        <v>1.498E-2</v>
      </c>
      <c r="M139" s="105">
        <f t="shared" si="179"/>
        <v>1.5980000000000001E-2</v>
      </c>
      <c r="N139" s="105">
        <f t="shared" si="179"/>
        <v>1.6E-2</v>
      </c>
      <c r="O139" s="105">
        <f t="shared" si="179"/>
        <v>1.5990000000000001E-2</v>
      </c>
    </row>
    <row r="140" spans="3:15">
      <c r="C140" s="103" t="s">
        <v>1003</v>
      </c>
      <c r="D140" s="104">
        <v>-0.01</v>
      </c>
      <c r="E140" s="75"/>
      <c r="F140" s="75"/>
      <c r="G140" s="75"/>
      <c r="H140" s="75"/>
      <c r="I140" s="75"/>
      <c r="J140" s="75"/>
      <c r="K140" s="105">
        <f>K139+$D140</f>
        <v>3.9999999999999983E-3</v>
      </c>
      <c r="L140" s="105">
        <f t="shared" ref="L140:O140" si="180">L139+$D140</f>
        <v>4.9800000000000001E-3</v>
      </c>
      <c r="M140" s="105">
        <f t="shared" si="180"/>
        <v>5.9800000000000009E-3</v>
      </c>
      <c r="N140" s="105">
        <f t="shared" si="180"/>
        <v>6.0000000000000001E-3</v>
      </c>
      <c r="O140" s="105">
        <f t="shared" si="180"/>
        <v>5.9900000000000005E-3</v>
      </c>
    </row>
    <row r="142" spans="3:15">
      <c r="C142" s="75" t="s">
        <v>258</v>
      </c>
      <c r="D142" s="75"/>
      <c r="E142" s="76" t="s">
        <v>968</v>
      </c>
      <c r="F142" s="82">
        <f>_xlfn.XLOOKUP($C142,$C$38:$C$44,F$38:F$44)*F$109</f>
        <v>0</v>
      </c>
      <c r="G142" s="82">
        <f>_xlfn.XLOOKUP($C142,$C$38:$C$44,G$38:G$44)*G$109</f>
        <v>0</v>
      </c>
      <c r="H142" s="82">
        <f>_xlfn.XLOOKUP($C142,$C$38:$C$44,H$38:H$44)*H$109</f>
        <v>38.875835425644425</v>
      </c>
      <c r="I142" s="82">
        <f>_xlfn.XLOOKUP($C142,$C$38:$C$44,I$38:I$44)*I$109</f>
        <v>42.557854623820099</v>
      </c>
      <c r="J142" s="82">
        <f>_xlfn.XLOOKUP($C142,$C$38:$C$44,J$38:J$44)*J$109</f>
        <v>44.041130309136356</v>
      </c>
      <c r="K142" s="82">
        <f>J142*(1+K143)</f>
        <v>45.626611000265264</v>
      </c>
      <c r="L142" s="82">
        <f t="shared" ref="L142" si="181">K142*(1+L143)</f>
        <v>47.223086119164549</v>
      </c>
      <c r="M142" s="82">
        <f t="shared" ref="M142" si="182">L142*(1+M143)</f>
        <v>48.874477440751733</v>
      </c>
      <c r="N142" s="82">
        <f t="shared" ref="N142" si="183">M142*(1+N143)</f>
        <v>50.535720928962881</v>
      </c>
      <c r="O142" s="82">
        <f t="shared" ref="O142" si="184">N142*(1+O143)</f>
        <v>52.252924726129038</v>
      </c>
    </row>
    <row r="143" spans="3:15">
      <c r="C143" s="101" t="s">
        <v>307</v>
      </c>
      <c r="D143" s="101"/>
      <c r="E143" s="101"/>
      <c r="F143" s="84"/>
      <c r="G143" s="102" t="e">
        <f>(G142-F142)/F142</f>
        <v>#DIV/0!</v>
      </c>
      <c r="H143" s="102" t="e">
        <f t="shared" ref="H143" si="185">(H142-G142)/G142</f>
        <v>#DIV/0!</v>
      </c>
      <c r="I143" s="102">
        <f t="shared" ref="I143" si="186">(I142-H142)/H142</f>
        <v>9.4712284838690083E-2</v>
      </c>
      <c r="J143" s="102">
        <f t="shared" ref="J143" si="187">(J142-I142)/I142</f>
        <v>3.4853159268184823E-2</v>
      </c>
      <c r="K143" s="102">
        <f>_xlfn.XLOOKUP($E$4,$C144:$C146,K144:K146)</f>
        <v>3.6000000000000004E-2</v>
      </c>
      <c r="L143" s="102">
        <f t="shared" ref="L143:O143" si="188">_xlfn.XLOOKUP($E$4,$C144:$C146,L144:L146)</f>
        <v>3.499E-2</v>
      </c>
      <c r="M143" s="102">
        <f t="shared" si="188"/>
        <v>3.4970000000000001E-2</v>
      </c>
      <c r="N143" s="102">
        <f t="shared" si="188"/>
        <v>3.3989999999999999E-2</v>
      </c>
      <c r="O143" s="102">
        <f t="shared" si="188"/>
        <v>3.3980000000000003E-2</v>
      </c>
    </row>
    <row r="144" spans="3:15">
      <c r="C144" s="103" t="s">
        <v>1002</v>
      </c>
      <c r="D144" s="104">
        <v>0.01</v>
      </c>
      <c r="E144" s="75"/>
      <c r="F144" s="75"/>
      <c r="G144" s="75"/>
      <c r="H144" s="75"/>
      <c r="I144" s="75"/>
      <c r="J144" s="75"/>
      <c r="K144" s="105">
        <f>K145+$D144</f>
        <v>4.6000000000000006E-2</v>
      </c>
      <c r="L144" s="105">
        <f t="shared" ref="L144:O144" si="189">L145+$D144</f>
        <v>4.4990000000000002E-2</v>
      </c>
      <c r="M144" s="105">
        <f t="shared" si="189"/>
        <v>4.4970000000000003E-2</v>
      </c>
      <c r="N144" s="105">
        <f t="shared" si="189"/>
        <v>4.3990000000000001E-2</v>
      </c>
      <c r="O144" s="105">
        <f t="shared" si="189"/>
        <v>4.3980000000000005E-2</v>
      </c>
    </row>
    <row r="145" spans="3:15">
      <c r="C145" s="103" t="s">
        <v>11</v>
      </c>
      <c r="D145" s="104">
        <v>0</v>
      </c>
      <c r="E145" s="75"/>
      <c r="F145" s="75"/>
      <c r="G145" s="75"/>
      <c r="H145" s="75"/>
      <c r="I145" s="75"/>
      <c r="J145" s="75"/>
      <c r="K145" s="105">
        <f>_xlfn.XLOOKUP($C142,$C$157:$C$166,K$157:K$166)</f>
        <v>3.6000000000000004E-2</v>
      </c>
      <c r="L145" s="105">
        <f t="shared" ref="L145:O145" si="190">_xlfn.XLOOKUP($C142,$C$157:$C$166,L$157:L$166)</f>
        <v>3.499E-2</v>
      </c>
      <c r="M145" s="105">
        <f t="shared" si="190"/>
        <v>3.4970000000000001E-2</v>
      </c>
      <c r="N145" s="105">
        <f t="shared" si="190"/>
        <v>3.3989999999999999E-2</v>
      </c>
      <c r="O145" s="105">
        <f t="shared" si="190"/>
        <v>3.3980000000000003E-2</v>
      </c>
    </row>
    <row r="146" spans="3:15">
      <c r="C146" s="103" t="s">
        <v>1003</v>
      </c>
      <c r="D146" s="104">
        <v>-0.01</v>
      </c>
      <c r="E146" s="75"/>
      <c r="F146" s="75"/>
      <c r="G146" s="75"/>
      <c r="H146" s="75"/>
      <c r="I146" s="75"/>
      <c r="J146" s="75"/>
      <c r="K146" s="105">
        <f>K145+$D146</f>
        <v>2.6000000000000002E-2</v>
      </c>
      <c r="L146" s="105">
        <f t="shared" ref="L146:O146" si="191">L145+$D146</f>
        <v>2.4989999999999998E-2</v>
      </c>
      <c r="M146" s="105">
        <f t="shared" si="191"/>
        <v>2.4969999999999999E-2</v>
      </c>
      <c r="N146" s="105">
        <f t="shared" si="191"/>
        <v>2.3989999999999997E-2</v>
      </c>
      <c r="O146" s="105">
        <f t="shared" si="191"/>
        <v>2.3980000000000001E-2</v>
      </c>
    </row>
    <row r="148" spans="3:15">
      <c r="C148" s="75" t="s">
        <v>259</v>
      </c>
      <c r="D148" s="75"/>
      <c r="E148" s="76" t="s">
        <v>968</v>
      </c>
      <c r="F148" s="82">
        <f>_xlfn.XLOOKUP($C148,$C$38:$C$44,F$38:F$44)*F$109</f>
        <v>66.959603526767694</v>
      </c>
      <c r="G148" s="82">
        <f>_xlfn.XLOOKUP($C148,$C$38:$C$44,G$38:G$44)*G$109</f>
        <v>35.062299293513163</v>
      </c>
      <c r="H148" s="82">
        <f>_xlfn.XLOOKUP($C148,$C$38:$C$44,H$38:H$44)*H$109</f>
        <v>1.7998071956316863</v>
      </c>
      <c r="I148" s="82">
        <f>_xlfn.XLOOKUP($C148,$C$38:$C$44,I$38:I$44)*I$109</f>
        <v>2.5304670316866003</v>
      </c>
      <c r="J148" s="82">
        <f>_xlfn.XLOOKUP($C148,$C$38:$C$44,J$38:J$44)*J$109</f>
        <v>2.8974427834958125</v>
      </c>
      <c r="K148" s="82">
        <f>J148*(1+K149)</f>
        <v>3.1897947603505399</v>
      </c>
      <c r="L148" s="82">
        <f t="shared" ref="L148" si="192">K148*(1+L149)</f>
        <v>3.435834262865578</v>
      </c>
      <c r="M148" s="82">
        <f t="shared" ref="M148" si="193">L148*(1+M149)</f>
        <v>3.6521314824938425</v>
      </c>
      <c r="N148" s="82">
        <f t="shared" ref="N148" si="194">M148*(1+N149)</f>
        <v>3.8687637482637691</v>
      </c>
      <c r="O148" s="82">
        <f t="shared" ref="O148" si="195">N148*(1+O149)</f>
        <v>4.0983232932065796</v>
      </c>
    </row>
    <row r="149" spans="3:15">
      <c r="C149" s="101" t="s">
        <v>307</v>
      </c>
      <c r="D149" s="101"/>
      <c r="E149" s="101"/>
      <c r="F149" s="84"/>
      <c r="G149" s="102">
        <f>(G148-F148)/F148</f>
        <v>-0.47636638440523771</v>
      </c>
      <c r="H149" s="102">
        <f t="shared" ref="H149" si="196">(H148-G148)/G148</f>
        <v>-0.94866830664568924</v>
      </c>
      <c r="I149" s="102">
        <f t="shared" ref="I149" si="197">(I148-H148)/H148</f>
        <v>0.40596561555498784</v>
      </c>
      <c r="J149" s="102">
        <f t="shared" ref="J149" si="198">(J148-I148)/I148</f>
        <v>0.14502293340080252</v>
      </c>
      <c r="K149" s="102">
        <f>_xlfn.XLOOKUP($E$4,$C150:$C152,K150:K152)</f>
        <v>0.1009</v>
      </c>
      <c r="L149" s="102">
        <f t="shared" ref="L149:O149" si="199">_xlfn.XLOOKUP($E$4,$C150:$C152,L150:L152)</f>
        <v>7.7133333333333332E-2</v>
      </c>
      <c r="M149" s="102">
        <f t="shared" si="199"/>
        <v>6.2953333333333333E-2</v>
      </c>
      <c r="N149" s="102">
        <f t="shared" si="199"/>
        <v>5.931666666666667E-2</v>
      </c>
      <c r="O149" s="102">
        <f t="shared" si="199"/>
        <v>5.9336666666666663E-2</v>
      </c>
    </row>
    <row r="150" spans="3:15">
      <c r="C150" s="103" t="s">
        <v>1002</v>
      </c>
      <c r="D150" s="104">
        <v>0.01</v>
      </c>
      <c r="E150" s="75"/>
      <c r="F150" s="75"/>
      <c r="G150" s="75"/>
      <c r="H150" s="75"/>
      <c r="I150" s="75"/>
      <c r="J150" s="75"/>
      <c r="K150" s="105">
        <f>K151+$D150</f>
        <v>0.1109</v>
      </c>
      <c r="L150" s="105">
        <f t="shared" ref="L150:O150" si="200">L151+$D150</f>
        <v>8.7133333333333327E-2</v>
      </c>
      <c r="M150" s="105">
        <f t="shared" si="200"/>
        <v>7.2953333333333328E-2</v>
      </c>
      <c r="N150" s="105">
        <f t="shared" si="200"/>
        <v>6.9316666666666665E-2</v>
      </c>
      <c r="O150" s="105">
        <f t="shared" si="200"/>
        <v>6.9336666666666658E-2</v>
      </c>
    </row>
    <row r="151" spans="3:15">
      <c r="C151" s="103" t="s">
        <v>11</v>
      </c>
      <c r="D151" s="104">
        <v>0</v>
      </c>
      <c r="E151" s="75"/>
      <c r="F151" s="75"/>
      <c r="G151" s="75"/>
      <c r="H151" s="75"/>
      <c r="I151" s="75"/>
      <c r="J151" s="75"/>
      <c r="K151" s="105">
        <f>_xlfn.XLOOKUP($C148,$C$157:$C$166,K$157:K$166)</f>
        <v>0.1009</v>
      </c>
      <c r="L151" s="105">
        <f t="shared" ref="L151:O151" si="201">_xlfn.XLOOKUP($C148,$C$157:$C$166,L$157:L$166)</f>
        <v>7.7133333333333332E-2</v>
      </c>
      <c r="M151" s="105">
        <f t="shared" si="201"/>
        <v>6.2953333333333333E-2</v>
      </c>
      <c r="N151" s="105">
        <f t="shared" si="201"/>
        <v>5.931666666666667E-2</v>
      </c>
      <c r="O151" s="105">
        <f t="shared" si="201"/>
        <v>5.9336666666666663E-2</v>
      </c>
    </row>
    <row r="152" spans="3:15">
      <c r="C152" s="103" t="s">
        <v>1003</v>
      </c>
      <c r="D152" s="104">
        <v>-0.01</v>
      </c>
      <c r="E152" s="75"/>
      <c r="F152" s="75"/>
      <c r="G152" s="75"/>
      <c r="H152" s="75"/>
      <c r="I152" s="75"/>
      <c r="J152" s="75"/>
      <c r="K152" s="105">
        <f>K151+$D152</f>
        <v>9.0900000000000009E-2</v>
      </c>
      <c r="L152" s="105">
        <f t="shared" ref="L152:O152" si="202">L151+$D152</f>
        <v>6.7133333333333337E-2</v>
      </c>
      <c r="M152" s="105">
        <f t="shared" si="202"/>
        <v>5.2953333333333331E-2</v>
      </c>
      <c r="N152" s="105">
        <f t="shared" si="202"/>
        <v>4.9316666666666668E-2</v>
      </c>
      <c r="O152" s="105">
        <f t="shared" si="202"/>
        <v>4.9336666666666661E-2</v>
      </c>
    </row>
    <row r="154" spans="3:15">
      <c r="C154" s="85" t="s">
        <v>1070</v>
      </c>
      <c r="D154" s="85"/>
      <c r="E154" s="86"/>
      <c r="F154" s="86"/>
      <c r="G154" s="86"/>
      <c r="H154" s="86"/>
      <c r="I154" s="86"/>
      <c r="J154" s="86"/>
      <c r="K154" s="86"/>
      <c r="L154" s="86"/>
      <c r="M154" s="86"/>
      <c r="N154" s="86"/>
      <c r="O154" s="86"/>
    </row>
    <row r="156" spans="3:15">
      <c r="C156" s="110" t="s">
        <v>1071</v>
      </c>
      <c r="D156" s="111"/>
      <c r="E156" s="111"/>
      <c r="F156" s="111"/>
      <c r="G156" s="111"/>
      <c r="H156" s="111"/>
      <c r="I156" s="111"/>
      <c r="J156" s="111"/>
      <c r="K156" s="111"/>
      <c r="L156" s="111"/>
      <c r="M156" s="111"/>
      <c r="N156" s="111"/>
      <c r="O156" s="111"/>
    </row>
    <row r="157" spans="3:15">
      <c r="C157" s="38" t="s">
        <v>231</v>
      </c>
      <c r="F157" s="112">
        <f>_xlfn.XLOOKUP($C157,'Inflation Data'!$B$3:$B$105,'Inflation Data'!I$3:I$105)</f>
        <v>2.316E-2</v>
      </c>
      <c r="G157" s="112">
        <f>_xlfn.XLOOKUP($C157,'Inflation Data'!$B$3:$B$105,'Inflation Data'!J$3:J$105)</f>
        <v>6.1310000000000003E-2</v>
      </c>
      <c r="H157" s="112">
        <f>_xlfn.XLOOKUP($C157,'Inflation Data'!$B$3:$B$105,'Inflation Data'!K$3:K$105)</f>
        <v>4.8339999999999994E-2</v>
      </c>
      <c r="I157" s="112">
        <f>_xlfn.XLOOKUP($C157,'Inflation Data'!$B$3:$B$105,'Inflation Data'!L$3:L$105)</f>
        <v>2.3900000000000001E-2</v>
      </c>
      <c r="J157" s="112">
        <f>_xlfn.XLOOKUP($C157,'Inflation Data'!$B$3:$B$105,'Inflation Data'!M$3:M$105)</f>
        <v>9.7000000000000003E-3</v>
      </c>
      <c r="K157" s="112">
        <f>_xlfn.XLOOKUP($C157,'Inflation Data'!$B$3:$B$105,'Inflation Data'!N$3:N$105)</f>
        <v>1.46E-2</v>
      </c>
      <c r="L157" s="112">
        <f>_xlfn.XLOOKUP($C157,'Inflation Data'!$B$3:$B$105,'Inflation Data'!O$3:O$105)</f>
        <v>1.7979999999999999E-2</v>
      </c>
      <c r="M157" s="112">
        <f>_xlfn.XLOOKUP($C157,'Inflation Data'!$B$3:$B$105,'Inflation Data'!P$3:P$105)</f>
        <v>1.9019999999999999E-2</v>
      </c>
      <c r="N157" s="112">
        <f>_xlfn.XLOOKUP($C157,'Inflation Data'!$B$3:$B$105,'Inflation Data'!Q$3:Q$105)</f>
        <v>1.8970000000000001E-2</v>
      </c>
      <c r="O157" s="112">
        <f>_xlfn.XLOOKUP($C157,'Inflation Data'!$B$3:$B$105,'Inflation Data'!R$3:R$105)</f>
        <v>1.907E-2</v>
      </c>
    </row>
    <row r="158" spans="3:15">
      <c r="C158" s="38" t="s">
        <v>257</v>
      </c>
      <c r="F158" s="112">
        <f>_xlfn.XLOOKUP($C158,'Inflation Data'!$B$3:$B$105,'Inflation Data'!I$3:I$105)</f>
        <v>2.477E-2</v>
      </c>
      <c r="G158" s="112">
        <f>_xlfn.XLOOKUP($C158,'Inflation Data'!$B$3:$B$105,'Inflation Data'!J$3:J$105)</f>
        <v>3.3790000000000001E-2</v>
      </c>
      <c r="H158" s="112">
        <f>_xlfn.XLOOKUP($C158,'Inflation Data'!$B$3:$B$105,'Inflation Data'!K$3:K$105)</f>
        <v>2.4889999999999999E-2</v>
      </c>
      <c r="I158" s="112">
        <f>_xlfn.XLOOKUP($C158,'Inflation Data'!$B$3:$B$105,'Inflation Data'!L$3:L$105)</f>
        <v>1.8340000000000002E-2</v>
      </c>
      <c r="J158" s="112">
        <f>_xlfn.XLOOKUP($C158,'Inflation Data'!$B$3:$B$105,'Inflation Data'!M$3:M$105)</f>
        <v>1.9E-2</v>
      </c>
      <c r="K158" s="112">
        <f>_xlfn.XLOOKUP($C158,'Inflation Data'!$B$3:$B$105,'Inflation Data'!N$3:N$105)</f>
        <v>2.1000000000000001E-2</v>
      </c>
      <c r="L158" s="112">
        <f>_xlfn.XLOOKUP($C158,'Inflation Data'!$B$3:$B$105,'Inflation Data'!O$3:O$105)</f>
        <v>1.9990000000000001E-2</v>
      </c>
      <c r="M158" s="112">
        <f>_xlfn.XLOOKUP($C158,'Inflation Data'!$B$3:$B$105,'Inflation Data'!P$3:P$105)</f>
        <v>1.9990000000000001E-2</v>
      </c>
      <c r="N158" s="112">
        <f>_xlfn.XLOOKUP($C158,'Inflation Data'!$B$3:$B$105,'Inflation Data'!Q$3:Q$105)</f>
        <v>2.001E-2</v>
      </c>
      <c r="O158" s="112">
        <f>_xlfn.XLOOKUP($C158,'Inflation Data'!$B$3:$B$105,'Inflation Data'!R$3:R$105)</f>
        <v>1.9990000000000001E-2</v>
      </c>
    </row>
    <row r="159" spans="3:15">
      <c r="C159" s="38" t="s">
        <v>233</v>
      </c>
      <c r="F159" s="112">
        <f>_xlfn.XLOOKUP($C159,'Inflation Data'!$B$3:$B$105,'Inflation Data'!I$3:I$105)</f>
        <v>1.5600000000000001E-2</v>
      </c>
      <c r="G159" s="112">
        <f>_xlfn.XLOOKUP($C159,'Inflation Data'!$B$3:$B$105,'Inflation Data'!J$3:J$105)</f>
        <v>4.2089999999999995E-2</v>
      </c>
      <c r="H159" s="112">
        <f>_xlfn.XLOOKUP($C159,'Inflation Data'!$B$3:$B$105,'Inflation Data'!K$3:K$105)</f>
        <v>3.669E-2</v>
      </c>
      <c r="I159" s="112">
        <f>_xlfn.XLOOKUP($C159,'Inflation Data'!$B$3:$B$105,'Inflation Data'!L$3:L$105)</f>
        <v>2.1819999999999999E-2</v>
      </c>
      <c r="J159" s="112">
        <f>_xlfn.XLOOKUP($C159,'Inflation Data'!$B$3:$B$105,'Inflation Data'!M$3:M$105)</f>
        <v>1.8000000000000002E-2</v>
      </c>
      <c r="K159" s="112">
        <f>_xlfn.XLOOKUP($C159,'Inflation Data'!$B$3:$B$105,'Inflation Data'!N$3:N$105)</f>
        <v>2.6099999999999998E-2</v>
      </c>
      <c r="L159" s="112">
        <f>_xlfn.XLOOKUP($C159,'Inflation Data'!$B$3:$B$105,'Inflation Data'!O$3:O$105)</f>
        <v>2.5990000000000003E-2</v>
      </c>
      <c r="M159" s="112">
        <f>_xlfn.XLOOKUP($C159,'Inflation Data'!$B$3:$B$105,'Inflation Data'!P$3:P$105)</f>
        <v>2.6000000000000002E-2</v>
      </c>
      <c r="N159" s="112">
        <f>_xlfn.XLOOKUP($C159,'Inflation Data'!$B$3:$B$105,'Inflation Data'!Q$3:Q$105)</f>
        <v>2.5009999999999998E-2</v>
      </c>
      <c r="O159" s="112">
        <f>_xlfn.XLOOKUP($C159,'Inflation Data'!$B$3:$B$105,'Inflation Data'!R$3:R$105)</f>
        <v>2.4980000000000002E-2</v>
      </c>
    </row>
    <row r="160" spans="3:15">
      <c r="C160" s="38" t="s">
        <v>244</v>
      </c>
      <c r="F160" s="112">
        <f>_xlfn.XLOOKUP($C160,'Inflation Data'!$B$3:$B$105,'Inflation Data'!I$3:I$105)</f>
        <v>3.9140000000000001E-2</v>
      </c>
      <c r="G160" s="112">
        <f>_xlfn.XLOOKUP($C160,'Inflation Data'!$B$3:$B$105,'Inflation Data'!J$3:J$105)</f>
        <v>5.8209999999999998E-2</v>
      </c>
      <c r="H160" s="112">
        <f>_xlfn.XLOOKUP($C160,'Inflation Data'!$B$3:$B$105,'Inflation Data'!K$3:K$105)</f>
        <v>5.978E-2</v>
      </c>
      <c r="I160" s="112">
        <f>_xlfn.XLOOKUP($C160,'Inflation Data'!$B$3:$B$105,'Inflation Data'!L$3:L$105)</f>
        <v>3.2129999999999999E-2</v>
      </c>
      <c r="J160" s="112">
        <f>_xlfn.XLOOKUP($C160,'Inflation Data'!$B$3:$B$105,'Inflation Data'!M$3:M$105)</f>
        <v>2.0199999999999999E-2</v>
      </c>
      <c r="K160" s="112">
        <f>_xlfn.XLOOKUP($C160,'Inflation Data'!$B$3:$B$105,'Inflation Data'!N$3:N$105)</f>
        <v>2.7699999999999999E-2</v>
      </c>
      <c r="L160" s="112">
        <f>_xlfn.XLOOKUP($C160,'Inflation Data'!$B$3:$B$105,'Inflation Data'!O$3:O$105)</f>
        <v>2.9990000000000003E-2</v>
      </c>
      <c r="M160" s="112">
        <f>_xlfn.XLOOKUP($C160,'Inflation Data'!$B$3:$B$105,'Inflation Data'!P$3:P$105)</f>
        <v>3.0009999999999998E-2</v>
      </c>
      <c r="N160" s="112">
        <f>_xlfn.XLOOKUP($C160,'Inflation Data'!$B$3:$B$105,'Inflation Data'!Q$3:Q$105)</f>
        <v>2.997E-2</v>
      </c>
      <c r="O160" s="112">
        <f>_xlfn.XLOOKUP($C160,'Inflation Data'!$B$3:$B$105,'Inflation Data'!R$3:R$105)</f>
        <v>3.0009999999999998E-2</v>
      </c>
    </row>
    <row r="161" spans="3:15">
      <c r="C161" s="38" t="s">
        <v>239</v>
      </c>
      <c r="F161" s="112">
        <f>_xlfn.XLOOKUP($C161,'Inflation Data'!$B$3:$B$105,'Inflation Data'!I$3:I$105)</f>
        <v>1.2310000000000001E-2</v>
      </c>
      <c r="G161" s="112">
        <f>_xlfn.XLOOKUP($C161,'Inflation Data'!$B$3:$B$105,'Inflation Data'!J$3:J$105)</f>
        <v>6.0769999999999998E-2</v>
      </c>
      <c r="H161" s="112">
        <f>_xlfn.XLOOKUP($C161,'Inflation Data'!$B$3:$B$105,'Inflation Data'!K$3:K$105)</f>
        <v>1.226E-2</v>
      </c>
      <c r="I161" s="112">
        <f>_xlfn.XLOOKUP($C161,'Inflation Data'!$B$3:$B$105,'Inflation Data'!L$3:L$105)</f>
        <v>3.9700000000000004E-3</v>
      </c>
      <c r="J161" s="112">
        <f>_xlfn.XLOOKUP($C161,'Inflation Data'!$B$3:$B$105,'Inflation Data'!M$3:M$105)</f>
        <v>1.1000000000000001E-2</v>
      </c>
      <c r="K161" s="112">
        <f>_xlfn.XLOOKUP($C161,'Inflation Data'!$B$3:$B$105,'Inflation Data'!N$3:N$105)</f>
        <v>1.3999999999999999E-2</v>
      </c>
      <c r="L161" s="112">
        <f>_xlfn.XLOOKUP($C161,'Inflation Data'!$B$3:$B$105,'Inflation Data'!O$3:O$105)</f>
        <v>1.498E-2</v>
      </c>
      <c r="M161" s="112">
        <f>_xlfn.XLOOKUP($C161,'Inflation Data'!$B$3:$B$105,'Inflation Data'!P$3:P$105)</f>
        <v>1.5980000000000001E-2</v>
      </c>
      <c r="N161" s="112">
        <f>_xlfn.XLOOKUP($C161,'Inflation Data'!$B$3:$B$105,'Inflation Data'!Q$3:Q$105)</f>
        <v>1.6E-2</v>
      </c>
      <c r="O161" s="112">
        <f>_xlfn.XLOOKUP($C161,'Inflation Data'!$B$3:$B$105,'Inflation Data'!R$3:R$105)</f>
        <v>1.5990000000000001E-2</v>
      </c>
    </row>
    <row r="162" spans="3:15">
      <c r="C162" s="38" t="s">
        <v>258</v>
      </c>
      <c r="F162" s="112">
        <f>_xlfn.XLOOKUP($C162,'Inflation Data'!$B$3:$B$105,'Inflation Data'!I$3:I$105)</f>
        <v>1.8349999999999998E-2</v>
      </c>
      <c r="G162" s="112">
        <f>_xlfn.XLOOKUP($C162,'Inflation Data'!$B$3:$B$105,'Inflation Data'!J$3:J$105)</f>
        <v>3.2160000000000001E-2</v>
      </c>
      <c r="H162" s="112">
        <f>_xlfn.XLOOKUP($C162,'Inflation Data'!$B$3:$B$105,'Inflation Data'!K$3:K$105)</f>
        <v>3.3340000000000002E-2</v>
      </c>
      <c r="I162" s="112">
        <f>_xlfn.XLOOKUP($C162,'Inflation Data'!$B$3:$B$105,'Inflation Data'!L$3:L$105)</f>
        <v>3.6249999999999998E-2</v>
      </c>
      <c r="J162" s="112">
        <f>_xlfn.XLOOKUP($C162,'Inflation Data'!$B$3:$B$105,'Inflation Data'!M$3:M$105)</f>
        <v>3.3000000000000002E-2</v>
      </c>
      <c r="K162" s="112">
        <f>_xlfn.XLOOKUP($C162,'Inflation Data'!$B$3:$B$105,'Inflation Data'!N$3:N$105)</f>
        <v>3.6000000000000004E-2</v>
      </c>
      <c r="L162" s="112">
        <f>_xlfn.XLOOKUP($C162,'Inflation Data'!$B$3:$B$105,'Inflation Data'!O$3:O$105)</f>
        <v>3.499E-2</v>
      </c>
      <c r="M162" s="112">
        <f>_xlfn.XLOOKUP($C162,'Inflation Data'!$B$3:$B$105,'Inflation Data'!P$3:P$105)</f>
        <v>3.4970000000000001E-2</v>
      </c>
      <c r="N162" s="112">
        <f>_xlfn.XLOOKUP($C162,'Inflation Data'!$B$3:$B$105,'Inflation Data'!Q$3:Q$105)</f>
        <v>3.3989999999999999E-2</v>
      </c>
      <c r="O162" s="112">
        <f>_xlfn.XLOOKUP($C162,'Inflation Data'!$B$3:$B$105,'Inflation Data'!R$3:R$105)</f>
        <v>3.3980000000000003E-2</v>
      </c>
    </row>
    <row r="163" spans="3:15">
      <c r="C163" s="38" t="s">
        <v>654</v>
      </c>
      <c r="F163" s="112">
        <f>_xlfn.XLOOKUP($C163,'Inflation Data'!$B$3:$B$105,'Inflation Data'!I$3:I$105)</f>
        <v>6.2359999999999999E-2</v>
      </c>
      <c r="G163" s="112">
        <f>_xlfn.XLOOKUP($C163,'Inflation Data'!$B$3:$B$105,'Inflation Data'!J$3:J$105)</f>
        <v>0.24428999999999998</v>
      </c>
      <c r="H163" s="112">
        <f>_xlfn.XLOOKUP($C163,'Inflation Data'!$B$3:$B$105,'Inflation Data'!K$3:K$105)</f>
        <v>0.27982000000000001</v>
      </c>
      <c r="I163" s="112">
        <f>_xlfn.XLOOKUP($C163,'Inflation Data'!$B$3:$B$105,'Inflation Data'!L$3:L$105)</f>
        <v>0.28705999999999998</v>
      </c>
      <c r="J163" s="112">
        <f>_xlfn.XLOOKUP($C163,'Inflation Data'!$B$3:$B$105,'Inflation Data'!M$3:M$105)</f>
        <v>0.3</v>
      </c>
      <c r="K163" s="112">
        <f>_xlfn.XLOOKUP($C163,'Inflation Data'!$B$3:$B$105,'Inflation Data'!N$3:N$105)</f>
        <v>0.2</v>
      </c>
      <c r="L163" s="112">
        <f>_xlfn.XLOOKUP($C163,'Inflation Data'!$B$3:$B$105,'Inflation Data'!O$3:O$105)</f>
        <v>0.12839</v>
      </c>
      <c r="M163" s="112">
        <f>_xlfn.XLOOKUP($C163,'Inflation Data'!$B$3:$B$105,'Inflation Data'!P$3:P$105)</f>
        <v>8.8870000000000005E-2</v>
      </c>
      <c r="N163" s="112">
        <f>_xlfn.XLOOKUP($C163,'Inflation Data'!$B$3:$B$105,'Inflation Data'!Q$3:Q$105)</f>
        <v>7.7969999999999998E-2</v>
      </c>
      <c r="O163" s="112">
        <f>_xlfn.XLOOKUP($C163,'Inflation Data'!$B$3:$B$105,'Inflation Data'!R$3:R$105)</f>
        <v>7.8E-2</v>
      </c>
    </row>
    <row r="164" spans="3:15">
      <c r="C164" s="38" t="s">
        <v>260</v>
      </c>
      <c r="F164" s="112">
        <f>_xlfn.XLOOKUP($C164,'Inflation Data'!$B$3:$B$105,'Inflation Data'!I$3:I$105)</f>
        <v>2.921E-2</v>
      </c>
      <c r="G164" s="112">
        <f>_xlfn.XLOOKUP($C164,'Inflation Data'!$B$3:$B$105,'Inflation Data'!J$3:J$105)</f>
        <v>5.3440000000000001E-2</v>
      </c>
      <c r="H164" s="112">
        <f>_xlfn.XLOOKUP($C164,'Inflation Data'!$B$3:$B$105,'Inflation Data'!K$3:K$105)</f>
        <v>2.1269999999999997E-2</v>
      </c>
      <c r="I164" s="112">
        <f>_xlfn.XLOOKUP($C164,'Inflation Data'!$B$3:$B$105,'Inflation Data'!L$3:L$105)</f>
        <v>7.9400000000000009E-3</v>
      </c>
      <c r="J164" s="112">
        <f>_xlfn.XLOOKUP($C164,'Inflation Data'!$B$3:$B$105,'Inflation Data'!M$3:M$105)</f>
        <v>1.8700000000000001E-2</v>
      </c>
      <c r="K164" s="112">
        <f>_xlfn.XLOOKUP($C164,'Inflation Data'!$B$3:$B$105,'Inflation Data'!N$3:N$105)</f>
        <v>2.87E-2</v>
      </c>
      <c r="L164" s="112">
        <f>_xlfn.XLOOKUP($C164,'Inflation Data'!$B$3:$B$105,'Inflation Data'!O$3:O$105)</f>
        <v>3.0009999999999998E-2</v>
      </c>
      <c r="M164" s="112">
        <f>_xlfn.XLOOKUP($C164,'Inflation Data'!$B$3:$B$105,'Inflation Data'!P$3:P$105)</f>
        <v>2.9980000000000003E-2</v>
      </c>
      <c r="N164" s="112">
        <f>_xlfn.XLOOKUP($C164,'Inflation Data'!$B$3:$B$105,'Inflation Data'!Q$3:Q$105)</f>
        <v>2.9980000000000003E-2</v>
      </c>
      <c r="O164" s="112">
        <f>_xlfn.XLOOKUP($C164,'Inflation Data'!$B$3:$B$105,'Inflation Data'!R$3:R$105)</f>
        <v>3.0009999999999998E-2</v>
      </c>
    </row>
    <row r="165" spans="3:15">
      <c r="C165" s="38" t="s">
        <v>261</v>
      </c>
      <c r="F165" s="112">
        <f>_xlfn.XLOOKUP($C165,'Inflation Data'!$B$3:$B$105,'Inflation Data'!I$3:I$105)</f>
        <v>3.7559999999999996E-2</v>
      </c>
      <c r="G165" s="112">
        <f>_xlfn.XLOOKUP($C165,'Inflation Data'!$B$3:$B$105,'Inflation Data'!J$3:J$105)</f>
        <v>0.22955999999999999</v>
      </c>
      <c r="H165" s="112">
        <f>_xlfn.XLOOKUP($C165,'Inflation Data'!$B$3:$B$105,'Inflation Data'!K$3:K$105)</f>
        <v>0.31230000000000002</v>
      </c>
      <c r="I165" s="112">
        <f>_xlfn.XLOOKUP($C165,'Inflation Data'!$B$3:$B$105,'Inflation Data'!L$3:L$105)</f>
        <v>0.23131000000000002</v>
      </c>
      <c r="J165" s="112">
        <f>_xlfn.XLOOKUP($C165,'Inflation Data'!$B$3:$B$105,'Inflation Data'!M$3:M$105)</f>
        <v>9.3699999999999992E-2</v>
      </c>
      <c r="K165" s="112">
        <f>_xlfn.XLOOKUP($C165,'Inflation Data'!$B$3:$B$105,'Inflation Data'!N$3:N$105)</f>
        <v>7.400000000000001E-2</v>
      </c>
      <c r="L165" s="112">
        <f>_xlfn.XLOOKUP($C165,'Inflation Data'!$B$3:$B$105,'Inflation Data'!O$3:O$105)</f>
        <v>7.2999999999999995E-2</v>
      </c>
      <c r="M165" s="112">
        <f>_xlfn.XLOOKUP($C165,'Inflation Data'!$B$3:$B$105,'Inflation Data'!P$3:P$105)</f>
        <v>7.0010000000000003E-2</v>
      </c>
      <c r="N165" s="112">
        <f>_xlfn.XLOOKUP($C165,'Inflation Data'!$B$3:$B$105,'Inflation Data'!Q$3:Q$105)</f>
        <v>7.0000000000000007E-2</v>
      </c>
      <c r="O165" s="112">
        <f>_xlfn.XLOOKUP($C165,'Inflation Data'!$B$3:$B$105,'Inflation Data'!R$3:R$105)</f>
        <v>7.0000000000000007E-2</v>
      </c>
    </row>
    <row r="166" spans="3:15">
      <c r="C166" s="38" t="s">
        <v>259</v>
      </c>
      <c r="F166" s="99">
        <f>(1/3)*F163+(1/3)*F164+(1/3)*F165</f>
        <v>4.3043333333333329E-2</v>
      </c>
      <c r="G166" s="99">
        <f t="shared" ref="G166:O166" si="203">(1/3)*G163+(1/3)*G164+(1/3)*G165</f>
        <v>0.17576333333333333</v>
      </c>
      <c r="H166" s="99">
        <f t="shared" si="203"/>
        <v>0.20446333333333333</v>
      </c>
      <c r="I166" s="99">
        <f t="shared" si="203"/>
        <v>0.17543666666666666</v>
      </c>
      <c r="J166" s="99">
        <f t="shared" si="203"/>
        <v>0.13746666666666665</v>
      </c>
      <c r="K166" s="99">
        <f t="shared" si="203"/>
        <v>0.1009</v>
      </c>
      <c r="L166" s="99">
        <f t="shared" si="203"/>
        <v>7.7133333333333332E-2</v>
      </c>
      <c r="M166" s="99">
        <f t="shared" si="203"/>
        <v>6.2953333333333333E-2</v>
      </c>
      <c r="N166" s="99">
        <f t="shared" si="203"/>
        <v>5.931666666666667E-2</v>
      </c>
      <c r="O166" s="99">
        <f t="shared" si="203"/>
        <v>5.9336666666666663E-2</v>
      </c>
    </row>
    <row r="168" spans="3:15">
      <c r="C168" s="110" t="s">
        <v>1072</v>
      </c>
      <c r="D168" s="111"/>
      <c r="E168" s="111"/>
      <c r="F168" s="111"/>
      <c r="G168" s="111"/>
      <c r="H168" s="111"/>
      <c r="I168" s="111"/>
      <c r="J168" s="111"/>
      <c r="K168" s="111"/>
      <c r="L168" s="111"/>
      <c r="M168" s="111"/>
      <c r="N168" s="111"/>
      <c r="O168" s="111"/>
    </row>
    <row r="169" spans="3:15">
      <c r="C169" s="38" t="s">
        <v>231</v>
      </c>
      <c r="F169" s="112">
        <f>_xlfn.XLOOKUP($C169,'Consumer Expenditure'!$B$5:$B$117,'Consumer Expenditure'!H$5:H$117)</f>
        <v>-0.14000000000000001</v>
      </c>
      <c r="G169" s="112">
        <f>_xlfn.XLOOKUP($C169,'Consumer Expenditure'!$B$5:$B$117,'Consumer Expenditure'!I$5:I$117)</f>
        <v>0.14300000000000002</v>
      </c>
      <c r="H169" s="112">
        <f>_xlfn.XLOOKUP($C169,'Consumer Expenditure'!$B$5:$B$117,'Consumer Expenditure'!J$5:J$117)</f>
        <v>0.114</v>
      </c>
      <c r="I169" s="112">
        <f>_xlfn.XLOOKUP($C169,'Consumer Expenditure'!$B$5:$B$117,'Consumer Expenditure'!K$5:K$117)</f>
        <v>4.8000000000000001E-2</v>
      </c>
      <c r="J169" s="112">
        <f>_xlfn.XLOOKUP($C169,'Consumer Expenditure'!$B$5:$B$117,'Consumer Expenditure'!L$5:L$117)</f>
        <v>4.4999999999999998E-2</v>
      </c>
      <c r="K169" s="112">
        <f>_xlfn.XLOOKUP($C169,'Consumer Expenditure'!$B$5:$B$117,'Consumer Expenditure'!M$5:M$117)</f>
        <v>2.5000000000000001E-2</v>
      </c>
      <c r="L169" s="112">
        <f>_xlfn.XLOOKUP($C169,'Consumer Expenditure'!$B$5:$B$117,'Consumer Expenditure'!N$5:N$117)</f>
        <v>1.3999999999999999E-2</v>
      </c>
      <c r="M169" s="112">
        <f>_xlfn.XLOOKUP($C169,'Consumer Expenditure'!$B$5:$B$117,'Consumer Expenditure'!O$5:O$117)</f>
        <v>4.4999999999999998E-2</v>
      </c>
      <c r="N169" s="112">
        <f>_xlfn.XLOOKUP($C169,'Consumer Expenditure'!$B$5:$B$117,'Consumer Expenditure'!P$5:P$117)</f>
        <v>4.4999999999999998E-2</v>
      </c>
      <c r="O169" s="112">
        <f>_xlfn.XLOOKUP($C169,'Consumer Expenditure'!$B$5:$B$117,'Consumer Expenditure'!Q$5:Q$117)</f>
        <v>4.4999999999999998E-2</v>
      </c>
    </row>
    <row r="170" spans="3:15">
      <c r="C170" s="38" t="s">
        <v>257</v>
      </c>
      <c r="F170" s="112">
        <f>_xlfn.XLOOKUP($C170,'Consumer Expenditure'!$B$5:$B$117,'Consumer Expenditure'!H$5:H$117)</f>
        <v>-8.5000000000000006E-2</v>
      </c>
      <c r="G170" s="112">
        <f>_xlfn.XLOOKUP($C170,'Consumer Expenditure'!$B$5:$B$117,'Consumer Expenditure'!I$5:I$117)</f>
        <v>2.6000000000000002E-2</v>
      </c>
      <c r="H170" s="112">
        <f>_xlfn.XLOOKUP($C170,'Consumer Expenditure'!$B$5:$B$117,'Consumer Expenditure'!J$5:J$117)</f>
        <v>0.16500000000000001</v>
      </c>
      <c r="I170" s="112">
        <f>_xlfn.XLOOKUP($C170,'Consumer Expenditure'!$B$5:$B$117,'Consumer Expenditure'!K$5:K$117)</f>
        <v>6.2E-2</v>
      </c>
      <c r="J170" s="112">
        <f>_xlfn.XLOOKUP($C170,'Consumer Expenditure'!$B$5:$B$117,'Consumer Expenditure'!L$5:L$117)</f>
        <v>0.06</v>
      </c>
      <c r="K170" s="112">
        <f>_xlfn.XLOOKUP($C170,'Consumer Expenditure'!$B$5:$B$117,'Consumer Expenditure'!M$5:M$117)</f>
        <v>5.9000000000000004E-2</v>
      </c>
      <c r="L170" s="112">
        <f>_xlfn.XLOOKUP($C170,'Consumer Expenditure'!$B$5:$B$117,'Consumer Expenditure'!N$5:N$117)</f>
        <v>5.4000000000000006E-2</v>
      </c>
      <c r="M170" s="112">
        <f>_xlfn.XLOOKUP($C170,'Consumer Expenditure'!$B$5:$B$117,'Consumer Expenditure'!O$5:O$117)</f>
        <v>5.5999999999999994E-2</v>
      </c>
      <c r="N170" s="112">
        <f>_xlfn.XLOOKUP($C170,'Consumer Expenditure'!$B$5:$B$117,'Consumer Expenditure'!P$5:P$117)</f>
        <v>5.9000000000000004E-2</v>
      </c>
      <c r="O170" s="112">
        <f>_xlfn.XLOOKUP($C170,'Consumer Expenditure'!$B$5:$B$117,'Consumer Expenditure'!Q$5:Q$117)</f>
        <v>0.06</v>
      </c>
    </row>
    <row r="171" spans="3:15">
      <c r="C171" s="38" t="s">
        <v>233</v>
      </c>
      <c r="F171" s="112">
        <f>_xlfn.XLOOKUP($C171,'Consumer Expenditure'!$B$5:$B$117,'Consumer Expenditure'!H$5:H$117)</f>
        <v>-1.2E-2</v>
      </c>
      <c r="G171" s="112">
        <f>_xlfn.XLOOKUP($C171,'Consumer Expenditure'!$B$5:$B$117,'Consumer Expenditure'!I$5:I$117)</f>
        <v>2.7000000000000003E-2</v>
      </c>
      <c r="H171" s="112">
        <f>_xlfn.XLOOKUP($C171,'Consumer Expenditure'!$B$5:$B$117,'Consumer Expenditure'!J$5:J$117)</f>
        <v>8.5999999999999993E-2</v>
      </c>
      <c r="I171" s="112">
        <f>_xlfn.XLOOKUP($C171,'Consumer Expenditure'!$B$5:$B$117,'Consumer Expenditure'!K$5:K$117)</f>
        <v>0.09</v>
      </c>
      <c r="J171" s="112">
        <f>_xlfn.XLOOKUP($C171,'Consumer Expenditure'!$B$5:$B$117,'Consumer Expenditure'!L$5:L$117)</f>
        <v>7.0999999999999994E-2</v>
      </c>
      <c r="K171" s="112">
        <f>_xlfn.XLOOKUP($C171,'Consumer Expenditure'!$B$5:$B$117,'Consumer Expenditure'!M$5:M$117)</f>
        <v>4.5999999999999999E-2</v>
      </c>
      <c r="L171" s="112">
        <f>_xlfn.XLOOKUP($C171,'Consumer Expenditure'!$B$5:$B$117,'Consumer Expenditure'!N$5:N$117)</f>
        <v>5.9000000000000004E-2</v>
      </c>
      <c r="M171" s="112">
        <f>_xlfn.XLOOKUP($C171,'Consumer Expenditure'!$B$5:$B$117,'Consumer Expenditure'!O$5:O$117)</f>
        <v>6.9000000000000006E-2</v>
      </c>
      <c r="N171" s="112">
        <f>_xlfn.XLOOKUP($C171,'Consumer Expenditure'!$B$5:$B$117,'Consumer Expenditure'!P$5:P$117)</f>
        <v>6.9000000000000006E-2</v>
      </c>
      <c r="O171" s="112">
        <f>_xlfn.XLOOKUP($C171,'Consumer Expenditure'!$B$5:$B$117,'Consumer Expenditure'!Q$5:Q$117)</f>
        <v>6.8000000000000005E-2</v>
      </c>
    </row>
    <row r="172" spans="3:15">
      <c r="C172" s="38" t="s">
        <v>244</v>
      </c>
      <c r="F172" s="112">
        <f>_xlfn.XLOOKUP($C172,'Consumer Expenditure'!$B$5:$B$117,'Consumer Expenditure'!H$5:H$117)</f>
        <v>-6.9000000000000006E-2</v>
      </c>
      <c r="G172" s="112">
        <f>_xlfn.XLOOKUP($C172,'Consumer Expenditure'!$B$5:$B$117,'Consumer Expenditure'!I$5:I$117)</f>
        <v>6.8000000000000005E-2</v>
      </c>
      <c r="H172" s="112">
        <f>_xlfn.XLOOKUP($C172,'Consumer Expenditure'!$B$5:$B$117,'Consumer Expenditure'!J$5:J$117)</f>
        <v>0.13900000000000001</v>
      </c>
      <c r="I172" s="112">
        <f>_xlfn.XLOOKUP($C172,'Consumer Expenditure'!$B$5:$B$117,'Consumer Expenditure'!K$5:K$117)</f>
        <v>0.109</v>
      </c>
      <c r="J172" s="112">
        <f>_xlfn.XLOOKUP($C172,'Consumer Expenditure'!$B$5:$B$117,'Consumer Expenditure'!L$5:L$117)</f>
        <v>7.6999999999999999E-2</v>
      </c>
      <c r="K172" s="112">
        <f>_xlfn.XLOOKUP($C172,'Consumer Expenditure'!$B$5:$B$117,'Consumer Expenditure'!M$5:M$117)</f>
        <v>7.6999999999999999E-2</v>
      </c>
      <c r="L172" s="112">
        <f>_xlfn.XLOOKUP($C172,'Consumer Expenditure'!$B$5:$B$117,'Consumer Expenditure'!N$5:N$117)</f>
        <v>8.5000000000000006E-2</v>
      </c>
      <c r="M172" s="112">
        <f>_xlfn.XLOOKUP($C172,'Consumer Expenditure'!$B$5:$B$117,'Consumer Expenditure'!O$5:O$117)</f>
        <v>8.4000000000000005E-2</v>
      </c>
      <c r="N172" s="112">
        <f>_xlfn.XLOOKUP($C172,'Consumer Expenditure'!$B$5:$B$117,'Consumer Expenditure'!P$5:P$117)</f>
        <v>8.4000000000000005E-2</v>
      </c>
      <c r="O172" s="112">
        <f>_xlfn.XLOOKUP($C172,'Consumer Expenditure'!$B$5:$B$117,'Consumer Expenditure'!Q$5:Q$117)</f>
        <v>8.4000000000000005E-2</v>
      </c>
    </row>
    <row r="173" spans="3:15">
      <c r="C173" s="38" t="s">
        <v>239</v>
      </c>
      <c r="F173" s="112">
        <f>_xlfn.XLOOKUP($C173,'Consumer Expenditure'!$B$5:$B$117,'Consumer Expenditure'!H$5:H$117)</f>
        <v>-0.13500000000000001</v>
      </c>
      <c r="G173" s="112">
        <f>_xlfn.XLOOKUP($C173,'Consumer Expenditure'!$B$5:$B$117,'Consumer Expenditure'!I$5:I$117)</f>
        <v>-9.0000000000000011E-3</v>
      </c>
      <c r="H173" s="112">
        <f>_xlfn.XLOOKUP($C173,'Consumer Expenditure'!$B$5:$B$117,'Consumer Expenditure'!J$5:J$117)</f>
        <v>0.151</v>
      </c>
      <c r="I173" s="112">
        <f>_xlfn.XLOOKUP($C173,'Consumer Expenditure'!$B$5:$B$117,'Consumer Expenditure'!K$5:K$117)</f>
        <v>0.12</v>
      </c>
      <c r="J173" s="112">
        <f>_xlfn.XLOOKUP($C173,'Consumer Expenditure'!$B$5:$B$117,'Consumer Expenditure'!L$5:L$117)</f>
        <v>7.5999999999999998E-2</v>
      </c>
      <c r="K173" s="112">
        <f>_xlfn.XLOOKUP($C173,'Consumer Expenditure'!$B$5:$B$117,'Consumer Expenditure'!M$5:M$117)</f>
        <v>7.0999999999999994E-2</v>
      </c>
      <c r="L173" s="112">
        <f>_xlfn.XLOOKUP($C173,'Consumer Expenditure'!$B$5:$B$117,'Consumer Expenditure'!N$5:N$117)</f>
        <v>4.4999999999999998E-2</v>
      </c>
      <c r="M173" s="112">
        <f>_xlfn.XLOOKUP($C173,'Consumer Expenditure'!$B$5:$B$117,'Consumer Expenditure'!O$5:O$117)</f>
        <v>4.9000000000000002E-2</v>
      </c>
      <c r="N173" s="112">
        <f>_xlfn.XLOOKUP($C173,'Consumer Expenditure'!$B$5:$B$117,'Consumer Expenditure'!P$5:P$117)</f>
        <v>5.2000000000000005E-2</v>
      </c>
      <c r="O173" s="112">
        <f>_xlfn.XLOOKUP($C173,'Consumer Expenditure'!$B$5:$B$117,'Consumer Expenditure'!Q$5:Q$117)</f>
        <v>5.2000000000000005E-2</v>
      </c>
    </row>
    <row r="174" spans="3:15">
      <c r="C174" s="38" t="s">
        <v>258</v>
      </c>
      <c r="F174" s="112">
        <f>_xlfn.XLOOKUP($C174,'Consumer Expenditure'!$B$5:$B$117,'Consumer Expenditure'!H$5:H$117)</f>
        <v>6.7000000000000004E-2</v>
      </c>
      <c r="G174" s="112">
        <f>_xlfn.XLOOKUP($C174,'Consumer Expenditure'!$B$5:$B$117,'Consumer Expenditure'!I$5:I$117)</f>
        <v>3.9E-2</v>
      </c>
      <c r="H174" s="112">
        <f>_xlfn.XLOOKUP($C174,'Consumer Expenditure'!$B$5:$B$117,'Consumer Expenditure'!J$5:J$117)</f>
        <v>9.3000000000000013E-2</v>
      </c>
      <c r="I174" s="112">
        <f>_xlfn.XLOOKUP($C174,'Consumer Expenditure'!$B$5:$B$117,'Consumer Expenditure'!K$5:K$117)</f>
        <v>2.2000000000000002E-2</v>
      </c>
      <c r="J174" s="112">
        <f>_xlfn.XLOOKUP($C174,'Consumer Expenditure'!$B$5:$B$117,'Consumer Expenditure'!L$5:L$117)</f>
        <v>8.8000000000000009E-2</v>
      </c>
      <c r="K174" s="112">
        <f>_xlfn.XLOOKUP($C174,'Consumer Expenditure'!$B$5:$B$117,'Consumer Expenditure'!M$5:M$117)</f>
        <v>7.8E-2</v>
      </c>
      <c r="L174" s="112">
        <f>_xlfn.XLOOKUP($C174,'Consumer Expenditure'!$B$5:$B$117,'Consumer Expenditure'!N$5:N$117)</f>
        <v>7.0000000000000007E-2</v>
      </c>
      <c r="M174" s="112">
        <f>_xlfn.XLOOKUP($C174,'Consumer Expenditure'!$B$5:$B$117,'Consumer Expenditure'!O$5:O$117)</f>
        <v>9.0999999999999998E-2</v>
      </c>
      <c r="N174" s="112">
        <f>_xlfn.XLOOKUP($C174,'Consumer Expenditure'!$B$5:$B$117,'Consumer Expenditure'!P$5:P$117)</f>
        <v>9.1999999999999998E-2</v>
      </c>
      <c r="O174" s="112">
        <f>_xlfn.XLOOKUP($C174,'Consumer Expenditure'!$B$5:$B$117,'Consumer Expenditure'!Q$5:Q$117)</f>
        <v>9.0999999999999998E-2</v>
      </c>
    </row>
    <row r="175" spans="3:15">
      <c r="C175" s="38" t="s">
        <v>654</v>
      </c>
      <c r="F175" s="112">
        <f>_xlfn.XLOOKUP($C175,'Consumer Expenditure'!$B$5:$B$117,'Consumer Expenditure'!H$5:H$117)</f>
        <v>4.8000000000000001E-2</v>
      </c>
      <c r="G175" s="112">
        <f>_xlfn.XLOOKUP($C175,'Consumer Expenditure'!$B$5:$B$117,'Consumer Expenditure'!I$5:I$117)</f>
        <v>0.10199999999999999</v>
      </c>
      <c r="H175" s="112">
        <f>_xlfn.XLOOKUP($C175,'Consumer Expenditure'!$B$5:$B$117,'Consumer Expenditure'!J$5:J$117)</f>
        <v>0.188</v>
      </c>
      <c r="I175" s="112">
        <f>_xlfn.XLOOKUP($C175,'Consumer Expenditure'!$B$5:$B$117,'Consumer Expenditure'!K$5:K$117)</f>
        <v>0.28699999999999998</v>
      </c>
      <c r="J175" s="112">
        <f>_xlfn.XLOOKUP($C175,'Consumer Expenditure'!$B$5:$B$117,'Consumer Expenditure'!L$5:L$117)</f>
        <v>0.3</v>
      </c>
      <c r="K175" s="112">
        <f>_xlfn.XLOOKUP($C175,'Consumer Expenditure'!$B$5:$B$117,'Consumer Expenditure'!M$5:M$117)</f>
        <v>0.215</v>
      </c>
      <c r="L175" s="112">
        <f>_xlfn.XLOOKUP($C175,'Consumer Expenditure'!$B$5:$B$117,'Consumer Expenditure'!N$5:N$117)</f>
        <v>0.23699999999999999</v>
      </c>
      <c r="M175" s="112">
        <f>_xlfn.XLOOKUP($C175,'Consumer Expenditure'!$B$5:$B$117,'Consumer Expenditure'!O$5:O$117)</f>
        <v>0.17</v>
      </c>
      <c r="N175" s="112">
        <f>_xlfn.XLOOKUP($C175,'Consumer Expenditure'!$B$5:$B$117,'Consumer Expenditure'!P$5:P$117)</f>
        <v>0.125</v>
      </c>
      <c r="O175" s="112">
        <f>_xlfn.XLOOKUP($C175,'Consumer Expenditure'!$B$5:$B$117,'Consumer Expenditure'!Q$5:Q$117)</f>
        <v>0.107</v>
      </c>
    </row>
    <row r="176" spans="3:15">
      <c r="C176" s="38" t="s">
        <v>260</v>
      </c>
      <c r="F176" s="112">
        <f>_xlfn.XLOOKUP($C176,'Consumer Expenditure'!$B$5:$B$117,'Consumer Expenditure'!H$5:H$117)</f>
        <v>-0.154</v>
      </c>
      <c r="G176" s="112">
        <f>_xlfn.XLOOKUP($C176,'Consumer Expenditure'!$B$5:$B$117,'Consumer Expenditure'!I$5:I$117)</f>
        <v>7.0999999999999994E-2</v>
      </c>
      <c r="H176" s="112">
        <f>_xlfn.XLOOKUP($C176,'Consumer Expenditure'!$B$5:$B$117,'Consumer Expenditure'!J$5:J$117)</f>
        <v>4.2999999999999997E-2</v>
      </c>
      <c r="I176" s="112">
        <f>_xlfn.XLOOKUP($C176,'Consumer Expenditure'!$B$5:$B$117,'Consumer Expenditure'!K$5:K$117)</f>
        <v>0.20100000000000001</v>
      </c>
      <c r="J176" s="112">
        <f>_xlfn.XLOOKUP($C176,'Consumer Expenditure'!$B$5:$B$117,'Consumer Expenditure'!L$5:L$117)</f>
        <v>4.0999999999999995E-2</v>
      </c>
      <c r="K176" s="112">
        <f>_xlfn.XLOOKUP($C176,'Consumer Expenditure'!$B$5:$B$117,'Consumer Expenditure'!M$5:M$117)</f>
        <v>6.6000000000000003E-2</v>
      </c>
      <c r="L176" s="112">
        <f>_xlfn.XLOOKUP($C176,'Consumer Expenditure'!$B$5:$B$117,'Consumer Expenditure'!N$5:N$117)</f>
        <v>7.2999999999999995E-2</v>
      </c>
      <c r="M176" s="112">
        <f>_xlfn.XLOOKUP($C176,'Consumer Expenditure'!$B$5:$B$117,'Consumer Expenditure'!O$5:O$117)</f>
        <v>7.6999999999999999E-2</v>
      </c>
      <c r="N176" s="112">
        <f>_xlfn.XLOOKUP($C176,'Consumer Expenditure'!$B$5:$B$117,'Consumer Expenditure'!P$5:P$117)</f>
        <v>8.1000000000000003E-2</v>
      </c>
      <c r="O176" s="112">
        <f>_xlfn.XLOOKUP($C176,'Consumer Expenditure'!$B$5:$B$117,'Consumer Expenditure'!Q$5:Q$117)</f>
        <v>8.5000000000000006E-2</v>
      </c>
    </row>
    <row r="177" spans="1:15">
      <c r="C177" s="38" t="s">
        <v>261</v>
      </c>
      <c r="F177" s="112">
        <f>_xlfn.XLOOKUP($C177,'Consumer Expenditure'!$B$5:$B$117,'Consumer Expenditure'!H$5:H$117)</f>
        <v>3.9E-2</v>
      </c>
      <c r="G177" s="112">
        <f>_xlfn.XLOOKUP($C177,'Consumer Expenditure'!$B$5:$B$117,'Consumer Expenditure'!I$5:I$117)</f>
        <v>-7.9000000000000001E-2</v>
      </c>
      <c r="H177" s="112">
        <f>_xlfn.XLOOKUP($C177,'Consumer Expenditure'!$B$5:$B$117,'Consumer Expenditure'!J$5:J$117)</f>
        <v>0.23800000000000002</v>
      </c>
      <c r="I177" s="112">
        <f>_xlfn.XLOOKUP($C177,'Consumer Expenditure'!$B$5:$B$117,'Consumer Expenditure'!K$5:K$117)</f>
        <v>0.6</v>
      </c>
      <c r="J177" s="112">
        <f>_xlfn.XLOOKUP($C177,'Consumer Expenditure'!$B$5:$B$117,'Consumer Expenditure'!L$5:L$117)</f>
        <v>0.25600000000000001</v>
      </c>
      <c r="K177" s="112">
        <f>_xlfn.XLOOKUP($C177,'Consumer Expenditure'!$B$5:$B$117,'Consumer Expenditure'!M$5:M$117)</f>
        <v>0.191</v>
      </c>
      <c r="L177" s="112">
        <f>_xlfn.XLOOKUP($C177,'Consumer Expenditure'!$B$5:$B$117,'Consumer Expenditure'!N$5:N$117)</f>
        <v>8.8000000000000009E-2</v>
      </c>
      <c r="M177" s="112">
        <f>_xlfn.XLOOKUP($C177,'Consumer Expenditure'!$B$5:$B$117,'Consumer Expenditure'!O$5:O$117)</f>
        <v>8.900000000000001E-2</v>
      </c>
      <c r="N177" s="112">
        <f>_xlfn.XLOOKUP($C177,'Consumer Expenditure'!$B$5:$B$117,'Consumer Expenditure'!P$5:P$117)</f>
        <v>8.5999999999999993E-2</v>
      </c>
      <c r="O177" s="112">
        <f>_xlfn.XLOOKUP($C177,'Consumer Expenditure'!$B$5:$B$117,'Consumer Expenditure'!Q$5:Q$117)</f>
        <v>0.09</v>
      </c>
    </row>
    <row r="178" spans="1:15">
      <c r="C178" s="38" t="s">
        <v>259</v>
      </c>
      <c r="F178" s="99">
        <f>(1/3)*F175+(1/3)*F176+(1/3)*F177</f>
        <v>-2.233333333333333E-2</v>
      </c>
      <c r="G178" s="99">
        <f t="shared" ref="G178:O178" si="204">(1/3)*G175+(1/3)*G176+(1/3)*G177</f>
        <v>3.1333333333333324E-2</v>
      </c>
      <c r="H178" s="99">
        <f t="shared" si="204"/>
        <v>0.15633333333333332</v>
      </c>
      <c r="I178" s="99">
        <f t="shared" si="204"/>
        <v>0.36266666666666664</v>
      </c>
      <c r="J178" s="99">
        <f t="shared" si="204"/>
        <v>0.19899999999999998</v>
      </c>
      <c r="K178" s="99">
        <f t="shared" si="204"/>
        <v>0.15733333333333333</v>
      </c>
      <c r="L178" s="99">
        <f t="shared" si="204"/>
        <v>0.13266666666666665</v>
      </c>
      <c r="M178" s="99">
        <f t="shared" si="204"/>
        <v>0.11200000000000002</v>
      </c>
      <c r="N178" s="99">
        <f t="shared" si="204"/>
        <v>9.7333333333333327E-2</v>
      </c>
      <c r="O178" s="99">
        <f t="shared" si="204"/>
        <v>9.4E-2</v>
      </c>
    </row>
    <row r="180" spans="1:15">
      <c r="A180" s="97">
        <v>4</v>
      </c>
      <c r="C180" s="65" t="s">
        <v>1073</v>
      </c>
      <c r="D180" s="65"/>
      <c r="E180" s="64"/>
      <c r="F180" s="64"/>
      <c r="G180" s="64"/>
      <c r="H180" s="64"/>
      <c r="I180" s="64"/>
      <c r="J180" s="64"/>
      <c r="K180" s="64"/>
      <c r="L180" s="64"/>
      <c r="M180" s="64"/>
      <c r="N180" s="64"/>
      <c r="O180" s="64"/>
    </row>
    <row r="182" spans="1:15">
      <c r="C182" s="61" t="s">
        <v>1055</v>
      </c>
      <c r="F182" s="61" t="s">
        <v>1056</v>
      </c>
    </row>
    <row r="183" spans="1:15">
      <c r="C183" s="38" t="s">
        <v>1057</v>
      </c>
      <c r="D183" s="104">
        <v>7.4999999999999997E-2</v>
      </c>
      <c r="F183" s="38" t="s">
        <v>1074</v>
      </c>
      <c r="J183" s="38" t="s">
        <v>1075</v>
      </c>
    </row>
    <row r="184" spans="1:15">
      <c r="C184" s="38" t="s">
        <v>1076</v>
      </c>
      <c r="D184" s="104">
        <v>4.0000000000000001E-3</v>
      </c>
      <c r="F184" s="38" t="s">
        <v>1077</v>
      </c>
      <c r="J184" s="38" t="s">
        <v>1062</v>
      </c>
    </row>
    <row r="186" spans="1:15">
      <c r="C186" s="75" t="s">
        <v>49</v>
      </c>
      <c r="D186" s="75"/>
      <c r="E186" s="76" t="s">
        <v>48</v>
      </c>
      <c r="F186" s="82">
        <f>F12</f>
        <v>438</v>
      </c>
      <c r="G186" s="82">
        <f>G12</f>
        <v>456</v>
      </c>
      <c r="H186" s="82">
        <f>H12</f>
        <v>643</v>
      </c>
      <c r="I186" s="82">
        <f>I12</f>
        <v>871</v>
      </c>
      <c r="J186" s="82">
        <f>J12</f>
        <v>1047</v>
      </c>
      <c r="K186" s="82">
        <f>K189*K192</f>
        <v>1346.1042477269962</v>
      </c>
      <c r="L186" s="82">
        <f t="shared" ref="L186:O186" si="205">L189*L192</f>
        <v>1729.3738745090534</v>
      </c>
      <c r="M186" s="82">
        <f t="shared" si="205"/>
        <v>2236.1566989731818</v>
      </c>
      <c r="N186" s="82">
        <f t="shared" si="205"/>
        <v>2888.0170917532114</v>
      </c>
      <c r="O186" s="82">
        <f t="shared" si="205"/>
        <v>3724.1224712015937</v>
      </c>
    </row>
    <row r="187" spans="1:15">
      <c r="C187" s="101" t="s">
        <v>307</v>
      </c>
      <c r="D187" s="101"/>
      <c r="E187" s="101"/>
      <c r="F187" s="84"/>
      <c r="G187" s="102">
        <f>(G186-F186)/F186</f>
        <v>4.1095890410958902E-2</v>
      </c>
      <c r="H187" s="102">
        <f t="shared" ref="H187" si="206">(H186-G186)/G186</f>
        <v>0.41008771929824561</v>
      </c>
      <c r="I187" s="102">
        <f t="shared" ref="I187" si="207">(I186-H186)/H186</f>
        <v>0.35458786936236392</v>
      </c>
      <c r="J187" s="102">
        <f t="shared" ref="J187" si="208">(J186-I186)/I186</f>
        <v>0.20206659012629161</v>
      </c>
      <c r="K187" s="102">
        <f t="shared" ref="K187" si="209">(K186-J186)/J186</f>
        <v>0.28567740948137171</v>
      </c>
      <c r="L187" s="102">
        <f t="shared" ref="L187" si="210">(L186-K186)/K186</f>
        <v>0.28472507046110168</v>
      </c>
      <c r="M187" s="102">
        <f t="shared" ref="M187" si="211">(M186-L186)/L186</f>
        <v>0.29304410800585123</v>
      </c>
      <c r="N187" s="102">
        <f t="shared" ref="N187" si="212">(N186-M186)/M186</f>
        <v>0.2915092636751962</v>
      </c>
      <c r="O187" s="102">
        <f t="shared" ref="O187" si="213">(O186-N186)/N186</f>
        <v>0.28950845957106602</v>
      </c>
    </row>
    <row r="189" spans="1:15">
      <c r="C189" s="75" t="s">
        <v>1078</v>
      </c>
      <c r="D189" s="75"/>
      <c r="E189" s="76" t="s">
        <v>48</v>
      </c>
      <c r="F189" s="55">
        <v>3232</v>
      </c>
      <c r="G189" s="55">
        <v>2787</v>
      </c>
      <c r="H189" s="55">
        <v>4106</v>
      </c>
      <c r="I189" s="55">
        <v>5420</v>
      </c>
      <c r="J189" s="55">
        <v>6640</v>
      </c>
      <c r="K189" s="82">
        <f>K196*K243</f>
        <v>8325.69414369691</v>
      </c>
      <c r="L189" s="82">
        <f t="shared" ref="L189:O189" si="214">L196*L243</f>
        <v>10437.990879849574</v>
      </c>
      <c r="M189" s="82">
        <f t="shared" si="214"/>
        <v>13178.613697928362</v>
      </c>
      <c r="N189" s="82">
        <f t="shared" si="214"/>
        <v>16628.311096771984</v>
      </c>
      <c r="O189" s="82">
        <f t="shared" si="214"/>
        <v>20959.63147040056</v>
      </c>
    </row>
    <row r="190" spans="1:15">
      <c r="C190" s="101" t="s">
        <v>307</v>
      </c>
      <c r="D190" s="101"/>
      <c r="E190" s="101"/>
      <c r="F190" s="84"/>
      <c r="G190" s="102">
        <f>(G189-F189)/F189</f>
        <v>-0.13768564356435645</v>
      </c>
      <c r="H190" s="102">
        <f t="shared" ref="H190" si="215">(H189-G189)/G189</f>
        <v>0.47326874775744526</v>
      </c>
      <c r="I190" s="102">
        <f t="shared" ref="I190" si="216">(I189-H189)/H189</f>
        <v>0.32001948368241595</v>
      </c>
      <c r="J190" s="102">
        <f t="shared" ref="J190" si="217">(J189-I189)/I189</f>
        <v>0.22509225092250923</v>
      </c>
      <c r="K190" s="102">
        <f t="shared" ref="K190" si="218">(K189-J189)/J189</f>
        <v>0.25386959995435393</v>
      </c>
      <c r="L190" s="102">
        <f t="shared" ref="L190" si="219">(L189-K189)/K189</f>
        <v>0.25370818332929151</v>
      </c>
      <c r="M190" s="102">
        <f t="shared" ref="M190" si="220">(M189-L189)/L189</f>
        <v>0.2625622928421531</v>
      </c>
      <c r="N190" s="102">
        <f t="shared" ref="N190" si="221">(N189-M189)/M189</f>
        <v>0.2617648166882609</v>
      </c>
      <c r="O190" s="102">
        <f t="shared" ref="O190" si="222">(O189-N189)/N189</f>
        <v>0.26047867088975774</v>
      </c>
    </row>
    <row r="192" spans="1:15">
      <c r="C192" s="644" t="s">
        <v>1079</v>
      </c>
      <c r="D192" s="161"/>
      <c r="E192" s="162" t="s">
        <v>56</v>
      </c>
      <c r="F192" s="645">
        <f>F186/F189</f>
        <v>0.13551980198019803</v>
      </c>
      <c r="G192" s="645">
        <f t="shared" ref="G192:J192" si="223">G186/G189</f>
        <v>0.16361679224973089</v>
      </c>
      <c r="H192" s="645">
        <f t="shared" si="223"/>
        <v>0.15660009741841208</v>
      </c>
      <c r="I192" s="645">
        <f t="shared" si="223"/>
        <v>0.1607011070110701</v>
      </c>
      <c r="J192" s="645">
        <f t="shared" si="223"/>
        <v>0.15768072289156626</v>
      </c>
      <c r="K192" s="645">
        <f>(J192+$D$184)</f>
        <v>0.16168072289156626</v>
      </c>
      <c r="L192" s="645">
        <f t="shared" ref="L192:O192" si="224">K192+$D$184</f>
        <v>0.16568072289156627</v>
      </c>
      <c r="M192" s="645">
        <f t="shared" si="224"/>
        <v>0.16968072289156627</v>
      </c>
      <c r="N192" s="645">
        <f t="shared" si="224"/>
        <v>0.17368072289156627</v>
      </c>
      <c r="O192" s="646">
        <f t="shared" si="224"/>
        <v>0.17768072289156628</v>
      </c>
    </row>
    <row r="194" spans="3:15">
      <c r="C194" s="85" t="s">
        <v>1065</v>
      </c>
      <c r="D194" s="85"/>
      <c r="E194" s="86"/>
      <c r="F194" s="86"/>
      <c r="G194" s="86"/>
      <c r="H194" s="86"/>
      <c r="I194" s="86"/>
      <c r="J194" s="86"/>
      <c r="K194" s="86"/>
      <c r="L194" s="86"/>
      <c r="M194" s="86"/>
      <c r="N194" s="86"/>
      <c r="O194" s="86"/>
    </row>
    <row r="196" spans="3:15">
      <c r="C196" s="107" t="s">
        <v>1066</v>
      </c>
      <c r="D196" s="107"/>
      <c r="E196" s="109" t="s">
        <v>1067</v>
      </c>
      <c r="F196" s="108">
        <v>14.6</v>
      </c>
      <c r="G196" s="108">
        <v>11.4</v>
      </c>
      <c r="H196" s="108">
        <v>16.3</v>
      </c>
      <c r="I196" s="108">
        <v>20.399999999999999</v>
      </c>
      <c r="J196" s="108">
        <v>25.3</v>
      </c>
      <c r="K196" s="107">
        <f>(K199+K205+K211+K217+K223+K229+K235)</f>
        <v>31.024683553807652</v>
      </c>
      <c r="L196" s="107">
        <f t="shared" ref="L196:O196" si="225">(L199+L205+L211+L217+L223+L229+L235)</f>
        <v>38.020088583065196</v>
      </c>
      <c r="M196" s="107">
        <f t="shared" si="225"/>
        <v>46.909704217351063</v>
      </c>
      <c r="N196" s="107">
        <f t="shared" si="225"/>
        <v>57.858474183036165</v>
      </c>
      <c r="O196" s="107">
        <f t="shared" si="225"/>
        <v>71.286933663126703</v>
      </c>
    </row>
    <row r="197" spans="3:15">
      <c r="C197" s="38" t="s">
        <v>307</v>
      </c>
      <c r="F197" s="84"/>
      <c r="G197" s="102">
        <f>(G196-F196)/F196</f>
        <v>-0.21917808219178078</v>
      </c>
      <c r="H197" s="102">
        <f t="shared" ref="H197" si="226">(H196-G196)/G196</f>
        <v>0.42982456140350878</v>
      </c>
      <c r="I197" s="102">
        <f t="shared" ref="I197" si="227">(I196-H196)/H196</f>
        <v>0.25153374233128822</v>
      </c>
      <c r="J197" s="102">
        <f t="shared" ref="J197" si="228">(J196-I196)/I196</f>
        <v>0.24019607843137267</v>
      </c>
      <c r="K197" s="102">
        <f>(K196-J196)/J196</f>
        <v>0.22627207722559886</v>
      </c>
      <c r="L197" s="102">
        <f t="shared" ref="L197:O197" si="229">(L196-K196)/K196</f>
        <v>0.22547869076972421</v>
      </c>
      <c r="M197" s="102">
        <f t="shared" si="229"/>
        <v>0.23381364866796905</v>
      </c>
      <c r="N197" s="102">
        <f t="shared" si="229"/>
        <v>0.23340095931867649</v>
      </c>
      <c r="O197" s="102">
        <f t="shared" si="229"/>
        <v>0.23209148996237616</v>
      </c>
    </row>
    <row r="199" spans="3:15">
      <c r="C199" s="75" t="s">
        <v>231</v>
      </c>
      <c r="D199" s="75"/>
      <c r="E199" s="76" t="s">
        <v>1067</v>
      </c>
      <c r="F199" s="82">
        <f>_xlfn.XLOOKUP($C199,$C$38:$C$44,F$38:F$44)*F$196</f>
        <v>7.6579957356076758</v>
      </c>
      <c r="G199" s="82">
        <f>_xlfn.XLOOKUP($C199,$C$38:$C$44,G$38:G$44)*G$196</f>
        <v>4.7795555555555556</v>
      </c>
      <c r="H199" s="82">
        <f>_xlfn.XLOOKUP($C199,$C$38:$C$44,H$38:H$44)*H$196</f>
        <v>3.4351709699930217</v>
      </c>
      <c r="I199" s="82">
        <f>_xlfn.XLOOKUP($C199,$C$38:$C$44,I$38:I$44)*I$196</f>
        <v>4.1509114031369219</v>
      </c>
      <c r="J199" s="82">
        <f>_xlfn.XLOOKUP($C199,$C$38:$C$44,J$38:J$44)*J$196</f>
        <v>5.2282445477297106</v>
      </c>
      <c r="K199" s="82">
        <f>J199*(1+K200)</f>
        <v>6.1118178762960316</v>
      </c>
      <c r="L199" s="82">
        <f t="shared" ref="L199" si="230">K199*(1+L200)</f>
        <v>7.1324914616374695</v>
      </c>
      <c r="M199" s="82">
        <f t="shared" ref="M199" si="231">L199*(1+M200)</f>
        <v>8.5589897539649638</v>
      </c>
      <c r="N199" s="82">
        <f t="shared" ref="N199" si="232">M199*(1+N200)</f>
        <v>10.279346694511922</v>
      </c>
      <c r="O199" s="82">
        <f t="shared" ref="O199" si="233">N199*(1+O200)</f>
        <v>12.345495380108819</v>
      </c>
    </row>
    <row r="200" spans="3:15">
      <c r="C200" s="101" t="s">
        <v>307</v>
      </c>
      <c r="D200" s="101"/>
      <c r="E200" s="101"/>
      <c r="F200" s="84"/>
      <c r="G200" s="102">
        <f>(G199-F199)/F199</f>
        <v>-0.37587382905792527</v>
      </c>
      <c r="H200" s="102">
        <f t="shared" ref="H200" si="234">(H199-G199)/G199</f>
        <v>-0.28127815859361177</v>
      </c>
      <c r="I200" s="102">
        <f t="shared" ref="I200" si="235">(I199-H199)/H199</f>
        <v>0.20835656780872078</v>
      </c>
      <c r="J200" s="102">
        <f t="shared" ref="J200" si="236">(J199-I199)/I199</f>
        <v>0.25954134886584856</v>
      </c>
      <c r="K200" s="102">
        <f>_xlfn.XLOOKUP($E$4,$C201:$C203,K201:K203)</f>
        <v>0.16899999999999998</v>
      </c>
      <c r="L200" s="102">
        <f t="shared" ref="L200:O200" si="237">_xlfn.XLOOKUP($E$4,$C201:$C203,L201:L203)</f>
        <v>0.16699999999999998</v>
      </c>
      <c r="M200" s="102">
        <f t="shared" si="237"/>
        <v>0.2</v>
      </c>
      <c r="N200" s="102">
        <f t="shared" si="237"/>
        <v>0.20100000000000001</v>
      </c>
      <c r="O200" s="102">
        <f t="shared" si="237"/>
        <v>0.20100000000000001</v>
      </c>
    </row>
    <row r="201" spans="3:15">
      <c r="C201" s="103" t="s">
        <v>1002</v>
      </c>
      <c r="D201" s="104">
        <v>0.01</v>
      </c>
      <c r="E201" s="75"/>
      <c r="F201" s="75"/>
      <c r="G201" s="75"/>
      <c r="H201" s="75"/>
      <c r="I201" s="75"/>
      <c r="J201" s="75"/>
      <c r="K201" s="105">
        <f>K202+$D201</f>
        <v>0.17899999999999999</v>
      </c>
      <c r="L201" s="105">
        <f t="shared" ref="L201:O201" si="238">L202+$D201</f>
        <v>0.17699999999999999</v>
      </c>
      <c r="M201" s="105">
        <f t="shared" si="238"/>
        <v>0.21000000000000002</v>
      </c>
      <c r="N201" s="105">
        <f t="shared" si="238"/>
        <v>0.21100000000000002</v>
      </c>
      <c r="O201" s="105">
        <f t="shared" si="238"/>
        <v>0.21100000000000002</v>
      </c>
    </row>
    <row r="202" spans="3:15">
      <c r="C202" s="103" t="s">
        <v>11</v>
      </c>
      <c r="D202" s="104">
        <v>0</v>
      </c>
      <c r="E202" s="75"/>
      <c r="F202" s="75"/>
      <c r="G202" s="75"/>
      <c r="H202" s="75"/>
      <c r="I202" s="75"/>
      <c r="J202" s="75"/>
      <c r="K202" s="105">
        <f>_xlfn.XLOOKUP($C199,$C$315:$C$324,K$315:K$324)+_xlfn.XLOOKUP($C199,$C$327:$C$336,K$327:K$336)+$D$183</f>
        <v>0.16899999999999998</v>
      </c>
      <c r="L202" s="105">
        <f t="shared" ref="L202:O202" si="239">_xlfn.XLOOKUP($C199,$C$315:$C$324,L$315:L$324)+_xlfn.XLOOKUP($C199,$C$327:$C$336,L$327:L$336)+$D$183</f>
        <v>0.16699999999999998</v>
      </c>
      <c r="M202" s="105">
        <f t="shared" si="239"/>
        <v>0.2</v>
      </c>
      <c r="N202" s="105">
        <f t="shared" si="239"/>
        <v>0.20100000000000001</v>
      </c>
      <c r="O202" s="105">
        <f t="shared" si="239"/>
        <v>0.20100000000000001</v>
      </c>
    </row>
    <row r="203" spans="3:15">
      <c r="C203" s="103" t="s">
        <v>1003</v>
      </c>
      <c r="D203" s="104">
        <v>-0.01</v>
      </c>
      <c r="E203" s="75"/>
      <c r="F203" s="75"/>
      <c r="G203" s="75"/>
      <c r="H203" s="75"/>
      <c r="I203" s="115"/>
      <c r="J203" s="75"/>
      <c r="K203" s="105">
        <f>K202+$D203</f>
        <v>0.15899999999999997</v>
      </c>
      <c r="L203" s="105">
        <f t="shared" ref="L203:O203" si="240">L202+$D203</f>
        <v>0.15699999999999997</v>
      </c>
      <c r="M203" s="105">
        <f t="shared" si="240"/>
        <v>0.19</v>
      </c>
      <c r="N203" s="105">
        <f t="shared" si="240"/>
        <v>0.191</v>
      </c>
      <c r="O203" s="105">
        <f t="shared" si="240"/>
        <v>0.191</v>
      </c>
    </row>
    <row r="205" spans="3:15">
      <c r="C205" s="75" t="s">
        <v>257</v>
      </c>
      <c r="D205" s="75"/>
      <c r="E205" s="76" t="s">
        <v>1067</v>
      </c>
      <c r="F205" s="82">
        <f>_xlfn.XLOOKUP($C205,$C$38:$C$44,F$38:F$44)*F$196</f>
        <v>2.8328358208955224</v>
      </c>
      <c r="G205" s="82">
        <f>_xlfn.XLOOKUP($C205,$C$38:$C$44,G$38:G$44)*G$196</f>
        <v>1.8240000000000001</v>
      </c>
      <c r="H205" s="82">
        <f>_xlfn.XLOOKUP($C205,$C$38:$C$44,H$38:H$44)*H$196</f>
        <v>5.7897418004187022</v>
      </c>
      <c r="I205" s="82">
        <f>_xlfn.XLOOKUP($C205,$C$38:$C$44,I$38:I$44)*I$196</f>
        <v>5.8199236964815597</v>
      </c>
      <c r="J205" s="82">
        <f>_xlfn.XLOOKUP($C205,$C$38:$C$44,J$38:J$44)*J$196</f>
        <v>7.3810511262066507</v>
      </c>
      <c r="K205" s="82">
        <f>J205*(1+K206)</f>
        <v>9.004882373972114</v>
      </c>
      <c r="L205" s="82">
        <f t="shared" ref="L205" si="241">K205*(1+L206)</f>
        <v>10.958941849124063</v>
      </c>
      <c r="M205" s="82">
        <f t="shared" ref="M205" si="242">L205*(1+M206)</f>
        <v>13.315114346685737</v>
      </c>
      <c r="N205" s="82">
        <f t="shared" ref="N205" si="243">M205*(1+N206)</f>
        <v>16.217809274263228</v>
      </c>
      <c r="O205" s="82">
        <f t="shared" ref="O205" si="244">N205*(1+O206)</f>
        <v>19.769509505326877</v>
      </c>
    </row>
    <row r="206" spans="3:15">
      <c r="C206" s="101" t="s">
        <v>307</v>
      </c>
      <c r="D206" s="101"/>
      <c r="E206" s="101"/>
      <c r="F206" s="84"/>
      <c r="G206" s="102">
        <f>(G205-F205)/F205</f>
        <v>-0.35612223393045311</v>
      </c>
      <c r="H206" s="102">
        <f t="shared" ref="H206" si="245">(H205-G205)/G205</f>
        <v>2.1742005484751656</v>
      </c>
      <c r="I206" s="102">
        <f t="shared" ref="I206" si="246">(I205-H205)/H205</f>
        <v>5.2129951737527897E-3</v>
      </c>
      <c r="J206" s="102">
        <f t="shared" ref="J206" si="247">(J205-I205)/I205</f>
        <v>0.26823847032030196</v>
      </c>
      <c r="K206" s="102">
        <f>_xlfn.XLOOKUP($E$4,$C207:$C209,K207:K209)</f>
        <v>0.21999999999999997</v>
      </c>
      <c r="L206" s="102">
        <f t="shared" ref="L206:O206" si="248">_xlfn.XLOOKUP($E$4,$C207:$C209,L207:L209)</f>
        <v>0.21700000000000003</v>
      </c>
      <c r="M206" s="102">
        <f t="shared" si="248"/>
        <v>0.21500000000000002</v>
      </c>
      <c r="N206" s="102">
        <f t="shared" si="248"/>
        <v>0.21800000000000003</v>
      </c>
      <c r="O206" s="102">
        <f t="shared" si="248"/>
        <v>0.21900000000000003</v>
      </c>
    </row>
    <row r="207" spans="3:15">
      <c r="C207" s="103" t="s">
        <v>1002</v>
      </c>
      <c r="D207" s="104">
        <v>0.01</v>
      </c>
      <c r="E207" s="75"/>
      <c r="F207" s="75"/>
      <c r="G207" s="75"/>
      <c r="H207" s="75"/>
      <c r="I207" s="75"/>
      <c r="J207" s="75"/>
      <c r="K207" s="105">
        <f>K208+$D207</f>
        <v>0.22999999999999998</v>
      </c>
      <c r="L207" s="105">
        <f t="shared" ref="L207:O207" si="249">L208+$D207</f>
        <v>0.22700000000000004</v>
      </c>
      <c r="M207" s="105">
        <f t="shared" si="249"/>
        <v>0.22500000000000003</v>
      </c>
      <c r="N207" s="105">
        <f t="shared" si="249"/>
        <v>0.22800000000000004</v>
      </c>
      <c r="O207" s="105">
        <f t="shared" si="249"/>
        <v>0.22900000000000004</v>
      </c>
    </row>
    <row r="208" spans="3:15">
      <c r="C208" s="103" t="s">
        <v>11</v>
      </c>
      <c r="D208" s="104">
        <v>0</v>
      </c>
      <c r="E208" s="75"/>
      <c r="F208" s="75"/>
      <c r="G208" s="75"/>
      <c r="H208" s="75"/>
      <c r="I208" s="75"/>
      <c r="J208" s="75"/>
      <c r="K208" s="105">
        <f>_xlfn.XLOOKUP($C205,$C$315:$C$324,K$315:K$324)+_xlfn.XLOOKUP($C205,$C$327:$C$336,K$327:K$336)+$D$183</f>
        <v>0.21999999999999997</v>
      </c>
      <c r="L208" s="105">
        <f t="shared" ref="L208:O208" si="250">_xlfn.XLOOKUP($C205,$C$315:$C$324,L$315:L$324)+_xlfn.XLOOKUP($C205,$C$327:$C$336,L$327:L$336)+$D$183</f>
        <v>0.21700000000000003</v>
      </c>
      <c r="M208" s="105">
        <f t="shared" si="250"/>
        <v>0.21500000000000002</v>
      </c>
      <c r="N208" s="105">
        <f t="shared" si="250"/>
        <v>0.21800000000000003</v>
      </c>
      <c r="O208" s="105">
        <f t="shared" si="250"/>
        <v>0.21900000000000003</v>
      </c>
    </row>
    <row r="209" spans="3:15">
      <c r="C209" s="103" t="s">
        <v>1003</v>
      </c>
      <c r="D209" s="104">
        <v>-0.01</v>
      </c>
      <c r="E209" s="75"/>
      <c r="F209" s="75"/>
      <c r="G209" s="75"/>
      <c r="H209" s="75"/>
      <c r="I209" s="75"/>
      <c r="J209" s="75"/>
      <c r="K209" s="105">
        <f>K208+$D209</f>
        <v>0.20999999999999996</v>
      </c>
      <c r="L209" s="105">
        <f t="shared" ref="L209:O209" si="251">L208+$D209</f>
        <v>0.20700000000000002</v>
      </c>
      <c r="M209" s="105">
        <f t="shared" si="251"/>
        <v>0.20500000000000002</v>
      </c>
      <c r="N209" s="105">
        <f t="shared" si="251"/>
        <v>0.20800000000000002</v>
      </c>
      <c r="O209" s="105">
        <f t="shared" si="251"/>
        <v>0.20900000000000002</v>
      </c>
    </row>
    <row r="211" spans="3:15">
      <c r="C211" s="75" t="s">
        <v>233</v>
      </c>
      <c r="D211" s="75"/>
      <c r="E211" s="76" t="s">
        <v>1067</v>
      </c>
      <c r="F211" s="82">
        <f>_xlfn.XLOOKUP($C211,$C$38:$C$44,F$38:F$44)*F$196</f>
        <v>-1.8989339019189766</v>
      </c>
      <c r="G211" s="82">
        <f>_xlfn.XLOOKUP($C211,$C$38:$C$44,G$38:G$44)*G$196</f>
        <v>1.3342222222222222</v>
      </c>
      <c r="H211" s="82">
        <f>_xlfn.XLOOKUP($C211,$C$38:$C$44,H$38:H$44)*H$196</f>
        <v>3.1280530355896721</v>
      </c>
      <c r="I211" s="82">
        <f>_xlfn.XLOOKUP($C211,$C$38:$C$44,I$38:I$44)*I$196</f>
        <v>5.2318779143704948</v>
      </c>
      <c r="J211" s="82">
        <f>_xlfn.XLOOKUP($C211,$C$38:$C$44,J$38:J$44)*J$196</f>
        <v>5.8161959242045045</v>
      </c>
      <c r="K211" s="82">
        <f>J211*(1+K212)</f>
        <v>7.0608618519842681</v>
      </c>
      <c r="L211" s="82">
        <f t="shared" ref="L211" si="252">K211*(1+L212)</f>
        <v>8.6636774923846982</v>
      </c>
      <c r="M211" s="82">
        <f t="shared" ref="M211" si="253">L211*(1+M212)</f>
        <v>10.690978025602718</v>
      </c>
      <c r="N211" s="82">
        <f t="shared" ref="N211" si="254">M211*(1+N212)</f>
        <v>13.128521015440137</v>
      </c>
      <c r="O211" s="82">
        <f t="shared" ref="O211" si="255">N211*(1+O212)</f>
        <v>16.095566764929607</v>
      </c>
    </row>
    <row r="212" spans="3:15">
      <c r="C212" s="101" t="s">
        <v>307</v>
      </c>
      <c r="D212" s="101"/>
      <c r="E212" s="101"/>
      <c r="F212" s="84"/>
      <c r="G212" s="102">
        <f>(G211-F211)/F211</f>
        <v>-1.7026164633081318</v>
      </c>
      <c r="H212" s="102">
        <f t="shared" ref="H212" si="256">(H211-G211)/G211</f>
        <v>1.3444767921641447</v>
      </c>
      <c r="I212" s="102">
        <f t="shared" ref="I212" si="257">(I211-H211)/H211</f>
        <v>0.67256688260857089</v>
      </c>
      <c r="J212" s="102">
        <f t="shared" ref="J212" si="258">(J211-I211)/I211</f>
        <v>0.11168418288757327</v>
      </c>
      <c r="K212" s="102">
        <f>_xlfn.XLOOKUP($E$4,$C213:$C215,K213:K215)</f>
        <v>0.21400000000000002</v>
      </c>
      <c r="L212" s="102">
        <f t="shared" ref="L212:O212" si="259">_xlfn.XLOOKUP($E$4,$C213:$C215,L213:L215)</f>
        <v>0.22700000000000004</v>
      </c>
      <c r="M212" s="102">
        <f t="shared" si="259"/>
        <v>0.23399999999999999</v>
      </c>
      <c r="N212" s="102">
        <f t="shared" si="259"/>
        <v>0.22800000000000004</v>
      </c>
      <c r="O212" s="102">
        <f t="shared" si="259"/>
        <v>0.22600000000000003</v>
      </c>
    </row>
    <row r="213" spans="3:15">
      <c r="C213" s="103" t="s">
        <v>1002</v>
      </c>
      <c r="D213" s="104">
        <v>0.01</v>
      </c>
      <c r="E213" s="75"/>
      <c r="F213" s="75"/>
      <c r="G213" s="75"/>
      <c r="H213" s="75"/>
      <c r="I213" s="75"/>
      <c r="J213" s="75"/>
      <c r="K213" s="105">
        <f>K214+$D213</f>
        <v>0.22400000000000003</v>
      </c>
      <c r="L213" s="105">
        <f t="shared" ref="L213:O213" si="260">L214+$D213</f>
        <v>0.23700000000000004</v>
      </c>
      <c r="M213" s="105">
        <f t="shared" si="260"/>
        <v>0.24399999999999999</v>
      </c>
      <c r="N213" s="105">
        <f t="shared" si="260"/>
        <v>0.23800000000000004</v>
      </c>
      <c r="O213" s="105">
        <f t="shared" si="260"/>
        <v>0.23600000000000004</v>
      </c>
    </row>
    <row r="214" spans="3:15">
      <c r="C214" s="103" t="s">
        <v>11</v>
      </c>
      <c r="D214" s="104">
        <v>0</v>
      </c>
      <c r="E214" s="75"/>
      <c r="F214" s="75"/>
      <c r="G214" s="75"/>
      <c r="H214" s="75"/>
      <c r="I214" s="75"/>
      <c r="J214" s="75"/>
      <c r="K214" s="105">
        <f>_xlfn.XLOOKUP($C211,$C$315:$C$324,K$315:K$324)+_xlfn.XLOOKUP($C211,$C$327:$C$336,K$327:K$336)+$D$183</f>
        <v>0.21400000000000002</v>
      </c>
      <c r="L214" s="105">
        <f t="shared" ref="L214:O214" si="261">_xlfn.XLOOKUP($C211,$C$315:$C$324,L$315:L$324)+_xlfn.XLOOKUP($C211,$C$327:$C$336,L$327:L$336)+$D$183</f>
        <v>0.22700000000000004</v>
      </c>
      <c r="M214" s="105">
        <f t="shared" si="261"/>
        <v>0.23399999999999999</v>
      </c>
      <c r="N214" s="105">
        <f t="shared" si="261"/>
        <v>0.22800000000000004</v>
      </c>
      <c r="O214" s="105">
        <f t="shared" si="261"/>
        <v>0.22600000000000003</v>
      </c>
    </row>
    <row r="215" spans="3:15">
      <c r="C215" s="103" t="s">
        <v>1003</v>
      </c>
      <c r="D215" s="104">
        <v>-0.01</v>
      </c>
      <c r="E215" s="75"/>
      <c r="F215" s="75"/>
      <c r="G215" s="75"/>
      <c r="H215" s="75"/>
      <c r="I215" s="75"/>
      <c r="J215" s="75"/>
      <c r="K215" s="105">
        <f>K214+$D215</f>
        <v>0.20400000000000001</v>
      </c>
      <c r="L215" s="105">
        <f t="shared" ref="L215:O215" si="262">L214+$D215</f>
        <v>0.21700000000000003</v>
      </c>
      <c r="M215" s="105">
        <f t="shared" si="262"/>
        <v>0.22399999999999998</v>
      </c>
      <c r="N215" s="105">
        <f t="shared" si="262"/>
        <v>0.21800000000000003</v>
      </c>
      <c r="O215" s="105">
        <f t="shared" si="262"/>
        <v>0.21600000000000003</v>
      </c>
    </row>
    <row r="217" spans="3:15">
      <c r="C217" s="75" t="s">
        <v>244</v>
      </c>
      <c r="D217" s="75"/>
      <c r="E217" s="76" t="s">
        <v>1067</v>
      </c>
      <c r="F217" s="82">
        <f>_xlfn.XLOOKUP($C217,$C$38:$C$44,F$38:F$44)*F$196</f>
        <v>1.5876332622601279</v>
      </c>
      <c r="G217" s="82">
        <f>_xlfn.XLOOKUP($C217,$C$38:$C$44,G$38:G$44)*G$196</f>
        <v>1.3679999999999999</v>
      </c>
      <c r="H217" s="82">
        <f>_xlfn.XLOOKUP($C217,$C$38:$C$44,H$38:H$44)*H$196</f>
        <v>1.4218422889043965</v>
      </c>
      <c r="I217" s="82">
        <f>_xlfn.XLOOKUP($C217,$C$38:$C$44,I$38:I$44)*I$196</f>
        <v>1.7295464179737174</v>
      </c>
      <c r="J217" s="82">
        <f>_xlfn.XLOOKUP($C217,$C$38:$C$44,J$38:J$44)*J$196</f>
        <v>2.3970325348587775</v>
      </c>
      <c r="K217" s="82">
        <f>J217*(1+K218)</f>
        <v>2.9699233106900249</v>
      </c>
      <c r="L217" s="82">
        <f t="shared" ref="L217" si="263">K217*(1+L218)</f>
        <v>3.6975545218090815</v>
      </c>
      <c r="M217" s="82">
        <f t="shared" ref="M217" si="264">L217*(1+M218)</f>
        <v>4.5886651615650704</v>
      </c>
      <c r="N217" s="82">
        <f t="shared" ref="N217" si="265">M217*(1+N218)</f>
        <v>5.6899448003406876</v>
      </c>
      <c r="O217" s="82">
        <f t="shared" ref="O217" si="266">N217*(1+O218)</f>
        <v>7.0612214972227942</v>
      </c>
    </row>
    <row r="218" spans="3:15">
      <c r="C218" s="101" t="s">
        <v>307</v>
      </c>
      <c r="D218" s="101"/>
      <c r="E218" s="101"/>
      <c r="F218" s="84"/>
      <c r="G218" s="102">
        <f>(G217-F217)/F217</f>
        <v>-0.13834004834810643</v>
      </c>
      <c r="H218" s="102">
        <f t="shared" ref="H218" si="267">(H217-G217)/G217</f>
        <v>3.9358398321927321E-2</v>
      </c>
      <c r="I218" s="102">
        <f t="shared" ref="I218" si="268">(I217-H217)/H217</f>
        <v>0.21641227826077886</v>
      </c>
      <c r="J218" s="102">
        <f t="shared" ref="J218" si="269">(J217-I217)/I217</f>
        <v>0.38593131120878849</v>
      </c>
      <c r="K218" s="102">
        <f>_xlfn.XLOOKUP($E$4,$C219:$C221,K219:K221)</f>
        <v>0.23899999999999999</v>
      </c>
      <c r="L218" s="102">
        <f t="shared" ref="L218:O218" si="270">_xlfn.XLOOKUP($E$4,$C219:$C221,L219:L221)</f>
        <v>0.245</v>
      </c>
      <c r="M218" s="102">
        <f t="shared" si="270"/>
        <v>0.24099999999999999</v>
      </c>
      <c r="N218" s="102">
        <f t="shared" si="270"/>
        <v>0.24</v>
      </c>
      <c r="O218" s="102">
        <f t="shared" si="270"/>
        <v>0.24099999999999999</v>
      </c>
    </row>
    <row r="219" spans="3:15">
      <c r="C219" s="103" t="s">
        <v>1002</v>
      </c>
      <c r="D219" s="104">
        <v>0.01</v>
      </c>
      <c r="E219" s="75"/>
      <c r="F219" s="75"/>
      <c r="G219" s="75"/>
      <c r="H219" s="75"/>
      <c r="I219" s="75"/>
      <c r="J219" s="75"/>
      <c r="K219" s="105">
        <f>K220+$D219</f>
        <v>0.249</v>
      </c>
      <c r="L219" s="105">
        <f t="shared" ref="L219:O219" si="271">L220+$D219</f>
        <v>0.255</v>
      </c>
      <c r="M219" s="105">
        <f t="shared" si="271"/>
        <v>0.251</v>
      </c>
      <c r="N219" s="105">
        <f t="shared" si="271"/>
        <v>0.25</v>
      </c>
      <c r="O219" s="105">
        <f t="shared" si="271"/>
        <v>0.251</v>
      </c>
    </row>
    <row r="220" spans="3:15">
      <c r="C220" s="103" t="s">
        <v>11</v>
      </c>
      <c r="D220" s="104">
        <v>0</v>
      </c>
      <c r="E220" s="75"/>
      <c r="F220" s="75"/>
      <c r="G220" s="75"/>
      <c r="H220" s="75"/>
      <c r="I220" s="75"/>
      <c r="J220" s="75"/>
      <c r="K220" s="105">
        <f>_xlfn.XLOOKUP($C217,$C$315:$C$324,K$315:K$324)+_xlfn.XLOOKUP($C217,$C$327:$C$336,K$327:K$336)+$D$183</f>
        <v>0.23899999999999999</v>
      </c>
      <c r="L220" s="105">
        <f t="shared" ref="L220:O220" si="272">_xlfn.XLOOKUP($C217,$C$315:$C$324,L$315:L$324)+_xlfn.XLOOKUP($C217,$C$327:$C$336,L$327:L$336)+$D$183</f>
        <v>0.245</v>
      </c>
      <c r="M220" s="105">
        <f t="shared" si="272"/>
        <v>0.24099999999999999</v>
      </c>
      <c r="N220" s="105">
        <f t="shared" si="272"/>
        <v>0.24</v>
      </c>
      <c r="O220" s="105">
        <f t="shared" si="272"/>
        <v>0.24099999999999999</v>
      </c>
    </row>
    <row r="221" spans="3:15">
      <c r="C221" s="103" t="s">
        <v>1003</v>
      </c>
      <c r="D221" s="104">
        <v>-0.01</v>
      </c>
      <c r="E221" s="75"/>
      <c r="F221" s="75"/>
      <c r="G221" s="75"/>
      <c r="H221" s="75"/>
      <c r="I221" s="75"/>
      <c r="J221" s="75"/>
      <c r="K221" s="105">
        <f>K220+$D221</f>
        <v>0.22899999999999998</v>
      </c>
      <c r="L221" s="105">
        <f t="shared" ref="L221:O221" si="273">L220+$D221</f>
        <v>0.23499999999999999</v>
      </c>
      <c r="M221" s="105">
        <f t="shared" si="273"/>
        <v>0.23099999999999998</v>
      </c>
      <c r="N221" s="105">
        <f t="shared" si="273"/>
        <v>0.22999999999999998</v>
      </c>
      <c r="O221" s="105">
        <f t="shared" si="273"/>
        <v>0.23099999999999998</v>
      </c>
    </row>
    <row r="223" spans="3:15">
      <c r="C223" s="75" t="s">
        <v>239</v>
      </c>
      <c r="D223" s="75"/>
      <c r="E223" s="76" t="s">
        <v>1067</v>
      </c>
      <c r="F223" s="82">
        <f>_xlfn.XLOOKUP($C223,$C$38:$C$44,F$38:F$44)*F$196</f>
        <v>1.7744136460554369</v>
      </c>
      <c r="G223" s="82">
        <f>_xlfn.XLOOKUP($C223,$C$38:$C$44,G$38:G$44)*G$196</f>
        <v>1.2835555555555556</v>
      </c>
      <c r="H223" s="82">
        <f>_xlfn.XLOOKUP($C223,$C$38:$C$44,H$38:H$44)*H$196</f>
        <v>1.2398464759246337</v>
      </c>
      <c r="I223" s="82">
        <f>_xlfn.XLOOKUP($C223,$C$38:$C$44,I$38:I$44)*I$196</f>
        <v>1.7727850784230605</v>
      </c>
      <c r="J223" s="82">
        <f>_xlfn.XLOOKUP($C223,$C$38:$C$44,J$38:J$44)*J$196</f>
        <v>2.2794422595638184</v>
      </c>
      <c r="K223" s="82">
        <f>J223*(1+K224)</f>
        <v>2.9929076868072935</v>
      </c>
      <c r="L223" s="82">
        <f t="shared" ref="L223" si="274">K223*(1+L224)</f>
        <v>3.8428934698605648</v>
      </c>
      <c r="M223" s="82">
        <f t="shared" ref="M223" si="275">L223*(1+M224)</f>
        <v>4.9073749610119419</v>
      </c>
      <c r="N223" s="82">
        <f t="shared" ref="N223" si="276">M223*(1+N224)</f>
        <v>6.2470883253682024</v>
      </c>
      <c r="O223" s="82">
        <f t="shared" ref="O223" si="277">N223*(1+O224)</f>
        <v>7.8588371133131982</v>
      </c>
    </row>
    <row r="224" spans="3:15">
      <c r="C224" s="101" t="s">
        <v>307</v>
      </c>
      <c r="D224" s="101"/>
      <c r="E224" s="101"/>
      <c r="F224" s="84"/>
      <c r="G224" s="102">
        <f>(G223-F223)/F223</f>
        <v>-0.27663115169964481</v>
      </c>
      <c r="H224" s="102">
        <f t="shared" ref="H224" si="278">(H223-G223)/G223</f>
        <v>-3.4053126443758366E-2</v>
      </c>
      <c r="I224" s="102">
        <f t="shared" ref="I224" si="279">(I223-H223)/H223</f>
        <v>0.42984241424002118</v>
      </c>
      <c r="J224" s="102">
        <f t="shared" ref="J224" si="280">(J223-I223)/I223</f>
        <v>0.28579729562674505</v>
      </c>
      <c r="K224" s="102">
        <f>_xlfn.XLOOKUP($E$4,$C225:$C227,K225:K227)</f>
        <v>0.313</v>
      </c>
      <c r="L224" s="102">
        <f t="shared" ref="L224:O224" si="281">_xlfn.XLOOKUP($E$4,$C225:$C227,L225:L227)</f>
        <v>0.28399999999999997</v>
      </c>
      <c r="M224" s="102">
        <f t="shared" si="281"/>
        <v>0.27700000000000002</v>
      </c>
      <c r="N224" s="102">
        <f t="shared" si="281"/>
        <v>0.27300000000000002</v>
      </c>
      <c r="O224" s="102">
        <f t="shared" si="281"/>
        <v>0.25800000000000001</v>
      </c>
    </row>
    <row r="225" spans="3:15">
      <c r="C225" s="103" t="s">
        <v>1002</v>
      </c>
      <c r="D225" s="104">
        <v>0.01</v>
      </c>
      <c r="E225" s="75"/>
      <c r="F225" s="75"/>
      <c r="G225" s="75"/>
      <c r="H225" s="75"/>
      <c r="I225" s="75"/>
      <c r="J225" s="75"/>
      <c r="K225" s="105">
        <f>K226+$D225</f>
        <v>0.32300000000000001</v>
      </c>
      <c r="L225" s="105">
        <f t="shared" ref="L225:O225" si="282">L226+$D225</f>
        <v>0.29399999999999998</v>
      </c>
      <c r="M225" s="105">
        <f t="shared" si="282"/>
        <v>0.28700000000000003</v>
      </c>
      <c r="N225" s="105">
        <f t="shared" si="282"/>
        <v>0.28300000000000003</v>
      </c>
      <c r="O225" s="105">
        <f t="shared" si="282"/>
        <v>0.26800000000000002</v>
      </c>
    </row>
    <row r="226" spans="3:15">
      <c r="C226" s="103" t="s">
        <v>11</v>
      </c>
      <c r="D226" s="104">
        <v>0</v>
      </c>
      <c r="E226" s="75"/>
      <c r="F226" s="75"/>
      <c r="G226" s="75"/>
      <c r="H226" s="75"/>
      <c r="I226" s="75"/>
      <c r="J226" s="75"/>
      <c r="K226" s="105">
        <f>_xlfn.XLOOKUP($C223,$C$315:$C$324,K$315:K$324)+_xlfn.XLOOKUP($C223,$C$327:$C$336,K$327:K$336)+$D$183</f>
        <v>0.313</v>
      </c>
      <c r="L226" s="105">
        <f t="shared" ref="L226:O226" si="283">_xlfn.XLOOKUP($C223,$C$315:$C$324,L$315:L$324)+_xlfn.XLOOKUP($C223,$C$327:$C$336,L$327:L$336)+$D$183</f>
        <v>0.28399999999999997</v>
      </c>
      <c r="M226" s="105">
        <f t="shared" si="283"/>
        <v>0.27700000000000002</v>
      </c>
      <c r="N226" s="105">
        <f t="shared" si="283"/>
        <v>0.27300000000000002</v>
      </c>
      <c r="O226" s="105">
        <f t="shared" si="283"/>
        <v>0.25800000000000001</v>
      </c>
    </row>
    <row r="227" spans="3:15">
      <c r="C227" s="103" t="s">
        <v>1003</v>
      </c>
      <c r="D227" s="104">
        <v>-0.01</v>
      </c>
      <c r="E227" s="75"/>
      <c r="F227" s="75"/>
      <c r="G227" s="75"/>
      <c r="H227" s="75"/>
      <c r="I227" s="75"/>
      <c r="J227" s="75"/>
      <c r="K227" s="105">
        <f>K226+$D227</f>
        <v>0.30299999999999999</v>
      </c>
      <c r="L227" s="105">
        <f t="shared" ref="L227:O227" si="284">L226+$D227</f>
        <v>0.27399999999999997</v>
      </c>
      <c r="M227" s="105">
        <f t="shared" si="284"/>
        <v>0.26700000000000002</v>
      </c>
      <c r="N227" s="105">
        <f t="shared" si="284"/>
        <v>0.26300000000000001</v>
      </c>
      <c r="O227" s="105">
        <f t="shared" si="284"/>
        <v>0.248</v>
      </c>
    </row>
    <row r="229" spans="3:15">
      <c r="C229" s="75" t="s">
        <v>258</v>
      </c>
      <c r="D229" s="75"/>
      <c r="E229" s="76" t="s">
        <v>1067</v>
      </c>
      <c r="F229" s="82">
        <f>_xlfn.XLOOKUP($C229,$C$38:$C$44,F$38:F$44)*F$196</f>
        <v>0</v>
      </c>
      <c r="G229" s="82">
        <f>_xlfn.XLOOKUP($C229,$C$38:$C$44,G$38:G$44)*G$196</f>
        <v>0</v>
      </c>
      <c r="H229" s="82">
        <f>_xlfn.XLOOKUP($C229,$C$38:$C$44,H$38:H$44)*H$196</f>
        <v>1.2284717376133985</v>
      </c>
      <c r="I229" s="82">
        <f>_xlfn.XLOOKUP($C229,$C$38:$C$44,I$38:I$44)*I$196</f>
        <v>1.5998304366256888</v>
      </c>
      <c r="J229" s="82">
        <f>_xlfn.XLOOKUP($C229,$C$38:$C$44,J$38:J$44)*J$196</f>
        <v>2.0623525205577407</v>
      </c>
      <c r="K229" s="82">
        <f>J229*(1+K230)</f>
        <v>2.6934323918484093</v>
      </c>
      <c r="L229" s="82">
        <f t="shared" ref="L229" si="285">K229*(1+L230)</f>
        <v>3.4637540559170543</v>
      </c>
      <c r="M229" s="82">
        <f t="shared" ref="M229" si="286">L229*(1+M230)</f>
        <v>4.5028802726921704</v>
      </c>
      <c r="N229" s="82">
        <f t="shared" ref="N229" si="287">M229*(1+N230)</f>
        <v>5.8447385939544372</v>
      </c>
      <c r="O229" s="82">
        <f t="shared" ref="O229" si="288">N229*(1+O230)</f>
        <v>7.5747812177649507</v>
      </c>
    </row>
    <row r="230" spans="3:15">
      <c r="C230" s="101" t="s">
        <v>307</v>
      </c>
      <c r="D230" s="101"/>
      <c r="E230" s="101"/>
      <c r="F230" s="84"/>
      <c r="G230" s="102" t="e">
        <f>(G229-F229)/F229</f>
        <v>#DIV/0!</v>
      </c>
      <c r="H230" s="102" t="e">
        <f t="shared" ref="H230" si="289">(H229-G229)/G229</f>
        <v>#DIV/0!</v>
      </c>
      <c r="I230" s="102">
        <f t="shared" ref="I230" si="290">(I229-H229)/H229</f>
        <v>0.30229323772132022</v>
      </c>
      <c r="J230" s="102">
        <f t="shared" ref="J230" si="291">(J229-I229)/I229</f>
        <v>0.28910694117533398</v>
      </c>
      <c r="K230" s="102">
        <f>_xlfn.XLOOKUP($E$4,$C231:$C233,K231:K233)</f>
        <v>0.30599999999999999</v>
      </c>
      <c r="L230" s="102">
        <f t="shared" ref="L230:O230" si="292">_xlfn.XLOOKUP($E$4,$C231:$C233,L231:L233)</f>
        <v>0.28599999999999998</v>
      </c>
      <c r="M230" s="102">
        <f t="shared" si="292"/>
        <v>0.3</v>
      </c>
      <c r="N230" s="102">
        <f t="shared" si="292"/>
        <v>0.29799999999999999</v>
      </c>
      <c r="O230" s="102">
        <f t="shared" si="292"/>
        <v>0.29599999999999999</v>
      </c>
    </row>
    <row r="231" spans="3:15">
      <c r="C231" s="103" t="s">
        <v>1002</v>
      </c>
      <c r="D231" s="104">
        <v>0.01</v>
      </c>
      <c r="E231" s="75"/>
      <c r="F231" s="75"/>
      <c r="G231" s="75"/>
      <c r="H231" s="75"/>
      <c r="I231" s="75"/>
      <c r="J231" s="75"/>
      <c r="K231" s="105">
        <f>K232+$D231</f>
        <v>0.316</v>
      </c>
      <c r="L231" s="105">
        <f t="shared" ref="L231:O231" si="293">L232+$D231</f>
        <v>0.29599999999999999</v>
      </c>
      <c r="M231" s="105">
        <f t="shared" si="293"/>
        <v>0.31</v>
      </c>
      <c r="N231" s="105">
        <f t="shared" si="293"/>
        <v>0.308</v>
      </c>
      <c r="O231" s="105">
        <f t="shared" si="293"/>
        <v>0.30599999999999999</v>
      </c>
    </row>
    <row r="232" spans="3:15">
      <c r="C232" s="103" t="s">
        <v>11</v>
      </c>
      <c r="D232" s="104">
        <v>0</v>
      </c>
      <c r="E232" s="75"/>
      <c r="F232" s="75"/>
      <c r="G232" s="75"/>
      <c r="H232" s="75"/>
      <c r="I232" s="75"/>
      <c r="J232" s="75"/>
      <c r="K232" s="105">
        <f>_xlfn.XLOOKUP($C229,$C$315:$C$324,K$315:K$324)+_xlfn.XLOOKUP($C229,$C$327:$C$336,K$327:K$336)+$D$183</f>
        <v>0.30599999999999999</v>
      </c>
      <c r="L232" s="105">
        <f t="shared" ref="L232:O232" si="294">_xlfn.XLOOKUP($C229,$C$315:$C$324,L$315:L$324)+_xlfn.XLOOKUP($C229,$C$327:$C$336,L$327:L$336)+$D$183</f>
        <v>0.28599999999999998</v>
      </c>
      <c r="M232" s="105">
        <f t="shared" si="294"/>
        <v>0.3</v>
      </c>
      <c r="N232" s="105">
        <f t="shared" si="294"/>
        <v>0.29799999999999999</v>
      </c>
      <c r="O232" s="105">
        <f t="shared" si="294"/>
        <v>0.29599999999999999</v>
      </c>
    </row>
    <row r="233" spans="3:15">
      <c r="C233" s="103" t="s">
        <v>1003</v>
      </c>
      <c r="D233" s="104">
        <v>-0.01</v>
      </c>
      <c r="E233" s="75"/>
      <c r="F233" s="75"/>
      <c r="G233" s="75"/>
      <c r="H233" s="75"/>
      <c r="I233" s="75"/>
      <c r="J233" s="75"/>
      <c r="K233" s="105">
        <f>K232+$D233</f>
        <v>0.29599999999999999</v>
      </c>
      <c r="L233" s="105">
        <f t="shared" ref="L233:O233" si="295">L232+$D233</f>
        <v>0.27599999999999997</v>
      </c>
      <c r="M233" s="105">
        <f t="shared" si="295"/>
        <v>0.28999999999999998</v>
      </c>
      <c r="N233" s="105">
        <f t="shared" si="295"/>
        <v>0.28799999999999998</v>
      </c>
      <c r="O233" s="105">
        <f t="shared" si="295"/>
        <v>0.28599999999999998</v>
      </c>
    </row>
    <row r="235" spans="3:15">
      <c r="C235" s="75" t="s">
        <v>259</v>
      </c>
      <c r="D235" s="75"/>
      <c r="E235" s="76" t="s">
        <v>1067</v>
      </c>
      <c r="F235" s="82">
        <f>_xlfn.XLOOKUP($C235,$C$38:$C$44,F$38:F$44)*F$196</f>
        <v>2.646055437100213</v>
      </c>
      <c r="G235" s="82">
        <f>_xlfn.XLOOKUP($C235,$C$38:$C$44,G$38:G$44)*G$196</f>
        <v>0.81066666666666665</v>
      </c>
      <c r="H235" s="82">
        <f>_xlfn.XLOOKUP($C235,$C$38:$C$44,H$38:H$44)*H$196</f>
        <v>5.6873691556175859E-2</v>
      </c>
      <c r="I235" s="82">
        <f>_xlfn.XLOOKUP($C235,$C$38:$C$44,I$38:I$44)*I$196</f>
        <v>9.5125052988554462E-2</v>
      </c>
      <c r="J235" s="82">
        <f>_xlfn.XLOOKUP($C235,$C$38:$C$44,J$38:J$44)*J$196</f>
        <v>0.13568108687879871</v>
      </c>
      <c r="K235" s="82">
        <f>J235*(1+K236)</f>
        <v>0.19085806220951018</v>
      </c>
      <c r="L235" s="82">
        <f t="shared" ref="L235" si="296">K235*(1+L236)</f>
        <v>0.26077573233226076</v>
      </c>
      <c r="M235" s="82">
        <f t="shared" ref="M235" si="297">L235*(1+M236)</f>
        <v>0.34570169582846705</v>
      </c>
      <c r="N235" s="82">
        <f t="shared" ref="N235" si="298">M235*(1+N236)</f>
        <v>0.45102547915753999</v>
      </c>
      <c r="O235" s="82">
        <f t="shared" ref="O235" si="299">N235*(1+O236)</f>
        <v>0.58152218446045489</v>
      </c>
    </row>
    <row r="236" spans="3:15">
      <c r="C236" s="101" t="s">
        <v>307</v>
      </c>
      <c r="D236" s="101"/>
      <c r="E236" s="101"/>
      <c r="F236" s="84"/>
      <c r="G236" s="102">
        <f>(G235-F235)/F235</f>
        <v>-0.69363201719043777</v>
      </c>
      <c r="H236" s="102">
        <f t="shared" ref="H236" si="300">(H235-G235)/G235</f>
        <v>-0.92984330811326998</v>
      </c>
      <c r="I236" s="102">
        <f t="shared" ref="I236" si="301">(I235-H235)/H235</f>
        <v>0.672566882608571</v>
      </c>
      <c r="J236" s="102">
        <f t="shared" ref="J236" si="302">(J235-I235)/I235</f>
        <v>0.42634440261624856</v>
      </c>
      <c r="K236" s="102">
        <f>_xlfn.XLOOKUP($E$4,$C237:$C239,K237:K239)</f>
        <v>0.40666666666666668</v>
      </c>
      <c r="L236" s="102">
        <f t="shared" ref="L236:O236" si="303">_xlfn.XLOOKUP($E$4,$C237:$C239,L237:L239)</f>
        <v>0.36633333333333334</v>
      </c>
      <c r="M236" s="102">
        <f t="shared" si="303"/>
        <v>0.32566666666666672</v>
      </c>
      <c r="N236" s="102">
        <f t="shared" si="303"/>
        <v>0.30466666666666664</v>
      </c>
      <c r="O236" s="102">
        <f t="shared" si="303"/>
        <v>0.28933333333333333</v>
      </c>
    </row>
    <row r="237" spans="3:15">
      <c r="C237" s="103" t="s">
        <v>1002</v>
      </c>
      <c r="D237" s="104">
        <v>0.01</v>
      </c>
      <c r="E237" s="75"/>
      <c r="F237" s="75"/>
      <c r="G237" s="75"/>
      <c r="H237" s="75"/>
      <c r="I237" s="75"/>
      <c r="J237" s="75"/>
      <c r="K237" s="105">
        <f>K238+$D237</f>
        <v>0.41666666666666669</v>
      </c>
      <c r="L237" s="105">
        <f t="shared" ref="L237:O237" si="304">L238+$D237</f>
        <v>0.37633333333333335</v>
      </c>
      <c r="M237" s="105">
        <f t="shared" si="304"/>
        <v>0.33566666666666672</v>
      </c>
      <c r="N237" s="105">
        <f t="shared" si="304"/>
        <v>0.31466666666666665</v>
      </c>
      <c r="O237" s="105">
        <f t="shared" si="304"/>
        <v>0.29933333333333334</v>
      </c>
    </row>
    <row r="238" spans="3:15">
      <c r="C238" s="103" t="s">
        <v>11</v>
      </c>
      <c r="D238" s="104">
        <v>0</v>
      </c>
      <c r="E238" s="75"/>
      <c r="F238" s="75"/>
      <c r="G238" s="75"/>
      <c r="H238" s="75"/>
      <c r="I238" s="75"/>
      <c r="J238" s="75"/>
      <c r="K238" s="105">
        <f>_xlfn.XLOOKUP($C235,$C$315:$C$324,K$315:K$324)+_xlfn.XLOOKUP($C235,$C$327:$C$336,K$327:K$336)+$D$183</f>
        <v>0.40666666666666668</v>
      </c>
      <c r="L238" s="105">
        <f t="shared" ref="L238:O238" si="305">_xlfn.XLOOKUP($C235,$C$315:$C$324,L$315:L$324)+_xlfn.XLOOKUP($C235,$C$327:$C$336,L$327:L$336)+$D$183</f>
        <v>0.36633333333333334</v>
      </c>
      <c r="M238" s="105">
        <f t="shared" si="305"/>
        <v>0.32566666666666672</v>
      </c>
      <c r="N238" s="105">
        <f t="shared" si="305"/>
        <v>0.30466666666666664</v>
      </c>
      <c r="O238" s="105">
        <f t="shared" si="305"/>
        <v>0.28933333333333333</v>
      </c>
    </row>
    <row r="239" spans="3:15">
      <c r="C239" s="103" t="s">
        <v>1003</v>
      </c>
      <c r="D239" s="104">
        <v>-0.01</v>
      </c>
      <c r="E239" s="75"/>
      <c r="F239" s="75"/>
      <c r="G239" s="75"/>
      <c r="H239" s="75"/>
      <c r="I239" s="75"/>
      <c r="J239" s="75"/>
      <c r="K239" s="105">
        <f>K238+$D239</f>
        <v>0.39666666666666667</v>
      </c>
      <c r="L239" s="105">
        <f t="shared" ref="L239:O239" si="306">L238+$D239</f>
        <v>0.35633333333333334</v>
      </c>
      <c r="M239" s="105">
        <f t="shared" si="306"/>
        <v>0.31566666666666671</v>
      </c>
      <c r="N239" s="105">
        <f t="shared" si="306"/>
        <v>0.29466666666666663</v>
      </c>
      <c r="O239" s="105">
        <f t="shared" si="306"/>
        <v>0.27933333333333332</v>
      </c>
    </row>
    <row r="241" spans="3:15">
      <c r="C241" s="85" t="s">
        <v>1068</v>
      </c>
      <c r="D241" s="85"/>
      <c r="E241" s="86"/>
      <c r="F241" s="86"/>
      <c r="G241" s="86"/>
      <c r="H241" s="86"/>
      <c r="I241" s="86"/>
      <c r="J241" s="86"/>
      <c r="K241" s="86"/>
      <c r="L241" s="86"/>
      <c r="M241" s="86"/>
      <c r="N241" s="86"/>
      <c r="O241" s="86"/>
    </row>
    <row r="243" spans="3:15">
      <c r="C243" s="107" t="s">
        <v>1069</v>
      </c>
      <c r="D243" s="107"/>
      <c r="E243" s="109" t="s">
        <v>968</v>
      </c>
      <c r="F243" s="114">
        <f>F189/F196</f>
        <v>221.36986301369865</v>
      </c>
      <c r="G243" s="114">
        <f t="shared" ref="G243:J243" si="307">G189/G196</f>
        <v>244.4736842105263</v>
      </c>
      <c r="H243" s="114">
        <f t="shared" si="307"/>
        <v>251.90184049079753</v>
      </c>
      <c r="I243" s="114">
        <f t="shared" si="307"/>
        <v>265.68627450980392</v>
      </c>
      <c r="J243" s="114">
        <f t="shared" si="307"/>
        <v>262.4505928853755</v>
      </c>
      <c r="K243" s="107">
        <f>(K246+K252+K258+K264+K270+K276+K282)</f>
        <v>268.35710118548815</v>
      </c>
      <c r="L243" s="107">
        <f t="shared" ref="L243:O243" si="308">(L246+L252+L258+L264+L270+L276+L282)</f>
        <v>274.53883641130801</v>
      </c>
      <c r="M243" s="107">
        <f t="shared" si="308"/>
        <v>280.93576623008909</v>
      </c>
      <c r="N243" s="107">
        <f t="shared" si="308"/>
        <v>287.39629469259887</v>
      </c>
      <c r="O243" s="107">
        <f t="shared" si="308"/>
        <v>294.01785703741058</v>
      </c>
    </row>
    <row r="244" spans="3:15">
      <c r="F244" s="84"/>
      <c r="G244" s="102">
        <f>(G243-F243)/F243</f>
        <v>0.10436750911933283</v>
      </c>
      <c r="H244" s="102">
        <f t="shared" ref="H244" si="309">(H243-G243)/G243</f>
        <v>3.038427757269177E-2</v>
      </c>
      <c r="I244" s="102">
        <f t="shared" ref="I244" si="310">(I243-H243)/H243</f>
        <v>5.4721450197224623E-2</v>
      </c>
      <c r="J244" s="102">
        <f t="shared" ref="J244" si="311">(J243-I243)/I243</f>
        <v>-1.2178580283826538E-2</v>
      </c>
      <c r="K244" s="102">
        <f>(K243-J243)/J243</f>
        <v>2.2505219878441264E-2</v>
      </c>
      <c r="L244" s="102">
        <f t="shared" ref="L244:O244" si="312">(L243-K243)/K243</f>
        <v>2.3035482193359418E-2</v>
      </c>
      <c r="M244" s="102">
        <f t="shared" si="312"/>
        <v>2.3300637179059565E-2</v>
      </c>
      <c r="N244" s="102">
        <f t="shared" si="312"/>
        <v>2.2996461252351011E-2</v>
      </c>
      <c r="O244" s="102">
        <f t="shared" si="312"/>
        <v>2.3039831991898772E-2</v>
      </c>
    </row>
    <row r="246" spans="3:15">
      <c r="C246" s="75" t="s">
        <v>231</v>
      </c>
      <c r="D246" s="75"/>
      <c r="E246" s="76" t="s">
        <v>968</v>
      </c>
      <c r="F246" s="82">
        <f>_xlfn.XLOOKUP($C246,$C$38:$C$44,F$38:F$44)*F$243</f>
        <v>116.11297718842189</v>
      </c>
      <c r="G246" s="82">
        <f>_xlfn.XLOOKUP($C246,$C$38:$C$44,G$38:G$44)*G$243</f>
        <v>102.49785575048733</v>
      </c>
      <c r="H246" s="82">
        <f>_xlfn.XLOOKUP($C246,$C$38:$C$44,H$38:H$44)*H$243</f>
        <v>53.08747789826996</v>
      </c>
      <c r="I246" s="82">
        <f>_xlfn.XLOOKUP($C246,$C$38:$C$44,I$38:I$44)*I$243</f>
        <v>54.060793456848614</v>
      </c>
      <c r="J246" s="82">
        <f>_xlfn.XLOOKUP($C246,$C$38:$C$44,J$38:J$44)*J$243</f>
        <v>54.235410328118355</v>
      </c>
      <c r="K246" s="82">
        <f>J246*(1+K247)</f>
        <v>55.027247318908877</v>
      </c>
      <c r="L246" s="82">
        <f t="shared" ref="L246" si="313">K246*(1+L247)</f>
        <v>56.016637225702866</v>
      </c>
      <c r="M246" s="82">
        <f t="shared" ref="M246" si="314">L246*(1+M247)</f>
        <v>57.082073665735734</v>
      </c>
      <c r="N246" s="82">
        <f t="shared" ref="N246" si="315">M246*(1+N247)</f>
        <v>58.164920603174735</v>
      </c>
      <c r="O246" s="82">
        <f t="shared" ref="O246" si="316">N246*(1+O247)</f>
        <v>59.274125639077276</v>
      </c>
    </row>
    <row r="247" spans="3:15">
      <c r="C247" s="101" t="s">
        <v>307</v>
      </c>
      <c r="D247" s="101"/>
      <c r="E247" s="101"/>
      <c r="F247" s="84"/>
      <c r="G247" s="102">
        <f>(G246-F246)/F246</f>
        <v>-0.11725753458065824</v>
      </c>
      <c r="H247" s="102">
        <f t="shared" ref="H247" si="317">(H246-G246)/G246</f>
        <v>-0.4820625513620313</v>
      </c>
      <c r="I247" s="102">
        <f t="shared" ref="I247" si="318">(I246-H246)/H246</f>
        <v>1.833418344800241E-2</v>
      </c>
      <c r="J247" s="102">
        <f t="shared" ref="J247" si="319">(J246-I246)/I246</f>
        <v>3.2300094043037032E-3</v>
      </c>
      <c r="K247" s="102">
        <f>_xlfn.XLOOKUP($E$4,$C248:$C250,K248:K250)</f>
        <v>1.46E-2</v>
      </c>
      <c r="L247" s="102">
        <f t="shared" ref="L247:O247" si="320">_xlfn.XLOOKUP($E$4,$C248:$C250,L248:L250)</f>
        <v>1.7979999999999999E-2</v>
      </c>
      <c r="M247" s="102">
        <f t="shared" si="320"/>
        <v>1.9019999999999999E-2</v>
      </c>
      <c r="N247" s="102">
        <f t="shared" si="320"/>
        <v>1.8970000000000001E-2</v>
      </c>
      <c r="O247" s="102">
        <f t="shared" si="320"/>
        <v>1.907E-2</v>
      </c>
    </row>
    <row r="248" spans="3:15">
      <c r="C248" s="103" t="s">
        <v>1002</v>
      </c>
      <c r="D248" s="104">
        <v>0.01</v>
      </c>
      <c r="E248" s="75"/>
      <c r="F248" s="75"/>
      <c r="G248" s="75"/>
      <c r="H248" s="75"/>
      <c r="I248" s="75"/>
      <c r="J248" s="75"/>
      <c r="K248" s="105">
        <f>K249+$D248</f>
        <v>2.46E-2</v>
      </c>
      <c r="L248" s="105">
        <f t="shared" ref="L248:O248" si="321">L249+$D248</f>
        <v>2.7979999999999998E-2</v>
      </c>
      <c r="M248" s="105">
        <f t="shared" si="321"/>
        <v>2.9019999999999997E-2</v>
      </c>
      <c r="N248" s="105">
        <f t="shared" si="321"/>
        <v>2.8970000000000003E-2</v>
      </c>
      <c r="O248" s="105">
        <f t="shared" si="321"/>
        <v>2.9069999999999999E-2</v>
      </c>
    </row>
    <row r="249" spans="3:15">
      <c r="C249" s="103" t="s">
        <v>11</v>
      </c>
      <c r="D249" s="104">
        <v>0</v>
      </c>
      <c r="E249" s="75"/>
      <c r="F249" s="75"/>
      <c r="G249" s="75"/>
      <c r="H249" s="75"/>
      <c r="I249" s="75"/>
      <c r="J249" s="75"/>
      <c r="K249" s="105">
        <f>_xlfn.XLOOKUP($C246,$C$291:$C$300,K$291:K$300)</f>
        <v>1.46E-2</v>
      </c>
      <c r="L249" s="105">
        <f t="shared" ref="L249:O249" si="322">_xlfn.XLOOKUP($C246,$C$291:$C$300,L$291:L$300)</f>
        <v>1.7979999999999999E-2</v>
      </c>
      <c r="M249" s="105">
        <f t="shared" si="322"/>
        <v>1.9019999999999999E-2</v>
      </c>
      <c r="N249" s="105">
        <f t="shared" si="322"/>
        <v>1.8970000000000001E-2</v>
      </c>
      <c r="O249" s="105">
        <f t="shared" si="322"/>
        <v>1.907E-2</v>
      </c>
    </row>
    <row r="250" spans="3:15">
      <c r="C250" s="103" t="s">
        <v>1003</v>
      </c>
      <c r="D250" s="104">
        <v>-0.01</v>
      </c>
      <c r="E250" s="75"/>
      <c r="F250" s="75"/>
      <c r="G250" s="75"/>
      <c r="H250" s="75"/>
      <c r="I250" s="75"/>
      <c r="J250" s="75"/>
      <c r="K250" s="105">
        <f>K249+$D250</f>
        <v>4.5999999999999999E-3</v>
      </c>
      <c r="L250" s="105">
        <f t="shared" ref="L250:O250" si="323">L249+$D250</f>
        <v>7.9799999999999992E-3</v>
      </c>
      <c r="M250" s="105">
        <f t="shared" si="323"/>
        <v>9.0199999999999985E-3</v>
      </c>
      <c r="N250" s="105">
        <f t="shared" si="323"/>
        <v>8.9700000000000005E-3</v>
      </c>
      <c r="O250" s="105">
        <f t="shared" si="323"/>
        <v>9.0699999999999999E-3</v>
      </c>
    </row>
    <row r="252" spans="3:15">
      <c r="C252" s="75" t="s">
        <v>257</v>
      </c>
      <c r="D252" s="75"/>
      <c r="E252" s="76" t="s">
        <v>968</v>
      </c>
      <c r="F252" s="82">
        <f>_xlfn.XLOOKUP($C252,$C$38:$C$44,F$38:F$44)*F$243</f>
        <v>42.952361480269886</v>
      </c>
      <c r="G252" s="82">
        <f>_xlfn.XLOOKUP($C252,$C$38:$C$44,G$38:G$44)*G$243</f>
        <v>39.11578947368421</v>
      </c>
      <c r="H252" s="82">
        <f>_xlfn.XLOOKUP($C252,$C$38:$C$44,H$38:H$44)*H$243</f>
        <v>89.475252484170227</v>
      </c>
      <c r="I252" s="82">
        <f>_xlfn.XLOOKUP($C252,$C$38:$C$44,I$38:I$44)*I$243</f>
        <v>75.79773749262317</v>
      </c>
      <c r="J252" s="82">
        <f>_xlfn.XLOOKUP($C252,$C$38:$C$44,J$38:J$44)*J$243</f>
        <v>76.567638110284747</v>
      </c>
      <c r="K252" s="82">
        <f>J252*(1+K253)</f>
        <v>78.175558510600723</v>
      </c>
      <c r="L252" s="82">
        <f t="shared" ref="L252" si="324">K252*(1+L253)</f>
        <v>79.738287925227624</v>
      </c>
      <c r="M252" s="82">
        <f t="shared" ref="M252" si="325">L252*(1+M253)</f>
        <v>81.332256300852919</v>
      </c>
      <c r="N252" s="82">
        <f t="shared" ref="N252" si="326">M252*(1+N253)</f>
        <v>82.95971474943299</v>
      </c>
      <c r="O252" s="82">
        <f t="shared" ref="O252" si="327">N252*(1+O253)</f>
        <v>84.618079447274155</v>
      </c>
    </row>
    <row r="253" spans="3:15">
      <c r="C253" s="101" t="s">
        <v>307</v>
      </c>
      <c r="D253" s="101"/>
      <c r="E253" s="101"/>
      <c r="F253" s="84"/>
      <c r="G253" s="102">
        <f>(G252-F252)/F252</f>
        <v>-8.932156171082703E-2</v>
      </c>
      <c r="H253" s="102">
        <f t="shared" ref="H253" si="328">(H252-G252)/G252</f>
        <v>1.2874459058116716</v>
      </c>
      <c r="I253" s="102">
        <f t="shared" ref="I253" si="329">(I252-H252)/H252</f>
        <v>-0.15286366466489551</v>
      </c>
      <c r="J253" s="102">
        <f t="shared" ref="J253" si="330">(J252-I252)/I252</f>
        <v>1.015730341207751E-2</v>
      </c>
      <c r="K253" s="102">
        <f>_xlfn.XLOOKUP($E$4,$C254:$C256,K254:K256)</f>
        <v>2.1000000000000001E-2</v>
      </c>
      <c r="L253" s="102">
        <f t="shared" ref="L253:O253" si="331">_xlfn.XLOOKUP($E$4,$C254:$C256,L254:L256)</f>
        <v>1.9990000000000001E-2</v>
      </c>
      <c r="M253" s="102">
        <f t="shared" si="331"/>
        <v>1.9990000000000001E-2</v>
      </c>
      <c r="N253" s="102">
        <f t="shared" si="331"/>
        <v>2.001E-2</v>
      </c>
      <c r="O253" s="102">
        <f t="shared" si="331"/>
        <v>1.9990000000000001E-2</v>
      </c>
    </row>
    <row r="254" spans="3:15">
      <c r="C254" s="103" t="s">
        <v>1002</v>
      </c>
      <c r="D254" s="104">
        <v>0.01</v>
      </c>
      <c r="E254" s="75"/>
      <c r="F254" s="75"/>
      <c r="G254" s="75"/>
      <c r="H254" s="75"/>
      <c r="I254" s="75"/>
      <c r="J254" s="75"/>
      <c r="K254" s="105">
        <f>K255+$D254</f>
        <v>3.1E-2</v>
      </c>
      <c r="L254" s="105">
        <f t="shared" ref="L254:O254" si="332">L255+$D254</f>
        <v>2.9990000000000003E-2</v>
      </c>
      <c r="M254" s="105">
        <f t="shared" si="332"/>
        <v>2.9990000000000003E-2</v>
      </c>
      <c r="N254" s="105">
        <f t="shared" si="332"/>
        <v>3.0010000000000002E-2</v>
      </c>
      <c r="O254" s="105">
        <f t="shared" si="332"/>
        <v>2.9990000000000003E-2</v>
      </c>
    </row>
    <row r="255" spans="3:15">
      <c r="C255" s="103" t="s">
        <v>11</v>
      </c>
      <c r="D255" s="104">
        <v>0</v>
      </c>
      <c r="E255" s="75"/>
      <c r="F255" s="75"/>
      <c r="G255" s="75"/>
      <c r="H255" s="75"/>
      <c r="I255" s="75"/>
      <c r="J255" s="75"/>
      <c r="K255" s="105">
        <f>_xlfn.XLOOKUP($C252,$C$291:$C$300,K$291:K$300)</f>
        <v>2.1000000000000001E-2</v>
      </c>
      <c r="L255" s="105">
        <f t="shared" ref="L255:O255" si="333">_xlfn.XLOOKUP($C252,$C$291:$C$300,L$291:L$300)</f>
        <v>1.9990000000000001E-2</v>
      </c>
      <c r="M255" s="105">
        <f t="shared" si="333"/>
        <v>1.9990000000000001E-2</v>
      </c>
      <c r="N255" s="105">
        <f t="shared" si="333"/>
        <v>2.001E-2</v>
      </c>
      <c r="O255" s="105">
        <f t="shared" si="333"/>
        <v>1.9990000000000001E-2</v>
      </c>
    </row>
    <row r="256" spans="3:15">
      <c r="C256" s="103" t="s">
        <v>1003</v>
      </c>
      <c r="D256" s="104">
        <v>-0.01</v>
      </c>
      <c r="E256" s="75"/>
      <c r="F256" s="75"/>
      <c r="G256" s="75"/>
      <c r="H256" s="75"/>
      <c r="I256" s="75"/>
      <c r="J256" s="75"/>
      <c r="K256" s="105">
        <f>K255+$D256</f>
        <v>1.1000000000000001E-2</v>
      </c>
      <c r="L256" s="105">
        <f t="shared" ref="L256:O256" si="334">L255+$D256</f>
        <v>9.9900000000000006E-3</v>
      </c>
      <c r="M256" s="105">
        <f t="shared" si="334"/>
        <v>9.9900000000000006E-3</v>
      </c>
      <c r="N256" s="105">
        <f t="shared" si="334"/>
        <v>1.001E-2</v>
      </c>
      <c r="O256" s="105">
        <f t="shared" si="334"/>
        <v>9.9900000000000006E-3</v>
      </c>
    </row>
    <row r="258" spans="3:15">
      <c r="C258" s="75" t="s">
        <v>233</v>
      </c>
      <c r="D258" s="75"/>
      <c r="E258" s="76" t="s">
        <v>968</v>
      </c>
      <c r="F258" s="82">
        <f>_xlfn.XLOOKUP($C258,$C$38:$C$44,F$38:F$44)*F$243</f>
        <v>-28.792242310950144</v>
      </c>
      <c r="G258" s="82">
        <f>_xlfn.XLOOKUP($C258,$C$38:$C$44,G$38:G$44)*G$243</f>
        <v>28.612475633528263</v>
      </c>
      <c r="H258" s="82">
        <f>_xlfn.XLOOKUP($C258,$C$38:$C$44,H$38:H$44)*H$243</f>
        <v>48.341246430543841</v>
      </c>
      <c r="I258" s="82">
        <f>_xlfn.XLOOKUP($C258,$C$38:$C$44,I$38:I$44)*I$243</f>
        <v>68.139125086236263</v>
      </c>
      <c r="J258" s="82">
        <f>_xlfn.XLOOKUP($C258,$C$38:$C$44,J$38:J$44)*J$243</f>
        <v>60.334548167785641</v>
      </c>
      <c r="K258" s="82">
        <f>J258*(1+K259)</f>
        <v>61.909279874964845</v>
      </c>
      <c r="L258" s="82">
        <f t="shared" ref="L258" si="335">K258*(1+L259)</f>
        <v>63.518302058915182</v>
      </c>
      <c r="M258" s="82">
        <f t="shared" ref="M258" si="336">L258*(1+M259)</f>
        <v>65.169777912446975</v>
      </c>
      <c r="N258" s="82">
        <f t="shared" ref="N258" si="337">M258*(1+N259)</f>
        <v>66.799674058037269</v>
      </c>
      <c r="O258" s="82">
        <f t="shared" ref="O258" si="338">N258*(1+O259)</f>
        <v>68.468329916007036</v>
      </c>
    </row>
    <row r="259" spans="3:15">
      <c r="C259" s="101" t="s">
        <v>307</v>
      </c>
      <c r="D259" s="101"/>
      <c r="E259" s="101"/>
      <c r="F259" s="84"/>
      <c r="G259" s="102">
        <f>(G258-F258)/F258</f>
        <v>-1.9937564196813697</v>
      </c>
      <c r="H259" s="102">
        <f t="shared" ref="H259" si="339">(H258-G258)/G258</f>
        <v>0.68951638612833943</v>
      </c>
      <c r="I259" s="102">
        <f t="shared" ref="I259" si="340">(I258-H258)/H258</f>
        <v>0.409544232255943</v>
      </c>
      <c r="J259" s="102">
        <f t="shared" ref="J259" si="341">(J258-I258)/I258</f>
        <v>-0.11453884840131451</v>
      </c>
      <c r="K259" s="102">
        <f>_xlfn.XLOOKUP($E$4,$C260:$C262,K260:K262)</f>
        <v>2.6099999999999998E-2</v>
      </c>
      <c r="L259" s="102">
        <f t="shared" ref="L259:O259" si="342">_xlfn.XLOOKUP($E$4,$C260:$C262,L260:L262)</f>
        <v>2.5990000000000003E-2</v>
      </c>
      <c r="M259" s="102">
        <f t="shared" si="342"/>
        <v>2.6000000000000002E-2</v>
      </c>
      <c r="N259" s="102">
        <f t="shared" si="342"/>
        <v>2.5009999999999998E-2</v>
      </c>
      <c r="O259" s="102">
        <f t="shared" si="342"/>
        <v>2.4980000000000002E-2</v>
      </c>
    </row>
    <row r="260" spans="3:15">
      <c r="C260" s="103" t="s">
        <v>1002</v>
      </c>
      <c r="D260" s="104">
        <v>0.01</v>
      </c>
      <c r="E260" s="75"/>
      <c r="F260" s="75"/>
      <c r="G260" s="75"/>
      <c r="H260" s="75"/>
      <c r="I260" s="75"/>
      <c r="J260" s="75"/>
      <c r="K260" s="105">
        <f>K261+$D260</f>
        <v>3.61E-2</v>
      </c>
      <c r="L260" s="105">
        <f t="shared" ref="L260:O260" si="343">L261+$D260</f>
        <v>3.5990000000000001E-2</v>
      </c>
      <c r="M260" s="105">
        <f t="shared" si="343"/>
        <v>3.6000000000000004E-2</v>
      </c>
      <c r="N260" s="105">
        <f t="shared" si="343"/>
        <v>3.5009999999999999E-2</v>
      </c>
      <c r="O260" s="105">
        <f t="shared" si="343"/>
        <v>3.4980000000000004E-2</v>
      </c>
    </row>
    <row r="261" spans="3:15">
      <c r="C261" s="103" t="s">
        <v>11</v>
      </c>
      <c r="D261" s="104">
        <v>0</v>
      </c>
      <c r="E261" s="75"/>
      <c r="F261" s="75"/>
      <c r="G261" s="75"/>
      <c r="H261" s="75"/>
      <c r="I261" s="75"/>
      <c r="J261" s="75"/>
      <c r="K261" s="105">
        <f>_xlfn.XLOOKUP($C258,$C$291:$C$300,K$291:K$300)</f>
        <v>2.6099999999999998E-2</v>
      </c>
      <c r="L261" s="105">
        <f t="shared" ref="L261:O261" si="344">_xlfn.XLOOKUP($C258,$C$291:$C$300,L$291:L$300)</f>
        <v>2.5990000000000003E-2</v>
      </c>
      <c r="M261" s="105">
        <f t="shared" si="344"/>
        <v>2.6000000000000002E-2</v>
      </c>
      <c r="N261" s="105">
        <f t="shared" si="344"/>
        <v>2.5009999999999998E-2</v>
      </c>
      <c r="O261" s="105">
        <f t="shared" si="344"/>
        <v>2.4980000000000002E-2</v>
      </c>
    </row>
    <row r="262" spans="3:15">
      <c r="C262" s="103" t="s">
        <v>1003</v>
      </c>
      <c r="D262" s="104">
        <v>-0.01</v>
      </c>
      <c r="E262" s="75"/>
      <c r="F262" s="75"/>
      <c r="G262" s="75"/>
      <c r="H262" s="75"/>
      <c r="I262" s="75"/>
      <c r="J262" s="75"/>
      <c r="K262" s="105">
        <f>K261+$D262</f>
        <v>1.6099999999999996E-2</v>
      </c>
      <c r="L262" s="105">
        <f t="shared" ref="L262:O262" si="345">L261+$D262</f>
        <v>1.5990000000000004E-2</v>
      </c>
      <c r="M262" s="105">
        <f t="shared" si="345"/>
        <v>1.6E-2</v>
      </c>
      <c r="N262" s="105">
        <f t="shared" si="345"/>
        <v>1.5009999999999997E-2</v>
      </c>
      <c r="O262" s="105">
        <f t="shared" si="345"/>
        <v>1.4980000000000002E-2</v>
      </c>
    </row>
    <row r="264" spans="3:15">
      <c r="C264" s="75" t="s">
        <v>244</v>
      </c>
      <c r="D264" s="75"/>
      <c r="E264" s="76" t="s">
        <v>968</v>
      </c>
      <c r="F264" s="82">
        <f>_xlfn.XLOOKUP($C264,$C$38:$C$44,F$38:F$44)*F$243</f>
        <v>24.072202587843563</v>
      </c>
      <c r="G264" s="82">
        <f>_xlfn.XLOOKUP($C264,$C$38:$C$44,G$38:G$44)*G$243</f>
        <v>29.336842105263155</v>
      </c>
      <c r="H264" s="82">
        <f>_xlfn.XLOOKUP($C264,$C$38:$C$44,H$38:H$44)*H$243</f>
        <v>21.97329383206538</v>
      </c>
      <c r="I264" s="82">
        <f>_xlfn.XLOOKUP($C264,$C$38:$C$44,I$38:I$44)*I$243</f>
        <v>22.525330607020255</v>
      </c>
      <c r="J264" s="82">
        <f>_xlfn.XLOOKUP($C264,$C$38:$C$44,J$38:J$44)*J$243</f>
        <v>24.865715807874334</v>
      </c>
      <c r="K264" s="82">
        <f>J264*(1+K265)</f>
        <v>25.554496135752455</v>
      </c>
      <c r="L264" s="82">
        <f t="shared" ref="L264" si="346">K264*(1+L265)</f>
        <v>26.320875474863669</v>
      </c>
      <c r="M264" s="82">
        <f t="shared" ref="M264" si="347">L264*(1+M265)</f>
        <v>27.110764947864329</v>
      </c>
      <c r="N264" s="82">
        <f t="shared" ref="N264" si="348">M264*(1+N265)</f>
        <v>27.923274573351826</v>
      </c>
      <c r="O264" s="82">
        <f t="shared" ref="O264" si="349">N264*(1+O265)</f>
        <v>28.761252043298118</v>
      </c>
    </row>
    <row r="265" spans="3:15">
      <c r="C265" s="101" t="s">
        <v>307</v>
      </c>
      <c r="D265" s="101"/>
      <c r="E265" s="101"/>
      <c r="F265" s="84"/>
      <c r="G265" s="102">
        <f>(G264-F264)/F264</f>
        <v>0.21870202771051078</v>
      </c>
      <c r="H265" s="102">
        <f t="shared" ref="H265" si="350">(H264-G264)/G264</f>
        <v>-0.25100003084097189</v>
      </c>
      <c r="I265" s="102">
        <f t="shared" ref="I265" si="351">(I264-H264)/H264</f>
        <v>2.5123078004322393E-2</v>
      </c>
      <c r="J265" s="102">
        <f t="shared" ref="J265" si="352">(J264-I264)/I264</f>
        <v>0.10390014875629279</v>
      </c>
      <c r="K265" s="102">
        <f>_xlfn.XLOOKUP($E$4,$C266:$C268,K266:K268)</f>
        <v>2.7699999999999999E-2</v>
      </c>
      <c r="L265" s="102">
        <f t="shared" ref="L265:O265" si="353">_xlfn.XLOOKUP($E$4,$C266:$C268,L266:L268)</f>
        <v>2.9990000000000003E-2</v>
      </c>
      <c r="M265" s="102">
        <f t="shared" si="353"/>
        <v>3.0009999999999998E-2</v>
      </c>
      <c r="N265" s="102">
        <f t="shared" si="353"/>
        <v>2.997E-2</v>
      </c>
      <c r="O265" s="102">
        <f t="shared" si="353"/>
        <v>3.0009999999999998E-2</v>
      </c>
    </row>
    <row r="266" spans="3:15">
      <c r="C266" s="103" t="s">
        <v>1002</v>
      </c>
      <c r="D266" s="104">
        <v>0.01</v>
      </c>
      <c r="E266" s="75"/>
      <c r="F266" s="75"/>
      <c r="G266" s="75"/>
      <c r="H266" s="75"/>
      <c r="I266" s="75"/>
      <c r="J266" s="75"/>
      <c r="K266" s="105">
        <f>K267+$D266</f>
        <v>3.7699999999999997E-2</v>
      </c>
      <c r="L266" s="105">
        <f t="shared" ref="L266:O266" si="354">L267+$D266</f>
        <v>3.9990000000000005E-2</v>
      </c>
      <c r="M266" s="105">
        <f t="shared" si="354"/>
        <v>4.0009999999999997E-2</v>
      </c>
      <c r="N266" s="105">
        <f t="shared" si="354"/>
        <v>3.9969999999999999E-2</v>
      </c>
      <c r="O266" s="105">
        <f t="shared" si="354"/>
        <v>4.0009999999999997E-2</v>
      </c>
    </row>
    <row r="267" spans="3:15">
      <c r="C267" s="103" t="s">
        <v>11</v>
      </c>
      <c r="D267" s="104">
        <v>0</v>
      </c>
      <c r="E267" s="75"/>
      <c r="F267" s="75"/>
      <c r="G267" s="75"/>
      <c r="H267" s="75"/>
      <c r="I267" s="75"/>
      <c r="J267" s="75"/>
      <c r="K267" s="105">
        <f>_xlfn.XLOOKUP($C264,$C$291:$C$300,K$291:K$300)</f>
        <v>2.7699999999999999E-2</v>
      </c>
      <c r="L267" s="105">
        <f t="shared" ref="L267:O267" si="355">_xlfn.XLOOKUP($C264,$C$291:$C$300,L$291:L$300)</f>
        <v>2.9990000000000003E-2</v>
      </c>
      <c r="M267" s="105">
        <f t="shared" si="355"/>
        <v>3.0009999999999998E-2</v>
      </c>
      <c r="N267" s="105">
        <f t="shared" si="355"/>
        <v>2.997E-2</v>
      </c>
      <c r="O267" s="105">
        <f t="shared" si="355"/>
        <v>3.0009999999999998E-2</v>
      </c>
    </row>
    <row r="268" spans="3:15">
      <c r="C268" s="103" t="s">
        <v>1003</v>
      </c>
      <c r="D268" s="104">
        <v>-0.01</v>
      </c>
      <c r="E268" s="75"/>
      <c r="F268" s="75"/>
      <c r="G268" s="75"/>
      <c r="H268" s="75"/>
      <c r="I268" s="75"/>
      <c r="J268" s="75"/>
      <c r="K268" s="105">
        <f>K267+$D268</f>
        <v>1.77E-2</v>
      </c>
      <c r="L268" s="105">
        <f t="shared" ref="L268:O268" si="356">L267+$D268</f>
        <v>1.9990000000000001E-2</v>
      </c>
      <c r="M268" s="105">
        <f t="shared" si="356"/>
        <v>2.001E-2</v>
      </c>
      <c r="N268" s="105">
        <f t="shared" si="356"/>
        <v>1.9970000000000002E-2</v>
      </c>
      <c r="O268" s="105">
        <f t="shared" si="356"/>
        <v>2.001E-2</v>
      </c>
    </row>
    <row r="270" spans="3:15">
      <c r="C270" s="75" t="s">
        <v>239</v>
      </c>
      <c r="D270" s="75"/>
      <c r="E270" s="76" t="s">
        <v>968</v>
      </c>
      <c r="F270" s="82">
        <f>_xlfn.XLOOKUP($C270,$C$38:$C$44,F$38:F$44)*F$243</f>
        <v>26.904226421707509</v>
      </c>
      <c r="G270" s="82">
        <f>_xlfn.XLOOKUP($C270,$C$38:$C$44,G$38:G$44)*G$243</f>
        <v>27.525925925925925</v>
      </c>
      <c r="H270" s="82">
        <f>_xlfn.XLOOKUP($C270,$C$38:$C$44,H$38:H$44)*H$243</f>
        <v>19.160712221561013</v>
      </c>
      <c r="I270" s="82">
        <f>_xlfn.XLOOKUP($C270,$C$38:$C$44,I$38:I$44)*I$243</f>
        <v>23.088463872195764</v>
      </c>
      <c r="J270" s="82">
        <f>_xlfn.XLOOKUP($C270,$C$38:$C$44,J$38:J$44)*J$243</f>
        <v>23.645888239940877</v>
      </c>
      <c r="K270" s="82">
        <f>J270*(1+K271)</f>
        <v>23.97693067530005</v>
      </c>
      <c r="L270" s="82">
        <f t="shared" ref="L270" si="357">K270*(1+L271)</f>
        <v>24.336105096816045</v>
      </c>
      <c r="M270" s="82">
        <f t="shared" ref="M270" si="358">L270*(1+M271)</f>
        <v>24.724996056263169</v>
      </c>
      <c r="N270" s="82">
        <f t="shared" ref="N270" si="359">M270*(1+N271)</f>
        <v>25.120595993163381</v>
      </c>
      <c r="O270" s="82">
        <f t="shared" ref="O270" si="360">N270*(1+O271)</f>
        <v>25.522274323094063</v>
      </c>
    </row>
    <row r="271" spans="3:15">
      <c r="C271" s="101" t="s">
        <v>307</v>
      </c>
      <c r="D271" s="101"/>
      <c r="E271" s="101"/>
      <c r="F271" s="84"/>
      <c r="G271" s="102">
        <f>(G270-F270)/F270</f>
        <v>2.3107875114996859E-2</v>
      </c>
      <c r="H271" s="102">
        <f t="shared" ref="H271" si="361">(H270-G270)/G270</f>
        <v>-0.30390308129420429</v>
      </c>
      <c r="I271" s="102">
        <f t="shared" ref="I271" si="362">(I270-H270)/H270</f>
        <v>0.2049898565991175</v>
      </c>
      <c r="J271" s="102">
        <f t="shared" ref="J271" si="363">(J270-I270)/I270</f>
        <v>2.4142982003076904E-2</v>
      </c>
      <c r="K271" s="102">
        <f>_xlfn.XLOOKUP($E$4,$C272:$C274,K272:K274)</f>
        <v>1.3999999999999999E-2</v>
      </c>
      <c r="L271" s="102">
        <f t="shared" ref="L271:O271" si="364">_xlfn.XLOOKUP($E$4,$C272:$C274,L272:L274)</f>
        <v>1.498E-2</v>
      </c>
      <c r="M271" s="102">
        <f t="shared" si="364"/>
        <v>1.5980000000000001E-2</v>
      </c>
      <c r="N271" s="102">
        <f t="shared" si="364"/>
        <v>1.6E-2</v>
      </c>
      <c r="O271" s="102">
        <f t="shared" si="364"/>
        <v>1.5990000000000001E-2</v>
      </c>
    </row>
    <row r="272" spans="3:15">
      <c r="C272" s="103" t="s">
        <v>1002</v>
      </c>
      <c r="D272" s="104">
        <v>0.01</v>
      </c>
      <c r="E272" s="75"/>
      <c r="F272" s="75"/>
      <c r="G272" s="75"/>
      <c r="H272" s="75"/>
      <c r="I272" s="75"/>
      <c r="J272" s="75"/>
      <c r="K272" s="105">
        <f>K273+$D272</f>
        <v>2.4E-2</v>
      </c>
      <c r="L272" s="105">
        <f t="shared" ref="L272:O272" si="365">L273+$D272</f>
        <v>2.4980000000000002E-2</v>
      </c>
      <c r="M272" s="105">
        <f t="shared" si="365"/>
        <v>2.5980000000000003E-2</v>
      </c>
      <c r="N272" s="105">
        <f t="shared" si="365"/>
        <v>2.6000000000000002E-2</v>
      </c>
      <c r="O272" s="105">
        <f t="shared" si="365"/>
        <v>2.5989999999999999E-2</v>
      </c>
    </row>
    <row r="273" spans="3:15">
      <c r="C273" s="103" t="s">
        <v>11</v>
      </c>
      <c r="D273" s="104">
        <v>0</v>
      </c>
      <c r="E273" s="75"/>
      <c r="F273" s="75"/>
      <c r="G273" s="75"/>
      <c r="H273" s="75"/>
      <c r="I273" s="75"/>
      <c r="J273" s="75"/>
      <c r="K273" s="105">
        <f>_xlfn.XLOOKUP($C270,$C$291:$C$300,K$291:K$300)</f>
        <v>1.3999999999999999E-2</v>
      </c>
      <c r="L273" s="105">
        <f t="shared" ref="L273:O273" si="366">_xlfn.XLOOKUP($C270,$C$291:$C$300,L$291:L$300)</f>
        <v>1.498E-2</v>
      </c>
      <c r="M273" s="105">
        <f t="shared" si="366"/>
        <v>1.5980000000000001E-2</v>
      </c>
      <c r="N273" s="105">
        <f t="shared" si="366"/>
        <v>1.6E-2</v>
      </c>
      <c r="O273" s="105">
        <f t="shared" si="366"/>
        <v>1.5990000000000001E-2</v>
      </c>
    </row>
    <row r="274" spans="3:15">
      <c r="C274" s="103" t="s">
        <v>1003</v>
      </c>
      <c r="D274" s="104">
        <v>-0.01</v>
      </c>
      <c r="E274" s="75"/>
      <c r="F274" s="75"/>
      <c r="G274" s="75"/>
      <c r="H274" s="75"/>
      <c r="I274" s="75"/>
      <c r="J274" s="75"/>
      <c r="K274" s="105">
        <f>K273+$D274</f>
        <v>3.9999999999999983E-3</v>
      </c>
      <c r="L274" s="105">
        <f t="shared" ref="L274:O274" si="367">L273+$D274</f>
        <v>4.9800000000000001E-3</v>
      </c>
      <c r="M274" s="105">
        <f t="shared" si="367"/>
        <v>5.9800000000000009E-3</v>
      </c>
      <c r="N274" s="105">
        <f t="shared" si="367"/>
        <v>6.0000000000000001E-3</v>
      </c>
      <c r="O274" s="105">
        <f t="shared" si="367"/>
        <v>5.9900000000000005E-3</v>
      </c>
    </row>
    <row r="276" spans="3:15">
      <c r="C276" s="75" t="s">
        <v>258</v>
      </c>
      <c r="D276" s="75"/>
      <c r="E276" s="76" t="s">
        <v>968</v>
      </c>
      <c r="F276" s="82">
        <f>_xlfn.XLOOKUP($C276,$C$38:$C$44,F$38:F$44)*F$243</f>
        <v>0</v>
      </c>
      <c r="G276" s="82">
        <f>_xlfn.XLOOKUP($C276,$C$38:$C$44,G$38:G$44)*G$243</f>
        <v>0</v>
      </c>
      <c r="H276" s="82">
        <f>_xlfn.XLOOKUP($C276,$C$38:$C$44,H$38:H$44)*H$243</f>
        <v>18.98492587090449</v>
      </c>
      <c r="I276" s="82">
        <f>_xlfn.XLOOKUP($C276,$C$38:$C$44,I$38:I$44)*I$243</f>
        <v>20.835930811493739</v>
      </c>
      <c r="J276" s="82">
        <f>_xlfn.XLOOKUP($C276,$C$38:$C$44,J$38:J$44)*J$243</f>
        <v>21.39389888375603</v>
      </c>
      <c r="K276" s="82">
        <f>J276*(1+K277)</f>
        <v>22.164079243571248</v>
      </c>
      <c r="L276" s="82">
        <f t="shared" ref="L276" si="368">K276*(1+L277)</f>
        <v>22.939600376303808</v>
      </c>
      <c r="M276" s="82">
        <f t="shared" ref="M276" si="369">L276*(1+M277)</f>
        <v>23.741798201463151</v>
      </c>
      <c r="N276" s="82">
        <f t="shared" ref="N276" si="370">M276*(1+N277)</f>
        <v>24.548781922330882</v>
      </c>
      <c r="O276" s="82">
        <f t="shared" ref="O276" si="371">N276*(1+O277)</f>
        <v>25.382949532051683</v>
      </c>
    </row>
    <row r="277" spans="3:15">
      <c r="C277" s="101" t="s">
        <v>307</v>
      </c>
      <c r="D277" s="101"/>
      <c r="E277" s="101"/>
      <c r="F277" s="84"/>
      <c r="G277" s="102" t="e">
        <f>(G276-F276)/F276</f>
        <v>#DIV/0!</v>
      </c>
      <c r="H277" s="102" t="e">
        <f t="shared" ref="H277" si="372">(H276-G276)/G276</f>
        <v>#DIV/0!</v>
      </c>
      <c r="I277" s="102">
        <f t="shared" ref="I277" si="373">(I276-H276)/H276</f>
        <v>9.7498665687498001E-2</v>
      </c>
      <c r="J277" s="102">
        <f t="shared" ref="J277" si="374">(J276-I276)/I276</f>
        <v>2.6779128674899358E-2</v>
      </c>
      <c r="K277" s="102">
        <f>_xlfn.XLOOKUP($E$4,$C278:$C280,K278:K280)</f>
        <v>3.6000000000000004E-2</v>
      </c>
      <c r="L277" s="102">
        <f t="shared" ref="L277:O277" si="375">_xlfn.XLOOKUP($E$4,$C278:$C280,L278:L280)</f>
        <v>3.499E-2</v>
      </c>
      <c r="M277" s="102">
        <f t="shared" si="375"/>
        <v>3.4970000000000001E-2</v>
      </c>
      <c r="N277" s="102">
        <f t="shared" si="375"/>
        <v>3.3989999999999999E-2</v>
      </c>
      <c r="O277" s="102">
        <f t="shared" si="375"/>
        <v>3.3980000000000003E-2</v>
      </c>
    </row>
    <row r="278" spans="3:15">
      <c r="C278" s="103" t="s">
        <v>1002</v>
      </c>
      <c r="D278" s="104">
        <v>0.01</v>
      </c>
      <c r="E278" s="75"/>
      <c r="F278" s="75"/>
      <c r="G278" s="75"/>
      <c r="H278" s="75"/>
      <c r="I278" s="75"/>
      <c r="J278" s="75"/>
      <c r="K278" s="105">
        <f>K279+$D278</f>
        <v>4.6000000000000006E-2</v>
      </c>
      <c r="L278" s="105">
        <f t="shared" ref="L278:O278" si="376">L279+$D278</f>
        <v>4.4990000000000002E-2</v>
      </c>
      <c r="M278" s="105">
        <f t="shared" si="376"/>
        <v>4.4970000000000003E-2</v>
      </c>
      <c r="N278" s="105">
        <f t="shared" si="376"/>
        <v>4.3990000000000001E-2</v>
      </c>
      <c r="O278" s="105">
        <f t="shared" si="376"/>
        <v>4.3980000000000005E-2</v>
      </c>
    </row>
    <row r="279" spans="3:15">
      <c r="C279" s="103" t="s">
        <v>11</v>
      </c>
      <c r="D279" s="104">
        <v>0</v>
      </c>
      <c r="E279" s="75"/>
      <c r="F279" s="75"/>
      <c r="G279" s="75"/>
      <c r="H279" s="75"/>
      <c r="I279" s="75"/>
      <c r="J279" s="75"/>
      <c r="K279" s="105">
        <f>_xlfn.XLOOKUP($C276,$C$291:$C$300,K$291:K$300)</f>
        <v>3.6000000000000004E-2</v>
      </c>
      <c r="L279" s="105">
        <f t="shared" ref="L279:O279" si="377">_xlfn.XLOOKUP($C276,$C$291:$C$300,L$291:L$300)</f>
        <v>3.499E-2</v>
      </c>
      <c r="M279" s="105">
        <f t="shared" si="377"/>
        <v>3.4970000000000001E-2</v>
      </c>
      <c r="N279" s="105">
        <f t="shared" si="377"/>
        <v>3.3989999999999999E-2</v>
      </c>
      <c r="O279" s="105">
        <f t="shared" si="377"/>
        <v>3.3980000000000003E-2</v>
      </c>
    </row>
    <row r="280" spans="3:15">
      <c r="C280" s="103" t="s">
        <v>1003</v>
      </c>
      <c r="D280" s="104">
        <v>-0.01</v>
      </c>
      <c r="E280" s="75"/>
      <c r="F280" s="75"/>
      <c r="G280" s="75"/>
      <c r="H280" s="75"/>
      <c r="I280" s="75"/>
      <c r="J280" s="75"/>
      <c r="K280" s="105">
        <f>K279+$D280</f>
        <v>2.6000000000000002E-2</v>
      </c>
      <c r="L280" s="105">
        <f t="shared" ref="L280:O280" si="378">L279+$D280</f>
        <v>2.4989999999999998E-2</v>
      </c>
      <c r="M280" s="105">
        <f t="shared" si="378"/>
        <v>2.4969999999999999E-2</v>
      </c>
      <c r="N280" s="105">
        <f t="shared" si="378"/>
        <v>2.3989999999999997E-2</v>
      </c>
      <c r="O280" s="105">
        <f t="shared" si="378"/>
        <v>2.3980000000000001E-2</v>
      </c>
    </row>
    <row r="282" spans="3:15">
      <c r="C282" s="75" t="s">
        <v>259</v>
      </c>
      <c r="D282" s="75"/>
      <c r="E282" s="76" t="s">
        <v>968</v>
      </c>
      <c r="F282" s="82">
        <f>_xlfn.XLOOKUP($C282,$C$38:$C$44,F$38:F$44)*F$243</f>
        <v>40.120337646405936</v>
      </c>
      <c r="G282" s="82">
        <f>_xlfn.XLOOKUP($C282,$C$38:$C$44,G$38:G$44)*G$243</f>
        <v>17.384795321637426</v>
      </c>
      <c r="H282" s="82">
        <f>_xlfn.XLOOKUP($C282,$C$38:$C$44,H$38:H$44)*H$243</f>
        <v>0.87893175328261519</v>
      </c>
      <c r="I282" s="82">
        <f>_xlfn.XLOOKUP($C282,$C$38:$C$44,I$38:I$44)*I$243</f>
        <v>1.2388931833861141</v>
      </c>
      <c r="J282" s="82">
        <f>_xlfn.XLOOKUP($C282,$C$38:$C$44,J$38:J$44)*J$243</f>
        <v>1.4074933476155282</v>
      </c>
      <c r="K282" s="82">
        <f>J282*(1+K283)</f>
        <v>1.5495094263899349</v>
      </c>
      <c r="L282" s="82">
        <f t="shared" ref="L282" si="379">K282*(1+L283)</f>
        <v>1.6690282534788119</v>
      </c>
      <c r="M282" s="82">
        <f t="shared" ref="M282" si="380">L282*(1+M283)</f>
        <v>1.7740991454628148</v>
      </c>
      <c r="N282" s="82">
        <f t="shared" ref="N282" si="381">M282*(1+N283)</f>
        <v>1.8793327931078507</v>
      </c>
      <c r="O282" s="82">
        <f t="shared" ref="O282" si="382">N282*(1+O283)</f>
        <v>1.9908461366082268</v>
      </c>
    </row>
    <row r="283" spans="3:15">
      <c r="C283" s="101" t="s">
        <v>307</v>
      </c>
      <c r="D283" s="101"/>
      <c r="E283" s="101"/>
      <c r="F283" s="84"/>
      <c r="G283" s="102">
        <f>(G282-F282)/F282</f>
        <v>-0.56668372348070728</v>
      </c>
      <c r="H283" s="102">
        <f t="shared" ref="H283" si="383">(H282-G282)/G282</f>
        <v>-0.94944250208176562</v>
      </c>
      <c r="I283" s="102">
        <f t="shared" ref="I283" si="384">(I282-H282)/H282</f>
        <v>0.40954423225594339</v>
      </c>
      <c r="J283" s="102">
        <f t="shared" ref="J283" si="385">(J282-I282)/I282</f>
        <v>0.13608934691899757</v>
      </c>
      <c r="K283" s="102">
        <f>_xlfn.XLOOKUP($E$4,$C284:$C286,K284:K286)</f>
        <v>0.1009</v>
      </c>
      <c r="L283" s="102">
        <f t="shared" ref="L283:O283" si="386">_xlfn.XLOOKUP($E$4,$C284:$C286,L284:L286)</f>
        <v>7.7133333333333332E-2</v>
      </c>
      <c r="M283" s="102">
        <f t="shared" si="386"/>
        <v>6.2953333333333333E-2</v>
      </c>
      <c r="N283" s="102">
        <f t="shared" si="386"/>
        <v>5.931666666666667E-2</v>
      </c>
      <c r="O283" s="102">
        <f t="shared" si="386"/>
        <v>5.9336666666666663E-2</v>
      </c>
    </row>
    <row r="284" spans="3:15">
      <c r="C284" s="103" t="s">
        <v>1002</v>
      </c>
      <c r="D284" s="104">
        <v>0.01</v>
      </c>
      <c r="E284" s="75"/>
      <c r="F284" s="75"/>
      <c r="G284" s="75"/>
      <c r="H284" s="75"/>
      <c r="I284" s="75"/>
      <c r="J284" s="75"/>
      <c r="K284" s="105">
        <f>K285+$D284</f>
        <v>0.1109</v>
      </c>
      <c r="L284" s="105">
        <f t="shared" ref="L284:O284" si="387">L285+$D284</f>
        <v>8.7133333333333327E-2</v>
      </c>
      <c r="M284" s="105">
        <f t="shared" si="387"/>
        <v>7.2953333333333328E-2</v>
      </c>
      <c r="N284" s="105">
        <f t="shared" si="387"/>
        <v>6.9316666666666665E-2</v>
      </c>
      <c r="O284" s="105">
        <f t="shared" si="387"/>
        <v>6.9336666666666658E-2</v>
      </c>
    </row>
    <row r="285" spans="3:15">
      <c r="C285" s="103" t="s">
        <v>11</v>
      </c>
      <c r="D285" s="104">
        <v>0</v>
      </c>
      <c r="E285" s="75"/>
      <c r="F285" s="75"/>
      <c r="G285" s="75"/>
      <c r="H285" s="75"/>
      <c r="I285" s="75"/>
      <c r="J285" s="75"/>
      <c r="K285" s="105">
        <f>_xlfn.XLOOKUP($C282,$C$291:$C$300,K$291:K$300)</f>
        <v>0.1009</v>
      </c>
      <c r="L285" s="105">
        <f t="shared" ref="L285:O285" si="388">_xlfn.XLOOKUP($C282,$C$291:$C$300,L$291:L$300)</f>
        <v>7.7133333333333332E-2</v>
      </c>
      <c r="M285" s="105">
        <f t="shared" si="388"/>
        <v>6.2953333333333333E-2</v>
      </c>
      <c r="N285" s="105">
        <f t="shared" si="388"/>
        <v>5.931666666666667E-2</v>
      </c>
      <c r="O285" s="105">
        <f t="shared" si="388"/>
        <v>5.9336666666666663E-2</v>
      </c>
    </row>
    <row r="286" spans="3:15">
      <c r="C286" s="103" t="s">
        <v>1003</v>
      </c>
      <c r="D286" s="104">
        <v>-0.01</v>
      </c>
      <c r="E286" s="75"/>
      <c r="F286" s="75"/>
      <c r="G286" s="75"/>
      <c r="H286" s="75"/>
      <c r="I286" s="75"/>
      <c r="J286" s="75"/>
      <c r="K286" s="105">
        <f>K285+$D286</f>
        <v>9.0900000000000009E-2</v>
      </c>
      <c r="L286" s="105">
        <f t="shared" ref="L286:O286" si="389">L285+$D286</f>
        <v>6.7133333333333337E-2</v>
      </c>
      <c r="M286" s="105">
        <f t="shared" si="389"/>
        <v>5.2953333333333331E-2</v>
      </c>
      <c r="N286" s="105">
        <f t="shared" si="389"/>
        <v>4.9316666666666668E-2</v>
      </c>
      <c r="O286" s="105">
        <f t="shared" si="389"/>
        <v>4.9336666666666661E-2</v>
      </c>
    </row>
    <row r="288" spans="3:15">
      <c r="C288" s="85" t="s">
        <v>1070</v>
      </c>
      <c r="D288" s="85"/>
      <c r="E288" s="86"/>
      <c r="F288" s="86"/>
      <c r="G288" s="86"/>
      <c r="H288" s="86"/>
      <c r="I288" s="86"/>
      <c r="J288" s="86"/>
      <c r="K288" s="86"/>
      <c r="L288" s="86"/>
      <c r="M288" s="86"/>
      <c r="N288" s="86"/>
      <c r="O288" s="86"/>
    </row>
    <row r="290" spans="3:15">
      <c r="C290" s="110" t="s">
        <v>1071</v>
      </c>
      <c r="D290" s="111"/>
      <c r="E290" s="111"/>
      <c r="F290" s="111"/>
      <c r="G290" s="111"/>
      <c r="H290" s="111"/>
      <c r="I290" s="111"/>
      <c r="J290" s="111"/>
      <c r="K290" s="111"/>
      <c r="L290" s="111"/>
      <c r="M290" s="111"/>
      <c r="N290" s="111"/>
      <c r="O290" s="111"/>
    </row>
    <row r="291" spans="3:15">
      <c r="C291" s="38" t="s">
        <v>231</v>
      </c>
      <c r="F291" s="112">
        <f>_xlfn.XLOOKUP($C291,'Inflation Data'!$B$3:$B$105,'Inflation Data'!I$3:I$105)</f>
        <v>2.316E-2</v>
      </c>
      <c r="G291" s="112">
        <f>_xlfn.XLOOKUP($C291,'Inflation Data'!$B$3:$B$105,'Inflation Data'!J$3:J$105)</f>
        <v>6.1310000000000003E-2</v>
      </c>
      <c r="H291" s="112">
        <f>_xlfn.XLOOKUP($C291,'Inflation Data'!$B$3:$B$105,'Inflation Data'!K$3:K$105)</f>
        <v>4.8339999999999994E-2</v>
      </c>
      <c r="I291" s="112">
        <f>_xlfn.XLOOKUP($C291,'Inflation Data'!$B$3:$B$105,'Inflation Data'!L$3:L$105)</f>
        <v>2.3900000000000001E-2</v>
      </c>
      <c r="J291" s="112">
        <f>_xlfn.XLOOKUP($C291,'Inflation Data'!$B$3:$B$105,'Inflation Data'!M$3:M$105)</f>
        <v>9.7000000000000003E-3</v>
      </c>
      <c r="K291" s="112">
        <f>_xlfn.XLOOKUP($C291,'Inflation Data'!$B$3:$B$105,'Inflation Data'!N$3:N$105)</f>
        <v>1.46E-2</v>
      </c>
      <c r="L291" s="112">
        <f>_xlfn.XLOOKUP($C291,'Inflation Data'!$B$3:$B$105,'Inflation Data'!O$3:O$105)</f>
        <v>1.7979999999999999E-2</v>
      </c>
      <c r="M291" s="112">
        <f>_xlfn.XLOOKUP($C291,'Inflation Data'!$B$3:$B$105,'Inflation Data'!P$3:P$105)</f>
        <v>1.9019999999999999E-2</v>
      </c>
      <c r="N291" s="112">
        <f>_xlfn.XLOOKUP($C291,'Inflation Data'!$B$3:$B$105,'Inflation Data'!Q$3:Q$105)</f>
        <v>1.8970000000000001E-2</v>
      </c>
      <c r="O291" s="112">
        <f>_xlfn.XLOOKUP($C291,'Inflation Data'!$B$3:$B$105,'Inflation Data'!R$3:R$105)</f>
        <v>1.907E-2</v>
      </c>
    </row>
    <row r="292" spans="3:15">
      <c r="C292" s="38" t="s">
        <v>257</v>
      </c>
      <c r="F292" s="112">
        <f>_xlfn.XLOOKUP($C292,'Inflation Data'!$B$3:$B$105,'Inflation Data'!I$3:I$105)</f>
        <v>2.477E-2</v>
      </c>
      <c r="G292" s="112">
        <f>_xlfn.XLOOKUP($C292,'Inflation Data'!$B$3:$B$105,'Inflation Data'!J$3:J$105)</f>
        <v>3.3790000000000001E-2</v>
      </c>
      <c r="H292" s="112">
        <f>_xlfn.XLOOKUP($C292,'Inflation Data'!$B$3:$B$105,'Inflation Data'!K$3:K$105)</f>
        <v>2.4889999999999999E-2</v>
      </c>
      <c r="I292" s="112">
        <f>_xlfn.XLOOKUP($C292,'Inflation Data'!$B$3:$B$105,'Inflation Data'!L$3:L$105)</f>
        <v>1.8340000000000002E-2</v>
      </c>
      <c r="J292" s="112">
        <f>_xlfn.XLOOKUP($C292,'Inflation Data'!$B$3:$B$105,'Inflation Data'!M$3:M$105)</f>
        <v>1.9E-2</v>
      </c>
      <c r="K292" s="112">
        <f>_xlfn.XLOOKUP($C292,'Inflation Data'!$B$3:$B$105,'Inflation Data'!N$3:N$105)</f>
        <v>2.1000000000000001E-2</v>
      </c>
      <c r="L292" s="112">
        <f>_xlfn.XLOOKUP($C292,'Inflation Data'!$B$3:$B$105,'Inflation Data'!O$3:O$105)</f>
        <v>1.9990000000000001E-2</v>
      </c>
      <c r="M292" s="112">
        <f>_xlfn.XLOOKUP($C292,'Inflation Data'!$B$3:$B$105,'Inflation Data'!P$3:P$105)</f>
        <v>1.9990000000000001E-2</v>
      </c>
      <c r="N292" s="112">
        <f>_xlfn.XLOOKUP($C292,'Inflation Data'!$B$3:$B$105,'Inflation Data'!Q$3:Q$105)</f>
        <v>2.001E-2</v>
      </c>
      <c r="O292" s="112">
        <f>_xlfn.XLOOKUP($C292,'Inflation Data'!$B$3:$B$105,'Inflation Data'!R$3:R$105)</f>
        <v>1.9990000000000001E-2</v>
      </c>
    </row>
    <row r="293" spans="3:15">
      <c r="C293" s="38" t="s">
        <v>233</v>
      </c>
      <c r="F293" s="112">
        <f>_xlfn.XLOOKUP($C293,'Inflation Data'!$B$3:$B$105,'Inflation Data'!I$3:I$105)</f>
        <v>1.5600000000000001E-2</v>
      </c>
      <c r="G293" s="112">
        <f>_xlfn.XLOOKUP($C293,'Inflation Data'!$B$3:$B$105,'Inflation Data'!J$3:J$105)</f>
        <v>4.2089999999999995E-2</v>
      </c>
      <c r="H293" s="112">
        <f>_xlfn.XLOOKUP($C293,'Inflation Data'!$B$3:$B$105,'Inflation Data'!K$3:K$105)</f>
        <v>3.669E-2</v>
      </c>
      <c r="I293" s="112">
        <f>_xlfn.XLOOKUP($C293,'Inflation Data'!$B$3:$B$105,'Inflation Data'!L$3:L$105)</f>
        <v>2.1819999999999999E-2</v>
      </c>
      <c r="J293" s="112">
        <f>_xlfn.XLOOKUP($C293,'Inflation Data'!$B$3:$B$105,'Inflation Data'!M$3:M$105)</f>
        <v>1.8000000000000002E-2</v>
      </c>
      <c r="K293" s="112">
        <f>_xlfn.XLOOKUP($C293,'Inflation Data'!$B$3:$B$105,'Inflation Data'!N$3:N$105)</f>
        <v>2.6099999999999998E-2</v>
      </c>
      <c r="L293" s="112">
        <f>_xlfn.XLOOKUP($C293,'Inflation Data'!$B$3:$B$105,'Inflation Data'!O$3:O$105)</f>
        <v>2.5990000000000003E-2</v>
      </c>
      <c r="M293" s="112">
        <f>_xlfn.XLOOKUP($C293,'Inflation Data'!$B$3:$B$105,'Inflation Data'!P$3:P$105)</f>
        <v>2.6000000000000002E-2</v>
      </c>
      <c r="N293" s="112">
        <f>_xlfn.XLOOKUP($C293,'Inflation Data'!$B$3:$B$105,'Inflation Data'!Q$3:Q$105)</f>
        <v>2.5009999999999998E-2</v>
      </c>
      <c r="O293" s="112">
        <f>_xlfn.XLOOKUP($C293,'Inflation Data'!$B$3:$B$105,'Inflation Data'!R$3:R$105)</f>
        <v>2.4980000000000002E-2</v>
      </c>
    </row>
    <row r="294" spans="3:15">
      <c r="C294" s="38" t="s">
        <v>244</v>
      </c>
      <c r="F294" s="112">
        <f>_xlfn.XLOOKUP($C294,'Inflation Data'!$B$3:$B$105,'Inflation Data'!I$3:I$105)</f>
        <v>3.9140000000000001E-2</v>
      </c>
      <c r="G294" s="112">
        <f>_xlfn.XLOOKUP($C294,'Inflation Data'!$B$3:$B$105,'Inflation Data'!J$3:J$105)</f>
        <v>5.8209999999999998E-2</v>
      </c>
      <c r="H294" s="112">
        <f>_xlfn.XLOOKUP($C294,'Inflation Data'!$B$3:$B$105,'Inflation Data'!K$3:K$105)</f>
        <v>5.978E-2</v>
      </c>
      <c r="I294" s="112">
        <f>_xlfn.XLOOKUP($C294,'Inflation Data'!$B$3:$B$105,'Inflation Data'!L$3:L$105)</f>
        <v>3.2129999999999999E-2</v>
      </c>
      <c r="J294" s="112">
        <f>_xlfn.XLOOKUP($C294,'Inflation Data'!$B$3:$B$105,'Inflation Data'!M$3:M$105)</f>
        <v>2.0199999999999999E-2</v>
      </c>
      <c r="K294" s="112">
        <f>_xlfn.XLOOKUP($C294,'Inflation Data'!$B$3:$B$105,'Inflation Data'!N$3:N$105)</f>
        <v>2.7699999999999999E-2</v>
      </c>
      <c r="L294" s="112">
        <f>_xlfn.XLOOKUP($C294,'Inflation Data'!$B$3:$B$105,'Inflation Data'!O$3:O$105)</f>
        <v>2.9990000000000003E-2</v>
      </c>
      <c r="M294" s="112">
        <f>_xlfn.XLOOKUP($C294,'Inflation Data'!$B$3:$B$105,'Inflation Data'!P$3:P$105)</f>
        <v>3.0009999999999998E-2</v>
      </c>
      <c r="N294" s="112">
        <f>_xlfn.XLOOKUP($C294,'Inflation Data'!$B$3:$B$105,'Inflation Data'!Q$3:Q$105)</f>
        <v>2.997E-2</v>
      </c>
      <c r="O294" s="112">
        <f>_xlfn.XLOOKUP($C294,'Inflation Data'!$B$3:$B$105,'Inflation Data'!R$3:R$105)</f>
        <v>3.0009999999999998E-2</v>
      </c>
    </row>
    <row r="295" spans="3:15">
      <c r="C295" s="38" t="s">
        <v>239</v>
      </c>
      <c r="F295" s="112">
        <f>_xlfn.XLOOKUP($C295,'Inflation Data'!$B$3:$B$105,'Inflation Data'!I$3:I$105)</f>
        <v>1.2310000000000001E-2</v>
      </c>
      <c r="G295" s="112">
        <f>_xlfn.XLOOKUP($C295,'Inflation Data'!$B$3:$B$105,'Inflation Data'!J$3:J$105)</f>
        <v>6.0769999999999998E-2</v>
      </c>
      <c r="H295" s="112">
        <f>_xlfn.XLOOKUP($C295,'Inflation Data'!$B$3:$B$105,'Inflation Data'!K$3:K$105)</f>
        <v>1.226E-2</v>
      </c>
      <c r="I295" s="112">
        <f>_xlfn.XLOOKUP($C295,'Inflation Data'!$B$3:$B$105,'Inflation Data'!L$3:L$105)</f>
        <v>3.9700000000000004E-3</v>
      </c>
      <c r="J295" s="112">
        <f>_xlfn.XLOOKUP($C295,'Inflation Data'!$B$3:$B$105,'Inflation Data'!M$3:M$105)</f>
        <v>1.1000000000000001E-2</v>
      </c>
      <c r="K295" s="112">
        <f>_xlfn.XLOOKUP($C295,'Inflation Data'!$B$3:$B$105,'Inflation Data'!N$3:N$105)</f>
        <v>1.3999999999999999E-2</v>
      </c>
      <c r="L295" s="112">
        <f>_xlfn.XLOOKUP($C295,'Inflation Data'!$B$3:$B$105,'Inflation Data'!O$3:O$105)</f>
        <v>1.498E-2</v>
      </c>
      <c r="M295" s="112">
        <f>_xlfn.XLOOKUP($C295,'Inflation Data'!$B$3:$B$105,'Inflation Data'!P$3:P$105)</f>
        <v>1.5980000000000001E-2</v>
      </c>
      <c r="N295" s="112">
        <f>_xlfn.XLOOKUP($C295,'Inflation Data'!$B$3:$B$105,'Inflation Data'!Q$3:Q$105)</f>
        <v>1.6E-2</v>
      </c>
      <c r="O295" s="112">
        <f>_xlfn.XLOOKUP($C295,'Inflation Data'!$B$3:$B$105,'Inflation Data'!R$3:R$105)</f>
        <v>1.5990000000000001E-2</v>
      </c>
    </row>
    <row r="296" spans="3:15">
      <c r="C296" s="38" t="s">
        <v>258</v>
      </c>
      <c r="F296" s="112">
        <f>_xlfn.XLOOKUP($C296,'Inflation Data'!$B$3:$B$105,'Inflation Data'!I$3:I$105)</f>
        <v>1.8349999999999998E-2</v>
      </c>
      <c r="G296" s="112">
        <f>_xlfn.XLOOKUP($C296,'Inflation Data'!$B$3:$B$105,'Inflation Data'!J$3:J$105)</f>
        <v>3.2160000000000001E-2</v>
      </c>
      <c r="H296" s="112">
        <f>_xlfn.XLOOKUP($C296,'Inflation Data'!$B$3:$B$105,'Inflation Data'!K$3:K$105)</f>
        <v>3.3340000000000002E-2</v>
      </c>
      <c r="I296" s="112">
        <f>_xlfn.XLOOKUP($C296,'Inflation Data'!$B$3:$B$105,'Inflation Data'!L$3:L$105)</f>
        <v>3.6249999999999998E-2</v>
      </c>
      <c r="J296" s="112">
        <f>_xlfn.XLOOKUP($C296,'Inflation Data'!$B$3:$B$105,'Inflation Data'!M$3:M$105)</f>
        <v>3.3000000000000002E-2</v>
      </c>
      <c r="K296" s="112">
        <f>_xlfn.XLOOKUP($C296,'Inflation Data'!$B$3:$B$105,'Inflation Data'!N$3:N$105)</f>
        <v>3.6000000000000004E-2</v>
      </c>
      <c r="L296" s="112">
        <f>_xlfn.XLOOKUP($C296,'Inflation Data'!$B$3:$B$105,'Inflation Data'!O$3:O$105)</f>
        <v>3.499E-2</v>
      </c>
      <c r="M296" s="112">
        <f>_xlfn.XLOOKUP($C296,'Inflation Data'!$B$3:$B$105,'Inflation Data'!P$3:P$105)</f>
        <v>3.4970000000000001E-2</v>
      </c>
      <c r="N296" s="112">
        <f>_xlfn.XLOOKUP($C296,'Inflation Data'!$B$3:$B$105,'Inflation Data'!Q$3:Q$105)</f>
        <v>3.3989999999999999E-2</v>
      </c>
      <c r="O296" s="112">
        <f>_xlfn.XLOOKUP($C296,'Inflation Data'!$B$3:$B$105,'Inflation Data'!R$3:R$105)</f>
        <v>3.3980000000000003E-2</v>
      </c>
    </row>
    <row r="297" spans="3:15">
      <c r="C297" s="38" t="s">
        <v>654</v>
      </c>
      <c r="F297" s="112">
        <f>_xlfn.XLOOKUP($C297,'Inflation Data'!$B$3:$B$105,'Inflation Data'!I$3:I$105)</f>
        <v>6.2359999999999999E-2</v>
      </c>
      <c r="G297" s="112">
        <f>_xlfn.XLOOKUP($C297,'Inflation Data'!$B$3:$B$105,'Inflation Data'!J$3:J$105)</f>
        <v>0.24428999999999998</v>
      </c>
      <c r="H297" s="112">
        <f>_xlfn.XLOOKUP($C297,'Inflation Data'!$B$3:$B$105,'Inflation Data'!K$3:K$105)</f>
        <v>0.27982000000000001</v>
      </c>
      <c r="I297" s="112">
        <f>_xlfn.XLOOKUP($C297,'Inflation Data'!$B$3:$B$105,'Inflation Data'!L$3:L$105)</f>
        <v>0.28705999999999998</v>
      </c>
      <c r="J297" s="112">
        <f>_xlfn.XLOOKUP($C297,'Inflation Data'!$B$3:$B$105,'Inflation Data'!M$3:M$105)</f>
        <v>0.3</v>
      </c>
      <c r="K297" s="112">
        <f>_xlfn.XLOOKUP($C297,'Inflation Data'!$B$3:$B$105,'Inflation Data'!N$3:N$105)</f>
        <v>0.2</v>
      </c>
      <c r="L297" s="112">
        <f>_xlfn.XLOOKUP($C297,'Inflation Data'!$B$3:$B$105,'Inflation Data'!O$3:O$105)</f>
        <v>0.12839</v>
      </c>
      <c r="M297" s="112">
        <f>_xlfn.XLOOKUP($C297,'Inflation Data'!$B$3:$B$105,'Inflation Data'!P$3:P$105)</f>
        <v>8.8870000000000005E-2</v>
      </c>
      <c r="N297" s="112">
        <f>_xlfn.XLOOKUP($C297,'Inflation Data'!$B$3:$B$105,'Inflation Data'!Q$3:Q$105)</f>
        <v>7.7969999999999998E-2</v>
      </c>
      <c r="O297" s="112">
        <f>_xlfn.XLOOKUP($C297,'Inflation Data'!$B$3:$B$105,'Inflation Data'!R$3:R$105)</f>
        <v>7.8E-2</v>
      </c>
    </row>
    <row r="298" spans="3:15">
      <c r="C298" s="38" t="s">
        <v>260</v>
      </c>
      <c r="F298" s="112">
        <f>_xlfn.XLOOKUP($C298,'Inflation Data'!$B$3:$B$105,'Inflation Data'!I$3:I$105)</f>
        <v>2.921E-2</v>
      </c>
      <c r="G298" s="112">
        <f>_xlfn.XLOOKUP($C298,'Inflation Data'!$B$3:$B$105,'Inflation Data'!J$3:J$105)</f>
        <v>5.3440000000000001E-2</v>
      </c>
      <c r="H298" s="112">
        <f>_xlfn.XLOOKUP($C298,'Inflation Data'!$B$3:$B$105,'Inflation Data'!K$3:K$105)</f>
        <v>2.1269999999999997E-2</v>
      </c>
      <c r="I298" s="112">
        <f>_xlfn.XLOOKUP($C298,'Inflation Data'!$B$3:$B$105,'Inflation Data'!L$3:L$105)</f>
        <v>7.9400000000000009E-3</v>
      </c>
      <c r="J298" s="112">
        <f>_xlfn.XLOOKUP($C298,'Inflation Data'!$B$3:$B$105,'Inflation Data'!M$3:M$105)</f>
        <v>1.8700000000000001E-2</v>
      </c>
      <c r="K298" s="112">
        <f>_xlfn.XLOOKUP($C298,'Inflation Data'!$B$3:$B$105,'Inflation Data'!N$3:N$105)</f>
        <v>2.87E-2</v>
      </c>
      <c r="L298" s="112">
        <f>_xlfn.XLOOKUP($C298,'Inflation Data'!$B$3:$B$105,'Inflation Data'!O$3:O$105)</f>
        <v>3.0009999999999998E-2</v>
      </c>
      <c r="M298" s="112">
        <f>_xlfn.XLOOKUP($C298,'Inflation Data'!$B$3:$B$105,'Inflation Data'!P$3:P$105)</f>
        <v>2.9980000000000003E-2</v>
      </c>
      <c r="N298" s="112">
        <f>_xlfn.XLOOKUP($C298,'Inflation Data'!$B$3:$B$105,'Inflation Data'!Q$3:Q$105)</f>
        <v>2.9980000000000003E-2</v>
      </c>
      <c r="O298" s="112">
        <f>_xlfn.XLOOKUP($C298,'Inflation Data'!$B$3:$B$105,'Inflation Data'!R$3:R$105)</f>
        <v>3.0009999999999998E-2</v>
      </c>
    </row>
    <row r="299" spans="3:15">
      <c r="C299" s="38" t="s">
        <v>261</v>
      </c>
      <c r="F299" s="112">
        <f>_xlfn.XLOOKUP($C299,'Inflation Data'!$B$3:$B$105,'Inflation Data'!I$3:I$105)</f>
        <v>3.7559999999999996E-2</v>
      </c>
      <c r="G299" s="112">
        <f>_xlfn.XLOOKUP($C299,'Inflation Data'!$B$3:$B$105,'Inflation Data'!J$3:J$105)</f>
        <v>0.22955999999999999</v>
      </c>
      <c r="H299" s="112">
        <f>_xlfn.XLOOKUP($C299,'Inflation Data'!$B$3:$B$105,'Inflation Data'!K$3:K$105)</f>
        <v>0.31230000000000002</v>
      </c>
      <c r="I299" s="112">
        <f>_xlfn.XLOOKUP($C299,'Inflation Data'!$B$3:$B$105,'Inflation Data'!L$3:L$105)</f>
        <v>0.23131000000000002</v>
      </c>
      <c r="J299" s="112">
        <f>_xlfn.XLOOKUP($C299,'Inflation Data'!$B$3:$B$105,'Inflation Data'!M$3:M$105)</f>
        <v>9.3699999999999992E-2</v>
      </c>
      <c r="K299" s="112">
        <f>_xlfn.XLOOKUP($C299,'Inflation Data'!$B$3:$B$105,'Inflation Data'!N$3:N$105)</f>
        <v>7.400000000000001E-2</v>
      </c>
      <c r="L299" s="112">
        <f>_xlfn.XLOOKUP($C299,'Inflation Data'!$B$3:$B$105,'Inflation Data'!O$3:O$105)</f>
        <v>7.2999999999999995E-2</v>
      </c>
      <c r="M299" s="112">
        <f>_xlfn.XLOOKUP($C299,'Inflation Data'!$B$3:$B$105,'Inflation Data'!P$3:P$105)</f>
        <v>7.0010000000000003E-2</v>
      </c>
      <c r="N299" s="112">
        <f>_xlfn.XLOOKUP($C299,'Inflation Data'!$B$3:$B$105,'Inflation Data'!Q$3:Q$105)</f>
        <v>7.0000000000000007E-2</v>
      </c>
      <c r="O299" s="112">
        <f>_xlfn.XLOOKUP($C299,'Inflation Data'!$B$3:$B$105,'Inflation Data'!R$3:R$105)</f>
        <v>7.0000000000000007E-2</v>
      </c>
    </row>
    <row r="300" spans="3:15">
      <c r="C300" s="38" t="s">
        <v>259</v>
      </c>
      <c r="F300" s="99">
        <f>(1/3)*F297+(1/3)*F298+(1/3)*F299</f>
        <v>4.3043333333333329E-2</v>
      </c>
      <c r="G300" s="99">
        <f t="shared" ref="G300" si="390">(1/3)*G297+(1/3)*G298+(1/3)*G299</f>
        <v>0.17576333333333333</v>
      </c>
      <c r="H300" s="99">
        <f t="shared" ref="H300" si="391">(1/3)*H297+(1/3)*H298+(1/3)*H299</f>
        <v>0.20446333333333333</v>
      </c>
      <c r="I300" s="99">
        <f t="shared" ref="I300" si="392">(1/3)*I297+(1/3)*I298+(1/3)*I299</f>
        <v>0.17543666666666666</v>
      </c>
      <c r="J300" s="99">
        <f t="shared" ref="J300" si="393">(1/3)*J297+(1/3)*J298+(1/3)*J299</f>
        <v>0.13746666666666665</v>
      </c>
      <c r="K300" s="99">
        <f t="shared" ref="K300" si="394">(1/3)*K297+(1/3)*K298+(1/3)*K299</f>
        <v>0.1009</v>
      </c>
      <c r="L300" s="99">
        <f t="shared" ref="L300" si="395">(1/3)*L297+(1/3)*L298+(1/3)*L299</f>
        <v>7.7133333333333332E-2</v>
      </c>
      <c r="M300" s="99">
        <f t="shared" ref="M300" si="396">(1/3)*M297+(1/3)*M298+(1/3)*M299</f>
        <v>6.2953333333333333E-2</v>
      </c>
      <c r="N300" s="99">
        <f t="shared" ref="N300" si="397">(1/3)*N297+(1/3)*N298+(1/3)*N299</f>
        <v>5.931666666666667E-2</v>
      </c>
      <c r="O300" s="99">
        <f t="shared" ref="O300" si="398">(1/3)*O297+(1/3)*O298+(1/3)*O299</f>
        <v>5.9336666666666663E-2</v>
      </c>
    </row>
    <row r="302" spans="3:15">
      <c r="C302" s="110" t="s">
        <v>1080</v>
      </c>
      <c r="D302" s="111"/>
      <c r="E302" s="111"/>
      <c r="F302" s="111"/>
      <c r="G302" s="111"/>
      <c r="H302" s="111"/>
      <c r="I302" s="111"/>
      <c r="J302" s="111"/>
      <c r="K302" s="111"/>
      <c r="L302" s="111"/>
      <c r="M302" s="111"/>
      <c r="N302" s="111"/>
      <c r="O302" s="111"/>
    </row>
    <row r="303" spans="3:15">
      <c r="C303" s="38" t="s">
        <v>231</v>
      </c>
      <c r="F303" s="146">
        <f>_xlfn.XLOOKUP($C303,'Tourism Spending'!$A$7:$A$85,'Tourism Spending'!F$7:F$85)</f>
        <v>-89.9</v>
      </c>
      <c r="G303" s="146">
        <f>_xlfn.XLOOKUP($C303,'Tourism Spending'!$A$7:$A$85,'Tourism Spending'!G$7:G$85)</f>
        <v>2631.9</v>
      </c>
      <c r="H303" s="146">
        <f>_xlfn.XLOOKUP($C303,'Tourism Spending'!$A$7:$A$85,'Tourism Spending'!H$7:H$85)</f>
        <v>63</v>
      </c>
      <c r="I303" s="146">
        <f>_xlfn.XLOOKUP($C303,'Tourism Spending'!$A$7:$A$85,'Tourism Spending'!I$7:I$85)</f>
        <v>14.3</v>
      </c>
      <c r="J303" s="146">
        <f>_xlfn.XLOOKUP($C303,'Tourism Spending'!$A$7:$A$85,'Tourism Spending'!J$7:J$85)</f>
        <v>17.2</v>
      </c>
      <c r="K303" s="146">
        <f>_xlfn.XLOOKUP($C303,'Tourism Spending'!$A$7:$A$85,'Tourism Spending'!K$7:K$85)</f>
        <v>6.9</v>
      </c>
      <c r="L303" s="146">
        <f>_xlfn.XLOOKUP($C303,'Tourism Spending'!$A$7:$A$85,'Tourism Spending'!L$7:L$85)</f>
        <v>7.8</v>
      </c>
      <c r="M303" s="146">
        <f>_xlfn.XLOOKUP($C303,'Tourism Spending'!$A$7:$A$85,'Tourism Spending'!M$7:M$85)</f>
        <v>8</v>
      </c>
      <c r="N303" s="146">
        <f>_xlfn.XLOOKUP($C303,'Tourism Spending'!$A$7:$A$85,'Tourism Spending'!N$7:N$85)</f>
        <v>8.1</v>
      </c>
      <c r="O303" s="146">
        <f>_xlfn.XLOOKUP($C303,'Tourism Spending'!$A$7:$A$85,'Tourism Spending'!O$7:O$85)</f>
        <v>8.1</v>
      </c>
    </row>
    <row r="304" spans="3:15">
      <c r="C304" s="38" t="s">
        <v>257</v>
      </c>
      <c r="F304" s="146">
        <f>_xlfn.XLOOKUP($C304,'Tourism Spending'!$A$7:$A$85,'Tourism Spending'!F$7:F$85)</f>
        <v>-96.6</v>
      </c>
      <c r="G304" s="146">
        <f>_xlfn.XLOOKUP($C304,'Tourism Spending'!$A$7:$A$85,'Tourism Spending'!G$7:G$85)</f>
        <v>6997.9</v>
      </c>
      <c r="H304" s="146">
        <f>_xlfn.XLOOKUP($C304,'Tourism Spending'!$A$7:$A$85,'Tourism Spending'!H$7:H$85)</f>
        <v>107.6</v>
      </c>
      <c r="I304" s="146">
        <f>_xlfn.XLOOKUP($C304,'Tourism Spending'!$A$7:$A$85,'Tourism Spending'!I$7:I$85)</f>
        <v>43.3</v>
      </c>
      <c r="J304" s="146">
        <f>_xlfn.XLOOKUP($C304,'Tourism Spending'!$A$7:$A$85,'Tourism Spending'!J$7:J$85)</f>
        <v>5.7</v>
      </c>
      <c r="K304" s="146">
        <f>_xlfn.XLOOKUP($C304,'Tourism Spending'!$A$7:$A$85,'Tourism Spending'!K$7:K$85)</f>
        <v>8.6</v>
      </c>
      <c r="L304" s="146">
        <f>_xlfn.XLOOKUP($C304,'Tourism Spending'!$A$7:$A$85,'Tourism Spending'!L$7:L$85)</f>
        <v>8.8000000000000007</v>
      </c>
      <c r="M304" s="146">
        <f>_xlfn.XLOOKUP($C304,'Tourism Spending'!$A$7:$A$85,'Tourism Spending'!M$7:M$85)</f>
        <v>8.4</v>
      </c>
      <c r="N304" s="146">
        <f>_xlfn.XLOOKUP($C304,'Tourism Spending'!$A$7:$A$85,'Tourism Spending'!N$7:N$85)</f>
        <v>8.4</v>
      </c>
      <c r="O304" s="146">
        <f>_xlfn.XLOOKUP($C304,'Tourism Spending'!$A$7:$A$85,'Tourism Spending'!O$7:O$85)</f>
        <v>8.4</v>
      </c>
    </row>
    <row r="305" spans="3:15">
      <c r="C305" s="38" t="s">
        <v>233</v>
      </c>
      <c r="F305" s="146">
        <f>_xlfn.XLOOKUP($C305,'Tourism Spending'!$A$7:$A$85,'Tourism Spending'!F$7:F$85)</f>
        <v>-43.3</v>
      </c>
      <c r="G305" s="146">
        <f>_xlfn.XLOOKUP($C305,'Tourism Spending'!$A$7:$A$85,'Tourism Spending'!G$7:G$85)</f>
        <v>71.5</v>
      </c>
      <c r="H305" s="146">
        <f>_xlfn.XLOOKUP($C305,'Tourism Spending'!$A$7:$A$85,'Tourism Spending'!H$7:H$85)</f>
        <v>136.19999999999999</v>
      </c>
      <c r="I305" s="146">
        <f>_xlfn.XLOOKUP($C305,'Tourism Spending'!$A$7:$A$85,'Tourism Spending'!I$7:I$85)</f>
        <v>12.4</v>
      </c>
      <c r="J305" s="146">
        <f>_xlfn.XLOOKUP($C305,'Tourism Spending'!$A$7:$A$85,'Tourism Spending'!J$7:J$85)</f>
        <v>9.1999999999999993</v>
      </c>
      <c r="K305" s="146">
        <f>_xlfn.XLOOKUP($C305,'Tourism Spending'!$A$7:$A$85,'Tourism Spending'!K$7:K$85)</f>
        <v>9.3000000000000007</v>
      </c>
      <c r="L305" s="146">
        <f>_xlfn.XLOOKUP($C305,'Tourism Spending'!$A$7:$A$85,'Tourism Spending'!L$7:L$85)</f>
        <v>9.3000000000000007</v>
      </c>
      <c r="M305" s="146">
        <f>_xlfn.XLOOKUP($C305,'Tourism Spending'!$A$7:$A$85,'Tourism Spending'!M$7:M$85)</f>
        <v>9</v>
      </c>
      <c r="N305" s="146">
        <f>_xlfn.XLOOKUP($C305,'Tourism Spending'!$A$7:$A$85,'Tourism Spending'!N$7:N$85)</f>
        <v>8.4</v>
      </c>
      <c r="O305" s="146">
        <f>_xlfn.XLOOKUP($C305,'Tourism Spending'!$A$7:$A$85,'Tourism Spending'!O$7:O$85)</f>
        <v>8.3000000000000007</v>
      </c>
    </row>
    <row r="306" spans="3:15">
      <c r="C306" s="38" t="s">
        <v>244</v>
      </c>
      <c r="F306" s="146">
        <f>_xlfn.XLOOKUP($C306,'Tourism Spending'!$A$7:$A$85,'Tourism Spending'!F$7:F$85)</f>
        <v>-82.1</v>
      </c>
      <c r="G306" s="146">
        <f>_xlfn.XLOOKUP($C306,'Tourism Spending'!$A$7:$A$85,'Tourism Spending'!G$7:G$85)</f>
        <v>942</v>
      </c>
      <c r="H306" s="146">
        <f>_xlfn.XLOOKUP($C306,'Tourism Spending'!$A$7:$A$85,'Tourism Spending'!H$7:H$85)</f>
        <v>105</v>
      </c>
      <c r="I306" s="146">
        <f>_xlfn.XLOOKUP($C306,'Tourism Spending'!$A$7:$A$85,'Tourism Spending'!I$7:I$85)</f>
        <v>-26.9</v>
      </c>
      <c r="J306" s="146">
        <f>_xlfn.XLOOKUP($C306,'Tourism Spending'!$A$7:$A$85,'Tourism Spending'!J$7:J$85)</f>
        <v>6.4</v>
      </c>
      <c r="K306" s="146">
        <f>_xlfn.XLOOKUP($C306,'Tourism Spending'!$A$7:$A$85,'Tourism Spending'!K$7:K$85)</f>
        <v>8.6999999999999993</v>
      </c>
      <c r="L306" s="146">
        <f>_xlfn.XLOOKUP($C306,'Tourism Spending'!$A$7:$A$85,'Tourism Spending'!L$7:L$85)</f>
        <v>8.5</v>
      </c>
      <c r="M306" s="146">
        <f>_xlfn.XLOOKUP($C306,'Tourism Spending'!$A$7:$A$85,'Tourism Spending'!M$7:M$85)</f>
        <v>8.1999999999999993</v>
      </c>
      <c r="N306" s="146">
        <f>_xlfn.XLOOKUP($C306,'Tourism Spending'!$A$7:$A$85,'Tourism Spending'!N$7:N$85)</f>
        <v>8.1</v>
      </c>
      <c r="O306" s="146">
        <f>_xlfn.XLOOKUP($C306,'Tourism Spending'!$A$7:$A$85,'Tourism Spending'!O$7:O$85)</f>
        <v>8.1999999999999993</v>
      </c>
    </row>
    <row r="307" spans="3:15">
      <c r="C307" s="38" t="s">
        <v>239</v>
      </c>
      <c r="F307" s="146">
        <f>_xlfn.XLOOKUP($C307,'Tourism Spending'!$A$7:$A$85,'Tourism Spending'!F$7:F$85)</f>
        <v>-75.3</v>
      </c>
      <c r="G307" s="146">
        <f>_xlfn.XLOOKUP($C307,'Tourism Spending'!$A$7:$A$85,'Tourism Spending'!G$7:G$85)</f>
        <v>418.4</v>
      </c>
      <c r="H307" s="146">
        <f>_xlfn.XLOOKUP($C307,'Tourism Spending'!$A$7:$A$85,'Tourism Spending'!H$7:H$85)</f>
        <v>96.1</v>
      </c>
      <c r="I307" s="146">
        <f>_xlfn.XLOOKUP($C307,'Tourism Spending'!$A$7:$A$85,'Tourism Spending'!I$7:I$85)</f>
        <v>42.7</v>
      </c>
      <c r="J307" s="146">
        <f>_xlfn.XLOOKUP($C307,'Tourism Spending'!$A$7:$A$85,'Tourism Spending'!J$7:J$85)</f>
        <v>-9.4</v>
      </c>
      <c r="K307" s="146">
        <f>_xlfn.XLOOKUP($C307,'Tourism Spending'!$A$7:$A$85,'Tourism Spending'!K$7:K$85)</f>
        <v>16.7</v>
      </c>
      <c r="L307" s="146">
        <f>_xlfn.XLOOKUP($C307,'Tourism Spending'!$A$7:$A$85,'Tourism Spending'!L$7:L$85)</f>
        <v>16.399999999999999</v>
      </c>
      <c r="M307" s="146">
        <f>_xlfn.XLOOKUP($C307,'Tourism Spending'!$A$7:$A$85,'Tourism Spending'!M$7:M$85)</f>
        <v>15.3</v>
      </c>
      <c r="N307" s="146">
        <f>_xlfn.XLOOKUP($C307,'Tourism Spending'!$A$7:$A$85,'Tourism Spending'!N$7:N$85)</f>
        <v>14.6</v>
      </c>
      <c r="O307" s="146">
        <f>_xlfn.XLOOKUP($C307,'Tourism Spending'!$A$7:$A$85,'Tourism Spending'!O$7:O$85)</f>
        <v>13.1</v>
      </c>
    </row>
    <row r="308" spans="3:15">
      <c r="C308" s="38" t="s">
        <v>258</v>
      </c>
      <c r="F308" s="146">
        <f>_xlfn.XLOOKUP($C308,'Tourism Spending'!$A$7:$A$85,'Tourism Spending'!F$7:F$85)</f>
        <v>-94.7</v>
      </c>
      <c r="G308" s="146">
        <f>_xlfn.XLOOKUP($C308,'Tourism Spending'!$A$7:$A$85,'Tourism Spending'!G$7:G$85)</f>
        <v>2387</v>
      </c>
      <c r="H308" s="146">
        <f>_xlfn.XLOOKUP($C308,'Tourism Spending'!$A$7:$A$85,'Tourism Spending'!H$7:H$85)</f>
        <v>155</v>
      </c>
      <c r="I308" s="146">
        <f>_xlfn.XLOOKUP($C308,'Tourism Spending'!$A$7:$A$85,'Tourism Spending'!I$7:I$85)</f>
        <v>39.799999999999997</v>
      </c>
      <c r="J308" s="146">
        <f>_xlfn.XLOOKUP($C308,'Tourism Spending'!$A$7:$A$85,'Tourism Spending'!J$7:J$85)</f>
        <v>18.3</v>
      </c>
      <c r="K308" s="146">
        <f>_xlfn.XLOOKUP($C308,'Tourism Spending'!$A$7:$A$85,'Tourism Spending'!K$7:K$85)</f>
        <v>15.3</v>
      </c>
      <c r="L308" s="146">
        <f>_xlfn.XLOOKUP($C308,'Tourism Spending'!$A$7:$A$85,'Tourism Spending'!L$7:L$85)</f>
        <v>14.1</v>
      </c>
      <c r="M308" s="146">
        <f>_xlfn.XLOOKUP($C308,'Tourism Spending'!$A$7:$A$85,'Tourism Spending'!M$7:M$85)</f>
        <v>13.4</v>
      </c>
      <c r="N308" s="146">
        <f>_xlfn.XLOOKUP($C308,'Tourism Spending'!$A$7:$A$85,'Tourism Spending'!N$7:N$85)</f>
        <v>13.1</v>
      </c>
      <c r="O308" s="146">
        <f>_xlfn.XLOOKUP($C308,'Tourism Spending'!$A$7:$A$85,'Tourism Spending'!O$7:O$85)</f>
        <v>13</v>
      </c>
    </row>
    <row r="309" spans="3:15">
      <c r="C309" s="38" t="s">
        <v>654</v>
      </c>
      <c r="F309" s="146">
        <f>_xlfn.XLOOKUP($C309,'Tourism Spending'!$A$7:$A$85,'Tourism Spending'!F$7:F$85)</f>
        <v>-93.9</v>
      </c>
      <c r="G309" s="146">
        <f>_xlfn.XLOOKUP($C309,'Tourism Spending'!$A$7:$A$85,'Tourism Spending'!G$7:G$85)</f>
        <v>834.3</v>
      </c>
      <c r="H309" s="146">
        <f>_xlfn.XLOOKUP($C309,'Tourism Spending'!$A$7:$A$85,'Tourism Spending'!H$7:H$85)</f>
        <v>306.5</v>
      </c>
      <c r="I309" s="146">
        <f>_xlfn.XLOOKUP($C309,'Tourism Spending'!$A$7:$A$85,'Tourism Spending'!I$7:I$85)</f>
        <v>14.8</v>
      </c>
      <c r="J309" s="146">
        <f>_xlfn.XLOOKUP($C309,'Tourism Spending'!$A$7:$A$85,'Tourism Spending'!J$7:J$85)</f>
        <v>9.8000000000000007</v>
      </c>
      <c r="K309" s="146">
        <f>_xlfn.XLOOKUP($C309,'Tourism Spending'!$A$7:$A$85,'Tourism Spending'!K$7:K$85)</f>
        <v>25.1</v>
      </c>
      <c r="L309" s="146">
        <f>_xlfn.XLOOKUP($C309,'Tourism Spending'!$A$7:$A$85,'Tourism Spending'!L$7:L$85)</f>
        <v>17.7</v>
      </c>
      <c r="M309" s="146">
        <f>_xlfn.XLOOKUP($C309,'Tourism Spending'!$A$7:$A$85,'Tourism Spending'!M$7:M$85)</f>
        <v>12.7</v>
      </c>
      <c r="N309" s="146">
        <f>_xlfn.XLOOKUP($C309,'Tourism Spending'!$A$7:$A$85,'Tourism Spending'!N$7:N$85)</f>
        <v>12</v>
      </c>
      <c r="O309" s="146">
        <f>_xlfn.XLOOKUP($C309,'Tourism Spending'!$A$7:$A$85,'Tourism Spending'!O$7:O$85)</f>
        <v>11.5</v>
      </c>
    </row>
    <row r="310" spans="3:15">
      <c r="C310" s="38" t="s">
        <v>260</v>
      </c>
      <c r="F310" s="146">
        <f>_xlfn.XLOOKUP($C310,'Tourism Spending'!$A$7:$A$85,'Tourism Spending'!F$7:F$85)</f>
        <v>-82.4</v>
      </c>
      <c r="G310" s="146">
        <f>_xlfn.XLOOKUP($C310,'Tourism Spending'!$A$7:$A$85,'Tourism Spending'!G$7:G$85)</f>
        <v>679.7</v>
      </c>
      <c r="H310" s="146">
        <f>_xlfn.XLOOKUP($C310,'Tourism Spending'!$A$7:$A$85,'Tourism Spending'!H$7:H$85)</f>
        <v>118.6</v>
      </c>
      <c r="I310" s="146">
        <f>_xlfn.XLOOKUP($C310,'Tourism Spending'!$A$7:$A$85,'Tourism Spending'!I$7:I$85)</f>
        <v>23.6</v>
      </c>
      <c r="J310" s="146">
        <f>_xlfn.XLOOKUP($C310,'Tourism Spending'!$A$7:$A$85,'Tourism Spending'!J$7:J$85)</f>
        <v>16.5</v>
      </c>
      <c r="K310" s="146">
        <f>_xlfn.XLOOKUP($C310,'Tourism Spending'!$A$7:$A$85,'Tourism Spending'!K$7:K$85)</f>
        <v>10.6</v>
      </c>
      <c r="L310" s="146">
        <f>_xlfn.XLOOKUP($C310,'Tourism Spending'!$A$7:$A$85,'Tourism Spending'!L$7:L$85)</f>
        <v>11.5</v>
      </c>
      <c r="M310" s="146">
        <f>_xlfn.XLOOKUP($C310,'Tourism Spending'!$A$7:$A$85,'Tourism Spending'!M$7:M$85)</f>
        <v>11.3</v>
      </c>
      <c r="N310" s="146">
        <f>_xlfn.XLOOKUP($C310,'Tourism Spending'!$A$7:$A$85,'Tourism Spending'!N$7:N$85)</f>
        <v>11.8</v>
      </c>
      <c r="O310" s="146">
        <f>_xlfn.XLOOKUP($C310,'Tourism Spending'!$A$7:$A$85,'Tourism Spending'!O$7:O$85)</f>
        <v>11.5</v>
      </c>
    </row>
    <row r="311" spans="3:15">
      <c r="C311" s="38" t="s">
        <v>261</v>
      </c>
      <c r="F311" s="146">
        <f>_xlfn.XLOOKUP($C311,'Tourism Spending'!$A$7:$A$85,'Tourism Spending'!F$7:F$85)</f>
        <v>-87.4</v>
      </c>
      <c r="G311" s="146">
        <f>_xlfn.XLOOKUP($C311,'Tourism Spending'!$A$7:$A$85,'Tourism Spending'!G$7:G$85)</f>
        <v>1093.5999999999999</v>
      </c>
      <c r="H311" s="146">
        <f>_xlfn.XLOOKUP($C311,'Tourism Spending'!$A$7:$A$85,'Tourism Spending'!H$7:H$85)</f>
        <v>211.1</v>
      </c>
      <c r="I311" s="146">
        <f>_xlfn.XLOOKUP($C311,'Tourism Spending'!$A$7:$A$85,'Tourism Spending'!I$7:I$85)</f>
        <v>48.1</v>
      </c>
      <c r="J311" s="146">
        <f>_xlfn.XLOOKUP($C311,'Tourism Spending'!$A$7:$A$85,'Tourism Spending'!J$7:J$85)</f>
        <v>29</v>
      </c>
      <c r="K311" s="146">
        <f>_xlfn.XLOOKUP($C311,'Tourism Spending'!$A$7:$A$85,'Tourism Spending'!K$7:K$85)</f>
        <v>16.600000000000001</v>
      </c>
      <c r="L311" s="146">
        <f>_xlfn.XLOOKUP($C311,'Tourism Spending'!$A$7:$A$85,'Tourism Spending'!L$7:L$85)</f>
        <v>18.399999999999999</v>
      </c>
      <c r="M311" s="146">
        <f>_xlfn.XLOOKUP($C311,'Tourism Spending'!$A$7:$A$85,'Tourism Spending'!M$7:M$85)</f>
        <v>17.600000000000001</v>
      </c>
      <c r="N311" s="146">
        <f>_xlfn.XLOOKUP($C311,'Tourism Spending'!$A$7:$A$85,'Tourism Spending'!N$7:N$85)</f>
        <v>15.9</v>
      </c>
      <c r="O311" s="146">
        <f>_xlfn.XLOOKUP($C311,'Tourism Spending'!$A$7:$A$85,'Tourism Spending'!O$7:O$85)</f>
        <v>13.1</v>
      </c>
    </row>
    <row r="312" spans="3:15">
      <c r="C312" s="38" t="s">
        <v>259</v>
      </c>
      <c r="F312" s="82">
        <f>(1/3)*F309+(1/3)*F310+(1/3)*F311</f>
        <v>-87.9</v>
      </c>
      <c r="G312" s="82">
        <f t="shared" ref="G312" si="399">(1/3)*G309+(1/3)*G310+(1/3)*G311</f>
        <v>869.19999999999993</v>
      </c>
      <c r="H312" s="82">
        <f t="shared" ref="H312" si="400">(1/3)*H309+(1/3)*H310+(1/3)*H311</f>
        <v>212.06666666666666</v>
      </c>
      <c r="I312" s="82">
        <f t="shared" ref="I312" si="401">(1/3)*I309+(1/3)*I310+(1/3)*I311</f>
        <v>28.833333333333332</v>
      </c>
      <c r="J312" s="82">
        <f t="shared" ref="J312" si="402">(1/3)*J309+(1/3)*J310+(1/3)*J311</f>
        <v>18.43333333333333</v>
      </c>
      <c r="K312" s="82">
        <f t="shared" ref="K312" si="403">(1/3)*K309+(1/3)*K310+(1/3)*K311</f>
        <v>17.433333333333334</v>
      </c>
      <c r="L312" s="82">
        <f t="shared" ref="L312" si="404">(1/3)*L309+(1/3)*L310+(1/3)*L311</f>
        <v>15.866666666666665</v>
      </c>
      <c r="M312" s="82">
        <f t="shared" ref="M312" si="405">(1/3)*M309+(1/3)*M310+(1/3)*M311</f>
        <v>13.866666666666667</v>
      </c>
      <c r="N312" s="82">
        <f t="shared" ref="N312" si="406">(1/3)*N309+(1/3)*N310+(1/3)*N311</f>
        <v>13.233333333333334</v>
      </c>
      <c r="O312" s="82">
        <f t="shared" ref="O312" si="407">(1/3)*O309+(1/3)*O310+(1/3)*O311</f>
        <v>12.033333333333331</v>
      </c>
    </row>
    <row r="314" spans="3:15">
      <c r="C314" s="110" t="s">
        <v>1081</v>
      </c>
      <c r="D314" s="111"/>
      <c r="E314" s="111"/>
      <c r="F314" s="111"/>
      <c r="G314" s="111"/>
      <c r="H314" s="111"/>
      <c r="I314" s="111"/>
      <c r="J314" s="111"/>
      <c r="K314" s="111"/>
      <c r="L314" s="111"/>
      <c r="M314" s="111"/>
      <c r="N314" s="111"/>
      <c r="O314" s="111"/>
    </row>
    <row r="315" spans="3:15">
      <c r="C315" s="38" t="s">
        <v>231</v>
      </c>
      <c r="F315" s="112">
        <f>F303/100</f>
        <v>-0.89900000000000002</v>
      </c>
      <c r="G315" s="112">
        <f t="shared" ref="G315:O315" si="408">G303/100</f>
        <v>26.319000000000003</v>
      </c>
      <c r="H315" s="112">
        <f t="shared" si="408"/>
        <v>0.63</v>
      </c>
      <c r="I315" s="112">
        <f t="shared" si="408"/>
        <v>0.14300000000000002</v>
      </c>
      <c r="J315" s="112">
        <f t="shared" si="408"/>
        <v>0.17199999999999999</v>
      </c>
      <c r="K315" s="112">
        <f t="shared" si="408"/>
        <v>6.9000000000000006E-2</v>
      </c>
      <c r="L315" s="112">
        <f t="shared" si="408"/>
        <v>7.8E-2</v>
      </c>
      <c r="M315" s="112">
        <f t="shared" si="408"/>
        <v>0.08</v>
      </c>
      <c r="N315" s="112">
        <f t="shared" si="408"/>
        <v>8.1000000000000003E-2</v>
      </c>
      <c r="O315" s="112">
        <f t="shared" si="408"/>
        <v>8.1000000000000003E-2</v>
      </c>
    </row>
    <row r="316" spans="3:15">
      <c r="C316" s="38" t="s">
        <v>257</v>
      </c>
      <c r="F316" s="112">
        <f t="shared" ref="F316:O323" si="409">F304/100</f>
        <v>-0.96599999999999997</v>
      </c>
      <c r="G316" s="112">
        <f t="shared" si="409"/>
        <v>69.978999999999999</v>
      </c>
      <c r="H316" s="112">
        <f t="shared" si="409"/>
        <v>1.0759999999999998</v>
      </c>
      <c r="I316" s="112">
        <f t="shared" si="409"/>
        <v>0.433</v>
      </c>
      <c r="J316" s="112">
        <f t="shared" si="409"/>
        <v>5.7000000000000002E-2</v>
      </c>
      <c r="K316" s="112">
        <f t="shared" si="409"/>
        <v>8.5999999999999993E-2</v>
      </c>
      <c r="L316" s="112">
        <f t="shared" si="409"/>
        <v>8.8000000000000009E-2</v>
      </c>
      <c r="M316" s="112">
        <f t="shared" si="409"/>
        <v>8.4000000000000005E-2</v>
      </c>
      <c r="N316" s="112">
        <f t="shared" si="409"/>
        <v>8.4000000000000005E-2</v>
      </c>
      <c r="O316" s="112">
        <f t="shared" si="409"/>
        <v>8.4000000000000005E-2</v>
      </c>
    </row>
    <row r="317" spans="3:15">
      <c r="C317" s="38" t="s">
        <v>233</v>
      </c>
      <c r="F317" s="112">
        <f t="shared" si="409"/>
        <v>-0.433</v>
      </c>
      <c r="G317" s="112">
        <f t="shared" si="409"/>
        <v>0.71499999999999997</v>
      </c>
      <c r="H317" s="112">
        <f t="shared" si="409"/>
        <v>1.3619999999999999</v>
      </c>
      <c r="I317" s="112">
        <f t="shared" si="409"/>
        <v>0.124</v>
      </c>
      <c r="J317" s="112">
        <f t="shared" si="409"/>
        <v>9.1999999999999998E-2</v>
      </c>
      <c r="K317" s="112">
        <f t="shared" si="409"/>
        <v>9.3000000000000013E-2</v>
      </c>
      <c r="L317" s="112">
        <f t="shared" si="409"/>
        <v>9.3000000000000013E-2</v>
      </c>
      <c r="M317" s="112">
        <f t="shared" si="409"/>
        <v>0.09</v>
      </c>
      <c r="N317" s="112">
        <f t="shared" si="409"/>
        <v>8.4000000000000005E-2</v>
      </c>
      <c r="O317" s="112">
        <f t="shared" si="409"/>
        <v>8.3000000000000004E-2</v>
      </c>
    </row>
    <row r="318" spans="3:15">
      <c r="C318" s="38" t="s">
        <v>244</v>
      </c>
      <c r="F318" s="112">
        <f t="shared" si="409"/>
        <v>-0.82099999999999995</v>
      </c>
      <c r="G318" s="112">
        <f t="shared" si="409"/>
        <v>9.42</v>
      </c>
      <c r="H318" s="112">
        <f t="shared" si="409"/>
        <v>1.05</v>
      </c>
      <c r="I318" s="112">
        <f t="shared" si="409"/>
        <v>-0.26899999999999996</v>
      </c>
      <c r="J318" s="112">
        <f t="shared" si="409"/>
        <v>6.4000000000000001E-2</v>
      </c>
      <c r="K318" s="112">
        <f t="shared" si="409"/>
        <v>8.6999999999999994E-2</v>
      </c>
      <c r="L318" s="112">
        <f t="shared" si="409"/>
        <v>8.5000000000000006E-2</v>
      </c>
      <c r="M318" s="112">
        <f t="shared" si="409"/>
        <v>8.199999999999999E-2</v>
      </c>
      <c r="N318" s="112">
        <f t="shared" si="409"/>
        <v>8.1000000000000003E-2</v>
      </c>
      <c r="O318" s="112">
        <f t="shared" si="409"/>
        <v>8.199999999999999E-2</v>
      </c>
    </row>
    <row r="319" spans="3:15">
      <c r="C319" s="38" t="s">
        <v>239</v>
      </c>
      <c r="F319" s="112">
        <f t="shared" si="409"/>
        <v>-0.753</v>
      </c>
      <c r="G319" s="112">
        <f t="shared" si="409"/>
        <v>4.1840000000000002</v>
      </c>
      <c r="H319" s="112">
        <f t="shared" si="409"/>
        <v>0.96099999999999997</v>
      </c>
      <c r="I319" s="112">
        <f t="shared" si="409"/>
        <v>0.42700000000000005</v>
      </c>
      <c r="J319" s="112">
        <f t="shared" si="409"/>
        <v>-9.4E-2</v>
      </c>
      <c r="K319" s="112">
        <f t="shared" si="409"/>
        <v>0.16699999999999998</v>
      </c>
      <c r="L319" s="112">
        <f t="shared" si="409"/>
        <v>0.16399999999999998</v>
      </c>
      <c r="M319" s="112">
        <f t="shared" si="409"/>
        <v>0.153</v>
      </c>
      <c r="N319" s="112">
        <f t="shared" si="409"/>
        <v>0.14599999999999999</v>
      </c>
      <c r="O319" s="112">
        <f t="shared" si="409"/>
        <v>0.13100000000000001</v>
      </c>
    </row>
    <row r="320" spans="3:15">
      <c r="C320" s="38" t="s">
        <v>258</v>
      </c>
      <c r="F320" s="112">
        <f t="shared" si="409"/>
        <v>-0.94700000000000006</v>
      </c>
      <c r="G320" s="112">
        <f t="shared" si="409"/>
        <v>23.87</v>
      </c>
      <c r="H320" s="112">
        <f t="shared" si="409"/>
        <v>1.55</v>
      </c>
      <c r="I320" s="112">
        <f t="shared" si="409"/>
        <v>0.39799999999999996</v>
      </c>
      <c r="J320" s="112">
        <f t="shared" si="409"/>
        <v>0.183</v>
      </c>
      <c r="K320" s="112">
        <f t="shared" si="409"/>
        <v>0.153</v>
      </c>
      <c r="L320" s="112">
        <f t="shared" si="409"/>
        <v>0.14099999999999999</v>
      </c>
      <c r="M320" s="112">
        <f t="shared" si="409"/>
        <v>0.13400000000000001</v>
      </c>
      <c r="N320" s="112">
        <f t="shared" si="409"/>
        <v>0.13100000000000001</v>
      </c>
      <c r="O320" s="112">
        <f t="shared" si="409"/>
        <v>0.13</v>
      </c>
    </row>
    <row r="321" spans="3:15">
      <c r="C321" s="38" t="s">
        <v>654</v>
      </c>
      <c r="F321" s="112">
        <f t="shared" si="409"/>
        <v>-0.93900000000000006</v>
      </c>
      <c r="G321" s="112">
        <f t="shared" si="409"/>
        <v>8.343</v>
      </c>
      <c r="H321" s="112">
        <f t="shared" si="409"/>
        <v>3.0649999999999999</v>
      </c>
      <c r="I321" s="112">
        <f t="shared" si="409"/>
        <v>0.14800000000000002</v>
      </c>
      <c r="J321" s="112">
        <f t="shared" si="409"/>
        <v>9.8000000000000004E-2</v>
      </c>
      <c r="K321" s="112">
        <f t="shared" si="409"/>
        <v>0.251</v>
      </c>
      <c r="L321" s="112">
        <f t="shared" si="409"/>
        <v>0.17699999999999999</v>
      </c>
      <c r="M321" s="112">
        <f t="shared" si="409"/>
        <v>0.127</v>
      </c>
      <c r="N321" s="112">
        <f t="shared" si="409"/>
        <v>0.12</v>
      </c>
      <c r="O321" s="112">
        <f t="shared" si="409"/>
        <v>0.115</v>
      </c>
    </row>
    <row r="322" spans="3:15">
      <c r="C322" s="38" t="s">
        <v>260</v>
      </c>
      <c r="F322" s="112">
        <f t="shared" si="409"/>
        <v>-0.82400000000000007</v>
      </c>
      <c r="G322" s="112">
        <f t="shared" si="409"/>
        <v>6.7970000000000006</v>
      </c>
      <c r="H322" s="112">
        <f t="shared" si="409"/>
        <v>1.1859999999999999</v>
      </c>
      <c r="I322" s="112">
        <f t="shared" si="409"/>
        <v>0.23600000000000002</v>
      </c>
      <c r="J322" s="112">
        <f t="shared" si="409"/>
        <v>0.16500000000000001</v>
      </c>
      <c r="K322" s="112">
        <f t="shared" si="409"/>
        <v>0.106</v>
      </c>
      <c r="L322" s="112">
        <f t="shared" si="409"/>
        <v>0.115</v>
      </c>
      <c r="M322" s="112">
        <f t="shared" si="409"/>
        <v>0.113</v>
      </c>
      <c r="N322" s="112">
        <f t="shared" si="409"/>
        <v>0.11800000000000001</v>
      </c>
      <c r="O322" s="112">
        <f t="shared" si="409"/>
        <v>0.115</v>
      </c>
    </row>
    <row r="323" spans="3:15">
      <c r="C323" s="38" t="s">
        <v>261</v>
      </c>
      <c r="F323" s="112">
        <f t="shared" si="409"/>
        <v>-0.87400000000000011</v>
      </c>
      <c r="G323" s="112">
        <f t="shared" si="409"/>
        <v>10.936</v>
      </c>
      <c r="H323" s="112">
        <f t="shared" si="409"/>
        <v>2.1109999999999998</v>
      </c>
      <c r="I323" s="112">
        <f t="shared" si="409"/>
        <v>0.48100000000000004</v>
      </c>
      <c r="J323" s="112">
        <f t="shared" si="409"/>
        <v>0.28999999999999998</v>
      </c>
      <c r="K323" s="112">
        <f t="shared" si="409"/>
        <v>0.16600000000000001</v>
      </c>
      <c r="L323" s="112">
        <f t="shared" si="409"/>
        <v>0.184</v>
      </c>
      <c r="M323" s="112">
        <f t="shared" si="409"/>
        <v>0.17600000000000002</v>
      </c>
      <c r="N323" s="112">
        <f t="shared" si="409"/>
        <v>0.159</v>
      </c>
      <c r="O323" s="112">
        <f t="shared" si="409"/>
        <v>0.13100000000000001</v>
      </c>
    </row>
    <row r="324" spans="3:15">
      <c r="C324" s="38" t="s">
        <v>259</v>
      </c>
      <c r="F324" s="99">
        <f>(1/3)*F321+(1/3)*F322+(1/3)*F323</f>
        <v>-0.879</v>
      </c>
      <c r="G324" s="99">
        <f t="shared" ref="G324" si="410">(1/3)*G321+(1/3)*G322+(1/3)*G323</f>
        <v>8.6920000000000002</v>
      </c>
      <c r="H324" s="99">
        <f t="shared" ref="H324" si="411">(1/3)*H321+(1/3)*H322+(1/3)*H323</f>
        <v>2.1206666666666663</v>
      </c>
      <c r="I324" s="99">
        <f t="shared" ref="I324" si="412">(1/3)*I321+(1/3)*I322+(1/3)*I323</f>
        <v>0.28833333333333333</v>
      </c>
      <c r="J324" s="99">
        <f t="shared" ref="J324" si="413">(1/3)*J321+(1/3)*J322+(1/3)*J323</f>
        <v>0.18433333333333332</v>
      </c>
      <c r="K324" s="99">
        <f t="shared" ref="K324" si="414">(1/3)*K321+(1/3)*K322+(1/3)*K323</f>
        <v>0.17433333333333334</v>
      </c>
      <c r="L324" s="99">
        <f t="shared" ref="L324" si="415">(1/3)*L321+(1/3)*L322+(1/3)*L323</f>
        <v>0.15866666666666665</v>
      </c>
      <c r="M324" s="99">
        <f t="shared" ref="M324" si="416">(1/3)*M321+(1/3)*M322+(1/3)*M323</f>
        <v>0.13866666666666666</v>
      </c>
      <c r="N324" s="99">
        <f t="shared" ref="N324" si="417">(1/3)*N321+(1/3)*N322+(1/3)*N323</f>
        <v>0.13233333333333333</v>
      </c>
      <c r="O324" s="99">
        <f t="shared" ref="O324" si="418">(1/3)*O321+(1/3)*O322+(1/3)*O323</f>
        <v>0.12033333333333332</v>
      </c>
    </row>
    <row r="326" spans="3:15">
      <c r="C326" s="110" t="s">
        <v>1072</v>
      </c>
      <c r="D326" s="111"/>
      <c r="E326" s="111"/>
      <c r="F326" s="111"/>
      <c r="G326" s="111"/>
      <c r="H326" s="111"/>
      <c r="I326" s="111"/>
      <c r="J326" s="111"/>
      <c r="K326" s="111"/>
      <c r="L326" s="111"/>
      <c r="M326" s="111"/>
      <c r="N326" s="111"/>
      <c r="O326" s="111"/>
    </row>
    <row r="327" spans="3:15">
      <c r="C327" s="38" t="s">
        <v>231</v>
      </c>
      <c r="F327" s="112">
        <f>_xlfn.XLOOKUP($C327,'Consumer Expenditure'!$B$5:$B$117,'Consumer Expenditure'!H$5:H$117)</f>
        <v>-0.14000000000000001</v>
      </c>
      <c r="G327" s="112">
        <f>_xlfn.XLOOKUP($C327,'Consumer Expenditure'!$B$5:$B$117,'Consumer Expenditure'!I$5:I$117)</f>
        <v>0.14300000000000002</v>
      </c>
      <c r="H327" s="112">
        <f>_xlfn.XLOOKUP($C327,'Consumer Expenditure'!$B$5:$B$117,'Consumer Expenditure'!J$5:J$117)</f>
        <v>0.114</v>
      </c>
      <c r="I327" s="112">
        <f>_xlfn.XLOOKUP($C327,'Consumer Expenditure'!$B$5:$B$117,'Consumer Expenditure'!K$5:K$117)</f>
        <v>4.8000000000000001E-2</v>
      </c>
      <c r="J327" s="112">
        <f>_xlfn.XLOOKUP($C327,'Consumer Expenditure'!$B$5:$B$117,'Consumer Expenditure'!L$5:L$117)</f>
        <v>4.4999999999999998E-2</v>
      </c>
      <c r="K327" s="112">
        <f>_xlfn.XLOOKUP($C327,'Consumer Expenditure'!$B$5:$B$117,'Consumer Expenditure'!M$5:M$117)</f>
        <v>2.5000000000000001E-2</v>
      </c>
      <c r="L327" s="112">
        <f>_xlfn.XLOOKUP($C327,'Consumer Expenditure'!$B$5:$B$117,'Consumer Expenditure'!N$5:N$117)</f>
        <v>1.3999999999999999E-2</v>
      </c>
      <c r="M327" s="112">
        <f>_xlfn.XLOOKUP($C327,'Consumer Expenditure'!$B$5:$B$117,'Consumer Expenditure'!O$5:O$117)</f>
        <v>4.4999999999999998E-2</v>
      </c>
      <c r="N327" s="112">
        <f>_xlfn.XLOOKUP($C327,'Consumer Expenditure'!$B$5:$B$117,'Consumer Expenditure'!P$5:P$117)</f>
        <v>4.4999999999999998E-2</v>
      </c>
      <c r="O327" s="112">
        <f>_xlfn.XLOOKUP($C327,'Consumer Expenditure'!$B$5:$B$117,'Consumer Expenditure'!Q$5:Q$117)</f>
        <v>4.4999999999999998E-2</v>
      </c>
    </row>
    <row r="328" spans="3:15">
      <c r="C328" s="38" t="s">
        <v>257</v>
      </c>
      <c r="F328" s="112">
        <f>_xlfn.XLOOKUP($C328,'Consumer Expenditure'!$B$5:$B$117,'Consumer Expenditure'!H$5:H$117)</f>
        <v>-8.5000000000000006E-2</v>
      </c>
      <c r="G328" s="112">
        <f>_xlfn.XLOOKUP($C328,'Consumer Expenditure'!$B$5:$B$117,'Consumer Expenditure'!I$5:I$117)</f>
        <v>2.6000000000000002E-2</v>
      </c>
      <c r="H328" s="112">
        <f>_xlfn.XLOOKUP($C328,'Consumer Expenditure'!$B$5:$B$117,'Consumer Expenditure'!J$5:J$117)</f>
        <v>0.16500000000000001</v>
      </c>
      <c r="I328" s="112">
        <f>_xlfn.XLOOKUP($C328,'Consumer Expenditure'!$B$5:$B$117,'Consumer Expenditure'!K$5:K$117)</f>
        <v>6.2E-2</v>
      </c>
      <c r="J328" s="112">
        <f>_xlfn.XLOOKUP($C328,'Consumer Expenditure'!$B$5:$B$117,'Consumer Expenditure'!L$5:L$117)</f>
        <v>0.06</v>
      </c>
      <c r="K328" s="112">
        <f>_xlfn.XLOOKUP($C328,'Consumer Expenditure'!$B$5:$B$117,'Consumer Expenditure'!M$5:M$117)</f>
        <v>5.9000000000000004E-2</v>
      </c>
      <c r="L328" s="112">
        <f>_xlfn.XLOOKUP($C328,'Consumer Expenditure'!$B$5:$B$117,'Consumer Expenditure'!N$5:N$117)</f>
        <v>5.4000000000000006E-2</v>
      </c>
      <c r="M328" s="112">
        <f>_xlfn.XLOOKUP($C328,'Consumer Expenditure'!$B$5:$B$117,'Consumer Expenditure'!O$5:O$117)</f>
        <v>5.5999999999999994E-2</v>
      </c>
      <c r="N328" s="112">
        <f>_xlfn.XLOOKUP($C328,'Consumer Expenditure'!$B$5:$B$117,'Consumer Expenditure'!P$5:P$117)</f>
        <v>5.9000000000000004E-2</v>
      </c>
      <c r="O328" s="112">
        <f>_xlfn.XLOOKUP($C328,'Consumer Expenditure'!$B$5:$B$117,'Consumer Expenditure'!Q$5:Q$117)</f>
        <v>0.06</v>
      </c>
    </row>
    <row r="329" spans="3:15">
      <c r="C329" s="38" t="s">
        <v>233</v>
      </c>
      <c r="F329" s="112">
        <f>_xlfn.XLOOKUP($C329,'Consumer Expenditure'!$B$5:$B$117,'Consumer Expenditure'!H$5:H$117)</f>
        <v>-1.2E-2</v>
      </c>
      <c r="G329" s="112">
        <f>_xlfn.XLOOKUP($C329,'Consumer Expenditure'!$B$5:$B$117,'Consumer Expenditure'!I$5:I$117)</f>
        <v>2.7000000000000003E-2</v>
      </c>
      <c r="H329" s="112">
        <f>_xlfn.XLOOKUP($C329,'Consumer Expenditure'!$B$5:$B$117,'Consumer Expenditure'!J$5:J$117)</f>
        <v>8.5999999999999993E-2</v>
      </c>
      <c r="I329" s="112">
        <f>_xlfn.XLOOKUP($C329,'Consumer Expenditure'!$B$5:$B$117,'Consumer Expenditure'!K$5:K$117)</f>
        <v>0.09</v>
      </c>
      <c r="J329" s="112">
        <f>_xlfn.XLOOKUP($C329,'Consumer Expenditure'!$B$5:$B$117,'Consumer Expenditure'!L$5:L$117)</f>
        <v>7.0999999999999994E-2</v>
      </c>
      <c r="K329" s="112">
        <f>_xlfn.XLOOKUP($C329,'Consumer Expenditure'!$B$5:$B$117,'Consumer Expenditure'!M$5:M$117)</f>
        <v>4.5999999999999999E-2</v>
      </c>
      <c r="L329" s="112">
        <f>_xlfn.XLOOKUP($C329,'Consumer Expenditure'!$B$5:$B$117,'Consumer Expenditure'!N$5:N$117)</f>
        <v>5.9000000000000004E-2</v>
      </c>
      <c r="M329" s="112">
        <f>_xlfn.XLOOKUP($C329,'Consumer Expenditure'!$B$5:$B$117,'Consumer Expenditure'!O$5:O$117)</f>
        <v>6.9000000000000006E-2</v>
      </c>
      <c r="N329" s="112">
        <f>_xlfn.XLOOKUP($C329,'Consumer Expenditure'!$B$5:$B$117,'Consumer Expenditure'!P$5:P$117)</f>
        <v>6.9000000000000006E-2</v>
      </c>
      <c r="O329" s="112">
        <f>_xlfn.XLOOKUP($C329,'Consumer Expenditure'!$B$5:$B$117,'Consumer Expenditure'!Q$5:Q$117)</f>
        <v>6.8000000000000005E-2</v>
      </c>
    </row>
    <row r="330" spans="3:15">
      <c r="C330" s="38" t="s">
        <v>244</v>
      </c>
      <c r="F330" s="112">
        <f>_xlfn.XLOOKUP($C330,'Consumer Expenditure'!$B$5:$B$117,'Consumer Expenditure'!H$5:H$117)</f>
        <v>-6.9000000000000006E-2</v>
      </c>
      <c r="G330" s="112">
        <f>_xlfn.XLOOKUP($C330,'Consumer Expenditure'!$B$5:$B$117,'Consumer Expenditure'!I$5:I$117)</f>
        <v>6.8000000000000005E-2</v>
      </c>
      <c r="H330" s="112">
        <f>_xlfn.XLOOKUP($C330,'Consumer Expenditure'!$B$5:$B$117,'Consumer Expenditure'!J$5:J$117)</f>
        <v>0.13900000000000001</v>
      </c>
      <c r="I330" s="112">
        <f>_xlfn.XLOOKUP($C330,'Consumer Expenditure'!$B$5:$B$117,'Consumer Expenditure'!K$5:K$117)</f>
        <v>0.109</v>
      </c>
      <c r="J330" s="112">
        <f>_xlfn.XLOOKUP($C330,'Consumer Expenditure'!$B$5:$B$117,'Consumer Expenditure'!L$5:L$117)</f>
        <v>7.6999999999999999E-2</v>
      </c>
      <c r="K330" s="112">
        <f>_xlfn.XLOOKUP($C330,'Consumer Expenditure'!$B$5:$B$117,'Consumer Expenditure'!M$5:M$117)</f>
        <v>7.6999999999999999E-2</v>
      </c>
      <c r="L330" s="112">
        <f>_xlfn.XLOOKUP($C330,'Consumer Expenditure'!$B$5:$B$117,'Consumer Expenditure'!N$5:N$117)</f>
        <v>8.5000000000000006E-2</v>
      </c>
      <c r="M330" s="112">
        <f>_xlfn.XLOOKUP($C330,'Consumer Expenditure'!$B$5:$B$117,'Consumer Expenditure'!O$5:O$117)</f>
        <v>8.4000000000000005E-2</v>
      </c>
      <c r="N330" s="112">
        <f>_xlfn.XLOOKUP($C330,'Consumer Expenditure'!$B$5:$B$117,'Consumer Expenditure'!P$5:P$117)</f>
        <v>8.4000000000000005E-2</v>
      </c>
      <c r="O330" s="112">
        <f>_xlfn.XLOOKUP($C330,'Consumer Expenditure'!$B$5:$B$117,'Consumer Expenditure'!Q$5:Q$117)</f>
        <v>8.4000000000000005E-2</v>
      </c>
    </row>
    <row r="331" spans="3:15">
      <c r="C331" s="38" t="s">
        <v>239</v>
      </c>
      <c r="F331" s="112">
        <f>_xlfn.XLOOKUP($C331,'Consumer Expenditure'!$B$5:$B$117,'Consumer Expenditure'!H$5:H$117)</f>
        <v>-0.13500000000000001</v>
      </c>
      <c r="G331" s="112">
        <f>_xlfn.XLOOKUP($C331,'Consumer Expenditure'!$B$5:$B$117,'Consumer Expenditure'!I$5:I$117)</f>
        <v>-9.0000000000000011E-3</v>
      </c>
      <c r="H331" s="112">
        <f>_xlfn.XLOOKUP($C331,'Consumer Expenditure'!$B$5:$B$117,'Consumer Expenditure'!J$5:J$117)</f>
        <v>0.151</v>
      </c>
      <c r="I331" s="112">
        <f>_xlfn.XLOOKUP($C331,'Consumer Expenditure'!$B$5:$B$117,'Consumer Expenditure'!K$5:K$117)</f>
        <v>0.12</v>
      </c>
      <c r="J331" s="112">
        <f>_xlfn.XLOOKUP($C331,'Consumer Expenditure'!$B$5:$B$117,'Consumer Expenditure'!L$5:L$117)</f>
        <v>7.5999999999999998E-2</v>
      </c>
      <c r="K331" s="112">
        <f>_xlfn.XLOOKUP($C331,'Consumer Expenditure'!$B$5:$B$117,'Consumer Expenditure'!M$5:M$117)</f>
        <v>7.0999999999999994E-2</v>
      </c>
      <c r="L331" s="112">
        <f>_xlfn.XLOOKUP($C331,'Consumer Expenditure'!$B$5:$B$117,'Consumer Expenditure'!N$5:N$117)</f>
        <v>4.4999999999999998E-2</v>
      </c>
      <c r="M331" s="112">
        <f>_xlfn.XLOOKUP($C331,'Consumer Expenditure'!$B$5:$B$117,'Consumer Expenditure'!O$5:O$117)</f>
        <v>4.9000000000000002E-2</v>
      </c>
      <c r="N331" s="112">
        <f>_xlfn.XLOOKUP($C331,'Consumer Expenditure'!$B$5:$B$117,'Consumer Expenditure'!P$5:P$117)</f>
        <v>5.2000000000000005E-2</v>
      </c>
      <c r="O331" s="112">
        <f>_xlfn.XLOOKUP($C331,'Consumer Expenditure'!$B$5:$B$117,'Consumer Expenditure'!Q$5:Q$117)</f>
        <v>5.2000000000000005E-2</v>
      </c>
    </row>
    <row r="332" spans="3:15">
      <c r="C332" s="38" t="s">
        <v>258</v>
      </c>
      <c r="F332" s="112">
        <f>_xlfn.XLOOKUP($C332,'Consumer Expenditure'!$B$5:$B$117,'Consumer Expenditure'!H$5:H$117)</f>
        <v>6.7000000000000004E-2</v>
      </c>
      <c r="G332" s="112">
        <f>_xlfn.XLOOKUP($C332,'Consumer Expenditure'!$B$5:$B$117,'Consumer Expenditure'!I$5:I$117)</f>
        <v>3.9E-2</v>
      </c>
      <c r="H332" s="112">
        <f>_xlfn.XLOOKUP($C332,'Consumer Expenditure'!$B$5:$B$117,'Consumer Expenditure'!J$5:J$117)</f>
        <v>9.3000000000000013E-2</v>
      </c>
      <c r="I332" s="112">
        <f>_xlfn.XLOOKUP($C332,'Consumer Expenditure'!$B$5:$B$117,'Consumer Expenditure'!K$5:K$117)</f>
        <v>2.2000000000000002E-2</v>
      </c>
      <c r="J332" s="112">
        <f>_xlfn.XLOOKUP($C332,'Consumer Expenditure'!$B$5:$B$117,'Consumer Expenditure'!L$5:L$117)</f>
        <v>8.8000000000000009E-2</v>
      </c>
      <c r="K332" s="112">
        <f>_xlfn.XLOOKUP($C332,'Consumer Expenditure'!$B$5:$B$117,'Consumer Expenditure'!M$5:M$117)</f>
        <v>7.8E-2</v>
      </c>
      <c r="L332" s="112">
        <f>_xlfn.XLOOKUP($C332,'Consumer Expenditure'!$B$5:$B$117,'Consumer Expenditure'!N$5:N$117)</f>
        <v>7.0000000000000007E-2</v>
      </c>
      <c r="M332" s="112">
        <f>_xlfn.XLOOKUP($C332,'Consumer Expenditure'!$B$5:$B$117,'Consumer Expenditure'!O$5:O$117)</f>
        <v>9.0999999999999998E-2</v>
      </c>
      <c r="N332" s="112">
        <f>_xlfn.XLOOKUP($C332,'Consumer Expenditure'!$B$5:$B$117,'Consumer Expenditure'!P$5:P$117)</f>
        <v>9.1999999999999998E-2</v>
      </c>
      <c r="O332" s="112">
        <f>_xlfn.XLOOKUP($C332,'Consumer Expenditure'!$B$5:$B$117,'Consumer Expenditure'!Q$5:Q$117)</f>
        <v>9.0999999999999998E-2</v>
      </c>
    </row>
    <row r="333" spans="3:15">
      <c r="C333" s="38" t="s">
        <v>654</v>
      </c>
      <c r="F333" s="112">
        <f>_xlfn.XLOOKUP($C333,'Consumer Expenditure'!$B$5:$B$117,'Consumer Expenditure'!H$5:H$117)</f>
        <v>4.8000000000000001E-2</v>
      </c>
      <c r="G333" s="112">
        <f>_xlfn.XLOOKUP($C333,'Consumer Expenditure'!$B$5:$B$117,'Consumer Expenditure'!I$5:I$117)</f>
        <v>0.10199999999999999</v>
      </c>
      <c r="H333" s="112">
        <f>_xlfn.XLOOKUP($C333,'Consumer Expenditure'!$B$5:$B$117,'Consumer Expenditure'!J$5:J$117)</f>
        <v>0.188</v>
      </c>
      <c r="I333" s="112">
        <f>_xlfn.XLOOKUP($C333,'Consumer Expenditure'!$B$5:$B$117,'Consumer Expenditure'!K$5:K$117)</f>
        <v>0.28699999999999998</v>
      </c>
      <c r="J333" s="112">
        <f>_xlfn.XLOOKUP($C333,'Consumer Expenditure'!$B$5:$B$117,'Consumer Expenditure'!L$5:L$117)</f>
        <v>0.3</v>
      </c>
      <c r="K333" s="112">
        <f>_xlfn.XLOOKUP($C333,'Consumer Expenditure'!$B$5:$B$117,'Consumer Expenditure'!M$5:M$117)</f>
        <v>0.215</v>
      </c>
      <c r="L333" s="112">
        <f>_xlfn.XLOOKUP($C333,'Consumer Expenditure'!$B$5:$B$117,'Consumer Expenditure'!N$5:N$117)</f>
        <v>0.23699999999999999</v>
      </c>
      <c r="M333" s="112">
        <f>_xlfn.XLOOKUP($C333,'Consumer Expenditure'!$B$5:$B$117,'Consumer Expenditure'!O$5:O$117)</f>
        <v>0.17</v>
      </c>
      <c r="N333" s="112">
        <f>_xlfn.XLOOKUP($C333,'Consumer Expenditure'!$B$5:$B$117,'Consumer Expenditure'!P$5:P$117)</f>
        <v>0.125</v>
      </c>
      <c r="O333" s="112">
        <f>_xlfn.XLOOKUP($C333,'Consumer Expenditure'!$B$5:$B$117,'Consumer Expenditure'!Q$5:Q$117)</f>
        <v>0.107</v>
      </c>
    </row>
    <row r="334" spans="3:15">
      <c r="C334" s="38" t="s">
        <v>260</v>
      </c>
      <c r="F334" s="112">
        <f>_xlfn.XLOOKUP($C334,'Consumer Expenditure'!$B$5:$B$117,'Consumer Expenditure'!H$5:H$117)</f>
        <v>-0.154</v>
      </c>
      <c r="G334" s="112">
        <f>_xlfn.XLOOKUP($C334,'Consumer Expenditure'!$B$5:$B$117,'Consumer Expenditure'!I$5:I$117)</f>
        <v>7.0999999999999994E-2</v>
      </c>
      <c r="H334" s="112">
        <f>_xlfn.XLOOKUP($C334,'Consumer Expenditure'!$B$5:$B$117,'Consumer Expenditure'!J$5:J$117)</f>
        <v>4.2999999999999997E-2</v>
      </c>
      <c r="I334" s="112">
        <f>_xlfn.XLOOKUP($C334,'Consumer Expenditure'!$B$5:$B$117,'Consumer Expenditure'!K$5:K$117)</f>
        <v>0.20100000000000001</v>
      </c>
      <c r="J334" s="112">
        <f>_xlfn.XLOOKUP($C334,'Consumer Expenditure'!$B$5:$B$117,'Consumer Expenditure'!L$5:L$117)</f>
        <v>4.0999999999999995E-2</v>
      </c>
      <c r="K334" s="112">
        <f>_xlfn.XLOOKUP($C334,'Consumer Expenditure'!$B$5:$B$117,'Consumer Expenditure'!M$5:M$117)</f>
        <v>6.6000000000000003E-2</v>
      </c>
      <c r="L334" s="112">
        <f>_xlfn.XLOOKUP($C334,'Consumer Expenditure'!$B$5:$B$117,'Consumer Expenditure'!N$5:N$117)</f>
        <v>7.2999999999999995E-2</v>
      </c>
      <c r="M334" s="112">
        <f>_xlfn.XLOOKUP($C334,'Consumer Expenditure'!$B$5:$B$117,'Consumer Expenditure'!O$5:O$117)</f>
        <v>7.6999999999999999E-2</v>
      </c>
      <c r="N334" s="112">
        <f>_xlfn.XLOOKUP($C334,'Consumer Expenditure'!$B$5:$B$117,'Consumer Expenditure'!P$5:P$117)</f>
        <v>8.1000000000000003E-2</v>
      </c>
      <c r="O334" s="112">
        <f>_xlfn.XLOOKUP($C334,'Consumer Expenditure'!$B$5:$B$117,'Consumer Expenditure'!Q$5:Q$117)</f>
        <v>8.5000000000000006E-2</v>
      </c>
    </row>
    <row r="335" spans="3:15">
      <c r="C335" s="38" t="s">
        <v>261</v>
      </c>
      <c r="F335" s="112">
        <f>_xlfn.XLOOKUP($C335,'Consumer Expenditure'!$B$5:$B$117,'Consumer Expenditure'!H$5:H$117)</f>
        <v>3.9E-2</v>
      </c>
      <c r="G335" s="112">
        <f>_xlfn.XLOOKUP($C335,'Consumer Expenditure'!$B$5:$B$117,'Consumer Expenditure'!I$5:I$117)</f>
        <v>-7.9000000000000001E-2</v>
      </c>
      <c r="H335" s="112">
        <f>_xlfn.XLOOKUP($C335,'Consumer Expenditure'!$B$5:$B$117,'Consumer Expenditure'!J$5:J$117)</f>
        <v>0.23800000000000002</v>
      </c>
      <c r="I335" s="112">
        <f>_xlfn.XLOOKUP($C335,'Consumer Expenditure'!$B$5:$B$117,'Consumer Expenditure'!K$5:K$117)</f>
        <v>0.6</v>
      </c>
      <c r="J335" s="112">
        <f>_xlfn.XLOOKUP($C335,'Consumer Expenditure'!$B$5:$B$117,'Consumer Expenditure'!L$5:L$117)</f>
        <v>0.25600000000000001</v>
      </c>
      <c r="K335" s="112">
        <f>_xlfn.XLOOKUP($C335,'Consumer Expenditure'!$B$5:$B$117,'Consumer Expenditure'!M$5:M$117)</f>
        <v>0.191</v>
      </c>
      <c r="L335" s="112">
        <f>_xlfn.XLOOKUP($C335,'Consumer Expenditure'!$B$5:$B$117,'Consumer Expenditure'!N$5:N$117)</f>
        <v>8.8000000000000009E-2</v>
      </c>
      <c r="M335" s="112">
        <f>_xlfn.XLOOKUP($C335,'Consumer Expenditure'!$B$5:$B$117,'Consumer Expenditure'!O$5:O$117)</f>
        <v>8.900000000000001E-2</v>
      </c>
      <c r="N335" s="112">
        <f>_xlfn.XLOOKUP($C335,'Consumer Expenditure'!$B$5:$B$117,'Consumer Expenditure'!P$5:P$117)</f>
        <v>8.5999999999999993E-2</v>
      </c>
      <c r="O335" s="112">
        <f>_xlfn.XLOOKUP($C335,'Consumer Expenditure'!$B$5:$B$117,'Consumer Expenditure'!Q$5:Q$117)</f>
        <v>0.09</v>
      </c>
    </row>
    <row r="336" spans="3:15">
      <c r="C336" s="38" t="s">
        <v>259</v>
      </c>
      <c r="F336" s="99">
        <f>(1/3)*F333+(1/3)*F334+(1/3)*F335</f>
        <v>-2.233333333333333E-2</v>
      </c>
      <c r="G336" s="99">
        <f t="shared" ref="G336" si="419">(1/3)*G333+(1/3)*G334+(1/3)*G335</f>
        <v>3.1333333333333324E-2</v>
      </c>
      <c r="H336" s="99">
        <f t="shared" ref="H336" si="420">(1/3)*H333+(1/3)*H334+(1/3)*H335</f>
        <v>0.15633333333333332</v>
      </c>
      <c r="I336" s="99">
        <f t="shared" ref="I336" si="421">(1/3)*I333+(1/3)*I334+(1/3)*I335</f>
        <v>0.36266666666666664</v>
      </c>
      <c r="J336" s="99">
        <f t="shared" ref="J336" si="422">(1/3)*J333+(1/3)*J334+(1/3)*J335</f>
        <v>0.19899999999999998</v>
      </c>
      <c r="K336" s="99">
        <f t="shared" ref="K336" si="423">(1/3)*K333+(1/3)*K334+(1/3)*K335</f>
        <v>0.15733333333333333</v>
      </c>
      <c r="L336" s="99">
        <f t="shared" ref="L336" si="424">(1/3)*L333+(1/3)*L334+(1/3)*L335</f>
        <v>0.13266666666666665</v>
      </c>
      <c r="M336" s="99">
        <f t="shared" ref="M336" si="425">(1/3)*M333+(1/3)*M334+(1/3)*M335</f>
        <v>0.11200000000000002</v>
      </c>
      <c r="N336" s="99">
        <f t="shared" ref="N336" si="426">(1/3)*N333+(1/3)*N334+(1/3)*N335</f>
        <v>9.7333333333333327E-2</v>
      </c>
      <c r="O336" s="99">
        <f t="shared" ref="O336" si="427">(1/3)*O333+(1/3)*O334+(1/3)*O335</f>
        <v>9.4E-2</v>
      </c>
    </row>
    <row r="338" spans="1:15">
      <c r="A338" s="97">
        <v>5</v>
      </c>
      <c r="C338" s="65" t="s">
        <v>1082</v>
      </c>
      <c r="D338" s="65"/>
      <c r="E338" s="64"/>
      <c r="F338" s="64"/>
      <c r="G338" s="64"/>
      <c r="H338" s="64"/>
      <c r="I338" s="64"/>
      <c r="J338" s="64"/>
      <c r="K338" s="64"/>
      <c r="L338" s="64"/>
      <c r="M338" s="64"/>
      <c r="N338" s="64"/>
      <c r="O338" s="64"/>
    </row>
    <row r="340" spans="1:15">
      <c r="C340" s="61" t="s">
        <v>1055</v>
      </c>
      <c r="F340" s="61" t="s">
        <v>1056</v>
      </c>
      <c r="J340" s="38" t="s">
        <v>1083</v>
      </c>
    </row>
    <row r="341" spans="1:15">
      <c r="C341" s="38" t="s">
        <v>1057</v>
      </c>
      <c r="D341" s="104">
        <v>7.4999999999999997E-2</v>
      </c>
      <c r="F341" s="38" t="s">
        <v>1084</v>
      </c>
      <c r="J341" s="38" t="s">
        <v>1062</v>
      </c>
    </row>
    <row r="343" spans="1:15">
      <c r="C343" s="75" t="s">
        <v>50</v>
      </c>
      <c r="D343" s="75"/>
      <c r="E343" s="76" t="s">
        <v>48</v>
      </c>
      <c r="F343" s="82">
        <f>F13</f>
        <v>-10</v>
      </c>
      <c r="G343" s="82">
        <f>G13</f>
        <v>27</v>
      </c>
      <c r="H343" s="82">
        <f>H13</f>
        <v>64</v>
      </c>
      <c r="I343" s="82">
        <f>I13</f>
        <v>177</v>
      </c>
      <c r="J343" s="82">
        <f>J13</f>
        <v>253</v>
      </c>
      <c r="K343" s="82">
        <f>K348*K395</f>
        <v>317.85641298303085</v>
      </c>
      <c r="L343" s="82">
        <f>L348*L395</f>
        <v>394.52885497306556</v>
      </c>
      <c r="M343" s="82">
        <f>M348*M395</f>
        <v>484.23552341934965</v>
      </c>
      <c r="N343" s="82">
        <f>N348*N395</f>
        <v>589.61205116559859</v>
      </c>
      <c r="O343" s="82">
        <f>O348*O395</f>
        <v>719.12533054192329</v>
      </c>
    </row>
    <row r="344" spans="1:15">
      <c r="C344" s="101" t="s">
        <v>307</v>
      </c>
      <c r="D344" s="101"/>
      <c r="E344" s="101"/>
      <c r="F344" s="84"/>
      <c r="G344" s="102">
        <f>(G343-F343)/F343</f>
        <v>-3.7</v>
      </c>
      <c r="H344" s="102">
        <f t="shared" ref="H344" si="428">(H343-G343)/G343</f>
        <v>1.3703703703703705</v>
      </c>
      <c r="I344" s="102">
        <f t="shared" ref="I344" si="429">(I343-H343)/H343</f>
        <v>1.765625</v>
      </c>
      <c r="J344" s="102">
        <f t="shared" ref="J344" si="430">(J343-I343)/I343</f>
        <v>0.42937853107344631</v>
      </c>
      <c r="K344" s="102">
        <f t="shared" ref="K344" si="431">(K343-J343)/J343</f>
        <v>0.25634945843095197</v>
      </c>
      <c r="L344" s="102">
        <f t="shared" ref="L344" si="432">(L343-K343)/K343</f>
        <v>0.24121722532031456</v>
      </c>
      <c r="M344" s="102">
        <f t="shared" ref="M344" si="433">(M343-L343)/L343</f>
        <v>0.22737669834671115</v>
      </c>
      <c r="N344" s="102">
        <f t="shared" ref="N344" si="434">(N343-M343)/M343</f>
        <v>0.21761420352259556</v>
      </c>
      <c r="O344" s="102">
        <f t="shared" ref="O344" si="435">(O343-N343)/N343</f>
        <v>0.21965846715699094</v>
      </c>
    </row>
    <row r="346" spans="1:15">
      <c r="C346" s="85" t="s">
        <v>1065</v>
      </c>
      <c r="D346" s="85"/>
      <c r="E346" s="86"/>
      <c r="F346" s="86"/>
      <c r="G346" s="86"/>
      <c r="H346" s="86"/>
      <c r="I346" s="86"/>
      <c r="J346" s="86"/>
      <c r="K346" s="86"/>
      <c r="L346" s="86"/>
      <c r="M346" s="86"/>
      <c r="N346" s="86"/>
      <c r="O346" s="86"/>
    </row>
    <row r="348" spans="1:15">
      <c r="C348" s="107" t="s">
        <v>1066</v>
      </c>
      <c r="D348" s="107"/>
      <c r="E348" s="109" t="s">
        <v>1067</v>
      </c>
      <c r="F348" s="108">
        <v>10.4</v>
      </c>
      <c r="G348" s="108">
        <v>12.7</v>
      </c>
      <c r="H348" s="108">
        <v>21.3</v>
      </c>
      <c r="I348" s="108">
        <v>23.3</v>
      </c>
      <c r="J348" s="108">
        <v>26.4</v>
      </c>
      <c r="K348" s="107">
        <f>K351+K357+K363+K369+K375+K381+K387</f>
        <v>32.437610153736145</v>
      </c>
      <c r="L348" s="107">
        <f t="shared" ref="L348:O348" si="436">SUM(L351,L357,L363,L369,L375,L381,L387)</f>
        <v>39.35554648087237</v>
      </c>
      <c r="M348" s="107">
        <f t="shared" si="436"/>
        <v>47.204192928564837</v>
      </c>
      <c r="N348" s="107">
        <f t="shared" si="436"/>
        <v>56.184452197692593</v>
      </c>
      <c r="O348" s="107">
        <f t="shared" si="436"/>
        <v>66.982575558246339</v>
      </c>
    </row>
    <row r="349" spans="1:15">
      <c r="F349" s="84"/>
      <c r="G349" s="102">
        <f>(G348-F348)/F348</f>
        <v>0.22115384615384603</v>
      </c>
      <c r="H349" s="102">
        <f t="shared" ref="H349" si="437">(H348-G348)/G348</f>
        <v>0.67716535433070879</v>
      </c>
      <c r="I349" s="102">
        <f t="shared" ref="I349" si="438">(I348-H348)/H348</f>
        <v>9.3896713615023469E-2</v>
      </c>
      <c r="J349" s="102">
        <f t="shared" ref="J349" si="439">(J348-I348)/I348</f>
        <v>0.1330472103004291</v>
      </c>
      <c r="K349" s="102">
        <f>(K348-J348)/J348</f>
        <v>0.22869735430818738</v>
      </c>
      <c r="L349" s="102">
        <f t="shared" ref="L349" si="440">(L348-K348)/K348</f>
        <v>0.21326898912555742</v>
      </c>
      <c r="M349" s="102">
        <f t="shared" ref="M349" si="441">(M348-L348)/L348</f>
        <v>0.19942923296738047</v>
      </c>
      <c r="N349" s="102">
        <f t="shared" ref="N349" si="442">(N348-M348)/M348</f>
        <v>0.19024283039258366</v>
      </c>
      <c r="O349" s="102">
        <f t="shared" ref="O349" si="443">(O348-N348)/N348</f>
        <v>0.19219059612006339</v>
      </c>
    </row>
    <row r="351" spans="1:15">
      <c r="C351" s="75" t="s">
        <v>231</v>
      </c>
      <c r="D351" s="75"/>
      <c r="E351" s="76" t="s">
        <v>1067</v>
      </c>
      <c r="F351" s="82">
        <f>_xlfn.XLOOKUP($C351,$C$38:$C$44,F$38:F$44)*F$348</f>
        <v>5.4550106609808102</v>
      </c>
      <c r="G351" s="82">
        <f>_xlfn.XLOOKUP($C351,$C$38:$C$44,G$38:G$44)*G$348</f>
        <v>5.3245925925925928</v>
      </c>
      <c r="H351" s="82">
        <f>_xlfn.XLOOKUP($C351,$C$38:$C$44,H$38:H$44)*H$348</f>
        <v>4.4889043963712494</v>
      </c>
      <c r="I351" s="82">
        <f>_xlfn.XLOOKUP($C351,$C$38:$C$44,I$38:I$44)*I$348</f>
        <v>4.7409919457397205</v>
      </c>
      <c r="J351" s="82">
        <f>_xlfn.XLOOKUP($C351,$C$38:$C$44,J$38:J$44)*J$348</f>
        <v>5.4555595280657849</v>
      </c>
      <c r="K351" s="82">
        <f>J351*(1+K352)</f>
        <v>6.4211935645334295</v>
      </c>
      <c r="L351" s="82">
        <f t="shared" ref="L351" si="444">K351*(1+L352)</f>
        <v>7.5192176640686466</v>
      </c>
      <c r="M351" s="82">
        <f t="shared" ref="M351" si="445">L351*(1+M352)</f>
        <v>8.7147732726555613</v>
      </c>
      <c r="N351" s="82">
        <f t="shared" ref="N351" si="446">M351*(1+N352)</f>
        <v>10.065563129917173</v>
      </c>
      <c r="O351" s="82">
        <f t="shared" ref="O351" si="447">N351*(1+O352)</f>
        <v>11.635790978184252</v>
      </c>
    </row>
    <row r="352" spans="1:15">
      <c r="C352" s="101" t="s">
        <v>307</v>
      </c>
      <c r="D352" s="101"/>
      <c r="E352" s="101"/>
      <c r="F352" s="84"/>
      <c r="G352" s="102">
        <f>(G351-F351)/F351</f>
        <v>-2.3907940147777512E-2</v>
      </c>
      <c r="H352" s="102">
        <f t="shared" ref="H352" si="448">(H351-G351)/G351</f>
        <v>-0.15694875836771563</v>
      </c>
      <c r="I352" s="102">
        <f t="shared" ref="I352" si="449">(I351-H351)/H351</f>
        <v>5.6157923428321217E-2</v>
      </c>
      <c r="J352" s="102">
        <f t="shared" ref="J352" si="450">(J351-I351)/I351</f>
        <v>0.15072111290300302</v>
      </c>
      <c r="K352" s="102">
        <f>_xlfn.XLOOKUP($E$4,$C353:$C355,K353:K355)</f>
        <v>0.17699999999999999</v>
      </c>
      <c r="L352" s="102">
        <f t="shared" ref="L352:O352" si="451">_xlfn.XLOOKUP($E$4,$C353:$C355,L353:L355)</f>
        <v>0.17099999999999999</v>
      </c>
      <c r="M352" s="102">
        <f t="shared" si="451"/>
        <v>0.159</v>
      </c>
      <c r="N352" s="102">
        <f t="shared" si="451"/>
        <v>0.155</v>
      </c>
      <c r="O352" s="102">
        <f t="shared" si="451"/>
        <v>0.156</v>
      </c>
    </row>
    <row r="353" spans="3:15">
      <c r="C353" s="103" t="s">
        <v>1002</v>
      </c>
      <c r="D353" s="104">
        <v>0.01</v>
      </c>
      <c r="E353" s="75"/>
      <c r="F353" s="75"/>
      <c r="G353" s="75"/>
      <c r="H353" s="75"/>
      <c r="I353" s="75"/>
      <c r="J353" s="75"/>
      <c r="K353" s="105">
        <f>K354+$D353</f>
        <v>0.187</v>
      </c>
      <c r="L353" s="105">
        <f t="shared" ref="L353:O353" si="452">L354+$D353</f>
        <v>0.18099999999999999</v>
      </c>
      <c r="M353" s="105">
        <f t="shared" si="452"/>
        <v>0.16900000000000001</v>
      </c>
      <c r="N353" s="105">
        <f t="shared" si="452"/>
        <v>0.16500000000000001</v>
      </c>
      <c r="O353" s="105">
        <f t="shared" si="452"/>
        <v>0.16600000000000001</v>
      </c>
    </row>
    <row r="354" spans="3:15">
      <c r="C354" s="103" t="s">
        <v>11</v>
      </c>
      <c r="D354" s="104">
        <v>0</v>
      </c>
      <c r="E354" s="75"/>
      <c r="F354" s="75"/>
      <c r="G354" s="75"/>
      <c r="H354" s="75"/>
      <c r="I354" s="75"/>
      <c r="J354" s="75"/>
      <c r="K354" s="105">
        <f>_xlfn.XLOOKUP($C351,$C$464:$C$470,K$464:K$470)+$D$341</f>
        <v>0.17699999999999999</v>
      </c>
      <c r="L354" s="105">
        <f t="shared" ref="L354:O354" si="453">_xlfn.XLOOKUP($C351,$C$464:$C$470,L$464:L$470)+$D$341</f>
        <v>0.17099999999999999</v>
      </c>
      <c r="M354" s="105">
        <f t="shared" si="453"/>
        <v>0.159</v>
      </c>
      <c r="N354" s="105">
        <f t="shared" si="453"/>
        <v>0.155</v>
      </c>
      <c r="O354" s="105">
        <f t="shared" si="453"/>
        <v>0.156</v>
      </c>
    </row>
    <row r="355" spans="3:15">
      <c r="C355" s="103" t="s">
        <v>1003</v>
      </c>
      <c r="D355" s="104">
        <v>-0.01</v>
      </c>
      <c r="E355" s="75"/>
      <c r="F355" s="75"/>
      <c r="G355" s="75"/>
      <c r="H355" s="75"/>
      <c r="I355" s="115"/>
      <c r="J355" s="75"/>
      <c r="K355" s="105">
        <f>K354+$D355</f>
        <v>0.16699999999999998</v>
      </c>
      <c r="L355" s="105">
        <f t="shared" ref="L355:O355" si="454">L354+$D355</f>
        <v>0.16099999999999998</v>
      </c>
      <c r="M355" s="105">
        <f t="shared" si="454"/>
        <v>0.14899999999999999</v>
      </c>
      <c r="N355" s="105">
        <f t="shared" si="454"/>
        <v>0.14499999999999999</v>
      </c>
      <c r="O355" s="105">
        <f t="shared" si="454"/>
        <v>0.14599999999999999</v>
      </c>
    </row>
    <row r="357" spans="3:15">
      <c r="C357" s="75" t="s">
        <v>257</v>
      </c>
      <c r="D357" s="75"/>
      <c r="E357" s="76" t="s">
        <v>1067</v>
      </c>
      <c r="F357" s="82">
        <f>_xlfn.XLOOKUP($C357,$C$38:$C$44,F$38:F$44)*F$348</f>
        <v>2.017910447761194</v>
      </c>
      <c r="G357" s="82">
        <f>_xlfn.XLOOKUP($C357,$C$38:$C$44,G$38:G$44)*G$348</f>
        <v>2.032</v>
      </c>
      <c r="H357" s="82">
        <f>_xlfn.XLOOKUP($C357,$C$38:$C$44,H$38:H$44)*H$348</f>
        <v>7.5657362177250524</v>
      </c>
      <c r="I357" s="82">
        <f>_xlfn.XLOOKUP($C357,$C$38:$C$44,I$38:I$44)*I$348</f>
        <v>6.6472657905892332</v>
      </c>
      <c r="J357" s="82">
        <f>_xlfn.XLOOKUP($C357,$C$38:$C$44,J$38:J$44)*J$348</f>
        <v>7.7019663925634614</v>
      </c>
      <c r="K357" s="82">
        <f>J357*(1+K358)</f>
        <v>9.45801473006793</v>
      </c>
      <c r="L357" s="82">
        <f t="shared" ref="L357" si="455">K357*(1+L358)</f>
        <v>11.406365764461924</v>
      </c>
      <c r="M357" s="82">
        <f t="shared" ref="M357" si="456">L357*(1+M358)</f>
        <v>13.539356162416304</v>
      </c>
      <c r="N357" s="82">
        <f t="shared" ref="N357" si="457">M357*(1+N358)</f>
        <v>15.868125422351907</v>
      </c>
      <c r="O357" s="82">
        <f t="shared" ref="O357" si="458">N357*(1+O358)</f>
        <v>18.613311120418789</v>
      </c>
    </row>
    <row r="358" spans="3:15">
      <c r="C358" s="101" t="s">
        <v>307</v>
      </c>
      <c r="D358" s="101"/>
      <c r="E358" s="101"/>
      <c r="F358" s="84"/>
      <c r="G358" s="102">
        <f>(G357-F357)/F357</f>
        <v>6.9822485207100922E-3</v>
      </c>
      <c r="H358" s="102">
        <f t="shared" ref="H358" si="459">(H357-G357)/G357</f>
        <v>2.7232953827387067</v>
      </c>
      <c r="I358" s="102">
        <f t="shared" ref="I358" si="460">(I357-H357)/H357</f>
        <v>-0.12139868490048876</v>
      </c>
      <c r="J358" s="102">
        <f t="shared" ref="J358" si="461">(J357-I357)/I357</f>
        <v>0.1586668316268329</v>
      </c>
      <c r="K358" s="102">
        <f>_xlfn.XLOOKUP($E$4,$C359:$C361,K359:K361)</f>
        <v>0.22799999999999998</v>
      </c>
      <c r="L358" s="102">
        <f t="shared" ref="L358:O358" si="462">_xlfn.XLOOKUP($E$4,$C359:$C361,L359:L361)</f>
        <v>0.20600000000000002</v>
      </c>
      <c r="M358" s="102">
        <f t="shared" si="462"/>
        <v>0.187</v>
      </c>
      <c r="N358" s="102">
        <f t="shared" si="462"/>
        <v>0.17199999999999999</v>
      </c>
      <c r="O358" s="102">
        <f t="shared" si="462"/>
        <v>0.17299999999999999</v>
      </c>
    </row>
    <row r="359" spans="3:15">
      <c r="C359" s="103" t="s">
        <v>1002</v>
      </c>
      <c r="D359" s="104">
        <v>0.01</v>
      </c>
      <c r="E359" s="75"/>
      <c r="F359" s="75"/>
      <c r="G359" s="75"/>
      <c r="H359" s="75"/>
      <c r="I359" s="75"/>
      <c r="J359" s="75"/>
      <c r="K359" s="105">
        <f>K360+$D359</f>
        <v>0.23799999999999999</v>
      </c>
      <c r="L359" s="105">
        <f t="shared" ref="L359:O359" si="463">L360+$D359</f>
        <v>0.21600000000000003</v>
      </c>
      <c r="M359" s="105">
        <f t="shared" si="463"/>
        <v>0.19700000000000001</v>
      </c>
      <c r="N359" s="105">
        <f t="shared" si="463"/>
        <v>0.182</v>
      </c>
      <c r="O359" s="105">
        <f t="shared" si="463"/>
        <v>0.183</v>
      </c>
    </row>
    <row r="360" spans="3:15">
      <c r="C360" s="103" t="s">
        <v>11</v>
      </c>
      <c r="D360" s="104">
        <v>0</v>
      </c>
      <c r="E360" s="75"/>
      <c r="F360" s="75"/>
      <c r="G360" s="75"/>
      <c r="H360" s="75"/>
      <c r="I360" s="75"/>
      <c r="J360" s="75"/>
      <c r="K360" s="105">
        <f>_xlfn.XLOOKUP($C357,$C$464:$C$470,K$464:K$470)+$D$341</f>
        <v>0.22799999999999998</v>
      </c>
      <c r="L360" s="105">
        <f t="shared" ref="L360:O360" si="464">_xlfn.XLOOKUP($C357,$C$464:$C$470,L$464:L$470)+$D$341</f>
        <v>0.20600000000000002</v>
      </c>
      <c r="M360" s="105">
        <f t="shared" si="464"/>
        <v>0.187</v>
      </c>
      <c r="N360" s="105">
        <f t="shared" si="464"/>
        <v>0.17199999999999999</v>
      </c>
      <c r="O360" s="105">
        <f t="shared" si="464"/>
        <v>0.17299999999999999</v>
      </c>
    </row>
    <row r="361" spans="3:15">
      <c r="C361" s="103" t="s">
        <v>1003</v>
      </c>
      <c r="D361" s="104">
        <v>-0.01</v>
      </c>
      <c r="E361" s="75"/>
      <c r="F361" s="75"/>
      <c r="G361" s="75"/>
      <c r="H361" s="75"/>
      <c r="I361" s="75"/>
      <c r="J361" s="75"/>
      <c r="K361" s="105">
        <f>K360+$D361</f>
        <v>0.21799999999999997</v>
      </c>
      <c r="L361" s="105">
        <f t="shared" ref="L361:O361" si="465">L360+$D361</f>
        <v>0.19600000000000001</v>
      </c>
      <c r="M361" s="105">
        <f t="shared" si="465"/>
        <v>0.17699999999999999</v>
      </c>
      <c r="N361" s="105">
        <f t="shared" si="465"/>
        <v>0.16199999999999998</v>
      </c>
      <c r="O361" s="105">
        <f t="shared" si="465"/>
        <v>0.16299999999999998</v>
      </c>
    </row>
    <row r="363" spans="3:15">
      <c r="C363" s="75" t="s">
        <v>233</v>
      </c>
      <c r="D363" s="75"/>
      <c r="E363" s="76" t="s">
        <v>1067</v>
      </c>
      <c r="F363" s="82">
        <f>_xlfn.XLOOKUP($C363,$C$38:$C$44,F$38:F$44)*F$348</f>
        <v>-1.3526652452025587</v>
      </c>
      <c r="G363" s="82">
        <f>_xlfn.XLOOKUP($C363,$C$38:$C$44,G$38:G$44)*G$348</f>
        <v>1.4863703703703703</v>
      </c>
      <c r="H363" s="82">
        <f>_xlfn.XLOOKUP($C363,$C$38:$C$44,H$38:H$44)*H$348</f>
        <v>4.0875785066294492</v>
      </c>
      <c r="I363" s="82">
        <f>_xlfn.XLOOKUP($C363,$C$38:$C$44,I$38:I$44)*I$348</f>
        <v>5.9756252649427717</v>
      </c>
      <c r="J363" s="82">
        <f>_xlfn.XLOOKUP($C363,$C$38:$C$44,J$38:J$44)*J$348</f>
        <v>6.0690740078655701</v>
      </c>
      <c r="K363" s="82">
        <f>J363*(1+K364)</f>
        <v>7.5924115838398274</v>
      </c>
      <c r="L363" s="82">
        <f t="shared" ref="L363" si="466">K363*(1+L364)</f>
        <v>9.4449600102967448</v>
      </c>
      <c r="M363" s="82">
        <f t="shared" ref="M363" si="467">L363*(1+M364)</f>
        <v>11.6078558526547</v>
      </c>
      <c r="N363" s="82">
        <f t="shared" ref="N363" si="468">M363*(1+N364)</f>
        <v>14.126760572680769</v>
      </c>
      <c r="O363" s="82">
        <f t="shared" ref="O363" si="469">N363*(1+O364)</f>
        <v>17.192267616952499</v>
      </c>
    </row>
    <row r="364" spans="3:15">
      <c r="C364" s="101" t="s">
        <v>307</v>
      </c>
      <c r="D364" s="101"/>
      <c r="E364" s="101"/>
      <c r="F364" s="84"/>
      <c r="G364" s="102">
        <f>(G363-F363)/F363</f>
        <v>-2.0988456867965062</v>
      </c>
      <c r="H364" s="102">
        <f t="shared" ref="H364" si="470">(H363-G363)/G363</f>
        <v>1.7500403587908684</v>
      </c>
      <c r="I364" s="102">
        <f t="shared" ref="I364" si="471">(I363-H363)/H363</f>
        <v>0.46189859234536762</v>
      </c>
      <c r="J364" s="102">
        <f t="shared" ref="J364" si="472">(J363-I363)/I363</f>
        <v>1.5638320473513382E-2</v>
      </c>
      <c r="K364" s="102">
        <f>_xlfn.XLOOKUP($E$4,$C365:$C367,K365:K367)</f>
        <v>0.251</v>
      </c>
      <c r="L364" s="102">
        <f t="shared" ref="L364:O364" si="473">_xlfn.XLOOKUP($E$4,$C365:$C367,L365:L367)</f>
        <v>0.24399999999999999</v>
      </c>
      <c r="M364" s="102">
        <f t="shared" si="473"/>
        <v>0.22899999999999998</v>
      </c>
      <c r="N364" s="102">
        <f t="shared" si="473"/>
        <v>0.21699999999999997</v>
      </c>
      <c r="O364" s="102">
        <f t="shared" si="473"/>
        <v>0.21699999999999997</v>
      </c>
    </row>
    <row r="365" spans="3:15">
      <c r="C365" s="103" t="s">
        <v>1002</v>
      </c>
      <c r="D365" s="104">
        <v>0.01</v>
      </c>
      <c r="E365" s="75"/>
      <c r="F365" s="75"/>
      <c r="G365" s="75"/>
      <c r="H365" s="75"/>
      <c r="I365" s="75"/>
      <c r="J365" s="75"/>
      <c r="K365" s="105">
        <f>K366+$D365</f>
        <v>0.26100000000000001</v>
      </c>
      <c r="L365" s="105">
        <f t="shared" ref="L365:O365" si="474">L366+$D365</f>
        <v>0.254</v>
      </c>
      <c r="M365" s="105">
        <f t="shared" si="474"/>
        <v>0.23899999999999999</v>
      </c>
      <c r="N365" s="105">
        <f t="shared" si="474"/>
        <v>0.22699999999999998</v>
      </c>
      <c r="O365" s="105">
        <f t="shared" si="474"/>
        <v>0.22699999999999998</v>
      </c>
    </row>
    <row r="366" spans="3:15">
      <c r="C366" s="103" t="s">
        <v>11</v>
      </c>
      <c r="D366" s="104">
        <v>0</v>
      </c>
      <c r="E366" s="75"/>
      <c r="F366" s="75"/>
      <c r="G366" s="75"/>
      <c r="H366" s="75"/>
      <c r="I366" s="75"/>
      <c r="J366" s="75"/>
      <c r="K366" s="105">
        <f>_xlfn.XLOOKUP($C363,$C$464:$C$470,K$464:K$470)+$D$341</f>
        <v>0.251</v>
      </c>
      <c r="L366" s="105">
        <f t="shared" ref="L366:O366" si="475">_xlfn.XLOOKUP($C363,$C$464:$C$470,L$464:L$470)+$D$341</f>
        <v>0.24399999999999999</v>
      </c>
      <c r="M366" s="105">
        <f t="shared" si="475"/>
        <v>0.22899999999999998</v>
      </c>
      <c r="N366" s="105">
        <f t="shared" si="475"/>
        <v>0.21699999999999997</v>
      </c>
      <c r="O366" s="105">
        <f t="shared" si="475"/>
        <v>0.21699999999999997</v>
      </c>
    </row>
    <row r="367" spans="3:15">
      <c r="C367" s="103" t="s">
        <v>1003</v>
      </c>
      <c r="D367" s="104">
        <v>-0.01</v>
      </c>
      <c r="E367" s="75"/>
      <c r="F367" s="75"/>
      <c r="G367" s="75"/>
      <c r="H367" s="75"/>
      <c r="I367" s="75"/>
      <c r="J367" s="75"/>
      <c r="K367" s="105">
        <f>K366+$D367</f>
        <v>0.24099999999999999</v>
      </c>
      <c r="L367" s="105">
        <f t="shared" ref="L367:O367" si="476">L366+$D367</f>
        <v>0.23399999999999999</v>
      </c>
      <c r="M367" s="105">
        <f t="shared" si="476"/>
        <v>0.21899999999999997</v>
      </c>
      <c r="N367" s="105">
        <f t="shared" si="476"/>
        <v>0.20699999999999996</v>
      </c>
      <c r="O367" s="105">
        <f t="shared" si="476"/>
        <v>0.20699999999999996</v>
      </c>
    </row>
    <row r="369" spans="3:15">
      <c r="C369" s="75" t="s">
        <v>244</v>
      </c>
      <c r="D369" s="75"/>
      <c r="E369" s="76" t="s">
        <v>1067</v>
      </c>
      <c r="F369" s="82">
        <f>_xlfn.XLOOKUP($C369,$C$38:$C$44,F$38:F$44)*F$348</f>
        <v>1.1309168443496802</v>
      </c>
      <c r="G369" s="82">
        <f>_xlfn.XLOOKUP($C369,$C$38:$C$44,G$38:G$44)*G$348</f>
        <v>1.5239999999999998</v>
      </c>
      <c r="H369" s="82">
        <f>_xlfn.XLOOKUP($C369,$C$38:$C$44,H$38:H$44)*H$348</f>
        <v>1.8579902302861131</v>
      </c>
      <c r="I369" s="82">
        <f>_xlfn.XLOOKUP($C369,$C$38:$C$44,I$38:I$44)*I$348</f>
        <v>1.9754133107248835</v>
      </c>
      <c r="J369" s="82">
        <f>_xlfn.XLOOKUP($C369,$C$38:$C$44,J$38:J$44)*J$348</f>
        <v>2.5012513407222023</v>
      </c>
      <c r="K369" s="82">
        <f>J369*(1+K370)</f>
        <v>3.1440729352878085</v>
      </c>
      <c r="L369" s="82">
        <f t="shared" ref="L369" si="477">K369*(1+L370)</f>
        <v>3.8923622938863067</v>
      </c>
      <c r="M369" s="82">
        <f t="shared" ref="M369" si="478">L369*(1+M370)</f>
        <v>4.7681438100107263</v>
      </c>
      <c r="N369" s="82">
        <f t="shared" ref="N369" si="479">M369*(1+N370)</f>
        <v>5.798062872973043</v>
      </c>
      <c r="O369" s="82">
        <f t="shared" ref="O369" si="480">N369*(1+O370)</f>
        <v>7.0562425164081937</v>
      </c>
    </row>
    <row r="370" spans="3:15">
      <c r="C370" s="101" t="s">
        <v>307</v>
      </c>
      <c r="D370" s="101"/>
      <c r="E370" s="101"/>
      <c r="F370" s="84"/>
      <c r="G370" s="102">
        <f>(G369-F369)/F369</f>
        <v>0.34757918552036177</v>
      </c>
      <c r="H370" s="102">
        <f t="shared" ref="H370" si="481">(H369-G369)/G369</f>
        <v>0.21915369441346019</v>
      </c>
      <c r="I370" s="102">
        <f t="shared" ref="I370" si="482">(I369-H369)/H369</f>
        <v>6.3198976251176694E-2</v>
      </c>
      <c r="J370" s="102">
        <f t="shared" ref="J370" si="483">(J369-I369)/I369</f>
        <v>0.26619139758877153</v>
      </c>
      <c r="K370" s="102">
        <f>_xlfn.XLOOKUP($E$4,$C371:$C373,K371:K373)</f>
        <v>0.25700000000000001</v>
      </c>
      <c r="L370" s="102">
        <f t="shared" ref="L370:O370" si="484">_xlfn.XLOOKUP($E$4,$C371:$C373,L371:L373)</f>
        <v>0.23799999999999999</v>
      </c>
      <c r="M370" s="102">
        <f t="shared" si="484"/>
        <v>0.22499999999999998</v>
      </c>
      <c r="N370" s="102">
        <f t="shared" si="484"/>
        <v>0.21599999999999997</v>
      </c>
      <c r="O370" s="102">
        <f t="shared" si="484"/>
        <v>0.21699999999999997</v>
      </c>
    </row>
    <row r="371" spans="3:15">
      <c r="C371" s="103" t="s">
        <v>1002</v>
      </c>
      <c r="D371" s="104">
        <v>0.01</v>
      </c>
      <c r="E371" s="75"/>
      <c r="F371" s="75"/>
      <c r="G371" s="75"/>
      <c r="H371" s="75"/>
      <c r="I371" s="75"/>
      <c r="J371" s="75"/>
      <c r="K371" s="105">
        <f>K372+$D371</f>
        <v>0.26700000000000002</v>
      </c>
      <c r="L371" s="105">
        <f t="shared" ref="L371:O371" si="485">L372+$D371</f>
        <v>0.248</v>
      </c>
      <c r="M371" s="105">
        <f t="shared" si="485"/>
        <v>0.23499999999999999</v>
      </c>
      <c r="N371" s="105">
        <f t="shared" si="485"/>
        <v>0.22599999999999998</v>
      </c>
      <c r="O371" s="105">
        <f t="shared" si="485"/>
        <v>0.22699999999999998</v>
      </c>
    </row>
    <row r="372" spans="3:15">
      <c r="C372" s="103" t="s">
        <v>11</v>
      </c>
      <c r="D372" s="104">
        <v>0</v>
      </c>
      <c r="E372" s="75"/>
      <c r="F372" s="75"/>
      <c r="G372" s="75"/>
      <c r="H372" s="75"/>
      <c r="I372" s="75"/>
      <c r="J372" s="75"/>
      <c r="K372" s="105">
        <f>_xlfn.XLOOKUP($C369,$C$464:$C$470,K$464:K$470)+$D$341</f>
        <v>0.25700000000000001</v>
      </c>
      <c r="L372" s="105">
        <f t="shared" ref="L372:O372" si="486">_xlfn.XLOOKUP($C369,$C$464:$C$470,L$464:L$470)+$D$341</f>
        <v>0.23799999999999999</v>
      </c>
      <c r="M372" s="105">
        <f t="shared" si="486"/>
        <v>0.22499999999999998</v>
      </c>
      <c r="N372" s="105">
        <f t="shared" si="486"/>
        <v>0.21599999999999997</v>
      </c>
      <c r="O372" s="105">
        <f t="shared" si="486"/>
        <v>0.21699999999999997</v>
      </c>
    </row>
    <row r="373" spans="3:15">
      <c r="C373" s="103" t="s">
        <v>1003</v>
      </c>
      <c r="D373" s="104">
        <v>-0.01</v>
      </c>
      <c r="E373" s="75"/>
      <c r="F373" s="75"/>
      <c r="G373" s="75"/>
      <c r="H373" s="75"/>
      <c r="I373" s="75"/>
      <c r="J373" s="75"/>
      <c r="K373" s="105">
        <f>K372+$D373</f>
        <v>0.247</v>
      </c>
      <c r="L373" s="105">
        <f t="shared" ref="L373:O373" si="487">L372+$D373</f>
        <v>0.22799999999999998</v>
      </c>
      <c r="M373" s="105">
        <f t="shared" si="487"/>
        <v>0.21499999999999997</v>
      </c>
      <c r="N373" s="105">
        <f t="shared" si="487"/>
        <v>0.20599999999999996</v>
      </c>
      <c r="O373" s="105">
        <f t="shared" si="487"/>
        <v>0.20699999999999996</v>
      </c>
    </row>
    <row r="375" spans="3:15">
      <c r="C375" s="75" t="s">
        <v>239</v>
      </c>
      <c r="D375" s="75"/>
      <c r="E375" s="76" t="s">
        <v>1067</v>
      </c>
      <c r="F375" s="82">
        <f>_xlfn.XLOOKUP($C375,$C$38:$C$44,F$38:F$44)*F$348</f>
        <v>1.2639658848614073</v>
      </c>
      <c r="G375" s="82">
        <f>_xlfn.XLOOKUP($C375,$C$38:$C$44,G$38:G$44)*G$348</f>
        <v>1.4299259259259258</v>
      </c>
      <c r="H375" s="82">
        <f>_xlfn.XLOOKUP($C375,$C$38:$C$44,H$38:H$44)*H$348</f>
        <v>1.6201674808094906</v>
      </c>
      <c r="I375" s="82">
        <f>_xlfn.XLOOKUP($C375,$C$38:$C$44,I$38:I$44)*I$348</f>
        <v>2.0247986434930056</v>
      </c>
      <c r="J375" s="82">
        <f>_xlfn.XLOOKUP($C375,$C$38:$C$44,J$38:J$44)*J$348</f>
        <v>2.3785484447622451</v>
      </c>
      <c r="K375" s="82">
        <f>J375*(1+K376)</f>
        <v>2.8138228101537361</v>
      </c>
      <c r="L375" s="82">
        <f t="shared" ref="L375" si="488">K375*(1+L376)</f>
        <v>3.3203109159814086</v>
      </c>
      <c r="M375" s="82">
        <f t="shared" ref="M375" si="489">L375*(1+M376)</f>
        <v>3.9046856371941363</v>
      </c>
      <c r="N375" s="82">
        <f t="shared" ref="N375" si="490">M375*(1+N376)</f>
        <v>4.5723868811543333</v>
      </c>
      <c r="O375" s="82">
        <f t="shared" ref="O375" si="491">N375*(1+O376)</f>
        <v>5.3588374247128785</v>
      </c>
    </row>
    <row r="376" spans="3:15">
      <c r="C376" s="101" t="s">
        <v>307</v>
      </c>
      <c r="D376" s="101"/>
      <c r="E376" s="101"/>
      <c r="F376" s="84"/>
      <c r="G376" s="102">
        <f>(G375-F375)/F375</f>
        <v>0.13130104463437786</v>
      </c>
      <c r="H376" s="102">
        <f t="shared" ref="H376" si="492">(H375-G375)/G375</f>
        <v>0.13304294399751992</v>
      </c>
      <c r="I376" s="102">
        <f t="shared" ref="I376" si="493">(I375-H375)/H375</f>
        <v>0.24974650304754151</v>
      </c>
      <c r="J376" s="102">
        <f t="shared" ref="J376" si="494">(J375-I375)/I375</f>
        <v>0.17470863209340226</v>
      </c>
      <c r="K376" s="102">
        <f>_xlfn.XLOOKUP($E$4,$C377:$C379,K377:K379)</f>
        <v>0.183</v>
      </c>
      <c r="L376" s="102">
        <f t="shared" ref="L376:O376" si="495">_xlfn.XLOOKUP($E$4,$C377:$C379,L377:L379)</f>
        <v>0.18</v>
      </c>
      <c r="M376" s="102">
        <f t="shared" si="495"/>
        <v>0.17599999999999999</v>
      </c>
      <c r="N376" s="102">
        <f t="shared" si="495"/>
        <v>0.17099999999999999</v>
      </c>
      <c r="O376" s="102">
        <f t="shared" si="495"/>
        <v>0.17199999999999999</v>
      </c>
    </row>
    <row r="377" spans="3:15">
      <c r="C377" s="103" t="s">
        <v>1002</v>
      </c>
      <c r="D377" s="104">
        <v>0.01</v>
      </c>
      <c r="E377" s="75"/>
      <c r="F377" s="75"/>
      <c r="G377" s="75"/>
      <c r="H377" s="75"/>
      <c r="I377" s="75"/>
      <c r="J377" s="75"/>
      <c r="K377" s="105">
        <f>K378+$D377</f>
        <v>0.193</v>
      </c>
      <c r="L377" s="105">
        <f t="shared" ref="L377:O377" si="496">L378+$D377</f>
        <v>0.19</v>
      </c>
      <c r="M377" s="105">
        <f t="shared" si="496"/>
        <v>0.186</v>
      </c>
      <c r="N377" s="105">
        <f t="shared" si="496"/>
        <v>0.18099999999999999</v>
      </c>
      <c r="O377" s="105">
        <f t="shared" si="496"/>
        <v>0.182</v>
      </c>
    </row>
    <row r="378" spans="3:15">
      <c r="C378" s="103" t="s">
        <v>11</v>
      </c>
      <c r="D378" s="104">
        <v>0</v>
      </c>
      <c r="E378" s="75"/>
      <c r="F378" s="75"/>
      <c r="G378" s="75"/>
      <c r="H378" s="75"/>
      <c r="I378" s="75"/>
      <c r="J378" s="75"/>
      <c r="K378" s="105">
        <f>_xlfn.XLOOKUP($C375,$C$464:$C$470,K$464:K$470)+$D$341</f>
        <v>0.183</v>
      </c>
      <c r="L378" s="105">
        <f t="shared" ref="L378:O378" si="497">_xlfn.XLOOKUP($C375,$C$464:$C$470,L$464:L$470)+$D$341</f>
        <v>0.18</v>
      </c>
      <c r="M378" s="105">
        <f t="shared" si="497"/>
        <v>0.17599999999999999</v>
      </c>
      <c r="N378" s="105">
        <f t="shared" si="497"/>
        <v>0.17099999999999999</v>
      </c>
      <c r="O378" s="105">
        <f t="shared" si="497"/>
        <v>0.17199999999999999</v>
      </c>
    </row>
    <row r="379" spans="3:15">
      <c r="C379" s="103" t="s">
        <v>1003</v>
      </c>
      <c r="D379" s="104">
        <v>-0.01</v>
      </c>
      <c r="E379" s="75"/>
      <c r="F379" s="75"/>
      <c r="G379" s="75"/>
      <c r="H379" s="75"/>
      <c r="I379" s="75"/>
      <c r="J379" s="75"/>
      <c r="K379" s="105">
        <f>K378+$D379</f>
        <v>0.17299999999999999</v>
      </c>
      <c r="L379" s="105">
        <f t="shared" ref="L379:O379" si="498">L378+$D379</f>
        <v>0.16999999999999998</v>
      </c>
      <c r="M379" s="105">
        <f t="shared" si="498"/>
        <v>0.16599999999999998</v>
      </c>
      <c r="N379" s="105">
        <f t="shared" si="498"/>
        <v>0.16099999999999998</v>
      </c>
      <c r="O379" s="105">
        <f t="shared" si="498"/>
        <v>0.16199999999999998</v>
      </c>
    </row>
    <row r="381" spans="3:15">
      <c r="C381" s="75" t="s">
        <v>258</v>
      </c>
      <c r="D381" s="75"/>
      <c r="E381" s="76" t="s">
        <v>1067</v>
      </c>
      <c r="F381" s="82">
        <f>_xlfn.XLOOKUP($C381,$C$38:$C$44,F$38:F$44)*F$348</f>
        <v>0</v>
      </c>
      <c r="G381" s="82">
        <f>_xlfn.XLOOKUP($C381,$C$38:$C$44,G$38:G$44)*G$348</f>
        <v>0</v>
      </c>
      <c r="H381" s="82">
        <f>_xlfn.XLOOKUP($C381,$C$38:$C$44,H$38:H$44)*H$348</f>
        <v>1.6053035589672018</v>
      </c>
      <c r="I381" s="82">
        <f>_xlfn.XLOOKUP($C381,$C$38:$C$44,I$38:I$44)*I$348</f>
        <v>1.8272573124205174</v>
      </c>
      <c r="J381" s="82">
        <f>_xlfn.XLOOKUP($C381,$C$38:$C$44,J$38:J$44)*J$348</f>
        <v>2.1520200214515555</v>
      </c>
      <c r="K381" s="82">
        <f>J381*(1+K382)</f>
        <v>2.7911699678226674</v>
      </c>
      <c r="L381" s="82">
        <f t="shared" ref="L381" si="499">K381*(1+L382)</f>
        <v>3.4443037402931713</v>
      </c>
      <c r="M381" s="82">
        <f t="shared" ref="M381" si="500">L381*(1+M382)</f>
        <v>4.177940436975617</v>
      </c>
      <c r="N381" s="82">
        <f t="shared" ref="N381" si="501">M381*(1+N382)</f>
        <v>5.0218844052446912</v>
      </c>
      <c r="O381" s="82">
        <f t="shared" ref="O381" si="502">N381*(1+O382)</f>
        <v>6.0363050551041182</v>
      </c>
    </row>
    <row r="382" spans="3:15">
      <c r="C382" s="101" t="s">
        <v>307</v>
      </c>
      <c r="D382" s="101"/>
      <c r="E382" s="101"/>
      <c r="F382" s="84"/>
      <c r="G382" s="102" t="e">
        <f>(G381-F381)/F381</f>
        <v>#DIV/0!</v>
      </c>
      <c r="H382" s="102" t="e">
        <f t="shared" ref="H382" si="503">(H381-G381)/G381</f>
        <v>#DIV/0!</v>
      </c>
      <c r="I382" s="102">
        <f t="shared" ref="I382" si="504">(I381-H381)/H381</f>
        <v>0.13826279286150286</v>
      </c>
      <c r="J382" s="102">
        <f t="shared" ref="J382" si="505">(J381-I381)/I381</f>
        <v>0.17773233513611386</v>
      </c>
      <c r="K382" s="102">
        <f>_xlfn.XLOOKUP($E$4,$C383:$C385,K383:K385)</f>
        <v>0.29699999999999999</v>
      </c>
      <c r="L382" s="102">
        <f t="shared" ref="L382:O382" si="506">_xlfn.XLOOKUP($E$4,$C383:$C385,L383:L385)</f>
        <v>0.23399999999999999</v>
      </c>
      <c r="M382" s="102">
        <f t="shared" si="506"/>
        <v>0.21300000000000002</v>
      </c>
      <c r="N382" s="102">
        <f t="shared" si="506"/>
        <v>0.20200000000000001</v>
      </c>
      <c r="O382" s="102">
        <f t="shared" si="506"/>
        <v>0.20200000000000001</v>
      </c>
    </row>
    <row r="383" spans="3:15">
      <c r="C383" s="103" t="s">
        <v>1002</v>
      </c>
      <c r="D383" s="104">
        <v>0.01</v>
      </c>
      <c r="E383" s="75"/>
      <c r="F383" s="75"/>
      <c r="G383" s="75"/>
      <c r="H383" s="75"/>
      <c r="I383" s="75"/>
      <c r="J383" s="75"/>
      <c r="K383" s="105">
        <f>K384+$D383</f>
        <v>0.307</v>
      </c>
      <c r="L383" s="105">
        <f t="shared" ref="L383:O383" si="507">L384+$D383</f>
        <v>0.24399999999999999</v>
      </c>
      <c r="M383" s="105">
        <f t="shared" si="507"/>
        <v>0.22300000000000003</v>
      </c>
      <c r="N383" s="105">
        <f t="shared" si="507"/>
        <v>0.21200000000000002</v>
      </c>
      <c r="O383" s="105">
        <f t="shared" si="507"/>
        <v>0.21200000000000002</v>
      </c>
    </row>
    <row r="384" spans="3:15">
      <c r="C384" s="103" t="s">
        <v>11</v>
      </c>
      <c r="D384" s="104">
        <v>0</v>
      </c>
      <c r="E384" s="75"/>
      <c r="F384" s="75"/>
      <c r="G384" s="75"/>
      <c r="H384" s="75"/>
      <c r="I384" s="75"/>
      <c r="J384" s="75"/>
      <c r="K384" s="105">
        <f>_xlfn.XLOOKUP($C381,$C$464:$C$470,K$464:K$470)+$D$341</f>
        <v>0.29699999999999999</v>
      </c>
      <c r="L384" s="105">
        <f t="shared" ref="L384:O384" si="508">_xlfn.XLOOKUP($C381,$C$464:$C$470,L$464:L$470)+$D$341</f>
        <v>0.23399999999999999</v>
      </c>
      <c r="M384" s="105">
        <f t="shared" si="508"/>
        <v>0.21300000000000002</v>
      </c>
      <c r="N384" s="105">
        <f t="shared" si="508"/>
        <v>0.20200000000000001</v>
      </c>
      <c r="O384" s="105">
        <f t="shared" si="508"/>
        <v>0.20200000000000001</v>
      </c>
    </row>
    <row r="385" spans="1:15">
      <c r="C385" s="103" t="s">
        <v>1003</v>
      </c>
      <c r="D385" s="104">
        <v>-0.01</v>
      </c>
      <c r="E385" s="75"/>
      <c r="F385" s="75"/>
      <c r="G385" s="75"/>
      <c r="H385" s="75"/>
      <c r="I385" s="75"/>
      <c r="J385" s="75"/>
      <c r="K385" s="105">
        <f>K384+$D385</f>
        <v>0.28699999999999998</v>
      </c>
      <c r="L385" s="105">
        <f t="shared" ref="L385:O385" si="509">L384+$D385</f>
        <v>0.22399999999999998</v>
      </c>
      <c r="M385" s="105">
        <f t="shared" si="509"/>
        <v>0.20300000000000001</v>
      </c>
      <c r="N385" s="105">
        <f t="shared" si="509"/>
        <v>0.192</v>
      </c>
      <c r="O385" s="105">
        <f t="shared" si="509"/>
        <v>0.192</v>
      </c>
    </row>
    <row r="387" spans="1:15">
      <c r="C387" s="75" t="s">
        <v>259</v>
      </c>
      <c r="D387" s="75"/>
      <c r="E387" s="76" t="s">
        <v>1067</v>
      </c>
      <c r="F387" s="82">
        <f>_xlfn.XLOOKUP($C387,$C$38:$C$44,F$38:F$44)*F$348</f>
        <v>1.8848614072494669</v>
      </c>
      <c r="G387" s="82">
        <f>_xlfn.XLOOKUP($C387,$C$38:$C$44,G$38:G$44)*G$348</f>
        <v>0.90311111111111109</v>
      </c>
      <c r="H387" s="82">
        <f>_xlfn.XLOOKUP($C387,$C$38:$C$44,H$38:H$44)*H$348</f>
        <v>7.4319609211444523E-2</v>
      </c>
      <c r="I387" s="82">
        <f>_xlfn.XLOOKUP($C387,$C$38:$C$44,I$38:I$44)*I$348</f>
        <v>0.10864773208986858</v>
      </c>
      <c r="J387" s="82">
        <f>_xlfn.XLOOKUP($C387,$C$38:$C$44,J$38:J$44)*J$348</f>
        <v>0.14158026456918124</v>
      </c>
      <c r="K387" s="82">
        <f>J387*(1+K388)</f>
        <v>0.2169245620307472</v>
      </c>
      <c r="L387" s="82">
        <f t="shared" ref="L387" si="510">K387*(1+L388)</f>
        <v>0.32802609188416154</v>
      </c>
      <c r="M387" s="82">
        <f t="shared" ref="M387" si="511">L387*(1+M388)</f>
        <v>0.49143775665778799</v>
      </c>
      <c r="N387" s="82">
        <f t="shared" ref="N387" si="512">M387*(1+N388)</f>
        <v>0.73166891337067008</v>
      </c>
      <c r="O387" s="82">
        <f t="shared" ref="O387" si="513">N387*(1+O388)</f>
        <v>1.0898208464656132</v>
      </c>
    </row>
    <row r="388" spans="1:15">
      <c r="C388" s="101" t="s">
        <v>307</v>
      </c>
      <c r="D388" s="101"/>
      <c r="E388" s="101"/>
      <c r="F388" s="84"/>
      <c r="G388" s="102">
        <f>(G387-F387)/F387</f>
        <v>-0.52086073403720468</v>
      </c>
      <c r="H388" s="102">
        <f t="shared" ref="H388" si="514">(H387-G387)/G387</f>
        <v>-0.91770712562709145</v>
      </c>
      <c r="I388" s="102">
        <f t="shared" ref="I388" si="515">(I387-H387)/H387</f>
        <v>0.46189859234536784</v>
      </c>
      <c r="J388" s="102">
        <f t="shared" ref="J388" si="516">(J387-I387)/I387</f>
        <v>0.30311293062309236</v>
      </c>
      <c r="K388" s="102">
        <f>_xlfn.XLOOKUP($E$4,$C389:$C391,K389:K391)</f>
        <v>0.53216666666666668</v>
      </c>
      <c r="L388" s="102">
        <f t="shared" ref="L388:O388" si="517">_xlfn.XLOOKUP($E$4,$C389:$C391,L389:L391)</f>
        <v>0.51216666666666666</v>
      </c>
      <c r="M388" s="102">
        <f t="shared" si="517"/>
        <v>0.4981666666666667</v>
      </c>
      <c r="N388" s="102">
        <f t="shared" si="517"/>
        <v>0.48883333333333334</v>
      </c>
      <c r="O388" s="102">
        <f t="shared" si="517"/>
        <v>0.48950000000000005</v>
      </c>
    </row>
    <row r="389" spans="1:15">
      <c r="C389" s="103" t="s">
        <v>1002</v>
      </c>
      <c r="D389" s="104">
        <v>0.01</v>
      </c>
      <c r="E389" s="75"/>
      <c r="F389" s="75"/>
      <c r="G389" s="75"/>
      <c r="H389" s="75"/>
      <c r="I389" s="75"/>
      <c r="J389" s="75"/>
      <c r="K389" s="105">
        <f>K390+$D389</f>
        <v>0.54216666666666669</v>
      </c>
      <c r="L389" s="105">
        <f t="shared" ref="L389:O389" si="518">L390+$D389</f>
        <v>0.52216666666666667</v>
      </c>
      <c r="M389" s="105">
        <f t="shared" si="518"/>
        <v>0.50816666666666666</v>
      </c>
      <c r="N389" s="105">
        <f t="shared" si="518"/>
        <v>0.49883333333333335</v>
      </c>
      <c r="O389" s="105">
        <f t="shared" si="518"/>
        <v>0.49950000000000006</v>
      </c>
    </row>
    <row r="390" spans="1:15">
      <c r="C390" s="103" t="s">
        <v>11</v>
      </c>
      <c r="D390" s="104">
        <v>0</v>
      </c>
      <c r="E390" s="75"/>
      <c r="F390" s="75"/>
      <c r="G390" s="75"/>
      <c r="H390" s="75"/>
      <c r="I390" s="75"/>
      <c r="J390" s="75"/>
      <c r="K390" s="105">
        <f>_xlfn.XLOOKUP($C387,$C$464:$C$470,K$464:K$470)+$D$341</f>
        <v>0.53216666666666668</v>
      </c>
      <c r="L390" s="105">
        <f t="shared" ref="L390:O390" si="519">_xlfn.XLOOKUP($C387,$C$464:$C$470,L$464:L$470)+$D$341</f>
        <v>0.51216666666666666</v>
      </c>
      <c r="M390" s="105">
        <f t="shared" si="519"/>
        <v>0.4981666666666667</v>
      </c>
      <c r="N390" s="105">
        <f t="shared" si="519"/>
        <v>0.48883333333333334</v>
      </c>
      <c r="O390" s="105">
        <f t="shared" si="519"/>
        <v>0.48950000000000005</v>
      </c>
    </row>
    <row r="391" spans="1:15">
      <c r="C391" s="103" t="s">
        <v>1003</v>
      </c>
      <c r="D391" s="104">
        <v>-0.01</v>
      </c>
      <c r="E391" s="75"/>
      <c r="F391" s="75"/>
      <c r="G391" s="75"/>
      <c r="H391" s="75"/>
      <c r="I391" s="75"/>
      <c r="J391" s="75"/>
      <c r="K391" s="105">
        <f>K390+$D391</f>
        <v>0.52216666666666667</v>
      </c>
      <c r="L391" s="105">
        <f t="shared" ref="L391:O391" si="520">L390+$D391</f>
        <v>0.50216666666666665</v>
      </c>
      <c r="M391" s="105">
        <f t="shared" si="520"/>
        <v>0.48816666666666669</v>
      </c>
      <c r="N391" s="105">
        <f t="shared" si="520"/>
        <v>0.47883333333333333</v>
      </c>
      <c r="O391" s="105">
        <f t="shared" si="520"/>
        <v>0.47950000000000004</v>
      </c>
    </row>
    <row r="393" spans="1:15">
      <c r="C393" s="85" t="s">
        <v>1068</v>
      </c>
      <c r="D393" s="85"/>
      <c r="E393" s="86"/>
      <c r="F393" s="86"/>
      <c r="G393" s="86"/>
      <c r="H393" s="86"/>
      <c r="I393" s="86"/>
      <c r="J393" s="86"/>
      <c r="K393" s="86"/>
      <c r="L393" s="86"/>
      <c r="M393" s="86"/>
      <c r="N393" s="86"/>
      <c r="O393" s="880"/>
    </row>
    <row r="395" spans="1:15">
      <c r="C395" s="107" t="s">
        <v>1085</v>
      </c>
      <c r="D395" s="107"/>
      <c r="E395" s="109" t="s">
        <v>968</v>
      </c>
      <c r="F395" s="114">
        <f>F343/F348</f>
        <v>-0.96153846153846145</v>
      </c>
      <c r="G395" s="114">
        <f>G343/G348</f>
        <v>2.1259842519685042</v>
      </c>
      <c r="H395" s="114">
        <f>H343/H348</f>
        <v>3.004694835680751</v>
      </c>
      <c r="I395" s="114">
        <f>I343/I348</f>
        <v>7.5965665236051496</v>
      </c>
      <c r="J395" s="114">
        <f>J343/J348</f>
        <v>9.5833333333333339</v>
      </c>
      <c r="K395" s="107">
        <f>K398+K404+K410+K416+K422+K428+K434</f>
        <v>9.799008357168395</v>
      </c>
      <c r="L395" s="107">
        <f>SUM(L398,L404,L410,L416,L422,L428,L434)</f>
        <v>10.024733239692528</v>
      </c>
      <c r="M395" s="107">
        <f>SUM(M398,M404,M410,M416,M422,M428,M434)</f>
        <v>10.258315911727463</v>
      </c>
      <c r="N395" s="107">
        <f>SUM(N398,N404,N410,N416,N422,N428,N434)</f>
        <v>10.494220876105882</v>
      </c>
      <c r="O395" s="107">
        <f>SUM(O398,O404,O410,O416,O422,O428,O434)</f>
        <v>10.736005961977234</v>
      </c>
    </row>
    <row r="396" spans="1:15">
      <c r="F396" s="84"/>
      <c r="G396" s="102">
        <f>(G395-F395)/F395</f>
        <v>-3.2110236220472443</v>
      </c>
      <c r="H396" s="102">
        <f t="shared" ref="H396" si="521">(H395-G395)/G395</f>
        <v>0.41331942270909383</v>
      </c>
      <c r="I396" s="102">
        <f t="shared" ref="I396" si="522">(I395-H395)/H395</f>
        <v>1.5282322961373389</v>
      </c>
      <c r="J396" s="102">
        <f t="shared" ref="J396" si="523">(J395-I395)/I395</f>
        <v>0.26153483992467064</v>
      </c>
      <c r="K396" s="102">
        <f>(K395-J395)/J395</f>
        <v>2.2505219878441157E-2</v>
      </c>
      <c r="L396" s="102">
        <f t="shared" ref="L396" si="524">(L395-K395)/K395</f>
        <v>2.3035482193359488E-2</v>
      </c>
      <c r="M396" s="102">
        <f t="shared" ref="M396" si="525">(M395-L395)/L395</f>
        <v>2.3300637179059624E-2</v>
      </c>
      <c r="N396" s="102">
        <f t="shared" ref="N396" si="526">(N395-M395)/M395</f>
        <v>2.2996461252351219E-2</v>
      </c>
      <c r="O396" s="102">
        <f t="shared" ref="O396" si="527">(O395-N395)/N395</f>
        <v>2.3039831991898446E-2</v>
      </c>
    </row>
    <row r="397" spans="1:15">
      <c r="A397" s="879"/>
      <c r="B397" s="879"/>
      <c r="C397" s="879"/>
      <c r="D397" s="879"/>
      <c r="E397" s="879"/>
      <c r="F397" s="879"/>
      <c r="G397" s="879"/>
      <c r="H397" s="879"/>
      <c r="I397" s="879"/>
      <c r="J397" s="879"/>
      <c r="K397" s="879"/>
      <c r="L397" s="879"/>
      <c r="M397" s="879"/>
      <c r="N397" s="879"/>
      <c r="O397" s="879"/>
    </row>
    <row r="398" spans="1:15">
      <c r="C398" s="75" t="s">
        <v>231</v>
      </c>
      <c r="D398" s="75"/>
      <c r="E398" s="76" t="s">
        <v>968</v>
      </c>
      <c r="F398" s="82">
        <f>_xlfn.XLOOKUP($C398,$C$38:$C$44,F$38:F$44)*F$395</f>
        <v>-0.50434639986878793</v>
      </c>
      <c r="G398" s="82">
        <f>_xlfn.XLOOKUP($C398,$C$38:$C$44,G$38:G$44)*G$395</f>
        <v>0.89133858267716548</v>
      </c>
      <c r="H398" s="82">
        <f>_xlfn.XLOOKUP($C398,$C$38:$C$44,H$38:H$44)*H$395</f>
        <v>0.63322947688456854</v>
      </c>
      <c r="I398" s="82">
        <f>_xlfn.XLOOKUP($C398,$C$38:$C$44,I$38:I$44)*I$395</f>
        <v>1.5457193435059229</v>
      </c>
      <c r="J398" s="82">
        <f>_xlfn.XLOOKUP($C398,$C$38:$C$44,J$38:J$44)*J$395</f>
        <v>1.9803956620188299</v>
      </c>
      <c r="K398" s="82">
        <f>J398*(1+K399)</f>
        <v>2.0093094386843049</v>
      </c>
      <c r="L398" s="82">
        <f t="shared" ref="L398" si="528">K398*(1+L399)</f>
        <v>2.0454368223918489</v>
      </c>
      <c r="M398" s="82">
        <f t="shared" ref="M398" si="529">L398*(1+M399)</f>
        <v>2.084341030753742</v>
      </c>
      <c r="N398" s="82">
        <f t="shared" ref="N398" si="530">M398*(1+N399)</f>
        <v>2.1238809801071405</v>
      </c>
      <c r="O398" s="82">
        <f t="shared" ref="O398" si="531">N398*(1+O399)</f>
        <v>2.1643833903977834</v>
      </c>
    </row>
    <row r="399" spans="1:15">
      <c r="C399" s="101" t="s">
        <v>307</v>
      </c>
      <c r="D399" s="101"/>
      <c r="E399" s="101"/>
      <c r="F399" s="84"/>
      <c r="G399" s="102">
        <f>(G398-F398)/F398</f>
        <v>-2.7673142564496516</v>
      </c>
      <c r="H399" s="102">
        <f t="shared" ref="H399" si="532">(H398-G398)/G398</f>
        <v>-0.28957470349522796</v>
      </c>
      <c r="I399" s="102">
        <f t="shared" ref="I399" si="533">(I398-H398)/H398</f>
        <v>1.4410097759673499</v>
      </c>
      <c r="J399" s="102">
        <f t="shared" ref="J399" si="534">(J398-I398)/I398</f>
        <v>0.28121296426749504</v>
      </c>
      <c r="K399" s="102">
        <f>_xlfn.XLOOKUP($E$4,$C400:$C402,K400:K402)</f>
        <v>1.46E-2</v>
      </c>
      <c r="L399" s="102">
        <f t="shared" ref="L399:O399" si="535">_xlfn.XLOOKUP($E$4,$C400:$C402,L400:L402)</f>
        <v>1.7979999999999999E-2</v>
      </c>
      <c r="M399" s="102">
        <f t="shared" si="535"/>
        <v>1.9019999999999999E-2</v>
      </c>
      <c r="N399" s="102">
        <f t="shared" si="535"/>
        <v>1.8970000000000001E-2</v>
      </c>
      <c r="O399" s="102">
        <f t="shared" si="535"/>
        <v>1.907E-2</v>
      </c>
    </row>
    <row r="400" spans="1:15">
      <c r="C400" s="103" t="s">
        <v>1002</v>
      </c>
      <c r="D400" s="104">
        <v>0.01</v>
      </c>
      <c r="E400" s="75"/>
      <c r="F400" s="75"/>
      <c r="G400" s="75"/>
      <c r="H400" s="75"/>
      <c r="I400" s="75"/>
      <c r="J400" s="75"/>
      <c r="K400" s="105">
        <f>K401+$D400</f>
        <v>2.46E-2</v>
      </c>
      <c r="L400" s="105">
        <f t="shared" ref="L400:O400" si="536">L401+$D400</f>
        <v>2.7979999999999998E-2</v>
      </c>
      <c r="M400" s="105">
        <f t="shared" si="536"/>
        <v>2.9019999999999997E-2</v>
      </c>
      <c r="N400" s="105">
        <f t="shared" si="536"/>
        <v>2.8970000000000003E-2</v>
      </c>
      <c r="O400" s="105">
        <f t="shared" si="536"/>
        <v>2.9069999999999999E-2</v>
      </c>
    </row>
    <row r="401" spans="3:15">
      <c r="C401" s="103" t="s">
        <v>11</v>
      </c>
      <c r="D401" s="104">
        <v>0</v>
      </c>
      <c r="E401" s="75"/>
      <c r="F401" s="75"/>
      <c r="G401" s="75"/>
      <c r="H401" s="75"/>
      <c r="I401" s="75"/>
      <c r="J401" s="75"/>
      <c r="K401" s="105">
        <f>_xlfn.XLOOKUP($C398,$C$443:$C$452,K$443:K$452)</f>
        <v>1.46E-2</v>
      </c>
      <c r="L401" s="105">
        <f t="shared" ref="L401:O401" si="537">_xlfn.XLOOKUP($C398,$C$443:$C$452,L$443:L$452)</f>
        <v>1.7979999999999999E-2</v>
      </c>
      <c r="M401" s="105">
        <f t="shared" si="537"/>
        <v>1.9019999999999999E-2</v>
      </c>
      <c r="N401" s="105">
        <f t="shared" si="537"/>
        <v>1.8970000000000001E-2</v>
      </c>
      <c r="O401" s="105">
        <f t="shared" si="537"/>
        <v>1.907E-2</v>
      </c>
    </row>
    <row r="402" spans="3:15">
      <c r="C402" s="103" t="s">
        <v>1003</v>
      </c>
      <c r="D402" s="104">
        <v>-0.01</v>
      </c>
      <c r="E402" s="75"/>
      <c r="F402" s="75"/>
      <c r="G402" s="75"/>
      <c r="H402" s="75"/>
      <c r="I402" s="75"/>
      <c r="J402" s="75"/>
      <c r="K402" s="105">
        <f>K401+$D402</f>
        <v>4.5999999999999999E-3</v>
      </c>
      <c r="L402" s="105">
        <f t="shared" ref="L402:O402" si="538">L401+$D402</f>
        <v>7.9799999999999992E-3</v>
      </c>
      <c r="M402" s="105">
        <f t="shared" si="538"/>
        <v>9.0199999999999985E-3</v>
      </c>
      <c r="N402" s="105">
        <f t="shared" si="538"/>
        <v>8.9700000000000005E-3</v>
      </c>
      <c r="O402" s="105">
        <f t="shared" si="538"/>
        <v>9.0699999999999999E-3</v>
      </c>
    </row>
    <row r="404" spans="3:15">
      <c r="C404" s="75" t="s">
        <v>257</v>
      </c>
      <c r="D404" s="75"/>
      <c r="E404" s="76" t="s">
        <v>968</v>
      </c>
      <c r="F404" s="82">
        <f>_xlfn.XLOOKUP($C404,$C$38:$C$44,F$38:F$44)*F$395</f>
        <v>-0.18656716417910446</v>
      </c>
      <c r="G404" s="82">
        <f>_xlfn.XLOOKUP($C404,$C$38:$C$44,G$38:G$44)*G$395</f>
        <v>0.34015748031496068</v>
      </c>
      <c r="H404" s="82">
        <f>_xlfn.XLOOKUP($C404,$C$38:$C$44,H$38:H$44)*H$395</f>
        <v>1.0672642507756471</v>
      </c>
      <c r="I404" s="82">
        <f>_xlfn.XLOOKUP($C404,$C$38:$C$44,I$38:I$44)*I$395</f>
        <v>2.1672273295405962</v>
      </c>
      <c r="J404" s="82">
        <f>_xlfn.XLOOKUP($C404,$C$38:$C$44,J$38:J$44)*J$395</f>
        <v>2.7958526993207009</v>
      </c>
      <c r="K404" s="82">
        <f>J404*(1+K405)</f>
        <v>2.8545656060064353</v>
      </c>
      <c r="L404" s="82">
        <f t="shared" ref="L404" si="539">K404*(1+L405)</f>
        <v>2.9116283724705037</v>
      </c>
      <c r="M404" s="82">
        <f t="shared" ref="M404" si="540">L404*(1+M405)</f>
        <v>2.9698318236361887</v>
      </c>
      <c r="N404" s="82">
        <f t="shared" ref="N404" si="541">M404*(1+N405)</f>
        <v>3.0292581584271492</v>
      </c>
      <c r="O404" s="82">
        <f t="shared" ref="O404" si="542">N404*(1+O405)</f>
        <v>3.0898130290141079</v>
      </c>
    </row>
    <row r="405" spans="3:15">
      <c r="C405" s="101" t="s">
        <v>307</v>
      </c>
      <c r="D405" s="101"/>
      <c r="E405" s="101"/>
      <c r="F405" s="84"/>
      <c r="G405" s="102">
        <f>(G404-F404)/F404</f>
        <v>-2.8232440944881896</v>
      </c>
      <c r="H405" s="102">
        <f t="shared" ref="H405" si="543">(H404-G404)/G404</f>
        <v>2.1375592557524805</v>
      </c>
      <c r="I405" s="102">
        <f t="shared" ref="I405" si="544">(I404-H404)/H404</f>
        <v>1.0306379867643254</v>
      </c>
      <c r="J405" s="102">
        <f t="shared" ref="J405" si="545">(J404-I404)/I404</f>
        <v>0.29005972802740509</v>
      </c>
      <c r="K405" s="102">
        <f>_xlfn.XLOOKUP($E$4,$C406:$C408,K406:K408)</f>
        <v>2.1000000000000001E-2</v>
      </c>
      <c r="L405" s="102">
        <f t="shared" ref="L405:O405" si="546">_xlfn.XLOOKUP($E$4,$C406:$C408,L406:L408)</f>
        <v>1.9990000000000001E-2</v>
      </c>
      <c r="M405" s="102">
        <f t="shared" si="546"/>
        <v>1.9990000000000001E-2</v>
      </c>
      <c r="N405" s="102">
        <f t="shared" si="546"/>
        <v>2.001E-2</v>
      </c>
      <c r="O405" s="102">
        <f t="shared" si="546"/>
        <v>1.9990000000000001E-2</v>
      </c>
    </row>
    <row r="406" spans="3:15">
      <c r="C406" s="103" t="s">
        <v>1002</v>
      </c>
      <c r="D406" s="104">
        <v>0.01</v>
      </c>
      <c r="E406" s="75"/>
      <c r="F406" s="75"/>
      <c r="G406" s="75"/>
      <c r="H406" s="75"/>
      <c r="I406" s="75"/>
      <c r="J406" s="75"/>
      <c r="K406" s="105">
        <f>K407+$D406</f>
        <v>3.1E-2</v>
      </c>
      <c r="L406" s="105">
        <f t="shared" ref="L406:O406" si="547">L407+$D406</f>
        <v>2.9990000000000003E-2</v>
      </c>
      <c r="M406" s="105">
        <f t="shared" si="547"/>
        <v>2.9990000000000003E-2</v>
      </c>
      <c r="N406" s="105">
        <f t="shared" si="547"/>
        <v>3.0010000000000002E-2</v>
      </c>
      <c r="O406" s="105">
        <f t="shared" si="547"/>
        <v>2.9990000000000003E-2</v>
      </c>
    </row>
    <row r="407" spans="3:15">
      <c r="C407" s="103" t="s">
        <v>11</v>
      </c>
      <c r="D407" s="104">
        <v>0</v>
      </c>
      <c r="E407" s="75"/>
      <c r="F407" s="75"/>
      <c r="G407" s="75"/>
      <c r="H407" s="75"/>
      <c r="I407" s="75"/>
      <c r="J407" s="75"/>
      <c r="K407" s="105">
        <f>_xlfn.XLOOKUP($C404,$C$443:$C$452,K$443:K$452)</f>
        <v>2.1000000000000001E-2</v>
      </c>
      <c r="L407" s="105">
        <f t="shared" ref="L407:O407" si="548">_xlfn.XLOOKUP($C404,$C$443:$C$452,L$443:L$452)</f>
        <v>1.9990000000000001E-2</v>
      </c>
      <c r="M407" s="105">
        <f t="shared" si="548"/>
        <v>1.9990000000000001E-2</v>
      </c>
      <c r="N407" s="105">
        <f t="shared" si="548"/>
        <v>2.001E-2</v>
      </c>
      <c r="O407" s="105">
        <f t="shared" si="548"/>
        <v>1.9990000000000001E-2</v>
      </c>
    </row>
    <row r="408" spans="3:15">
      <c r="C408" s="103" t="s">
        <v>1003</v>
      </c>
      <c r="D408" s="104">
        <v>-0.01</v>
      </c>
      <c r="E408" s="75"/>
      <c r="F408" s="75"/>
      <c r="G408" s="75"/>
      <c r="H408" s="75"/>
      <c r="I408" s="75"/>
      <c r="J408" s="75"/>
      <c r="K408" s="105">
        <f>K407+$D408</f>
        <v>1.1000000000000001E-2</v>
      </c>
      <c r="L408" s="105">
        <f t="shared" ref="L408:O408" si="549">L407+$D408</f>
        <v>9.9900000000000006E-3</v>
      </c>
      <c r="M408" s="105">
        <f t="shared" si="549"/>
        <v>9.9900000000000006E-3</v>
      </c>
      <c r="N408" s="105">
        <f t="shared" si="549"/>
        <v>1.001E-2</v>
      </c>
      <c r="O408" s="105">
        <f t="shared" si="549"/>
        <v>9.9900000000000006E-3</v>
      </c>
    </row>
    <row r="410" spans="3:15">
      <c r="C410" s="75" t="s">
        <v>233</v>
      </c>
      <c r="D410" s="75"/>
      <c r="E410" s="76" t="s">
        <v>968</v>
      </c>
      <c r="F410" s="82">
        <f>_xlfn.XLOOKUP($C410,$C$38:$C$44,F$38:F$44)*F$395</f>
        <v>0.12506150565852059</v>
      </c>
      <c r="G410" s="82">
        <f>_xlfn.XLOOKUP($C410,$C$38:$C$44,G$38:G$44)*G$395</f>
        <v>0.2488188976377953</v>
      </c>
      <c r="H410" s="82">
        <f>_xlfn.XLOOKUP($C410,$C$38:$C$44,H$38:H$44)*H$395</f>
        <v>0.57661624550747148</v>
      </c>
      <c r="I410" s="82">
        <f>_xlfn.XLOOKUP($C410,$C$38:$C$44,I$38:I$44)*I$395</f>
        <v>1.9482504225439232</v>
      </c>
      <c r="J410" s="82">
        <f>_xlfn.XLOOKUP($C410,$C$38:$C$44,J$38:J$44)*J$395</f>
        <v>2.2031045167441308</v>
      </c>
      <c r="K410" s="82">
        <f>J410*(1+K411)</f>
        <v>2.2606055446311526</v>
      </c>
      <c r="L410" s="82">
        <f t="shared" ref="L410" si="550">K410*(1+L411)</f>
        <v>2.3193586827361163</v>
      </c>
      <c r="M410" s="82">
        <f t="shared" ref="M410" si="551">L410*(1+M411)</f>
        <v>2.3796620084872555</v>
      </c>
      <c r="N410" s="82">
        <f t="shared" ref="N410" si="552">M410*(1+N411)</f>
        <v>2.4391773553195217</v>
      </c>
      <c r="O410" s="82">
        <f t="shared" ref="O410" si="553">N410*(1+O411)</f>
        <v>2.5001080056554033</v>
      </c>
    </row>
    <row r="411" spans="3:15">
      <c r="C411" s="101" t="s">
        <v>307</v>
      </c>
      <c r="D411" s="101"/>
      <c r="E411" s="101"/>
      <c r="F411" s="84"/>
      <c r="G411" s="102">
        <f>(G410-F410)/F410</f>
        <v>0.98957222150509883</v>
      </c>
      <c r="H411" s="102">
        <f t="shared" ref="H411" si="554">(H410-G410)/G410</f>
        <v>1.3174133917547111</v>
      </c>
      <c r="I411" s="102">
        <f t="shared" ref="I411" si="555">(I410-H410)/H410</f>
        <v>2.378764364901472</v>
      </c>
      <c r="J411" s="102">
        <f t="shared" ref="J411" si="556">(J410-I410)/I410</f>
        <v>0.13081177411856143</v>
      </c>
      <c r="K411" s="102">
        <f>_xlfn.XLOOKUP($E$4,$C412:$C414,K412:K414)</f>
        <v>2.6099999999999998E-2</v>
      </c>
      <c r="L411" s="102">
        <f t="shared" ref="L411:O411" si="557">_xlfn.XLOOKUP($E$4,$C412:$C414,L412:L414)</f>
        <v>2.5990000000000003E-2</v>
      </c>
      <c r="M411" s="102">
        <f t="shared" si="557"/>
        <v>2.6000000000000002E-2</v>
      </c>
      <c r="N411" s="102">
        <f t="shared" si="557"/>
        <v>2.5009999999999998E-2</v>
      </c>
      <c r="O411" s="102">
        <f t="shared" si="557"/>
        <v>2.4980000000000002E-2</v>
      </c>
    </row>
    <row r="412" spans="3:15">
      <c r="C412" s="103" t="s">
        <v>1002</v>
      </c>
      <c r="D412" s="104">
        <v>0.01</v>
      </c>
      <c r="E412" s="75"/>
      <c r="F412" s="75"/>
      <c r="G412" s="75"/>
      <c r="H412" s="75"/>
      <c r="I412" s="75"/>
      <c r="J412" s="75"/>
      <c r="K412" s="105">
        <f>K413+$D412</f>
        <v>3.61E-2</v>
      </c>
      <c r="L412" s="105">
        <f t="shared" ref="L412:O412" si="558">L413+$D412</f>
        <v>3.5990000000000001E-2</v>
      </c>
      <c r="M412" s="105">
        <f t="shared" si="558"/>
        <v>3.6000000000000004E-2</v>
      </c>
      <c r="N412" s="105">
        <f t="shared" si="558"/>
        <v>3.5009999999999999E-2</v>
      </c>
      <c r="O412" s="105">
        <f t="shared" si="558"/>
        <v>3.4980000000000004E-2</v>
      </c>
    </row>
    <row r="413" spans="3:15">
      <c r="C413" s="103" t="s">
        <v>11</v>
      </c>
      <c r="D413" s="104">
        <v>0</v>
      </c>
      <c r="E413" s="75"/>
      <c r="F413" s="75"/>
      <c r="G413" s="75"/>
      <c r="H413" s="75"/>
      <c r="I413" s="75"/>
      <c r="J413" s="75"/>
      <c r="K413" s="105">
        <f>_xlfn.XLOOKUP($C410,$C$443:$C$452,K$443:K$452)</f>
        <v>2.6099999999999998E-2</v>
      </c>
      <c r="L413" s="105">
        <f t="shared" ref="L413:O413" si="559">_xlfn.XLOOKUP($C410,$C$443:$C$452,L$443:L$452)</f>
        <v>2.5990000000000003E-2</v>
      </c>
      <c r="M413" s="105">
        <f t="shared" si="559"/>
        <v>2.6000000000000002E-2</v>
      </c>
      <c r="N413" s="105">
        <f t="shared" si="559"/>
        <v>2.5009999999999998E-2</v>
      </c>
      <c r="O413" s="105">
        <f t="shared" si="559"/>
        <v>2.4980000000000002E-2</v>
      </c>
    </row>
    <row r="414" spans="3:15">
      <c r="C414" s="103" t="s">
        <v>1003</v>
      </c>
      <c r="D414" s="104">
        <v>-0.01</v>
      </c>
      <c r="E414" s="75"/>
      <c r="F414" s="75"/>
      <c r="G414" s="75"/>
      <c r="H414" s="75"/>
      <c r="I414" s="75"/>
      <c r="J414" s="75"/>
      <c r="K414" s="105">
        <f>K413+$D414</f>
        <v>1.6099999999999996E-2</v>
      </c>
      <c r="L414" s="105">
        <f t="shared" ref="L414:O414" si="560">L413+$D414</f>
        <v>1.5990000000000004E-2</v>
      </c>
      <c r="M414" s="105">
        <f t="shared" si="560"/>
        <v>1.6E-2</v>
      </c>
      <c r="N414" s="105">
        <f t="shared" si="560"/>
        <v>1.5009999999999997E-2</v>
      </c>
      <c r="O414" s="105">
        <f t="shared" si="560"/>
        <v>1.4980000000000002E-2</v>
      </c>
    </row>
    <row r="416" spans="3:15">
      <c r="C416" s="75" t="s">
        <v>244</v>
      </c>
      <c r="D416" s="75"/>
      <c r="E416" s="76" t="s">
        <v>968</v>
      </c>
      <c r="F416" s="82">
        <f>_xlfn.XLOOKUP($C416,$C$38:$C$44,F$38:F$44)*F$395</f>
        <v>-0.10455961948499262</v>
      </c>
      <c r="G416" s="82">
        <f>_xlfn.XLOOKUP($C416,$C$38:$C$44,G$38:G$44)*G$395</f>
        <v>0.2551181102362205</v>
      </c>
      <c r="H416" s="82">
        <f>_xlfn.XLOOKUP($C416,$C$38:$C$44,H$38:H$44)*H$395</f>
        <v>0.26209829341248703</v>
      </c>
      <c r="I416" s="82">
        <f>_xlfn.XLOOKUP($C416,$C$38:$C$44,I$38:I$44)*I$395</f>
        <v>0.64404972646080116</v>
      </c>
      <c r="J416" s="82">
        <f>_xlfn.XLOOKUP($C416,$C$38:$C$44,J$38:J$44)*J$395</f>
        <v>0.90796686926468839</v>
      </c>
      <c r="K416" s="82">
        <f>J416*(1+K417)</f>
        <v>0.93311755154332032</v>
      </c>
      <c r="L416" s="82">
        <f t="shared" ref="L416" si="561">K416*(1+L417)</f>
        <v>0.96110174691410444</v>
      </c>
      <c r="M416" s="82">
        <f t="shared" ref="M416" si="562">L416*(1+M417)</f>
        <v>0.98994441033899683</v>
      </c>
      <c r="N416" s="82">
        <f t="shared" ref="N416" si="563">M416*(1+N417)</f>
        <v>1.0196130443168565</v>
      </c>
      <c r="O416" s="82">
        <f t="shared" ref="O416" si="564">N416*(1+O417)</f>
        <v>1.0502116317768055</v>
      </c>
    </row>
    <row r="417" spans="3:15">
      <c r="C417" s="101" t="s">
        <v>307</v>
      </c>
      <c r="D417" s="101"/>
      <c r="E417" s="101"/>
      <c r="F417" s="84"/>
      <c r="G417" s="102">
        <f>(G416-F416)/F416</f>
        <v>-3.4399295970356651</v>
      </c>
      <c r="H417" s="102">
        <f t="shared" ref="H417" si="565">(H416-G416)/G416</f>
        <v>2.7360594548945964E-2</v>
      </c>
      <c r="I417" s="102">
        <f t="shared" ref="I417" si="566">(I416-H416)/H416</f>
        <v>1.4572831744737984</v>
      </c>
      <c r="J417" s="102">
        <f t="shared" ref="J417" si="567">(J416-I416)/I416</f>
        <v>0.40977758697945821</v>
      </c>
      <c r="K417" s="102">
        <f>_xlfn.XLOOKUP($E$4,$C418:$C420,K418:K420)</f>
        <v>2.7699999999999999E-2</v>
      </c>
      <c r="L417" s="102">
        <f t="shared" ref="L417:O417" si="568">_xlfn.XLOOKUP($E$4,$C418:$C420,L418:L420)</f>
        <v>2.9990000000000003E-2</v>
      </c>
      <c r="M417" s="102">
        <f t="shared" si="568"/>
        <v>3.0009999999999998E-2</v>
      </c>
      <c r="N417" s="102">
        <f t="shared" si="568"/>
        <v>2.997E-2</v>
      </c>
      <c r="O417" s="102">
        <f t="shared" si="568"/>
        <v>3.0009999999999998E-2</v>
      </c>
    </row>
    <row r="418" spans="3:15">
      <c r="C418" s="103" t="s">
        <v>1002</v>
      </c>
      <c r="D418" s="104">
        <v>0.01</v>
      </c>
      <c r="E418" s="75"/>
      <c r="F418" s="75"/>
      <c r="G418" s="75"/>
      <c r="H418" s="75"/>
      <c r="I418" s="75"/>
      <c r="J418" s="75"/>
      <c r="K418" s="105">
        <f>K419+$D418</f>
        <v>3.7699999999999997E-2</v>
      </c>
      <c r="L418" s="105">
        <f t="shared" ref="L418:O418" si="569">L419+$D418</f>
        <v>3.9990000000000005E-2</v>
      </c>
      <c r="M418" s="105">
        <f t="shared" si="569"/>
        <v>4.0009999999999997E-2</v>
      </c>
      <c r="N418" s="105">
        <f t="shared" si="569"/>
        <v>3.9969999999999999E-2</v>
      </c>
      <c r="O418" s="105">
        <f t="shared" si="569"/>
        <v>4.0009999999999997E-2</v>
      </c>
    </row>
    <row r="419" spans="3:15">
      <c r="C419" s="103" t="s">
        <v>11</v>
      </c>
      <c r="D419" s="104">
        <v>0</v>
      </c>
      <c r="E419" s="75"/>
      <c r="F419" s="75"/>
      <c r="G419" s="75"/>
      <c r="H419" s="75"/>
      <c r="I419" s="75"/>
      <c r="J419" s="75"/>
      <c r="K419" s="105">
        <f>_xlfn.XLOOKUP($C416,$C$443:$C$452,K$443:K$452)</f>
        <v>2.7699999999999999E-2</v>
      </c>
      <c r="L419" s="105">
        <f t="shared" ref="L419:O419" si="570">_xlfn.XLOOKUP($C416,$C$443:$C$452,L$443:L$452)</f>
        <v>2.9990000000000003E-2</v>
      </c>
      <c r="M419" s="105">
        <f t="shared" si="570"/>
        <v>3.0009999999999998E-2</v>
      </c>
      <c r="N419" s="105">
        <f t="shared" si="570"/>
        <v>2.997E-2</v>
      </c>
      <c r="O419" s="105">
        <f t="shared" si="570"/>
        <v>3.0009999999999998E-2</v>
      </c>
    </row>
    <row r="420" spans="3:15">
      <c r="C420" s="103" t="s">
        <v>1003</v>
      </c>
      <c r="D420" s="104">
        <v>-0.01</v>
      </c>
      <c r="E420" s="75"/>
      <c r="F420" s="75"/>
      <c r="G420" s="75"/>
      <c r="H420" s="75"/>
      <c r="I420" s="75"/>
      <c r="J420" s="75"/>
      <c r="K420" s="105">
        <f>K419+$D420</f>
        <v>1.77E-2</v>
      </c>
      <c r="L420" s="105">
        <f t="shared" ref="L420:O420" si="571">L419+$D420</f>
        <v>1.9990000000000001E-2</v>
      </c>
      <c r="M420" s="105">
        <f t="shared" si="571"/>
        <v>2.001E-2</v>
      </c>
      <c r="N420" s="105">
        <f t="shared" si="571"/>
        <v>1.9970000000000002E-2</v>
      </c>
      <c r="O420" s="105">
        <f t="shared" si="571"/>
        <v>2.001E-2</v>
      </c>
    </row>
    <row r="422" spans="3:15">
      <c r="C422" s="75" t="s">
        <v>239</v>
      </c>
      <c r="D422" s="75"/>
      <c r="E422" s="76" t="s">
        <v>968</v>
      </c>
      <c r="F422" s="82">
        <f>_xlfn.XLOOKUP($C422,$C$38:$C$44,F$38:F$44)*F$395</f>
        <v>-0.11686075118910938</v>
      </c>
      <c r="G422" s="82">
        <f>_xlfn.XLOOKUP($C422,$C$38:$C$44,G$38:G$44)*G$395</f>
        <v>0.2393700787401575</v>
      </c>
      <c r="H422" s="82">
        <f>_xlfn.XLOOKUP($C422,$C$38:$C$44,H$38:H$44)*H$395</f>
        <v>0.22854971185568868</v>
      </c>
      <c r="I422" s="82">
        <f>_xlfn.XLOOKUP($C422,$C$38:$C$44,I$38:I$44)*I$395</f>
        <v>0.66015096962232123</v>
      </c>
      <c r="J422" s="82">
        <f>_xlfn.XLOOKUP($C422,$C$38:$C$44,J$38:J$44)*J$395</f>
        <v>0.86342509831962833</v>
      </c>
      <c r="K422" s="82">
        <f>J422*(1+K423)</f>
        <v>0.87551304969610311</v>
      </c>
      <c r="L422" s="82">
        <f t="shared" ref="L422" si="572">K422*(1+L423)</f>
        <v>0.88862823518055067</v>
      </c>
      <c r="M422" s="82">
        <f t="shared" ref="M422" si="573">L422*(1+M423)</f>
        <v>0.90282851437873601</v>
      </c>
      <c r="N422" s="82">
        <f t="shared" ref="N422" si="574">M422*(1+N423)</f>
        <v>0.91727377060879578</v>
      </c>
      <c r="O422" s="82">
        <f t="shared" ref="O422" si="575">N422*(1+O423)</f>
        <v>0.93194097820083033</v>
      </c>
    </row>
    <row r="423" spans="3:15">
      <c r="C423" s="101" t="s">
        <v>307</v>
      </c>
      <c r="D423" s="101"/>
      <c r="E423" s="101"/>
      <c r="F423" s="84"/>
      <c r="G423" s="102">
        <f>(G422-F422)/F422</f>
        <v>-3.04833595800525</v>
      </c>
      <c r="H423" s="102">
        <f t="shared" ref="H423" si="576">(H422-G422)/G422</f>
        <v>-4.5203506392353328E-2</v>
      </c>
      <c r="I423" s="102">
        <f t="shared" ref="I423" si="577">(I422-H422)/H422</f>
        <v>1.8884349241234446</v>
      </c>
      <c r="J423" s="102">
        <f t="shared" ref="J423" si="578">(J422-I422)/I422</f>
        <v>0.30792066974256238</v>
      </c>
      <c r="K423" s="102">
        <f>_xlfn.XLOOKUP($E$4,$C424:$C426,K424:K426)</f>
        <v>1.3999999999999999E-2</v>
      </c>
      <c r="L423" s="102">
        <f t="shared" ref="L423:O423" si="579">_xlfn.XLOOKUP($E$4,$C424:$C426,L424:L426)</f>
        <v>1.498E-2</v>
      </c>
      <c r="M423" s="102">
        <f t="shared" si="579"/>
        <v>1.5980000000000001E-2</v>
      </c>
      <c r="N423" s="102">
        <f t="shared" si="579"/>
        <v>1.6E-2</v>
      </c>
      <c r="O423" s="102">
        <f t="shared" si="579"/>
        <v>1.5990000000000001E-2</v>
      </c>
    </row>
    <row r="424" spans="3:15">
      <c r="C424" s="103" t="s">
        <v>1002</v>
      </c>
      <c r="D424" s="104">
        <v>0.01</v>
      </c>
      <c r="E424" s="75"/>
      <c r="F424" s="75"/>
      <c r="G424" s="75"/>
      <c r="H424" s="75"/>
      <c r="I424" s="75"/>
      <c r="J424" s="75"/>
      <c r="K424" s="105">
        <f>K425+$D424</f>
        <v>2.4E-2</v>
      </c>
      <c r="L424" s="105">
        <f t="shared" ref="L424:O424" si="580">L425+$D424</f>
        <v>2.4980000000000002E-2</v>
      </c>
      <c r="M424" s="105">
        <f t="shared" si="580"/>
        <v>2.5980000000000003E-2</v>
      </c>
      <c r="N424" s="105">
        <f t="shared" si="580"/>
        <v>2.6000000000000002E-2</v>
      </c>
      <c r="O424" s="105">
        <f t="shared" si="580"/>
        <v>2.5989999999999999E-2</v>
      </c>
    </row>
    <row r="425" spans="3:15">
      <c r="C425" s="103" t="s">
        <v>11</v>
      </c>
      <c r="D425" s="104">
        <v>0</v>
      </c>
      <c r="E425" s="75"/>
      <c r="F425" s="75"/>
      <c r="G425" s="75"/>
      <c r="H425" s="75"/>
      <c r="I425" s="75"/>
      <c r="J425" s="75"/>
      <c r="K425" s="105">
        <f>_xlfn.XLOOKUP($C422,$C$443:$C$452,K$443:K$452)</f>
        <v>1.3999999999999999E-2</v>
      </c>
      <c r="L425" s="105">
        <f t="shared" ref="L425:O425" si="581">_xlfn.XLOOKUP($C422,$C$443:$C$452,L$443:L$452)</f>
        <v>1.498E-2</v>
      </c>
      <c r="M425" s="105">
        <f t="shared" si="581"/>
        <v>1.5980000000000001E-2</v>
      </c>
      <c r="N425" s="105">
        <f t="shared" si="581"/>
        <v>1.6E-2</v>
      </c>
      <c r="O425" s="105">
        <f t="shared" si="581"/>
        <v>1.5990000000000001E-2</v>
      </c>
    </row>
    <row r="426" spans="3:15">
      <c r="C426" s="103" t="s">
        <v>1003</v>
      </c>
      <c r="D426" s="104">
        <v>-0.01</v>
      </c>
      <c r="E426" s="75"/>
      <c r="F426" s="75"/>
      <c r="G426" s="75"/>
      <c r="H426" s="75"/>
      <c r="I426" s="75"/>
      <c r="J426" s="75"/>
      <c r="K426" s="105">
        <f>K425+$D426</f>
        <v>3.9999999999999983E-3</v>
      </c>
      <c r="L426" s="105">
        <f t="shared" ref="L426:O426" si="582">L425+$D426</f>
        <v>4.9800000000000001E-3</v>
      </c>
      <c r="M426" s="105">
        <f t="shared" si="582"/>
        <v>5.9800000000000009E-3</v>
      </c>
      <c r="N426" s="105">
        <f t="shared" si="582"/>
        <v>6.0000000000000001E-3</v>
      </c>
      <c r="O426" s="105">
        <f t="shared" si="582"/>
        <v>5.9900000000000005E-3</v>
      </c>
    </row>
    <row r="428" spans="3:15">
      <c r="C428" s="75" t="s">
        <v>258</v>
      </c>
      <c r="D428" s="75"/>
      <c r="E428" s="76" t="s">
        <v>968</v>
      </c>
      <c r="F428" s="82">
        <f>_xlfn.XLOOKUP($C428,$C$38:$C$44,F$38:F$44)*F$395</f>
        <v>0</v>
      </c>
      <c r="G428" s="82">
        <f>_xlfn.XLOOKUP($C428,$C$38:$C$44,G$38:G$44)*G$395</f>
        <v>0</v>
      </c>
      <c r="H428" s="82">
        <f>_xlfn.XLOOKUP($C428,$C$38:$C$44,H$38:H$44)*H$395</f>
        <v>0.22645292550838877</v>
      </c>
      <c r="I428" s="82">
        <f>_xlfn.XLOOKUP($C428,$C$38:$C$44,I$38:I$44)*I$395</f>
        <v>0.59574599697624109</v>
      </c>
      <c r="J428" s="82">
        <f>_xlfn.XLOOKUP($C428,$C$38:$C$44,J$38:J$44)*J$395</f>
        <v>0.78119413657490178</v>
      </c>
      <c r="K428" s="82">
        <f>J428*(1+K429)</f>
        <v>0.80931712549159829</v>
      </c>
      <c r="L428" s="82">
        <f t="shared" ref="L428" si="583">K428*(1+L429)</f>
        <v>0.83763513171254933</v>
      </c>
      <c r="M428" s="82">
        <f t="shared" ref="M428" si="584">L428*(1+M429)</f>
        <v>0.86692723226853718</v>
      </c>
      <c r="N428" s="82">
        <f t="shared" ref="N428" si="585">M428*(1+N429)</f>
        <v>0.89639408889334471</v>
      </c>
      <c r="O428" s="82">
        <f t="shared" ref="O428" si="586">N428*(1+O429)</f>
        <v>0.92685356003394048</v>
      </c>
    </row>
    <row r="429" spans="3:15">
      <c r="C429" s="101" t="s">
        <v>307</v>
      </c>
      <c r="D429" s="101"/>
      <c r="E429" s="101"/>
      <c r="F429" s="84"/>
      <c r="G429" s="102" t="e">
        <f>(G428-F428)/F428</f>
        <v>#DIV/0!</v>
      </c>
      <c r="H429" s="102" t="e">
        <f t="shared" ref="H429" si="587">(H428-G428)/G428</f>
        <v>#DIV/0!</v>
      </c>
      <c r="I429" s="102">
        <f t="shared" ref="I429" si="588">(I428-H428)/H428</f>
        <v>1.6307719171160457</v>
      </c>
      <c r="J429" s="102">
        <f t="shared" ref="J429" si="589">(J428-I428)/I428</f>
        <v>0.31128726091307085</v>
      </c>
      <c r="K429" s="102">
        <f>_xlfn.XLOOKUP($E$4,$C430:$C432,K430:K432)</f>
        <v>3.6000000000000004E-2</v>
      </c>
      <c r="L429" s="102">
        <f t="shared" ref="L429:O429" si="590">_xlfn.XLOOKUP($E$4,$C430:$C432,L430:L432)</f>
        <v>3.499E-2</v>
      </c>
      <c r="M429" s="102">
        <f t="shared" si="590"/>
        <v>3.4970000000000001E-2</v>
      </c>
      <c r="N429" s="102">
        <f t="shared" si="590"/>
        <v>3.3989999999999999E-2</v>
      </c>
      <c r="O429" s="102">
        <f t="shared" si="590"/>
        <v>3.3980000000000003E-2</v>
      </c>
    </row>
    <row r="430" spans="3:15">
      <c r="C430" s="103" t="s">
        <v>1002</v>
      </c>
      <c r="D430" s="104">
        <v>0.01</v>
      </c>
      <c r="E430" s="75"/>
      <c r="F430" s="75"/>
      <c r="G430" s="75"/>
      <c r="H430" s="75"/>
      <c r="I430" s="75"/>
      <c r="J430" s="75"/>
      <c r="K430" s="105">
        <f>K431+$D430</f>
        <v>4.6000000000000006E-2</v>
      </c>
      <c r="L430" s="105">
        <f t="shared" ref="L430:O430" si="591">L431+$D430</f>
        <v>4.4990000000000002E-2</v>
      </c>
      <c r="M430" s="105">
        <f t="shared" si="591"/>
        <v>4.4970000000000003E-2</v>
      </c>
      <c r="N430" s="105">
        <f t="shared" si="591"/>
        <v>4.3990000000000001E-2</v>
      </c>
      <c r="O430" s="105">
        <f t="shared" si="591"/>
        <v>4.3980000000000005E-2</v>
      </c>
    </row>
    <row r="431" spans="3:15">
      <c r="C431" s="103" t="s">
        <v>11</v>
      </c>
      <c r="D431" s="104">
        <v>0</v>
      </c>
      <c r="E431" s="75"/>
      <c r="F431" s="75"/>
      <c r="G431" s="75"/>
      <c r="H431" s="75"/>
      <c r="I431" s="75"/>
      <c r="J431" s="75"/>
      <c r="K431" s="105">
        <f>_xlfn.XLOOKUP($C428,$C$443:$C$452,K$443:K$452)</f>
        <v>3.6000000000000004E-2</v>
      </c>
      <c r="L431" s="105">
        <f t="shared" ref="L431:O431" si="592">_xlfn.XLOOKUP($C428,$C$443:$C$452,L$443:L$452)</f>
        <v>3.499E-2</v>
      </c>
      <c r="M431" s="105">
        <f t="shared" si="592"/>
        <v>3.4970000000000001E-2</v>
      </c>
      <c r="N431" s="105">
        <f t="shared" si="592"/>
        <v>3.3989999999999999E-2</v>
      </c>
      <c r="O431" s="105">
        <f t="shared" si="592"/>
        <v>3.3980000000000003E-2</v>
      </c>
    </row>
    <row r="432" spans="3:15">
      <c r="C432" s="103" t="s">
        <v>1003</v>
      </c>
      <c r="D432" s="104">
        <v>-0.01</v>
      </c>
      <c r="E432" s="75"/>
      <c r="F432" s="75"/>
      <c r="G432" s="75"/>
      <c r="H432" s="75"/>
      <c r="I432" s="75"/>
      <c r="J432" s="75"/>
      <c r="K432" s="105">
        <f>K431+$D432</f>
        <v>2.6000000000000002E-2</v>
      </c>
      <c r="L432" s="105">
        <f t="shared" ref="L432:O432" si="593">L431+$D432</f>
        <v>2.4989999999999998E-2</v>
      </c>
      <c r="M432" s="105">
        <f t="shared" si="593"/>
        <v>2.4969999999999999E-2</v>
      </c>
      <c r="N432" s="105">
        <f t="shared" si="593"/>
        <v>2.3989999999999997E-2</v>
      </c>
      <c r="O432" s="105">
        <f t="shared" si="593"/>
        <v>2.3980000000000001E-2</v>
      </c>
    </row>
    <row r="434" spans="3:15">
      <c r="C434" s="75" t="s">
        <v>259</v>
      </c>
      <c r="D434" s="75"/>
      <c r="E434" s="76" t="s">
        <v>968</v>
      </c>
      <c r="F434" s="82">
        <f>_xlfn.XLOOKUP($C434,$C$38:$C$44,F$38:F$44)*F$395</f>
        <v>-0.17426603247498768</v>
      </c>
      <c r="G434" s="82">
        <f>_xlfn.XLOOKUP($C434,$C$38:$C$44,G$38:G$44)*G$395</f>
        <v>0.15118110236220475</v>
      </c>
      <c r="H434" s="82">
        <f>_xlfn.XLOOKUP($C434,$C$38:$C$44,H$38:H$44)*H$395</f>
        <v>1.048393173649948E-2</v>
      </c>
      <c r="I434" s="82">
        <f>_xlfn.XLOOKUP($C434,$C$38:$C$44,I$38:I$44)*I$395</f>
        <v>3.5422734955344058E-2</v>
      </c>
      <c r="J434" s="82">
        <f>_xlfn.XLOOKUP($C434,$C$38:$C$44,J$38:J$44)*J$395</f>
        <v>5.1394351090454059E-2</v>
      </c>
      <c r="K434" s="82">
        <f>J434*(1+K435)</f>
        <v>5.6580041115480872E-2</v>
      </c>
      <c r="L434" s="82">
        <f t="shared" ref="L434" si="594">K434*(1+L435)</f>
        <v>6.0944248286854963E-2</v>
      </c>
      <c r="M434" s="82">
        <f t="shared" ref="M434" si="595">L434*(1+M435)</f>
        <v>6.4780891864006776E-2</v>
      </c>
      <c r="N434" s="82">
        <f t="shared" ref="N434" si="596">M434*(1+N435)</f>
        <v>6.862347843307344E-2</v>
      </c>
      <c r="O434" s="82">
        <f t="shared" ref="O434" si="597">N434*(1+O435)</f>
        <v>7.2695366898363908E-2</v>
      </c>
    </row>
    <row r="435" spans="3:15">
      <c r="C435" s="101" t="s">
        <v>307</v>
      </c>
      <c r="D435" s="101"/>
      <c r="E435" s="101"/>
      <c r="F435" s="84"/>
      <c r="G435" s="102">
        <f>(G434-F434)/F434</f>
        <v>-1.8675305233904589</v>
      </c>
      <c r="H435" s="102">
        <f t="shared" ref="H435" si="598">(H434-G434)/G434</f>
        <v>-0.93065315986794617</v>
      </c>
      <c r="I435" s="102">
        <f t="shared" ref="I435" si="599">(I434-H434)/H434</f>
        <v>2.3787643649014725</v>
      </c>
      <c r="J435" s="102">
        <f t="shared" ref="J435" si="600">(J434-I434)/I434</f>
        <v>0.45088602433563474</v>
      </c>
      <c r="K435" s="102">
        <f>_xlfn.XLOOKUP($E$4,$C436:$C438,K436:K438)</f>
        <v>0.1009</v>
      </c>
      <c r="L435" s="102">
        <f t="shared" ref="L435:O435" si="601">_xlfn.XLOOKUP($E$4,$C436:$C438,L436:L438)</f>
        <v>7.7133333333333332E-2</v>
      </c>
      <c r="M435" s="102">
        <f t="shared" si="601"/>
        <v>6.2953333333333333E-2</v>
      </c>
      <c r="N435" s="102">
        <f t="shared" si="601"/>
        <v>5.931666666666667E-2</v>
      </c>
      <c r="O435" s="102">
        <f t="shared" si="601"/>
        <v>5.9336666666666663E-2</v>
      </c>
    </row>
    <row r="436" spans="3:15">
      <c r="C436" s="103" t="s">
        <v>1002</v>
      </c>
      <c r="D436" s="104">
        <v>0.01</v>
      </c>
      <c r="E436" s="75"/>
      <c r="F436" s="75"/>
      <c r="G436" s="75"/>
      <c r="H436" s="75"/>
      <c r="I436" s="75"/>
      <c r="J436" s="75"/>
      <c r="K436" s="105">
        <f>K437+$D436</f>
        <v>0.1109</v>
      </c>
      <c r="L436" s="105">
        <f t="shared" ref="L436:O436" si="602">L437+$D436</f>
        <v>8.7133333333333327E-2</v>
      </c>
      <c r="M436" s="105">
        <f t="shared" si="602"/>
        <v>7.2953333333333328E-2</v>
      </c>
      <c r="N436" s="105">
        <f t="shared" si="602"/>
        <v>6.9316666666666665E-2</v>
      </c>
      <c r="O436" s="105">
        <f t="shared" si="602"/>
        <v>6.9336666666666658E-2</v>
      </c>
    </row>
    <row r="437" spans="3:15">
      <c r="C437" s="103" t="s">
        <v>11</v>
      </c>
      <c r="D437" s="104">
        <v>0</v>
      </c>
      <c r="E437" s="75"/>
      <c r="F437" s="75"/>
      <c r="G437" s="75"/>
      <c r="H437" s="75"/>
      <c r="I437" s="75"/>
      <c r="J437" s="75"/>
      <c r="K437" s="105">
        <f>_xlfn.XLOOKUP($C434,$C$443:$C$452,K$443:K$452)</f>
        <v>0.1009</v>
      </c>
      <c r="L437" s="105">
        <f t="shared" ref="L437:O437" si="603">_xlfn.XLOOKUP($C434,$C$443:$C$452,L$443:L$452)</f>
        <v>7.7133333333333332E-2</v>
      </c>
      <c r="M437" s="105">
        <f t="shared" si="603"/>
        <v>6.2953333333333333E-2</v>
      </c>
      <c r="N437" s="105">
        <f t="shared" si="603"/>
        <v>5.931666666666667E-2</v>
      </c>
      <c r="O437" s="105">
        <f t="shared" si="603"/>
        <v>5.9336666666666663E-2</v>
      </c>
    </row>
    <row r="438" spans="3:15">
      <c r="C438" s="103" t="s">
        <v>1003</v>
      </c>
      <c r="D438" s="104">
        <v>-0.01</v>
      </c>
      <c r="E438" s="75"/>
      <c r="F438" s="75"/>
      <c r="G438" s="75"/>
      <c r="H438" s="75"/>
      <c r="I438" s="75"/>
      <c r="J438" s="75"/>
      <c r="K438" s="105">
        <f>K437+$D438</f>
        <v>9.0900000000000009E-2</v>
      </c>
      <c r="L438" s="105">
        <f t="shared" ref="L438:O438" si="604">L437+$D438</f>
        <v>6.7133333333333337E-2</v>
      </c>
      <c r="M438" s="105">
        <f t="shared" si="604"/>
        <v>5.2953333333333331E-2</v>
      </c>
      <c r="N438" s="105">
        <f t="shared" si="604"/>
        <v>4.9316666666666668E-2</v>
      </c>
      <c r="O438" s="105">
        <f t="shared" si="604"/>
        <v>4.9336666666666661E-2</v>
      </c>
    </row>
    <row r="440" spans="3:15">
      <c r="C440" s="85" t="s">
        <v>1070</v>
      </c>
      <c r="D440" s="85"/>
      <c r="E440" s="86"/>
      <c r="F440" s="86"/>
      <c r="G440" s="86"/>
      <c r="H440" s="86"/>
      <c r="I440" s="86"/>
      <c r="J440" s="86"/>
      <c r="K440" s="86"/>
      <c r="L440" s="86"/>
      <c r="M440" s="86"/>
      <c r="N440" s="86"/>
      <c r="O440" s="86"/>
    </row>
    <row r="442" spans="3:15">
      <c r="C442" s="110" t="s">
        <v>1071</v>
      </c>
      <c r="D442" s="111"/>
      <c r="E442" s="111"/>
      <c r="F442" s="111"/>
      <c r="G442" s="111"/>
      <c r="H442" s="111"/>
      <c r="I442" s="111"/>
      <c r="J442" s="111"/>
      <c r="K442" s="111"/>
      <c r="L442" s="111"/>
      <c r="M442" s="111"/>
      <c r="N442" s="111"/>
      <c r="O442" s="111"/>
    </row>
    <row r="443" spans="3:15">
      <c r="C443" s="38" t="s">
        <v>231</v>
      </c>
      <c r="F443" s="112">
        <f>_xlfn.XLOOKUP($C443,'Inflation Data'!$B$3:$B$105,'Inflation Data'!I$3:I$105)</f>
        <v>2.316E-2</v>
      </c>
      <c r="G443" s="112">
        <f>_xlfn.XLOOKUP($C443,'Inflation Data'!$B$3:$B$105,'Inflation Data'!J$3:J$105)</f>
        <v>6.1310000000000003E-2</v>
      </c>
      <c r="H443" s="112">
        <f>_xlfn.XLOOKUP($C443,'Inflation Data'!$B$3:$B$105,'Inflation Data'!K$3:K$105)</f>
        <v>4.8339999999999994E-2</v>
      </c>
      <c r="I443" s="112">
        <f>_xlfn.XLOOKUP($C443,'Inflation Data'!$B$3:$B$105,'Inflation Data'!L$3:L$105)</f>
        <v>2.3900000000000001E-2</v>
      </c>
      <c r="J443" s="112">
        <f>_xlfn.XLOOKUP($C443,'Inflation Data'!$B$3:$B$105,'Inflation Data'!M$3:M$105)</f>
        <v>9.7000000000000003E-3</v>
      </c>
      <c r="K443" s="112">
        <f>_xlfn.XLOOKUP($C443,'Inflation Data'!$B$3:$B$105,'Inflation Data'!N$3:N$105)</f>
        <v>1.46E-2</v>
      </c>
      <c r="L443" s="112">
        <f>_xlfn.XLOOKUP($C443,'Inflation Data'!$B$3:$B$105,'Inflation Data'!O$3:O$105)</f>
        <v>1.7979999999999999E-2</v>
      </c>
      <c r="M443" s="112">
        <f>_xlfn.XLOOKUP($C443,'Inflation Data'!$B$3:$B$105,'Inflation Data'!P$3:P$105)</f>
        <v>1.9019999999999999E-2</v>
      </c>
      <c r="N443" s="112">
        <f>_xlfn.XLOOKUP($C443,'Inflation Data'!$B$3:$B$105,'Inflation Data'!Q$3:Q$105)</f>
        <v>1.8970000000000001E-2</v>
      </c>
      <c r="O443" s="112">
        <f>_xlfn.XLOOKUP($C443,'Inflation Data'!$B$3:$B$105,'Inflation Data'!R$3:R$105)</f>
        <v>1.907E-2</v>
      </c>
    </row>
    <row r="444" spans="3:15">
      <c r="C444" s="38" t="s">
        <v>257</v>
      </c>
      <c r="F444" s="112">
        <f>_xlfn.XLOOKUP($C444,'Inflation Data'!$B$3:$B$105,'Inflation Data'!I$3:I$105)</f>
        <v>2.477E-2</v>
      </c>
      <c r="G444" s="112">
        <f>_xlfn.XLOOKUP($C444,'Inflation Data'!$B$3:$B$105,'Inflation Data'!J$3:J$105)</f>
        <v>3.3790000000000001E-2</v>
      </c>
      <c r="H444" s="112">
        <f>_xlfn.XLOOKUP($C444,'Inflation Data'!$B$3:$B$105,'Inflation Data'!K$3:K$105)</f>
        <v>2.4889999999999999E-2</v>
      </c>
      <c r="I444" s="112">
        <f>_xlfn.XLOOKUP($C444,'Inflation Data'!$B$3:$B$105,'Inflation Data'!L$3:L$105)</f>
        <v>1.8340000000000002E-2</v>
      </c>
      <c r="J444" s="112">
        <f>_xlfn.XLOOKUP($C444,'Inflation Data'!$B$3:$B$105,'Inflation Data'!M$3:M$105)</f>
        <v>1.9E-2</v>
      </c>
      <c r="K444" s="112">
        <f>_xlfn.XLOOKUP($C444,'Inflation Data'!$B$3:$B$105,'Inflation Data'!N$3:N$105)</f>
        <v>2.1000000000000001E-2</v>
      </c>
      <c r="L444" s="112">
        <f>_xlfn.XLOOKUP($C444,'Inflation Data'!$B$3:$B$105,'Inflation Data'!O$3:O$105)</f>
        <v>1.9990000000000001E-2</v>
      </c>
      <c r="M444" s="112">
        <f>_xlfn.XLOOKUP($C444,'Inflation Data'!$B$3:$B$105,'Inflation Data'!P$3:P$105)</f>
        <v>1.9990000000000001E-2</v>
      </c>
      <c r="N444" s="112">
        <f>_xlfn.XLOOKUP($C444,'Inflation Data'!$B$3:$B$105,'Inflation Data'!Q$3:Q$105)</f>
        <v>2.001E-2</v>
      </c>
      <c r="O444" s="112">
        <f>_xlfn.XLOOKUP($C444,'Inflation Data'!$B$3:$B$105,'Inflation Data'!R$3:R$105)</f>
        <v>1.9990000000000001E-2</v>
      </c>
    </row>
    <row r="445" spans="3:15">
      <c r="C445" s="38" t="s">
        <v>233</v>
      </c>
      <c r="F445" s="112">
        <f>_xlfn.XLOOKUP($C445,'Inflation Data'!$B$3:$B$105,'Inflation Data'!I$3:I$105)</f>
        <v>1.5600000000000001E-2</v>
      </c>
      <c r="G445" s="112">
        <f>_xlfn.XLOOKUP($C445,'Inflation Data'!$B$3:$B$105,'Inflation Data'!J$3:J$105)</f>
        <v>4.2089999999999995E-2</v>
      </c>
      <c r="H445" s="112">
        <f>_xlfn.XLOOKUP($C445,'Inflation Data'!$B$3:$B$105,'Inflation Data'!K$3:K$105)</f>
        <v>3.669E-2</v>
      </c>
      <c r="I445" s="112">
        <f>_xlfn.XLOOKUP($C445,'Inflation Data'!$B$3:$B$105,'Inflation Data'!L$3:L$105)</f>
        <v>2.1819999999999999E-2</v>
      </c>
      <c r="J445" s="112">
        <f>_xlfn.XLOOKUP($C445,'Inflation Data'!$B$3:$B$105,'Inflation Data'!M$3:M$105)</f>
        <v>1.8000000000000002E-2</v>
      </c>
      <c r="K445" s="112">
        <f>_xlfn.XLOOKUP($C445,'Inflation Data'!$B$3:$B$105,'Inflation Data'!N$3:N$105)</f>
        <v>2.6099999999999998E-2</v>
      </c>
      <c r="L445" s="112">
        <f>_xlfn.XLOOKUP($C445,'Inflation Data'!$B$3:$B$105,'Inflation Data'!O$3:O$105)</f>
        <v>2.5990000000000003E-2</v>
      </c>
      <c r="M445" s="112">
        <f>_xlfn.XLOOKUP($C445,'Inflation Data'!$B$3:$B$105,'Inflation Data'!P$3:P$105)</f>
        <v>2.6000000000000002E-2</v>
      </c>
      <c r="N445" s="112">
        <f>_xlfn.XLOOKUP($C445,'Inflation Data'!$B$3:$B$105,'Inflation Data'!Q$3:Q$105)</f>
        <v>2.5009999999999998E-2</v>
      </c>
      <c r="O445" s="112">
        <f>_xlfn.XLOOKUP($C445,'Inflation Data'!$B$3:$B$105,'Inflation Data'!R$3:R$105)</f>
        <v>2.4980000000000002E-2</v>
      </c>
    </row>
    <row r="446" spans="3:15">
      <c r="C446" s="38" t="s">
        <v>244</v>
      </c>
      <c r="F446" s="112">
        <f>_xlfn.XLOOKUP($C446,'Inflation Data'!$B$3:$B$105,'Inflation Data'!I$3:I$105)</f>
        <v>3.9140000000000001E-2</v>
      </c>
      <c r="G446" s="112">
        <f>_xlfn.XLOOKUP($C446,'Inflation Data'!$B$3:$B$105,'Inflation Data'!J$3:J$105)</f>
        <v>5.8209999999999998E-2</v>
      </c>
      <c r="H446" s="112">
        <f>_xlfn.XLOOKUP($C446,'Inflation Data'!$B$3:$B$105,'Inflation Data'!K$3:K$105)</f>
        <v>5.978E-2</v>
      </c>
      <c r="I446" s="112">
        <f>_xlfn.XLOOKUP($C446,'Inflation Data'!$B$3:$B$105,'Inflation Data'!L$3:L$105)</f>
        <v>3.2129999999999999E-2</v>
      </c>
      <c r="J446" s="112">
        <f>_xlfn.XLOOKUP($C446,'Inflation Data'!$B$3:$B$105,'Inflation Data'!M$3:M$105)</f>
        <v>2.0199999999999999E-2</v>
      </c>
      <c r="K446" s="112">
        <f>_xlfn.XLOOKUP($C446,'Inflation Data'!$B$3:$B$105,'Inflation Data'!N$3:N$105)</f>
        <v>2.7699999999999999E-2</v>
      </c>
      <c r="L446" s="112">
        <f>_xlfn.XLOOKUP($C446,'Inflation Data'!$B$3:$B$105,'Inflation Data'!O$3:O$105)</f>
        <v>2.9990000000000003E-2</v>
      </c>
      <c r="M446" s="112">
        <f>_xlfn.XLOOKUP($C446,'Inflation Data'!$B$3:$B$105,'Inflation Data'!P$3:P$105)</f>
        <v>3.0009999999999998E-2</v>
      </c>
      <c r="N446" s="112">
        <f>_xlfn.XLOOKUP($C446,'Inflation Data'!$B$3:$B$105,'Inflation Data'!Q$3:Q$105)</f>
        <v>2.997E-2</v>
      </c>
      <c r="O446" s="112">
        <f>_xlfn.XLOOKUP($C446,'Inflation Data'!$B$3:$B$105,'Inflation Data'!R$3:R$105)</f>
        <v>3.0009999999999998E-2</v>
      </c>
    </row>
    <row r="447" spans="3:15">
      <c r="C447" s="38" t="s">
        <v>239</v>
      </c>
      <c r="F447" s="112">
        <f>_xlfn.XLOOKUP($C447,'Inflation Data'!$B$3:$B$105,'Inflation Data'!I$3:I$105)</f>
        <v>1.2310000000000001E-2</v>
      </c>
      <c r="G447" s="112">
        <f>_xlfn.XLOOKUP($C447,'Inflation Data'!$B$3:$B$105,'Inflation Data'!J$3:J$105)</f>
        <v>6.0769999999999998E-2</v>
      </c>
      <c r="H447" s="112">
        <f>_xlfn.XLOOKUP($C447,'Inflation Data'!$B$3:$B$105,'Inflation Data'!K$3:K$105)</f>
        <v>1.226E-2</v>
      </c>
      <c r="I447" s="112">
        <f>_xlfn.XLOOKUP($C447,'Inflation Data'!$B$3:$B$105,'Inflation Data'!L$3:L$105)</f>
        <v>3.9700000000000004E-3</v>
      </c>
      <c r="J447" s="112">
        <f>_xlfn.XLOOKUP($C447,'Inflation Data'!$B$3:$B$105,'Inflation Data'!M$3:M$105)</f>
        <v>1.1000000000000001E-2</v>
      </c>
      <c r="K447" s="112">
        <f>_xlfn.XLOOKUP($C447,'Inflation Data'!$B$3:$B$105,'Inflation Data'!N$3:N$105)</f>
        <v>1.3999999999999999E-2</v>
      </c>
      <c r="L447" s="112">
        <f>_xlfn.XLOOKUP($C447,'Inflation Data'!$B$3:$B$105,'Inflation Data'!O$3:O$105)</f>
        <v>1.498E-2</v>
      </c>
      <c r="M447" s="112">
        <f>_xlfn.XLOOKUP($C447,'Inflation Data'!$B$3:$B$105,'Inflation Data'!P$3:P$105)</f>
        <v>1.5980000000000001E-2</v>
      </c>
      <c r="N447" s="112">
        <f>_xlfn.XLOOKUP($C447,'Inflation Data'!$B$3:$B$105,'Inflation Data'!Q$3:Q$105)</f>
        <v>1.6E-2</v>
      </c>
      <c r="O447" s="112">
        <f>_xlfn.XLOOKUP($C447,'Inflation Data'!$B$3:$B$105,'Inflation Data'!R$3:R$105)</f>
        <v>1.5990000000000001E-2</v>
      </c>
    </row>
    <row r="448" spans="3:15">
      <c r="C448" s="38" t="s">
        <v>258</v>
      </c>
      <c r="F448" s="112">
        <f>_xlfn.XLOOKUP($C448,'Inflation Data'!$B$3:$B$105,'Inflation Data'!I$3:I$105)</f>
        <v>1.8349999999999998E-2</v>
      </c>
      <c r="G448" s="112">
        <f>_xlfn.XLOOKUP($C448,'Inflation Data'!$B$3:$B$105,'Inflation Data'!J$3:J$105)</f>
        <v>3.2160000000000001E-2</v>
      </c>
      <c r="H448" s="112">
        <f>_xlfn.XLOOKUP($C448,'Inflation Data'!$B$3:$B$105,'Inflation Data'!K$3:K$105)</f>
        <v>3.3340000000000002E-2</v>
      </c>
      <c r="I448" s="112">
        <f>_xlfn.XLOOKUP($C448,'Inflation Data'!$B$3:$B$105,'Inflation Data'!L$3:L$105)</f>
        <v>3.6249999999999998E-2</v>
      </c>
      <c r="J448" s="112">
        <f>_xlfn.XLOOKUP($C448,'Inflation Data'!$B$3:$B$105,'Inflation Data'!M$3:M$105)</f>
        <v>3.3000000000000002E-2</v>
      </c>
      <c r="K448" s="112">
        <f>_xlfn.XLOOKUP($C448,'Inflation Data'!$B$3:$B$105,'Inflation Data'!N$3:N$105)</f>
        <v>3.6000000000000004E-2</v>
      </c>
      <c r="L448" s="112">
        <f>_xlfn.XLOOKUP($C448,'Inflation Data'!$B$3:$B$105,'Inflation Data'!O$3:O$105)</f>
        <v>3.499E-2</v>
      </c>
      <c r="M448" s="112">
        <f>_xlfn.XLOOKUP($C448,'Inflation Data'!$B$3:$B$105,'Inflation Data'!P$3:P$105)</f>
        <v>3.4970000000000001E-2</v>
      </c>
      <c r="N448" s="112">
        <f>_xlfn.XLOOKUP($C448,'Inflation Data'!$B$3:$B$105,'Inflation Data'!Q$3:Q$105)</f>
        <v>3.3989999999999999E-2</v>
      </c>
      <c r="O448" s="112">
        <f>_xlfn.XLOOKUP($C448,'Inflation Data'!$B$3:$B$105,'Inflation Data'!R$3:R$105)</f>
        <v>3.3980000000000003E-2</v>
      </c>
    </row>
    <row r="449" spans="3:15">
      <c r="C449" s="38" t="s">
        <v>654</v>
      </c>
      <c r="F449" s="112">
        <f>_xlfn.XLOOKUP($C449,'Inflation Data'!$B$3:$B$105,'Inflation Data'!I$3:I$105)</f>
        <v>6.2359999999999999E-2</v>
      </c>
      <c r="G449" s="112">
        <f>_xlfn.XLOOKUP($C449,'Inflation Data'!$B$3:$B$105,'Inflation Data'!J$3:J$105)</f>
        <v>0.24428999999999998</v>
      </c>
      <c r="H449" s="112">
        <f>_xlfn.XLOOKUP($C449,'Inflation Data'!$B$3:$B$105,'Inflation Data'!K$3:K$105)</f>
        <v>0.27982000000000001</v>
      </c>
      <c r="I449" s="112">
        <f>_xlfn.XLOOKUP($C449,'Inflation Data'!$B$3:$B$105,'Inflation Data'!L$3:L$105)</f>
        <v>0.28705999999999998</v>
      </c>
      <c r="J449" s="112">
        <f>_xlfn.XLOOKUP($C449,'Inflation Data'!$B$3:$B$105,'Inflation Data'!M$3:M$105)</f>
        <v>0.3</v>
      </c>
      <c r="K449" s="112">
        <f>_xlfn.XLOOKUP($C449,'Inflation Data'!$B$3:$B$105,'Inflation Data'!N$3:N$105)</f>
        <v>0.2</v>
      </c>
      <c r="L449" s="112">
        <f>_xlfn.XLOOKUP($C449,'Inflation Data'!$B$3:$B$105,'Inflation Data'!O$3:O$105)</f>
        <v>0.12839</v>
      </c>
      <c r="M449" s="112">
        <f>_xlfn.XLOOKUP($C449,'Inflation Data'!$B$3:$B$105,'Inflation Data'!P$3:P$105)</f>
        <v>8.8870000000000005E-2</v>
      </c>
      <c r="N449" s="112">
        <f>_xlfn.XLOOKUP($C449,'Inflation Data'!$B$3:$B$105,'Inflation Data'!Q$3:Q$105)</f>
        <v>7.7969999999999998E-2</v>
      </c>
      <c r="O449" s="112">
        <f>_xlfn.XLOOKUP($C449,'Inflation Data'!$B$3:$B$105,'Inflation Data'!R$3:R$105)</f>
        <v>7.8E-2</v>
      </c>
    </row>
    <row r="450" spans="3:15">
      <c r="C450" s="38" t="s">
        <v>260</v>
      </c>
      <c r="F450" s="112">
        <f>_xlfn.XLOOKUP($C450,'Inflation Data'!$B$3:$B$105,'Inflation Data'!I$3:I$105)</f>
        <v>2.921E-2</v>
      </c>
      <c r="G450" s="112">
        <f>_xlfn.XLOOKUP($C450,'Inflation Data'!$B$3:$B$105,'Inflation Data'!J$3:J$105)</f>
        <v>5.3440000000000001E-2</v>
      </c>
      <c r="H450" s="112">
        <f>_xlfn.XLOOKUP($C450,'Inflation Data'!$B$3:$B$105,'Inflation Data'!K$3:K$105)</f>
        <v>2.1269999999999997E-2</v>
      </c>
      <c r="I450" s="112">
        <f>_xlfn.XLOOKUP($C450,'Inflation Data'!$B$3:$B$105,'Inflation Data'!L$3:L$105)</f>
        <v>7.9400000000000009E-3</v>
      </c>
      <c r="J450" s="112">
        <f>_xlfn.XLOOKUP($C450,'Inflation Data'!$B$3:$B$105,'Inflation Data'!M$3:M$105)</f>
        <v>1.8700000000000001E-2</v>
      </c>
      <c r="K450" s="112">
        <f>_xlfn.XLOOKUP($C450,'Inflation Data'!$B$3:$B$105,'Inflation Data'!N$3:N$105)</f>
        <v>2.87E-2</v>
      </c>
      <c r="L450" s="112">
        <f>_xlfn.XLOOKUP($C450,'Inflation Data'!$B$3:$B$105,'Inflation Data'!O$3:O$105)</f>
        <v>3.0009999999999998E-2</v>
      </c>
      <c r="M450" s="112">
        <f>_xlfn.XLOOKUP($C450,'Inflation Data'!$B$3:$B$105,'Inflation Data'!P$3:P$105)</f>
        <v>2.9980000000000003E-2</v>
      </c>
      <c r="N450" s="112">
        <f>_xlfn.XLOOKUP($C450,'Inflation Data'!$B$3:$B$105,'Inflation Data'!Q$3:Q$105)</f>
        <v>2.9980000000000003E-2</v>
      </c>
      <c r="O450" s="112">
        <f>_xlfn.XLOOKUP($C450,'Inflation Data'!$B$3:$B$105,'Inflation Data'!R$3:R$105)</f>
        <v>3.0009999999999998E-2</v>
      </c>
    </row>
    <row r="451" spans="3:15">
      <c r="C451" s="38" t="s">
        <v>261</v>
      </c>
      <c r="F451" s="112">
        <f>_xlfn.XLOOKUP($C451,'Inflation Data'!$B$3:$B$105,'Inflation Data'!I$3:I$105)</f>
        <v>3.7559999999999996E-2</v>
      </c>
      <c r="G451" s="112">
        <f>_xlfn.XLOOKUP($C451,'Inflation Data'!$B$3:$B$105,'Inflation Data'!J$3:J$105)</f>
        <v>0.22955999999999999</v>
      </c>
      <c r="H451" s="112">
        <f>_xlfn.XLOOKUP($C451,'Inflation Data'!$B$3:$B$105,'Inflation Data'!K$3:K$105)</f>
        <v>0.31230000000000002</v>
      </c>
      <c r="I451" s="112">
        <f>_xlfn.XLOOKUP($C451,'Inflation Data'!$B$3:$B$105,'Inflation Data'!L$3:L$105)</f>
        <v>0.23131000000000002</v>
      </c>
      <c r="J451" s="112">
        <f>_xlfn.XLOOKUP($C451,'Inflation Data'!$B$3:$B$105,'Inflation Data'!M$3:M$105)</f>
        <v>9.3699999999999992E-2</v>
      </c>
      <c r="K451" s="112">
        <f>_xlfn.XLOOKUP($C451,'Inflation Data'!$B$3:$B$105,'Inflation Data'!N$3:N$105)</f>
        <v>7.400000000000001E-2</v>
      </c>
      <c r="L451" s="112">
        <f>_xlfn.XLOOKUP($C451,'Inflation Data'!$B$3:$B$105,'Inflation Data'!O$3:O$105)</f>
        <v>7.2999999999999995E-2</v>
      </c>
      <c r="M451" s="112">
        <f>_xlfn.XLOOKUP($C451,'Inflation Data'!$B$3:$B$105,'Inflation Data'!P$3:P$105)</f>
        <v>7.0010000000000003E-2</v>
      </c>
      <c r="N451" s="112">
        <f>_xlfn.XLOOKUP($C451,'Inflation Data'!$B$3:$B$105,'Inflation Data'!Q$3:Q$105)</f>
        <v>7.0000000000000007E-2</v>
      </c>
      <c r="O451" s="112">
        <f>_xlfn.XLOOKUP($C451,'Inflation Data'!$B$3:$B$105,'Inflation Data'!R$3:R$105)</f>
        <v>7.0000000000000007E-2</v>
      </c>
    </row>
    <row r="452" spans="3:15">
      <c r="C452" s="38" t="s">
        <v>259</v>
      </c>
      <c r="F452" s="99">
        <f>(1/3)*F449+(1/3)*F450+(1/3)*F451</f>
        <v>4.3043333333333329E-2</v>
      </c>
      <c r="G452" s="99">
        <f t="shared" ref="G452" si="605">(1/3)*G449+(1/3)*G450+(1/3)*G451</f>
        <v>0.17576333333333333</v>
      </c>
      <c r="H452" s="99">
        <f t="shared" ref="H452" si="606">(1/3)*H449+(1/3)*H450+(1/3)*H451</f>
        <v>0.20446333333333333</v>
      </c>
      <c r="I452" s="99">
        <f t="shared" ref="I452" si="607">(1/3)*I449+(1/3)*I450+(1/3)*I451</f>
        <v>0.17543666666666666</v>
      </c>
      <c r="J452" s="99">
        <f t="shared" ref="J452" si="608">(1/3)*J449+(1/3)*J450+(1/3)*J451</f>
        <v>0.13746666666666665</v>
      </c>
      <c r="K452" s="99">
        <f t="shared" ref="K452" si="609">(1/3)*K449+(1/3)*K450+(1/3)*K451</f>
        <v>0.1009</v>
      </c>
      <c r="L452" s="99">
        <f t="shared" ref="L452" si="610">(1/3)*L449+(1/3)*L450+(1/3)*L451</f>
        <v>7.7133333333333332E-2</v>
      </c>
      <c r="M452" s="99">
        <f t="shared" ref="M452" si="611">(1/3)*M449+(1/3)*M450+(1/3)*M451</f>
        <v>6.2953333333333333E-2</v>
      </c>
      <c r="N452" s="99">
        <f t="shared" ref="N452" si="612">(1/3)*N449+(1/3)*N450+(1/3)*N451</f>
        <v>5.931666666666667E-2</v>
      </c>
      <c r="O452" s="99">
        <f t="shared" ref="O452" si="613">(1/3)*O449+(1/3)*O450+(1/3)*O451</f>
        <v>5.9336666666666663E-2</v>
      </c>
    </row>
    <row r="454" spans="3:15">
      <c r="C454" s="110" t="s">
        <v>1086</v>
      </c>
      <c r="D454" s="111"/>
      <c r="E454" s="111"/>
      <c r="F454" s="111"/>
      <c r="G454" s="111"/>
      <c r="H454" s="111"/>
      <c r="I454" s="111"/>
      <c r="J454" s="111"/>
      <c r="K454" s="111"/>
      <c r="L454" s="111"/>
      <c r="M454" s="111"/>
      <c r="N454" s="111"/>
      <c r="O454" s="111"/>
    </row>
    <row r="455" spans="3:15">
      <c r="C455" s="38" t="s">
        <v>231</v>
      </c>
      <c r="F455" s="146">
        <f>_xlfn.XLOOKUP($C455,'Mobile Payments'!$A$7:$A$53,'Mobile Payments'!F$7:F$53)</f>
        <v>29.1</v>
      </c>
      <c r="G455" s="146">
        <f>_xlfn.XLOOKUP($C455,'Mobile Payments'!$A$7:$A$53,'Mobile Payments'!G$7:G$53)</f>
        <v>17.5</v>
      </c>
      <c r="H455" s="146">
        <f>_xlfn.XLOOKUP($C455,'Mobile Payments'!$A$7:$A$53,'Mobile Payments'!H$7:H$53)</f>
        <v>14.2</v>
      </c>
      <c r="I455" s="146">
        <f>_xlfn.XLOOKUP($C455,'Mobile Payments'!$A$7:$A$53,'Mobile Payments'!I$7:I$53)</f>
        <v>11.1</v>
      </c>
      <c r="J455" s="146">
        <f>_xlfn.XLOOKUP($C455,'Mobile Payments'!$A$7:$A$53,'Mobile Payments'!J$7:J$53)</f>
        <v>13.4</v>
      </c>
      <c r="K455" s="146">
        <f>_xlfn.XLOOKUP($C455,'Mobile Payments'!$A$7:$A$53,'Mobile Payments'!K$7:K$53)</f>
        <v>10.199999999999999</v>
      </c>
      <c r="L455" s="146">
        <f>_xlfn.XLOOKUP($C455,'Mobile Payments'!$A$7:$A$53,'Mobile Payments'!L$7:L$53)</f>
        <v>9.6</v>
      </c>
      <c r="M455" s="146">
        <f>_xlfn.XLOOKUP($C455,'Mobile Payments'!$A$7:$A$53,'Mobile Payments'!M$7:M$53)</f>
        <v>8.4</v>
      </c>
      <c r="N455" s="146">
        <f>_xlfn.XLOOKUP($C455,'Mobile Payments'!$A$7:$A$53,'Mobile Payments'!N$7:N$53)</f>
        <v>8</v>
      </c>
      <c r="O455" s="146">
        <f>_xlfn.XLOOKUP($C455,'Mobile Payments'!$A$7:$A$53,'Mobile Payments'!O$7:O$53)</f>
        <v>8.1</v>
      </c>
    </row>
    <row r="456" spans="3:15">
      <c r="C456" s="38" t="s">
        <v>257</v>
      </c>
      <c r="F456" s="146">
        <f>_xlfn.XLOOKUP($C456,'Mobile Payments'!$A$7:$A$53,'Mobile Payments'!F$7:F$53)</f>
        <v>24.6</v>
      </c>
      <c r="G456" s="146">
        <f>_xlfn.XLOOKUP($C456,'Mobile Payments'!$A$7:$A$53,'Mobile Payments'!G$7:G$53)</f>
        <v>20</v>
      </c>
      <c r="H456" s="146">
        <f>_xlfn.XLOOKUP($C456,'Mobile Payments'!$A$7:$A$53,'Mobile Payments'!H$7:H$53)</f>
        <v>21.2</v>
      </c>
      <c r="I456" s="146">
        <f>_xlfn.XLOOKUP($C456,'Mobile Payments'!$A$7:$A$53,'Mobile Payments'!I$7:I$53)</f>
        <v>19.5</v>
      </c>
      <c r="J456" s="146">
        <f>_xlfn.XLOOKUP($C456,'Mobile Payments'!$A$7:$A$53,'Mobile Payments'!J$7:J$53)</f>
        <v>15</v>
      </c>
      <c r="K456" s="146">
        <f>_xlfn.XLOOKUP($C456,'Mobile Payments'!$A$7:$A$53,'Mobile Payments'!K$7:K$53)</f>
        <v>15.3</v>
      </c>
      <c r="L456" s="146">
        <f>_xlfn.XLOOKUP($C456,'Mobile Payments'!$A$7:$A$53,'Mobile Payments'!L$7:L$53)</f>
        <v>13.1</v>
      </c>
      <c r="M456" s="146">
        <f>_xlfn.XLOOKUP($C456,'Mobile Payments'!$A$7:$A$53,'Mobile Payments'!M$7:M$53)</f>
        <v>11.2</v>
      </c>
      <c r="N456" s="146">
        <f>_xlfn.XLOOKUP($C456,'Mobile Payments'!$A$7:$A$53,'Mobile Payments'!N$7:N$53)</f>
        <v>9.6999999999999993</v>
      </c>
      <c r="O456" s="146">
        <f>_xlfn.XLOOKUP($C456,'Mobile Payments'!$A$7:$A$53,'Mobile Payments'!O$7:O$53)</f>
        <v>9.8000000000000007</v>
      </c>
    </row>
    <row r="457" spans="3:15">
      <c r="C457" s="38" t="s">
        <v>233</v>
      </c>
      <c r="F457" s="146">
        <f>_xlfn.XLOOKUP($C457,'Mobile Payments'!$A$7:$A$53,'Mobile Payments'!F$7:F$53)</f>
        <v>47.8</v>
      </c>
      <c r="G457" s="146">
        <f>_xlfn.XLOOKUP($C457,'Mobile Payments'!$A$7:$A$53,'Mobile Payments'!G$7:G$53)</f>
        <v>31.8</v>
      </c>
      <c r="H457" s="146">
        <f>_xlfn.XLOOKUP($C457,'Mobile Payments'!$A$7:$A$53,'Mobile Payments'!H$7:H$53)</f>
        <v>11.3</v>
      </c>
      <c r="I457" s="146">
        <f>_xlfn.XLOOKUP($C457,'Mobile Payments'!$A$7:$A$53,'Mobile Payments'!I$7:I$53)</f>
        <v>11</v>
      </c>
      <c r="J457" s="146">
        <f>_xlfn.XLOOKUP($C457,'Mobile Payments'!$A$7:$A$53,'Mobile Payments'!J$7:J$53)</f>
        <v>14.2</v>
      </c>
      <c r="K457" s="146">
        <f>_xlfn.XLOOKUP($C457,'Mobile Payments'!$A$7:$A$53,'Mobile Payments'!K$7:K$53)</f>
        <v>17.600000000000001</v>
      </c>
      <c r="L457" s="146">
        <f>_xlfn.XLOOKUP($C457,'Mobile Payments'!$A$7:$A$53,'Mobile Payments'!L$7:L$53)</f>
        <v>16.899999999999999</v>
      </c>
      <c r="M457" s="146">
        <f>_xlfn.XLOOKUP($C457,'Mobile Payments'!$A$7:$A$53,'Mobile Payments'!M$7:M$53)</f>
        <v>15.4</v>
      </c>
      <c r="N457" s="146">
        <f>_xlfn.XLOOKUP($C457,'Mobile Payments'!$A$7:$A$53,'Mobile Payments'!N$7:N$53)</f>
        <v>14.2</v>
      </c>
      <c r="O457" s="146">
        <f>_xlfn.XLOOKUP($C457,'Mobile Payments'!$A$7:$A$53,'Mobile Payments'!O$7:O$53)</f>
        <v>14.2</v>
      </c>
    </row>
    <row r="458" spans="3:15">
      <c r="C458" s="38" t="s">
        <v>244</v>
      </c>
      <c r="F458" s="146">
        <f>_xlfn.XLOOKUP($C458,'Mobile Payments'!$A$7:$A$53,'Mobile Payments'!F$7:F$53)</f>
        <v>48.9</v>
      </c>
      <c r="G458" s="146">
        <f>_xlfn.XLOOKUP($C458,'Mobile Payments'!$A$7:$A$53,'Mobile Payments'!G$7:G$53)</f>
        <v>29.2</v>
      </c>
      <c r="H458" s="146">
        <f>_xlfn.XLOOKUP($C458,'Mobile Payments'!$A$7:$A$53,'Mobile Payments'!H$7:H$53)</f>
        <v>22.7</v>
      </c>
      <c r="I458" s="146">
        <f>_xlfn.XLOOKUP($C458,'Mobile Payments'!$A$7:$A$53,'Mobile Payments'!I$7:I$53)</f>
        <v>18.399999999999999</v>
      </c>
      <c r="J458" s="146">
        <f>_xlfn.XLOOKUP($C458,'Mobile Payments'!$A$7:$A$53,'Mobile Payments'!J$7:J$53)</f>
        <v>17.399999999999999</v>
      </c>
      <c r="K458" s="146">
        <f>_xlfn.XLOOKUP($C458,'Mobile Payments'!$A$7:$A$53,'Mobile Payments'!K$7:K$53)</f>
        <v>18.2</v>
      </c>
      <c r="L458" s="146">
        <f>_xlfn.XLOOKUP($C458,'Mobile Payments'!$A$7:$A$53,'Mobile Payments'!L$7:L$53)</f>
        <v>16.3</v>
      </c>
      <c r="M458" s="146">
        <f>_xlfn.XLOOKUP($C458,'Mobile Payments'!$A$7:$A$53,'Mobile Payments'!M$7:M$53)</f>
        <v>15</v>
      </c>
      <c r="N458" s="146">
        <f>_xlfn.XLOOKUP($C458,'Mobile Payments'!$A$7:$A$53,'Mobile Payments'!N$7:N$53)</f>
        <v>14.1</v>
      </c>
      <c r="O458" s="146">
        <f>_xlfn.XLOOKUP($C458,'Mobile Payments'!$A$7:$A$53,'Mobile Payments'!O$7:O$53)</f>
        <v>14.2</v>
      </c>
    </row>
    <row r="459" spans="3:15">
      <c r="C459" s="38" t="s">
        <v>239</v>
      </c>
      <c r="F459" s="146">
        <f>_xlfn.XLOOKUP($C459,'Mobile Payments'!$A$7:$A$53,'Mobile Payments'!F$7:F$53)</f>
        <v>43.3</v>
      </c>
      <c r="G459" s="146">
        <f>_xlfn.XLOOKUP($C459,'Mobile Payments'!$A$7:$A$53,'Mobile Payments'!G$7:G$53)</f>
        <v>28.4</v>
      </c>
      <c r="H459" s="146">
        <f>_xlfn.XLOOKUP($C459,'Mobile Payments'!$A$7:$A$53,'Mobile Payments'!H$7:H$53)</f>
        <v>18.3</v>
      </c>
      <c r="I459" s="146">
        <f>_xlfn.XLOOKUP($C459,'Mobile Payments'!$A$7:$A$53,'Mobile Payments'!I$7:I$53)</f>
        <v>10</v>
      </c>
      <c r="J459" s="146">
        <f>_xlfn.XLOOKUP($C459,'Mobile Payments'!$A$7:$A$53,'Mobile Payments'!J$7:J$53)</f>
        <v>10.9</v>
      </c>
      <c r="K459" s="146">
        <f>_xlfn.XLOOKUP($C459,'Mobile Payments'!$A$7:$A$53,'Mobile Payments'!K$7:K$53)</f>
        <v>10.8</v>
      </c>
      <c r="L459" s="146">
        <f>_xlfn.XLOOKUP($C459,'Mobile Payments'!$A$7:$A$53,'Mobile Payments'!L$7:L$53)</f>
        <v>10.5</v>
      </c>
      <c r="M459" s="146">
        <f>_xlfn.XLOOKUP($C459,'Mobile Payments'!$A$7:$A$53,'Mobile Payments'!M$7:M$53)</f>
        <v>10.1</v>
      </c>
      <c r="N459" s="146">
        <f>_xlfn.XLOOKUP($C459,'Mobile Payments'!$A$7:$A$53,'Mobile Payments'!N$7:N$53)</f>
        <v>9.6</v>
      </c>
      <c r="O459" s="146">
        <f>_xlfn.XLOOKUP($C459,'Mobile Payments'!$A$7:$A$53,'Mobile Payments'!O$7:O$53)</f>
        <v>9.6999999999999993</v>
      </c>
    </row>
    <row r="460" spans="3:15">
      <c r="C460" s="38" t="s">
        <v>258</v>
      </c>
      <c r="F460" s="146">
        <f>_xlfn.XLOOKUP($C460,'Mobile Payments'!$A$7:$A$53,'Mobile Payments'!F$7:F$53)</f>
        <v>59.6</v>
      </c>
      <c r="G460" s="146">
        <f>_xlfn.XLOOKUP($C460,'Mobile Payments'!$A$7:$A$53,'Mobile Payments'!G$7:G$53)</f>
        <v>96</v>
      </c>
      <c r="H460" s="146">
        <f>_xlfn.XLOOKUP($C460,'Mobile Payments'!$A$7:$A$53,'Mobile Payments'!H$7:H$53)</f>
        <v>12.7</v>
      </c>
      <c r="I460" s="146">
        <f>_xlfn.XLOOKUP($C460,'Mobile Payments'!$A$7:$A$53,'Mobile Payments'!I$7:I$53)</f>
        <v>35</v>
      </c>
      <c r="J460" s="146">
        <f>_xlfn.XLOOKUP($C460,'Mobile Payments'!$A$7:$A$53,'Mobile Payments'!J$7:J$53)</f>
        <v>29.1</v>
      </c>
      <c r="K460" s="146">
        <f>_xlfn.XLOOKUP($C460,'Mobile Payments'!$A$7:$A$53,'Mobile Payments'!K$7:K$53)</f>
        <v>22.2</v>
      </c>
      <c r="L460" s="146">
        <f>_xlfn.XLOOKUP($C460,'Mobile Payments'!$A$7:$A$53,'Mobile Payments'!L$7:L$53)</f>
        <v>15.9</v>
      </c>
      <c r="M460" s="146">
        <f>_xlfn.XLOOKUP($C460,'Mobile Payments'!$A$7:$A$53,'Mobile Payments'!M$7:M$53)</f>
        <v>13.8</v>
      </c>
      <c r="N460" s="146">
        <f>_xlfn.XLOOKUP($C460,'Mobile Payments'!$A$7:$A$53,'Mobile Payments'!N$7:N$53)</f>
        <v>12.7</v>
      </c>
      <c r="O460" s="146">
        <f>_xlfn.XLOOKUP($C460,'Mobile Payments'!$A$7:$A$53,'Mobile Payments'!O$7:O$53)</f>
        <v>12.7</v>
      </c>
    </row>
    <row r="461" spans="3:15">
      <c r="C461" s="38" t="s">
        <v>259</v>
      </c>
      <c r="F461" s="38">
        <f>AVERAGE(F455:F460)+30</f>
        <v>72.216666666666669</v>
      </c>
      <c r="G461" s="38">
        <f t="shared" ref="G461:O461" si="614">AVERAGE(G455:G460)+30</f>
        <v>67.150000000000006</v>
      </c>
      <c r="H461" s="38">
        <f t="shared" si="614"/>
        <v>46.733333333333334</v>
      </c>
      <c r="I461" s="38">
        <f t="shared" si="614"/>
        <v>47.5</v>
      </c>
      <c r="J461" s="38">
        <f t="shared" si="614"/>
        <v>46.666666666666671</v>
      </c>
      <c r="K461" s="38">
        <f t="shared" si="614"/>
        <v>45.716666666666669</v>
      </c>
      <c r="L461" s="38">
        <f t="shared" si="614"/>
        <v>43.716666666666669</v>
      </c>
      <c r="M461" s="38">
        <f t="shared" si="614"/>
        <v>42.31666666666667</v>
      </c>
      <c r="N461" s="38">
        <f t="shared" si="614"/>
        <v>41.383333333333333</v>
      </c>
      <c r="O461" s="38">
        <f t="shared" si="614"/>
        <v>41.45</v>
      </c>
    </row>
    <row r="463" spans="3:15">
      <c r="C463" s="110" t="s">
        <v>1087</v>
      </c>
      <c r="D463" s="111"/>
      <c r="E463" s="111"/>
      <c r="F463" s="111"/>
      <c r="G463" s="111"/>
      <c r="H463" s="111"/>
      <c r="I463" s="111"/>
      <c r="J463" s="111"/>
      <c r="K463" s="111"/>
      <c r="L463" s="111"/>
      <c r="M463" s="111"/>
      <c r="N463" s="111"/>
      <c r="O463" s="111"/>
    </row>
    <row r="464" spans="3:15">
      <c r="C464" s="38" t="s">
        <v>231</v>
      </c>
      <c r="F464" s="99">
        <f>F455/100</f>
        <v>0.29100000000000004</v>
      </c>
      <c r="G464" s="99">
        <f t="shared" ref="G464:O464" si="615">G455/100</f>
        <v>0.17499999999999999</v>
      </c>
      <c r="H464" s="99">
        <f t="shared" si="615"/>
        <v>0.14199999999999999</v>
      </c>
      <c r="I464" s="99">
        <f t="shared" si="615"/>
        <v>0.111</v>
      </c>
      <c r="J464" s="99">
        <f t="shared" si="615"/>
        <v>0.13400000000000001</v>
      </c>
      <c r="K464" s="99">
        <f t="shared" si="615"/>
        <v>0.10199999999999999</v>
      </c>
      <c r="L464" s="99">
        <f t="shared" si="615"/>
        <v>9.6000000000000002E-2</v>
      </c>
      <c r="M464" s="99">
        <f t="shared" si="615"/>
        <v>8.4000000000000005E-2</v>
      </c>
      <c r="N464" s="99">
        <f t="shared" si="615"/>
        <v>0.08</v>
      </c>
      <c r="O464" s="99">
        <f t="shared" si="615"/>
        <v>8.1000000000000003E-2</v>
      </c>
    </row>
    <row r="465" spans="1:15">
      <c r="C465" s="38" t="s">
        <v>257</v>
      </c>
      <c r="F465" s="99">
        <f t="shared" ref="F465:O470" si="616">F456/100</f>
        <v>0.24600000000000002</v>
      </c>
      <c r="G465" s="99">
        <f t="shared" si="616"/>
        <v>0.2</v>
      </c>
      <c r="H465" s="99">
        <f t="shared" si="616"/>
        <v>0.21199999999999999</v>
      </c>
      <c r="I465" s="99">
        <f t="shared" si="616"/>
        <v>0.19500000000000001</v>
      </c>
      <c r="J465" s="99">
        <f t="shared" si="616"/>
        <v>0.15</v>
      </c>
      <c r="K465" s="99">
        <f t="shared" si="616"/>
        <v>0.153</v>
      </c>
      <c r="L465" s="99">
        <f t="shared" si="616"/>
        <v>0.13100000000000001</v>
      </c>
      <c r="M465" s="99">
        <f t="shared" si="616"/>
        <v>0.11199999999999999</v>
      </c>
      <c r="N465" s="99">
        <f t="shared" si="616"/>
        <v>9.6999999999999989E-2</v>
      </c>
      <c r="O465" s="99">
        <f t="shared" si="616"/>
        <v>9.8000000000000004E-2</v>
      </c>
    </row>
    <row r="466" spans="1:15">
      <c r="C466" s="38" t="s">
        <v>233</v>
      </c>
      <c r="F466" s="99">
        <f t="shared" si="616"/>
        <v>0.47799999999999998</v>
      </c>
      <c r="G466" s="99">
        <f t="shared" si="616"/>
        <v>0.318</v>
      </c>
      <c r="H466" s="99">
        <f t="shared" si="616"/>
        <v>0.113</v>
      </c>
      <c r="I466" s="99">
        <f t="shared" si="616"/>
        <v>0.11</v>
      </c>
      <c r="J466" s="99">
        <f t="shared" si="616"/>
        <v>0.14199999999999999</v>
      </c>
      <c r="K466" s="99">
        <f t="shared" si="616"/>
        <v>0.17600000000000002</v>
      </c>
      <c r="L466" s="99">
        <f t="shared" si="616"/>
        <v>0.16899999999999998</v>
      </c>
      <c r="M466" s="99">
        <f t="shared" si="616"/>
        <v>0.154</v>
      </c>
      <c r="N466" s="99">
        <f t="shared" si="616"/>
        <v>0.14199999999999999</v>
      </c>
      <c r="O466" s="99">
        <f t="shared" si="616"/>
        <v>0.14199999999999999</v>
      </c>
    </row>
    <row r="467" spans="1:15">
      <c r="C467" s="38" t="s">
        <v>244</v>
      </c>
      <c r="F467" s="99">
        <f t="shared" si="616"/>
        <v>0.48899999999999999</v>
      </c>
      <c r="G467" s="99">
        <f t="shared" si="616"/>
        <v>0.29199999999999998</v>
      </c>
      <c r="H467" s="99">
        <f t="shared" si="616"/>
        <v>0.22699999999999998</v>
      </c>
      <c r="I467" s="99">
        <f t="shared" si="616"/>
        <v>0.184</v>
      </c>
      <c r="J467" s="99">
        <f t="shared" si="616"/>
        <v>0.17399999999999999</v>
      </c>
      <c r="K467" s="99">
        <f t="shared" si="616"/>
        <v>0.182</v>
      </c>
      <c r="L467" s="99">
        <f t="shared" si="616"/>
        <v>0.16300000000000001</v>
      </c>
      <c r="M467" s="99">
        <f t="shared" si="616"/>
        <v>0.15</v>
      </c>
      <c r="N467" s="99">
        <f t="shared" si="616"/>
        <v>0.14099999999999999</v>
      </c>
      <c r="O467" s="99">
        <f t="shared" si="616"/>
        <v>0.14199999999999999</v>
      </c>
    </row>
    <row r="468" spans="1:15">
      <c r="C468" s="38" t="s">
        <v>239</v>
      </c>
      <c r="F468" s="99">
        <f t="shared" si="616"/>
        <v>0.433</v>
      </c>
      <c r="G468" s="99">
        <f t="shared" si="616"/>
        <v>0.28399999999999997</v>
      </c>
      <c r="H468" s="99">
        <f t="shared" si="616"/>
        <v>0.183</v>
      </c>
      <c r="I468" s="99">
        <f t="shared" si="616"/>
        <v>0.1</v>
      </c>
      <c r="J468" s="99">
        <f t="shared" si="616"/>
        <v>0.109</v>
      </c>
      <c r="K468" s="99">
        <f t="shared" si="616"/>
        <v>0.10800000000000001</v>
      </c>
      <c r="L468" s="99">
        <f t="shared" si="616"/>
        <v>0.105</v>
      </c>
      <c r="M468" s="99">
        <f t="shared" si="616"/>
        <v>0.10099999999999999</v>
      </c>
      <c r="N468" s="99">
        <f t="shared" si="616"/>
        <v>9.6000000000000002E-2</v>
      </c>
      <c r="O468" s="99">
        <f t="shared" si="616"/>
        <v>9.6999999999999989E-2</v>
      </c>
    </row>
    <row r="469" spans="1:15">
      <c r="C469" s="38" t="s">
        <v>258</v>
      </c>
      <c r="F469" s="99">
        <f t="shared" si="616"/>
        <v>0.59599999999999997</v>
      </c>
      <c r="G469" s="99">
        <f t="shared" si="616"/>
        <v>0.96</v>
      </c>
      <c r="H469" s="99">
        <f t="shared" si="616"/>
        <v>0.127</v>
      </c>
      <c r="I469" s="99">
        <f t="shared" si="616"/>
        <v>0.35</v>
      </c>
      <c r="J469" s="99">
        <f t="shared" si="616"/>
        <v>0.29100000000000004</v>
      </c>
      <c r="K469" s="99">
        <f t="shared" si="616"/>
        <v>0.222</v>
      </c>
      <c r="L469" s="99">
        <f t="shared" si="616"/>
        <v>0.159</v>
      </c>
      <c r="M469" s="99">
        <f t="shared" si="616"/>
        <v>0.13800000000000001</v>
      </c>
      <c r="N469" s="99">
        <f t="shared" si="616"/>
        <v>0.127</v>
      </c>
      <c r="O469" s="99">
        <f t="shared" si="616"/>
        <v>0.127</v>
      </c>
    </row>
    <row r="470" spans="1:15">
      <c r="C470" s="38" t="s">
        <v>259</v>
      </c>
      <c r="F470" s="99">
        <f t="shared" si="616"/>
        <v>0.72216666666666673</v>
      </c>
      <c r="G470" s="99">
        <f t="shared" si="616"/>
        <v>0.6715000000000001</v>
      </c>
      <c r="H470" s="99">
        <f t="shared" si="616"/>
        <v>0.46733333333333332</v>
      </c>
      <c r="I470" s="99">
        <f t="shared" si="616"/>
        <v>0.47499999999999998</v>
      </c>
      <c r="J470" s="99">
        <f t="shared" si="616"/>
        <v>0.46666666666666673</v>
      </c>
      <c r="K470" s="99">
        <f t="shared" si="616"/>
        <v>0.45716666666666667</v>
      </c>
      <c r="L470" s="99">
        <f t="shared" si="616"/>
        <v>0.4371666666666667</v>
      </c>
      <c r="M470" s="99">
        <f t="shared" si="616"/>
        <v>0.42316666666666669</v>
      </c>
      <c r="N470" s="99">
        <f t="shared" si="616"/>
        <v>0.41383333333333333</v>
      </c>
      <c r="O470" s="99">
        <f t="shared" si="616"/>
        <v>0.41450000000000004</v>
      </c>
    </row>
    <row r="472" spans="1:15">
      <c r="A472" s="97">
        <v>6</v>
      </c>
      <c r="C472" s="65" t="s">
        <v>1088</v>
      </c>
      <c r="D472" s="65"/>
      <c r="E472" s="64"/>
      <c r="F472" s="64"/>
      <c r="G472" s="64"/>
      <c r="H472" s="64"/>
      <c r="I472" s="64"/>
      <c r="J472" s="64"/>
      <c r="K472" s="64"/>
      <c r="L472" s="64"/>
      <c r="M472" s="64"/>
      <c r="N472" s="64"/>
      <c r="O472" s="64"/>
    </row>
    <row r="474" spans="1:15">
      <c r="C474" s="75" t="s">
        <v>51</v>
      </c>
      <c r="D474" s="75"/>
      <c r="E474" s="76" t="s">
        <v>968</v>
      </c>
      <c r="F474" s="82">
        <f>F14</f>
        <v>36</v>
      </c>
      <c r="G474" s="82">
        <f>G14</f>
        <v>44</v>
      </c>
      <c r="H474" s="82">
        <f>H14</f>
        <v>2</v>
      </c>
      <c r="I474" s="82">
        <f>I14</f>
        <v>1</v>
      </c>
      <c r="J474" s="82">
        <f>J14</f>
        <v>4</v>
      </c>
      <c r="K474" s="82">
        <f>J474*(1+K475)</f>
        <v>5.7676767676767682</v>
      </c>
      <c r="L474" s="82">
        <f t="shared" ref="L474" si="617">K474*(1+L475)</f>
        <v>8.3165238240995834</v>
      </c>
      <c r="M474" s="82">
        <f t="shared" ref="M474" si="618">L474*(1+M475)</f>
        <v>11.991755312022381</v>
      </c>
      <c r="N474" s="82">
        <f t="shared" ref="N474" si="619">M474*(1+N475)</f>
        <v>17.29114212920399</v>
      </c>
      <c r="O474" s="82">
        <f t="shared" ref="O474" si="620">N474*(1+O475)</f>
        <v>24.932429686301717</v>
      </c>
    </row>
    <row r="475" spans="1:15">
      <c r="C475" s="101" t="s">
        <v>307</v>
      </c>
      <c r="D475" s="101"/>
      <c r="E475" s="101"/>
      <c r="F475" s="84"/>
      <c r="G475" s="102">
        <f>(G474-F474)/F474</f>
        <v>0.22222222222222221</v>
      </c>
      <c r="H475" s="102">
        <f t="shared" ref="H475" si="621">(H474-G474)/G474</f>
        <v>-0.95454545454545459</v>
      </c>
      <c r="I475" s="102">
        <f t="shared" ref="I475" si="622">(I474-H474)/H474</f>
        <v>-0.5</v>
      </c>
      <c r="J475" s="102">
        <f t="shared" ref="J475" si="623">(J474-I474)/I474</f>
        <v>3</v>
      </c>
      <c r="K475" s="102">
        <f>_xlfn.XLOOKUP($E$4,$C476:$C478,K476:K478)</f>
        <v>0.44191919191919193</v>
      </c>
      <c r="L475" s="102">
        <f t="shared" ref="L475:O475" si="624">_xlfn.XLOOKUP($E$4,$C476:$C478,L476:L478)</f>
        <v>0.44191919191919193</v>
      </c>
      <c r="M475" s="102">
        <f t="shared" si="624"/>
        <v>0.44191919191919193</v>
      </c>
      <c r="N475" s="102">
        <f t="shared" si="624"/>
        <v>0.44191919191919193</v>
      </c>
      <c r="O475" s="102">
        <f t="shared" si="624"/>
        <v>0.44191919191919193</v>
      </c>
    </row>
    <row r="476" spans="1:15">
      <c r="C476" s="103" t="s">
        <v>1002</v>
      </c>
      <c r="D476" s="104">
        <v>0.01</v>
      </c>
      <c r="E476" s="75"/>
      <c r="F476" s="75"/>
      <c r="G476" s="75"/>
      <c r="H476" s="75"/>
      <c r="I476" s="75"/>
      <c r="J476" s="75"/>
      <c r="K476" s="105">
        <f>K477+$D476</f>
        <v>0.45191919191919194</v>
      </c>
      <c r="L476" s="105">
        <f t="shared" ref="L476:O476" si="625">L477+$D476</f>
        <v>0.45191919191919194</v>
      </c>
      <c r="M476" s="105">
        <f t="shared" si="625"/>
        <v>0.45191919191919194</v>
      </c>
      <c r="N476" s="105">
        <f t="shared" si="625"/>
        <v>0.45191919191919194</v>
      </c>
      <c r="O476" s="105">
        <f t="shared" si="625"/>
        <v>0.45191919191919194</v>
      </c>
    </row>
    <row r="477" spans="1:15">
      <c r="C477" s="103" t="s">
        <v>11</v>
      </c>
      <c r="D477" s="104">
        <v>0</v>
      </c>
      <c r="E477" s="75"/>
      <c r="F477" s="75"/>
      <c r="G477" s="75"/>
      <c r="H477" s="75"/>
      <c r="I477" s="75"/>
      <c r="J477" s="75"/>
      <c r="K477" s="105">
        <f>AVERAGE(G475:J475)</f>
        <v>0.44191919191919193</v>
      </c>
      <c r="L477" s="105">
        <f>K477</f>
        <v>0.44191919191919193</v>
      </c>
      <c r="M477" s="105">
        <f t="shared" ref="M477:O477" si="626">L477</f>
        <v>0.44191919191919193</v>
      </c>
      <c r="N477" s="105">
        <f t="shared" si="626"/>
        <v>0.44191919191919193</v>
      </c>
      <c r="O477" s="105">
        <f t="shared" si="626"/>
        <v>0.44191919191919193</v>
      </c>
    </row>
    <row r="478" spans="1:15">
      <c r="C478" s="103" t="s">
        <v>1003</v>
      </c>
      <c r="D478" s="104">
        <v>-0.01</v>
      </c>
      <c r="E478" s="75"/>
      <c r="F478" s="75"/>
      <c r="G478" s="75"/>
      <c r="H478" s="75"/>
      <c r="I478" s="75"/>
      <c r="J478" s="75"/>
      <c r="K478" s="105">
        <f>K477+$D478</f>
        <v>0.43191919191919192</v>
      </c>
      <c r="L478" s="105">
        <f t="shared" ref="L478:O478" si="627">L477+$D478</f>
        <v>0.43191919191919192</v>
      </c>
      <c r="M478" s="105">
        <f t="shared" si="627"/>
        <v>0.43191919191919192</v>
      </c>
      <c r="N478" s="105">
        <f t="shared" si="627"/>
        <v>0.43191919191919192</v>
      </c>
      <c r="O478" s="105">
        <f t="shared" si="627"/>
        <v>0.43191919191919192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FFD83-E11D-4ABE-8F26-8E894CF541BF}">
  <sheetPr>
    <tabColor rgb="FF00B14F"/>
  </sheetPr>
  <dimension ref="A1"/>
  <sheetViews>
    <sheetView showGridLines="0" workbookViewId="0">
      <selection activeCell="O16" sqref="O16"/>
    </sheetView>
  </sheetViews>
  <sheetFormatPr baseColWidth="10" defaultColWidth="8.83203125" defaultRowHeight="1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76CD1-7BD9-4065-8754-5C18C32FC9CD}">
  <dimension ref="A1:O115"/>
  <sheetViews>
    <sheetView showGridLines="0" workbookViewId="0">
      <selection activeCell="C22" sqref="C22"/>
    </sheetView>
  </sheetViews>
  <sheetFormatPr baseColWidth="10" defaultColWidth="9.1640625" defaultRowHeight="16"/>
  <cols>
    <col min="1" max="1" width="21.1640625" style="119" customWidth="1"/>
    <col min="2" max="2" width="24.1640625" style="119" customWidth="1"/>
    <col min="3" max="3" width="25" style="119" bestFit="1" customWidth="1"/>
    <col min="4" max="4" width="7.5" style="119" customWidth="1"/>
    <col min="5" max="5" width="11.1640625" style="119" customWidth="1"/>
    <col min="6" max="15" width="9.5" style="119" customWidth="1"/>
    <col min="16" max="256" width="9.1640625" style="119"/>
    <col min="257" max="257" width="21.1640625" style="119" customWidth="1"/>
    <col min="258" max="258" width="24.1640625" style="119" customWidth="1"/>
    <col min="259" max="259" width="23.1640625" style="119" customWidth="1"/>
    <col min="260" max="260" width="7.5" style="119" customWidth="1"/>
    <col min="261" max="261" width="19" style="119" customWidth="1"/>
    <col min="262" max="271" width="9.5" style="119" customWidth="1"/>
    <col min="272" max="512" width="9.1640625" style="119"/>
    <col min="513" max="513" width="21.1640625" style="119" customWidth="1"/>
    <col min="514" max="514" width="24.1640625" style="119" customWidth="1"/>
    <col min="515" max="515" width="23.1640625" style="119" customWidth="1"/>
    <col min="516" max="516" width="7.5" style="119" customWidth="1"/>
    <col min="517" max="517" width="19" style="119" customWidth="1"/>
    <col min="518" max="527" width="9.5" style="119" customWidth="1"/>
    <col min="528" max="768" width="9.1640625" style="119"/>
    <col min="769" max="769" width="21.1640625" style="119" customWidth="1"/>
    <col min="770" max="770" width="24.1640625" style="119" customWidth="1"/>
    <col min="771" max="771" width="23.1640625" style="119" customWidth="1"/>
    <col min="772" max="772" width="7.5" style="119" customWidth="1"/>
    <col min="773" max="773" width="19" style="119" customWidth="1"/>
    <col min="774" max="783" width="9.5" style="119" customWidth="1"/>
    <col min="784" max="1024" width="9.1640625" style="119"/>
    <col min="1025" max="1025" width="21.1640625" style="119" customWidth="1"/>
    <col min="1026" max="1026" width="24.1640625" style="119" customWidth="1"/>
    <col min="1027" max="1027" width="23.1640625" style="119" customWidth="1"/>
    <col min="1028" max="1028" width="7.5" style="119" customWidth="1"/>
    <col min="1029" max="1029" width="19" style="119" customWidth="1"/>
    <col min="1030" max="1039" width="9.5" style="119" customWidth="1"/>
    <col min="1040" max="1280" width="9.1640625" style="119"/>
    <col min="1281" max="1281" width="21.1640625" style="119" customWidth="1"/>
    <col min="1282" max="1282" width="24.1640625" style="119" customWidth="1"/>
    <col min="1283" max="1283" width="23.1640625" style="119" customWidth="1"/>
    <col min="1284" max="1284" width="7.5" style="119" customWidth="1"/>
    <col min="1285" max="1285" width="19" style="119" customWidth="1"/>
    <col min="1286" max="1295" width="9.5" style="119" customWidth="1"/>
    <col min="1296" max="1536" width="9.1640625" style="119"/>
    <col min="1537" max="1537" width="21.1640625" style="119" customWidth="1"/>
    <col min="1538" max="1538" width="24.1640625" style="119" customWidth="1"/>
    <col min="1539" max="1539" width="23.1640625" style="119" customWidth="1"/>
    <col min="1540" max="1540" width="7.5" style="119" customWidth="1"/>
    <col min="1541" max="1541" width="19" style="119" customWidth="1"/>
    <col min="1542" max="1551" width="9.5" style="119" customWidth="1"/>
    <col min="1552" max="1792" width="9.1640625" style="119"/>
    <col min="1793" max="1793" width="21.1640625" style="119" customWidth="1"/>
    <col min="1794" max="1794" width="24.1640625" style="119" customWidth="1"/>
    <col min="1795" max="1795" width="23.1640625" style="119" customWidth="1"/>
    <col min="1796" max="1796" width="7.5" style="119" customWidth="1"/>
    <col min="1797" max="1797" width="19" style="119" customWidth="1"/>
    <col min="1798" max="1807" width="9.5" style="119" customWidth="1"/>
    <col min="1808" max="2048" width="9.1640625" style="119"/>
    <col min="2049" max="2049" width="21.1640625" style="119" customWidth="1"/>
    <col min="2050" max="2050" width="24.1640625" style="119" customWidth="1"/>
    <col min="2051" max="2051" width="23.1640625" style="119" customWidth="1"/>
    <col min="2052" max="2052" width="7.5" style="119" customWidth="1"/>
    <col min="2053" max="2053" width="19" style="119" customWidth="1"/>
    <col min="2054" max="2063" width="9.5" style="119" customWidth="1"/>
    <col min="2064" max="2304" width="9.1640625" style="119"/>
    <col min="2305" max="2305" width="21.1640625" style="119" customWidth="1"/>
    <col min="2306" max="2306" width="24.1640625" style="119" customWidth="1"/>
    <col min="2307" max="2307" width="23.1640625" style="119" customWidth="1"/>
    <col min="2308" max="2308" width="7.5" style="119" customWidth="1"/>
    <col min="2309" max="2309" width="19" style="119" customWidth="1"/>
    <col min="2310" max="2319" width="9.5" style="119" customWidth="1"/>
    <col min="2320" max="2560" width="9.1640625" style="119"/>
    <col min="2561" max="2561" width="21.1640625" style="119" customWidth="1"/>
    <col min="2562" max="2562" width="24.1640625" style="119" customWidth="1"/>
    <col min="2563" max="2563" width="23.1640625" style="119" customWidth="1"/>
    <col min="2564" max="2564" width="7.5" style="119" customWidth="1"/>
    <col min="2565" max="2565" width="19" style="119" customWidth="1"/>
    <col min="2566" max="2575" width="9.5" style="119" customWidth="1"/>
    <col min="2576" max="2816" width="9.1640625" style="119"/>
    <col min="2817" max="2817" width="21.1640625" style="119" customWidth="1"/>
    <col min="2818" max="2818" width="24.1640625" style="119" customWidth="1"/>
    <col min="2819" max="2819" width="23.1640625" style="119" customWidth="1"/>
    <col min="2820" max="2820" width="7.5" style="119" customWidth="1"/>
    <col min="2821" max="2821" width="19" style="119" customWidth="1"/>
    <col min="2822" max="2831" width="9.5" style="119" customWidth="1"/>
    <col min="2832" max="3072" width="9.1640625" style="119"/>
    <col min="3073" max="3073" width="21.1640625" style="119" customWidth="1"/>
    <col min="3074" max="3074" width="24.1640625" style="119" customWidth="1"/>
    <col min="3075" max="3075" width="23.1640625" style="119" customWidth="1"/>
    <col min="3076" max="3076" width="7.5" style="119" customWidth="1"/>
    <col min="3077" max="3077" width="19" style="119" customWidth="1"/>
    <col min="3078" max="3087" width="9.5" style="119" customWidth="1"/>
    <col min="3088" max="3328" width="9.1640625" style="119"/>
    <col min="3329" max="3329" width="21.1640625" style="119" customWidth="1"/>
    <col min="3330" max="3330" width="24.1640625" style="119" customWidth="1"/>
    <col min="3331" max="3331" width="23.1640625" style="119" customWidth="1"/>
    <col min="3332" max="3332" width="7.5" style="119" customWidth="1"/>
    <col min="3333" max="3333" width="19" style="119" customWidth="1"/>
    <col min="3334" max="3343" width="9.5" style="119" customWidth="1"/>
    <col min="3344" max="3584" width="9.1640625" style="119"/>
    <col min="3585" max="3585" width="21.1640625" style="119" customWidth="1"/>
    <col min="3586" max="3586" width="24.1640625" style="119" customWidth="1"/>
    <col min="3587" max="3587" width="23.1640625" style="119" customWidth="1"/>
    <col min="3588" max="3588" width="7.5" style="119" customWidth="1"/>
    <col min="3589" max="3589" width="19" style="119" customWidth="1"/>
    <col min="3590" max="3599" width="9.5" style="119" customWidth="1"/>
    <col min="3600" max="3840" width="9.1640625" style="119"/>
    <col min="3841" max="3841" width="21.1640625" style="119" customWidth="1"/>
    <col min="3842" max="3842" width="24.1640625" style="119" customWidth="1"/>
    <col min="3843" max="3843" width="23.1640625" style="119" customWidth="1"/>
    <col min="3844" max="3844" width="7.5" style="119" customWidth="1"/>
    <col min="3845" max="3845" width="19" style="119" customWidth="1"/>
    <col min="3846" max="3855" width="9.5" style="119" customWidth="1"/>
    <col min="3856" max="4096" width="9.1640625" style="119"/>
    <col min="4097" max="4097" width="21.1640625" style="119" customWidth="1"/>
    <col min="4098" max="4098" width="24.1640625" style="119" customWidth="1"/>
    <col min="4099" max="4099" width="23.1640625" style="119" customWidth="1"/>
    <col min="4100" max="4100" width="7.5" style="119" customWidth="1"/>
    <col min="4101" max="4101" width="19" style="119" customWidth="1"/>
    <col min="4102" max="4111" width="9.5" style="119" customWidth="1"/>
    <col min="4112" max="4352" width="9.1640625" style="119"/>
    <col min="4353" max="4353" width="21.1640625" style="119" customWidth="1"/>
    <col min="4354" max="4354" width="24.1640625" style="119" customWidth="1"/>
    <col min="4355" max="4355" width="23.1640625" style="119" customWidth="1"/>
    <col min="4356" max="4356" width="7.5" style="119" customWidth="1"/>
    <col min="4357" max="4357" width="19" style="119" customWidth="1"/>
    <col min="4358" max="4367" width="9.5" style="119" customWidth="1"/>
    <col min="4368" max="4608" width="9.1640625" style="119"/>
    <col min="4609" max="4609" width="21.1640625" style="119" customWidth="1"/>
    <col min="4610" max="4610" width="24.1640625" style="119" customWidth="1"/>
    <col min="4611" max="4611" width="23.1640625" style="119" customWidth="1"/>
    <col min="4612" max="4612" width="7.5" style="119" customWidth="1"/>
    <col min="4613" max="4613" width="19" style="119" customWidth="1"/>
    <col min="4614" max="4623" width="9.5" style="119" customWidth="1"/>
    <col min="4624" max="4864" width="9.1640625" style="119"/>
    <col min="4865" max="4865" width="21.1640625" style="119" customWidth="1"/>
    <col min="4866" max="4866" width="24.1640625" style="119" customWidth="1"/>
    <col min="4867" max="4867" width="23.1640625" style="119" customWidth="1"/>
    <col min="4868" max="4868" width="7.5" style="119" customWidth="1"/>
    <col min="4869" max="4869" width="19" style="119" customWidth="1"/>
    <col min="4870" max="4879" width="9.5" style="119" customWidth="1"/>
    <col min="4880" max="5120" width="9.1640625" style="119"/>
    <col min="5121" max="5121" width="21.1640625" style="119" customWidth="1"/>
    <col min="5122" max="5122" width="24.1640625" style="119" customWidth="1"/>
    <col min="5123" max="5123" width="23.1640625" style="119" customWidth="1"/>
    <col min="5124" max="5124" width="7.5" style="119" customWidth="1"/>
    <col min="5125" max="5125" width="19" style="119" customWidth="1"/>
    <col min="5126" max="5135" width="9.5" style="119" customWidth="1"/>
    <col min="5136" max="5376" width="9.1640625" style="119"/>
    <col min="5377" max="5377" width="21.1640625" style="119" customWidth="1"/>
    <col min="5378" max="5378" width="24.1640625" style="119" customWidth="1"/>
    <col min="5379" max="5379" width="23.1640625" style="119" customWidth="1"/>
    <col min="5380" max="5380" width="7.5" style="119" customWidth="1"/>
    <col min="5381" max="5381" width="19" style="119" customWidth="1"/>
    <col min="5382" max="5391" width="9.5" style="119" customWidth="1"/>
    <col min="5392" max="5632" width="9.1640625" style="119"/>
    <col min="5633" max="5633" width="21.1640625" style="119" customWidth="1"/>
    <col min="5634" max="5634" width="24.1640625" style="119" customWidth="1"/>
    <col min="5635" max="5635" width="23.1640625" style="119" customWidth="1"/>
    <col min="5636" max="5636" width="7.5" style="119" customWidth="1"/>
    <col min="5637" max="5637" width="19" style="119" customWidth="1"/>
    <col min="5638" max="5647" width="9.5" style="119" customWidth="1"/>
    <col min="5648" max="5888" width="9.1640625" style="119"/>
    <col min="5889" max="5889" width="21.1640625" style="119" customWidth="1"/>
    <col min="5890" max="5890" width="24.1640625" style="119" customWidth="1"/>
    <col min="5891" max="5891" width="23.1640625" style="119" customWidth="1"/>
    <col min="5892" max="5892" width="7.5" style="119" customWidth="1"/>
    <col min="5893" max="5893" width="19" style="119" customWidth="1"/>
    <col min="5894" max="5903" width="9.5" style="119" customWidth="1"/>
    <col min="5904" max="6144" width="9.1640625" style="119"/>
    <col min="6145" max="6145" width="21.1640625" style="119" customWidth="1"/>
    <col min="6146" max="6146" width="24.1640625" style="119" customWidth="1"/>
    <col min="6147" max="6147" width="23.1640625" style="119" customWidth="1"/>
    <col min="6148" max="6148" width="7.5" style="119" customWidth="1"/>
    <col min="6149" max="6149" width="19" style="119" customWidth="1"/>
    <col min="6150" max="6159" width="9.5" style="119" customWidth="1"/>
    <col min="6160" max="6400" width="9.1640625" style="119"/>
    <col min="6401" max="6401" width="21.1640625" style="119" customWidth="1"/>
    <col min="6402" max="6402" width="24.1640625" style="119" customWidth="1"/>
    <col min="6403" max="6403" width="23.1640625" style="119" customWidth="1"/>
    <col min="6404" max="6404" width="7.5" style="119" customWidth="1"/>
    <col min="6405" max="6405" width="19" style="119" customWidth="1"/>
    <col min="6406" max="6415" width="9.5" style="119" customWidth="1"/>
    <col min="6416" max="6656" width="9.1640625" style="119"/>
    <col min="6657" max="6657" width="21.1640625" style="119" customWidth="1"/>
    <col min="6658" max="6658" width="24.1640625" style="119" customWidth="1"/>
    <col min="6659" max="6659" width="23.1640625" style="119" customWidth="1"/>
    <col min="6660" max="6660" width="7.5" style="119" customWidth="1"/>
    <col min="6661" max="6661" width="19" style="119" customWidth="1"/>
    <col min="6662" max="6671" width="9.5" style="119" customWidth="1"/>
    <col min="6672" max="6912" width="9.1640625" style="119"/>
    <col min="6913" max="6913" width="21.1640625" style="119" customWidth="1"/>
    <col min="6914" max="6914" width="24.1640625" style="119" customWidth="1"/>
    <col min="6915" max="6915" width="23.1640625" style="119" customWidth="1"/>
    <col min="6916" max="6916" width="7.5" style="119" customWidth="1"/>
    <col min="6917" max="6917" width="19" style="119" customWidth="1"/>
    <col min="6918" max="6927" width="9.5" style="119" customWidth="1"/>
    <col min="6928" max="7168" width="9.1640625" style="119"/>
    <col min="7169" max="7169" width="21.1640625" style="119" customWidth="1"/>
    <col min="7170" max="7170" width="24.1640625" style="119" customWidth="1"/>
    <col min="7171" max="7171" width="23.1640625" style="119" customWidth="1"/>
    <col min="7172" max="7172" width="7.5" style="119" customWidth="1"/>
    <col min="7173" max="7173" width="19" style="119" customWidth="1"/>
    <col min="7174" max="7183" width="9.5" style="119" customWidth="1"/>
    <col min="7184" max="7424" width="9.1640625" style="119"/>
    <col min="7425" max="7425" width="21.1640625" style="119" customWidth="1"/>
    <col min="7426" max="7426" width="24.1640625" style="119" customWidth="1"/>
    <col min="7427" max="7427" width="23.1640625" style="119" customWidth="1"/>
    <col min="7428" max="7428" width="7.5" style="119" customWidth="1"/>
    <col min="7429" max="7429" width="19" style="119" customWidth="1"/>
    <col min="7430" max="7439" width="9.5" style="119" customWidth="1"/>
    <col min="7440" max="7680" width="9.1640625" style="119"/>
    <col min="7681" max="7681" width="21.1640625" style="119" customWidth="1"/>
    <col min="7682" max="7682" width="24.1640625" style="119" customWidth="1"/>
    <col min="7683" max="7683" width="23.1640625" style="119" customWidth="1"/>
    <col min="7684" max="7684" width="7.5" style="119" customWidth="1"/>
    <col min="7685" max="7685" width="19" style="119" customWidth="1"/>
    <col min="7686" max="7695" width="9.5" style="119" customWidth="1"/>
    <col min="7696" max="7936" width="9.1640625" style="119"/>
    <col min="7937" max="7937" width="21.1640625" style="119" customWidth="1"/>
    <col min="7938" max="7938" width="24.1640625" style="119" customWidth="1"/>
    <col min="7939" max="7939" width="23.1640625" style="119" customWidth="1"/>
    <col min="7940" max="7940" width="7.5" style="119" customWidth="1"/>
    <col min="7941" max="7941" width="19" style="119" customWidth="1"/>
    <col min="7942" max="7951" width="9.5" style="119" customWidth="1"/>
    <col min="7952" max="8192" width="9.1640625" style="119"/>
    <col min="8193" max="8193" width="21.1640625" style="119" customWidth="1"/>
    <col min="8194" max="8194" width="24.1640625" style="119" customWidth="1"/>
    <col min="8195" max="8195" width="23.1640625" style="119" customWidth="1"/>
    <col min="8196" max="8196" width="7.5" style="119" customWidth="1"/>
    <col min="8197" max="8197" width="19" style="119" customWidth="1"/>
    <col min="8198" max="8207" width="9.5" style="119" customWidth="1"/>
    <col min="8208" max="8448" width="9.1640625" style="119"/>
    <col min="8449" max="8449" width="21.1640625" style="119" customWidth="1"/>
    <col min="8450" max="8450" width="24.1640625" style="119" customWidth="1"/>
    <col min="8451" max="8451" width="23.1640625" style="119" customWidth="1"/>
    <col min="8452" max="8452" width="7.5" style="119" customWidth="1"/>
    <col min="8453" max="8453" width="19" style="119" customWidth="1"/>
    <col min="8454" max="8463" width="9.5" style="119" customWidth="1"/>
    <col min="8464" max="8704" width="9.1640625" style="119"/>
    <col min="8705" max="8705" width="21.1640625" style="119" customWidth="1"/>
    <col min="8706" max="8706" width="24.1640625" style="119" customWidth="1"/>
    <col min="8707" max="8707" width="23.1640625" style="119" customWidth="1"/>
    <col min="8708" max="8708" width="7.5" style="119" customWidth="1"/>
    <col min="8709" max="8709" width="19" style="119" customWidth="1"/>
    <col min="8710" max="8719" width="9.5" style="119" customWidth="1"/>
    <col min="8720" max="8960" width="9.1640625" style="119"/>
    <col min="8961" max="8961" width="21.1640625" style="119" customWidth="1"/>
    <col min="8962" max="8962" width="24.1640625" style="119" customWidth="1"/>
    <col min="8963" max="8963" width="23.1640625" style="119" customWidth="1"/>
    <col min="8964" max="8964" width="7.5" style="119" customWidth="1"/>
    <col min="8965" max="8965" width="19" style="119" customWidth="1"/>
    <col min="8966" max="8975" width="9.5" style="119" customWidth="1"/>
    <col min="8976" max="9216" width="9.1640625" style="119"/>
    <col min="9217" max="9217" width="21.1640625" style="119" customWidth="1"/>
    <col min="9218" max="9218" width="24.1640625" style="119" customWidth="1"/>
    <col min="9219" max="9219" width="23.1640625" style="119" customWidth="1"/>
    <col min="9220" max="9220" width="7.5" style="119" customWidth="1"/>
    <col min="9221" max="9221" width="19" style="119" customWidth="1"/>
    <col min="9222" max="9231" width="9.5" style="119" customWidth="1"/>
    <col min="9232" max="9472" width="9.1640625" style="119"/>
    <col min="9473" max="9473" width="21.1640625" style="119" customWidth="1"/>
    <col min="9474" max="9474" width="24.1640625" style="119" customWidth="1"/>
    <col min="9475" max="9475" width="23.1640625" style="119" customWidth="1"/>
    <col min="9476" max="9476" width="7.5" style="119" customWidth="1"/>
    <col min="9477" max="9477" width="19" style="119" customWidth="1"/>
    <col min="9478" max="9487" width="9.5" style="119" customWidth="1"/>
    <col min="9488" max="9728" width="9.1640625" style="119"/>
    <col min="9729" max="9729" width="21.1640625" style="119" customWidth="1"/>
    <col min="9730" max="9730" width="24.1640625" style="119" customWidth="1"/>
    <col min="9731" max="9731" width="23.1640625" style="119" customWidth="1"/>
    <col min="9732" max="9732" width="7.5" style="119" customWidth="1"/>
    <col min="9733" max="9733" width="19" style="119" customWidth="1"/>
    <col min="9734" max="9743" width="9.5" style="119" customWidth="1"/>
    <col min="9744" max="9984" width="9.1640625" style="119"/>
    <col min="9985" max="9985" width="21.1640625" style="119" customWidth="1"/>
    <col min="9986" max="9986" width="24.1640625" style="119" customWidth="1"/>
    <col min="9987" max="9987" width="23.1640625" style="119" customWidth="1"/>
    <col min="9988" max="9988" width="7.5" style="119" customWidth="1"/>
    <col min="9989" max="9989" width="19" style="119" customWidth="1"/>
    <col min="9990" max="9999" width="9.5" style="119" customWidth="1"/>
    <col min="10000" max="10240" width="9.1640625" style="119"/>
    <col min="10241" max="10241" width="21.1640625" style="119" customWidth="1"/>
    <col min="10242" max="10242" width="24.1640625" style="119" customWidth="1"/>
    <col min="10243" max="10243" width="23.1640625" style="119" customWidth="1"/>
    <col min="10244" max="10244" width="7.5" style="119" customWidth="1"/>
    <col min="10245" max="10245" width="19" style="119" customWidth="1"/>
    <col min="10246" max="10255" width="9.5" style="119" customWidth="1"/>
    <col min="10256" max="10496" width="9.1640625" style="119"/>
    <col min="10497" max="10497" width="21.1640625" style="119" customWidth="1"/>
    <col min="10498" max="10498" width="24.1640625" style="119" customWidth="1"/>
    <col min="10499" max="10499" width="23.1640625" style="119" customWidth="1"/>
    <col min="10500" max="10500" width="7.5" style="119" customWidth="1"/>
    <col min="10501" max="10501" width="19" style="119" customWidth="1"/>
    <col min="10502" max="10511" width="9.5" style="119" customWidth="1"/>
    <col min="10512" max="10752" width="9.1640625" style="119"/>
    <col min="10753" max="10753" width="21.1640625" style="119" customWidth="1"/>
    <col min="10754" max="10754" width="24.1640625" style="119" customWidth="1"/>
    <col min="10755" max="10755" width="23.1640625" style="119" customWidth="1"/>
    <col min="10756" max="10756" width="7.5" style="119" customWidth="1"/>
    <col min="10757" max="10757" width="19" style="119" customWidth="1"/>
    <col min="10758" max="10767" width="9.5" style="119" customWidth="1"/>
    <col min="10768" max="11008" width="9.1640625" style="119"/>
    <col min="11009" max="11009" width="21.1640625" style="119" customWidth="1"/>
    <col min="11010" max="11010" width="24.1640625" style="119" customWidth="1"/>
    <col min="11011" max="11011" width="23.1640625" style="119" customWidth="1"/>
    <col min="11012" max="11012" width="7.5" style="119" customWidth="1"/>
    <col min="11013" max="11013" width="19" style="119" customWidth="1"/>
    <col min="11014" max="11023" width="9.5" style="119" customWidth="1"/>
    <col min="11024" max="11264" width="9.1640625" style="119"/>
    <col min="11265" max="11265" width="21.1640625" style="119" customWidth="1"/>
    <col min="11266" max="11266" width="24.1640625" style="119" customWidth="1"/>
    <col min="11267" max="11267" width="23.1640625" style="119" customWidth="1"/>
    <col min="11268" max="11268" width="7.5" style="119" customWidth="1"/>
    <col min="11269" max="11269" width="19" style="119" customWidth="1"/>
    <col min="11270" max="11279" width="9.5" style="119" customWidth="1"/>
    <col min="11280" max="11520" width="9.1640625" style="119"/>
    <col min="11521" max="11521" width="21.1640625" style="119" customWidth="1"/>
    <col min="11522" max="11522" width="24.1640625" style="119" customWidth="1"/>
    <col min="11523" max="11523" width="23.1640625" style="119" customWidth="1"/>
    <col min="11524" max="11524" width="7.5" style="119" customWidth="1"/>
    <col min="11525" max="11525" width="19" style="119" customWidth="1"/>
    <col min="11526" max="11535" width="9.5" style="119" customWidth="1"/>
    <col min="11536" max="11776" width="9.1640625" style="119"/>
    <col min="11777" max="11777" width="21.1640625" style="119" customWidth="1"/>
    <col min="11778" max="11778" width="24.1640625" style="119" customWidth="1"/>
    <col min="11779" max="11779" width="23.1640625" style="119" customWidth="1"/>
    <col min="11780" max="11780" width="7.5" style="119" customWidth="1"/>
    <col min="11781" max="11781" width="19" style="119" customWidth="1"/>
    <col min="11782" max="11791" width="9.5" style="119" customWidth="1"/>
    <col min="11792" max="12032" width="9.1640625" style="119"/>
    <col min="12033" max="12033" width="21.1640625" style="119" customWidth="1"/>
    <col min="12034" max="12034" width="24.1640625" style="119" customWidth="1"/>
    <col min="12035" max="12035" width="23.1640625" style="119" customWidth="1"/>
    <col min="12036" max="12036" width="7.5" style="119" customWidth="1"/>
    <col min="12037" max="12037" width="19" style="119" customWidth="1"/>
    <col min="12038" max="12047" width="9.5" style="119" customWidth="1"/>
    <col min="12048" max="12288" width="9.1640625" style="119"/>
    <col min="12289" max="12289" width="21.1640625" style="119" customWidth="1"/>
    <col min="12290" max="12290" width="24.1640625" style="119" customWidth="1"/>
    <col min="12291" max="12291" width="23.1640625" style="119" customWidth="1"/>
    <col min="12292" max="12292" width="7.5" style="119" customWidth="1"/>
    <col min="12293" max="12293" width="19" style="119" customWidth="1"/>
    <col min="12294" max="12303" width="9.5" style="119" customWidth="1"/>
    <col min="12304" max="12544" width="9.1640625" style="119"/>
    <col min="12545" max="12545" width="21.1640625" style="119" customWidth="1"/>
    <col min="12546" max="12546" width="24.1640625" style="119" customWidth="1"/>
    <col min="12547" max="12547" width="23.1640625" style="119" customWidth="1"/>
    <col min="12548" max="12548" width="7.5" style="119" customWidth="1"/>
    <col min="12549" max="12549" width="19" style="119" customWidth="1"/>
    <col min="12550" max="12559" width="9.5" style="119" customWidth="1"/>
    <col min="12560" max="12800" width="9.1640625" style="119"/>
    <col min="12801" max="12801" width="21.1640625" style="119" customWidth="1"/>
    <col min="12802" max="12802" width="24.1640625" style="119" customWidth="1"/>
    <col min="12803" max="12803" width="23.1640625" style="119" customWidth="1"/>
    <col min="12804" max="12804" width="7.5" style="119" customWidth="1"/>
    <col min="12805" max="12805" width="19" style="119" customWidth="1"/>
    <col min="12806" max="12815" width="9.5" style="119" customWidth="1"/>
    <col min="12816" max="13056" width="9.1640625" style="119"/>
    <col min="13057" max="13057" width="21.1640625" style="119" customWidth="1"/>
    <col min="13058" max="13058" width="24.1640625" style="119" customWidth="1"/>
    <col min="13059" max="13059" width="23.1640625" style="119" customWidth="1"/>
    <col min="13060" max="13060" width="7.5" style="119" customWidth="1"/>
    <col min="13061" max="13061" width="19" style="119" customWidth="1"/>
    <col min="13062" max="13071" width="9.5" style="119" customWidth="1"/>
    <col min="13072" max="13312" width="9.1640625" style="119"/>
    <col min="13313" max="13313" width="21.1640625" style="119" customWidth="1"/>
    <col min="13314" max="13314" width="24.1640625" style="119" customWidth="1"/>
    <col min="13315" max="13315" width="23.1640625" style="119" customWidth="1"/>
    <col min="13316" max="13316" width="7.5" style="119" customWidth="1"/>
    <col min="13317" max="13317" width="19" style="119" customWidth="1"/>
    <col min="13318" max="13327" width="9.5" style="119" customWidth="1"/>
    <col min="13328" max="13568" width="9.1640625" style="119"/>
    <col min="13569" max="13569" width="21.1640625" style="119" customWidth="1"/>
    <col min="13570" max="13570" width="24.1640625" style="119" customWidth="1"/>
    <col min="13571" max="13571" width="23.1640625" style="119" customWidth="1"/>
    <col min="13572" max="13572" width="7.5" style="119" customWidth="1"/>
    <col min="13573" max="13573" width="19" style="119" customWidth="1"/>
    <col min="13574" max="13583" width="9.5" style="119" customWidth="1"/>
    <col min="13584" max="13824" width="9.1640625" style="119"/>
    <col min="13825" max="13825" width="21.1640625" style="119" customWidth="1"/>
    <col min="13826" max="13826" width="24.1640625" style="119" customWidth="1"/>
    <col min="13827" max="13827" width="23.1640625" style="119" customWidth="1"/>
    <col min="13828" max="13828" width="7.5" style="119" customWidth="1"/>
    <col min="13829" max="13829" width="19" style="119" customWidth="1"/>
    <col min="13830" max="13839" width="9.5" style="119" customWidth="1"/>
    <col min="13840" max="14080" width="9.1640625" style="119"/>
    <col min="14081" max="14081" width="21.1640625" style="119" customWidth="1"/>
    <col min="14082" max="14082" width="24.1640625" style="119" customWidth="1"/>
    <col min="14083" max="14083" width="23.1640625" style="119" customWidth="1"/>
    <col min="14084" max="14084" width="7.5" style="119" customWidth="1"/>
    <col min="14085" max="14085" width="19" style="119" customWidth="1"/>
    <col min="14086" max="14095" width="9.5" style="119" customWidth="1"/>
    <col min="14096" max="14336" width="9.1640625" style="119"/>
    <col min="14337" max="14337" width="21.1640625" style="119" customWidth="1"/>
    <col min="14338" max="14338" width="24.1640625" style="119" customWidth="1"/>
    <col min="14339" max="14339" width="23.1640625" style="119" customWidth="1"/>
    <col min="14340" max="14340" width="7.5" style="119" customWidth="1"/>
    <col min="14341" max="14341" width="19" style="119" customWidth="1"/>
    <col min="14342" max="14351" width="9.5" style="119" customWidth="1"/>
    <col min="14352" max="14592" width="9.1640625" style="119"/>
    <col min="14593" max="14593" width="21.1640625" style="119" customWidth="1"/>
    <col min="14594" max="14594" width="24.1640625" style="119" customWidth="1"/>
    <col min="14595" max="14595" width="23.1640625" style="119" customWidth="1"/>
    <col min="14596" max="14596" width="7.5" style="119" customWidth="1"/>
    <col min="14597" max="14597" width="19" style="119" customWidth="1"/>
    <col min="14598" max="14607" width="9.5" style="119" customWidth="1"/>
    <col min="14608" max="14848" width="9.1640625" style="119"/>
    <col min="14849" max="14849" width="21.1640625" style="119" customWidth="1"/>
    <col min="14850" max="14850" width="24.1640625" style="119" customWidth="1"/>
    <col min="14851" max="14851" width="23.1640625" style="119" customWidth="1"/>
    <col min="14852" max="14852" width="7.5" style="119" customWidth="1"/>
    <col min="14853" max="14853" width="19" style="119" customWidth="1"/>
    <col min="14854" max="14863" width="9.5" style="119" customWidth="1"/>
    <col min="14864" max="15104" width="9.1640625" style="119"/>
    <col min="15105" max="15105" width="21.1640625" style="119" customWidth="1"/>
    <col min="15106" max="15106" width="24.1640625" style="119" customWidth="1"/>
    <col min="15107" max="15107" width="23.1640625" style="119" customWidth="1"/>
    <col min="15108" max="15108" width="7.5" style="119" customWidth="1"/>
    <col min="15109" max="15109" width="19" style="119" customWidth="1"/>
    <col min="15110" max="15119" width="9.5" style="119" customWidth="1"/>
    <col min="15120" max="15360" width="9.1640625" style="119"/>
    <col min="15361" max="15361" width="21.1640625" style="119" customWidth="1"/>
    <col min="15362" max="15362" width="24.1640625" style="119" customWidth="1"/>
    <col min="15363" max="15363" width="23.1640625" style="119" customWidth="1"/>
    <col min="15364" max="15364" width="7.5" style="119" customWidth="1"/>
    <col min="15365" max="15365" width="19" style="119" customWidth="1"/>
    <col min="15366" max="15375" width="9.5" style="119" customWidth="1"/>
    <col min="15376" max="15616" width="9.1640625" style="119"/>
    <col min="15617" max="15617" width="21.1640625" style="119" customWidth="1"/>
    <col min="15618" max="15618" width="24.1640625" style="119" customWidth="1"/>
    <col min="15619" max="15619" width="23.1640625" style="119" customWidth="1"/>
    <col min="15620" max="15620" width="7.5" style="119" customWidth="1"/>
    <col min="15621" max="15621" width="19" style="119" customWidth="1"/>
    <col min="15622" max="15631" width="9.5" style="119" customWidth="1"/>
    <col min="15632" max="15872" width="9.1640625" style="119"/>
    <col min="15873" max="15873" width="21.1640625" style="119" customWidth="1"/>
    <col min="15874" max="15874" width="24.1640625" style="119" customWidth="1"/>
    <col min="15875" max="15875" width="23.1640625" style="119" customWidth="1"/>
    <col min="15876" max="15876" width="7.5" style="119" customWidth="1"/>
    <col min="15877" max="15877" width="19" style="119" customWidth="1"/>
    <col min="15878" max="15887" width="9.5" style="119" customWidth="1"/>
    <col min="15888" max="16128" width="9.1640625" style="119"/>
    <col min="16129" max="16129" width="21.1640625" style="119" customWidth="1"/>
    <col min="16130" max="16130" width="24.1640625" style="119" customWidth="1"/>
    <col min="16131" max="16131" width="23.1640625" style="119" customWidth="1"/>
    <col min="16132" max="16132" width="7.5" style="119" customWidth="1"/>
    <col min="16133" max="16133" width="19" style="119" customWidth="1"/>
    <col min="16134" max="16143" width="9.5" style="119" customWidth="1"/>
    <col min="16144" max="16384" width="9.1640625" style="119"/>
  </cols>
  <sheetData>
    <row r="1" spans="1:15" s="117" customFormat="1"/>
    <row r="2" spans="1:15" s="118" customFormat="1"/>
    <row r="3" spans="1:15" s="117" customFormat="1"/>
    <row r="4" spans="1:15" s="117" customFormat="1"/>
    <row r="5" spans="1:15">
      <c r="A5" s="117" t="s">
        <v>1095</v>
      </c>
    </row>
    <row r="6" spans="1:15" s="876" customFormat="1">
      <c r="A6" s="789" t="s">
        <v>1096</v>
      </c>
      <c r="B6" s="789" t="s">
        <v>1097</v>
      </c>
      <c r="C6" s="789" t="s">
        <v>1098</v>
      </c>
      <c r="D6" s="789" t="s">
        <v>1099</v>
      </c>
      <c r="E6" s="789" t="s">
        <v>1100</v>
      </c>
      <c r="F6" s="789" t="s">
        <v>1101</v>
      </c>
      <c r="G6" s="789" t="s">
        <v>1102</v>
      </c>
      <c r="H6" s="789" t="s">
        <v>1103</v>
      </c>
      <c r="I6" s="789" t="s">
        <v>1104</v>
      </c>
      <c r="J6" s="789" t="s">
        <v>1105</v>
      </c>
      <c r="K6" s="789" t="s">
        <v>1106</v>
      </c>
      <c r="L6" s="789" t="s">
        <v>1107</v>
      </c>
      <c r="M6" s="789" t="s">
        <v>1108</v>
      </c>
      <c r="N6" s="789" t="s">
        <v>1109</v>
      </c>
      <c r="O6" s="789" t="s">
        <v>1110</v>
      </c>
    </row>
    <row r="7" spans="1:15" ht="17.25" customHeight="1">
      <c r="A7" s="120" t="s">
        <v>413</v>
      </c>
      <c r="B7" s="141" t="s">
        <v>1111</v>
      </c>
      <c r="C7" s="120" t="s">
        <v>1112</v>
      </c>
      <c r="D7" s="120" t="s">
        <v>1113</v>
      </c>
      <c r="E7" s="142" t="s">
        <v>1114</v>
      </c>
      <c r="F7" s="122">
        <v>893.5</v>
      </c>
      <c r="G7" s="122">
        <v>902.8</v>
      </c>
      <c r="H7" s="122">
        <v>910.5</v>
      </c>
      <c r="I7" s="122">
        <v>920.4</v>
      </c>
      <c r="J7" s="122">
        <v>929</v>
      </c>
      <c r="K7" s="123">
        <v>936.4</v>
      </c>
      <c r="L7" s="123">
        <v>943.2</v>
      </c>
      <c r="M7" s="123">
        <v>949.5</v>
      </c>
      <c r="N7" s="123">
        <v>955.4</v>
      </c>
      <c r="O7" s="123">
        <v>960.9</v>
      </c>
    </row>
    <row r="8" spans="1:15">
      <c r="A8" s="120" t="s">
        <v>419</v>
      </c>
      <c r="B8" s="141" t="s">
        <v>1111</v>
      </c>
      <c r="C8" s="120" t="s">
        <v>1112</v>
      </c>
      <c r="D8" s="120" t="s">
        <v>1113</v>
      </c>
      <c r="E8" s="142" t="s">
        <v>1114</v>
      </c>
      <c r="F8" s="122">
        <v>10654.3</v>
      </c>
      <c r="G8" s="122">
        <v>10840</v>
      </c>
      <c r="H8" s="122">
        <v>11047.2</v>
      </c>
      <c r="I8" s="122">
        <v>11275.2</v>
      </c>
      <c r="J8" s="122">
        <v>11501.1</v>
      </c>
      <c r="K8" s="123">
        <v>11725.2</v>
      </c>
      <c r="L8" s="123">
        <v>11945.9</v>
      </c>
      <c r="M8" s="123">
        <v>12161.2</v>
      </c>
      <c r="N8" s="123">
        <v>12370.8</v>
      </c>
      <c r="O8" s="123">
        <v>12574.3</v>
      </c>
    </row>
    <row r="9" spans="1:15">
      <c r="A9" s="120" t="s">
        <v>260</v>
      </c>
      <c r="B9" s="141" t="s">
        <v>1111</v>
      </c>
      <c r="C9" s="120" t="s">
        <v>1112</v>
      </c>
      <c r="D9" s="120" t="s">
        <v>1113</v>
      </c>
      <c r="E9" s="142" t="s">
        <v>1114</v>
      </c>
      <c r="F9" s="122">
        <v>746</v>
      </c>
      <c r="G9" s="122">
        <v>761.3</v>
      </c>
      <c r="H9" s="122">
        <v>775.9</v>
      </c>
      <c r="I9" s="122">
        <v>790.4</v>
      </c>
      <c r="J9" s="122">
        <v>804.7</v>
      </c>
      <c r="K9" s="123">
        <v>819</v>
      </c>
      <c r="L9" s="123">
        <v>833.1</v>
      </c>
      <c r="M9" s="123">
        <v>847.1</v>
      </c>
      <c r="N9" s="123">
        <v>861.2</v>
      </c>
      <c r="O9" s="123">
        <v>875.1</v>
      </c>
    </row>
    <row r="10" spans="1:15">
      <c r="A10" s="120" t="s">
        <v>470</v>
      </c>
      <c r="B10" s="141" t="s">
        <v>1111</v>
      </c>
      <c r="C10" s="120" t="s">
        <v>1112</v>
      </c>
      <c r="D10" s="120" t="s">
        <v>1113</v>
      </c>
      <c r="E10" s="142" t="s">
        <v>1114</v>
      </c>
      <c r="F10" s="122">
        <v>110885.7</v>
      </c>
      <c r="G10" s="122">
        <v>113171.3</v>
      </c>
      <c r="H10" s="122">
        <v>115353.5</v>
      </c>
      <c r="I10" s="122">
        <v>117429.9</v>
      </c>
      <c r="J10" s="122">
        <v>119389</v>
      </c>
      <c r="K10" s="123">
        <v>121380.1</v>
      </c>
      <c r="L10" s="123">
        <v>123322</v>
      </c>
      <c r="M10" s="123">
        <v>125234.2</v>
      </c>
      <c r="N10" s="123">
        <v>127073.5</v>
      </c>
      <c r="O10" s="123">
        <v>128836.6</v>
      </c>
    </row>
    <row r="11" spans="1:15">
      <c r="A11" s="120" t="s">
        <v>1115</v>
      </c>
      <c r="B11" s="141" t="s">
        <v>1111</v>
      </c>
      <c r="C11" s="120" t="s">
        <v>1112</v>
      </c>
      <c r="D11" s="120" t="s">
        <v>1113</v>
      </c>
      <c r="E11" s="142" t="s">
        <v>1114</v>
      </c>
      <c r="F11" s="122">
        <v>487.7</v>
      </c>
      <c r="G11" s="122">
        <v>488.3</v>
      </c>
      <c r="H11" s="122">
        <v>489.2</v>
      </c>
      <c r="I11" s="122">
        <v>507.4</v>
      </c>
      <c r="J11" s="122">
        <v>512.20000000000005</v>
      </c>
      <c r="K11" s="123">
        <v>519.4</v>
      </c>
      <c r="L11" s="123">
        <v>526.79999999999995</v>
      </c>
      <c r="M11" s="123">
        <v>534.5</v>
      </c>
      <c r="N11" s="123">
        <v>542.29999999999995</v>
      </c>
      <c r="O11" s="123">
        <v>550.1</v>
      </c>
    </row>
    <row r="12" spans="1:15">
      <c r="A12" s="120" t="s">
        <v>564</v>
      </c>
      <c r="B12" s="141" t="s">
        <v>1111</v>
      </c>
      <c r="C12" s="120" t="s">
        <v>1112</v>
      </c>
      <c r="D12" s="120" t="s">
        <v>1113</v>
      </c>
      <c r="E12" s="142" t="s">
        <v>1114</v>
      </c>
      <c r="F12" s="122">
        <v>77088</v>
      </c>
      <c r="G12" s="122">
        <v>77973.600000000006</v>
      </c>
      <c r="H12" s="122">
        <v>78817.3</v>
      </c>
      <c r="I12" s="122">
        <v>79720.5</v>
      </c>
      <c r="J12" s="122">
        <v>80618.899999999994</v>
      </c>
      <c r="K12" s="123">
        <v>81505.8</v>
      </c>
      <c r="L12" s="123">
        <v>82370.100000000006</v>
      </c>
      <c r="M12" s="123">
        <v>83210.3</v>
      </c>
      <c r="N12" s="123">
        <v>84025.2</v>
      </c>
      <c r="O12" s="123">
        <v>84815.6</v>
      </c>
    </row>
    <row r="13" spans="1:15">
      <c r="A13" s="120" t="s">
        <v>233</v>
      </c>
      <c r="B13" s="141" t="s">
        <v>1111</v>
      </c>
      <c r="C13" s="120" t="s">
        <v>1112</v>
      </c>
      <c r="D13" s="120" t="s">
        <v>1113</v>
      </c>
      <c r="E13" s="142" t="s">
        <v>1114</v>
      </c>
      <c r="F13" s="122">
        <v>22182.400000000001</v>
      </c>
      <c r="G13" s="122">
        <v>22479.3</v>
      </c>
      <c r="H13" s="122">
        <v>22783.599999999999</v>
      </c>
      <c r="I13" s="122">
        <v>23107.4</v>
      </c>
      <c r="J13" s="122">
        <v>23421.4</v>
      </c>
      <c r="K13" s="123">
        <v>23724.9</v>
      </c>
      <c r="L13" s="123">
        <v>24017</v>
      </c>
      <c r="M13" s="123">
        <v>24297.8</v>
      </c>
      <c r="N13" s="123">
        <v>24566.799999999999</v>
      </c>
      <c r="O13" s="123">
        <v>24824.1</v>
      </c>
    </row>
    <row r="14" spans="1:15">
      <c r="A14" s="120" t="s">
        <v>581</v>
      </c>
      <c r="B14" s="141" t="s">
        <v>1111</v>
      </c>
      <c r="C14" s="120" t="s">
        <v>1112</v>
      </c>
      <c r="D14" s="120" t="s">
        <v>1113</v>
      </c>
      <c r="E14" s="142" t="s">
        <v>1114</v>
      </c>
      <c r="F14" s="122">
        <v>15673</v>
      </c>
      <c r="G14" s="122">
        <v>15743.7</v>
      </c>
      <c r="H14" s="122">
        <v>15822.4</v>
      </c>
      <c r="I14" s="122">
        <v>15890.8</v>
      </c>
      <c r="J14" s="122">
        <v>15958.3</v>
      </c>
      <c r="K14" s="123">
        <v>16003.8</v>
      </c>
      <c r="L14" s="123">
        <v>16036.3</v>
      </c>
      <c r="M14" s="123">
        <v>16055.9</v>
      </c>
      <c r="N14" s="123">
        <v>16065.2</v>
      </c>
      <c r="O14" s="123">
        <v>16064.7</v>
      </c>
    </row>
    <row r="15" spans="1:15">
      <c r="A15" s="120" t="s">
        <v>585</v>
      </c>
      <c r="B15" s="141" t="s">
        <v>1111</v>
      </c>
      <c r="C15" s="120" t="s">
        <v>1112</v>
      </c>
      <c r="D15" s="120" t="s">
        <v>1113</v>
      </c>
      <c r="E15" s="142" t="s">
        <v>1114</v>
      </c>
      <c r="F15" s="122">
        <v>2310.9</v>
      </c>
      <c r="G15" s="122">
        <v>2362.6</v>
      </c>
      <c r="H15" s="122">
        <v>2414.4</v>
      </c>
      <c r="I15" s="122">
        <v>2464.1</v>
      </c>
      <c r="J15" s="122">
        <v>2514.1</v>
      </c>
      <c r="K15" s="123">
        <v>2561.8000000000002</v>
      </c>
      <c r="L15" s="123">
        <v>2607.1</v>
      </c>
      <c r="M15" s="123">
        <v>2649</v>
      </c>
      <c r="N15" s="123">
        <v>2689.2</v>
      </c>
      <c r="O15" s="123">
        <v>2728.1</v>
      </c>
    </row>
    <row r="16" spans="1:15">
      <c r="A16" s="120" t="s">
        <v>261</v>
      </c>
      <c r="B16" s="141" t="s">
        <v>1111</v>
      </c>
      <c r="C16" s="120" t="s">
        <v>1112</v>
      </c>
      <c r="D16" s="120" t="s">
        <v>1113</v>
      </c>
      <c r="E16" s="142" t="s">
        <v>1114</v>
      </c>
      <c r="F16" s="122">
        <v>331.3</v>
      </c>
      <c r="G16" s="122">
        <v>338.4</v>
      </c>
      <c r="H16" s="122">
        <v>345.5</v>
      </c>
      <c r="I16" s="122">
        <v>352.5</v>
      </c>
      <c r="J16" s="122">
        <v>359.5</v>
      </c>
      <c r="K16" s="123">
        <v>366.3</v>
      </c>
      <c r="L16" s="123">
        <v>373</v>
      </c>
      <c r="M16" s="123">
        <v>379.5</v>
      </c>
      <c r="N16" s="123">
        <v>385.9</v>
      </c>
      <c r="O16" s="123">
        <v>392.2</v>
      </c>
    </row>
    <row r="17" spans="1:15">
      <c r="A17" s="120" t="s">
        <v>257</v>
      </c>
      <c r="B17" s="141" t="s">
        <v>1111</v>
      </c>
      <c r="C17" s="120" t="s">
        <v>1112</v>
      </c>
      <c r="D17" s="120" t="s">
        <v>1113</v>
      </c>
      <c r="E17" s="142" t="s">
        <v>1114</v>
      </c>
      <c r="F17" s="122">
        <v>2468.1999999999998</v>
      </c>
      <c r="G17" s="122">
        <v>2512.3000000000002</v>
      </c>
      <c r="H17" s="122">
        <v>2555.6999999999998</v>
      </c>
      <c r="I17" s="122">
        <v>2645</v>
      </c>
      <c r="J17" s="122">
        <v>2731.3</v>
      </c>
      <c r="K17" s="123">
        <v>2794.6</v>
      </c>
      <c r="L17" s="123">
        <v>2856.7</v>
      </c>
      <c r="M17" s="123">
        <v>2917.8</v>
      </c>
      <c r="N17" s="123">
        <v>2978.3</v>
      </c>
      <c r="O17" s="123">
        <v>3037.8</v>
      </c>
    </row>
    <row r="18" spans="1:15">
      <c r="A18" s="120" t="s">
        <v>654</v>
      </c>
      <c r="B18" s="141" t="s">
        <v>1111</v>
      </c>
      <c r="C18" s="120" t="s">
        <v>1112</v>
      </c>
      <c r="D18" s="120" t="s">
        <v>1113</v>
      </c>
      <c r="E18" s="142" t="s">
        <v>1114</v>
      </c>
      <c r="F18" s="122">
        <v>2846.7</v>
      </c>
      <c r="G18" s="122">
        <v>2907.6</v>
      </c>
      <c r="H18" s="122">
        <v>2969.5</v>
      </c>
      <c r="I18" s="122">
        <v>3032.8</v>
      </c>
      <c r="J18" s="122">
        <v>3096.4</v>
      </c>
      <c r="K18" s="123">
        <v>3159.4</v>
      </c>
      <c r="L18" s="123">
        <v>3221.3</v>
      </c>
      <c r="M18" s="123">
        <v>3281.7</v>
      </c>
      <c r="N18" s="123">
        <v>3340.4</v>
      </c>
      <c r="O18" s="123">
        <v>3397.3</v>
      </c>
    </row>
    <row r="19" spans="1:15">
      <c r="A19" s="120" t="s">
        <v>682</v>
      </c>
      <c r="B19" s="141" t="s">
        <v>1111</v>
      </c>
      <c r="C19" s="120" t="s">
        <v>1112</v>
      </c>
      <c r="D19" s="120" t="s">
        <v>1113</v>
      </c>
      <c r="E19" s="142" t="s">
        <v>1114</v>
      </c>
      <c r="F19" s="122">
        <v>11632.6</v>
      </c>
      <c r="G19" s="122">
        <v>11845.6</v>
      </c>
      <c r="H19" s="122">
        <v>12044.2</v>
      </c>
      <c r="I19" s="122">
        <v>12221.7</v>
      </c>
      <c r="J19" s="122">
        <v>12397.7</v>
      </c>
      <c r="K19" s="123">
        <v>12584.1</v>
      </c>
      <c r="L19" s="123">
        <v>12778.8</v>
      </c>
      <c r="M19" s="123">
        <v>12982.1</v>
      </c>
      <c r="N19" s="123">
        <v>13194.6</v>
      </c>
      <c r="O19" s="123">
        <v>13413</v>
      </c>
    </row>
    <row r="20" spans="1:15">
      <c r="A20" s="120" t="s">
        <v>244</v>
      </c>
      <c r="B20" s="141" t="s">
        <v>1111</v>
      </c>
      <c r="C20" s="120" t="s">
        <v>1112</v>
      </c>
      <c r="D20" s="120" t="s">
        <v>1113</v>
      </c>
      <c r="E20" s="142" t="s">
        <v>1114</v>
      </c>
      <c r="F20" s="122">
        <v>8397.2000000000007</v>
      </c>
      <c r="G20" s="122">
        <v>8641.2999999999993</v>
      </c>
      <c r="H20" s="122">
        <v>8876.1</v>
      </c>
      <c r="I20" s="122">
        <v>9115.7000000000007</v>
      </c>
      <c r="J20" s="122">
        <v>9355.4</v>
      </c>
      <c r="K20" s="123">
        <v>9590.9</v>
      </c>
      <c r="L20" s="123">
        <v>9821.5</v>
      </c>
      <c r="M20" s="123">
        <v>10046.299999999999</v>
      </c>
      <c r="N20" s="123">
        <v>10265.200000000001</v>
      </c>
      <c r="O20" s="123">
        <v>10477.4</v>
      </c>
    </row>
    <row r="21" spans="1:15">
      <c r="A21" s="120" t="s">
        <v>231</v>
      </c>
      <c r="B21" s="141" t="s">
        <v>1111</v>
      </c>
      <c r="C21" s="120" t="s">
        <v>1112</v>
      </c>
      <c r="D21" s="120" t="s">
        <v>1113</v>
      </c>
      <c r="E21" s="142" t="s">
        <v>1114</v>
      </c>
      <c r="F21" s="122">
        <v>430.3</v>
      </c>
      <c r="G21" s="122">
        <v>422.3</v>
      </c>
      <c r="H21" s="122">
        <v>445.4</v>
      </c>
      <c r="I21" s="122">
        <v>465</v>
      </c>
      <c r="J21" s="122">
        <v>477.9</v>
      </c>
      <c r="K21" s="123">
        <v>486.5</v>
      </c>
      <c r="L21" s="123">
        <v>491.8</v>
      </c>
      <c r="M21" s="123">
        <v>496.4</v>
      </c>
      <c r="N21" s="123">
        <v>500.6</v>
      </c>
      <c r="O21" s="123">
        <v>504.2</v>
      </c>
    </row>
    <row r="22" spans="1:15">
      <c r="A22" s="120" t="s">
        <v>1116</v>
      </c>
      <c r="B22" s="141" t="s">
        <v>1111</v>
      </c>
      <c r="C22" s="120" t="s">
        <v>1112</v>
      </c>
      <c r="D22" s="120" t="s">
        <v>1113</v>
      </c>
      <c r="E22" s="142" t="s">
        <v>1114</v>
      </c>
      <c r="F22" s="122">
        <v>6770.4</v>
      </c>
      <c r="G22" s="122">
        <v>6875.4</v>
      </c>
      <c r="H22" s="122">
        <v>6983.7</v>
      </c>
      <c r="I22" s="122">
        <v>7106.2</v>
      </c>
      <c r="J22" s="122">
        <v>7218.6</v>
      </c>
      <c r="K22" s="123">
        <v>7313.3</v>
      </c>
      <c r="L22" s="123">
        <v>7402.2</v>
      </c>
      <c r="M22" s="123">
        <v>7486.5</v>
      </c>
      <c r="N22" s="123">
        <v>7565.8</v>
      </c>
      <c r="O22" s="123">
        <v>7640.1</v>
      </c>
    </row>
    <row r="23" spans="1:15">
      <c r="A23" s="120" t="s">
        <v>742</v>
      </c>
      <c r="B23" s="141" t="s">
        <v>1111</v>
      </c>
      <c r="C23" s="120" t="s">
        <v>1112</v>
      </c>
      <c r="D23" s="120" t="s">
        <v>1113</v>
      </c>
      <c r="E23" s="142" t="s">
        <v>1114</v>
      </c>
      <c r="F23" s="122">
        <v>1682</v>
      </c>
      <c r="G23" s="122">
        <v>1719</v>
      </c>
      <c r="H23" s="122">
        <v>1757.2</v>
      </c>
      <c r="I23" s="122">
        <v>1796.1</v>
      </c>
      <c r="J23" s="122">
        <v>1834.5</v>
      </c>
      <c r="K23" s="123">
        <v>1871.9</v>
      </c>
      <c r="L23" s="123">
        <v>1907.9</v>
      </c>
      <c r="M23" s="123">
        <v>1942.2</v>
      </c>
      <c r="N23" s="123">
        <v>1974.5</v>
      </c>
      <c r="O23" s="123">
        <v>2004.7</v>
      </c>
    </row>
    <row r="24" spans="1:15">
      <c r="A24" s="120" t="s">
        <v>1093</v>
      </c>
      <c r="B24" s="141" t="s">
        <v>1111</v>
      </c>
      <c r="C24" s="120" t="s">
        <v>1112</v>
      </c>
      <c r="D24" s="120" t="s">
        <v>1113</v>
      </c>
      <c r="E24" s="142" t="s">
        <v>1114</v>
      </c>
      <c r="F24" s="122">
        <v>2619.3000000000002</v>
      </c>
      <c r="G24" s="122">
        <v>2627.1</v>
      </c>
      <c r="H24" s="122">
        <v>2618.8000000000002</v>
      </c>
      <c r="I24" s="122">
        <v>2618.6999999999998</v>
      </c>
      <c r="J24" s="122">
        <v>2648.6</v>
      </c>
      <c r="K24" s="123">
        <v>2658.6</v>
      </c>
      <c r="L24" s="123">
        <v>2663.8</v>
      </c>
      <c r="M24" s="123">
        <v>2667.6</v>
      </c>
      <c r="N24" s="123">
        <v>2670.5</v>
      </c>
      <c r="O24" s="123">
        <v>2672.7</v>
      </c>
    </row>
    <row r="25" spans="1:15">
      <c r="A25" s="120" t="s">
        <v>239</v>
      </c>
      <c r="B25" s="141" t="s">
        <v>1111</v>
      </c>
      <c r="C25" s="120" t="s">
        <v>1112</v>
      </c>
      <c r="D25" s="120" t="s">
        <v>1113</v>
      </c>
      <c r="E25" s="142" t="s">
        <v>1114</v>
      </c>
      <c r="F25" s="122">
        <v>9027.4</v>
      </c>
      <c r="G25" s="122">
        <v>9158.2999999999993</v>
      </c>
      <c r="H25" s="122">
        <v>9271.5</v>
      </c>
      <c r="I25" s="122">
        <v>9371.9</v>
      </c>
      <c r="J25" s="122">
        <v>9464.9</v>
      </c>
      <c r="K25" s="123">
        <v>9549.4</v>
      </c>
      <c r="L25" s="123">
        <v>9625.7000000000007</v>
      </c>
      <c r="M25" s="123">
        <v>9694.2999999999993</v>
      </c>
      <c r="N25" s="123">
        <v>9755.7000000000007</v>
      </c>
      <c r="O25" s="123">
        <v>9810.1</v>
      </c>
    </row>
    <row r="26" spans="1:15">
      <c r="A26" s="120" t="s">
        <v>779</v>
      </c>
      <c r="B26" s="141" t="s">
        <v>1111</v>
      </c>
      <c r="C26" s="120" t="s">
        <v>1112</v>
      </c>
      <c r="D26" s="120" t="s">
        <v>1113</v>
      </c>
      <c r="E26" s="142" t="s">
        <v>1114</v>
      </c>
      <c r="F26" s="122">
        <v>323.89999999999998</v>
      </c>
      <c r="G26" s="122">
        <v>330.6</v>
      </c>
      <c r="H26" s="122">
        <v>337.1</v>
      </c>
      <c r="I26" s="122">
        <v>343.5</v>
      </c>
      <c r="J26" s="122">
        <v>349.8</v>
      </c>
      <c r="K26" s="123">
        <v>356</v>
      </c>
      <c r="L26" s="123">
        <v>361.9</v>
      </c>
      <c r="M26" s="123">
        <v>367.6</v>
      </c>
      <c r="N26" s="123">
        <v>373.1</v>
      </c>
      <c r="O26" s="123">
        <v>378.3</v>
      </c>
    </row>
    <row r="27" spans="1:15">
      <c r="A27" s="120" t="s">
        <v>796</v>
      </c>
      <c r="B27" s="141" t="s">
        <v>1111</v>
      </c>
      <c r="C27" s="120" t="s">
        <v>1112</v>
      </c>
      <c r="D27" s="120" t="s">
        <v>1113</v>
      </c>
      <c r="E27" s="142" t="s">
        <v>1114</v>
      </c>
      <c r="F27" s="122">
        <v>2442.1</v>
      </c>
      <c r="G27" s="122">
        <v>2493.8000000000002</v>
      </c>
      <c r="H27" s="122">
        <v>2548.4</v>
      </c>
      <c r="I27" s="122">
        <v>2604.6</v>
      </c>
      <c r="J27" s="122">
        <v>2660.6</v>
      </c>
      <c r="K27" s="123">
        <v>2715.5</v>
      </c>
      <c r="L27" s="123">
        <v>2769.1</v>
      </c>
      <c r="M27" s="123">
        <v>2821.5</v>
      </c>
      <c r="N27" s="123">
        <v>2872.7</v>
      </c>
      <c r="O27" s="123">
        <v>2923.3</v>
      </c>
    </row>
    <row r="28" spans="1:15">
      <c r="A28" s="120" t="s">
        <v>258</v>
      </c>
      <c r="B28" s="141" t="s">
        <v>1111</v>
      </c>
      <c r="C28" s="120" t="s">
        <v>1112</v>
      </c>
      <c r="D28" s="120" t="s">
        <v>1113</v>
      </c>
      <c r="E28" s="142" t="s">
        <v>1114</v>
      </c>
      <c r="F28" s="122">
        <v>8094.7</v>
      </c>
      <c r="G28" s="122">
        <v>8169</v>
      </c>
      <c r="H28" s="122">
        <v>8233.5</v>
      </c>
      <c r="I28" s="122">
        <v>8291.6</v>
      </c>
      <c r="J28" s="122">
        <v>8346.6</v>
      </c>
      <c r="K28" s="123">
        <v>8399.4</v>
      </c>
      <c r="L28" s="123">
        <v>8449.5</v>
      </c>
      <c r="M28" s="123">
        <v>8497.1</v>
      </c>
      <c r="N28" s="123">
        <v>8542.7000000000007</v>
      </c>
      <c r="O28" s="123">
        <v>8586.2999999999993</v>
      </c>
    </row>
    <row r="29" spans="1:15">
      <c r="A29" s="120" t="s">
        <v>409</v>
      </c>
      <c r="B29" s="141" t="s">
        <v>1111</v>
      </c>
      <c r="C29" s="120" t="s">
        <v>1112</v>
      </c>
      <c r="D29" s="120" t="s">
        <v>1113</v>
      </c>
      <c r="E29" s="142" t="s">
        <v>1114</v>
      </c>
      <c r="F29" s="122">
        <v>2381.4</v>
      </c>
      <c r="G29" s="122">
        <v>2411.5</v>
      </c>
      <c r="H29" s="122">
        <v>2470.3000000000002</v>
      </c>
      <c r="I29" s="122">
        <v>2559.1</v>
      </c>
      <c r="J29" s="122">
        <v>2638</v>
      </c>
      <c r="K29" s="123">
        <v>2703.7</v>
      </c>
      <c r="L29" s="123">
        <v>2766.9</v>
      </c>
      <c r="M29" s="123">
        <v>2827.3</v>
      </c>
      <c r="N29" s="123">
        <v>2884.4</v>
      </c>
      <c r="O29" s="123">
        <v>2938.5</v>
      </c>
    </row>
    <row r="30" spans="1:15">
      <c r="A30" s="120" t="s">
        <v>666</v>
      </c>
      <c r="B30" s="141" t="s">
        <v>1111</v>
      </c>
      <c r="C30" s="120" t="s">
        <v>1112</v>
      </c>
      <c r="D30" s="120" t="s">
        <v>1113</v>
      </c>
      <c r="E30" s="142" t="s">
        <v>1114</v>
      </c>
      <c r="F30" s="122">
        <v>444.1</v>
      </c>
      <c r="G30" s="122">
        <v>453</v>
      </c>
      <c r="H30" s="122">
        <v>457.8</v>
      </c>
      <c r="I30" s="122">
        <v>465.1</v>
      </c>
      <c r="J30" s="122">
        <v>482.1</v>
      </c>
      <c r="K30" s="123">
        <v>490.7</v>
      </c>
      <c r="L30" s="123">
        <v>499.1</v>
      </c>
      <c r="M30" s="123">
        <v>507.7</v>
      </c>
      <c r="N30" s="123">
        <v>516.29999999999995</v>
      </c>
      <c r="O30" s="123">
        <v>524.79999999999995</v>
      </c>
    </row>
    <row r="31" spans="1:15">
      <c r="A31" s="120" t="s">
        <v>423</v>
      </c>
      <c r="B31" s="141" t="s">
        <v>1111</v>
      </c>
      <c r="C31" s="120" t="s">
        <v>1112</v>
      </c>
      <c r="D31" s="120" t="s">
        <v>1113</v>
      </c>
      <c r="E31" s="142" t="s">
        <v>1114</v>
      </c>
      <c r="F31" s="122">
        <v>1858.3</v>
      </c>
      <c r="G31" s="122">
        <v>1865.3</v>
      </c>
      <c r="H31" s="122">
        <v>1864.5</v>
      </c>
      <c r="I31" s="122">
        <v>1870.3</v>
      </c>
      <c r="J31" s="122">
        <v>1876.7</v>
      </c>
      <c r="K31" s="123">
        <v>1881.3</v>
      </c>
      <c r="L31" s="123">
        <v>1883</v>
      </c>
      <c r="M31" s="123">
        <v>1882.9</v>
      </c>
      <c r="N31" s="123">
        <v>1881.1</v>
      </c>
      <c r="O31" s="123">
        <v>1878</v>
      </c>
    </row>
    <row r="32" spans="1:15">
      <c r="A32" s="120" t="s">
        <v>437</v>
      </c>
      <c r="B32" s="141" t="s">
        <v>1111</v>
      </c>
      <c r="C32" s="120" t="s">
        <v>1112</v>
      </c>
      <c r="D32" s="120" t="s">
        <v>1113</v>
      </c>
      <c r="E32" s="142" t="s">
        <v>1114</v>
      </c>
      <c r="F32" s="122">
        <v>345.7</v>
      </c>
      <c r="G32" s="122">
        <v>344.9</v>
      </c>
      <c r="H32" s="122">
        <v>343.7</v>
      </c>
      <c r="I32" s="122">
        <v>341.1</v>
      </c>
      <c r="J32" s="122">
        <v>338.4</v>
      </c>
      <c r="K32" s="123">
        <v>337.2</v>
      </c>
      <c r="L32" s="123">
        <v>335.2</v>
      </c>
      <c r="M32" s="123">
        <v>333.1</v>
      </c>
      <c r="N32" s="123">
        <v>331</v>
      </c>
      <c r="O32" s="123">
        <v>328.9</v>
      </c>
    </row>
    <row r="33" spans="1:15">
      <c r="A33" s="120" t="s">
        <v>447</v>
      </c>
      <c r="B33" s="141" t="s">
        <v>1111</v>
      </c>
      <c r="C33" s="120" t="s">
        <v>1112</v>
      </c>
      <c r="D33" s="120" t="s">
        <v>1113</v>
      </c>
      <c r="E33" s="142" t="s">
        <v>1114</v>
      </c>
      <c r="F33" s="122">
        <v>918.7</v>
      </c>
      <c r="G33" s="122">
        <v>919.6</v>
      </c>
      <c r="H33" s="122">
        <v>918.6</v>
      </c>
      <c r="I33" s="122">
        <v>919.3</v>
      </c>
      <c r="J33" s="122">
        <v>924.4</v>
      </c>
      <c r="K33" s="123">
        <v>928.3</v>
      </c>
      <c r="L33" s="123">
        <v>928</v>
      </c>
      <c r="M33" s="123">
        <v>924.8</v>
      </c>
      <c r="N33" s="123">
        <v>921</v>
      </c>
      <c r="O33" s="123">
        <v>916.9</v>
      </c>
    </row>
    <row r="34" spans="1:15">
      <c r="A34" s="120" t="s">
        <v>483</v>
      </c>
      <c r="B34" s="141" t="s">
        <v>1111</v>
      </c>
      <c r="C34" s="120" t="s">
        <v>1112</v>
      </c>
      <c r="D34" s="120" t="s">
        <v>1113</v>
      </c>
      <c r="E34" s="142" t="s">
        <v>1114</v>
      </c>
      <c r="F34" s="122">
        <v>421.1</v>
      </c>
      <c r="G34" s="122">
        <v>418.1</v>
      </c>
      <c r="H34" s="122">
        <v>416</v>
      </c>
      <c r="I34" s="122">
        <v>416</v>
      </c>
      <c r="J34" s="122">
        <v>418.4</v>
      </c>
      <c r="K34" s="123">
        <v>421</v>
      </c>
      <c r="L34" s="123">
        <v>420.8</v>
      </c>
      <c r="M34" s="123">
        <v>420.1</v>
      </c>
      <c r="N34" s="123">
        <v>419.2</v>
      </c>
      <c r="O34" s="123">
        <v>418.2</v>
      </c>
    </row>
    <row r="35" spans="1:15">
      <c r="A35" s="120" t="s">
        <v>1117</v>
      </c>
      <c r="B35" s="141" t="s">
        <v>1111</v>
      </c>
      <c r="C35" s="120" t="s">
        <v>1112</v>
      </c>
      <c r="D35" s="120" t="s">
        <v>1113</v>
      </c>
      <c r="E35" s="142" t="s">
        <v>1114</v>
      </c>
      <c r="F35" s="122">
        <v>1804.6</v>
      </c>
      <c r="G35" s="122">
        <v>1826.9</v>
      </c>
      <c r="H35" s="122">
        <v>1852.9</v>
      </c>
      <c r="I35" s="122">
        <v>1930.3</v>
      </c>
      <c r="J35" s="122">
        <v>1965.3</v>
      </c>
      <c r="K35" s="123">
        <v>1988.2</v>
      </c>
      <c r="L35" s="123">
        <v>2006.4</v>
      </c>
      <c r="M35" s="123">
        <v>2017.7</v>
      </c>
      <c r="N35" s="123">
        <v>2025.6</v>
      </c>
      <c r="O35" s="123">
        <v>2037</v>
      </c>
    </row>
    <row r="36" spans="1:15">
      <c r="A36" s="120" t="s">
        <v>511</v>
      </c>
      <c r="B36" s="141" t="s">
        <v>1111</v>
      </c>
      <c r="C36" s="120" t="s">
        <v>1112</v>
      </c>
      <c r="D36" s="120" t="s">
        <v>1113</v>
      </c>
      <c r="E36" s="142" t="s">
        <v>1114</v>
      </c>
      <c r="F36" s="122">
        <v>208.6</v>
      </c>
      <c r="G36" s="122">
        <v>207.8</v>
      </c>
      <c r="H36" s="122">
        <v>207.8</v>
      </c>
      <c r="I36" s="122">
        <v>213.2</v>
      </c>
      <c r="J36" s="122">
        <v>215.2</v>
      </c>
      <c r="K36" s="123">
        <v>215.5</v>
      </c>
      <c r="L36" s="123">
        <v>216</v>
      </c>
      <c r="M36" s="123">
        <v>216.4</v>
      </c>
      <c r="N36" s="123">
        <v>216.6</v>
      </c>
      <c r="O36" s="123">
        <v>217.4</v>
      </c>
    </row>
    <row r="37" spans="1:15">
      <c r="A37" s="120" t="s">
        <v>531</v>
      </c>
      <c r="B37" s="141" t="s">
        <v>1111</v>
      </c>
      <c r="C37" s="120" t="s">
        <v>1112</v>
      </c>
      <c r="D37" s="120" t="s">
        <v>1113</v>
      </c>
      <c r="E37" s="142" t="s">
        <v>1114</v>
      </c>
      <c r="F37" s="122">
        <v>339</v>
      </c>
      <c r="G37" s="122">
        <v>340.9</v>
      </c>
      <c r="H37" s="122">
        <v>338</v>
      </c>
      <c r="I37" s="122">
        <v>343.2</v>
      </c>
      <c r="J37" s="122">
        <v>340.1</v>
      </c>
      <c r="K37" s="123">
        <v>341.7</v>
      </c>
      <c r="L37" s="123">
        <v>342.1</v>
      </c>
      <c r="M37" s="123">
        <v>342.3</v>
      </c>
      <c r="N37" s="123">
        <v>342.4</v>
      </c>
      <c r="O37" s="123">
        <v>342.5</v>
      </c>
    </row>
    <row r="38" spans="1:15">
      <c r="A38" s="120" t="s">
        <v>560</v>
      </c>
      <c r="B38" s="141" t="s">
        <v>1111</v>
      </c>
      <c r="C38" s="120" t="s">
        <v>1112</v>
      </c>
      <c r="D38" s="120" t="s">
        <v>1113</v>
      </c>
      <c r="E38" s="142" t="s">
        <v>1114</v>
      </c>
      <c r="F38" s="122">
        <v>1616.3</v>
      </c>
      <c r="G38" s="122">
        <v>1621.1</v>
      </c>
      <c r="H38" s="122">
        <v>1624.9</v>
      </c>
      <c r="I38" s="122">
        <v>1633.3</v>
      </c>
      <c r="J38" s="122">
        <v>1640.3</v>
      </c>
      <c r="K38" s="123">
        <v>1641.6</v>
      </c>
      <c r="L38" s="123">
        <v>1642.7</v>
      </c>
      <c r="M38" s="123">
        <v>1642.8</v>
      </c>
      <c r="N38" s="123">
        <v>1642.2</v>
      </c>
      <c r="O38" s="123">
        <v>1641.5</v>
      </c>
    </row>
    <row r="39" spans="1:15">
      <c r="A39" s="120" t="s">
        <v>603</v>
      </c>
      <c r="B39" s="141" t="s">
        <v>1111</v>
      </c>
      <c r="C39" s="120" t="s">
        <v>1112</v>
      </c>
      <c r="D39" s="120" t="s">
        <v>1113</v>
      </c>
      <c r="E39" s="142" t="s">
        <v>1114</v>
      </c>
      <c r="F39" s="122">
        <v>275.10000000000002</v>
      </c>
      <c r="G39" s="122">
        <v>275.10000000000002</v>
      </c>
      <c r="H39" s="122">
        <v>275.39999999999998</v>
      </c>
      <c r="I39" s="122">
        <v>279.39999999999998</v>
      </c>
      <c r="J39" s="122">
        <v>279.7</v>
      </c>
      <c r="K39" s="123">
        <v>277.3</v>
      </c>
      <c r="L39" s="123">
        <v>276.2</v>
      </c>
      <c r="M39" s="123">
        <v>275.39999999999998</v>
      </c>
      <c r="N39" s="123">
        <v>274.5</v>
      </c>
      <c r="O39" s="123">
        <v>273.60000000000002</v>
      </c>
    </row>
    <row r="40" spans="1:15">
      <c r="A40" s="120" t="s">
        <v>615</v>
      </c>
      <c r="B40" s="141" t="s">
        <v>1111</v>
      </c>
      <c r="C40" s="120" t="s">
        <v>1112</v>
      </c>
      <c r="D40" s="120" t="s">
        <v>1113</v>
      </c>
      <c r="E40" s="142" t="s">
        <v>1114</v>
      </c>
      <c r="F40" s="122">
        <v>346.4</v>
      </c>
      <c r="G40" s="122">
        <v>348</v>
      </c>
      <c r="H40" s="122">
        <v>349</v>
      </c>
      <c r="I40" s="122">
        <v>356.8</v>
      </c>
      <c r="J40" s="122">
        <v>361.7</v>
      </c>
      <c r="K40" s="123">
        <v>363.6</v>
      </c>
      <c r="L40" s="123">
        <v>365.1</v>
      </c>
      <c r="M40" s="123">
        <v>366.1</v>
      </c>
      <c r="N40" s="123">
        <v>366.8</v>
      </c>
      <c r="O40" s="123">
        <v>367.1</v>
      </c>
    </row>
    <row r="41" spans="1:15">
      <c r="A41" s="120" t="s">
        <v>674</v>
      </c>
      <c r="B41" s="141" t="s">
        <v>1111</v>
      </c>
      <c r="C41" s="120" t="s">
        <v>1112</v>
      </c>
      <c r="D41" s="120" t="s">
        <v>1113</v>
      </c>
      <c r="E41" s="142" t="s">
        <v>1114</v>
      </c>
      <c r="F41" s="122">
        <v>196.7</v>
      </c>
      <c r="G41" s="122">
        <v>196.6</v>
      </c>
      <c r="H41" s="122">
        <v>198.2</v>
      </c>
      <c r="I41" s="122">
        <v>200.2</v>
      </c>
      <c r="J41" s="122">
        <v>202.2</v>
      </c>
      <c r="K41" s="123">
        <v>204.2</v>
      </c>
      <c r="L41" s="123">
        <v>205.4</v>
      </c>
      <c r="M41" s="123">
        <v>206.4</v>
      </c>
      <c r="N41" s="123">
        <v>207.3</v>
      </c>
      <c r="O41" s="123">
        <v>208</v>
      </c>
    </row>
    <row r="42" spans="1:15">
      <c r="A42" s="120" t="s">
        <v>695</v>
      </c>
      <c r="B42" s="141" t="s">
        <v>1111</v>
      </c>
      <c r="C42" s="120" t="s">
        <v>1112</v>
      </c>
      <c r="D42" s="120" t="s">
        <v>1113</v>
      </c>
      <c r="E42" s="142" t="s">
        <v>1114</v>
      </c>
      <c r="F42" s="122">
        <v>4494.3999999999996</v>
      </c>
      <c r="G42" s="122">
        <v>4473.8</v>
      </c>
      <c r="H42" s="122">
        <v>4450.1000000000004</v>
      </c>
      <c r="I42" s="122">
        <v>4536.1000000000004</v>
      </c>
      <c r="J42" s="122">
        <v>4529.8999999999996</v>
      </c>
      <c r="K42" s="123">
        <v>4510.2</v>
      </c>
      <c r="L42" s="123">
        <v>4487.6000000000004</v>
      </c>
      <c r="M42" s="123">
        <v>4458.1000000000004</v>
      </c>
      <c r="N42" s="123">
        <v>4425.3999999999996</v>
      </c>
      <c r="O42" s="123">
        <v>4401.2</v>
      </c>
    </row>
    <row r="43" spans="1:15">
      <c r="A43" s="120" t="s">
        <v>703</v>
      </c>
      <c r="B43" s="141" t="s">
        <v>1111</v>
      </c>
      <c r="C43" s="120" t="s">
        <v>1112</v>
      </c>
      <c r="D43" s="120" t="s">
        <v>1113</v>
      </c>
      <c r="E43" s="142" t="s">
        <v>1114</v>
      </c>
      <c r="F43" s="122">
        <v>2190.5</v>
      </c>
      <c r="G43" s="122">
        <v>2190.1</v>
      </c>
      <c r="H43" s="122">
        <v>2185.5</v>
      </c>
      <c r="I43" s="122">
        <v>2199.8000000000002</v>
      </c>
      <c r="J43" s="122">
        <v>2213.3000000000002</v>
      </c>
      <c r="K43" s="123">
        <v>2220.6</v>
      </c>
      <c r="L43" s="123">
        <v>2220.4</v>
      </c>
      <c r="M43" s="123">
        <v>2215.6999999999998</v>
      </c>
      <c r="N43" s="123">
        <v>2209</v>
      </c>
      <c r="O43" s="123">
        <v>2202.6</v>
      </c>
    </row>
    <row r="44" spans="1:15">
      <c r="A44" s="120" t="s">
        <v>1118</v>
      </c>
      <c r="B44" s="141" t="s">
        <v>1111</v>
      </c>
      <c r="C44" s="120" t="s">
        <v>1112</v>
      </c>
      <c r="D44" s="120" t="s">
        <v>1113</v>
      </c>
      <c r="E44" s="142" t="s">
        <v>1114</v>
      </c>
      <c r="F44" s="122">
        <v>18331</v>
      </c>
      <c r="G44" s="122">
        <v>18637.2</v>
      </c>
      <c r="H44" s="122">
        <v>18908.2</v>
      </c>
      <c r="I44" s="122">
        <v>19164.099999999999</v>
      </c>
      <c r="J44" s="122">
        <v>19421.3</v>
      </c>
      <c r="K44" s="123">
        <v>19683.2</v>
      </c>
      <c r="L44" s="123">
        <v>19865.099999999999</v>
      </c>
      <c r="M44" s="123">
        <v>20005.5</v>
      </c>
      <c r="N44" s="123">
        <v>20111.2</v>
      </c>
      <c r="O44" s="123">
        <v>20188.400000000001</v>
      </c>
    </row>
    <row r="45" spans="1:15">
      <c r="A45" s="120" t="s">
        <v>719</v>
      </c>
      <c r="B45" s="141" t="s">
        <v>1111</v>
      </c>
      <c r="C45" s="120" t="s">
        <v>1112</v>
      </c>
      <c r="D45" s="120" t="s">
        <v>1113</v>
      </c>
      <c r="E45" s="142" t="s">
        <v>1114</v>
      </c>
      <c r="F45" s="122">
        <v>813.5</v>
      </c>
      <c r="G45" s="122">
        <v>818.2</v>
      </c>
      <c r="H45" s="122">
        <v>819.8</v>
      </c>
      <c r="I45" s="122">
        <v>826.1</v>
      </c>
      <c r="J45" s="122">
        <v>833.2</v>
      </c>
      <c r="K45" s="123">
        <v>839.4</v>
      </c>
      <c r="L45" s="123">
        <v>844.4</v>
      </c>
      <c r="M45" s="123">
        <v>848.5</v>
      </c>
      <c r="N45" s="123">
        <v>851.7</v>
      </c>
      <c r="O45" s="123">
        <v>853.9</v>
      </c>
    </row>
    <row r="46" spans="1:15">
      <c r="A46" s="120" t="s">
        <v>1119</v>
      </c>
      <c r="B46" s="141" t="s">
        <v>1111</v>
      </c>
      <c r="C46" s="120" t="s">
        <v>1112</v>
      </c>
      <c r="D46" s="120" t="s">
        <v>1113</v>
      </c>
      <c r="E46" s="142" t="s">
        <v>1114</v>
      </c>
      <c r="F46" s="122">
        <v>798.4</v>
      </c>
      <c r="G46" s="122">
        <v>803.8</v>
      </c>
      <c r="H46" s="122">
        <v>807</v>
      </c>
      <c r="I46" s="122">
        <v>824.9</v>
      </c>
      <c r="J46" s="122">
        <v>834.1</v>
      </c>
      <c r="K46" s="123">
        <v>841.5</v>
      </c>
      <c r="L46" s="123">
        <v>845.9</v>
      </c>
      <c r="M46" s="123">
        <v>848.2</v>
      </c>
      <c r="N46" s="123">
        <v>849.2</v>
      </c>
      <c r="O46" s="123">
        <v>851.4</v>
      </c>
    </row>
    <row r="47" spans="1:15">
      <c r="A47" s="120" t="s">
        <v>730</v>
      </c>
      <c r="B47" s="141" t="s">
        <v>1111</v>
      </c>
      <c r="C47" s="120" t="s">
        <v>1112</v>
      </c>
      <c r="D47" s="120" t="s">
        <v>1113</v>
      </c>
      <c r="E47" s="142" t="s">
        <v>1114</v>
      </c>
      <c r="F47" s="122">
        <v>262.39999999999998</v>
      </c>
      <c r="G47" s="122">
        <v>264</v>
      </c>
      <c r="H47" s="122">
        <v>263.8</v>
      </c>
      <c r="I47" s="122">
        <v>265.10000000000002</v>
      </c>
      <c r="J47" s="122">
        <v>266.10000000000002</v>
      </c>
      <c r="K47" s="123">
        <v>267.10000000000002</v>
      </c>
      <c r="L47" s="123">
        <v>267.89999999999998</v>
      </c>
      <c r="M47" s="123">
        <v>268.39999999999998</v>
      </c>
      <c r="N47" s="123">
        <v>268.7</v>
      </c>
      <c r="O47" s="123">
        <v>269</v>
      </c>
    </row>
    <row r="48" spans="1:15">
      <c r="A48" s="120" t="s">
        <v>787</v>
      </c>
      <c r="B48" s="141" t="s">
        <v>1111</v>
      </c>
      <c r="C48" s="120" t="s">
        <v>1112</v>
      </c>
      <c r="D48" s="120" t="s">
        <v>1113</v>
      </c>
      <c r="E48" s="142" t="s">
        <v>1114</v>
      </c>
      <c r="F48" s="122">
        <v>6115.1</v>
      </c>
      <c r="G48" s="122">
        <v>6072</v>
      </c>
      <c r="H48" s="122">
        <v>6013</v>
      </c>
      <c r="I48" s="122">
        <v>5130.1000000000004</v>
      </c>
      <c r="J48" s="122">
        <v>4793.3999999999996</v>
      </c>
      <c r="K48" s="123">
        <v>4616.6000000000004</v>
      </c>
      <c r="L48" s="123">
        <v>4543.1000000000004</v>
      </c>
      <c r="M48" s="123">
        <v>4536</v>
      </c>
      <c r="N48" s="123">
        <v>4564.3999999999996</v>
      </c>
      <c r="O48" s="123">
        <v>4523.3999999999996</v>
      </c>
    </row>
    <row r="49" spans="1:15">
      <c r="A49" s="120" t="s">
        <v>403</v>
      </c>
      <c r="B49" s="141" t="s">
        <v>1111</v>
      </c>
      <c r="C49" s="120" t="s">
        <v>1112</v>
      </c>
      <c r="D49" s="120" t="s">
        <v>1113</v>
      </c>
      <c r="E49" s="142" t="s">
        <v>1114</v>
      </c>
      <c r="F49" s="122">
        <v>3566.8</v>
      </c>
      <c r="G49" s="122">
        <v>3631.2</v>
      </c>
      <c r="H49" s="122">
        <v>3693.3</v>
      </c>
      <c r="I49" s="122">
        <v>3755.3</v>
      </c>
      <c r="J49" s="122">
        <v>3814.6</v>
      </c>
      <c r="K49" s="123">
        <v>3870</v>
      </c>
      <c r="L49" s="123">
        <v>3922.6</v>
      </c>
      <c r="M49" s="123">
        <v>3972.3</v>
      </c>
      <c r="N49" s="123">
        <v>4018.8</v>
      </c>
      <c r="O49" s="123">
        <v>4062.1</v>
      </c>
    </row>
    <row r="50" spans="1:15">
      <c r="A50" s="120" t="s">
        <v>435</v>
      </c>
      <c r="B50" s="141" t="s">
        <v>1111</v>
      </c>
      <c r="C50" s="120" t="s">
        <v>1112</v>
      </c>
      <c r="D50" s="120" t="s">
        <v>1113</v>
      </c>
      <c r="E50" s="142" t="s">
        <v>1114</v>
      </c>
      <c r="F50" s="122">
        <v>869.6</v>
      </c>
      <c r="G50" s="122">
        <v>880.8</v>
      </c>
      <c r="H50" s="122">
        <v>892.9</v>
      </c>
      <c r="I50" s="122">
        <v>906</v>
      </c>
      <c r="J50" s="122">
        <v>918</v>
      </c>
      <c r="K50" s="123">
        <v>929</v>
      </c>
      <c r="L50" s="123">
        <v>940</v>
      </c>
      <c r="M50" s="123">
        <v>950.8</v>
      </c>
      <c r="N50" s="123">
        <v>961.5</v>
      </c>
      <c r="O50" s="123">
        <v>971.9</v>
      </c>
    </row>
    <row r="51" spans="1:15">
      <c r="A51" s="120" t="s">
        <v>441</v>
      </c>
      <c r="B51" s="141" t="s">
        <v>1111</v>
      </c>
      <c r="C51" s="120" t="s">
        <v>1112</v>
      </c>
      <c r="D51" s="120" t="s">
        <v>1113</v>
      </c>
      <c r="E51" s="142" t="s">
        <v>1114</v>
      </c>
      <c r="F51" s="122">
        <v>15663.9</v>
      </c>
      <c r="G51" s="122">
        <v>16014.7</v>
      </c>
      <c r="H51" s="122">
        <v>16357.6</v>
      </c>
      <c r="I51" s="122">
        <v>16706</v>
      </c>
      <c r="J51" s="122">
        <v>17042.599999999999</v>
      </c>
      <c r="K51" s="123">
        <v>17359.400000000001</v>
      </c>
      <c r="L51" s="123">
        <v>17661.3</v>
      </c>
      <c r="M51" s="123">
        <v>17947.2</v>
      </c>
      <c r="N51" s="123">
        <v>18216.3</v>
      </c>
      <c r="O51" s="123">
        <v>18467.7</v>
      </c>
    </row>
    <row r="52" spans="1:15">
      <c r="A52" s="120" t="s">
        <v>468</v>
      </c>
      <c r="B52" s="141" t="s">
        <v>1111</v>
      </c>
      <c r="C52" s="120" t="s">
        <v>1112</v>
      </c>
      <c r="D52" s="120" t="s">
        <v>1113</v>
      </c>
      <c r="E52" s="142" t="s">
        <v>1114</v>
      </c>
      <c r="F52" s="122">
        <v>1953.3</v>
      </c>
      <c r="G52" s="122">
        <v>1996.5</v>
      </c>
      <c r="H52" s="122">
        <v>2042.2</v>
      </c>
      <c r="I52" s="122">
        <v>2089</v>
      </c>
      <c r="J52" s="122">
        <v>2133.6</v>
      </c>
      <c r="K52" s="123">
        <v>2174.6</v>
      </c>
      <c r="L52" s="123">
        <v>2212.4</v>
      </c>
      <c r="M52" s="123">
        <v>2247.1</v>
      </c>
      <c r="N52" s="123">
        <v>2278.6</v>
      </c>
      <c r="O52" s="123">
        <v>2306.8000000000002</v>
      </c>
    </row>
    <row r="53" spans="1:15">
      <c r="A53" s="120" t="s">
        <v>472</v>
      </c>
      <c r="B53" s="141" t="s">
        <v>1111</v>
      </c>
      <c r="C53" s="120" t="s">
        <v>1112</v>
      </c>
      <c r="D53" s="120" t="s">
        <v>1113</v>
      </c>
      <c r="E53" s="142" t="s">
        <v>1114</v>
      </c>
      <c r="F53" s="122">
        <v>3522.7</v>
      </c>
      <c r="G53" s="122">
        <v>3620.4</v>
      </c>
      <c r="H53" s="122">
        <v>3712.3</v>
      </c>
      <c r="I53" s="122">
        <v>3800.6</v>
      </c>
      <c r="J53" s="122">
        <v>3880.8</v>
      </c>
      <c r="K53" s="123">
        <v>3954.2</v>
      </c>
      <c r="L53" s="123">
        <v>4022.8</v>
      </c>
      <c r="M53" s="123">
        <v>4087</v>
      </c>
      <c r="N53" s="123">
        <v>4146.7</v>
      </c>
      <c r="O53" s="123">
        <v>4202</v>
      </c>
    </row>
    <row r="54" spans="1:15">
      <c r="A54" s="120" t="s">
        <v>479</v>
      </c>
      <c r="B54" s="141" t="s">
        <v>1111</v>
      </c>
      <c r="C54" s="120" t="s">
        <v>1112</v>
      </c>
      <c r="D54" s="120" t="s">
        <v>1113</v>
      </c>
      <c r="E54" s="142" t="s">
        <v>1114</v>
      </c>
      <c r="F54" s="122">
        <v>343.4</v>
      </c>
      <c r="G54" s="122">
        <v>357.4</v>
      </c>
      <c r="H54" s="122">
        <v>371.9</v>
      </c>
      <c r="I54" s="122">
        <v>386.9</v>
      </c>
      <c r="J54" s="122">
        <v>401.6</v>
      </c>
      <c r="K54" s="123">
        <v>414.9</v>
      </c>
      <c r="L54" s="123">
        <v>427.3</v>
      </c>
      <c r="M54" s="123">
        <v>438.4</v>
      </c>
      <c r="N54" s="123">
        <v>448.3</v>
      </c>
      <c r="O54" s="123">
        <v>456.7</v>
      </c>
    </row>
    <row r="55" spans="1:15">
      <c r="A55" s="120" t="s">
        <v>499</v>
      </c>
      <c r="B55" s="141" t="s">
        <v>1111</v>
      </c>
      <c r="C55" s="120" t="s">
        <v>1112</v>
      </c>
      <c r="D55" s="120" t="s">
        <v>1113</v>
      </c>
      <c r="E55" s="142" t="s">
        <v>1114</v>
      </c>
      <c r="F55" s="122">
        <v>1053.9000000000001</v>
      </c>
      <c r="G55" s="122">
        <v>1086.5</v>
      </c>
      <c r="H55" s="122">
        <v>1118</v>
      </c>
      <c r="I55" s="122">
        <v>1148.3</v>
      </c>
      <c r="J55" s="122">
        <v>1177.4000000000001</v>
      </c>
      <c r="K55" s="123">
        <v>1205.0999999999999</v>
      </c>
      <c r="L55" s="123">
        <v>1231.4000000000001</v>
      </c>
      <c r="M55" s="123">
        <v>1256.3</v>
      </c>
      <c r="N55" s="123">
        <v>1279.7</v>
      </c>
      <c r="O55" s="123">
        <v>1301.8</v>
      </c>
    </row>
    <row r="56" spans="1:15">
      <c r="A56" s="120" t="s">
        <v>501</v>
      </c>
      <c r="B56" s="141" t="s">
        <v>1111</v>
      </c>
      <c r="C56" s="120" t="s">
        <v>1112</v>
      </c>
      <c r="D56" s="120" t="s">
        <v>1113</v>
      </c>
      <c r="E56" s="142" t="s">
        <v>1114</v>
      </c>
      <c r="F56" s="122">
        <v>1135</v>
      </c>
      <c r="G56" s="122">
        <v>1155.8</v>
      </c>
      <c r="H56" s="122">
        <v>1175.9000000000001</v>
      </c>
      <c r="I56" s="122">
        <v>1195.7</v>
      </c>
      <c r="J56" s="122">
        <v>1213.9000000000001</v>
      </c>
      <c r="K56" s="123">
        <v>1230.7</v>
      </c>
      <c r="L56" s="123">
        <v>1246.8</v>
      </c>
      <c r="M56" s="123">
        <v>1262.4000000000001</v>
      </c>
      <c r="N56" s="123">
        <v>1277.5</v>
      </c>
      <c r="O56" s="123">
        <v>1292.0999999999999</v>
      </c>
    </row>
    <row r="57" spans="1:15">
      <c r="A57" s="120" t="s">
        <v>505</v>
      </c>
      <c r="B57" s="141" t="s">
        <v>1111</v>
      </c>
      <c r="C57" s="120" t="s">
        <v>1112</v>
      </c>
      <c r="D57" s="120" t="s">
        <v>1113</v>
      </c>
      <c r="E57" s="142" t="s">
        <v>1114</v>
      </c>
      <c r="F57" s="122">
        <v>437.4</v>
      </c>
      <c r="G57" s="122">
        <v>438.8</v>
      </c>
      <c r="H57" s="122">
        <v>440.5</v>
      </c>
      <c r="I57" s="122">
        <v>442.6</v>
      </c>
      <c r="J57" s="122">
        <v>444.6</v>
      </c>
      <c r="K57" s="123">
        <v>446.6</v>
      </c>
      <c r="L57" s="123">
        <v>448.4</v>
      </c>
      <c r="M57" s="123">
        <v>450.3</v>
      </c>
      <c r="N57" s="123">
        <v>452.1</v>
      </c>
      <c r="O57" s="123">
        <v>453.8</v>
      </c>
    </row>
    <row r="58" spans="1:15">
      <c r="A58" s="120" t="s">
        <v>546</v>
      </c>
      <c r="B58" s="141" t="s">
        <v>1111</v>
      </c>
      <c r="C58" s="120" t="s">
        <v>1112</v>
      </c>
      <c r="D58" s="120" t="s">
        <v>1113</v>
      </c>
      <c r="E58" s="142" t="s">
        <v>1114</v>
      </c>
      <c r="F58" s="122">
        <v>1040.0999999999999</v>
      </c>
      <c r="G58" s="122">
        <v>1062.2</v>
      </c>
      <c r="H58" s="122">
        <v>1084.5</v>
      </c>
      <c r="I58" s="122">
        <v>1107.5</v>
      </c>
      <c r="J58" s="122">
        <v>1130.2</v>
      </c>
      <c r="K58" s="123">
        <v>1152.5999999999999</v>
      </c>
      <c r="L58" s="123">
        <v>1174.7</v>
      </c>
      <c r="M58" s="123">
        <v>1196.4000000000001</v>
      </c>
      <c r="N58" s="123">
        <v>1217.7</v>
      </c>
      <c r="O58" s="123">
        <v>1238.7</v>
      </c>
    </row>
    <row r="59" spans="1:15">
      <c r="A59" s="120" t="s">
        <v>556</v>
      </c>
      <c r="B59" s="141" t="s">
        <v>1111</v>
      </c>
      <c r="C59" s="120" t="s">
        <v>1112</v>
      </c>
      <c r="D59" s="120" t="s">
        <v>1113</v>
      </c>
      <c r="E59" s="142" t="s">
        <v>1114</v>
      </c>
      <c r="F59" s="122">
        <v>487.2</v>
      </c>
      <c r="G59" s="122">
        <v>500.3</v>
      </c>
      <c r="H59" s="122">
        <v>513.70000000000005</v>
      </c>
      <c r="I59" s="122">
        <v>527.70000000000005</v>
      </c>
      <c r="J59" s="122">
        <v>541.79999999999995</v>
      </c>
      <c r="K59" s="123">
        <v>556</v>
      </c>
      <c r="L59" s="123">
        <v>570.4</v>
      </c>
      <c r="M59" s="123">
        <v>584.79999999999995</v>
      </c>
      <c r="N59" s="123">
        <v>599.29999999999995</v>
      </c>
      <c r="O59" s="123">
        <v>613.9</v>
      </c>
    </row>
    <row r="60" spans="1:15">
      <c r="A60" s="120" t="s">
        <v>638</v>
      </c>
      <c r="B60" s="141" t="s">
        <v>1111</v>
      </c>
      <c r="C60" s="120" t="s">
        <v>1112</v>
      </c>
      <c r="D60" s="120" t="s">
        <v>1113</v>
      </c>
      <c r="E60" s="142" t="s">
        <v>1114</v>
      </c>
      <c r="F60" s="122">
        <v>9218.4</v>
      </c>
      <c r="G60" s="122">
        <v>9382.1</v>
      </c>
      <c r="H60" s="122">
        <v>9562.9</v>
      </c>
      <c r="I60" s="122">
        <v>9750.5</v>
      </c>
      <c r="J60" s="122">
        <v>9933.2000000000007</v>
      </c>
      <c r="K60" s="123">
        <v>10110.1</v>
      </c>
      <c r="L60" s="123">
        <v>10280.799999999999</v>
      </c>
      <c r="M60" s="123">
        <v>10445.299999999999</v>
      </c>
      <c r="N60" s="123">
        <v>10603.6</v>
      </c>
      <c r="O60" s="123">
        <v>10755.3</v>
      </c>
    </row>
    <row r="61" spans="1:15">
      <c r="A61" s="120" t="s">
        <v>686</v>
      </c>
      <c r="B61" s="141" t="s">
        <v>1111</v>
      </c>
      <c r="C61" s="120" t="s">
        <v>1112</v>
      </c>
      <c r="D61" s="120" t="s">
        <v>1113</v>
      </c>
      <c r="E61" s="142" t="s">
        <v>1114</v>
      </c>
      <c r="F61" s="122">
        <v>288.89999999999998</v>
      </c>
      <c r="G61" s="122">
        <v>293.2</v>
      </c>
      <c r="H61" s="122">
        <v>297.60000000000002</v>
      </c>
      <c r="I61" s="122">
        <v>301.89999999999998</v>
      </c>
      <c r="J61" s="122">
        <v>306</v>
      </c>
      <c r="K61" s="123">
        <v>310.2</v>
      </c>
      <c r="L61" s="123">
        <v>314.39999999999998</v>
      </c>
      <c r="M61" s="123">
        <v>318.60000000000002</v>
      </c>
      <c r="N61" s="123">
        <v>322.89999999999998</v>
      </c>
      <c r="O61" s="123">
        <v>327.3</v>
      </c>
    </row>
    <row r="62" spans="1:15">
      <c r="A62" s="120" t="s">
        <v>690</v>
      </c>
      <c r="B62" s="141" t="s">
        <v>1111</v>
      </c>
      <c r="C62" s="120" t="s">
        <v>1112</v>
      </c>
      <c r="D62" s="120" t="s">
        <v>1113</v>
      </c>
      <c r="E62" s="142" t="s">
        <v>1114</v>
      </c>
      <c r="F62" s="122">
        <v>493.5</v>
      </c>
      <c r="G62" s="122">
        <v>506.3</v>
      </c>
      <c r="H62" s="122">
        <v>518.29999999999995</v>
      </c>
      <c r="I62" s="122">
        <v>530.6</v>
      </c>
      <c r="J62" s="122">
        <v>542.6</v>
      </c>
      <c r="K62" s="123">
        <v>554.20000000000005</v>
      </c>
      <c r="L62" s="123">
        <v>565.20000000000005</v>
      </c>
      <c r="M62" s="123">
        <v>575.79999999999995</v>
      </c>
      <c r="N62" s="123">
        <v>585.9</v>
      </c>
      <c r="O62" s="123">
        <v>595.70000000000005</v>
      </c>
    </row>
    <row r="63" spans="1:15">
      <c r="A63" s="120" t="s">
        <v>692</v>
      </c>
      <c r="B63" s="141" t="s">
        <v>1111</v>
      </c>
      <c r="C63" s="120" t="s">
        <v>1112</v>
      </c>
      <c r="D63" s="120" t="s">
        <v>1113</v>
      </c>
      <c r="E63" s="142" t="s">
        <v>1114</v>
      </c>
      <c r="F63" s="122">
        <v>2240.6999999999998</v>
      </c>
      <c r="G63" s="122">
        <v>2277.1999999999998</v>
      </c>
      <c r="H63" s="122">
        <v>2317.6999999999998</v>
      </c>
      <c r="I63" s="122">
        <v>2357.9</v>
      </c>
      <c r="J63" s="122">
        <v>2394.9</v>
      </c>
      <c r="K63" s="123">
        <v>2430.1999999999998</v>
      </c>
      <c r="L63" s="123">
        <v>2463.6999999999998</v>
      </c>
      <c r="M63" s="123">
        <v>2495.6</v>
      </c>
      <c r="N63" s="123">
        <v>2526</v>
      </c>
      <c r="O63" s="123">
        <v>2555</v>
      </c>
    </row>
    <row r="64" spans="1:15">
      <c r="A64" s="120" t="s">
        <v>794</v>
      </c>
      <c r="B64" s="141" t="s">
        <v>1111</v>
      </c>
      <c r="C64" s="120" t="s">
        <v>1112</v>
      </c>
      <c r="D64" s="120" t="s">
        <v>1113</v>
      </c>
      <c r="E64" s="142" t="s">
        <v>1114</v>
      </c>
      <c r="F64" s="122">
        <v>387</v>
      </c>
      <c r="G64" s="122">
        <v>392.5</v>
      </c>
      <c r="H64" s="122">
        <v>397.4</v>
      </c>
      <c r="I64" s="122">
        <v>401.7</v>
      </c>
      <c r="J64" s="122">
        <v>405.8</v>
      </c>
      <c r="K64" s="123">
        <v>409.4</v>
      </c>
      <c r="L64" s="123">
        <v>412.5</v>
      </c>
      <c r="M64" s="123">
        <v>415.3</v>
      </c>
      <c r="N64" s="123">
        <v>417.6</v>
      </c>
      <c r="O64" s="123">
        <v>419.6</v>
      </c>
    </row>
    <row r="65" spans="1:15">
      <c r="A65" s="120" t="s">
        <v>1120</v>
      </c>
      <c r="B65" s="141" t="s">
        <v>1111</v>
      </c>
      <c r="C65" s="120" t="s">
        <v>1112</v>
      </c>
      <c r="D65" s="120" t="s">
        <v>1113</v>
      </c>
      <c r="E65" s="142" t="s">
        <v>1114</v>
      </c>
      <c r="F65" s="122">
        <v>2321</v>
      </c>
      <c r="G65" s="122">
        <v>2328.1</v>
      </c>
      <c r="H65" s="122">
        <v>2348.1</v>
      </c>
      <c r="I65" s="122">
        <v>2375.9</v>
      </c>
      <c r="J65" s="122">
        <v>2403.5</v>
      </c>
      <c r="K65" s="123">
        <v>2430.4</v>
      </c>
      <c r="L65" s="123">
        <v>2456.6</v>
      </c>
      <c r="M65" s="123">
        <v>2482.3000000000002</v>
      </c>
      <c r="N65" s="123">
        <v>2507.1</v>
      </c>
      <c r="O65" s="123">
        <v>2531.1999999999998</v>
      </c>
    </row>
    <row r="66" spans="1:15">
      <c r="A66" s="120" t="s">
        <v>393</v>
      </c>
      <c r="B66" s="141" t="s">
        <v>1111</v>
      </c>
      <c r="C66" s="120" t="s">
        <v>1112</v>
      </c>
      <c r="D66" s="120" t="s">
        <v>1113</v>
      </c>
      <c r="E66" s="142" t="s">
        <v>1114</v>
      </c>
      <c r="F66" s="122">
        <v>3146.7</v>
      </c>
      <c r="G66" s="122">
        <v>3225.5</v>
      </c>
      <c r="H66" s="122">
        <v>3304.2</v>
      </c>
      <c r="I66" s="122">
        <v>3380.8</v>
      </c>
      <c r="J66" s="122">
        <v>3454.7</v>
      </c>
      <c r="K66" s="123">
        <v>3526.4</v>
      </c>
      <c r="L66" s="123">
        <v>3595.9</v>
      </c>
      <c r="M66" s="123">
        <v>3663.1</v>
      </c>
      <c r="N66" s="123">
        <v>3728.4</v>
      </c>
      <c r="O66" s="123">
        <v>3791.7</v>
      </c>
    </row>
    <row r="67" spans="1:15">
      <c r="A67" s="120" t="s">
        <v>399</v>
      </c>
      <c r="B67" s="141" t="s">
        <v>1111</v>
      </c>
      <c r="C67" s="120" t="s">
        <v>1112</v>
      </c>
      <c r="D67" s="120" t="s">
        <v>1113</v>
      </c>
      <c r="E67" s="142" t="s">
        <v>1114</v>
      </c>
      <c r="F67" s="122">
        <v>1686.5</v>
      </c>
      <c r="G67" s="122">
        <v>1747.6</v>
      </c>
      <c r="H67" s="122">
        <v>1810.3</v>
      </c>
      <c r="I67" s="122">
        <v>1874.1</v>
      </c>
      <c r="J67" s="122">
        <v>1939.6</v>
      </c>
      <c r="K67" s="123">
        <v>2006.6</v>
      </c>
      <c r="L67" s="123">
        <v>2075.1999999999998</v>
      </c>
      <c r="M67" s="123">
        <v>2145.8000000000002</v>
      </c>
      <c r="N67" s="123">
        <v>2218.5</v>
      </c>
      <c r="O67" s="123">
        <v>2293</v>
      </c>
    </row>
    <row r="68" spans="1:15">
      <c r="A68" s="120" t="s">
        <v>417</v>
      </c>
      <c r="B68" s="141" t="s">
        <v>1111</v>
      </c>
      <c r="C68" s="120" t="s">
        <v>1112</v>
      </c>
      <c r="D68" s="120" t="s">
        <v>1113</v>
      </c>
      <c r="E68" s="142" t="s">
        <v>1114</v>
      </c>
      <c r="F68" s="122">
        <v>58.4</v>
      </c>
      <c r="G68" s="122">
        <v>59.8</v>
      </c>
      <c r="H68" s="122">
        <v>60.7</v>
      </c>
      <c r="I68" s="122">
        <v>63</v>
      </c>
      <c r="J68" s="122">
        <v>63.7</v>
      </c>
      <c r="K68" s="123">
        <v>65.3</v>
      </c>
      <c r="L68" s="123">
        <v>66.8</v>
      </c>
      <c r="M68" s="123">
        <v>68.099999999999994</v>
      </c>
      <c r="N68" s="123">
        <v>69.5</v>
      </c>
      <c r="O68" s="123">
        <v>70.7</v>
      </c>
    </row>
    <row r="69" spans="1:15">
      <c r="A69" s="120" t="s">
        <v>456</v>
      </c>
      <c r="B69" s="141" t="s">
        <v>1111</v>
      </c>
      <c r="C69" s="120" t="s">
        <v>1112</v>
      </c>
      <c r="D69" s="120" t="s">
        <v>1113</v>
      </c>
      <c r="E69" s="142" t="s">
        <v>1114</v>
      </c>
      <c r="F69" s="122">
        <v>1183.3</v>
      </c>
      <c r="G69" s="122">
        <v>1218.3</v>
      </c>
      <c r="H69" s="122">
        <v>1253.8</v>
      </c>
      <c r="I69" s="122">
        <v>1290.4000000000001</v>
      </c>
      <c r="J69" s="122">
        <v>1327.3</v>
      </c>
      <c r="K69" s="123">
        <v>1364.5</v>
      </c>
      <c r="L69" s="123">
        <v>1401.9</v>
      </c>
      <c r="M69" s="123">
        <v>1439.6</v>
      </c>
      <c r="N69" s="123">
        <v>1477.8</v>
      </c>
      <c r="O69" s="123">
        <v>1516.4</v>
      </c>
    </row>
    <row r="70" spans="1:15">
      <c r="A70" s="120" t="s">
        <v>1121</v>
      </c>
      <c r="B70" s="141" t="s">
        <v>1111</v>
      </c>
      <c r="C70" s="120" t="s">
        <v>1112</v>
      </c>
      <c r="D70" s="120" t="s">
        <v>1113</v>
      </c>
      <c r="E70" s="142" t="s">
        <v>1114</v>
      </c>
      <c r="F70" s="122">
        <v>1177.3</v>
      </c>
      <c r="G70" s="122">
        <v>1215.9000000000001</v>
      </c>
      <c r="H70" s="122">
        <v>1256.3</v>
      </c>
      <c r="I70" s="122">
        <v>1297.5</v>
      </c>
      <c r="J70" s="122">
        <v>1339.1</v>
      </c>
      <c r="K70" s="123">
        <v>1381.2</v>
      </c>
      <c r="L70" s="123">
        <v>1423.7</v>
      </c>
      <c r="M70" s="123">
        <v>1466.6</v>
      </c>
      <c r="N70" s="123">
        <v>1510</v>
      </c>
      <c r="O70" s="123">
        <v>1554.1</v>
      </c>
    </row>
    <row r="71" spans="1:15">
      <c r="A71" s="120" t="s">
        <v>1122</v>
      </c>
      <c r="B71" s="141" t="s">
        <v>1111</v>
      </c>
      <c r="C71" s="120" t="s">
        <v>1112</v>
      </c>
      <c r="D71" s="120" t="s">
        <v>1113</v>
      </c>
      <c r="E71" s="142" t="s">
        <v>1114</v>
      </c>
      <c r="F71" s="122">
        <v>7790.8</v>
      </c>
      <c r="G71" s="122">
        <v>7910.8</v>
      </c>
      <c r="H71" s="122">
        <v>8015.3</v>
      </c>
      <c r="I71" s="122">
        <v>8133.5</v>
      </c>
      <c r="J71" s="122">
        <v>8242</v>
      </c>
      <c r="K71" s="123">
        <v>8343.4</v>
      </c>
      <c r="L71" s="123">
        <v>8442.7000000000007</v>
      </c>
      <c r="M71" s="123">
        <v>8541.7999999999993</v>
      </c>
      <c r="N71" s="123">
        <v>8640.9</v>
      </c>
      <c r="O71" s="123">
        <v>8740.5</v>
      </c>
    </row>
    <row r="72" spans="1:15">
      <c r="A72" s="120" t="s">
        <v>515</v>
      </c>
      <c r="B72" s="141" t="s">
        <v>1111</v>
      </c>
      <c r="C72" s="120" t="s">
        <v>1112</v>
      </c>
      <c r="D72" s="120" t="s">
        <v>1113</v>
      </c>
      <c r="E72" s="142" t="s">
        <v>1114</v>
      </c>
      <c r="F72" s="122">
        <v>5910.2</v>
      </c>
      <c r="G72" s="122">
        <v>6082.1</v>
      </c>
      <c r="H72" s="122">
        <v>6255.5</v>
      </c>
      <c r="I72" s="122">
        <v>6432.4</v>
      </c>
      <c r="J72" s="122">
        <v>6612.7</v>
      </c>
      <c r="K72" s="123">
        <v>6795.7</v>
      </c>
      <c r="L72" s="123">
        <v>6980.3</v>
      </c>
      <c r="M72" s="123">
        <v>7167</v>
      </c>
      <c r="N72" s="123">
        <v>7355.2</v>
      </c>
      <c r="O72" s="123">
        <v>7545.1</v>
      </c>
    </row>
    <row r="73" spans="1:15">
      <c r="A73" s="120" t="s">
        <v>534</v>
      </c>
      <c r="B73" s="141" t="s">
        <v>1111</v>
      </c>
      <c r="C73" s="120" t="s">
        <v>1112</v>
      </c>
      <c r="D73" s="120" t="s">
        <v>1113</v>
      </c>
      <c r="E73" s="142" t="s">
        <v>1114</v>
      </c>
      <c r="F73" s="122">
        <v>2149.1999999999998</v>
      </c>
      <c r="G73" s="122">
        <v>2222.3000000000002</v>
      </c>
      <c r="H73" s="122">
        <v>2294.3000000000002</v>
      </c>
      <c r="I73" s="122">
        <v>2365.5</v>
      </c>
      <c r="J73" s="122">
        <v>2435.1</v>
      </c>
      <c r="K73" s="123">
        <v>2502.8000000000002</v>
      </c>
      <c r="L73" s="123">
        <v>2568.6</v>
      </c>
      <c r="M73" s="123">
        <v>2632.6</v>
      </c>
      <c r="N73" s="123">
        <v>2695.1</v>
      </c>
      <c r="O73" s="123">
        <v>2756.4</v>
      </c>
    </row>
    <row r="74" spans="1:15">
      <c r="A74" s="120" t="s">
        <v>1123</v>
      </c>
      <c r="B74" s="141" t="s">
        <v>1111</v>
      </c>
      <c r="C74" s="120" t="s">
        <v>1112</v>
      </c>
      <c r="D74" s="120" t="s">
        <v>1113</v>
      </c>
      <c r="E74" s="142" t="s">
        <v>1114</v>
      </c>
      <c r="F74" s="122">
        <v>5766.6</v>
      </c>
      <c r="G74" s="122">
        <v>5850.7</v>
      </c>
      <c r="H74" s="122">
        <v>5956.8</v>
      </c>
      <c r="I74" s="122">
        <v>6063.9</v>
      </c>
      <c r="J74" s="122">
        <v>6162.3</v>
      </c>
      <c r="K74" s="123">
        <v>6253</v>
      </c>
      <c r="L74" s="123">
        <v>6336.2</v>
      </c>
      <c r="M74" s="123">
        <v>6412.9</v>
      </c>
      <c r="N74" s="123">
        <v>6483.8</v>
      </c>
      <c r="O74" s="123">
        <v>6549.7</v>
      </c>
    </row>
    <row r="75" spans="1:15">
      <c r="A75" s="120" t="s">
        <v>569</v>
      </c>
      <c r="B75" s="141" t="s">
        <v>1111</v>
      </c>
      <c r="C75" s="120" t="s">
        <v>1112</v>
      </c>
      <c r="D75" s="120" t="s">
        <v>1113</v>
      </c>
      <c r="E75" s="142" t="s">
        <v>1114</v>
      </c>
      <c r="F75" s="122">
        <v>1954.3</v>
      </c>
      <c r="G75" s="122">
        <v>2016.9</v>
      </c>
      <c r="H75" s="122">
        <v>2081.4</v>
      </c>
      <c r="I75" s="122">
        <v>2145.6</v>
      </c>
      <c r="J75" s="122">
        <v>2207.8000000000002</v>
      </c>
      <c r="K75" s="123">
        <v>2270</v>
      </c>
      <c r="L75" s="123">
        <v>2332.1</v>
      </c>
      <c r="M75" s="123">
        <v>2393.6</v>
      </c>
      <c r="N75" s="123">
        <v>2454.3000000000002</v>
      </c>
      <c r="O75" s="123">
        <v>2515.1999999999998</v>
      </c>
    </row>
    <row r="76" spans="1:15">
      <c r="A76" s="120" t="s">
        <v>575</v>
      </c>
      <c r="B76" s="141" t="s">
        <v>1111</v>
      </c>
      <c r="C76" s="120" t="s">
        <v>1112</v>
      </c>
      <c r="D76" s="120" t="s">
        <v>1113</v>
      </c>
      <c r="E76" s="142" t="s">
        <v>1114</v>
      </c>
      <c r="F76" s="122">
        <v>772.5</v>
      </c>
      <c r="G76" s="122">
        <v>785.7</v>
      </c>
      <c r="H76" s="122">
        <v>801.4</v>
      </c>
      <c r="I76" s="122">
        <v>825.6</v>
      </c>
      <c r="J76" s="122">
        <v>837.5</v>
      </c>
      <c r="K76" s="123">
        <v>848.8</v>
      </c>
      <c r="L76" s="123">
        <v>860.4</v>
      </c>
      <c r="M76" s="123">
        <v>872</v>
      </c>
      <c r="N76" s="123">
        <v>883.5</v>
      </c>
      <c r="O76" s="123">
        <v>895.1</v>
      </c>
    </row>
    <row r="77" spans="1:15">
      <c r="A77" s="120" t="s">
        <v>583</v>
      </c>
      <c r="B77" s="141" t="s">
        <v>1111</v>
      </c>
      <c r="C77" s="120" t="s">
        <v>1112</v>
      </c>
      <c r="D77" s="120" t="s">
        <v>1113</v>
      </c>
      <c r="E77" s="142" t="s">
        <v>1114</v>
      </c>
      <c r="F77" s="122">
        <v>760.4</v>
      </c>
      <c r="G77" s="122">
        <v>795</v>
      </c>
      <c r="H77" s="122">
        <v>829.7</v>
      </c>
      <c r="I77" s="122">
        <v>864.5</v>
      </c>
      <c r="J77" s="122">
        <v>894.6</v>
      </c>
      <c r="K77" s="123">
        <v>913.5</v>
      </c>
      <c r="L77" s="123">
        <v>940.5</v>
      </c>
      <c r="M77" s="123">
        <v>980.9</v>
      </c>
      <c r="N77" s="123">
        <v>1020.8</v>
      </c>
      <c r="O77" s="123">
        <v>1061</v>
      </c>
    </row>
    <row r="78" spans="1:15">
      <c r="A78" s="120" t="s">
        <v>587</v>
      </c>
      <c r="B78" s="141" t="s">
        <v>1111</v>
      </c>
      <c r="C78" s="120" t="s">
        <v>1112</v>
      </c>
      <c r="D78" s="120" t="s">
        <v>1113</v>
      </c>
      <c r="E78" s="142" t="s">
        <v>1114</v>
      </c>
      <c r="F78" s="122">
        <v>3697.1</v>
      </c>
      <c r="G78" s="122">
        <v>3811.3</v>
      </c>
      <c r="H78" s="122">
        <v>3927.7</v>
      </c>
      <c r="I78" s="122">
        <v>4047.5</v>
      </c>
      <c r="J78" s="122">
        <v>4166.8999999999996</v>
      </c>
      <c r="K78" s="123">
        <v>4285.3999999999996</v>
      </c>
      <c r="L78" s="123">
        <v>4402.8</v>
      </c>
      <c r="M78" s="123">
        <v>4519</v>
      </c>
      <c r="N78" s="123">
        <v>4634</v>
      </c>
      <c r="O78" s="123">
        <v>4747.8</v>
      </c>
    </row>
    <row r="79" spans="1:15">
      <c r="A79" s="120" t="s">
        <v>597</v>
      </c>
      <c r="B79" s="141" t="s">
        <v>1111</v>
      </c>
      <c r="C79" s="120" t="s">
        <v>1112</v>
      </c>
      <c r="D79" s="120" t="s">
        <v>1113</v>
      </c>
      <c r="E79" s="142" t="s">
        <v>1114</v>
      </c>
      <c r="F79" s="122">
        <v>243.8</v>
      </c>
      <c r="G79" s="122">
        <v>237.9</v>
      </c>
      <c r="H79" s="122">
        <v>241.5</v>
      </c>
      <c r="I79" s="122">
        <v>264.60000000000002</v>
      </c>
      <c r="J79" s="122">
        <v>271.7</v>
      </c>
      <c r="K79" s="123">
        <v>270.3</v>
      </c>
      <c r="L79" s="123">
        <v>275.10000000000002</v>
      </c>
      <c r="M79" s="123">
        <v>279.2</v>
      </c>
      <c r="N79" s="123">
        <v>282.8</v>
      </c>
      <c r="O79" s="123">
        <v>285.89999999999998</v>
      </c>
    </row>
    <row r="80" spans="1:15">
      <c r="A80" s="120" t="s">
        <v>605</v>
      </c>
      <c r="B80" s="141" t="s">
        <v>1111</v>
      </c>
      <c r="C80" s="120" t="s">
        <v>1112</v>
      </c>
      <c r="D80" s="120" t="s">
        <v>1113</v>
      </c>
      <c r="E80" s="142" t="s">
        <v>1114</v>
      </c>
      <c r="F80" s="122">
        <v>272.5</v>
      </c>
      <c r="G80" s="122">
        <v>273.60000000000002</v>
      </c>
      <c r="H80" s="122">
        <v>275.10000000000002</v>
      </c>
      <c r="I80" s="122">
        <v>276.60000000000002</v>
      </c>
      <c r="J80" s="122">
        <v>278.10000000000002</v>
      </c>
      <c r="K80" s="123">
        <v>280.10000000000002</v>
      </c>
      <c r="L80" s="123">
        <v>282.3</v>
      </c>
      <c r="M80" s="123">
        <v>284.60000000000002</v>
      </c>
      <c r="N80" s="123">
        <v>286.8</v>
      </c>
      <c r="O80" s="123">
        <v>289.2</v>
      </c>
    </row>
    <row r="81" spans="1:15">
      <c r="A81" s="120" t="s">
        <v>650</v>
      </c>
      <c r="B81" s="141" t="s">
        <v>1111</v>
      </c>
      <c r="C81" s="120" t="s">
        <v>1112</v>
      </c>
      <c r="D81" s="120" t="s">
        <v>1113</v>
      </c>
      <c r="E81" s="142" t="s">
        <v>1114</v>
      </c>
      <c r="F81" s="122">
        <v>2754.8</v>
      </c>
      <c r="G81" s="122">
        <v>2820</v>
      </c>
      <c r="H81" s="122">
        <v>2884.7</v>
      </c>
      <c r="I81" s="122">
        <v>2949</v>
      </c>
      <c r="J81" s="122">
        <v>3010.6</v>
      </c>
      <c r="K81" s="123">
        <v>3069.1</v>
      </c>
      <c r="L81" s="123">
        <v>3124.2</v>
      </c>
      <c r="M81" s="123">
        <v>3176.2</v>
      </c>
      <c r="N81" s="123">
        <v>3225</v>
      </c>
      <c r="O81" s="123">
        <v>3270.8</v>
      </c>
    </row>
    <row r="82" spans="1:15">
      <c r="A82" s="120" t="s">
        <v>672</v>
      </c>
      <c r="B82" s="141" t="s">
        <v>1111</v>
      </c>
      <c r="C82" s="120" t="s">
        <v>1112</v>
      </c>
      <c r="D82" s="120" t="s">
        <v>1113</v>
      </c>
      <c r="E82" s="142" t="s">
        <v>1114</v>
      </c>
      <c r="F82" s="122">
        <v>11356.7</v>
      </c>
      <c r="G82" s="122">
        <v>11635.3</v>
      </c>
      <c r="H82" s="122">
        <v>11918</v>
      </c>
      <c r="I82" s="122">
        <v>12206</v>
      </c>
      <c r="J82" s="122">
        <v>12496.7</v>
      </c>
      <c r="K82" s="123">
        <v>12789.5</v>
      </c>
      <c r="L82" s="123">
        <v>13084.5</v>
      </c>
      <c r="M82" s="123">
        <v>13380.8</v>
      </c>
      <c r="N82" s="123">
        <v>13677.7</v>
      </c>
      <c r="O82" s="123">
        <v>13975.6</v>
      </c>
    </row>
    <row r="83" spans="1:15">
      <c r="A83" s="120" t="s">
        <v>680</v>
      </c>
      <c r="B83" s="141" t="s">
        <v>1111</v>
      </c>
      <c r="C83" s="120" t="s">
        <v>1112</v>
      </c>
      <c r="D83" s="120" t="s">
        <v>1113</v>
      </c>
      <c r="E83" s="142" t="s">
        <v>1114</v>
      </c>
      <c r="F83" s="122">
        <v>219.2</v>
      </c>
      <c r="G83" s="122">
        <v>233.1</v>
      </c>
      <c r="H83" s="122">
        <v>266.2</v>
      </c>
      <c r="I83" s="122">
        <v>290.39999999999998</v>
      </c>
      <c r="J83" s="122">
        <v>306.39999999999998</v>
      </c>
      <c r="K83" s="123">
        <v>327.5</v>
      </c>
      <c r="L83" s="123">
        <v>345.2</v>
      </c>
      <c r="M83" s="123">
        <v>359.3</v>
      </c>
      <c r="N83" s="123">
        <v>370.3</v>
      </c>
      <c r="O83" s="123">
        <v>379</v>
      </c>
    </row>
    <row r="84" spans="1:15">
      <c r="A84" s="120" t="s">
        <v>701</v>
      </c>
      <c r="B84" s="141" t="s">
        <v>1111</v>
      </c>
      <c r="C84" s="120" t="s">
        <v>1112</v>
      </c>
      <c r="D84" s="120" t="s">
        <v>1113</v>
      </c>
      <c r="E84" s="142" t="s">
        <v>1114</v>
      </c>
      <c r="F84" s="122">
        <v>167.7</v>
      </c>
      <c r="G84" s="122">
        <v>160.30000000000001</v>
      </c>
      <c r="H84" s="122">
        <v>169.5</v>
      </c>
      <c r="I84" s="122">
        <v>176.3</v>
      </c>
      <c r="J84" s="122">
        <v>182.8</v>
      </c>
      <c r="K84" s="123">
        <v>191</v>
      </c>
      <c r="L84" s="123">
        <v>195</v>
      </c>
      <c r="M84" s="123">
        <v>198.5</v>
      </c>
      <c r="N84" s="123">
        <v>201</v>
      </c>
      <c r="O84" s="123">
        <v>203.3</v>
      </c>
    </row>
    <row r="85" spans="1:15">
      <c r="A85" s="120" t="s">
        <v>715</v>
      </c>
      <c r="B85" s="141" t="s">
        <v>1111</v>
      </c>
      <c r="C85" s="120" t="s">
        <v>1112</v>
      </c>
      <c r="D85" s="120" t="s">
        <v>1113</v>
      </c>
      <c r="E85" s="142" t="s">
        <v>1114</v>
      </c>
      <c r="F85" s="122">
        <v>2343.8000000000002</v>
      </c>
      <c r="G85" s="122">
        <v>2390</v>
      </c>
      <c r="H85" s="122">
        <v>2602.5</v>
      </c>
      <c r="I85" s="122">
        <v>2828.4</v>
      </c>
      <c r="J85" s="122">
        <v>3058.7</v>
      </c>
      <c r="K85" s="123">
        <v>3210.4</v>
      </c>
      <c r="L85" s="123">
        <v>3341.1</v>
      </c>
      <c r="M85" s="123">
        <v>3460</v>
      </c>
      <c r="N85" s="123">
        <v>3567.5</v>
      </c>
      <c r="O85" s="123">
        <v>3664.5</v>
      </c>
    </row>
    <row r="86" spans="1:15">
      <c r="A86" s="120" t="s">
        <v>736</v>
      </c>
      <c r="B86" s="141" t="s">
        <v>1111</v>
      </c>
      <c r="C86" s="120" t="s">
        <v>1112</v>
      </c>
      <c r="D86" s="120" t="s">
        <v>1113</v>
      </c>
      <c r="E86" s="142" t="s">
        <v>1114</v>
      </c>
      <c r="F86" s="122">
        <v>2383.5</v>
      </c>
      <c r="G86" s="122">
        <v>2396.6999999999998</v>
      </c>
      <c r="H86" s="122">
        <v>2409.6999999999998</v>
      </c>
      <c r="I86" s="122">
        <v>2424.1999999999998</v>
      </c>
      <c r="J86" s="122">
        <v>2441.8000000000002</v>
      </c>
      <c r="K86" s="123">
        <v>2462.5</v>
      </c>
      <c r="L86" s="123">
        <v>2486.8000000000002</v>
      </c>
      <c r="M86" s="123">
        <v>2514.5</v>
      </c>
      <c r="N86" s="123">
        <v>2545.1</v>
      </c>
      <c r="O86" s="123">
        <v>2577.1</v>
      </c>
    </row>
    <row r="87" spans="1:15">
      <c r="A87" s="120" t="s">
        <v>764</v>
      </c>
      <c r="B87" s="141" t="s">
        <v>1111</v>
      </c>
      <c r="C87" s="120" t="s">
        <v>1112</v>
      </c>
      <c r="D87" s="120" t="s">
        <v>1113</v>
      </c>
      <c r="E87" s="142" t="s">
        <v>1114</v>
      </c>
      <c r="F87" s="122">
        <v>3011.1</v>
      </c>
      <c r="G87" s="122">
        <v>3135.3</v>
      </c>
      <c r="H87" s="122">
        <v>3262.6</v>
      </c>
      <c r="I87" s="122">
        <v>3392.7</v>
      </c>
      <c r="J87" s="122">
        <v>3525.5</v>
      </c>
      <c r="K87" s="123">
        <v>3660.9</v>
      </c>
      <c r="L87" s="123">
        <v>3798</v>
      </c>
      <c r="M87" s="123">
        <v>3935.9</v>
      </c>
      <c r="N87" s="123">
        <v>4074.6</v>
      </c>
      <c r="O87" s="123">
        <v>4214.6000000000004</v>
      </c>
    </row>
    <row r="88" spans="1:15">
      <c r="A88" s="120" t="s">
        <v>775</v>
      </c>
      <c r="B88" s="141" t="s">
        <v>1111</v>
      </c>
      <c r="C88" s="120" t="s">
        <v>1112</v>
      </c>
      <c r="D88" s="120" t="s">
        <v>1113</v>
      </c>
      <c r="E88" s="142" t="s">
        <v>1114</v>
      </c>
      <c r="F88" s="122">
        <v>1155.4000000000001</v>
      </c>
      <c r="G88" s="122">
        <v>1182.0999999999999</v>
      </c>
      <c r="H88" s="122">
        <v>1207.7</v>
      </c>
      <c r="I88" s="122">
        <v>1233</v>
      </c>
      <c r="J88" s="122">
        <v>1257</v>
      </c>
      <c r="K88" s="123">
        <v>1279.7</v>
      </c>
      <c r="L88" s="123">
        <v>1300.9000000000001</v>
      </c>
      <c r="M88" s="123">
        <v>1320.3</v>
      </c>
      <c r="N88" s="123">
        <v>1337.9</v>
      </c>
      <c r="O88" s="123">
        <v>1353.7</v>
      </c>
    </row>
    <row r="89" spans="1:15">
      <c r="A89" s="120" t="s">
        <v>785</v>
      </c>
      <c r="B89" s="141" t="s">
        <v>1111</v>
      </c>
      <c r="C89" s="120" t="s">
        <v>1112</v>
      </c>
      <c r="D89" s="120" t="s">
        <v>1113</v>
      </c>
      <c r="E89" s="142" t="s">
        <v>1114</v>
      </c>
      <c r="F89" s="122">
        <v>2844.4</v>
      </c>
      <c r="G89" s="122">
        <v>2983.5</v>
      </c>
      <c r="H89" s="122">
        <v>3123.1</v>
      </c>
      <c r="I89" s="122">
        <v>3261.6</v>
      </c>
      <c r="J89" s="122">
        <v>3402.5</v>
      </c>
      <c r="K89" s="123">
        <v>3544.6</v>
      </c>
      <c r="L89" s="123">
        <v>3686.8</v>
      </c>
      <c r="M89" s="123">
        <v>3828.2</v>
      </c>
      <c r="N89" s="123">
        <v>3968.4</v>
      </c>
      <c r="O89" s="123">
        <v>4106.6000000000004</v>
      </c>
    </row>
    <row r="90" spans="1:15">
      <c r="A90" s="120" t="s">
        <v>789</v>
      </c>
      <c r="B90" s="141" t="s">
        <v>1111</v>
      </c>
      <c r="C90" s="120" t="s">
        <v>1112</v>
      </c>
      <c r="D90" s="120" t="s">
        <v>1113</v>
      </c>
      <c r="E90" s="142" t="s">
        <v>1114</v>
      </c>
      <c r="F90" s="122">
        <v>481.5</v>
      </c>
      <c r="G90" s="122">
        <v>521.4</v>
      </c>
      <c r="H90" s="122">
        <v>570.9</v>
      </c>
      <c r="I90" s="122">
        <v>610.29999999999995</v>
      </c>
      <c r="J90" s="122">
        <v>646.4</v>
      </c>
      <c r="K90" s="123">
        <v>675.4</v>
      </c>
      <c r="L90" s="123">
        <v>698.9</v>
      </c>
      <c r="M90" s="123">
        <v>719.5</v>
      </c>
      <c r="N90" s="123">
        <v>738.4</v>
      </c>
      <c r="O90" s="123">
        <v>756.7</v>
      </c>
    </row>
    <row r="91" spans="1:15">
      <c r="A91" s="120" t="s">
        <v>458</v>
      </c>
      <c r="B91" s="141" t="s">
        <v>1111</v>
      </c>
      <c r="C91" s="120" t="s">
        <v>1112</v>
      </c>
      <c r="D91" s="120" t="s">
        <v>1113</v>
      </c>
      <c r="E91" s="142" t="s">
        <v>1114</v>
      </c>
      <c r="F91" s="122">
        <v>4309.6000000000004</v>
      </c>
      <c r="G91" s="122">
        <v>4338.8999999999996</v>
      </c>
      <c r="H91" s="122">
        <v>4423.3</v>
      </c>
      <c r="I91" s="122">
        <v>4559.1000000000004</v>
      </c>
      <c r="J91" s="122">
        <v>4701.6000000000004</v>
      </c>
      <c r="K91" s="123">
        <v>4739</v>
      </c>
      <c r="L91" s="123">
        <v>4756.6000000000004</v>
      </c>
      <c r="M91" s="123">
        <v>4784.8999999999996</v>
      </c>
      <c r="N91" s="123">
        <v>4827.2</v>
      </c>
      <c r="O91" s="123">
        <v>4868.8</v>
      </c>
    </row>
    <row r="92" spans="1:15">
      <c r="A92" s="120" t="s">
        <v>167</v>
      </c>
      <c r="B92" s="141" t="s">
        <v>1111</v>
      </c>
      <c r="C92" s="120" t="s">
        <v>1112</v>
      </c>
      <c r="D92" s="120" t="s">
        <v>1113</v>
      </c>
      <c r="E92" s="142" t="s">
        <v>1114</v>
      </c>
      <c r="F92" s="122">
        <v>28664.5</v>
      </c>
      <c r="G92" s="122">
        <v>28839.599999999999</v>
      </c>
      <c r="H92" s="122">
        <v>29274.7</v>
      </c>
      <c r="I92" s="122">
        <v>29324.799999999999</v>
      </c>
      <c r="J92" s="122">
        <v>29497.7</v>
      </c>
      <c r="K92" s="123">
        <v>29673</v>
      </c>
      <c r="L92" s="123">
        <v>29879.8</v>
      </c>
      <c r="M92" s="123">
        <v>30068.400000000001</v>
      </c>
      <c r="N92" s="123">
        <v>30246.2</v>
      </c>
      <c r="O92" s="123">
        <v>30411.9</v>
      </c>
    </row>
    <row r="93" spans="1:15">
      <c r="A93" s="120" t="s">
        <v>411</v>
      </c>
      <c r="B93" s="141" t="s">
        <v>1111</v>
      </c>
      <c r="C93" s="120" t="s">
        <v>1112</v>
      </c>
      <c r="D93" s="120" t="s">
        <v>1113</v>
      </c>
      <c r="E93" s="142" t="s">
        <v>1114</v>
      </c>
      <c r="F93" s="122">
        <v>1087.2</v>
      </c>
      <c r="G93" s="122">
        <v>1091.2</v>
      </c>
      <c r="H93" s="122">
        <v>1097.0999999999999</v>
      </c>
      <c r="I93" s="122">
        <v>1112.8</v>
      </c>
      <c r="J93" s="122">
        <v>1119.9000000000001</v>
      </c>
      <c r="K93" s="123">
        <v>1125.2</v>
      </c>
      <c r="L93" s="123">
        <v>1128.9000000000001</v>
      </c>
      <c r="M93" s="123">
        <v>1131.8</v>
      </c>
      <c r="N93" s="123">
        <v>1135.2</v>
      </c>
      <c r="O93" s="123">
        <v>1138.5999999999999</v>
      </c>
    </row>
    <row r="94" spans="1:15">
      <c r="A94" s="120" t="s">
        <v>425</v>
      </c>
      <c r="B94" s="141" t="s">
        <v>1111</v>
      </c>
      <c r="C94" s="120" t="s">
        <v>1112</v>
      </c>
      <c r="D94" s="120" t="s">
        <v>1113</v>
      </c>
      <c r="E94" s="142" t="s">
        <v>1114</v>
      </c>
      <c r="F94" s="122">
        <v>1459.9</v>
      </c>
      <c r="G94" s="122">
        <v>1469.8</v>
      </c>
      <c r="H94" s="122">
        <v>1482</v>
      </c>
      <c r="I94" s="122">
        <v>1497.9</v>
      </c>
      <c r="J94" s="122">
        <v>1508.7</v>
      </c>
      <c r="K94" s="123">
        <v>1518.8</v>
      </c>
      <c r="L94" s="123">
        <v>1528.4</v>
      </c>
      <c r="M94" s="123">
        <v>1537.5</v>
      </c>
      <c r="N94" s="123">
        <v>1546.1</v>
      </c>
      <c r="O94" s="123">
        <v>1554.3</v>
      </c>
    </row>
    <row r="95" spans="1:15">
      <c r="A95" s="120" t="s">
        <v>493</v>
      </c>
      <c r="B95" s="141" t="s">
        <v>1111</v>
      </c>
      <c r="C95" s="120" t="s">
        <v>1112</v>
      </c>
      <c r="D95" s="120" t="s">
        <v>1113</v>
      </c>
      <c r="E95" s="142" t="s">
        <v>1114</v>
      </c>
      <c r="F95" s="122">
        <v>772.3</v>
      </c>
      <c r="G95" s="122">
        <v>781.2</v>
      </c>
      <c r="H95" s="122">
        <v>790.6</v>
      </c>
      <c r="I95" s="122">
        <v>798.7</v>
      </c>
      <c r="J95" s="122">
        <v>804.7</v>
      </c>
      <c r="K95" s="123">
        <v>811.8</v>
      </c>
      <c r="L95" s="123">
        <v>817.5</v>
      </c>
      <c r="M95" s="123">
        <v>822.7</v>
      </c>
      <c r="N95" s="123">
        <v>827.5</v>
      </c>
      <c r="O95" s="123">
        <v>831.5</v>
      </c>
    </row>
    <row r="96" spans="1:15">
      <c r="A96" s="120" t="s">
        <v>521</v>
      </c>
      <c r="B96" s="141" t="s">
        <v>1111</v>
      </c>
      <c r="C96" s="120" t="s">
        <v>1112</v>
      </c>
      <c r="D96" s="120" t="s">
        <v>1113</v>
      </c>
      <c r="E96" s="142" t="s">
        <v>1114</v>
      </c>
      <c r="F96" s="122">
        <v>943</v>
      </c>
      <c r="G96" s="122">
        <v>951.4</v>
      </c>
      <c r="H96" s="122">
        <v>958.4</v>
      </c>
      <c r="I96" s="122">
        <v>967.4</v>
      </c>
      <c r="J96" s="122">
        <v>972.2</v>
      </c>
      <c r="K96" s="123">
        <v>979.3</v>
      </c>
      <c r="L96" s="123">
        <v>983.7</v>
      </c>
      <c r="M96" s="123">
        <v>986.6</v>
      </c>
      <c r="N96" s="123">
        <v>989.3</v>
      </c>
      <c r="O96" s="123">
        <v>991.8</v>
      </c>
    </row>
    <row r="97" spans="1:15">
      <c r="A97" s="120" t="s">
        <v>523</v>
      </c>
      <c r="B97" s="141" t="s">
        <v>1111</v>
      </c>
      <c r="C97" s="120" t="s">
        <v>1112</v>
      </c>
      <c r="D97" s="120" t="s">
        <v>1113</v>
      </c>
      <c r="E97" s="142" t="s">
        <v>1114</v>
      </c>
      <c r="F97" s="122">
        <v>9818.4</v>
      </c>
      <c r="G97" s="122">
        <v>9894.7000000000007</v>
      </c>
      <c r="H97" s="122">
        <v>9986.2000000000007</v>
      </c>
      <c r="I97" s="122">
        <v>10050.6</v>
      </c>
      <c r="J97" s="122">
        <v>10113.4</v>
      </c>
      <c r="K97" s="123">
        <v>10171.4</v>
      </c>
      <c r="L97" s="123">
        <v>10221.1</v>
      </c>
      <c r="M97" s="123">
        <v>10265.299999999999</v>
      </c>
      <c r="N97" s="123">
        <v>10305.9</v>
      </c>
      <c r="O97" s="123">
        <v>10343.6</v>
      </c>
    </row>
    <row r="98" spans="1:15">
      <c r="A98" s="120" t="s">
        <v>229</v>
      </c>
      <c r="B98" s="141" t="s">
        <v>1111</v>
      </c>
      <c r="C98" s="120" t="s">
        <v>1112</v>
      </c>
      <c r="D98" s="120" t="s">
        <v>1113</v>
      </c>
      <c r="E98" s="142" t="s">
        <v>1114</v>
      </c>
      <c r="F98" s="122">
        <v>10348.799999999999</v>
      </c>
      <c r="G98" s="122">
        <v>10333.1</v>
      </c>
      <c r="H98" s="122">
        <v>10389</v>
      </c>
      <c r="I98" s="122">
        <v>10465</v>
      </c>
      <c r="J98" s="122">
        <v>10518.6</v>
      </c>
      <c r="K98" s="123">
        <v>10557.8</v>
      </c>
      <c r="L98" s="123">
        <v>10579.1</v>
      </c>
      <c r="M98" s="123">
        <v>10596.3</v>
      </c>
      <c r="N98" s="123">
        <v>10605</v>
      </c>
      <c r="O98" s="123">
        <v>10622.6</v>
      </c>
    </row>
    <row r="99" spans="1:15">
      <c r="A99" s="120" t="s">
        <v>538</v>
      </c>
      <c r="B99" s="141" t="s">
        <v>1111</v>
      </c>
      <c r="C99" s="120" t="s">
        <v>1112</v>
      </c>
      <c r="D99" s="120" t="s">
        <v>1113</v>
      </c>
      <c r="E99" s="142" t="s">
        <v>1114</v>
      </c>
      <c r="F99" s="122">
        <v>1209</v>
      </c>
      <c r="G99" s="122">
        <v>1212.9000000000001</v>
      </c>
      <c r="H99" s="122">
        <v>1212.4000000000001</v>
      </c>
      <c r="I99" s="122">
        <v>1217.5</v>
      </c>
      <c r="J99" s="122">
        <v>1225.9000000000001</v>
      </c>
      <c r="K99" s="123">
        <v>1236.2</v>
      </c>
      <c r="L99" s="123">
        <v>1241.7</v>
      </c>
      <c r="M99" s="123">
        <v>1244.2</v>
      </c>
      <c r="N99" s="123">
        <v>1245.9000000000001</v>
      </c>
      <c r="O99" s="123">
        <v>1246.9000000000001</v>
      </c>
    </row>
    <row r="100" spans="1:15">
      <c r="A100" s="120" t="s">
        <v>571</v>
      </c>
      <c r="B100" s="141" t="s">
        <v>1111</v>
      </c>
      <c r="C100" s="120" t="s">
        <v>1112</v>
      </c>
      <c r="D100" s="120" t="s">
        <v>1113</v>
      </c>
      <c r="E100" s="142" t="s">
        <v>1114</v>
      </c>
      <c r="F100" s="122">
        <v>529.20000000000005</v>
      </c>
      <c r="G100" s="122">
        <v>535.79999999999995</v>
      </c>
      <c r="H100" s="122">
        <v>546.29999999999995</v>
      </c>
      <c r="I100" s="122">
        <v>560.20000000000005</v>
      </c>
      <c r="J100" s="122">
        <v>570.4</v>
      </c>
      <c r="K100" s="123">
        <v>581.6</v>
      </c>
      <c r="L100" s="123">
        <v>590.20000000000005</v>
      </c>
      <c r="M100" s="123">
        <v>598.29999999999995</v>
      </c>
      <c r="N100" s="123">
        <v>606.20000000000005</v>
      </c>
      <c r="O100" s="123">
        <v>613.70000000000005</v>
      </c>
    </row>
    <row r="101" spans="1:15">
      <c r="A101" s="120" t="s">
        <v>577</v>
      </c>
      <c r="B101" s="141" t="s">
        <v>1111</v>
      </c>
      <c r="C101" s="120" t="s">
        <v>1112</v>
      </c>
      <c r="D101" s="120" t="s">
        <v>1113</v>
      </c>
      <c r="E101" s="142" t="s">
        <v>1114</v>
      </c>
      <c r="F101" s="122">
        <v>8722.5</v>
      </c>
      <c r="G101" s="122">
        <v>8684</v>
      </c>
      <c r="H101" s="122">
        <v>8673.1</v>
      </c>
      <c r="I101" s="122">
        <v>8686.4</v>
      </c>
      <c r="J101" s="122">
        <v>8699.7000000000007</v>
      </c>
      <c r="K101" s="123">
        <v>8710.5</v>
      </c>
      <c r="L101" s="123">
        <v>8714.4</v>
      </c>
      <c r="M101" s="123">
        <v>8712.7000000000007</v>
      </c>
      <c r="N101" s="123">
        <v>8706.1</v>
      </c>
      <c r="O101" s="123">
        <v>8695.1</v>
      </c>
    </row>
    <row r="102" spans="1:15">
      <c r="A102" s="120" t="s">
        <v>662</v>
      </c>
      <c r="B102" s="141" t="s">
        <v>1111</v>
      </c>
      <c r="C102" s="120" t="s">
        <v>1112</v>
      </c>
      <c r="D102" s="120" t="s">
        <v>1113</v>
      </c>
      <c r="E102" s="142" t="s">
        <v>1114</v>
      </c>
      <c r="F102" s="122">
        <v>2964.5</v>
      </c>
      <c r="G102" s="122">
        <v>2982.6</v>
      </c>
      <c r="H102" s="122">
        <v>3019.1</v>
      </c>
      <c r="I102" s="122">
        <v>3069.1</v>
      </c>
      <c r="J102" s="122">
        <v>3108.9</v>
      </c>
      <c r="K102" s="123">
        <v>3144.5</v>
      </c>
      <c r="L102" s="123">
        <v>3178.7</v>
      </c>
      <c r="M102" s="123">
        <v>3210.6</v>
      </c>
      <c r="N102" s="123">
        <v>3240.5</v>
      </c>
      <c r="O102" s="123">
        <v>3268.2</v>
      </c>
    </row>
    <row r="103" spans="1:15">
      <c r="A103" s="120" t="s">
        <v>678</v>
      </c>
      <c r="B103" s="141" t="s">
        <v>1111</v>
      </c>
      <c r="C103" s="120" t="s">
        <v>1112</v>
      </c>
      <c r="D103" s="120" t="s">
        <v>1113</v>
      </c>
      <c r="E103" s="142" t="s">
        <v>1114</v>
      </c>
      <c r="F103" s="122">
        <v>833.9</v>
      </c>
      <c r="G103" s="122">
        <v>844.7</v>
      </c>
      <c r="H103" s="122">
        <v>854.3</v>
      </c>
      <c r="I103" s="122">
        <v>864.7</v>
      </c>
      <c r="J103" s="122">
        <v>875.1</v>
      </c>
      <c r="K103" s="123">
        <v>882.3</v>
      </c>
      <c r="L103" s="123">
        <v>888.1</v>
      </c>
      <c r="M103" s="123">
        <v>892.9</v>
      </c>
      <c r="N103" s="123">
        <v>897.9</v>
      </c>
      <c r="O103" s="123">
        <v>903.1</v>
      </c>
    </row>
    <row r="104" spans="1:15">
      <c r="A104" s="120" t="s">
        <v>697</v>
      </c>
      <c r="B104" s="141" t="s">
        <v>1111</v>
      </c>
      <c r="C104" s="120" t="s">
        <v>1112</v>
      </c>
      <c r="D104" s="120" t="s">
        <v>1113</v>
      </c>
      <c r="E104" s="142" t="s">
        <v>1114</v>
      </c>
      <c r="F104" s="122">
        <v>1226.4000000000001</v>
      </c>
      <c r="G104" s="122">
        <v>1234.5</v>
      </c>
      <c r="H104" s="122">
        <v>1243.4000000000001</v>
      </c>
      <c r="I104" s="122">
        <v>1260.3</v>
      </c>
      <c r="J104" s="122">
        <v>1280.5</v>
      </c>
      <c r="K104" s="123">
        <v>1299</v>
      </c>
      <c r="L104" s="123">
        <v>1305.9000000000001</v>
      </c>
      <c r="M104" s="123">
        <v>1309.3</v>
      </c>
      <c r="N104" s="123">
        <v>1312.3</v>
      </c>
      <c r="O104" s="123">
        <v>1314.4</v>
      </c>
    </row>
    <row r="105" spans="1:15">
      <c r="A105" s="120" t="s">
        <v>740</v>
      </c>
      <c r="B105" s="141" t="s">
        <v>1111</v>
      </c>
      <c r="C105" s="120" t="s">
        <v>1112</v>
      </c>
      <c r="D105" s="120" t="s">
        <v>1113</v>
      </c>
      <c r="E105" s="142" t="s">
        <v>1114</v>
      </c>
      <c r="F105" s="122">
        <v>6352.1</v>
      </c>
      <c r="G105" s="122">
        <v>6366.4</v>
      </c>
      <c r="H105" s="122">
        <v>6381.2</v>
      </c>
      <c r="I105" s="122">
        <v>6464.8</v>
      </c>
      <c r="J105" s="122">
        <v>6539.9</v>
      </c>
      <c r="K105" s="123">
        <v>6604.9</v>
      </c>
      <c r="L105" s="123">
        <v>6662.4</v>
      </c>
      <c r="M105" s="123">
        <v>6706.1</v>
      </c>
      <c r="N105" s="123">
        <v>6738.3</v>
      </c>
      <c r="O105" s="123">
        <v>6765.6</v>
      </c>
    </row>
    <row r="106" spans="1:15">
      <c r="A106" s="120" t="s">
        <v>756</v>
      </c>
      <c r="B106" s="141" t="s">
        <v>1111</v>
      </c>
      <c r="C106" s="120" t="s">
        <v>1112</v>
      </c>
      <c r="D106" s="120" t="s">
        <v>1113</v>
      </c>
      <c r="E106" s="142" t="s">
        <v>1114</v>
      </c>
      <c r="F106" s="122">
        <v>1417.5</v>
      </c>
      <c r="G106" s="122">
        <v>1432.4</v>
      </c>
      <c r="H106" s="122">
        <v>1446.7</v>
      </c>
      <c r="I106" s="122">
        <v>1460</v>
      </c>
      <c r="J106" s="122">
        <v>1472.2</v>
      </c>
      <c r="K106" s="123">
        <v>1482.1</v>
      </c>
      <c r="L106" s="123">
        <v>1490</v>
      </c>
      <c r="M106" s="123">
        <v>1496.6</v>
      </c>
      <c r="N106" s="123">
        <v>1501.8</v>
      </c>
      <c r="O106" s="123">
        <v>1507</v>
      </c>
    </row>
    <row r="107" spans="1:15">
      <c r="A107" s="120" t="s">
        <v>758</v>
      </c>
      <c r="B107" s="141" t="s">
        <v>1111</v>
      </c>
      <c r="C107" s="120" t="s">
        <v>1112</v>
      </c>
      <c r="D107" s="120" t="s">
        <v>1113</v>
      </c>
      <c r="E107" s="142" t="s">
        <v>1114</v>
      </c>
      <c r="F107" s="122">
        <v>1219.7</v>
      </c>
      <c r="G107" s="122">
        <v>1235.8</v>
      </c>
      <c r="H107" s="122">
        <v>1250.0999999999999</v>
      </c>
      <c r="I107" s="122">
        <v>1262.2</v>
      </c>
      <c r="J107" s="122">
        <v>1279.5999999999999</v>
      </c>
      <c r="K107" s="123">
        <v>1286.2</v>
      </c>
      <c r="L107" s="123">
        <v>1288.9000000000001</v>
      </c>
      <c r="M107" s="123">
        <v>1290.5</v>
      </c>
      <c r="N107" s="123">
        <v>1293.3</v>
      </c>
      <c r="O107" s="123">
        <v>1297</v>
      </c>
    </row>
    <row r="108" spans="1:15">
      <c r="A108" s="120" t="s">
        <v>1124</v>
      </c>
      <c r="B108" s="141" t="s">
        <v>1111</v>
      </c>
      <c r="C108" s="120" t="s">
        <v>1112</v>
      </c>
      <c r="D108" s="120" t="s">
        <v>1113</v>
      </c>
      <c r="E108" s="142" t="s">
        <v>1114</v>
      </c>
      <c r="F108" s="122">
        <v>7666.1</v>
      </c>
      <c r="G108" s="122">
        <v>7898.9</v>
      </c>
      <c r="H108" s="122">
        <v>8138</v>
      </c>
      <c r="I108" s="122">
        <v>8217.2999999999993</v>
      </c>
      <c r="J108" s="122">
        <v>8313.7999999999993</v>
      </c>
      <c r="K108" s="123">
        <v>8426.5</v>
      </c>
      <c r="L108" s="123">
        <v>8539.6</v>
      </c>
      <c r="M108" s="123">
        <v>8652</v>
      </c>
      <c r="N108" s="123">
        <v>8760.7999999999993</v>
      </c>
      <c r="O108" s="123">
        <v>8864.6</v>
      </c>
    </row>
    <row r="109" spans="1:15">
      <c r="A109" s="120" t="s">
        <v>791</v>
      </c>
      <c r="B109" s="141" t="s">
        <v>1111</v>
      </c>
      <c r="C109" s="120" t="s">
        <v>1112</v>
      </c>
      <c r="D109" s="120" t="s">
        <v>1113</v>
      </c>
      <c r="E109" s="142" t="s">
        <v>1114</v>
      </c>
      <c r="F109" s="122">
        <v>9126</v>
      </c>
      <c r="G109" s="122">
        <v>9165.7000000000007</v>
      </c>
      <c r="H109" s="122">
        <v>9258.2999999999993</v>
      </c>
      <c r="I109" s="122">
        <v>9357.7000000000007</v>
      </c>
      <c r="J109" s="122">
        <v>9430.9</v>
      </c>
      <c r="K109" s="123">
        <v>9491.4</v>
      </c>
      <c r="L109" s="123">
        <v>9548</v>
      </c>
      <c r="M109" s="123">
        <v>9603.9</v>
      </c>
      <c r="N109" s="123">
        <v>9656.7000000000007</v>
      </c>
      <c r="O109" s="123">
        <v>9706.1</v>
      </c>
    </row>
    <row r="111" spans="1:15">
      <c r="A111" s="124" t="s">
        <v>1125</v>
      </c>
    </row>
    <row r="112" spans="1:15">
      <c r="A112" s="119" t="s">
        <v>1126</v>
      </c>
    </row>
    <row r="114" spans="1:1">
      <c r="A114" s="119" t="s">
        <v>1127</v>
      </c>
    </row>
    <row r="115" spans="1:1">
      <c r="A115" s="119" t="s">
        <v>1128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06971-895A-4A53-A267-1FAC03DE3E8E}">
  <dimension ref="A1:O151"/>
  <sheetViews>
    <sheetView showGridLines="0" workbookViewId="0">
      <selection activeCell="I25" sqref="I25"/>
    </sheetView>
  </sheetViews>
  <sheetFormatPr baseColWidth="10" defaultColWidth="8.5" defaultRowHeight="16"/>
  <cols>
    <col min="1" max="16384" width="8.5" style="149"/>
  </cols>
  <sheetData>
    <row r="1" spans="1:15">
      <c r="A1" s="149" t="s">
        <v>1129</v>
      </c>
      <c r="B1" s="149" t="s">
        <v>1130</v>
      </c>
      <c r="C1" s="149" t="s">
        <v>1131</v>
      </c>
      <c r="D1" s="149" t="s">
        <v>1132</v>
      </c>
      <c r="E1" s="149" t="s">
        <v>1101</v>
      </c>
      <c r="F1" s="149" t="s">
        <v>1102</v>
      </c>
      <c r="G1" s="149" t="s">
        <v>1103</v>
      </c>
      <c r="H1" s="149" t="s">
        <v>1104</v>
      </c>
      <c r="I1" s="149" t="s">
        <v>1105</v>
      </c>
      <c r="J1" s="149" t="s">
        <v>1106</v>
      </c>
      <c r="K1" s="149" t="s">
        <v>1107</v>
      </c>
      <c r="L1" s="149" t="s">
        <v>1108</v>
      </c>
      <c r="M1" s="149" t="s">
        <v>1109</v>
      </c>
      <c r="N1" s="149" t="s">
        <v>1110</v>
      </c>
      <c r="O1" s="149" t="s">
        <v>1133</v>
      </c>
    </row>
    <row r="2" spans="1:15">
      <c r="A2" s="149" t="s">
        <v>391</v>
      </c>
      <c r="B2" s="149" t="s">
        <v>1134</v>
      </c>
      <c r="C2" s="149" t="s">
        <v>1135</v>
      </c>
      <c r="D2" s="149" t="s">
        <v>1136</v>
      </c>
      <c r="E2" s="149" t="s">
        <v>1137</v>
      </c>
      <c r="F2" s="149" t="s">
        <v>1138</v>
      </c>
      <c r="G2" s="149" t="s">
        <v>1139</v>
      </c>
      <c r="H2" s="149" t="s">
        <v>1140</v>
      </c>
      <c r="I2" s="149" t="s">
        <v>1141</v>
      </c>
      <c r="J2" s="149" t="s">
        <v>1142</v>
      </c>
      <c r="K2" s="149" t="s">
        <v>1143</v>
      </c>
      <c r="L2" s="149" t="s">
        <v>1144</v>
      </c>
      <c r="M2" s="149" t="s">
        <v>1145</v>
      </c>
      <c r="N2" s="149" t="s">
        <v>1146</v>
      </c>
      <c r="O2" s="149" t="s">
        <v>1147</v>
      </c>
    </row>
    <row r="3" spans="1:15">
      <c r="A3" s="149" t="s">
        <v>393</v>
      </c>
      <c r="B3" s="149" t="s">
        <v>1148</v>
      </c>
      <c r="C3" s="149" t="s">
        <v>1148</v>
      </c>
      <c r="D3" s="149" t="s">
        <v>1148</v>
      </c>
      <c r="E3" s="149" t="s">
        <v>1148</v>
      </c>
      <c r="F3" s="149" t="s">
        <v>1149</v>
      </c>
      <c r="G3" s="149" t="s">
        <v>1149</v>
      </c>
      <c r="H3" s="149" t="s">
        <v>1149</v>
      </c>
      <c r="I3" s="149" t="s">
        <v>1150</v>
      </c>
      <c r="J3" s="149" t="s">
        <v>1138</v>
      </c>
      <c r="K3" s="149" t="s">
        <v>1151</v>
      </c>
      <c r="L3" s="149" t="s">
        <v>1152</v>
      </c>
      <c r="M3" s="149" t="s">
        <v>1150</v>
      </c>
      <c r="N3" s="149" t="s">
        <v>1153</v>
      </c>
      <c r="O3" s="149" t="s">
        <v>1154</v>
      </c>
    </row>
    <row r="4" spans="1:15">
      <c r="A4" s="149" t="s">
        <v>399</v>
      </c>
      <c r="B4" s="149" t="s">
        <v>1155</v>
      </c>
      <c r="C4" s="149" t="s">
        <v>1156</v>
      </c>
      <c r="D4" s="149" t="s">
        <v>1157</v>
      </c>
      <c r="E4" s="149" t="s">
        <v>1158</v>
      </c>
      <c r="F4" s="149" t="s">
        <v>1159</v>
      </c>
      <c r="G4" s="149" t="s">
        <v>1160</v>
      </c>
      <c r="H4" s="149" t="s">
        <v>1135</v>
      </c>
      <c r="I4" s="149" t="s">
        <v>1161</v>
      </c>
      <c r="J4" s="149" t="s">
        <v>1162</v>
      </c>
      <c r="K4" s="149" t="s">
        <v>1163</v>
      </c>
      <c r="L4" s="149" t="s">
        <v>1160</v>
      </c>
      <c r="M4" s="149" t="s">
        <v>1164</v>
      </c>
      <c r="N4" s="149" t="s">
        <v>1165</v>
      </c>
      <c r="O4" s="149" t="s">
        <v>1156</v>
      </c>
    </row>
    <row r="5" spans="1:15">
      <c r="A5" s="149" t="s">
        <v>403</v>
      </c>
      <c r="B5" s="149" t="s">
        <v>1166</v>
      </c>
      <c r="C5" s="149" t="s">
        <v>1167</v>
      </c>
      <c r="D5" s="149" t="s">
        <v>1168</v>
      </c>
      <c r="E5" s="149" t="s">
        <v>1169</v>
      </c>
      <c r="F5" s="149" t="s">
        <v>1170</v>
      </c>
      <c r="G5" s="149" t="s">
        <v>1171</v>
      </c>
      <c r="H5" s="149" t="s">
        <v>1172</v>
      </c>
      <c r="I5" s="149" t="s">
        <v>1173</v>
      </c>
      <c r="J5" s="149" t="s">
        <v>1174</v>
      </c>
      <c r="K5" s="149" t="s">
        <v>1175</v>
      </c>
      <c r="L5" s="149" t="s">
        <v>1176</v>
      </c>
      <c r="M5" s="149" t="s">
        <v>1177</v>
      </c>
      <c r="N5" s="149" t="s">
        <v>1178</v>
      </c>
      <c r="O5" s="149" t="s">
        <v>1179</v>
      </c>
    </row>
    <row r="6" spans="1:15">
      <c r="A6" s="149" t="s">
        <v>405</v>
      </c>
      <c r="B6" s="149" t="s">
        <v>1180</v>
      </c>
      <c r="C6" s="149" t="s">
        <v>1181</v>
      </c>
      <c r="D6" s="149" t="s">
        <v>1148</v>
      </c>
      <c r="E6" s="149" t="s">
        <v>1151</v>
      </c>
      <c r="F6" s="149" t="s">
        <v>1182</v>
      </c>
      <c r="G6" s="149" t="s">
        <v>1183</v>
      </c>
      <c r="H6" s="149" t="s">
        <v>1184</v>
      </c>
      <c r="I6" s="149" t="s">
        <v>1185</v>
      </c>
      <c r="J6" s="149" t="s">
        <v>1186</v>
      </c>
      <c r="K6" s="149" t="s">
        <v>1187</v>
      </c>
      <c r="L6" s="149" t="s">
        <v>1188</v>
      </c>
      <c r="M6" s="149" t="s">
        <v>1189</v>
      </c>
      <c r="N6" s="149" t="s">
        <v>1190</v>
      </c>
      <c r="O6" s="149" t="s">
        <v>1191</v>
      </c>
    </row>
    <row r="7" spans="1:15">
      <c r="A7" s="149" t="s">
        <v>409</v>
      </c>
      <c r="B7" s="149" t="s">
        <v>1192</v>
      </c>
      <c r="C7" s="149" t="s">
        <v>1193</v>
      </c>
      <c r="D7" s="149" t="s">
        <v>1194</v>
      </c>
      <c r="E7" s="149" t="s">
        <v>1195</v>
      </c>
      <c r="F7" s="149" t="s">
        <v>1196</v>
      </c>
      <c r="G7" s="149" t="s">
        <v>1197</v>
      </c>
      <c r="H7" s="149" t="s">
        <v>1198</v>
      </c>
      <c r="I7" s="149" t="s">
        <v>1175</v>
      </c>
      <c r="J7" s="149" t="s">
        <v>1176</v>
      </c>
      <c r="K7" s="149" t="s">
        <v>1198</v>
      </c>
      <c r="L7" s="149" t="s">
        <v>1199</v>
      </c>
      <c r="M7" s="149" t="s">
        <v>1174</v>
      </c>
      <c r="N7" s="149" t="s">
        <v>1200</v>
      </c>
      <c r="O7" s="149" t="s">
        <v>1197</v>
      </c>
    </row>
    <row r="8" spans="1:15">
      <c r="A8" s="149" t="s">
        <v>411</v>
      </c>
      <c r="B8" s="149" t="s">
        <v>1180</v>
      </c>
      <c r="C8" s="149" t="s">
        <v>1201</v>
      </c>
      <c r="D8" s="149" t="s">
        <v>1202</v>
      </c>
      <c r="E8" s="149" t="s">
        <v>1137</v>
      </c>
      <c r="F8" s="149" t="s">
        <v>1203</v>
      </c>
      <c r="G8" s="149" t="s">
        <v>1204</v>
      </c>
      <c r="H8" s="149" t="s">
        <v>1138</v>
      </c>
      <c r="I8" s="149" t="s">
        <v>1154</v>
      </c>
      <c r="J8" s="149" t="s">
        <v>1182</v>
      </c>
      <c r="K8" s="149" t="s">
        <v>1139</v>
      </c>
      <c r="L8" s="149" t="s">
        <v>1205</v>
      </c>
      <c r="M8" s="149" t="s">
        <v>1206</v>
      </c>
      <c r="N8" s="149" t="s">
        <v>1207</v>
      </c>
      <c r="O8" s="149" t="s">
        <v>1208</v>
      </c>
    </row>
    <row r="9" spans="1:15">
      <c r="A9" s="149" t="s">
        <v>413</v>
      </c>
      <c r="B9" s="149" t="s">
        <v>1209</v>
      </c>
      <c r="C9" s="149" t="s">
        <v>1182</v>
      </c>
      <c r="D9" s="149" t="s">
        <v>1139</v>
      </c>
      <c r="E9" s="149" t="s">
        <v>1183</v>
      </c>
      <c r="F9" s="149" t="s">
        <v>1210</v>
      </c>
      <c r="G9" s="149" t="s">
        <v>1140</v>
      </c>
      <c r="H9" s="149" t="s">
        <v>1185</v>
      </c>
      <c r="I9" s="149" t="s">
        <v>1211</v>
      </c>
      <c r="J9" s="149" t="s">
        <v>1187</v>
      </c>
      <c r="K9" s="149" t="s">
        <v>1212</v>
      </c>
      <c r="L9" s="149" t="s">
        <v>1213</v>
      </c>
      <c r="M9" s="149" t="s">
        <v>1214</v>
      </c>
      <c r="N9" s="149" t="s">
        <v>1215</v>
      </c>
      <c r="O9" s="149" t="s">
        <v>1216</v>
      </c>
    </row>
    <row r="10" spans="1:15">
      <c r="A10" s="149" t="s">
        <v>417</v>
      </c>
      <c r="B10" s="149" t="s">
        <v>1217</v>
      </c>
      <c r="C10" s="149" t="s">
        <v>1218</v>
      </c>
      <c r="D10" s="149" t="s">
        <v>1193</v>
      </c>
      <c r="E10" s="149" t="s">
        <v>1194</v>
      </c>
      <c r="F10" s="149" t="s">
        <v>1194</v>
      </c>
      <c r="G10" s="149" t="s">
        <v>1219</v>
      </c>
      <c r="H10" s="149" t="s">
        <v>1193</v>
      </c>
      <c r="I10" s="149" t="s">
        <v>1194</v>
      </c>
      <c r="J10" s="149" t="s">
        <v>1146</v>
      </c>
      <c r="K10" s="149" t="s">
        <v>1146</v>
      </c>
      <c r="L10" s="149" t="s">
        <v>1172</v>
      </c>
      <c r="M10" s="149" t="s">
        <v>1220</v>
      </c>
      <c r="N10" s="149" t="s">
        <v>1196</v>
      </c>
      <c r="O10" s="149" t="s">
        <v>1199</v>
      </c>
    </row>
    <row r="11" spans="1:15">
      <c r="A11" s="149" t="s">
        <v>419</v>
      </c>
      <c r="B11" s="149" t="s">
        <v>1221</v>
      </c>
      <c r="C11" s="149" t="s">
        <v>1201</v>
      </c>
      <c r="D11" s="149" t="s">
        <v>1222</v>
      </c>
      <c r="E11" s="149" t="s">
        <v>1223</v>
      </c>
      <c r="F11" s="149" t="s">
        <v>1209</v>
      </c>
      <c r="G11" s="149" t="s">
        <v>1224</v>
      </c>
      <c r="H11" s="149" t="s">
        <v>1210</v>
      </c>
      <c r="I11" s="149" t="s">
        <v>1225</v>
      </c>
      <c r="J11" s="149" t="s">
        <v>1208</v>
      </c>
      <c r="K11" s="149" t="s">
        <v>1226</v>
      </c>
      <c r="L11" s="149" t="s">
        <v>1227</v>
      </c>
      <c r="M11" s="149" t="s">
        <v>1228</v>
      </c>
      <c r="N11" s="149" t="s">
        <v>1190</v>
      </c>
      <c r="O11" s="149" t="s">
        <v>1229</v>
      </c>
    </row>
    <row r="12" spans="1:15">
      <c r="A12" s="149" t="s">
        <v>423</v>
      </c>
      <c r="B12" s="149" t="s">
        <v>1230</v>
      </c>
      <c r="C12" s="149" t="s">
        <v>1231</v>
      </c>
      <c r="D12" s="149" t="s">
        <v>1166</v>
      </c>
      <c r="E12" s="149" t="s">
        <v>1232</v>
      </c>
      <c r="F12" s="149" t="s">
        <v>1216</v>
      </c>
      <c r="G12" s="149" t="s">
        <v>1170</v>
      </c>
      <c r="H12" s="149" t="s">
        <v>1218</v>
      </c>
      <c r="I12" s="149" t="s">
        <v>1233</v>
      </c>
      <c r="J12" s="149" t="s">
        <v>1194</v>
      </c>
      <c r="K12" s="149" t="s">
        <v>1234</v>
      </c>
      <c r="L12" s="149" t="s">
        <v>1235</v>
      </c>
      <c r="M12" s="149" t="s">
        <v>1236</v>
      </c>
      <c r="N12" s="149" t="s">
        <v>1237</v>
      </c>
      <c r="O12" s="149" t="s">
        <v>1238</v>
      </c>
    </row>
    <row r="13" spans="1:15">
      <c r="A13" s="149" t="s">
        <v>425</v>
      </c>
      <c r="B13" s="149" t="s">
        <v>1239</v>
      </c>
      <c r="C13" s="149" t="s">
        <v>1240</v>
      </c>
      <c r="D13" s="149" t="s">
        <v>1241</v>
      </c>
      <c r="E13" s="149" t="s">
        <v>1242</v>
      </c>
      <c r="F13" s="149" t="s">
        <v>1243</v>
      </c>
      <c r="G13" s="149" t="s">
        <v>1244</v>
      </c>
      <c r="H13" s="149" t="s">
        <v>1245</v>
      </c>
      <c r="I13" s="149" t="s">
        <v>1157</v>
      </c>
      <c r="J13" s="149" t="s">
        <v>1157</v>
      </c>
      <c r="K13" s="149" t="s">
        <v>1165</v>
      </c>
      <c r="L13" s="149" t="s">
        <v>1165</v>
      </c>
      <c r="M13" s="149" t="s">
        <v>1158</v>
      </c>
      <c r="N13" s="149" t="s">
        <v>1164</v>
      </c>
      <c r="O13" s="149" t="s">
        <v>1246</v>
      </c>
    </row>
    <row r="14" spans="1:15">
      <c r="A14" s="149" t="s">
        <v>427</v>
      </c>
      <c r="B14" s="149" t="s">
        <v>1232</v>
      </c>
      <c r="C14" s="149" t="s">
        <v>1247</v>
      </c>
      <c r="D14" s="149" t="s">
        <v>1248</v>
      </c>
      <c r="E14" s="149" t="s">
        <v>1145</v>
      </c>
      <c r="F14" s="149" t="s">
        <v>1249</v>
      </c>
      <c r="G14" s="149" t="s">
        <v>1217</v>
      </c>
      <c r="H14" s="149" t="s">
        <v>1146</v>
      </c>
      <c r="I14" s="149" t="s">
        <v>1233</v>
      </c>
      <c r="J14" s="149" t="s">
        <v>1218</v>
      </c>
      <c r="K14" s="149" t="s">
        <v>1218</v>
      </c>
      <c r="L14" s="149" t="s">
        <v>1218</v>
      </c>
      <c r="M14" s="149" t="s">
        <v>1217</v>
      </c>
      <c r="N14" s="149" t="s">
        <v>1217</v>
      </c>
      <c r="O14" s="149" t="s">
        <v>1217</v>
      </c>
    </row>
    <row r="15" spans="1:15">
      <c r="A15" s="149" t="s">
        <v>429</v>
      </c>
      <c r="B15" s="149" t="s">
        <v>1250</v>
      </c>
      <c r="C15" s="149" t="s">
        <v>1251</v>
      </c>
      <c r="D15" s="149" t="s">
        <v>1252</v>
      </c>
      <c r="E15" s="149" t="s">
        <v>1253</v>
      </c>
      <c r="F15" s="149" t="s">
        <v>1254</v>
      </c>
      <c r="G15" s="149" t="s">
        <v>1239</v>
      </c>
      <c r="H15" s="149" t="s">
        <v>1240</v>
      </c>
      <c r="I15" s="149" t="s">
        <v>1241</v>
      </c>
      <c r="J15" s="149" t="s">
        <v>1255</v>
      </c>
      <c r="K15" s="149" t="s">
        <v>1256</v>
      </c>
      <c r="L15" s="149" t="s">
        <v>1257</v>
      </c>
      <c r="M15" s="149" t="s">
        <v>1258</v>
      </c>
      <c r="N15" s="149" t="s">
        <v>1243</v>
      </c>
      <c r="O15" s="149" t="s">
        <v>1155</v>
      </c>
    </row>
    <row r="16" spans="1:15">
      <c r="A16" s="149" t="s">
        <v>433</v>
      </c>
      <c r="B16" s="149" t="s">
        <v>1259</v>
      </c>
      <c r="C16" s="149" t="s">
        <v>1153</v>
      </c>
      <c r="D16" s="149" t="s">
        <v>1183</v>
      </c>
      <c r="E16" s="149" t="s">
        <v>1207</v>
      </c>
      <c r="F16" s="149" t="s">
        <v>1260</v>
      </c>
      <c r="G16" s="149" t="s">
        <v>1261</v>
      </c>
      <c r="H16" s="149" t="s">
        <v>1227</v>
      </c>
      <c r="I16" s="149" t="s">
        <v>1262</v>
      </c>
      <c r="J16" s="149" t="s">
        <v>1263</v>
      </c>
      <c r="K16" s="149" t="s">
        <v>1233</v>
      </c>
      <c r="L16" s="149" t="s">
        <v>1173</v>
      </c>
      <c r="M16" s="149" t="s">
        <v>1264</v>
      </c>
      <c r="N16" s="149" t="s">
        <v>1265</v>
      </c>
      <c r="O16" s="149" t="s">
        <v>1237</v>
      </c>
    </row>
    <row r="17" spans="1:15">
      <c r="A17" s="149" t="s">
        <v>435</v>
      </c>
      <c r="B17" s="149" t="s">
        <v>1217</v>
      </c>
      <c r="C17" s="149" t="s">
        <v>1193</v>
      </c>
      <c r="D17" s="149" t="s">
        <v>1266</v>
      </c>
      <c r="E17" s="149" t="s">
        <v>1267</v>
      </c>
      <c r="F17" s="149" t="s">
        <v>1234</v>
      </c>
      <c r="G17" s="149" t="s">
        <v>1177</v>
      </c>
      <c r="H17" s="149" t="s">
        <v>1268</v>
      </c>
      <c r="I17" s="149" t="s">
        <v>1269</v>
      </c>
      <c r="J17" s="149" t="s">
        <v>1237</v>
      </c>
      <c r="K17" s="149" t="s">
        <v>1270</v>
      </c>
      <c r="L17" s="149" t="s">
        <v>1271</v>
      </c>
      <c r="M17" s="149" t="s">
        <v>1272</v>
      </c>
      <c r="N17" s="149" t="s">
        <v>1273</v>
      </c>
      <c r="O17" s="149" t="s">
        <v>1274</v>
      </c>
    </row>
    <row r="18" spans="1:15">
      <c r="A18" s="149" t="s">
        <v>437</v>
      </c>
      <c r="B18" s="149" t="s">
        <v>1160</v>
      </c>
      <c r="C18" s="149" t="s">
        <v>1275</v>
      </c>
      <c r="D18" s="149" t="s">
        <v>1276</v>
      </c>
      <c r="E18" s="149" t="s">
        <v>1204</v>
      </c>
      <c r="F18" s="149" t="s">
        <v>1277</v>
      </c>
      <c r="G18" s="149" t="s">
        <v>1210</v>
      </c>
      <c r="H18" s="149" t="s">
        <v>1208</v>
      </c>
      <c r="I18" s="149" t="s">
        <v>1187</v>
      </c>
      <c r="J18" s="149" t="s">
        <v>1278</v>
      </c>
      <c r="K18" s="149" t="s">
        <v>1279</v>
      </c>
      <c r="L18" s="149" t="s">
        <v>1167</v>
      </c>
      <c r="M18" s="149" t="s">
        <v>1263</v>
      </c>
      <c r="N18" s="149" t="s">
        <v>1280</v>
      </c>
      <c r="O18" s="149" t="s">
        <v>1219</v>
      </c>
    </row>
    <row r="19" spans="1:15">
      <c r="A19" s="149" t="s">
        <v>439</v>
      </c>
      <c r="B19" s="149" t="s">
        <v>1281</v>
      </c>
      <c r="C19" s="149" t="s">
        <v>1207</v>
      </c>
      <c r="D19" s="149" t="s">
        <v>1282</v>
      </c>
      <c r="E19" s="149" t="s">
        <v>1208</v>
      </c>
      <c r="F19" s="149" t="s">
        <v>1211</v>
      </c>
      <c r="G19" s="149" t="s">
        <v>1283</v>
      </c>
      <c r="H19" s="149" t="s">
        <v>1186</v>
      </c>
      <c r="I19" s="149" t="s">
        <v>1187</v>
      </c>
      <c r="J19" s="149" t="s">
        <v>1261</v>
      </c>
      <c r="K19" s="149" t="s">
        <v>1188</v>
      </c>
      <c r="L19" s="149" t="s">
        <v>1279</v>
      </c>
      <c r="M19" s="149" t="s">
        <v>1214</v>
      </c>
      <c r="N19" s="149" t="s">
        <v>1284</v>
      </c>
      <c r="O19" s="149" t="s">
        <v>1215</v>
      </c>
    </row>
    <row r="20" spans="1:15">
      <c r="A20" s="149" t="s">
        <v>441</v>
      </c>
      <c r="B20" s="149" t="s">
        <v>1220</v>
      </c>
      <c r="C20" s="149" t="s">
        <v>1285</v>
      </c>
      <c r="D20" s="149" t="s">
        <v>1176</v>
      </c>
      <c r="E20" s="149" t="s">
        <v>1286</v>
      </c>
      <c r="F20" s="149" t="s">
        <v>1287</v>
      </c>
      <c r="G20" s="149" t="s">
        <v>1288</v>
      </c>
      <c r="H20" s="149" t="s">
        <v>1289</v>
      </c>
      <c r="I20" s="149" t="s">
        <v>1238</v>
      </c>
      <c r="J20" s="149" t="s">
        <v>1290</v>
      </c>
      <c r="K20" s="149" t="s">
        <v>1291</v>
      </c>
      <c r="L20" s="149" t="s">
        <v>1292</v>
      </c>
      <c r="M20" s="149" t="s">
        <v>1293</v>
      </c>
      <c r="N20" s="149" t="s">
        <v>1294</v>
      </c>
      <c r="O20" s="149" t="s">
        <v>1295</v>
      </c>
    </row>
    <row r="21" spans="1:15">
      <c r="A21" s="149" t="s">
        <v>445</v>
      </c>
      <c r="B21" s="149" t="s">
        <v>1268</v>
      </c>
      <c r="C21" s="149" t="s">
        <v>1175</v>
      </c>
      <c r="D21" s="149" t="s">
        <v>1175</v>
      </c>
      <c r="E21" s="149" t="s">
        <v>1176</v>
      </c>
      <c r="F21" s="149" t="s">
        <v>1198</v>
      </c>
      <c r="G21" s="149" t="s">
        <v>1198</v>
      </c>
      <c r="H21" s="149" t="s">
        <v>1198</v>
      </c>
      <c r="I21" s="149" t="s">
        <v>1296</v>
      </c>
      <c r="J21" s="149" t="s">
        <v>1264</v>
      </c>
      <c r="K21" s="149" t="s">
        <v>1269</v>
      </c>
      <c r="L21" s="149" t="s">
        <v>1236</v>
      </c>
      <c r="M21" s="149" t="s">
        <v>1288</v>
      </c>
      <c r="N21" s="149" t="s">
        <v>1297</v>
      </c>
      <c r="O21" s="149" t="s">
        <v>1298</v>
      </c>
    </row>
    <row r="22" spans="1:15">
      <c r="A22" s="149" t="s">
        <v>447</v>
      </c>
      <c r="B22" s="149" t="s">
        <v>1203</v>
      </c>
      <c r="C22" s="149" t="s">
        <v>1138</v>
      </c>
      <c r="D22" s="149" t="s">
        <v>1299</v>
      </c>
      <c r="E22" s="149" t="s">
        <v>1300</v>
      </c>
      <c r="F22" s="149" t="s">
        <v>1206</v>
      </c>
      <c r="G22" s="149" t="s">
        <v>1282</v>
      </c>
      <c r="H22" s="149" t="s">
        <v>1283</v>
      </c>
      <c r="I22" s="149" t="s">
        <v>1230</v>
      </c>
      <c r="J22" s="149" t="s">
        <v>1142</v>
      </c>
      <c r="K22" s="149" t="s">
        <v>1279</v>
      </c>
      <c r="L22" s="149" t="s">
        <v>1262</v>
      </c>
      <c r="M22" s="149" t="s">
        <v>1301</v>
      </c>
      <c r="N22" s="149" t="s">
        <v>1169</v>
      </c>
      <c r="O22" s="149" t="s">
        <v>1302</v>
      </c>
    </row>
    <row r="23" spans="1:15">
      <c r="A23" s="149" t="s">
        <v>449</v>
      </c>
      <c r="B23" s="149" t="s">
        <v>1303</v>
      </c>
      <c r="C23" s="149" t="s">
        <v>1239</v>
      </c>
      <c r="D23" s="149" t="s">
        <v>1240</v>
      </c>
      <c r="E23" s="149" t="s">
        <v>1241</v>
      </c>
      <c r="F23" s="149" t="s">
        <v>1242</v>
      </c>
      <c r="G23" s="149" t="s">
        <v>1304</v>
      </c>
      <c r="H23" s="149" t="s">
        <v>1244</v>
      </c>
      <c r="I23" s="149" t="s">
        <v>1157</v>
      </c>
      <c r="J23" s="149" t="s">
        <v>1159</v>
      </c>
      <c r="K23" s="149" t="s">
        <v>1305</v>
      </c>
      <c r="L23" s="149" t="s">
        <v>1306</v>
      </c>
      <c r="M23" s="149" t="s">
        <v>1180</v>
      </c>
      <c r="N23" s="149" t="s">
        <v>1201</v>
      </c>
      <c r="O23" s="149" t="s">
        <v>1202</v>
      </c>
    </row>
    <row r="24" spans="1:15">
      <c r="A24" s="149" t="s">
        <v>451</v>
      </c>
      <c r="B24" s="149" t="s">
        <v>1307</v>
      </c>
      <c r="C24" s="149" t="s">
        <v>1308</v>
      </c>
      <c r="D24" s="149" t="s">
        <v>1309</v>
      </c>
      <c r="E24" s="149" t="s">
        <v>1310</v>
      </c>
      <c r="F24" s="149" t="s">
        <v>1311</v>
      </c>
      <c r="G24" s="149" t="s">
        <v>1312</v>
      </c>
      <c r="H24" s="149" t="s">
        <v>1313</v>
      </c>
      <c r="I24" s="149" t="s">
        <v>1314</v>
      </c>
      <c r="J24" s="149" t="s">
        <v>1158</v>
      </c>
      <c r="K24" s="149" t="s">
        <v>1315</v>
      </c>
      <c r="L24" s="149" t="s">
        <v>1222</v>
      </c>
      <c r="M24" s="149" t="s">
        <v>1148</v>
      </c>
      <c r="N24" s="149" t="s">
        <v>1276</v>
      </c>
      <c r="O24" s="149" t="s">
        <v>1149</v>
      </c>
    </row>
    <row r="25" spans="1:15">
      <c r="A25" s="149" t="s">
        <v>260</v>
      </c>
      <c r="B25" s="149" t="s">
        <v>1244</v>
      </c>
      <c r="C25" s="149" t="s">
        <v>1159</v>
      </c>
      <c r="D25" s="149" t="s">
        <v>1316</v>
      </c>
      <c r="E25" s="149" t="s">
        <v>1181</v>
      </c>
      <c r="F25" s="149" t="s">
        <v>1203</v>
      </c>
      <c r="G25" s="149" t="s">
        <v>1153</v>
      </c>
      <c r="H25" s="149" t="s">
        <v>1300</v>
      </c>
      <c r="I25" s="149" t="s">
        <v>1140</v>
      </c>
      <c r="J25" s="149" t="s">
        <v>1207</v>
      </c>
      <c r="K25" s="149" t="s">
        <v>1260</v>
      </c>
      <c r="L25" s="149" t="s">
        <v>1317</v>
      </c>
      <c r="M25" s="149" t="s">
        <v>1261</v>
      </c>
      <c r="N25" s="149" t="s">
        <v>1318</v>
      </c>
      <c r="O25" s="149" t="s">
        <v>1227</v>
      </c>
    </row>
    <row r="26" spans="1:15">
      <c r="A26" s="149" t="s">
        <v>456</v>
      </c>
      <c r="B26" s="149" t="s">
        <v>1157</v>
      </c>
      <c r="C26" s="149" t="s">
        <v>1159</v>
      </c>
      <c r="D26" s="149" t="s">
        <v>1135</v>
      </c>
      <c r="E26" s="149" t="s">
        <v>1316</v>
      </c>
      <c r="F26" s="149" t="s">
        <v>1136</v>
      </c>
      <c r="G26" s="149" t="s">
        <v>1319</v>
      </c>
      <c r="H26" s="149" t="s">
        <v>1276</v>
      </c>
      <c r="I26" s="149" t="s">
        <v>1320</v>
      </c>
      <c r="J26" s="149" t="s">
        <v>1204</v>
      </c>
      <c r="K26" s="149" t="s">
        <v>1150</v>
      </c>
      <c r="L26" s="149" t="s">
        <v>1299</v>
      </c>
      <c r="M26" s="149" t="s">
        <v>1139</v>
      </c>
      <c r="N26" s="149" t="s">
        <v>1321</v>
      </c>
      <c r="O26" s="149" t="s">
        <v>1140</v>
      </c>
    </row>
    <row r="27" spans="1:15">
      <c r="A27" s="149" t="s">
        <v>458</v>
      </c>
      <c r="B27" s="149" t="s">
        <v>1188</v>
      </c>
      <c r="C27" s="149" t="s">
        <v>1227</v>
      </c>
      <c r="D27" s="149" t="s">
        <v>1166</v>
      </c>
      <c r="E27" s="149" t="s">
        <v>1262</v>
      </c>
      <c r="F27" s="149" t="s">
        <v>1232</v>
      </c>
      <c r="G27" s="149" t="s">
        <v>1168</v>
      </c>
      <c r="H27" s="149" t="s">
        <v>1322</v>
      </c>
      <c r="I27" s="149" t="s">
        <v>1323</v>
      </c>
      <c r="J27" s="149" t="s">
        <v>1145</v>
      </c>
      <c r="K27" s="149" t="s">
        <v>1324</v>
      </c>
      <c r="L27" s="149" t="s">
        <v>1191</v>
      </c>
      <c r="M27" s="149" t="s">
        <v>1302</v>
      </c>
      <c r="N27" s="149" t="s">
        <v>1249</v>
      </c>
      <c r="O27" s="149" t="s">
        <v>1325</v>
      </c>
    </row>
    <row r="28" spans="1:15">
      <c r="A28" s="149" t="s">
        <v>464</v>
      </c>
      <c r="B28" s="149" t="s">
        <v>1311</v>
      </c>
      <c r="C28" s="149" t="s">
        <v>1326</v>
      </c>
      <c r="D28" s="149" t="s">
        <v>1239</v>
      </c>
      <c r="E28" s="149" t="s">
        <v>1327</v>
      </c>
      <c r="F28" s="149" t="s">
        <v>1328</v>
      </c>
      <c r="G28" s="149" t="s">
        <v>1304</v>
      </c>
      <c r="H28" s="149" t="s">
        <v>1329</v>
      </c>
      <c r="I28" s="149" t="s">
        <v>1155</v>
      </c>
      <c r="J28" s="149" t="s">
        <v>1243</v>
      </c>
      <c r="K28" s="149" t="s">
        <v>1304</v>
      </c>
      <c r="L28" s="149" t="s">
        <v>1330</v>
      </c>
      <c r="M28" s="149" t="s">
        <v>1242</v>
      </c>
      <c r="N28" s="149" t="s">
        <v>1257</v>
      </c>
      <c r="O28" s="149" t="s">
        <v>1328</v>
      </c>
    </row>
    <row r="29" spans="1:15">
      <c r="A29" s="149" t="s">
        <v>468</v>
      </c>
      <c r="B29" s="149" t="s">
        <v>1198</v>
      </c>
      <c r="C29" s="149" t="s">
        <v>1178</v>
      </c>
      <c r="D29" s="149" t="s">
        <v>1235</v>
      </c>
      <c r="E29" s="149" t="s">
        <v>1331</v>
      </c>
      <c r="F29" s="149" t="s">
        <v>1287</v>
      </c>
      <c r="G29" s="149" t="s">
        <v>1332</v>
      </c>
      <c r="H29" s="149" t="s">
        <v>1333</v>
      </c>
      <c r="I29" s="149" t="s">
        <v>1237</v>
      </c>
      <c r="J29" s="149" t="s">
        <v>1334</v>
      </c>
      <c r="K29" s="149" t="s">
        <v>1290</v>
      </c>
      <c r="L29" s="149" t="s">
        <v>1335</v>
      </c>
      <c r="M29" s="149" t="s">
        <v>1336</v>
      </c>
      <c r="N29" s="149" t="s">
        <v>1337</v>
      </c>
      <c r="O29" s="149" t="s">
        <v>1338</v>
      </c>
    </row>
    <row r="30" spans="1:15">
      <c r="A30" s="149" t="s">
        <v>470</v>
      </c>
      <c r="B30" s="149" t="s">
        <v>1268</v>
      </c>
      <c r="C30" s="149" t="s">
        <v>1339</v>
      </c>
      <c r="D30" s="149" t="s">
        <v>1332</v>
      </c>
      <c r="E30" s="149" t="s">
        <v>1289</v>
      </c>
      <c r="F30" s="149" t="s">
        <v>1340</v>
      </c>
      <c r="G30" s="149" t="s">
        <v>1341</v>
      </c>
      <c r="H30" s="149" t="s">
        <v>1342</v>
      </c>
      <c r="I30" s="149" t="s">
        <v>1343</v>
      </c>
      <c r="J30" s="149" t="s">
        <v>1344</v>
      </c>
      <c r="K30" s="149" t="s">
        <v>1345</v>
      </c>
      <c r="L30" s="149" t="s">
        <v>1346</v>
      </c>
      <c r="M30" s="149" t="s">
        <v>1347</v>
      </c>
      <c r="N30" s="149" t="s">
        <v>1348</v>
      </c>
      <c r="O30" s="149" t="s">
        <v>1349</v>
      </c>
    </row>
    <row r="31" spans="1:15">
      <c r="A31" s="149" t="s">
        <v>472</v>
      </c>
      <c r="B31" s="149" t="s">
        <v>1220</v>
      </c>
      <c r="C31" s="149" t="s">
        <v>1267</v>
      </c>
      <c r="D31" s="149" t="s">
        <v>1285</v>
      </c>
      <c r="E31" s="149" t="s">
        <v>1174</v>
      </c>
      <c r="F31" s="149" t="s">
        <v>1178</v>
      </c>
      <c r="G31" s="149" t="s">
        <v>1179</v>
      </c>
      <c r="H31" s="149" t="s">
        <v>1339</v>
      </c>
      <c r="I31" s="149" t="s">
        <v>1350</v>
      </c>
      <c r="J31" s="149" t="s">
        <v>1236</v>
      </c>
      <c r="K31" s="149" t="s">
        <v>1351</v>
      </c>
      <c r="L31" s="149" t="s">
        <v>1352</v>
      </c>
      <c r="M31" s="149" t="s">
        <v>1353</v>
      </c>
      <c r="N31" s="149" t="s">
        <v>1354</v>
      </c>
      <c r="O31" s="149" t="s">
        <v>1289</v>
      </c>
    </row>
    <row r="32" spans="1:15">
      <c r="A32" s="149" t="s">
        <v>479</v>
      </c>
      <c r="B32" s="149" t="s">
        <v>1355</v>
      </c>
      <c r="C32" s="149" t="s">
        <v>1171</v>
      </c>
      <c r="D32" s="149" t="s">
        <v>1194</v>
      </c>
      <c r="E32" s="149" t="s">
        <v>1356</v>
      </c>
      <c r="F32" s="149" t="s">
        <v>1176</v>
      </c>
      <c r="G32" s="149" t="s">
        <v>1357</v>
      </c>
      <c r="H32" s="149" t="s">
        <v>1350</v>
      </c>
      <c r="I32" s="149" t="s">
        <v>1358</v>
      </c>
      <c r="J32" s="149" t="s">
        <v>1359</v>
      </c>
      <c r="K32" s="149" t="s">
        <v>1360</v>
      </c>
      <c r="L32" s="149" t="s">
        <v>1294</v>
      </c>
      <c r="M32" s="149" t="s">
        <v>1361</v>
      </c>
      <c r="N32" s="149" t="s">
        <v>1362</v>
      </c>
      <c r="O32" s="149" t="s">
        <v>1363</v>
      </c>
    </row>
    <row r="33" spans="1:15">
      <c r="A33" s="149" t="s">
        <v>483</v>
      </c>
      <c r="B33" s="149" t="s">
        <v>1208</v>
      </c>
      <c r="C33" s="149" t="s">
        <v>1141</v>
      </c>
      <c r="D33" s="149" t="s">
        <v>1278</v>
      </c>
      <c r="E33" s="149" t="s">
        <v>1364</v>
      </c>
      <c r="F33" s="149" t="s">
        <v>1365</v>
      </c>
      <c r="G33" s="149" t="s">
        <v>1143</v>
      </c>
      <c r="H33" s="149" t="s">
        <v>1189</v>
      </c>
      <c r="I33" s="149" t="s">
        <v>1366</v>
      </c>
      <c r="J33" s="149" t="s">
        <v>1367</v>
      </c>
      <c r="K33" s="149" t="s">
        <v>1368</v>
      </c>
      <c r="L33" s="149" t="s">
        <v>1369</v>
      </c>
      <c r="M33" s="149" t="s">
        <v>1196</v>
      </c>
      <c r="N33" s="149" t="s">
        <v>1175</v>
      </c>
      <c r="O33" s="149" t="s">
        <v>1269</v>
      </c>
    </row>
    <row r="34" spans="1:15">
      <c r="A34" s="149" t="s">
        <v>485</v>
      </c>
      <c r="B34" s="149" t="s">
        <v>1188</v>
      </c>
      <c r="C34" s="149" t="s">
        <v>1370</v>
      </c>
      <c r="D34" s="149" t="s">
        <v>1169</v>
      </c>
      <c r="E34" s="149" t="s">
        <v>1171</v>
      </c>
      <c r="F34" s="149" t="s">
        <v>1371</v>
      </c>
      <c r="G34" s="149" t="s">
        <v>1175</v>
      </c>
      <c r="H34" s="149" t="s">
        <v>1372</v>
      </c>
      <c r="I34" s="149" t="s">
        <v>1287</v>
      </c>
      <c r="J34" s="149" t="s">
        <v>1373</v>
      </c>
      <c r="K34" s="149" t="s">
        <v>1352</v>
      </c>
      <c r="L34" s="149" t="s">
        <v>1374</v>
      </c>
      <c r="M34" s="149" t="s">
        <v>1375</v>
      </c>
      <c r="N34" s="149" t="s">
        <v>1237</v>
      </c>
      <c r="O34" s="149" t="s">
        <v>1297</v>
      </c>
    </row>
    <row r="35" spans="1:15">
      <c r="A35" s="149" t="s">
        <v>489</v>
      </c>
      <c r="B35" s="149" t="s">
        <v>1149</v>
      </c>
      <c r="C35" s="149" t="s">
        <v>1204</v>
      </c>
      <c r="D35" s="149" t="s">
        <v>1150</v>
      </c>
      <c r="E35" s="149" t="s">
        <v>1182</v>
      </c>
      <c r="F35" s="149" t="s">
        <v>1300</v>
      </c>
      <c r="G35" s="149" t="s">
        <v>1184</v>
      </c>
      <c r="H35" s="149" t="s">
        <v>1376</v>
      </c>
      <c r="I35" s="149" t="s">
        <v>1377</v>
      </c>
      <c r="J35" s="149" t="s">
        <v>1230</v>
      </c>
      <c r="K35" s="149" t="s">
        <v>1226</v>
      </c>
      <c r="L35" s="149" t="s">
        <v>1188</v>
      </c>
      <c r="M35" s="149" t="s">
        <v>1227</v>
      </c>
      <c r="N35" s="149" t="s">
        <v>1378</v>
      </c>
      <c r="O35" s="149" t="s">
        <v>1379</v>
      </c>
    </row>
    <row r="36" spans="1:15">
      <c r="A36" s="149" t="s">
        <v>491</v>
      </c>
      <c r="B36" s="149" t="s">
        <v>1223</v>
      </c>
      <c r="C36" s="149" t="s">
        <v>1152</v>
      </c>
      <c r="D36" s="149" t="s">
        <v>1209</v>
      </c>
      <c r="E36" s="149" t="s">
        <v>1182</v>
      </c>
      <c r="F36" s="149" t="s">
        <v>1224</v>
      </c>
      <c r="G36" s="149" t="s">
        <v>1300</v>
      </c>
      <c r="H36" s="149" t="s">
        <v>1205</v>
      </c>
      <c r="I36" s="149" t="s">
        <v>1206</v>
      </c>
      <c r="J36" s="149" t="s">
        <v>1225</v>
      </c>
      <c r="K36" s="149" t="s">
        <v>1141</v>
      </c>
      <c r="L36" s="149" t="s">
        <v>1230</v>
      </c>
      <c r="M36" s="149" t="s">
        <v>1261</v>
      </c>
      <c r="N36" s="149" t="s">
        <v>1188</v>
      </c>
      <c r="O36" s="149" t="s">
        <v>1380</v>
      </c>
    </row>
    <row r="37" spans="1:15">
      <c r="A37" s="149" t="s">
        <v>493</v>
      </c>
      <c r="B37" s="149" t="s">
        <v>1315</v>
      </c>
      <c r="C37" s="149" t="s">
        <v>1181</v>
      </c>
      <c r="D37" s="149" t="s">
        <v>1276</v>
      </c>
      <c r="E37" s="149" t="s">
        <v>1137</v>
      </c>
      <c r="F37" s="149" t="s">
        <v>1149</v>
      </c>
      <c r="G37" s="149" t="s">
        <v>1203</v>
      </c>
      <c r="H37" s="149" t="s">
        <v>1223</v>
      </c>
      <c r="I37" s="149" t="s">
        <v>1204</v>
      </c>
      <c r="J37" s="149" t="s">
        <v>1150</v>
      </c>
      <c r="K37" s="149" t="s">
        <v>1277</v>
      </c>
      <c r="L37" s="149" t="s">
        <v>1300</v>
      </c>
      <c r="M37" s="149" t="s">
        <v>1210</v>
      </c>
      <c r="N37" s="149" t="s">
        <v>1376</v>
      </c>
      <c r="O37" s="149" t="s">
        <v>1208</v>
      </c>
    </row>
    <row r="38" spans="1:15">
      <c r="A38" s="149" t="s">
        <v>499</v>
      </c>
      <c r="B38" s="149" t="s">
        <v>1143</v>
      </c>
      <c r="C38" s="149" t="s">
        <v>1167</v>
      </c>
      <c r="D38" s="149" t="s">
        <v>1247</v>
      </c>
      <c r="E38" s="149" t="s">
        <v>1169</v>
      </c>
      <c r="F38" s="149" t="s">
        <v>1170</v>
      </c>
      <c r="G38" s="149" t="s">
        <v>1171</v>
      </c>
      <c r="H38" s="149" t="s">
        <v>1193</v>
      </c>
      <c r="I38" s="149" t="s">
        <v>1267</v>
      </c>
      <c r="J38" s="149" t="s">
        <v>1285</v>
      </c>
      <c r="K38" s="149" t="s">
        <v>1199</v>
      </c>
      <c r="L38" s="149" t="s">
        <v>1178</v>
      </c>
      <c r="M38" s="149" t="s">
        <v>1381</v>
      </c>
      <c r="N38" s="149" t="s">
        <v>1331</v>
      </c>
      <c r="O38" s="149" t="s">
        <v>1382</v>
      </c>
    </row>
    <row r="39" spans="1:15">
      <c r="A39" s="149" t="s">
        <v>501</v>
      </c>
      <c r="B39" s="149" t="s">
        <v>1322</v>
      </c>
      <c r="C39" s="149" t="s">
        <v>1367</v>
      </c>
      <c r="D39" s="149" t="s">
        <v>1280</v>
      </c>
      <c r="E39" s="149" t="s">
        <v>1192</v>
      </c>
      <c r="F39" s="149" t="s">
        <v>1383</v>
      </c>
      <c r="G39" s="149" t="s">
        <v>1173</v>
      </c>
      <c r="H39" s="149" t="s">
        <v>1200</v>
      </c>
      <c r="I39" s="149" t="s">
        <v>1199</v>
      </c>
      <c r="J39" s="149" t="s">
        <v>1177</v>
      </c>
      <c r="K39" s="149" t="s">
        <v>1176</v>
      </c>
      <c r="L39" s="149" t="s">
        <v>1178</v>
      </c>
      <c r="M39" s="149" t="s">
        <v>1296</v>
      </c>
      <c r="N39" s="149" t="s">
        <v>1179</v>
      </c>
      <c r="O39" s="149" t="s">
        <v>1357</v>
      </c>
    </row>
    <row r="40" spans="1:15">
      <c r="A40" s="149" t="s">
        <v>1122</v>
      </c>
      <c r="B40" s="149" t="s">
        <v>1260</v>
      </c>
      <c r="C40" s="149" t="s">
        <v>1384</v>
      </c>
      <c r="D40" s="149" t="s">
        <v>1142</v>
      </c>
      <c r="E40" s="149" t="s">
        <v>1365</v>
      </c>
      <c r="F40" s="149" t="s">
        <v>1166</v>
      </c>
      <c r="G40" s="149" t="s">
        <v>1262</v>
      </c>
      <c r="H40" s="149" t="s">
        <v>1232</v>
      </c>
      <c r="I40" s="149" t="s">
        <v>1323</v>
      </c>
      <c r="J40" s="149" t="s">
        <v>1385</v>
      </c>
      <c r="K40" s="149" t="s">
        <v>1233</v>
      </c>
      <c r="L40" s="149" t="s">
        <v>1195</v>
      </c>
      <c r="M40" s="149" t="s">
        <v>1234</v>
      </c>
      <c r="N40" s="149" t="s">
        <v>1175</v>
      </c>
      <c r="O40" s="149" t="s">
        <v>1286</v>
      </c>
    </row>
    <row r="41" spans="1:15">
      <c r="A41" s="149" t="s">
        <v>505</v>
      </c>
      <c r="B41" s="149" t="s">
        <v>1365</v>
      </c>
      <c r="C41" s="149" t="s">
        <v>1232</v>
      </c>
      <c r="D41" s="149" t="s">
        <v>1323</v>
      </c>
      <c r="E41" s="149" t="s">
        <v>1192</v>
      </c>
      <c r="F41" s="149" t="s">
        <v>1386</v>
      </c>
      <c r="G41" s="149" t="s">
        <v>1176</v>
      </c>
      <c r="H41" s="149" t="s">
        <v>1269</v>
      </c>
      <c r="I41" s="149" t="s">
        <v>1351</v>
      </c>
      <c r="J41" s="149" t="s">
        <v>1353</v>
      </c>
      <c r="K41" s="149" t="s">
        <v>1298</v>
      </c>
      <c r="L41" s="149" t="s">
        <v>1387</v>
      </c>
      <c r="M41" s="149" t="s">
        <v>1293</v>
      </c>
      <c r="N41" s="149" t="s">
        <v>1388</v>
      </c>
      <c r="O41" s="149" t="s">
        <v>1389</v>
      </c>
    </row>
    <row r="42" spans="1:15">
      <c r="A42" s="149" t="s">
        <v>507</v>
      </c>
      <c r="B42" s="149" t="s">
        <v>1180</v>
      </c>
      <c r="C42" s="149" t="s">
        <v>1201</v>
      </c>
      <c r="D42" s="149" t="s">
        <v>1202</v>
      </c>
      <c r="E42" s="149" t="s">
        <v>1137</v>
      </c>
      <c r="F42" s="149" t="s">
        <v>1203</v>
      </c>
      <c r="G42" s="149" t="s">
        <v>1151</v>
      </c>
      <c r="H42" s="149" t="s">
        <v>1153</v>
      </c>
      <c r="I42" s="149" t="s">
        <v>1277</v>
      </c>
      <c r="J42" s="149" t="s">
        <v>1182</v>
      </c>
      <c r="K42" s="149" t="s">
        <v>1209</v>
      </c>
      <c r="L42" s="149" t="s">
        <v>1152</v>
      </c>
      <c r="M42" s="149" t="s">
        <v>1223</v>
      </c>
      <c r="N42" s="149" t="s">
        <v>1203</v>
      </c>
      <c r="O42" s="149" t="s">
        <v>1203</v>
      </c>
    </row>
    <row r="43" spans="1:15">
      <c r="A43" s="149" t="s">
        <v>511</v>
      </c>
      <c r="B43" s="149" t="s">
        <v>1321</v>
      </c>
      <c r="C43" s="149" t="s">
        <v>1210</v>
      </c>
      <c r="D43" s="149" t="s">
        <v>1140</v>
      </c>
      <c r="E43" s="149" t="s">
        <v>1207</v>
      </c>
      <c r="F43" s="149" t="s">
        <v>1282</v>
      </c>
      <c r="G43" s="149" t="s">
        <v>1225</v>
      </c>
      <c r="H43" s="149" t="s">
        <v>1225</v>
      </c>
      <c r="I43" s="149" t="s">
        <v>1260</v>
      </c>
      <c r="J43" s="149" t="s">
        <v>1226</v>
      </c>
      <c r="K43" s="149" t="s">
        <v>1378</v>
      </c>
      <c r="L43" s="149" t="s">
        <v>1284</v>
      </c>
      <c r="M43" s="149" t="s">
        <v>1301</v>
      </c>
      <c r="N43" s="149" t="s">
        <v>1248</v>
      </c>
      <c r="O43" s="149" t="s">
        <v>1324</v>
      </c>
    </row>
    <row r="44" spans="1:15">
      <c r="A44" s="149" t="s">
        <v>515</v>
      </c>
      <c r="B44" s="149" t="s">
        <v>1252</v>
      </c>
      <c r="C44" s="149" t="s">
        <v>1326</v>
      </c>
      <c r="D44" s="149" t="s">
        <v>1390</v>
      </c>
      <c r="E44" s="149" t="s">
        <v>1240</v>
      </c>
      <c r="F44" s="149" t="s">
        <v>1241</v>
      </c>
      <c r="G44" s="149" t="s">
        <v>1258</v>
      </c>
      <c r="H44" s="149" t="s">
        <v>1329</v>
      </c>
      <c r="I44" s="149" t="s">
        <v>1221</v>
      </c>
      <c r="J44" s="149" t="s">
        <v>1136</v>
      </c>
      <c r="K44" s="149" t="s">
        <v>1202</v>
      </c>
      <c r="L44" s="149" t="s">
        <v>1148</v>
      </c>
      <c r="M44" s="149" t="s">
        <v>1223</v>
      </c>
      <c r="N44" s="149" t="s">
        <v>1138</v>
      </c>
      <c r="O44" s="149" t="s">
        <v>1299</v>
      </c>
    </row>
    <row r="45" spans="1:15">
      <c r="A45" s="149" t="s">
        <v>519</v>
      </c>
      <c r="B45" s="149" t="s">
        <v>1152</v>
      </c>
      <c r="C45" s="149" t="s">
        <v>1277</v>
      </c>
      <c r="D45" s="149" t="s">
        <v>1321</v>
      </c>
      <c r="E45" s="149" t="s">
        <v>1207</v>
      </c>
      <c r="F45" s="149" t="s">
        <v>1283</v>
      </c>
      <c r="G45" s="149" t="s">
        <v>1230</v>
      </c>
      <c r="H45" s="149" t="s">
        <v>1142</v>
      </c>
      <c r="I45" s="149" t="s">
        <v>1378</v>
      </c>
      <c r="J45" s="149" t="s">
        <v>1228</v>
      </c>
      <c r="K45" s="149" t="s">
        <v>1247</v>
      </c>
      <c r="L45" s="149" t="s">
        <v>1216</v>
      </c>
      <c r="M45" s="149" t="s">
        <v>1355</v>
      </c>
      <c r="N45" s="149" t="s">
        <v>1385</v>
      </c>
      <c r="O45" s="149" t="s">
        <v>1171</v>
      </c>
    </row>
    <row r="46" spans="1:15">
      <c r="A46" s="149" t="s">
        <v>521</v>
      </c>
      <c r="B46" s="149" t="s">
        <v>1323</v>
      </c>
      <c r="C46" s="149" t="s">
        <v>1249</v>
      </c>
      <c r="D46" s="149" t="s">
        <v>1391</v>
      </c>
      <c r="E46" s="149" t="s">
        <v>1266</v>
      </c>
      <c r="F46" s="149" t="s">
        <v>1356</v>
      </c>
      <c r="G46" s="149" t="s">
        <v>1174</v>
      </c>
      <c r="H46" s="149" t="s">
        <v>1268</v>
      </c>
      <c r="I46" s="149" t="s">
        <v>1264</v>
      </c>
      <c r="J46" s="149" t="s">
        <v>1296</v>
      </c>
      <c r="K46" s="149" t="s">
        <v>1357</v>
      </c>
      <c r="L46" s="149" t="s">
        <v>1382</v>
      </c>
      <c r="M46" s="149" t="s">
        <v>1373</v>
      </c>
      <c r="N46" s="149" t="s">
        <v>1353</v>
      </c>
      <c r="O46" s="149" t="s">
        <v>1358</v>
      </c>
    </row>
    <row r="47" spans="1:15">
      <c r="A47" s="149" t="s">
        <v>523</v>
      </c>
      <c r="B47" s="149" t="s">
        <v>1181</v>
      </c>
      <c r="C47" s="149" t="s">
        <v>1276</v>
      </c>
      <c r="D47" s="149" t="s">
        <v>1149</v>
      </c>
      <c r="E47" s="149" t="s">
        <v>1320</v>
      </c>
      <c r="F47" s="149" t="s">
        <v>1152</v>
      </c>
      <c r="G47" s="149" t="s">
        <v>1153</v>
      </c>
      <c r="H47" s="149" t="s">
        <v>1182</v>
      </c>
      <c r="I47" s="149" t="s">
        <v>1392</v>
      </c>
      <c r="J47" s="149" t="s">
        <v>1139</v>
      </c>
      <c r="K47" s="149" t="s">
        <v>1183</v>
      </c>
      <c r="L47" s="149" t="s">
        <v>1184</v>
      </c>
      <c r="M47" s="149" t="s">
        <v>1140</v>
      </c>
      <c r="N47" s="149" t="s">
        <v>1185</v>
      </c>
      <c r="O47" s="149" t="s">
        <v>1211</v>
      </c>
    </row>
    <row r="48" spans="1:15">
      <c r="A48" s="149" t="s">
        <v>527</v>
      </c>
      <c r="B48" s="149" t="s">
        <v>1393</v>
      </c>
      <c r="C48" s="149" t="s">
        <v>1137</v>
      </c>
      <c r="D48" s="149" t="s">
        <v>1259</v>
      </c>
      <c r="E48" s="149" t="s">
        <v>1223</v>
      </c>
      <c r="F48" s="149" t="s">
        <v>1152</v>
      </c>
      <c r="G48" s="149" t="s">
        <v>1153</v>
      </c>
      <c r="H48" s="149" t="s">
        <v>1299</v>
      </c>
      <c r="I48" s="149" t="s">
        <v>1299</v>
      </c>
      <c r="J48" s="149" t="s">
        <v>1209</v>
      </c>
      <c r="K48" s="149" t="s">
        <v>1150</v>
      </c>
      <c r="L48" s="149" t="s">
        <v>1152</v>
      </c>
      <c r="M48" s="149" t="s">
        <v>1204</v>
      </c>
      <c r="N48" s="149" t="s">
        <v>1223</v>
      </c>
      <c r="O48" s="149" t="s">
        <v>1203</v>
      </c>
    </row>
    <row r="49" spans="1:15">
      <c r="A49" s="149" t="s">
        <v>531</v>
      </c>
      <c r="B49" s="149" t="s">
        <v>1275</v>
      </c>
      <c r="C49" s="149" t="s">
        <v>1202</v>
      </c>
      <c r="D49" s="149" t="s">
        <v>1259</v>
      </c>
      <c r="E49" s="149" t="s">
        <v>1138</v>
      </c>
      <c r="F49" s="149" t="s">
        <v>1277</v>
      </c>
      <c r="G49" s="149" t="s">
        <v>1321</v>
      </c>
      <c r="H49" s="149" t="s">
        <v>1207</v>
      </c>
      <c r="I49" s="149" t="s">
        <v>1141</v>
      </c>
      <c r="J49" s="149" t="s">
        <v>1226</v>
      </c>
      <c r="K49" s="149" t="s">
        <v>1227</v>
      </c>
      <c r="L49" s="149" t="s">
        <v>1228</v>
      </c>
      <c r="M49" s="149" t="s">
        <v>1366</v>
      </c>
      <c r="N49" s="149" t="s">
        <v>1248</v>
      </c>
      <c r="O49" s="149" t="s">
        <v>1170</v>
      </c>
    </row>
    <row r="50" spans="1:15">
      <c r="A50" s="149" t="s">
        <v>229</v>
      </c>
      <c r="B50" s="149" t="s">
        <v>1394</v>
      </c>
      <c r="C50" s="149" t="s">
        <v>1395</v>
      </c>
      <c r="D50" s="149" t="s">
        <v>1309</v>
      </c>
      <c r="E50" s="149" t="s">
        <v>1313</v>
      </c>
      <c r="F50" s="149" t="s">
        <v>1241</v>
      </c>
      <c r="G50" s="149" t="s">
        <v>1396</v>
      </c>
      <c r="H50" s="149" t="s">
        <v>1160</v>
      </c>
      <c r="I50" s="149" t="s">
        <v>1163</v>
      </c>
      <c r="J50" s="149" t="s">
        <v>1316</v>
      </c>
      <c r="K50" s="149" t="s">
        <v>1161</v>
      </c>
      <c r="L50" s="149" t="s">
        <v>1181</v>
      </c>
      <c r="M50" s="149" t="s">
        <v>1222</v>
      </c>
      <c r="N50" s="149" t="s">
        <v>1259</v>
      </c>
      <c r="O50" s="149" t="s">
        <v>1204</v>
      </c>
    </row>
    <row r="51" spans="1:15">
      <c r="A51" s="149" t="s">
        <v>534</v>
      </c>
      <c r="B51" s="149" t="s">
        <v>1156</v>
      </c>
      <c r="C51" s="149" t="s">
        <v>1164</v>
      </c>
      <c r="D51" s="149" t="s">
        <v>1305</v>
      </c>
      <c r="E51" s="149" t="s">
        <v>1162</v>
      </c>
      <c r="F51" s="149" t="s">
        <v>1201</v>
      </c>
      <c r="G51" s="149" t="s">
        <v>1393</v>
      </c>
      <c r="H51" s="149" t="s">
        <v>1148</v>
      </c>
      <c r="I51" s="149" t="s">
        <v>1150</v>
      </c>
      <c r="J51" s="149" t="s">
        <v>1299</v>
      </c>
      <c r="K51" s="149" t="s">
        <v>1277</v>
      </c>
      <c r="L51" s="149" t="s">
        <v>1139</v>
      </c>
      <c r="M51" s="149" t="s">
        <v>1183</v>
      </c>
      <c r="N51" s="149" t="s">
        <v>1376</v>
      </c>
      <c r="O51" s="149" t="s">
        <v>1211</v>
      </c>
    </row>
    <row r="52" spans="1:15">
      <c r="A52" s="149" t="s">
        <v>538</v>
      </c>
      <c r="B52" s="149" t="s">
        <v>1182</v>
      </c>
      <c r="C52" s="149" t="s">
        <v>1224</v>
      </c>
      <c r="D52" s="149" t="s">
        <v>1321</v>
      </c>
      <c r="E52" s="149" t="s">
        <v>1140</v>
      </c>
      <c r="F52" s="149" t="s">
        <v>1208</v>
      </c>
      <c r="G52" s="149" t="s">
        <v>1397</v>
      </c>
      <c r="H52" s="149" t="s">
        <v>1261</v>
      </c>
      <c r="I52" s="149" t="s">
        <v>1365</v>
      </c>
      <c r="J52" s="149" t="s">
        <v>1189</v>
      </c>
      <c r="K52" s="149" t="s">
        <v>1215</v>
      </c>
      <c r="L52" s="149" t="s">
        <v>1190</v>
      </c>
      <c r="M52" s="149" t="s">
        <v>1169</v>
      </c>
      <c r="N52" s="149" t="s">
        <v>1324</v>
      </c>
      <c r="O52" s="149" t="s">
        <v>1368</v>
      </c>
    </row>
    <row r="53" spans="1:15">
      <c r="A53" s="149" t="s">
        <v>546</v>
      </c>
      <c r="B53" s="149" t="s">
        <v>1212</v>
      </c>
      <c r="C53" s="149" t="s">
        <v>1380</v>
      </c>
      <c r="D53" s="149" t="s">
        <v>1398</v>
      </c>
      <c r="E53" s="149" t="s">
        <v>1216</v>
      </c>
      <c r="F53" s="149" t="s">
        <v>1191</v>
      </c>
      <c r="G53" s="149" t="s">
        <v>1391</v>
      </c>
      <c r="H53" s="149" t="s">
        <v>1399</v>
      </c>
      <c r="I53" s="149" t="s">
        <v>1200</v>
      </c>
      <c r="J53" s="149" t="s">
        <v>1198</v>
      </c>
      <c r="K53" s="149" t="s">
        <v>1357</v>
      </c>
      <c r="L53" s="149" t="s">
        <v>1350</v>
      </c>
      <c r="M53" s="149" t="s">
        <v>1375</v>
      </c>
      <c r="N53" s="149" t="s">
        <v>1334</v>
      </c>
      <c r="O53" s="149" t="s">
        <v>1360</v>
      </c>
    </row>
    <row r="54" spans="1:15">
      <c r="A54" s="149" t="s">
        <v>548</v>
      </c>
      <c r="B54" s="149" t="s">
        <v>1244</v>
      </c>
      <c r="C54" s="149" t="s">
        <v>1165</v>
      </c>
      <c r="D54" s="149" t="s">
        <v>1400</v>
      </c>
      <c r="E54" s="149" t="s">
        <v>1221</v>
      </c>
      <c r="F54" s="149" t="s">
        <v>1161</v>
      </c>
      <c r="G54" s="149" t="s">
        <v>1181</v>
      </c>
      <c r="H54" s="149" t="s">
        <v>1222</v>
      </c>
      <c r="I54" s="149" t="s">
        <v>1138</v>
      </c>
      <c r="J54" s="149" t="s">
        <v>1321</v>
      </c>
      <c r="K54" s="149" t="s">
        <v>1260</v>
      </c>
      <c r="L54" s="149" t="s">
        <v>1227</v>
      </c>
      <c r="M54" s="149" t="s">
        <v>1366</v>
      </c>
      <c r="N54" s="149" t="s">
        <v>1280</v>
      </c>
      <c r="O54" s="149" t="s">
        <v>1266</v>
      </c>
    </row>
    <row r="55" spans="1:15">
      <c r="A55" s="149" t="s">
        <v>552</v>
      </c>
      <c r="B55" s="149" t="s">
        <v>1212</v>
      </c>
      <c r="C55" s="149" t="s">
        <v>1212</v>
      </c>
      <c r="D55" s="149" t="s">
        <v>1261</v>
      </c>
      <c r="E55" s="149" t="s">
        <v>1188</v>
      </c>
      <c r="F55" s="149" t="s">
        <v>1365</v>
      </c>
      <c r="G55" s="149" t="s">
        <v>1380</v>
      </c>
      <c r="H55" s="149" t="s">
        <v>1214</v>
      </c>
      <c r="I55" s="149" t="s">
        <v>1170</v>
      </c>
      <c r="J55" s="149" t="s">
        <v>1355</v>
      </c>
      <c r="K55" s="149" t="s">
        <v>1192</v>
      </c>
      <c r="L55" s="149" t="s">
        <v>1401</v>
      </c>
      <c r="M55" s="149" t="s">
        <v>1402</v>
      </c>
      <c r="N55" s="149" t="s">
        <v>1374</v>
      </c>
      <c r="O55" s="149" t="s">
        <v>1403</v>
      </c>
    </row>
    <row r="56" spans="1:15">
      <c r="A56" s="149" t="s">
        <v>554</v>
      </c>
      <c r="B56" s="149" t="s">
        <v>1183</v>
      </c>
      <c r="C56" s="149" t="s">
        <v>1141</v>
      </c>
      <c r="D56" s="149" t="s">
        <v>1279</v>
      </c>
      <c r="E56" s="149" t="s">
        <v>1301</v>
      </c>
      <c r="F56" s="149" t="s">
        <v>1170</v>
      </c>
      <c r="G56" s="149" t="s">
        <v>1219</v>
      </c>
      <c r="H56" s="149" t="s">
        <v>1401</v>
      </c>
      <c r="I56" s="149" t="s">
        <v>1404</v>
      </c>
      <c r="J56" s="149" t="s">
        <v>1238</v>
      </c>
      <c r="K56" s="149" t="s">
        <v>1293</v>
      </c>
      <c r="L56" s="149" t="s">
        <v>1270</v>
      </c>
      <c r="M56" s="149" t="s">
        <v>1294</v>
      </c>
      <c r="N56" s="149" t="s">
        <v>1293</v>
      </c>
      <c r="O56" s="149" t="s">
        <v>1405</v>
      </c>
    </row>
    <row r="57" spans="1:15">
      <c r="A57" s="149" t="s">
        <v>556</v>
      </c>
      <c r="B57" s="149" t="s">
        <v>1301</v>
      </c>
      <c r="C57" s="149" t="s">
        <v>1169</v>
      </c>
      <c r="D57" s="149" t="s">
        <v>1170</v>
      </c>
      <c r="E57" s="149" t="s">
        <v>1217</v>
      </c>
      <c r="F57" s="149" t="s">
        <v>1219</v>
      </c>
      <c r="G57" s="149" t="s">
        <v>1195</v>
      </c>
      <c r="H57" s="149" t="s">
        <v>1147</v>
      </c>
      <c r="I57" s="149" t="s">
        <v>1268</v>
      </c>
      <c r="J57" s="149" t="s">
        <v>1296</v>
      </c>
      <c r="K57" s="149" t="s">
        <v>1381</v>
      </c>
      <c r="L57" s="149" t="s">
        <v>1286</v>
      </c>
      <c r="M57" s="149" t="s">
        <v>1357</v>
      </c>
      <c r="N57" s="149" t="s">
        <v>1406</v>
      </c>
      <c r="O57" s="149" t="s">
        <v>1269</v>
      </c>
    </row>
    <row r="58" spans="1:15">
      <c r="A58" s="149" t="s">
        <v>560</v>
      </c>
      <c r="B58" s="149" t="s">
        <v>1156</v>
      </c>
      <c r="C58" s="149" t="s">
        <v>1157</v>
      </c>
      <c r="D58" s="149" t="s">
        <v>1134</v>
      </c>
      <c r="E58" s="149" t="s">
        <v>1159</v>
      </c>
      <c r="F58" s="149" t="s">
        <v>1400</v>
      </c>
      <c r="G58" s="149" t="s">
        <v>1135</v>
      </c>
      <c r="H58" s="149" t="s">
        <v>1306</v>
      </c>
      <c r="I58" s="149" t="s">
        <v>1221</v>
      </c>
      <c r="J58" s="149" t="s">
        <v>1275</v>
      </c>
      <c r="K58" s="149" t="s">
        <v>1319</v>
      </c>
      <c r="L58" s="149" t="s">
        <v>1276</v>
      </c>
      <c r="M58" s="149" t="s">
        <v>1149</v>
      </c>
      <c r="N58" s="149" t="s">
        <v>1204</v>
      </c>
      <c r="O58" s="149" t="s">
        <v>1209</v>
      </c>
    </row>
    <row r="59" spans="1:15">
      <c r="A59" s="149" t="s">
        <v>562</v>
      </c>
      <c r="B59" s="149" t="s">
        <v>1186</v>
      </c>
      <c r="C59" s="149" t="s">
        <v>1283</v>
      </c>
      <c r="D59" s="149" t="s">
        <v>1283</v>
      </c>
      <c r="E59" s="149" t="s">
        <v>1186</v>
      </c>
      <c r="F59" s="149" t="s">
        <v>1260</v>
      </c>
      <c r="G59" s="149" t="s">
        <v>1260</v>
      </c>
      <c r="H59" s="149" t="s">
        <v>1260</v>
      </c>
      <c r="I59" s="149" t="s">
        <v>1141</v>
      </c>
      <c r="J59" s="149" t="s">
        <v>1261</v>
      </c>
      <c r="K59" s="149" t="s">
        <v>1214</v>
      </c>
      <c r="L59" s="149" t="s">
        <v>1190</v>
      </c>
      <c r="M59" s="149" t="s">
        <v>1325</v>
      </c>
      <c r="N59" s="149" t="s">
        <v>1267</v>
      </c>
      <c r="O59" s="149" t="s">
        <v>1402</v>
      </c>
    </row>
    <row r="60" spans="1:15">
      <c r="A60" s="149" t="s">
        <v>564</v>
      </c>
      <c r="B60" s="149" t="s">
        <v>1320</v>
      </c>
      <c r="C60" s="149" t="s">
        <v>1138</v>
      </c>
      <c r="D60" s="149" t="s">
        <v>1299</v>
      </c>
      <c r="E60" s="149" t="s">
        <v>1139</v>
      </c>
      <c r="F60" s="149" t="s">
        <v>1321</v>
      </c>
      <c r="G60" s="149" t="s">
        <v>1140</v>
      </c>
      <c r="H60" s="149" t="s">
        <v>1225</v>
      </c>
      <c r="I60" s="149" t="s">
        <v>1212</v>
      </c>
      <c r="J60" s="149" t="s">
        <v>1213</v>
      </c>
      <c r="K60" s="149" t="s">
        <v>1232</v>
      </c>
      <c r="L60" s="149" t="s">
        <v>1169</v>
      </c>
      <c r="M60" s="149" t="s">
        <v>1325</v>
      </c>
      <c r="N60" s="149" t="s">
        <v>1266</v>
      </c>
      <c r="O60" s="149" t="s">
        <v>1285</v>
      </c>
    </row>
    <row r="61" spans="1:15">
      <c r="A61" s="149" t="s">
        <v>233</v>
      </c>
      <c r="B61" s="149" t="s">
        <v>1406</v>
      </c>
      <c r="C61" s="149" t="s">
        <v>1339</v>
      </c>
      <c r="D61" s="149" t="s">
        <v>1404</v>
      </c>
      <c r="E61" s="149" t="s">
        <v>1382</v>
      </c>
      <c r="F61" s="149" t="s">
        <v>1407</v>
      </c>
      <c r="G61" s="149" t="s">
        <v>1350</v>
      </c>
      <c r="H61" s="149" t="s">
        <v>1373</v>
      </c>
      <c r="I61" s="149" t="s">
        <v>1358</v>
      </c>
      <c r="J61" s="149" t="s">
        <v>1334</v>
      </c>
      <c r="K61" s="149" t="s">
        <v>1408</v>
      </c>
      <c r="L61" s="149" t="s">
        <v>1409</v>
      </c>
      <c r="M61" s="149" t="s">
        <v>1292</v>
      </c>
      <c r="N61" s="149" t="s">
        <v>1270</v>
      </c>
      <c r="O61" s="149" t="s">
        <v>1410</v>
      </c>
    </row>
    <row r="62" spans="1:15">
      <c r="A62" s="149" t="s">
        <v>1123</v>
      </c>
      <c r="B62" s="149" t="s">
        <v>1261</v>
      </c>
      <c r="C62" s="149" t="s">
        <v>1226</v>
      </c>
      <c r="D62" s="149" t="s">
        <v>1142</v>
      </c>
      <c r="E62" s="149" t="s">
        <v>1231</v>
      </c>
      <c r="F62" s="149" t="s">
        <v>1213</v>
      </c>
      <c r="G62" s="149" t="s">
        <v>1318</v>
      </c>
      <c r="H62" s="149" t="s">
        <v>1365</v>
      </c>
      <c r="I62" s="149" t="s">
        <v>1145</v>
      </c>
      <c r="J62" s="149" t="s">
        <v>1170</v>
      </c>
      <c r="K62" s="149" t="s">
        <v>1249</v>
      </c>
      <c r="L62" s="149" t="s">
        <v>1171</v>
      </c>
      <c r="M62" s="149" t="s">
        <v>1391</v>
      </c>
      <c r="N62" s="149" t="s">
        <v>1172</v>
      </c>
      <c r="O62" s="149" t="s">
        <v>1266</v>
      </c>
    </row>
    <row r="63" spans="1:15">
      <c r="A63" s="149" t="s">
        <v>569</v>
      </c>
      <c r="B63" s="149" t="s">
        <v>1380</v>
      </c>
      <c r="C63" s="149" t="s">
        <v>1143</v>
      </c>
      <c r="D63" s="149" t="s">
        <v>1379</v>
      </c>
      <c r="E63" s="149" t="s">
        <v>1262</v>
      </c>
      <c r="F63" s="149" t="s">
        <v>1370</v>
      </c>
      <c r="G63" s="149" t="s">
        <v>1398</v>
      </c>
      <c r="H63" s="149" t="s">
        <v>1215</v>
      </c>
      <c r="I63" s="149" t="s">
        <v>1301</v>
      </c>
      <c r="J63" s="149" t="s">
        <v>1215</v>
      </c>
      <c r="K63" s="149" t="s">
        <v>1167</v>
      </c>
      <c r="L63" s="149" t="s">
        <v>1284</v>
      </c>
      <c r="M63" s="149" t="s">
        <v>1189</v>
      </c>
      <c r="N63" s="149" t="s">
        <v>1166</v>
      </c>
      <c r="O63" s="149" t="s">
        <v>1378</v>
      </c>
    </row>
    <row r="64" spans="1:15">
      <c r="A64" s="149" t="s">
        <v>571</v>
      </c>
      <c r="B64" s="149" t="s">
        <v>1172</v>
      </c>
      <c r="C64" s="149" t="s">
        <v>1383</v>
      </c>
      <c r="D64" s="149" t="s">
        <v>1220</v>
      </c>
      <c r="E64" s="149" t="s">
        <v>1267</v>
      </c>
      <c r="F64" s="149" t="s">
        <v>1147</v>
      </c>
      <c r="G64" s="149" t="s">
        <v>1234</v>
      </c>
      <c r="H64" s="149" t="s">
        <v>1197</v>
      </c>
      <c r="I64" s="149" t="s">
        <v>1174</v>
      </c>
      <c r="J64" s="149" t="s">
        <v>1199</v>
      </c>
      <c r="K64" s="149" t="s">
        <v>1176</v>
      </c>
      <c r="L64" s="149" t="s">
        <v>1268</v>
      </c>
      <c r="M64" s="149" t="s">
        <v>1381</v>
      </c>
      <c r="N64" s="149" t="s">
        <v>1357</v>
      </c>
      <c r="O64" s="149" t="s">
        <v>1382</v>
      </c>
    </row>
    <row r="65" spans="1:15">
      <c r="A65" s="149" t="s">
        <v>575</v>
      </c>
      <c r="B65" s="149" t="s">
        <v>1215</v>
      </c>
      <c r="C65" s="149" t="s">
        <v>1144</v>
      </c>
      <c r="D65" s="149" t="s">
        <v>1301</v>
      </c>
      <c r="E65" s="149" t="s">
        <v>1168</v>
      </c>
      <c r="F65" s="149" t="s">
        <v>1190</v>
      </c>
      <c r="G65" s="149" t="s">
        <v>1411</v>
      </c>
      <c r="H65" s="149" t="s">
        <v>1167</v>
      </c>
      <c r="I65" s="149" t="s">
        <v>1227</v>
      </c>
      <c r="J65" s="149" t="s">
        <v>1317</v>
      </c>
      <c r="K65" s="149" t="s">
        <v>1188</v>
      </c>
      <c r="L65" s="149" t="s">
        <v>1379</v>
      </c>
      <c r="M65" s="149" t="s">
        <v>1189</v>
      </c>
      <c r="N65" s="149" t="s">
        <v>1262</v>
      </c>
      <c r="O65" s="149" t="s">
        <v>1370</v>
      </c>
    </row>
    <row r="66" spans="1:15">
      <c r="A66" s="149" t="s">
        <v>577</v>
      </c>
      <c r="B66" s="149" t="s">
        <v>1312</v>
      </c>
      <c r="C66" s="149" t="s">
        <v>1326</v>
      </c>
      <c r="D66" s="149" t="s">
        <v>1254</v>
      </c>
      <c r="E66" s="149" t="s">
        <v>1239</v>
      </c>
      <c r="F66" s="149" t="s">
        <v>1412</v>
      </c>
      <c r="G66" s="149" t="s">
        <v>1327</v>
      </c>
      <c r="H66" s="149" t="s">
        <v>1241</v>
      </c>
      <c r="I66" s="149" t="s">
        <v>1257</v>
      </c>
      <c r="J66" s="149" t="s">
        <v>1330</v>
      </c>
      <c r="K66" s="149" t="s">
        <v>1155</v>
      </c>
      <c r="L66" s="149" t="s">
        <v>1413</v>
      </c>
      <c r="M66" s="149" t="s">
        <v>1165</v>
      </c>
      <c r="N66" s="149" t="s">
        <v>1164</v>
      </c>
      <c r="O66" s="149" t="s">
        <v>1160</v>
      </c>
    </row>
    <row r="67" spans="1:15">
      <c r="A67" s="149" t="s">
        <v>1414</v>
      </c>
      <c r="B67" s="149" t="s">
        <v>1164</v>
      </c>
      <c r="C67" s="149" t="s">
        <v>1305</v>
      </c>
      <c r="D67" s="149" t="s">
        <v>1221</v>
      </c>
      <c r="E67" s="149" t="s">
        <v>1275</v>
      </c>
      <c r="F67" s="149" t="s">
        <v>1315</v>
      </c>
      <c r="G67" s="149" t="s">
        <v>1202</v>
      </c>
      <c r="H67" s="149" t="s">
        <v>1222</v>
      </c>
      <c r="I67" s="149" t="s">
        <v>1223</v>
      </c>
      <c r="J67" s="149" t="s">
        <v>1223</v>
      </c>
      <c r="K67" s="149" t="s">
        <v>1138</v>
      </c>
      <c r="L67" s="149" t="s">
        <v>1299</v>
      </c>
      <c r="M67" s="149" t="s">
        <v>1224</v>
      </c>
      <c r="N67" s="149" t="s">
        <v>1184</v>
      </c>
      <c r="O67" s="149" t="s">
        <v>1207</v>
      </c>
    </row>
    <row r="68" spans="1:15">
      <c r="A68" s="149" t="s">
        <v>579</v>
      </c>
      <c r="B68" s="149" t="s">
        <v>1398</v>
      </c>
      <c r="C68" s="149" t="s">
        <v>1190</v>
      </c>
      <c r="D68" s="149" t="s">
        <v>1229</v>
      </c>
      <c r="E68" s="149" t="s">
        <v>1302</v>
      </c>
      <c r="F68" s="149" t="s">
        <v>1218</v>
      </c>
      <c r="G68" s="149" t="s">
        <v>1369</v>
      </c>
      <c r="H68" s="149" t="s">
        <v>1267</v>
      </c>
      <c r="I68" s="149" t="s">
        <v>1177</v>
      </c>
      <c r="J68" s="149" t="s">
        <v>1264</v>
      </c>
      <c r="K68" s="149" t="s">
        <v>1357</v>
      </c>
      <c r="L68" s="149" t="s">
        <v>1382</v>
      </c>
      <c r="M68" s="149" t="s">
        <v>1351</v>
      </c>
      <c r="N68" s="149" t="s">
        <v>1333</v>
      </c>
      <c r="O68" s="149" t="s">
        <v>1415</v>
      </c>
    </row>
    <row r="69" spans="1:15">
      <c r="A69" s="149" t="s">
        <v>581</v>
      </c>
      <c r="B69" s="149" t="s">
        <v>1308</v>
      </c>
      <c r="C69" s="149" t="s">
        <v>1416</v>
      </c>
      <c r="D69" s="149" t="s">
        <v>1417</v>
      </c>
      <c r="E69" s="149" t="s">
        <v>1252</v>
      </c>
      <c r="F69" s="149" t="s">
        <v>1326</v>
      </c>
      <c r="G69" s="149" t="s">
        <v>1390</v>
      </c>
      <c r="H69" s="149" t="s">
        <v>1240</v>
      </c>
      <c r="I69" s="149" t="s">
        <v>1240</v>
      </c>
      <c r="J69" s="149" t="s">
        <v>1255</v>
      </c>
      <c r="K69" s="149" t="s">
        <v>1328</v>
      </c>
      <c r="L69" s="149" t="s">
        <v>1258</v>
      </c>
      <c r="M69" s="149" t="s">
        <v>1243</v>
      </c>
      <c r="N69" s="149" t="s">
        <v>1155</v>
      </c>
      <c r="O69" s="149" t="s">
        <v>1413</v>
      </c>
    </row>
    <row r="70" spans="1:15">
      <c r="A70" s="149" t="s">
        <v>583</v>
      </c>
      <c r="B70" s="149" t="s">
        <v>1283</v>
      </c>
      <c r="C70" s="149" t="s">
        <v>1384</v>
      </c>
      <c r="D70" s="149" t="s">
        <v>1231</v>
      </c>
      <c r="E70" s="149" t="s">
        <v>1378</v>
      </c>
      <c r="F70" s="149" t="s">
        <v>1262</v>
      </c>
      <c r="G70" s="149" t="s">
        <v>1144</v>
      </c>
      <c r="H70" s="149" t="s">
        <v>1411</v>
      </c>
      <c r="I70" s="149" t="s">
        <v>1229</v>
      </c>
      <c r="J70" s="149" t="s">
        <v>1385</v>
      </c>
      <c r="K70" s="149" t="s">
        <v>1233</v>
      </c>
      <c r="L70" s="149" t="s">
        <v>1219</v>
      </c>
      <c r="M70" s="149" t="s">
        <v>1399</v>
      </c>
      <c r="N70" s="149" t="s">
        <v>1386</v>
      </c>
      <c r="O70" s="149" t="s">
        <v>1147</v>
      </c>
    </row>
    <row r="71" spans="1:15">
      <c r="A71" s="149" t="s">
        <v>585</v>
      </c>
      <c r="B71" s="149" t="s">
        <v>1397</v>
      </c>
      <c r="C71" s="149" t="s">
        <v>1230</v>
      </c>
      <c r="D71" s="149" t="s">
        <v>1212</v>
      </c>
      <c r="E71" s="149" t="s">
        <v>1142</v>
      </c>
      <c r="F71" s="149" t="s">
        <v>1188</v>
      </c>
      <c r="G71" s="149" t="s">
        <v>1365</v>
      </c>
      <c r="H71" s="149" t="s">
        <v>1380</v>
      </c>
      <c r="I71" s="149" t="s">
        <v>1301</v>
      </c>
      <c r="J71" s="149" t="s">
        <v>1263</v>
      </c>
      <c r="K71" s="149" t="s">
        <v>1170</v>
      </c>
      <c r="L71" s="149" t="s">
        <v>1192</v>
      </c>
      <c r="M71" s="149" t="s">
        <v>1266</v>
      </c>
      <c r="N71" s="149" t="s">
        <v>1147</v>
      </c>
      <c r="O71" s="149" t="s">
        <v>1178</v>
      </c>
    </row>
    <row r="72" spans="1:15">
      <c r="A72" s="149" t="s">
        <v>587</v>
      </c>
      <c r="B72" s="149" t="s">
        <v>1157</v>
      </c>
      <c r="C72" s="149" t="s">
        <v>1164</v>
      </c>
      <c r="D72" s="149" t="s">
        <v>1305</v>
      </c>
      <c r="E72" s="149" t="s">
        <v>1221</v>
      </c>
      <c r="F72" s="149" t="s">
        <v>1275</v>
      </c>
      <c r="G72" s="149" t="s">
        <v>1315</v>
      </c>
      <c r="H72" s="149" t="s">
        <v>1202</v>
      </c>
      <c r="I72" s="149" t="s">
        <v>1148</v>
      </c>
      <c r="J72" s="149" t="s">
        <v>1149</v>
      </c>
      <c r="K72" s="149" t="s">
        <v>1259</v>
      </c>
      <c r="L72" s="149" t="s">
        <v>1203</v>
      </c>
      <c r="M72" s="149" t="s">
        <v>1320</v>
      </c>
      <c r="N72" s="149" t="s">
        <v>1320</v>
      </c>
      <c r="O72" s="149" t="s">
        <v>1223</v>
      </c>
    </row>
    <row r="73" spans="1:15">
      <c r="A73" s="149" t="s">
        <v>597</v>
      </c>
      <c r="B73" s="149" t="s">
        <v>1355</v>
      </c>
      <c r="C73" s="149" t="s">
        <v>1145</v>
      </c>
      <c r="D73" s="149" t="s">
        <v>1170</v>
      </c>
      <c r="E73" s="149" t="s">
        <v>1192</v>
      </c>
      <c r="F73" s="149" t="s">
        <v>1266</v>
      </c>
      <c r="G73" s="149" t="s">
        <v>1219</v>
      </c>
      <c r="H73" s="149" t="s">
        <v>1391</v>
      </c>
      <c r="I73" s="149" t="s">
        <v>1193</v>
      </c>
      <c r="J73" s="149" t="s">
        <v>1193</v>
      </c>
      <c r="K73" s="149" t="s">
        <v>1219</v>
      </c>
      <c r="L73" s="149" t="s">
        <v>1194</v>
      </c>
      <c r="M73" s="149" t="s">
        <v>1266</v>
      </c>
      <c r="N73" s="149" t="s">
        <v>1220</v>
      </c>
      <c r="O73" s="149" t="s">
        <v>1386</v>
      </c>
    </row>
    <row r="74" spans="1:15">
      <c r="A74" s="149" t="s">
        <v>1418</v>
      </c>
      <c r="B74" s="149" t="s">
        <v>1149</v>
      </c>
      <c r="C74" s="149" t="s">
        <v>1204</v>
      </c>
      <c r="D74" s="149" t="s">
        <v>1150</v>
      </c>
      <c r="E74" s="149" t="s">
        <v>1154</v>
      </c>
      <c r="F74" s="149" t="s">
        <v>1392</v>
      </c>
      <c r="G74" s="149" t="s">
        <v>1300</v>
      </c>
      <c r="H74" s="149" t="s">
        <v>1210</v>
      </c>
      <c r="I74" s="149" t="s">
        <v>1208</v>
      </c>
      <c r="J74" s="149" t="s">
        <v>1226</v>
      </c>
      <c r="K74" s="149" t="s">
        <v>1365</v>
      </c>
      <c r="L74" s="149" t="s">
        <v>1189</v>
      </c>
      <c r="M74" s="149" t="s">
        <v>1215</v>
      </c>
      <c r="N74" s="149" t="s">
        <v>1322</v>
      </c>
      <c r="O74" s="149" t="s">
        <v>1145</v>
      </c>
    </row>
    <row r="75" spans="1:15">
      <c r="A75" s="149" t="s">
        <v>261</v>
      </c>
      <c r="B75" s="149" t="s">
        <v>1161</v>
      </c>
      <c r="C75" s="149" t="s">
        <v>1222</v>
      </c>
      <c r="D75" s="149" t="s">
        <v>1204</v>
      </c>
      <c r="E75" s="149" t="s">
        <v>1154</v>
      </c>
      <c r="F75" s="149" t="s">
        <v>1183</v>
      </c>
      <c r="G75" s="149" t="s">
        <v>1140</v>
      </c>
      <c r="H75" s="149" t="s">
        <v>1211</v>
      </c>
      <c r="I75" s="149" t="s">
        <v>1261</v>
      </c>
      <c r="J75" s="149" t="s">
        <v>1226</v>
      </c>
      <c r="K75" s="149" t="s">
        <v>1226</v>
      </c>
      <c r="L75" s="149" t="s">
        <v>1142</v>
      </c>
      <c r="M75" s="149" t="s">
        <v>1231</v>
      </c>
      <c r="N75" s="149" t="s">
        <v>1188</v>
      </c>
      <c r="O75" s="149" t="s">
        <v>1213</v>
      </c>
    </row>
    <row r="76" spans="1:15">
      <c r="A76" s="149" t="s">
        <v>603</v>
      </c>
      <c r="B76" s="149" t="s">
        <v>1150</v>
      </c>
      <c r="C76" s="149" t="s">
        <v>1299</v>
      </c>
      <c r="D76" s="149" t="s">
        <v>1224</v>
      </c>
      <c r="E76" s="149" t="s">
        <v>1321</v>
      </c>
      <c r="F76" s="149" t="s">
        <v>1281</v>
      </c>
      <c r="G76" s="149" t="s">
        <v>1185</v>
      </c>
      <c r="H76" s="149" t="s">
        <v>1208</v>
      </c>
      <c r="I76" s="149" t="s">
        <v>1377</v>
      </c>
      <c r="J76" s="149" t="s">
        <v>1187</v>
      </c>
      <c r="K76" s="149" t="s">
        <v>1231</v>
      </c>
      <c r="L76" s="149" t="s">
        <v>1378</v>
      </c>
      <c r="M76" s="149" t="s">
        <v>1284</v>
      </c>
      <c r="N76" s="149" t="s">
        <v>1168</v>
      </c>
      <c r="O76" s="149" t="s">
        <v>1229</v>
      </c>
    </row>
    <row r="77" spans="1:15">
      <c r="A77" s="149" t="s">
        <v>605</v>
      </c>
      <c r="B77" s="149" t="s">
        <v>1384</v>
      </c>
      <c r="C77" s="149" t="s">
        <v>1365</v>
      </c>
      <c r="D77" s="149" t="s">
        <v>1284</v>
      </c>
      <c r="E77" s="149" t="s">
        <v>1168</v>
      </c>
      <c r="F77" s="149" t="s">
        <v>1216</v>
      </c>
      <c r="G77" s="149" t="s">
        <v>1323</v>
      </c>
      <c r="H77" s="149" t="s">
        <v>1170</v>
      </c>
      <c r="I77" s="149" t="s">
        <v>1193</v>
      </c>
      <c r="J77" s="149" t="s">
        <v>1192</v>
      </c>
      <c r="K77" s="149" t="s">
        <v>1368</v>
      </c>
      <c r="L77" s="149" t="s">
        <v>1280</v>
      </c>
      <c r="M77" s="149" t="s">
        <v>1324</v>
      </c>
      <c r="N77" s="149" t="s">
        <v>1229</v>
      </c>
      <c r="O77" s="149" t="s">
        <v>1248</v>
      </c>
    </row>
    <row r="78" spans="1:15">
      <c r="A78" s="149" t="s">
        <v>607</v>
      </c>
      <c r="B78" s="149" t="s">
        <v>1419</v>
      </c>
      <c r="C78" s="149" t="s">
        <v>1242</v>
      </c>
      <c r="D78" s="149" t="s">
        <v>1155</v>
      </c>
      <c r="E78" s="149" t="s">
        <v>1245</v>
      </c>
      <c r="F78" s="149" t="s">
        <v>1159</v>
      </c>
      <c r="G78" s="149" t="s">
        <v>1163</v>
      </c>
      <c r="H78" s="149" t="s">
        <v>1180</v>
      </c>
      <c r="I78" s="149" t="s">
        <v>1319</v>
      </c>
      <c r="J78" s="149" t="s">
        <v>1202</v>
      </c>
      <c r="K78" s="149" t="s">
        <v>1222</v>
      </c>
      <c r="L78" s="149" t="s">
        <v>1137</v>
      </c>
      <c r="M78" s="149" t="s">
        <v>1259</v>
      </c>
      <c r="N78" s="149" t="s">
        <v>1223</v>
      </c>
      <c r="O78" s="149" t="s">
        <v>1153</v>
      </c>
    </row>
    <row r="79" spans="1:15">
      <c r="A79" s="149" t="s">
        <v>615</v>
      </c>
      <c r="B79" s="149" t="s">
        <v>1322</v>
      </c>
      <c r="C79" s="149" t="s">
        <v>1145</v>
      </c>
      <c r="D79" s="149" t="s">
        <v>1280</v>
      </c>
      <c r="E79" s="149" t="s">
        <v>1217</v>
      </c>
      <c r="F79" s="149" t="s">
        <v>1193</v>
      </c>
      <c r="G79" s="149" t="s">
        <v>1194</v>
      </c>
      <c r="H79" s="149" t="s">
        <v>1399</v>
      </c>
      <c r="I79" s="149" t="s">
        <v>1371</v>
      </c>
      <c r="J79" s="149" t="s">
        <v>1174</v>
      </c>
      <c r="K79" s="149" t="s">
        <v>1402</v>
      </c>
      <c r="L79" s="149" t="s">
        <v>1373</v>
      </c>
      <c r="M79" s="149" t="s">
        <v>1403</v>
      </c>
      <c r="N79" s="149" t="s">
        <v>1340</v>
      </c>
      <c r="O79" s="149" t="s">
        <v>1420</v>
      </c>
    </row>
    <row r="80" spans="1:15">
      <c r="A80" s="149" t="s">
        <v>617</v>
      </c>
      <c r="B80" s="149" t="s">
        <v>1282</v>
      </c>
      <c r="C80" s="149" t="s">
        <v>1282</v>
      </c>
      <c r="D80" s="149" t="s">
        <v>1282</v>
      </c>
      <c r="E80" s="149" t="s">
        <v>1225</v>
      </c>
      <c r="F80" s="149" t="s">
        <v>1208</v>
      </c>
      <c r="G80" s="149" t="s">
        <v>1208</v>
      </c>
      <c r="H80" s="149" t="s">
        <v>1208</v>
      </c>
      <c r="I80" s="149" t="s">
        <v>1283</v>
      </c>
      <c r="J80" s="149" t="s">
        <v>1260</v>
      </c>
      <c r="K80" s="149" t="s">
        <v>1397</v>
      </c>
      <c r="L80" s="149" t="s">
        <v>1230</v>
      </c>
      <c r="M80" s="149" t="s">
        <v>1212</v>
      </c>
      <c r="N80" s="149" t="s">
        <v>1142</v>
      </c>
      <c r="O80" s="149" t="s">
        <v>1188</v>
      </c>
    </row>
    <row r="81" spans="1:15">
      <c r="A81" s="149" t="s">
        <v>621</v>
      </c>
      <c r="B81" s="149" t="s">
        <v>1308</v>
      </c>
      <c r="C81" s="149" t="s">
        <v>1416</v>
      </c>
      <c r="D81" s="149" t="s">
        <v>1421</v>
      </c>
      <c r="E81" s="149" t="s">
        <v>1422</v>
      </c>
      <c r="F81" s="149" t="s">
        <v>1313</v>
      </c>
      <c r="G81" s="149" t="s">
        <v>1390</v>
      </c>
      <c r="H81" s="149" t="s">
        <v>1240</v>
      </c>
      <c r="I81" s="149" t="s">
        <v>1255</v>
      </c>
      <c r="J81" s="149" t="s">
        <v>1241</v>
      </c>
      <c r="K81" s="149" t="s">
        <v>1328</v>
      </c>
      <c r="L81" s="149" t="s">
        <v>1258</v>
      </c>
      <c r="M81" s="149" t="s">
        <v>1329</v>
      </c>
      <c r="N81" s="149" t="s">
        <v>1156</v>
      </c>
      <c r="O81" s="149" t="s">
        <v>1158</v>
      </c>
    </row>
    <row r="82" spans="1:15">
      <c r="A82" s="149" t="s">
        <v>623</v>
      </c>
      <c r="B82" s="149" t="s">
        <v>1303</v>
      </c>
      <c r="C82" s="149" t="s">
        <v>1314</v>
      </c>
      <c r="D82" s="149" t="s">
        <v>1255</v>
      </c>
      <c r="E82" s="149" t="s">
        <v>1242</v>
      </c>
      <c r="F82" s="149" t="s">
        <v>1329</v>
      </c>
      <c r="G82" s="149" t="s">
        <v>1156</v>
      </c>
      <c r="H82" s="149" t="s">
        <v>1134</v>
      </c>
      <c r="I82" s="149" t="s">
        <v>1400</v>
      </c>
      <c r="J82" s="149" t="s">
        <v>1201</v>
      </c>
      <c r="K82" s="149" t="s">
        <v>1201</v>
      </c>
      <c r="L82" s="149" t="s">
        <v>1201</v>
      </c>
      <c r="M82" s="149" t="s">
        <v>1201</v>
      </c>
      <c r="N82" s="149" t="s">
        <v>1201</v>
      </c>
      <c r="O82" s="149" t="s">
        <v>1275</v>
      </c>
    </row>
    <row r="83" spans="1:15">
      <c r="A83" s="149" t="s">
        <v>257</v>
      </c>
      <c r="B83" s="149" t="s">
        <v>1383</v>
      </c>
      <c r="C83" s="149" t="s">
        <v>1266</v>
      </c>
      <c r="D83" s="149" t="s">
        <v>1399</v>
      </c>
      <c r="E83" s="149" t="s">
        <v>1195</v>
      </c>
      <c r="F83" s="149" t="s">
        <v>1386</v>
      </c>
      <c r="G83" s="149" t="s">
        <v>1173</v>
      </c>
      <c r="H83" s="149" t="s">
        <v>1196</v>
      </c>
      <c r="I83" s="149" t="s">
        <v>1178</v>
      </c>
      <c r="J83" s="149" t="s">
        <v>1235</v>
      </c>
      <c r="K83" s="149" t="s">
        <v>1236</v>
      </c>
      <c r="L83" s="149" t="s">
        <v>1265</v>
      </c>
      <c r="M83" s="149" t="s">
        <v>1333</v>
      </c>
      <c r="N83" s="149" t="s">
        <v>1289</v>
      </c>
      <c r="O83" s="149" t="s">
        <v>1289</v>
      </c>
    </row>
    <row r="84" spans="1:15">
      <c r="A84" s="149" t="s">
        <v>630</v>
      </c>
      <c r="B84" s="149" t="s">
        <v>1211</v>
      </c>
      <c r="C84" s="149" t="s">
        <v>1211</v>
      </c>
      <c r="D84" s="149" t="s">
        <v>1225</v>
      </c>
      <c r="E84" s="149" t="s">
        <v>1208</v>
      </c>
      <c r="F84" s="149" t="s">
        <v>1283</v>
      </c>
      <c r="G84" s="149" t="s">
        <v>1397</v>
      </c>
      <c r="H84" s="149" t="s">
        <v>1230</v>
      </c>
      <c r="I84" s="149" t="s">
        <v>1364</v>
      </c>
      <c r="J84" s="149" t="s">
        <v>1365</v>
      </c>
      <c r="K84" s="149" t="s">
        <v>1214</v>
      </c>
      <c r="L84" s="149" t="s">
        <v>1370</v>
      </c>
      <c r="M84" s="149" t="s">
        <v>1301</v>
      </c>
      <c r="N84" s="149" t="s">
        <v>1216</v>
      </c>
      <c r="O84" s="149" t="s">
        <v>1324</v>
      </c>
    </row>
    <row r="85" spans="1:15">
      <c r="A85" s="149" t="s">
        <v>636</v>
      </c>
      <c r="B85" s="149" t="s">
        <v>1230</v>
      </c>
      <c r="C85" s="149" t="s">
        <v>1188</v>
      </c>
      <c r="D85" s="149" t="s">
        <v>1143</v>
      </c>
      <c r="E85" s="149" t="s">
        <v>1370</v>
      </c>
      <c r="F85" s="149" t="s">
        <v>1247</v>
      </c>
      <c r="G85" s="149" t="s">
        <v>1229</v>
      </c>
      <c r="H85" s="149" t="s">
        <v>1302</v>
      </c>
      <c r="I85" s="149" t="s">
        <v>1220</v>
      </c>
      <c r="J85" s="149" t="s">
        <v>1147</v>
      </c>
      <c r="K85" s="149" t="s">
        <v>1381</v>
      </c>
      <c r="L85" s="149" t="s">
        <v>1350</v>
      </c>
      <c r="M85" s="149" t="s">
        <v>1358</v>
      </c>
      <c r="N85" s="149" t="s">
        <v>1290</v>
      </c>
      <c r="O85" s="149" t="s">
        <v>1423</v>
      </c>
    </row>
    <row r="86" spans="1:15">
      <c r="A86" s="149" t="s">
        <v>638</v>
      </c>
      <c r="B86" s="149" t="s">
        <v>1249</v>
      </c>
      <c r="C86" s="149" t="s">
        <v>1193</v>
      </c>
      <c r="D86" s="149" t="s">
        <v>1386</v>
      </c>
      <c r="E86" s="149" t="s">
        <v>1200</v>
      </c>
      <c r="F86" s="149" t="s">
        <v>1235</v>
      </c>
      <c r="G86" s="149" t="s">
        <v>1404</v>
      </c>
      <c r="H86" s="149" t="s">
        <v>1332</v>
      </c>
      <c r="I86" s="149" t="s">
        <v>1289</v>
      </c>
      <c r="J86" s="149" t="s">
        <v>1358</v>
      </c>
      <c r="K86" s="149" t="s">
        <v>1297</v>
      </c>
      <c r="L86" s="149" t="s">
        <v>1424</v>
      </c>
      <c r="M86" s="149" t="s">
        <v>1425</v>
      </c>
      <c r="N86" s="149" t="s">
        <v>1334</v>
      </c>
      <c r="O86" s="149" t="s">
        <v>1426</v>
      </c>
    </row>
    <row r="87" spans="1:15">
      <c r="A87" s="149" t="s">
        <v>642</v>
      </c>
      <c r="B87" s="149" t="s">
        <v>1135</v>
      </c>
      <c r="C87" s="149" t="s">
        <v>1319</v>
      </c>
      <c r="D87" s="149" t="s">
        <v>1204</v>
      </c>
      <c r="E87" s="149" t="s">
        <v>1224</v>
      </c>
      <c r="F87" s="149" t="s">
        <v>1225</v>
      </c>
      <c r="G87" s="149" t="s">
        <v>1187</v>
      </c>
      <c r="H87" s="149" t="s">
        <v>1188</v>
      </c>
      <c r="I87" s="149" t="s">
        <v>1379</v>
      </c>
      <c r="J87" s="149" t="s">
        <v>1263</v>
      </c>
      <c r="K87" s="149" t="s">
        <v>1325</v>
      </c>
      <c r="L87" s="149" t="s">
        <v>1173</v>
      </c>
      <c r="M87" s="149" t="s">
        <v>1331</v>
      </c>
      <c r="N87" s="149" t="s">
        <v>1358</v>
      </c>
      <c r="O87" s="149" t="s">
        <v>1405</v>
      </c>
    </row>
    <row r="88" spans="1:15">
      <c r="A88" s="149" t="s">
        <v>646</v>
      </c>
      <c r="B88" s="149" t="s">
        <v>1143</v>
      </c>
      <c r="C88" s="149" t="s">
        <v>1262</v>
      </c>
      <c r="D88" s="149" t="s">
        <v>1232</v>
      </c>
      <c r="E88" s="149" t="s">
        <v>1247</v>
      </c>
      <c r="F88" s="149" t="s">
        <v>1216</v>
      </c>
      <c r="G88" s="149" t="s">
        <v>1367</v>
      </c>
      <c r="H88" s="149" t="s">
        <v>1302</v>
      </c>
      <c r="I88" s="149" t="s">
        <v>1266</v>
      </c>
      <c r="J88" s="149" t="s">
        <v>1173</v>
      </c>
      <c r="K88" s="149" t="s">
        <v>1268</v>
      </c>
      <c r="L88" s="149" t="s">
        <v>1235</v>
      </c>
      <c r="M88" s="149" t="s">
        <v>1339</v>
      </c>
      <c r="N88" s="149" t="s">
        <v>1236</v>
      </c>
      <c r="O88" s="149" t="s">
        <v>1287</v>
      </c>
    </row>
    <row r="89" spans="1:15">
      <c r="A89" s="149" t="s">
        <v>648</v>
      </c>
      <c r="B89" s="149" t="s">
        <v>1223</v>
      </c>
      <c r="C89" s="149" t="s">
        <v>1153</v>
      </c>
      <c r="D89" s="149" t="s">
        <v>1392</v>
      </c>
      <c r="E89" s="149" t="s">
        <v>1184</v>
      </c>
      <c r="F89" s="149" t="s">
        <v>1207</v>
      </c>
      <c r="G89" s="149" t="s">
        <v>1282</v>
      </c>
      <c r="H89" s="149" t="s">
        <v>1282</v>
      </c>
      <c r="I89" s="149" t="s">
        <v>1141</v>
      </c>
      <c r="J89" s="149" t="s">
        <v>1231</v>
      </c>
      <c r="K89" s="149" t="s">
        <v>1228</v>
      </c>
      <c r="L89" s="149" t="s">
        <v>1301</v>
      </c>
      <c r="M89" s="149" t="s">
        <v>1229</v>
      </c>
      <c r="N89" s="149" t="s">
        <v>1385</v>
      </c>
      <c r="O89" s="149" t="s">
        <v>1369</v>
      </c>
    </row>
    <row r="90" spans="1:15">
      <c r="A90" s="149" t="s">
        <v>650</v>
      </c>
      <c r="B90" s="149" t="s">
        <v>1412</v>
      </c>
      <c r="C90" s="149" t="s">
        <v>1327</v>
      </c>
      <c r="D90" s="149" t="s">
        <v>1255</v>
      </c>
      <c r="E90" s="149" t="s">
        <v>1241</v>
      </c>
      <c r="F90" s="149" t="s">
        <v>1328</v>
      </c>
      <c r="G90" s="149" t="s">
        <v>1242</v>
      </c>
      <c r="H90" s="149" t="s">
        <v>1330</v>
      </c>
      <c r="I90" s="149" t="s">
        <v>1155</v>
      </c>
      <c r="J90" s="149" t="s">
        <v>1245</v>
      </c>
      <c r="K90" s="149" t="s">
        <v>1164</v>
      </c>
      <c r="L90" s="149" t="s">
        <v>1160</v>
      </c>
      <c r="M90" s="149" t="s">
        <v>1316</v>
      </c>
      <c r="N90" s="149" t="s">
        <v>1136</v>
      </c>
      <c r="O90" s="149" t="s">
        <v>1393</v>
      </c>
    </row>
    <row r="91" spans="1:15">
      <c r="A91" s="149" t="s">
        <v>652</v>
      </c>
      <c r="B91" s="149" t="s">
        <v>1427</v>
      </c>
      <c r="C91" s="149" t="s">
        <v>1253</v>
      </c>
      <c r="D91" s="149" t="s">
        <v>1254</v>
      </c>
      <c r="E91" s="149" t="s">
        <v>1428</v>
      </c>
      <c r="F91" s="149" t="s">
        <v>1240</v>
      </c>
      <c r="G91" s="149" t="s">
        <v>1255</v>
      </c>
      <c r="H91" s="149" t="s">
        <v>1328</v>
      </c>
      <c r="I91" s="149" t="s">
        <v>1258</v>
      </c>
      <c r="J91" s="149" t="s">
        <v>1304</v>
      </c>
      <c r="K91" s="149" t="s">
        <v>1243</v>
      </c>
      <c r="L91" s="149" t="s">
        <v>1329</v>
      </c>
      <c r="M91" s="149" t="s">
        <v>1155</v>
      </c>
      <c r="N91" s="149" t="s">
        <v>1245</v>
      </c>
      <c r="O91" s="149" t="s">
        <v>1159</v>
      </c>
    </row>
    <row r="92" spans="1:15">
      <c r="A92" s="149" t="s">
        <v>654</v>
      </c>
      <c r="B92" s="149" t="s">
        <v>1413</v>
      </c>
      <c r="C92" s="149" t="s">
        <v>1160</v>
      </c>
      <c r="D92" s="149" t="s">
        <v>1136</v>
      </c>
      <c r="E92" s="149" t="s">
        <v>1148</v>
      </c>
      <c r="F92" s="149" t="s">
        <v>1153</v>
      </c>
      <c r="G92" s="149" t="s">
        <v>1183</v>
      </c>
      <c r="H92" s="149" t="s">
        <v>1282</v>
      </c>
      <c r="I92" s="149" t="s">
        <v>1317</v>
      </c>
      <c r="J92" s="149" t="s">
        <v>1212</v>
      </c>
      <c r="K92" s="149" t="s">
        <v>1213</v>
      </c>
      <c r="L92" s="149" t="s">
        <v>1143</v>
      </c>
      <c r="M92" s="149" t="s">
        <v>1370</v>
      </c>
      <c r="N92" s="149" t="s">
        <v>1215</v>
      </c>
      <c r="O92" s="149" t="s">
        <v>1168</v>
      </c>
    </row>
    <row r="93" spans="1:15">
      <c r="A93" s="149" t="s">
        <v>656</v>
      </c>
      <c r="B93" s="149" t="s">
        <v>1257</v>
      </c>
      <c r="C93" s="149" t="s">
        <v>1329</v>
      </c>
      <c r="D93" s="149" t="s">
        <v>1245</v>
      </c>
      <c r="E93" s="149" t="s">
        <v>1164</v>
      </c>
      <c r="F93" s="149" t="s">
        <v>1305</v>
      </c>
      <c r="G93" s="149" t="s">
        <v>1316</v>
      </c>
      <c r="H93" s="149" t="s">
        <v>1136</v>
      </c>
      <c r="I93" s="149" t="s">
        <v>1315</v>
      </c>
      <c r="J93" s="149" t="s">
        <v>1181</v>
      </c>
      <c r="K93" s="149" t="s">
        <v>1393</v>
      </c>
      <c r="L93" s="149" t="s">
        <v>1393</v>
      </c>
      <c r="M93" s="149" t="s">
        <v>1276</v>
      </c>
      <c r="N93" s="149" t="s">
        <v>1222</v>
      </c>
      <c r="O93" s="149" t="s">
        <v>1393</v>
      </c>
    </row>
    <row r="94" spans="1:15">
      <c r="A94" s="149" t="s">
        <v>660</v>
      </c>
      <c r="B94" s="149" t="s">
        <v>1316</v>
      </c>
      <c r="C94" s="149" t="s">
        <v>1315</v>
      </c>
      <c r="D94" s="149" t="s">
        <v>1393</v>
      </c>
      <c r="E94" s="149" t="s">
        <v>1148</v>
      </c>
      <c r="F94" s="149" t="s">
        <v>1320</v>
      </c>
      <c r="G94" s="149" t="s">
        <v>1138</v>
      </c>
      <c r="H94" s="149" t="s">
        <v>1182</v>
      </c>
      <c r="I94" s="149" t="s">
        <v>1140</v>
      </c>
      <c r="J94" s="149" t="s">
        <v>1377</v>
      </c>
      <c r="K94" s="149" t="s">
        <v>1188</v>
      </c>
      <c r="L94" s="149" t="s">
        <v>1228</v>
      </c>
      <c r="M94" s="149" t="s">
        <v>1411</v>
      </c>
      <c r="N94" s="149" t="s">
        <v>1191</v>
      </c>
      <c r="O94" s="149" t="s">
        <v>1218</v>
      </c>
    </row>
    <row r="95" spans="1:15">
      <c r="A95" s="149" t="s">
        <v>662</v>
      </c>
      <c r="B95" s="149" t="s">
        <v>1157</v>
      </c>
      <c r="C95" s="149" t="s">
        <v>1158</v>
      </c>
      <c r="D95" s="149" t="s">
        <v>1159</v>
      </c>
      <c r="E95" s="149" t="s">
        <v>1160</v>
      </c>
      <c r="F95" s="149" t="s">
        <v>1163</v>
      </c>
      <c r="G95" s="149" t="s">
        <v>1221</v>
      </c>
      <c r="H95" s="149" t="s">
        <v>1162</v>
      </c>
      <c r="I95" s="149" t="s">
        <v>1180</v>
      </c>
      <c r="J95" s="149" t="s">
        <v>1275</v>
      </c>
      <c r="K95" s="149" t="s">
        <v>1136</v>
      </c>
      <c r="L95" s="149" t="s">
        <v>1201</v>
      </c>
      <c r="M95" s="149" t="s">
        <v>1319</v>
      </c>
      <c r="N95" s="149" t="s">
        <v>1202</v>
      </c>
      <c r="O95" s="149" t="s">
        <v>1276</v>
      </c>
    </row>
    <row r="96" spans="1:15">
      <c r="A96" s="149" t="s">
        <v>666</v>
      </c>
      <c r="B96" s="149" t="s">
        <v>1301</v>
      </c>
      <c r="C96" s="149" t="s">
        <v>1411</v>
      </c>
      <c r="D96" s="149" t="s">
        <v>1248</v>
      </c>
      <c r="E96" s="149" t="s">
        <v>1323</v>
      </c>
      <c r="F96" s="149" t="s">
        <v>1191</v>
      </c>
      <c r="G96" s="149" t="s">
        <v>1368</v>
      </c>
      <c r="H96" s="149" t="s">
        <v>1391</v>
      </c>
      <c r="I96" s="149" t="s">
        <v>1194</v>
      </c>
      <c r="J96" s="149" t="s">
        <v>1194</v>
      </c>
      <c r="K96" s="149" t="s">
        <v>1383</v>
      </c>
      <c r="L96" s="149" t="s">
        <v>1383</v>
      </c>
      <c r="M96" s="149" t="s">
        <v>1266</v>
      </c>
      <c r="N96" s="149" t="s">
        <v>1399</v>
      </c>
      <c r="O96" s="149" t="s">
        <v>1220</v>
      </c>
    </row>
    <row r="97" spans="1:15">
      <c r="A97" s="149" t="s">
        <v>668</v>
      </c>
      <c r="B97" s="149" t="s">
        <v>1189</v>
      </c>
      <c r="C97" s="149" t="s">
        <v>1168</v>
      </c>
      <c r="D97" s="149" t="s">
        <v>1367</v>
      </c>
      <c r="E97" s="149" t="s">
        <v>1171</v>
      </c>
      <c r="F97" s="149" t="s">
        <v>1383</v>
      </c>
      <c r="G97" s="149" t="s">
        <v>1147</v>
      </c>
      <c r="H97" s="149" t="s">
        <v>1176</v>
      </c>
      <c r="I97" s="149" t="s">
        <v>1406</v>
      </c>
      <c r="J97" s="149" t="s">
        <v>1339</v>
      </c>
      <c r="K97" s="149" t="s">
        <v>1350</v>
      </c>
      <c r="L97" s="149" t="s">
        <v>1353</v>
      </c>
      <c r="M97" s="149" t="s">
        <v>1415</v>
      </c>
      <c r="N97" s="149" t="s">
        <v>1429</v>
      </c>
      <c r="O97" s="149" t="s">
        <v>1291</v>
      </c>
    </row>
    <row r="98" spans="1:15">
      <c r="A98" s="149" t="s">
        <v>670</v>
      </c>
      <c r="B98" s="149" t="s">
        <v>1313</v>
      </c>
      <c r="C98" s="149" t="s">
        <v>1327</v>
      </c>
      <c r="D98" s="149" t="s">
        <v>1258</v>
      </c>
      <c r="E98" s="149" t="s">
        <v>1413</v>
      </c>
      <c r="F98" s="149" t="s">
        <v>1159</v>
      </c>
      <c r="G98" s="149" t="s">
        <v>1306</v>
      </c>
      <c r="H98" s="149" t="s">
        <v>1161</v>
      </c>
      <c r="I98" s="149" t="s">
        <v>1137</v>
      </c>
      <c r="J98" s="149" t="s">
        <v>1222</v>
      </c>
      <c r="K98" s="149" t="s">
        <v>1149</v>
      </c>
      <c r="L98" s="149" t="s">
        <v>1320</v>
      </c>
      <c r="M98" s="149" t="s">
        <v>1204</v>
      </c>
      <c r="N98" s="149" t="s">
        <v>1152</v>
      </c>
      <c r="O98" s="149" t="s">
        <v>1153</v>
      </c>
    </row>
    <row r="99" spans="1:15">
      <c r="A99" s="149" t="s">
        <v>672</v>
      </c>
      <c r="B99" s="149" t="s">
        <v>1258</v>
      </c>
      <c r="C99" s="149" t="s">
        <v>1244</v>
      </c>
      <c r="D99" s="149" t="s">
        <v>1157</v>
      </c>
      <c r="E99" s="149" t="s">
        <v>1246</v>
      </c>
      <c r="F99" s="149" t="s">
        <v>1163</v>
      </c>
      <c r="G99" s="149" t="s">
        <v>1162</v>
      </c>
      <c r="H99" s="149" t="s">
        <v>1201</v>
      </c>
      <c r="I99" s="149" t="s">
        <v>1276</v>
      </c>
      <c r="J99" s="149" t="s">
        <v>1181</v>
      </c>
      <c r="K99" s="149" t="s">
        <v>1315</v>
      </c>
      <c r="L99" s="149" t="s">
        <v>1222</v>
      </c>
      <c r="M99" s="149" t="s">
        <v>1204</v>
      </c>
      <c r="N99" s="149" t="s">
        <v>1299</v>
      </c>
      <c r="O99" s="149" t="s">
        <v>1321</v>
      </c>
    </row>
    <row r="100" spans="1:15">
      <c r="A100" s="149" t="s">
        <v>674</v>
      </c>
      <c r="B100" s="149" t="s">
        <v>1135</v>
      </c>
      <c r="C100" s="149" t="s">
        <v>1315</v>
      </c>
      <c r="D100" s="149" t="s">
        <v>1320</v>
      </c>
      <c r="E100" s="149" t="s">
        <v>1392</v>
      </c>
      <c r="F100" s="149" t="s">
        <v>1376</v>
      </c>
      <c r="G100" s="149" t="s">
        <v>1397</v>
      </c>
      <c r="H100" s="149" t="s">
        <v>1188</v>
      </c>
      <c r="I100" s="149" t="s">
        <v>1214</v>
      </c>
      <c r="J100" s="149" t="s">
        <v>1168</v>
      </c>
      <c r="K100" s="149" t="s">
        <v>1355</v>
      </c>
      <c r="L100" s="149" t="s">
        <v>1146</v>
      </c>
      <c r="M100" s="149" t="s">
        <v>1267</v>
      </c>
      <c r="N100" s="149" t="s">
        <v>1175</v>
      </c>
      <c r="O100" s="149" t="s">
        <v>1372</v>
      </c>
    </row>
    <row r="101" spans="1:15">
      <c r="A101" s="149" t="s">
        <v>678</v>
      </c>
      <c r="B101" s="149" t="s">
        <v>1166</v>
      </c>
      <c r="C101" s="149" t="s">
        <v>1228</v>
      </c>
      <c r="D101" s="149" t="s">
        <v>1370</v>
      </c>
      <c r="E101" s="149" t="s">
        <v>1215</v>
      </c>
      <c r="F101" s="149" t="s">
        <v>1301</v>
      </c>
      <c r="G101" s="149" t="s">
        <v>1190</v>
      </c>
      <c r="H101" s="149" t="s">
        <v>1322</v>
      </c>
      <c r="I101" s="149" t="s">
        <v>1302</v>
      </c>
      <c r="J101" s="149" t="s">
        <v>1217</v>
      </c>
      <c r="K101" s="149" t="s">
        <v>1193</v>
      </c>
      <c r="L101" s="149" t="s">
        <v>1399</v>
      </c>
      <c r="M101" s="149" t="s">
        <v>1196</v>
      </c>
      <c r="N101" s="149" t="s">
        <v>1174</v>
      </c>
      <c r="O101" s="149" t="s">
        <v>1264</v>
      </c>
    </row>
    <row r="102" spans="1:15">
      <c r="A102" s="149" t="s">
        <v>680</v>
      </c>
      <c r="B102" s="149" t="s">
        <v>1284</v>
      </c>
      <c r="C102" s="149" t="s">
        <v>1215</v>
      </c>
      <c r="D102" s="149" t="s">
        <v>1263</v>
      </c>
      <c r="E102" s="149" t="s">
        <v>1191</v>
      </c>
      <c r="F102" s="149" t="s">
        <v>1218</v>
      </c>
      <c r="G102" s="149" t="s">
        <v>1325</v>
      </c>
      <c r="H102" s="149" t="s">
        <v>1324</v>
      </c>
      <c r="I102" s="149" t="s">
        <v>1355</v>
      </c>
      <c r="J102" s="149" t="s">
        <v>1229</v>
      </c>
      <c r="K102" s="149" t="s">
        <v>1248</v>
      </c>
      <c r="L102" s="149" t="s">
        <v>1216</v>
      </c>
      <c r="M102" s="149" t="s">
        <v>1248</v>
      </c>
      <c r="N102" s="149" t="s">
        <v>1248</v>
      </c>
      <c r="O102" s="149" t="s">
        <v>1430</v>
      </c>
    </row>
    <row r="103" spans="1:15">
      <c r="A103" s="149" t="s">
        <v>682</v>
      </c>
      <c r="B103" s="149" t="s">
        <v>1314</v>
      </c>
      <c r="C103" s="149" t="s">
        <v>1255</v>
      </c>
      <c r="D103" s="149" t="s">
        <v>1242</v>
      </c>
      <c r="E103" s="149" t="s">
        <v>1329</v>
      </c>
      <c r="F103" s="149" t="s">
        <v>1413</v>
      </c>
      <c r="G103" s="149" t="s">
        <v>1165</v>
      </c>
      <c r="H103" s="149" t="s">
        <v>1159</v>
      </c>
      <c r="I103" s="149" t="s">
        <v>1161</v>
      </c>
      <c r="J103" s="149" t="s">
        <v>1136</v>
      </c>
      <c r="K103" s="149" t="s">
        <v>1393</v>
      </c>
      <c r="L103" s="149" t="s">
        <v>1276</v>
      </c>
      <c r="M103" s="149" t="s">
        <v>1148</v>
      </c>
      <c r="N103" s="149" t="s">
        <v>1259</v>
      </c>
      <c r="O103" s="149" t="s">
        <v>1149</v>
      </c>
    </row>
    <row r="104" spans="1:15">
      <c r="A104" s="149" t="s">
        <v>686</v>
      </c>
      <c r="B104" s="149" t="s">
        <v>1280</v>
      </c>
      <c r="C104" s="149" t="s">
        <v>1218</v>
      </c>
      <c r="D104" s="149" t="s">
        <v>1219</v>
      </c>
      <c r="E104" s="149" t="s">
        <v>1220</v>
      </c>
      <c r="F104" s="149" t="s">
        <v>1147</v>
      </c>
      <c r="G104" s="149" t="s">
        <v>1174</v>
      </c>
      <c r="H104" s="149" t="s">
        <v>1268</v>
      </c>
      <c r="I104" s="149" t="s">
        <v>1381</v>
      </c>
      <c r="J104" s="149" t="s">
        <v>1381</v>
      </c>
      <c r="K104" s="149" t="s">
        <v>1404</v>
      </c>
      <c r="L104" s="149" t="s">
        <v>1269</v>
      </c>
      <c r="M104" s="149" t="s">
        <v>1407</v>
      </c>
      <c r="N104" s="149" t="s">
        <v>1265</v>
      </c>
      <c r="O104" s="149" t="s">
        <v>1353</v>
      </c>
    </row>
    <row r="105" spans="1:15">
      <c r="A105" s="149" t="s">
        <v>688</v>
      </c>
      <c r="B105" s="149" t="s">
        <v>1427</v>
      </c>
      <c r="C105" s="149" t="s">
        <v>1326</v>
      </c>
      <c r="D105" s="149" t="s">
        <v>1390</v>
      </c>
      <c r="E105" s="149" t="s">
        <v>1412</v>
      </c>
      <c r="F105" s="149" t="s">
        <v>1241</v>
      </c>
      <c r="G105" s="149" t="s">
        <v>1258</v>
      </c>
      <c r="H105" s="149" t="s">
        <v>1329</v>
      </c>
      <c r="I105" s="149" t="s">
        <v>1413</v>
      </c>
      <c r="J105" s="149" t="s">
        <v>1413</v>
      </c>
      <c r="K105" s="149" t="s">
        <v>1396</v>
      </c>
      <c r="L105" s="149" t="s">
        <v>1413</v>
      </c>
      <c r="M105" s="149" t="s">
        <v>1413</v>
      </c>
      <c r="N105" s="149" t="s">
        <v>1396</v>
      </c>
      <c r="O105" s="149" t="s">
        <v>1413</v>
      </c>
    </row>
    <row r="106" spans="1:15">
      <c r="A106" s="149" t="s">
        <v>690</v>
      </c>
      <c r="B106" s="149" t="s">
        <v>1262</v>
      </c>
      <c r="C106" s="149" t="s">
        <v>1168</v>
      </c>
      <c r="D106" s="149" t="s">
        <v>1229</v>
      </c>
      <c r="E106" s="149" t="s">
        <v>1280</v>
      </c>
      <c r="F106" s="149" t="s">
        <v>1146</v>
      </c>
      <c r="G106" s="149" t="s">
        <v>1220</v>
      </c>
      <c r="H106" s="149" t="s">
        <v>1285</v>
      </c>
      <c r="I106" s="149" t="s">
        <v>1176</v>
      </c>
      <c r="J106" s="149" t="s">
        <v>1198</v>
      </c>
      <c r="K106" s="149" t="s">
        <v>1286</v>
      </c>
      <c r="L106" s="149" t="s">
        <v>1179</v>
      </c>
      <c r="M106" s="149" t="s">
        <v>1331</v>
      </c>
      <c r="N106" s="149" t="s">
        <v>1382</v>
      </c>
      <c r="O106" s="149" t="s">
        <v>1236</v>
      </c>
    </row>
    <row r="107" spans="1:15">
      <c r="A107" s="149" t="s">
        <v>692</v>
      </c>
      <c r="B107" s="149" t="s">
        <v>1194</v>
      </c>
      <c r="C107" s="149" t="s">
        <v>1147</v>
      </c>
      <c r="D107" s="149" t="s">
        <v>1176</v>
      </c>
      <c r="E107" s="149" t="s">
        <v>1331</v>
      </c>
      <c r="F107" s="149" t="s">
        <v>1265</v>
      </c>
      <c r="G107" s="149" t="s">
        <v>1237</v>
      </c>
      <c r="H107" s="149" t="s">
        <v>1426</v>
      </c>
      <c r="I107" s="149" t="s">
        <v>1409</v>
      </c>
      <c r="J107" s="149" t="s">
        <v>1387</v>
      </c>
      <c r="K107" s="149" t="s">
        <v>1431</v>
      </c>
      <c r="L107" s="149" t="s">
        <v>1420</v>
      </c>
      <c r="M107" s="149" t="s">
        <v>1294</v>
      </c>
      <c r="N107" s="149" t="s">
        <v>1410</v>
      </c>
      <c r="O107" s="149" t="s">
        <v>1432</v>
      </c>
    </row>
    <row r="108" spans="1:15">
      <c r="A108" s="149" t="s">
        <v>244</v>
      </c>
      <c r="B108" s="149" t="s">
        <v>1164</v>
      </c>
      <c r="C108" s="149" t="s">
        <v>1400</v>
      </c>
      <c r="D108" s="149" t="s">
        <v>1305</v>
      </c>
      <c r="E108" s="149" t="s">
        <v>1163</v>
      </c>
      <c r="F108" s="149" t="s">
        <v>1316</v>
      </c>
      <c r="G108" s="149" t="s">
        <v>1180</v>
      </c>
      <c r="H108" s="149" t="s">
        <v>1136</v>
      </c>
      <c r="I108" s="149" t="s">
        <v>1276</v>
      </c>
      <c r="J108" s="149" t="s">
        <v>1320</v>
      </c>
      <c r="K108" s="149" t="s">
        <v>1153</v>
      </c>
      <c r="L108" s="149" t="s">
        <v>1300</v>
      </c>
      <c r="M108" s="149" t="s">
        <v>1376</v>
      </c>
      <c r="N108" s="149" t="s">
        <v>1260</v>
      </c>
      <c r="O108" s="149" t="s">
        <v>1142</v>
      </c>
    </row>
    <row r="109" spans="1:15">
      <c r="A109" s="149" t="s">
        <v>695</v>
      </c>
      <c r="B109" s="149" t="s">
        <v>1226</v>
      </c>
      <c r="C109" s="149" t="s">
        <v>1365</v>
      </c>
      <c r="D109" s="149" t="s">
        <v>1214</v>
      </c>
      <c r="E109" s="149" t="s">
        <v>1167</v>
      </c>
      <c r="F109" s="149" t="s">
        <v>1247</v>
      </c>
      <c r="G109" s="149" t="s">
        <v>1216</v>
      </c>
      <c r="H109" s="149" t="s">
        <v>1323</v>
      </c>
      <c r="I109" s="149" t="s">
        <v>1302</v>
      </c>
      <c r="J109" s="149" t="s">
        <v>1266</v>
      </c>
      <c r="K109" s="149" t="s">
        <v>1200</v>
      </c>
      <c r="L109" s="149" t="s">
        <v>1286</v>
      </c>
      <c r="M109" s="149" t="s">
        <v>1373</v>
      </c>
      <c r="N109" s="149" t="s">
        <v>1289</v>
      </c>
      <c r="O109" s="149" t="s">
        <v>1433</v>
      </c>
    </row>
    <row r="110" spans="1:15">
      <c r="A110" s="149" t="s">
        <v>697</v>
      </c>
      <c r="B110" s="149" t="s">
        <v>1281</v>
      </c>
      <c r="C110" s="149" t="s">
        <v>1282</v>
      </c>
      <c r="D110" s="149" t="s">
        <v>1283</v>
      </c>
      <c r="E110" s="149" t="s">
        <v>1317</v>
      </c>
      <c r="F110" s="149" t="s">
        <v>1212</v>
      </c>
      <c r="G110" s="149" t="s">
        <v>1231</v>
      </c>
      <c r="H110" s="149" t="s">
        <v>1227</v>
      </c>
      <c r="I110" s="149" t="s">
        <v>1143</v>
      </c>
      <c r="J110" s="149" t="s">
        <v>1228</v>
      </c>
      <c r="K110" s="149" t="s">
        <v>1215</v>
      </c>
      <c r="L110" s="149" t="s">
        <v>1190</v>
      </c>
      <c r="M110" s="149" t="s">
        <v>1169</v>
      </c>
      <c r="N110" s="149" t="s">
        <v>1324</v>
      </c>
      <c r="O110" s="149" t="s">
        <v>1385</v>
      </c>
    </row>
    <row r="111" spans="1:15">
      <c r="A111" s="149" t="s">
        <v>1434</v>
      </c>
      <c r="B111" s="149" t="s">
        <v>1225</v>
      </c>
      <c r="C111" s="149" t="s">
        <v>1227</v>
      </c>
      <c r="D111" s="149" t="s">
        <v>1168</v>
      </c>
      <c r="E111" s="149" t="s">
        <v>1325</v>
      </c>
      <c r="F111" s="149" t="s">
        <v>1173</v>
      </c>
      <c r="G111" s="149" t="s">
        <v>1179</v>
      </c>
      <c r="H111" s="149" t="s">
        <v>1288</v>
      </c>
      <c r="I111" s="149" t="s">
        <v>1374</v>
      </c>
      <c r="J111" s="149" t="s">
        <v>1375</v>
      </c>
      <c r="K111" s="149" t="s">
        <v>1289</v>
      </c>
      <c r="L111" s="149" t="s">
        <v>1424</v>
      </c>
      <c r="M111" s="149" t="s">
        <v>1426</v>
      </c>
      <c r="N111" s="149" t="s">
        <v>1433</v>
      </c>
      <c r="O111" s="149" t="s">
        <v>1360</v>
      </c>
    </row>
    <row r="112" spans="1:15">
      <c r="A112" s="149" t="s">
        <v>701</v>
      </c>
      <c r="B112" s="149" t="s">
        <v>1366</v>
      </c>
      <c r="C112" s="149" t="s">
        <v>1263</v>
      </c>
      <c r="D112" s="149" t="s">
        <v>1145</v>
      </c>
      <c r="E112" s="149" t="s">
        <v>1368</v>
      </c>
      <c r="F112" s="149" t="s">
        <v>1219</v>
      </c>
      <c r="G112" s="149" t="s">
        <v>1266</v>
      </c>
      <c r="H112" s="149" t="s">
        <v>1195</v>
      </c>
      <c r="I112" s="149" t="s">
        <v>1267</v>
      </c>
      <c r="J112" s="149" t="s">
        <v>1196</v>
      </c>
      <c r="K112" s="149" t="s">
        <v>1401</v>
      </c>
      <c r="L112" s="149" t="s">
        <v>1177</v>
      </c>
      <c r="M112" s="149" t="s">
        <v>1268</v>
      </c>
      <c r="N112" s="149" t="s">
        <v>1179</v>
      </c>
      <c r="O112" s="149" t="s">
        <v>1339</v>
      </c>
    </row>
    <row r="113" spans="1:15">
      <c r="A113" s="149" t="s">
        <v>1435</v>
      </c>
      <c r="B113" s="149" t="s">
        <v>1242</v>
      </c>
      <c r="C113" s="149" t="s">
        <v>1330</v>
      </c>
      <c r="D113" s="149" t="s">
        <v>1329</v>
      </c>
      <c r="E113" s="149" t="s">
        <v>1244</v>
      </c>
      <c r="F113" s="149" t="s">
        <v>1413</v>
      </c>
      <c r="G113" s="149" t="s">
        <v>1245</v>
      </c>
      <c r="H113" s="149" t="s">
        <v>1165</v>
      </c>
      <c r="I113" s="149" t="s">
        <v>1159</v>
      </c>
      <c r="J113" s="149" t="s">
        <v>1164</v>
      </c>
      <c r="K113" s="149" t="s">
        <v>1246</v>
      </c>
      <c r="L113" s="149" t="s">
        <v>1160</v>
      </c>
      <c r="M113" s="149" t="s">
        <v>1306</v>
      </c>
      <c r="N113" s="149" t="s">
        <v>1162</v>
      </c>
      <c r="O113" s="149" t="s">
        <v>1136</v>
      </c>
    </row>
    <row r="114" spans="1:15">
      <c r="A114" s="149" t="s">
        <v>703</v>
      </c>
      <c r="B114" s="149" t="s">
        <v>1209</v>
      </c>
      <c r="C114" s="149" t="s">
        <v>1205</v>
      </c>
      <c r="D114" s="149" t="s">
        <v>1282</v>
      </c>
      <c r="E114" s="149" t="s">
        <v>1317</v>
      </c>
      <c r="F114" s="149" t="s">
        <v>1231</v>
      </c>
      <c r="G114" s="149" t="s">
        <v>1166</v>
      </c>
      <c r="H114" s="149" t="s">
        <v>1232</v>
      </c>
      <c r="I114" s="149" t="s">
        <v>1263</v>
      </c>
      <c r="J114" s="149" t="s">
        <v>1324</v>
      </c>
      <c r="K114" s="149" t="s">
        <v>1218</v>
      </c>
      <c r="L114" s="149" t="s">
        <v>1266</v>
      </c>
      <c r="M114" s="149" t="s">
        <v>1401</v>
      </c>
      <c r="N114" s="149" t="s">
        <v>1235</v>
      </c>
      <c r="O114" s="149" t="s">
        <v>1236</v>
      </c>
    </row>
    <row r="115" spans="1:15">
      <c r="A115" s="149" t="s">
        <v>1118</v>
      </c>
      <c r="B115" s="149" t="s">
        <v>1413</v>
      </c>
      <c r="C115" s="149" t="s">
        <v>1400</v>
      </c>
      <c r="D115" s="149" t="s">
        <v>1135</v>
      </c>
      <c r="E115" s="149" t="s">
        <v>1191</v>
      </c>
      <c r="F115" s="149" t="s">
        <v>1174</v>
      </c>
      <c r="G115" s="149" t="s">
        <v>1147</v>
      </c>
      <c r="H115" s="149" t="s">
        <v>1177</v>
      </c>
      <c r="I115" s="149" t="s">
        <v>1402</v>
      </c>
      <c r="J115" s="149" t="s">
        <v>1382</v>
      </c>
      <c r="K115" s="149" t="s">
        <v>1351</v>
      </c>
      <c r="L115" s="149" t="s">
        <v>1374</v>
      </c>
      <c r="M115" s="149" t="s">
        <v>1237</v>
      </c>
      <c r="N115" s="149" t="s">
        <v>1425</v>
      </c>
      <c r="O115" s="149" t="s">
        <v>1429</v>
      </c>
    </row>
    <row r="116" spans="1:15">
      <c r="A116" s="149" t="s">
        <v>707</v>
      </c>
      <c r="B116" s="149" t="s">
        <v>1162</v>
      </c>
      <c r="C116" s="149" t="s">
        <v>1275</v>
      </c>
      <c r="D116" s="149" t="s">
        <v>1161</v>
      </c>
      <c r="E116" s="149" t="s">
        <v>1201</v>
      </c>
      <c r="F116" s="149" t="s">
        <v>1319</v>
      </c>
      <c r="G116" s="149" t="s">
        <v>1181</v>
      </c>
      <c r="H116" s="149" t="s">
        <v>1393</v>
      </c>
      <c r="I116" s="149" t="s">
        <v>1137</v>
      </c>
      <c r="J116" s="149" t="s">
        <v>1222</v>
      </c>
      <c r="K116" s="149" t="s">
        <v>1222</v>
      </c>
      <c r="L116" s="149" t="s">
        <v>1137</v>
      </c>
      <c r="M116" s="149" t="s">
        <v>1149</v>
      </c>
      <c r="N116" s="149" t="s">
        <v>1320</v>
      </c>
      <c r="O116" s="149" t="s">
        <v>1138</v>
      </c>
    </row>
    <row r="117" spans="1:15">
      <c r="A117" s="149" t="s">
        <v>715</v>
      </c>
      <c r="B117" s="149" t="s">
        <v>1334</v>
      </c>
      <c r="C117" s="149" t="s">
        <v>1431</v>
      </c>
      <c r="D117" s="149" t="s">
        <v>1436</v>
      </c>
      <c r="E117" s="149" t="s">
        <v>1388</v>
      </c>
      <c r="F117" s="149" t="s">
        <v>1437</v>
      </c>
      <c r="G117" s="149" t="s">
        <v>1337</v>
      </c>
      <c r="H117" s="149" t="s">
        <v>1337</v>
      </c>
      <c r="I117" s="149" t="s">
        <v>1438</v>
      </c>
      <c r="J117" s="149" t="s">
        <v>1439</v>
      </c>
      <c r="K117" s="149" t="s">
        <v>1343</v>
      </c>
      <c r="L117" s="149" t="s">
        <v>1271</v>
      </c>
      <c r="M117" s="149" t="s">
        <v>1440</v>
      </c>
      <c r="N117" s="149" t="s">
        <v>1441</v>
      </c>
      <c r="O117" s="149" t="s">
        <v>1442</v>
      </c>
    </row>
    <row r="118" spans="1:15">
      <c r="A118" s="149" t="s">
        <v>717</v>
      </c>
      <c r="B118" s="149" t="s">
        <v>1303</v>
      </c>
      <c r="C118" s="149" t="s">
        <v>1239</v>
      </c>
      <c r="D118" s="149" t="s">
        <v>1240</v>
      </c>
      <c r="E118" s="149" t="s">
        <v>1241</v>
      </c>
      <c r="F118" s="149" t="s">
        <v>1257</v>
      </c>
      <c r="G118" s="149" t="s">
        <v>1330</v>
      </c>
      <c r="H118" s="149" t="s">
        <v>1329</v>
      </c>
      <c r="I118" s="149" t="s">
        <v>1157</v>
      </c>
      <c r="J118" s="149" t="s">
        <v>1165</v>
      </c>
      <c r="K118" s="149" t="s">
        <v>1165</v>
      </c>
      <c r="L118" s="149" t="s">
        <v>1158</v>
      </c>
      <c r="M118" s="149" t="s">
        <v>1159</v>
      </c>
      <c r="N118" s="149" t="s">
        <v>1246</v>
      </c>
      <c r="O118" s="149" t="s">
        <v>1160</v>
      </c>
    </row>
    <row r="119" spans="1:15">
      <c r="A119" s="149" t="s">
        <v>719</v>
      </c>
      <c r="B119" s="149" t="s">
        <v>1181</v>
      </c>
      <c r="C119" s="149" t="s">
        <v>1148</v>
      </c>
      <c r="D119" s="149" t="s">
        <v>1223</v>
      </c>
      <c r="E119" s="149" t="s">
        <v>1150</v>
      </c>
      <c r="F119" s="149" t="s">
        <v>1277</v>
      </c>
      <c r="G119" s="149" t="s">
        <v>1321</v>
      </c>
      <c r="H119" s="149" t="s">
        <v>1376</v>
      </c>
      <c r="I119" s="149" t="s">
        <v>1141</v>
      </c>
      <c r="J119" s="149" t="s">
        <v>1212</v>
      </c>
      <c r="K119" s="149" t="s">
        <v>1378</v>
      </c>
      <c r="L119" s="149" t="s">
        <v>1366</v>
      </c>
      <c r="M119" s="149" t="s">
        <v>1323</v>
      </c>
      <c r="N119" s="149" t="s">
        <v>1192</v>
      </c>
      <c r="O119" s="149" t="s">
        <v>1267</v>
      </c>
    </row>
    <row r="120" spans="1:15">
      <c r="A120" s="149" t="s">
        <v>721</v>
      </c>
      <c r="B120" s="149" t="s">
        <v>1185</v>
      </c>
      <c r="C120" s="149" t="s">
        <v>1185</v>
      </c>
      <c r="D120" s="149" t="s">
        <v>1282</v>
      </c>
      <c r="E120" s="149" t="s">
        <v>1282</v>
      </c>
      <c r="F120" s="149" t="s">
        <v>1282</v>
      </c>
      <c r="G120" s="149" t="s">
        <v>1282</v>
      </c>
      <c r="H120" s="149" t="s">
        <v>1282</v>
      </c>
      <c r="I120" s="149" t="s">
        <v>1225</v>
      </c>
      <c r="J120" s="149" t="s">
        <v>1207</v>
      </c>
      <c r="K120" s="149" t="s">
        <v>1211</v>
      </c>
      <c r="L120" s="149" t="s">
        <v>1211</v>
      </c>
      <c r="M120" s="149" t="s">
        <v>1283</v>
      </c>
      <c r="N120" s="149" t="s">
        <v>1141</v>
      </c>
      <c r="O120" s="149" t="s">
        <v>1397</v>
      </c>
    </row>
    <row r="121" spans="1:15">
      <c r="A121" s="149" t="s">
        <v>723</v>
      </c>
      <c r="B121" s="149" t="s">
        <v>1443</v>
      </c>
      <c r="C121" s="149" t="s">
        <v>1444</v>
      </c>
      <c r="D121" s="149" t="s">
        <v>1310</v>
      </c>
      <c r="E121" s="149" t="s">
        <v>1427</v>
      </c>
      <c r="F121" s="149" t="s">
        <v>1445</v>
      </c>
      <c r="G121" s="149" t="s">
        <v>1303</v>
      </c>
      <c r="H121" s="149" t="s">
        <v>1239</v>
      </c>
      <c r="I121" s="149" t="s">
        <v>1330</v>
      </c>
      <c r="J121" s="149" t="s">
        <v>1244</v>
      </c>
      <c r="K121" s="149" t="s">
        <v>1244</v>
      </c>
      <c r="L121" s="149" t="s">
        <v>1396</v>
      </c>
      <c r="M121" s="149" t="s">
        <v>1413</v>
      </c>
      <c r="N121" s="149" t="s">
        <v>1245</v>
      </c>
      <c r="O121" s="149" t="s">
        <v>1157</v>
      </c>
    </row>
    <row r="122" spans="1:15">
      <c r="A122" s="149" t="s">
        <v>231</v>
      </c>
      <c r="B122" s="149" t="s">
        <v>1344</v>
      </c>
      <c r="C122" s="149" t="s">
        <v>1446</v>
      </c>
      <c r="D122" s="149" t="s">
        <v>1447</v>
      </c>
      <c r="E122" s="149" t="s">
        <v>1448</v>
      </c>
      <c r="F122" s="149" t="s">
        <v>1449</v>
      </c>
      <c r="G122" s="149" t="s">
        <v>1450</v>
      </c>
      <c r="H122" s="149" t="s">
        <v>1450</v>
      </c>
      <c r="I122" s="149" t="s">
        <v>1451</v>
      </c>
      <c r="J122" s="149" t="s">
        <v>1452</v>
      </c>
      <c r="K122" s="149" t="s">
        <v>1453</v>
      </c>
      <c r="L122" s="149" t="s">
        <v>1454</v>
      </c>
      <c r="M122" s="149" t="s">
        <v>1455</v>
      </c>
      <c r="N122" s="149" t="s">
        <v>1456</v>
      </c>
      <c r="O122" s="149" t="s">
        <v>1457</v>
      </c>
    </row>
    <row r="123" spans="1:15">
      <c r="A123" s="149" t="s">
        <v>1119</v>
      </c>
      <c r="B123" s="149" t="s">
        <v>1206</v>
      </c>
      <c r="C123" s="149" t="s">
        <v>1376</v>
      </c>
      <c r="D123" s="149" t="s">
        <v>1225</v>
      </c>
      <c r="E123" s="149" t="s">
        <v>1377</v>
      </c>
      <c r="F123" s="149" t="s">
        <v>1260</v>
      </c>
      <c r="G123" s="149" t="s">
        <v>1317</v>
      </c>
      <c r="H123" s="149" t="s">
        <v>1230</v>
      </c>
      <c r="I123" s="149" t="s">
        <v>1364</v>
      </c>
      <c r="J123" s="149" t="s">
        <v>1380</v>
      </c>
      <c r="K123" s="149" t="s">
        <v>1370</v>
      </c>
      <c r="L123" s="149" t="s">
        <v>1168</v>
      </c>
      <c r="M123" s="149" t="s">
        <v>1169</v>
      </c>
      <c r="N123" s="149" t="s">
        <v>1170</v>
      </c>
      <c r="O123" s="149" t="s">
        <v>1217</v>
      </c>
    </row>
    <row r="124" spans="1:15">
      <c r="A124" s="149" t="s">
        <v>730</v>
      </c>
      <c r="B124" s="149" t="s">
        <v>1299</v>
      </c>
      <c r="C124" s="149" t="s">
        <v>1392</v>
      </c>
      <c r="D124" s="149" t="s">
        <v>1300</v>
      </c>
      <c r="E124" s="149" t="s">
        <v>1321</v>
      </c>
      <c r="F124" s="149" t="s">
        <v>1206</v>
      </c>
      <c r="G124" s="149" t="s">
        <v>1207</v>
      </c>
      <c r="H124" s="149" t="s">
        <v>1208</v>
      </c>
      <c r="I124" s="149" t="s">
        <v>1186</v>
      </c>
      <c r="J124" s="149" t="s">
        <v>1397</v>
      </c>
      <c r="K124" s="149" t="s">
        <v>1212</v>
      </c>
      <c r="L124" s="149" t="s">
        <v>1231</v>
      </c>
      <c r="M124" s="149" t="s">
        <v>1279</v>
      </c>
      <c r="N124" s="149" t="s">
        <v>1379</v>
      </c>
      <c r="O124" s="149" t="s">
        <v>1398</v>
      </c>
    </row>
    <row r="125" spans="1:15">
      <c r="A125" s="149" t="s">
        <v>736</v>
      </c>
      <c r="B125" s="149" t="s">
        <v>1211</v>
      </c>
      <c r="C125" s="149" t="s">
        <v>1260</v>
      </c>
      <c r="D125" s="149" t="s">
        <v>1187</v>
      </c>
      <c r="E125" s="149" t="s">
        <v>1212</v>
      </c>
      <c r="F125" s="149" t="s">
        <v>1364</v>
      </c>
      <c r="G125" s="149" t="s">
        <v>1318</v>
      </c>
      <c r="H125" s="149" t="s">
        <v>1380</v>
      </c>
      <c r="I125" s="149" t="s">
        <v>1143</v>
      </c>
      <c r="J125" s="149" t="s">
        <v>1143</v>
      </c>
      <c r="K125" s="149" t="s">
        <v>1379</v>
      </c>
      <c r="L125" s="149" t="s">
        <v>1228</v>
      </c>
      <c r="M125" s="149" t="s">
        <v>1370</v>
      </c>
      <c r="N125" s="149" t="s">
        <v>1215</v>
      </c>
      <c r="O125" s="149" t="s">
        <v>1301</v>
      </c>
    </row>
    <row r="126" spans="1:15">
      <c r="A126" s="149" t="s">
        <v>1116</v>
      </c>
      <c r="B126" s="149" t="s">
        <v>1398</v>
      </c>
      <c r="C126" s="149" t="s">
        <v>1247</v>
      </c>
      <c r="D126" s="149" t="s">
        <v>1430</v>
      </c>
      <c r="E126" s="149" t="s">
        <v>1170</v>
      </c>
      <c r="F126" s="149" t="s">
        <v>1171</v>
      </c>
      <c r="G126" s="149" t="s">
        <v>1219</v>
      </c>
      <c r="H126" s="149" t="s">
        <v>1371</v>
      </c>
      <c r="I126" s="149" t="s">
        <v>1196</v>
      </c>
      <c r="J126" s="149" t="s">
        <v>1176</v>
      </c>
      <c r="K126" s="149" t="s">
        <v>1357</v>
      </c>
      <c r="L126" s="149" t="s">
        <v>1350</v>
      </c>
      <c r="M126" s="149" t="s">
        <v>1458</v>
      </c>
      <c r="N126" s="149" t="s">
        <v>1425</v>
      </c>
      <c r="O126" s="149" t="s">
        <v>1290</v>
      </c>
    </row>
    <row r="127" spans="1:15">
      <c r="A127" s="149" t="s">
        <v>740</v>
      </c>
      <c r="B127" s="149" t="s">
        <v>1188</v>
      </c>
      <c r="C127" s="149" t="s">
        <v>1143</v>
      </c>
      <c r="D127" s="149" t="s">
        <v>1370</v>
      </c>
      <c r="E127" s="149" t="s">
        <v>1168</v>
      </c>
      <c r="F127" s="149" t="s">
        <v>1169</v>
      </c>
      <c r="G127" s="149" t="s">
        <v>1191</v>
      </c>
      <c r="H127" s="149" t="s">
        <v>1218</v>
      </c>
      <c r="I127" s="149" t="s">
        <v>1219</v>
      </c>
      <c r="J127" s="149" t="s">
        <v>1386</v>
      </c>
      <c r="K127" s="149" t="s">
        <v>1174</v>
      </c>
      <c r="L127" s="149" t="s">
        <v>1296</v>
      </c>
      <c r="M127" s="149" t="s">
        <v>1339</v>
      </c>
      <c r="N127" s="149" t="s">
        <v>1351</v>
      </c>
      <c r="O127" s="149" t="s">
        <v>1354</v>
      </c>
    </row>
    <row r="128" spans="1:15">
      <c r="A128" s="149" t="s">
        <v>742</v>
      </c>
      <c r="B128" s="149" t="s">
        <v>1275</v>
      </c>
      <c r="C128" s="149" t="s">
        <v>1181</v>
      </c>
      <c r="D128" s="149" t="s">
        <v>1148</v>
      </c>
      <c r="E128" s="149" t="s">
        <v>1204</v>
      </c>
      <c r="F128" s="149" t="s">
        <v>1154</v>
      </c>
      <c r="G128" s="149" t="s">
        <v>1139</v>
      </c>
      <c r="H128" s="149" t="s">
        <v>1184</v>
      </c>
      <c r="I128" s="149" t="s">
        <v>1283</v>
      </c>
      <c r="J128" s="149" t="s">
        <v>1278</v>
      </c>
      <c r="K128" s="149" t="s">
        <v>1166</v>
      </c>
      <c r="L128" s="149" t="s">
        <v>1398</v>
      </c>
      <c r="M128" s="149" t="s">
        <v>1322</v>
      </c>
      <c r="N128" s="149" t="s">
        <v>1355</v>
      </c>
      <c r="O128" s="149" t="s">
        <v>1302</v>
      </c>
    </row>
    <row r="129" spans="1:15">
      <c r="A129" s="149" t="s">
        <v>752</v>
      </c>
      <c r="B129" s="149" t="s">
        <v>1328</v>
      </c>
      <c r="C129" s="149" t="s">
        <v>1242</v>
      </c>
      <c r="D129" s="149" t="s">
        <v>1258</v>
      </c>
      <c r="E129" s="149" t="s">
        <v>1304</v>
      </c>
      <c r="F129" s="149" t="s">
        <v>1329</v>
      </c>
      <c r="G129" s="149" t="s">
        <v>1155</v>
      </c>
      <c r="H129" s="149" t="s">
        <v>1413</v>
      </c>
      <c r="I129" s="149" t="s">
        <v>1162</v>
      </c>
      <c r="J129" s="149" t="s">
        <v>1136</v>
      </c>
      <c r="K129" s="149" t="s">
        <v>1181</v>
      </c>
      <c r="L129" s="149" t="s">
        <v>1148</v>
      </c>
      <c r="M129" s="149" t="s">
        <v>1203</v>
      </c>
      <c r="N129" s="149" t="s">
        <v>1223</v>
      </c>
      <c r="O129" s="149" t="s">
        <v>1223</v>
      </c>
    </row>
    <row r="130" spans="1:15">
      <c r="A130" s="149" t="s">
        <v>754</v>
      </c>
      <c r="B130" s="149" t="s">
        <v>1145</v>
      </c>
      <c r="C130" s="149" t="s">
        <v>1249</v>
      </c>
      <c r="D130" s="149" t="s">
        <v>1192</v>
      </c>
      <c r="E130" s="149" t="s">
        <v>1219</v>
      </c>
      <c r="F130" s="149" t="s">
        <v>1220</v>
      </c>
      <c r="G130" s="149" t="s">
        <v>1196</v>
      </c>
      <c r="H130" s="149" t="s">
        <v>1174</v>
      </c>
      <c r="I130" s="149" t="s">
        <v>1352</v>
      </c>
      <c r="J130" s="149" t="s">
        <v>1333</v>
      </c>
      <c r="K130" s="149" t="s">
        <v>1298</v>
      </c>
      <c r="L130" s="149" t="s">
        <v>1359</v>
      </c>
      <c r="M130" s="149" t="s">
        <v>1459</v>
      </c>
      <c r="N130" s="149" t="s">
        <v>1460</v>
      </c>
      <c r="O130" s="149" t="s">
        <v>1461</v>
      </c>
    </row>
    <row r="131" spans="1:15">
      <c r="A131" s="149" t="s">
        <v>756</v>
      </c>
      <c r="B131" s="149" t="s">
        <v>1214</v>
      </c>
      <c r="C131" s="149" t="s">
        <v>1379</v>
      </c>
      <c r="D131" s="149" t="s">
        <v>1228</v>
      </c>
      <c r="E131" s="149" t="s">
        <v>1284</v>
      </c>
      <c r="F131" s="149" t="s">
        <v>1167</v>
      </c>
      <c r="G131" s="149" t="s">
        <v>1232</v>
      </c>
      <c r="H131" s="149" t="s">
        <v>1144</v>
      </c>
      <c r="I131" s="149" t="s">
        <v>1168</v>
      </c>
      <c r="J131" s="149" t="s">
        <v>1301</v>
      </c>
      <c r="K131" s="149" t="s">
        <v>1411</v>
      </c>
      <c r="L131" s="149" t="s">
        <v>1248</v>
      </c>
      <c r="M131" s="149" t="s">
        <v>1367</v>
      </c>
      <c r="N131" s="149" t="s">
        <v>1170</v>
      </c>
      <c r="O131" s="149" t="s">
        <v>1385</v>
      </c>
    </row>
    <row r="132" spans="1:15">
      <c r="A132" s="149" t="s">
        <v>758</v>
      </c>
      <c r="B132" s="149" t="s">
        <v>1137</v>
      </c>
      <c r="C132" s="149" t="s">
        <v>1148</v>
      </c>
      <c r="D132" s="149" t="s">
        <v>1259</v>
      </c>
      <c r="E132" s="149" t="s">
        <v>1203</v>
      </c>
      <c r="F132" s="149" t="s">
        <v>1223</v>
      </c>
      <c r="G132" s="149" t="s">
        <v>1204</v>
      </c>
      <c r="H132" s="149" t="s">
        <v>1151</v>
      </c>
      <c r="I132" s="149" t="s">
        <v>1153</v>
      </c>
      <c r="J132" s="149" t="s">
        <v>1153</v>
      </c>
      <c r="K132" s="149" t="s">
        <v>1182</v>
      </c>
      <c r="L132" s="149" t="s">
        <v>1224</v>
      </c>
      <c r="M132" s="149" t="s">
        <v>1184</v>
      </c>
      <c r="N132" s="149" t="s">
        <v>1140</v>
      </c>
      <c r="O132" s="149" t="s">
        <v>1225</v>
      </c>
    </row>
    <row r="133" spans="1:15">
      <c r="A133" s="149" t="s">
        <v>1093</v>
      </c>
      <c r="B133" s="149" t="s">
        <v>1379</v>
      </c>
      <c r="C133" s="149" t="s">
        <v>1215</v>
      </c>
      <c r="D133" s="149" t="s">
        <v>1263</v>
      </c>
      <c r="E133" s="149" t="s">
        <v>1355</v>
      </c>
      <c r="F133" s="149" t="s">
        <v>1368</v>
      </c>
      <c r="G133" s="149" t="s">
        <v>1172</v>
      </c>
      <c r="H133" s="149" t="s">
        <v>1195</v>
      </c>
      <c r="I133" s="149" t="s">
        <v>1196</v>
      </c>
      <c r="J133" s="149" t="s">
        <v>1401</v>
      </c>
      <c r="K133" s="149" t="s">
        <v>1268</v>
      </c>
      <c r="L133" s="149" t="s">
        <v>1331</v>
      </c>
      <c r="M133" s="149" t="s">
        <v>1382</v>
      </c>
      <c r="N133" s="149" t="s">
        <v>1407</v>
      </c>
      <c r="O133" s="149" t="s">
        <v>1350</v>
      </c>
    </row>
    <row r="134" spans="1:15">
      <c r="A134" s="149" t="s">
        <v>762</v>
      </c>
      <c r="B134" s="149" t="s">
        <v>1240</v>
      </c>
      <c r="C134" s="149" t="s">
        <v>1330</v>
      </c>
      <c r="D134" s="149" t="s">
        <v>1245</v>
      </c>
      <c r="E134" s="149" t="s">
        <v>1160</v>
      </c>
      <c r="F134" s="149" t="s">
        <v>1180</v>
      </c>
      <c r="G134" s="149" t="s">
        <v>1202</v>
      </c>
      <c r="H134" s="149" t="s">
        <v>1203</v>
      </c>
      <c r="I134" s="149" t="s">
        <v>1153</v>
      </c>
      <c r="J134" s="149" t="s">
        <v>1224</v>
      </c>
      <c r="K134" s="149" t="s">
        <v>1206</v>
      </c>
      <c r="L134" s="149" t="s">
        <v>1208</v>
      </c>
      <c r="M134" s="149" t="s">
        <v>1317</v>
      </c>
      <c r="N134" s="149" t="s">
        <v>1142</v>
      </c>
      <c r="O134" s="149" t="s">
        <v>1279</v>
      </c>
    </row>
    <row r="135" spans="1:15">
      <c r="A135" s="149" t="s">
        <v>764</v>
      </c>
      <c r="B135" s="149" t="s">
        <v>1253</v>
      </c>
      <c r="C135" s="149" t="s">
        <v>1462</v>
      </c>
      <c r="D135" s="149" t="s">
        <v>1412</v>
      </c>
      <c r="E135" s="149" t="s">
        <v>1241</v>
      </c>
      <c r="F135" s="149" t="s">
        <v>1242</v>
      </c>
      <c r="G135" s="149" t="s">
        <v>1329</v>
      </c>
      <c r="H135" s="149" t="s">
        <v>1396</v>
      </c>
      <c r="I135" s="149" t="s">
        <v>1245</v>
      </c>
      <c r="J135" s="149" t="s">
        <v>1245</v>
      </c>
      <c r="K135" s="149" t="s">
        <v>1134</v>
      </c>
      <c r="L135" s="149" t="s">
        <v>1164</v>
      </c>
      <c r="M135" s="149" t="s">
        <v>1160</v>
      </c>
      <c r="N135" s="149" t="s">
        <v>1163</v>
      </c>
      <c r="O135" s="149" t="s">
        <v>1316</v>
      </c>
    </row>
    <row r="136" spans="1:15">
      <c r="A136" s="149" t="s">
        <v>239</v>
      </c>
      <c r="B136" s="149" t="s">
        <v>1299</v>
      </c>
      <c r="C136" s="149" t="s">
        <v>1300</v>
      </c>
      <c r="D136" s="149" t="s">
        <v>1281</v>
      </c>
      <c r="E136" s="149" t="s">
        <v>1225</v>
      </c>
      <c r="F136" s="149" t="s">
        <v>1141</v>
      </c>
      <c r="G136" s="149" t="s">
        <v>1212</v>
      </c>
      <c r="H136" s="149" t="s">
        <v>1213</v>
      </c>
      <c r="I136" s="149" t="s">
        <v>1378</v>
      </c>
      <c r="J136" s="149" t="s">
        <v>1189</v>
      </c>
      <c r="K136" s="149" t="s">
        <v>1370</v>
      </c>
      <c r="L136" s="149" t="s">
        <v>1215</v>
      </c>
      <c r="M136" s="149" t="s">
        <v>1190</v>
      </c>
      <c r="N136" s="149" t="s">
        <v>1169</v>
      </c>
      <c r="O136" s="149" t="s">
        <v>1355</v>
      </c>
    </row>
    <row r="137" spans="1:15">
      <c r="A137" s="149" t="s">
        <v>767</v>
      </c>
      <c r="B137" s="149" t="s">
        <v>1157</v>
      </c>
      <c r="C137" s="149" t="s">
        <v>1160</v>
      </c>
      <c r="D137" s="149" t="s">
        <v>1162</v>
      </c>
      <c r="E137" s="149" t="s">
        <v>1319</v>
      </c>
      <c r="F137" s="149" t="s">
        <v>1148</v>
      </c>
      <c r="G137" s="149" t="s">
        <v>1151</v>
      </c>
      <c r="H137" s="149" t="s">
        <v>1299</v>
      </c>
      <c r="I137" s="149" t="s">
        <v>1184</v>
      </c>
      <c r="J137" s="149" t="s">
        <v>1210</v>
      </c>
      <c r="K137" s="149" t="s">
        <v>1208</v>
      </c>
      <c r="L137" s="149" t="s">
        <v>1208</v>
      </c>
      <c r="M137" s="149" t="s">
        <v>1283</v>
      </c>
      <c r="N137" s="149" t="s">
        <v>1260</v>
      </c>
      <c r="O137" s="149" t="s">
        <v>1186</v>
      </c>
    </row>
    <row r="138" spans="1:15">
      <c r="A138" s="149" t="s">
        <v>769</v>
      </c>
      <c r="B138" s="149" t="s">
        <v>1314</v>
      </c>
      <c r="C138" s="149" t="s">
        <v>1256</v>
      </c>
      <c r="D138" s="149" t="s">
        <v>1330</v>
      </c>
      <c r="E138" s="149" t="s">
        <v>1396</v>
      </c>
      <c r="F138" s="149" t="s">
        <v>1165</v>
      </c>
      <c r="G138" s="149" t="s">
        <v>1246</v>
      </c>
      <c r="H138" s="149" t="s">
        <v>1163</v>
      </c>
      <c r="I138" s="149" t="s">
        <v>1180</v>
      </c>
      <c r="J138" s="149" t="s">
        <v>1162</v>
      </c>
      <c r="K138" s="149" t="s">
        <v>1136</v>
      </c>
      <c r="L138" s="149" t="s">
        <v>1181</v>
      </c>
      <c r="M138" s="149" t="s">
        <v>1222</v>
      </c>
      <c r="N138" s="149" t="s">
        <v>1259</v>
      </c>
      <c r="O138" s="149" t="s">
        <v>1204</v>
      </c>
    </row>
    <row r="139" spans="1:15">
      <c r="A139" s="149" t="s">
        <v>775</v>
      </c>
      <c r="B139" s="149" t="s">
        <v>1400</v>
      </c>
      <c r="C139" s="149" t="s">
        <v>1316</v>
      </c>
      <c r="D139" s="149" t="s">
        <v>1315</v>
      </c>
      <c r="E139" s="149" t="s">
        <v>1137</v>
      </c>
      <c r="F139" s="149" t="s">
        <v>1204</v>
      </c>
      <c r="G139" s="149" t="s">
        <v>1154</v>
      </c>
      <c r="H139" s="149" t="s">
        <v>1300</v>
      </c>
      <c r="I139" s="149" t="s">
        <v>1207</v>
      </c>
      <c r="J139" s="149" t="s">
        <v>1283</v>
      </c>
      <c r="K139" s="149" t="s">
        <v>1397</v>
      </c>
      <c r="L139" s="149" t="s">
        <v>1187</v>
      </c>
      <c r="M139" s="149" t="s">
        <v>1212</v>
      </c>
      <c r="N139" s="149" t="s">
        <v>1364</v>
      </c>
      <c r="O139" s="149" t="s">
        <v>1227</v>
      </c>
    </row>
    <row r="140" spans="1:15">
      <c r="A140" s="149" t="s">
        <v>1124</v>
      </c>
      <c r="B140" s="149" t="s">
        <v>1152</v>
      </c>
      <c r="C140" s="149" t="s">
        <v>1299</v>
      </c>
      <c r="D140" s="149" t="s">
        <v>1183</v>
      </c>
      <c r="E140" s="149" t="s">
        <v>1281</v>
      </c>
      <c r="F140" s="149" t="s">
        <v>1208</v>
      </c>
      <c r="G140" s="149" t="s">
        <v>1397</v>
      </c>
      <c r="H140" s="149" t="s">
        <v>1226</v>
      </c>
      <c r="I140" s="149" t="s">
        <v>1379</v>
      </c>
      <c r="J140" s="149" t="s">
        <v>1370</v>
      </c>
      <c r="K140" s="149" t="s">
        <v>1144</v>
      </c>
      <c r="L140" s="149" t="s">
        <v>1190</v>
      </c>
      <c r="M140" s="149" t="s">
        <v>1248</v>
      </c>
      <c r="N140" s="149" t="s">
        <v>1367</v>
      </c>
      <c r="O140" s="149" t="s">
        <v>1191</v>
      </c>
    </row>
    <row r="141" spans="1:15">
      <c r="A141" s="149" t="s">
        <v>779</v>
      </c>
      <c r="B141" s="149" t="s">
        <v>1400</v>
      </c>
      <c r="C141" s="149" t="s">
        <v>1316</v>
      </c>
      <c r="D141" s="149" t="s">
        <v>1315</v>
      </c>
      <c r="E141" s="149" t="s">
        <v>1222</v>
      </c>
      <c r="F141" s="149" t="s">
        <v>1320</v>
      </c>
      <c r="G141" s="149" t="s">
        <v>1153</v>
      </c>
      <c r="H141" s="149" t="s">
        <v>1392</v>
      </c>
      <c r="I141" s="149" t="s">
        <v>1205</v>
      </c>
      <c r="J141" s="149" t="s">
        <v>1281</v>
      </c>
      <c r="K141" s="149" t="s">
        <v>1211</v>
      </c>
      <c r="L141" s="149" t="s">
        <v>1384</v>
      </c>
      <c r="M141" s="149" t="s">
        <v>1318</v>
      </c>
      <c r="N141" s="149" t="s">
        <v>1262</v>
      </c>
      <c r="O141" s="149" t="s">
        <v>1411</v>
      </c>
    </row>
    <row r="142" spans="1:15">
      <c r="A142" s="149" t="s">
        <v>785</v>
      </c>
      <c r="B142" s="149" t="s">
        <v>1245</v>
      </c>
      <c r="C142" s="149" t="s">
        <v>1165</v>
      </c>
      <c r="D142" s="149" t="s">
        <v>1158</v>
      </c>
      <c r="E142" s="149" t="s">
        <v>1159</v>
      </c>
      <c r="F142" s="149" t="s">
        <v>1400</v>
      </c>
      <c r="G142" s="149" t="s">
        <v>1305</v>
      </c>
      <c r="H142" s="149" t="s">
        <v>1163</v>
      </c>
      <c r="I142" s="149" t="s">
        <v>1275</v>
      </c>
      <c r="J142" s="149" t="s">
        <v>1393</v>
      </c>
      <c r="K142" s="149" t="s">
        <v>1203</v>
      </c>
      <c r="L142" s="149" t="s">
        <v>1138</v>
      </c>
      <c r="M142" s="149" t="s">
        <v>1299</v>
      </c>
      <c r="N142" s="149" t="s">
        <v>1183</v>
      </c>
      <c r="O142" s="149" t="s">
        <v>1207</v>
      </c>
    </row>
    <row r="143" spans="1:15">
      <c r="A143" s="149" t="s">
        <v>787</v>
      </c>
      <c r="B143" s="149" t="s">
        <v>1330</v>
      </c>
      <c r="C143" s="149" t="s">
        <v>1396</v>
      </c>
      <c r="D143" s="149" t="s">
        <v>1134</v>
      </c>
      <c r="E143" s="149" t="s">
        <v>1160</v>
      </c>
      <c r="F143" s="149" t="s">
        <v>1316</v>
      </c>
      <c r="G143" s="149" t="s">
        <v>1304</v>
      </c>
      <c r="H143" s="149" t="s">
        <v>1316</v>
      </c>
      <c r="I143" s="149" t="s">
        <v>1276</v>
      </c>
      <c r="J143" s="149" t="s">
        <v>1276</v>
      </c>
      <c r="K143" s="149" t="s">
        <v>1149</v>
      </c>
      <c r="L143" s="149" t="s">
        <v>1153</v>
      </c>
      <c r="M143" s="149" t="s">
        <v>1183</v>
      </c>
      <c r="N143" s="149" t="s">
        <v>1282</v>
      </c>
      <c r="O143" s="149" t="s">
        <v>1187</v>
      </c>
    </row>
    <row r="144" spans="1:15">
      <c r="A144" s="149" t="s">
        <v>789</v>
      </c>
      <c r="B144" s="149" t="s">
        <v>1463</v>
      </c>
      <c r="C144" s="149" t="s">
        <v>1341</v>
      </c>
      <c r="D144" s="149" t="s">
        <v>1464</v>
      </c>
      <c r="E144" s="149" t="s">
        <v>1388</v>
      </c>
      <c r="F144" s="149" t="s">
        <v>1342</v>
      </c>
      <c r="G144" s="149" t="s">
        <v>1294</v>
      </c>
      <c r="H144" s="149" t="s">
        <v>1335</v>
      </c>
      <c r="I144" s="149" t="s">
        <v>1293</v>
      </c>
      <c r="J144" s="149" t="s">
        <v>1290</v>
      </c>
      <c r="K144" s="149" t="s">
        <v>1409</v>
      </c>
      <c r="L144" s="149" t="s">
        <v>1335</v>
      </c>
      <c r="M144" s="149" t="s">
        <v>1465</v>
      </c>
      <c r="N144" s="149" t="s">
        <v>1389</v>
      </c>
      <c r="O144" s="149" t="s">
        <v>1344</v>
      </c>
    </row>
    <row r="145" spans="1:15">
      <c r="A145" s="149" t="s">
        <v>791</v>
      </c>
      <c r="B145" s="149" t="s">
        <v>1371</v>
      </c>
      <c r="C145" s="149" t="s">
        <v>1267</v>
      </c>
      <c r="D145" s="149" t="s">
        <v>1173</v>
      </c>
      <c r="E145" s="149" t="s">
        <v>1196</v>
      </c>
      <c r="F145" s="149" t="s">
        <v>1147</v>
      </c>
      <c r="G145" s="149" t="s">
        <v>1285</v>
      </c>
      <c r="H145" s="149" t="s">
        <v>1234</v>
      </c>
      <c r="I145" s="149" t="s">
        <v>1199</v>
      </c>
      <c r="J145" s="149" t="s">
        <v>1178</v>
      </c>
      <c r="K145" s="149" t="s">
        <v>1286</v>
      </c>
      <c r="L145" s="149" t="s">
        <v>1404</v>
      </c>
      <c r="M145" s="149" t="s">
        <v>1373</v>
      </c>
      <c r="N145" s="149" t="s">
        <v>1333</v>
      </c>
      <c r="O145" s="149" t="s">
        <v>1297</v>
      </c>
    </row>
    <row r="146" spans="1:15">
      <c r="A146" s="149" t="s">
        <v>793</v>
      </c>
      <c r="B146" s="149" t="s">
        <v>1324</v>
      </c>
      <c r="C146" s="149" t="s">
        <v>1280</v>
      </c>
      <c r="D146" s="149" t="s">
        <v>1368</v>
      </c>
      <c r="E146" s="149" t="s">
        <v>1192</v>
      </c>
      <c r="F146" s="149" t="s">
        <v>1172</v>
      </c>
      <c r="G146" s="149" t="s">
        <v>1266</v>
      </c>
      <c r="H146" s="149" t="s">
        <v>1173</v>
      </c>
      <c r="I146" s="149" t="s">
        <v>1401</v>
      </c>
      <c r="J146" s="149" t="s">
        <v>1198</v>
      </c>
      <c r="K146" s="149" t="s">
        <v>1296</v>
      </c>
      <c r="L146" s="149" t="s">
        <v>1357</v>
      </c>
      <c r="M146" s="149" t="s">
        <v>1372</v>
      </c>
      <c r="N146" s="149" t="s">
        <v>1351</v>
      </c>
      <c r="O146" s="149" t="s">
        <v>1374</v>
      </c>
    </row>
    <row r="147" spans="1:15">
      <c r="A147" s="149" t="s">
        <v>794</v>
      </c>
      <c r="B147" s="149" t="s">
        <v>1371</v>
      </c>
      <c r="C147" s="149" t="s">
        <v>1147</v>
      </c>
      <c r="D147" s="149" t="s">
        <v>1199</v>
      </c>
      <c r="E147" s="149" t="s">
        <v>1264</v>
      </c>
      <c r="F147" s="149" t="s">
        <v>1357</v>
      </c>
      <c r="G147" s="149" t="s">
        <v>1287</v>
      </c>
      <c r="H147" s="149" t="s">
        <v>1332</v>
      </c>
      <c r="I147" s="149" t="s">
        <v>1424</v>
      </c>
      <c r="J147" s="149" t="s">
        <v>1408</v>
      </c>
      <c r="K147" s="149" t="s">
        <v>1431</v>
      </c>
      <c r="L147" s="149" t="s">
        <v>1294</v>
      </c>
      <c r="M147" s="149" t="s">
        <v>1388</v>
      </c>
      <c r="N147" s="149" t="s">
        <v>1337</v>
      </c>
      <c r="O147" s="149" t="s">
        <v>1466</v>
      </c>
    </row>
    <row r="148" spans="1:15">
      <c r="A148" s="149" t="s">
        <v>796</v>
      </c>
      <c r="B148" s="149" t="s">
        <v>1223</v>
      </c>
      <c r="C148" s="149" t="s">
        <v>1153</v>
      </c>
      <c r="D148" s="149" t="s">
        <v>1392</v>
      </c>
      <c r="E148" s="149" t="s">
        <v>1321</v>
      </c>
      <c r="F148" s="149" t="s">
        <v>1376</v>
      </c>
      <c r="G148" s="149" t="s">
        <v>1208</v>
      </c>
      <c r="H148" s="149" t="s">
        <v>1186</v>
      </c>
      <c r="I148" s="149" t="s">
        <v>1364</v>
      </c>
      <c r="J148" s="149" t="s">
        <v>1284</v>
      </c>
      <c r="K148" s="149" t="s">
        <v>1263</v>
      </c>
      <c r="L148" s="149" t="s">
        <v>1302</v>
      </c>
      <c r="M148" s="149" t="s">
        <v>1172</v>
      </c>
      <c r="N148" s="149" t="s">
        <v>1285</v>
      </c>
      <c r="O148" s="149" t="s">
        <v>1179</v>
      </c>
    </row>
    <row r="149" spans="1:15">
      <c r="A149" s="149" t="s">
        <v>258</v>
      </c>
      <c r="B149" s="149" t="s">
        <v>1171</v>
      </c>
      <c r="C149" s="149" t="s">
        <v>1391</v>
      </c>
      <c r="D149" s="149" t="s">
        <v>1193</v>
      </c>
      <c r="E149" s="149" t="s">
        <v>1194</v>
      </c>
      <c r="F149" s="149" t="s">
        <v>1399</v>
      </c>
      <c r="G149" s="149" t="s">
        <v>1386</v>
      </c>
      <c r="H149" s="149" t="s">
        <v>1196</v>
      </c>
      <c r="I149" s="149" t="s">
        <v>1381</v>
      </c>
      <c r="J149" s="149" t="s">
        <v>1382</v>
      </c>
      <c r="K149" s="149" t="s">
        <v>1354</v>
      </c>
      <c r="L149" s="149" t="s">
        <v>1425</v>
      </c>
      <c r="M149" s="149" t="s">
        <v>1290</v>
      </c>
      <c r="N149" s="149" t="s">
        <v>1405</v>
      </c>
      <c r="O149" s="149" t="s">
        <v>1423</v>
      </c>
    </row>
    <row r="150" spans="1:15">
      <c r="A150" s="149" t="s">
        <v>810</v>
      </c>
      <c r="B150" s="149" t="s">
        <v>1303</v>
      </c>
      <c r="C150" s="149" t="s">
        <v>1239</v>
      </c>
      <c r="D150" s="149" t="s">
        <v>1412</v>
      </c>
      <c r="E150" s="149" t="s">
        <v>1419</v>
      </c>
      <c r="F150" s="149" t="s">
        <v>1241</v>
      </c>
      <c r="G150" s="149" t="s">
        <v>1257</v>
      </c>
      <c r="H150" s="149" t="s">
        <v>1258</v>
      </c>
      <c r="I150" s="149" t="s">
        <v>1244</v>
      </c>
      <c r="J150" s="149" t="s">
        <v>1245</v>
      </c>
      <c r="K150" s="149" t="s">
        <v>1135</v>
      </c>
      <c r="L150" s="149" t="s">
        <v>1201</v>
      </c>
      <c r="M150" s="149" t="s">
        <v>1319</v>
      </c>
      <c r="N150" s="149" t="s">
        <v>1202</v>
      </c>
      <c r="O150" s="149" t="s">
        <v>1202</v>
      </c>
    </row>
    <row r="151" spans="1:15">
      <c r="A151" s="149" t="s">
        <v>812</v>
      </c>
      <c r="B151" s="149" t="s">
        <v>1258</v>
      </c>
      <c r="C151" s="149" t="s">
        <v>1244</v>
      </c>
      <c r="D151" s="149" t="s">
        <v>1134</v>
      </c>
      <c r="E151" s="149" t="s">
        <v>1400</v>
      </c>
      <c r="F151" s="149" t="s">
        <v>1221</v>
      </c>
      <c r="G151" s="149" t="s">
        <v>1161</v>
      </c>
      <c r="H151" s="149" t="s">
        <v>1181</v>
      </c>
      <c r="I151" s="149" t="s">
        <v>1137</v>
      </c>
      <c r="J151" s="149" t="s">
        <v>1203</v>
      </c>
      <c r="K151" s="149" t="s">
        <v>1259</v>
      </c>
      <c r="L151" s="149" t="s">
        <v>1149</v>
      </c>
      <c r="M151" s="149" t="s">
        <v>1148</v>
      </c>
      <c r="N151" s="149" t="s">
        <v>1222</v>
      </c>
      <c r="O151" s="149" t="s">
        <v>1276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F1D9A-0ABC-47B5-916A-1ACB36F6B6D1}">
  <dimension ref="A6:IU423"/>
  <sheetViews>
    <sheetView showGridLines="0" zoomScale="113" workbookViewId="0">
      <selection activeCell="A9" sqref="A9"/>
    </sheetView>
  </sheetViews>
  <sheetFormatPr baseColWidth="10" defaultColWidth="8.83203125" defaultRowHeight="16"/>
  <cols>
    <col min="1" max="1" width="28.83203125" style="75" customWidth="1"/>
    <col min="2" max="81" width="20.83203125" style="75" customWidth="1"/>
    <col min="82" max="256" width="8.5" style="75"/>
    <col min="257" max="257" width="28.83203125" style="75" customWidth="1"/>
    <col min="258" max="337" width="20.83203125" style="75" customWidth="1"/>
    <col min="338" max="512" width="8.5" style="75"/>
    <col min="513" max="513" width="28.83203125" style="75" customWidth="1"/>
    <col min="514" max="593" width="20.83203125" style="75" customWidth="1"/>
    <col min="594" max="768" width="8.5" style="75"/>
    <col min="769" max="769" width="28.83203125" style="75" customWidth="1"/>
    <col min="770" max="849" width="20.83203125" style="75" customWidth="1"/>
    <col min="850" max="1024" width="8.5" style="75"/>
    <col min="1025" max="1025" width="28.83203125" style="75" customWidth="1"/>
    <col min="1026" max="1105" width="20.83203125" style="75" customWidth="1"/>
    <col min="1106" max="1280" width="8.5" style="75"/>
    <col min="1281" max="1281" width="28.83203125" style="75" customWidth="1"/>
    <col min="1282" max="1361" width="20.83203125" style="75" customWidth="1"/>
    <col min="1362" max="1536" width="8.5" style="75"/>
    <col min="1537" max="1537" width="28.83203125" style="75" customWidth="1"/>
    <col min="1538" max="1617" width="20.83203125" style="75" customWidth="1"/>
    <col min="1618" max="1792" width="8.5" style="75"/>
    <col min="1793" max="1793" width="28.83203125" style="75" customWidth="1"/>
    <col min="1794" max="1873" width="20.83203125" style="75" customWidth="1"/>
    <col min="1874" max="2048" width="8.5" style="75"/>
    <col min="2049" max="2049" width="28.83203125" style="75" customWidth="1"/>
    <col min="2050" max="2129" width="20.83203125" style="75" customWidth="1"/>
    <col min="2130" max="2304" width="8.5" style="75"/>
    <col min="2305" max="2305" width="28.83203125" style="75" customWidth="1"/>
    <col min="2306" max="2385" width="20.83203125" style="75" customWidth="1"/>
    <col min="2386" max="2560" width="8.5" style="75"/>
    <col min="2561" max="2561" width="28.83203125" style="75" customWidth="1"/>
    <col min="2562" max="2641" width="20.83203125" style="75" customWidth="1"/>
    <col min="2642" max="2816" width="8.5" style="75"/>
    <col min="2817" max="2817" width="28.83203125" style="75" customWidth="1"/>
    <col min="2818" max="2897" width="20.83203125" style="75" customWidth="1"/>
    <col min="2898" max="3072" width="8.5" style="75"/>
    <col min="3073" max="3073" width="28.83203125" style="75" customWidth="1"/>
    <col min="3074" max="3153" width="20.83203125" style="75" customWidth="1"/>
    <col min="3154" max="3328" width="8.5" style="75"/>
    <col min="3329" max="3329" width="28.83203125" style="75" customWidth="1"/>
    <col min="3330" max="3409" width="20.83203125" style="75" customWidth="1"/>
    <col min="3410" max="3584" width="8.5" style="75"/>
    <col min="3585" max="3585" width="28.83203125" style="75" customWidth="1"/>
    <col min="3586" max="3665" width="20.83203125" style="75" customWidth="1"/>
    <col min="3666" max="3840" width="8.5" style="75"/>
    <col min="3841" max="3841" width="28.83203125" style="75" customWidth="1"/>
    <col min="3842" max="3921" width="20.83203125" style="75" customWidth="1"/>
    <col min="3922" max="4096" width="8.5" style="75"/>
    <col min="4097" max="4097" width="28.83203125" style="75" customWidth="1"/>
    <col min="4098" max="4177" width="20.83203125" style="75" customWidth="1"/>
    <col min="4178" max="4352" width="8.5" style="75"/>
    <col min="4353" max="4353" width="28.83203125" style="75" customWidth="1"/>
    <col min="4354" max="4433" width="20.83203125" style="75" customWidth="1"/>
    <col min="4434" max="4608" width="8.5" style="75"/>
    <col min="4609" max="4609" width="28.83203125" style="75" customWidth="1"/>
    <col min="4610" max="4689" width="20.83203125" style="75" customWidth="1"/>
    <col min="4690" max="4864" width="8.5" style="75"/>
    <col min="4865" max="4865" width="28.83203125" style="75" customWidth="1"/>
    <col min="4866" max="4945" width="20.83203125" style="75" customWidth="1"/>
    <col min="4946" max="5120" width="8.5" style="75"/>
    <col min="5121" max="5121" width="28.83203125" style="75" customWidth="1"/>
    <col min="5122" max="5201" width="20.83203125" style="75" customWidth="1"/>
    <col min="5202" max="5376" width="8.5" style="75"/>
    <col min="5377" max="5377" width="28.83203125" style="75" customWidth="1"/>
    <col min="5378" max="5457" width="20.83203125" style="75" customWidth="1"/>
    <col min="5458" max="5632" width="8.5" style="75"/>
    <col min="5633" max="5633" width="28.83203125" style="75" customWidth="1"/>
    <col min="5634" max="5713" width="20.83203125" style="75" customWidth="1"/>
    <col min="5714" max="5888" width="8.5" style="75"/>
    <col min="5889" max="5889" width="28.83203125" style="75" customWidth="1"/>
    <col min="5890" max="5969" width="20.83203125" style="75" customWidth="1"/>
    <col min="5970" max="6144" width="8.5" style="75"/>
    <col min="6145" max="6145" width="28.83203125" style="75" customWidth="1"/>
    <col min="6146" max="6225" width="20.83203125" style="75" customWidth="1"/>
    <col min="6226" max="6400" width="8.5" style="75"/>
    <col min="6401" max="6401" width="28.83203125" style="75" customWidth="1"/>
    <col min="6402" max="6481" width="20.83203125" style="75" customWidth="1"/>
    <col min="6482" max="6656" width="8.5" style="75"/>
    <col min="6657" max="6657" width="28.83203125" style="75" customWidth="1"/>
    <col min="6658" max="6737" width="20.83203125" style="75" customWidth="1"/>
    <col min="6738" max="6912" width="8.5" style="75"/>
    <col min="6913" max="6913" width="28.83203125" style="75" customWidth="1"/>
    <col min="6914" max="6993" width="20.83203125" style="75" customWidth="1"/>
    <col min="6994" max="7168" width="8.5" style="75"/>
    <col min="7169" max="7169" width="28.83203125" style="75" customWidth="1"/>
    <col min="7170" max="7249" width="20.83203125" style="75" customWidth="1"/>
    <col min="7250" max="7424" width="8.5" style="75"/>
    <col min="7425" max="7425" width="28.83203125" style="75" customWidth="1"/>
    <col min="7426" max="7505" width="20.83203125" style="75" customWidth="1"/>
    <col min="7506" max="7680" width="8.5" style="75"/>
    <col min="7681" max="7681" width="28.83203125" style="75" customWidth="1"/>
    <col min="7682" max="7761" width="20.83203125" style="75" customWidth="1"/>
    <col min="7762" max="7936" width="8.5" style="75"/>
    <col min="7937" max="7937" width="28.83203125" style="75" customWidth="1"/>
    <col min="7938" max="8017" width="20.83203125" style="75" customWidth="1"/>
    <col min="8018" max="8192" width="8.5" style="75"/>
    <col min="8193" max="8193" width="28.83203125" style="75" customWidth="1"/>
    <col min="8194" max="8273" width="20.83203125" style="75" customWidth="1"/>
    <col min="8274" max="8448" width="8.5" style="75"/>
    <col min="8449" max="8449" width="28.83203125" style="75" customWidth="1"/>
    <col min="8450" max="8529" width="20.83203125" style="75" customWidth="1"/>
    <col min="8530" max="8704" width="8.5" style="75"/>
    <col min="8705" max="8705" width="28.83203125" style="75" customWidth="1"/>
    <col min="8706" max="8785" width="20.83203125" style="75" customWidth="1"/>
    <col min="8786" max="8960" width="8.5" style="75"/>
    <col min="8961" max="8961" width="28.83203125" style="75" customWidth="1"/>
    <col min="8962" max="9041" width="20.83203125" style="75" customWidth="1"/>
    <col min="9042" max="9216" width="8.5" style="75"/>
    <col min="9217" max="9217" width="28.83203125" style="75" customWidth="1"/>
    <col min="9218" max="9297" width="20.83203125" style="75" customWidth="1"/>
    <col min="9298" max="9472" width="8.5" style="75"/>
    <col min="9473" max="9473" width="28.83203125" style="75" customWidth="1"/>
    <col min="9474" max="9553" width="20.83203125" style="75" customWidth="1"/>
    <col min="9554" max="9728" width="8.5" style="75"/>
    <col min="9729" max="9729" width="28.83203125" style="75" customWidth="1"/>
    <col min="9730" max="9809" width="20.83203125" style="75" customWidth="1"/>
    <col min="9810" max="9984" width="8.5" style="75"/>
    <col min="9985" max="9985" width="28.83203125" style="75" customWidth="1"/>
    <col min="9986" max="10065" width="20.83203125" style="75" customWidth="1"/>
    <col min="10066" max="10240" width="8.5" style="75"/>
    <col min="10241" max="10241" width="28.83203125" style="75" customWidth="1"/>
    <col min="10242" max="10321" width="20.83203125" style="75" customWidth="1"/>
    <col min="10322" max="10496" width="8.5" style="75"/>
    <col min="10497" max="10497" width="28.83203125" style="75" customWidth="1"/>
    <col min="10498" max="10577" width="20.83203125" style="75" customWidth="1"/>
    <col min="10578" max="10752" width="8.5" style="75"/>
    <col min="10753" max="10753" width="28.83203125" style="75" customWidth="1"/>
    <col min="10754" max="10833" width="20.83203125" style="75" customWidth="1"/>
    <col min="10834" max="11008" width="8.5" style="75"/>
    <col min="11009" max="11009" width="28.83203125" style="75" customWidth="1"/>
    <col min="11010" max="11089" width="20.83203125" style="75" customWidth="1"/>
    <col min="11090" max="11264" width="8.5" style="75"/>
    <col min="11265" max="11265" width="28.83203125" style="75" customWidth="1"/>
    <col min="11266" max="11345" width="20.83203125" style="75" customWidth="1"/>
    <col min="11346" max="11520" width="8.5" style="75"/>
    <col min="11521" max="11521" width="28.83203125" style="75" customWidth="1"/>
    <col min="11522" max="11601" width="20.83203125" style="75" customWidth="1"/>
    <col min="11602" max="11776" width="8.5" style="75"/>
    <col min="11777" max="11777" width="28.83203125" style="75" customWidth="1"/>
    <col min="11778" max="11857" width="20.83203125" style="75" customWidth="1"/>
    <col min="11858" max="12032" width="8.5" style="75"/>
    <col min="12033" max="12033" width="28.83203125" style="75" customWidth="1"/>
    <col min="12034" max="12113" width="20.83203125" style="75" customWidth="1"/>
    <col min="12114" max="12288" width="8.5" style="75"/>
    <col min="12289" max="12289" width="28.83203125" style="75" customWidth="1"/>
    <col min="12290" max="12369" width="20.83203125" style="75" customWidth="1"/>
    <col min="12370" max="12544" width="8.5" style="75"/>
    <col min="12545" max="12545" width="28.83203125" style="75" customWidth="1"/>
    <col min="12546" max="12625" width="20.83203125" style="75" customWidth="1"/>
    <col min="12626" max="12800" width="8.5" style="75"/>
    <col min="12801" max="12801" width="28.83203125" style="75" customWidth="1"/>
    <col min="12802" max="12881" width="20.83203125" style="75" customWidth="1"/>
    <col min="12882" max="13056" width="8.5" style="75"/>
    <col min="13057" max="13057" width="28.83203125" style="75" customWidth="1"/>
    <col min="13058" max="13137" width="20.83203125" style="75" customWidth="1"/>
    <col min="13138" max="13312" width="8.5" style="75"/>
    <col min="13313" max="13313" width="28.83203125" style="75" customWidth="1"/>
    <col min="13314" max="13393" width="20.83203125" style="75" customWidth="1"/>
    <col min="13394" max="13568" width="8.5" style="75"/>
    <col min="13569" max="13569" width="28.83203125" style="75" customWidth="1"/>
    <col min="13570" max="13649" width="20.83203125" style="75" customWidth="1"/>
    <col min="13650" max="13824" width="8.5" style="75"/>
    <col min="13825" max="13825" width="28.83203125" style="75" customWidth="1"/>
    <col min="13826" max="13905" width="20.83203125" style="75" customWidth="1"/>
    <col min="13906" max="14080" width="8.5" style="75"/>
    <col min="14081" max="14081" width="28.83203125" style="75" customWidth="1"/>
    <col min="14082" max="14161" width="20.83203125" style="75" customWidth="1"/>
    <col min="14162" max="14336" width="8.5" style="75"/>
    <col min="14337" max="14337" width="28.83203125" style="75" customWidth="1"/>
    <col min="14338" max="14417" width="20.83203125" style="75" customWidth="1"/>
    <col min="14418" max="14592" width="8.5" style="75"/>
    <col min="14593" max="14593" width="28.83203125" style="75" customWidth="1"/>
    <col min="14594" max="14673" width="20.83203125" style="75" customWidth="1"/>
    <col min="14674" max="14848" width="8.5" style="75"/>
    <col min="14849" max="14849" width="28.83203125" style="75" customWidth="1"/>
    <col min="14850" max="14929" width="20.83203125" style="75" customWidth="1"/>
    <col min="14930" max="15104" width="8.5" style="75"/>
    <col min="15105" max="15105" width="28.83203125" style="75" customWidth="1"/>
    <col min="15106" max="15185" width="20.83203125" style="75" customWidth="1"/>
    <col min="15186" max="15360" width="8.5" style="75"/>
    <col min="15361" max="15361" width="28.83203125" style="75" customWidth="1"/>
    <col min="15362" max="15441" width="20.83203125" style="75" customWidth="1"/>
    <col min="15442" max="15616" width="8.5" style="75"/>
    <col min="15617" max="15617" width="28.83203125" style="75" customWidth="1"/>
    <col min="15618" max="15697" width="20.83203125" style="75" customWidth="1"/>
    <col min="15698" max="15872" width="8.5" style="75"/>
    <col min="15873" max="15873" width="28.83203125" style="75" customWidth="1"/>
    <col min="15874" max="15953" width="20.83203125" style="75" customWidth="1"/>
    <col min="15954" max="16128" width="8.5" style="75"/>
    <col min="16129" max="16129" width="28.83203125" style="75" customWidth="1"/>
    <col min="16130" max="16209" width="20.83203125" style="75" customWidth="1"/>
    <col min="16210" max="16384" width="8.5" style="75"/>
  </cols>
  <sheetData>
    <row r="6" spans="1:255" ht="16.5" customHeight="1">
      <c r="A6" s="796" t="s">
        <v>1467</v>
      </c>
    </row>
    <row r="8" spans="1:255">
      <c r="A8" s="797"/>
      <c r="B8" s="797"/>
      <c r="C8" s="798"/>
      <c r="D8" s="798"/>
      <c r="AB8" s="799"/>
      <c r="AC8" s="799"/>
      <c r="AD8" s="799"/>
      <c r="AE8" s="799"/>
      <c r="AF8" s="799"/>
      <c r="AG8" s="799"/>
      <c r="AH8" s="799"/>
      <c r="AI8" s="799"/>
      <c r="AJ8" s="799"/>
      <c r="AK8" s="799"/>
      <c r="AL8" s="799"/>
      <c r="AM8" s="799"/>
      <c r="AN8" s="799"/>
      <c r="AO8" s="799"/>
      <c r="AP8" s="799"/>
      <c r="AQ8" s="799"/>
      <c r="AR8" s="799"/>
      <c r="AS8" s="799"/>
      <c r="AT8" s="799"/>
      <c r="AU8" s="799"/>
      <c r="AV8" s="799"/>
      <c r="AW8" s="799"/>
      <c r="AX8" s="799"/>
      <c r="AY8" s="799"/>
      <c r="AZ8" s="799"/>
      <c r="BA8" s="799"/>
      <c r="BB8" s="799"/>
      <c r="BC8" s="799"/>
      <c r="BD8" s="799"/>
      <c r="BE8" s="799"/>
      <c r="BF8" s="799"/>
      <c r="BG8" s="799"/>
      <c r="BH8" s="799"/>
      <c r="BI8" s="799"/>
      <c r="BJ8" s="799"/>
      <c r="BK8" s="799"/>
      <c r="BL8" s="799"/>
      <c r="BM8" s="799"/>
      <c r="BN8" s="799"/>
      <c r="BO8" s="799"/>
      <c r="BP8" s="799"/>
      <c r="BQ8" s="799"/>
      <c r="BR8" s="799"/>
      <c r="BS8" s="799"/>
      <c r="BT8" s="799"/>
      <c r="BU8" s="799"/>
      <c r="BV8" s="799"/>
      <c r="BW8" s="799"/>
      <c r="BX8" s="799"/>
      <c r="BY8" s="799"/>
      <c r="BZ8" s="799"/>
      <c r="CA8" s="799"/>
      <c r="CB8" s="799"/>
      <c r="CC8" s="799"/>
      <c r="CD8" s="799"/>
      <c r="CE8" s="799"/>
      <c r="CF8" s="799"/>
      <c r="CG8" s="799"/>
      <c r="CH8" s="799"/>
      <c r="CI8" s="799"/>
      <c r="CJ8" s="799"/>
      <c r="CK8" s="799"/>
      <c r="CL8" s="799"/>
      <c r="CM8" s="799"/>
      <c r="CN8" s="799"/>
      <c r="CO8" s="799"/>
      <c r="CP8" s="799"/>
      <c r="CQ8" s="799"/>
      <c r="CR8" s="799"/>
      <c r="CS8" s="799"/>
      <c r="CT8" s="799"/>
      <c r="CU8" s="799"/>
      <c r="CV8" s="799"/>
      <c r="CW8" s="799"/>
      <c r="CX8" s="799"/>
      <c r="CY8" s="799"/>
      <c r="CZ8" s="799"/>
      <c r="DA8" s="799"/>
      <c r="DB8" s="799"/>
      <c r="DC8" s="799"/>
      <c r="DD8" s="799"/>
      <c r="DE8" s="799"/>
      <c r="DF8" s="799"/>
      <c r="DG8" s="799"/>
      <c r="DH8" s="799"/>
      <c r="DI8" s="799"/>
      <c r="DJ8" s="799"/>
      <c r="DK8" s="799"/>
      <c r="DL8" s="799"/>
      <c r="DM8" s="799"/>
      <c r="DN8" s="799"/>
      <c r="DO8" s="799"/>
      <c r="DP8" s="799"/>
      <c r="DQ8" s="799"/>
      <c r="DR8" s="799"/>
      <c r="DS8" s="799"/>
      <c r="DT8" s="799"/>
      <c r="DU8" s="799"/>
      <c r="DV8" s="799"/>
      <c r="DW8" s="799"/>
      <c r="DX8" s="799"/>
      <c r="DY8" s="799"/>
      <c r="DZ8" s="799"/>
      <c r="EA8" s="799"/>
      <c r="EB8" s="799"/>
      <c r="EC8" s="799"/>
      <c r="ED8" s="799"/>
      <c r="EE8" s="799"/>
      <c r="EF8" s="799"/>
      <c r="EG8" s="799"/>
      <c r="EH8" s="799"/>
      <c r="EI8" s="799"/>
      <c r="EJ8" s="799"/>
      <c r="EK8" s="799"/>
      <c r="EL8" s="799"/>
      <c r="EM8" s="799"/>
      <c r="EN8" s="799"/>
      <c r="EO8" s="799"/>
      <c r="EP8" s="799"/>
      <c r="EQ8" s="799"/>
      <c r="ER8" s="799"/>
      <c r="ES8" s="799"/>
      <c r="ET8" s="799"/>
      <c r="EU8" s="799"/>
      <c r="EV8" s="799"/>
      <c r="EW8" s="799"/>
      <c r="EX8" s="799"/>
      <c r="EY8" s="799"/>
      <c r="EZ8" s="799"/>
      <c r="FA8" s="799"/>
      <c r="FB8" s="799"/>
      <c r="FC8" s="799"/>
      <c r="FD8" s="799"/>
      <c r="FE8" s="799"/>
      <c r="FF8" s="799"/>
      <c r="FG8" s="799"/>
      <c r="FH8" s="799"/>
      <c r="FI8" s="799"/>
      <c r="FJ8" s="799"/>
      <c r="FK8" s="799"/>
      <c r="FL8" s="799"/>
      <c r="FM8" s="799"/>
      <c r="FN8" s="799"/>
      <c r="FO8" s="799"/>
      <c r="FP8" s="799"/>
      <c r="FQ8" s="799"/>
      <c r="FR8" s="799"/>
      <c r="FS8" s="799"/>
      <c r="FT8" s="799"/>
      <c r="FU8" s="799"/>
      <c r="FV8" s="799"/>
      <c r="FW8" s="799"/>
      <c r="FX8" s="799"/>
      <c r="FY8" s="799"/>
      <c r="FZ8" s="799"/>
      <c r="GA8" s="799"/>
      <c r="GB8" s="799"/>
      <c r="GC8" s="799"/>
      <c r="GD8" s="799"/>
      <c r="GE8" s="799"/>
      <c r="GF8" s="799"/>
      <c r="GG8" s="799"/>
      <c r="GH8" s="799"/>
      <c r="GI8" s="799"/>
      <c r="GJ8" s="799"/>
      <c r="GK8" s="799"/>
      <c r="GL8" s="799"/>
      <c r="GM8" s="799"/>
      <c r="GN8" s="799"/>
      <c r="GO8" s="799"/>
      <c r="GP8" s="799"/>
      <c r="GQ8" s="799"/>
      <c r="GR8" s="799"/>
      <c r="GS8" s="799"/>
      <c r="GT8" s="799"/>
      <c r="GU8" s="799"/>
      <c r="GV8" s="799"/>
      <c r="GW8" s="799"/>
      <c r="GX8" s="799"/>
      <c r="GY8" s="799"/>
      <c r="GZ8" s="799"/>
      <c r="HA8" s="799"/>
      <c r="HB8" s="799"/>
      <c r="HC8" s="799"/>
      <c r="HD8" s="799"/>
      <c r="HE8" s="799"/>
      <c r="HF8" s="799"/>
      <c r="HG8" s="799"/>
      <c r="HH8" s="799"/>
      <c r="HI8" s="799"/>
      <c r="HJ8" s="799"/>
      <c r="HK8" s="799"/>
      <c r="HL8" s="799"/>
      <c r="HM8" s="799"/>
      <c r="HN8" s="799"/>
      <c r="HO8" s="799"/>
      <c r="HP8" s="799"/>
      <c r="HQ8" s="799"/>
      <c r="HR8" s="799"/>
      <c r="HS8" s="799"/>
      <c r="HT8" s="799"/>
      <c r="HU8" s="799"/>
      <c r="HV8" s="799"/>
      <c r="HW8" s="799"/>
      <c r="HX8" s="799"/>
      <c r="HY8" s="799"/>
      <c r="HZ8" s="799"/>
      <c r="IA8" s="799"/>
      <c r="IB8" s="799"/>
      <c r="IC8" s="799"/>
      <c r="ID8" s="799"/>
      <c r="IE8" s="799"/>
      <c r="IF8" s="799"/>
      <c r="IG8" s="799"/>
      <c r="IH8" s="799"/>
      <c r="II8" s="799"/>
      <c r="IJ8" s="799"/>
      <c r="IK8" s="799"/>
      <c r="IL8" s="799"/>
      <c r="IM8" s="799"/>
      <c r="IN8" s="799"/>
      <c r="IO8" s="799"/>
      <c r="IP8" s="799"/>
      <c r="IQ8" s="799"/>
      <c r="IR8" s="799"/>
      <c r="IS8" s="799"/>
      <c r="IT8" s="799"/>
      <c r="IU8" s="799"/>
    </row>
    <row r="9" spans="1:255">
      <c r="A9" s="797" t="s">
        <v>1468</v>
      </c>
      <c r="B9" s="797" t="s">
        <v>1469</v>
      </c>
      <c r="C9" s="798"/>
      <c r="D9" s="798"/>
    </row>
    <row r="10" spans="1:255">
      <c r="A10" s="797" t="s">
        <v>1470</v>
      </c>
      <c r="B10" s="797" t="s">
        <v>1471</v>
      </c>
      <c r="C10" s="798"/>
      <c r="D10" s="798"/>
    </row>
    <row r="11" spans="1:255">
      <c r="A11" s="797" t="s">
        <v>1472</v>
      </c>
      <c r="B11" s="797" t="s">
        <v>1473</v>
      </c>
      <c r="C11" s="798"/>
      <c r="D11" s="798"/>
    </row>
    <row r="13" spans="1:255">
      <c r="A13" s="797" t="s">
        <v>1474</v>
      </c>
      <c r="B13" s="798"/>
      <c r="C13" s="798"/>
      <c r="D13" s="798"/>
      <c r="AB13" s="799"/>
      <c r="AC13" s="799"/>
      <c r="AD13" s="799"/>
      <c r="AE13" s="799"/>
      <c r="AF13" s="799"/>
      <c r="AG13" s="799"/>
      <c r="AH13" s="799"/>
      <c r="AI13" s="799"/>
      <c r="AJ13" s="799"/>
      <c r="AK13" s="799"/>
      <c r="AL13" s="799"/>
      <c r="AM13" s="799"/>
      <c r="AN13" s="799"/>
      <c r="AO13" s="799"/>
      <c r="AP13" s="799"/>
      <c r="AQ13" s="799"/>
      <c r="AR13" s="799"/>
      <c r="AS13" s="799"/>
      <c r="AT13" s="799"/>
      <c r="AU13" s="799"/>
      <c r="AV13" s="799"/>
      <c r="AW13" s="799"/>
      <c r="AX13" s="799"/>
      <c r="AY13" s="799"/>
      <c r="AZ13" s="799"/>
      <c r="BA13" s="799"/>
      <c r="BB13" s="799"/>
      <c r="BC13" s="799"/>
      <c r="BD13" s="799"/>
      <c r="BE13" s="799"/>
      <c r="BF13" s="799"/>
      <c r="BG13" s="799"/>
      <c r="BH13" s="799"/>
      <c r="BI13" s="799"/>
      <c r="BJ13" s="799"/>
      <c r="BK13" s="799"/>
      <c r="BL13" s="799"/>
      <c r="BM13" s="799"/>
      <c r="BN13" s="799"/>
      <c r="BO13" s="799"/>
      <c r="BP13" s="799"/>
      <c r="BQ13" s="799"/>
      <c r="BR13" s="799"/>
      <c r="BS13" s="799"/>
      <c r="BT13" s="799"/>
      <c r="BU13" s="799"/>
      <c r="BV13" s="799"/>
      <c r="BW13" s="799"/>
      <c r="BX13" s="799"/>
      <c r="BY13" s="799"/>
      <c r="BZ13" s="799"/>
      <c r="CA13" s="799"/>
      <c r="CB13" s="799"/>
      <c r="CC13" s="799"/>
      <c r="CD13" s="799"/>
      <c r="CE13" s="799"/>
      <c r="CF13" s="799"/>
      <c r="CG13" s="799"/>
      <c r="CH13" s="799"/>
      <c r="CI13" s="799"/>
      <c r="CJ13" s="799"/>
      <c r="CK13" s="799"/>
      <c r="CL13" s="799"/>
      <c r="CM13" s="799"/>
      <c r="CN13" s="799"/>
      <c r="CO13" s="799"/>
      <c r="CP13" s="799"/>
      <c r="CQ13" s="799"/>
      <c r="CR13" s="799"/>
      <c r="CS13" s="799"/>
      <c r="CT13" s="799"/>
      <c r="CU13" s="799"/>
      <c r="CV13" s="799"/>
      <c r="CW13" s="799"/>
      <c r="CX13" s="799"/>
      <c r="CY13" s="799"/>
      <c r="CZ13" s="799"/>
      <c r="DA13" s="799"/>
      <c r="DB13" s="799"/>
      <c r="DC13" s="799"/>
      <c r="DD13" s="799"/>
      <c r="DE13" s="799"/>
      <c r="DF13" s="799"/>
      <c r="DG13" s="799"/>
      <c r="DH13" s="799"/>
      <c r="DI13" s="799"/>
      <c r="DJ13" s="799"/>
      <c r="DK13" s="799"/>
      <c r="DL13" s="799"/>
      <c r="DM13" s="799"/>
      <c r="DN13" s="799"/>
      <c r="DO13" s="799"/>
      <c r="DP13" s="799"/>
      <c r="DQ13" s="799"/>
      <c r="DR13" s="799"/>
      <c r="DS13" s="799"/>
      <c r="DT13" s="799"/>
      <c r="DU13" s="799"/>
      <c r="DV13" s="799"/>
      <c r="DW13" s="799"/>
      <c r="DX13" s="799"/>
      <c r="DY13" s="799"/>
      <c r="DZ13" s="799"/>
      <c r="EA13" s="799"/>
      <c r="EB13" s="799"/>
      <c r="EC13" s="799"/>
      <c r="ED13" s="799"/>
      <c r="EE13" s="799"/>
      <c r="EF13" s="799"/>
      <c r="EG13" s="799"/>
      <c r="EH13" s="799"/>
      <c r="EI13" s="799"/>
      <c r="EJ13" s="799"/>
      <c r="EK13" s="799"/>
      <c r="EL13" s="799"/>
      <c r="EM13" s="799"/>
      <c r="EN13" s="799"/>
      <c r="EO13" s="799"/>
      <c r="EP13" s="799"/>
      <c r="EQ13" s="799"/>
      <c r="ER13" s="799"/>
      <c r="ES13" s="799"/>
      <c r="ET13" s="799"/>
      <c r="EU13" s="799"/>
      <c r="EV13" s="799"/>
      <c r="EW13" s="799"/>
      <c r="EX13" s="799"/>
      <c r="EY13" s="799"/>
      <c r="EZ13" s="799"/>
      <c r="FA13" s="799"/>
      <c r="FB13" s="799"/>
      <c r="FC13" s="799"/>
      <c r="FD13" s="799"/>
      <c r="FE13" s="799"/>
      <c r="FF13" s="799"/>
      <c r="FG13" s="799"/>
      <c r="FH13" s="799"/>
      <c r="FI13" s="799"/>
      <c r="FJ13" s="799"/>
      <c r="FK13" s="799"/>
      <c r="FL13" s="799"/>
      <c r="FM13" s="799"/>
      <c r="FN13" s="799"/>
      <c r="FO13" s="799"/>
      <c r="FP13" s="799"/>
      <c r="FQ13" s="799"/>
      <c r="FR13" s="799"/>
      <c r="FS13" s="799"/>
      <c r="FT13" s="799"/>
      <c r="FU13" s="799"/>
      <c r="FV13" s="799"/>
      <c r="FW13" s="799"/>
      <c r="FX13" s="799"/>
      <c r="FY13" s="799"/>
      <c r="FZ13" s="799"/>
      <c r="GA13" s="799"/>
      <c r="GB13" s="799"/>
      <c r="GC13" s="799"/>
      <c r="GD13" s="799"/>
      <c r="GE13" s="799"/>
      <c r="GF13" s="799"/>
      <c r="GG13" s="799"/>
      <c r="GH13" s="799"/>
      <c r="GI13" s="799"/>
      <c r="GJ13" s="799"/>
      <c r="GK13" s="799"/>
      <c r="GL13" s="799"/>
      <c r="GM13" s="799"/>
      <c r="GN13" s="799"/>
      <c r="GO13" s="799"/>
      <c r="GP13" s="799"/>
      <c r="GQ13" s="799"/>
      <c r="GR13" s="799"/>
      <c r="GS13" s="799"/>
      <c r="GT13" s="799"/>
      <c r="GU13" s="799"/>
      <c r="GV13" s="799"/>
      <c r="GW13" s="799"/>
      <c r="GX13" s="799"/>
      <c r="GY13" s="799"/>
      <c r="GZ13" s="799"/>
      <c r="HA13" s="799"/>
      <c r="HB13" s="799"/>
      <c r="HC13" s="799"/>
      <c r="HD13" s="799"/>
      <c r="HE13" s="799"/>
      <c r="HF13" s="799"/>
      <c r="HG13" s="799"/>
      <c r="HH13" s="799"/>
      <c r="HI13" s="799"/>
      <c r="HJ13" s="799"/>
      <c r="HK13" s="799"/>
      <c r="HL13" s="799"/>
      <c r="HM13" s="799"/>
      <c r="HN13" s="799"/>
      <c r="HO13" s="799"/>
      <c r="HP13" s="799"/>
      <c r="HQ13" s="799"/>
      <c r="HR13" s="799"/>
      <c r="HS13" s="799"/>
      <c r="HT13" s="799"/>
      <c r="HU13" s="799"/>
      <c r="HV13" s="799"/>
      <c r="HW13" s="799"/>
      <c r="HX13" s="799"/>
      <c r="HY13" s="799"/>
      <c r="HZ13" s="799"/>
      <c r="IA13" s="799"/>
      <c r="IB13" s="799"/>
      <c r="IC13" s="799"/>
      <c r="ID13" s="799"/>
      <c r="IE13" s="799"/>
      <c r="IF13" s="799"/>
      <c r="IG13" s="799"/>
      <c r="IH13" s="799"/>
      <c r="II13" s="799"/>
      <c r="IJ13" s="799"/>
      <c r="IK13" s="799"/>
      <c r="IL13" s="799"/>
      <c r="IM13" s="799"/>
      <c r="IN13" s="799"/>
      <c r="IO13" s="799"/>
      <c r="IP13" s="799"/>
      <c r="IQ13" s="799"/>
      <c r="IR13" s="799"/>
      <c r="IS13" s="799"/>
      <c r="IT13" s="799"/>
      <c r="IU13" s="799"/>
    </row>
    <row r="15" spans="1:255">
      <c r="A15" s="798" t="s">
        <v>1475</v>
      </c>
      <c r="B15" s="798" t="s">
        <v>1476</v>
      </c>
      <c r="C15" s="798" t="s">
        <v>273</v>
      </c>
      <c r="D15" s="798" t="s">
        <v>1477</v>
      </c>
      <c r="E15" s="798" t="s">
        <v>1478</v>
      </c>
      <c r="F15" s="798" t="s">
        <v>1479</v>
      </c>
      <c r="H15" s="798" t="s">
        <v>1480</v>
      </c>
      <c r="I15" s="798"/>
      <c r="AB15" s="799"/>
      <c r="AC15" s="799"/>
      <c r="AD15" s="799"/>
      <c r="AE15" s="799"/>
      <c r="AF15" s="799"/>
      <c r="AG15" s="799"/>
      <c r="AH15" s="799"/>
      <c r="AI15" s="799"/>
      <c r="AJ15" s="799"/>
      <c r="AK15" s="799"/>
      <c r="AL15" s="799"/>
      <c r="AM15" s="799"/>
      <c r="AN15" s="799"/>
      <c r="AO15" s="799"/>
      <c r="AP15" s="799"/>
      <c r="AQ15" s="799"/>
      <c r="AR15" s="799"/>
      <c r="AS15" s="799"/>
      <c r="AT15" s="799"/>
      <c r="AU15" s="799"/>
      <c r="AV15" s="799"/>
      <c r="AW15" s="799"/>
      <c r="AX15" s="799"/>
      <c r="AY15" s="799"/>
      <c r="AZ15" s="799"/>
      <c r="BA15" s="799"/>
      <c r="BB15" s="799"/>
      <c r="BC15" s="799"/>
      <c r="BD15" s="799"/>
      <c r="BE15" s="799"/>
      <c r="BF15" s="799"/>
      <c r="BG15" s="799"/>
      <c r="BH15" s="799"/>
      <c r="BI15" s="799"/>
      <c r="BJ15" s="799"/>
      <c r="BK15" s="799"/>
      <c r="BL15" s="799"/>
      <c r="BM15" s="799"/>
      <c r="BN15" s="799"/>
      <c r="BO15" s="799"/>
      <c r="BP15" s="799"/>
      <c r="BQ15" s="799"/>
      <c r="BR15" s="799"/>
      <c r="BS15" s="799"/>
      <c r="BT15" s="799"/>
      <c r="BU15" s="799"/>
      <c r="BV15" s="799"/>
      <c r="BW15" s="799"/>
      <c r="BX15" s="799"/>
      <c r="BY15" s="799"/>
      <c r="BZ15" s="799"/>
      <c r="CA15" s="799"/>
      <c r="CB15" s="799"/>
      <c r="CC15" s="799"/>
      <c r="CD15" s="799"/>
      <c r="CE15" s="799"/>
      <c r="CF15" s="799"/>
      <c r="CG15" s="799"/>
      <c r="CH15" s="799"/>
      <c r="CI15" s="799"/>
      <c r="CJ15" s="799"/>
      <c r="CK15" s="799"/>
      <c r="CL15" s="799"/>
      <c r="CM15" s="799"/>
      <c r="CN15" s="799"/>
      <c r="CO15" s="799"/>
      <c r="CP15" s="799"/>
      <c r="CQ15" s="799"/>
      <c r="CR15" s="799"/>
      <c r="CS15" s="799"/>
      <c r="CT15" s="799"/>
      <c r="CU15" s="799"/>
      <c r="CV15" s="799"/>
      <c r="CW15" s="799"/>
      <c r="CX15" s="799"/>
      <c r="CY15" s="799"/>
      <c r="CZ15" s="799"/>
      <c r="DA15" s="799"/>
      <c r="DB15" s="799"/>
      <c r="DC15" s="799"/>
      <c r="DD15" s="799"/>
      <c r="DE15" s="799"/>
      <c r="DF15" s="799"/>
      <c r="DG15" s="799"/>
      <c r="DH15" s="799"/>
      <c r="DI15" s="799"/>
      <c r="DJ15" s="799"/>
      <c r="DK15" s="799"/>
      <c r="DL15" s="799"/>
      <c r="DM15" s="799"/>
      <c r="DN15" s="799"/>
      <c r="DO15" s="799"/>
      <c r="DP15" s="799"/>
      <c r="DQ15" s="799"/>
      <c r="DR15" s="799"/>
      <c r="DS15" s="799"/>
      <c r="DT15" s="799"/>
      <c r="DU15" s="799"/>
      <c r="DV15" s="799"/>
      <c r="DW15" s="799"/>
      <c r="DX15" s="799"/>
      <c r="DY15" s="799"/>
      <c r="DZ15" s="799"/>
      <c r="EA15" s="799"/>
      <c r="EB15" s="799"/>
      <c r="EC15" s="799"/>
      <c r="ED15" s="799"/>
      <c r="EE15" s="799"/>
      <c r="EF15" s="799"/>
      <c r="EG15" s="799"/>
      <c r="EH15" s="799"/>
      <c r="EI15" s="799"/>
      <c r="EJ15" s="799"/>
      <c r="EK15" s="799"/>
      <c r="EL15" s="799"/>
      <c r="EM15" s="799"/>
      <c r="EN15" s="799"/>
      <c r="EO15" s="799"/>
      <c r="EP15" s="799"/>
      <c r="EQ15" s="799"/>
      <c r="ER15" s="799"/>
      <c r="ES15" s="799"/>
      <c r="ET15" s="799"/>
      <c r="EU15" s="799"/>
      <c r="EV15" s="799"/>
      <c r="EW15" s="799"/>
      <c r="EX15" s="799"/>
      <c r="EY15" s="799"/>
      <c r="EZ15" s="799"/>
      <c r="FA15" s="799"/>
      <c r="FB15" s="799"/>
      <c r="FC15" s="799"/>
      <c r="FD15" s="799"/>
      <c r="FE15" s="799"/>
      <c r="FF15" s="799"/>
      <c r="FG15" s="799"/>
      <c r="FH15" s="799"/>
      <c r="FI15" s="799"/>
      <c r="FJ15" s="799"/>
      <c r="FK15" s="799"/>
      <c r="FL15" s="799"/>
      <c r="FM15" s="799"/>
      <c r="FN15" s="799"/>
      <c r="FO15" s="799"/>
      <c r="FP15" s="799"/>
      <c r="FQ15" s="799"/>
      <c r="FR15" s="799"/>
      <c r="FS15" s="799"/>
      <c r="FT15" s="799"/>
      <c r="FU15" s="799"/>
      <c r="FV15" s="799"/>
      <c r="FW15" s="799"/>
      <c r="FX15" s="799"/>
      <c r="FY15" s="799"/>
      <c r="FZ15" s="799"/>
      <c r="GA15" s="799"/>
      <c r="GB15" s="799"/>
      <c r="GC15" s="799"/>
      <c r="GD15" s="799"/>
      <c r="GE15" s="799"/>
      <c r="GF15" s="799"/>
      <c r="GG15" s="799"/>
      <c r="GH15" s="799"/>
      <c r="GI15" s="799"/>
      <c r="GJ15" s="799"/>
      <c r="GK15" s="799"/>
      <c r="GL15" s="799"/>
      <c r="GM15" s="799"/>
      <c r="GN15" s="799"/>
      <c r="GO15" s="799"/>
      <c r="GP15" s="799"/>
      <c r="GQ15" s="799"/>
      <c r="GR15" s="799"/>
      <c r="GS15" s="799"/>
      <c r="GT15" s="799"/>
      <c r="GU15" s="799"/>
      <c r="GV15" s="799"/>
      <c r="GW15" s="799"/>
      <c r="GX15" s="799"/>
      <c r="GY15" s="799"/>
      <c r="GZ15" s="799"/>
      <c r="HA15" s="799"/>
      <c r="HB15" s="799"/>
      <c r="HC15" s="799"/>
      <c r="HD15" s="799"/>
      <c r="HE15" s="799"/>
      <c r="HF15" s="799"/>
      <c r="HG15" s="799"/>
      <c r="HH15" s="799"/>
      <c r="HI15" s="799"/>
      <c r="HJ15" s="799"/>
      <c r="HK15" s="799"/>
      <c r="HL15" s="799"/>
      <c r="HM15" s="799"/>
      <c r="HN15" s="799"/>
      <c r="HO15" s="799"/>
      <c r="HP15" s="799"/>
      <c r="HQ15" s="799"/>
      <c r="HR15" s="799"/>
      <c r="HS15" s="799"/>
      <c r="HT15" s="799"/>
      <c r="HU15" s="799"/>
      <c r="HV15" s="799"/>
      <c r="HW15" s="799"/>
      <c r="HX15" s="799"/>
      <c r="HY15" s="799"/>
      <c r="HZ15" s="799"/>
      <c r="IA15" s="799"/>
      <c r="IB15" s="799"/>
      <c r="IC15" s="799"/>
      <c r="ID15" s="799"/>
      <c r="IE15" s="799"/>
      <c r="IF15" s="799"/>
      <c r="IG15" s="799"/>
      <c r="IH15" s="799"/>
      <c r="II15" s="799"/>
      <c r="IJ15" s="799"/>
      <c r="IK15" s="799"/>
      <c r="IL15" s="799"/>
      <c r="IM15" s="799"/>
      <c r="IN15" s="799"/>
      <c r="IO15" s="799"/>
      <c r="IP15" s="799"/>
      <c r="IQ15" s="799"/>
      <c r="IR15" s="799"/>
      <c r="IS15" s="799"/>
      <c r="IT15" s="799"/>
      <c r="IU15" s="799"/>
    </row>
    <row r="16" spans="1:255">
      <c r="A16" s="75" t="s">
        <v>16</v>
      </c>
      <c r="B16" s="800">
        <v>6.83</v>
      </c>
      <c r="C16" s="800">
        <v>6.93</v>
      </c>
      <c r="D16" s="800" t="s">
        <v>1481</v>
      </c>
      <c r="E16" s="800">
        <v>0.45</v>
      </c>
      <c r="F16" s="800" t="s">
        <v>1482</v>
      </c>
      <c r="H16" s="75" t="s">
        <v>1483</v>
      </c>
      <c r="I16" s="75">
        <v>18</v>
      </c>
    </row>
    <row r="17" spans="1:255">
      <c r="A17" s="75" t="s">
        <v>1484</v>
      </c>
      <c r="B17" s="800" t="s">
        <v>1485</v>
      </c>
      <c r="C17" s="800"/>
      <c r="D17" s="800"/>
      <c r="E17" s="800"/>
      <c r="F17" s="800"/>
      <c r="H17" s="75" t="s">
        <v>1486</v>
      </c>
      <c r="I17" s="75">
        <v>6</v>
      </c>
    </row>
    <row r="18" spans="1:255">
      <c r="A18" s="75" t="s">
        <v>1487</v>
      </c>
      <c r="B18" s="800" t="s">
        <v>1488</v>
      </c>
      <c r="C18" s="800"/>
      <c r="D18" s="800"/>
      <c r="E18" s="800"/>
      <c r="F18" s="800"/>
      <c r="H18" s="75" t="s">
        <v>1489</v>
      </c>
      <c r="I18" s="75">
        <v>4</v>
      </c>
    </row>
    <row r="19" spans="1:255">
      <c r="H19" s="75" t="s">
        <v>1490</v>
      </c>
      <c r="I19" s="75">
        <v>0</v>
      </c>
    </row>
    <row r="20" spans="1:255">
      <c r="H20" s="75" t="s">
        <v>1491</v>
      </c>
      <c r="I20" s="75">
        <v>0</v>
      </c>
    </row>
    <row r="21" spans="1:255">
      <c r="H21" s="75" t="s">
        <v>1492</v>
      </c>
      <c r="I21" s="75">
        <v>0</v>
      </c>
    </row>
    <row r="24" spans="1:255">
      <c r="A24" s="797" t="s">
        <v>1493</v>
      </c>
      <c r="B24" s="797" t="s">
        <v>247</v>
      </c>
      <c r="E24" s="797" t="s">
        <v>1494</v>
      </c>
      <c r="F24" s="798"/>
      <c r="G24" s="798"/>
      <c r="H24" s="798"/>
      <c r="AB24" s="799"/>
      <c r="AC24" s="799"/>
      <c r="AD24" s="799"/>
      <c r="AE24" s="799"/>
      <c r="AF24" s="799"/>
      <c r="AG24" s="799"/>
      <c r="AH24" s="799"/>
      <c r="AI24" s="799"/>
      <c r="AJ24" s="799"/>
      <c r="AK24" s="799"/>
      <c r="AL24" s="799"/>
      <c r="AM24" s="799"/>
      <c r="AN24" s="799"/>
      <c r="AO24" s="799"/>
      <c r="AP24" s="799"/>
      <c r="AQ24" s="799"/>
      <c r="AR24" s="799"/>
      <c r="AS24" s="799"/>
      <c r="AT24" s="799"/>
      <c r="AU24" s="799"/>
      <c r="AV24" s="799"/>
      <c r="AW24" s="799"/>
      <c r="AX24" s="799"/>
      <c r="AY24" s="799"/>
      <c r="AZ24" s="799"/>
      <c r="BA24" s="799"/>
      <c r="BB24" s="799"/>
      <c r="BC24" s="799"/>
      <c r="BD24" s="799"/>
      <c r="BE24" s="799"/>
      <c r="BF24" s="799"/>
      <c r="BG24" s="799"/>
      <c r="BH24" s="799"/>
      <c r="BI24" s="799"/>
      <c r="BJ24" s="799"/>
      <c r="BK24" s="799"/>
      <c r="BL24" s="799"/>
      <c r="BM24" s="799"/>
      <c r="BN24" s="799"/>
      <c r="BO24" s="799"/>
      <c r="BP24" s="799"/>
      <c r="BQ24" s="799"/>
      <c r="BR24" s="799"/>
      <c r="BS24" s="799"/>
      <c r="BT24" s="799"/>
      <c r="BU24" s="799"/>
      <c r="BV24" s="799"/>
      <c r="BW24" s="799"/>
      <c r="BX24" s="799"/>
      <c r="BY24" s="799"/>
      <c r="BZ24" s="799"/>
      <c r="CA24" s="799"/>
      <c r="CB24" s="799"/>
      <c r="CC24" s="799"/>
      <c r="CD24" s="799"/>
      <c r="CE24" s="799"/>
      <c r="CF24" s="799"/>
      <c r="CG24" s="799"/>
      <c r="CH24" s="799"/>
      <c r="CI24" s="799"/>
      <c r="CJ24" s="799"/>
      <c r="CK24" s="799"/>
      <c r="CL24" s="799"/>
      <c r="CM24" s="799"/>
      <c r="CN24" s="799"/>
      <c r="CO24" s="799"/>
      <c r="CP24" s="799"/>
      <c r="CQ24" s="799"/>
      <c r="CR24" s="799"/>
      <c r="CS24" s="799"/>
      <c r="CT24" s="799"/>
      <c r="CU24" s="799"/>
      <c r="CV24" s="799"/>
      <c r="CW24" s="799"/>
      <c r="CX24" s="799"/>
      <c r="CY24" s="799"/>
      <c r="CZ24" s="799"/>
      <c r="DA24" s="799"/>
      <c r="DB24" s="799"/>
      <c r="DC24" s="799"/>
      <c r="DD24" s="799"/>
      <c r="DE24" s="799"/>
      <c r="DF24" s="799"/>
      <c r="DG24" s="799"/>
      <c r="DH24" s="799"/>
      <c r="DI24" s="799"/>
      <c r="DJ24" s="799"/>
      <c r="DK24" s="799"/>
      <c r="DL24" s="799"/>
      <c r="DM24" s="799"/>
      <c r="DN24" s="799"/>
      <c r="DO24" s="799"/>
      <c r="DP24" s="799"/>
      <c r="DQ24" s="799"/>
      <c r="DR24" s="799"/>
      <c r="DS24" s="799"/>
      <c r="DT24" s="799"/>
      <c r="DU24" s="799"/>
      <c r="DV24" s="799"/>
      <c r="DW24" s="799"/>
      <c r="DX24" s="799"/>
      <c r="DY24" s="799"/>
      <c r="DZ24" s="799"/>
      <c r="EA24" s="799"/>
      <c r="EB24" s="799"/>
      <c r="EC24" s="799"/>
      <c r="ED24" s="799"/>
      <c r="EE24" s="799"/>
      <c r="EF24" s="799"/>
      <c r="EG24" s="799"/>
      <c r="EH24" s="799"/>
      <c r="EI24" s="799"/>
      <c r="EJ24" s="799"/>
      <c r="EK24" s="799"/>
      <c r="EL24" s="799"/>
      <c r="EM24" s="799"/>
      <c r="EN24" s="799"/>
      <c r="EO24" s="799"/>
      <c r="EP24" s="799"/>
      <c r="EQ24" s="799"/>
      <c r="ER24" s="799"/>
      <c r="ES24" s="799"/>
      <c r="ET24" s="799"/>
      <c r="EU24" s="799"/>
      <c r="EV24" s="799"/>
      <c r="EW24" s="799"/>
      <c r="EX24" s="799"/>
      <c r="EY24" s="799"/>
      <c r="EZ24" s="799"/>
      <c r="FA24" s="799"/>
      <c r="FB24" s="799"/>
      <c r="FC24" s="799"/>
      <c r="FD24" s="799"/>
      <c r="FE24" s="799"/>
      <c r="FF24" s="799"/>
      <c r="FG24" s="799"/>
      <c r="FH24" s="799"/>
      <c r="FI24" s="799"/>
      <c r="FJ24" s="799"/>
      <c r="FK24" s="799"/>
      <c r="FL24" s="799"/>
      <c r="FM24" s="799"/>
      <c r="FN24" s="799"/>
      <c r="FO24" s="799"/>
      <c r="FP24" s="799"/>
      <c r="FQ24" s="799"/>
      <c r="FR24" s="799"/>
      <c r="FS24" s="799"/>
      <c r="FT24" s="799"/>
      <c r="FU24" s="799"/>
      <c r="FV24" s="799"/>
      <c r="FW24" s="799"/>
      <c r="FX24" s="799"/>
      <c r="FY24" s="799"/>
      <c r="FZ24" s="799"/>
      <c r="GA24" s="799"/>
      <c r="GB24" s="799"/>
      <c r="GC24" s="799"/>
      <c r="GD24" s="799"/>
      <c r="GE24" s="799"/>
      <c r="GF24" s="799"/>
      <c r="GG24" s="799"/>
      <c r="GH24" s="799"/>
      <c r="GI24" s="799"/>
      <c r="GJ24" s="799"/>
      <c r="GK24" s="799"/>
      <c r="GL24" s="799"/>
      <c r="GM24" s="799"/>
      <c r="GN24" s="799"/>
      <c r="GO24" s="799"/>
      <c r="GP24" s="799"/>
      <c r="GQ24" s="799"/>
      <c r="GR24" s="799"/>
      <c r="GS24" s="799"/>
      <c r="GT24" s="799"/>
      <c r="GU24" s="799"/>
      <c r="GV24" s="799"/>
      <c r="GW24" s="799"/>
      <c r="GX24" s="799"/>
      <c r="GY24" s="799"/>
      <c r="GZ24" s="799"/>
      <c r="HA24" s="799"/>
      <c r="HB24" s="799"/>
      <c r="HC24" s="799"/>
      <c r="HD24" s="799"/>
      <c r="HE24" s="799"/>
      <c r="HF24" s="799"/>
      <c r="HG24" s="799"/>
      <c r="HH24" s="799"/>
      <c r="HI24" s="799"/>
      <c r="HJ24" s="799"/>
      <c r="HK24" s="799"/>
      <c r="HL24" s="799"/>
      <c r="HM24" s="799"/>
      <c r="HN24" s="799"/>
      <c r="HO24" s="799"/>
      <c r="HP24" s="799"/>
      <c r="HQ24" s="799"/>
      <c r="HR24" s="799"/>
      <c r="HS24" s="799"/>
      <c r="HT24" s="799"/>
      <c r="HU24" s="799"/>
      <c r="HV24" s="799"/>
      <c r="HW24" s="799"/>
      <c r="HX24" s="799"/>
      <c r="HY24" s="799"/>
      <c r="HZ24" s="799"/>
      <c r="IA24" s="799"/>
      <c r="IB24" s="799"/>
      <c r="IC24" s="799"/>
      <c r="ID24" s="799"/>
      <c r="IE24" s="799"/>
      <c r="IF24" s="799"/>
      <c r="IG24" s="799"/>
      <c r="IH24" s="799"/>
      <c r="II24" s="799"/>
      <c r="IJ24" s="799"/>
      <c r="IK24" s="799"/>
      <c r="IL24" s="799"/>
      <c r="IM24" s="799"/>
      <c r="IN24" s="799"/>
      <c r="IO24" s="799"/>
      <c r="IP24" s="799"/>
      <c r="IQ24" s="799"/>
      <c r="IR24" s="799"/>
      <c r="IS24" s="799"/>
      <c r="IT24" s="799"/>
      <c r="IU24" s="799"/>
    </row>
    <row r="25" spans="1:255">
      <c r="A25" s="801" t="s">
        <v>1495</v>
      </c>
      <c r="B25" s="801" t="s">
        <v>1496</v>
      </c>
      <c r="F25" s="796" t="s">
        <v>1497</v>
      </c>
      <c r="G25" s="796" t="s">
        <v>1498</v>
      </c>
      <c r="H25" s="796" t="s">
        <v>1499</v>
      </c>
    </row>
    <row r="26" spans="1:255">
      <c r="A26" s="801" t="s">
        <v>1500</v>
      </c>
      <c r="B26" s="801" t="s">
        <v>1501</v>
      </c>
      <c r="E26" s="796" t="s">
        <v>1502</v>
      </c>
      <c r="F26" s="802">
        <v>8.4799999999999997E-3</v>
      </c>
      <c r="G26" s="802">
        <v>3.9890000000000002E-2</v>
      </c>
      <c r="H26" s="800">
        <v>0.08</v>
      </c>
    </row>
    <row r="27" spans="1:255">
      <c r="A27" s="801" t="s">
        <v>1503</v>
      </c>
      <c r="B27" s="801" t="s">
        <v>1504</v>
      </c>
      <c r="E27" s="797" t="s">
        <v>1505</v>
      </c>
      <c r="F27" s="798"/>
      <c r="G27" s="798"/>
      <c r="H27" s="798"/>
      <c r="AB27" s="799"/>
      <c r="AC27" s="799"/>
      <c r="AD27" s="799"/>
      <c r="AE27" s="799"/>
      <c r="AF27" s="799"/>
      <c r="AG27" s="799"/>
      <c r="AH27" s="799"/>
      <c r="AI27" s="799"/>
      <c r="AJ27" s="799"/>
      <c r="AK27" s="799"/>
      <c r="AL27" s="799"/>
      <c r="AM27" s="799"/>
      <c r="AN27" s="799"/>
      <c r="AO27" s="799"/>
      <c r="AP27" s="799"/>
      <c r="AQ27" s="799"/>
      <c r="AR27" s="799"/>
      <c r="AS27" s="799"/>
      <c r="AT27" s="799"/>
      <c r="AU27" s="799"/>
      <c r="AV27" s="799"/>
      <c r="AW27" s="799"/>
      <c r="AX27" s="799"/>
      <c r="AY27" s="799"/>
      <c r="AZ27" s="799"/>
      <c r="BA27" s="799"/>
      <c r="BB27" s="799"/>
      <c r="BC27" s="799"/>
      <c r="BD27" s="799"/>
      <c r="BE27" s="799"/>
      <c r="BF27" s="799"/>
      <c r="BG27" s="799"/>
      <c r="BH27" s="799"/>
      <c r="BI27" s="799"/>
      <c r="BJ27" s="799"/>
      <c r="BK27" s="799"/>
      <c r="BL27" s="799"/>
      <c r="BM27" s="799"/>
      <c r="BN27" s="799"/>
      <c r="BO27" s="799"/>
      <c r="BP27" s="799"/>
      <c r="BQ27" s="799"/>
      <c r="BR27" s="799"/>
      <c r="BS27" s="799"/>
      <c r="BT27" s="799"/>
      <c r="BU27" s="799"/>
      <c r="BV27" s="799"/>
      <c r="BW27" s="799"/>
      <c r="BX27" s="799"/>
      <c r="BY27" s="799"/>
      <c r="BZ27" s="799"/>
      <c r="CA27" s="799"/>
      <c r="CB27" s="799"/>
      <c r="CC27" s="799"/>
      <c r="CD27" s="799"/>
      <c r="CE27" s="799"/>
      <c r="CF27" s="799"/>
      <c r="CG27" s="799"/>
      <c r="CH27" s="799"/>
      <c r="CI27" s="799"/>
      <c r="CJ27" s="799"/>
      <c r="CK27" s="799"/>
      <c r="CL27" s="799"/>
      <c r="CM27" s="799"/>
      <c r="CN27" s="799"/>
      <c r="CO27" s="799"/>
      <c r="CP27" s="799"/>
      <c r="CQ27" s="799"/>
      <c r="CR27" s="799"/>
      <c r="CS27" s="799"/>
      <c r="CT27" s="799"/>
      <c r="CU27" s="799"/>
      <c r="CV27" s="799"/>
      <c r="CW27" s="799"/>
      <c r="CX27" s="799"/>
      <c r="CY27" s="799"/>
      <c r="CZ27" s="799"/>
      <c r="DA27" s="799"/>
      <c r="DB27" s="799"/>
      <c r="DC27" s="799"/>
      <c r="DD27" s="799"/>
      <c r="DE27" s="799"/>
      <c r="DF27" s="799"/>
      <c r="DG27" s="799"/>
      <c r="DH27" s="799"/>
      <c r="DI27" s="799"/>
      <c r="DJ27" s="799"/>
      <c r="DK27" s="799"/>
      <c r="DL27" s="799"/>
      <c r="DM27" s="799"/>
      <c r="DN27" s="799"/>
      <c r="DO27" s="799"/>
      <c r="DP27" s="799"/>
      <c r="DQ27" s="799"/>
      <c r="DR27" s="799"/>
      <c r="DS27" s="799"/>
      <c r="DT27" s="799"/>
      <c r="DU27" s="799"/>
      <c r="DV27" s="799"/>
      <c r="DW27" s="799"/>
      <c r="DX27" s="799"/>
      <c r="DY27" s="799"/>
      <c r="DZ27" s="799"/>
      <c r="EA27" s="799"/>
      <c r="EB27" s="799"/>
      <c r="EC27" s="799"/>
      <c r="ED27" s="799"/>
      <c r="EE27" s="799"/>
      <c r="EF27" s="799"/>
      <c r="EG27" s="799"/>
      <c r="EH27" s="799"/>
      <c r="EI27" s="799"/>
      <c r="EJ27" s="799"/>
      <c r="EK27" s="799"/>
      <c r="EL27" s="799"/>
      <c r="EM27" s="799"/>
      <c r="EN27" s="799"/>
      <c r="EO27" s="799"/>
      <c r="EP27" s="799"/>
      <c r="EQ27" s="799"/>
      <c r="ER27" s="799"/>
      <c r="ES27" s="799"/>
      <c r="ET27" s="799"/>
      <c r="EU27" s="799"/>
      <c r="EV27" s="799"/>
      <c r="EW27" s="799"/>
      <c r="EX27" s="799"/>
      <c r="EY27" s="799"/>
      <c r="EZ27" s="799"/>
      <c r="FA27" s="799"/>
      <c r="FB27" s="799"/>
      <c r="FC27" s="799"/>
      <c r="FD27" s="799"/>
      <c r="FE27" s="799"/>
      <c r="FF27" s="799"/>
      <c r="FG27" s="799"/>
      <c r="FH27" s="799"/>
      <c r="FI27" s="799"/>
      <c r="FJ27" s="799"/>
      <c r="FK27" s="799"/>
      <c r="FL27" s="799"/>
      <c r="FM27" s="799"/>
      <c r="FN27" s="799"/>
      <c r="FO27" s="799"/>
      <c r="FP27" s="799"/>
      <c r="FQ27" s="799"/>
      <c r="FR27" s="799"/>
      <c r="FS27" s="799"/>
      <c r="FT27" s="799"/>
      <c r="FU27" s="799"/>
      <c r="FV27" s="799"/>
      <c r="FW27" s="799"/>
      <c r="FX27" s="799"/>
      <c r="FY27" s="799"/>
      <c r="FZ27" s="799"/>
      <c r="GA27" s="799"/>
      <c r="GB27" s="799"/>
      <c r="GC27" s="799"/>
      <c r="GD27" s="799"/>
      <c r="GE27" s="799"/>
      <c r="GF27" s="799"/>
      <c r="GG27" s="799"/>
      <c r="GH27" s="799"/>
      <c r="GI27" s="799"/>
      <c r="GJ27" s="799"/>
      <c r="GK27" s="799"/>
      <c r="GL27" s="799"/>
      <c r="GM27" s="799"/>
      <c r="GN27" s="799"/>
      <c r="GO27" s="799"/>
      <c r="GP27" s="799"/>
      <c r="GQ27" s="799"/>
      <c r="GR27" s="799"/>
      <c r="GS27" s="799"/>
      <c r="GT27" s="799"/>
      <c r="GU27" s="799"/>
      <c r="GV27" s="799"/>
      <c r="GW27" s="799"/>
      <c r="GX27" s="799"/>
      <c r="GY27" s="799"/>
      <c r="GZ27" s="799"/>
      <c r="HA27" s="799"/>
      <c r="HB27" s="799"/>
      <c r="HC27" s="799"/>
      <c r="HD27" s="799"/>
      <c r="HE27" s="799"/>
      <c r="HF27" s="799"/>
      <c r="HG27" s="799"/>
      <c r="HH27" s="799"/>
      <c r="HI27" s="799"/>
      <c r="HJ27" s="799"/>
      <c r="HK27" s="799"/>
      <c r="HL27" s="799"/>
      <c r="HM27" s="799"/>
      <c r="HN27" s="799"/>
      <c r="HO27" s="799"/>
      <c r="HP27" s="799"/>
      <c r="HQ27" s="799"/>
      <c r="HR27" s="799"/>
      <c r="HS27" s="799"/>
      <c r="HT27" s="799"/>
      <c r="HU27" s="799"/>
      <c r="HV27" s="799"/>
      <c r="HW27" s="799"/>
      <c r="HX27" s="799"/>
      <c r="HY27" s="799"/>
      <c r="HZ27" s="799"/>
      <c r="IA27" s="799"/>
      <c r="IB27" s="799"/>
      <c r="IC27" s="799"/>
      <c r="ID27" s="799"/>
      <c r="IE27" s="799"/>
      <c r="IF27" s="799"/>
      <c r="IG27" s="799"/>
      <c r="IH27" s="799"/>
      <c r="II27" s="799"/>
      <c r="IJ27" s="799"/>
      <c r="IK27" s="799"/>
      <c r="IL27" s="799"/>
      <c r="IM27" s="799"/>
      <c r="IN27" s="799"/>
      <c r="IO27" s="799"/>
      <c r="IP27" s="799"/>
      <c r="IQ27" s="799"/>
      <c r="IR27" s="799"/>
      <c r="IS27" s="799"/>
      <c r="IT27" s="799"/>
      <c r="IU27" s="799"/>
    </row>
    <row r="28" spans="1:255">
      <c r="A28" s="801" t="s">
        <v>1506</v>
      </c>
      <c r="B28" s="801" t="s">
        <v>1507</v>
      </c>
      <c r="E28" s="796" t="s">
        <v>254</v>
      </c>
      <c r="F28" s="802">
        <v>942.07799999999997</v>
      </c>
      <c r="G28" s="802">
        <v>3403.9849899999999</v>
      </c>
      <c r="H28" s="800">
        <v>3926.21</v>
      </c>
    </row>
    <row r="29" spans="1:255">
      <c r="E29" s="796" t="s">
        <v>1508</v>
      </c>
      <c r="F29" s="800" t="s">
        <v>1114</v>
      </c>
      <c r="G29" s="800" t="s">
        <v>1509</v>
      </c>
      <c r="H29" s="800" t="s">
        <v>1114</v>
      </c>
    </row>
    <row r="30" spans="1:255">
      <c r="E30" s="796" t="s">
        <v>81</v>
      </c>
      <c r="F30" s="802">
        <v>147.38884999999999</v>
      </c>
      <c r="G30" s="802">
        <v>499.80676999999997</v>
      </c>
      <c r="H30" s="800">
        <v>630.92999999999995</v>
      </c>
    </row>
    <row r="31" spans="1:255">
      <c r="E31" s="796" t="s">
        <v>1508</v>
      </c>
      <c r="F31" s="800" t="s">
        <v>1114</v>
      </c>
      <c r="G31" s="800" t="s">
        <v>1510</v>
      </c>
      <c r="H31" s="800" t="s">
        <v>1114</v>
      </c>
    </row>
    <row r="33" spans="1:27">
      <c r="B33" s="800"/>
      <c r="C33" s="800"/>
      <c r="D33" s="800"/>
      <c r="E33" s="800"/>
      <c r="F33" s="800"/>
      <c r="G33" s="800"/>
      <c r="H33" s="800"/>
      <c r="I33" s="800"/>
      <c r="J33" s="800"/>
      <c r="K33" s="800"/>
      <c r="L33" s="800"/>
      <c r="M33" s="800"/>
      <c r="N33" s="800"/>
      <c r="O33" s="800"/>
      <c r="P33" s="800"/>
      <c r="Q33" s="800"/>
      <c r="R33" s="800"/>
      <c r="S33" s="800"/>
      <c r="T33" s="800"/>
      <c r="U33" s="800"/>
      <c r="V33" s="800"/>
      <c r="W33" s="800"/>
      <c r="X33" s="800"/>
      <c r="Y33" s="800"/>
      <c r="Z33" s="800"/>
      <c r="AA33" s="800"/>
    </row>
    <row r="34" spans="1:27" ht="19">
      <c r="A34" s="803"/>
      <c r="B34" s="803" t="s">
        <v>1511</v>
      </c>
      <c r="C34" s="800"/>
      <c r="D34" s="800"/>
      <c r="E34" s="800"/>
      <c r="F34" s="800"/>
      <c r="G34" s="800"/>
      <c r="H34" s="800"/>
      <c r="I34" s="800"/>
      <c r="J34" s="800"/>
      <c r="K34" s="800"/>
      <c r="L34" s="800"/>
      <c r="M34" s="800"/>
      <c r="N34" s="800"/>
      <c r="O34" s="800"/>
      <c r="P34" s="800"/>
      <c r="Q34" s="800"/>
      <c r="R34" s="800"/>
      <c r="S34" s="800"/>
      <c r="T34" s="800"/>
      <c r="U34" s="800"/>
      <c r="V34" s="800"/>
      <c r="W34" s="800"/>
      <c r="X34" s="800"/>
      <c r="Y34" s="800"/>
      <c r="Z34" s="800"/>
      <c r="AA34" s="800"/>
    </row>
    <row r="35" spans="1:27" ht="19">
      <c r="A35" s="804" t="s">
        <v>1475</v>
      </c>
      <c r="B35" s="805">
        <v>2020</v>
      </c>
      <c r="C35" s="805">
        <v>2021</v>
      </c>
      <c r="D35" s="805">
        <v>2022</v>
      </c>
      <c r="E35" s="805">
        <v>2023</v>
      </c>
      <c r="F35" s="805">
        <v>2024</v>
      </c>
      <c r="G35" s="805">
        <v>2025</v>
      </c>
      <c r="H35" s="805">
        <v>2026</v>
      </c>
      <c r="I35" s="805">
        <v>2027</v>
      </c>
      <c r="J35" s="805">
        <v>2028</v>
      </c>
      <c r="K35" s="805">
        <v>2029</v>
      </c>
      <c r="L35" s="805">
        <v>2030</v>
      </c>
      <c r="M35" s="805">
        <v>2031</v>
      </c>
      <c r="N35" s="805">
        <v>2032</v>
      </c>
      <c r="O35" s="805">
        <v>2033</v>
      </c>
      <c r="P35" s="805">
        <v>2034</v>
      </c>
      <c r="Q35" s="800"/>
      <c r="R35" s="800"/>
      <c r="S35" s="800"/>
      <c r="T35" s="800"/>
      <c r="U35" s="800"/>
      <c r="V35" s="800"/>
      <c r="W35" s="800"/>
      <c r="X35" s="800"/>
      <c r="Y35" s="800"/>
      <c r="Z35" s="800"/>
      <c r="AA35" s="800"/>
    </row>
    <row r="36" spans="1:27">
      <c r="A36" s="806" t="s">
        <v>1502</v>
      </c>
      <c r="B36" s="807" t="s">
        <v>1114</v>
      </c>
      <c r="C36" s="808">
        <v>-6.39</v>
      </c>
      <c r="D36" s="808">
        <v>-0.44</v>
      </c>
      <c r="E36" s="808">
        <v>-0.11</v>
      </c>
      <c r="F36" s="808">
        <v>-0.03</v>
      </c>
      <c r="G36" s="809">
        <v>3.9890000000000002E-2</v>
      </c>
      <c r="H36" s="809">
        <v>9.4479999999999995E-2</v>
      </c>
      <c r="I36" s="809">
        <v>0.14927000000000001</v>
      </c>
      <c r="J36" s="809">
        <v>0.25</v>
      </c>
      <c r="K36" s="809">
        <v>0.35</v>
      </c>
      <c r="L36" s="809">
        <v>0.47</v>
      </c>
      <c r="M36" s="809">
        <v>0.6</v>
      </c>
      <c r="N36" s="809">
        <v>0.76</v>
      </c>
      <c r="O36" s="809">
        <v>0.93</v>
      </c>
      <c r="P36" s="809">
        <v>1.07</v>
      </c>
      <c r="Q36" s="800"/>
      <c r="R36" s="800"/>
      <c r="S36" s="800"/>
      <c r="T36" s="800"/>
      <c r="U36" s="800"/>
      <c r="V36" s="800"/>
      <c r="W36" s="800"/>
      <c r="X36" s="800"/>
      <c r="Y36" s="800"/>
      <c r="Z36" s="800"/>
      <c r="AA36" s="800"/>
    </row>
    <row r="37" spans="1:27">
      <c r="A37" s="75" t="s">
        <v>1512</v>
      </c>
      <c r="B37" s="807" t="s">
        <v>1114</v>
      </c>
      <c r="C37" s="809">
        <v>-3.9781599999999999</v>
      </c>
      <c r="D37" s="809">
        <v>-0.38890999999999998</v>
      </c>
      <c r="E37" s="809">
        <v>-0.14127000000000001</v>
      </c>
      <c r="F37" s="809">
        <v>-2.7820000000000001E-2</v>
      </c>
      <c r="G37" s="807" t="s">
        <v>1114</v>
      </c>
      <c r="H37" s="807" t="s">
        <v>1114</v>
      </c>
      <c r="I37" s="807" t="s">
        <v>1114</v>
      </c>
      <c r="J37" s="807" t="s">
        <v>1114</v>
      </c>
      <c r="K37" s="807" t="s">
        <v>1114</v>
      </c>
      <c r="L37" s="807" t="s">
        <v>1114</v>
      </c>
      <c r="M37" s="807" t="s">
        <v>1114</v>
      </c>
      <c r="N37" s="807" t="s">
        <v>1114</v>
      </c>
      <c r="O37" s="807" t="s">
        <v>1114</v>
      </c>
      <c r="P37" s="807" t="s">
        <v>1114</v>
      </c>
      <c r="Q37" s="800"/>
      <c r="R37" s="800"/>
      <c r="S37" s="800"/>
      <c r="T37" s="800"/>
      <c r="U37" s="800"/>
      <c r="V37" s="800"/>
      <c r="W37" s="800"/>
      <c r="X37" s="800"/>
      <c r="Y37" s="800"/>
      <c r="Z37" s="800"/>
      <c r="AA37" s="800"/>
    </row>
    <row r="38" spans="1:27">
      <c r="A38" s="75" t="s">
        <v>1513</v>
      </c>
      <c r="B38" s="807" t="s">
        <v>1114</v>
      </c>
      <c r="C38" s="809">
        <v>-0.75492000000000004</v>
      </c>
      <c r="D38" s="809">
        <v>-0.39</v>
      </c>
      <c r="E38" s="809">
        <v>-0.14000000000000001</v>
      </c>
      <c r="F38" s="809">
        <v>-0.03</v>
      </c>
      <c r="G38" s="809">
        <v>0.04</v>
      </c>
      <c r="H38" s="809">
        <v>0.09</v>
      </c>
      <c r="I38" s="809">
        <v>0.15</v>
      </c>
      <c r="J38" s="809">
        <v>0.25</v>
      </c>
      <c r="K38" s="809">
        <v>0.35</v>
      </c>
      <c r="L38" s="809">
        <v>0.47</v>
      </c>
      <c r="M38" s="809">
        <v>0.6</v>
      </c>
      <c r="N38" s="809">
        <v>0.76</v>
      </c>
      <c r="O38" s="809">
        <v>0.93</v>
      </c>
      <c r="P38" s="809">
        <v>1.07</v>
      </c>
      <c r="Q38" s="800"/>
      <c r="R38" s="800"/>
      <c r="S38" s="800"/>
      <c r="T38" s="800"/>
      <c r="U38" s="800"/>
      <c r="V38" s="800"/>
      <c r="W38" s="800"/>
      <c r="X38" s="800"/>
      <c r="Y38" s="800"/>
      <c r="Z38" s="800"/>
      <c r="AA38" s="800"/>
    </row>
    <row r="39" spans="1:27">
      <c r="A39" s="75" t="s">
        <v>1514</v>
      </c>
      <c r="B39" s="807" t="s">
        <v>1114</v>
      </c>
      <c r="C39" s="809">
        <v>-0.72</v>
      </c>
      <c r="D39" s="809">
        <v>-0.30499999999999999</v>
      </c>
      <c r="E39" s="809">
        <v>-0.11581</v>
      </c>
      <c r="F39" s="809">
        <v>-1.934E-2</v>
      </c>
      <c r="G39" s="809">
        <v>0.06</v>
      </c>
      <c r="H39" s="809">
        <v>0.15</v>
      </c>
      <c r="I39" s="809">
        <v>0.2</v>
      </c>
      <c r="J39" s="809">
        <v>0.25</v>
      </c>
      <c r="K39" s="809">
        <v>0.35</v>
      </c>
      <c r="L39" s="809">
        <v>0.47</v>
      </c>
      <c r="M39" s="809">
        <v>0.6</v>
      </c>
      <c r="N39" s="809">
        <v>0.76</v>
      </c>
      <c r="O39" s="809">
        <v>0.93</v>
      </c>
      <c r="P39" s="809">
        <v>1.07</v>
      </c>
      <c r="Q39" s="800"/>
      <c r="R39" s="800"/>
      <c r="S39" s="800"/>
      <c r="T39" s="800"/>
      <c r="U39" s="800"/>
      <c r="V39" s="800"/>
      <c r="W39" s="800"/>
      <c r="X39" s="800"/>
      <c r="Y39" s="800"/>
      <c r="Z39" s="800"/>
      <c r="AA39" s="800"/>
    </row>
    <row r="40" spans="1:27">
      <c r="A40" s="75" t="s">
        <v>1515</v>
      </c>
      <c r="B40" s="807" t="s">
        <v>1114</v>
      </c>
      <c r="C40" s="809">
        <v>-16.89499</v>
      </c>
      <c r="D40" s="809">
        <v>-0.43</v>
      </c>
      <c r="E40" s="809">
        <v>-0.17</v>
      </c>
      <c r="F40" s="809">
        <v>-0.04</v>
      </c>
      <c r="G40" s="809">
        <v>2.4E-2</v>
      </c>
      <c r="H40" s="809">
        <v>6.0060000000000002E-2</v>
      </c>
      <c r="I40" s="809">
        <v>9.1200000000000003E-2</v>
      </c>
      <c r="J40" s="809">
        <v>0.25</v>
      </c>
      <c r="K40" s="809">
        <v>0.35</v>
      </c>
      <c r="L40" s="809">
        <v>0.47</v>
      </c>
      <c r="M40" s="809">
        <v>0.6</v>
      </c>
      <c r="N40" s="809">
        <v>0.76</v>
      </c>
      <c r="O40" s="809">
        <v>0.93</v>
      </c>
      <c r="P40" s="809">
        <v>1.07</v>
      </c>
      <c r="Q40" s="800"/>
      <c r="R40" s="800"/>
      <c r="S40" s="800"/>
      <c r="T40" s="800"/>
      <c r="U40" s="800"/>
      <c r="V40" s="800"/>
      <c r="W40" s="800"/>
      <c r="X40" s="800"/>
      <c r="Y40" s="800"/>
      <c r="Z40" s="800"/>
      <c r="AA40" s="800"/>
    </row>
    <row r="41" spans="1:27">
      <c r="A41" s="75" t="s">
        <v>1516</v>
      </c>
      <c r="B41" s="807" t="s">
        <v>1114</v>
      </c>
      <c r="C41" s="802">
        <v>6.4584599999999996</v>
      </c>
      <c r="D41" s="802">
        <v>3.1699999999999999E-2</v>
      </c>
      <c r="E41" s="802">
        <v>1.506E-2</v>
      </c>
      <c r="F41" s="802">
        <v>5.5799999999999999E-3</v>
      </c>
      <c r="G41" s="802">
        <v>8.1200000000000005E-3</v>
      </c>
      <c r="H41" s="802">
        <v>2.4819999999999998E-2</v>
      </c>
      <c r="I41" s="802">
        <v>2.7220000000000001E-2</v>
      </c>
      <c r="J41" s="802">
        <v>0</v>
      </c>
      <c r="K41" s="802">
        <v>0</v>
      </c>
      <c r="L41" s="802">
        <v>0</v>
      </c>
      <c r="M41" s="802">
        <v>0</v>
      </c>
      <c r="N41" s="802">
        <v>0</v>
      </c>
      <c r="O41" s="802">
        <v>0</v>
      </c>
      <c r="P41" s="802">
        <v>0</v>
      </c>
      <c r="Q41" s="800"/>
      <c r="R41" s="800"/>
      <c r="S41" s="800"/>
      <c r="T41" s="800"/>
      <c r="U41" s="800"/>
      <c r="V41" s="800"/>
      <c r="W41" s="800"/>
      <c r="X41" s="800"/>
      <c r="Y41" s="800"/>
      <c r="Z41" s="800"/>
      <c r="AA41" s="800"/>
    </row>
    <row r="42" spans="1:27">
      <c r="A42" s="75" t="s">
        <v>1517</v>
      </c>
      <c r="B42" s="807" t="s">
        <v>1114</v>
      </c>
      <c r="C42" s="807" t="s">
        <v>1518</v>
      </c>
      <c r="D42" s="807" t="s">
        <v>1519</v>
      </c>
      <c r="E42" s="807" t="s">
        <v>1520</v>
      </c>
      <c r="F42" s="807" t="s">
        <v>1521</v>
      </c>
      <c r="G42" s="807" t="s">
        <v>1522</v>
      </c>
      <c r="H42" s="807" t="s">
        <v>1523</v>
      </c>
      <c r="I42" s="807" t="s">
        <v>1524</v>
      </c>
      <c r="J42" s="807" t="s">
        <v>1525</v>
      </c>
      <c r="K42" s="807" t="s">
        <v>1525</v>
      </c>
      <c r="L42" s="807" t="s">
        <v>1525</v>
      </c>
      <c r="M42" s="807" t="s">
        <v>1525</v>
      </c>
      <c r="N42" s="807" t="s">
        <v>1525</v>
      </c>
      <c r="O42" s="807" t="s">
        <v>1525</v>
      </c>
      <c r="P42" s="807" t="s">
        <v>1525</v>
      </c>
      <c r="Q42" s="800"/>
      <c r="R42" s="800"/>
      <c r="S42" s="800"/>
      <c r="T42" s="800"/>
      <c r="U42" s="800"/>
      <c r="V42" s="800"/>
      <c r="W42" s="800"/>
      <c r="X42" s="800"/>
      <c r="Y42" s="800"/>
      <c r="Z42" s="800"/>
      <c r="AA42" s="800"/>
    </row>
    <row r="43" spans="1:27">
      <c r="A43" s="75" t="s">
        <v>1526</v>
      </c>
      <c r="B43" s="807" t="s">
        <v>1114</v>
      </c>
      <c r="C43" s="807" t="s">
        <v>1527</v>
      </c>
      <c r="D43" s="807" t="s">
        <v>1527</v>
      </c>
      <c r="E43" s="807" t="s">
        <v>1527</v>
      </c>
      <c r="F43" s="807" t="s">
        <v>1527</v>
      </c>
      <c r="G43" s="807" t="s">
        <v>1527</v>
      </c>
      <c r="H43" s="807" t="s">
        <v>1527</v>
      </c>
      <c r="I43" s="807" t="s">
        <v>1527</v>
      </c>
      <c r="J43" s="807" t="s">
        <v>1527</v>
      </c>
      <c r="K43" s="807" t="s">
        <v>1527</v>
      </c>
      <c r="L43" s="807" t="s">
        <v>1527</v>
      </c>
      <c r="M43" s="807" t="s">
        <v>1527</v>
      </c>
      <c r="N43" s="807" t="s">
        <v>1527</v>
      </c>
      <c r="O43" s="807" t="s">
        <v>1527</v>
      </c>
      <c r="P43" s="807" t="s">
        <v>1527</v>
      </c>
      <c r="Q43" s="800"/>
      <c r="R43" s="800"/>
      <c r="S43" s="800"/>
      <c r="T43" s="800"/>
      <c r="U43" s="800"/>
      <c r="V43" s="800"/>
      <c r="W43" s="800"/>
      <c r="X43" s="800"/>
      <c r="Y43" s="800"/>
      <c r="Z43" s="800"/>
      <c r="AA43" s="800"/>
    </row>
    <row r="44" spans="1:27">
      <c r="A44" s="806" t="s">
        <v>1528</v>
      </c>
      <c r="B44" s="807" t="s">
        <v>1114</v>
      </c>
      <c r="C44" s="808">
        <v>-5.7709999999999999</v>
      </c>
      <c r="D44" s="808">
        <v>-0.35496</v>
      </c>
      <c r="E44" s="808">
        <v>-8.5500000000000007E-2</v>
      </c>
      <c r="F44" s="808">
        <v>-9.2999999999999992E-3</v>
      </c>
      <c r="G44" s="809">
        <v>3.7999999999999999E-2</v>
      </c>
      <c r="H44" s="809">
        <v>0.10367</v>
      </c>
      <c r="I44" s="809">
        <v>0.14774999999999999</v>
      </c>
      <c r="J44" s="809">
        <v>0.25</v>
      </c>
      <c r="K44" s="809">
        <v>0.35</v>
      </c>
      <c r="L44" s="809">
        <v>0.47</v>
      </c>
      <c r="M44" s="809">
        <v>0.6</v>
      </c>
      <c r="N44" s="809">
        <v>0.76</v>
      </c>
      <c r="O44" s="809">
        <v>0.93</v>
      </c>
      <c r="P44" s="809">
        <v>1.07</v>
      </c>
      <c r="Q44" s="800"/>
      <c r="R44" s="800"/>
      <c r="S44" s="800"/>
      <c r="T44" s="800"/>
      <c r="U44" s="800"/>
      <c r="V44" s="800"/>
      <c r="W44" s="800"/>
      <c r="X44" s="800"/>
      <c r="Y44" s="800"/>
      <c r="Z44" s="800"/>
      <c r="AA44" s="800"/>
    </row>
    <row r="45" spans="1:27">
      <c r="A45" s="75" t="s">
        <v>1512</v>
      </c>
      <c r="B45" s="807" t="s">
        <v>1114</v>
      </c>
      <c r="C45" s="809">
        <v>-3.6125500000000001</v>
      </c>
      <c r="D45" s="809">
        <v>-0.35598000000000002</v>
      </c>
      <c r="E45" s="809">
        <v>-5.4280000000000002E-2</v>
      </c>
      <c r="F45" s="809">
        <v>-1.6570000000000001E-2</v>
      </c>
      <c r="G45" s="807" t="s">
        <v>1114</v>
      </c>
      <c r="H45" s="807" t="s">
        <v>1114</v>
      </c>
      <c r="I45" s="807" t="s">
        <v>1114</v>
      </c>
      <c r="J45" s="807" t="s">
        <v>1114</v>
      </c>
      <c r="K45" s="807" t="s">
        <v>1114</v>
      </c>
      <c r="L45" s="807" t="s">
        <v>1114</v>
      </c>
      <c r="M45" s="807" t="s">
        <v>1114</v>
      </c>
      <c r="N45" s="807" t="s">
        <v>1114</v>
      </c>
      <c r="O45" s="807" t="s">
        <v>1114</v>
      </c>
      <c r="P45" s="807" t="s">
        <v>1114</v>
      </c>
      <c r="Q45" s="800"/>
      <c r="R45" s="800"/>
      <c r="S45" s="800"/>
      <c r="T45" s="800"/>
      <c r="U45" s="800"/>
      <c r="V45" s="800"/>
      <c r="W45" s="800"/>
      <c r="X45" s="800"/>
      <c r="Y45" s="800"/>
      <c r="Z45" s="800"/>
      <c r="AA45" s="800"/>
    </row>
    <row r="46" spans="1:27">
      <c r="A46" s="75" t="s">
        <v>1513</v>
      </c>
      <c r="B46" s="807" t="s">
        <v>1114</v>
      </c>
      <c r="C46" s="809">
        <v>-0.76044999999999996</v>
      </c>
      <c r="D46" s="809">
        <v>-0.38</v>
      </c>
      <c r="E46" s="809">
        <v>-4.8919999999999998E-2</v>
      </c>
      <c r="F46" s="809">
        <v>-2.5999999999999999E-2</v>
      </c>
      <c r="G46" s="809">
        <v>3.6999999999999998E-2</v>
      </c>
      <c r="H46" s="809">
        <v>0.09</v>
      </c>
      <c r="I46" s="809">
        <v>0.14749999999999999</v>
      </c>
      <c r="J46" s="809">
        <v>0.25</v>
      </c>
      <c r="K46" s="809">
        <v>0.35</v>
      </c>
      <c r="L46" s="809">
        <v>0.47</v>
      </c>
      <c r="M46" s="809">
        <v>0.6</v>
      </c>
      <c r="N46" s="809">
        <v>0.76</v>
      </c>
      <c r="O46" s="809">
        <v>0.93</v>
      </c>
      <c r="P46" s="809">
        <v>1.07</v>
      </c>
      <c r="Q46" s="800"/>
      <c r="R46" s="800"/>
      <c r="S46" s="800"/>
      <c r="T46" s="800"/>
      <c r="U46" s="800"/>
      <c r="V46" s="800"/>
      <c r="W46" s="800"/>
      <c r="X46" s="800"/>
      <c r="Y46" s="800"/>
      <c r="Z46" s="800"/>
      <c r="AA46" s="800"/>
    </row>
    <row r="47" spans="1:27">
      <c r="A47" s="75" t="s">
        <v>1514</v>
      </c>
      <c r="B47" s="807" t="s">
        <v>1114</v>
      </c>
      <c r="C47" s="809">
        <v>-0.59</v>
      </c>
      <c r="D47" s="809">
        <v>-0.2361</v>
      </c>
      <c r="E47" s="809">
        <v>-1.9300000000000001E-2</v>
      </c>
      <c r="F47" s="809">
        <v>0.04</v>
      </c>
      <c r="G47" s="809">
        <v>4.7E-2</v>
      </c>
      <c r="H47" s="809">
        <v>0.15</v>
      </c>
      <c r="I47" s="809">
        <v>0.16</v>
      </c>
      <c r="J47" s="809">
        <v>0.25</v>
      </c>
      <c r="K47" s="809">
        <v>0.35</v>
      </c>
      <c r="L47" s="809">
        <v>0.47</v>
      </c>
      <c r="M47" s="809">
        <v>0.6</v>
      </c>
      <c r="N47" s="809">
        <v>0.76</v>
      </c>
      <c r="O47" s="809">
        <v>0.93</v>
      </c>
      <c r="P47" s="809">
        <v>1.07</v>
      </c>
      <c r="Q47" s="800"/>
      <c r="R47" s="800"/>
      <c r="S47" s="800"/>
      <c r="T47" s="800"/>
      <c r="U47" s="800"/>
      <c r="V47" s="800"/>
      <c r="W47" s="800"/>
      <c r="X47" s="800"/>
      <c r="Y47" s="800"/>
      <c r="Z47" s="800"/>
      <c r="AA47" s="800"/>
    </row>
    <row r="48" spans="1:27">
      <c r="A48" s="75" t="s">
        <v>1515</v>
      </c>
      <c r="B48" s="807" t="s">
        <v>1114</v>
      </c>
      <c r="C48" s="809">
        <v>-16.89499</v>
      </c>
      <c r="D48" s="809">
        <v>-0.43</v>
      </c>
      <c r="E48" s="809">
        <v>-0.1</v>
      </c>
      <c r="F48" s="809">
        <v>-0.04</v>
      </c>
      <c r="G48" s="809">
        <v>0.03</v>
      </c>
      <c r="H48" s="809">
        <v>7.3999999999999996E-2</v>
      </c>
      <c r="I48" s="809">
        <v>0.13600000000000001</v>
      </c>
      <c r="J48" s="809">
        <v>0.25</v>
      </c>
      <c r="K48" s="809">
        <v>0.35</v>
      </c>
      <c r="L48" s="809">
        <v>0.47</v>
      </c>
      <c r="M48" s="809">
        <v>0.6</v>
      </c>
      <c r="N48" s="809">
        <v>0.76</v>
      </c>
      <c r="O48" s="809">
        <v>0.93</v>
      </c>
      <c r="P48" s="809">
        <v>1.07</v>
      </c>
      <c r="Q48" s="800"/>
      <c r="R48" s="800"/>
      <c r="S48" s="800"/>
      <c r="T48" s="800"/>
      <c r="U48" s="800"/>
      <c r="V48" s="800"/>
      <c r="W48" s="800"/>
      <c r="X48" s="800"/>
      <c r="Y48" s="800"/>
      <c r="Z48" s="800"/>
      <c r="AA48" s="800"/>
    </row>
    <row r="49" spans="1:27">
      <c r="A49" s="75" t="s">
        <v>1516</v>
      </c>
      <c r="B49" s="807" t="s">
        <v>1114</v>
      </c>
      <c r="C49" s="802">
        <v>5.5093899999999998</v>
      </c>
      <c r="D49" s="802">
        <v>7.0389999999999994E-2</v>
      </c>
      <c r="E49" s="802">
        <v>2.904E-2</v>
      </c>
      <c r="F49" s="802">
        <v>2.52E-2</v>
      </c>
      <c r="G49" s="802">
        <v>6.9800000000000001E-3</v>
      </c>
      <c r="H49" s="802">
        <v>2.664E-2</v>
      </c>
      <c r="I49" s="802">
        <v>1.001E-2</v>
      </c>
      <c r="J49" s="802">
        <v>0</v>
      </c>
      <c r="K49" s="802">
        <v>0</v>
      </c>
      <c r="L49" s="802">
        <v>0</v>
      </c>
      <c r="M49" s="802">
        <v>0</v>
      </c>
      <c r="N49" s="802">
        <v>0</v>
      </c>
      <c r="O49" s="802">
        <v>0</v>
      </c>
      <c r="P49" s="802">
        <v>0</v>
      </c>
      <c r="Q49" s="800"/>
      <c r="R49" s="800"/>
      <c r="S49" s="800"/>
      <c r="T49" s="800"/>
      <c r="U49" s="800"/>
      <c r="V49" s="800"/>
      <c r="W49" s="800"/>
      <c r="X49" s="800"/>
      <c r="Y49" s="800"/>
      <c r="Z49" s="800"/>
      <c r="AA49" s="800"/>
    </row>
    <row r="50" spans="1:27">
      <c r="A50" s="75" t="s">
        <v>1517</v>
      </c>
      <c r="B50" s="807" t="s">
        <v>1114</v>
      </c>
      <c r="C50" s="807" t="s">
        <v>1529</v>
      </c>
      <c r="D50" s="807" t="s">
        <v>1530</v>
      </c>
      <c r="E50" s="807" t="s">
        <v>1531</v>
      </c>
      <c r="F50" s="807" t="s">
        <v>1532</v>
      </c>
      <c r="G50" s="807" t="s">
        <v>1533</v>
      </c>
      <c r="H50" s="807" t="s">
        <v>1534</v>
      </c>
      <c r="I50" s="807" t="s">
        <v>1535</v>
      </c>
      <c r="J50" s="807" t="s">
        <v>1525</v>
      </c>
      <c r="K50" s="807" t="s">
        <v>1525</v>
      </c>
      <c r="L50" s="807" t="s">
        <v>1525</v>
      </c>
      <c r="M50" s="807" t="s">
        <v>1525</v>
      </c>
      <c r="N50" s="807" t="s">
        <v>1525</v>
      </c>
      <c r="O50" s="807" t="s">
        <v>1525</v>
      </c>
      <c r="P50" s="807" t="s">
        <v>1525</v>
      </c>
      <c r="Q50" s="800"/>
      <c r="R50" s="800"/>
      <c r="S50" s="800"/>
      <c r="T50" s="800"/>
      <c r="U50" s="800"/>
      <c r="V50" s="800"/>
      <c r="W50" s="800"/>
      <c r="X50" s="800"/>
      <c r="Y50" s="800"/>
      <c r="Z50" s="800"/>
      <c r="AA50" s="800"/>
    </row>
    <row r="51" spans="1:27">
      <c r="A51" s="75" t="s">
        <v>1526</v>
      </c>
      <c r="B51" s="807" t="s">
        <v>1114</v>
      </c>
      <c r="C51" s="807" t="s">
        <v>1527</v>
      </c>
      <c r="D51" s="807" t="s">
        <v>1527</v>
      </c>
      <c r="E51" s="807" t="s">
        <v>1527</v>
      </c>
      <c r="F51" s="807" t="s">
        <v>1527</v>
      </c>
      <c r="G51" s="807" t="s">
        <v>1527</v>
      </c>
      <c r="H51" s="807" t="s">
        <v>1527</v>
      </c>
      <c r="I51" s="807" t="s">
        <v>1527</v>
      </c>
      <c r="J51" s="807" t="s">
        <v>1527</v>
      </c>
      <c r="K51" s="807" t="s">
        <v>1527</v>
      </c>
      <c r="L51" s="807" t="s">
        <v>1527</v>
      </c>
      <c r="M51" s="807" t="s">
        <v>1527</v>
      </c>
      <c r="N51" s="807" t="s">
        <v>1527</v>
      </c>
      <c r="O51" s="807" t="s">
        <v>1527</v>
      </c>
      <c r="P51" s="807" t="s">
        <v>1527</v>
      </c>
      <c r="Q51" s="800"/>
      <c r="R51" s="800"/>
      <c r="S51" s="800"/>
      <c r="T51" s="800"/>
      <c r="U51" s="800"/>
      <c r="V51" s="800"/>
      <c r="W51" s="800"/>
      <c r="X51" s="800"/>
      <c r="Y51" s="800"/>
      <c r="Z51" s="800"/>
      <c r="AA51" s="800"/>
    </row>
    <row r="52" spans="1:27">
      <c r="A52" s="806" t="s">
        <v>1536</v>
      </c>
      <c r="B52" s="807" t="s">
        <v>1114</v>
      </c>
      <c r="C52" s="808">
        <v>-0.76570000000000005</v>
      </c>
      <c r="D52" s="808">
        <v>-0.31563999999999998</v>
      </c>
      <c r="E52" s="808">
        <v>-4.827E-2</v>
      </c>
      <c r="F52" s="808">
        <v>2.75E-2</v>
      </c>
      <c r="G52" s="809">
        <v>7.9680000000000001E-2</v>
      </c>
      <c r="H52" s="809">
        <v>0.11859</v>
      </c>
      <c r="I52" s="809">
        <v>0.17027999999999999</v>
      </c>
      <c r="J52" s="807" t="s">
        <v>1114</v>
      </c>
      <c r="K52" s="807" t="s">
        <v>1114</v>
      </c>
      <c r="L52" s="807" t="s">
        <v>1114</v>
      </c>
      <c r="M52" s="807" t="s">
        <v>1114</v>
      </c>
      <c r="N52" s="807" t="s">
        <v>1114</v>
      </c>
      <c r="O52" s="807" t="s">
        <v>1114</v>
      </c>
      <c r="P52" s="807" t="s">
        <v>1114</v>
      </c>
      <c r="Q52" s="800"/>
      <c r="R52" s="800"/>
      <c r="S52" s="800"/>
      <c r="T52" s="800"/>
      <c r="U52" s="800"/>
      <c r="V52" s="800"/>
      <c r="W52" s="800"/>
      <c r="X52" s="800"/>
      <c r="Y52" s="800"/>
      <c r="Z52" s="800"/>
      <c r="AA52" s="800"/>
    </row>
    <row r="53" spans="1:27">
      <c r="A53" s="75" t="s">
        <v>1512</v>
      </c>
      <c r="B53" s="807" t="s">
        <v>1114</v>
      </c>
      <c r="C53" s="809">
        <v>-0.66163000000000005</v>
      </c>
      <c r="D53" s="809">
        <v>-0.32467000000000001</v>
      </c>
      <c r="E53" s="809">
        <v>-0.11131000000000001</v>
      </c>
      <c r="F53" s="809">
        <v>1.5399999999999999E-3</v>
      </c>
      <c r="G53" s="807" t="s">
        <v>1114</v>
      </c>
      <c r="H53" s="807" t="s">
        <v>1114</v>
      </c>
      <c r="I53" s="807" t="s">
        <v>1114</v>
      </c>
      <c r="J53" s="807" t="s">
        <v>1114</v>
      </c>
      <c r="K53" s="807" t="s">
        <v>1114</v>
      </c>
      <c r="L53" s="807" t="s">
        <v>1114</v>
      </c>
      <c r="M53" s="807" t="s">
        <v>1114</v>
      </c>
      <c r="N53" s="807" t="s">
        <v>1114</v>
      </c>
      <c r="O53" s="807" t="s">
        <v>1114</v>
      </c>
      <c r="P53" s="807" t="s">
        <v>1114</v>
      </c>
      <c r="Q53" s="800"/>
      <c r="R53" s="800"/>
      <c r="S53" s="800"/>
      <c r="T53" s="800"/>
      <c r="U53" s="800"/>
      <c r="V53" s="800"/>
      <c r="W53" s="800"/>
      <c r="X53" s="800"/>
      <c r="Y53" s="800"/>
      <c r="Z53" s="800"/>
      <c r="AA53" s="800"/>
    </row>
    <row r="54" spans="1:27">
      <c r="A54" s="75" t="s">
        <v>1513</v>
      </c>
      <c r="B54" s="807" t="s">
        <v>1114</v>
      </c>
      <c r="C54" s="809">
        <v>-0.66163000000000005</v>
      </c>
      <c r="D54" s="809">
        <v>-0.32467000000000001</v>
      </c>
      <c r="E54" s="809">
        <v>-0.11131000000000001</v>
      </c>
      <c r="F54" s="809">
        <v>1.5399999999999999E-3</v>
      </c>
      <c r="G54" s="809">
        <v>7.9680000000000001E-2</v>
      </c>
      <c r="H54" s="809">
        <v>0.11859</v>
      </c>
      <c r="I54" s="809">
        <v>0.17027999999999999</v>
      </c>
      <c r="J54" s="807" t="s">
        <v>1114</v>
      </c>
      <c r="K54" s="807" t="s">
        <v>1114</v>
      </c>
      <c r="L54" s="807" t="s">
        <v>1114</v>
      </c>
      <c r="M54" s="807" t="s">
        <v>1114</v>
      </c>
      <c r="N54" s="807" t="s">
        <v>1114</v>
      </c>
      <c r="O54" s="807" t="s">
        <v>1114</v>
      </c>
      <c r="P54" s="807" t="s">
        <v>1114</v>
      </c>
      <c r="Q54" s="800"/>
      <c r="R54" s="800"/>
      <c r="S54" s="800"/>
      <c r="T54" s="800"/>
      <c r="U54" s="800"/>
      <c r="V54" s="800"/>
      <c r="W54" s="800"/>
      <c r="X54" s="800"/>
      <c r="Y54" s="800"/>
      <c r="Z54" s="800"/>
      <c r="AA54" s="800"/>
    </row>
    <row r="55" spans="1:27">
      <c r="A55" s="75" t="s">
        <v>1514</v>
      </c>
      <c r="B55" s="807" t="s">
        <v>1114</v>
      </c>
      <c r="C55" s="809">
        <v>-0.66163000000000005</v>
      </c>
      <c r="D55" s="809">
        <v>-0.32467000000000001</v>
      </c>
      <c r="E55" s="809">
        <v>-0.11131000000000001</v>
      </c>
      <c r="F55" s="809">
        <v>1.5399999999999999E-3</v>
      </c>
      <c r="G55" s="809">
        <v>7.9680000000000001E-2</v>
      </c>
      <c r="H55" s="809">
        <v>0.11859</v>
      </c>
      <c r="I55" s="809">
        <v>0.17027999999999999</v>
      </c>
      <c r="J55" s="807" t="s">
        <v>1114</v>
      </c>
      <c r="K55" s="807" t="s">
        <v>1114</v>
      </c>
      <c r="L55" s="807" t="s">
        <v>1114</v>
      </c>
      <c r="M55" s="807" t="s">
        <v>1114</v>
      </c>
      <c r="N55" s="807" t="s">
        <v>1114</v>
      </c>
      <c r="O55" s="807" t="s">
        <v>1114</v>
      </c>
      <c r="P55" s="807" t="s">
        <v>1114</v>
      </c>
      <c r="Q55" s="800"/>
      <c r="R55" s="800"/>
      <c r="S55" s="800"/>
      <c r="T55" s="800"/>
      <c r="U55" s="800"/>
      <c r="V55" s="800"/>
      <c r="W55" s="800"/>
      <c r="X55" s="800"/>
      <c r="Y55" s="800"/>
      <c r="Z55" s="800"/>
      <c r="AA55" s="800"/>
    </row>
    <row r="56" spans="1:27">
      <c r="A56" s="75" t="s">
        <v>1515</v>
      </c>
      <c r="B56" s="807" t="s">
        <v>1114</v>
      </c>
      <c r="C56" s="809">
        <v>-0.66163000000000005</v>
      </c>
      <c r="D56" s="809">
        <v>-0.32467000000000001</v>
      </c>
      <c r="E56" s="809">
        <v>-0.11131000000000001</v>
      </c>
      <c r="F56" s="809">
        <v>1.5399999999999999E-3</v>
      </c>
      <c r="G56" s="809">
        <v>7.9680000000000001E-2</v>
      </c>
      <c r="H56" s="809">
        <v>0.11859</v>
      </c>
      <c r="I56" s="809">
        <v>0.17027999999999999</v>
      </c>
      <c r="J56" s="807" t="s">
        <v>1114</v>
      </c>
      <c r="K56" s="807" t="s">
        <v>1114</v>
      </c>
      <c r="L56" s="807" t="s">
        <v>1114</v>
      </c>
      <c r="M56" s="807" t="s">
        <v>1114</v>
      </c>
      <c r="N56" s="807" t="s">
        <v>1114</v>
      </c>
      <c r="O56" s="807" t="s">
        <v>1114</v>
      </c>
      <c r="P56" s="807" t="s">
        <v>1114</v>
      </c>
      <c r="Q56" s="800"/>
      <c r="R56" s="800"/>
      <c r="S56" s="800"/>
      <c r="T56" s="800"/>
      <c r="U56" s="800"/>
      <c r="V56" s="800"/>
      <c r="W56" s="800"/>
      <c r="X56" s="800"/>
      <c r="Y56" s="800"/>
      <c r="Z56" s="800"/>
      <c r="AA56" s="800"/>
    </row>
    <row r="57" spans="1:27">
      <c r="A57" s="75" t="s">
        <v>1516</v>
      </c>
      <c r="B57" s="807" t="s">
        <v>1114</v>
      </c>
      <c r="C57" s="802">
        <v>0</v>
      </c>
      <c r="D57" s="802">
        <v>0</v>
      </c>
      <c r="E57" s="802">
        <v>0</v>
      </c>
      <c r="F57" s="802">
        <v>0</v>
      </c>
      <c r="G57" s="802">
        <v>0</v>
      </c>
      <c r="H57" s="802">
        <v>0</v>
      </c>
      <c r="I57" s="802">
        <v>0</v>
      </c>
      <c r="J57" s="807" t="s">
        <v>1114</v>
      </c>
      <c r="K57" s="807" t="s">
        <v>1114</v>
      </c>
      <c r="L57" s="807" t="s">
        <v>1114</v>
      </c>
      <c r="M57" s="807" t="s">
        <v>1114</v>
      </c>
      <c r="N57" s="807" t="s">
        <v>1114</v>
      </c>
      <c r="O57" s="807" t="s">
        <v>1114</v>
      </c>
      <c r="P57" s="807" t="s">
        <v>1114</v>
      </c>
      <c r="Q57" s="800"/>
      <c r="R57" s="800"/>
      <c r="S57" s="800"/>
      <c r="T57" s="800"/>
      <c r="U57" s="800"/>
      <c r="V57" s="800"/>
      <c r="W57" s="800"/>
      <c r="X57" s="800"/>
      <c r="Y57" s="800"/>
      <c r="Z57" s="800"/>
      <c r="AA57" s="800"/>
    </row>
    <row r="58" spans="1:27">
      <c r="A58" s="75" t="s">
        <v>1517</v>
      </c>
      <c r="B58" s="807" t="s">
        <v>1114</v>
      </c>
      <c r="C58" s="807" t="s">
        <v>1525</v>
      </c>
      <c r="D58" s="807" t="s">
        <v>1525</v>
      </c>
      <c r="E58" s="807" t="s">
        <v>1525</v>
      </c>
      <c r="F58" s="807" t="s">
        <v>1525</v>
      </c>
      <c r="G58" s="807" t="s">
        <v>1525</v>
      </c>
      <c r="H58" s="807" t="s">
        <v>1525</v>
      </c>
      <c r="I58" s="807" t="s">
        <v>1525</v>
      </c>
      <c r="J58" s="807" t="s">
        <v>1114</v>
      </c>
      <c r="K58" s="807" t="s">
        <v>1114</v>
      </c>
      <c r="L58" s="807" t="s">
        <v>1114</v>
      </c>
      <c r="M58" s="807" t="s">
        <v>1114</v>
      </c>
      <c r="N58" s="807" t="s">
        <v>1114</v>
      </c>
      <c r="O58" s="807" t="s">
        <v>1114</v>
      </c>
      <c r="P58" s="807" t="s">
        <v>1114</v>
      </c>
      <c r="Q58" s="800"/>
      <c r="R58" s="800"/>
      <c r="S58" s="800"/>
      <c r="T58" s="800"/>
      <c r="U58" s="800"/>
      <c r="V58" s="800"/>
      <c r="W58" s="800"/>
      <c r="X58" s="800"/>
      <c r="Y58" s="800"/>
      <c r="Z58" s="800"/>
      <c r="AA58" s="800"/>
    </row>
    <row r="59" spans="1:27">
      <c r="A59" s="75" t="s">
        <v>1526</v>
      </c>
      <c r="B59" s="807" t="s">
        <v>1114</v>
      </c>
      <c r="C59" s="807" t="s">
        <v>1527</v>
      </c>
      <c r="D59" s="807" t="s">
        <v>1527</v>
      </c>
      <c r="E59" s="807" t="s">
        <v>1527</v>
      </c>
      <c r="F59" s="807" t="s">
        <v>1527</v>
      </c>
      <c r="G59" s="807" t="s">
        <v>1527</v>
      </c>
      <c r="H59" s="807" t="s">
        <v>1527</v>
      </c>
      <c r="I59" s="807" t="s">
        <v>1527</v>
      </c>
      <c r="J59" s="807" t="s">
        <v>1114</v>
      </c>
      <c r="K59" s="807" t="s">
        <v>1114</v>
      </c>
      <c r="L59" s="807" t="s">
        <v>1114</v>
      </c>
      <c r="M59" s="807" t="s">
        <v>1114</v>
      </c>
      <c r="N59" s="807" t="s">
        <v>1114</v>
      </c>
      <c r="O59" s="807" t="s">
        <v>1114</v>
      </c>
      <c r="P59" s="807" t="s">
        <v>1114</v>
      </c>
      <c r="Q59" s="800"/>
      <c r="R59" s="800"/>
      <c r="S59" s="800"/>
      <c r="T59" s="800"/>
      <c r="U59" s="800"/>
      <c r="V59" s="800"/>
      <c r="W59" s="800"/>
      <c r="X59" s="800"/>
      <c r="Y59" s="800"/>
      <c r="Z59" s="800"/>
      <c r="AA59" s="800"/>
    </row>
    <row r="60" spans="1:27">
      <c r="A60" s="806" t="s">
        <v>1537</v>
      </c>
      <c r="B60" s="807" t="s">
        <v>1114</v>
      </c>
      <c r="C60" s="808">
        <v>0</v>
      </c>
      <c r="D60" s="808">
        <v>0</v>
      </c>
      <c r="E60" s="808">
        <v>0</v>
      </c>
      <c r="F60" s="808">
        <v>0</v>
      </c>
      <c r="G60" s="809">
        <v>0</v>
      </c>
      <c r="H60" s="809">
        <v>0</v>
      </c>
      <c r="I60" s="809">
        <v>0</v>
      </c>
      <c r="J60" s="809">
        <v>0</v>
      </c>
      <c r="K60" s="809">
        <v>0</v>
      </c>
      <c r="L60" s="807" t="s">
        <v>1114</v>
      </c>
      <c r="M60" s="807" t="s">
        <v>1114</v>
      </c>
      <c r="N60" s="807" t="s">
        <v>1114</v>
      </c>
      <c r="O60" s="807" t="s">
        <v>1114</v>
      </c>
      <c r="P60" s="807" t="s">
        <v>1114</v>
      </c>
      <c r="Q60" s="800"/>
      <c r="R60" s="800"/>
      <c r="S60" s="800"/>
      <c r="T60" s="800"/>
      <c r="U60" s="800"/>
      <c r="V60" s="800"/>
      <c r="W60" s="800"/>
      <c r="X60" s="800"/>
      <c r="Y60" s="800"/>
      <c r="Z60" s="800"/>
      <c r="AA60" s="800"/>
    </row>
    <row r="61" spans="1:27">
      <c r="A61" s="75" t="s">
        <v>1512</v>
      </c>
      <c r="B61" s="807" t="s">
        <v>1114</v>
      </c>
      <c r="C61" s="809">
        <v>0</v>
      </c>
      <c r="D61" s="809">
        <v>0</v>
      </c>
      <c r="E61" s="809">
        <v>0</v>
      </c>
      <c r="F61" s="809">
        <v>0</v>
      </c>
      <c r="G61" s="807" t="s">
        <v>1114</v>
      </c>
      <c r="H61" s="807" t="s">
        <v>1114</v>
      </c>
      <c r="I61" s="807" t="s">
        <v>1114</v>
      </c>
      <c r="J61" s="807" t="s">
        <v>1114</v>
      </c>
      <c r="K61" s="807" t="s">
        <v>1114</v>
      </c>
      <c r="L61" s="807" t="s">
        <v>1114</v>
      </c>
      <c r="M61" s="807" t="s">
        <v>1114</v>
      </c>
      <c r="N61" s="807" t="s">
        <v>1114</v>
      </c>
      <c r="O61" s="807" t="s">
        <v>1114</v>
      </c>
      <c r="P61" s="807" t="s">
        <v>1114</v>
      </c>
      <c r="Q61" s="800"/>
      <c r="R61" s="800"/>
      <c r="S61" s="800"/>
      <c r="T61" s="800"/>
      <c r="U61" s="800"/>
      <c r="V61" s="800"/>
      <c r="W61" s="800"/>
      <c r="X61" s="800"/>
      <c r="Y61" s="800"/>
      <c r="Z61" s="800"/>
      <c r="AA61" s="800"/>
    </row>
    <row r="62" spans="1:27">
      <c r="A62" s="75" t="s">
        <v>1513</v>
      </c>
      <c r="B62" s="807" t="s">
        <v>1114</v>
      </c>
      <c r="C62" s="809">
        <v>0</v>
      </c>
      <c r="D62" s="809">
        <v>0</v>
      </c>
      <c r="E62" s="809">
        <v>0</v>
      </c>
      <c r="F62" s="809">
        <v>0</v>
      </c>
      <c r="G62" s="809">
        <v>0</v>
      </c>
      <c r="H62" s="809">
        <v>0</v>
      </c>
      <c r="I62" s="809">
        <v>0</v>
      </c>
      <c r="J62" s="809">
        <v>0</v>
      </c>
      <c r="K62" s="809">
        <v>0</v>
      </c>
      <c r="L62" s="807" t="s">
        <v>1114</v>
      </c>
      <c r="M62" s="807" t="s">
        <v>1114</v>
      </c>
      <c r="N62" s="807" t="s">
        <v>1114</v>
      </c>
      <c r="O62" s="807" t="s">
        <v>1114</v>
      </c>
      <c r="P62" s="807" t="s">
        <v>1114</v>
      </c>
      <c r="Q62" s="800"/>
      <c r="R62" s="800"/>
      <c r="S62" s="800"/>
      <c r="T62" s="800"/>
      <c r="U62" s="800"/>
      <c r="V62" s="800"/>
      <c r="W62" s="800"/>
      <c r="X62" s="800"/>
      <c r="Y62" s="800"/>
      <c r="Z62" s="800"/>
      <c r="AA62" s="800"/>
    </row>
    <row r="63" spans="1:27">
      <c r="A63" s="75" t="s">
        <v>1514</v>
      </c>
      <c r="B63" s="807" t="s">
        <v>1114</v>
      </c>
      <c r="C63" s="809">
        <v>0</v>
      </c>
      <c r="D63" s="809">
        <v>0</v>
      </c>
      <c r="E63" s="809">
        <v>0</v>
      </c>
      <c r="F63" s="809">
        <v>0</v>
      </c>
      <c r="G63" s="809">
        <v>0</v>
      </c>
      <c r="H63" s="809">
        <v>0</v>
      </c>
      <c r="I63" s="809">
        <v>0</v>
      </c>
      <c r="J63" s="809">
        <v>0</v>
      </c>
      <c r="K63" s="809">
        <v>0</v>
      </c>
      <c r="L63" s="807" t="s">
        <v>1114</v>
      </c>
      <c r="M63" s="807" t="s">
        <v>1114</v>
      </c>
      <c r="N63" s="807" t="s">
        <v>1114</v>
      </c>
      <c r="O63" s="807" t="s">
        <v>1114</v>
      </c>
      <c r="P63" s="807" t="s">
        <v>1114</v>
      </c>
      <c r="Q63" s="800"/>
      <c r="R63" s="800"/>
      <c r="S63" s="800"/>
      <c r="T63" s="800"/>
      <c r="U63" s="800"/>
      <c r="V63" s="800"/>
      <c r="W63" s="800"/>
      <c r="X63" s="800"/>
      <c r="Y63" s="800"/>
      <c r="Z63" s="800"/>
      <c r="AA63" s="800"/>
    </row>
    <row r="64" spans="1:27">
      <c r="A64" s="75" t="s">
        <v>1515</v>
      </c>
      <c r="B64" s="807" t="s">
        <v>1114</v>
      </c>
      <c r="C64" s="809">
        <v>0</v>
      </c>
      <c r="D64" s="809">
        <v>0</v>
      </c>
      <c r="E64" s="809">
        <v>0</v>
      </c>
      <c r="F64" s="809">
        <v>0</v>
      </c>
      <c r="G64" s="809">
        <v>0</v>
      </c>
      <c r="H64" s="809">
        <v>0</v>
      </c>
      <c r="I64" s="809">
        <v>0</v>
      </c>
      <c r="J64" s="809">
        <v>0</v>
      </c>
      <c r="K64" s="809">
        <v>0</v>
      </c>
      <c r="L64" s="807" t="s">
        <v>1114</v>
      </c>
      <c r="M64" s="807" t="s">
        <v>1114</v>
      </c>
      <c r="N64" s="807" t="s">
        <v>1114</v>
      </c>
      <c r="O64" s="807" t="s">
        <v>1114</v>
      </c>
      <c r="P64" s="807" t="s">
        <v>1114</v>
      </c>
      <c r="Q64" s="800"/>
      <c r="R64" s="800"/>
      <c r="S64" s="800"/>
      <c r="T64" s="800"/>
      <c r="U64" s="800"/>
      <c r="V64" s="800"/>
      <c r="W64" s="800"/>
      <c r="X64" s="800"/>
      <c r="Y64" s="800"/>
      <c r="Z64" s="800"/>
      <c r="AA64" s="800"/>
    </row>
    <row r="65" spans="1:27">
      <c r="A65" s="75" t="s">
        <v>1516</v>
      </c>
      <c r="B65" s="807" t="s">
        <v>1114</v>
      </c>
      <c r="C65" s="802">
        <v>0</v>
      </c>
      <c r="D65" s="802">
        <v>0</v>
      </c>
      <c r="E65" s="802">
        <v>0</v>
      </c>
      <c r="F65" s="802">
        <v>0</v>
      </c>
      <c r="G65" s="802">
        <v>0</v>
      </c>
      <c r="H65" s="802">
        <v>0</v>
      </c>
      <c r="I65" s="802">
        <v>0</v>
      </c>
      <c r="J65" s="802">
        <v>0</v>
      </c>
      <c r="K65" s="802">
        <v>0</v>
      </c>
      <c r="L65" s="807" t="s">
        <v>1114</v>
      </c>
      <c r="M65" s="807" t="s">
        <v>1114</v>
      </c>
      <c r="N65" s="807" t="s">
        <v>1114</v>
      </c>
      <c r="O65" s="807" t="s">
        <v>1114</v>
      </c>
      <c r="P65" s="807" t="s">
        <v>1114</v>
      </c>
      <c r="Q65" s="800"/>
      <c r="R65" s="800"/>
      <c r="S65" s="800"/>
      <c r="T65" s="800"/>
      <c r="U65" s="800"/>
      <c r="V65" s="800"/>
      <c r="W65" s="800"/>
      <c r="X65" s="800"/>
      <c r="Y65" s="800"/>
      <c r="Z65" s="800"/>
      <c r="AA65" s="800"/>
    </row>
    <row r="66" spans="1:27">
      <c r="A66" s="75" t="s">
        <v>1517</v>
      </c>
      <c r="B66" s="807" t="s">
        <v>1114</v>
      </c>
      <c r="C66" s="807" t="s">
        <v>1538</v>
      </c>
      <c r="D66" s="807" t="s">
        <v>1539</v>
      </c>
      <c r="E66" s="807" t="s">
        <v>1540</v>
      </c>
      <c r="F66" s="807" t="s">
        <v>1540</v>
      </c>
      <c r="G66" s="807" t="s">
        <v>1541</v>
      </c>
      <c r="H66" s="807" t="s">
        <v>1541</v>
      </c>
      <c r="I66" s="807" t="s">
        <v>1540</v>
      </c>
      <c r="J66" s="807" t="s">
        <v>1525</v>
      </c>
      <c r="K66" s="807" t="s">
        <v>1525</v>
      </c>
      <c r="L66" s="807" t="s">
        <v>1114</v>
      </c>
      <c r="M66" s="807" t="s">
        <v>1114</v>
      </c>
      <c r="N66" s="807" t="s">
        <v>1114</v>
      </c>
      <c r="O66" s="807" t="s">
        <v>1114</v>
      </c>
      <c r="P66" s="807" t="s">
        <v>1114</v>
      </c>
      <c r="Q66" s="800"/>
      <c r="R66" s="800"/>
      <c r="S66" s="800"/>
      <c r="T66" s="800"/>
      <c r="U66" s="800"/>
      <c r="V66" s="800"/>
      <c r="W66" s="800"/>
      <c r="X66" s="800"/>
      <c r="Y66" s="800"/>
      <c r="Z66" s="800"/>
      <c r="AA66" s="800"/>
    </row>
    <row r="67" spans="1:27">
      <c r="A67" s="75" t="s">
        <v>1526</v>
      </c>
      <c r="B67" s="807" t="s">
        <v>1114</v>
      </c>
      <c r="C67" s="807" t="s">
        <v>1527</v>
      </c>
      <c r="D67" s="807" t="s">
        <v>1527</v>
      </c>
      <c r="E67" s="807" t="s">
        <v>1527</v>
      </c>
      <c r="F67" s="807" t="s">
        <v>1527</v>
      </c>
      <c r="G67" s="807" t="s">
        <v>1527</v>
      </c>
      <c r="H67" s="807" t="s">
        <v>1527</v>
      </c>
      <c r="I67" s="807" t="s">
        <v>1527</v>
      </c>
      <c r="J67" s="807" t="s">
        <v>1527</v>
      </c>
      <c r="K67" s="807" t="s">
        <v>1527</v>
      </c>
      <c r="L67" s="807" t="s">
        <v>1114</v>
      </c>
      <c r="M67" s="807" t="s">
        <v>1114</v>
      </c>
      <c r="N67" s="807" t="s">
        <v>1114</v>
      </c>
      <c r="O67" s="807" t="s">
        <v>1114</v>
      </c>
      <c r="P67" s="807" t="s">
        <v>1114</v>
      </c>
      <c r="Q67" s="800"/>
      <c r="R67" s="800"/>
      <c r="S67" s="800"/>
      <c r="T67" s="800"/>
      <c r="U67" s="800"/>
      <c r="V67" s="800"/>
      <c r="W67" s="800"/>
      <c r="X67" s="800"/>
      <c r="Y67" s="800"/>
      <c r="Z67" s="800"/>
      <c r="AA67" s="800"/>
    </row>
    <row r="68" spans="1:27">
      <c r="A68" s="806" t="s">
        <v>1542</v>
      </c>
      <c r="B68" s="807" t="s">
        <v>1114</v>
      </c>
      <c r="C68" s="808">
        <v>2.1366999999999998</v>
      </c>
      <c r="D68" s="808">
        <v>1.7450000000000001</v>
      </c>
      <c r="E68" s="808">
        <v>1.6438999999999999</v>
      </c>
      <c r="F68" s="808">
        <v>1.5742</v>
      </c>
      <c r="G68" s="809">
        <v>1.6096900000000001</v>
      </c>
      <c r="H68" s="809">
        <v>1.7550600000000001</v>
      </c>
      <c r="I68" s="809">
        <v>1.9603299999999999</v>
      </c>
      <c r="J68" s="807" t="s">
        <v>1114</v>
      </c>
      <c r="K68" s="807" t="s">
        <v>1114</v>
      </c>
      <c r="L68" s="807" t="s">
        <v>1114</v>
      </c>
      <c r="M68" s="807" t="s">
        <v>1114</v>
      </c>
      <c r="N68" s="807" t="s">
        <v>1114</v>
      </c>
      <c r="O68" s="807" t="s">
        <v>1114</v>
      </c>
      <c r="P68" s="807" t="s">
        <v>1114</v>
      </c>
      <c r="Q68" s="800"/>
      <c r="R68" s="800"/>
      <c r="S68" s="800"/>
      <c r="T68" s="800"/>
      <c r="U68" s="800"/>
      <c r="V68" s="800"/>
      <c r="W68" s="800"/>
      <c r="X68" s="800"/>
      <c r="Y68" s="800"/>
      <c r="Z68" s="800"/>
      <c r="AA68" s="800"/>
    </row>
    <row r="69" spans="1:27">
      <c r="A69" s="75" t="s">
        <v>1512</v>
      </c>
      <c r="B69" s="807" t="s">
        <v>1114</v>
      </c>
      <c r="C69" s="809">
        <v>1.9371400000000001</v>
      </c>
      <c r="D69" s="809">
        <v>1.6369800000000001</v>
      </c>
      <c r="E69" s="809">
        <v>1.5883499999999999</v>
      </c>
      <c r="F69" s="809">
        <v>1.6225799999999999</v>
      </c>
      <c r="G69" s="807" t="s">
        <v>1114</v>
      </c>
      <c r="H69" s="807" t="s">
        <v>1114</v>
      </c>
      <c r="I69" s="807" t="s">
        <v>1114</v>
      </c>
      <c r="J69" s="807" t="s">
        <v>1114</v>
      </c>
      <c r="K69" s="807" t="s">
        <v>1114</v>
      </c>
      <c r="L69" s="807" t="s">
        <v>1114</v>
      </c>
      <c r="M69" s="807" t="s">
        <v>1114</v>
      </c>
      <c r="N69" s="807" t="s">
        <v>1114</v>
      </c>
      <c r="O69" s="807" t="s">
        <v>1114</v>
      </c>
      <c r="P69" s="807" t="s">
        <v>1114</v>
      </c>
      <c r="Q69" s="800"/>
      <c r="R69" s="800"/>
      <c r="S69" s="800"/>
      <c r="T69" s="800"/>
      <c r="U69" s="800"/>
      <c r="V69" s="800"/>
      <c r="W69" s="800"/>
      <c r="X69" s="800"/>
      <c r="Y69" s="800"/>
      <c r="Z69" s="800"/>
      <c r="AA69" s="800"/>
    </row>
    <row r="70" spans="1:27">
      <c r="A70" s="75" t="s">
        <v>1513</v>
      </c>
      <c r="B70" s="807" t="s">
        <v>1114</v>
      </c>
      <c r="C70" s="809">
        <v>1.9573400000000001</v>
      </c>
      <c r="D70" s="809">
        <v>1.6062399999999999</v>
      </c>
      <c r="E70" s="809">
        <v>1.5975999999999999</v>
      </c>
      <c r="F70" s="809">
        <v>1.62991</v>
      </c>
      <c r="G70" s="809">
        <v>1.623</v>
      </c>
      <c r="H70" s="809">
        <v>1.7370000000000001</v>
      </c>
      <c r="I70" s="809">
        <v>1.909</v>
      </c>
      <c r="J70" s="807" t="s">
        <v>1114</v>
      </c>
      <c r="K70" s="807" t="s">
        <v>1114</v>
      </c>
      <c r="L70" s="807" t="s">
        <v>1114</v>
      </c>
      <c r="M70" s="807" t="s">
        <v>1114</v>
      </c>
      <c r="N70" s="807" t="s">
        <v>1114</v>
      </c>
      <c r="O70" s="807" t="s">
        <v>1114</v>
      </c>
      <c r="P70" s="807" t="s">
        <v>1114</v>
      </c>
      <c r="Q70" s="800"/>
      <c r="R70" s="800"/>
      <c r="S70" s="800"/>
      <c r="T70" s="800"/>
      <c r="U70" s="800"/>
      <c r="V70" s="800"/>
      <c r="W70" s="800"/>
      <c r="X70" s="800"/>
      <c r="Y70" s="800"/>
      <c r="Z70" s="800"/>
      <c r="AA70" s="800"/>
    </row>
    <row r="71" spans="1:27">
      <c r="A71" s="75" t="s">
        <v>1514</v>
      </c>
      <c r="B71" s="807" t="s">
        <v>1114</v>
      </c>
      <c r="C71" s="809">
        <v>2.0099999999999998</v>
      </c>
      <c r="D71" s="809">
        <v>1.8</v>
      </c>
      <c r="E71" s="809">
        <v>1.6918800000000001</v>
      </c>
      <c r="F71" s="809">
        <v>1.67</v>
      </c>
      <c r="G71" s="809">
        <v>1.69</v>
      </c>
      <c r="H71" s="809">
        <v>2.1547499999999999</v>
      </c>
      <c r="I71" s="809">
        <v>2.3794200000000001</v>
      </c>
      <c r="J71" s="807" t="s">
        <v>1114</v>
      </c>
      <c r="K71" s="807" t="s">
        <v>1114</v>
      </c>
      <c r="L71" s="807" t="s">
        <v>1114</v>
      </c>
      <c r="M71" s="807" t="s">
        <v>1114</v>
      </c>
      <c r="N71" s="807" t="s">
        <v>1114</v>
      </c>
      <c r="O71" s="807" t="s">
        <v>1114</v>
      </c>
      <c r="P71" s="807" t="s">
        <v>1114</v>
      </c>
      <c r="Q71" s="800"/>
      <c r="R71" s="800"/>
      <c r="S71" s="800"/>
      <c r="T71" s="800"/>
      <c r="U71" s="800"/>
      <c r="V71" s="800"/>
      <c r="W71" s="800"/>
      <c r="X71" s="800"/>
      <c r="Y71" s="800"/>
      <c r="Z71" s="800"/>
      <c r="AA71" s="800"/>
    </row>
    <row r="72" spans="1:27">
      <c r="A72" s="75" t="s">
        <v>1515</v>
      </c>
      <c r="B72" s="807" t="s">
        <v>1114</v>
      </c>
      <c r="C72" s="809">
        <v>1.82386</v>
      </c>
      <c r="D72" s="809">
        <v>1.5515300000000001</v>
      </c>
      <c r="E72" s="809">
        <v>1.35</v>
      </c>
      <c r="F72" s="809">
        <v>1.56399</v>
      </c>
      <c r="G72" s="809">
        <v>1.4</v>
      </c>
      <c r="H72" s="809">
        <v>1.5</v>
      </c>
      <c r="I72" s="809">
        <v>1.7985500000000001</v>
      </c>
      <c r="J72" s="807" t="s">
        <v>1114</v>
      </c>
      <c r="K72" s="807" t="s">
        <v>1114</v>
      </c>
      <c r="L72" s="807" t="s">
        <v>1114</v>
      </c>
      <c r="M72" s="807" t="s">
        <v>1114</v>
      </c>
      <c r="N72" s="807" t="s">
        <v>1114</v>
      </c>
      <c r="O72" s="807" t="s">
        <v>1114</v>
      </c>
      <c r="P72" s="807" t="s">
        <v>1114</v>
      </c>
      <c r="Q72" s="800"/>
      <c r="R72" s="800"/>
      <c r="S72" s="800"/>
      <c r="T72" s="800"/>
      <c r="U72" s="800"/>
      <c r="V72" s="800"/>
      <c r="W72" s="800"/>
      <c r="X72" s="800"/>
      <c r="Y72" s="800"/>
      <c r="Z72" s="800"/>
      <c r="AA72" s="800"/>
    </row>
    <row r="73" spans="1:27">
      <c r="A73" s="75" t="s">
        <v>1516</v>
      </c>
      <c r="B73" s="807" t="s">
        <v>1114</v>
      </c>
      <c r="C73" s="802">
        <v>6.9930000000000006E-2</v>
      </c>
      <c r="D73" s="802">
        <v>8.0019999999999994E-2</v>
      </c>
      <c r="E73" s="802">
        <v>8.7929999999999994E-2</v>
      </c>
      <c r="F73" s="802">
        <v>3.322E-2</v>
      </c>
      <c r="G73" s="802">
        <v>6.9739999999999996E-2</v>
      </c>
      <c r="H73" s="802">
        <v>0.13933000000000001</v>
      </c>
      <c r="I73" s="802">
        <v>0.15926999999999999</v>
      </c>
      <c r="J73" s="807" t="s">
        <v>1114</v>
      </c>
      <c r="K73" s="807" t="s">
        <v>1114</v>
      </c>
      <c r="L73" s="807" t="s">
        <v>1114</v>
      </c>
      <c r="M73" s="807" t="s">
        <v>1114</v>
      </c>
      <c r="N73" s="807" t="s">
        <v>1114</v>
      </c>
      <c r="O73" s="807" t="s">
        <v>1114</v>
      </c>
      <c r="P73" s="807" t="s">
        <v>1114</v>
      </c>
      <c r="Q73" s="800"/>
      <c r="R73" s="800"/>
      <c r="S73" s="800"/>
      <c r="T73" s="800"/>
      <c r="U73" s="800"/>
      <c r="V73" s="800"/>
      <c r="W73" s="800"/>
      <c r="X73" s="800"/>
      <c r="Y73" s="800"/>
      <c r="Z73" s="800"/>
      <c r="AA73" s="800"/>
    </row>
    <row r="74" spans="1:27">
      <c r="A74" s="75" t="s">
        <v>1517</v>
      </c>
      <c r="B74" s="807" t="s">
        <v>1114</v>
      </c>
      <c r="C74" s="807" t="s">
        <v>1543</v>
      </c>
      <c r="D74" s="807" t="s">
        <v>1544</v>
      </c>
      <c r="E74" s="807" t="s">
        <v>1545</v>
      </c>
      <c r="F74" s="807" t="s">
        <v>1546</v>
      </c>
      <c r="G74" s="807" t="s">
        <v>1547</v>
      </c>
      <c r="H74" s="807" t="s">
        <v>1548</v>
      </c>
      <c r="I74" s="807" t="s">
        <v>1549</v>
      </c>
      <c r="J74" s="807" t="s">
        <v>1114</v>
      </c>
      <c r="K74" s="807" t="s">
        <v>1114</v>
      </c>
      <c r="L74" s="807" t="s">
        <v>1114</v>
      </c>
      <c r="M74" s="807" t="s">
        <v>1114</v>
      </c>
      <c r="N74" s="807" t="s">
        <v>1114</v>
      </c>
      <c r="O74" s="807" t="s">
        <v>1114</v>
      </c>
      <c r="P74" s="807" t="s">
        <v>1114</v>
      </c>
      <c r="Q74" s="800"/>
      <c r="R74" s="800"/>
      <c r="S74" s="800"/>
      <c r="T74" s="800"/>
      <c r="U74" s="800"/>
      <c r="V74" s="800"/>
      <c r="W74" s="800"/>
      <c r="X74" s="800"/>
      <c r="Y74" s="800"/>
      <c r="Z74" s="800"/>
      <c r="AA74" s="800"/>
    </row>
    <row r="75" spans="1:27">
      <c r="A75" s="75" t="s">
        <v>1526</v>
      </c>
      <c r="B75" s="807" t="s">
        <v>1114</v>
      </c>
      <c r="C75" s="807" t="s">
        <v>1527</v>
      </c>
      <c r="D75" s="807" t="s">
        <v>1527</v>
      </c>
      <c r="E75" s="807" t="s">
        <v>1527</v>
      </c>
      <c r="F75" s="807" t="s">
        <v>1527</v>
      </c>
      <c r="G75" s="807" t="s">
        <v>1527</v>
      </c>
      <c r="H75" s="807" t="s">
        <v>1527</v>
      </c>
      <c r="I75" s="807" t="s">
        <v>1527</v>
      </c>
      <c r="J75" s="807" t="s">
        <v>1114</v>
      </c>
      <c r="K75" s="807" t="s">
        <v>1114</v>
      </c>
      <c r="L75" s="807" t="s">
        <v>1114</v>
      </c>
      <c r="M75" s="807" t="s">
        <v>1114</v>
      </c>
      <c r="N75" s="807" t="s">
        <v>1114</v>
      </c>
      <c r="O75" s="807" t="s">
        <v>1114</v>
      </c>
      <c r="P75" s="807" t="s">
        <v>1114</v>
      </c>
      <c r="Q75" s="800"/>
      <c r="R75" s="800"/>
      <c r="S75" s="800"/>
      <c r="T75" s="800"/>
      <c r="U75" s="800"/>
      <c r="V75" s="800"/>
      <c r="W75" s="800"/>
      <c r="X75" s="800"/>
      <c r="Y75" s="800"/>
      <c r="Z75" s="800"/>
      <c r="AA75" s="800"/>
    </row>
    <row r="76" spans="1:27">
      <c r="A76" s="806" t="s">
        <v>1550</v>
      </c>
      <c r="B76" s="807" t="s">
        <v>1114</v>
      </c>
      <c r="C76" s="808">
        <v>1.95</v>
      </c>
      <c r="D76" s="808">
        <v>1.5082</v>
      </c>
      <c r="E76" s="808">
        <v>1.4152</v>
      </c>
      <c r="F76" s="808">
        <v>1.3343</v>
      </c>
      <c r="G76" s="809">
        <v>1.3591</v>
      </c>
      <c r="H76" s="809">
        <v>1.4206700000000001</v>
      </c>
      <c r="I76" s="809">
        <v>1.5470999999999999</v>
      </c>
      <c r="J76" s="807" t="s">
        <v>1114</v>
      </c>
      <c r="K76" s="807" t="s">
        <v>1114</v>
      </c>
      <c r="L76" s="807" t="s">
        <v>1114</v>
      </c>
      <c r="M76" s="807" t="s">
        <v>1114</v>
      </c>
      <c r="N76" s="807" t="s">
        <v>1114</v>
      </c>
      <c r="O76" s="807" t="s">
        <v>1114</v>
      </c>
      <c r="P76" s="807" t="s">
        <v>1114</v>
      </c>
      <c r="Q76" s="800"/>
      <c r="R76" s="800"/>
      <c r="S76" s="800"/>
      <c r="T76" s="800"/>
      <c r="U76" s="800"/>
      <c r="V76" s="800"/>
      <c r="W76" s="800"/>
      <c r="X76" s="800"/>
      <c r="Y76" s="800"/>
      <c r="Z76" s="800"/>
      <c r="AA76" s="800"/>
    </row>
    <row r="77" spans="1:27">
      <c r="A77" s="75" t="s">
        <v>1512</v>
      </c>
      <c r="B77" s="807" t="s">
        <v>1114</v>
      </c>
      <c r="C77" s="809">
        <v>1.8602700000000001</v>
      </c>
      <c r="D77" s="809">
        <v>1.43581</v>
      </c>
      <c r="E77" s="809">
        <v>1.3082199999999999</v>
      </c>
      <c r="F77" s="809">
        <v>1.3650599999999999</v>
      </c>
      <c r="G77" s="807" t="s">
        <v>1114</v>
      </c>
      <c r="H77" s="807" t="s">
        <v>1114</v>
      </c>
      <c r="I77" s="807" t="s">
        <v>1114</v>
      </c>
      <c r="J77" s="807" t="s">
        <v>1114</v>
      </c>
      <c r="K77" s="807" t="s">
        <v>1114</v>
      </c>
      <c r="L77" s="807" t="s">
        <v>1114</v>
      </c>
      <c r="M77" s="807" t="s">
        <v>1114</v>
      </c>
      <c r="N77" s="807" t="s">
        <v>1114</v>
      </c>
      <c r="O77" s="807" t="s">
        <v>1114</v>
      </c>
      <c r="P77" s="807" t="s">
        <v>1114</v>
      </c>
      <c r="Q77" s="800"/>
      <c r="R77" s="800"/>
      <c r="S77" s="800"/>
      <c r="T77" s="800"/>
      <c r="U77" s="800"/>
      <c r="V77" s="800"/>
      <c r="W77" s="800"/>
      <c r="X77" s="800"/>
      <c r="Y77" s="800"/>
      <c r="Z77" s="800"/>
      <c r="AA77" s="800"/>
    </row>
    <row r="78" spans="1:27">
      <c r="A78" s="75" t="s">
        <v>1513</v>
      </c>
      <c r="B78" s="807" t="s">
        <v>1114</v>
      </c>
      <c r="C78" s="809">
        <v>1.8602700000000001</v>
      </c>
      <c r="D78" s="809">
        <v>1.43581</v>
      </c>
      <c r="E78" s="809">
        <v>1.3082199999999999</v>
      </c>
      <c r="F78" s="809">
        <v>1.3650599999999999</v>
      </c>
      <c r="G78" s="809">
        <v>1.3591</v>
      </c>
      <c r="H78" s="809">
        <v>1.4206700000000001</v>
      </c>
      <c r="I78" s="809">
        <v>1.5470999999999999</v>
      </c>
      <c r="J78" s="807" t="s">
        <v>1114</v>
      </c>
      <c r="K78" s="807" t="s">
        <v>1114</v>
      </c>
      <c r="L78" s="807" t="s">
        <v>1114</v>
      </c>
      <c r="M78" s="807" t="s">
        <v>1114</v>
      </c>
      <c r="N78" s="807" t="s">
        <v>1114</v>
      </c>
      <c r="O78" s="807" t="s">
        <v>1114</v>
      </c>
      <c r="P78" s="807" t="s">
        <v>1114</v>
      </c>
      <c r="Q78" s="800"/>
      <c r="R78" s="800"/>
      <c r="S78" s="800"/>
      <c r="T78" s="800"/>
      <c r="U78" s="800"/>
      <c r="V78" s="800"/>
      <c r="W78" s="800"/>
      <c r="X78" s="800"/>
      <c r="Y78" s="800"/>
      <c r="Z78" s="800"/>
      <c r="AA78" s="800"/>
    </row>
    <row r="79" spans="1:27">
      <c r="A79" s="75" t="s">
        <v>1514</v>
      </c>
      <c r="B79" s="807" t="s">
        <v>1114</v>
      </c>
      <c r="C79" s="809">
        <v>1.8602700000000001</v>
      </c>
      <c r="D79" s="809">
        <v>1.56162</v>
      </c>
      <c r="E79" s="809">
        <v>1.31</v>
      </c>
      <c r="F79" s="809">
        <v>1.3650599999999999</v>
      </c>
      <c r="G79" s="809">
        <v>1.3591</v>
      </c>
      <c r="H79" s="809">
        <v>1.4206700000000001</v>
      </c>
      <c r="I79" s="809">
        <v>1.5470999999999999</v>
      </c>
      <c r="J79" s="807" t="s">
        <v>1114</v>
      </c>
      <c r="K79" s="807" t="s">
        <v>1114</v>
      </c>
      <c r="L79" s="807" t="s">
        <v>1114</v>
      </c>
      <c r="M79" s="807" t="s">
        <v>1114</v>
      </c>
      <c r="N79" s="807" t="s">
        <v>1114</v>
      </c>
      <c r="O79" s="807" t="s">
        <v>1114</v>
      </c>
      <c r="P79" s="807" t="s">
        <v>1114</v>
      </c>
      <c r="Q79" s="800"/>
      <c r="R79" s="800"/>
      <c r="S79" s="800"/>
      <c r="T79" s="800"/>
      <c r="U79" s="800"/>
      <c r="V79" s="800"/>
      <c r="W79" s="800"/>
      <c r="X79" s="800"/>
      <c r="Y79" s="800"/>
      <c r="Z79" s="800"/>
      <c r="AA79" s="800"/>
    </row>
    <row r="80" spans="1:27">
      <c r="A80" s="75" t="s">
        <v>1515</v>
      </c>
      <c r="B80" s="807" t="s">
        <v>1114</v>
      </c>
      <c r="C80" s="809">
        <v>1.8602700000000001</v>
      </c>
      <c r="D80" s="809">
        <v>1.31</v>
      </c>
      <c r="E80" s="809">
        <v>1.30644</v>
      </c>
      <c r="F80" s="809">
        <v>1.3650599999999999</v>
      </c>
      <c r="G80" s="809">
        <v>1.3591</v>
      </c>
      <c r="H80" s="809">
        <v>1.4206700000000001</v>
      </c>
      <c r="I80" s="809">
        <v>1.5470999999999999</v>
      </c>
      <c r="J80" s="807" t="s">
        <v>1114</v>
      </c>
      <c r="K80" s="807" t="s">
        <v>1114</v>
      </c>
      <c r="L80" s="807" t="s">
        <v>1114</v>
      </c>
      <c r="M80" s="807" t="s">
        <v>1114</v>
      </c>
      <c r="N80" s="807" t="s">
        <v>1114</v>
      </c>
      <c r="O80" s="807" t="s">
        <v>1114</v>
      </c>
      <c r="P80" s="807" t="s">
        <v>1114</v>
      </c>
      <c r="Q80" s="800"/>
      <c r="R80" s="800"/>
      <c r="S80" s="800"/>
      <c r="T80" s="800"/>
      <c r="U80" s="800"/>
      <c r="V80" s="800"/>
      <c r="W80" s="800"/>
      <c r="X80" s="800"/>
      <c r="Y80" s="800"/>
      <c r="Z80" s="800"/>
      <c r="AA80" s="800"/>
    </row>
    <row r="81" spans="1:27">
      <c r="A81" s="75" t="s">
        <v>1516</v>
      </c>
      <c r="B81" s="807" t="s">
        <v>1114</v>
      </c>
      <c r="C81" s="802">
        <v>0</v>
      </c>
      <c r="D81" s="802">
        <v>0.12581000000000001</v>
      </c>
      <c r="E81" s="802">
        <v>1.7799999999999999E-3</v>
      </c>
      <c r="F81" s="802">
        <v>0</v>
      </c>
      <c r="G81" s="802">
        <v>0</v>
      </c>
      <c r="H81" s="802">
        <v>0</v>
      </c>
      <c r="I81" s="802">
        <v>0</v>
      </c>
      <c r="J81" s="807" t="s">
        <v>1114</v>
      </c>
      <c r="K81" s="807" t="s">
        <v>1114</v>
      </c>
      <c r="L81" s="807" t="s">
        <v>1114</v>
      </c>
      <c r="M81" s="807" t="s">
        <v>1114</v>
      </c>
      <c r="N81" s="807" t="s">
        <v>1114</v>
      </c>
      <c r="O81" s="807" t="s">
        <v>1114</v>
      </c>
      <c r="P81" s="807" t="s">
        <v>1114</v>
      </c>
      <c r="Q81" s="800"/>
      <c r="R81" s="800"/>
      <c r="S81" s="800"/>
      <c r="T81" s="800"/>
      <c r="U81" s="800"/>
      <c r="V81" s="800"/>
      <c r="W81" s="800"/>
      <c r="X81" s="800"/>
      <c r="Y81" s="800"/>
      <c r="Z81" s="800"/>
      <c r="AA81" s="800"/>
    </row>
    <row r="82" spans="1:27">
      <c r="A82" s="75" t="s">
        <v>1517</v>
      </c>
      <c r="B82" s="807" t="s">
        <v>1114</v>
      </c>
      <c r="C82" s="807" t="s">
        <v>1525</v>
      </c>
      <c r="D82" s="807" t="s">
        <v>1551</v>
      </c>
      <c r="E82" s="807" t="s">
        <v>1551</v>
      </c>
      <c r="F82" s="807" t="s">
        <v>1525</v>
      </c>
      <c r="G82" s="807" t="s">
        <v>1525</v>
      </c>
      <c r="H82" s="807" t="s">
        <v>1525</v>
      </c>
      <c r="I82" s="807" t="s">
        <v>1525</v>
      </c>
      <c r="J82" s="807" t="s">
        <v>1114</v>
      </c>
      <c r="K82" s="807" t="s">
        <v>1114</v>
      </c>
      <c r="L82" s="807" t="s">
        <v>1114</v>
      </c>
      <c r="M82" s="807" t="s">
        <v>1114</v>
      </c>
      <c r="N82" s="807" t="s">
        <v>1114</v>
      </c>
      <c r="O82" s="807" t="s">
        <v>1114</v>
      </c>
      <c r="P82" s="807" t="s">
        <v>1114</v>
      </c>
      <c r="Q82" s="800"/>
      <c r="R82" s="800"/>
      <c r="S82" s="800"/>
      <c r="T82" s="800"/>
      <c r="U82" s="800"/>
      <c r="V82" s="800"/>
      <c r="W82" s="800"/>
      <c r="X82" s="800"/>
      <c r="Y82" s="800"/>
      <c r="Z82" s="800"/>
      <c r="AA82" s="800"/>
    </row>
    <row r="83" spans="1:27">
      <c r="A83" s="75" t="s">
        <v>1526</v>
      </c>
      <c r="B83" s="807" t="s">
        <v>1114</v>
      </c>
      <c r="C83" s="807" t="s">
        <v>1527</v>
      </c>
      <c r="D83" s="807" t="s">
        <v>1527</v>
      </c>
      <c r="E83" s="807" t="s">
        <v>1527</v>
      </c>
      <c r="F83" s="807" t="s">
        <v>1527</v>
      </c>
      <c r="G83" s="807" t="s">
        <v>1527</v>
      </c>
      <c r="H83" s="807" t="s">
        <v>1527</v>
      </c>
      <c r="I83" s="807" t="s">
        <v>1527</v>
      </c>
      <c r="J83" s="807" t="s">
        <v>1114</v>
      </c>
      <c r="K83" s="807" t="s">
        <v>1114</v>
      </c>
      <c r="L83" s="807" t="s">
        <v>1114</v>
      </c>
      <c r="M83" s="807" t="s">
        <v>1114</v>
      </c>
      <c r="N83" s="807" t="s">
        <v>1114</v>
      </c>
      <c r="O83" s="807" t="s">
        <v>1114</v>
      </c>
      <c r="P83" s="807" t="s">
        <v>1114</v>
      </c>
      <c r="Q83" s="800"/>
      <c r="R83" s="800"/>
      <c r="S83" s="800"/>
      <c r="T83" s="800"/>
      <c r="U83" s="800"/>
      <c r="V83" s="800"/>
      <c r="W83" s="800"/>
      <c r="X83" s="800"/>
      <c r="Y83" s="800"/>
      <c r="Z83" s="800"/>
      <c r="AA83" s="800"/>
    </row>
    <row r="84" spans="1:27">
      <c r="A84" s="806" t="s">
        <v>1552</v>
      </c>
      <c r="B84" s="807" t="s">
        <v>1114</v>
      </c>
      <c r="C84" s="808">
        <v>-1.7372099999999999</v>
      </c>
      <c r="D84" s="808">
        <v>-0.21471000000000001</v>
      </c>
      <c r="E84" s="808">
        <v>2.2100000000000002E-2</v>
      </c>
      <c r="F84" s="808">
        <v>0.21329999999999999</v>
      </c>
      <c r="G84" s="809">
        <v>0.13217999999999999</v>
      </c>
      <c r="H84" s="809">
        <v>0.1716</v>
      </c>
      <c r="I84" s="809">
        <v>0.24537</v>
      </c>
      <c r="J84" s="807" t="s">
        <v>1114</v>
      </c>
      <c r="K84" s="807" t="s">
        <v>1114</v>
      </c>
      <c r="L84" s="807" t="s">
        <v>1114</v>
      </c>
      <c r="M84" s="807" t="s">
        <v>1114</v>
      </c>
      <c r="N84" s="807" t="s">
        <v>1114</v>
      </c>
      <c r="O84" s="807" t="s">
        <v>1114</v>
      </c>
      <c r="P84" s="807" t="s">
        <v>1114</v>
      </c>
      <c r="Q84" s="800"/>
      <c r="R84" s="800"/>
      <c r="S84" s="800"/>
      <c r="T84" s="800"/>
      <c r="U84" s="800"/>
      <c r="V84" s="800"/>
      <c r="W84" s="800"/>
      <c r="X84" s="800"/>
      <c r="Y84" s="800"/>
      <c r="Z84" s="800"/>
      <c r="AA84" s="800"/>
    </row>
    <row r="85" spans="1:27">
      <c r="A85" s="75" t="s">
        <v>1512</v>
      </c>
      <c r="B85" s="807" t="s">
        <v>1114</v>
      </c>
      <c r="C85" s="809">
        <v>-2.29948</v>
      </c>
      <c r="D85" s="809">
        <v>-0.27521000000000001</v>
      </c>
      <c r="E85" s="809">
        <v>-3.4639999999999997E-2</v>
      </c>
      <c r="F85" s="809">
        <v>6.8279999999999993E-2</v>
      </c>
      <c r="G85" s="807" t="s">
        <v>1114</v>
      </c>
      <c r="H85" s="807" t="s">
        <v>1114</v>
      </c>
      <c r="I85" s="807" t="s">
        <v>1114</v>
      </c>
      <c r="J85" s="807" t="s">
        <v>1114</v>
      </c>
      <c r="K85" s="807" t="s">
        <v>1114</v>
      </c>
      <c r="L85" s="807" t="s">
        <v>1114</v>
      </c>
      <c r="M85" s="807" t="s">
        <v>1114</v>
      </c>
      <c r="N85" s="807" t="s">
        <v>1114</v>
      </c>
      <c r="O85" s="807" t="s">
        <v>1114</v>
      </c>
      <c r="P85" s="807" t="s">
        <v>1114</v>
      </c>
      <c r="Q85" s="800"/>
      <c r="R85" s="800"/>
      <c r="S85" s="800"/>
      <c r="T85" s="800"/>
      <c r="U85" s="800"/>
      <c r="V85" s="800"/>
      <c r="W85" s="800"/>
      <c r="X85" s="800"/>
      <c r="Y85" s="800"/>
      <c r="Z85" s="800"/>
      <c r="AA85" s="800"/>
    </row>
    <row r="86" spans="1:27">
      <c r="A86" s="75" t="s">
        <v>1513</v>
      </c>
      <c r="B86" s="807" t="s">
        <v>1114</v>
      </c>
      <c r="C86" s="809">
        <v>-0.27200000000000002</v>
      </c>
      <c r="D86" s="809">
        <v>-0.26862999999999998</v>
      </c>
      <c r="E86" s="809">
        <v>-1.8350000000000002E-2</v>
      </c>
      <c r="F86" s="809">
        <v>7.356E-2</v>
      </c>
      <c r="G86" s="809">
        <v>0.13217999999999999</v>
      </c>
      <c r="H86" s="809">
        <v>0.17247999999999999</v>
      </c>
      <c r="I86" s="809">
        <v>0.23960000000000001</v>
      </c>
      <c r="J86" s="807" t="s">
        <v>1114</v>
      </c>
      <c r="K86" s="807" t="s">
        <v>1114</v>
      </c>
      <c r="L86" s="807" t="s">
        <v>1114</v>
      </c>
      <c r="M86" s="807" t="s">
        <v>1114</v>
      </c>
      <c r="N86" s="807" t="s">
        <v>1114</v>
      </c>
      <c r="O86" s="807" t="s">
        <v>1114</v>
      </c>
      <c r="P86" s="807" t="s">
        <v>1114</v>
      </c>
      <c r="Q86" s="800"/>
      <c r="R86" s="800"/>
      <c r="S86" s="800"/>
      <c r="T86" s="800"/>
      <c r="U86" s="800"/>
      <c r="V86" s="800"/>
      <c r="W86" s="800"/>
      <c r="X86" s="800"/>
      <c r="Y86" s="800"/>
      <c r="Z86" s="800"/>
      <c r="AA86" s="800"/>
    </row>
    <row r="87" spans="1:27">
      <c r="A87" s="75" t="s">
        <v>1514</v>
      </c>
      <c r="B87" s="807" t="s">
        <v>1114</v>
      </c>
      <c r="C87" s="809">
        <v>5.5100000000000003E-2</v>
      </c>
      <c r="D87" s="809">
        <v>-0.20699999999999999</v>
      </c>
      <c r="E87" s="809">
        <v>2.0410000000000001E-2</v>
      </c>
      <c r="F87" s="809">
        <v>8.5980000000000001E-2</v>
      </c>
      <c r="G87" s="809">
        <v>0.13613</v>
      </c>
      <c r="H87" s="809">
        <v>0.19903000000000001</v>
      </c>
      <c r="I87" s="809">
        <v>0.27084999999999998</v>
      </c>
      <c r="J87" s="807" t="s">
        <v>1114</v>
      </c>
      <c r="K87" s="807" t="s">
        <v>1114</v>
      </c>
      <c r="L87" s="807" t="s">
        <v>1114</v>
      </c>
      <c r="M87" s="807" t="s">
        <v>1114</v>
      </c>
      <c r="N87" s="807" t="s">
        <v>1114</v>
      </c>
      <c r="O87" s="807" t="s">
        <v>1114</v>
      </c>
      <c r="P87" s="807" t="s">
        <v>1114</v>
      </c>
      <c r="Q87" s="800"/>
      <c r="R87" s="800"/>
      <c r="S87" s="800"/>
      <c r="T87" s="800"/>
      <c r="U87" s="800"/>
      <c r="V87" s="800"/>
      <c r="W87" s="800"/>
      <c r="X87" s="800"/>
      <c r="Y87" s="800"/>
      <c r="Z87" s="800"/>
      <c r="AA87" s="800"/>
    </row>
    <row r="88" spans="1:27">
      <c r="A88" s="75" t="s">
        <v>1515</v>
      </c>
      <c r="B88" s="807" t="s">
        <v>1114</v>
      </c>
      <c r="C88" s="809">
        <v>-6.6815499999999997</v>
      </c>
      <c r="D88" s="809">
        <v>-0.38</v>
      </c>
      <c r="E88" s="809">
        <v>-0.17</v>
      </c>
      <c r="F88" s="809">
        <v>0.04</v>
      </c>
      <c r="G88" s="809">
        <v>0.12823000000000001</v>
      </c>
      <c r="H88" s="809">
        <v>0.13300000000000001</v>
      </c>
      <c r="I88" s="809">
        <v>0.22567000000000001</v>
      </c>
      <c r="J88" s="807" t="s">
        <v>1114</v>
      </c>
      <c r="K88" s="807" t="s">
        <v>1114</v>
      </c>
      <c r="L88" s="807" t="s">
        <v>1114</v>
      </c>
      <c r="M88" s="807" t="s">
        <v>1114</v>
      </c>
      <c r="N88" s="807" t="s">
        <v>1114</v>
      </c>
      <c r="O88" s="807" t="s">
        <v>1114</v>
      </c>
      <c r="P88" s="807" t="s">
        <v>1114</v>
      </c>
      <c r="Q88" s="800"/>
      <c r="R88" s="800"/>
      <c r="S88" s="800"/>
      <c r="T88" s="800"/>
      <c r="U88" s="800"/>
      <c r="V88" s="800"/>
      <c r="W88" s="800"/>
      <c r="X88" s="800"/>
      <c r="Y88" s="800"/>
      <c r="Z88" s="800"/>
      <c r="AA88" s="800"/>
    </row>
    <row r="89" spans="1:27">
      <c r="A89" s="75" t="s">
        <v>1516</v>
      </c>
      <c r="B89" s="807" t="s">
        <v>1114</v>
      </c>
      <c r="C89" s="802">
        <v>3.1014699999999999</v>
      </c>
      <c r="D89" s="802">
        <v>5.611E-2</v>
      </c>
      <c r="E89" s="802">
        <v>5.8229999999999997E-2</v>
      </c>
      <c r="F89" s="802">
        <v>1.8620000000000001E-2</v>
      </c>
      <c r="G89" s="802">
        <v>3.9500000000000004E-3</v>
      </c>
      <c r="H89" s="802">
        <v>2.3009999999999999E-2</v>
      </c>
      <c r="I89" s="802">
        <v>1.8890000000000001E-2</v>
      </c>
      <c r="J89" s="807" t="s">
        <v>1114</v>
      </c>
      <c r="K89" s="807" t="s">
        <v>1114</v>
      </c>
      <c r="L89" s="807" t="s">
        <v>1114</v>
      </c>
      <c r="M89" s="807" t="s">
        <v>1114</v>
      </c>
      <c r="N89" s="807" t="s">
        <v>1114</v>
      </c>
      <c r="O89" s="807" t="s">
        <v>1114</v>
      </c>
      <c r="P89" s="807" t="s">
        <v>1114</v>
      </c>
      <c r="Q89" s="800"/>
      <c r="R89" s="800"/>
      <c r="S89" s="800"/>
      <c r="T89" s="800"/>
      <c r="U89" s="800"/>
      <c r="V89" s="800"/>
      <c r="W89" s="800"/>
      <c r="X89" s="800"/>
      <c r="Y89" s="800"/>
      <c r="Z89" s="800"/>
      <c r="AA89" s="800"/>
    </row>
    <row r="90" spans="1:27">
      <c r="A90" s="75" t="s">
        <v>1517</v>
      </c>
      <c r="B90" s="807" t="s">
        <v>1114</v>
      </c>
      <c r="C90" s="807" t="s">
        <v>1553</v>
      </c>
      <c r="D90" s="807" t="s">
        <v>1554</v>
      </c>
      <c r="E90" s="807" t="s">
        <v>1540</v>
      </c>
      <c r="F90" s="807" t="s">
        <v>1543</v>
      </c>
      <c r="G90" s="807" t="s">
        <v>1555</v>
      </c>
      <c r="H90" s="807" t="s">
        <v>1518</v>
      </c>
      <c r="I90" s="807" t="s">
        <v>1538</v>
      </c>
      <c r="J90" s="807" t="s">
        <v>1114</v>
      </c>
      <c r="K90" s="807" t="s">
        <v>1114</v>
      </c>
      <c r="L90" s="807" t="s">
        <v>1114</v>
      </c>
      <c r="M90" s="807" t="s">
        <v>1114</v>
      </c>
      <c r="N90" s="807" t="s">
        <v>1114</v>
      </c>
      <c r="O90" s="807" t="s">
        <v>1114</v>
      </c>
      <c r="P90" s="807" t="s">
        <v>1114</v>
      </c>
      <c r="Q90" s="800"/>
      <c r="R90" s="800"/>
      <c r="S90" s="800"/>
      <c r="T90" s="800"/>
      <c r="U90" s="800"/>
      <c r="V90" s="800"/>
      <c r="W90" s="800"/>
      <c r="X90" s="800"/>
      <c r="Y90" s="800"/>
      <c r="Z90" s="800"/>
      <c r="AA90" s="800"/>
    </row>
    <row r="91" spans="1:27">
      <c r="A91" s="75" t="s">
        <v>1526</v>
      </c>
      <c r="B91" s="807" t="s">
        <v>1114</v>
      </c>
      <c r="C91" s="807" t="s">
        <v>1527</v>
      </c>
      <c r="D91" s="807" t="s">
        <v>1527</v>
      </c>
      <c r="E91" s="807" t="s">
        <v>1527</v>
      </c>
      <c r="F91" s="807" t="s">
        <v>1527</v>
      </c>
      <c r="G91" s="807" t="s">
        <v>1527</v>
      </c>
      <c r="H91" s="807" t="s">
        <v>1527</v>
      </c>
      <c r="I91" s="807" t="s">
        <v>1527</v>
      </c>
      <c r="J91" s="807" t="s">
        <v>1114</v>
      </c>
      <c r="K91" s="807" t="s">
        <v>1114</v>
      </c>
      <c r="L91" s="807" t="s">
        <v>1114</v>
      </c>
      <c r="M91" s="807" t="s">
        <v>1114</v>
      </c>
      <c r="N91" s="807" t="s">
        <v>1114</v>
      </c>
      <c r="O91" s="807" t="s">
        <v>1114</v>
      </c>
      <c r="P91" s="807" t="s">
        <v>1114</v>
      </c>
      <c r="Q91" s="800"/>
      <c r="R91" s="800"/>
      <c r="S91" s="800"/>
      <c r="T91" s="800"/>
      <c r="U91" s="800"/>
      <c r="V91" s="800"/>
      <c r="W91" s="800"/>
      <c r="X91" s="800"/>
      <c r="Y91" s="800"/>
      <c r="Z91" s="800"/>
      <c r="AA91" s="800"/>
    </row>
    <row r="92" spans="1:27">
      <c r="B92" s="800"/>
      <c r="C92" s="800"/>
      <c r="D92" s="800"/>
      <c r="E92" s="800"/>
      <c r="F92" s="800"/>
      <c r="G92" s="800"/>
      <c r="H92" s="800"/>
      <c r="I92" s="800"/>
      <c r="J92" s="800"/>
      <c r="K92" s="800"/>
      <c r="L92" s="800"/>
      <c r="M92" s="800"/>
      <c r="N92" s="800"/>
      <c r="O92" s="800"/>
      <c r="P92" s="800"/>
      <c r="Q92" s="800"/>
      <c r="R92" s="800"/>
      <c r="S92" s="800"/>
      <c r="T92" s="800"/>
      <c r="U92" s="800"/>
      <c r="V92" s="800"/>
      <c r="W92" s="800"/>
      <c r="X92" s="800"/>
      <c r="Y92" s="800"/>
      <c r="Z92" s="800"/>
      <c r="AA92" s="800"/>
    </row>
    <row r="93" spans="1:27" ht="19">
      <c r="A93" s="804" t="s">
        <v>1556</v>
      </c>
      <c r="B93" s="805">
        <v>2020</v>
      </c>
      <c r="C93" s="805">
        <v>2021</v>
      </c>
      <c r="D93" s="805">
        <v>2022</v>
      </c>
      <c r="E93" s="805">
        <v>2023</v>
      </c>
      <c r="F93" s="805">
        <v>2024</v>
      </c>
      <c r="G93" s="805">
        <v>2025</v>
      </c>
      <c r="H93" s="805">
        <v>2026</v>
      </c>
      <c r="I93" s="805">
        <v>2027</v>
      </c>
      <c r="J93" s="805">
        <v>2028</v>
      </c>
      <c r="K93" s="805">
        <v>2029</v>
      </c>
      <c r="L93" s="805">
        <v>2030</v>
      </c>
      <c r="M93" s="805">
        <v>2031</v>
      </c>
      <c r="N93" s="805">
        <v>2032</v>
      </c>
      <c r="O93" s="805">
        <v>2033</v>
      </c>
      <c r="P93" s="805">
        <v>2034</v>
      </c>
      <c r="Q93" s="800"/>
      <c r="R93" s="800"/>
      <c r="S93" s="800"/>
      <c r="T93" s="800"/>
      <c r="U93" s="800"/>
      <c r="V93" s="800"/>
      <c r="W93" s="800"/>
      <c r="X93" s="800"/>
      <c r="Y93" s="800"/>
      <c r="Z93" s="800"/>
      <c r="AA93" s="800"/>
    </row>
    <row r="94" spans="1:27">
      <c r="A94" s="806" t="s">
        <v>254</v>
      </c>
      <c r="B94" s="808">
        <v>469</v>
      </c>
      <c r="C94" s="808">
        <v>675</v>
      </c>
      <c r="D94" s="808">
        <v>1433</v>
      </c>
      <c r="E94" s="808">
        <v>2359</v>
      </c>
      <c r="F94" s="808">
        <v>2797</v>
      </c>
      <c r="G94" s="809">
        <v>3403.9849899999999</v>
      </c>
      <c r="H94" s="809">
        <v>4132.4567200000001</v>
      </c>
      <c r="I94" s="809">
        <v>4867.6749200000004</v>
      </c>
      <c r="J94" s="809">
        <v>6307</v>
      </c>
      <c r="K94" s="809">
        <v>7437</v>
      </c>
      <c r="L94" s="809">
        <v>8645</v>
      </c>
      <c r="M94" s="809">
        <v>9901</v>
      </c>
      <c r="N94" s="809">
        <v>11201</v>
      </c>
      <c r="O94" s="809">
        <v>12510</v>
      </c>
      <c r="P94" s="809">
        <v>13881</v>
      </c>
      <c r="Q94" s="800"/>
      <c r="R94" s="800"/>
      <c r="S94" s="800"/>
      <c r="T94" s="800"/>
      <c r="U94" s="800"/>
      <c r="V94" s="800"/>
      <c r="W94" s="800"/>
      <c r="X94" s="800"/>
      <c r="Y94" s="800"/>
      <c r="Z94" s="800"/>
      <c r="AA94" s="800"/>
    </row>
    <row r="95" spans="1:27">
      <c r="A95" s="75" t="s">
        <v>1512</v>
      </c>
      <c r="B95" s="807" t="s">
        <v>1114</v>
      </c>
      <c r="C95" s="809">
        <v>724.68088999999998</v>
      </c>
      <c r="D95" s="809">
        <v>1326.56441</v>
      </c>
      <c r="E95" s="809">
        <v>2347.6608799999999</v>
      </c>
      <c r="F95" s="809">
        <v>2806.2577200000001</v>
      </c>
      <c r="G95" s="807" t="s">
        <v>1114</v>
      </c>
      <c r="H95" s="807" t="s">
        <v>1114</v>
      </c>
      <c r="I95" s="807" t="s">
        <v>1114</v>
      </c>
      <c r="J95" s="807" t="s">
        <v>1114</v>
      </c>
      <c r="K95" s="807" t="s">
        <v>1114</v>
      </c>
      <c r="L95" s="807" t="s">
        <v>1114</v>
      </c>
      <c r="M95" s="807" t="s">
        <v>1114</v>
      </c>
      <c r="N95" s="807" t="s">
        <v>1114</v>
      </c>
      <c r="O95" s="807" t="s">
        <v>1114</v>
      </c>
      <c r="P95" s="807" t="s">
        <v>1114</v>
      </c>
      <c r="Q95" s="800"/>
      <c r="R95" s="800"/>
      <c r="S95" s="800"/>
      <c r="T95" s="800"/>
      <c r="U95" s="800"/>
      <c r="V95" s="800"/>
      <c r="W95" s="800"/>
      <c r="X95" s="800"/>
      <c r="Y95" s="800"/>
      <c r="Z95" s="800"/>
      <c r="AA95" s="800"/>
    </row>
    <row r="96" spans="1:27">
      <c r="A96" s="75" t="s">
        <v>1513</v>
      </c>
      <c r="B96" s="807" t="s">
        <v>1114</v>
      </c>
      <c r="C96" s="809">
        <v>708</v>
      </c>
      <c r="D96" s="809">
        <v>1333.9570000000001</v>
      </c>
      <c r="E96" s="809">
        <v>2342</v>
      </c>
      <c r="F96" s="809">
        <v>2790.74478</v>
      </c>
      <c r="G96" s="809">
        <v>3401.5</v>
      </c>
      <c r="H96" s="809">
        <v>4139.72829</v>
      </c>
      <c r="I96" s="809">
        <v>4844.8824800000002</v>
      </c>
      <c r="J96" s="809">
        <v>6307</v>
      </c>
      <c r="K96" s="809">
        <v>7437</v>
      </c>
      <c r="L96" s="809">
        <v>8645</v>
      </c>
      <c r="M96" s="809">
        <v>9901</v>
      </c>
      <c r="N96" s="809">
        <v>11201</v>
      </c>
      <c r="O96" s="809">
        <v>12510</v>
      </c>
      <c r="P96" s="809">
        <v>13881</v>
      </c>
      <c r="Q96" s="800"/>
      <c r="R96" s="800"/>
      <c r="S96" s="800"/>
      <c r="T96" s="800"/>
      <c r="U96" s="800"/>
      <c r="V96" s="800"/>
      <c r="W96" s="800"/>
      <c r="X96" s="800"/>
      <c r="Y96" s="800"/>
      <c r="Z96" s="800"/>
      <c r="AA96" s="800"/>
    </row>
    <row r="97" spans="1:27">
      <c r="A97" s="75" t="s">
        <v>1514</v>
      </c>
      <c r="B97" s="807" t="s">
        <v>1114</v>
      </c>
      <c r="C97" s="809">
        <v>798</v>
      </c>
      <c r="D97" s="809">
        <v>1366.6259399999999</v>
      </c>
      <c r="E97" s="809">
        <v>2469</v>
      </c>
      <c r="F97" s="809">
        <v>3036.9237699999999</v>
      </c>
      <c r="G97" s="809">
        <v>3452.7620000000002</v>
      </c>
      <c r="H97" s="809">
        <v>4324</v>
      </c>
      <c r="I97" s="809">
        <v>5260</v>
      </c>
      <c r="J97" s="809">
        <v>6307</v>
      </c>
      <c r="K97" s="809">
        <v>7437</v>
      </c>
      <c r="L97" s="809">
        <v>8645</v>
      </c>
      <c r="M97" s="809">
        <v>9901</v>
      </c>
      <c r="N97" s="809">
        <v>11201</v>
      </c>
      <c r="O97" s="809">
        <v>12510</v>
      </c>
      <c r="P97" s="809">
        <v>13881</v>
      </c>
      <c r="Q97" s="800"/>
      <c r="R97" s="800"/>
      <c r="S97" s="800"/>
      <c r="T97" s="800"/>
      <c r="U97" s="800"/>
      <c r="V97" s="800"/>
      <c r="W97" s="800"/>
      <c r="X97" s="800"/>
      <c r="Y97" s="800"/>
      <c r="Z97" s="800"/>
      <c r="AA97" s="800"/>
    </row>
    <row r="98" spans="1:27">
      <c r="A98" s="75" t="s">
        <v>1515</v>
      </c>
      <c r="B98" s="807" t="s">
        <v>1114</v>
      </c>
      <c r="C98" s="809">
        <v>656</v>
      </c>
      <c r="D98" s="809">
        <v>1221.70892</v>
      </c>
      <c r="E98" s="809">
        <v>2251</v>
      </c>
      <c r="F98" s="809">
        <v>2761</v>
      </c>
      <c r="G98" s="809">
        <v>3377.8688400000001</v>
      </c>
      <c r="H98" s="809">
        <v>3992</v>
      </c>
      <c r="I98" s="809">
        <v>4641</v>
      </c>
      <c r="J98" s="809">
        <v>6307</v>
      </c>
      <c r="K98" s="809">
        <v>7437</v>
      </c>
      <c r="L98" s="809">
        <v>8645</v>
      </c>
      <c r="M98" s="809">
        <v>9901</v>
      </c>
      <c r="N98" s="809">
        <v>11201</v>
      </c>
      <c r="O98" s="809">
        <v>12510</v>
      </c>
      <c r="P98" s="809">
        <v>13881</v>
      </c>
      <c r="Q98" s="800"/>
      <c r="R98" s="800"/>
      <c r="S98" s="800"/>
      <c r="T98" s="800"/>
      <c r="U98" s="800"/>
      <c r="V98" s="800"/>
      <c r="W98" s="800"/>
      <c r="X98" s="800"/>
      <c r="Y98" s="800"/>
      <c r="Z98" s="800"/>
      <c r="AA98" s="800"/>
    </row>
    <row r="99" spans="1:27">
      <c r="A99" s="75" t="s">
        <v>1516</v>
      </c>
      <c r="B99" s="807" t="s">
        <v>1114</v>
      </c>
      <c r="C99" s="802">
        <v>40.689349999999997</v>
      </c>
      <c r="D99" s="802">
        <v>32.561149999999998</v>
      </c>
      <c r="E99" s="802">
        <v>45.246189999999999</v>
      </c>
      <c r="F99" s="802">
        <v>54.157240000000002</v>
      </c>
      <c r="G99" s="802">
        <v>18.456980000000001</v>
      </c>
      <c r="H99" s="802">
        <v>76.428430000000006</v>
      </c>
      <c r="I99" s="802">
        <v>152.23455000000001</v>
      </c>
      <c r="J99" s="802">
        <v>0</v>
      </c>
      <c r="K99" s="802">
        <v>0</v>
      </c>
      <c r="L99" s="802">
        <v>0</v>
      </c>
      <c r="M99" s="802">
        <v>0</v>
      </c>
      <c r="N99" s="802">
        <v>0</v>
      </c>
      <c r="O99" s="802">
        <v>0</v>
      </c>
      <c r="P99" s="802">
        <v>0</v>
      </c>
      <c r="Q99" s="800"/>
      <c r="R99" s="800"/>
      <c r="S99" s="800"/>
      <c r="T99" s="800"/>
      <c r="U99" s="800"/>
      <c r="V99" s="800"/>
      <c r="W99" s="800"/>
      <c r="X99" s="800"/>
      <c r="Y99" s="800"/>
      <c r="Z99" s="800"/>
      <c r="AA99" s="800"/>
    </row>
    <row r="100" spans="1:27">
      <c r="A100" s="75" t="s">
        <v>1517</v>
      </c>
      <c r="B100" s="807" t="s">
        <v>1114</v>
      </c>
      <c r="C100" s="807" t="s">
        <v>1557</v>
      </c>
      <c r="D100" s="807" t="s">
        <v>1558</v>
      </c>
      <c r="E100" s="807" t="s">
        <v>1559</v>
      </c>
      <c r="F100" s="807" t="s">
        <v>1560</v>
      </c>
      <c r="G100" s="807" t="s">
        <v>1560</v>
      </c>
      <c r="H100" s="807" t="s">
        <v>1561</v>
      </c>
      <c r="I100" s="807" t="s">
        <v>1562</v>
      </c>
      <c r="J100" s="807" t="s">
        <v>1525</v>
      </c>
      <c r="K100" s="807" t="s">
        <v>1525</v>
      </c>
      <c r="L100" s="807" t="s">
        <v>1525</v>
      </c>
      <c r="M100" s="807" t="s">
        <v>1525</v>
      </c>
      <c r="N100" s="807" t="s">
        <v>1525</v>
      </c>
      <c r="O100" s="807" t="s">
        <v>1525</v>
      </c>
      <c r="P100" s="807" t="s">
        <v>1525</v>
      </c>
      <c r="Q100" s="800"/>
      <c r="R100" s="800"/>
      <c r="S100" s="800"/>
      <c r="T100" s="800"/>
      <c r="U100" s="800"/>
      <c r="V100" s="800"/>
      <c r="W100" s="800"/>
      <c r="X100" s="800"/>
      <c r="Y100" s="800"/>
      <c r="Z100" s="800"/>
      <c r="AA100" s="800"/>
    </row>
    <row r="101" spans="1:27">
      <c r="A101" s="75" t="s">
        <v>1563</v>
      </c>
      <c r="B101" s="807" t="s">
        <v>1114</v>
      </c>
      <c r="C101" s="807" t="s">
        <v>1114</v>
      </c>
      <c r="D101" s="810">
        <v>1320</v>
      </c>
      <c r="E101" s="810">
        <v>2310</v>
      </c>
      <c r="F101" s="810">
        <v>2760</v>
      </c>
      <c r="G101" s="810">
        <v>3380</v>
      </c>
      <c r="H101" s="807" t="s">
        <v>1114</v>
      </c>
      <c r="I101" s="807" t="s">
        <v>1114</v>
      </c>
      <c r="J101" s="807" t="s">
        <v>1114</v>
      </c>
      <c r="K101" s="807" t="s">
        <v>1114</v>
      </c>
      <c r="L101" s="807" t="s">
        <v>1114</v>
      </c>
      <c r="M101" s="807" t="s">
        <v>1114</v>
      </c>
      <c r="N101" s="807" t="s">
        <v>1114</v>
      </c>
      <c r="O101" s="807" t="s">
        <v>1114</v>
      </c>
      <c r="P101" s="807" t="s">
        <v>1114</v>
      </c>
      <c r="Q101" s="800"/>
      <c r="R101" s="800"/>
      <c r="S101" s="800"/>
      <c r="T101" s="800"/>
      <c r="U101" s="800"/>
      <c r="V101" s="800"/>
      <c r="W101" s="800"/>
      <c r="X101" s="800"/>
      <c r="Y101" s="800"/>
      <c r="Z101" s="800"/>
      <c r="AA101" s="800"/>
    </row>
    <row r="102" spans="1:27">
      <c r="A102" s="75" t="s">
        <v>1564</v>
      </c>
      <c r="B102" s="807" t="s">
        <v>1114</v>
      </c>
      <c r="C102" s="807" t="s">
        <v>1114</v>
      </c>
      <c r="D102" s="811">
        <v>1350</v>
      </c>
      <c r="E102" s="811">
        <v>2330</v>
      </c>
      <c r="F102" s="811">
        <v>2780</v>
      </c>
      <c r="G102" s="811">
        <v>3400</v>
      </c>
      <c r="H102" s="807" t="s">
        <v>1114</v>
      </c>
      <c r="I102" s="807" t="s">
        <v>1114</v>
      </c>
      <c r="J102" s="807" t="s">
        <v>1114</v>
      </c>
      <c r="K102" s="807" t="s">
        <v>1114</v>
      </c>
      <c r="L102" s="807" t="s">
        <v>1114</v>
      </c>
      <c r="M102" s="807" t="s">
        <v>1114</v>
      </c>
      <c r="N102" s="807" t="s">
        <v>1114</v>
      </c>
      <c r="O102" s="807" t="s">
        <v>1114</v>
      </c>
      <c r="P102" s="807" t="s">
        <v>1114</v>
      </c>
      <c r="Q102" s="800"/>
      <c r="R102" s="800"/>
      <c r="S102" s="800"/>
      <c r="T102" s="800"/>
      <c r="U102" s="800"/>
      <c r="V102" s="800"/>
      <c r="W102" s="800"/>
      <c r="X102" s="800"/>
      <c r="Y102" s="800"/>
      <c r="Z102" s="800"/>
      <c r="AA102" s="800"/>
    </row>
    <row r="103" spans="1:27">
      <c r="A103" s="75" t="s">
        <v>1526</v>
      </c>
      <c r="B103" s="807" t="s">
        <v>1527</v>
      </c>
      <c r="C103" s="807" t="s">
        <v>1527</v>
      </c>
      <c r="D103" s="807" t="s">
        <v>1527</v>
      </c>
      <c r="E103" s="807" t="s">
        <v>1527</v>
      </c>
      <c r="F103" s="807" t="s">
        <v>1527</v>
      </c>
      <c r="G103" s="807" t="s">
        <v>1527</v>
      </c>
      <c r="H103" s="807" t="s">
        <v>1527</v>
      </c>
      <c r="I103" s="807" t="s">
        <v>1527</v>
      </c>
      <c r="J103" s="807" t="s">
        <v>1527</v>
      </c>
      <c r="K103" s="807" t="s">
        <v>1527</v>
      </c>
      <c r="L103" s="807" t="s">
        <v>1527</v>
      </c>
      <c r="M103" s="807" t="s">
        <v>1527</v>
      </c>
      <c r="N103" s="807" t="s">
        <v>1527</v>
      </c>
      <c r="O103" s="807" t="s">
        <v>1527</v>
      </c>
      <c r="P103" s="807" t="s">
        <v>1527</v>
      </c>
      <c r="Q103" s="800"/>
      <c r="R103" s="800"/>
      <c r="S103" s="800"/>
      <c r="T103" s="800"/>
      <c r="U103" s="800"/>
      <c r="V103" s="800"/>
      <c r="W103" s="800"/>
      <c r="X103" s="800"/>
      <c r="Y103" s="800"/>
      <c r="Z103" s="800"/>
      <c r="AA103" s="800"/>
    </row>
    <row r="104" spans="1:27">
      <c r="A104" s="806" t="s">
        <v>81</v>
      </c>
      <c r="B104" s="807" t="s">
        <v>1114</v>
      </c>
      <c r="C104" s="808">
        <v>-842</v>
      </c>
      <c r="D104" s="808">
        <v>-793</v>
      </c>
      <c r="E104" s="808">
        <v>-22</v>
      </c>
      <c r="F104" s="808">
        <v>313</v>
      </c>
      <c r="G104" s="809">
        <v>499.80676999999997</v>
      </c>
      <c r="H104" s="809">
        <v>733.46780999999999</v>
      </c>
      <c r="I104" s="809">
        <v>1021.12548</v>
      </c>
      <c r="J104" s="807" t="s">
        <v>1114</v>
      </c>
      <c r="K104" s="807" t="s">
        <v>1114</v>
      </c>
      <c r="L104" s="807" t="s">
        <v>1114</v>
      </c>
      <c r="M104" s="807" t="s">
        <v>1114</v>
      </c>
      <c r="N104" s="807" t="s">
        <v>1114</v>
      </c>
      <c r="O104" s="807" t="s">
        <v>1114</v>
      </c>
      <c r="P104" s="807" t="s">
        <v>1114</v>
      </c>
      <c r="Q104" s="800"/>
      <c r="R104" s="800"/>
      <c r="S104" s="800"/>
      <c r="T104" s="800"/>
      <c r="U104" s="800"/>
      <c r="V104" s="800"/>
      <c r="W104" s="800"/>
      <c r="X104" s="800"/>
      <c r="Y104" s="800"/>
      <c r="Z104" s="800"/>
      <c r="AA104" s="800"/>
    </row>
    <row r="105" spans="1:27">
      <c r="A105" s="75" t="s">
        <v>1512</v>
      </c>
      <c r="B105" s="807" t="s">
        <v>1114</v>
      </c>
      <c r="C105" s="809">
        <v>-814.24186999999995</v>
      </c>
      <c r="D105" s="809">
        <v>-902.04804999999999</v>
      </c>
      <c r="E105" s="809">
        <v>-21.438590000000001</v>
      </c>
      <c r="F105" s="809">
        <v>314.09917000000002</v>
      </c>
      <c r="G105" s="807" t="s">
        <v>1114</v>
      </c>
      <c r="H105" s="807" t="s">
        <v>1114</v>
      </c>
      <c r="I105" s="807" t="s">
        <v>1114</v>
      </c>
      <c r="J105" s="807" t="s">
        <v>1114</v>
      </c>
      <c r="K105" s="807" t="s">
        <v>1114</v>
      </c>
      <c r="L105" s="807" t="s">
        <v>1114</v>
      </c>
      <c r="M105" s="807" t="s">
        <v>1114</v>
      </c>
      <c r="N105" s="807" t="s">
        <v>1114</v>
      </c>
      <c r="O105" s="807" t="s">
        <v>1114</v>
      </c>
      <c r="P105" s="807" t="s">
        <v>1114</v>
      </c>
      <c r="Q105" s="800"/>
      <c r="R105" s="800"/>
      <c r="S105" s="800"/>
      <c r="T105" s="800"/>
      <c r="U105" s="800"/>
      <c r="V105" s="800"/>
      <c r="W105" s="800"/>
      <c r="X105" s="800"/>
      <c r="Y105" s="800"/>
      <c r="Z105" s="800"/>
      <c r="AA105" s="800"/>
    </row>
    <row r="106" spans="1:27">
      <c r="A106" s="75" t="s">
        <v>1513</v>
      </c>
      <c r="B106" s="807" t="s">
        <v>1114</v>
      </c>
      <c r="C106" s="809">
        <v>-770.505</v>
      </c>
      <c r="D106" s="809">
        <v>-832</v>
      </c>
      <c r="E106" s="809">
        <v>-21</v>
      </c>
      <c r="F106" s="809">
        <v>313.5</v>
      </c>
      <c r="G106" s="809">
        <v>499</v>
      </c>
      <c r="H106" s="809">
        <v>736.20291999999995</v>
      </c>
      <c r="I106" s="809">
        <v>1019.30741</v>
      </c>
      <c r="J106" s="807" t="s">
        <v>1114</v>
      </c>
      <c r="K106" s="807" t="s">
        <v>1114</v>
      </c>
      <c r="L106" s="807" t="s">
        <v>1114</v>
      </c>
      <c r="M106" s="807" t="s">
        <v>1114</v>
      </c>
      <c r="N106" s="807" t="s">
        <v>1114</v>
      </c>
      <c r="O106" s="807" t="s">
        <v>1114</v>
      </c>
      <c r="P106" s="807" t="s">
        <v>1114</v>
      </c>
      <c r="Q106" s="800"/>
      <c r="R106" s="800"/>
      <c r="S106" s="800"/>
      <c r="T106" s="800"/>
      <c r="U106" s="800"/>
      <c r="V106" s="800"/>
      <c r="W106" s="800"/>
      <c r="X106" s="800"/>
      <c r="Y106" s="800"/>
      <c r="Z106" s="800"/>
      <c r="AA106" s="800"/>
    </row>
    <row r="107" spans="1:27">
      <c r="A107" s="75" t="s">
        <v>1514</v>
      </c>
      <c r="B107" s="807" t="s">
        <v>1114</v>
      </c>
      <c r="C107" s="809">
        <v>-727</v>
      </c>
      <c r="D107" s="809">
        <v>-804.14148</v>
      </c>
      <c r="E107" s="809">
        <v>-13.04618</v>
      </c>
      <c r="F107" s="809">
        <v>321</v>
      </c>
      <c r="G107" s="809">
        <v>506.67</v>
      </c>
      <c r="H107" s="809">
        <v>821</v>
      </c>
      <c r="I107" s="809">
        <v>1272.1171899999999</v>
      </c>
      <c r="J107" s="807" t="s">
        <v>1114</v>
      </c>
      <c r="K107" s="807" t="s">
        <v>1114</v>
      </c>
      <c r="L107" s="807" t="s">
        <v>1114</v>
      </c>
      <c r="M107" s="807" t="s">
        <v>1114</v>
      </c>
      <c r="N107" s="807" t="s">
        <v>1114</v>
      </c>
      <c r="O107" s="807" t="s">
        <v>1114</v>
      </c>
      <c r="P107" s="807" t="s">
        <v>1114</v>
      </c>
      <c r="Q107" s="800"/>
      <c r="R107" s="800"/>
      <c r="S107" s="800"/>
      <c r="T107" s="800"/>
      <c r="U107" s="800"/>
      <c r="V107" s="800"/>
      <c r="W107" s="800"/>
      <c r="X107" s="800"/>
      <c r="Y107" s="800"/>
      <c r="Z107" s="800"/>
      <c r="AA107" s="800"/>
    </row>
    <row r="108" spans="1:27">
      <c r="A108" s="75" t="s">
        <v>1515</v>
      </c>
      <c r="B108" s="807" t="s">
        <v>1114</v>
      </c>
      <c r="C108" s="809">
        <v>-1031</v>
      </c>
      <c r="D108" s="809">
        <v>-1218</v>
      </c>
      <c r="E108" s="809">
        <v>-29</v>
      </c>
      <c r="F108" s="809">
        <v>305.60399999999998</v>
      </c>
      <c r="G108" s="809">
        <v>493</v>
      </c>
      <c r="H108" s="809">
        <v>656</v>
      </c>
      <c r="I108" s="809">
        <v>909</v>
      </c>
      <c r="J108" s="807" t="s">
        <v>1114</v>
      </c>
      <c r="K108" s="807" t="s">
        <v>1114</v>
      </c>
      <c r="L108" s="807" t="s">
        <v>1114</v>
      </c>
      <c r="M108" s="807" t="s">
        <v>1114</v>
      </c>
      <c r="N108" s="807" t="s">
        <v>1114</v>
      </c>
      <c r="O108" s="807" t="s">
        <v>1114</v>
      </c>
      <c r="P108" s="807" t="s">
        <v>1114</v>
      </c>
      <c r="Q108" s="800"/>
      <c r="R108" s="800"/>
      <c r="S108" s="800"/>
      <c r="T108" s="800"/>
      <c r="U108" s="800"/>
      <c r="V108" s="800"/>
      <c r="W108" s="800"/>
      <c r="X108" s="800"/>
      <c r="Y108" s="800"/>
      <c r="Z108" s="800"/>
      <c r="AA108" s="800"/>
    </row>
    <row r="109" spans="1:27">
      <c r="A109" s="75" t="s">
        <v>1516</v>
      </c>
      <c r="B109" s="807" t="s">
        <v>1114</v>
      </c>
      <c r="C109" s="802">
        <v>94.980329999999995</v>
      </c>
      <c r="D109" s="802">
        <v>141.30037999999999</v>
      </c>
      <c r="E109" s="802">
        <v>3.3872599999999999</v>
      </c>
      <c r="F109" s="802">
        <v>4.6178499999999998</v>
      </c>
      <c r="G109" s="802">
        <v>3.8259300000000001</v>
      </c>
      <c r="H109" s="802">
        <v>43.683660000000003</v>
      </c>
      <c r="I109" s="802">
        <v>95.659899999999993</v>
      </c>
      <c r="J109" s="807" t="s">
        <v>1114</v>
      </c>
      <c r="K109" s="807" t="s">
        <v>1114</v>
      </c>
      <c r="L109" s="807" t="s">
        <v>1114</v>
      </c>
      <c r="M109" s="807" t="s">
        <v>1114</v>
      </c>
      <c r="N109" s="807" t="s">
        <v>1114</v>
      </c>
      <c r="O109" s="807" t="s">
        <v>1114</v>
      </c>
      <c r="P109" s="807" t="s">
        <v>1114</v>
      </c>
      <c r="Q109" s="800"/>
      <c r="R109" s="800"/>
      <c r="S109" s="800"/>
      <c r="T109" s="800"/>
      <c r="U109" s="800"/>
      <c r="V109" s="800"/>
      <c r="W109" s="800"/>
      <c r="X109" s="800"/>
      <c r="Y109" s="800"/>
      <c r="Z109" s="800"/>
      <c r="AA109" s="800"/>
    </row>
    <row r="110" spans="1:27">
      <c r="A110" s="75" t="s">
        <v>1517</v>
      </c>
      <c r="B110" s="807" t="s">
        <v>1114</v>
      </c>
      <c r="C110" s="807" t="s">
        <v>1546</v>
      </c>
      <c r="D110" s="807" t="s">
        <v>1523</v>
      </c>
      <c r="E110" s="807" t="s">
        <v>1565</v>
      </c>
      <c r="F110" s="807" t="s">
        <v>1566</v>
      </c>
      <c r="G110" s="807" t="s">
        <v>1567</v>
      </c>
      <c r="H110" s="807" t="s">
        <v>1567</v>
      </c>
      <c r="I110" s="807" t="s">
        <v>1568</v>
      </c>
      <c r="J110" s="807" t="s">
        <v>1114</v>
      </c>
      <c r="K110" s="807" t="s">
        <v>1114</v>
      </c>
      <c r="L110" s="807" t="s">
        <v>1114</v>
      </c>
      <c r="M110" s="807" t="s">
        <v>1114</v>
      </c>
      <c r="N110" s="807" t="s">
        <v>1114</v>
      </c>
      <c r="O110" s="807" t="s">
        <v>1114</v>
      </c>
      <c r="P110" s="807" t="s">
        <v>1114</v>
      </c>
      <c r="Q110" s="800"/>
      <c r="R110" s="800"/>
      <c r="S110" s="800"/>
      <c r="T110" s="800"/>
      <c r="U110" s="800"/>
      <c r="V110" s="800"/>
      <c r="W110" s="800"/>
      <c r="X110" s="800"/>
      <c r="Y110" s="800"/>
      <c r="Z110" s="800"/>
      <c r="AA110" s="800"/>
    </row>
    <row r="111" spans="1:27">
      <c r="A111" s="75" t="s">
        <v>1563</v>
      </c>
      <c r="B111" s="807" t="s">
        <v>1114</v>
      </c>
      <c r="C111" s="807" t="s">
        <v>1114</v>
      </c>
      <c r="D111" s="807" t="s">
        <v>1114</v>
      </c>
      <c r="E111" s="810">
        <v>-25</v>
      </c>
      <c r="F111" s="810">
        <v>308</v>
      </c>
      <c r="G111" s="810">
        <v>490</v>
      </c>
      <c r="H111" s="807" t="s">
        <v>1114</v>
      </c>
      <c r="I111" s="807" t="s">
        <v>1114</v>
      </c>
      <c r="J111" s="807" t="s">
        <v>1114</v>
      </c>
      <c r="K111" s="807" t="s">
        <v>1114</v>
      </c>
      <c r="L111" s="807" t="s">
        <v>1114</v>
      </c>
      <c r="M111" s="807" t="s">
        <v>1114</v>
      </c>
      <c r="N111" s="807" t="s">
        <v>1114</v>
      </c>
      <c r="O111" s="807" t="s">
        <v>1114</v>
      </c>
      <c r="P111" s="807" t="s">
        <v>1114</v>
      </c>
      <c r="Q111" s="800"/>
      <c r="R111" s="800"/>
      <c r="S111" s="800"/>
      <c r="T111" s="800"/>
      <c r="U111" s="800"/>
      <c r="V111" s="800"/>
      <c r="W111" s="800"/>
      <c r="X111" s="800"/>
      <c r="Y111" s="800"/>
      <c r="Z111" s="800"/>
      <c r="AA111" s="800"/>
    </row>
    <row r="112" spans="1:27">
      <c r="A112" s="75" t="s">
        <v>1564</v>
      </c>
      <c r="B112" s="807" t="s">
        <v>1114</v>
      </c>
      <c r="C112" s="807" t="s">
        <v>1114</v>
      </c>
      <c r="D112" s="807" t="s">
        <v>1114</v>
      </c>
      <c r="E112" s="811">
        <v>-20</v>
      </c>
      <c r="F112" s="811">
        <v>313</v>
      </c>
      <c r="G112" s="811">
        <v>500</v>
      </c>
      <c r="H112" s="807" t="s">
        <v>1114</v>
      </c>
      <c r="I112" s="807" t="s">
        <v>1114</v>
      </c>
      <c r="J112" s="807" t="s">
        <v>1114</v>
      </c>
      <c r="K112" s="807" t="s">
        <v>1114</v>
      </c>
      <c r="L112" s="807" t="s">
        <v>1114</v>
      </c>
      <c r="M112" s="807" t="s">
        <v>1114</v>
      </c>
      <c r="N112" s="807" t="s">
        <v>1114</v>
      </c>
      <c r="O112" s="807" t="s">
        <v>1114</v>
      </c>
      <c r="P112" s="807" t="s">
        <v>1114</v>
      </c>
      <c r="Q112" s="800"/>
      <c r="R112" s="800"/>
      <c r="S112" s="800"/>
      <c r="T112" s="800"/>
      <c r="U112" s="800"/>
      <c r="V112" s="800"/>
      <c r="W112" s="800"/>
      <c r="X112" s="800"/>
      <c r="Y112" s="800"/>
      <c r="Z112" s="800"/>
      <c r="AA112" s="800"/>
    </row>
    <row r="113" spans="1:27">
      <c r="A113" s="75" t="s">
        <v>1526</v>
      </c>
      <c r="B113" s="807" t="s">
        <v>1114</v>
      </c>
      <c r="C113" s="807" t="s">
        <v>1527</v>
      </c>
      <c r="D113" s="807" t="s">
        <v>1527</v>
      </c>
      <c r="E113" s="807" t="s">
        <v>1527</v>
      </c>
      <c r="F113" s="807" t="s">
        <v>1527</v>
      </c>
      <c r="G113" s="807" t="s">
        <v>1527</v>
      </c>
      <c r="H113" s="807" t="s">
        <v>1527</v>
      </c>
      <c r="I113" s="807" t="s">
        <v>1527</v>
      </c>
      <c r="J113" s="807" t="s">
        <v>1114</v>
      </c>
      <c r="K113" s="807" t="s">
        <v>1114</v>
      </c>
      <c r="L113" s="807" t="s">
        <v>1114</v>
      </c>
      <c r="M113" s="807" t="s">
        <v>1114</v>
      </c>
      <c r="N113" s="807" t="s">
        <v>1114</v>
      </c>
      <c r="O113" s="807" t="s">
        <v>1114</v>
      </c>
      <c r="P113" s="807" t="s">
        <v>1114</v>
      </c>
      <c r="Q113" s="800"/>
      <c r="R113" s="800"/>
      <c r="S113" s="800"/>
      <c r="T113" s="800"/>
      <c r="U113" s="800"/>
      <c r="V113" s="800"/>
      <c r="W113" s="800"/>
      <c r="X113" s="800"/>
      <c r="Y113" s="800"/>
      <c r="Z113" s="800"/>
      <c r="AA113" s="800"/>
    </row>
    <row r="114" spans="1:27">
      <c r="A114" s="806" t="s">
        <v>79</v>
      </c>
      <c r="B114" s="807" t="s">
        <v>1114</v>
      </c>
      <c r="C114" s="808">
        <v>-1555</v>
      </c>
      <c r="D114" s="808">
        <v>-1373</v>
      </c>
      <c r="E114" s="808">
        <v>-519</v>
      </c>
      <c r="F114" s="808">
        <v>-168</v>
      </c>
      <c r="G114" s="809">
        <v>57.789099999999998</v>
      </c>
      <c r="H114" s="809">
        <v>296.77377999999999</v>
      </c>
      <c r="I114" s="809">
        <v>520.42961000000003</v>
      </c>
      <c r="J114" s="807" t="s">
        <v>1114</v>
      </c>
      <c r="K114" s="807" t="s">
        <v>1114</v>
      </c>
      <c r="L114" s="809">
        <v>2016</v>
      </c>
      <c r="M114" s="809">
        <v>2631</v>
      </c>
      <c r="N114" s="809">
        <v>3323</v>
      </c>
      <c r="O114" s="809">
        <v>4078</v>
      </c>
      <c r="P114" s="809">
        <v>4705</v>
      </c>
      <c r="Q114" s="800"/>
      <c r="R114" s="800"/>
      <c r="S114" s="800"/>
      <c r="T114" s="800"/>
      <c r="U114" s="800"/>
      <c r="V114" s="800"/>
      <c r="W114" s="800"/>
      <c r="X114" s="800"/>
      <c r="Y114" s="800"/>
      <c r="Z114" s="800"/>
      <c r="AA114" s="800"/>
    </row>
    <row r="115" spans="1:27">
      <c r="A115" s="75" t="s">
        <v>1512</v>
      </c>
      <c r="B115" s="807" t="s">
        <v>1114</v>
      </c>
      <c r="C115" s="809">
        <v>-1223.48161</v>
      </c>
      <c r="D115" s="809">
        <v>-1278.3434</v>
      </c>
      <c r="E115" s="809">
        <v>-506.14366000000001</v>
      </c>
      <c r="F115" s="809">
        <v>-169.90475000000001</v>
      </c>
      <c r="G115" s="807" t="s">
        <v>1114</v>
      </c>
      <c r="H115" s="807" t="s">
        <v>1114</v>
      </c>
      <c r="I115" s="807" t="s">
        <v>1114</v>
      </c>
      <c r="J115" s="807" t="s">
        <v>1114</v>
      </c>
      <c r="K115" s="807" t="s">
        <v>1114</v>
      </c>
      <c r="L115" s="807" t="s">
        <v>1114</v>
      </c>
      <c r="M115" s="807" t="s">
        <v>1114</v>
      </c>
      <c r="N115" s="807" t="s">
        <v>1114</v>
      </c>
      <c r="O115" s="807" t="s">
        <v>1114</v>
      </c>
      <c r="P115" s="807" t="s">
        <v>1114</v>
      </c>
      <c r="Q115" s="800"/>
      <c r="R115" s="800"/>
      <c r="S115" s="800"/>
      <c r="T115" s="800"/>
      <c r="U115" s="800"/>
      <c r="V115" s="800"/>
      <c r="W115" s="800"/>
      <c r="X115" s="800"/>
      <c r="Y115" s="800"/>
      <c r="Z115" s="800"/>
      <c r="AA115" s="800"/>
    </row>
    <row r="116" spans="1:27">
      <c r="A116" s="75" t="s">
        <v>1513</v>
      </c>
      <c r="B116" s="807" t="s">
        <v>1114</v>
      </c>
      <c r="C116" s="809">
        <v>-1132.9865199999999</v>
      </c>
      <c r="D116" s="809">
        <v>-1358.415</v>
      </c>
      <c r="E116" s="809">
        <v>-523</v>
      </c>
      <c r="F116" s="809">
        <v>-168.93562</v>
      </c>
      <c r="G116" s="809">
        <v>55.286079999999998</v>
      </c>
      <c r="H116" s="809">
        <v>295.3175</v>
      </c>
      <c r="I116" s="809">
        <v>520</v>
      </c>
      <c r="J116" s="807" t="s">
        <v>1114</v>
      </c>
      <c r="K116" s="807" t="s">
        <v>1114</v>
      </c>
      <c r="L116" s="809">
        <v>2016</v>
      </c>
      <c r="M116" s="809">
        <v>2631</v>
      </c>
      <c r="N116" s="809">
        <v>3323</v>
      </c>
      <c r="O116" s="809">
        <v>4078</v>
      </c>
      <c r="P116" s="809">
        <v>4705</v>
      </c>
      <c r="Q116" s="800"/>
      <c r="R116" s="800"/>
      <c r="S116" s="800"/>
      <c r="T116" s="800"/>
      <c r="U116" s="800"/>
      <c r="V116" s="800"/>
      <c r="W116" s="800"/>
      <c r="X116" s="800"/>
      <c r="Y116" s="800"/>
      <c r="Z116" s="800"/>
      <c r="AA116" s="800"/>
    </row>
    <row r="117" spans="1:27">
      <c r="A117" s="75" t="s">
        <v>1514</v>
      </c>
      <c r="B117" s="807" t="s">
        <v>1114</v>
      </c>
      <c r="C117" s="809">
        <v>-894</v>
      </c>
      <c r="D117" s="809">
        <v>-954.80147999999997</v>
      </c>
      <c r="E117" s="809">
        <v>-349.9</v>
      </c>
      <c r="F117" s="809">
        <v>-131</v>
      </c>
      <c r="G117" s="809">
        <v>103</v>
      </c>
      <c r="H117" s="809">
        <v>398</v>
      </c>
      <c r="I117" s="809">
        <v>686.42375000000004</v>
      </c>
      <c r="J117" s="807" t="s">
        <v>1114</v>
      </c>
      <c r="K117" s="807" t="s">
        <v>1114</v>
      </c>
      <c r="L117" s="809">
        <v>2016</v>
      </c>
      <c r="M117" s="809">
        <v>2631</v>
      </c>
      <c r="N117" s="809">
        <v>3323</v>
      </c>
      <c r="O117" s="809">
        <v>4078</v>
      </c>
      <c r="P117" s="809">
        <v>4705</v>
      </c>
      <c r="Q117" s="800"/>
      <c r="R117" s="800"/>
      <c r="S117" s="800"/>
      <c r="T117" s="800"/>
      <c r="U117" s="800"/>
      <c r="V117" s="800"/>
      <c r="W117" s="800"/>
      <c r="X117" s="800"/>
      <c r="Y117" s="800"/>
      <c r="Z117" s="800"/>
      <c r="AA117" s="800"/>
    </row>
    <row r="118" spans="1:27">
      <c r="A118" s="75" t="s">
        <v>1515</v>
      </c>
      <c r="B118" s="807" t="s">
        <v>1114</v>
      </c>
      <c r="C118" s="809">
        <v>-1563</v>
      </c>
      <c r="D118" s="809">
        <v>-1513.2</v>
      </c>
      <c r="E118" s="809">
        <v>-662</v>
      </c>
      <c r="F118" s="809">
        <v>-221</v>
      </c>
      <c r="G118" s="809">
        <v>24</v>
      </c>
      <c r="H118" s="809">
        <v>219</v>
      </c>
      <c r="I118" s="809">
        <v>364.58353</v>
      </c>
      <c r="J118" s="807" t="s">
        <v>1114</v>
      </c>
      <c r="K118" s="807" t="s">
        <v>1114</v>
      </c>
      <c r="L118" s="809">
        <v>2016</v>
      </c>
      <c r="M118" s="809">
        <v>2631</v>
      </c>
      <c r="N118" s="809">
        <v>3323</v>
      </c>
      <c r="O118" s="809">
        <v>4078</v>
      </c>
      <c r="P118" s="809">
        <v>4705</v>
      </c>
      <c r="Q118" s="800"/>
      <c r="R118" s="800"/>
      <c r="S118" s="800"/>
      <c r="T118" s="800"/>
      <c r="U118" s="800"/>
      <c r="V118" s="800"/>
      <c r="W118" s="800"/>
      <c r="X118" s="800"/>
      <c r="Y118" s="800"/>
      <c r="Z118" s="800"/>
      <c r="AA118" s="800"/>
    </row>
    <row r="119" spans="1:27">
      <c r="A119" s="75" t="s">
        <v>1516</v>
      </c>
      <c r="B119" s="807" t="s">
        <v>1114</v>
      </c>
      <c r="C119" s="802">
        <v>199.46420000000001</v>
      </c>
      <c r="D119" s="802">
        <v>193.59881999999999</v>
      </c>
      <c r="E119" s="802">
        <v>79.070899999999995</v>
      </c>
      <c r="F119" s="802">
        <v>21.509979999999999</v>
      </c>
      <c r="G119" s="802">
        <v>23.692489999999999</v>
      </c>
      <c r="H119" s="802">
        <v>61.587310000000002</v>
      </c>
      <c r="I119" s="802">
        <v>102.86736000000001</v>
      </c>
      <c r="J119" s="807" t="s">
        <v>1114</v>
      </c>
      <c r="K119" s="807" t="s">
        <v>1114</v>
      </c>
      <c r="L119" s="802">
        <v>0</v>
      </c>
      <c r="M119" s="802">
        <v>0</v>
      </c>
      <c r="N119" s="802">
        <v>0</v>
      </c>
      <c r="O119" s="802">
        <v>0</v>
      </c>
      <c r="P119" s="802">
        <v>0</v>
      </c>
      <c r="Q119" s="800"/>
      <c r="R119" s="800"/>
      <c r="S119" s="800"/>
      <c r="T119" s="800"/>
      <c r="U119" s="800"/>
      <c r="V119" s="800"/>
      <c r="W119" s="800"/>
      <c r="X119" s="800"/>
      <c r="Y119" s="800"/>
      <c r="Z119" s="800"/>
      <c r="AA119" s="800"/>
    </row>
    <row r="120" spans="1:27">
      <c r="A120" s="75" t="s">
        <v>1517</v>
      </c>
      <c r="B120" s="807" t="s">
        <v>1114</v>
      </c>
      <c r="C120" s="807" t="s">
        <v>1547</v>
      </c>
      <c r="D120" s="807" t="s">
        <v>1569</v>
      </c>
      <c r="E120" s="807" t="s">
        <v>1565</v>
      </c>
      <c r="F120" s="807" t="s">
        <v>1570</v>
      </c>
      <c r="G120" s="807" t="s">
        <v>1571</v>
      </c>
      <c r="H120" s="807" t="s">
        <v>1572</v>
      </c>
      <c r="I120" s="807" t="s">
        <v>1573</v>
      </c>
      <c r="J120" s="807" t="s">
        <v>1114</v>
      </c>
      <c r="K120" s="807" t="s">
        <v>1114</v>
      </c>
      <c r="L120" s="807" t="s">
        <v>1525</v>
      </c>
      <c r="M120" s="807" t="s">
        <v>1525</v>
      </c>
      <c r="N120" s="807" t="s">
        <v>1525</v>
      </c>
      <c r="O120" s="807" t="s">
        <v>1525</v>
      </c>
      <c r="P120" s="807" t="s">
        <v>1525</v>
      </c>
      <c r="Q120" s="800"/>
      <c r="R120" s="800"/>
      <c r="S120" s="800"/>
      <c r="T120" s="800"/>
      <c r="U120" s="800"/>
      <c r="V120" s="800"/>
      <c r="W120" s="800"/>
      <c r="X120" s="800"/>
      <c r="Y120" s="800"/>
      <c r="Z120" s="800"/>
      <c r="AA120" s="800"/>
    </row>
    <row r="121" spans="1:27">
      <c r="A121" s="75" t="s">
        <v>1526</v>
      </c>
      <c r="B121" s="807" t="s">
        <v>1114</v>
      </c>
      <c r="C121" s="807" t="s">
        <v>1527</v>
      </c>
      <c r="D121" s="807" t="s">
        <v>1527</v>
      </c>
      <c r="E121" s="807" t="s">
        <v>1527</v>
      </c>
      <c r="F121" s="807" t="s">
        <v>1527</v>
      </c>
      <c r="G121" s="807" t="s">
        <v>1527</v>
      </c>
      <c r="H121" s="807" t="s">
        <v>1527</v>
      </c>
      <c r="I121" s="807" t="s">
        <v>1527</v>
      </c>
      <c r="J121" s="807" t="s">
        <v>1114</v>
      </c>
      <c r="K121" s="807" t="s">
        <v>1114</v>
      </c>
      <c r="L121" s="807" t="s">
        <v>1527</v>
      </c>
      <c r="M121" s="807" t="s">
        <v>1527</v>
      </c>
      <c r="N121" s="807" t="s">
        <v>1527</v>
      </c>
      <c r="O121" s="807" t="s">
        <v>1527</v>
      </c>
      <c r="P121" s="807" t="s">
        <v>1527</v>
      </c>
      <c r="Q121" s="800"/>
      <c r="R121" s="800"/>
      <c r="S121" s="800"/>
      <c r="T121" s="800"/>
      <c r="U121" s="800"/>
      <c r="V121" s="800"/>
      <c r="W121" s="800"/>
      <c r="X121" s="800"/>
      <c r="Y121" s="800"/>
      <c r="Z121" s="800"/>
      <c r="AA121" s="800"/>
    </row>
    <row r="122" spans="1:27">
      <c r="A122" s="806" t="s">
        <v>1094</v>
      </c>
      <c r="B122" s="807" t="s">
        <v>1114</v>
      </c>
      <c r="C122" s="808">
        <v>-1989</v>
      </c>
      <c r="D122" s="808">
        <v>-353</v>
      </c>
      <c r="E122" s="808">
        <v>60</v>
      </c>
      <c r="F122" s="808">
        <v>-106</v>
      </c>
      <c r="G122" s="809">
        <v>-85</v>
      </c>
      <c r="H122" s="809">
        <v>-93</v>
      </c>
      <c r="I122" s="809">
        <v>-84</v>
      </c>
      <c r="J122" s="809">
        <v>-95</v>
      </c>
      <c r="K122" s="809">
        <v>-95</v>
      </c>
      <c r="L122" s="809">
        <v>-95</v>
      </c>
      <c r="M122" s="809">
        <v>-95</v>
      </c>
      <c r="N122" s="809">
        <v>-95</v>
      </c>
      <c r="O122" s="809">
        <v>-95</v>
      </c>
      <c r="P122" s="809">
        <v>-95</v>
      </c>
      <c r="Q122" s="800"/>
      <c r="R122" s="800"/>
      <c r="S122" s="800"/>
      <c r="T122" s="800"/>
      <c r="U122" s="800"/>
      <c r="V122" s="800"/>
      <c r="W122" s="800"/>
      <c r="X122" s="800"/>
      <c r="Y122" s="800"/>
      <c r="Z122" s="800"/>
      <c r="AA122" s="800"/>
    </row>
    <row r="123" spans="1:27">
      <c r="A123" s="75" t="s">
        <v>1512</v>
      </c>
      <c r="B123" s="807" t="s">
        <v>1114</v>
      </c>
      <c r="C123" s="809">
        <v>-1504.6666700000001</v>
      </c>
      <c r="D123" s="809">
        <v>-210.08387999999999</v>
      </c>
      <c r="E123" s="809">
        <v>-134</v>
      </c>
      <c r="F123" s="809">
        <v>-87</v>
      </c>
      <c r="G123" s="807" t="s">
        <v>1114</v>
      </c>
      <c r="H123" s="807" t="s">
        <v>1114</v>
      </c>
      <c r="I123" s="807" t="s">
        <v>1114</v>
      </c>
      <c r="J123" s="807" t="s">
        <v>1114</v>
      </c>
      <c r="K123" s="807" t="s">
        <v>1114</v>
      </c>
      <c r="L123" s="807" t="s">
        <v>1114</v>
      </c>
      <c r="M123" s="807" t="s">
        <v>1114</v>
      </c>
      <c r="N123" s="807" t="s">
        <v>1114</v>
      </c>
      <c r="O123" s="807" t="s">
        <v>1114</v>
      </c>
      <c r="P123" s="807" t="s">
        <v>1114</v>
      </c>
      <c r="Q123" s="800"/>
      <c r="R123" s="800"/>
      <c r="S123" s="800"/>
      <c r="T123" s="800"/>
      <c r="U123" s="800"/>
      <c r="V123" s="800"/>
      <c r="W123" s="800"/>
      <c r="X123" s="800"/>
      <c r="Y123" s="800"/>
      <c r="Z123" s="800"/>
      <c r="AA123" s="800"/>
    </row>
    <row r="124" spans="1:27">
      <c r="A124" s="75" t="s">
        <v>1513</v>
      </c>
      <c r="B124" s="807" t="s">
        <v>1114</v>
      </c>
      <c r="C124" s="809">
        <v>-1736</v>
      </c>
      <c r="D124" s="809">
        <v>-206.8355</v>
      </c>
      <c r="E124" s="809">
        <v>-114</v>
      </c>
      <c r="F124" s="809">
        <v>-87</v>
      </c>
      <c r="G124" s="809">
        <v>-85</v>
      </c>
      <c r="H124" s="809">
        <v>-93</v>
      </c>
      <c r="I124" s="809">
        <v>-84</v>
      </c>
      <c r="J124" s="809">
        <v>-95</v>
      </c>
      <c r="K124" s="809">
        <v>-95</v>
      </c>
      <c r="L124" s="809">
        <v>-95</v>
      </c>
      <c r="M124" s="809">
        <v>-95</v>
      </c>
      <c r="N124" s="809">
        <v>-95</v>
      </c>
      <c r="O124" s="809">
        <v>-95</v>
      </c>
      <c r="P124" s="809">
        <v>-95</v>
      </c>
      <c r="Q124" s="800"/>
      <c r="R124" s="800"/>
      <c r="S124" s="800"/>
      <c r="T124" s="800"/>
      <c r="U124" s="800"/>
      <c r="V124" s="800"/>
      <c r="W124" s="800"/>
      <c r="X124" s="800"/>
      <c r="Y124" s="800"/>
      <c r="Z124" s="800"/>
      <c r="AA124" s="800"/>
    </row>
    <row r="125" spans="1:27">
      <c r="A125" s="75" t="s">
        <v>1514</v>
      </c>
      <c r="B125" s="807" t="s">
        <v>1114</v>
      </c>
      <c r="C125" s="809">
        <v>-1873</v>
      </c>
      <c r="D125" s="809">
        <v>-358</v>
      </c>
      <c r="E125" s="809">
        <v>-211</v>
      </c>
      <c r="F125" s="809">
        <v>-103</v>
      </c>
      <c r="G125" s="809">
        <v>-109</v>
      </c>
      <c r="H125" s="809">
        <v>-95</v>
      </c>
      <c r="I125" s="809">
        <v>-95</v>
      </c>
      <c r="J125" s="809">
        <v>-95</v>
      </c>
      <c r="K125" s="809">
        <v>-95</v>
      </c>
      <c r="L125" s="809">
        <v>-95</v>
      </c>
      <c r="M125" s="809">
        <v>-95</v>
      </c>
      <c r="N125" s="809">
        <v>-95</v>
      </c>
      <c r="O125" s="809">
        <v>-95</v>
      </c>
      <c r="P125" s="809">
        <v>-95</v>
      </c>
      <c r="Q125" s="800"/>
      <c r="R125" s="800"/>
      <c r="S125" s="800"/>
      <c r="T125" s="800"/>
      <c r="U125" s="800"/>
      <c r="V125" s="800"/>
      <c r="W125" s="800"/>
      <c r="X125" s="800"/>
      <c r="Y125" s="800"/>
      <c r="Z125" s="800"/>
      <c r="AA125" s="800"/>
    </row>
    <row r="126" spans="1:27">
      <c r="A126" s="75" t="s">
        <v>1515</v>
      </c>
      <c r="B126" s="807" t="s">
        <v>1114</v>
      </c>
      <c r="C126" s="809">
        <v>-500</v>
      </c>
      <c r="D126" s="809">
        <v>-141</v>
      </c>
      <c r="E126" s="809">
        <v>-100</v>
      </c>
      <c r="F126" s="809">
        <v>-71</v>
      </c>
      <c r="G126" s="809">
        <v>-61</v>
      </c>
      <c r="H126" s="809">
        <v>-91</v>
      </c>
      <c r="I126" s="809">
        <v>-73</v>
      </c>
      <c r="J126" s="809">
        <v>-95</v>
      </c>
      <c r="K126" s="809">
        <v>-95</v>
      </c>
      <c r="L126" s="809">
        <v>-95</v>
      </c>
      <c r="M126" s="809">
        <v>-95</v>
      </c>
      <c r="N126" s="809">
        <v>-95</v>
      </c>
      <c r="O126" s="809">
        <v>-95</v>
      </c>
      <c r="P126" s="809">
        <v>-95</v>
      </c>
      <c r="Q126" s="800"/>
      <c r="R126" s="800"/>
      <c r="S126" s="800"/>
      <c r="T126" s="800"/>
      <c r="U126" s="800"/>
      <c r="V126" s="800"/>
      <c r="W126" s="800"/>
      <c r="X126" s="800"/>
      <c r="Y126" s="800"/>
      <c r="Z126" s="800"/>
      <c r="AA126" s="800"/>
    </row>
    <row r="127" spans="1:27">
      <c r="A127" s="75" t="s">
        <v>1516</v>
      </c>
      <c r="B127" s="807" t="s">
        <v>1114</v>
      </c>
      <c r="C127" s="802">
        <v>472.17392999999998</v>
      </c>
      <c r="D127" s="802">
        <v>66.146039999999999</v>
      </c>
      <c r="E127" s="802">
        <v>41.44876</v>
      </c>
      <c r="F127" s="802">
        <v>16</v>
      </c>
      <c r="G127" s="802">
        <v>24</v>
      </c>
      <c r="H127" s="802">
        <v>2</v>
      </c>
      <c r="I127" s="802">
        <v>11</v>
      </c>
      <c r="J127" s="802">
        <v>0</v>
      </c>
      <c r="K127" s="802">
        <v>0</v>
      </c>
      <c r="L127" s="802">
        <v>0</v>
      </c>
      <c r="M127" s="802">
        <v>0</v>
      </c>
      <c r="N127" s="802">
        <v>0</v>
      </c>
      <c r="O127" s="802">
        <v>0</v>
      </c>
      <c r="P127" s="802">
        <v>0</v>
      </c>
      <c r="Q127" s="800"/>
      <c r="R127" s="800"/>
      <c r="S127" s="800"/>
      <c r="T127" s="800"/>
      <c r="U127" s="800"/>
      <c r="V127" s="800"/>
      <c r="W127" s="800"/>
      <c r="X127" s="800"/>
      <c r="Y127" s="800"/>
      <c r="Z127" s="800"/>
      <c r="AA127" s="800"/>
    </row>
    <row r="128" spans="1:27">
      <c r="A128" s="75" t="s">
        <v>1517</v>
      </c>
      <c r="B128" s="807" t="s">
        <v>1114</v>
      </c>
      <c r="C128" s="807" t="s">
        <v>1574</v>
      </c>
      <c r="D128" s="807" t="s">
        <v>1575</v>
      </c>
      <c r="E128" s="807" t="s">
        <v>1576</v>
      </c>
      <c r="F128" s="807" t="s">
        <v>1577</v>
      </c>
      <c r="G128" s="807" t="s">
        <v>1578</v>
      </c>
      <c r="H128" s="807" t="s">
        <v>1578</v>
      </c>
      <c r="I128" s="807" t="s">
        <v>1551</v>
      </c>
      <c r="J128" s="807" t="s">
        <v>1525</v>
      </c>
      <c r="K128" s="807" t="s">
        <v>1525</v>
      </c>
      <c r="L128" s="807" t="s">
        <v>1525</v>
      </c>
      <c r="M128" s="807" t="s">
        <v>1525</v>
      </c>
      <c r="N128" s="807" t="s">
        <v>1525</v>
      </c>
      <c r="O128" s="807" t="s">
        <v>1525</v>
      </c>
      <c r="P128" s="807" t="s">
        <v>1525</v>
      </c>
      <c r="Q128" s="800"/>
      <c r="R128" s="800"/>
      <c r="S128" s="800"/>
      <c r="T128" s="800"/>
      <c r="U128" s="800"/>
      <c r="V128" s="800"/>
      <c r="W128" s="800"/>
      <c r="X128" s="800"/>
      <c r="Y128" s="800"/>
      <c r="Z128" s="800"/>
      <c r="AA128" s="800"/>
    </row>
    <row r="129" spans="1:27">
      <c r="A129" s="75" t="s">
        <v>1526</v>
      </c>
      <c r="B129" s="807" t="s">
        <v>1114</v>
      </c>
      <c r="C129" s="807" t="s">
        <v>1527</v>
      </c>
      <c r="D129" s="807" t="s">
        <v>1527</v>
      </c>
      <c r="E129" s="807" t="s">
        <v>1527</v>
      </c>
      <c r="F129" s="807" t="s">
        <v>1527</v>
      </c>
      <c r="G129" s="807" t="s">
        <v>1527</v>
      </c>
      <c r="H129" s="807" t="s">
        <v>1527</v>
      </c>
      <c r="I129" s="807" t="s">
        <v>1527</v>
      </c>
      <c r="J129" s="807" t="s">
        <v>1527</v>
      </c>
      <c r="K129" s="807" t="s">
        <v>1527</v>
      </c>
      <c r="L129" s="807" t="s">
        <v>1527</v>
      </c>
      <c r="M129" s="807" t="s">
        <v>1527</v>
      </c>
      <c r="N129" s="807" t="s">
        <v>1527</v>
      </c>
      <c r="O129" s="807" t="s">
        <v>1527</v>
      </c>
      <c r="P129" s="807" t="s">
        <v>1527</v>
      </c>
      <c r="Q129" s="800"/>
      <c r="R129" s="800"/>
      <c r="S129" s="800"/>
      <c r="T129" s="800"/>
      <c r="U129" s="800"/>
      <c r="V129" s="800"/>
      <c r="W129" s="800"/>
      <c r="X129" s="800"/>
      <c r="Y129" s="800"/>
      <c r="Z129" s="800"/>
      <c r="AA129" s="800"/>
    </row>
    <row r="130" spans="1:27">
      <c r="A130" s="806" t="s">
        <v>1579</v>
      </c>
      <c r="B130" s="807" t="s">
        <v>1114</v>
      </c>
      <c r="C130" s="808">
        <v>-3219</v>
      </c>
      <c r="D130" s="808">
        <v>-1405</v>
      </c>
      <c r="E130" s="808">
        <v>-365</v>
      </c>
      <c r="F130" s="808">
        <v>-27</v>
      </c>
      <c r="G130" s="809">
        <v>161.375</v>
      </c>
      <c r="H130" s="809">
        <v>408.6</v>
      </c>
      <c r="I130" s="809">
        <v>717.72500000000002</v>
      </c>
      <c r="J130" s="809">
        <v>1249</v>
      </c>
      <c r="K130" s="809">
        <v>1773</v>
      </c>
      <c r="L130" s="809">
        <v>2397</v>
      </c>
      <c r="M130" s="809">
        <v>3119</v>
      </c>
      <c r="N130" s="809">
        <v>3942</v>
      </c>
      <c r="O130" s="809">
        <v>4859</v>
      </c>
      <c r="P130" s="809">
        <v>5684</v>
      </c>
      <c r="Q130" s="800"/>
      <c r="R130" s="800"/>
      <c r="S130" s="800"/>
      <c r="T130" s="800"/>
      <c r="U130" s="800"/>
      <c r="V130" s="800"/>
      <c r="W130" s="800"/>
      <c r="X130" s="800"/>
      <c r="Y130" s="800"/>
      <c r="Z130" s="800"/>
      <c r="AA130" s="800"/>
    </row>
    <row r="131" spans="1:27">
      <c r="A131" s="75" t="s">
        <v>1512</v>
      </c>
      <c r="B131" s="807" t="s">
        <v>1114</v>
      </c>
      <c r="C131" s="809">
        <v>-2655.2467499999998</v>
      </c>
      <c r="D131" s="809">
        <v>-1521.3279199999999</v>
      </c>
      <c r="E131" s="809">
        <v>-270.73333000000002</v>
      </c>
      <c r="F131" s="809">
        <v>-78</v>
      </c>
      <c r="G131" s="807" t="s">
        <v>1114</v>
      </c>
      <c r="H131" s="807" t="s">
        <v>1114</v>
      </c>
      <c r="I131" s="807" t="s">
        <v>1114</v>
      </c>
      <c r="J131" s="807" t="s">
        <v>1114</v>
      </c>
      <c r="K131" s="807" t="s">
        <v>1114</v>
      </c>
      <c r="L131" s="807" t="s">
        <v>1114</v>
      </c>
      <c r="M131" s="807" t="s">
        <v>1114</v>
      </c>
      <c r="N131" s="807" t="s">
        <v>1114</v>
      </c>
      <c r="O131" s="807" t="s">
        <v>1114</v>
      </c>
      <c r="P131" s="807" t="s">
        <v>1114</v>
      </c>
      <c r="Q131" s="800"/>
      <c r="R131" s="800"/>
      <c r="S131" s="800"/>
      <c r="T131" s="800"/>
      <c r="U131" s="800"/>
      <c r="V131" s="800"/>
      <c r="W131" s="800"/>
      <c r="X131" s="800"/>
      <c r="Y131" s="800"/>
      <c r="Z131" s="800"/>
      <c r="AA131" s="800"/>
    </row>
    <row r="132" spans="1:27">
      <c r="A132" s="75" t="s">
        <v>1513</v>
      </c>
      <c r="B132" s="807" t="s">
        <v>1114</v>
      </c>
      <c r="C132" s="809">
        <v>-2864.29916</v>
      </c>
      <c r="D132" s="809">
        <v>-1626</v>
      </c>
      <c r="E132" s="809">
        <v>-188</v>
      </c>
      <c r="F132" s="809">
        <v>-96</v>
      </c>
      <c r="G132" s="809">
        <v>176.25</v>
      </c>
      <c r="H132" s="809">
        <v>421</v>
      </c>
      <c r="I132" s="809">
        <v>720.45</v>
      </c>
      <c r="J132" s="809">
        <v>1249</v>
      </c>
      <c r="K132" s="809">
        <v>1773</v>
      </c>
      <c r="L132" s="809">
        <v>2397</v>
      </c>
      <c r="M132" s="809">
        <v>3119</v>
      </c>
      <c r="N132" s="809">
        <v>3942</v>
      </c>
      <c r="O132" s="809">
        <v>4859</v>
      </c>
      <c r="P132" s="809">
        <v>5684</v>
      </c>
      <c r="Q132" s="800"/>
      <c r="R132" s="800"/>
      <c r="S132" s="800"/>
      <c r="T132" s="800"/>
      <c r="U132" s="800"/>
      <c r="V132" s="800"/>
      <c r="W132" s="800"/>
      <c r="X132" s="800"/>
      <c r="Y132" s="800"/>
      <c r="Z132" s="800"/>
      <c r="AA132" s="800"/>
    </row>
    <row r="133" spans="1:27">
      <c r="A133" s="75" t="s">
        <v>1514</v>
      </c>
      <c r="B133" s="807" t="s">
        <v>1114</v>
      </c>
      <c r="C133" s="809">
        <v>-1024</v>
      </c>
      <c r="D133" s="809">
        <v>-1015.36148</v>
      </c>
      <c r="E133" s="809">
        <v>-67.2</v>
      </c>
      <c r="F133" s="809">
        <v>-31</v>
      </c>
      <c r="G133" s="809">
        <v>189</v>
      </c>
      <c r="H133" s="809">
        <v>470</v>
      </c>
      <c r="I133" s="809">
        <v>816</v>
      </c>
      <c r="J133" s="809">
        <v>1249</v>
      </c>
      <c r="K133" s="809">
        <v>1773</v>
      </c>
      <c r="L133" s="809">
        <v>2397</v>
      </c>
      <c r="M133" s="809">
        <v>3119</v>
      </c>
      <c r="N133" s="809">
        <v>3942</v>
      </c>
      <c r="O133" s="809">
        <v>4859</v>
      </c>
      <c r="P133" s="809">
        <v>5684</v>
      </c>
      <c r="Q133" s="800"/>
      <c r="R133" s="800"/>
      <c r="S133" s="800"/>
      <c r="T133" s="800"/>
      <c r="U133" s="800"/>
      <c r="V133" s="800"/>
      <c r="W133" s="800"/>
      <c r="X133" s="800"/>
      <c r="Y133" s="800"/>
      <c r="Z133" s="800"/>
      <c r="AA133" s="800"/>
    </row>
    <row r="134" spans="1:27">
      <c r="A134" s="75" t="s">
        <v>1515</v>
      </c>
      <c r="B134" s="807" t="s">
        <v>1114</v>
      </c>
      <c r="C134" s="809">
        <v>-3327.91489</v>
      </c>
      <c r="D134" s="809">
        <v>-1739.8897899999999</v>
      </c>
      <c r="E134" s="809">
        <v>-557</v>
      </c>
      <c r="F134" s="809">
        <v>-107</v>
      </c>
      <c r="G134" s="809">
        <v>104</v>
      </c>
      <c r="H134" s="809">
        <v>324</v>
      </c>
      <c r="I134" s="809">
        <v>614</v>
      </c>
      <c r="J134" s="809">
        <v>1249</v>
      </c>
      <c r="K134" s="809">
        <v>1773</v>
      </c>
      <c r="L134" s="809">
        <v>2397</v>
      </c>
      <c r="M134" s="809">
        <v>3119</v>
      </c>
      <c r="N134" s="809">
        <v>3942</v>
      </c>
      <c r="O134" s="809">
        <v>4859</v>
      </c>
      <c r="P134" s="809">
        <v>5684</v>
      </c>
      <c r="Q134" s="800"/>
      <c r="R134" s="800"/>
      <c r="S134" s="800"/>
      <c r="T134" s="800"/>
      <c r="U134" s="800"/>
      <c r="V134" s="800"/>
      <c r="W134" s="800"/>
      <c r="X134" s="800"/>
      <c r="Y134" s="800"/>
      <c r="Z134" s="800"/>
      <c r="AA134" s="800"/>
    </row>
    <row r="135" spans="1:27">
      <c r="A135" s="75" t="s">
        <v>1516</v>
      </c>
      <c r="B135" s="807" t="s">
        <v>1114</v>
      </c>
      <c r="C135" s="802">
        <v>717.18041000000005</v>
      </c>
      <c r="D135" s="802">
        <v>233.6232</v>
      </c>
      <c r="E135" s="802">
        <v>208.34205</v>
      </c>
      <c r="F135" s="802">
        <v>33.536050000000003</v>
      </c>
      <c r="G135" s="802">
        <v>33.532400000000003</v>
      </c>
      <c r="H135" s="802">
        <v>53.552219999999998</v>
      </c>
      <c r="I135" s="802">
        <v>88.765569999999997</v>
      </c>
      <c r="J135" s="802">
        <v>0</v>
      </c>
      <c r="K135" s="802">
        <v>0</v>
      </c>
      <c r="L135" s="802">
        <v>0</v>
      </c>
      <c r="M135" s="802">
        <v>0</v>
      </c>
      <c r="N135" s="802">
        <v>0</v>
      </c>
      <c r="O135" s="802">
        <v>0</v>
      </c>
      <c r="P135" s="802">
        <v>0</v>
      </c>
      <c r="Q135" s="800"/>
      <c r="R135" s="800"/>
      <c r="S135" s="800"/>
      <c r="T135" s="800"/>
      <c r="U135" s="800"/>
      <c r="V135" s="800"/>
      <c r="W135" s="800"/>
      <c r="X135" s="800"/>
      <c r="Y135" s="800"/>
      <c r="Z135" s="800"/>
      <c r="AA135" s="800"/>
    </row>
    <row r="136" spans="1:27">
      <c r="A136" s="75" t="s">
        <v>1517</v>
      </c>
      <c r="B136" s="807" t="s">
        <v>1114</v>
      </c>
      <c r="C136" s="807" t="s">
        <v>1545</v>
      </c>
      <c r="D136" s="807" t="s">
        <v>1580</v>
      </c>
      <c r="E136" s="807" t="s">
        <v>1581</v>
      </c>
      <c r="F136" s="807" t="s">
        <v>1582</v>
      </c>
      <c r="G136" s="807" t="s">
        <v>1583</v>
      </c>
      <c r="H136" s="807" t="s">
        <v>1576</v>
      </c>
      <c r="I136" s="807" t="s">
        <v>1543</v>
      </c>
      <c r="J136" s="807" t="s">
        <v>1525</v>
      </c>
      <c r="K136" s="807" t="s">
        <v>1525</v>
      </c>
      <c r="L136" s="807" t="s">
        <v>1525</v>
      </c>
      <c r="M136" s="807" t="s">
        <v>1525</v>
      </c>
      <c r="N136" s="807" t="s">
        <v>1525</v>
      </c>
      <c r="O136" s="807" t="s">
        <v>1525</v>
      </c>
      <c r="P136" s="807" t="s">
        <v>1525</v>
      </c>
      <c r="Q136" s="800"/>
      <c r="R136" s="800"/>
      <c r="S136" s="800"/>
      <c r="T136" s="800"/>
      <c r="U136" s="800"/>
      <c r="V136" s="800"/>
      <c r="W136" s="800"/>
      <c r="X136" s="800"/>
      <c r="Y136" s="800"/>
      <c r="Z136" s="800"/>
      <c r="AA136" s="800"/>
    </row>
    <row r="137" spans="1:27">
      <c r="A137" s="75" t="s">
        <v>1526</v>
      </c>
      <c r="B137" s="807" t="s">
        <v>1114</v>
      </c>
      <c r="C137" s="807" t="s">
        <v>1527</v>
      </c>
      <c r="D137" s="807" t="s">
        <v>1527</v>
      </c>
      <c r="E137" s="807" t="s">
        <v>1527</v>
      </c>
      <c r="F137" s="807" t="s">
        <v>1527</v>
      </c>
      <c r="G137" s="807" t="s">
        <v>1527</v>
      </c>
      <c r="H137" s="807" t="s">
        <v>1527</v>
      </c>
      <c r="I137" s="807" t="s">
        <v>1527</v>
      </c>
      <c r="J137" s="807" t="s">
        <v>1527</v>
      </c>
      <c r="K137" s="807" t="s">
        <v>1527</v>
      </c>
      <c r="L137" s="807" t="s">
        <v>1527</v>
      </c>
      <c r="M137" s="807" t="s">
        <v>1527</v>
      </c>
      <c r="N137" s="807" t="s">
        <v>1527</v>
      </c>
      <c r="O137" s="807" t="s">
        <v>1527</v>
      </c>
      <c r="P137" s="807" t="s">
        <v>1527</v>
      </c>
      <c r="Q137" s="800"/>
      <c r="R137" s="800"/>
      <c r="S137" s="800"/>
      <c r="T137" s="800"/>
      <c r="U137" s="800"/>
      <c r="V137" s="800"/>
      <c r="W137" s="800"/>
      <c r="X137" s="800"/>
      <c r="Y137" s="800"/>
      <c r="Z137" s="800"/>
      <c r="AA137" s="800"/>
    </row>
    <row r="138" spans="1:27">
      <c r="A138" s="806" t="s">
        <v>1584</v>
      </c>
      <c r="B138" s="807" t="s">
        <v>1114</v>
      </c>
      <c r="C138" s="808">
        <v>-3552</v>
      </c>
      <c r="D138" s="808">
        <v>-1734</v>
      </c>
      <c r="E138" s="808">
        <v>-466</v>
      </c>
      <c r="F138" s="808">
        <v>-95</v>
      </c>
      <c r="G138" s="809">
        <v>182.16791000000001</v>
      </c>
      <c r="H138" s="809">
        <v>439.25083999999998</v>
      </c>
      <c r="I138" s="809">
        <v>716.48519999999996</v>
      </c>
      <c r="J138" s="809">
        <v>1249</v>
      </c>
      <c r="K138" s="809">
        <v>1773</v>
      </c>
      <c r="L138" s="809">
        <v>2397</v>
      </c>
      <c r="M138" s="809">
        <v>3119</v>
      </c>
      <c r="N138" s="809">
        <v>3942</v>
      </c>
      <c r="O138" s="809">
        <v>4859</v>
      </c>
      <c r="P138" s="809">
        <v>5684</v>
      </c>
      <c r="Q138" s="800"/>
      <c r="R138" s="800"/>
      <c r="S138" s="800"/>
      <c r="T138" s="800"/>
      <c r="U138" s="800"/>
      <c r="V138" s="800"/>
      <c r="W138" s="800"/>
      <c r="X138" s="800"/>
      <c r="Y138" s="800"/>
      <c r="Z138" s="800"/>
      <c r="AA138" s="800"/>
    </row>
    <row r="139" spans="1:27">
      <c r="A139" s="75" t="s">
        <v>1512</v>
      </c>
      <c r="B139" s="807" t="s">
        <v>1114</v>
      </c>
      <c r="C139" s="809">
        <v>-3017.5</v>
      </c>
      <c r="D139" s="809">
        <v>-1563.23965</v>
      </c>
      <c r="E139" s="809">
        <v>-516.68154000000004</v>
      </c>
      <c r="F139" s="809">
        <v>-75.394049999999993</v>
      </c>
      <c r="G139" s="807" t="s">
        <v>1114</v>
      </c>
      <c r="H139" s="807" t="s">
        <v>1114</v>
      </c>
      <c r="I139" s="807" t="s">
        <v>1114</v>
      </c>
      <c r="J139" s="807" t="s">
        <v>1114</v>
      </c>
      <c r="K139" s="807" t="s">
        <v>1114</v>
      </c>
      <c r="L139" s="807" t="s">
        <v>1114</v>
      </c>
      <c r="M139" s="807" t="s">
        <v>1114</v>
      </c>
      <c r="N139" s="807" t="s">
        <v>1114</v>
      </c>
      <c r="O139" s="807" t="s">
        <v>1114</v>
      </c>
      <c r="P139" s="807" t="s">
        <v>1114</v>
      </c>
      <c r="Q139" s="800"/>
      <c r="R139" s="800"/>
      <c r="S139" s="800"/>
      <c r="T139" s="800"/>
      <c r="U139" s="800"/>
      <c r="V139" s="800"/>
      <c r="W139" s="800"/>
      <c r="X139" s="800"/>
      <c r="Y139" s="800"/>
      <c r="Z139" s="800"/>
      <c r="AA139" s="800"/>
    </row>
    <row r="140" spans="1:27">
      <c r="A140" s="75" t="s">
        <v>1513</v>
      </c>
      <c r="B140" s="807" t="s">
        <v>1114</v>
      </c>
      <c r="C140" s="809">
        <v>-3017.5</v>
      </c>
      <c r="D140" s="809">
        <v>-1626.5</v>
      </c>
      <c r="E140" s="809">
        <v>-539.17187999999999</v>
      </c>
      <c r="F140" s="809">
        <v>-81.46781</v>
      </c>
      <c r="G140" s="809">
        <v>184.18351999999999</v>
      </c>
      <c r="H140" s="809">
        <v>420.5</v>
      </c>
      <c r="I140" s="809">
        <v>668</v>
      </c>
      <c r="J140" s="809">
        <v>1249</v>
      </c>
      <c r="K140" s="809">
        <v>1773</v>
      </c>
      <c r="L140" s="809">
        <v>2397</v>
      </c>
      <c r="M140" s="809">
        <v>3119</v>
      </c>
      <c r="N140" s="809">
        <v>3942</v>
      </c>
      <c r="O140" s="809">
        <v>4859</v>
      </c>
      <c r="P140" s="809">
        <v>5684</v>
      </c>
      <c r="Q140" s="800"/>
      <c r="R140" s="800"/>
      <c r="S140" s="800"/>
      <c r="T140" s="800"/>
      <c r="U140" s="800"/>
      <c r="V140" s="800"/>
      <c r="W140" s="800"/>
      <c r="X140" s="800"/>
      <c r="Y140" s="800"/>
      <c r="Z140" s="800"/>
      <c r="AA140" s="800"/>
    </row>
    <row r="141" spans="1:27">
      <c r="A141" s="75" t="s">
        <v>1514</v>
      </c>
      <c r="B141" s="807" t="s">
        <v>1114</v>
      </c>
      <c r="C141" s="809">
        <v>-2846</v>
      </c>
      <c r="D141" s="809">
        <v>-1209</v>
      </c>
      <c r="E141" s="809">
        <v>-188</v>
      </c>
      <c r="F141" s="809">
        <v>-25</v>
      </c>
      <c r="G141" s="809">
        <v>243.39382000000001</v>
      </c>
      <c r="H141" s="809">
        <v>668.21500000000003</v>
      </c>
      <c r="I141" s="809">
        <v>1039.079</v>
      </c>
      <c r="J141" s="809">
        <v>1249</v>
      </c>
      <c r="K141" s="809">
        <v>1773</v>
      </c>
      <c r="L141" s="809">
        <v>2397</v>
      </c>
      <c r="M141" s="809">
        <v>3119</v>
      </c>
      <c r="N141" s="809">
        <v>3942</v>
      </c>
      <c r="O141" s="809">
        <v>4859</v>
      </c>
      <c r="P141" s="809">
        <v>5684</v>
      </c>
      <c r="Q141" s="800"/>
      <c r="R141" s="800"/>
      <c r="S141" s="800"/>
      <c r="T141" s="800"/>
      <c r="U141" s="800"/>
      <c r="V141" s="800"/>
      <c r="W141" s="800"/>
      <c r="X141" s="800"/>
      <c r="Y141" s="800"/>
      <c r="Z141" s="800"/>
      <c r="AA141" s="800"/>
    </row>
    <row r="142" spans="1:27">
      <c r="A142" s="75" t="s">
        <v>1515</v>
      </c>
      <c r="B142" s="807" t="s">
        <v>1114</v>
      </c>
      <c r="C142" s="809">
        <v>-3189</v>
      </c>
      <c r="D142" s="809">
        <v>-1685.08</v>
      </c>
      <c r="E142" s="809">
        <v>-672</v>
      </c>
      <c r="F142" s="809">
        <v>-122</v>
      </c>
      <c r="G142" s="809">
        <v>104</v>
      </c>
      <c r="H142" s="809">
        <v>241.4</v>
      </c>
      <c r="I142" s="809">
        <v>436.58353</v>
      </c>
      <c r="J142" s="809">
        <v>1249</v>
      </c>
      <c r="K142" s="809">
        <v>1773</v>
      </c>
      <c r="L142" s="809">
        <v>2397</v>
      </c>
      <c r="M142" s="809">
        <v>3119</v>
      </c>
      <c r="N142" s="809">
        <v>3942</v>
      </c>
      <c r="O142" s="809">
        <v>4859</v>
      </c>
      <c r="P142" s="809">
        <v>5684</v>
      </c>
      <c r="Q142" s="800"/>
      <c r="R142" s="800"/>
      <c r="S142" s="800"/>
      <c r="T142" s="800"/>
      <c r="U142" s="800"/>
      <c r="V142" s="800"/>
      <c r="W142" s="800"/>
      <c r="X142" s="800"/>
      <c r="Y142" s="800"/>
      <c r="Z142" s="800"/>
      <c r="AA142" s="800"/>
    </row>
    <row r="143" spans="1:27">
      <c r="A143" s="75" t="s">
        <v>1516</v>
      </c>
      <c r="B143" s="807" t="s">
        <v>1114</v>
      </c>
      <c r="C143" s="802">
        <v>171.5</v>
      </c>
      <c r="D143" s="802">
        <v>128.76206999999999</v>
      </c>
      <c r="E143" s="802">
        <v>101.96933</v>
      </c>
      <c r="F143" s="802">
        <v>28.939730000000001</v>
      </c>
      <c r="G143" s="802">
        <v>31.671790000000001</v>
      </c>
      <c r="H143" s="802">
        <v>114.74729000000001</v>
      </c>
      <c r="I143" s="802">
        <v>158.03128000000001</v>
      </c>
      <c r="J143" s="802">
        <v>0</v>
      </c>
      <c r="K143" s="802">
        <v>0</v>
      </c>
      <c r="L143" s="802">
        <v>0</v>
      </c>
      <c r="M143" s="802">
        <v>0</v>
      </c>
      <c r="N143" s="802">
        <v>0</v>
      </c>
      <c r="O143" s="802">
        <v>0</v>
      </c>
      <c r="P143" s="802">
        <v>0</v>
      </c>
      <c r="Q143" s="800"/>
      <c r="R143" s="800"/>
      <c r="S143" s="800"/>
      <c r="T143" s="800"/>
      <c r="U143" s="800"/>
      <c r="V143" s="800"/>
      <c r="W143" s="800"/>
      <c r="X143" s="800"/>
      <c r="Y143" s="800"/>
      <c r="Z143" s="800"/>
      <c r="AA143" s="800"/>
    </row>
    <row r="144" spans="1:27">
      <c r="A144" s="75" t="s">
        <v>1517</v>
      </c>
      <c r="B144" s="807" t="s">
        <v>1114</v>
      </c>
      <c r="C144" s="807" t="s">
        <v>1585</v>
      </c>
      <c r="D144" s="807" t="s">
        <v>1546</v>
      </c>
      <c r="E144" s="807" t="s">
        <v>1586</v>
      </c>
      <c r="F144" s="807" t="s">
        <v>1587</v>
      </c>
      <c r="G144" s="807" t="s">
        <v>1569</v>
      </c>
      <c r="H144" s="807" t="s">
        <v>1569</v>
      </c>
      <c r="I144" s="807" t="s">
        <v>1588</v>
      </c>
      <c r="J144" s="807" t="s">
        <v>1525</v>
      </c>
      <c r="K144" s="807" t="s">
        <v>1525</v>
      </c>
      <c r="L144" s="807" t="s">
        <v>1525</v>
      </c>
      <c r="M144" s="807" t="s">
        <v>1525</v>
      </c>
      <c r="N144" s="807" t="s">
        <v>1525</v>
      </c>
      <c r="O144" s="807" t="s">
        <v>1525</v>
      </c>
      <c r="P144" s="807" t="s">
        <v>1525</v>
      </c>
      <c r="Q144" s="800"/>
      <c r="R144" s="800"/>
      <c r="S144" s="800"/>
      <c r="T144" s="800"/>
      <c r="U144" s="800"/>
      <c r="V144" s="800"/>
      <c r="W144" s="800"/>
      <c r="X144" s="800"/>
      <c r="Y144" s="800"/>
      <c r="Z144" s="800"/>
      <c r="AA144" s="800"/>
    </row>
    <row r="145" spans="1:27">
      <c r="A145" s="75" t="s">
        <v>1526</v>
      </c>
      <c r="B145" s="807" t="s">
        <v>1114</v>
      </c>
      <c r="C145" s="807" t="s">
        <v>1527</v>
      </c>
      <c r="D145" s="807" t="s">
        <v>1527</v>
      </c>
      <c r="E145" s="807" t="s">
        <v>1527</v>
      </c>
      <c r="F145" s="807" t="s">
        <v>1527</v>
      </c>
      <c r="G145" s="807" t="s">
        <v>1527</v>
      </c>
      <c r="H145" s="807" t="s">
        <v>1527</v>
      </c>
      <c r="I145" s="807" t="s">
        <v>1527</v>
      </c>
      <c r="J145" s="807" t="s">
        <v>1527</v>
      </c>
      <c r="K145" s="807" t="s">
        <v>1527</v>
      </c>
      <c r="L145" s="807" t="s">
        <v>1527</v>
      </c>
      <c r="M145" s="807" t="s">
        <v>1527</v>
      </c>
      <c r="N145" s="807" t="s">
        <v>1527</v>
      </c>
      <c r="O145" s="807" t="s">
        <v>1527</v>
      </c>
      <c r="P145" s="807" t="s">
        <v>1527</v>
      </c>
      <c r="Q145" s="800"/>
      <c r="R145" s="800"/>
      <c r="S145" s="800"/>
      <c r="T145" s="800"/>
      <c r="U145" s="800"/>
      <c r="V145" s="800"/>
      <c r="W145" s="800"/>
      <c r="X145" s="800"/>
      <c r="Y145" s="800"/>
      <c r="Z145" s="800"/>
      <c r="AA145" s="800"/>
    </row>
    <row r="146" spans="1:27">
      <c r="A146" s="806" t="s">
        <v>1589</v>
      </c>
      <c r="B146" s="807" t="s">
        <v>1114</v>
      </c>
      <c r="C146" s="808">
        <v>-3116</v>
      </c>
      <c r="D146" s="808">
        <v>-1354</v>
      </c>
      <c r="E146" s="808">
        <v>-333</v>
      </c>
      <c r="F146" s="808">
        <v>-37</v>
      </c>
      <c r="G146" s="809">
        <v>150.80000000000001</v>
      </c>
      <c r="H146" s="809">
        <v>425.55714</v>
      </c>
      <c r="I146" s="809">
        <v>606.02499999999998</v>
      </c>
      <c r="J146" s="809">
        <v>1035</v>
      </c>
      <c r="K146" s="809">
        <v>1456</v>
      </c>
      <c r="L146" s="809">
        <v>1957</v>
      </c>
      <c r="M146" s="809">
        <v>2532</v>
      </c>
      <c r="N146" s="809">
        <v>3187</v>
      </c>
      <c r="O146" s="809">
        <v>3909</v>
      </c>
      <c r="P146" s="809">
        <v>4514</v>
      </c>
      <c r="Q146" s="800"/>
      <c r="R146" s="800"/>
      <c r="S146" s="800"/>
      <c r="T146" s="800"/>
      <c r="U146" s="800"/>
      <c r="V146" s="800"/>
      <c r="W146" s="800"/>
      <c r="X146" s="800"/>
      <c r="Y146" s="800"/>
      <c r="Z146" s="800"/>
      <c r="AA146" s="800"/>
    </row>
    <row r="147" spans="1:27">
      <c r="A147" s="75" t="s">
        <v>1512</v>
      </c>
      <c r="B147" s="807" t="s">
        <v>1114</v>
      </c>
      <c r="C147" s="809">
        <v>-2747.6604000000002</v>
      </c>
      <c r="D147" s="809">
        <v>-1410.4376099999999</v>
      </c>
      <c r="E147" s="809">
        <v>-195.36349999999999</v>
      </c>
      <c r="F147" s="809">
        <v>-130.25</v>
      </c>
      <c r="G147" s="807" t="s">
        <v>1114</v>
      </c>
      <c r="H147" s="807" t="s">
        <v>1114</v>
      </c>
      <c r="I147" s="807" t="s">
        <v>1114</v>
      </c>
      <c r="J147" s="807" t="s">
        <v>1114</v>
      </c>
      <c r="K147" s="807" t="s">
        <v>1114</v>
      </c>
      <c r="L147" s="807" t="s">
        <v>1114</v>
      </c>
      <c r="M147" s="807" t="s">
        <v>1114</v>
      </c>
      <c r="N147" s="807" t="s">
        <v>1114</v>
      </c>
      <c r="O147" s="807" t="s">
        <v>1114</v>
      </c>
      <c r="P147" s="807" t="s">
        <v>1114</v>
      </c>
      <c r="Q147" s="800"/>
      <c r="R147" s="800"/>
      <c r="S147" s="800"/>
      <c r="T147" s="800"/>
      <c r="U147" s="800"/>
      <c r="V147" s="800"/>
      <c r="W147" s="800"/>
      <c r="X147" s="800"/>
      <c r="Y147" s="800"/>
      <c r="Z147" s="800"/>
      <c r="AA147" s="800"/>
    </row>
    <row r="148" spans="1:27">
      <c r="A148" s="75" t="s">
        <v>1513</v>
      </c>
      <c r="B148" s="807" t="s">
        <v>1114</v>
      </c>
      <c r="C148" s="809">
        <v>-2857.7919999999999</v>
      </c>
      <c r="D148" s="809">
        <v>-1547</v>
      </c>
      <c r="E148" s="809">
        <v>-168</v>
      </c>
      <c r="F148" s="809">
        <v>-127.5</v>
      </c>
      <c r="G148" s="809">
        <v>147</v>
      </c>
      <c r="H148" s="809">
        <v>384</v>
      </c>
      <c r="I148" s="809">
        <v>588.54999999999995</v>
      </c>
      <c r="J148" s="809">
        <v>1035</v>
      </c>
      <c r="K148" s="809">
        <v>1456</v>
      </c>
      <c r="L148" s="809">
        <v>1957</v>
      </c>
      <c r="M148" s="809">
        <v>2532</v>
      </c>
      <c r="N148" s="809">
        <v>3187</v>
      </c>
      <c r="O148" s="809">
        <v>3909</v>
      </c>
      <c r="P148" s="809">
        <v>4514</v>
      </c>
      <c r="Q148" s="800"/>
      <c r="R148" s="800"/>
      <c r="S148" s="800"/>
      <c r="T148" s="800"/>
      <c r="U148" s="800"/>
      <c r="V148" s="800"/>
      <c r="W148" s="800"/>
      <c r="X148" s="800"/>
      <c r="Y148" s="800"/>
      <c r="Z148" s="800"/>
      <c r="AA148" s="800"/>
    </row>
    <row r="149" spans="1:27">
      <c r="A149" s="75" t="s">
        <v>1514</v>
      </c>
      <c r="B149" s="807" t="s">
        <v>1114</v>
      </c>
      <c r="C149" s="809">
        <v>-1026</v>
      </c>
      <c r="D149" s="809">
        <v>-985</v>
      </c>
      <c r="E149" s="809">
        <v>-78.453999999999994</v>
      </c>
      <c r="F149" s="809">
        <v>-104</v>
      </c>
      <c r="G149" s="809">
        <v>187.2</v>
      </c>
      <c r="H149" s="809">
        <v>615</v>
      </c>
      <c r="I149" s="809">
        <v>691</v>
      </c>
      <c r="J149" s="809">
        <v>1035</v>
      </c>
      <c r="K149" s="809">
        <v>1456</v>
      </c>
      <c r="L149" s="809">
        <v>1957</v>
      </c>
      <c r="M149" s="809">
        <v>2532</v>
      </c>
      <c r="N149" s="809">
        <v>3187</v>
      </c>
      <c r="O149" s="809">
        <v>3909</v>
      </c>
      <c r="P149" s="809">
        <v>4514</v>
      </c>
      <c r="Q149" s="800"/>
      <c r="R149" s="800"/>
      <c r="S149" s="800"/>
      <c r="T149" s="800"/>
      <c r="U149" s="800"/>
      <c r="V149" s="800"/>
      <c r="W149" s="800"/>
      <c r="X149" s="800"/>
      <c r="Y149" s="800"/>
      <c r="Z149" s="800"/>
      <c r="AA149" s="800"/>
    </row>
    <row r="150" spans="1:27">
      <c r="A150" s="75" t="s">
        <v>1515</v>
      </c>
      <c r="B150" s="807" t="s">
        <v>1114</v>
      </c>
      <c r="C150" s="809">
        <v>-3196.8703700000001</v>
      </c>
      <c r="D150" s="809">
        <v>-1682.8897899999999</v>
      </c>
      <c r="E150" s="809">
        <v>-367</v>
      </c>
      <c r="F150" s="809">
        <v>-162</v>
      </c>
      <c r="G150" s="809">
        <v>122</v>
      </c>
      <c r="H150" s="809">
        <v>294</v>
      </c>
      <c r="I150" s="809">
        <v>556</v>
      </c>
      <c r="J150" s="809">
        <v>1035</v>
      </c>
      <c r="K150" s="809">
        <v>1456</v>
      </c>
      <c r="L150" s="809">
        <v>1957</v>
      </c>
      <c r="M150" s="809">
        <v>2532</v>
      </c>
      <c r="N150" s="809">
        <v>3187</v>
      </c>
      <c r="O150" s="809">
        <v>3909</v>
      </c>
      <c r="P150" s="809">
        <v>4514</v>
      </c>
      <c r="Q150" s="800"/>
      <c r="R150" s="800"/>
      <c r="S150" s="800"/>
      <c r="T150" s="800"/>
      <c r="U150" s="800"/>
      <c r="V150" s="800"/>
      <c r="W150" s="800"/>
      <c r="X150" s="800"/>
      <c r="Y150" s="800"/>
      <c r="Z150" s="800"/>
      <c r="AA150" s="800"/>
    </row>
    <row r="151" spans="1:27">
      <c r="A151" s="75" t="s">
        <v>1516</v>
      </c>
      <c r="B151" s="807" t="s">
        <v>1114</v>
      </c>
      <c r="C151" s="802">
        <v>580.98186999999996</v>
      </c>
      <c r="D151" s="802">
        <v>255.88426999999999</v>
      </c>
      <c r="E151" s="802">
        <v>107.21059</v>
      </c>
      <c r="F151" s="802">
        <v>21.194040000000001</v>
      </c>
      <c r="G151" s="802">
        <v>23.628799999999998</v>
      </c>
      <c r="H151" s="802">
        <v>100.37645999999999</v>
      </c>
      <c r="I151" s="802">
        <v>55.228180000000002</v>
      </c>
      <c r="J151" s="802">
        <v>0</v>
      </c>
      <c r="K151" s="802">
        <v>0</v>
      </c>
      <c r="L151" s="802">
        <v>0</v>
      </c>
      <c r="M151" s="802">
        <v>0</v>
      </c>
      <c r="N151" s="802">
        <v>0</v>
      </c>
      <c r="O151" s="802">
        <v>0</v>
      </c>
      <c r="P151" s="802">
        <v>0</v>
      </c>
      <c r="Q151" s="800"/>
      <c r="R151" s="800"/>
      <c r="S151" s="800"/>
      <c r="T151" s="800"/>
      <c r="U151" s="800"/>
      <c r="V151" s="800"/>
      <c r="W151" s="800"/>
      <c r="X151" s="800"/>
      <c r="Y151" s="800"/>
      <c r="Z151" s="800"/>
      <c r="AA151" s="800"/>
    </row>
    <row r="152" spans="1:27">
      <c r="A152" s="75" t="s">
        <v>1517</v>
      </c>
      <c r="B152" s="807" t="s">
        <v>1114</v>
      </c>
      <c r="C152" s="807" t="s">
        <v>1590</v>
      </c>
      <c r="D152" s="807" t="s">
        <v>1591</v>
      </c>
      <c r="E152" s="807" t="s">
        <v>1592</v>
      </c>
      <c r="F152" s="807" t="s">
        <v>1593</v>
      </c>
      <c r="G152" s="807" t="s">
        <v>1593</v>
      </c>
      <c r="H152" s="807" t="s">
        <v>1532</v>
      </c>
      <c r="I152" s="807" t="s">
        <v>1535</v>
      </c>
      <c r="J152" s="807" t="s">
        <v>1525</v>
      </c>
      <c r="K152" s="807" t="s">
        <v>1525</v>
      </c>
      <c r="L152" s="807" t="s">
        <v>1525</v>
      </c>
      <c r="M152" s="807" t="s">
        <v>1525</v>
      </c>
      <c r="N152" s="807" t="s">
        <v>1525</v>
      </c>
      <c r="O152" s="807" t="s">
        <v>1525</v>
      </c>
      <c r="P152" s="807" t="s">
        <v>1525</v>
      </c>
      <c r="Q152" s="800"/>
      <c r="R152" s="800"/>
      <c r="S152" s="800"/>
      <c r="T152" s="800"/>
      <c r="U152" s="800"/>
      <c r="V152" s="800"/>
      <c r="W152" s="800"/>
      <c r="X152" s="800"/>
      <c r="Y152" s="800"/>
      <c r="Z152" s="800"/>
      <c r="AA152" s="800"/>
    </row>
    <row r="153" spans="1:27">
      <c r="A153" s="75" t="s">
        <v>1526</v>
      </c>
      <c r="B153" s="807" t="s">
        <v>1114</v>
      </c>
      <c r="C153" s="807" t="s">
        <v>1527</v>
      </c>
      <c r="D153" s="807" t="s">
        <v>1527</v>
      </c>
      <c r="E153" s="807" t="s">
        <v>1527</v>
      </c>
      <c r="F153" s="807" t="s">
        <v>1527</v>
      </c>
      <c r="G153" s="807" t="s">
        <v>1527</v>
      </c>
      <c r="H153" s="807" t="s">
        <v>1527</v>
      </c>
      <c r="I153" s="807" t="s">
        <v>1527</v>
      </c>
      <c r="J153" s="807" t="s">
        <v>1527</v>
      </c>
      <c r="K153" s="807" t="s">
        <v>1527</v>
      </c>
      <c r="L153" s="807" t="s">
        <v>1527</v>
      </c>
      <c r="M153" s="807" t="s">
        <v>1527</v>
      </c>
      <c r="N153" s="807" t="s">
        <v>1527</v>
      </c>
      <c r="O153" s="807" t="s">
        <v>1527</v>
      </c>
      <c r="P153" s="807" t="s">
        <v>1527</v>
      </c>
      <c r="Q153" s="800"/>
      <c r="R153" s="800"/>
      <c r="S153" s="800"/>
      <c r="T153" s="800"/>
      <c r="U153" s="800"/>
      <c r="V153" s="800"/>
      <c r="W153" s="800"/>
      <c r="X153" s="800"/>
      <c r="Y153" s="800"/>
      <c r="Z153" s="800"/>
      <c r="AA153" s="800"/>
    </row>
    <row r="154" spans="1:27">
      <c r="A154" s="806" t="s">
        <v>1594</v>
      </c>
      <c r="B154" s="808">
        <v>-2608</v>
      </c>
      <c r="C154" s="808">
        <v>-3449</v>
      </c>
      <c r="D154" s="808">
        <v>-1683</v>
      </c>
      <c r="E154" s="808">
        <v>-434</v>
      </c>
      <c r="F154" s="808">
        <v>-105</v>
      </c>
      <c r="G154" s="809">
        <v>165.72380999999999</v>
      </c>
      <c r="H154" s="809">
        <v>384.71836000000002</v>
      </c>
      <c r="I154" s="809">
        <v>604.55948000000001</v>
      </c>
      <c r="J154" s="809">
        <v>1035</v>
      </c>
      <c r="K154" s="809">
        <v>1456</v>
      </c>
      <c r="L154" s="809">
        <v>1957</v>
      </c>
      <c r="M154" s="809">
        <v>2532</v>
      </c>
      <c r="N154" s="809">
        <v>3187</v>
      </c>
      <c r="O154" s="809">
        <v>3909</v>
      </c>
      <c r="P154" s="809">
        <v>4514</v>
      </c>
      <c r="Q154" s="800"/>
      <c r="R154" s="800"/>
      <c r="S154" s="800"/>
      <c r="T154" s="800"/>
      <c r="U154" s="800"/>
      <c r="V154" s="800"/>
      <c r="W154" s="800"/>
      <c r="X154" s="800"/>
      <c r="Y154" s="800"/>
      <c r="Z154" s="800"/>
      <c r="AA154" s="800"/>
    </row>
    <row r="155" spans="1:27">
      <c r="A155" s="75" t="s">
        <v>1512</v>
      </c>
      <c r="B155" s="807" t="s">
        <v>1114</v>
      </c>
      <c r="C155" s="809">
        <v>-2985.7920600000002</v>
      </c>
      <c r="D155" s="809">
        <v>-1528.7002399999999</v>
      </c>
      <c r="E155" s="809">
        <v>-547.74099999999999</v>
      </c>
      <c r="F155" s="809">
        <v>-111.3818</v>
      </c>
      <c r="G155" s="807" t="s">
        <v>1114</v>
      </c>
      <c r="H155" s="807" t="s">
        <v>1114</v>
      </c>
      <c r="I155" s="807" t="s">
        <v>1114</v>
      </c>
      <c r="J155" s="807" t="s">
        <v>1114</v>
      </c>
      <c r="K155" s="807" t="s">
        <v>1114</v>
      </c>
      <c r="L155" s="807" t="s">
        <v>1114</v>
      </c>
      <c r="M155" s="807" t="s">
        <v>1114</v>
      </c>
      <c r="N155" s="807" t="s">
        <v>1114</v>
      </c>
      <c r="O155" s="807" t="s">
        <v>1114</v>
      </c>
      <c r="P155" s="807" t="s">
        <v>1114</v>
      </c>
      <c r="Q155" s="800"/>
      <c r="R155" s="800"/>
      <c r="S155" s="800"/>
      <c r="T155" s="800"/>
      <c r="U155" s="800"/>
      <c r="V155" s="800"/>
      <c r="W155" s="800"/>
      <c r="X155" s="800"/>
      <c r="Y155" s="800"/>
      <c r="Z155" s="800"/>
      <c r="AA155" s="800"/>
    </row>
    <row r="156" spans="1:27">
      <c r="A156" s="75" t="s">
        <v>1513</v>
      </c>
      <c r="B156" s="807" t="s">
        <v>1114</v>
      </c>
      <c r="C156" s="809">
        <v>-2981.37619</v>
      </c>
      <c r="D156" s="809">
        <v>-1562.4784999999999</v>
      </c>
      <c r="E156" s="809">
        <v>-551.28377999999998</v>
      </c>
      <c r="F156" s="809">
        <v>-114</v>
      </c>
      <c r="G156" s="809">
        <v>163</v>
      </c>
      <c r="H156" s="809">
        <v>364.39019999999999</v>
      </c>
      <c r="I156" s="809">
        <v>601</v>
      </c>
      <c r="J156" s="809">
        <v>1035</v>
      </c>
      <c r="K156" s="809">
        <v>1456</v>
      </c>
      <c r="L156" s="809">
        <v>1957</v>
      </c>
      <c r="M156" s="809">
        <v>2532</v>
      </c>
      <c r="N156" s="809">
        <v>3187</v>
      </c>
      <c r="O156" s="809">
        <v>3909</v>
      </c>
      <c r="P156" s="809">
        <v>4514</v>
      </c>
      <c r="Q156" s="800"/>
      <c r="R156" s="800"/>
      <c r="S156" s="800"/>
      <c r="T156" s="800"/>
      <c r="U156" s="800"/>
      <c r="V156" s="800"/>
      <c r="W156" s="800"/>
      <c r="X156" s="800"/>
      <c r="Y156" s="800"/>
      <c r="Z156" s="800"/>
      <c r="AA156" s="800"/>
    </row>
    <row r="157" spans="1:27">
      <c r="A157" s="75" t="s">
        <v>1514</v>
      </c>
      <c r="B157" s="807" t="s">
        <v>1114</v>
      </c>
      <c r="C157" s="809">
        <v>-2848</v>
      </c>
      <c r="D157" s="809">
        <v>-1245</v>
      </c>
      <c r="E157" s="809">
        <v>-446.28163999999998</v>
      </c>
      <c r="F157" s="809">
        <v>-67.590190000000007</v>
      </c>
      <c r="G157" s="809">
        <v>235</v>
      </c>
      <c r="H157" s="809">
        <v>615</v>
      </c>
      <c r="I157" s="809">
        <v>852.04499999999996</v>
      </c>
      <c r="J157" s="809">
        <v>1035</v>
      </c>
      <c r="K157" s="809">
        <v>1456</v>
      </c>
      <c r="L157" s="809">
        <v>1957</v>
      </c>
      <c r="M157" s="809">
        <v>2532</v>
      </c>
      <c r="N157" s="809">
        <v>3187</v>
      </c>
      <c r="O157" s="809">
        <v>3909</v>
      </c>
      <c r="P157" s="809">
        <v>4514</v>
      </c>
      <c r="Q157" s="800"/>
      <c r="R157" s="800"/>
      <c r="S157" s="800"/>
      <c r="T157" s="800"/>
      <c r="U157" s="800"/>
      <c r="V157" s="800"/>
      <c r="W157" s="800"/>
      <c r="X157" s="800"/>
      <c r="Y157" s="800"/>
      <c r="Z157" s="800"/>
      <c r="AA157" s="800"/>
    </row>
    <row r="158" spans="1:27">
      <c r="A158" s="75" t="s">
        <v>1515</v>
      </c>
      <c r="B158" s="807" t="s">
        <v>1114</v>
      </c>
      <c r="C158" s="809">
        <v>-3128</v>
      </c>
      <c r="D158" s="809">
        <v>-1646</v>
      </c>
      <c r="E158" s="809">
        <v>-685.8</v>
      </c>
      <c r="F158" s="809">
        <v>-145</v>
      </c>
      <c r="G158" s="809">
        <v>97</v>
      </c>
      <c r="H158" s="809">
        <v>251.37487999999999</v>
      </c>
      <c r="I158" s="809">
        <v>384.58353</v>
      </c>
      <c r="J158" s="809">
        <v>1035</v>
      </c>
      <c r="K158" s="809">
        <v>1456</v>
      </c>
      <c r="L158" s="809">
        <v>1957</v>
      </c>
      <c r="M158" s="809">
        <v>2532</v>
      </c>
      <c r="N158" s="809">
        <v>3187</v>
      </c>
      <c r="O158" s="809">
        <v>3909</v>
      </c>
      <c r="P158" s="809">
        <v>4514</v>
      </c>
      <c r="Q158" s="800"/>
      <c r="R158" s="800"/>
      <c r="S158" s="800"/>
      <c r="T158" s="800"/>
      <c r="U158" s="800"/>
      <c r="V158" s="800"/>
      <c r="W158" s="800"/>
      <c r="X158" s="800"/>
      <c r="Y158" s="800"/>
      <c r="Z158" s="800"/>
      <c r="AA158" s="800"/>
    </row>
    <row r="159" spans="1:27">
      <c r="A159" s="75" t="s">
        <v>1516</v>
      </c>
      <c r="B159" s="807" t="s">
        <v>1114</v>
      </c>
      <c r="C159" s="802">
        <v>114.35216</v>
      </c>
      <c r="D159" s="802">
        <v>110.50022</v>
      </c>
      <c r="E159" s="802">
        <v>68.682670000000002</v>
      </c>
      <c r="F159" s="802">
        <v>22.716699999999999</v>
      </c>
      <c r="G159" s="802">
        <v>29.511679999999998</v>
      </c>
      <c r="H159" s="802">
        <v>99.295169999999999</v>
      </c>
      <c r="I159" s="802">
        <v>132.24468999999999</v>
      </c>
      <c r="J159" s="802">
        <v>0</v>
      </c>
      <c r="K159" s="802">
        <v>0</v>
      </c>
      <c r="L159" s="802">
        <v>0</v>
      </c>
      <c r="M159" s="802">
        <v>0</v>
      </c>
      <c r="N159" s="802">
        <v>0</v>
      </c>
      <c r="O159" s="802">
        <v>0</v>
      </c>
      <c r="P159" s="802">
        <v>0</v>
      </c>
      <c r="Q159" s="800"/>
      <c r="R159" s="800"/>
      <c r="S159" s="800"/>
      <c r="T159" s="800"/>
      <c r="U159" s="800"/>
      <c r="V159" s="800"/>
      <c r="W159" s="800"/>
      <c r="X159" s="800"/>
      <c r="Y159" s="800"/>
      <c r="Z159" s="800"/>
      <c r="AA159" s="800"/>
    </row>
    <row r="160" spans="1:27">
      <c r="A160" s="75" t="s">
        <v>1517</v>
      </c>
      <c r="B160" s="807" t="s">
        <v>1114</v>
      </c>
      <c r="C160" s="807" t="s">
        <v>1595</v>
      </c>
      <c r="D160" s="807" t="s">
        <v>1596</v>
      </c>
      <c r="E160" s="807" t="s">
        <v>1597</v>
      </c>
      <c r="F160" s="807" t="s">
        <v>1598</v>
      </c>
      <c r="G160" s="807" t="s">
        <v>1599</v>
      </c>
      <c r="H160" s="807" t="s">
        <v>1569</v>
      </c>
      <c r="I160" s="807" t="s">
        <v>1524</v>
      </c>
      <c r="J160" s="807" t="s">
        <v>1525</v>
      </c>
      <c r="K160" s="807" t="s">
        <v>1525</v>
      </c>
      <c r="L160" s="807" t="s">
        <v>1525</v>
      </c>
      <c r="M160" s="807" t="s">
        <v>1525</v>
      </c>
      <c r="N160" s="807" t="s">
        <v>1525</v>
      </c>
      <c r="O160" s="807" t="s">
        <v>1525</v>
      </c>
      <c r="P160" s="807" t="s">
        <v>1525</v>
      </c>
      <c r="Q160" s="800"/>
      <c r="R160" s="800"/>
      <c r="S160" s="800"/>
      <c r="T160" s="800"/>
      <c r="U160" s="800"/>
      <c r="V160" s="800"/>
      <c r="W160" s="800"/>
      <c r="X160" s="800"/>
      <c r="Y160" s="800"/>
      <c r="Z160" s="800"/>
      <c r="AA160" s="800"/>
    </row>
    <row r="161" spans="1:27">
      <c r="A161" s="75" t="s">
        <v>1526</v>
      </c>
      <c r="B161" s="807" t="s">
        <v>1527</v>
      </c>
      <c r="C161" s="807" t="s">
        <v>1527</v>
      </c>
      <c r="D161" s="807" t="s">
        <v>1527</v>
      </c>
      <c r="E161" s="807" t="s">
        <v>1527</v>
      </c>
      <c r="F161" s="807" t="s">
        <v>1527</v>
      </c>
      <c r="G161" s="807" t="s">
        <v>1527</v>
      </c>
      <c r="H161" s="807" t="s">
        <v>1527</v>
      </c>
      <c r="I161" s="807" t="s">
        <v>1527</v>
      </c>
      <c r="J161" s="807" t="s">
        <v>1527</v>
      </c>
      <c r="K161" s="807" t="s">
        <v>1527</v>
      </c>
      <c r="L161" s="807" t="s">
        <v>1527</v>
      </c>
      <c r="M161" s="807" t="s">
        <v>1527</v>
      </c>
      <c r="N161" s="807" t="s">
        <v>1527</v>
      </c>
      <c r="O161" s="807" t="s">
        <v>1527</v>
      </c>
      <c r="P161" s="807" t="s">
        <v>1527</v>
      </c>
      <c r="Q161" s="800"/>
      <c r="R161" s="800"/>
      <c r="S161" s="800"/>
      <c r="T161" s="800"/>
      <c r="U161" s="800"/>
      <c r="V161" s="800"/>
      <c r="W161" s="800"/>
      <c r="X161" s="800"/>
      <c r="Y161" s="800"/>
      <c r="Z161" s="800"/>
      <c r="AA161" s="800"/>
    </row>
    <row r="162" spans="1:27">
      <c r="A162" s="806" t="s">
        <v>1600</v>
      </c>
      <c r="B162" s="807" t="s">
        <v>1114</v>
      </c>
      <c r="C162" s="808">
        <v>-2816</v>
      </c>
      <c r="D162" s="808">
        <v>-587</v>
      </c>
      <c r="E162" s="808">
        <v>-2345</v>
      </c>
      <c r="F162" s="808">
        <v>-2600</v>
      </c>
      <c r="G162" s="809">
        <v>-4689.7382799999996</v>
      </c>
      <c r="H162" s="809">
        <v>-5481.51037</v>
      </c>
      <c r="I162" s="809">
        <v>-6537.4285300000001</v>
      </c>
      <c r="J162" s="809">
        <v>-7667</v>
      </c>
      <c r="K162" s="809">
        <v>-9193</v>
      </c>
      <c r="L162" s="809">
        <v>-11189</v>
      </c>
      <c r="M162" s="809">
        <v>-13671</v>
      </c>
      <c r="N162" s="809">
        <v>-16728</v>
      </c>
      <c r="O162" s="809">
        <v>-208510</v>
      </c>
      <c r="P162" s="809">
        <v>-24957</v>
      </c>
      <c r="Q162" s="800"/>
      <c r="R162" s="800"/>
      <c r="S162" s="800"/>
      <c r="T162" s="800"/>
      <c r="U162" s="800"/>
      <c r="V162" s="800"/>
      <c r="W162" s="800"/>
      <c r="X162" s="800"/>
      <c r="Y162" s="800"/>
      <c r="Z162" s="800"/>
      <c r="AA162" s="800"/>
    </row>
    <row r="163" spans="1:27">
      <c r="A163" s="75" t="s">
        <v>1512</v>
      </c>
      <c r="B163" s="807" t="s">
        <v>1114</v>
      </c>
      <c r="C163" s="809">
        <v>-5234.5151400000004</v>
      </c>
      <c r="D163" s="809">
        <v>-3272.23351</v>
      </c>
      <c r="E163" s="809">
        <v>-3546.8112700000001</v>
      </c>
      <c r="F163" s="809">
        <v>-3079.6561099999999</v>
      </c>
      <c r="G163" s="807" t="s">
        <v>1114</v>
      </c>
      <c r="H163" s="807" t="s">
        <v>1114</v>
      </c>
      <c r="I163" s="807" t="s">
        <v>1114</v>
      </c>
      <c r="J163" s="807" t="s">
        <v>1114</v>
      </c>
      <c r="K163" s="807" t="s">
        <v>1114</v>
      </c>
      <c r="L163" s="807" t="s">
        <v>1114</v>
      </c>
      <c r="M163" s="807" t="s">
        <v>1114</v>
      </c>
      <c r="N163" s="807" t="s">
        <v>1114</v>
      </c>
      <c r="O163" s="807" t="s">
        <v>1114</v>
      </c>
      <c r="P163" s="807" t="s">
        <v>1114</v>
      </c>
      <c r="Q163" s="800"/>
      <c r="R163" s="800"/>
      <c r="S163" s="800"/>
      <c r="T163" s="800"/>
      <c r="U163" s="800"/>
      <c r="V163" s="800"/>
      <c r="W163" s="800"/>
      <c r="X163" s="800"/>
      <c r="Y163" s="800"/>
      <c r="Z163" s="800"/>
      <c r="AA163" s="800"/>
    </row>
    <row r="164" spans="1:27">
      <c r="A164" s="75" t="s">
        <v>1513</v>
      </c>
      <c r="B164" s="807" t="s">
        <v>1114</v>
      </c>
      <c r="C164" s="809">
        <v>-4997.0863900000004</v>
      </c>
      <c r="D164" s="809">
        <v>-4289.1000000000004</v>
      </c>
      <c r="E164" s="809">
        <v>-3555</v>
      </c>
      <c r="F164" s="809">
        <v>-2844.33</v>
      </c>
      <c r="G164" s="809">
        <v>-4719.5</v>
      </c>
      <c r="H164" s="809">
        <v>-5106</v>
      </c>
      <c r="I164" s="809">
        <v>-6507</v>
      </c>
      <c r="J164" s="809">
        <v>-7667</v>
      </c>
      <c r="K164" s="809">
        <v>-9193</v>
      </c>
      <c r="L164" s="809">
        <v>-11189</v>
      </c>
      <c r="M164" s="809">
        <v>-13671</v>
      </c>
      <c r="N164" s="809">
        <v>-16728</v>
      </c>
      <c r="O164" s="809">
        <v>-208510</v>
      </c>
      <c r="P164" s="809">
        <v>-24957</v>
      </c>
      <c r="Q164" s="800"/>
      <c r="R164" s="800"/>
      <c r="S164" s="800"/>
      <c r="T164" s="800"/>
      <c r="U164" s="800"/>
      <c r="V164" s="800"/>
      <c r="W164" s="800"/>
      <c r="X164" s="800"/>
      <c r="Y164" s="800"/>
      <c r="Z164" s="800"/>
      <c r="AA164" s="800"/>
    </row>
    <row r="165" spans="1:27">
      <c r="A165" s="75" t="s">
        <v>1514</v>
      </c>
      <c r="B165" s="807" t="s">
        <v>1114</v>
      </c>
      <c r="C165" s="809">
        <v>-2319.165</v>
      </c>
      <c r="D165" s="809">
        <v>-1076.5574200000001</v>
      </c>
      <c r="E165" s="809">
        <v>-562.48599999999999</v>
      </c>
      <c r="F165" s="809">
        <v>-2396.3771299999999</v>
      </c>
      <c r="G165" s="809">
        <v>-1858.3040000000001</v>
      </c>
      <c r="H165" s="809">
        <v>-2811</v>
      </c>
      <c r="I165" s="809">
        <v>-3489</v>
      </c>
      <c r="J165" s="809">
        <v>-7667</v>
      </c>
      <c r="K165" s="809">
        <v>-9193</v>
      </c>
      <c r="L165" s="809">
        <v>-11189</v>
      </c>
      <c r="M165" s="809">
        <v>-13671</v>
      </c>
      <c r="N165" s="809">
        <v>-16728</v>
      </c>
      <c r="O165" s="809">
        <v>-208510</v>
      </c>
      <c r="P165" s="809">
        <v>-24957</v>
      </c>
      <c r="Q165" s="800"/>
      <c r="R165" s="800"/>
      <c r="S165" s="800"/>
      <c r="T165" s="800"/>
      <c r="U165" s="800"/>
      <c r="V165" s="800"/>
      <c r="W165" s="800"/>
      <c r="X165" s="800"/>
      <c r="Y165" s="800"/>
      <c r="Z165" s="800"/>
      <c r="AA165" s="800"/>
    </row>
    <row r="166" spans="1:27">
      <c r="A166" s="75" t="s">
        <v>1515</v>
      </c>
      <c r="B166" s="807" t="s">
        <v>1114</v>
      </c>
      <c r="C166" s="809">
        <v>-7464.2012100000002</v>
      </c>
      <c r="D166" s="809">
        <v>-5724</v>
      </c>
      <c r="E166" s="809">
        <v>-5764.9444400000002</v>
      </c>
      <c r="F166" s="809">
        <v>-4410</v>
      </c>
      <c r="G166" s="809">
        <v>-7319</v>
      </c>
      <c r="H166" s="809">
        <v>-8317</v>
      </c>
      <c r="I166" s="809">
        <v>-9523</v>
      </c>
      <c r="J166" s="809">
        <v>-7667</v>
      </c>
      <c r="K166" s="809">
        <v>-9193</v>
      </c>
      <c r="L166" s="809">
        <v>-11189</v>
      </c>
      <c r="M166" s="809">
        <v>-13671</v>
      </c>
      <c r="N166" s="809">
        <v>-16728</v>
      </c>
      <c r="O166" s="809">
        <v>-208510</v>
      </c>
      <c r="P166" s="809">
        <v>-24957</v>
      </c>
      <c r="Q166" s="800"/>
      <c r="R166" s="800"/>
      <c r="S166" s="800"/>
      <c r="T166" s="800"/>
      <c r="U166" s="800"/>
      <c r="V166" s="800"/>
      <c r="W166" s="800"/>
      <c r="X166" s="800"/>
      <c r="Y166" s="800"/>
      <c r="Z166" s="800"/>
      <c r="AA166" s="800"/>
    </row>
    <row r="167" spans="1:27">
      <c r="A167" s="75" t="s">
        <v>1516</v>
      </c>
      <c r="B167" s="807" t="s">
        <v>1114</v>
      </c>
      <c r="C167" s="802">
        <v>1634.5881899999999</v>
      </c>
      <c r="D167" s="802">
        <v>1766.3456900000001</v>
      </c>
      <c r="E167" s="802">
        <v>1715.9068400000001</v>
      </c>
      <c r="F167" s="802">
        <v>745.36922000000004</v>
      </c>
      <c r="G167" s="802">
        <v>1820.0648100000001</v>
      </c>
      <c r="H167" s="802">
        <v>1810.2424000000001</v>
      </c>
      <c r="I167" s="802">
        <v>2079.7143999999998</v>
      </c>
      <c r="J167" s="802">
        <v>0</v>
      </c>
      <c r="K167" s="802">
        <v>0</v>
      </c>
      <c r="L167" s="802">
        <v>0</v>
      </c>
      <c r="M167" s="802">
        <v>0</v>
      </c>
      <c r="N167" s="802">
        <v>0</v>
      </c>
      <c r="O167" s="802">
        <v>0</v>
      </c>
      <c r="P167" s="802">
        <v>0</v>
      </c>
      <c r="Q167" s="800"/>
      <c r="R167" s="800"/>
      <c r="S167" s="800"/>
      <c r="T167" s="800"/>
      <c r="U167" s="800"/>
      <c r="V167" s="800"/>
      <c r="W167" s="800"/>
      <c r="X167" s="800"/>
      <c r="Y167" s="800"/>
      <c r="Z167" s="800"/>
      <c r="AA167" s="800"/>
    </row>
    <row r="168" spans="1:27">
      <c r="A168" s="75" t="s">
        <v>1517</v>
      </c>
      <c r="B168" s="807" t="s">
        <v>1114</v>
      </c>
      <c r="C168" s="807" t="s">
        <v>1554</v>
      </c>
      <c r="D168" s="807" t="s">
        <v>1601</v>
      </c>
      <c r="E168" s="807" t="s">
        <v>1580</v>
      </c>
      <c r="F168" s="807" t="s">
        <v>1602</v>
      </c>
      <c r="G168" s="807" t="s">
        <v>1603</v>
      </c>
      <c r="H168" s="807" t="s">
        <v>1603</v>
      </c>
      <c r="I168" s="807" t="s">
        <v>1580</v>
      </c>
      <c r="J168" s="807" t="s">
        <v>1525</v>
      </c>
      <c r="K168" s="807" t="s">
        <v>1525</v>
      </c>
      <c r="L168" s="807" t="s">
        <v>1525</v>
      </c>
      <c r="M168" s="807" t="s">
        <v>1525</v>
      </c>
      <c r="N168" s="807" t="s">
        <v>1525</v>
      </c>
      <c r="O168" s="807" t="s">
        <v>1525</v>
      </c>
      <c r="P168" s="807" t="s">
        <v>1525</v>
      </c>
      <c r="Q168" s="800"/>
      <c r="R168" s="800"/>
      <c r="S168" s="800"/>
      <c r="T168" s="800"/>
      <c r="U168" s="800"/>
      <c r="V168" s="800"/>
      <c r="W168" s="800"/>
      <c r="X168" s="800"/>
      <c r="Y168" s="800"/>
      <c r="Z168" s="800"/>
      <c r="AA168" s="800"/>
    </row>
    <row r="169" spans="1:27">
      <c r="A169" s="75" t="s">
        <v>1526</v>
      </c>
      <c r="B169" s="807" t="s">
        <v>1114</v>
      </c>
      <c r="C169" s="807" t="s">
        <v>1527</v>
      </c>
      <c r="D169" s="807" t="s">
        <v>1527</v>
      </c>
      <c r="E169" s="807" t="s">
        <v>1527</v>
      </c>
      <c r="F169" s="807" t="s">
        <v>1527</v>
      </c>
      <c r="G169" s="807" t="s">
        <v>1527</v>
      </c>
      <c r="H169" s="807" t="s">
        <v>1527</v>
      </c>
      <c r="I169" s="807" t="s">
        <v>1527</v>
      </c>
      <c r="J169" s="807" t="s">
        <v>1527</v>
      </c>
      <c r="K169" s="807" t="s">
        <v>1527</v>
      </c>
      <c r="L169" s="807" t="s">
        <v>1527</v>
      </c>
      <c r="M169" s="807" t="s">
        <v>1527</v>
      </c>
      <c r="N169" s="807" t="s">
        <v>1527</v>
      </c>
      <c r="O169" s="807" t="s">
        <v>1527</v>
      </c>
      <c r="P169" s="807" t="s">
        <v>1527</v>
      </c>
      <c r="Q169" s="800"/>
      <c r="R169" s="800"/>
      <c r="S169" s="800"/>
      <c r="T169" s="800"/>
      <c r="U169" s="800"/>
      <c r="V169" s="800"/>
      <c r="W169" s="800"/>
      <c r="X169" s="800"/>
      <c r="Y169" s="800"/>
      <c r="Z169" s="800"/>
      <c r="AA169" s="800"/>
    </row>
    <row r="170" spans="1:27">
      <c r="A170" s="806" t="s">
        <v>1604</v>
      </c>
      <c r="B170" s="807" t="s">
        <v>1114</v>
      </c>
      <c r="C170" s="808">
        <v>7344</v>
      </c>
      <c r="D170" s="808">
        <v>5753</v>
      </c>
      <c r="E170" s="808">
        <v>5552</v>
      </c>
      <c r="F170" s="808">
        <v>5424</v>
      </c>
      <c r="G170" s="809">
        <v>5429.9319400000004</v>
      </c>
      <c r="H170" s="809">
        <v>5675.9191199999996</v>
      </c>
      <c r="I170" s="809">
        <v>6181.04241</v>
      </c>
      <c r="J170" s="807" t="s">
        <v>1114</v>
      </c>
      <c r="K170" s="807" t="s">
        <v>1114</v>
      </c>
      <c r="L170" s="807" t="s">
        <v>1114</v>
      </c>
      <c r="M170" s="807" t="s">
        <v>1114</v>
      </c>
      <c r="N170" s="807" t="s">
        <v>1114</v>
      </c>
      <c r="O170" s="807" t="s">
        <v>1114</v>
      </c>
      <c r="P170" s="807" t="s">
        <v>1114</v>
      </c>
      <c r="Q170" s="800"/>
      <c r="R170" s="800"/>
      <c r="S170" s="800"/>
      <c r="T170" s="800"/>
      <c r="U170" s="800"/>
      <c r="V170" s="800"/>
      <c r="W170" s="800"/>
      <c r="X170" s="800"/>
      <c r="Y170" s="800"/>
      <c r="Z170" s="800"/>
      <c r="AA170" s="800"/>
    </row>
    <row r="171" spans="1:27">
      <c r="A171" s="75" t="s">
        <v>1512</v>
      </c>
      <c r="B171" s="807" t="s">
        <v>1114</v>
      </c>
      <c r="C171" s="809">
        <v>7346.7529100000002</v>
      </c>
      <c r="D171" s="809">
        <v>6167.2882099999997</v>
      </c>
      <c r="E171" s="809">
        <v>5159.5151999999998</v>
      </c>
      <c r="F171" s="809">
        <v>5434.4638100000002</v>
      </c>
      <c r="G171" s="807" t="s">
        <v>1114</v>
      </c>
      <c r="H171" s="807" t="s">
        <v>1114</v>
      </c>
      <c r="I171" s="807" t="s">
        <v>1114</v>
      </c>
      <c r="J171" s="807" t="s">
        <v>1114</v>
      </c>
      <c r="K171" s="807" t="s">
        <v>1114</v>
      </c>
      <c r="L171" s="807" t="s">
        <v>1114</v>
      </c>
      <c r="M171" s="807" t="s">
        <v>1114</v>
      </c>
      <c r="N171" s="807" t="s">
        <v>1114</v>
      </c>
      <c r="O171" s="807" t="s">
        <v>1114</v>
      </c>
      <c r="P171" s="807" t="s">
        <v>1114</v>
      </c>
      <c r="Q171" s="800"/>
      <c r="R171" s="800"/>
      <c r="S171" s="800"/>
      <c r="T171" s="800"/>
      <c r="U171" s="800"/>
      <c r="V171" s="800"/>
      <c r="W171" s="800"/>
      <c r="X171" s="800"/>
      <c r="Y171" s="800"/>
      <c r="Z171" s="800"/>
      <c r="AA171" s="800"/>
    </row>
    <row r="172" spans="1:27">
      <c r="A172" s="75" t="s">
        <v>1513</v>
      </c>
      <c r="B172" s="807" t="s">
        <v>1114</v>
      </c>
      <c r="C172" s="809">
        <v>7346.7529100000002</v>
      </c>
      <c r="D172" s="809">
        <v>6167.2882099999997</v>
      </c>
      <c r="E172" s="809">
        <v>5159.5151999999998</v>
      </c>
      <c r="F172" s="809">
        <v>5434.4638100000002</v>
      </c>
      <c r="G172" s="809">
        <v>5429.9319400000004</v>
      </c>
      <c r="H172" s="809">
        <v>5675.9191199999996</v>
      </c>
      <c r="I172" s="809">
        <v>6181.04241</v>
      </c>
      <c r="J172" s="807" t="s">
        <v>1114</v>
      </c>
      <c r="K172" s="807" t="s">
        <v>1114</v>
      </c>
      <c r="L172" s="807" t="s">
        <v>1114</v>
      </c>
      <c r="M172" s="807" t="s">
        <v>1114</v>
      </c>
      <c r="N172" s="807" t="s">
        <v>1114</v>
      </c>
      <c r="O172" s="807" t="s">
        <v>1114</v>
      </c>
      <c r="P172" s="807" t="s">
        <v>1114</v>
      </c>
      <c r="Q172" s="800"/>
      <c r="R172" s="800"/>
      <c r="S172" s="800"/>
      <c r="T172" s="800"/>
      <c r="U172" s="800"/>
      <c r="V172" s="800"/>
      <c r="W172" s="800"/>
      <c r="X172" s="800"/>
      <c r="Y172" s="800"/>
      <c r="Z172" s="800"/>
      <c r="AA172" s="800"/>
    </row>
    <row r="173" spans="1:27">
      <c r="A173" s="75" t="s">
        <v>1514</v>
      </c>
      <c r="B173" s="807" t="s">
        <v>1114</v>
      </c>
      <c r="C173" s="809">
        <v>7346.7529100000002</v>
      </c>
      <c r="D173" s="809">
        <v>6167.2882099999997</v>
      </c>
      <c r="E173" s="809">
        <v>5159.5151999999998</v>
      </c>
      <c r="F173" s="809">
        <v>5434.4638100000002</v>
      </c>
      <c r="G173" s="809">
        <v>5429.9319400000004</v>
      </c>
      <c r="H173" s="809">
        <v>5675.9191199999996</v>
      </c>
      <c r="I173" s="809">
        <v>6181.04241</v>
      </c>
      <c r="J173" s="807" t="s">
        <v>1114</v>
      </c>
      <c r="K173" s="807" t="s">
        <v>1114</v>
      </c>
      <c r="L173" s="807" t="s">
        <v>1114</v>
      </c>
      <c r="M173" s="807" t="s">
        <v>1114</v>
      </c>
      <c r="N173" s="807" t="s">
        <v>1114</v>
      </c>
      <c r="O173" s="807" t="s">
        <v>1114</v>
      </c>
      <c r="P173" s="807" t="s">
        <v>1114</v>
      </c>
      <c r="Q173" s="800"/>
      <c r="R173" s="800"/>
      <c r="S173" s="800"/>
      <c r="T173" s="800"/>
      <c r="U173" s="800"/>
      <c r="V173" s="800"/>
      <c r="W173" s="800"/>
      <c r="X173" s="800"/>
      <c r="Y173" s="800"/>
      <c r="Z173" s="800"/>
      <c r="AA173" s="800"/>
    </row>
    <row r="174" spans="1:27">
      <c r="A174" s="75" t="s">
        <v>1515</v>
      </c>
      <c r="B174" s="807" t="s">
        <v>1114</v>
      </c>
      <c r="C174" s="809">
        <v>7346.7529100000002</v>
      </c>
      <c r="D174" s="809">
        <v>6167.2882099999997</v>
      </c>
      <c r="E174" s="809">
        <v>5159.5151999999998</v>
      </c>
      <c r="F174" s="809">
        <v>5434.4638100000002</v>
      </c>
      <c r="G174" s="809">
        <v>5429.9319400000004</v>
      </c>
      <c r="H174" s="809">
        <v>5675.9191199999996</v>
      </c>
      <c r="I174" s="809">
        <v>6181.04241</v>
      </c>
      <c r="J174" s="807" t="s">
        <v>1114</v>
      </c>
      <c r="K174" s="807" t="s">
        <v>1114</v>
      </c>
      <c r="L174" s="807" t="s">
        <v>1114</v>
      </c>
      <c r="M174" s="807" t="s">
        <v>1114</v>
      </c>
      <c r="N174" s="807" t="s">
        <v>1114</v>
      </c>
      <c r="O174" s="807" t="s">
        <v>1114</v>
      </c>
      <c r="P174" s="807" t="s">
        <v>1114</v>
      </c>
      <c r="Q174" s="800"/>
      <c r="R174" s="800"/>
      <c r="S174" s="800"/>
      <c r="T174" s="800"/>
      <c r="U174" s="800"/>
      <c r="V174" s="800"/>
      <c r="W174" s="800"/>
      <c r="X174" s="800"/>
      <c r="Y174" s="800"/>
      <c r="Z174" s="800"/>
      <c r="AA174" s="800"/>
    </row>
    <row r="175" spans="1:27">
      <c r="A175" s="75" t="s">
        <v>1516</v>
      </c>
      <c r="B175" s="807" t="s">
        <v>1114</v>
      </c>
      <c r="C175" s="802">
        <v>0</v>
      </c>
      <c r="D175" s="802">
        <v>0</v>
      </c>
      <c r="E175" s="802">
        <v>0</v>
      </c>
      <c r="F175" s="802">
        <v>0</v>
      </c>
      <c r="G175" s="802">
        <v>0</v>
      </c>
      <c r="H175" s="802">
        <v>0</v>
      </c>
      <c r="I175" s="802">
        <v>0</v>
      </c>
      <c r="J175" s="807" t="s">
        <v>1114</v>
      </c>
      <c r="K175" s="807" t="s">
        <v>1114</v>
      </c>
      <c r="L175" s="807" t="s">
        <v>1114</v>
      </c>
      <c r="M175" s="807" t="s">
        <v>1114</v>
      </c>
      <c r="N175" s="807" t="s">
        <v>1114</v>
      </c>
      <c r="O175" s="807" t="s">
        <v>1114</v>
      </c>
      <c r="P175" s="807" t="s">
        <v>1114</v>
      </c>
      <c r="Q175" s="800"/>
      <c r="R175" s="800"/>
      <c r="S175" s="800"/>
      <c r="T175" s="800"/>
      <c r="U175" s="800"/>
      <c r="V175" s="800"/>
      <c r="W175" s="800"/>
      <c r="X175" s="800"/>
      <c r="Y175" s="800"/>
      <c r="Z175" s="800"/>
      <c r="AA175" s="800"/>
    </row>
    <row r="176" spans="1:27">
      <c r="A176" s="75" t="s">
        <v>1517</v>
      </c>
      <c r="B176" s="807" t="s">
        <v>1114</v>
      </c>
      <c r="C176" s="807" t="s">
        <v>1525</v>
      </c>
      <c r="D176" s="807" t="s">
        <v>1525</v>
      </c>
      <c r="E176" s="807" t="s">
        <v>1525</v>
      </c>
      <c r="F176" s="807" t="s">
        <v>1525</v>
      </c>
      <c r="G176" s="807" t="s">
        <v>1525</v>
      </c>
      <c r="H176" s="807" t="s">
        <v>1525</v>
      </c>
      <c r="I176" s="807" t="s">
        <v>1525</v>
      </c>
      <c r="J176" s="807" t="s">
        <v>1114</v>
      </c>
      <c r="K176" s="807" t="s">
        <v>1114</v>
      </c>
      <c r="L176" s="807" t="s">
        <v>1114</v>
      </c>
      <c r="M176" s="807" t="s">
        <v>1114</v>
      </c>
      <c r="N176" s="807" t="s">
        <v>1114</v>
      </c>
      <c r="O176" s="807" t="s">
        <v>1114</v>
      </c>
      <c r="P176" s="807" t="s">
        <v>1114</v>
      </c>
      <c r="Q176" s="800"/>
      <c r="R176" s="800"/>
      <c r="S176" s="800"/>
      <c r="T176" s="800"/>
      <c r="U176" s="800"/>
      <c r="V176" s="800"/>
      <c r="W176" s="800"/>
      <c r="X176" s="800"/>
      <c r="Y176" s="800"/>
      <c r="Z176" s="800"/>
      <c r="AA176" s="800"/>
    </row>
    <row r="177" spans="1:27">
      <c r="A177" s="75" t="s">
        <v>1526</v>
      </c>
      <c r="B177" s="807" t="s">
        <v>1114</v>
      </c>
      <c r="C177" s="807" t="s">
        <v>1527</v>
      </c>
      <c r="D177" s="807" t="s">
        <v>1527</v>
      </c>
      <c r="E177" s="807" t="s">
        <v>1527</v>
      </c>
      <c r="F177" s="807" t="s">
        <v>1527</v>
      </c>
      <c r="G177" s="807" t="s">
        <v>1527</v>
      </c>
      <c r="H177" s="807" t="s">
        <v>1527</v>
      </c>
      <c r="I177" s="807" t="s">
        <v>1527</v>
      </c>
      <c r="J177" s="807" t="s">
        <v>1114</v>
      </c>
      <c r="K177" s="807" t="s">
        <v>1114</v>
      </c>
      <c r="L177" s="807" t="s">
        <v>1114</v>
      </c>
      <c r="M177" s="807" t="s">
        <v>1114</v>
      </c>
      <c r="N177" s="807" t="s">
        <v>1114</v>
      </c>
      <c r="O177" s="807" t="s">
        <v>1114</v>
      </c>
      <c r="P177" s="807" t="s">
        <v>1114</v>
      </c>
      <c r="Q177" s="800"/>
      <c r="R177" s="800"/>
      <c r="S177" s="800"/>
      <c r="T177" s="800"/>
      <c r="U177" s="800"/>
      <c r="V177" s="800"/>
      <c r="W177" s="800"/>
      <c r="X177" s="800"/>
      <c r="Y177" s="800"/>
      <c r="Z177" s="800"/>
      <c r="AA177" s="800"/>
    </row>
    <row r="178" spans="1:27">
      <c r="A178" s="806" t="s">
        <v>1605</v>
      </c>
      <c r="B178" s="807" t="s">
        <v>1114</v>
      </c>
      <c r="C178" s="808">
        <v>345</v>
      </c>
      <c r="D178" s="808">
        <v>150</v>
      </c>
      <c r="E178" s="808">
        <v>145</v>
      </c>
      <c r="F178" s="808">
        <v>147</v>
      </c>
      <c r="G178" s="809">
        <v>157.66999999999999</v>
      </c>
      <c r="H178" s="809">
        <v>157.99091000000001</v>
      </c>
      <c r="I178" s="809">
        <v>164.4</v>
      </c>
      <c r="J178" s="807" t="s">
        <v>1114</v>
      </c>
      <c r="K178" s="807" t="s">
        <v>1114</v>
      </c>
      <c r="L178" s="807" t="s">
        <v>1114</v>
      </c>
      <c r="M178" s="807" t="s">
        <v>1114</v>
      </c>
      <c r="N178" s="807" t="s">
        <v>1114</v>
      </c>
      <c r="O178" s="807" t="s">
        <v>1114</v>
      </c>
      <c r="P178" s="807" t="s">
        <v>1114</v>
      </c>
      <c r="Q178" s="800"/>
      <c r="R178" s="800"/>
      <c r="S178" s="800"/>
      <c r="T178" s="800"/>
      <c r="U178" s="800"/>
      <c r="V178" s="800"/>
      <c r="W178" s="800"/>
      <c r="X178" s="800"/>
      <c r="Y178" s="800"/>
      <c r="Z178" s="800"/>
      <c r="AA178" s="800"/>
    </row>
    <row r="179" spans="1:27">
      <c r="A179" s="75" t="s">
        <v>1512</v>
      </c>
      <c r="B179" s="807" t="s">
        <v>1114</v>
      </c>
      <c r="C179" s="809">
        <v>334.54</v>
      </c>
      <c r="D179" s="809">
        <v>189.14444</v>
      </c>
      <c r="E179" s="809">
        <v>148.82499999999999</v>
      </c>
      <c r="F179" s="809">
        <v>147.06833</v>
      </c>
      <c r="G179" s="807" t="s">
        <v>1114</v>
      </c>
      <c r="H179" s="807" t="s">
        <v>1114</v>
      </c>
      <c r="I179" s="807" t="s">
        <v>1114</v>
      </c>
      <c r="J179" s="807" t="s">
        <v>1114</v>
      </c>
      <c r="K179" s="807" t="s">
        <v>1114</v>
      </c>
      <c r="L179" s="807" t="s">
        <v>1114</v>
      </c>
      <c r="M179" s="807" t="s">
        <v>1114</v>
      </c>
      <c r="N179" s="807" t="s">
        <v>1114</v>
      </c>
      <c r="O179" s="807" t="s">
        <v>1114</v>
      </c>
      <c r="P179" s="807" t="s">
        <v>1114</v>
      </c>
      <c r="Q179" s="800"/>
      <c r="R179" s="800"/>
      <c r="S179" s="800"/>
      <c r="T179" s="800"/>
      <c r="U179" s="800"/>
      <c r="V179" s="800"/>
      <c r="W179" s="800"/>
      <c r="X179" s="800"/>
      <c r="Y179" s="800"/>
      <c r="Z179" s="800"/>
      <c r="AA179" s="800"/>
    </row>
    <row r="180" spans="1:27">
      <c r="A180" s="75" t="s">
        <v>1513</v>
      </c>
      <c r="B180" s="807" t="s">
        <v>1114</v>
      </c>
      <c r="C180" s="809">
        <v>338</v>
      </c>
      <c r="D180" s="809">
        <v>146.6</v>
      </c>
      <c r="E180" s="809">
        <v>145.80000000000001</v>
      </c>
      <c r="F180" s="809">
        <v>148.35</v>
      </c>
      <c r="G180" s="809">
        <v>153</v>
      </c>
      <c r="H180" s="809">
        <v>155</v>
      </c>
      <c r="I180" s="809">
        <v>157.5</v>
      </c>
      <c r="J180" s="807" t="s">
        <v>1114</v>
      </c>
      <c r="K180" s="807" t="s">
        <v>1114</v>
      </c>
      <c r="L180" s="807" t="s">
        <v>1114</v>
      </c>
      <c r="M180" s="807" t="s">
        <v>1114</v>
      </c>
      <c r="N180" s="807" t="s">
        <v>1114</v>
      </c>
      <c r="O180" s="807" t="s">
        <v>1114</v>
      </c>
      <c r="P180" s="807" t="s">
        <v>1114</v>
      </c>
      <c r="Q180" s="800"/>
      <c r="R180" s="800"/>
      <c r="S180" s="800"/>
      <c r="T180" s="800"/>
      <c r="U180" s="800"/>
      <c r="V180" s="800"/>
      <c r="W180" s="800"/>
      <c r="X180" s="800"/>
      <c r="Y180" s="800"/>
      <c r="Z180" s="800"/>
      <c r="AA180" s="800"/>
    </row>
    <row r="181" spans="1:27">
      <c r="A181" s="75" t="s">
        <v>1514</v>
      </c>
      <c r="B181" s="807" t="s">
        <v>1114</v>
      </c>
      <c r="C181" s="809">
        <v>391</v>
      </c>
      <c r="D181" s="809">
        <v>402</v>
      </c>
      <c r="E181" s="809">
        <v>159</v>
      </c>
      <c r="F181" s="809">
        <v>163.30000000000001</v>
      </c>
      <c r="G181" s="809">
        <v>173</v>
      </c>
      <c r="H181" s="809">
        <v>185</v>
      </c>
      <c r="I181" s="809">
        <v>212</v>
      </c>
      <c r="J181" s="807" t="s">
        <v>1114</v>
      </c>
      <c r="K181" s="807" t="s">
        <v>1114</v>
      </c>
      <c r="L181" s="807" t="s">
        <v>1114</v>
      </c>
      <c r="M181" s="807" t="s">
        <v>1114</v>
      </c>
      <c r="N181" s="807" t="s">
        <v>1114</v>
      </c>
      <c r="O181" s="807" t="s">
        <v>1114</v>
      </c>
      <c r="P181" s="807" t="s">
        <v>1114</v>
      </c>
      <c r="Q181" s="800"/>
      <c r="R181" s="800"/>
      <c r="S181" s="800"/>
      <c r="T181" s="800"/>
      <c r="U181" s="800"/>
      <c r="V181" s="800"/>
      <c r="W181" s="800"/>
      <c r="X181" s="800"/>
      <c r="Y181" s="800"/>
      <c r="Z181" s="800"/>
      <c r="AA181" s="800"/>
    </row>
    <row r="182" spans="1:27">
      <c r="A182" s="75" t="s">
        <v>1515</v>
      </c>
      <c r="B182" s="807" t="s">
        <v>1114</v>
      </c>
      <c r="C182" s="809">
        <v>285</v>
      </c>
      <c r="D182" s="809">
        <v>113.7</v>
      </c>
      <c r="E182" s="809">
        <v>143</v>
      </c>
      <c r="F182" s="809">
        <v>118</v>
      </c>
      <c r="G182" s="809">
        <v>142</v>
      </c>
      <c r="H182" s="809">
        <v>122</v>
      </c>
      <c r="I182" s="809">
        <v>124</v>
      </c>
      <c r="J182" s="807" t="s">
        <v>1114</v>
      </c>
      <c r="K182" s="807" t="s">
        <v>1114</v>
      </c>
      <c r="L182" s="807" t="s">
        <v>1114</v>
      </c>
      <c r="M182" s="807" t="s">
        <v>1114</v>
      </c>
      <c r="N182" s="807" t="s">
        <v>1114</v>
      </c>
      <c r="O182" s="807" t="s">
        <v>1114</v>
      </c>
      <c r="P182" s="807" t="s">
        <v>1114</v>
      </c>
      <c r="Q182" s="800"/>
      <c r="R182" s="800"/>
      <c r="S182" s="800"/>
      <c r="T182" s="800"/>
      <c r="U182" s="800"/>
      <c r="V182" s="800"/>
      <c r="W182" s="800"/>
      <c r="X182" s="800"/>
      <c r="Y182" s="800"/>
      <c r="Z182" s="800"/>
      <c r="AA182" s="800"/>
    </row>
    <row r="183" spans="1:27">
      <c r="A183" s="75" t="s">
        <v>1516</v>
      </c>
      <c r="B183" s="807" t="s">
        <v>1114</v>
      </c>
      <c r="C183" s="802">
        <v>34.333750000000002</v>
      </c>
      <c r="D183" s="802">
        <v>97.365669999999994</v>
      </c>
      <c r="E183" s="802">
        <v>5.8235999999999999</v>
      </c>
      <c r="F183" s="802">
        <v>9.7875599999999991</v>
      </c>
      <c r="G183" s="802">
        <v>10.76383</v>
      </c>
      <c r="H183" s="802">
        <v>17.59496</v>
      </c>
      <c r="I183" s="802">
        <v>26.338560000000001</v>
      </c>
      <c r="J183" s="807" t="s">
        <v>1114</v>
      </c>
      <c r="K183" s="807" t="s">
        <v>1114</v>
      </c>
      <c r="L183" s="807" t="s">
        <v>1114</v>
      </c>
      <c r="M183" s="807" t="s">
        <v>1114</v>
      </c>
      <c r="N183" s="807" t="s">
        <v>1114</v>
      </c>
      <c r="O183" s="807" t="s">
        <v>1114</v>
      </c>
      <c r="P183" s="807" t="s">
        <v>1114</v>
      </c>
      <c r="Q183" s="800"/>
      <c r="R183" s="800"/>
      <c r="S183" s="800"/>
      <c r="T183" s="800"/>
      <c r="U183" s="800"/>
      <c r="V183" s="800"/>
      <c r="W183" s="800"/>
      <c r="X183" s="800"/>
      <c r="Y183" s="800"/>
      <c r="Z183" s="800"/>
      <c r="AA183" s="800"/>
    </row>
    <row r="184" spans="1:27">
      <c r="A184" s="75" t="s">
        <v>1517</v>
      </c>
      <c r="B184" s="807" t="s">
        <v>1114</v>
      </c>
      <c r="C184" s="807" t="s">
        <v>1539</v>
      </c>
      <c r="D184" s="807" t="s">
        <v>1606</v>
      </c>
      <c r="E184" s="807" t="s">
        <v>1607</v>
      </c>
      <c r="F184" s="807" t="s">
        <v>1547</v>
      </c>
      <c r="G184" s="807" t="s">
        <v>1529</v>
      </c>
      <c r="H184" s="807" t="s">
        <v>1545</v>
      </c>
      <c r="I184" s="807" t="s">
        <v>1541</v>
      </c>
      <c r="J184" s="807" t="s">
        <v>1114</v>
      </c>
      <c r="K184" s="807" t="s">
        <v>1114</v>
      </c>
      <c r="L184" s="807" t="s">
        <v>1114</v>
      </c>
      <c r="M184" s="807" t="s">
        <v>1114</v>
      </c>
      <c r="N184" s="807" t="s">
        <v>1114</v>
      </c>
      <c r="O184" s="807" t="s">
        <v>1114</v>
      </c>
      <c r="P184" s="807" t="s">
        <v>1114</v>
      </c>
      <c r="Q184" s="800"/>
      <c r="R184" s="800"/>
      <c r="S184" s="800"/>
      <c r="T184" s="800"/>
      <c r="U184" s="800"/>
      <c r="V184" s="800"/>
      <c r="W184" s="800"/>
      <c r="X184" s="800"/>
      <c r="Y184" s="800"/>
      <c r="Z184" s="800"/>
      <c r="AA184" s="800"/>
    </row>
    <row r="185" spans="1:27">
      <c r="A185" s="75" t="s">
        <v>1526</v>
      </c>
      <c r="B185" s="807" t="s">
        <v>1114</v>
      </c>
      <c r="C185" s="807" t="s">
        <v>1527</v>
      </c>
      <c r="D185" s="807" t="s">
        <v>1527</v>
      </c>
      <c r="E185" s="807" t="s">
        <v>1527</v>
      </c>
      <c r="F185" s="807" t="s">
        <v>1527</v>
      </c>
      <c r="G185" s="807" t="s">
        <v>1527</v>
      </c>
      <c r="H185" s="807" t="s">
        <v>1527</v>
      </c>
      <c r="I185" s="807" t="s">
        <v>1527</v>
      </c>
      <c r="J185" s="807" t="s">
        <v>1114</v>
      </c>
      <c r="K185" s="807" t="s">
        <v>1114</v>
      </c>
      <c r="L185" s="807" t="s">
        <v>1114</v>
      </c>
      <c r="M185" s="807" t="s">
        <v>1114</v>
      </c>
      <c r="N185" s="807" t="s">
        <v>1114</v>
      </c>
      <c r="O185" s="807" t="s">
        <v>1114</v>
      </c>
      <c r="P185" s="807" t="s">
        <v>1114</v>
      </c>
      <c r="Q185" s="800"/>
      <c r="R185" s="800"/>
      <c r="S185" s="800"/>
      <c r="T185" s="800"/>
      <c r="U185" s="800"/>
      <c r="V185" s="800"/>
      <c r="W185" s="800"/>
      <c r="X185" s="800"/>
      <c r="Y185" s="800"/>
      <c r="Z185" s="800"/>
      <c r="AA185" s="800"/>
    </row>
    <row r="186" spans="1:27">
      <c r="A186" s="806" t="s">
        <v>1608</v>
      </c>
      <c r="B186" s="807" t="s">
        <v>1114</v>
      </c>
      <c r="C186" s="808">
        <v>-938</v>
      </c>
      <c r="D186" s="808">
        <v>-819</v>
      </c>
      <c r="E186" s="808">
        <v>86</v>
      </c>
      <c r="F186" s="808">
        <v>852</v>
      </c>
      <c r="G186" s="809">
        <v>439.57143000000002</v>
      </c>
      <c r="H186" s="809">
        <v>748.06922999999995</v>
      </c>
      <c r="I186" s="809">
        <v>1038.4222199999999</v>
      </c>
      <c r="J186" s="809">
        <v>1485</v>
      </c>
      <c r="K186" s="809">
        <v>1861</v>
      </c>
      <c r="L186" s="809">
        <v>2342</v>
      </c>
      <c r="M186" s="809">
        <v>2846</v>
      </c>
      <c r="N186" s="809">
        <v>3439</v>
      </c>
      <c r="O186" s="809">
        <v>4190</v>
      </c>
      <c r="P186" s="809">
        <v>4926</v>
      </c>
      <c r="Q186" s="800"/>
      <c r="R186" s="800"/>
      <c r="S186" s="800"/>
      <c r="T186" s="800"/>
      <c r="U186" s="800"/>
      <c r="V186" s="800"/>
      <c r="W186" s="800"/>
      <c r="X186" s="800"/>
      <c r="Y186" s="800"/>
      <c r="Z186" s="800"/>
      <c r="AA186" s="800"/>
    </row>
    <row r="187" spans="1:27">
      <c r="A187" s="75" t="s">
        <v>1512</v>
      </c>
      <c r="B187" s="807" t="s">
        <v>1114</v>
      </c>
      <c r="C187" s="809">
        <v>-925.28570999999999</v>
      </c>
      <c r="D187" s="809">
        <v>-1059.86923</v>
      </c>
      <c r="E187" s="809">
        <v>-225.46091000000001</v>
      </c>
      <c r="F187" s="809">
        <v>627.38714000000004</v>
      </c>
      <c r="G187" s="807" t="s">
        <v>1114</v>
      </c>
      <c r="H187" s="807" t="s">
        <v>1114</v>
      </c>
      <c r="I187" s="807" t="s">
        <v>1114</v>
      </c>
      <c r="J187" s="807" t="s">
        <v>1114</v>
      </c>
      <c r="K187" s="807" t="s">
        <v>1114</v>
      </c>
      <c r="L187" s="807" t="s">
        <v>1114</v>
      </c>
      <c r="M187" s="807" t="s">
        <v>1114</v>
      </c>
      <c r="N187" s="807" t="s">
        <v>1114</v>
      </c>
      <c r="O187" s="807" t="s">
        <v>1114</v>
      </c>
      <c r="P187" s="807" t="s">
        <v>1114</v>
      </c>
      <c r="Q187" s="800"/>
      <c r="R187" s="800"/>
      <c r="S187" s="800"/>
      <c r="T187" s="800"/>
      <c r="U187" s="800"/>
      <c r="V187" s="800"/>
      <c r="W187" s="800"/>
      <c r="X187" s="800"/>
      <c r="Y187" s="800"/>
      <c r="Z187" s="800"/>
      <c r="AA187" s="800"/>
    </row>
    <row r="188" spans="1:27">
      <c r="A188" s="75" t="s">
        <v>1513</v>
      </c>
      <c r="B188" s="807" t="s">
        <v>1114</v>
      </c>
      <c r="C188" s="809">
        <v>-763</v>
      </c>
      <c r="D188" s="809">
        <v>-980</v>
      </c>
      <c r="E188" s="809">
        <v>-143</v>
      </c>
      <c r="F188" s="809">
        <v>660</v>
      </c>
      <c r="G188" s="809">
        <v>458</v>
      </c>
      <c r="H188" s="809">
        <v>710</v>
      </c>
      <c r="I188" s="809">
        <v>976</v>
      </c>
      <c r="J188" s="809">
        <v>1485</v>
      </c>
      <c r="K188" s="809">
        <v>1861</v>
      </c>
      <c r="L188" s="809">
        <v>2342</v>
      </c>
      <c r="M188" s="809">
        <v>2846</v>
      </c>
      <c r="N188" s="809">
        <v>3439</v>
      </c>
      <c r="O188" s="809">
        <v>4190</v>
      </c>
      <c r="P188" s="809">
        <v>4926</v>
      </c>
      <c r="Q188" s="800"/>
      <c r="R188" s="800"/>
      <c r="S188" s="800"/>
      <c r="T188" s="800"/>
      <c r="U188" s="800"/>
      <c r="V188" s="800"/>
      <c r="W188" s="800"/>
      <c r="X188" s="800"/>
      <c r="Y188" s="800"/>
      <c r="Z188" s="800"/>
      <c r="AA188" s="800"/>
    </row>
    <row r="189" spans="1:27">
      <c r="A189" s="75" t="s">
        <v>1514</v>
      </c>
      <c r="B189" s="807" t="s">
        <v>1114</v>
      </c>
      <c r="C189" s="809">
        <v>283</v>
      </c>
      <c r="D189" s="809">
        <v>-847</v>
      </c>
      <c r="E189" s="809">
        <v>139</v>
      </c>
      <c r="F189" s="809">
        <v>831</v>
      </c>
      <c r="G189" s="809">
        <v>704</v>
      </c>
      <c r="H189" s="809">
        <v>1302</v>
      </c>
      <c r="I189" s="809">
        <v>1502</v>
      </c>
      <c r="J189" s="809">
        <v>1485</v>
      </c>
      <c r="K189" s="809">
        <v>1861</v>
      </c>
      <c r="L189" s="809">
        <v>2342</v>
      </c>
      <c r="M189" s="809">
        <v>2846</v>
      </c>
      <c r="N189" s="809">
        <v>3439</v>
      </c>
      <c r="O189" s="809">
        <v>4190</v>
      </c>
      <c r="P189" s="809">
        <v>4926</v>
      </c>
      <c r="Q189" s="800"/>
      <c r="R189" s="800"/>
      <c r="S189" s="800"/>
      <c r="T189" s="800"/>
      <c r="U189" s="800"/>
      <c r="V189" s="800"/>
      <c r="W189" s="800"/>
      <c r="X189" s="800"/>
      <c r="Y189" s="800"/>
      <c r="Z189" s="800"/>
      <c r="AA189" s="800"/>
    </row>
    <row r="190" spans="1:27">
      <c r="A190" s="75" t="s">
        <v>1515</v>
      </c>
      <c r="B190" s="807" t="s">
        <v>1114</v>
      </c>
      <c r="C190" s="809">
        <v>-2683</v>
      </c>
      <c r="D190" s="809">
        <v>-1514</v>
      </c>
      <c r="E190" s="809">
        <v>-937.64</v>
      </c>
      <c r="F190" s="809">
        <v>370</v>
      </c>
      <c r="G190" s="809">
        <v>139</v>
      </c>
      <c r="H190" s="809">
        <v>471</v>
      </c>
      <c r="I190" s="809">
        <v>779</v>
      </c>
      <c r="J190" s="809">
        <v>1485</v>
      </c>
      <c r="K190" s="809">
        <v>1861</v>
      </c>
      <c r="L190" s="809">
        <v>2342</v>
      </c>
      <c r="M190" s="809">
        <v>2846</v>
      </c>
      <c r="N190" s="809">
        <v>3439</v>
      </c>
      <c r="O190" s="809">
        <v>4190</v>
      </c>
      <c r="P190" s="809">
        <v>4926</v>
      </c>
      <c r="Q190" s="800"/>
      <c r="R190" s="800"/>
      <c r="S190" s="800"/>
      <c r="T190" s="800"/>
      <c r="U190" s="800"/>
      <c r="V190" s="800"/>
      <c r="W190" s="800"/>
      <c r="X190" s="800"/>
      <c r="Y190" s="800"/>
      <c r="Z190" s="800"/>
      <c r="AA190" s="800"/>
    </row>
    <row r="191" spans="1:27">
      <c r="A191" s="75" t="s">
        <v>1516</v>
      </c>
      <c r="B191" s="807" t="s">
        <v>1114</v>
      </c>
      <c r="C191" s="802">
        <v>825.60328000000004</v>
      </c>
      <c r="D191" s="802">
        <v>203.82248000000001</v>
      </c>
      <c r="E191" s="802">
        <v>313.18747999999999</v>
      </c>
      <c r="F191" s="802">
        <v>158.53845999999999</v>
      </c>
      <c r="G191" s="802">
        <v>193.6284</v>
      </c>
      <c r="H191" s="802">
        <v>199.90038999999999</v>
      </c>
      <c r="I191" s="802">
        <v>206.59407999999999</v>
      </c>
      <c r="J191" s="802">
        <v>0</v>
      </c>
      <c r="K191" s="802">
        <v>0</v>
      </c>
      <c r="L191" s="802">
        <v>0</v>
      </c>
      <c r="M191" s="802">
        <v>0</v>
      </c>
      <c r="N191" s="802">
        <v>0</v>
      </c>
      <c r="O191" s="802">
        <v>0</v>
      </c>
      <c r="P191" s="802">
        <v>0</v>
      </c>
      <c r="Q191" s="800"/>
      <c r="R191" s="800"/>
      <c r="S191" s="800"/>
      <c r="T191" s="800"/>
      <c r="U191" s="800"/>
      <c r="V191" s="800"/>
      <c r="W191" s="800"/>
      <c r="X191" s="800"/>
      <c r="Y191" s="800"/>
      <c r="Z191" s="800"/>
      <c r="AA191" s="800"/>
    </row>
    <row r="192" spans="1:27">
      <c r="A192" s="75" t="s">
        <v>1517</v>
      </c>
      <c r="B192" s="807" t="s">
        <v>1114</v>
      </c>
      <c r="C192" s="807" t="s">
        <v>1540</v>
      </c>
      <c r="D192" s="807" t="s">
        <v>1548</v>
      </c>
      <c r="E192" s="807" t="s">
        <v>1590</v>
      </c>
      <c r="F192" s="807" t="s">
        <v>1609</v>
      </c>
      <c r="G192" s="807" t="s">
        <v>1602</v>
      </c>
      <c r="H192" s="807" t="s">
        <v>1548</v>
      </c>
      <c r="I192" s="807" t="s">
        <v>1606</v>
      </c>
      <c r="J192" s="807" t="s">
        <v>1525</v>
      </c>
      <c r="K192" s="807" t="s">
        <v>1525</v>
      </c>
      <c r="L192" s="807" t="s">
        <v>1525</v>
      </c>
      <c r="M192" s="807" t="s">
        <v>1525</v>
      </c>
      <c r="N192" s="807" t="s">
        <v>1525</v>
      </c>
      <c r="O192" s="807" t="s">
        <v>1525</v>
      </c>
      <c r="P192" s="807" t="s">
        <v>1525</v>
      </c>
      <c r="Q192" s="800"/>
      <c r="R192" s="800"/>
      <c r="S192" s="800"/>
      <c r="T192" s="800"/>
      <c r="U192" s="800"/>
      <c r="V192" s="800"/>
      <c r="W192" s="800"/>
      <c r="X192" s="800"/>
      <c r="Y192" s="800"/>
      <c r="Z192" s="800"/>
      <c r="AA192" s="800"/>
    </row>
    <row r="193" spans="1:27">
      <c r="A193" s="75" t="s">
        <v>1526</v>
      </c>
      <c r="B193" s="807" t="s">
        <v>1114</v>
      </c>
      <c r="C193" s="807" t="s">
        <v>1527</v>
      </c>
      <c r="D193" s="807" t="s">
        <v>1527</v>
      </c>
      <c r="E193" s="807" t="s">
        <v>1527</v>
      </c>
      <c r="F193" s="807" t="s">
        <v>1527</v>
      </c>
      <c r="G193" s="807" t="s">
        <v>1527</v>
      </c>
      <c r="H193" s="807" t="s">
        <v>1527</v>
      </c>
      <c r="I193" s="807" t="s">
        <v>1527</v>
      </c>
      <c r="J193" s="807" t="s">
        <v>1527</v>
      </c>
      <c r="K193" s="807" t="s">
        <v>1527</v>
      </c>
      <c r="L193" s="807" t="s">
        <v>1527</v>
      </c>
      <c r="M193" s="807" t="s">
        <v>1527</v>
      </c>
      <c r="N193" s="807" t="s">
        <v>1527</v>
      </c>
      <c r="O193" s="807" t="s">
        <v>1527</v>
      </c>
      <c r="P193" s="807" t="s">
        <v>1527</v>
      </c>
      <c r="Q193" s="800"/>
      <c r="R193" s="800"/>
      <c r="S193" s="800"/>
      <c r="T193" s="800"/>
      <c r="U193" s="800"/>
      <c r="V193" s="800"/>
      <c r="W193" s="800"/>
      <c r="X193" s="800"/>
      <c r="Y193" s="800"/>
      <c r="Z193" s="800"/>
      <c r="AA193" s="800"/>
    </row>
    <row r="194" spans="1:27">
      <c r="A194" s="806" t="s">
        <v>1610</v>
      </c>
      <c r="B194" s="807" t="s">
        <v>1114</v>
      </c>
      <c r="C194" s="808">
        <v>-73</v>
      </c>
      <c r="D194" s="808">
        <v>-58</v>
      </c>
      <c r="E194" s="808">
        <v>-71</v>
      </c>
      <c r="F194" s="808">
        <v>-148</v>
      </c>
      <c r="G194" s="809">
        <v>-99.772369999999995</v>
      </c>
      <c r="H194" s="809">
        <v>-122.88930999999999</v>
      </c>
      <c r="I194" s="809">
        <v>-152.34238999999999</v>
      </c>
      <c r="J194" s="809">
        <v>-100</v>
      </c>
      <c r="K194" s="809">
        <v>-100</v>
      </c>
      <c r="L194" s="809">
        <v>-100</v>
      </c>
      <c r="M194" s="809">
        <v>-100</v>
      </c>
      <c r="N194" s="809">
        <v>-100</v>
      </c>
      <c r="O194" s="809">
        <v>-100</v>
      </c>
      <c r="P194" s="809">
        <v>-100</v>
      </c>
      <c r="Q194" s="800"/>
      <c r="R194" s="800"/>
      <c r="S194" s="800"/>
      <c r="T194" s="800"/>
      <c r="U194" s="800"/>
      <c r="V194" s="800"/>
      <c r="W194" s="800"/>
      <c r="X194" s="800"/>
      <c r="Y194" s="800"/>
      <c r="Z194" s="800"/>
      <c r="AA194" s="800"/>
    </row>
    <row r="195" spans="1:27">
      <c r="A195" s="75" t="s">
        <v>1512</v>
      </c>
      <c r="B195" s="807" t="s">
        <v>1114</v>
      </c>
      <c r="C195" s="809">
        <v>-88.42792</v>
      </c>
      <c r="D195" s="809">
        <v>-143.83091999999999</v>
      </c>
      <c r="E195" s="809">
        <v>-128.76401999999999</v>
      </c>
      <c r="F195" s="809">
        <v>-82.072730000000007</v>
      </c>
      <c r="G195" s="807" t="s">
        <v>1114</v>
      </c>
      <c r="H195" s="807" t="s">
        <v>1114</v>
      </c>
      <c r="I195" s="807" t="s">
        <v>1114</v>
      </c>
      <c r="J195" s="807" t="s">
        <v>1114</v>
      </c>
      <c r="K195" s="807" t="s">
        <v>1114</v>
      </c>
      <c r="L195" s="807" t="s">
        <v>1114</v>
      </c>
      <c r="M195" s="807" t="s">
        <v>1114</v>
      </c>
      <c r="N195" s="807" t="s">
        <v>1114</v>
      </c>
      <c r="O195" s="807" t="s">
        <v>1114</v>
      </c>
      <c r="P195" s="807" t="s">
        <v>1114</v>
      </c>
      <c r="Q195" s="800"/>
      <c r="R195" s="800"/>
      <c r="S195" s="800"/>
      <c r="T195" s="800"/>
      <c r="U195" s="800"/>
      <c r="V195" s="800"/>
      <c r="W195" s="800"/>
      <c r="X195" s="800"/>
      <c r="Y195" s="800"/>
      <c r="Z195" s="800"/>
      <c r="AA195" s="800"/>
    </row>
    <row r="196" spans="1:27">
      <c r="A196" s="75" t="s">
        <v>1513</v>
      </c>
      <c r="B196" s="807" t="s">
        <v>1114</v>
      </c>
      <c r="C196" s="809">
        <v>-87.5</v>
      </c>
      <c r="D196" s="809">
        <v>-110</v>
      </c>
      <c r="E196" s="809">
        <v>-132</v>
      </c>
      <c r="F196" s="809">
        <v>-84</v>
      </c>
      <c r="G196" s="809">
        <v>-98.8</v>
      </c>
      <c r="H196" s="809">
        <v>-116</v>
      </c>
      <c r="I196" s="809">
        <v>-135</v>
      </c>
      <c r="J196" s="809">
        <v>-100</v>
      </c>
      <c r="K196" s="809">
        <v>-100</v>
      </c>
      <c r="L196" s="809">
        <v>-100</v>
      </c>
      <c r="M196" s="809">
        <v>-100</v>
      </c>
      <c r="N196" s="809">
        <v>-100</v>
      </c>
      <c r="O196" s="809">
        <v>-100</v>
      </c>
      <c r="P196" s="809">
        <v>-100</v>
      </c>
      <c r="Q196" s="800"/>
      <c r="R196" s="800"/>
      <c r="S196" s="800"/>
      <c r="T196" s="800"/>
      <c r="U196" s="800"/>
      <c r="V196" s="800"/>
      <c r="W196" s="800"/>
      <c r="X196" s="800"/>
      <c r="Y196" s="800"/>
      <c r="Z196" s="800"/>
      <c r="AA196" s="800"/>
    </row>
    <row r="197" spans="1:27">
      <c r="A197" s="75" t="s">
        <v>1514</v>
      </c>
      <c r="B197" s="807" t="s">
        <v>1114</v>
      </c>
      <c r="C197" s="809">
        <v>-199</v>
      </c>
      <c r="D197" s="809">
        <v>-382</v>
      </c>
      <c r="E197" s="809">
        <v>-185</v>
      </c>
      <c r="F197" s="809">
        <v>-129</v>
      </c>
      <c r="G197" s="809">
        <v>-143</v>
      </c>
      <c r="H197" s="809">
        <v>-227</v>
      </c>
      <c r="I197" s="809">
        <v>-328</v>
      </c>
      <c r="J197" s="809">
        <v>-100</v>
      </c>
      <c r="K197" s="809">
        <v>-100</v>
      </c>
      <c r="L197" s="809">
        <v>-100</v>
      </c>
      <c r="M197" s="809">
        <v>-100</v>
      </c>
      <c r="N197" s="809">
        <v>-100</v>
      </c>
      <c r="O197" s="809">
        <v>-100</v>
      </c>
      <c r="P197" s="809">
        <v>-100</v>
      </c>
      <c r="Q197" s="800"/>
      <c r="R197" s="800"/>
      <c r="S197" s="800"/>
      <c r="T197" s="800"/>
      <c r="U197" s="800"/>
      <c r="V197" s="800"/>
      <c r="W197" s="800"/>
      <c r="X197" s="800"/>
      <c r="Y197" s="800"/>
      <c r="Z197" s="800"/>
      <c r="AA197" s="800"/>
    </row>
    <row r="198" spans="1:27">
      <c r="A198" s="75" t="s">
        <v>1515</v>
      </c>
      <c r="B198" s="807" t="s">
        <v>1114</v>
      </c>
      <c r="C198" s="809">
        <v>-23.595659999999999</v>
      </c>
      <c r="D198" s="809">
        <v>-45.5</v>
      </c>
      <c r="E198" s="809">
        <v>-55</v>
      </c>
      <c r="F198" s="809">
        <v>-47</v>
      </c>
      <c r="G198" s="809">
        <v>-67.8</v>
      </c>
      <c r="H198" s="809">
        <v>-60.7</v>
      </c>
      <c r="I198" s="809">
        <v>-60.7</v>
      </c>
      <c r="J198" s="809">
        <v>-100</v>
      </c>
      <c r="K198" s="809">
        <v>-100</v>
      </c>
      <c r="L198" s="809">
        <v>-100</v>
      </c>
      <c r="M198" s="809">
        <v>-100</v>
      </c>
      <c r="N198" s="809">
        <v>-100</v>
      </c>
      <c r="O198" s="809">
        <v>-100</v>
      </c>
      <c r="P198" s="809">
        <v>-100</v>
      </c>
      <c r="Q198" s="800"/>
      <c r="R198" s="800"/>
      <c r="S198" s="800"/>
      <c r="T198" s="800"/>
      <c r="U198" s="800"/>
      <c r="V198" s="800"/>
      <c r="W198" s="800"/>
      <c r="X198" s="800"/>
      <c r="Y198" s="800"/>
      <c r="Z198" s="800"/>
      <c r="AA198" s="800"/>
    </row>
    <row r="199" spans="1:27">
      <c r="A199" s="75" t="s">
        <v>1516</v>
      </c>
      <c r="B199" s="807" t="s">
        <v>1114</v>
      </c>
      <c r="C199" s="802">
        <v>49.951630000000002</v>
      </c>
      <c r="D199" s="802">
        <v>94.776750000000007</v>
      </c>
      <c r="E199" s="802">
        <v>43.299689999999998</v>
      </c>
      <c r="F199" s="802">
        <v>21.334779999999999</v>
      </c>
      <c r="G199" s="802">
        <v>23.014220000000002</v>
      </c>
      <c r="H199" s="802">
        <v>44.614150000000002</v>
      </c>
      <c r="I199" s="802">
        <v>82.216629999999995</v>
      </c>
      <c r="J199" s="802">
        <v>0</v>
      </c>
      <c r="K199" s="802">
        <v>0</v>
      </c>
      <c r="L199" s="802">
        <v>0</v>
      </c>
      <c r="M199" s="802">
        <v>0</v>
      </c>
      <c r="N199" s="802">
        <v>0</v>
      </c>
      <c r="O199" s="802">
        <v>0</v>
      </c>
      <c r="P199" s="802">
        <v>0</v>
      </c>
      <c r="Q199" s="800"/>
      <c r="R199" s="800"/>
      <c r="S199" s="800"/>
      <c r="T199" s="800"/>
      <c r="U199" s="800"/>
      <c r="V199" s="800"/>
      <c r="W199" s="800"/>
      <c r="X199" s="800"/>
      <c r="Y199" s="800"/>
      <c r="Z199" s="800"/>
      <c r="AA199" s="800"/>
    </row>
    <row r="200" spans="1:27">
      <c r="A200" s="75" t="s">
        <v>1517</v>
      </c>
      <c r="B200" s="807" t="s">
        <v>1114</v>
      </c>
      <c r="C200" s="807" t="s">
        <v>1541</v>
      </c>
      <c r="D200" s="807" t="s">
        <v>1591</v>
      </c>
      <c r="E200" s="807" t="s">
        <v>1590</v>
      </c>
      <c r="F200" s="807" t="s">
        <v>1611</v>
      </c>
      <c r="G200" s="807" t="s">
        <v>1519</v>
      </c>
      <c r="H200" s="807" t="s">
        <v>1519</v>
      </c>
      <c r="I200" s="807" t="s">
        <v>1612</v>
      </c>
      <c r="J200" s="807" t="s">
        <v>1525</v>
      </c>
      <c r="K200" s="807" t="s">
        <v>1525</v>
      </c>
      <c r="L200" s="807" t="s">
        <v>1525</v>
      </c>
      <c r="M200" s="807" t="s">
        <v>1525</v>
      </c>
      <c r="N200" s="807" t="s">
        <v>1525</v>
      </c>
      <c r="O200" s="807" t="s">
        <v>1525</v>
      </c>
      <c r="P200" s="807" t="s">
        <v>1525</v>
      </c>
      <c r="Q200" s="800"/>
      <c r="R200" s="800"/>
      <c r="S200" s="800"/>
      <c r="T200" s="800"/>
      <c r="U200" s="800"/>
      <c r="V200" s="800"/>
      <c r="W200" s="800"/>
      <c r="X200" s="800"/>
      <c r="Y200" s="800"/>
      <c r="Z200" s="800"/>
      <c r="AA200" s="800"/>
    </row>
    <row r="201" spans="1:27">
      <c r="A201" s="75" t="s">
        <v>1526</v>
      </c>
      <c r="B201" s="807" t="s">
        <v>1114</v>
      </c>
      <c r="C201" s="807" t="s">
        <v>1527</v>
      </c>
      <c r="D201" s="807" t="s">
        <v>1527</v>
      </c>
      <c r="E201" s="807" t="s">
        <v>1527</v>
      </c>
      <c r="F201" s="807" t="s">
        <v>1527</v>
      </c>
      <c r="G201" s="807" t="s">
        <v>1527</v>
      </c>
      <c r="H201" s="807" t="s">
        <v>1527</v>
      </c>
      <c r="I201" s="807" t="s">
        <v>1527</v>
      </c>
      <c r="J201" s="807" t="s">
        <v>1527</v>
      </c>
      <c r="K201" s="807" t="s">
        <v>1527</v>
      </c>
      <c r="L201" s="807" t="s">
        <v>1527</v>
      </c>
      <c r="M201" s="807" t="s">
        <v>1527</v>
      </c>
      <c r="N201" s="807" t="s">
        <v>1527</v>
      </c>
      <c r="O201" s="807" t="s">
        <v>1527</v>
      </c>
      <c r="P201" s="807" t="s">
        <v>1527</v>
      </c>
      <c r="Q201" s="800"/>
      <c r="R201" s="800"/>
      <c r="S201" s="800"/>
      <c r="T201" s="800"/>
      <c r="U201" s="800"/>
      <c r="V201" s="800"/>
      <c r="W201" s="800"/>
      <c r="X201" s="800"/>
      <c r="Y201" s="800"/>
      <c r="Z201" s="800"/>
      <c r="AA201" s="800"/>
    </row>
    <row r="202" spans="1:27">
      <c r="A202" s="806" t="s">
        <v>1613</v>
      </c>
      <c r="B202" s="807" t="s">
        <v>1114</v>
      </c>
      <c r="C202" s="808">
        <v>-1011</v>
      </c>
      <c r="D202" s="808">
        <v>-877</v>
      </c>
      <c r="E202" s="808">
        <v>-6</v>
      </c>
      <c r="F202" s="808">
        <v>704</v>
      </c>
      <c r="G202" s="809">
        <v>521.66</v>
      </c>
      <c r="H202" s="809">
        <v>656.28332999999998</v>
      </c>
      <c r="I202" s="809">
        <v>896</v>
      </c>
      <c r="J202" s="807" t="s">
        <v>1114</v>
      </c>
      <c r="K202" s="807" t="s">
        <v>1114</v>
      </c>
      <c r="L202" s="807" t="s">
        <v>1114</v>
      </c>
      <c r="M202" s="807" t="s">
        <v>1114</v>
      </c>
      <c r="N202" s="807" t="s">
        <v>1114</v>
      </c>
      <c r="O202" s="807" t="s">
        <v>1114</v>
      </c>
      <c r="P202" s="807" t="s">
        <v>1114</v>
      </c>
      <c r="Q202" s="800"/>
      <c r="R202" s="800"/>
      <c r="S202" s="800"/>
      <c r="T202" s="800"/>
      <c r="U202" s="800"/>
      <c r="V202" s="800"/>
      <c r="W202" s="800"/>
      <c r="X202" s="800"/>
      <c r="Y202" s="800"/>
      <c r="Z202" s="800"/>
      <c r="AA202" s="800"/>
    </row>
    <row r="203" spans="1:27">
      <c r="A203" s="75" t="s">
        <v>1512</v>
      </c>
      <c r="B203" s="807" t="s">
        <v>1114</v>
      </c>
      <c r="C203" s="809">
        <v>-1099.5</v>
      </c>
      <c r="D203" s="809">
        <v>-1308.6019799999999</v>
      </c>
      <c r="E203" s="809">
        <v>-261.02</v>
      </c>
      <c r="F203" s="809">
        <v>474.92750000000001</v>
      </c>
      <c r="G203" s="807" t="s">
        <v>1114</v>
      </c>
      <c r="H203" s="807" t="s">
        <v>1114</v>
      </c>
      <c r="I203" s="807" t="s">
        <v>1114</v>
      </c>
      <c r="J203" s="807" t="s">
        <v>1114</v>
      </c>
      <c r="K203" s="807" t="s">
        <v>1114</v>
      </c>
      <c r="L203" s="807" t="s">
        <v>1114</v>
      </c>
      <c r="M203" s="807" t="s">
        <v>1114</v>
      </c>
      <c r="N203" s="807" t="s">
        <v>1114</v>
      </c>
      <c r="O203" s="807" t="s">
        <v>1114</v>
      </c>
      <c r="P203" s="807" t="s">
        <v>1114</v>
      </c>
      <c r="Q203" s="800"/>
      <c r="R203" s="800"/>
      <c r="S203" s="800"/>
      <c r="T203" s="800"/>
      <c r="U203" s="800"/>
      <c r="V203" s="800"/>
      <c r="W203" s="800"/>
      <c r="X203" s="800"/>
      <c r="Y203" s="800"/>
      <c r="Z203" s="800"/>
      <c r="AA203" s="800"/>
    </row>
    <row r="204" spans="1:27">
      <c r="A204" s="75" t="s">
        <v>1513</v>
      </c>
      <c r="B204" s="807" t="s">
        <v>1114</v>
      </c>
      <c r="C204" s="809">
        <v>-1155</v>
      </c>
      <c r="D204" s="809">
        <v>-1229</v>
      </c>
      <c r="E204" s="809">
        <v>-234</v>
      </c>
      <c r="F204" s="809">
        <v>431.85500000000002</v>
      </c>
      <c r="G204" s="809">
        <v>592</v>
      </c>
      <c r="H204" s="809">
        <v>513.85</v>
      </c>
      <c r="I204" s="809">
        <v>820</v>
      </c>
      <c r="J204" s="807" t="s">
        <v>1114</v>
      </c>
      <c r="K204" s="807" t="s">
        <v>1114</v>
      </c>
      <c r="L204" s="807" t="s">
        <v>1114</v>
      </c>
      <c r="M204" s="807" t="s">
        <v>1114</v>
      </c>
      <c r="N204" s="807" t="s">
        <v>1114</v>
      </c>
      <c r="O204" s="807" t="s">
        <v>1114</v>
      </c>
      <c r="P204" s="807" t="s">
        <v>1114</v>
      </c>
      <c r="Q204" s="800"/>
      <c r="R204" s="800"/>
      <c r="S204" s="800"/>
      <c r="T204" s="800"/>
      <c r="U204" s="800"/>
      <c r="V204" s="800"/>
      <c r="W204" s="800"/>
      <c r="X204" s="800"/>
      <c r="Y204" s="800"/>
      <c r="Z204" s="800"/>
      <c r="AA204" s="800"/>
    </row>
    <row r="205" spans="1:27">
      <c r="A205" s="75" t="s">
        <v>1514</v>
      </c>
      <c r="B205" s="807" t="s">
        <v>1114</v>
      </c>
      <c r="C205" s="809">
        <v>-722</v>
      </c>
      <c r="D205" s="809">
        <v>-972</v>
      </c>
      <c r="E205" s="809">
        <v>256</v>
      </c>
      <c r="F205" s="809">
        <v>677</v>
      </c>
      <c r="G205" s="809">
        <v>1004</v>
      </c>
      <c r="H205" s="809">
        <v>1198</v>
      </c>
      <c r="I205" s="809">
        <v>1405</v>
      </c>
      <c r="J205" s="807" t="s">
        <v>1114</v>
      </c>
      <c r="K205" s="807" t="s">
        <v>1114</v>
      </c>
      <c r="L205" s="807" t="s">
        <v>1114</v>
      </c>
      <c r="M205" s="807" t="s">
        <v>1114</v>
      </c>
      <c r="N205" s="807" t="s">
        <v>1114</v>
      </c>
      <c r="O205" s="807" t="s">
        <v>1114</v>
      </c>
      <c r="P205" s="807" t="s">
        <v>1114</v>
      </c>
      <c r="Q205" s="800"/>
      <c r="R205" s="800"/>
      <c r="S205" s="800"/>
      <c r="T205" s="800"/>
      <c r="U205" s="800"/>
      <c r="V205" s="800"/>
      <c r="W205" s="800"/>
      <c r="X205" s="800"/>
      <c r="Y205" s="800"/>
      <c r="Z205" s="800"/>
      <c r="AA205" s="800"/>
    </row>
    <row r="206" spans="1:27">
      <c r="A206" s="75" t="s">
        <v>1515</v>
      </c>
      <c r="B206" s="807" t="s">
        <v>1114</v>
      </c>
      <c r="C206" s="809">
        <v>-1366</v>
      </c>
      <c r="D206" s="809">
        <v>-2350</v>
      </c>
      <c r="E206" s="809">
        <v>-823</v>
      </c>
      <c r="F206" s="809">
        <v>359</v>
      </c>
      <c r="G206" s="809">
        <v>45.3</v>
      </c>
      <c r="H206" s="809">
        <v>299</v>
      </c>
      <c r="I206" s="809">
        <v>607</v>
      </c>
      <c r="J206" s="807" t="s">
        <v>1114</v>
      </c>
      <c r="K206" s="807" t="s">
        <v>1114</v>
      </c>
      <c r="L206" s="807" t="s">
        <v>1114</v>
      </c>
      <c r="M206" s="807" t="s">
        <v>1114</v>
      </c>
      <c r="N206" s="807" t="s">
        <v>1114</v>
      </c>
      <c r="O206" s="807" t="s">
        <v>1114</v>
      </c>
      <c r="P206" s="807" t="s">
        <v>1114</v>
      </c>
      <c r="Q206" s="800"/>
      <c r="R206" s="800"/>
      <c r="S206" s="800"/>
      <c r="T206" s="800"/>
      <c r="U206" s="800"/>
      <c r="V206" s="800"/>
      <c r="W206" s="800"/>
      <c r="X206" s="800"/>
      <c r="Y206" s="800"/>
      <c r="Z206" s="800"/>
      <c r="AA206" s="800"/>
    </row>
    <row r="207" spans="1:27">
      <c r="A207" s="75" t="s">
        <v>1516</v>
      </c>
      <c r="B207" s="807" t="s">
        <v>1114</v>
      </c>
      <c r="C207" s="802">
        <v>234.62790000000001</v>
      </c>
      <c r="D207" s="802">
        <v>376.88477</v>
      </c>
      <c r="E207" s="802">
        <v>362.62637000000001</v>
      </c>
      <c r="F207" s="802">
        <v>125.65371</v>
      </c>
      <c r="G207" s="802">
        <v>330.28573</v>
      </c>
      <c r="H207" s="802">
        <v>338.28345999999999</v>
      </c>
      <c r="I207" s="802">
        <v>281.48770999999999</v>
      </c>
      <c r="J207" s="807" t="s">
        <v>1114</v>
      </c>
      <c r="K207" s="807" t="s">
        <v>1114</v>
      </c>
      <c r="L207" s="807" t="s">
        <v>1114</v>
      </c>
      <c r="M207" s="807" t="s">
        <v>1114</v>
      </c>
      <c r="N207" s="807" t="s">
        <v>1114</v>
      </c>
      <c r="O207" s="807" t="s">
        <v>1114</v>
      </c>
      <c r="P207" s="807" t="s">
        <v>1114</v>
      </c>
      <c r="Q207" s="800"/>
      <c r="R207" s="800"/>
      <c r="S207" s="800"/>
      <c r="T207" s="800"/>
      <c r="U207" s="800"/>
      <c r="V207" s="800"/>
      <c r="W207" s="800"/>
      <c r="X207" s="800"/>
      <c r="Y207" s="800"/>
      <c r="Z207" s="800"/>
      <c r="AA207" s="800"/>
    </row>
    <row r="208" spans="1:27">
      <c r="A208" s="75" t="s">
        <v>1517</v>
      </c>
      <c r="B208" s="807" t="s">
        <v>1114</v>
      </c>
      <c r="C208" s="807" t="s">
        <v>1614</v>
      </c>
      <c r="D208" s="807" t="s">
        <v>1545</v>
      </c>
      <c r="E208" s="807" t="s">
        <v>1549</v>
      </c>
      <c r="F208" s="807" t="s">
        <v>1531</v>
      </c>
      <c r="G208" s="807" t="s">
        <v>1576</v>
      </c>
      <c r="H208" s="807" t="s">
        <v>1615</v>
      </c>
      <c r="I208" s="807" t="s">
        <v>1554</v>
      </c>
      <c r="J208" s="807" t="s">
        <v>1114</v>
      </c>
      <c r="K208" s="807" t="s">
        <v>1114</v>
      </c>
      <c r="L208" s="807" t="s">
        <v>1114</v>
      </c>
      <c r="M208" s="807" t="s">
        <v>1114</v>
      </c>
      <c r="N208" s="807" t="s">
        <v>1114</v>
      </c>
      <c r="O208" s="807" t="s">
        <v>1114</v>
      </c>
      <c r="P208" s="807" t="s">
        <v>1114</v>
      </c>
      <c r="Q208" s="800"/>
      <c r="R208" s="800"/>
      <c r="S208" s="800"/>
      <c r="T208" s="800"/>
      <c r="U208" s="800"/>
      <c r="V208" s="800"/>
      <c r="W208" s="800"/>
      <c r="X208" s="800"/>
      <c r="Y208" s="800"/>
      <c r="Z208" s="800"/>
      <c r="AA208" s="800"/>
    </row>
    <row r="209" spans="1:27">
      <c r="A209" s="75" t="s">
        <v>1563</v>
      </c>
      <c r="B209" s="807" t="s">
        <v>1114</v>
      </c>
      <c r="C209" s="807" t="s">
        <v>1114</v>
      </c>
      <c r="D209" s="807" t="s">
        <v>1114</v>
      </c>
      <c r="E209" s="807" t="s">
        <v>1114</v>
      </c>
      <c r="F209" s="810">
        <v>0</v>
      </c>
      <c r="G209" s="807" t="s">
        <v>1114</v>
      </c>
      <c r="H209" s="807" t="s">
        <v>1114</v>
      </c>
      <c r="I209" s="807" t="s">
        <v>1114</v>
      </c>
      <c r="J209" s="807" t="s">
        <v>1114</v>
      </c>
      <c r="K209" s="807" t="s">
        <v>1114</v>
      </c>
      <c r="L209" s="807" t="s">
        <v>1114</v>
      </c>
      <c r="M209" s="807" t="s">
        <v>1114</v>
      </c>
      <c r="N209" s="807" t="s">
        <v>1114</v>
      </c>
      <c r="O209" s="807" t="s">
        <v>1114</v>
      </c>
      <c r="P209" s="807" t="s">
        <v>1114</v>
      </c>
      <c r="Q209" s="800"/>
      <c r="R209" s="800"/>
      <c r="S209" s="800"/>
      <c r="T209" s="800"/>
      <c r="U209" s="800"/>
      <c r="V209" s="800"/>
      <c r="W209" s="800"/>
      <c r="X209" s="800"/>
      <c r="Y209" s="800"/>
      <c r="Z209" s="800"/>
      <c r="AA209" s="800"/>
    </row>
    <row r="210" spans="1:27">
      <c r="A210" s="75" t="s">
        <v>1526</v>
      </c>
      <c r="B210" s="807" t="s">
        <v>1114</v>
      </c>
      <c r="C210" s="807" t="s">
        <v>1527</v>
      </c>
      <c r="D210" s="807" t="s">
        <v>1527</v>
      </c>
      <c r="E210" s="807" t="s">
        <v>1527</v>
      </c>
      <c r="F210" s="807" t="s">
        <v>1527</v>
      </c>
      <c r="G210" s="807" t="s">
        <v>1527</v>
      </c>
      <c r="H210" s="807" t="s">
        <v>1527</v>
      </c>
      <c r="I210" s="807" t="s">
        <v>1527</v>
      </c>
      <c r="J210" s="807" t="s">
        <v>1114</v>
      </c>
      <c r="K210" s="807" t="s">
        <v>1114</v>
      </c>
      <c r="L210" s="807" t="s">
        <v>1114</v>
      </c>
      <c r="M210" s="807" t="s">
        <v>1114</v>
      </c>
      <c r="N210" s="807" t="s">
        <v>1114</v>
      </c>
      <c r="O210" s="807" t="s">
        <v>1114</v>
      </c>
      <c r="P210" s="807" t="s">
        <v>1114</v>
      </c>
      <c r="Q210" s="800"/>
      <c r="R210" s="800"/>
      <c r="S210" s="800"/>
      <c r="T210" s="800"/>
      <c r="U210" s="800"/>
      <c r="V210" s="800"/>
      <c r="W210" s="800"/>
      <c r="X210" s="800"/>
      <c r="Y210" s="800"/>
      <c r="Z210" s="800"/>
      <c r="AA210" s="800"/>
    </row>
    <row r="211" spans="1:27">
      <c r="A211" s="806" t="s">
        <v>1616</v>
      </c>
      <c r="B211" s="807" t="s">
        <v>1114</v>
      </c>
      <c r="C211" s="807" t="s">
        <v>1114</v>
      </c>
      <c r="D211" s="808">
        <v>5.3733399999999998</v>
      </c>
      <c r="E211" s="808">
        <v>36.456099999999999</v>
      </c>
      <c r="F211" s="808">
        <v>41.973500000000001</v>
      </c>
      <c r="G211" s="809">
        <v>45.30903</v>
      </c>
      <c r="H211" s="809">
        <v>47.691749999999999</v>
      </c>
      <c r="I211" s="809">
        <v>48.892710000000001</v>
      </c>
      <c r="J211" s="809">
        <v>57</v>
      </c>
      <c r="K211" s="809">
        <v>60</v>
      </c>
      <c r="L211" s="809">
        <v>63</v>
      </c>
      <c r="M211" s="809">
        <v>67</v>
      </c>
      <c r="N211" s="809">
        <v>71.5</v>
      </c>
      <c r="O211" s="809">
        <v>75</v>
      </c>
      <c r="P211" s="809">
        <v>77</v>
      </c>
      <c r="Q211" s="800"/>
      <c r="R211" s="800"/>
      <c r="S211" s="800"/>
      <c r="T211" s="800"/>
      <c r="U211" s="800"/>
      <c r="V211" s="800"/>
      <c r="W211" s="800"/>
      <c r="X211" s="800"/>
      <c r="Y211" s="800"/>
      <c r="Z211" s="800"/>
      <c r="AA211" s="800"/>
    </row>
    <row r="212" spans="1:27">
      <c r="A212" s="75" t="s">
        <v>1512</v>
      </c>
      <c r="B212" s="807" t="s">
        <v>1114</v>
      </c>
      <c r="C212" s="807" t="s">
        <v>1114</v>
      </c>
      <c r="D212" s="809">
        <v>5.5</v>
      </c>
      <c r="E212" s="809">
        <v>35.143999999999998</v>
      </c>
      <c r="F212" s="809">
        <v>42.722999999999999</v>
      </c>
      <c r="G212" s="807" t="s">
        <v>1114</v>
      </c>
      <c r="H212" s="807" t="s">
        <v>1114</v>
      </c>
      <c r="I212" s="807" t="s">
        <v>1114</v>
      </c>
      <c r="J212" s="807" t="s">
        <v>1114</v>
      </c>
      <c r="K212" s="807" t="s">
        <v>1114</v>
      </c>
      <c r="L212" s="807" t="s">
        <v>1114</v>
      </c>
      <c r="M212" s="807" t="s">
        <v>1114</v>
      </c>
      <c r="N212" s="807" t="s">
        <v>1114</v>
      </c>
      <c r="O212" s="807" t="s">
        <v>1114</v>
      </c>
      <c r="P212" s="807" t="s">
        <v>1114</v>
      </c>
      <c r="Q212" s="800"/>
      <c r="R212" s="800"/>
      <c r="S212" s="800"/>
      <c r="T212" s="800"/>
      <c r="U212" s="800"/>
      <c r="V212" s="800"/>
      <c r="W212" s="800"/>
      <c r="X212" s="800"/>
      <c r="Y212" s="800"/>
      <c r="Z212" s="800"/>
      <c r="AA212" s="800"/>
    </row>
    <row r="213" spans="1:27">
      <c r="A213" s="75" t="s">
        <v>1513</v>
      </c>
      <c r="B213" s="807" t="s">
        <v>1114</v>
      </c>
      <c r="C213" s="807" t="s">
        <v>1114</v>
      </c>
      <c r="D213" s="809">
        <v>3.6</v>
      </c>
      <c r="E213" s="809">
        <v>34.799999999999997</v>
      </c>
      <c r="F213" s="809">
        <v>42.325000000000003</v>
      </c>
      <c r="G213" s="809">
        <v>43.8</v>
      </c>
      <c r="H213" s="809">
        <v>46.4</v>
      </c>
      <c r="I213" s="809">
        <v>48.65</v>
      </c>
      <c r="J213" s="809">
        <v>57</v>
      </c>
      <c r="K213" s="809">
        <v>60</v>
      </c>
      <c r="L213" s="809">
        <v>63</v>
      </c>
      <c r="M213" s="809">
        <v>67</v>
      </c>
      <c r="N213" s="809">
        <v>71.5</v>
      </c>
      <c r="O213" s="809">
        <v>75</v>
      </c>
      <c r="P213" s="809">
        <v>77</v>
      </c>
      <c r="Q213" s="800"/>
      <c r="R213" s="800"/>
      <c r="S213" s="800"/>
      <c r="T213" s="800"/>
      <c r="U213" s="800"/>
      <c r="V213" s="800"/>
      <c r="W213" s="800"/>
      <c r="X213" s="800"/>
      <c r="Y213" s="800"/>
      <c r="Z213" s="800"/>
      <c r="AA213" s="800"/>
    </row>
    <row r="214" spans="1:27">
      <c r="A214" s="75" t="s">
        <v>1514</v>
      </c>
      <c r="B214" s="807" t="s">
        <v>1114</v>
      </c>
      <c r="C214" s="807" t="s">
        <v>1114</v>
      </c>
      <c r="D214" s="809">
        <v>11.5</v>
      </c>
      <c r="E214" s="809">
        <v>36.1</v>
      </c>
      <c r="F214" s="809">
        <v>51</v>
      </c>
      <c r="G214" s="809">
        <v>60.190260000000002</v>
      </c>
      <c r="H214" s="809">
        <v>61.599220000000003</v>
      </c>
      <c r="I214" s="809">
        <v>61.931649999999998</v>
      </c>
      <c r="J214" s="809">
        <v>57</v>
      </c>
      <c r="K214" s="809">
        <v>60</v>
      </c>
      <c r="L214" s="809">
        <v>63</v>
      </c>
      <c r="M214" s="809">
        <v>67</v>
      </c>
      <c r="N214" s="809">
        <v>71.5</v>
      </c>
      <c r="O214" s="809">
        <v>75</v>
      </c>
      <c r="P214" s="809">
        <v>77</v>
      </c>
      <c r="Q214" s="800"/>
      <c r="R214" s="800"/>
      <c r="S214" s="800"/>
      <c r="T214" s="800"/>
      <c r="U214" s="800"/>
      <c r="V214" s="800"/>
      <c r="W214" s="800"/>
      <c r="X214" s="800"/>
      <c r="Y214" s="800"/>
      <c r="Z214" s="800"/>
      <c r="AA214" s="800"/>
    </row>
    <row r="215" spans="1:27">
      <c r="A215" s="75" t="s">
        <v>1515</v>
      </c>
      <c r="B215" s="807" t="s">
        <v>1114</v>
      </c>
      <c r="C215" s="807" t="s">
        <v>1114</v>
      </c>
      <c r="D215" s="809">
        <v>3.3</v>
      </c>
      <c r="E215" s="809">
        <v>34.6</v>
      </c>
      <c r="F215" s="809">
        <v>36.5</v>
      </c>
      <c r="G215" s="809">
        <v>38</v>
      </c>
      <c r="H215" s="809">
        <v>38</v>
      </c>
      <c r="I215" s="809">
        <v>38</v>
      </c>
      <c r="J215" s="809">
        <v>57</v>
      </c>
      <c r="K215" s="809">
        <v>60</v>
      </c>
      <c r="L215" s="809">
        <v>63</v>
      </c>
      <c r="M215" s="809">
        <v>67</v>
      </c>
      <c r="N215" s="809">
        <v>71.5</v>
      </c>
      <c r="O215" s="809">
        <v>75</v>
      </c>
      <c r="P215" s="809">
        <v>77</v>
      </c>
      <c r="Q215" s="800"/>
      <c r="R215" s="800"/>
      <c r="S215" s="800"/>
      <c r="T215" s="800"/>
      <c r="U215" s="800"/>
      <c r="V215" s="800"/>
      <c r="W215" s="800"/>
      <c r="X215" s="800"/>
      <c r="Y215" s="800"/>
      <c r="Z215" s="800"/>
      <c r="AA215" s="800"/>
    </row>
    <row r="216" spans="1:27">
      <c r="A216" s="75" t="s">
        <v>1516</v>
      </c>
      <c r="B216" s="807" t="s">
        <v>1114</v>
      </c>
      <c r="C216" s="807" t="s">
        <v>1114</v>
      </c>
      <c r="D216" s="802">
        <v>3.47275</v>
      </c>
      <c r="E216" s="802">
        <v>0.55186000000000002</v>
      </c>
      <c r="F216" s="802">
        <v>3.4571900000000002</v>
      </c>
      <c r="G216" s="802">
        <v>5.4821400000000002</v>
      </c>
      <c r="H216" s="802">
        <v>6.0540599999999998</v>
      </c>
      <c r="I216" s="802">
        <v>6.6996200000000004</v>
      </c>
      <c r="J216" s="802">
        <v>0</v>
      </c>
      <c r="K216" s="802">
        <v>0</v>
      </c>
      <c r="L216" s="802">
        <v>0</v>
      </c>
      <c r="M216" s="802">
        <v>0</v>
      </c>
      <c r="N216" s="802">
        <v>0</v>
      </c>
      <c r="O216" s="802">
        <v>0</v>
      </c>
      <c r="P216" s="802">
        <v>0</v>
      </c>
      <c r="Q216" s="800"/>
      <c r="R216" s="800"/>
      <c r="S216" s="800"/>
      <c r="T216" s="800"/>
      <c r="U216" s="800"/>
      <c r="V216" s="800"/>
      <c r="W216" s="800"/>
      <c r="X216" s="800"/>
      <c r="Y216" s="800"/>
      <c r="Z216" s="800"/>
      <c r="AA216" s="800"/>
    </row>
    <row r="217" spans="1:27">
      <c r="A217" s="75" t="s">
        <v>1517</v>
      </c>
      <c r="B217" s="807" t="s">
        <v>1114</v>
      </c>
      <c r="C217" s="807" t="s">
        <v>1114</v>
      </c>
      <c r="D217" s="807" t="s">
        <v>1614</v>
      </c>
      <c r="E217" s="807" t="s">
        <v>1617</v>
      </c>
      <c r="F217" s="807" t="s">
        <v>1529</v>
      </c>
      <c r="G217" s="807" t="s">
        <v>1529</v>
      </c>
      <c r="H217" s="807" t="s">
        <v>1545</v>
      </c>
      <c r="I217" s="807" t="s">
        <v>1541</v>
      </c>
      <c r="J217" s="807" t="s">
        <v>1525</v>
      </c>
      <c r="K217" s="807" t="s">
        <v>1525</v>
      </c>
      <c r="L217" s="807" t="s">
        <v>1525</v>
      </c>
      <c r="M217" s="807" t="s">
        <v>1525</v>
      </c>
      <c r="N217" s="807" t="s">
        <v>1525</v>
      </c>
      <c r="O217" s="807" t="s">
        <v>1525</v>
      </c>
      <c r="P217" s="807" t="s">
        <v>1525</v>
      </c>
      <c r="Q217" s="800"/>
      <c r="R217" s="800"/>
      <c r="S217" s="800"/>
      <c r="T217" s="800"/>
      <c r="U217" s="800"/>
      <c r="V217" s="800"/>
      <c r="W217" s="800"/>
      <c r="X217" s="800"/>
      <c r="Y217" s="800"/>
      <c r="Z217" s="800"/>
      <c r="AA217" s="800"/>
    </row>
    <row r="218" spans="1:27">
      <c r="A218" s="75" t="s">
        <v>1526</v>
      </c>
      <c r="B218" s="807" t="s">
        <v>1114</v>
      </c>
      <c r="C218" s="807" t="s">
        <v>1114</v>
      </c>
      <c r="D218" s="807" t="s">
        <v>1527</v>
      </c>
      <c r="E218" s="807" t="s">
        <v>1527</v>
      </c>
      <c r="F218" s="807" t="s">
        <v>1527</v>
      </c>
      <c r="G218" s="807" t="s">
        <v>1527</v>
      </c>
      <c r="H218" s="807" t="s">
        <v>1527</v>
      </c>
      <c r="I218" s="807" t="s">
        <v>1527</v>
      </c>
      <c r="J218" s="807" t="s">
        <v>1527</v>
      </c>
      <c r="K218" s="807" t="s">
        <v>1527</v>
      </c>
      <c r="L218" s="807" t="s">
        <v>1527</v>
      </c>
      <c r="M218" s="807" t="s">
        <v>1527</v>
      </c>
      <c r="N218" s="807" t="s">
        <v>1527</v>
      </c>
      <c r="O218" s="807" t="s">
        <v>1527</v>
      </c>
      <c r="P218" s="807" t="s">
        <v>1527</v>
      </c>
      <c r="Q218" s="800"/>
      <c r="R218" s="800"/>
      <c r="S218" s="800"/>
      <c r="T218" s="800"/>
      <c r="U218" s="800"/>
      <c r="V218" s="800"/>
      <c r="W218" s="800"/>
      <c r="X218" s="800"/>
      <c r="Y218" s="800"/>
      <c r="Z218" s="800"/>
      <c r="AA218" s="800"/>
    </row>
    <row r="219" spans="1:27">
      <c r="A219" s="806" t="s">
        <v>1618</v>
      </c>
      <c r="B219" s="807" t="s">
        <v>1114</v>
      </c>
      <c r="C219" s="807" t="s">
        <v>1114</v>
      </c>
      <c r="D219" s="807" t="s">
        <v>1114</v>
      </c>
      <c r="E219" s="807" t="s">
        <v>1114</v>
      </c>
      <c r="F219" s="807" t="s">
        <v>1114</v>
      </c>
      <c r="G219" s="809">
        <v>17.95</v>
      </c>
      <c r="H219" s="809">
        <v>18.066669999999998</v>
      </c>
      <c r="I219" s="809">
        <v>16.266670000000001</v>
      </c>
      <c r="J219" s="809">
        <v>13.6</v>
      </c>
      <c r="K219" s="809">
        <v>14.6</v>
      </c>
      <c r="L219" s="809">
        <v>15.3</v>
      </c>
      <c r="M219" s="809">
        <v>15.9</v>
      </c>
      <c r="N219" s="809">
        <v>16.399999999999999</v>
      </c>
      <c r="O219" s="809">
        <v>16.8</v>
      </c>
      <c r="P219" s="809">
        <v>17.7</v>
      </c>
      <c r="Q219" s="800"/>
      <c r="R219" s="800"/>
      <c r="S219" s="800"/>
      <c r="T219" s="800"/>
      <c r="U219" s="800"/>
      <c r="V219" s="800"/>
      <c r="W219" s="800"/>
      <c r="X219" s="800"/>
      <c r="Y219" s="800"/>
      <c r="Z219" s="800"/>
      <c r="AA219" s="800"/>
    </row>
    <row r="220" spans="1:27">
      <c r="A220" s="75" t="s">
        <v>1513</v>
      </c>
      <c r="B220" s="807" t="s">
        <v>1114</v>
      </c>
      <c r="C220" s="807" t="s">
        <v>1114</v>
      </c>
      <c r="D220" s="807" t="s">
        <v>1114</v>
      </c>
      <c r="E220" s="807" t="s">
        <v>1114</v>
      </c>
      <c r="F220" s="807" t="s">
        <v>1114</v>
      </c>
      <c r="G220" s="809">
        <v>17.95</v>
      </c>
      <c r="H220" s="809">
        <v>17.2</v>
      </c>
      <c r="I220" s="809">
        <v>17</v>
      </c>
      <c r="J220" s="809">
        <v>13.6</v>
      </c>
      <c r="K220" s="809">
        <v>14.6</v>
      </c>
      <c r="L220" s="809">
        <v>15.3</v>
      </c>
      <c r="M220" s="809">
        <v>15.9</v>
      </c>
      <c r="N220" s="809">
        <v>16.399999999999999</v>
      </c>
      <c r="O220" s="809">
        <v>16.8</v>
      </c>
      <c r="P220" s="809">
        <v>17.7</v>
      </c>
      <c r="Q220" s="800"/>
      <c r="R220" s="800"/>
      <c r="S220" s="800"/>
      <c r="T220" s="800"/>
      <c r="U220" s="800"/>
      <c r="V220" s="800"/>
      <c r="W220" s="800"/>
      <c r="X220" s="800"/>
      <c r="Y220" s="800"/>
      <c r="Z220" s="800"/>
      <c r="AA220" s="800"/>
    </row>
    <row r="221" spans="1:27">
      <c r="A221" s="75" t="s">
        <v>1514</v>
      </c>
      <c r="B221" s="807" t="s">
        <v>1114</v>
      </c>
      <c r="C221" s="807" t="s">
        <v>1114</v>
      </c>
      <c r="D221" s="807" t="s">
        <v>1114</v>
      </c>
      <c r="E221" s="807" t="s">
        <v>1114</v>
      </c>
      <c r="F221" s="807" t="s">
        <v>1114</v>
      </c>
      <c r="G221" s="809">
        <v>19</v>
      </c>
      <c r="H221" s="809">
        <v>20</v>
      </c>
      <c r="I221" s="809">
        <v>19.8</v>
      </c>
      <c r="J221" s="809">
        <v>13.6</v>
      </c>
      <c r="K221" s="809">
        <v>14.6</v>
      </c>
      <c r="L221" s="809">
        <v>15.3</v>
      </c>
      <c r="M221" s="809">
        <v>15.9</v>
      </c>
      <c r="N221" s="809">
        <v>16.399999999999999</v>
      </c>
      <c r="O221" s="809">
        <v>16.8</v>
      </c>
      <c r="P221" s="809">
        <v>17.7</v>
      </c>
      <c r="Q221" s="800"/>
      <c r="R221" s="800"/>
      <c r="S221" s="800"/>
      <c r="T221" s="800"/>
      <c r="U221" s="800"/>
      <c r="V221" s="800"/>
      <c r="W221" s="800"/>
      <c r="X221" s="800"/>
      <c r="Y221" s="800"/>
      <c r="Z221" s="800"/>
      <c r="AA221" s="800"/>
    </row>
    <row r="222" spans="1:27">
      <c r="A222" s="75" t="s">
        <v>1515</v>
      </c>
      <c r="B222" s="807" t="s">
        <v>1114</v>
      </c>
      <c r="C222" s="807" t="s">
        <v>1114</v>
      </c>
      <c r="D222" s="807" t="s">
        <v>1114</v>
      </c>
      <c r="E222" s="807" t="s">
        <v>1114</v>
      </c>
      <c r="F222" s="807" t="s">
        <v>1114</v>
      </c>
      <c r="G222" s="809">
        <v>16.899999999999999</v>
      </c>
      <c r="H222" s="809">
        <v>17</v>
      </c>
      <c r="I222" s="809">
        <v>12</v>
      </c>
      <c r="J222" s="809">
        <v>13.6</v>
      </c>
      <c r="K222" s="809">
        <v>14.6</v>
      </c>
      <c r="L222" s="809">
        <v>15.3</v>
      </c>
      <c r="M222" s="809">
        <v>15.9</v>
      </c>
      <c r="N222" s="809">
        <v>16.399999999999999</v>
      </c>
      <c r="O222" s="809">
        <v>16.8</v>
      </c>
      <c r="P222" s="809">
        <v>17.7</v>
      </c>
      <c r="Q222" s="800"/>
      <c r="R222" s="800"/>
      <c r="S222" s="800"/>
      <c r="T222" s="800"/>
      <c r="U222" s="800"/>
      <c r="V222" s="800"/>
      <c r="W222" s="800"/>
      <c r="X222" s="800"/>
      <c r="Y222" s="800"/>
      <c r="Z222" s="800"/>
      <c r="AA222" s="800"/>
    </row>
    <row r="223" spans="1:27">
      <c r="A223" s="75" t="s">
        <v>1516</v>
      </c>
      <c r="B223" s="807" t="s">
        <v>1114</v>
      </c>
      <c r="C223" s="807" t="s">
        <v>1114</v>
      </c>
      <c r="D223" s="807" t="s">
        <v>1114</v>
      </c>
      <c r="E223" s="807" t="s">
        <v>1114</v>
      </c>
      <c r="F223" s="807" t="s">
        <v>1114</v>
      </c>
      <c r="G223" s="802">
        <v>1.05</v>
      </c>
      <c r="H223" s="802">
        <v>1.36951</v>
      </c>
      <c r="I223" s="802">
        <v>3.22628</v>
      </c>
      <c r="J223" s="802">
        <v>0</v>
      </c>
      <c r="K223" s="802">
        <v>0</v>
      </c>
      <c r="L223" s="802">
        <v>0</v>
      </c>
      <c r="M223" s="802">
        <v>0</v>
      </c>
      <c r="N223" s="802">
        <v>0</v>
      </c>
      <c r="O223" s="802">
        <v>0</v>
      </c>
      <c r="P223" s="802">
        <v>0</v>
      </c>
      <c r="Q223" s="800"/>
      <c r="R223" s="800"/>
      <c r="S223" s="800"/>
      <c r="T223" s="800"/>
      <c r="U223" s="800"/>
      <c r="V223" s="800"/>
      <c r="W223" s="800"/>
      <c r="X223" s="800"/>
      <c r="Y223" s="800"/>
      <c r="Z223" s="800"/>
      <c r="AA223" s="800"/>
    </row>
    <row r="224" spans="1:27">
      <c r="A224" s="75" t="s">
        <v>1517</v>
      </c>
      <c r="B224" s="807" t="s">
        <v>1114</v>
      </c>
      <c r="C224" s="807" t="s">
        <v>1114</v>
      </c>
      <c r="D224" s="807" t="s">
        <v>1114</v>
      </c>
      <c r="E224" s="807" t="s">
        <v>1114</v>
      </c>
      <c r="F224" s="807" t="s">
        <v>1114</v>
      </c>
      <c r="G224" s="807" t="s">
        <v>1555</v>
      </c>
      <c r="H224" s="807" t="s">
        <v>1619</v>
      </c>
      <c r="I224" s="807" t="s">
        <v>1619</v>
      </c>
      <c r="J224" s="807" t="s">
        <v>1525</v>
      </c>
      <c r="K224" s="807" t="s">
        <v>1525</v>
      </c>
      <c r="L224" s="807" t="s">
        <v>1525</v>
      </c>
      <c r="M224" s="807" t="s">
        <v>1525</v>
      </c>
      <c r="N224" s="807" t="s">
        <v>1525</v>
      </c>
      <c r="O224" s="807" t="s">
        <v>1525</v>
      </c>
      <c r="P224" s="807" t="s">
        <v>1525</v>
      </c>
      <c r="Q224" s="800"/>
      <c r="R224" s="800"/>
      <c r="S224" s="800"/>
      <c r="T224" s="800"/>
      <c r="U224" s="800"/>
      <c r="V224" s="800"/>
      <c r="W224" s="800"/>
      <c r="X224" s="800"/>
      <c r="Y224" s="800"/>
      <c r="Z224" s="800"/>
      <c r="AA224" s="800"/>
    </row>
    <row r="225" spans="1:27">
      <c r="A225" s="75" t="s">
        <v>1526</v>
      </c>
      <c r="B225" s="807" t="s">
        <v>1114</v>
      </c>
      <c r="C225" s="807" t="s">
        <v>1114</v>
      </c>
      <c r="D225" s="807" t="s">
        <v>1114</v>
      </c>
      <c r="E225" s="807" t="s">
        <v>1114</v>
      </c>
      <c r="F225" s="807" t="s">
        <v>1114</v>
      </c>
      <c r="G225" s="807" t="s">
        <v>1527</v>
      </c>
      <c r="H225" s="807" t="s">
        <v>1527</v>
      </c>
      <c r="I225" s="807" t="s">
        <v>1527</v>
      </c>
      <c r="J225" s="807" t="s">
        <v>1527</v>
      </c>
      <c r="K225" s="807" t="s">
        <v>1527</v>
      </c>
      <c r="L225" s="807" t="s">
        <v>1527</v>
      </c>
      <c r="M225" s="807" t="s">
        <v>1527</v>
      </c>
      <c r="N225" s="807" t="s">
        <v>1527</v>
      </c>
      <c r="O225" s="807" t="s">
        <v>1527</v>
      </c>
      <c r="P225" s="807" t="s">
        <v>1527</v>
      </c>
      <c r="Q225" s="800"/>
      <c r="R225" s="800"/>
      <c r="S225" s="800"/>
      <c r="T225" s="800"/>
      <c r="U225" s="800"/>
      <c r="V225" s="800"/>
      <c r="W225" s="800"/>
      <c r="X225" s="800"/>
      <c r="Y225" s="800"/>
      <c r="Z225" s="800"/>
      <c r="AA225" s="800"/>
    </row>
    <row r="226" spans="1:27">
      <c r="A226" s="806" t="s">
        <v>1620</v>
      </c>
      <c r="B226" s="807" t="s">
        <v>1114</v>
      </c>
      <c r="C226" s="808">
        <v>-517.0915</v>
      </c>
      <c r="D226" s="808">
        <v>-22.935400000000001</v>
      </c>
      <c r="E226" s="808">
        <v>-6.6502999999999997</v>
      </c>
      <c r="F226" s="808">
        <v>-1.6345000000000001</v>
      </c>
      <c r="G226" s="809">
        <v>2.4820700000000002</v>
      </c>
      <c r="H226" s="809">
        <v>5.5171900000000003</v>
      </c>
      <c r="I226" s="809">
        <v>7.8610300000000004</v>
      </c>
      <c r="J226" s="809">
        <v>12</v>
      </c>
      <c r="K226" s="809">
        <v>14.4</v>
      </c>
      <c r="L226" s="809">
        <v>16.2</v>
      </c>
      <c r="M226" s="809">
        <v>17.3</v>
      </c>
      <c r="N226" s="809">
        <v>17.899999999999999</v>
      </c>
      <c r="O226" s="809">
        <v>18</v>
      </c>
      <c r="P226" s="809">
        <v>17.2</v>
      </c>
      <c r="Q226" s="800"/>
      <c r="R226" s="800"/>
      <c r="S226" s="800"/>
      <c r="T226" s="800"/>
      <c r="U226" s="800"/>
      <c r="V226" s="800"/>
      <c r="W226" s="800"/>
      <c r="X226" s="800"/>
      <c r="Y226" s="800"/>
      <c r="Z226" s="800"/>
      <c r="AA226" s="800"/>
    </row>
    <row r="227" spans="1:27">
      <c r="A227" s="75" t="s">
        <v>1512</v>
      </c>
      <c r="B227" s="807" t="s">
        <v>1114</v>
      </c>
      <c r="C227" s="809">
        <v>-408.86297000000002</v>
      </c>
      <c r="D227" s="809">
        <v>-20.085850000000001</v>
      </c>
      <c r="E227" s="809">
        <v>-6.7838500000000002</v>
      </c>
      <c r="F227" s="809">
        <v>-0.77168999999999999</v>
      </c>
      <c r="G227" s="807" t="s">
        <v>1114</v>
      </c>
      <c r="H227" s="807" t="s">
        <v>1114</v>
      </c>
      <c r="I227" s="807" t="s">
        <v>1114</v>
      </c>
      <c r="J227" s="807" t="s">
        <v>1114</v>
      </c>
      <c r="K227" s="807" t="s">
        <v>1114</v>
      </c>
      <c r="L227" s="807" t="s">
        <v>1114</v>
      </c>
      <c r="M227" s="807" t="s">
        <v>1114</v>
      </c>
      <c r="N227" s="807" t="s">
        <v>1114</v>
      </c>
      <c r="O227" s="807" t="s">
        <v>1114</v>
      </c>
      <c r="P227" s="807" t="s">
        <v>1114</v>
      </c>
      <c r="Q227" s="800"/>
      <c r="R227" s="800"/>
      <c r="S227" s="800"/>
      <c r="T227" s="800"/>
      <c r="U227" s="800"/>
      <c r="V227" s="800"/>
      <c r="W227" s="800"/>
      <c r="X227" s="800"/>
      <c r="Y227" s="800"/>
      <c r="Z227" s="800"/>
      <c r="AA227" s="800"/>
    </row>
    <row r="228" spans="1:27">
      <c r="A228" s="75" t="s">
        <v>1513</v>
      </c>
      <c r="B228" s="807" t="s">
        <v>1114</v>
      </c>
      <c r="C228" s="809">
        <v>-386.01499999999999</v>
      </c>
      <c r="D228" s="809">
        <v>-21.67606</v>
      </c>
      <c r="E228" s="809">
        <v>-7.6811800000000003</v>
      </c>
      <c r="F228" s="809">
        <v>-1.33</v>
      </c>
      <c r="G228" s="809">
        <v>2.4249999999999998</v>
      </c>
      <c r="H228" s="809">
        <v>5.45</v>
      </c>
      <c r="I228" s="809">
        <v>7.9</v>
      </c>
      <c r="J228" s="809">
        <v>12</v>
      </c>
      <c r="K228" s="809">
        <v>14.4</v>
      </c>
      <c r="L228" s="809">
        <v>16.2</v>
      </c>
      <c r="M228" s="809">
        <v>17.3</v>
      </c>
      <c r="N228" s="809">
        <v>17.899999999999999</v>
      </c>
      <c r="O228" s="809">
        <v>18</v>
      </c>
      <c r="P228" s="809">
        <v>17.2</v>
      </c>
      <c r="Q228" s="800"/>
      <c r="R228" s="800"/>
      <c r="S228" s="800"/>
      <c r="T228" s="800"/>
      <c r="U228" s="800"/>
      <c r="V228" s="800"/>
      <c r="W228" s="800"/>
      <c r="X228" s="800"/>
      <c r="Y228" s="800"/>
      <c r="Z228" s="800"/>
      <c r="AA228" s="800"/>
    </row>
    <row r="229" spans="1:27">
      <c r="A229" s="75" t="s">
        <v>1514</v>
      </c>
      <c r="B229" s="807" t="s">
        <v>1114</v>
      </c>
      <c r="C229" s="809">
        <v>-267.13</v>
      </c>
      <c r="D229" s="809">
        <v>-12.845000000000001</v>
      </c>
      <c r="E229" s="809">
        <v>-1.1739999999999999</v>
      </c>
      <c r="F229" s="809">
        <v>3.3610000000000002</v>
      </c>
      <c r="G229" s="809">
        <v>3.6</v>
      </c>
      <c r="H229" s="809">
        <v>8.9</v>
      </c>
      <c r="I229" s="809">
        <v>9.14</v>
      </c>
      <c r="J229" s="809">
        <v>12</v>
      </c>
      <c r="K229" s="809">
        <v>14.4</v>
      </c>
      <c r="L229" s="809">
        <v>16.2</v>
      </c>
      <c r="M229" s="809">
        <v>17.3</v>
      </c>
      <c r="N229" s="809">
        <v>17.899999999999999</v>
      </c>
      <c r="O229" s="809">
        <v>18</v>
      </c>
      <c r="P229" s="809">
        <v>17.2</v>
      </c>
      <c r="Q229" s="800"/>
      <c r="R229" s="800"/>
      <c r="S229" s="800"/>
      <c r="T229" s="800"/>
      <c r="U229" s="800"/>
      <c r="V229" s="800"/>
      <c r="W229" s="800"/>
      <c r="X229" s="800"/>
      <c r="Y229" s="800"/>
      <c r="Z229" s="800"/>
      <c r="AA229" s="800"/>
    </row>
    <row r="230" spans="1:27">
      <c r="A230" s="75" t="s">
        <v>1515</v>
      </c>
      <c r="B230" s="807" t="s">
        <v>1114</v>
      </c>
      <c r="C230" s="809">
        <v>-716.11983999999995</v>
      </c>
      <c r="D230" s="809">
        <v>-24.1</v>
      </c>
      <c r="E230" s="809">
        <v>-10.3</v>
      </c>
      <c r="F230" s="809">
        <v>-2.1987700000000001</v>
      </c>
      <c r="G230" s="809">
        <v>1.5</v>
      </c>
      <c r="H230" s="809">
        <v>3.6680000000000001</v>
      </c>
      <c r="I230" s="809">
        <v>5.2249999999999996</v>
      </c>
      <c r="J230" s="809">
        <v>12</v>
      </c>
      <c r="K230" s="809">
        <v>14.4</v>
      </c>
      <c r="L230" s="809">
        <v>16.2</v>
      </c>
      <c r="M230" s="809">
        <v>17.3</v>
      </c>
      <c r="N230" s="809">
        <v>17.899999999999999</v>
      </c>
      <c r="O230" s="809">
        <v>18</v>
      </c>
      <c r="P230" s="809">
        <v>17.2</v>
      </c>
      <c r="Q230" s="800"/>
      <c r="R230" s="800"/>
      <c r="S230" s="800"/>
      <c r="T230" s="800"/>
      <c r="U230" s="800"/>
      <c r="V230" s="800"/>
      <c r="W230" s="800"/>
      <c r="X230" s="800"/>
      <c r="Y230" s="800"/>
      <c r="Z230" s="800"/>
      <c r="AA230" s="800"/>
    </row>
    <row r="231" spans="1:27">
      <c r="A231" s="75" t="s">
        <v>1516</v>
      </c>
      <c r="B231" s="807" t="s">
        <v>1114</v>
      </c>
      <c r="C231" s="802">
        <v>164.05663999999999</v>
      </c>
      <c r="D231" s="802">
        <v>3.9383300000000001</v>
      </c>
      <c r="E231" s="802">
        <v>3.03471</v>
      </c>
      <c r="F231" s="802">
        <v>1.75562</v>
      </c>
      <c r="G231" s="802">
        <v>0.46505999999999997</v>
      </c>
      <c r="H231" s="802">
        <v>1.32379</v>
      </c>
      <c r="I231" s="802">
        <v>1.1329899999999999</v>
      </c>
      <c r="J231" s="802">
        <v>0</v>
      </c>
      <c r="K231" s="802">
        <v>0</v>
      </c>
      <c r="L231" s="802">
        <v>0</v>
      </c>
      <c r="M231" s="802">
        <v>0</v>
      </c>
      <c r="N231" s="802">
        <v>0</v>
      </c>
      <c r="O231" s="802">
        <v>0</v>
      </c>
      <c r="P231" s="802">
        <v>0</v>
      </c>
      <c r="Q231" s="800"/>
      <c r="R231" s="800"/>
      <c r="S231" s="800"/>
      <c r="T231" s="800"/>
      <c r="U231" s="800"/>
      <c r="V231" s="800"/>
      <c r="W231" s="800"/>
      <c r="X231" s="800"/>
      <c r="Y231" s="800"/>
      <c r="Z231" s="800"/>
      <c r="AA231" s="800"/>
    </row>
    <row r="232" spans="1:27">
      <c r="A232" s="75" t="s">
        <v>1517</v>
      </c>
      <c r="B232" s="807" t="s">
        <v>1114</v>
      </c>
      <c r="C232" s="807" t="s">
        <v>1621</v>
      </c>
      <c r="D232" s="807" t="s">
        <v>1548</v>
      </c>
      <c r="E232" s="807" t="s">
        <v>1622</v>
      </c>
      <c r="F232" s="807" t="s">
        <v>1519</v>
      </c>
      <c r="G232" s="807" t="s">
        <v>1623</v>
      </c>
      <c r="H232" s="807" t="s">
        <v>1624</v>
      </c>
      <c r="I232" s="807" t="s">
        <v>1625</v>
      </c>
      <c r="J232" s="807" t="s">
        <v>1525</v>
      </c>
      <c r="K232" s="807" t="s">
        <v>1525</v>
      </c>
      <c r="L232" s="807" t="s">
        <v>1525</v>
      </c>
      <c r="M232" s="807" t="s">
        <v>1525</v>
      </c>
      <c r="N232" s="807" t="s">
        <v>1525</v>
      </c>
      <c r="O232" s="807" t="s">
        <v>1525</v>
      </c>
      <c r="P232" s="807" t="s">
        <v>1525</v>
      </c>
      <c r="Q232" s="800"/>
      <c r="R232" s="800"/>
      <c r="S232" s="800"/>
      <c r="T232" s="800"/>
      <c r="U232" s="800"/>
      <c r="V232" s="800"/>
      <c r="W232" s="800"/>
      <c r="X232" s="800"/>
      <c r="Y232" s="800"/>
      <c r="Z232" s="800"/>
      <c r="AA232" s="800"/>
    </row>
    <row r="233" spans="1:27">
      <c r="A233" s="75" t="s">
        <v>1526</v>
      </c>
      <c r="B233" s="807" t="s">
        <v>1114</v>
      </c>
      <c r="C233" s="807" t="s">
        <v>1527</v>
      </c>
      <c r="D233" s="807" t="s">
        <v>1527</v>
      </c>
      <c r="E233" s="807" t="s">
        <v>1527</v>
      </c>
      <c r="F233" s="807" t="s">
        <v>1527</v>
      </c>
      <c r="G233" s="807" t="s">
        <v>1527</v>
      </c>
      <c r="H233" s="807" t="s">
        <v>1527</v>
      </c>
      <c r="I233" s="807" t="s">
        <v>1527</v>
      </c>
      <c r="J233" s="807" t="s">
        <v>1527</v>
      </c>
      <c r="K233" s="807" t="s">
        <v>1527</v>
      </c>
      <c r="L233" s="807" t="s">
        <v>1527</v>
      </c>
      <c r="M233" s="807" t="s">
        <v>1527</v>
      </c>
      <c r="N233" s="807" t="s">
        <v>1527</v>
      </c>
      <c r="O233" s="807" t="s">
        <v>1527</v>
      </c>
      <c r="P233" s="807" t="s">
        <v>1527</v>
      </c>
      <c r="Q233" s="800"/>
      <c r="R233" s="800"/>
      <c r="S233" s="800"/>
      <c r="T233" s="800"/>
      <c r="U233" s="800"/>
      <c r="V233" s="800"/>
      <c r="W233" s="800"/>
      <c r="X233" s="800"/>
      <c r="Y233" s="800"/>
      <c r="Z233" s="800"/>
      <c r="AA233" s="800"/>
    </row>
    <row r="234" spans="1:27">
      <c r="A234" s="806" t="s">
        <v>1626</v>
      </c>
      <c r="B234" s="807" t="s">
        <v>1114</v>
      </c>
      <c r="C234" s="808">
        <v>-41.504199999999997</v>
      </c>
      <c r="D234" s="808">
        <v>-16.542169999999999</v>
      </c>
      <c r="E234" s="808">
        <v>-4.8323999999999998</v>
      </c>
      <c r="F234" s="808">
        <v>-1.1611</v>
      </c>
      <c r="G234" s="809">
        <v>1.7408999999999999</v>
      </c>
      <c r="H234" s="809">
        <v>3.98997</v>
      </c>
      <c r="I234" s="809">
        <v>5.2058900000000001</v>
      </c>
      <c r="J234" s="809">
        <v>8.6999999999999993</v>
      </c>
      <c r="K234" s="809">
        <v>10.8</v>
      </c>
      <c r="L234" s="809">
        <v>12.6</v>
      </c>
      <c r="M234" s="809">
        <v>13.9</v>
      </c>
      <c r="N234" s="809">
        <v>15</v>
      </c>
      <c r="O234" s="809">
        <v>15.5</v>
      </c>
      <c r="P234" s="809">
        <v>15.2</v>
      </c>
      <c r="Q234" s="800"/>
      <c r="R234" s="800"/>
      <c r="S234" s="800"/>
      <c r="T234" s="800"/>
      <c r="U234" s="800"/>
      <c r="V234" s="800"/>
      <c r="W234" s="800"/>
      <c r="X234" s="800"/>
      <c r="Y234" s="800"/>
      <c r="Z234" s="800"/>
      <c r="AA234" s="800"/>
    </row>
    <row r="235" spans="1:27">
      <c r="A235" s="75" t="s">
        <v>1512</v>
      </c>
      <c r="B235" s="807" t="s">
        <v>1114</v>
      </c>
      <c r="C235" s="809">
        <v>-17.399999999999999</v>
      </c>
      <c r="D235" s="809">
        <v>-13.72533</v>
      </c>
      <c r="E235" s="809">
        <v>-5.5741399999999999</v>
      </c>
      <c r="F235" s="809">
        <v>-1.2173400000000001</v>
      </c>
      <c r="G235" s="807" t="s">
        <v>1114</v>
      </c>
      <c r="H235" s="807" t="s">
        <v>1114</v>
      </c>
      <c r="I235" s="807" t="s">
        <v>1114</v>
      </c>
      <c r="J235" s="807" t="s">
        <v>1114</v>
      </c>
      <c r="K235" s="807" t="s">
        <v>1114</v>
      </c>
      <c r="L235" s="807" t="s">
        <v>1114</v>
      </c>
      <c r="M235" s="807" t="s">
        <v>1114</v>
      </c>
      <c r="N235" s="807" t="s">
        <v>1114</v>
      </c>
      <c r="O235" s="807" t="s">
        <v>1114</v>
      </c>
      <c r="P235" s="807" t="s">
        <v>1114</v>
      </c>
      <c r="Q235" s="800"/>
      <c r="R235" s="800"/>
      <c r="S235" s="800"/>
      <c r="T235" s="800"/>
      <c r="U235" s="800"/>
      <c r="V235" s="800"/>
      <c r="W235" s="800"/>
      <c r="X235" s="800"/>
      <c r="Y235" s="800"/>
      <c r="Z235" s="800"/>
      <c r="AA235" s="800"/>
    </row>
    <row r="236" spans="1:27">
      <c r="A236" s="75" t="s">
        <v>1513</v>
      </c>
      <c r="B236" s="807" t="s">
        <v>1114</v>
      </c>
      <c r="C236" s="809">
        <v>-17.399999999999999</v>
      </c>
      <c r="D236" s="809">
        <v>-14.2</v>
      </c>
      <c r="E236" s="809">
        <v>-6.55</v>
      </c>
      <c r="F236" s="809">
        <v>-1.2201200000000001</v>
      </c>
      <c r="G236" s="809">
        <v>1.6936</v>
      </c>
      <c r="H236" s="809">
        <v>3.5</v>
      </c>
      <c r="I236" s="809">
        <v>5.48</v>
      </c>
      <c r="J236" s="809">
        <v>8.6999999999999993</v>
      </c>
      <c r="K236" s="809">
        <v>10.8</v>
      </c>
      <c r="L236" s="809">
        <v>12.6</v>
      </c>
      <c r="M236" s="809">
        <v>13.9</v>
      </c>
      <c r="N236" s="809">
        <v>15</v>
      </c>
      <c r="O236" s="809">
        <v>15.5</v>
      </c>
      <c r="P236" s="809">
        <v>15.2</v>
      </c>
      <c r="Q236" s="800"/>
      <c r="R236" s="800"/>
      <c r="S236" s="800"/>
      <c r="T236" s="800"/>
      <c r="U236" s="800"/>
      <c r="V236" s="800"/>
      <c r="W236" s="800"/>
      <c r="X236" s="800"/>
      <c r="Y236" s="800"/>
      <c r="Z236" s="800"/>
      <c r="AA236" s="800"/>
    </row>
    <row r="237" spans="1:27">
      <c r="A237" s="75" t="s">
        <v>1514</v>
      </c>
      <c r="B237" s="807" t="s">
        <v>1114</v>
      </c>
      <c r="C237" s="809">
        <v>-17.399999999999999</v>
      </c>
      <c r="D237" s="809">
        <v>-8.9550000000000001</v>
      </c>
      <c r="E237" s="809">
        <v>-2.052</v>
      </c>
      <c r="F237" s="809">
        <v>-0.8</v>
      </c>
      <c r="G237" s="809">
        <v>2.5</v>
      </c>
      <c r="H237" s="809">
        <v>6.2</v>
      </c>
      <c r="I237" s="809">
        <v>6.5</v>
      </c>
      <c r="J237" s="809">
        <v>8.6999999999999993</v>
      </c>
      <c r="K237" s="809">
        <v>10.8</v>
      </c>
      <c r="L237" s="809">
        <v>12.6</v>
      </c>
      <c r="M237" s="809">
        <v>13.9</v>
      </c>
      <c r="N237" s="809">
        <v>15</v>
      </c>
      <c r="O237" s="809">
        <v>15.5</v>
      </c>
      <c r="P237" s="809">
        <v>15.2</v>
      </c>
      <c r="Q237" s="800"/>
      <c r="R237" s="800"/>
      <c r="S237" s="800"/>
      <c r="T237" s="800"/>
      <c r="U237" s="800"/>
      <c r="V237" s="800"/>
      <c r="W237" s="800"/>
      <c r="X237" s="800"/>
      <c r="Y237" s="800"/>
      <c r="Z237" s="800"/>
      <c r="AA237" s="800"/>
    </row>
    <row r="238" spans="1:27">
      <c r="A238" s="75" t="s">
        <v>1515</v>
      </c>
      <c r="B238" s="807" t="s">
        <v>1114</v>
      </c>
      <c r="C238" s="809">
        <v>-17.399999999999999</v>
      </c>
      <c r="D238" s="809">
        <v>-17.2</v>
      </c>
      <c r="E238" s="809">
        <v>-7.4</v>
      </c>
      <c r="F238" s="809">
        <v>-1.6</v>
      </c>
      <c r="G238" s="809">
        <v>1.34</v>
      </c>
      <c r="H238" s="809">
        <v>2.98969</v>
      </c>
      <c r="I238" s="809">
        <v>3.7753299999999999</v>
      </c>
      <c r="J238" s="809">
        <v>8.6999999999999993</v>
      </c>
      <c r="K238" s="809">
        <v>10.8</v>
      </c>
      <c r="L238" s="809">
        <v>12.6</v>
      </c>
      <c r="M238" s="809">
        <v>13.9</v>
      </c>
      <c r="N238" s="809">
        <v>15</v>
      </c>
      <c r="O238" s="809">
        <v>15.5</v>
      </c>
      <c r="P238" s="809">
        <v>15.2</v>
      </c>
      <c r="Q238" s="800"/>
      <c r="R238" s="800"/>
      <c r="S238" s="800"/>
      <c r="T238" s="800"/>
      <c r="U238" s="800"/>
      <c r="V238" s="800"/>
      <c r="W238" s="800"/>
      <c r="X238" s="800"/>
      <c r="Y238" s="800"/>
      <c r="Z238" s="800"/>
      <c r="AA238" s="800"/>
    </row>
    <row r="239" spans="1:27">
      <c r="A239" s="75" t="s">
        <v>1516</v>
      </c>
      <c r="B239" s="807" t="s">
        <v>1114</v>
      </c>
      <c r="C239" s="802">
        <v>0</v>
      </c>
      <c r="D239" s="802">
        <v>2.2167699999999999</v>
      </c>
      <c r="E239" s="802">
        <v>1.8893599999999999</v>
      </c>
      <c r="F239" s="802">
        <v>0.26058999999999999</v>
      </c>
      <c r="G239" s="802">
        <v>0.33285999999999999</v>
      </c>
      <c r="H239" s="802">
        <v>1.12971</v>
      </c>
      <c r="I239" s="802">
        <v>0.93676000000000004</v>
      </c>
      <c r="J239" s="802">
        <v>0</v>
      </c>
      <c r="K239" s="802">
        <v>0</v>
      </c>
      <c r="L239" s="802">
        <v>0</v>
      </c>
      <c r="M239" s="802">
        <v>0</v>
      </c>
      <c r="N239" s="802">
        <v>0</v>
      </c>
      <c r="O239" s="802">
        <v>0</v>
      </c>
      <c r="P239" s="802">
        <v>0</v>
      </c>
      <c r="Q239" s="800"/>
      <c r="R239" s="800"/>
      <c r="S239" s="800"/>
      <c r="T239" s="800"/>
      <c r="U239" s="800"/>
      <c r="V239" s="800"/>
      <c r="W239" s="800"/>
      <c r="X239" s="800"/>
      <c r="Y239" s="800"/>
      <c r="Z239" s="800"/>
      <c r="AA239" s="800"/>
    </row>
    <row r="240" spans="1:27">
      <c r="A240" s="75" t="s">
        <v>1517</v>
      </c>
      <c r="B240" s="807" t="s">
        <v>1114</v>
      </c>
      <c r="C240" s="807" t="s">
        <v>1627</v>
      </c>
      <c r="D240" s="807" t="s">
        <v>1606</v>
      </c>
      <c r="E240" s="807" t="s">
        <v>1549</v>
      </c>
      <c r="F240" s="807" t="s">
        <v>1534</v>
      </c>
      <c r="G240" s="807" t="s">
        <v>1628</v>
      </c>
      <c r="H240" s="807" t="s">
        <v>1629</v>
      </c>
      <c r="I240" s="807" t="s">
        <v>1534</v>
      </c>
      <c r="J240" s="807" t="s">
        <v>1525</v>
      </c>
      <c r="K240" s="807" t="s">
        <v>1525</v>
      </c>
      <c r="L240" s="807" t="s">
        <v>1525</v>
      </c>
      <c r="M240" s="807" t="s">
        <v>1525</v>
      </c>
      <c r="N240" s="807" t="s">
        <v>1525</v>
      </c>
      <c r="O240" s="807" t="s">
        <v>1525</v>
      </c>
      <c r="P240" s="807" t="s">
        <v>1525</v>
      </c>
      <c r="Q240" s="800"/>
      <c r="R240" s="800"/>
      <c r="S240" s="800"/>
      <c r="T240" s="800"/>
      <c r="U240" s="800"/>
      <c r="V240" s="800"/>
      <c r="W240" s="800"/>
      <c r="X240" s="800"/>
      <c r="Y240" s="800"/>
      <c r="Z240" s="800"/>
      <c r="AA240" s="800"/>
    </row>
    <row r="241" spans="1:27">
      <c r="A241" s="75" t="s">
        <v>1526</v>
      </c>
      <c r="B241" s="807" t="s">
        <v>1114</v>
      </c>
      <c r="C241" s="807" t="s">
        <v>1527</v>
      </c>
      <c r="D241" s="807" t="s">
        <v>1527</v>
      </c>
      <c r="E241" s="807" t="s">
        <v>1527</v>
      </c>
      <c r="F241" s="807" t="s">
        <v>1527</v>
      </c>
      <c r="G241" s="807" t="s">
        <v>1527</v>
      </c>
      <c r="H241" s="807" t="s">
        <v>1527</v>
      </c>
      <c r="I241" s="807" t="s">
        <v>1527</v>
      </c>
      <c r="J241" s="807" t="s">
        <v>1527</v>
      </c>
      <c r="K241" s="807" t="s">
        <v>1527</v>
      </c>
      <c r="L241" s="807" t="s">
        <v>1527</v>
      </c>
      <c r="M241" s="807" t="s">
        <v>1527</v>
      </c>
      <c r="N241" s="807" t="s">
        <v>1527</v>
      </c>
      <c r="O241" s="807" t="s">
        <v>1527</v>
      </c>
      <c r="P241" s="807" t="s">
        <v>1527</v>
      </c>
      <c r="Q241" s="800"/>
      <c r="R241" s="800"/>
      <c r="S241" s="800"/>
      <c r="T241" s="800"/>
      <c r="U241" s="800"/>
      <c r="V241" s="800"/>
      <c r="W241" s="800"/>
      <c r="X241" s="800"/>
      <c r="Y241" s="800"/>
      <c r="Z241" s="800"/>
      <c r="AA241" s="800"/>
    </row>
    <row r="242" spans="1:27">
      <c r="A242" s="806" t="s">
        <v>1630</v>
      </c>
      <c r="B242" s="807" t="s">
        <v>1114</v>
      </c>
      <c r="C242" s="809">
        <v>22844.909250000001</v>
      </c>
      <c r="D242" s="809">
        <v>9522.0763299999999</v>
      </c>
      <c r="E242" s="809">
        <v>9469.0059799999999</v>
      </c>
      <c r="F242" s="809">
        <v>13567.629080000001</v>
      </c>
      <c r="G242" s="809">
        <v>19294.02564</v>
      </c>
      <c r="H242" s="809">
        <v>19022.794910000001</v>
      </c>
      <c r="I242" s="809">
        <v>18842.20766</v>
      </c>
      <c r="J242" s="809">
        <v>32485</v>
      </c>
      <c r="K242" s="809">
        <v>35857</v>
      </c>
      <c r="L242" s="809">
        <v>39584</v>
      </c>
      <c r="M242" s="809">
        <v>43702</v>
      </c>
      <c r="N242" s="809">
        <v>48253</v>
      </c>
      <c r="O242" s="809">
        <v>53281</v>
      </c>
      <c r="P242" s="809">
        <v>58837</v>
      </c>
      <c r="Q242" s="800"/>
      <c r="R242" s="800"/>
      <c r="S242" s="800"/>
      <c r="T242" s="800"/>
      <c r="U242" s="800"/>
      <c r="V242" s="800"/>
      <c r="W242" s="800"/>
      <c r="X242" s="800"/>
      <c r="Y242" s="800"/>
      <c r="Z242" s="800"/>
      <c r="AA242" s="800"/>
    </row>
    <row r="243" spans="1:27">
      <c r="A243" s="75" t="s">
        <v>1513</v>
      </c>
      <c r="B243" s="807" t="s">
        <v>1114</v>
      </c>
      <c r="C243" s="809">
        <v>20026.4238</v>
      </c>
      <c r="D243" s="809">
        <v>9322</v>
      </c>
      <c r="E243" s="809">
        <v>7868.6747800000003</v>
      </c>
      <c r="F243" s="809">
        <v>13178</v>
      </c>
      <c r="G243" s="809">
        <v>18715.192350000001</v>
      </c>
      <c r="H243" s="809">
        <v>18347.673019999998</v>
      </c>
      <c r="I243" s="809">
        <v>18706</v>
      </c>
      <c r="J243" s="809">
        <v>32485</v>
      </c>
      <c r="K243" s="809">
        <v>35857</v>
      </c>
      <c r="L243" s="809">
        <v>39584</v>
      </c>
      <c r="M243" s="809">
        <v>43702</v>
      </c>
      <c r="N243" s="809">
        <v>48253</v>
      </c>
      <c r="O243" s="809">
        <v>53281</v>
      </c>
      <c r="P243" s="809">
        <v>58837</v>
      </c>
      <c r="Q243" s="800"/>
      <c r="R243" s="800"/>
      <c r="S243" s="800"/>
      <c r="T243" s="800"/>
      <c r="U243" s="800"/>
      <c r="V243" s="800"/>
      <c r="W243" s="800"/>
      <c r="X243" s="800"/>
      <c r="Y243" s="800"/>
      <c r="Z243" s="800"/>
      <c r="AA243" s="800"/>
    </row>
    <row r="244" spans="1:27">
      <c r="A244" s="75" t="s">
        <v>1514</v>
      </c>
      <c r="B244" s="807" t="s">
        <v>1114</v>
      </c>
      <c r="C244" s="809">
        <v>36707.007960000003</v>
      </c>
      <c r="D244" s="809">
        <v>11649.36951</v>
      </c>
      <c r="E244" s="809">
        <v>14390</v>
      </c>
      <c r="F244" s="809">
        <v>17689.13175</v>
      </c>
      <c r="G244" s="809">
        <v>24171</v>
      </c>
      <c r="H244" s="809">
        <v>26670</v>
      </c>
      <c r="I244" s="809">
        <v>29432</v>
      </c>
      <c r="J244" s="809">
        <v>32485</v>
      </c>
      <c r="K244" s="809">
        <v>35857</v>
      </c>
      <c r="L244" s="809">
        <v>39584</v>
      </c>
      <c r="M244" s="809">
        <v>43702</v>
      </c>
      <c r="N244" s="809">
        <v>48253</v>
      </c>
      <c r="O244" s="809">
        <v>53281</v>
      </c>
      <c r="P244" s="809">
        <v>58837</v>
      </c>
      <c r="Q244" s="800"/>
      <c r="R244" s="800"/>
      <c r="S244" s="800"/>
      <c r="T244" s="800"/>
      <c r="U244" s="800"/>
      <c r="V244" s="800"/>
      <c r="W244" s="800"/>
      <c r="X244" s="800"/>
      <c r="Y244" s="800"/>
      <c r="Z244" s="800"/>
      <c r="AA244" s="800"/>
    </row>
    <row r="245" spans="1:27">
      <c r="A245" s="75" t="s">
        <v>1515</v>
      </c>
      <c r="B245" s="807" t="s">
        <v>1114</v>
      </c>
      <c r="C245" s="809">
        <v>14619.78145</v>
      </c>
      <c r="D245" s="809">
        <v>7585.0474400000003</v>
      </c>
      <c r="E245" s="809">
        <v>6162.0894200000002</v>
      </c>
      <c r="F245" s="809">
        <v>9297.7779900000005</v>
      </c>
      <c r="G245" s="809">
        <v>16536.97436</v>
      </c>
      <c r="H245" s="809">
        <v>15789.57238</v>
      </c>
      <c r="I245" s="809">
        <v>14665.967360000001</v>
      </c>
      <c r="J245" s="809">
        <v>32485</v>
      </c>
      <c r="K245" s="809">
        <v>35857</v>
      </c>
      <c r="L245" s="809">
        <v>39584</v>
      </c>
      <c r="M245" s="809">
        <v>43702</v>
      </c>
      <c r="N245" s="809">
        <v>48253</v>
      </c>
      <c r="O245" s="809">
        <v>53281</v>
      </c>
      <c r="P245" s="809">
        <v>58837</v>
      </c>
      <c r="Q245" s="800"/>
      <c r="R245" s="800"/>
      <c r="S245" s="800"/>
      <c r="T245" s="800"/>
      <c r="U245" s="800"/>
      <c r="V245" s="800"/>
      <c r="W245" s="800"/>
      <c r="X245" s="800"/>
      <c r="Y245" s="800"/>
      <c r="Z245" s="800"/>
      <c r="AA245" s="800"/>
    </row>
    <row r="246" spans="1:27">
      <c r="A246" s="75" t="s">
        <v>1516</v>
      </c>
      <c r="B246" s="807" t="s">
        <v>1114</v>
      </c>
      <c r="C246" s="802">
        <v>8575.9340900000007</v>
      </c>
      <c r="D246" s="802">
        <v>1519.2221099999999</v>
      </c>
      <c r="E246" s="802">
        <v>2877.1681699999999</v>
      </c>
      <c r="F246" s="802">
        <v>2465.2903299999998</v>
      </c>
      <c r="G246" s="802">
        <v>2164.3509300000001</v>
      </c>
      <c r="H246" s="802">
        <v>3189.6211400000002</v>
      </c>
      <c r="I246" s="802">
        <v>4644.5745100000004</v>
      </c>
      <c r="J246" s="802">
        <v>0</v>
      </c>
      <c r="K246" s="802">
        <v>0</v>
      </c>
      <c r="L246" s="802">
        <v>0</v>
      </c>
      <c r="M246" s="802">
        <v>0</v>
      </c>
      <c r="N246" s="802">
        <v>0</v>
      </c>
      <c r="O246" s="802">
        <v>0</v>
      </c>
      <c r="P246" s="802">
        <v>0</v>
      </c>
      <c r="Q246" s="800"/>
      <c r="R246" s="800"/>
      <c r="S246" s="800"/>
      <c r="T246" s="800"/>
      <c r="U246" s="800"/>
      <c r="V246" s="800"/>
      <c r="W246" s="800"/>
      <c r="X246" s="800"/>
      <c r="Y246" s="800"/>
      <c r="Z246" s="800"/>
      <c r="AA246" s="800"/>
    </row>
    <row r="247" spans="1:27">
      <c r="A247" s="75" t="s">
        <v>1517</v>
      </c>
      <c r="B247" s="807" t="s">
        <v>1114</v>
      </c>
      <c r="C247" s="807" t="s">
        <v>1614</v>
      </c>
      <c r="D247" s="807" t="s">
        <v>1574</v>
      </c>
      <c r="E247" s="807" t="s">
        <v>1540</v>
      </c>
      <c r="F247" s="807" t="s">
        <v>1575</v>
      </c>
      <c r="G247" s="807" t="s">
        <v>1541</v>
      </c>
      <c r="H247" s="807" t="s">
        <v>1541</v>
      </c>
      <c r="I247" s="807" t="s">
        <v>1540</v>
      </c>
      <c r="J247" s="807" t="s">
        <v>1525</v>
      </c>
      <c r="K247" s="807" t="s">
        <v>1525</v>
      </c>
      <c r="L247" s="807" t="s">
        <v>1525</v>
      </c>
      <c r="M247" s="807" t="s">
        <v>1525</v>
      </c>
      <c r="N247" s="807" t="s">
        <v>1525</v>
      </c>
      <c r="O247" s="807" t="s">
        <v>1525</v>
      </c>
      <c r="P247" s="807" t="s">
        <v>1525</v>
      </c>
      <c r="Q247" s="800"/>
      <c r="R247" s="800"/>
      <c r="S247" s="800"/>
      <c r="T247" s="800"/>
      <c r="U247" s="800"/>
      <c r="V247" s="800"/>
      <c r="W247" s="800"/>
      <c r="X247" s="800"/>
      <c r="Y247" s="800"/>
      <c r="Z247" s="800"/>
      <c r="AA247" s="800"/>
    </row>
    <row r="248" spans="1:27">
      <c r="A248" s="75" t="s">
        <v>1526</v>
      </c>
      <c r="B248" s="807" t="s">
        <v>1114</v>
      </c>
      <c r="C248" s="807" t="s">
        <v>1527</v>
      </c>
      <c r="D248" s="807" t="s">
        <v>1527</v>
      </c>
      <c r="E248" s="807" t="s">
        <v>1527</v>
      </c>
      <c r="F248" s="807" t="s">
        <v>1527</v>
      </c>
      <c r="G248" s="807" t="s">
        <v>1527</v>
      </c>
      <c r="H248" s="807" t="s">
        <v>1527</v>
      </c>
      <c r="I248" s="807" t="s">
        <v>1527</v>
      </c>
      <c r="J248" s="807" t="s">
        <v>1527</v>
      </c>
      <c r="K248" s="807" t="s">
        <v>1527</v>
      </c>
      <c r="L248" s="807" t="s">
        <v>1527</v>
      </c>
      <c r="M248" s="807" t="s">
        <v>1527</v>
      </c>
      <c r="N248" s="807" t="s">
        <v>1527</v>
      </c>
      <c r="O248" s="807" t="s">
        <v>1527</v>
      </c>
      <c r="P248" s="807" t="s">
        <v>1527</v>
      </c>
      <c r="Q248" s="800"/>
      <c r="R248" s="800"/>
      <c r="S248" s="800"/>
      <c r="T248" s="800"/>
      <c r="U248" s="800"/>
      <c r="V248" s="800"/>
      <c r="W248" s="800"/>
      <c r="X248" s="800"/>
      <c r="Y248" s="800"/>
      <c r="Z248" s="800"/>
      <c r="AA248" s="800"/>
    </row>
    <row r="249" spans="1:27">
      <c r="B249" s="800"/>
      <c r="C249" s="800"/>
      <c r="D249" s="800"/>
      <c r="E249" s="800"/>
      <c r="F249" s="800"/>
      <c r="G249" s="800"/>
      <c r="H249" s="800"/>
      <c r="I249" s="800"/>
      <c r="J249" s="800"/>
      <c r="K249" s="800"/>
      <c r="L249" s="800"/>
      <c r="M249" s="800"/>
      <c r="N249" s="800"/>
      <c r="O249" s="800"/>
      <c r="P249" s="800"/>
      <c r="Q249" s="800"/>
      <c r="R249" s="800"/>
      <c r="S249" s="800"/>
      <c r="T249" s="800"/>
      <c r="U249" s="800"/>
      <c r="V249" s="800"/>
      <c r="W249" s="800"/>
      <c r="X249" s="800"/>
      <c r="Y249" s="800"/>
      <c r="Z249" s="800"/>
      <c r="AA249" s="800"/>
    </row>
    <row r="250" spans="1:27" ht="19">
      <c r="A250" s="803"/>
      <c r="B250" s="803" t="s">
        <v>1631</v>
      </c>
      <c r="C250" s="800"/>
      <c r="D250" s="800"/>
      <c r="E250" s="800"/>
      <c r="F250" s="800"/>
      <c r="G250" s="800"/>
      <c r="H250" s="800"/>
      <c r="I250" s="800"/>
      <c r="J250" s="800"/>
      <c r="K250" s="800"/>
      <c r="L250" s="800"/>
      <c r="M250" s="800"/>
      <c r="N250" s="800"/>
      <c r="O250" s="800"/>
      <c r="P250" s="800"/>
      <c r="Q250" s="800"/>
      <c r="R250" s="800"/>
      <c r="S250" s="800"/>
      <c r="T250" s="800"/>
      <c r="U250" s="800"/>
      <c r="V250" s="800"/>
      <c r="W250" s="800"/>
      <c r="X250" s="800"/>
      <c r="Y250" s="800"/>
      <c r="Z250" s="800"/>
      <c r="AA250" s="800"/>
    </row>
    <row r="251" spans="1:27" ht="19">
      <c r="A251" s="804" t="s">
        <v>1475</v>
      </c>
      <c r="B251" s="805" t="s">
        <v>1632</v>
      </c>
      <c r="C251" s="805" t="s">
        <v>1633</v>
      </c>
      <c r="D251" s="805" t="s">
        <v>1634</v>
      </c>
      <c r="E251" s="805" t="s">
        <v>1635</v>
      </c>
      <c r="F251" s="805" t="s">
        <v>1636</v>
      </c>
      <c r="G251" s="805" t="s">
        <v>1637</v>
      </c>
      <c r="H251" s="805" t="s">
        <v>1638</v>
      </c>
      <c r="I251" s="805" t="s">
        <v>1639</v>
      </c>
      <c r="J251" s="805" t="s">
        <v>1640</v>
      </c>
      <c r="K251" s="805" t="s">
        <v>1641</v>
      </c>
      <c r="L251" s="805" t="s">
        <v>1642</v>
      </c>
      <c r="M251" s="805" t="s">
        <v>1643</v>
      </c>
      <c r="N251" s="805" t="s">
        <v>1644</v>
      </c>
      <c r="O251" s="805" t="s">
        <v>1645</v>
      </c>
      <c r="P251" s="805" t="s">
        <v>1646</v>
      </c>
      <c r="Q251" s="805" t="s">
        <v>1647</v>
      </c>
      <c r="R251" s="805" t="s">
        <v>1648</v>
      </c>
      <c r="S251" s="805" t="s">
        <v>1649</v>
      </c>
      <c r="T251" s="805" t="s">
        <v>1650</v>
      </c>
      <c r="U251" s="805" t="s">
        <v>1651</v>
      </c>
      <c r="V251" s="805" t="s">
        <v>1652</v>
      </c>
      <c r="W251" s="805" t="s">
        <v>1653</v>
      </c>
      <c r="X251" s="805" t="s">
        <v>1654</v>
      </c>
      <c r="Y251" s="805" t="s">
        <v>1655</v>
      </c>
      <c r="Z251" s="805" t="s">
        <v>1656</v>
      </c>
      <c r="AA251" s="805" t="s">
        <v>1657</v>
      </c>
    </row>
    <row r="252" spans="1:27">
      <c r="A252" s="806" t="s">
        <v>1502</v>
      </c>
      <c r="B252" s="807" t="s">
        <v>1114</v>
      </c>
      <c r="C252" s="808">
        <v>-0.69</v>
      </c>
      <c r="D252" s="808">
        <v>-0.11</v>
      </c>
      <c r="E252" s="808">
        <v>-0.15</v>
      </c>
      <c r="F252" s="808">
        <v>-0.08</v>
      </c>
      <c r="G252" s="808">
        <v>-0.1</v>
      </c>
      <c r="H252" s="808">
        <v>-0.06</v>
      </c>
      <c r="I252" s="808">
        <v>-0.03</v>
      </c>
      <c r="J252" s="808">
        <v>-0.02</v>
      </c>
      <c r="K252" s="808">
        <v>0.01</v>
      </c>
      <c r="L252" s="808">
        <v>-0.03</v>
      </c>
      <c r="M252" s="808">
        <v>-0.01</v>
      </c>
      <c r="N252" s="808">
        <v>0.01</v>
      </c>
      <c r="O252" s="808">
        <v>0.01</v>
      </c>
      <c r="P252" s="808">
        <v>0.01</v>
      </c>
      <c r="Q252" s="808">
        <v>0.01</v>
      </c>
      <c r="R252" s="808">
        <v>0.01</v>
      </c>
      <c r="S252" s="809">
        <v>8.4799999999999997E-3</v>
      </c>
      <c r="T252" s="809">
        <v>2.1499999999999998E-2</v>
      </c>
      <c r="U252" s="809">
        <v>2.4500000000000001E-2</v>
      </c>
      <c r="V252" s="809">
        <v>2.6499999999999999E-2</v>
      </c>
      <c r="W252" s="809">
        <v>3.3000000000000002E-2</v>
      </c>
      <c r="X252" s="807" t="s">
        <v>1114</v>
      </c>
      <c r="Y252" s="807" t="s">
        <v>1114</v>
      </c>
      <c r="Z252" s="807" t="s">
        <v>1114</v>
      </c>
      <c r="AA252" s="807" t="s">
        <v>1114</v>
      </c>
    </row>
    <row r="253" spans="1:27">
      <c r="A253" s="75" t="s">
        <v>1512</v>
      </c>
      <c r="B253" s="807" t="s">
        <v>1114</v>
      </c>
      <c r="C253" s="809">
        <v>-0.13263</v>
      </c>
      <c r="D253" s="809">
        <v>-0.11083</v>
      </c>
      <c r="E253" s="809">
        <v>-8.7260000000000004E-2</v>
      </c>
      <c r="F253" s="809">
        <v>-9.579E-2</v>
      </c>
      <c r="G253" s="809">
        <v>-6.9309999999999997E-2</v>
      </c>
      <c r="H253" s="809">
        <v>-6.6400000000000001E-2</v>
      </c>
      <c r="I253" s="809">
        <v>-5.9540000000000003E-2</v>
      </c>
      <c r="J253" s="809">
        <v>-1.9269999999999999E-2</v>
      </c>
      <c r="K253" s="809">
        <v>-2.316E-2</v>
      </c>
      <c r="L253" s="809">
        <v>-7.4799999999999997E-3</v>
      </c>
      <c r="M253" s="809">
        <v>-9.5700000000000004E-3</v>
      </c>
      <c r="N253" s="809">
        <v>-1.15E-3</v>
      </c>
      <c r="O253" s="809">
        <v>-4.2599999999999999E-3</v>
      </c>
      <c r="P253" s="809">
        <v>7.3000000000000001E-3</v>
      </c>
      <c r="Q253" s="809">
        <v>1.192E-2</v>
      </c>
      <c r="R253" s="809">
        <v>1.307E-2</v>
      </c>
      <c r="S253" s="807" t="s">
        <v>1114</v>
      </c>
      <c r="T253" s="807" t="s">
        <v>1114</v>
      </c>
      <c r="U253" s="807" t="s">
        <v>1114</v>
      </c>
      <c r="V253" s="807" t="s">
        <v>1114</v>
      </c>
      <c r="W253" s="807" t="s">
        <v>1114</v>
      </c>
      <c r="X253" s="807" t="s">
        <v>1114</v>
      </c>
      <c r="Y253" s="807" t="s">
        <v>1114</v>
      </c>
      <c r="Z253" s="807" t="s">
        <v>1114</v>
      </c>
      <c r="AA253" s="807" t="s">
        <v>1114</v>
      </c>
    </row>
    <row r="254" spans="1:27">
      <c r="A254" s="75" t="s">
        <v>1513</v>
      </c>
      <c r="B254" s="807" t="s">
        <v>1114</v>
      </c>
      <c r="C254" s="809">
        <v>-0.10613</v>
      </c>
      <c r="D254" s="809">
        <v>-0.10705000000000001</v>
      </c>
      <c r="E254" s="809">
        <v>-0.08</v>
      </c>
      <c r="F254" s="809">
        <v>-9.0329999999999994E-2</v>
      </c>
      <c r="G254" s="809">
        <v>-7.0000000000000007E-2</v>
      </c>
      <c r="H254" s="809">
        <v>-6.479E-2</v>
      </c>
      <c r="I254" s="809">
        <v>-5.8000000000000003E-2</v>
      </c>
      <c r="J254" s="809">
        <v>-1.762E-2</v>
      </c>
      <c r="K254" s="809">
        <v>-1.4E-2</v>
      </c>
      <c r="L254" s="809">
        <v>-1.095E-2</v>
      </c>
      <c r="M254" s="809">
        <v>-0.01</v>
      </c>
      <c r="N254" s="809">
        <v>-3.0000000000000001E-3</v>
      </c>
      <c r="O254" s="809">
        <v>7.2199999999999999E-3</v>
      </c>
      <c r="P254" s="809">
        <v>7.0200000000000002E-3</v>
      </c>
      <c r="Q254" s="809">
        <v>0.01</v>
      </c>
      <c r="R254" s="809">
        <v>0.01</v>
      </c>
      <c r="S254" s="809">
        <v>1.1350000000000001E-2</v>
      </c>
      <c r="T254" s="809">
        <v>2.1499999999999998E-2</v>
      </c>
      <c r="U254" s="809">
        <v>2.4500000000000001E-2</v>
      </c>
      <c r="V254" s="809">
        <v>2.6499999999999999E-2</v>
      </c>
      <c r="W254" s="809">
        <v>3.3000000000000002E-2</v>
      </c>
      <c r="X254" s="807" t="s">
        <v>1114</v>
      </c>
      <c r="Y254" s="807" t="s">
        <v>1114</v>
      </c>
      <c r="Z254" s="807" t="s">
        <v>1114</v>
      </c>
      <c r="AA254" s="807" t="s">
        <v>1114</v>
      </c>
    </row>
    <row r="255" spans="1:27">
      <c r="A255" s="75" t="s">
        <v>1514</v>
      </c>
      <c r="B255" s="807" t="s">
        <v>1114</v>
      </c>
      <c r="C255" s="809">
        <v>-0.1</v>
      </c>
      <c r="D255" s="809">
        <v>-0.10544000000000001</v>
      </c>
      <c r="E255" s="809">
        <v>-7.4819999999999998E-2</v>
      </c>
      <c r="F255" s="809">
        <v>-6.9089999999999999E-2</v>
      </c>
      <c r="G255" s="809">
        <v>-0.06</v>
      </c>
      <c r="H255" s="809">
        <v>-0.05</v>
      </c>
      <c r="I255" s="809">
        <v>-0.03</v>
      </c>
      <c r="J255" s="809">
        <v>-0.01</v>
      </c>
      <c r="K255" s="809">
        <v>0</v>
      </c>
      <c r="L255" s="809">
        <v>0.02</v>
      </c>
      <c r="M255" s="809">
        <v>-5.0000000000000001E-3</v>
      </c>
      <c r="N255" s="809">
        <v>0.01</v>
      </c>
      <c r="O255" s="809">
        <v>0.01</v>
      </c>
      <c r="P255" s="809">
        <v>0.02</v>
      </c>
      <c r="Q255" s="809">
        <v>0.03</v>
      </c>
      <c r="R255" s="809">
        <v>0.03</v>
      </c>
      <c r="S255" s="809">
        <v>0.02</v>
      </c>
      <c r="T255" s="809">
        <v>0.03</v>
      </c>
      <c r="U255" s="809">
        <v>0.03</v>
      </c>
      <c r="V255" s="809">
        <v>0.03</v>
      </c>
      <c r="W255" s="809">
        <v>3.3000000000000002E-2</v>
      </c>
      <c r="X255" s="807" t="s">
        <v>1114</v>
      </c>
      <c r="Y255" s="807" t="s">
        <v>1114</v>
      </c>
      <c r="Z255" s="807" t="s">
        <v>1114</v>
      </c>
      <c r="AA255" s="807" t="s">
        <v>1114</v>
      </c>
    </row>
    <row r="256" spans="1:27">
      <c r="A256" s="75" t="s">
        <v>1515</v>
      </c>
      <c r="B256" s="807" t="s">
        <v>1114</v>
      </c>
      <c r="C256" s="809">
        <v>-0.19177</v>
      </c>
      <c r="D256" s="809">
        <v>-0.12</v>
      </c>
      <c r="E256" s="809">
        <v>-0.10149</v>
      </c>
      <c r="F256" s="809">
        <v>-0.13</v>
      </c>
      <c r="G256" s="809">
        <v>-7.9000000000000001E-2</v>
      </c>
      <c r="H256" s="809">
        <v>-8.5999999999999993E-2</v>
      </c>
      <c r="I256" s="809">
        <v>-0.08</v>
      </c>
      <c r="J256" s="809">
        <v>-3.671E-2</v>
      </c>
      <c r="K256" s="809">
        <v>-0.08</v>
      </c>
      <c r="L256" s="809">
        <v>-0.02</v>
      </c>
      <c r="M256" s="809">
        <v>-1.1860000000000001E-2</v>
      </c>
      <c r="N256" s="809">
        <v>-0.01</v>
      </c>
      <c r="O256" s="809">
        <v>-0.06</v>
      </c>
      <c r="P256" s="809">
        <v>-1.23E-3</v>
      </c>
      <c r="Q256" s="809">
        <v>6.5100000000000002E-3</v>
      </c>
      <c r="R256" s="809">
        <v>7.0400000000000003E-3</v>
      </c>
      <c r="S256" s="809">
        <v>-0.03</v>
      </c>
      <c r="T256" s="809">
        <v>1.2999999999999999E-2</v>
      </c>
      <c r="U256" s="809">
        <v>1.9E-2</v>
      </c>
      <c r="V256" s="809">
        <v>2.3E-2</v>
      </c>
      <c r="W256" s="809">
        <v>3.3000000000000002E-2</v>
      </c>
      <c r="X256" s="807" t="s">
        <v>1114</v>
      </c>
      <c r="Y256" s="807" t="s">
        <v>1114</v>
      </c>
      <c r="Z256" s="807" t="s">
        <v>1114</v>
      </c>
      <c r="AA256" s="807" t="s">
        <v>1114</v>
      </c>
    </row>
    <row r="257" spans="1:27">
      <c r="A257" s="75" t="s">
        <v>1516</v>
      </c>
      <c r="B257" s="807" t="s">
        <v>1114</v>
      </c>
      <c r="C257" s="802">
        <v>4.1889999999999997E-2</v>
      </c>
      <c r="D257" s="802">
        <v>6.5199999999999998E-3</v>
      </c>
      <c r="E257" s="802">
        <v>1.1180000000000001E-2</v>
      </c>
      <c r="F257" s="802">
        <v>2.402E-2</v>
      </c>
      <c r="G257" s="802">
        <v>7.7200000000000003E-3</v>
      </c>
      <c r="H257" s="802">
        <v>1.363E-2</v>
      </c>
      <c r="I257" s="802">
        <v>1.7239999999999998E-2</v>
      </c>
      <c r="J257" s="802">
        <v>9.8600000000000007E-3</v>
      </c>
      <c r="K257" s="802">
        <v>2.963E-2</v>
      </c>
      <c r="L257" s="802">
        <v>1.274E-2</v>
      </c>
      <c r="M257" s="802">
        <v>1.97E-3</v>
      </c>
      <c r="N257" s="802">
        <v>7.6899999999999998E-3</v>
      </c>
      <c r="O257" s="802">
        <v>2.5149999999999999E-2</v>
      </c>
      <c r="P257" s="802">
        <v>7.0600000000000003E-3</v>
      </c>
      <c r="Q257" s="802">
        <v>7.5199999999999998E-3</v>
      </c>
      <c r="R257" s="802">
        <v>6.7499999999999999E-3</v>
      </c>
      <c r="S257" s="802">
        <v>1.6250000000000001E-2</v>
      </c>
      <c r="T257" s="802">
        <v>8.5000000000000006E-3</v>
      </c>
      <c r="U257" s="802">
        <v>5.4999999999999997E-3</v>
      </c>
      <c r="V257" s="802">
        <v>3.5000000000000001E-3</v>
      </c>
      <c r="W257" s="802">
        <v>0</v>
      </c>
      <c r="X257" s="807" t="s">
        <v>1114</v>
      </c>
      <c r="Y257" s="807" t="s">
        <v>1114</v>
      </c>
      <c r="Z257" s="807" t="s">
        <v>1114</v>
      </c>
      <c r="AA257" s="807" t="s">
        <v>1114</v>
      </c>
    </row>
    <row r="258" spans="1:27">
      <c r="A258" s="75" t="s">
        <v>1517</v>
      </c>
      <c r="B258" s="807" t="s">
        <v>1114</v>
      </c>
      <c r="C258" s="807" t="s">
        <v>1553</v>
      </c>
      <c r="D258" s="807" t="s">
        <v>1553</v>
      </c>
      <c r="E258" s="807" t="s">
        <v>1539</v>
      </c>
      <c r="F258" s="807" t="s">
        <v>1574</v>
      </c>
      <c r="G258" s="807" t="s">
        <v>1539</v>
      </c>
      <c r="H258" s="807" t="s">
        <v>1614</v>
      </c>
      <c r="I258" s="807" t="s">
        <v>1539</v>
      </c>
      <c r="J258" s="807" t="s">
        <v>1539</v>
      </c>
      <c r="K258" s="807" t="s">
        <v>1518</v>
      </c>
      <c r="L258" s="807" t="s">
        <v>1554</v>
      </c>
      <c r="M258" s="807" t="s">
        <v>1658</v>
      </c>
      <c r="N258" s="807" t="s">
        <v>1658</v>
      </c>
      <c r="O258" s="807" t="s">
        <v>1615</v>
      </c>
      <c r="P258" s="807" t="s">
        <v>1574</v>
      </c>
      <c r="Q258" s="807" t="s">
        <v>1659</v>
      </c>
      <c r="R258" s="807" t="s">
        <v>1544</v>
      </c>
      <c r="S258" s="807" t="s">
        <v>1658</v>
      </c>
      <c r="T258" s="807" t="s">
        <v>1551</v>
      </c>
      <c r="U258" s="807" t="s">
        <v>1551</v>
      </c>
      <c r="V258" s="807" t="s">
        <v>1551</v>
      </c>
      <c r="W258" s="807" t="s">
        <v>1525</v>
      </c>
      <c r="X258" s="807" t="s">
        <v>1114</v>
      </c>
      <c r="Y258" s="807" t="s">
        <v>1114</v>
      </c>
      <c r="Z258" s="807" t="s">
        <v>1114</v>
      </c>
      <c r="AA258" s="807" t="s">
        <v>1114</v>
      </c>
    </row>
    <row r="259" spans="1:27">
      <c r="A259" s="75" t="s">
        <v>1526</v>
      </c>
      <c r="B259" s="807" t="s">
        <v>1114</v>
      </c>
      <c r="C259" s="807" t="s">
        <v>1527</v>
      </c>
      <c r="D259" s="807" t="s">
        <v>1527</v>
      </c>
      <c r="E259" s="807" t="s">
        <v>1527</v>
      </c>
      <c r="F259" s="807" t="s">
        <v>1527</v>
      </c>
      <c r="G259" s="807" t="s">
        <v>1527</v>
      </c>
      <c r="H259" s="807" t="s">
        <v>1527</v>
      </c>
      <c r="I259" s="807" t="s">
        <v>1527</v>
      </c>
      <c r="J259" s="807" t="s">
        <v>1527</v>
      </c>
      <c r="K259" s="807" t="s">
        <v>1527</v>
      </c>
      <c r="L259" s="807" t="s">
        <v>1527</v>
      </c>
      <c r="M259" s="807" t="s">
        <v>1527</v>
      </c>
      <c r="N259" s="807" t="s">
        <v>1527</v>
      </c>
      <c r="O259" s="807" t="s">
        <v>1527</v>
      </c>
      <c r="P259" s="807" t="s">
        <v>1527</v>
      </c>
      <c r="Q259" s="807" t="s">
        <v>1527</v>
      </c>
      <c r="R259" s="807" t="s">
        <v>1527</v>
      </c>
      <c r="S259" s="807" t="s">
        <v>1527</v>
      </c>
      <c r="T259" s="807" t="s">
        <v>1527</v>
      </c>
      <c r="U259" s="807" t="s">
        <v>1527</v>
      </c>
      <c r="V259" s="807" t="s">
        <v>1527</v>
      </c>
      <c r="W259" s="807" t="s">
        <v>1527</v>
      </c>
      <c r="X259" s="807" t="s">
        <v>1114</v>
      </c>
      <c r="Y259" s="807" t="s">
        <v>1114</v>
      </c>
      <c r="Z259" s="807" t="s">
        <v>1114</v>
      </c>
      <c r="AA259" s="807" t="s">
        <v>1114</v>
      </c>
    </row>
    <row r="260" spans="1:27">
      <c r="A260" s="806" t="s">
        <v>1528</v>
      </c>
      <c r="B260" s="808">
        <v>-2.25</v>
      </c>
      <c r="C260" s="808">
        <v>-0.51</v>
      </c>
      <c r="D260" s="808">
        <v>-0.11935999999999999</v>
      </c>
      <c r="E260" s="808">
        <v>-0.1031</v>
      </c>
      <c r="F260" s="808">
        <v>-7.0900000000000005E-2</v>
      </c>
      <c r="G260" s="808">
        <v>-6.123E-2</v>
      </c>
      <c r="H260" s="808">
        <v>-5.3699999999999998E-2</v>
      </c>
      <c r="I260" s="808">
        <v>-1.9800000000000002E-2</v>
      </c>
      <c r="J260" s="808">
        <v>-1.47E-2</v>
      </c>
      <c r="K260" s="808">
        <v>5.1000000000000004E-3</v>
      </c>
      <c r="L260" s="808">
        <v>-2.1340000000000001E-2</v>
      </c>
      <c r="M260" s="808">
        <v>-9.5999999999999992E-3</v>
      </c>
      <c r="N260" s="808">
        <v>6.6E-3</v>
      </c>
      <c r="O260" s="808">
        <v>1.8599999999999998E-2</v>
      </c>
      <c r="P260" s="808">
        <v>6.4000000000000003E-3</v>
      </c>
      <c r="Q260" s="808">
        <v>9.2899999999999996E-3</v>
      </c>
      <c r="R260" s="808">
        <v>9.7000000000000003E-3</v>
      </c>
      <c r="S260" s="809">
        <v>0.01</v>
      </c>
      <c r="T260" s="807" t="s">
        <v>1114</v>
      </c>
      <c r="U260" s="807" t="s">
        <v>1114</v>
      </c>
      <c r="V260" s="807" t="s">
        <v>1114</v>
      </c>
      <c r="W260" s="807" t="s">
        <v>1114</v>
      </c>
      <c r="X260" s="807" t="s">
        <v>1114</v>
      </c>
      <c r="Y260" s="807" t="s">
        <v>1114</v>
      </c>
      <c r="Z260" s="807" t="s">
        <v>1114</v>
      </c>
      <c r="AA260" s="807" t="s">
        <v>1114</v>
      </c>
    </row>
    <row r="261" spans="1:27">
      <c r="A261" s="75" t="s">
        <v>1512</v>
      </c>
      <c r="B261" s="809">
        <v>-3.9</v>
      </c>
      <c r="C261" s="809">
        <v>-0.21997</v>
      </c>
      <c r="D261" s="809">
        <v>-0.10938000000000001</v>
      </c>
      <c r="E261" s="809">
        <v>-0.10027999999999999</v>
      </c>
      <c r="F261" s="809">
        <v>-9.5979999999999996E-2</v>
      </c>
      <c r="G261" s="809">
        <v>-6.9409999999999999E-2</v>
      </c>
      <c r="H261" s="809">
        <v>-7.0519999999999999E-2</v>
      </c>
      <c r="I261" s="809">
        <v>-5.6910000000000002E-2</v>
      </c>
      <c r="J261" s="809">
        <v>-1.4999999999999999E-2</v>
      </c>
      <c r="K261" s="809">
        <v>-7.2000000000000005E-4</v>
      </c>
      <c r="L261" s="809">
        <v>-0.01</v>
      </c>
      <c r="M261" s="809">
        <v>-0.01</v>
      </c>
      <c r="N261" s="809">
        <v>0</v>
      </c>
      <c r="O261" s="809">
        <v>0.01</v>
      </c>
      <c r="P261" s="809">
        <v>0.01</v>
      </c>
      <c r="Q261" s="809">
        <v>0.01</v>
      </c>
      <c r="R261" s="809">
        <v>0.01</v>
      </c>
      <c r="S261" s="807" t="s">
        <v>1114</v>
      </c>
      <c r="T261" s="807" t="s">
        <v>1114</v>
      </c>
      <c r="U261" s="807" t="s">
        <v>1114</v>
      </c>
      <c r="V261" s="807" t="s">
        <v>1114</v>
      </c>
      <c r="W261" s="807" t="s">
        <v>1114</v>
      </c>
      <c r="X261" s="807" t="s">
        <v>1114</v>
      </c>
      <c r="Y261" s="807" t="s">
        <v>1114</v>
      </c>
      <c r="Z261" s="807" t="s">
        <v>1114</v>
      </c>
      <c r="AA261" s="807" t="s">
        <v>1114</v>
      </c>
    </row>
    <row r="262" spans="1:27">
      <c r="A262" s="75" t="s">
        <v>1513</v>
      </c>
      <c r="B262" s="809">
        <v>-3.9</v>
      </c>
      <c r="C262" s="809">
        <v>-0.19</v>
      </c>
      <c r="D262" s="809">
        <v>-0.11352</v>
      </c>
      <c r="E262" s="809">
        <v>-0.10574</v>
      </c>
      <c r="F262" s="809">
        <v>-0.1</v>
      </c>
      <c r="G262" s="809">
        <v>-7.0000000000000007E-2</v>
      </c>
      <c r="H262" s="809">
        <v>-7.0000000000000007E-2</v>
      </c>
      <c r="I262" s="809">
        <v>-5.5E-2</v>
      </c>
      <c r="J262" s="809">
        <v>-1.4999999999999999E-2</v>
      </c>
      <c r="K262" s="809">
        <v>-7.2000000000000005E-4</v>
      </c>
      <c r="L262" s="809">
        <v>-0.01</v>
      </c>
      <c r="M262" s="809">
        <v>-0.01</v>
      </c>
      <c r="N262" s="809">
        <v>0</v>
      </c>
      <c r="O262" s="809">
        <v>0.01</v>
      </c>
      <c r="P262" s="809">
        <v>0.01</v>
      </c>
      <c r="Q262" s="809">
        <v>0.01</v>
      </c>
      <c r="R262" s="809">
        <v>0.01</v>
      </c>
      <c r="S262" s="809">
        <v>0.01</v>
      </c>
      <c r="T262" s="807" t="s">
        <v>1114</v>
      </c>
      <c r="U262" s="807" t="s">
        <v>1114</v>
      </c>
      <c r="V262" s="807" t="s">
        <v>1114</v>
      </c>
      <c r="W262" s="807" t="s">
        <v>1114</v>
      </c>
      <c r="X262" s="807" t="s">
        <v>1114</v>
      </c>
      <c r="Y262" s="807" t="s">
        <v>1114</v>
      </c>
      <c r="Z262" s="807" t="s">
        <v>1114</v>
      </c>
      <c r="AA262" s="807" t="s">
        <v>1114</v>
      </c>
    </row>
    <row r="263" spans="1:27">
      <c r="A263" s="75" t="s">
        <v>1514</v>
      </c>
      <c r="B263" s="809">
        <v>-3.9</v>
      </c>
      <c r="C263" s="809">
        <v>-0.1</v>
      </c>
      <c r="D263" s="809">
        <v>-0.08</v>
      </c>
      <c r="E263" s="809">
        <v>-7.4819999999999998E-2</v>
      </c>
      <c r="F263" s="809">
        <v>-6.9089999999999999E-2</v>
      </c>
      <c r="G263" s="809">
        <v>-4.3909999999999998E-2</v>
      </c>
      <c r="H263" s="809">
        <v>-4.1549999999999997E-2</v>
      </c>
      <c r="I263" s="809">
        <v>-3.7650000000000003E-2</v>
      </c>
      <c r="J263" s="809">
        <v>-0.01</v>
      </c>
      <c r="K263" s="809">
        <v>8.5500000000000003E-3</v>
      </c>
      <c r="L263" s="809">
        <v>0</v>
      </c>
      <c r="M263" s="809">
        <v>-0.01</v>
      </c>
      <c r="N263" s="809">
        <v>0.01</v>
      </c>
      <c r="O263" s="809">
        <v>0.01</v>
      </c>
      <c r="P263" s="809">
        <v>0.01</v>
      </c>
      <c r="Q263" s="809">
        <v>0.01</v>
      </c>
      <c r="R263" s="809">
        <v>0.01</v>
      </c>
      <c r="S263" s="809">
        <v>0.01</v>
      </c>
      <c r="T263" s="807" t="s">
        <v>1114</v>
      </c>
      <c r="U263" s="807" t="s">
        <v>1114</v>
      </c>
      <c r="V263" s="807" t="s">
        <v>1114</v>
      </c>
      <c r="W263" s="807" t="s">
        <v>1114</v>
      </c>
      <c r="X263" s="807" t="s">
        <v>1114</v>
      </c>
      <c r="Y263" s="807" t="s">
        <v>1114</v>
      </c>
      <c r="Z263" s="807" t="s">
        <v>1114</v>
      </c>
      <c r="AA263" s="807" t="s">
        <v>1114</v>
      </c>
    </row>
    <row r="264" spans="1:27">
      <c r="A264" s="75" t="s">
        <v>1515</v>
      </c>
      <c r="B264" s="809">
        <v>-3.9</v>
      </c>
      <c r="C264" s="809">
        <v>-0.63187000000000004</v>
      </c>
      <c r="D264" s="809">
        <v>-0.12379999999999999</v>
      </c>
      <c r="E264" s="809">
        <v>-0.11483</v>
      </c>
      <c r="F264" s="809">
        <v>-0.11885999999999999</v>
      </c>
      <c r="G264" s="809">
        <v>-9.4310000000000005E-2</v>
      </c>
      <c r="H264" s="809">
        <v>-0.1</v>
      </c>
      <c r="I264" s="809">
        <v>-0.08</v>
      </c>
      <c r="J264" s="809">
        <v>-0.02</v>
      </c>
      <c r="K264" s="809">
        <v>-0.01</v>
      </c>
      <c r="L264" s="809">
        <v>-0.02</v>
      </c>
      <c r="M264" s="809">
        <v>-0.01</v>
      </c>
      <c r="N264" s="809">
        <v>-0.01</v>
      </c>
      <c r="O264" s="809">
        <v>0.01</v>
      </c>
      <c r="P264" s="809">
        <v>0.01</v>
      </c>
      <c r="Q264" s="809">
        <v>0.01</v>
      </c>
      <c r="R264" s="809">
        <v>0.01</v>
      </c>
      <c r="S264" s="809">
        <v>0.01</v>
      </c>
      <c r="T264" s="807" t="s">
        <v>1114</v>
      </c>
      <c r="U264" s="807" t="s">
        <v>1114</v>
      </c>
      <c r="V264" s="807" t="s">
        <v>1114</v>
      </c>
      <c r="W264" s="807" t="s">
        <v>1114</v>
      </c>
      <c r="X264" s="807" t="s">
        <v>1114</v>
      </c>
      <c r="Y264" s="807" t="s">
        <v>1114</v>
      </c>
      <c r="Z264" s="807" t="s">
        <v>1114</v>
      </c>
      <c r="AA264" s="807" t="s">
        <v>1114</v>
      </c>
    </row>
    <row r="265" spans="1:27">
      <c r="A265" s="75" t="s">
        <v>1516</v>
      </c>
      <c r="B265" s="802">
        <v>0</v>
      </c>
      <c r="C265" s="802">
        <v>0.17283000000000001</v>
      </c>
      <c r="D265" s="802">
        <v>1.482E-2</v>
      </c>
      <c r="E265" s="802">
        <v>1.546E-2</v>
      </c>
      <c r="F265" s="802">
        <v>2.052E-2</v>
      </c>
      <c r="G265" s="802">
        <v>2.0580000000000001E-2</v>
      </c>
      <c r="H265" s="802">
        <v>2.3859999999999999E-2</v>
      </c>
      <c r="I265" s="802">
        <v>1.55E-2</v>
      </c>
      <c r="J265" s="802">
        <v>5.0000000000000001E-3</v>
      </c>
      <c r="K265" s="802">
        <v>9.2800000000000001E-3</v>
      </c>
      <c r="L265" s="802">
        <v>0.01</v>
      </c>
      <c r="M265" s="802">
        <v>0</v>
      </c>
      <c r="N265" s="802">
        <v>0.01</v>
      </c>
      <c r="O265" s="802">
        <v>0</v>
      </c>
      <c r="P265" s="802">
        <v>0</v>
      </c>
      <c r="Q265" s="802">
        <v>0</v>
      </c>
      <c r="R265" s="802">
        <v>0</v>
      </c>
      <c r="S265" s="802">
        <v>0</v>
      </c>
      <c r="T265" s="807" t="s">
        <v>1114</v>
      </c>
      <c r="U265" s="807" t="s">
        <v>1114</v>
      </c>
      <c r="V265" s="807" t="s">
        <v>1114</v>
      </c>
      <c r="W265" s="807" t="s">
        <v>1114</v>
      </c>
      <c r="X265" s="807" t="s">
        <v>1114</v>
      </c>
      <c r="Y265" s="807" t="s">
        <v>1114</v>
      </c>
      <c r="Z265" s="807" t="s">
        <v>1114</v>
      </c>
      <c r="AA265" s="807" t="s">
        <v>1114</v>
      </c>
    </row>
    <row r="266" spans="1:27">
      <c r="A266" s="75" t="s">
        <v>1517</v>
      </c>
      <c r="B266" s="807" t="s">
        <v>1525</v>
      </c>
      <c r="C266" s="807" t="s">
        <v>1540</v>
      </c>
      <c r="D266" s="807" t="s">
        <v>1574</v>
      </c>
      <c r="E266" s="807" t="s">
        <v>1614</v>
      </c>
      <c r="F266" s="807" t="s">
        <v>1553</v>
      </c>
      <c r="G266" s="807" t="s">
        <v>1538</v>
      </c>
      <c r="H266" s="807" t="s">
        <v>1538</v>
      </c>
      <c r="I266" s="807" t="s">
        <v>1614</v>
      </c>
      <c r="J266" s="807" t="s">
        <v>1585</v>
      </c>
      <c r="K266" s="807" t="s">
        <v>1578</v>
      </c>
      <c r="L266" s="807" t="s">
        <v>1585</v>
      </c>
      <c r="M266" s="807" t="s">
        <v>1585</v>
      </c>
      <c r="N266" s="807" t="s">
        <v>1585</v>
      </c>
      <c r="O266" s="807" t="s">
        <v>1660</v>
      </c>
      <c r="P266" s="807" t="s">
        <v>1627</v>
      </c>
      <c r="Q266" s="807" t="s">
        <v>1627</v>
      </c>
      <c r="R266" s="807" t="s">
        <v>1627</v>
      </c>
      <c r="S266" s="807" t="s">
        <v>1627</v>
      </c>
      <c r="T266" s="807" t="s">
        <v>1114</v>
      </c>
      <c r="U266" s="807" t="s">
        <v>1114</v>
      </c>
      <c r="V266" s="807" t="s">
        <v>1114</v>
      </c>
      <c r="W266" s="807" t="s">
        <v>1114</v>
      </c>
      <c r="X266" s="807" t="s">
        <v>1114</v>
      </c>
      <c r="Y266" s="807" t="s">
        <v>1114</v>
      </c>
      <c r="Z266" s="807" t="s">
        <v>1114</v>
      </c>
      <c r="AA266" s="807" t="s">
        <v>1114</v>
      </c>
    </row>
    <row r="267" spans="1:27">
      <c r="A267" s="75" t="s">
        <v>1526</v>
      </c>
      <c r="B267" s="807" t="s">
        <v>1527</v>
      </c>
      <c r="C267" s="807" t="s">
        <v>1527</v>
      </c>
      <c r="D267" s="807" t="s">
        <v>1527</v>
      </c>
      <c r="E267" s="807" t="s">
        <v>1527</v>
      </c>
      <c r="F267" s="807" t="s">
        <v>1527</v>
      </c>
      <c r="G267" s="807" t="s">
        <v>1527</v>
      </c>
      <c r="H267" s="807" t="s">
        <v>1527</v>
      </c>
      <c r="I267" s="807" t="s">
        <v>1527</v>
      </c>
      <c r="J267" s="807" t="s">
        <v>1527</v>
      </c>
      <c r="K267" s="807" t="s">
        <v>1527</v>
      </c>
      <c r="L267" s="807" t="s">
        <v>1527</v>
      </c>
      <c r="M267" s="807" t="s">
        <v>1527</v>
      </c>
      <c r="N267" s="807" t="s">
        <v>1527</v>
      </c>
      <c r="O267" s="807" t="s">
        <v>1527</v>
      </c>
      <c r="P267" s="807" t="s">
        <v>1527</v>
      </c>
      <c r="Q267" s="807" t="s">
        <v>1527</v>
      </c>
      <c r="R267" s="807" t="s">
        <v>1527</v>
      </c>
      <c r="S267" s="807" t="s">
        <v>1527</v>
      </c>
      <c r="T267" s="807" t="s">
        <v>1114</v>
      </c>
      <c r="U267" s="807" t="s">
        <v>1114</v>
      </c>
      <c r="V267" s="807" t="s">
        <v>1114</v>
      </c>
      <c r="W267" s="807" t="s">
        <v>1114</v>
      </c>
      <c r="X267" s="807" t="s">
        <v>1114</v>
      </c>
      <c r="Y267" s="807" t="s">
        <v>1114</v>
      </c>
      <c r="Z267" s="807" t="s">
        <v>1114</v>
      </c>
      <c r="AA267" s="807" t="s">
        <v>1114</v>
      </c>
    </row>
    <row r="268" spans="1:27">
      <c r="A268" s="806" t="s">
        <v>1537</v>
      </c>
      <c r="B268" s="807" t="s">
        <v>1114</v>
      </c>
      <c r="C268" s="808">
        <v>0</v>
      </c>
      <c r="D268" s="808">
        <v>0</v>
      </c>
      <c r="E268" s="808">
        <v>0</v>
      </c>
      <c r="F268" s="808">
        <v>0</v>
      </c>
      <c r="G268" s="808">
        <v>0</v>
      </c>
      <c r="H268" s="808">
        <v>0</v>
      </c>
      <c r="I268" s="808">
        <v>0</v>
      </c>
      <c r="J268" s="809">
        <v>0</v>
      </c>
      <c r="K268" s="808">
        <v>0</v>
      </c>
      <c r="L268" s="809">
        <v>0</v>
      </c>
      <c r="M268" s="808">
        <v>0</v>
      </c>
      <c r="N268" s="809">
        <v>0</v>
      </c>
      <c r="O268" s="808">
        <v>0</v>
      </c>
      <c r="P268" s="808">
        <v>0</v>
      </c>
      <c r="Q268" s="808">
        <v>0</v>
      </c>
      <c r="R268" s="808">
        <v>0</v>
      </c>
      <c r="S268" s="809">
        <v>0</v>
      </c>
      <c r="T268" s="809">
        <v>0</v>
      </c>
      <c r="U268" s="809">
        <v>0</v>
      </c>
      <c r="V268" s="809">
        <v>0</v>
      </c>
      <c r="W268" s="809">
        <v>0</v>
      </c>
      <c r="X268" s="809">
        <v>0</v>
      </c>
      <c r="Y268" s="809">
        <v>0</v>
      </c>
      <c r="Z268" s="809">
        <v>0</v>
      </c>
      <c r="AA268" s="809">
        <v>0</v>
      </c>
    </row>
    <row r="269" spans="1:27">
      <c r="A269" s="75" t="s">
        <v>1512</v>
      </c>
      <c r="B269" s="807" t="s">
        <v>1114</v>
      </c>
      <c r="C269" s="809">
        <v>0</v>
      </c>
      <c r="D269" s="809">
        <v>0</v>
      </c>
      <c r="E269" s="809">
        <v>0</v>
      </c>
      <c r="F269" s="809">
        <v>0</v>
      </c>
      <c r="G269" s="809">
        <v>0</v>
      </c>
      <c r="H269" s="809">
        <v>0</v>
      </c>
      <c r="I269" s="809">
        <v>0</v>
      </c>
      <c r="J269" s="807" t="s">
        <v>1114</v>
      </c>
      <c r="K269" s="809">
        <v>0</v>
      </c>
      <c r="L269" s="807" t="s">
        <v>1114</v>
      </c>
      <c r="M269" s="809">
        <v>0</v>
      </c>
      <c r="N269" s="807" t="s">
        <v>1114</v>
      </c>
      <c r="O269" s="809">
        <v>0</v>
      </c>
      <c r="P269" s="809">
        <v>0</v>
      </c>
      <c r="Q269" s="809">
        <v>0</v>
      </c>
      <c r="R269" s="809">
        <v>0</v>
      </c>
      <c r="S269" s="807" t="s">
        <v>1114</v>
      </c>
      <c r="T269" s="807" t="s">
        <v>1114</v>
      </c>
      <c r="U269" s="807" t="s">
        <v>1114</v>
      </c>
      <c r="V269" s="807" t="s">
        <v>1114</v>
      </c>
      <c r="W269" s="807" t="s">
        <v>1114</v>
      </c>
      <c r="X269" s="807" t="s">
        <v>1114</v>
      </c>
      <c r="Y269" s="807" t="s">
        <v>1114</v>
      </c>
      <c r="Z269" s="807" t="s">
        <v>1114</v>
      </c>
      <c r="AA269" s="807" t="s">
        <v>1114</v>
      </c>
    </row>
    <row r="270" spans="1:27">
      <c r="A270" s="75" t="s">
        <v>1513</v>
      </c>
      <c r="B270" s="807" t="s">
        <v>1114</v>
      </c>
      <c r="C270" s="809">
        <v>0</v>
      </c>
      <c r="D270" s="809">
        <v>0</v>
      </c>
      <c r="E270" s="809">
        <v>0</v>
      </c>
      <c r="F270" s="809">
        <v>0</v>
      </c>
      <c r="G270" s="809">
        <v>0</v>
      </c>
      <c r="H270" s="809">
        <v>0</v>
      </c>
      <c r="I270" s="809">
        <v>0</v>
      </c>
      <c r="J270" s="809">
        <v>0</v>
      </c>
      <c r="K270" s="809">
        <v>0</v>
      </c>
      <c r="L270" s="809">
        <v>0</v>
      </c>
      <c r="M270" s="809">
        <v>0</v>
      </c>
      <c r="N270" s="809">
        <v>0</v>
      </c>
      <c r="O270" s="809">
        <v>0</v>
      </c>
      <c r="P270" s="809">
        <v>0</v>
      </c>
      <c r="Q270" s="809">
        <v>0</v>
      </c>
      <c r="R270" s="809">
        <v>0</v>
      </c>
      <c r="S270" s="809">
        <v>0</v>
      </c>
      <c r="T270" s="809">
        <v>0</v>
      </c>
      <c r="U270" s="809">
        <v>0</v>
      </c>
      <c r="V270" s="809">
        <v>0</v>
      </c>
      <c r="W270" s="809">
        <v>0</v>
      </c>
      <c r="X270" s="809">
        <v>0</v>
      </c>
      <c r="Y270" s="809">
        <v>0</v>
      </c>
      <c r="Z270" s="809">
        <v>0</v>
      </c>
      <c r="AA270" s="809">
        <v>0</v>
      </c>
    </row>
    <row r="271" spans="1:27">
      <c r="A271" s="75" t="s">
        <v>1514</v>
      </c>
      <c r="B271" s="807" t="s">
        <v>1114</v>
      </c>
      <c r="C271" s="809">
        <v>0</v>
      </c>
      <c r="D271" s="809">
        <v>0</v>
      </c>
      <c r="E271" s="809">
        <v>0</v>
      </c>
      <c r="F271" s="809">
        <v>0</v>
      </c>
      <c r="G271" s="809">
        <v>0</v>
      </c>
      <c r="H271" s="809">
        <v>0</v>
      </c>
      <c r="I271" s="809">
        <v>0</v>
      </c>
      <c r="J271" s="809">
        <v>0</v>
      </c>
      <c r="K271" s="809">
        <v>0</v>
      </c>
      <c r="L271" s="809">
        <v>0</v>
      </c>
      <c r="M271" s="809">
        <v>0</v>
      </c>
      <c r="N271" s="809">
        <v>0</v>
      </c>
      <c r="O271" s="809">
        <v>0</v>
      </c>
      <c r="P271" s="809">
        <v>0</v>
      </c>
      <c r="Q271" s="809">
        <v>0</v>
      </c>
      <c r="R271" s="809">
        <v>0</v>
      </c>
      <c r="S271" s="809">
        <v>0</v>
      </c>
      <c r="T271" s="809">
        <v>0</v>
      </c>
      <c r="U271" s="809">
        <v>0</v>
      </c>
      <c r="V271" s="809">
        <v>0</v>
      </c>
      <c r="W271" s="809">
        <v>0</v>
      </c>
      <c r="X271" s="809">
        <v>0</v>
      </c>
      <c r="Y271" s="809">
        <v>0</v>
      </c>
      <c r="Z271" s="809">
        <v>0</v>
      </c>
      <c r="AA271" s="809">
        <v>0</v>
      </c>
    </row>
    <row r="272" spans="1:27">
      <c r="A272" s="75" t="s">
        <v>1515</v>
      </c>
      <c r="B272" s="807" t="s">
        <v>1114</v>
      </c>
      <c r="C272" s="809">
        <v>0</v>
      </c>
      <c r="D272" s="809">
        <v>0</v>
      </c>
      <c r="E272" s="809">
        <v>0</v>
      </c>
      <c r="F272" s="809">
        <v>0</v>
      </c>
      <c r="G272" s="809">
        <v>0</v>
      </c>
      <c r="H272" s="809">
        <v>0</v>
      </c>
      <c r="I272" s="809">
        <v>0</v>
      </c>
      <c r="J272" s="809">
        <v>0</v>
      </c>
      <c r="K272" s="809">
        <v>0</v>
      </c>
      <c r="L272" s="809">
        <v>0</v>
      </c>
      <c r="M272" s="809">
        <v>0</v>
      </c>
      <c r="N272" s="809">
        <v>0</v>
      </c>
      <c r="O272" s="809">
        <v>0</v>
      </c>
      <c r="P272" s="809">
        <v>0</v>
      </c>
      <c r="Q272" s="809">
        <v>0</v>
      </c>
      <c r="R272" s="809">
        <v>0</v>
      </c>
      <c r="S272" s="809">
        <v>0</v>
      </c>
      <c r="T272" s="809">
        <v>0</v>
      </c>
      <c r="U272" s="809">
        <v>0</v>
      </c>
      <c r="V272" s="809">
        <v>0</v>
      </c>
      <c r="W272" s="809">
        <v>0</v>
      </c>
      <c r="X272" s="809">
        <v>0</v>
      </c>
      <c r="Y272" s="809">
        <v>0</v>
      </c>
      <c r="Z272" s="809">
        <v>0</v>
      </c>
      <c r="AA272" s="809">
        <v>0</v>
      </c>
    </row>
    <row r="273" spans="1:27">
      <c r="A273" s="75" t="s">
        <v>1516</v>
      </c>
      <c r="B273" s="807" t="s">
        <v>1114</v>
      </c>
      <c r="C273" s="802">
        <v>0</v>
      </c>
      <c r="D273" s="802">
        <v>0</v>
      </c>
      <c r="E273" s="802">
        <v>0</v>
      </c>
      <c r="F273" s="802">
        <v>0</v>
      </c>
      <c r="G273" s="802">
        <v>0</v>
      </c>
      <c r="H273" s="802">
        <v>0</v>
      </c>
      <c r="I273" s="802">
        <v>0</v>
      </c>
      <c r="J273" s="802">
        <v>0</v>
      </c>
      <c r="K273" s="802">
        <v>0</v>
      </c>
      <c r="L273" s="802">
        <v>0</v>
      </c>
      <c r="M273" s="802">
        <v>0</v>
      </c>
      <c r="N273" s="802">
        <v>0</v>
      </c>
      <c r="O273" s="802">
        <v>0</v>
      </c>
      <c r="P273" s="802">
        <v>0</v>
      </c>
      <c r="Q273" s="802">
        <v>0</v>
      </c>
      <c r="R273" s="802">
        <v>0</v>
      </c>
      <c r="S273" s="802">
        <v>0</v>
      </c>
      <c r="T273" s="802">
        <v>0</v>
      </c>
      <c r="U273" s="802">
        <v>0</v>
      </c>
      <c r="V273" s="802">
        <v>0</v>
      </c>
      <c r="W273" s="802">
        <v>0</v>
      </c>
      <c r="X273" s="802">
        <v>0</v>
      </c>
      <c r="Y273" s="802">
        <v>0</v>
      </c>
      <c r="Z273" s="802">
        <v>0</v>
      </c>
      <c r="AA273" s="802">
        <v>0</v>
      </c>
    </row>
    <row r="274" spans="1:27">
      <c r="A274" s="75" t="s">
        <v>1517</v>
      </c>
      <c r="B274" s="807" t="s">
        <v>1114</v>
      </c>
      <c r="C274" s="807" t="s">
        <v>1525</v>
      </c>
      <c r="D274" s="807" t="s">
        <v>1525</v>
      </c>
      <c r="E274" s="807" t="s">
        <v>1525</v>
      </c>
      <c r="F274" s="807" t="s">
        <v>1525</v>
      </c>
      <c r="G274" s="807" t="s">
        <v>1525</v>
      </c>
      <c r="H274" s="807" t="s">
        <v>1551</v>
      </c>
      <c r="I274" s="807" t="s">
        <v>1551</v>
      </c>
      <c r="J274" s="807" t="s">
        <v>1551</v>
      </c>
      <c r="K274" s="807" t="s">
        <v>1551</v>
      </c>
      <c r="L274" s="807" t="s">
        <v>1551</v>
      </c>
      <c r="M274" s="807" t="s">
        <v>1551</v>
      </c>
      <c r="N274" s="807" t="s">
        <v>1551</v>
      </c>
      <c r="O274" s="807" t="s">
        <v>1551</v>
      </c>
      <c r="P274" s="807" t="s">
        <v>1551</v>
      </c>
      <c r="Q274" s="807" t="s">
        <v>1551</v>
      </c>
      <c r="R274" s="807" t="s">
        <v>1551</v>
      </c>
      <c r="S274" s="807" t="s">
        <v>1551</v>
      </c>
      <c r="T274" s="807" t="s">
        <v>1551</v>
      </c>
      <c r="U274" s="807" t="s">
        <v>1551</v>
      </c>
      <c r="V274" s="807" t="s">
        <v>1551</v>
      </c>
      <c r="W274" s="807" t="s">
        <v>1551</v>
      </c>
      <c r="X274" s="807" t="s">
        <v>1525</v>
      </c>
      <c r="Y274" s="807" t="s">
        <v>1525</v>
      </c>
      <c r="Z274" s="807" t="s">
        <v>1525</v>
      </c>
      <c r="AA274" s="807" t="s">
        <v>1525</v>
      </c>
    </row>
    <row r="275" spans="1:27">
      <c r="A275" s="75" t="s">
        <v>1526</v>
      </c>
      <c r="B275" s="807" t="s">
        <v>1114</v>
      </c>
      <c r="C275" s="807" t="s">
        <v>1527</v>
      </c>
      <c r="D275" s="807" t="s">
        <v>1527</v>
      </c>
      <c r="E275" s="807" t="s">
        <v>1527</v>
      </c>
      <c r="F275" s="807" t="s">
        <v>1527</v>
      </c>
      <c r="G275" s="807" t="s">
        <v>1527</v>
      </c>
      <c r="H275" s="807" t="s">
        <v>1527</v>
      </c>
      <c r="I275" s="807" t="s">
        <v>1527</v>
      </c>
      <c r="J275" s="807" t="s">
        <v>1527</v>
      </c>
      <c r="K275" s="807" t="s">
        <v>1527</v>
      </c>
      <c r="L275" s="807" t="s">
        <v>1527</v>
      </c>
      <c r="M275" s="807" t="s">
        <v>1527</v>
      </c>
      <c r="N275" s="807" t="s">
        <v>1527</v>
      </c>
      <c r="O275" s="807" t="s">
        <v>1527</v>
      </c>
      <c r="P275" s="807" t="s">
        <v>1527</v>
      </c>
      <c r="Q275" s="807" t="s">
        <v>1527</v>
      </c>
      <c r="R275" s="807" t="s">
        <v>1527</v>
      </c>
      <c r="S275" s="807" t="s">
        <v>1527</v>
      </c>
      <c r="T275" s="807" t="s">
        <v>1527</v>
      </c>
      <c r="U275" s="807" t="s">
        <v>1527</v>
      </c>
      <c r="V275" s="807" t="s">
        <v>1527</v>
      </c>
      <c r="W275" s="807" t="s">
        <v>1527</v>
      </c>
      <c r="X275" s="807" t="s">
        <v>1527</v>
      </c>
      <c r="Y275" s="807" t="s">
        <v>1527</v>
      </c>
      <c r="Z275" s="807" t="s">
        <v>1527</v>
      </c>
      <c r="AA275" s="807" t="s">
        <v>1527</v>
      </c>
    </row>
    <row r="276" spans="1:27">
      <c r="A276" s="806" t="s">
        <v>1542</v>
      </c>
      <c r="B276" s="807" t="s">
        <v>1114</v>
      </c>
      <c r="C276" s="807" t="s">
        <v>1114</v>
      </c>
      <c r="D276" s="807" t="s">
        <v>1114</v>
      </c>
      <c r="E276" s="807" t="s">
        <v>1114</v>
      </c>
      <c r="F276" s="807" t="s">
        <v>1114</v>
      </c>
      <c r="G276" s="807" t="s">
        <v>1114</v>
      </c>
      <c r="H276" s="808">
        <v>1.6825000000000001</v>
      </c>
      <c r="I276" s="808">
        <v>1.6319999999999999</v>
      </c>
      <c r="J276" s="808">
        <v>1.609</v>
      </c>
      <c r="K276" s="808">
        <v>1.6438999999999999</v>
      </c>
      <c r="L276" s="808">
        <v>1.5948</v>
      </c>
      <c r="M276" s="808">
        <v>1.5861000000000001</v>
      </c>
      <c r="N276" s="808">
        <v>1.5972200000000001</v>
      </c>
      <c r="O276" s="808">
        <v>1.5742</v>
      </c>
      <c r="P276" s="808">
        <v>1.571</v>
      </c>
      <c r="Q276" s="808">
        <v>1.5608</v>
      </c>
      <c r="R276" s="808">
        <v>1.58331</v>
      </c>
      <c r="S276" s="809">
        <v>1.57643</v>
      </c>
      <c r="T276" s="809">
        <v>1.68815</v>
      </c>
      <c r="U276" s="809">
        <v>1.68815</v>
      </c>
      <c r="V276" s="809">
        <v>1.68815</v>
      </c>
      <c r="W276" s="809">
        <v>1.68815</v>
      </c>
      <c r="X276" s="809">
        <v>1.8763799999999999</v>
      </c>
      <c r="Y276" s="809">
        <v>1.8763799999999999</v>
      </c>
      <c r="Z276" s="809">
        <v>1.8763799999999999</v>
      </c>
      <c r="AA276" s="809">
        <v>1.8763799999999999</v>
      </c>
    </row>
    <row r="277" spans="1:27">
      <c r="A277" s="75" t="s">
        <v>1512</v>
      </c>
      <c r="B277" s="807" t="s">
        <v>1114</v>
      </c>
      <c r="C277" s="807" t="s">
        <v>1114</v>
      </c>
      <c r="D277" s="807" t="s">
        <v>1114</v>
      </c>
      <c r="E277" s="807" t="s">
        <v>1114</v>
      </c>
      <c r="F277" s="807" t="s">
        <v>1114</v>
      </c>
      <c r="G277" s="807" t="s">
        <v>1114</v>
      </c>
      <c r="H277" s="809">
        <v>1.58948</v>
      </c>
      <c r="I277" s="809">
        <v>1.58948</v>
      </c>
      <c r="J277" s="809">
        <v>1.66327</v>
      </c>
      <c r="K277" s="809">
        <v>1.66327</v>
      </c>
      <c r="L277" s="809">
        <v>2.0896300000000001</v>
      </c>
      <c r="M277" s="809">
        <v>2.0896300000000001</v>
      </c>
      <c r="N277" s="809">
        <v>2.0449999999999999</v>
      </c>
      <c r="O277" s="809">
        <v>1.5771900000000001</v>
      </c>
      <c r="P277" s="809">
        <v>1.5626500000000001</v>
      </c>
      <c r="Q277" s="809">
        <v>1.5648200000000001</v>
      </c>
      <c r="R277" s="809">
        <v>1.5867199999999999</v>
      </c>
      <c r="S277" s="807" t="s">
        <v>1114</v>
      </c>
      <c r="T277" s="807" t="s">
        <v>1114</v>
      </c>
      <c r="U277" s="807" t="s">
        <v>1114</v>
      </c>
      <c r="V277" s="807" t="s">
        <v>1114</v>
      </c>
      <c r="W277" s="807" t="s">
        <v>1114</v>
      </c>
      <c r="X277" s="807" t="s">
        <v>1114</v>
      </c>
      <c r="Y277" s="807" t="s">
        <v>1114</v>
      </c>
      <c r="Z277" s="807" t="s">
        <v>1114</v>
      </c>
      <c r="AA277" s="807" t="s">
        <v>1114</v>
      </c>
    </row>
    <row r="278" spans="1:27">
      <c r="A278" s="75" t="s">
        <v>1513</v>
      </c>
      <c r="B278" s="807" t="s">
        <v>1114</v>
      </c>
      <c r="C278" s="807" t="s">
        <v>1114</v>
      </c>
      <c r="D278" s="807" t="s">
        <v>1114</v>
      </c>
      <c r="E278" s="807" t="s">
        <v>1114</v>
      </c>
      <c r="F278" s="807" t="s">
        <v>1114</v>
      </c>
      <c r="G278" s="807" t="s">
        <v>1114</v>
      </c>
      <c r="H278" s="809">
        <v>1.58948</v>
      </c>
      <c r="I278" s="809">
        <v>1.58948</v>
      </c>
      <c r="J278" s="809">
        <v>1.66327</v>
      </c>
      <c r="K278" s="809">
        <v>1.66327</v>
      </c>
      <c r="L278" s="809">
        <v>2.0896300000000001</v>
      </c>
      <c r="M278" s="809">
        <v>2.0896300000000001</v>
      </c>
      <c r="N278" s="809">
        <v>2.0449999999999999</v>
      </c>
      <c r="O278" s="809">
        <v>1.5771900000000001</v>
      </c>
      <c r="P278" s="809">
        <v>1.5626500000000001</v>
      </c>
      <c r="Q278" s="809">
        <v>1.5648200000000001</v>
      </c>
      <c r="R278" s="809">
        <v>1.5867199999999999</v>
      </c>
      <c r="S278" s="809">
        <v>1.57643</v>
      </c>
      <c r="T278" s="809">
        <v>1.68815</v>
      </c>
      <c r="U278" s="809">
        <v>1.68815</v>
      </c>
      <c r="V278" s="809">
        <v>1.68815</v>
      </c>
      <c r="W278" s="809">
        <v>1.68815</v>
      </c>
      <c r="X278" s="809">
        <v>1.8763799999999999</v>
      </c>
      <c r="Y278" s="809">
        <v>1.8763799999999999</v>
      </c>
      <c r="Z278" s="809">
        <v>1.8763799999999999</v>
      </c>
      <c r="AA278" s="809">
        <v>1.8763799999999999</v>
      </c>
    </row>
    <row r="279" spans="1:27">
      <c r="A279" s="75" t="s">
        <v>1514</v>
      </c>
      <c r="B279" s="807" t="s">
        <v>1114</v>
      </c>
      <c r="C279" s="807" t="s">
        <v>1114</v>
      </c>
      <c r="D279" s="807" t="s">
        <v>1114</v>
      </c>
      <c r="E279" s="807" t="s">
        <v>1114</v>
      </c>
      <c r="F279" s="807" t="s">
        <v>1114</v>
      </c>
      <c r="G279" s="807" t="s">
        <v>1114</v>
      </c>
      <c r="H279" s="809">
        <v>1.58948</v>
      </c>
      <c r="I279" s="809">
        <v>1.58948</v>
      </c>
      <c r="J279" s="809">
        <v>1.66327</v>
      </c>
      <c r="K279" s="809">
        <v>1.66327</v>
      </c>
      <c r="L279" s="809">
        <v>2.0896300000000001</v>
      </c>
      <c r="M279" s="809">
        <v>2.0896300000000001</v>
      </c>
      <c r="N279" s="809">
        <v>2.0449999999999999</v>
      </c>
      <c r="O279" s="809">
        <v>1.5771900000000001</v>
      </c>
      <c r="P279" s="809">
        <v>1.5626500000000001</v>
      </c>
      <c r="Q279" s="809">
        <v>1.5648200000000001</v>
      </c>
      <c r="R279" s="809">
        <v>1.5867199999999999</v>
      </c>
      <c r="S279" s="809">
        <v>1.57643</v>
      </c>
      <c r="T279" s="809">
        <v>1.68815</v>
      </c>
      <c r="U279" s="809">
        <v>1.68815</v>
      </c>
      <c r="V279" s="809">
        <v>1.68815</v>
      </c>
      <c r="W279" s="809">
        <v>1.68815</v>
      </c>
      <c r="X279" s="809">
        <v>1.8763799999999999</v>
      </c>
      <c r="Y279" s="809">
        <v>1.8763799999999999</v>
      </c>
      <c r="Z279" s="809">
        <v>1.8763799999999999</v>
      </c>
      <c r="AA279" s="809">
        <v>1.8763799999999999</v>
      </c>
    </row>
    <row r="280" spans="1:27">
      <c r="A280" s="75" t="s">
        <v>1515</v>
      </c>
      <c r="B280" s="807" t="s">
        <v>1114</v>
      </c>
      <c r="C280" s="807" t="s">
        <v>1114</v>
      </c>
      <c r="D280" s="807" t="s">
        <v>1114</v>
      </c>
      <c r="E280" s="807" t="s">
        <v>1114</v>
      </c>
      <c r="F280" s="807" t="s">
        <v>1114</v>
      </c>
      <c r="G280" s="807" t="s">
        <v>1114</v>
      </c>
      <c r="H280" s="809">
        <v>1.58948</v>
      </c>
      <c r="I280" s="809">
        <v>1.58948</v>
      </c>
      <c r="J280" s="809">
        <v>1.66327</v>
      </c>
      <c r="K280" s="809">
        <v>1.66327</v>
      </c>
      <c r="L280" s="809">
        <v>2.0896300000000001</v>
      </c>
      <c r="M280" s="809">
        <v>2.0896300000000001</v>
      </c>
      <c r="N280" s="809">
        <v>2.0449999999999999</v>
      </c>
      <c r="O280" s="809">
        <v>1.5771900000000001</v>
      </c>
      <c r="P280" s="809">
        <v>1.5626500000000001</v>
      </c>
      <c r="Q280" s="809">
        <v>1.5648200000000001</v>
      </c>
      <c r="R280" s="809">
        <v>1.5867199999999999</v>
      </c>
      <c r="S280" s="809">
        <v>1.57643</v>
      </c>
      <c r="T280" s="809">
        <v>1.68815</v>
      </c>
      <c r="U280" s="809">
        <v>1.68815</v>
      </c>
      <c r="V280" s="809">
        <v>1.68815</v>
      </c>
      <c r="W280" s="809">
        <v>1.68815</v>
      </c>
      <c r="X280" s="809">
        <v>1.8763799999999999</v>
      </c>
      <c r="Y280" s="809">
        <v>1.8763799999999999</v>
      </c>
      <c r="Z280" s="809">
        <v>1.8763799999999999</v>
      </c>
      <c r="AA280" s="809">
        <v>1.8763799999999999</v>
      </c>
    </row>
    <row r="281" spans="1:27">
      <c r="A281" s="75" t="s">
        <v>1516</v>
      </c>
      <c r="B281" s="807" t="s">
        <v>1114</v>
      </c>
      <c r="C281" s="807" t="s">
        <v>1114</v>
      </c>
      <c r="D281" s="807" t="s">
        <v>1114</v>
      </c>
      <c r="E281" s="807" t="s">
        <v>1114</v>
      </c>
      <c r="F281" s="807" t="s">
        <v>1114</v>
      </c>
      <c r="G281" s="807" t="s">
        <v>1114</v>
      </c>
      <c r="H281" s="802">
        <v>0</v>
      </c>
      <c r="I281" s="802">
        <v>0</v>
      </c>
      <c r="J281" s="802">
        <v>0</v>
      </c>
      <c r="K281" s="802">
        <v>0</v>
      </c>
      <c r="L281" s="802">
        <v>0</v>
      </c>
      <c r="M281" s="802">
        <v>0</v>
      </c>
      <c r="N281" s="802">
        <v>0</v>
      </c>
      <c r="O281" s="802">
        <v>0</v>
      </c>
      <c r="P281" s="802">
        <v>0</v>
      </c>
      <c r="Q281" s="802">
        <v>0</v>
      </c>
      <c r="R281" s="802">
        <v>0</v>
      </c>
      <c r="S281" s="802">
        <v>0</v>
      </c>
      <c r="T281" s="802">
        <v>0</v>
      </c>
      <c r="U281" s="802">
        <v>0</v>
      </c>
      <c r="V281" s="802">
        <v>0</v>
      </c>
      <c r="W281" s="802">
        <v>0</v>
      </c>
      <c r="X281" s="802">
        <v>0</v>
      </c>
      <c r="Y281" s="802">
        <v>0</v>
      </c>
      <c r="Z281" s="802">
        <v>0</v>
      </c>
      <c r="AA281" s="802">
        <v>0</v>
      </c>
    </row>
    <row r="282" spans="1:27">
      <c r="A282" s="75" t="s">
        <v>1517</v>
      </c>
      <c r="B282" s="807" t="s">
        <v>1114</v>
      </c>
      <c r="C282" s="807" t="s">
        <v>1114</v>
      </c>
      <c r="D282" s="807" t="s">
        <v>1114</v>
      </c>
      <c r="E282" s="807" t="s">
        <v>1114</v>
      </c>
      <c r="F282" s="807" t="s">
        <v>1114</v>
      </c>
      <c r="G282" s="807" t="s">
        <v>1114</v>
      </c>
      <c r="H282" s="807" t="s">
        <v>1525</v>
      </c>
      <c r="I282" s="807" t="s">
        <v>1525</v>
      </c>
      <c r="J282" s="807" t="s">
        <v>1525</v>
      </c>
      <c r="K282" s="807" t="s">
        <v>1525</v>
      </c>
      <c r="L282" s="807" t="s">
        <v>1525</v>
      </c>
      <c r="M282" s="807" t="s">
        <v>1525</v>
      </c>
      <c r="N282" s="807" t="s">
        <v>1525</v>
      </c>
      <c r="O282" s="807" t="s">
        <v>1525</v>
      </c>
      <c r="P282" s="807" t="s">
        <v>1525</v>
      </c>
      <c r="Q282" s="807" t="s">
        <v>1525</v>
      </c>
      <c r="R282" s="807" t="s">
        <v>1525</v>
      </c>
      <c r="S282" s="807" t="s">
        <v>1525</v>
      </c>
      <c r="T282" s="807" t="s">
        <v>1525</v>
      </c>
      <c r="U282" s="807" t="s">
        <v>1525</v>
      </c>
      <c r="V282" s="807" t="s">
        <v>1525</v>
      </c>
      <c r="W282" s="807" t="s">
        <v>1525</v>
      </c>
      <c r="X282" s="807" t="s">
        <v>1525</v>
      </c>
      <c r="Y282" s="807" t="s">
        <v>1525</v>
      </c>
      <c r="Z282" s="807" t="s">
        <v>1525</v>
      </c>
      <c r="AA282" s="807" t="s">
        <v>1525</v>
      </c>
    </row>
    <row r="283" spans="1:27">
      <c r="A283" s="75" t="s">
        <v>1526</v>
      </c>
      <c r="B283" s="807" t="s">
        <v>1114</v>
      </c>
      <c r="C283" s="807" t="s">
        <v>1114</v>
      </c>
      <c r="D283" s="807" t="s">
        <v>1114</v>
      </c>
      <c r="E283" s="807" t="s">
        <v>1114</v>
      </c>
      <c r="F283" s="807" t="s">
        <v>1114</v>
      </c>
      <c r="G283" s="807" t="s">
        <v>1114</v>
      </c>
      <c r="H283" s="807" t="s">
        <v>1527</v>
      </c>
      <c r="I283" s="807" t="s">
        <v>1527</v>
      </c>
      <c r="J283" s="807" t="s">
        <v>1527</v>
      </c>
      <c r="K283" s="807" t="s">
        <v>1527</v>
      </c>
      <c r="L283" s="807" t="s">
        <v>1527</v>
      </c>
      <c r="M283" s="807" t="s">
        <v>1527</v>
      </c>
      <c r="N283" s="807" t="s">
        <v>1527</v>
      </c>
      <c r="O283" s="807" t="s">
        <v>1527</v>
      </c>
      <c r="P283" s="807" t="s">
        <v>1527</v>
      </c>
      <c r="Q283" s="807" t="s">
        <v>1527</v>
      </c>
      <c r="R283" s="807" t="s">
        <v>1527</v>
      </c>
      <c r="S283" s="807" t="s">
        <v>1527</v>
      </c>
      <c r="T283" s="807" t="s">
        <v>1527</v>
      </c>
      <c r="U283" s="807" t="s">
        <v>1527</v>
      </c>
      <c r="V283" s="807" t="s">
        <v>1527</v>
      </c>
      <c r="W283" s="807" t="s">
        <v>1527</v>
      </c>
      <c r="X283" s="807" t="s">
        <v>1527</v>
      </c>
      <c r="Y283" s="807" t="s">
        <v>1527</v>
      </c>
      <c r="Z283" s="807" t="s">
        <v>1527</v>
      </c>
      <c r="AA283" s="807" t="s">
        <v>1527</v>
      </c>
    </row>
    <row r="284" spans="1:27">
      <c r="A284" s="806" t="s">
        <v>1552</v>
      </c>
      <c r="B284" s="807" t="s">
        <v>1114</v>
      </c>
      <c r="C284" s="807" t="s">
        <v>1114</v>
      </c>
      <c r="D284" s="807" t="s">
        <v>1114</v>
      </c>
      <c r="E284" s="807" t="s">
        <v>1114</v>
      </c>
      <c r="F284" s="807" t="s">
        <v>1114</v>
      </c>
      <c r="G284" s="807" t="s">
        <v>1114</v>
      </c>
      <c r="H284" s="808">
        <v>-4.07E-2</v>
      </c>
      <c r="I284" s="808">
        <v>-1.0500000000000001E-2</v>
      </c>
      <c r="J284" s="808">
        <v>8.2400000000000001E-2</v>
      </c>
      <c r="K284" s="808">
        <v>-6.7000000000000002E-3</v>
      </c>
      <c r="L284" s="808">
        <v>-1.12E-2</v>
      </c>
      <c r="M284" s="808">
        <v>6.8599999999999994E-2</v>
      </c>
      <c r="N284" s="808">
        <v>7.9500000000000001E-2</v>
      </c>
      <c r="O284" s="808">
        <v>6.0199999999999997E-2</v>
      </c>
      <c r="P284" s="808">
        <v>1.72E-2</v>
      </c>
      <c r="Q284" s="808">
        <v>1.52E-2</v>
      </c>
      <c r="R284" s="808">
        <v>-3.0339999999999999E-2</v>
      </c>
      <c r="S284" s="809">
        <v>3.2820000000000002E-2</v>
      </c>
      <c r="T284" s="809">
        <v>2.8660000000000001E-2</v>
      </c>
      <c r="U284" s="809">
        <v>3.3599999999999998E-2</v>
      </c>
      <c r="V284" s="809">
        <v>4.48E-2</v>
      </c>
      <c r="W284" s="809">
        <v>5.6419999999999998E-2</v>
      </c>
      <c r="X284" s="809">
        <v>4.4880000000000003E-2</v>
      </c>
      <c r="Y284" s="809">
        <v>4.9579999999999999E-2</v>
      </c>
      <c r="Z284" s="809">
        <v>6.148E-2</v>
      </c>
      <c r="AA284" s="809">
        <v>6.9739999999999996E-2</v>
      </c>
    </row>
    <row r="285" spans="1:27">
      <c r="A285" s="75" t="s">
        <v>1512</v>
      </c>
      <c r="B285" s="807" t="s">
        <v>1114</v>
      </c>
      <c r="C285" s="807" t="s">
        <v>1114</v>
      </c>
      <c r="D285" s="807" t="s">
        <v>1114</v>
      </c>
      <c r="E285" s="807" t="s">
        <v>1114</v>
      </c>
      <c r="F285" s="807" t="s">
        <v>1114</v>
      </c>
      <c r="G285" s="807" t="s">
        <v>1114</v>
      </c>
      <c r="H285" s="809">
        <v>-2.9059999999999999E-2</v>
      </c>
      <c r="I285" s="809">
        <v>-2.5149999999999999E-2</v>
      </c>
      <c r="J285" s="809">
        <v>1.4030000000000001E-2</v>
      </c>
      <c r="K285" s="809">
        <v>2.1139999999999999E-2</v>
      </c>
      <c r="L285" s="809">
        <v>2.5819999999999999E-2</v>
      </c>
      <c r="M285" s="809">
        <v>2.8549999999999999E-2</v>
      </c>
      <c r="N285" s="809">
        <v>3.023E-2</v>
      </c>
      <c r="O285" s="809">
        <v>2.6939999999999999E-2</v>
      </c>
      <c r="P285" s="809">
        <v>2.4209999999999999E-2</v>
      </c>
      <c r="Q285" s="809">
        <v>2.7490000000000001E-2</v>
      </c>
      <c r="R285" s="809">
        <v>3.2480000000000002E-2</v>
      </c>
      <c r="S285" s="807" t="s">
        <v>1114</v>
      </c>
      <c r="T285" s="807" t="s">
        <v>1114</v>
      </c>
      <c r="U285" s="807" t="s">
        <v>1114</v>
      </c>
      <c r="V285" s="807" t="s">
        <v>1114</v>
      </c>
      <c r="W285" s="807" t="s">
        <v>1114</v>
      </c>
      <c r="X285" s="807" t="s">
        <v>1114</v>
      </c>
      <c r="Y285" s="807" t="s">
        <v>1114</v>
      </c>
      <c r="Z285" s="807" t="s">
        <v>1114</v>
      </c>
      <c r="AA285" s="807" t="s">
        <v>1114</v>
      </c>
    </row>
    <row r="286" spans="1:27">
      <c r="A286" s="75" t="s">
        <v>1513</v>
      </c>
      <c r="B286" s="807" t="s">
        <v>1114</v>
      </c>
      <c r="C286" s="807" t="s">
        <v>1114</v>
      </c>
      <c r="D286" s="807" t="s">
        <v>1114</v>
      </c>
      <c r="E286" s="807" t="s">
        <v>1114</v>
      </c>
      <c r="F286" s="807" t="s">
        <v>1114</v>
      </c>
      <c r="G286" s="807" t="s">
        <v>1114</v>
      </c>
      <c r="H286" s="809">
        <v>-2.9059999999999999E-2</v>
      </c>
      <c r="I286" s="809">
        <v>-2.5149999999999999E-2</v>
      </c>
      <c r="J286" s="809">
        <v>1.4030000000000001E-2</v>
      </c>
      <c r="K286" s="809">
        <v>2.1139999999999999E-2</v>
      </c>
      <c r="L286" s="809">
        <v>2.5819999999999999E-2</v>
      </c>
      <c r="M286" s="809">
        <v>2.8549999999999999E-2</v>
      </c>
      <c r="N286" s="809">
        <v>3.023E-2</v>
      </c>
      <c r="O286" s="809">
        <v>2.6939999999999999E-2</v>
      </c>
      <c r="P286" s="809">
        <v>2.4209999999999999E-2</v>
      </c>
      <c r="Q286" s="809">
        <v>2.7490000000000001E-2</v>
      </c>
      <c r="R286" s="809">
        <v>3.2480000000000002E-2</v>
      </c>
      <c r="S286" s="809">
        <v>3.2820000000000002E-2</v>
      </c>
      <c r="T286" s="809">
        <v>2.8660000000000001E-2</v>
      </c>
      <c r="U286" s="809">
        <v>3.3599999999999998E-2</v>
      </c>
      <c r="V286" s="809">
        <v>4.48E-2</v>
      </c>
      <c r="W286" s="809">
        <v>5.6419999999999998E-2</v>
      </c>
      <c r="X286" s="809">
        <v>4.4880000000000003E-2</v>
      </c>
      <c r="Y286" s="809">
        <v>4.9579999999999999E-2</v>
      </c>
      <c r="Z286" s="809">
        <v>6.148E-2</v>
      </c>
      <c r="AA286" s="809">
        <v>6.9739999999999996E-2</v>
      </c>
    </row>
    <row r="287" spans="1:27">
      <c r="A287" s="75" t="s">
        <v>1514</v>
      </c>
      <c r="B287" s="807" t="s">
        <v>1114</v>
      </c>
      <c r="C287" s="807" t="s">
        <v>1114</v>
      </c>
      <c r="D287" s="807" t="s">
        <v>1114</v>
      </c>
      <c r="E287" s="807" t="s">
        <v>1114</v>
      </c>
      <c r="F287" s="807" t="s">
        <v>1114</v>
      </c>
      <c r="G287" s="807" t="s">
        <v>1114</v>
      </c>
      <c r="H287" s="809">
        <v>-2.9059999999999999E-2</v>
      </c>
      <c r="I287" s="809">
        <v>-2.5149999999999999E-2</v>
      </c>
      <c r="J287" s="809">
        <v>1.4030000000000001E-2</v>
      </c>
      <c r="K287" s="809">
        <v>2.1139999999999999E-2</v>
      </c>
      <c r="L287" s="809">
        <v>2.5819999999999999E-2</v>
      </c>
      <c r="M287" s="809">
        <v>2.8549999999999999E-2</v>
      </c>
      <c r="N287" s="809">
        <v>3.023E-2</v>
      </c>
      <c r="O287" s="809">
        <v>2.6939999999999999E-2</v>
      </c>
      <c r="P287" s="809">
        <v>2.4209999999999999E-2</v>
      </c>
      <c r="Q287" s="809">
        <v>2.7490000000000001E-2</v>
      </c>
      <c r="R287" s="809">
        <v>3.2480000000000002E-2</v>
      </c>
      <c r="S287" s="809">
        <v>3.2820000000000002E-2</v>
      </c>
      <c r="T287" s="809">
        <v>2.8660000000000001E-2</v>
      </c>
      <c r="U287" s="809">
        <v>3.3599999999999998E-2</v>
      </c>
      <c r="V287" s="809">
        <v>4.48E-2</v>
      </c>
      <c r="W287" s="809">
        <v>5.6419999999999998E-2</v>
      </c>
      <c r="X287" s="809">
        <v>4.4880000000000003E-2</v>
      </c>
      <c r="Y287" s="809">
        <v>4.9579999999999999E-2</v>
      </c>
      <c r="Z287" s="809">
        <v>6.148E-2</v>
      </c>
      <c r="AA287" s="809">
        <v>6.9739999999999996E-2</v>
      </c>
    </row>
    <row r="288" spans="1:27">
      <c r="A288" s="75" t="s">
        <v>1515</v>
      </c>
      <c r="B288" s="807" t="s">
        <v>1114</v>
      </c>
      <c r="C288" s="807" t="s">
        <v>1114</v>
      </c>
      <c r="D288" s="807" t="s">
        <v>1114</v>
      </c>
      <c r="E288" s="807" t="s">
        <v>1114</v>
      </c>
      <c r="F288" s="807" t="s">
        <v>1114</v>
      </c>
      <c r="G288" s="807" t="s">
        <v>1114</v>
      </c>
      <c r="H288" s="809">
        <v>-2.9059999999999999E-2</v>
      </c>
      <c r="I288" s="809">
        <v>-2.5149999999999999E-2</v>
      </c>
      <c r="J288" s="809">
        <v>1.4030000000000001E-2</v>
      </c>
      <c r="K288" s="809">
        <v>2.1139999999999999E-2</v>
      </c>
      <c r="L288" s="809">
        <v>2.5819999999999999E-2</v>
      </c>
      <c r="M288" s="809">
        <v>2.8549999999999999E-2</v>
      </c>
      <c r="N288" s="809">
        <v>3.023E-2</v>
      </c>
      <c r="O288" s="809">
        <v>2.6939999999999999E-2</v>
      </c>
      <c r="P288" s="809">
        <v>2.4209999999999999E-2</v>
      </c>
      <c r="Q288" s="809">
        <v>2.7490000000000001E-2</v>
      </c>
      <c r="R288" s="809">
        <v>3.2480000000000002E-2</v>
      </c>
      <c r="S288" s="809">
        <v>3.2820000000000002E-2</v>
      </c>
      <c r="T288" s="809">
        <v>2.8660000000000001E-2</v>
      </c>
      <c r="U288" s="809">
        <v>3.3599999999999998E-2</v>
      </c>
      <c r="V288" s="809">
        <v>4.48E-2</v>
      </c>
      <c r="W288" s="809">
        <v>5.6419999999999998E-2</v>
      </c>
      <c r="X288" s="809">
        <v>4.4880000000000003E-2</v>
      </c>
      <c r="Y288" s="809">
        <v>4.9579999999999999E-2</v>
      </c>
      <c r="Z288" s="809">
        <v>6.148E-2</v>
      </c>
      <c r="AA288" s="809">
        <v>6.9739999999999996E-2</v>
      </c>
    </row>
    <row r="289" spans="1:27">
      <c r="A289" s="75" t="s">
        <v>1516</v>
      </c>
      <c r="B289" s="807" t="s">
        <v>1114</v>
      </c>
      <c r="C289" s="807" t="s">
        <v>1114</v>
      </c>
      <c r="D289" s="807" t="s">
        <v>1114</v>
      </c>
      <c r="E289" s="807" t="s">
        <v>1114</v>
      </c>
      <c r="F289" s="807" t="s">
        <v>1114</v>
      </c>
      <c r="G289" s="807" t="s">
        <v>1114</v>
      </c>
      <c r="H289" s="802">
        <v>0</v>
      </c>
      <c r="I289" s="802">
        <v>0</v>
      </c>
      <c r="J289" s="802">
        <v>0</v>
      </c>
      <c r="K289" s="802">
        <v>0</v>
      </c>
      <c r="L289" s="802">
        <v>0</v>
      </c>
      <c r="M289" s="802">
        <v>0</v>
      </c>
      <c r="N289" s="802">
        <v>0</v>
      </c>
      <c r="O289" s="802">
        <v>0</v>
      </c>
      <c r="P289" s="802">
        <v>0</v>
      </c>
      <c r="Q289" s="802">
        <v>0</v>
      </c>
      <c r="R289" s="802">
        <v>0</v>
      </c>
      <c r="S289" s="802">
        <v>0</v>
      </c>
      <c r="T289" s="802">
        <v>0</v>
      </c>
      <c r="U289" s="802">
        <v>0</v>
      </c>
      <c r="V289" s="802">
        <v>0</v>
      </c>
      <c r="W289" s="802">
        <v>0</v>
      </c>
      <c r="X289" s="802">
        <v>0</v>
      </c>
      <c r="Y289" s="802">
        <v>0</v>
      </c>
      <c r="Z289" s="802">
        <v>0</v>
      </c>
      <c r="AA289" s="802">
        <v>0</v>
      </c>
    </row>
    <row r="290" spans="1:27">
      <c r="A290" s="75" t="s">
        <v>1517</v>
      </c>
      <c r="B290" s="807" t="s">
        <v>1114</v>
      </c>
      <c r="C290" s="807" t="s">
        <v>1114</v>
      </c>
      <c r="D290" s="807" t="s">
        <v>1114</v>
      </c>
      <c r="E290" s="807" t="s">
        <v>1114</v>
      </c>
      <c r="F290" s="807" t="s">
        <v>1114</v>
      </c>
      <c r="G290" s="807" t="s">
        <v>1114</v>
      </c>
      <c r="H290" s="807" t="s">
        <v>1525</v>
      </c>
      <c r="I290" s="807" t="s">
        <v>1525</v>
      </c>
      <c r="J290" s="807" t="s">
        <v>1525</v>
      </c>
      <c r="K290" s="807" t="s">
        <v>1525</v>
      </c>
      <c r="L290" s="807" t="s">
        <v>1525</v>
      </c>
      <c r="M290" s="807" t="s">
        <v>1525</v>
      </c>
      <c r="N290" s="807" t="s">
        <v>1525</v>
      </c>
      <c r="O290" s="807" t="s">
        <v>1525</v>
      </c>
      <c r="P290" s="807" t="s">
        <v>1525</v>
      </c>
      <c r="Q290" s="807" t="s">
        <v>1525</v>
      </c>
      <c r="R290" s="807" t="s">
        <v>1525</v>
      </c>
      <c r="S290" s="807" t="s">
        <v>1525</v>
      </c>
      <c r="T290" s="807" t="s">
        <v>1525</v>
      </c>
      <c r="U290" s="807" t="s">
        <v>1525</v>
      </c>
      <c r="V290" s="807" t="s">
        <v>1525</v>
      </c>
      <c r="W290" s="807" t="s">
        <v>1525</v>
      </c>
      <c r="X290" s="807" t="s">
        <v>1525</v>
      </c>
      <c r="Y290" s="807" t="s">
        <v>1525</v>
      </c>
      <c r="Z290" s="807" t="s">
        <v>1525</v>
      </c>
      <c r="AA290" s="807" t="s">
        <v>1525</v>
      </c>
    </row>
    <row r="291" spans="1:27">
      <c r="A291" s="75" t="s">
        <v>1526</v>
      </c>
      <c r="B291" s="807" t="s">
        <v>1114</v>
      </c>
      <c r="C291" s="807" t="s">
        <v>1114</v>
      </c>
      <c r="D291" s="807" t="s">
        <v>1114</v>
      </c>
      <c r="E291" s="807" t="s">
        <v>1114</v>
      </c>
      <c r="F291" s="807" t="s">
        <v>1114</v>
      </c>
      <c r="G291" s="807" t="s">
        <v>1114</v>
      </c>
      <c r="H291" s="807" t="s">
        <v>1527</v>
      </c>
      <c r="I291" s="807" t="s">
        <v>1527</v>
      </c>
      <c r="J291" s="807" t="s">
        <v>1527</v>
      </c>
      <c r="K291" s="807" t="s">
        <v>1527</v>
      </c>
      <c r="L291" s="807" t="s">
        <v>1527</v>
      </c>
      <c r="M291" s="807" t="s">
        <v>1527</v>
      </c>
      <c r="N291" s="807" t="s">
        <v>1527</v>
      </c>
      <c r="O291" s="807" t="s">
        <v>1527</v>
      </c>
      <c r="P291" s="807" t="s">
        <v>1527</v>
      </c>
      <c r="Q291" s="807" t="s">
        <v>1527</v>
      </c>
      <c r="R291" s="807" t="s">
        <v>1527</v>
      </c>
      <c r="S291" s="807" t="s">
        <v>1527</v>
      </c>
      <c r="T291" s="807" t="s">
        <v>1527</v>
      </c>
      <c r="U291" s="807" t="s">
        <v>1527</v>
      </c>
      <c r="V291" s="807" t="s">
        <v>1527</v>
      </c>
      <c r="W291" s="807" t="s">
        <v>1527</v>
      </c>
      <c r="X291" s="807" t="s">
        <v>1527</v>
      </c>
      <c r="Y291" s="807" t="s">
        <v>1527</v>
      </c>
      <c r="Z291" s="807" t="s">
        <v>1527</v>
      </c>
      <c r="AA291" s="807" t="s">
        <v>1527</v>
      </c>
    </row>
    <row r="292" spans="1:27">
      <c r="B292" s="800"/>
      <c r="C292" s="800"/>
      <c r="D292" s="800"/>
      <c r="E292" s="800"/>
      <c r="F292" s="800"/>
      <c r="G292" s="800"/>
      <c r="H292" s="800"/>
      <c r="I292" s="800"/>
      <c r="J292" s="800"/>
      <c r="K292" s="800"/>
      <c r="L292" s="800"/>
      <c r="M292" s="800"/>
      <c r="N292" s="800"/>
      <c r="O292" s="800"/>
      <c r="P292" s="800"/>
      <c r="Q292" s="800"/>
      <c r="R292" s="800"/>
      <c r="S292" s="800"/>
      <c r="T292" s="800"/>
      <c r="U292" s="800"/>
      <c r="V292" s="800"/>
      <c r="W292" s="800"/>
      <c r="X292" s="800"/>
      <c r="Y292" s="800"/>
      <c r="Z292" s="800"/>
      <c r="AA292" s="800"/>
    </row>
    <row r="293" spans="1:27" ht="19">
      <c r="A293" s="804" t="s">
        <v>1556</v>
      </c>
      <c r="B293" s="805" t="s">
        <v>1632</v>
      </c>
      <c r="C293" s="805" t="s">
        <v>1633</v>
      </c>
      <c r="D293" s="805" t="s">
        <v>1634</v>
      </c>
      <c r="E293" s="805" t="s">
        <v>1635</v>
      </c>
      <c r="F293" s="805" t="s">
        <v>1636</v>
      </c>
      <c r="G293" s="805" t="s">
        <v>1637</v>
      </c>
      <c r="H293" s="805" t="s">
        <v>1638</v>
      </c>
      <c r="I293" s="805" t="s">
        <v>1639</v>
      </c>
      <c r="J293" s="805" t="s">
        <v>1640</v>
      </c>
      <c r="K293" s="805" t="s">
        <v>1641</v>
      </c>
      <c r="L293" s="805" t="s">
        <v>1642</v>
      </c>
      <c r="M293" s="805" t="s">
        <v>1643</v>
      </c>
      <c r="N293" s="805" t="s">
        <v>1644</v>
      </c>
      <c r="O293" s="805" t="s">
        <v>1645</v>
      </c>
      <c r="P293" s="805" t="s">
        <v>1646</v>
      </c>
      <c r="Q293" s="805" t="s">
        <v>1647</v>
      </c>
      <c r="R293" s="805" t="s">
        <v>1648</v>
      </c>
      <c r="S293" s="805" t="s">
        <v>1649</v>
      </c>
      <c r="T293" s="805" t="s">
        <v>1650</v>
      </c>
      <c r="U293" s="805" t="s">
        <v>1651</v>
      </c>
      <c r="V293" s="805" t="s">
        <v>1652</v>
      </c>
      <c r="W293" s="805" t="s">
        <v>1653</v>
      </c>
      <c r="X293" s="805" t="s">
        <v>1654</v>
      </c>
      <c r="Y293" s="805" t="s">
        <v>1655</v>
      </c>
      <c r="Z293" s="805" t="s">
        <v>1656</v>
      </c>
      <c r="AA293" s="805" t="s">
        <v>1657</v>
      </c>
    </row>
    <row r="294" spans="1:27">
      <c r="A294" s="806" t="s">
        <v>254</v>
      </c>
      <c r="B294" s="807" t="s">
        <v>1114</v>
      </c>
      <c r="C294" s="808">
        <v>122</v>
      </c>
      <c r="D294" s="808">
        <v>228</v>
      </c>
      <c r="E294" s="808">
        <v>321</v>
      </c>
      <c r="F294" s="808">
        <v>382</v>
      </c>
      <c r="G294" s="808">
        <v>502</v>
      </c>
      <c r="H294" s="808">
        <v>525</v>
      </c>
      <c r="I294" s="808">
        <v>567</v>
      </c>
      <c r="J294" s="808">
        <v>615</v>
      </c>
      <c r="K294" s="808">
        <v>653</v>
      </c>
      <c r="L294" s="808">
        <v>653</v>
      </c>
      <c r="M294" s="808">
        <v>664</v>
      </c>
      <c r="N294" s="808">
        <v>716</v>
      </c>
      <c r="O294" s="808">
        <v>764</v>
      </c>
      <c r="P294" s="808">
        <v>773</v>
      </c>
      <c r="Q294" s="808">
        <v>819</v>
      </c>
      <c r="R294" s="808">
        <v>873</v>
      </c>
      <c r="S294" s="809">
        <v>942.07799999999997</v>
      </c>
      <c r="T294" s="809">
        <v>922.99710000000005</v>
      </c>
      <c r="U294" s="809">
        <v>992.30232000000001</v>
      </c>
      <c r="V294" s="809">
        <v>1068.83581</v>
      </c>
      <c r="W294" s="809">
        <v>1163.2154499999999</v>
      </c>
      <c r="X294" s="809">
        <v>1012.55397</v>
      </c>
      <c r="Y294" s="809">
        <v>1099.81629</v>
      </c>
      <c r="Z294" s="809">
        <v>1204.0244299999999</v>
      </c>
      <c r="AA294" s="809">
        <v>1360.18416</v>
      </c>
    </row>
    <row r="295" spans="1:27">
      <c r="A295" s="75" t="s">
        <v>1512</v>
      </c>
      <c r="B295" s="807" t="s">
        <v>1114</v>
      </c>
      <c r="C295" s="809">
        <v>163.267</v>
      </c>
      <c r="D295" s="809">
        <v>141.65733</v>
      </c>
      <c r="E295" s="809">
        <v>272.33767</v>
      </c>
      <c r="F295" s="809">
        <v>348.19666999999998</v>
      </c>
      <c r="G295" s="809">
        <v>405.39139999999998</v>
      </c>
      <c r="H295" s="809">
        <v>505.00245999999999</v>
      </c>
      <c r="I295" s="809">
        <v>546.78923999999995</v>
      </c>
      <c r="J295" s="809">
        <v>587.98063000000002</v>
      </c>
      <c r="K295" s="809">
        <v>632.66156000000001</v>
      </c>
      <c r="L295" s="809">
        <v>638.52529000000004</v>
      </c>
      <c r="M295" s="809">
        <v>676.14311999999995</v>
      </c>
      <c r="N295" s="809">
        <v>700.01482999999996</v>
      </c>
      <c r="O295" s="809">
        <v>754.11604</v>
      </c>
      <c r="P295" s="809">
        <v>771.80192999999997</v>
      </c>
      <c r="Q295" s="809">
        <v>811.35047999999995</v>
      </c>
      <c r="R295" s="809">
        <v>873.04060000000004</v>
      </c>
      <c r="S295" s="807" t="s">
        <v>1114</v>
      </c>
      <c r="T295" s="807" t="s">
        <v>1114</v>
      </c>
      <c r="U295" s="807" t="s">
        <v>1114</v>
      </c>
      <c r="V295" s="807" t="s">
        <v>1114</v>
      </c>
      <c r="W295" s="807" t="s">
        <v>1114</v>
      </c>
      <c r="X295" s="807" t="s">
        <v>1114</v>
      </c>
      <c r="Y295" s="807" t="s">
        <v>1114</v>
      </c>
      <c r="Z295" s="807" t="s">
        <v>1114</v>
      </c>
      <c r="AA295" s="807" t="s">
        <v>1114</v>
      </c>
    </row>
    <row r="296" spans="1:27">
      <c r="A296" s="75" t="s">
        <v>1513</v>
      </c>
      <c r="B296" s="807" t="s">
        <v>1114</v>
      </c>
      <c r="C296" s="809">
        <v>163.267</v>
      </c>
      <c r="D296" s="809">
        <v>142</v>
      </c>
      <c r="E296" s="809">
        <v>273.51299999999998</v>
      </c>
      <c r="F296" s="809">
        <v>348</v>
      </c>
      <c r="G296" s="809">
        <v>405</v>
      </c>
      <c r="H296" s="809">
        <v>514</v>
      </c>
      <c r="I296" s="809">
        <v>547</v>
      </c>
      <c r="J296" s="809">
        <v>594</v>
      </c>
      <c r="K296" s="809">
        <v>629</v>
      </c>
      <c r="L296" s="809">
        <v>636.23533999999995</v>
      </c>
      <c r="M296" s="809">
        <v>676</v>
      </c>
      <c r="N296" s="809">
        <v>700.06399999999996</v>
      </c>
      <c r="O296" s="809">
        <v>752</v>
      </c>
      <c r="P296" s="809">
        <v>773</v>
      </c>
      <c r="Q296" s="809">
        <v>810</v>
      </c>
      <c r="R296" s="809">
        <v>870</v>
      </c>
      <c r="S296" s="809">
        <v>940</v>
      </c>
      <c r="T296" s="809">
        <v>926.53700000000003</v>
      </c>
      <c r="U296" s="809">
        <v>992</v>
      </c>
      <c r="V296" s="809">
        <v>1068.29044</v>
      </c>
      <c r="W296" s="809">
        <v>1163.2154499999999</v>
      </c>
      <c r="X296" s="809">
        <v>1012.55397</v>
      </c>
      <c r="Y296" s="809">
        <v>1099.81629</v>
      </c>
      <c r="Z296" s="809">
        <v>1204.0244299999999</v>
      </c>
      <c r="AA296" s="809">
        <v>1360.18416</v>
      </c>
    </row>
    <row r="297" spans="1:27">
      <c r="A297" s="75" t="s">
        <v>1514</v>
      </c>
      <c r="B297" s="807" t="s">
        <v>1114</v>
      </c>
      <c r="C297" s="809">
        <v>172</v>
      </c>
      <c r="D297" s="809">
        <v>151</v>
      </c>
      <c r="E297" s="809">
        <v>281</v>
      </c>
      <c r="F297" s="809">
        <v>355.59</v>
      </c>
      <c r="G297" s="809">
        <v>415</v>
      </c>
      <c r="H297" s="809">
        <v>527</v>
      </c>
      <c r="I297" s="809">
        <v>566.20899999999995</v>
      </c>
      <c r="J297" s="809">
        <v>601.69600000000003</v>
      </c>
      <c r="K297" s="809">
        <v>651.76134999999999</v>
      </c>
      <c r="L297" s="809">
        <v>665</v>
      </c>
      <c r="M297" s="809">
        <v>686.1</v>
      </c>
      <c r="N297" s="809">
        <v>729</v>
      </c>
      <c r="O297" s="809">
        <v>779.84388999999999</v>
      </c>
      <c r="P297" s="809">
        <v>781.14841000000001</v>
      </c>
      <c r="Q297" s="809">
        <v>832</v>
      </c>
      <c r="R297" s="809">
        <v>910</v>
      </c>
      <c r="S297" s="809">
        <v>987.76228000000003</v>
      </c>
      <c r="T297" s="809">
        <v>944</v>
      </c>
      <c r="U297" s="809">
        <v>1008.782</v>
      </c>
      <c r="V297" s="809">
        <v>1087.2170000000001</v>
      </c>
      <c r="W297" s="809">
        <v>1200.4309000000001</v>
      </c>
      <c r="X297" s="809">
        <v>1012.55397</v>
      </c>
      <c r="Y297" s="809">
        <v>1099.81629</v>
      </c>
      <c r="Z297" s="809">
        <v>1204.0244299999999</v>
      </c>
      <c r="AA297" s="809">
        <v>1360.18416</v>
      </c>
    </row>
    <row r="298" spans="1:27">
      <c r="A298" s="75" t="s">
        <v>1515</v>
      </c>
      <c r="B298" s="807" t="s">
        <v>1114</v>
      </c>
      <c r="C298" s="809">
        <v>154.53399999999999</v>
      </c>
      <c r="D298" s="809">
        <v>131.97200000000001</v>
      </c>
      <c r="E298" s="809">
        <v>262</v>
      </c>
      <c r="F298" s="809">
        <v>341</v>
      </c>
      <c r="G298" s="809">
        <v>397</v>
      </c>
      <c r="H298" s="809">
        <v>469</v>
      </c>
      <c r="I298" s="809">
        <v>519.60494000000006</v>
      </c>
      <c r="J298" s="809">
        <v>561.29999999999995</v>
      </c>
      <c r="K298" s="809">
        <v>623.13699999999994</v>
      </c>
      <c r="L298" s="809">
        <v>609</v>
      </c>
      <c r="M298" s="809">
        <v>659</v>
      </c>
      <c r="N298" s="809">
        <v>679</v>
      </c>
      <c r="O298" s="809">
        <v>728</v>
      </c>
      <c r="P298" s="809">
        <v>752.46513000000004</v>
      </c>
      <c r="Q298" s="809">
        <v>802</v>
      </c>
      <c r="R298" s="809">
        <v>853</v>
      </c>
      <c r="S298" s="809">
        <v>913</v>
      </c>
      <c r="T298" s="809">
        <v>898.45430999999996</v>
      </c>
      <c r="U298" s="809">
        <v>976.12495000000001</v>
      </c>
      <c r="V298" s="809">
        <v>1051</v>
      </c>
      <c r="W298" s="809">
        <v>1126</v>
      </c>
      <c r="X298" s="809">
        <v>1012.55397</v>
      </c>
      <c r="Y298" s="809">
        <v>1099.81629</v>
      </c>
      <c r="Z298" s="809">
        <v>1204.0244299999999</v>
      </c>
      <c r="AA298" s="809">
        <v>1360.18416</v>
      </c>
    </row>
    <row r="299" spans="1:27">
      <c r="A299" s="75" t="s">
        <v>1516</v>
      </c>
      <c r="B299" s="807" t="s">
        <v>1114</v>
      </c>
      <c r="C299" s="802">
        <v>8.7330000000000005</v>
      </c>
      <c r="D299" s="802">
        <v>7.7719300000000002</v>
      </c>
      <c r="E299" s="802">
        <v>6.8728999999999996</v>
      </c>
      <c r="F299" s="802">
        <v>5.9579700000000004</v>
      </c>
      <c r="G299" s="802">
        <v>6.0248499999999998</v>
      </c>
      <c r="H299" s="802">
        <v>18.90419</v>
      </c>
      <c r="I299" s="802">
        <v>17.216889999999999</v>
      </c>
      <c r="J299" s="802">
        <v>14.57808</v>
      </c>
      <c r="K299" s="802">
        <v>10.04791</v>
      </c>
      <c r="L299" s="802">
        <v>15.83911</v>
      </c>
      <c r="M299" s="802">
        <v>8.5786800000000003</v>
      </c>
      <c r="N299" s="802">
        <v>12.656459999999999</v>
      </c>
      <c r="O299" s="802">
        <v>13.46462</v>
      </c>
      <c r="P299" s="802">
        <v>8.6357199999999992</v>
      </c>
      <c r="Q299" s="802">
        <v>7.5903600000000004</v>
      </c>
      <c r="R299" s="802">
        <v>14.598089999999999</v>
      </c>
      <c r="S299" s="802">
        <v>21.520209999999999</v>
      </c>
      <c r="T299" s="802">
        <v>18.761669999999999</v>
      </c>
      <c r="U299" s="802">
        <v>13.3339</v>
      </c>
      <c r="V299" s="802">
        <v>14.790559999999999</v>
      </c>
      <c r="W299" s="802">
        <v>37.215449999999997</v>
      </c>
      <c r="X299" s="802">
        <v>0</v>
      </c>
      <c r="Y299" s="802">
        <v>0</v>
      </c>
      <c r="Z299" s="802">
        <v>0</v>
      </c>
      <c r="AA299" s="802">
        <v>0</v>
      </c>
    </row>
    <row r="300" spans="1:27">
      <c r="A300" s="75" t="s">
        <v>1517</v>
      </c>
      <c r="B300" s="807" t="s">
        <v>1114</v>
      </c>
      <c r="C300" s="807" t="s">
        <v>1585</v>
      </c>
      <c r="D300" s="807" t="s">
        <v>1553</v>
      </c>
      <c r="E300" s="807" t="s">
        <v>1554</v>
      </c>
      <c r="F300" s="807" t="s">
        <v>1595</v>
      </c>
      <c r="G300" s="807" t="s">
        <v>1576</v>
      </c>
      <c r="H300" s="807" t="s">
        <v>1659</v>
      </c>
      <c r="I300" s="807" t="s">
        <v>1544</v>
      </c>
      <c r="J300" s="807" t="s">
        <v>1658</v>
      </c>
      <c r="K300" s="807" t="s">
        <v>1659</v>
      </c>
      <c r="L300" s="807" t="s">
        <v>1575</v>
      </c>
      <c r="M300" s="807" t="s">
        <v>1590</v>
      </c>
      <c r="N300" s="807" t="s">
        <v>1547</v>
      </c>
      <c r="O300" s="807" t="s">
        <v>1548</v>
      </c>
      <c r="P300" s="807" t="s">
        <v>1540</v>
      </c>
      <c r="Q300" s="807" t="s">
        <v>1596</v>
      </c>
      <c r="R300" s="807" t="s">
        <v>1596</v>
      </c>
      <c r="S300" s="807" t="s">
        <v>1606</v>
      </c>
      <c r="T300" s="807" t="s">
        <v>1553</v>
      </c>
      <c r="U300" s="807" t="s">
        <v>1553</v>
      </c>
      <c r="V300" s="807" t="s">
        <v>1553</v>
      </c>
      <c r="W300" s="807" t="s">
        <v>1551</v>
      </c>
      <c r="X300" s="807" t="s">
        <v>1525</v>
      </c>
      <c r="Y300" s="807" t="s">
        <v>1525</v>
      </c>
      <c r="Z300" s="807" t="s">
        <v>1525</v>
      </c>
      <c r="AA300" s="807" t="s">
        <v>1525</v>
      </c>
    </row>
    <row r="301" spans="1:27">
      <c r="A301" s="75" t="s">
        <v>1526</v>
      </c>
      <c r="B301" s="807" t="s">
        <v>1114</v>
      </c>
      <c r="C301" s="807" t="s">
        <v>1527</v>
      </c>
      <c r="D301" s="807" t="s">
        <v>1527</v>
      </c>
      <c r="E301" s="807" t="s">
        <v>1527</v>
      </c>
      <c r="F301" s="807" t="s">
        <v>1527</v>
      </c>
      <c r="G301" s="807" t="s">
        <v>1527</v>
      </c>
      <c r="H301" s="807" t="s">
        <v>1527</v>
      </c>
      <c r="I301" s="807" t="s">
        <v>1527</v>
      </c>
      <c r="J301" s="807" t="s">
        <v>1527</v>
      </c>
      <c r="K301" s="807" t="s">
        <v>1527</v>
      </c>
      <c r="L301" s="807" t="s">
        <v>1527</v>
      </c>
      <c r="M301" s="807" t="s">
        <v>1527</v>
      </c>
      <c r="N301" s="807" t="s">
        <v>1527</v>
      </c>
      <c r="O301" s="807" t="s">
        <v>1527</v>
      </c>
      <c r="P301" s="807" t="s">
        <v>1527</v>
      </c>
      <c r="Q301" s="807" t="s">
        <v>1527</v>
      </c>
      <c r="R301" s="807" t="s">
        <v>1527</v>
      </c>
      <c r="S301" s="807" t="s">
        <v>1527</v>
      </c>
      <c r="T301" s="807" t="s">
        <v>1527</v>
      </c>
      <c r="U301" s="807" t="s">
        <v>1527</v>
      </c>
      <c r="V301" s="807" t="s">
        <v>1527</v>
      </c>
      <c r="W301" s="807" t="s">
        <v>1527</v>
      </c>
      <c r="X301" s="807" t="s">
        <v>1527</v>
      </c>
      <c r="Y301" s="807" t="s">
        <v>1527</v>
      </c>
      <c r="Z301" s="807" t="s">
        <v>1527</v>
      </c>
      <c r="AA301" s="807" t="s">
        <v>1527</v>
      </c>
    </row>
    <row r="302" spans="1:27">
      <c r="A302" s="806" t="s">
        <v>81</v>
      </c>
      <c r="B302" s="808">
        <v>-212</v>
      </c>
      <c r="C302" s="808">
        <v>-305</v>
      </c>
      <c r="D302" s="808">
        <v>-287</v>
      </c>
      <c r="E302" s="808">
        <v>-233</v>
      </c>
      <c r="F302" s="808">
        <v>-161</v>
      </c>
      <c r="G302" s="808">
        <v>-111</v>
      </c>
      <c r="H302" s="808">
        <v>-66</v>
      </c>
      <c r="I302" s="808">
        <v>-20</v>
      </c>
      <c r="J302" s="808">
        <v>29</v>
      </c>
      <c r="K302" s="808">
        <v>35</v>
      </c>
      <c r="L302" s="808">
        <v>62</v>
      </c>
      <c r="M302" s="808">
        <v>64</v>
      </c>
      <c r="N302" s="808">
        <v>90</v>
      </c>
      <c r="O302" s="808">
        <v>97</v>
      </c>
      <c r="P302" s="808">
        <v>106</v>
      </c>
      <c r="Q302" s="808">
        <v>109</v>
      </c>
      <c r="R302" s="808">
        <v>136</v>
      </c>
      <c r="S302" s="809">
        <v>147.38884999999999</v>
      </c>
      <c r="T302" s="809">
        <v>129.29257999999999</v>
      </c>
      <c r="U302" s="809">
        <v>154.36806000000001</v>
      </c>
      <c r="V302" s="809">
        <v>199.87662</v>
      </c>
      <c r="W302" s="809">
        <v>215.79320000000001</v>
      </c>
      <c r="X302" s="809">
        <v>205.84299999999999</v>
      </c>
      <c r="Y302" s="809">
        <v>226.02762999999999</v>
      </c>
      <c r="Z302" s="809">
        <v>277.00954000000002</v>
      </c>
      <c r="AA302" s="809">
        <v>312.42872999999997</v>
      </c>
    </row>
    <row r="303" spans="1:27">
      <c r="A303" s="75" t="s">
        <v>1512</v>
      </c>
      <c r="B303" s="809">
        <v>-229</v>
      </c>
      <c r="C303" s="809">
        <v>-209.33332999999999</v>
      </c>
      <c r="D303" s="809">
        <v>-294</v>
      </c>
      <c r="E303" s="809">
        <v>-253.875</v>
      </c>
      <c r="F303" s="809">
        <v>-202</v>
      </c>
      <c r="G303" s="809">
        <v>-139.16667000000001</v>
      </c>
      <c r="H303" s="809">
        <v>-114.26228</v>
      </c>
      <c r="I303" s="809">
        <v>-62.890659999999997</v>
      </c>
      <c r="J303" s="809">
        <v>8.2774999999999999</v>
      </c>
      <c r="K303" s="809">
        <v>35.479999999999997</v>
      </c>
      <c r="L303" s="809">
        <v>22</v>
      </c>
      <c r="M303" s="809">
        <v>65.25</v>
      </c>
      <c r="N303" s="809">
        <v>69.3</v>
      </c>
      <c r="O303" s="809">
        <v>97.949110000000005</v>
      </c>
      <c r="P303" s="809">
        <v>94.10454</v>
      </c>
      <c r="Q303" s="809">
        <v>108.82584</v>
      </c>
      <c r="R303" s="809">
        <v>120.31948</v>
      </c>
      <c r="S303" s="807" t="s">
        <v>1114</v>
      </c>
      <c r="T303" s="807" t="s">
        <v>1114</v>
      </c>
      <c r="U303" s="807" t="s">
        <v>1114</v>
      </c>
      <c r="V303" s="807" t="s">
        <v>1114</v>
      </c>
      <c r="W303" s="807" t="s">
        <v>1114</v>
      </c>
      <c r="X303" s="807" t="s">
        <v>1114</v>
      </c>
      <c r="Y303" s="807" t="s">
        <v>1114</v>
      </c>
      <c r="Z303" s="807" t="s">
        <v>1114</v>
      </c>
      <c r="AA303" s="807" t="s">
        <v>1114</v>
      </c>
    </row>
    <row r="304" spans="1:27">
      <c r="A304" s="75" t="s">
        <v>1513</v>
      </c>
      <c r="B304" s="809">
        <v>-229</v>
      </c>
      <c r="C304" s="809">
        <v>-206</v>
      </c>
      <c r="D304" s="809">
        <v>-291</v>
      </c>
      <c r="E304" s="809">
        <v>-256.5</v>
      </c>
      <c r="F304" s="809">
        <v>-202</v>
      </c>
      <c r="G304" s="809">
        <v>-137</v>
      </c>
      <c r="H304" s="809">
        <v>-103.5491</v>
      </c>
      <c r="I304" s="809">
        <v>-64</v>
      </c>
      <c r="J304" s="809">
        <v>8.5</v>
      </c>
      <c r="K304" s="809">
        <v>36</v>
      </c>
      <c r="L304" s="809">
        <v>22</v>
      </c>
      <c r="M304" s="809">
        <v>64.5</v>
      </c>
      <c r="N304" s="809">
        <v>70</v>
      </c>
      <c r="O304" s="809">
        <v>98</v>
      </c>
      <c r="P304" s="809">
        <v>94.10454</v>
      </c>
      <c r="Q304" s="809">
        <v>107</v>
      </c>
      <c r="R304" s="809">
        <v>124</v>
      </c>
      <c r="S304" s="809">
        <v>147</v>
      </c>
      <c r="T304" s="809">
        <v>129.29257999999999</v>
      </c>
      <c r="U304" s="809">
        <v>154.36806000000001</v>
      </c>
      <c r="V304" s="809">
        <v>199.87662</v>
      </c>
      <c r="W304" s="809">
        <v>215.79320000000001</v>
      </c>
      <c r="X304" s="809">
        <v>205.84299999999999</v>
      </c>
      <c r="Y304" s="809">
        <v>226.02762999999999</v>
      </c>
      <c r="Z304" s="809">
        <v>277.00954000000002</v>
      </c>
      <c r="AA304" s="809">
        <v>312.42872999999997</v>
      </c>
    </row>
    <row r="305" spans="1:27">
      <c r="A305" s="75" t="s">
        <v>1514</v>
      </c>
      <c r="B305" s="809">
        <v>-229</v>
      </c>
      <c r="C305" s="809">
        <v>-190</v>
      </c>
      <c r="D305" s="809">
        <v>-272</v>
      </c>
      <c r="E305" s="809">
        <v>-206</v>
      </c>
      <c r="F305" s="809">
        <v>-201</v>
      </c>
      <c r="G305" s="809">
        <v>-129</v>
      </c>
      <c r="H305" s="809">
        <v>-87</v>
      </c>
      <c r="I305" s="809">
        <v>-34</v>
      </c>
      <c r="J305" s="809">
        <v>15</v>
      </c>
      <c r="K305" s="809">
        <v>37</v>
      </c>
      <c r="L305" s="809">
        <v>22</v>
      </c>
      <c r="M305" s="809">
        <v>73</v>
      </c>
      <c r="N305" s="809">
        <v>74</v>
      </c>
      <c r="O305" s="809">
        <v>105</v>
      </c>
      <c r="P305" s="809">
        <v>94.10454</v>
      </c>
      <c r="Q305" s="809">
        <v>122</v>
      </c>
      <c r="R305" s="809">
        <v>129</v>
      </c>
      <c r="S305" s="809">
        <v>152</v>
      </c>
      <c r="T305" s="809">
        <v>139</v>
      </c>
      <c r="U305" s="809">
        <v>168</v>
      </c>
      <c r="V305" s="809">
        <v>211</v>
      </c>
      <c r="W305" s="809">
        <v>238.5864</v>
      </c>
      <c r="X305" s="809">
        <v>205.84299999999999</v>
      </c>
      <c r="Y305" s="809">
        <v>226.02762999999999</v>
      </c>
      <c r="Z305" s="809">
        <v>277.00954000000002</v>
      </c>
      <c r="AA305" s="809">
        <v>312.42872999999997</v>
      </c>
    </row>
    <row r="306" spans="1:27">
      <c r="A306" s="75" t="s">
        <v>1515</v>
      </c>
      <c r="B306" s="809">
        <v>-229</v>
      </c>
      <c r="C306" s="809">
        <v>-232</v>
      </c>
      <c r="D306" s="809">
        <v>-319</v>
      </c>
      <c r="E306" s="809">
        <v>-289</v>
      </c>
      <c r="F306" s="809">
        <v>-203</v>
      </c>
      <c r="G306" s="809">
        <v>-151</v>
      </c>
      <c r="H306" s="809">
        <v>-181</v>
      </c>
      <c r="I306" s="809">
        <v>-93.234620000000007</v>
      </c>
      <c r="J306" s="809">
        <v>1.1100000000000001</v>
      </c>
      <c r="K306" s="809">
        <v>32</v>
      </c>
      <c r="L306" s="809">
        <v>22</v>
      </c>
      <c r="M306" s="809">
        <v>59</v>
      </c>
      <c r="N306" s="809">
        <v>63.4</v>
      </c>
      <c r="O306" s="809">
        <v>92</v>
      </c>
      <c r="P306" s="809">
        <v>94.10454</v>
      </c>
      <c r="Q306" s="809">
        <v>103</v>
      </c>
      <c r="R306" s="809">
        <v>109</v>
      </c>
      <c r="S306" s="809">
        <v>142</v>
      </c>
      <c r="T306" s="809">
        <v>119.58517000000001</v>
      </c>
      <c r="U306" s="809">
        <v>140.73612</v>
      </c>
      <c r="V306" s="809">
        <v>188.75325000000001</v>
      </c>
      <c r="W306" s="809">
        <v>193</v>
      </c>
      <c r="X306" s="809">
        <v>205.84299999999999</v>
      </c>
      <c r="Y306" s="809">
        <v>226.02762999999999</v>
      </c>
      <c r="Z306" s="809">
        <v>277.00954000000002</v>
      </c>
      <c r="AA306" s="809">
        <v>312.42872999999997</v>
      </c>
    </row>
    <row r="307" spans="1:27">
      <c r="A307" s="75" t="s">
        <v>1516</v>
      </c>
      <c r="B307" s="802">
        <v>0</v>
      </c>
      <c r="C307" s="802">
        <v>17.307670000000002</v>
      </c>
      <c r="D307" s="802">
        <v>19.304580000000001</v>
      </c>
      <c r="E307" s="802">
        <v>22.26229</v>
      </c>
      <c r="F307" s="802">
        <v>0.8165</v>
      </c>
      <c r="G307" s="802">
        <v>9.5641099999999994</v>
      </c>
      <c r="H307" s="802">
        <v>29.833870000000001</v>
      </c>
      <c r="I307" s="802">
        <v>22.434180000000001</v>
      </c>
      <c r="J307" s="802">
        <v>5.8558500000000002</v>
      </c>
      <c r="K307" s="802">
        <v>1.8443400000000001</v>
      </c>
      <c r="L307" s="802">
        <v>0</v>
      </c>
      <c r="M307" s="802">
        <v>5.0187099999999996</v>
      </c>
      <c r="N307" s="802">
        <v>3.5468299999999999</v>
      </c>
      <c r="O307" s="802">
        <v>3.7256</v>
      </c>
      <c r="P307" s="802">
        <v>0</v>
      </c>
      <c r="Q307" s="802">
        <v>5.6979199999999999</v>
      </c>
      <c r="R307" s="802">
        <v>7.4821799999999996</v>
      </c>
      <c r="S307" s="802">
        <v>3.4325700000000001</v>
      </c>
      <c r="T307" s="802">
        <v>9.7074200000000008</v>
      </c>
      <c r="U307" s="802">
        <v>13.63194</v>
      </c>
      <c r="V307" s="802">
        <v>11.123379999999999</v>
      </c>
      <c r="W307" s="802">
        <v>22.793199999999999</v>
      </c>
      <c r="X307" s="802">
        <v>0</v>
      </c>
      <c r="Y307" s="802">
        <v>0</v>
      </c>
      <c r="Z307" s="802">
        <v>0</v>
      </c>
      <c r="AA307" s="802">
        <v>0</v>
      </c>
    </row>
    <row r="308" spans="1:27">
      <c r="A308" s="75" t="s">
        <v>1517</v>
      </c>
      <c r="B308" s="807" t="s">
        <v>1525</v>
      </c>
      <c r="C308" s="807" t="s">
        <v>1553</v>
      </c>
      <c r="D308" s="807" t="s">
        <v>1553</v>
      </c>
      <c r="E308" s="807" t="s">
        <v>1541</v>
      </c>
      <c r="F308" s="807" t="s">
        <v>1595</v>
      </c>
      <c r="G308" s="807" t="s">
        <v>1574</v>
      </c>
      <c r="H308" s="807" t="s">
        <v>1544</v>
      </c>
      <c r="I308" s="807" t="s">
        <v>1540</v>
      </c>
      <c r="J308" s="807" t="s">
        <v>1661</v>
      </c>
      <c r="K308" s="807" t="s">
        <v>1539</v>
      </c>
      <c r="L308" s="807" t="s">
        <v>1662</v>
      </c>
      <c r="M308" s="807" t="s">
        <v>1583</v>
      </c>
      <c r="N308" s="807" t="s">
        <v>1575</v>
      </c>
      <c r="O308" s="807" t="s">
        <v>1544</v>
      </c>
      <c r="P308" s="807" t="s">
        <v>1663</v>
      </c>
      <c r="Q308" s="807" t="s">
        <v>1603</v>
      </c>
      <c r="R308" s="807" t="s">
        <v>1601</v>
      </c>
      <c r="S308" s="807" t="s">
        <v>1518</v>
      </c>
      <c r="T308" s="807" t="s">
        <v>1551</v>
      </c>
      <c r="U308" s="807" t="s">
        <v>1551</v>
      </c>
      <c r="V308" s="807" t="s">
        <v>1551</v>
      </c>
      <c r="W308" s="807" t="s">
        <v>1551</v>
      </c>
      <c r="X308" s="807" t="s">
        <v>1525</v>
      </c>
      <c r="Y308" s="807" t="s">
        <v>1525</v>
      </c>
      <c r="Z308" s="807" t="s">
        <v>1525</v>
      </c>
      <c r="AA308" s="807" t="s">
        <v>1525</v>
      </c>
    </row>
    <row r="309" spans="1:27">
      <c r="A309" s="75" t="s">
        <v>1664</v>
      </c>
      <c r="B309" s="807" t="s">
        <v>1114</v>
      </c>
      <c r="C309" s="807" t="s">
        <v>1114</v>
      </c>
      <c r="D309" s="807" t="s">
        <v>1114</v>
      </c>
      <c r="E309" s="807" t="s">
        <v>1114</v>
      </c>
      <c r="F309" s="807" t="s">
        <v>1114</v>
      </c>
      <c r="G309" s="807" t="s">
        <v>1114</v>
      </c>
      <c r="H309" s="807" t="s">
        <v>1114</v>
      </c>
      <c r="I309" s="807" t="s">
        <v>1114</v>
      </c>
      <c r="J309" s="812">
        <v>0</v>
      </c>
      <c r="K309" s="812">
        <v>0</v>
      </c>
      <c r="L309" s="807" t="s">
        <v>1114</v>
      </c>
      <c r="M309" s="807" t="s">
        <v>1114</v>
      </c>
      <c r="N309" s="807" t="s">
        <v>1114</v>
      </c>
      <c r="O309" s="807" t="s">
        <v>1114</v>
      </c>
      <c r="P309" s="807" t="s">
        <v>1114</v>
      </c>
      <c r="Q309" s="807" t="s">
        <v>1114</v>
      </c>
      <c r="R309" s="807" t="s">
        <v>1114</v>
      </c>
      <c r="S309" s="807" t="s">
        <v>1114</v>
      </c>
      <c r="T309" s="807" t="s">
        <v>1114</v>
      </c>
      <c r="U309" s="807" t="s">
        <v>1114</v>
      </c>
      <c r="V309" s="807" t="s">
        <v>1114</v>
      </c>
      <c r="W309" s="807" t="s">
        <v>1114</v>
      </c>
      <c r="X309" s="807" t="s">
        <v>1114</v>
      </c>
      <c r="Y309" s="807" t="s">
        <v>1114</v>
      </c>
      <c r="Z309" s="807" t="s">
        <v>1114</v>
      </c>
      <c r="AA309" s="807" t="s">
        <v>1114</v>
      </c>
    </row>
    <row r="310" spans="1:27">
      <c r="A310" s="75" t="s">
        <v>1526</v>
      </c>
      <c r="B310" s="807" t="s">
        <v>1527</v>
      </c>
      <c r="C310" s="807" t="s">
        <v>1527</v>
      </c>
      <c r="D310" s="807" t="s">
        <v>1527</v>
      </c>
      <c r="E310" s="807" t="s">
        <v>1527</v>
      </c>
      <c r="F310" s="807" t="s">
        <v>1527</v>
      </c>
      <c r="G310" s="807" t="s">
        <v>1527</v>
      </c>
      <c r="H310" s="807" t="s">
        <v>1527</v>
      </c>
      <c r="I310" s="807" t="s">
        <v>1527</v>
      </c>
      <c r="J310" s="807" t="s">
        <v>1527</v>
      </c>
      <c r="K310" s="807" t="s">
        <v>1527</v>
      </c>
      <c r="L310" s="807" t="s">
        <v>1527</v>
      </c>
      <c r="M310" s="807" t="s">
        <v>1527</v>
      </c>
      <c r="N310" s="807" t="s">
        <v>1527</v>
      </c>
      <c r="O310" s="807" t="s">
        <v>1527</v>
      </c>
      <c r="P310" s="807" t="s">
        <v>1527</v>
      </c>
      <c r="Q310" s="807" t="s">
        <v>1527</v>
      </c>
      <c r="R310" s="807" t="s">
        <v>1527</v>
      </c>
      <c r="S310" s="807" t="s">
        <v>1527</v>
      </c>
      <c r="T310" s="807" t="s">
        <v>1527</v>
      </c>
      <c r="U310" s="807" t="s">
        <v>1527</v>
      </c>
      <c r="V310" s="807" t="s">
        <v>1527</v>
      </c>
      <c r="W310" s="807" t="s">
        <v>1527</v>
      </c>
      <c r="X310" s="807" t="s">
        <v>1527</v>
      </c>
      <c r="Y310" s="807" t="s">
        <v>1527</v>
      </c>
      <c r="Z310" s="807" t="s">
        <v>1527</v>
      </c>
      <c r="AA310" s="807" t="s">
        <v>1527</v>
      </c>
    </row>
    <row r="311" spans="1:27">
      <c r="A311" s="806" t="s">
        <v>79</v>
      </c>
      <c r="B311" s="808">
        <v>-312</v>
      </c>
      <c r="C311" s="808">
        <v>-557</v>
      </c>
      <c r="D311" s="808">
        <v>-445</v>
      </c>
      <c r="E311" s="808">
        <v>-384</v>
      </c>
      <c r="F311" s="808">
        <v>-290</v>
      </c>
      <c r="G311" s="808">
        <v>-255</v>
      </c>
      <c r="H311" s="808">
        <v>-204</v>
      </c>
      <c r="I311" s="808">
        <v>-176</v>
      </c>
      <c r="J311" s="808">
        <v>-93</v>
      </c>
      <c r="K311" s="808">
        <v>-46</v>
      </c>
      <c r="L311" s="808">
        <v>-75</v>
      </c>
      <c r="M311" s="808">
        <v>-56</v>
      </c>
      <c r="N311" s="808">
        <v>-38</v>
      </c>
      <c r="O311" s="808">
        <v>2</v>
      </c>
      <c r="P311" s="808">
        <v>-21</v>
      </c>
      <c r="Q311" s="808">
        <v>7</v>
      </c>
      <c r="R311" s="808">
        <v>27</v>
      </c>
      <c r="S311" s="809">
        <v>37.190719999999999</v>
      </c>
      <c r="T311" s="807" t="s">
        <v>1114</v>
      </c>
      <c r="U311" s="807" t="s">
        <v>1114</v>
      </c>
      <c r="V311" s="807" t="s">
        <v>1114</v>
      </c>
      <c r="W311" s="807" t="s">
        <v>1114</v>
      </c>
      <c r="X311" s="807" t="s">
        <v>1114</v>
      </c>
      <c r="Y311" s="807" t="s">
        <v>1114</v>
      </c>
      <c r="Z311" s="807" t="s">
        <v>1114</v>
      </c>
      <c r="AA311" s="807" t="s">
        <v>1114</v>
      </c>
    </row>
    <row r="312" spans="1:27">
      <c r="A312" s="75" t="s">
        <v>1512</v>
      </c>
      <c r="B312" s="809">
        <v>-307</v>
      </c>
      <c r="C312" s="809">
        <v>-304.392</v>
      </c>
      <c r="D312" s="809">
        <v>-384.43150000000003</v>
      </c>
      <c r="E312" s="809">
        <v>-385.30032999999997</v>
      </c>
      <c r="F312" s="809">
        <v>-318.02467000000001</v>
      </c>
      <c r="G312" s="809">
        <v>-252.07749999999999</v>
      </c>
      <c r="H312" s="809">
        <v>-172.75980000000001</v>
      </c>
      <c r="I312" s="809">
        <v>-185.18892</v>
      </c>
      <c r="J312" s="809">
        <v>-113.5</v>
      </c>
      <c r="K312" s="809">
        <v>-51.378160000000001</v>
      </c>
      <c r="L312" s="809">
        <v>-73.162700000000001</v>
      </c>
      <c r="M312" s="809">
        <v>-56.157499999999999</v>
      </c>
      <c r="N312" s="809">
        <v>-43.242190000000001</v>
      </c>
      <c r="O312" s="809">
        <v>-1.2664</v>
      </c>
      <c r="P312" s="809">
        <v>-4.9916200000000002</v>
      </c>
      <c r="Q312" s="809">
        <v>4.5</v>
      </c>
      <c r="R312" s="809">
        <v>18.239809999999999</v>
      </c>
      <c r="S312" s="807" t="s">
        <v>1114</v>
      </c>
      <c r="T312" s="807" t="s">
        <v>1114</v>
      </c>
      <c r="U312" s="807" t="s">
        <v>1114</v>
      </c>
      <c r="V312" s="807" t="s">
        <v>1114</v>
      </c>
      <c r="W312" s="807" t="s">
        <v>1114</v>
      </c>
      <c r="X312" s="807" t="s">
        <v>1114</v>
      </c>
      <c r="Y312" s="807" t="s">
        <v>1114</v>
      </c>
      <c r="Z312" s="807" t="s">
        <v>1114</v>
      </c>
      <c r="AA312" s="807" t="s">
        <v>1114</v>
      </c>
    </row>
    <row r="313" spans="1:27">
      <c r="A313" s="75" t="s">
        <v>1513</v>
      </c>
      <c r="B313" s="809">
        <v>-307</v>
      </c>
      <c r="C313" s="809">
        <v>-254</v>
      </c>
      <c r="D313" s="809">
        <v>-384.43150000000003</v>
      </c>
      <c r="E313" s="809">
        <v>-408.90100000000001</v>
      </c>
      <c r="F313" s="809">
        <v>-277.07400000000001</v>
      </c>
      <c r="G313" s="809">
        <v>-242.655</v>
      </c>
      <c r="H313" s="809">
        <v>-169.45050000000001</v>
      </c>
      <c r="I313" s="809">
        <v>-208</v>
      </c>
      <c r="J313" s="809">
        <v>-113.5</v>
      </c>
      <c r="K313" s="809">
        <v>-67</v>
      </c>
      <c r="L313" s="809">
        <v>-84.825400000000002</v>
      </c>
      <c r="M313" s="809">
        <v>-52.896000000000001</v>
      </c>
      <c r="N313" s="809">
        <v>-45.329940000000001</v>
      </c>
      <c r="O313" s="809">
        <v>-3.4678100000000001</v>
      </c>
      <c r="P313" s="809">
        <v>-4.9916200000000002</v>
      </c>
      <c r="Q313" s="809">
        <v>4.5</v>
      </c>
      <c r="R313" s="809">
        <v>18</v>
      </c>
      <c r="S313" s="809">
        <v>41.572150000000001</v>
      </c>
      <c r="T313" s="807" t="s">
        <v>1114</v>
      </c>
      <c r="U313" s="807" t="s">
        <v>1114</v>
      </c>
      <c r="V313" s="807" t="s">
        <v>1114</v>
      </c>
      <c r="W313" s="807" t="s">
        <v>1114</v>
      </c>
      <c r="X313" s="807" t="s">
        <v>1114</v>
      </c>
      <c r="Y313" s="807" t="s">
        <v>1114</v>
      </c>
      <c r="Z313" s="807" t="s">
        <v>1114</v>
      </c>
      <c r="AA313" s="807" t="s">
        <v>1114</v>
      </c>
    </row>
    <row r="314" spans="1:27">
      <c r="A314" s="75" t="s">
        <v>1514</v>
      </c>
      <c r="B314" s="809">
        <v>-307</v>
      </c>
      <c r="C314" s="809">
        <v>-240.17599999999999</v>
      </c>
      <c r="D314" s="809">
        <v>-308.863</v>
      </c>
      <c r="E314" s="809">
        <v>-290</v>
      </c>
      <c r="F314" s="809">
        <v>-250</v>
      </c>
      <c r="G314" s="809">
        <v>-188</v>
      </c>
      <c r="H314" s="809">
        <v>-148.13820000000001</v>
      </c>
      <c r="I314" s="809">
        <v>-105.67</v>
      </c>
      <c r="J314" s="809">
        <v>-104</v>
      </c>
      <c r="K314" s="809">
        <v>38.332999999999998</v>
      </c>
      <c r="L314" s="809">
        <v>-25</v>
      </c>
      <c r="M314" s="809">
        <v>-42</v>
      </c>
      <c r="N314" s="809">
        <v>-31</v>
      </c>
      <c r="O314" s="809">
        <v>14</v>
      </c>
      <c r="P314" s="809">
        <v>20</v>
      </c>
      <c r="Q314" s="809">
        <v>6</v>
      </c>
      <c r="R314" s="809">
        <v>25.719429999999999</v>
      </c>
      <c r="S314" s="809">
        <v>44</v>
      </c>
      <c r="T314" s="807" t="s">
        <v>1114</v>
      </c>
      <c r="U314" s="807" t="s">
        <v>1114</v>
      </c>
      <c r="V314" s="807" t="s">
        <v>1114</v>
      </c>
      <c r="W314" s="807" t="s">
        <v>1114</v>
      </c>
      <c r="X314" s="807" t="s">
        <v>1114</v>
      </c>
      <c r="Y314" s="807" t="s">
        <v>1114</v>
      </c>
      <c r="Z314" s="807" t="s">
        <v>1114</v>
      </c>
      <c r="AA314" s="807" t="s">
        <v>1114</v>
      </c>
    </row>
    <row r="315" spans="1:27">
      <c r="A315" s="75" t="s">
        <v>1515</v>
      </c>
      <c r="B315" s="809">
        <v>-307</v>
      </c>
      <c r="C315" s="809">
        <v>-419</v>
      </c>
      <c r="D315" s="809">
        <v>-460</v>
      </c>
      <c r="E315" s="809">
        <v>-457</v>
      </c>
      <c r="F315" s="809">
        <v>-427</v>
      </c>
      <c r="G315" s="809">
        <v>-335</v>
      </c>
      <c r="H315" s="809">
        <v>-204</v>
      </c>
      <c r="I315" s="809">
        <v>-269</v>
      </c>
      <c r="J315" s="809">
        <v>-123</v>
      </c>
      <c r="K315" s="809">
        <v>-97.22381</v>
      </c>
      <c r="L315" s="809">
        <v>-98</v>
      </c>
      <c r="M315" s="809">
        <v>-75.891480000000001</v>
      </c>
      <c r="N315" s="809">
        <v>-56.881</v>
      </c>
      <c r="O315" s="809">
        <v>-12.13</v>
      </c>
      <c r="P315" s="809">
        <v>-29.983239999999999</v>
      </c>
      <c r="Q315" s="809">
        <v>3</v>
      </c>
      <c r="R315" s="809">
        <v>11</v>
      </c>
      <c r="S315" s="809">
        <v>26</v>
      </c>
      <c r="T315" s="807" t="s">
        <v>1114</v>
      </c>
      <c r="U315" s="807" t="s">
        <v>1114</v>
      </c>
      <c r="V315" s="807" t="s">
        <v>1114</v>
      </c>
      <c r="W315" s="807" t="s">
        <v>1114</v>
      </c>
      <c r="X315" s="807" t="s">
        <v>1114</v>
      </c>
      <c r="Y315" s="807" t="s">
        <v>1114</v>
      </c>
      <c r="Z315" s="807" t="s">
        <v>1114</v>
      </c>
      <c r="AA315" s="807" t="s">
        <v>1114</v>
      </c>
    </row>
    <row r="316" spans="1:27">
      <c r="A316" s="75" t="s">
        <v>1516</v>
      </c>
      <c r="B316" s="802">
        <v>0</v>
      </c>
      <c r="C316" s="802">
        <v>81.236369999999994</v>
      </c>
      <c r="D316" s="802">
        <v>75.5685</v>
      </c>
      <c r="E316" s="802">
        <v>70.190190000000001</v>
      </c>
      <c r="F316" s="802">
        <v>77.845860000000002</v>
      </c>
      <c r="G316" s="802">
        <v>59.698599999999999</v>
      </c>
      <c r="H316" s="802">
        <v>20.027989999999999</v>
      </c>
      <c r="I316" s="802">
        <v>58.879600000000003</v>
      </c>
      <c r="J316" s="802">
        <v>9.5</v>
      </c>
      <c r="K316" s="802">
        <v>47.61788</v>
      </c>
      <c r="L316" s="802">
        <v>28.55752</v>
      </c>
      <c r="M316" s="802">
        <v>11.620509999999999</v>
      </c>
      <c r="N316" s="802">
        <v>10.264670000000001</v>
      </c>
      <c r="O316" s="802">
        <v>9.8199500000000004</v>
      </c>
      <c r="P316" s="802">
        <v>24.991620000000001</v>
      </c>
      <c r="Q316" s="802">
        <v>1.5</v>
      </c>
      <c r="R316" s="802">
        <v>6.0115699999999999</v>
      </c>
      <c r="S316" s="802">
        <v>7.9748700000000001</v>
      </c>
      <c r="T316" s="807" t="s">
        <v>1114</v>
      </c>
      <c r="U316" s="807" t="s">
        <v>1114</v>
      </c>
      <c r="V316" s="807" t="s">
        <v>1114</v>
      </c>
      <c r="W316" s="807" t="s">
        <v>1114</v>
      </c>
      <c r="X316" s="807" t="s">
        <v>1114</v>
      </c>
      <c r="Y316" s="807" t="s">
        <v>1114</v>
      </c>
      <c r="Z316" s="807" t="s">
        <v>1114</v>
      </c>
      <c r="AA316" s="807" t="s">
        <v>1114</v>
      </c>
    </row>
    <row r="317" spans="1:27">
      <c r="A317" s="75" t="s">
        <v>1517</v>
      </c>
      <c r="B317" s="807" t="s">
        <v>1525</v>
      </c>
      <c r="C317" s="807" t="s">
        <v>1553</v>
      </c>
      <c r="D317" s="807" t="s">
        <v>1551</v>
      </c>
      <c r="E317" s="807" t="s">
        <v>1553</v>
      </c>
      <c r="F317" s="807" t="s">
        <v>1553</v>
      </c>
      <c r="G317" s="807" t="s">
        <v>1614</v>
      </c>
      <c r="H317" s="807" t="s">
        <v>1614</v>
      </c>
      <c r="I317" s="807" t="s">
        <v>1539</v>
      </c>
      <c r="J317" s="807" t="s">
        <v>1555</v>
      </c>
      <c r="K317" s="807" t="s">
        <v>1621</v>
      </c>
      <c r="L317" s="807" t="s">
        <v>1543</v>
      </c>
      <c r="M317" s="807" t="s">
        <v>1576</v>
      </c>
      <c r="N317" s="807" t="s">
        <v>1621</v>
      </c>
      <c r="O317" s="807" t="s">
        <v>1535</v>
      </c>
      <c r="P317" s="807" t="s">
        <v>1577</v>
      </c>
      <c r="Q317" s="807" t="s">
        <v>1665</v>
      </c>
      <c r="R317" s="807" t="s">
        <v>1581</v>
      </c>
      <c r="S317" s="807" t="s">
        <v>1619</v>
      </c>
      <c r="T317" s="807" t="s">
        <v>1114</v>
      </c>
      <c r="U317" s="807" t="s">
        <v>1114</v>
      </c>
      <c r="V317" s="807" t="s">
        <v>1114</v>
      </c>
      <c r="W317" s="807" t="s">
        <v>1114</v>
      </c>
      <c r="X317" s="807" t="s">
        <v>1114</v>
      </c>
      <c r="Y317" s="807" t="s">
        <v>1114</v>
      </c>
      <c r="Z317" s="807" t="s">
        <v>1114</v>
      </c>
      <c r="AA317" s="807" t="s">
        <v>1114</v>
      </c>
    </row>
    <row r="318" spans="1:27">
      <c r="A318" s="75" t="s">
        <v>1526</v>
      </c>
      <c r="B318" s="807" t="s">
        <v>1527</v>
      </c>
      <c r="C318" s="807" t="s">
        <v>1527</v>
      </c>
      <c r="D318" s="807" t="s">
        <v>1527</v>
      </c>
      <c r="E318" s="807" t="s">
        <v>1527</v>
      </c>
      <c r="F318" s="807" t="s">
        <v>1527</v>
      </c>
      <c r="G318" s="807" t="s">
        <v>1527</v>
      </c>
      <c r="H318" s="807" t="s">
        <v>1527</v>
      </c>
      <c r="I318" s="807" t="s">
        <v>1527</v>
      </c>
      <c r="J318" s="807" t="s">
        <v>1527</v>
      </c>
      <c r="K318" s="807" t="s">
        <v>1527</v>
      </c>
      <c r="L318" s="807" t="s">
        <v>1527</v>
      </c>
      <c r="M318" s="807" t="s">
        <v>1527</v>
      </c>
      <c r="N318" s="807" t="s">
        <v>1527</v>
      </c>
      <c r="O318" s="807" t="s">
        <v>1527</v>
      </c>
      <c r="P318" s="807" t="s">
        <v>1527</v>
      </c>
      <c r="Q318" s="807" t="s">
        <v>1527</v>
      </c>
      <c r="R318" s="807" t="s">
        <v>1527</v>
      </c>
      <c r="S318" s="807" t="s">
        <v>1527</v>
      </c>
      <c r="T318" s="807" t="s">
        <v>1114</v>
      </c>
      <c r="U318" s="807" t="s">
        <v>1114</v>
      </c>
      <c r="V318" s="807" t="s">
        <v>1114</v>
      </c>
      <c r="W318" s="807" t="s">
        <v>1114</v>
      </c>
      <c r="X318" s="807" t="s">
        <v>1114</v>
      </c>
      <c r="Y318" s="807" t="s">
        <v>1114</v>
      </c>
      <c r="Z318" s="807" t="s">
        <v>1114</v>
      </c>
      <c r="AA318" s="807" t="s">
        <v>1114</v>
      </c>
    </row>
    <row r="319" spans="1:27">
      <c r="A319" s="806" t="s">
        <v>1094</v>
      </c>
      <c r="B319" s="807" t="s">
        <v>1114</v>
      </c>
      <c r="C319" s="809">
        <v>-393</v>
      </c>
      <c r="D319" s="808">
        <v>-27</v>
      </c>
      <c r="E319" s="808">
        <v>-18</v>
      </c>
      <c r="F319" s="808">
        <v>-7</v>
      </c>
      <c r="G319" s="807" t="s">
        <v>1114</v>
      </c>
      <c r="H319" s="808">
        <v>-34</v>
      </c>
      <c r="I319" s="808">
        <v>25</v>
      </c>
      <c r="J319" s="809">
        <v>-34</v>
      </c>
      <c r="K319" s="808">
        <v>54</v>
      </c>
      <c r="L319" s="808">
        <v>-52</v>
      </c>
      <c r="M319" s="808">
        <v>5</v>
      </c>
      <c r="N319" s="808">
        <v>-28</v>
      </c>
      <c r="O319" s="808">
        <v>-51</v>
      </c>
      <c r="P319" s="808">
        <v>-5</v>
      </c>
      <c r="Q319" s="808">
        <v>-11</v>
      </c>
      <c r="R319" s="808">
        <v>-27</v>
      </c>
      <c r="S319" s="809">
        <v>-18</v>
      </c>
      <c r="T319" s="807" t="s">
        <v>1114</v>
      </c>
      <c r="U319" s="807" t="s">
        <v>1114</v>
      </c>
      <c r="V319" s="807" t="s">
        <v>1114</v>
      </c>
      <c r="W319" s="807" t="s">
        <v>1114</v>
      </c>
      <c r="X319" s="807" t="s">
        <v>1114</v>
      </c>
      <c r="Y319" s="807" t="s">
        <v>1114</v>
      </c>
      <c r="Z319" s="807" t="s">
        <v>1114</v>
      </c>
      <c r="AA319" s="807" t="s">
        <v>1114</v>
      </c>
    </row>
    <row r="320" spans="1:27">
      <c r="A320" s="75" t="s">
        <v>1512</v>
      </c>
      <c r="B320" s="807" t="s">
        <v>1114</v>
      </c>
      <c r="C320" s="807" t="s">
        <v>1114</v>
      </c>
      <c r="D320" s="809">
        <v>-29</v>
      </c>
      <c r="E320" s="809">
        <v>-17</v>
      </c>
      <c r="F320" s="809">
        <v>-17</v>
      </c>
      <c r="G320" s="807" t="s">
        <v>1114</v>
      </c>
      <c r="H320" s="809">
        <v>-45</v>
      </c>
      <c r="I320" s="809">
        <v>-34</v>
      </c>
      <c r="J320" s="807" t="s">
        <v>1114</v>
      </c>
      <c r="K320" s="809">
        <v>-18</v>
      </c>
      <c r="L320" s="809">
        <v>-18</v>
      </c>
      <c r="M320" s="809">
        <v>-8</v>
      </c>
      <c r="N320" s="809">
        <v>-15</v>
      </c>
      <c r="O320" s="809">
        <v>-16</v>
      </c>
      <c r="P320" s="809">
        <v>-18</v>
      </c>
      <c r="Q320" s="809">
        <v>-19</v>
      </c>
      <c r="R320" s="809">
        <v>-19</v>
      </c>
      <c r="S320" s="807" t="s">
        <v>1114</v>
      </c>
      <c r="T320" s="807" t="s">
        <v>1114</v>
      </c>
      <c r="U320" s="807" t="s">
        <v>1114</v>
      </c>
      <c r="V320" s="807" t="s">
        <v>1114</v>
      </c>
      <c r="W320" s="807" t="s">
        <v>1114</v>
      </c>
      <c r="X320" s="807" t="s">
        <v>1114</v>
      </c>
      <c r="Y320" s="807" t="s">
        <v>1114</v>
      </c>
      <c r="Z320" s="807" t="s">
        <v>1114</v>
      </c>
      <c r="AA320" s="807" t="s">
        <v>1114</v>
      </c>
    </row>
    <row r="321" spans="1:27">
      <c r="A321" s="75" t="s">
        <v>1513</v>
      </c>
      <c r="B321" s="807" t="s">
        <v>1114</v>
      </c>
      <c r="C321" s="809">
        <v>-393</v>
      </c>
      <c r="D321" s="809">
        <v>-29</v>
      </c>
      <c r="E321" s="809">
        <v>-17</v>
      </c>
      <c r="F321" s="809">
        <v>-17</v>
      </c>
      <c r="G321" s="807" t="s">
        <v>1114</v>
      </c>
      <c r="H321" s="809">
        <v>-45</v>
      </c>
      <c r="I321" s="809">
        <v>-34</v>
      </c>
      <c r="J321" s="809">
        <v>-34</v>
      </c>
      <c r="K321" s="809">
        <v>-18</v>
      </c>
      <c r="L321" s="809">
        <v>-18</v>
      </c>
      <c r="M321" s="809">
        <v>-8</v>
      </c>
      <c r="N321" s="809">
        <v>-15</v>
      </c>
      <c r="O321" s="809">
        <v>-16</v>
      </c>
      <c r="P321" s="809">
        <v>-18</v>
      </c>
      <c r="Q321" s="809">
        <v>-19</v>
      </c>
      <c r="R321" s="809">
        <v>-19</v>
      </c>
      <c r="S321" s="809">
        <v>-18</v>
      </c>
      <c r="T321" s="807" t="s">
        <v>1114</v>
      </c>
      <c r="U321" s="807" t="s">
        <v>1114</v>
      </c>
      <c r="V321" s="807" t="s">
        <v>1114</v>
      </c>
      <c r="W321" s="807" t="s">
        <v>1114</v>
      </c>
      <c r="X321" s="807" t="s">
        <v>1114</v>
      </c>
      <c r="Y321" s="807" t="s">
        <v>1114</v>
      </c>
      <c r="Z321" s="807" t="s">
        <v>1114</v>
      </c>
      <c r="AA321" s="807" t="s">
        <v>1114</v>
      </c>
    </row>
    <row r="322" spans="1:27">
      <c r="A322" s="75" t="s">
        <v>1514</v>
      </c>
      <c r="B322" s="807" t="s">
        <v>1114</v>
      </c>
      <c r="C322" s="809">
        <v>-470</v>
      </c>
      <c r="D322" s="809">
        <v>-29</v>
      </c>
      <c r="E322" s="809">
        <v>-17</v>
      </c>
      <c r="F322" s="809">
        <v>-17</v>
      </c>
      <c r="G322" s="807" t="s">
        <v>1114</v>
      </c>
      <c r="H322" s="809">
        <v>-45</v>
      </c>
      <c r="I322" s="809">
        <v>-34</v>
      </c>
      <c r="J322" s="809">
        <v>-34</v>
      </c>
      <c r="K322" s="809">
        <v>-18</v>
      </c>
      <c r="L322" s="809">
        <v>-18</v>
      </c>
      <c r="M322" s="809">
        <v>-8</v>
      </c>
      <c r="N322" s="809">
        <v>-15</v>
      </c>
      <c r="O322" s="809">
        <v>-16</v>
      </c>
      <c r="P322" s="809">
        <v>-18</v>
      </c>
      <c r="Q322" s="809">
        <v>-20</v>
      </c>
      <c r="R322" s="809">
        <v>-20</v>
      </c>
      <c r="S322" s="809">
        <v>-18</v>
      </c>
      <c r="T322" s="807" t="s">
        <v>1114</v>
      </c>
      <c r="U322" s="807" t="s">
        <v>1114</v>
      </c>
      <c r="V322" s="807" t="s">
        <v>1114</v>
      </c>
      <c r="W322" s="807" t="s">
        <v>1114</v>
      </c>
      <c r="X322" s="807" t="s">
        <v>1114</v>
      </c>
      <c r="Y322" s="807" t="s">
        <v>1114</v>
      </c>
      <c r="Z322" s="807" t="s">
        <v>1114</v>
      </c>
      <c r="AA322" s="807" t="s">
        <v>1114</v>
      </c>
    </row>
    <row r="323" spans="1:27">
      <c r="A323" s="75" t="s">
        <v>1515</v>
      </c>
      <c r="B323" s="807" t="s">
        <v>1114</v>
      </c>
      <c r="C323" s="809">
        <v>-316</v>
      </c>
      <c r="D323" s="809">
        <v>-29</v>
      </c>
      <c r="E323" s="809">
        <v>-17</v>
      </c>
      <c r="F323" s="809">
        <v>-17</v>
      </c>
      <c r="G323" s="807" t="s">
        <v>1114</v>
      </c>
      <c r="H323" s="809">
        <v>-45</v>
      </c>
      <c r="I323" s="809">
        <v>-34</v>
      </c>
      <c r="J323" s="809">
        <v>-34</v>
      </c>
      <c r="K323" s="809">
        <v>-18</v>
      </c>
      <c r="L323" s="809">
        <v>-18</v>
      </c>
      <c r="M323" s="809">
        <v>-8</v>
      </c>
      <c r="N323" s="809">
        <v>-15</v>
      </c>
      <c r="O323" s="809">
        <v>-16</v>
      </c>
      <c r="P323" s="809">
        <v>-18</v>
      </c>
      <c r="Q323" s="809">
        <v>-18</v>
      </c>
      <c r="R323" s="809">
        <v>-18</v>
      </c>
      <c r="S323" s="809">
        <v>-18</v>
      </c>
      <c r="T323" s="807" t="s">
        <v>1114</v>
      </c>
      <c r="U323" s="807" t="s">
        <v>1114</v>
      </c>
      <c r="V323" s="807" t="s">
        <v>1114</v>
      </c>
      <c r="W323" s="807" t="s">
        <v>1114</v>
      </c>
      <c r="X323" s="807" t="s">
        <v>1114</v>
      </c>
      <c r="Y323" s="807" t="s">
        <v>1114</v>
      </c>
      <c r="Z323" s="807" t="s">
        <v>1114</v>
      </c>
      <c r="AA323" s="807" t="s">
        <v>1114</v>
      </c>
    </row>
    <row r="324" spans="1:27">
      <c r="A324" s="75" t="s">
        <v>1516</v>
      </c>
      <c r="B324" s="807" t="s">
        <v>1114</v>
      </c>
      <c r="C324" s="802">
        <v>77</v>
      </c>
      <c r="D324" s="802">
        <v>0</v>
      </c>
      <c r="E324" s="802">
        <v>0</v>
      </c>
      <c r="F324" s="802">
        <v>0</v>
      </c>
      <c r="G324" s="807" t="s">
        <v>1114</v>
      </c>
      <c r="H324" s="802">
        <v>0</v>
      </c>
      <c r="I324" s="802">
        <v>0</v>
      </c>
      <c r="J324" s="802">
        <v>0</v>
      </c>
      <c r="K324" s="802">
        <v>0</v>
      </c>
      <c r="L324" s="802">
        <v>0</v>
      </c>
      <c r="M324" s="802">
        <v>0</v>
      </c>
      <c r="N324" s="802">
        <v>0</v>
      </c>
      <c r="O324" s="802">
        <v>0</v>
      </c>
      <c r="P324" s="802">
        <v>0</v>
      </c>
      <c r="Q324" s="802">
        <v>1</v>
      </c>
      <c r="R324" s="802">
        <v>1</v>
      </c>
      <c r="S324" s="802">
        <v>0</v>
      </c>
      <c r="T324" s="807" t="s">
        <v>1114</v>
      </c>
      <c r="U324" s="807" t="s">
        <v>1114</v>
      </c>
      <c r="V324" s="807" t="s">
        <v>1114</v>
      </c>
      <c r="W324" s="807" t="s">
        <v>1114</v>
      </c>
      <c r="X324" s="807" t="s">
        <v>1114</v>
      </c>
      <c r="Y324" s="807" t="s">
        <v>1114</v>
      </c>
      <c r="Z324" s="807" t="s">
        <v>1114</v>
      </c>
      <c r="AA324" s="807" t="s">
        <v>1114</v>
      </c>
    </row>
    <row r="325" spans="1:27">
      <c r="A325" s="75" t="s">
        <v>1517</v>
      </c>
      <c r="B325" s="807" t="s">
        <v>1114</v>
      </c>
      <c r="C325" s="807" t="s">
        <v>1551</v>
      </c>
      <c r="D325" s="807" t="s">
        <v>1525</v>
      </c>
      <c r="E325" s="807" t="s">
        <v>1525</v>
      </c>
      <c r="F325" s="807" t="s">
        <v>1525</v>
      </c>
      <c r="G325" s="807" t="s">
        <v>1114</v>
      </c>
      <c r="H325" s="807" t="s">
        <v>1627</v>
      </c>
      <c r="I325" s="807" t="s">
        <v>1525</v>
      </c>
      <c r="J325" s="807" t="s">
        <v>1525</v>
      </c>
      <c r="K325" s="807" t="s">
        <v>1525</v>
      </c>
      <c r="L325" s="807" t="s">
        <v>1525</v>
      </c>
      <c r="M325" s="807" t="s">
        <v>1627</v>
      </c>
      <c r="N325" s="807" t="s">
        <v>1525</v>
      </c>
      <c r="O325" s="807" t="s">
        <v>1525</v>
      </c>
      <c r="P325" s="807" t="s">
        <v>1525</v>
      </c>
      <c r="Q325" s="807" t="s">
        <v>1551</v>
      </c>
      <c r="R325" s="807" t="s">
        <v>1551</v>
      </c>
      <c r="S325" s="807" t="s">
        <v>1525</v>
      </c>
      <c r="T325" s="807" t="s">
        <v>1114</v>
      </c>
      <c r="U325" s="807" t="s">
        <v>1114</v>
      </c>
      <c r="V325" s="807" t="s">
        <v>1114</v>
      </c>
      <c r="W325" s="807" t="s">
        <v>1114</v>
      </c>
      <c r="X325" s="807" t="s">
        <v>1114</v>
      </c>
      <c r="Y325" s="807" t="s">
        <v>1114</v>
      </c>
      <c r="Z325" s="807" t="s">
        <v>1114</v>
      </c>
      <c r="AA325" s="807" t="s">
        <v>1114</v>
      </c>
    </row>
    <row r="326" spans="1:27">
      <c r="A326" s="75" t="s">
        <v>1526</v>
      </c>
      <c r="B326" s="807" t="s">
        <v>1114</v>
      </c>
      <c r="C326" s="807" t="s">
        <v>1527</v>
      </c>
      <c r="D326" s="807" t="s">
        <v>1527</v>
      </c>
      <c r="E326" s="807" t="s">
        <v>1527</v>
      </c>
      <c r="F326" s="807" t="s">
        <v>1527</v>
      </c>
      <c r="G326" s="807" t="s">
        <v>1114</v>
      </c>
      <c r="H326" s="807" t="s">
        <v>1527</v>
      </c>
      <c r="I326" s="807" t="s">
        <v>1527</v>
      </c>
      <c r="J326" s="807" t="s">
        <v>1527</v>
      </c>
      <c r="K326" s="807" t="s">
        <v>1527</v>
      </c>
      <c r="L326" s="807" t="s">
        <v>1527</v>
      </c>
      <c r="M326" s="807" t="s">
        <v>1527</v>
      </c>
      <c r="N326" s="807" t="s">
        <v>1527</v>
      </c>
      <c r="O326" s="807" t="s">
        <v>1527</v>
      </c>
      <c r="P326" s="807" t="s">
        <v>1527</v>
      </c>
      <c r="Q326" s="807" t="s">
        <v>1527</v>
      </c>
      <c r="R326" s="807" t="s">
        <v>1527</v>
      </c>
      <c r="S326" s="807" t="s">
        <v>1527</v>
      </c>
      <c r="T326" s="807" t="s">
        <v>1114</v>
      </c>
      <c r="U326" s="807" t="s">
        <v>1114</v>
      </c>
      <c r="V326" s="807" t="s">
        <v>1114</v>
      </c>
      <c r="W326" s="807" t="s">
        <v>1114</v>
      </c>
      <c r="X326" s="807" t="s">
        <v>1114</v>
      </c>
      <c r="Y326" s="807" t="s">
        <v>1114</v>
      </c>
      <c r="Z326" s="807" t="s">
        <v>1114</v>
      </c>
      <c r="AA326" s="807" t="s">
        <v>1114</v>
      </c>
    </row>
    <row r="327" spans="1:27">
      <c r="A327" s="806" t="s">
        <v>1579</v>
      </c>
      <c r="B327" s="808">
        <v>-988</v>
      </c>
      <c r="C327" s="808">
        <v>-856</v>
      </c>
      <c r="D327" s="808">
        <v>-470</v>
      </c>
      <c r="E327" s="808">
        <v>-399</v>
      </c>
      <c r="F327" s="808">
        <v>-388</v>
      </c>
      <c r="G327" s="808">
        <v>-240</v>
      </c>
      <c r="H327" s="808">
        <v>-202</v>
      </c>
      <c r="I327" s="808">
        <v>-97</v>
      </c>
      <c r="J327" s="808">
        <v>-59</v>
      </c>
      <c r="K327" s="808">
        <v>-8</v>
      </c>
      <c r="L327" s="808">
        <v>-82</v>
      </c>
      <c r="M327" s="808">
        <v>-36</v>
      </c>
      <c r="N327" s="808">
        <v>53</v>
      </c>
      <c r="O327" s="808">
        <v>62</v>
      </c>
      <c r="P327" s="808">
        <v>32</v>
      </c>
      <c r="Q327" s="808">
        <v>52</v>
      </c>
      <c r="R327" s="808">
        <v>46</v>
      </c>
      <c r="S327" s="809">
        <v>84</v>
      </c>
      <c r="T327" s="807" t="s">
        <v>1114</v>
      </c>
      <c r="U327" s="807" t="s">
        <v>1114</v>
      </c>
      <c r="V327" s="807" t="s">
        <v>1114</v>
      </c>
      <c r="W327" s="807" t="s">
        <v>1114</v>
      </c>
      <c r="X327" s="807" t="s">
        <v>1114</v>
      </c>
      <c r="Y327" s="807" t="s">
        <v>1114</v>
      </c>
      <c r="Z327" s="807" t="s">
        <v>1114</v>
      </c>
      <c r="AA327" s="807" t="s">
        <v>1114</v>
      </c>
    </row>
    <row r="328" spans="1:27">
      <c r="A328" s="75" t="s">
        <v>1512</v>
      </c>
      <c r="B328" s="809">
        <v>-707</v>
      </c>
      <c r="C328" s="809">
        <v>-738</v>
      </c>
      <c r="D328" s="809">
        <v>-492</v>
      </c>
      <c r="E328" s="809">
        <v>-428</v>
      </c>
      <c r="F328" s="809">
        <v>-398</v>
      </c>
      <c r="G328" s="809">
        <v>-284</v>
      </c>
      <c r="H328" s="809">
        <v>-204.66200000000001</v>
      </c>
      <c r="I328" s="809">
        <v>-229.48667</v>
      </c>
      <c r="J328" s="807" t="s">
        <v>1114</v>
      </c>
      <c r="K328" s="809">
        <v>9.4414999999999996</v>
      </c>
      <c r="L328" s="809">
        <v>-65</v>
      </c>
      <c r="M328" s="809">
        <v>-56.5</v>
      </c>
      <c r="N328" s="809">
        <v>-45</v>
      </c>
      <c r="O328" s="809">
        <v>75</v>
      </c>
      <c r="P328" s="809">
        <v>82.212999999999994</v>
      </c>
      <c r="Q328" s="809">
        <v>93.813999999999993</v>
      </c>
      <c r="R328" s="809">
        <v>56</v>
      </c>
      <c r="S328" s="807" t="s">
        <v>1114</v>
      </c>
      <c r="T328" s="807" t="s">
        <v>1114</v>
      </c>
      <c r="U328" s="807" t="s">
        <v>1114</v>
      </c>
      <c r="V328" s="807" t="s">
        <v>1114</v>
      </c>
      <c r="W328" s="807" t="s">
        <v>1114</v>
      </c>
      <c r="X328" s="807" t="s">
        <v>1114</v>
      </c>
      <c r="Y328" s="807" t="s">
        <v>1114</v>
      </c>
      <c r="Z328" s="807" t="s">
        <v>1114</v>
      </c>
      <c r="AA328" s="807" t="s">
        <v>1114</v>
      </c>
    </row>
    <row r="329" spans="1:27">
      <c r="A329" s="75" t="s">
        <v>1513</v>
      </c>
      <c r="B329" s="809">
        <v>-707</v>
      </c>
      <c r="C329" s="809">
        <v>-738</v>
      </c>
      <c r="D329" s="809">
        <v>-492</v>
      </c>
      <c r="E329" s="809">
        <v>-428</v>
      </c>
      <c r="F329" s="809">
        <v>-398</v>
      </c>
      <c r="G329" s="809">
        <v>-284</v>
      </c>
      <c r="H329" s="809">
        <v>-204.66200000000001</v>
      </c>
      <c r="I329" s="809">
        <v>-246</v>
      </c>
      <c r="J329" s="807" t="s">
        <v>1114</v>
      </c>
      <c r="K329" s="809">
        <v>9.4414999999999996</v>
      </c>
      <c r="L329" s="809">
        <v>-65</v>
      </c>
      <c r="M329" s="809">
        <v>-56.5</v>
      </c>
      <c r="N329" s="809">
        <v>-45</v>
      </c>
      <c r="O329" s="809">
        <v>75</v>
      </c>
      <c r="P329" s="809">
        <v>82.212999999999994</v>
      </c>
      <c r="Q329" s="809">
        <v>93.813999999999993</v>
      </c>
      <c r="R329" s="809">
        <v>56</v>
      </c>
      <c r="S329" s="809">
        <v>84</v>
      </c>
      <c r="T329" s="807" t="s">
        <v>1114</v>
      </c>
      <c r="U329" s="807" t="s">
        <v>1114</v>
      </c>
      <c r="V329" s="807" t="s">
        <v>1114</v>
      </c>
      <c r="W329" s="807" t="s">
        <v>1114</v>
      </c>
      <c r="X329" s="807" t="s">
        <v>1114</v>
      </c>
      <c r="Y329" s="807" t="s">
        <v>1114</v>
      </c>
      <c r="Z329" s="807" t="s">
        <v>1114</v>
      </c>
      <c r="AA329" s="807" t="s">
        <v>1114</v>
      </c>
    </row>
    <row r="330" spans="1:27">
      <c r="A330" s="75" t="s">
        <v>1514</v>
      </c>
      <c r="B330" s="809">
        <v>-707</v>
      </c>
      <c r="C330" s="809">
        <v>-738</v>
      </c>
      <c r="D330" s="809">
        <v>-492</v>
      </c>
      <c r="E330" s="809">
        <v>-428</v>
      </c>
      <c r="F330" s="809">
        <v>-398</v>
      </c>
      <c r="G330" s="809">
        <v>-284</v>
      </c>
      <c r="H330" s="809">
        <v>-159.32400000000001</v>
      </c>
      <c r="I330" s="809">
        <v>-143.46</v>
      </c>
      <c r="J330" s="807" t="s">
        <v>1114</v>
      </c>
      <c r="K330" s="809">
        <v>46.883000000000003</v>
      </c>
      <c r="L330" s="809">
        <v>-65</v>
      </c>
      <c r="M330" s="809">
        <v>-40</v>
      </c>
      <c r="N330" s="809">
        <v>-37</v>
      </c>
      <c r="O330" s="809">
        <v>75</v>
      </c>
      <c r="P330" s="809">
        <v>82.212999999999994</v>
      </c>
      <c r="Q330" s="809">
        <v>93.813999999999993</v>
      </c>
      <c r="R330" s="809">
        <v>56</v>
      </c>
      <c r="S330" s="809">
        <v>84</v>
      </c>
      <c r="T330" s="807" t="s">
        <v>1114</v>
      </c>
      <c r="U330" s="807" t="s">
        <v>1114</v>
      </c>
      <c r="V330" s="807" t="s">
        <v>1114</v>
      </c>
      <c r="W330" s="807" t="s">
        <v>1114</v>
      </c>
      <c r="X330" s="807" t="s">
        <v>1114</v>
      </c>
      <c r="Y330" s="807" t="s">
        <v>1114</v>
      </c>
      <c r="Z330" s="807" t="s">
        <v>1114</v>
      </c>
      <c r="AA330" s="807" t="s">
        <v>1114</v>
      </c>
    </row>
    <row r="331" spans="1:27">
      <c r="A331" s="75" t="s">
        <v>1515</v>
      </c>
      <c r="B331" s="809">
        <v>-707</v>
      </c>
      <c r="C331" s="809">
        <v>-738</v>
      </c>
      <c r="D331" s="809">
        <v>-492</v>
      </c>
      <c r="E331" s="809">
        <v>-428</v>
      </c>
      <c r="F331" s="809">
        <v>-398</v>
      </c>
      <c r="G331" s="809">
        <v>-284</v>
      </c>
      <c r="H331" s="809">
        <v>-250</v>
      </c>
      <c r="I331" s="809">
        <v>-299</v>
      </c>
      <c r="J331" s="807" t="s">
        <v>1114</v>
      </c>
      <c r="K331" s="809">
        <v>-28</v>
      </c>
      <c r="L331" s="809">
        <v>-65</v>
      </c>
      <c r="M331" s="809">
        <v>-73</v>
      </c>
      <c r="N331" s="809">
        <v>-53</v>
      </c>
      <c r="O331" s="809">
        <v>75</v>
      </c>
      <c r="P331" s="809">
        <v>82.212999999999994</v>
      </c>
      <c r="Q331" s="809">
        <v>93.813999999999993</v>
      </c>
      <c r="R331" s="809">
        <v>56</v>
      </c>
      <c r="S331" s="809">
        <v>84</v>
      </c>
      <c r="T331" s="807" t="s">
        <v>1114</v>
      </c>
      <c r="U331" s="807" t="s">
        <v>1114</v>
      </c>
      <c r="V331" s="807" t="s">
        <v>1114</v>
      </c>
      <c r="W331" s="807" t="s">
        <v>1114</v>
      </c>
      <c r="X331" s="807" t="s">
        <v>1114</v>
      </c>
      <c r="Y331" s="807" t="s">
        <v>1114</v>
      </c>
      <c r="Z331" s="807" t="s">
        <v>1114</v>
      </c>
      <c r="AA331" s="807" t="s">
        <v>1114</v>
      </c>
    </row>
    <row r="332" spans="1:27">
      <c r="A332" s="75" t="s">
        <v>1516</v>
      </c>
      <c r="B332" s="802">
        <v>0</v>
      </c>
      <c r="C332" s="802">
        <v>0</v>
      </c>
      <c r="D332" s="802">
        <v>0</v>
      </c>
      <c r="E332" s="802">
        <v>0</v>
      </c>
      <c r="F332" s="802">
        <v>0</v>
      </c>
      <c r="G332" s="802">
        <v>0</v>
      </c>
      <c r="H332" s="802">
        <v>45.338000000000001</v>
      </c>
      <c r="I332" s="802">
        <v>64.563609999999997</v>
      </c>
      <c r="J332" s="807" t="s">
        <v>1114</v>
      </c>
      <c r="K332" s="802">
        <v>37.441499999999998</v>
      </c>
      <c r="L332" s="802">
        <v>0</v>
      </c>
      <c r="M332" s="802">
        <v>16.5</v>
      </c>
      <c r="N332" s="802">
        <v>8</v>
      </c>
      <c r="O332" s="802">
        <v>0</v>
      </c>
      <c r="P332" s="802">
        <v>0</v>
      </c>
      <c r="Q332" s="802">
        <v>0</v>
      </c>
      <c r="R332" s="802">
        <v>0</v>
      </c>
      <c r="S332" s="802">
        <v>0</v>
      </c>
      <c r="T332" s="807" t="s">
        <v>1114</v>
      </c>
      <c r="U332" s="807" t="s">
        <v>1114</v>
      </c>
      <c r="V332" s="807" t="s">
        <v>1114</v>
      </c>
      <c r="W332" s="807" t="s">
        <v>1114</v>
      </c>
      <c r="X332" s="807" t="s">
        <v>1114</v>
      </c>
      <c r="Y332" s="807" t="s">
        <v>1114</v>
      </c>
      <c r="Z332" s="807" t="s">
        <v>1114</v>
      </c>
      <c r="AA332" s="807" t="s">
        <v>1114</v>
      </c>
    </row>
    <row r="333" spans="1:27">
      <c r="A333" s="75" t="s">
        <v>1517</v>
      </c>
      <c r="B333" s="807" t="s">
        <v>1525</v>
      </c>
      <c r="C333" s="807" t="s">
        <v>1525</v>
      </c>
      <c r="D333" s="807" t="s">
        <v>1525</v>
      </c>
      <c r="E333" s="807" t="s">
        <v>1525</v>
      </c>
      <c r="F333" s="807" t="s">
        <v>1525</v>
      </c>
      <c r="G333" s="807" t="s">
        <v>1525</v>
      </c>
      <c r="H333" s="807" t="s">
        <v>1551</v>
      </c>
      <c r="I333" s="807" t="s">
        <v>1553</v>
      </c>
      <c r="J333" s="807" t="s">
        <v>1114</v>
      </c>
      <c r="K333" s="807" t="s">
        <v>1551</v>
      </c>
      <c r="L333" s="807" t="s">
        <v>1660</v>
      </c>
      <c r="M333" s="807" t="s">
        <v>1585</v>
      </c>
      <c r="N333" s="807" t="s">
        <v>1585</v>
      </c>
      <c r="O333" s="807" t="s">
        <v>1627</v>
      </c>
      <c r="P333" s="807" t="s">
        <v>1627</v>
      </c>
      <c r="Q333" s="807" t="s">
        <v>1627</v>
      </c>
      <c r="R333" s="807" t="s">
        <v>1627</v>
      </c>
      <c r="S333" s="807" t="s">
        <v>1627</v>
      </c>
      <c r="T333" s="807" t="s">
        <v>1114</v>
      </c>
      <c r="U333" s="807" t="s">
        <v>1114</v>
      </c>
      <c r="V333" s="807" t="s">
        <v>1114</v>
      </c>
      <c r="W333" s="807" t="s">
        <v>1114</v>
      </c>
      <c r="X333" s="807" t="s">
        <v>1114</v>
      </c>
      <c r="Y333" s="807" t="s">
        <v>1114</v>
      </c>
      <c r="Z333" s="807" t="s">
        <v>1114</v>
      </c>
      <c r="AA333" s="807" t="s">
        <v>1114</v>
      </c>
    </row>
    <row r="334" spans="1:27">
      <c r="A334" s="75" t="s">
        <v>1526</v>
      </c>
      <c r="B334" s="807" t="s">
        <v>1527</v>
      </c>
      <c r="C334" s="807" t="s">
        <v>1527</v>
      </c>
      <c r="D334" s="807" t="s">
        <v>1527</v>
      </c>
      <c r="E334" s="807" t="s">
        <v>1527</v>
      </c>
      <c r="F334" s="807" t="s">
        <v>1527</v>
      </c>
      <c r="G334" s="807" t="s">
        <v>1527</v>
      </c>
      <c r="H334" s="807" t="s">
        <v>1527</v>
      </c>
      <c r="I334" s="807" t="s">
        <v>1527</v>
      </c>
      <c r="J334" s="807" t="s">
        <v>1527</v>
      </c>
      <c r="K334" s="807" t="s">
        <v>1527</v>
      </c>
      <c r="L334" s="807" t="s">
        <v>1527</v>
      </c>
      <c r="M334" s="807" t="s">
        <v>1527</v>
      </c>
      <c r="N334" s="807" t="s">
        <v>1527</v>
      </c>
      <c r="O334" s="807" t="s">
        <v>1527</v>
      </c>
      <c r="P334" s="807" t="s">
        <v>1527</v>
      </c>
      <c r="Q334" s="807" t="s">
        <v>1527</v>
      </c>
      <c r="R334" s="807" t="s">
        <v>1527</v>
      </c>
      <c r="S334" s="807" t="s">
        <v>1527</v>
      </c>
      <c r="T334" s="807" t="s">
        <v>1114</v>
      </c>
      <c r="U334" s="807" t="s">
        <v>1114</v>
      </c>
      <c r="V334" s="807" t="s">
        <v>1114</v>
      </c>
      <c r="W334" s="807" t="s">
        <v>1114</v>
      </c>
      <c r="X334" s="807" t="s">
        <v>1114</v>
      </c>
      <c r="Y334" s="807" t="s">
        <v>1114</v>
      </c>
      <c r="Z334" s="807" t="s">
        <v>1114</v>
      </c>
      <c r="AA334" s="807" t="s">
        <v>1114</v>
      </c>
    </row>
    <row r="335" spans="1:27">
      <c r="A335" s="806" t="s">
        <v>1584</v>
      </c>
      <c r="B335" s="807" t="s">
        <v>1114</v>
      </c>
      <c r="C335" s="807" t="s">
        <v>1114</v>
      </c>
      <c r="D335" s="807" t="s">
        <v>1114</v>
      </c>
      <c r="E335" s="807" t="s">
        <v>1114</v>
      </c>
      <c r="F335" s="807" t="s">
        <v>1114</v>
      </c>
      <c r="G335" s="807" t="s">
        <v>1114</v>
      </c>
      <c r="H335" s="807" t="s">
        <v>1114</v>
      </c>
      <c r="I335" s="808">
        <v>-153</v>
      </c>
      <c r="J335" s="807" t="s">
        <v>1114</v>
      </c>
      <c r="K335" s="808">
        <v>7</v>
      </c>
      <c r="L335" s="808">
        <v>-102</v>
      </c>
      <c r="M335" s="808">
        <v>-51</v>
      </c>
      <c r="N335" s="808">
        <v>47</v>
      </c>
      <c r="O335" s="808">
        <v>11</v>
      </c>
      <c r="P335" s="808">
        <v>24</v>
      </c>
      <c r="Q335" s="808">
        <v>43</v>
      </c>
      <c r="R335" s="808">
        <v>38</v>
      </c>
      <c r="S335" s="809">
        <v>57.643039999999999</v>
      </c>
      <c r="T335" s="807" t="s">
        <v>1114</v>
      </c>
      <c r="U335" s="807" t="s">
        <v>1114</v>
      </c>
      <c r="V335" s="807" t="s">
        <v>1114</v>
      </c>
      <c r="W335" s="807" t="s">
        <v>1114</v>
      </c>
      <c r="X335" s="807" t="s">
        <v>1114</v>
      </c>
      <c r="Y335" s="807" t="s">
        <v>1114</v>
      </c>
      <c r="Z335" s="807" t="s">
        <v>1114</v>
      </c>
      <c r="AA335" s="807" t="s">
        <v>1114</v>
      </c>
    </row>
    <row r="336" spans="1:27">
      <c r="A336" s="75" t="s">
        <v>1512</v>
      </c>
      <c r="B336" s="807" t="s">
        <v>1114</v>
      </c>
      <c r="C336" s="807" t="s">
        <v>1114</v>
      </c>
      <c r="D336" s="807" t="s">
        <v>1114</v>
      </c>
      <c r="E336" s="807" t="s">
        <v>1114</v>
      </c>
      <c r="F336" s="807" t="s">
        <v>1114</v>
      </c>
      <c r="G336" s="807" t="s">
        <v>1114</v>
      </c>
      <c r="H336" s="807" t="s">
        <v>1114</v>
      </c>
      <c r="I336" s="809">
        <v>-299</v>
      </c>
      <c r="J336" s="807" t="s">
        <v>1114</v>
      </c>
      <c r="K336" s="809">
        <v>-78.22381</v>
      </c>
      <c r="L336" s="809">
        <v>-59.825400000000002</v>
      </c>
      <c r="M336" s="809">
        <v>-47.72287</v>
      </c>
      <c r="N336" s="809">
        <v>-30.10998</v>
      </c>
      <c r="O336" s="809">
        <v>23.516100000000002</v>
      </c>
      <c r="P336" s="809">
        <v>-6.9832400000000003</v>
      </c>
      <c r="Q336" s="809">
        <v>31.213280000000001</v>
      </c>
      <c r="R336" s="809">
        <v>35.929859999999998</v>
      </c>
      <c r="S336" s="807" t="s">
        <v>1114</v>
      </c>
      <c r="T336" s="807" t="s">
        <v>1114</v>
      </c>
      <c r="U336" s="807" t="s">
        <v>1114</v>
      </c>
      <c r="V336" s="807" t="s">
        <v>1114</v>
      </c>
      <c r="W336" s="807" t="s">
        <v>1114</v>
      </c>
      <c r="X336" s="807" t="s">
        <v>1114</v>
      </c>
      <c r="Y336" s="807" t="s">
        <v>1114</v>
      </c>
      <c r="Z336" s="807" t="s">
        <v>1114</v>
      </c>
      <c r="AA336" s="807" t="s">
        <v>1114</v>
      </c>
    </row>
    <row r="337" spans="1:27">
      <c r="A337" s="75" t="s">
        <v>1513</v>
      </c>
      <c r="B337" s="807" t="s">
        <v>1114</v>
      </c>
      <c r="C337" s="807" t="s">
        <v>1114</v>
      </c>
      <c r="D337" s="807" t="s">
        <v>1114</v>
      </c>
      <c r="E337" s="807" t="s">
        <v>1114</v>
      </c>
      <c r="F337" s="807" t="s">
        <v>1114</v>
      </c>
      <c r="G337" s="807" t="s">
        <v>1114</v>
      </c>
      <c r="H337" s="807" t="s">
        <v>1114</v>
      </c>
      <c r="I337" s="809">
        <v>-299</v>
      </c>
      <c r="J337" s="807" t="s">
        <v>1114</v>
      </c>
      <c r="K337" s="809">
        <v>-78.22381</v>
      </c>
      <c r="L337" s="809">
        <v>-59.825400000000002</v>
      </c>
      <c r="M337" s="809">
        <v>-42.945740000000001</v>
      </c>
      <c r="N337" s="809">
        <v>-25.329940000000001</v>
      </c>
      <c r="O337" s="809">
        <v>16.03219</v>
      </c>
      <c r="P337" s="809">
        <v>-6.9832400000000003</v>
      </c>
      <c r="Q337" s="809">
        <v>31.63983</v>
      </c>
      <c r="R337" s="809">
        <v>36.859720000000003</v>
      </c>
      <c r="S337" s="809">
        <v>59.786079999999998</v>
      </c>
      <c r="T337" s="807" t="s">
        <v>1114</v>
      </c>
      <c r="U337" s="807" t="s">
        <v>1114</v>
      </c>
      <c r="V337" s="807" t="s">
        <v>1114</v>
      </c>
      <c r="W337" s="807" t="s">
        <v>1114</v>
      </c>
      <c r="X337" s="807" t="s">
        <v>1114</v>
      </c>
      <c r="Y337" s="807" t="s">
        <v>1114</v>
      </c>
      <c r="Z337" s="807" t="s">
        <v>1114</v>
      </c>
      <c r="AA337" s="807" t="s">
        <v>1114</v>
      </c>
    </row>
    <row r="338" spans="1:27">
      <c r="A338" s="75" t="s">
        <v>1514</v>
      </c>
      <c r="B338" s="807" t="s">
        <v>1114</v>
      </c>
      <c r="C338" s="807" t="s">
        <v>1114</v>
      </c>
      <c r="D338" s="807" t="s">
        <v>1114</v>
      </c>
      <c r="E338" s="807" t="s">
        <v>1114</v>
      </c>
      <c r="F338" s="807" t="s">
        <v>1114</v>
      </c>
      <c r="G338" s="807" t="s">
        <v>1114</v>
      </c>
      <c r="H338" s="807" t="s">
        <v>1114</v>
      </c>
      <c r="I338" s="809">
        <v>-299</v>
      </c>
      <c r="J338" s="807" t="s">
        <v>1114</v>
      </c>
      <c r="K338" s="809">
        <v>-78.22381</v>
      </c>
      <c r="L338" s="809">
        <v>-54.650790000000001</v>
      </c>
      <c r="M338" s="809">
        <v>-32</v>
      </c>
      <c r="N338" s="809">
        <v>-12</v>
      </c>
      <c r="O338" s="809">
        <v>75</v>
      </c>
      <c r="P338" s="809">
        <v>-6.9832400000000003</v>
      </c>
      <c r="Q338" s="809">
        <v>43</v>
      </c>
      <c r="R338" s="809">
        <v>56</v>
      </c>
      <c r="S338" s="809">
        <v>84</v>
      </c>
      <c r="T338" s="807" t="s">
        <v>1114</v>
      </c>
      <c r="U338" s="807" t="s">
        <v>1114</v>
      </c>
      <c r="V338" s="807" t="s">
        <v>1114</v>
      </c>
      <c r="W338" s="807" t="s">
        <v>1114</v>
      </c>
      <c r="X338" s="807" t="s">
        <v>1114</v>
      </c>
      <c r="Y338" s="807" t="s">
        <v>1114</v>
      </c>
      <c r="Z338" s="807" t="s">
        <v>1114</v>
      </c>
      <c r="AA338" s="807" t="s">
        <v>1114</v>
      </c>
    </row>
    <row r="339" spans="1:27">
      <c r="A339" s="75" t="s">
        <v>1515</v>
      </c>
      <c r="B339" s="807" t="s">
        <v>1114</v>
      </c>
      <c r="C339" s="807" t="s">
        <v>1114</v>
      </c>
      <c r="D339" s="807" t="s">
        <v>1114</v>
      </c>
      <c r="E339" s="807" t="s">
        <v>1114</v>
      </c>
      <c r="F339" s="807" t="s">
        <v>1114</v>
      </c>
      <c r="G339" s="807" t="s">
        <v>1114</v>
      </c>
      <c r="H339" s="807" t="s">
        <v>1114</v>
      </c>
      <c r="I339" s="809">
        <v>-299</v>
      </c>
      <c r="J339" s="807" t="s">
        <v>1114</v>
      </c>
      <c r="K339" s="809">
        <v>-78.22381</v>
      </c>
      <c r="L339" s="809">
        <v>-65</v>
      </c>
      <c r="M339" s="809">
        <v>-73</v>
      </c>
      <c r="N339" s="809">
        <v>-53</v>
      </c>
      <c r="O339" s="809">
        <v>-13</v>
      </c>
      <c r="P339" s="809">
        <v>-6.9832400000000003</v>
      </c>
      <c r="Q339" s="809">
        <v>19</v>
      </c>
      <c r="R339" s="809">
        <v>14</v>
      </c>
      <c r="S339" s="809">
        <v>27</v>
      </c>
      <c r="T339" s="807" t="s">
        <v>1114</v>
      </c>
      <c r="U339" s="807" t="s">
        <v>1114</v>
      </c>
      <c r="V339" s="807" t="s">
        <v>1114</v>
      </c>
      <c r="W339" s="807" t="s">
        <v>1114</v>
      </c>
      <c r="X339" s="807" t="s">
        <v>1114</v>
      </c>
      <c r="Y339" s="807" t="s">
        <v>1114</v>
      </c>
      <c r="Z339" s="807" t="s">
        <v>1114</v>
      </c>
      <c r="AA339" s="807" t="s">
        <v>1114</v>
      </c>
    </row>
    <row r="340" spans="1:27">
      <c r="A340" s="75" t="s">
        <v>1516</v>
      </c>
      <c r="B340" s="807" t="s">
        <v>1114</v>
      </c>
      <c r="C340" s="807" t="s">
        <v>1114</v>
      </c>
      <c r="D340" s="807" t="s">
        <v>1114</v>
      </c>
      <c r="E340" s="807" t="s">
        <v>1114</v>
      </c>
      <c r="F340" s="807" t="s">
        <v>1114</v>
      </c>
      <c r="G340" s="807" t="s">
        <v>1114</v>
      </c>
      <c r="H340" s="807" t="s">
        <v>1114</v>
      </c>
      <c r="I340" s="802">
        <v>0</v>
      </c>
      <c r="J340" s="807" t="s">
        <v>1114</v>
      </c>
      <c r="K340" s="802">
        <v>0</v>
      </c>
      <c r="L340" s="802">
        <v>5.1745999999999999</v>
      </c>
      <c r="M340" s="802">
        <v>15.40405</v>
      </c>
      <c r="N340" s="802">
        <v>17.076039999999999</v>
      </c>
      <c r="O340" s="802">
        <v>33.111870000000003</v>
      </c>
      <c r="P340" s="802">
        <v>0</v>
      </c>
      <c r="Q340" s="802">
        <v>9.8026</v>
      </c>
      <c r="R340" s="802">
        <v>15.444509999999999</v>
      </c>
      <c r="S340" s="802">
        <v>20.48405</v>
      </c>
      <c r="T340" s="807" t="s">
        <v>1114</v>
      </c>
      <c r="U340" s="807" t="s">
        <v>1114</v>
      </c>
      <c r="V340" s="807" t="s">
        <v>1114</v>
      </c>
      <c r="W340" s="807" t="s">
        <v>1114</v>
      </c>
      <c r="X340" s="807" t="s">
        <v>1114</v>
      </c>
      <c r="Y340" s="807" t="s">
        <v>1114</v>
      </c>
      <c r="Z340" s="807" t="s">
        <v>1114</v>
      </c>
      <c r="AA340" s="807" t="s">
        <v>1114</v>
      </c>
    </row>
    <row r="341" spans="1:27">
      <c r="A341" s="75" t="s">
        <v>1517</v>
      </c>
      <c r="B341" s="807" t="s">
        <v>1114</v>
      </c>
      <c r="C341" s="807" t="s">
        <v>1114</v>
      </c>
      <c r="D341" s="807" t="s">
        <v>1114</v>
      </c>
      <c r="E341" s="807" t="s">
        <v>1114</v>
      </c>
      <c r="F341" s="807" t="s">
        <v>1114</v>
      </c>
      <c r="G341" s="807" t="s">
        <v>1114</v>
      </c>
      <c r="H341" s="807" t="s">
        <v>1114</v>
      </c>
      <c r="I341" s="807" t="s">
        <v>1525</v>
      </c>
      <c r="J341" s="807" t="s">
        <v>1114</v>
      </c>
      <c r="K341" s="807" t="s">
        <v>1525</v>
      </c>
      <c r="L341" s="807" t="s">
        <v>1551</v>
      </c>
      <c r="M341" s="807" t="s">
        <v>1614</v>
      </c>
      <c r="N341" s="807" t="s">
        <v>1538</v>
      </c>
      <c r="O341" s="807" t="s">
        <v>1614</v>
      </c>
      <c r="P341" s="807" t="s">
        <v>1627</v>
      </c>
      <c r="Q341" s="807" t="s">
        <v>1553</v>
      </c>
      <c r="R341" s="807" t="s">
        <v>1614</v>
      </c>
      <c r="S341" s="807" t="s">
        <v>1614</v>
      </c>
      <c r="T341" s="807" t="s">
        <v>1114</v>
      </c>
      <c r="U341" s="807" t="s">
        <v>1114</v>
      </c>
      <c r="V341" s="807" t="s">
        <v>1114</v>
      </c>
      <c r="W341" s="807" t="s">
        <v>1114</v>
      </c>
      <c r="X341" s="807" t="s">
        <v>1114</v>
      </c>
      <c r="Y341" s="807" t="s">
        <v>1114</v>
      </c>
      <c r="Z341" s="807" t="s">
        <v>1114</v>
      </c>
      <c r="AA341" s="807" t="s">
        <v>1114</v>
      </c>
    </row>
    <row r="342" spans="1:27">
      <c r="A342" s="75" t="s">
        <v>1526</v>
      </c>
      <c r="B342" s="807" t="s">
        <v>1114</v>
      </c>
      <c r="C342" s="807" t="s">
        <v>1114</v>
      </c>
      <c r="D342" s="807" t="s">
        <v>1114</v>
      </c>
      <c r="E342" s="807" t="s">
        <v>1114</v>
      </c>
      <c r="F342" s="807" t="s">
        <v>1114</v>
      </c>
      <c r="G342" s="807" t="s">
        <v>1114</v>
      </c>
      <c r="H342" s="807" t="s">
        <v>1114</v>
      </c>
      <c r="I342" s="807" t="s">
        <v>1527</v>
      </c>
      <c r="J342" s="807" t="s">
        <v>1114</v>
      </c>
      <c r="K342" s="807" t="s">
        <v>1527</v>
      </c>
      <c r="L342" s="807" t="s">
        <v>1527</v>
      </c>
      <c r="M342" s="807" t="s">
        <v>1527</v>
      </c>
      <c r="N342" s="807" t="s">
        <v>1527</v>
      </c>
      <c r="O342" s="807" t="s">
        <v>1527</v>
      </c>
      <c r="P342" s="807" t="s">
        <v>1527</v>
      </c>
      <c r="Q342" s="807" t="s">
        <v>1527</v>
      </c>
      <c r="R342" s="807" t="s">
        <v>1527</v>
      </c>
      <c r="S342" s="807" t="s">
        <v>1527</v>
      </c>
      <c r="T342" s="807" t="s">
        <v>1114</v>
      </c>
      <c r="U342" s="807" t="s">
        <v>1114</v>
      </c>
      <c r="V342" s="807" t="s">
        <v>1114</v>
      </c>
      <c r="W342" s="807" t="s">
        <v>1114</v>
      </c>
      <c r="X342" s="807" t="s">
        <v>1114</v>
      </c>
      <c r="Y342" s="807" t="s">
        <v>1114</v>
      </c>
      <c r="Z342" s="807" t="s">
        <v>1114</v>
      </c>
      <c r="AA342" s="807" t="s">
        <v>1114</v>
      </c>
    </row>
    <row r="343" spans="1:27">
      <c r="A343" s="806" t="s">
        <v>1589</v>
      </c>
      <c r="B343" s="808">
        <v>-988</v>
      </c>
      <c r="C343" s="808">
        <v>-808</v>
      </c>
      <c r="D343" s="808">
        <v>-459</v>
      </c>
      <c r="E343" s="808">
        <v>-376</v>
      </c>
      <c r="F343" s="808">
        <v>-303</v>
      </c>
      <c r="G343" s="808">
        <v>-235</v>
      </c>
      <c r="H343" s="808">
        <v>-207</v>
      </c>
      <c r="I343" s="808">
        <v>-77</v>
      </c>
      <c r="J343" s="808">
        <v>-67</v>
      </c>
      <c r="K343" s="808">
        <v>20</v>
      </c>
      <c r="L343" s="808">
        <v>-84</v>
      </c>
      <c r="M343" s="808">
        <v>-38</v>
      </c>
      <c r="N343" s="808">
        <v>27.914899999999999</v>
      </c>
      <c r="O343" s="808">
        <v>78</v>
      </c>
      <c r="P343" s="808">
        <v>27.333300000000001</v>
      </c>
      <c r="Q343" s="808">
        <v>39.186</v>
      </c>
      <c r="R343" s="808">
        <v>40.578899999999997</v>
      </c>
      <c r="S343" s="809">
        <v>46</v>
      </c>
      <c r="T343" s="807" t="s">
        <v>1114</v>
      </c>
      <c r="U343" s="807" t="s">
        <v>1114</v>
      </c>
      <c r="V343" s="807" t="s">
        <v>1114</v>
      </c>
      <c r="W343" s="807" t="s">
        <v>1114</v>
      </c>
      <c r="X343" s="807" t="s">
        <v>1114</v>
      </c>
      <c r="Y343" s="807" t="s">
        <v>1114</v>
      </c>
      <c r="Z343" s="807" t="s">
        <v>1114</v>
      </c>
      <c r="AA343" s="807" t="s">
        <v>1114</v>
      </c>
    </row>
    <row r="344" spans="1:27">
      <c r="A344" s="75" t="s">
        <v>1512</v>
      </c>
      <c r="B344" s="809">
        <v>-707</v>
      </c>
      <c r="C344" s="809">
        <v>-627.04021999999998</v>
      </c>
      <c r="D344" s="809">
        <v>-454.88749999999999</v>
      </c>
      <c r="E344" s="809">
        <v>-414.91496000000001</v>
      </c>
      <c r="F344" s="809">
        <v>-399</v>
      </c>
      <c r="G344" s="809">
        <v>-246</v>
      </c>
      <c r="H344" s="809">
        <v>-201.61958999999999</v>
      </c>
      <c r="I344" s="809">
        <v>-234.33172999999999</v>
      </c>
      <c r="J344" s="809">
        <v>-73.403540000000007</v>
      </c>
      <c r="K344" s="809">
        <v>-2.7478799999999999</v>
      </c>
      <c r="L344" s="809">
        <v>-18</v>
      </c>
      <c r="M344" s="809">
        <v>-21</v>
      </c>
      <c r="N344" s="809">
        <v>-52</v>
      </c>
      <c r="O344" s="807" t="s">
        <v>1114</v>
      </c>
      <c r="P344" s="809">
        <v>33</v>
      </c>
      <c r="Q344" s="809">
        <v>59</v>
      </c>
      <c r="R344" s="809">
        <v>31</v>
      </c>
      <c r="S344" s="807" t="s">
        <v>1114</v>
      </c>
      <c r="T344" s="807" t="s">
        <v>1114</v>
      </c>
      <c r="U344" s="807" t="s">
        <v>1114</v>
      </c>
      <c r="V344" s="807" t="s">
        <v>1114</v>
      </c>
      <c r="W344" s="807" t="s">
        <v>1114</v>
      </c>
      <c r="X344" s="807" t="s">
        <v>1114</v>
      </c>
      <c r="Y344" s="807" t="s">
        <v>1114</v>
      </c>
      <c r="Z344" s="807" t="s">
        <v>1114</v>
      </c>
      <c r="AA344" s="807" t="s">
        <v>1114</v>
      </c>
    </row>
    <row r="345" spans="1:27">
      <c r="A345" s="75" t="s">
        <v>1513</v>
      </c>
      <c r="B345" s="809">
        <v>-707</v>
      </c>
      <c r="C345" s="809">
        <v>-724</v>
      </c>
      <c r="D345" s="809">
        <v>-454.88749999999999</v>
      </c>
      <c r="E345" s="809">
        <v>-414.91496000000001</v>
      </c>
      <c r="F345" s="809">
        <v>-399</v>
      </c>
      <c r="G345" s="809">
        <v>-246</v>
      </c>
      <c r="H345" s="809">
        <v>-185</v>
      </c>
      <c r="I345" s="809">
        <v>-248</v>
      </c>
      <c r="J345" s="809">
        <v>-6</v>
      </c>
      <c r="K345" s="809">
        <v>0</v>
      </c>
      <c r="L345" s="809">
        <v>-10</v>
      </c>
      <c r="M345" s="809">
        <v>-30.5</v>
      </c>
      <c r="N345" s="809">
        <v>-52</v>
      </c>
      <c r="O345" s="807" t="s">
        <v>1114</v>
      </c>
      <c r="P345" s="809">
        <v>33</v>
      </c>
      <c r="Q345" s="809">
        <v>59</v>
      </c>
      <c r="R345" s="809">
        <v>31</v>
      </c>
      <c r="S345" s="809">
        <v>46</v>
      </c>
      <c r="T345" s="807" t="s">
        <v>1114</v>
      </c>
      <c r="U345" s="807" t="s">
        <v>1114</v>
      </c>
      <c r="V345" s="807" t="s">
        <v>1114</v>
      </c>
      <c r="W345" s="807" t="s">
        <v>1114</v>
      </c>
      <c r="X345" s="807" t="s">
        <v>1114</v>
      </c>
      <c r="Y345" s="807" t="s">
        <v>1114</v>
      </c>
      <c r="Z345" s="807" t="s">
        <v>1114</v>
      </c>
      <c r="AA345" s="807" t="s">
        <v>1114</v>
      </c>
    </row>
    <row r="346" spans="1:27">
      <c r="A346" s="75" t="s">
        <v>1514</v>
      </c>
      <c r="B346" s="809">
        <v>-707</v>
      </c>
      <c r="C346" s="809">
        <v>-419.12065999999999</v>
      </c>
      <c r="D346" s="809">
        <v>-422.77499</v>
      </c>
      <c r="E346" s="809">
        <v>-400.82992000000002</v>
      </c>
      <c r="F346" s="809">
        <v>-399</v>
      </c>
      <c r="G346" s="809">
        <v>-204</v>
      </c>
      <c r="H346" s="809">
        <v>-168.85878</v>
      </c>
      <c r="I346" s="809">
        <v>-152.99520000000001</v>
      </c>
      <c r="J346" s="809">
        <v>-1.2106300000000001</v>
      </c>
      <c r="K346" s="809">
        <v>34.756369999999997</v>
      </c>
      <c r="L346" s="809">
        <v>22</v>
      </c>
      <c r="M346" s="809">
        <v>43</v>
      </c>
      <c r="N346" s="809">
        <v>-52</v>
      </c>
      <c r="O346" s="807" t="s">
        <v>1114</v>
      </c>
      <c r="P346" s="809">
        <v>33</v>
      </c>
      <c r="Q346" s="809">
        <v>59</v>
      </c>
      <c r="R346" s="809">
        <v>31</v>
      </c>
      <c r="S346" s="809">
        <v>46</v>
      </c>
      <c r="T346" s="807" t="s">
        <v>1114</v>
      </c>
      <c r="U346" s="807" t="s">
        <v>1114</v>
      </c>
      <c r="V346" s="807" t="s">
        <v>1114</v>
      </c>
      <c r="W346" s="807" t="s">
        <v>1114</v>
      </c>
      <c r="X346" s="807" t="s">
        <v>1114</v>
      </c>
      <c r="Y346" s="807" t="s">
        <v>1114</v>
      </c>
      <c r="Z346" s="807" t="s">
        <v>1114</v>
      </c>
      <c r="AA346" s="807" t="s">
        <v>1114</v>
      </c>
    </row>
    <row r="347" spans="1:27">
      <c r="A347" s="75" t="s">
        <v>1515</v>
      </c>
      <c r="B347" s="809">
        <v>-707</v>
      </c>
      <c r="C347" s="809">
        <v>-738</v>
      </c>
      <c r="D347" s="809">
        <v>-487</v>
      </c>
      <c r="E347" s="809">
        <v>-429</v>
      </c>
      <c r="F347" s="809">
        <v>-399</v>
      </c>
      <c r="G347" s="809">
        <v>-288</v>
      </c>
      <c r="H347" s="809">
        <v>-251</v>
      </c>
      <c r="I347" s="809">
        <v>-302</v>
      </c>
      <c r="J347" s="809">
        <v>-213</v>
      </c>
      <c r="K347" s="809">
        <v>-43</v>
      </c>
      <c r="L347" s="809">
        <v>-66</v>
      </c>
      <c r="M347" s="809">
        <v>-66</v>
      </c>
      <c r="N347" s="809">
        <v>-52</v>
      </c>
      <c r="O347" s="807" t="s">
        <v>1114</v>
      </c>
      <c r="P347" s="809">
        <v>33</v>
      </c>
      <c r="Q347" s="809">
        <v>59</v>
      </c>
      <c r="R347" s="809">
        <v>31</v>
      </c>
      <c r="S347" s="809">
        <v>46</v>
      </c>
      <c r="T347" s="807" t="s">
        <v>1114</v>
      </c>
      <c r="U347" s="807" t="s">
        <v>1114</v>
      </c>
      <c r="V347" s="807" t="s">
        <v>1114</v>
      </c>
      <c r="W347" s="807" t="s">
        <v>1114</v>
      </c>
      <c r="X347" s="807" t="s">
        <v>1114</v>
      </c>
      <c r="Y347" s="807" t="s">
        <v>1114</v>
      </c>
      <c r="Z347" s="807" t="s">
        <v>1114</v>
      </c>
      <c r="AA347" s="807" t="s">
        <v>1114</v>
      </c>
    </row>
    <row r="348" spans="1:27">
      <c r="A348" s="75" t="s">
        <v>1516</v>
      </c>
      <c r="B348" s="802">
        <v>0</v>
      </c>
      <c r="C348" s="802">
        <v>147.13238000000001</v>
      </c>
      <c r="D348" s="802">
        <v>32.112499999999997</v>
      </c>
      <c r="E348" s="802">
        <v>14.085039999999999</v>
      </c>
      <c r="F348" s="802">
        <v>0</v>
      </c>
      <c r="G348" s="802">
        <v>42</v>
      </c>
      <c r="H348" s="802">
        <v>35.533580000000001</v>
      </c>
      <c r="I348" s="802">
        <v>61.593960000000003</v>
      </c>
      <c r="J348" s="802">
        <v>98.728960000000001</v>
      </c>
      <c r="K348" s="802">
        <v>31.803319999999999</v>
      </c>
      <c r="L348" s="802">
        <v>36.368479999999998</v>
      </c>
      <c r="M348" s="802">
        <v>39.705159999999999</v>
      </c>
      <c r="N348" s="802">
        <v>0</v>
      </c>
      <c r="O348" s="807" t="s">
        <v>1114</v>
      </c>
      <c r="P348" s="802">
        <v>0</v>
      </c>
      <c r="Q348" s="802">
        <v>0</v>
      </c>
      <c r="R348" s="802">
        <v>0</v>
      </c>
      <c r="S348" s="802">
        <v>0</v>
      </c>
      <c r="T348" s="807" t="s">
        <v>1114</v>
      </c>
      <c r="U348" s="807" t="s">
        <v>1114</v>
      </c>
      <c r="V348" s="807" t="s">
        <v>1114</v>
      </c>
      <c r="W348" s="807" t="s">
        <v>1114</v>
      </c>
      <c r="X348" s="807" t="s">
        <v>1114</v>
      </c>
      <c r="Y348" s="807" t="s">
        <v>1114</v>
      </c>
      <c r="Z348" s="807" t="s">
        <v>1114</v>
      </c>
      <c r="AA348" s="807" t="s">
        <v>1114</v>
      </c>
    </row>
    <row r="349" spans="1:27">
      <c r="A349" s="75" t="s">
        <v>1517</v>
      </c>
      <c r="B349" s="807" t="s">
        <v>1525</v>
      </c>
      <c r="C349" s="807" t="s">
        <v>1553</v>
      </c>
      <c r="D349" s="807" t="s">
        <v>1551</v>
      </c>
      <c r="E349" s="807" t="s">
        <v>1551</v>
      </c>
      <c r="F349" s="807" t="s">
        <v>1525</v>
      </c>
      <c r="G349" s="807" t="s">
        <v>1551</v>
      </c>
      <c r="H349" s="807" t="s">
        <v>1553</v>
      </c>
      <c r="I349" s="807" t="s">
        <v>1538</v>
      </c>
      <c r="J349" s="807" t="s">
        <v>1553</v>
      </c>
      <c r="K349" s="807" t="s">
        <v>1538</v>
      </c>
      <c r="L349" s="807" t="s">
        <v>1595</v>
      </c>
      <c r="M349" s="807" t="s">
        <v>1535</v>
      </c>
      <c r="N349" s="807" t="s">
        <v>1666</v>
      </c>
      <c r="O349" s="807" t="s">
        <v>1114</v>
      </c>
      <c r="P349" s="807" t="s">
        <v>1627</v>
      </c>
      <c r="Q349" s="807" t="s">
        <v>1660</v>
      </c>
      <c r="R349" s="807" t="s">
        <v>1627</v>
      </c>
      <c r="S349" s="807" t="s">
        <v>1627</v>
      </c>
      <c r="T349" s="807" t="s">
        <v>1114</v>
      </c>
      <c r="U349" s="807" t="s">
        <v>1114</v>
      </c>
      <c r="V349" s="807" t="s">
        <v>1114</v>
      </c>
      <c r="W349" s="807" t="s">
        <v>1114</v>
      </c>
      <c r="X349" s="807" t="s">
        <v>1114</v>
      </c>
      <c r="Y349" s="807" t="s">
        <v>1114</v>
      </c>
      <c r="Z349" s="807" t="s">
        <v>1114</v>
      </c>
      <c r="AA349" s="807" t="s">
        <v>1114</v>
      </c>
    </row>
    <row r="350" spans="1:27">
      <c r="A350" s="75" t="s">
        <v>1526</v>
      </c>
      <c r="B350" s="807" t="s">
        <v>1527</v>
      </c>
      <c r="C350" s="807" t="s">
        <v>1527</v>
      </c>
      <c r="D350" s="807" t="s">
        <v>1527</v>
      </c>
      <c r="E350" s="807" t="s">
        <v>1527</v>
      </c>
      <c r="F350" s="807" t="s">
        <v>1527</v>
      </c>
      <c r="G350" s="807" t="s">
        <v>1527</v>
      </c>
      <c r="H350" s="807" t="s">
        <v>1527</v>
      </c>
      <c r="I350" s="807" t="s">
        <v>1527</v>
      </c>
      <c r="J350" s="807" t="s">
        <v>1527</v>
      </c>
      <c r="K350" s="807" t="s">
        <v>1527</v>
      </c>
      <c r="L350" s="807" t="s">
        <v>1527</v>
      </c>
      <c r="M350" s="807" t="s">
        <v>1527</v>
      </c>
      <c r="N350" s="807" t="s">
        <v>1527</v>
      </c>
      <c r="O350" s="807" t="s">
        <v>1527</v>
      </c>
      <c r="P350" s="807" t="s">
        <v>1527</v>
      </c>
      <c r="Q350" s="807" t="s">
        <v>1527</v>
      </c>
      <c r="R350" s="807" t="s">
        <v>1527</v>
      </c>
      <c r="S350" s="807" t="s">
        <v>1527</v>
      </c>
      <c r="T350" s="807" t="s">
        <v>1114</v>
      </c>
      <c r="U350" s="807" t="s">
        <v>1114</v>
      </c>
      <c r="V350" s="807" t="s">
        <v>1114</v>
      </c>
      <c r="W350" s="807" t="s">
        <v>1114</v>
      </c>
      <c r="X350" s="807" t="s">
        <v>1114</v>
      </c>
      <c r="Y350" s="807" t="s">
        <v>1114</v>
      </c>
      <c r="Z350" s="807" t="s">
        <v>1114</v>
      </c>
      <c r="AA350" s="807" t="s">
        <v>1114</v>
      </c>
    </row>
    <row r="351" spans="1:27">
      <c r="A351" s="806" t="s">
        <v>1594</v>
      </c>
      <c r="B351" s="807" t="s">
        <v>1114</v>
      </c>
      <c r="C351" s="807" t="s">
        <v>1114</v>
      </c>
      <c r="D351" s="807" t="s">
        <v>1114</v>
      </c>
      <c r="E351" s="808">
        <v>-547</v>
      </c>
      <c r="F351" s="808">
        <v>-342</v>
      </c>
      <c r="G351" s="808">
        <v>-386</v>
      </c>
      <c r="H351" s="808">
        <v>-226</v>
      </c>
      <c r="I351" s="808">
        <v>-135</v>
      </c>
      <c r="J351" s="808">
        <v>-91</v>
      </c>
      <c r="K351" s="808">
        <v>35</v>
      </c>
      <c r="L351" s="808">
        <v>-104</v>
      </c>
      <c r="M351" s="808">
        <v>-53</v>
      </c>
      <c r="N351" s="808">
        <v>26</v>
      </c>
      <c r="O351" s="808">
        <v>27</v>
      </c>
      <c r="P351" s="808">
        <v>24</v>
      </c>
      <c r="Q351" s="808">
        <v>35</v>
      </c>
      <c r="R351" s="808">
        <v>37</v>
      </c>
      <c r="S351" s="809">
        <v>54.49756</v>
      </c>
      <c r="T351" s="807" t="s">
        <v>1114</v>
      </c>
      <c r="U351" s="807" t="s">
        <v>1114</v>
      </c>
      <c r="V351" s="807" t="s">
        <v>1114</v>
      </c>
      <c r="W351" s="807" t="s">
        <v>1114</v>
      </c>
      <c r="X351" s="807" t="s">
        <v>1114</v>
      </c>
      <c r="Y351" s="807" t="s">
        <v>1114</v>
      </c>
      <c r="Z351" s="807" t="s">
        <v>1114</v>
      </c>
      <c r="AA351" s="807" t="s">
        <v>1114</v>
      </c>
    </row>
    <row r="352" spans="1:27">
      <c r="A352" s="75" t="s">
        <v>1512</v>
      </c>
      <c r="B352" s="807" t="s">
        <v>1114</v>
      </c>
      <c r="C352" s="807" t="s">
        <v>1114</v>
      </c>
      <c r="D352" s="807" t="s">
        <v>1114</v>
      </c>
      <c r="E352" s="809">
        <v>-376.33332999999999</v>
      </c>
      <c r="F352" s="809">
        <v>-358.03906000000001</v>
      </c>
      <c r="G352" s="809">
        <v>-301.70846</v>
      </c>
      <c r="H352" s="809">
        <v>-231.33962</v>
      </c>
      <c r="I352" s="809">
        <v>-232.9796</v>
      </c>
      <c r="J352" s="809">
        <v>-117.01653</v>
      </c>
      <c r="K352" s="809">
        <v>-76.611900000000006</v>
      </c>
      <c r="L352" s="809">
        <v>-58.883600000000001</v>
      </c>
      <c r="M352" s="809">
        <v>-40.348370000000003</v>
      </c>
      <c r="N352" s="809">
        <v>-16.472670000000001</v>
      </c>
      <c r="O352" s="809">
        <v>29.021460000000001</v>
      </c>
      <c r="P352" s="809">
        <v>14.836970000000001</v>
      </c>
      <c r="Q352" s="809">
        <v>32.434550000000002</v>
      </c>
      <c r="R352" s="809">
        <v>33.688749999999999</v>
      </c>
      <c r="S352" s="807" t="s">
        <v>1114</v>
      </c>
      <c r="T352" s="807" t="s">
        <v>1114</v>
      </c>
      <c r="U352" s="807" t="s">
        <v>1114</v>
      </c>
      <c r="V352" s="807" t="s">
        <v>1114</v>
      </c>
      <c r="W352" s="807" t="s">
        <v>1114</v>
      </c>
      <c r="X352" s="807" t="s">
        <v>1114</v>
      </c>
      <c r="Y352" s="807" t="s">
        <v>1114</v>
      </c>
      <c r="Z352" s="807" t="s">
        <v>1114</v>
      </c>
      <c r="AA352" s="807" t="s">
        <v>1114</v>
      </c>
    </row>
    <row r="353" spans="1:27">
      <c r="A353" s="75" t="s">
        <v>1513</v>
      </c>
      <c r="B353" s="807" t="s">
        <v>1114</v>
      </c>
      <c r="C353" s="807" t="s">
        <v>1114</v>
      </c>
      <c r="D353" s="807" t="s">
        <v>1114</v>
      </c>
      <c r="E353" s="809">
        <v>-410</v>
      </c>
      <c r="F353" s="809">
        <v>-358.03906000000001</v>
      </c>
      <c r="G353" s="809">
        <v>-301.70846</v>
      </c>
      <c r="H353" s="809">
        <v>-231.33962</v>
      </c>
      <c r="I353" s="809">
        <v>-214.45919000000001</v>
      </c>
      <c r="J353" s="809">
        <v>-106</v>
      </c>
      <c r="K353" s="809">
        <v>-76.611900000000006</v>
      </c>
      <c r="L353" s="809">
        <v>-64</v>
      </c>
      <c r="M353" s="809">
        <v>-36.445740000000001</v>
      </c>
      <c r="N353" s="809">
        <v>-21</v>
      </c>
      <c r="O353" s="809">
        <v>17.06438</v>
      </c>
      <c r="P353" s="809">
        <v>16.494150000000001</v>
      </c>
      <c r="Q353" s="809">
        <v>31.549189999999999</v>
      </c>
      <c r="R353" s="809">
        <v>30.359719999999999</v>
      </c>
      <c r="S353" s="809">
        <v>47.286079999999998</v>
      </c>
      <c r="T353" s="807" t="s">
        <v>1114</v>
      </c>
      <c r="U353" s="807" t="s">
        <v>1114</v>
      </c>
      <c r="V353" s="807" t="s">
        <v>1114</v>
      </c>
      <c r="W353" s="807" t="s">
        <v>1114</v>
      </c>
      <c r="X353" s="807" t="s">
        <v>1114</v>
      </c>
      <c r="Y353" s="807" t="s">
        <v>1114</v>
      </c>
      <c r="Z353" s="807" t="s">
        <v>1114</v>
      </c>
      <c r="AA353" s="807" t="s">
        <v>1114</v>
      </c>
    </row>
    <row r="354" spans="1:27">
      <c r="A354" s="75" t="s">
        <v>1514</v>
      </c>
      <c r="B354" s="807" t="s">
        <v>1114</v>
      </c>
      <c r="C354" s="807" t="s">
        <v>1114</v>
      </c>
      <c r="D354" s="807" t="s">
        <v>1114</v>
      </c>
      <c r="E354" s="809">
        <v>-306</v>
      </c>
      <c r="F354" s="809">
        <v>-358.03906000000001</v>
      </c>
      <c r="G354" s="809">
        <v>-301.70846</v>
      </c>
      <c r="H354" s="809">
        <v>-223.67922999999999</v>
      </c>
      <c r="I354" s="809">
        <v>-201</v>
      </c>
      <c r="J354" s="809">
        <v>-105</v>
      </c>
      <c r="K354" s="809">
        <v>-68</v>
      </c>
      <c r="L354" s="809">
        <v>-46.650790000000001</v>
      </c>
      <c r="M354" s="809">
        <v>-25</v>
      </c>
      <c r="N354" s="809">
        <v>10</v>
      </c>
      <c r="O354" s="809">
        <v>60</v>
      </c>
      <c r="P354" s="809">
        <v>33</v>
      </c>
      <c r="Q354" s="809">
        <v>39</v>
      </c>
      <c r="R354" s="809">
        <v>51.03557</v>
      </c>
      <c r="S354" s="809">
        <v>77.418090000000007</v>
      </c>
      <c r="T354" s="807" t="s">
        <v>1114</v>
      </c>
      <c r="U354" s="807" t="s">
        <v>1114</v>
      </c>
      <c r="V354" s="807" t="s">
        <v>1114</v>
      </c>
      <c r="W354" s="807" t="s">
        <v>1114</v>
      </c>
      <c r="X354" s="807" t="s">
        <v>1114</v>
      </c>
      <c r="Y354" s="807" t="s">
        <v>1114</v>
      </c>
      <c r="Z354" s="807" t="s">
        <v>1114</v>
      </c>
      <c r="AA354" s="807" t="s">
        <v>1114</v>
      </c>
    </row>
    <row r="355" spans="1:27">
      <c r="A355" s="75" t="s">
        <v>1515</v>
      </c>
      <c r="B355" s="807" t="s">
        <v>1114</v>
      </c>
      <c r="C355" s="807" t="s">
        <v>1114</v>
      </c>
      <c r="D355" s="807" t="s">
        <v>1114</v>
      </c>
      <c r="E355" s="809">
        <v>-413</v>
      </c>
      <c r="F355" s="809">
        <v>-358.03906000000001</v>
      </c>
      <c r="G355" s="809">
        <v>-301.70846</v>
      </c>
      <c r="H355" s="809">
        <v>-239</v>
      </c>
      <c r="I355" s="809">
        <v>-302</v>
      </c>
      <c r="J355" s="809">
        <v>-140.04958999999999</v>
      </c>
      <c r="K355" s="809">
        <v>-85.22381</v>
      </c>
      <c r="L355" s="809">
        <v>-66</v>
      </c>
      <c r="M355" s="809">
        <v>-66</v>
      </c>
      <c r="N355" s="809">
        <v>-31.033429999999999</v>
      </c>
      <c r="O355" s="809">
        <v>10</v>
      </c>
      <c r="P355" s="809">
        <v>-4.9832400000000003</v>
      </c>
      <c r="Q355" s="809">
        <v>27.63983</v>
      </c>
      <c r="R355" s="809">
        <v>23</v>
      </c>
      <c r="S355" s="809">
        <v>46</v>
      </c>
      <c r="T355" s="807" t="s">
        <v>1114</v>
      </c>
      <c r="U355" s="807" t="s">
        <v>1114</v>
      </c>
      <c r="V355" s="807" t="s">
        <v>1114</v>
      </c>
      <c r="W355" s="807" t="s">
        <v>1114</v>
      </c>
      <c r="X355" s="807" t="s">
        <v>1114</v>
      </c>
      <c r="Y355" s="807" t="s">
        <v>1114</v>
      </c>
      <c r="Z355" s="807" t="s">
        <v>1114</v>
      </c>
      <c r="AA355" s="807" t="s">
        <v>1114</v>
      </c>
    </row>
    <row r="356" spans="1:27">
      <c r="A356" s="75" t="s">
        <v>1516</v>
      </c>
      <c r="B356" s="807" t="s">
        <v>1114</v>
      </c>
      <c r="C356" s="807" t="s">
        <v>1114</v>
      </c>
      <c r="D356" s="807" t="s">
        <v>1114</v>
      </c>
      <c r="E356" s="802">
        <v>49.748260000000002</v>
      </c>
      <c r="F356" s="802">
        <v>0</v>
      </c>
      <c r="G356" s="802">
        <v>0</v>
      </c>
      <c r="H356" s="802">
        <v>7.66038</v>
      </c>
      <c r="I356" s="802">
        <v>40.239220000000003</v>
      </c>
      <c r="J356" s="802">
        <v>16.29195</v>
      </c>
      <c r="K356" s="802">
        <v>8.6119000000000003</v>
      </c>
      <c r="L356" s="802">
        <v>8.6883499999999998</v>
      </c>
      <c r="M356" s="802">
        <v>13.239509999999999</v>
      </c>
      <c r="N356" s="802">
        <v>14.791309999999999</v>
      </c>
      <c r="O356" s="802">
        <v>22.094169999999998</v>
      </c>
      <c r="P356" s="802">
        <v>15.55081</v>
      </c>
      <c r="Q356" s="802">
        <v>4.7822199999999997</v>
      </c>
      <c r="R356" s="802">
        <v>10.46597</v>
      </c>
      <c r="S356" s="802">
        <v>13.24513</v>
      </c>
      <c r="T356" s="807" t="s">
        <v>1114</v>
      </c>
      <c r="U356" s="807" t="s">
        <v>1114</v>
      </c>
      <c r="V356" s="807" t="s">
        <v>1114</v>
      </c>
      <c r="W356" s="807" t="s">
        <v>1114</v>
      </c>
      <c r="X356" s="807" t="s">
        <v>1114</v>
      </c>
      <c r="Y356" s="807" t="s">
        <v>1114</v>
      </c>
      <c r="Z356" s="807" t="s">
        <v>1114</v>
      </c>
      <c r="AA356" s="807" t="s">
        <v>1114</v>
      </c>
    </row>
    <row r="357" spans="1:27">
      <c r="A357" s="75" t="s">
        <v>1517</v>
      </c>
      <c r="B357" s="807" t="s">
        <v>1114</v>
      </c>
      <c r="C357" s="807" t="s">
        <v>1114</v>
      </c>
      <c r="D357" s="807" t="s">
        <v>1114</v>
      </c>
      <c r="E357" s="807" t="s">
        <v>1553</v>
      </c>
      <c r="F357" s="807" t="s">
        <v>1627</v>
      </c>
      <c r="G357" s="807" t="s">
        <v>1525</v>
      </c>
      <c r="H357" s="807" t="s">
        <v>1551</v>
      </c>
      <c r="I357" s="807" t="s">
        <v>1614</v>
      </c>
      <c r="J357" s="807" t="s">
        <v>1553</v>
      </c>
      <c r="K357" s="807" t="s">
        <v>1585</v>
      </c>
      <c r="L357" s="807" t="s">
        <v>1538</v>
      </c>
      <c r="M357" s="807" t="s">
        <v>1554</v>
      </c>
      <c r="N357" s="807" t="s">
        <v>1621</v>
      </c>
      <c r="O357" s="807" t="s">
        <v>1595</v>
      </c>
      <c r="P357" s="807" t="s">
        <v>1553</v>
      </c>
      <c r="Q357" s="807" t="s">
        <v>1543</v>
      </c>
      <c r="R357" s="807" t="s">
        <v>1661</v>
      </c>
      <c r="S357" s="807" t="s">
        <v>1661</v>
      </c>
      <c r="T357" s="807" t="s">
        <v>1114</v>
      </c>
      <c r="U357" s="807" t="s">
        <v>1114</v>
      </c>
      <c r="V357" s="807" t="s">
        <v>1114</v>
      </c>
      <c r="W357" s="807" t="s">
        <v>1114</v>
      </c>
      <c r="X357" s="807" t="s">
        <v>1114</v>
      </c>
      <c r="Y357" s="807" t="s">
        <v>1114</v>
      </c>
      <c r="Z357" s="807" t="s">
        <v>1114</v>
      </c>
      <c r="AA357" s="807" t="s">
        <v>1114</v>
      </c>
    </row>
    <row r="358" spans="1:27">
      <c r="A358" s="75" t="s">
        <v>1526</v>
      </c>
      <c r="B358" s="807" t="s">
        <v>1114</v>
      </c>
      <c r="C358" s="807" t="s">
        <v>1114</v>
      </c>
      <c r="D358" s="807" t="s">
        <v>1114</v>
      </c>
      <c r="E358" s="807" t="s">
        <v>1527</v>
      </c>
      <c r="F358" s="807" t="s">
        <v>1527</v>
      </c>
      <c r="G358" s="807" t="s">
        <v>1527</v>
      </c>
      <c r="H358" s="807" t="s">
        <v>1527</v>
      </c>
      <c r="I358" s="807" t="s">
        <v>1527</v>
      </c>
      <c r="J358" s="807" t="s">
        <v>1527</v>
      </c>
      <c r="K358" s="807" t="s">
        <v>1527</v>
      </c>
      <c r="L358" s="807" t="s">
        <v>1527</v>
      </c>
      <c r="M358" s="807" t="s">
        <v>1527</v>
      </c>
      <c r="N358" s="807" t="s">
        <v>1527</v>
      </c>
      <c r="O358" s="807" t="s">
        <v>1527</v>
      </c>
      <c r="P358" s="807" t="s">
        <v>1527</v>
      </c>
      <c r="Q358" s="807" t="s">
        <v>1527</v>
      </c>
      <c r="R358" s="807" t="s">
        <v>1527</v>
      </c>
      <c r="S358" s="807" t="s">
        <v>1527</v>
      </c>
      <c r="T358" s="807" t="s">
        <v>1114</v>
      </c>
      <c r="U358" s="807" t="s">
        <v>1114</v>
      </c>
      <c r="V358" s="807" t="s">
        <v>1114</v>
      </c>
      <c r="W358" s="807" t="s">
        <v>1114</v>
      </c>
      <c r="X358" s="807" t="s">
        <v>1114</v>
      </c>
      <c r="Y358" s="807" t="s">
        <v>1114</v>
      </c>
      <c r="Z358" s="807" t="s">
        <v>1114</v>
      </c>
      <c r="AA358" s="807" t="s">
        <v>1114</v>
      </c>
    </row>
    <row r="359" spans="1:27">
      <c r="A359" s="806" t="s">
        <v>1600</v>
      </c>
      <c r="B359" s="807" t="s">
        <v>1114</v>
      </c>
      <c r="C359" s="807" t="s">
        <v>1114</v>
      </c>
      <c r="D359" s="807" t="s">
        <v>1114</v>
      </c>
      <c r="E359" s="807" t="s">
        <v>1114</v>
      </c>
      <c r="F359" s="807" t="s">
        <v>1114</v>
      </c>
      <c r="G359" s="807" t="s">
        <v>1114</v>
      </c>
      <c r="H359" s="808">
        <v>-1570</v>
      </c>
      <c r="I359" s="808">
        <v>-1510</v>
      </c>
      <c r="J359" s="808">
        <v>-2240</v>
      </c>
      <c r="K359" s="808">
        <v>-2345</v>
      </c>
      <c r="L359" s="808">
        <v>-1815</v>
      </c>
      <c r="M359" s="808">
        <v>-2152</v>
      </c>
      <c r="N359" s="808">
        <v>-2557</v>
      </c>
      <c r="O359" s="808">
        <v>-2600</v>
      </c>
      <c r="P359" s="807" t="s">
        <v>1114</v>
      </c>
      <c r="Q359" s="807" t="s">
        <v>1114</v>
      </c>
      <c r="R359" s="808">
        <v>-1143</v>
      </c>
      <c r="S359" s="809">
        <v>-1858.3040000000001</v>
      </c>
      <c r="T359" s="809">
        <v>-4513.2659999999996</v>
      </c>
      <c r="U359" s="809">
        <v>-4513.2659999999996</v>
      </c>
      <c r="V359" s="809">
        <v>-4513.2659999999996</v>
      </c>
      <c r="W359" s="809">
        <v>-4513.2659999999996</v>
      </c>
      <c r="X359" s="809">
        <v>-5340.7780000000002</v>
      </c>
      <c r="Y359" s="809">
        <v>-5340.7780000000002</v>
      </c>
      <c r="Z359" s="809">
        <v>-5340.7780000000002</v>
      </c>
      <c r="AA359" s="809">
        <v>-5340.7780000000002</v>
      </c>
    </row>
    <row r="360" spans="1:27">
      <c r="A360" s="75" t="s">
        <v>1512</v>
      </c>
      <c r="B360" s="807" t="s">
        <v>1114</v>
      </c>
      <c r="C360" s="807" t="s">
        <v>1114</v>
      </c>
      <c r="D360" s="807" t="s">
        <v>1114</v>
      </c>
      <c r="E360" s="807" t="s">
        <v>1114</v>
      </c>
      <c r="F360" s="807" t="s">
        <v>1114</v>
      </c>
      <c r="G360" s="807" t="s">
        <v>1114</v>
      </c>
      <c r="H360" s="809">
        <v>-315.93099999999998</v>
      </c>
      <c r="I360" s="809">
        <v>-315.93099999999998</v>
      </c>
      <c r="J360" s="809">
        <v>-562.48599999999999</v>
      </c>
      <c r="K360" s="809">
        <v>-562.48599999999999</v>
      </c>
      <c r="L360" s="809">
        <v>-2717.7159999999999</v>
      </c>
      <c r="M360" s="809">
        <v>-2717.7159999999999</v>
      </c>
      <c r="N360" s="809">
        <v>-2562.2640000000001</v>
      </c>
      <c r="O360" s="809">
        <v>-2557.0880000000002</v>
      </c>
      <c r="P360" s="807" t="s">
        <v>1114</v>
      </c>
      <c r="Q360" s="807" t="s">
        <v>1114</v>
      </c>
      <c r="R360" s="809">
        <v>-1924.135</v>
      </c>
      <c r="S360" s="807" t="s">
        <v>1114</v>
      </c>
      <c r="T360" s="807" t="s">
        <v>1114</v>
      </c>
      <c r="U360" s="807" t="s">
        <v>1114</v>
      </c>
      <c r="V360" s="807" t="s">
        <v>1114</v>
      </c>
      <c r="W360" s="807" t="s">
        <v>1114</v>
      </c>
      <c r="X360" s="807" t="s">
        <v>1114</v>
      </c>
      <c r="Y360" s="807" t="s">
        <v>1114</v>
      </c>
      <c r="Z360" s="807" t="s">
        <v>1114</v>
      </c>
      <c r="AA360" s="807" t="s">
        <v>1114</v>
      </c>
    </row>
    <row r="361" spans="1:27">
      <c r="A361" s="75" t="s">
        <v>1513</v>
      </c>
      <c r="B361" s="807" t="s">
        <v>1114</v>
      </c>
      <c r="C361" s="807" t="s">
        <v>1114</v>
      </c>
      <c r="D361" s="807" t="s">
        <v>1114</v>
      </c>
      <c r="E361" s="807" t="s">
        <v>1114</v>
      </c>
      <c r="F361" s="807" t="s">
        <v>1114</v>
      </c>
      <c r="G361" s="807" t="s">
        <v>1114</v>
      </c>
      <c r="H361" s="809">
        <v>-315.93099999999998</v>
      </c>
      <c r="I361" s="809">
        <v>-315.93099999999998</v>
      </c>
      <c r="J361" s="809">
        <v>-562.48599999999999</v>
      </c>
      <c r="K361" s="809">
        <v>-562.48599999999999</v>
      </c>
      <c r="L361" s="809">
        <v>-2717.7159999999999</v>
      </c>
      <c r="M361" s="809">
        <v>-2717.7159999999999</v>
      </c>
      <c r="N361" s="809">
        <v>-2562.2640000000001</v>
      </c>
      <c r="O361" s="809">
        <v>-2557.0880000000002</v>
      </c>
      <c r="P361" s="807" t="s">
        <v>1114</v>
      </c>
      <c r="Q361" s="807" t="s">
        <v>1114</v>
      </c>
      <c r="R361" s="809">
        <v>-1924.135</v>
      </c>
      <c r="S361" s="809">
        <v>-1858.3040000000001</v>
      </c>
      <c r="T361" s="809">
        <v>-4513.2659999999996</v>
      </c>
      <c r="U361" s="809">
        <v>-4513.2659999999996</v>
      </c>
      <c r="V361" s="809">
        <v>-4513.2659999999996</v>
      </c>
      <c r="W361" s="809">
        <v>-4513.2659999999996</v>
      </c>
      <c r="X361" s="809">
        <v>-5340.7780000000002</v>
      </c>
      <c r="Y361" s="809">
        <v>-5340.7780000000002</v>
      </c>
      <c r="Z361" s="809">
        <v>-5340.7780000000002</v>
      </c>
      <c r="AA361" s="809">
        <v>-5340.7780000000002</v>
      </c>
    </row>
    <row r="362" spans="1:27">
      <c r="A362" s="75" t="s">
        <v>1514</v>
      </c>
      <c r="B362" s="807" t="s">
        <v>1114</v>
      </c>
      <c r="C362" s="807" t="s">
        <v>1114</v>
      </c>
      <c r="D362" s="807" t="s">
        <v>1114</v>
      </c>
      <c r="E362" s="807" t="s">
        <v>1114</v>
      </c>
      <c r="F362" s="807" t="s">
        <v>1114</v>
      </c>
      <c r="G362" s="807" t="s">
        <v>1114</v>
      </c>
      <c r="H362" s="809">
        <v>-315.93099999999998</v>
      </c>
      <c r="I362" s="809">
        <v>-315.93099999999998</v>
      </c>
      <c r="J362" s="809">
        <v>-562.48599999999999</v>
      </c>
      <c r="K362" s="809">
        <v>-562.48599999999999</v>
      </c>
      <c r="L362" s="809">
        <v>-2717.7159999999999</v>
      </c>
      <c r="M362" s="809">
        <v>-2717.7159999999999</v>
      </c>
      <c r="N362" s="809">
        <v>-2562.2640000000001</v>
      </c>
      <c r="O362" s="809">
        <v>-2557.0880000000002</v>
      </c>
      <c r="P362" s="807" t="s">
        <v>1114</v>
      </c>
      <c r="Q362" s="807" t="s">
        <v>1114</v>
      </c>
      <c r="R362" s="809">
        <v>-1924.135</v>
      </c>
      <c r="S362" s="809">
        <v>-1858.3040000000001</v>
      </c>
      <c r="T362" s="809">
        <v>-4513.2659999999996</v>
      </c>
      <c r="U362" s="809">
        <v>-4513.2659999999996</v>
      </c>
      <c r="V362" s="809">
        <v>-4513.2659999999996</v>
      </c>
      <c r="W362" s="809">
        <v>-4513.2659999999996</v>
      </c>
      <c r="X362" s="809">
        <v>-5340.7780000000002</v>
      </c>
      <c r="Y362" s="809">
        <v>-5340.7780000000002</v>
      </c>
      <c r="Z362" s="809">
        <v>-5340.7780000000002</v>
      </c>
      <c r="AA362" s="809">
        <v>-5340.7780000000002</v>
      </c>
    </row>
    <row r="363" spans="1:27">
      <c r="A363" s="75" t="s">
        <v>1515</v>
      </c>
      <c r="B363" s="807" t="s">
        <v>1114</v>
      </c>
      <c r="C363" s="807" t="s">
        <v>1114</v>
      </c>
      <c r="D363" s="807" t="s">
        <v>1114</v>
      </c>
      <c r="E363" s="807" t="s">
        <v>1114</v>
      </c>
      <c r="F363" s="807" t="s">
        <v>1114</v>
      </c>
      <c r="G363" s="807" t="s">
        <v>1114</v>
      </c>
      <c r="H363" s="809">
        <v>-315.93099999999998</v>
      </c>
      <c r="I363" s="809">
        <v>-315.93099999999998</v>
      </c>
      <c r="J363" s="809">
        <v>-562.48599999999999</v>
      </c>
      <c r="K363" s="809">
        <v>-562.48599999999999</v>
      </c>
      <c r="L363" s="809">
        <v>-2717.7159999999999</v>
      </c>
      <c r="M363" s="809">
        <v>-2717.7159999999999</v>
      </c>
      <c r="N363" s="809">
        <v>-2562.2640000000001</v>
      </c>
      <c r="O363" s="809">
        <v>-2557.0880000000002</v>
      </c>
      <c r="P363" s="807" t="s">
        <v>1114</v>
      </c>
      <c r="Q363" s="807" t="s">
        <v>1114</v>
      </c>
      <c r="R363" s="809">
        <v>-1924.135</v>
      </c>
      <c r="S363" s="809">
        <v>-1858.3040000000001</v>
      </c>
      <c r="T363" s="809">
        <v>-4513.2659999999996</v>
      </c>
      <c r="U363" s="809">
        <v>-4513.2659999999996</v>
      </c>
      <c r="V363" s="809">
        <v>-4513.2659999999996</v>
      </c>
      <c r="W363" s="809">
        <v>-4513.2659999999996</v>
      </c>
      <c r="X363" s="809">
        <v>-5340.7780000000002</v>
      </c>
      <c r="Y363" s="809">
        <v>-5340.7780000000002</v>
      </c>
      <c r="Z363" s="809">
        <v>-5340.7780000000002</v>
      </c>
      <c r="AA363" s="809">
        <v>-5340.7780000000002</v>
      </c>
    </row>
    <row r="364" spans="1:27">
      <c r="A364" s="75" t="s">
        <v>1516</v>
      </c>
      <c r="B364" s="807" t="s">
        <v>1114</v>
      </c>
      <c r="C364" s="807" t="s">
        <v>1114</v>
      </c>
      <c r="D364" s="807" t="s">
        <v>1114</v>
      </c>
      <c r="E364" s="807" t="s">
        <v>1114</v>
      </c>
      <c r="F364" s="807" t="s">
        <v>1114</v>
      </c>
      <c r="G364" s="807" t="s">
        <v>1114</v>
      </c>
      <c r="H364" s="802">
        <v>0</v>
      </c>
      <c r="I364" s="802">
        <v>0</v>
      </c>
      <c r="J364" s="802">
        <v>0</v>
      </c>
      <c r="K364" s="802">
        <v>0</v>
      </c>
      <c r="L364" s="802">
        <v>0</v>
      </c>
      <c r="M364" s="802">
        <v>0</v>
      </c>
      <c r="N364" s="802">
        <v>0</v>
      </c>
      <c r="O364" s="802">
        <v>0</v>
      </c>
      <c r="P364" s="807" t="s">
        <v>1114</v>
      </c>
      <c r="Q364" s="807" t="s">
        <v>1114</v>
      </c>
      <c r="R364" s="802">
        <v>0</v>
      </c>
      <c r="S364" s="802">
        <v>0</v>
      </c>
      <c r="T364" s="802">
        <v>0</v>
      </c>
      <c r="U364" s="802">
        <v>0</v>
      </c>
      <c r="V364" s="802">
        <v>0</v>
      </c>
      <c r="W364" s="802">
        <v>0</v>
      </c>
      <c r="X364" s="802">
        <v>0</v>
      </c>
      <c r="Y364" s="802">
        <v>0</v>
      </c>
      <c r="Z364" s="802">
        <v>0</v>
      </c>
      <c r="AA364" s="802">
        <v>0</v>
      </c>
    </row>
    <row r="365" spans="1:27">
      <c r="A365" s="75" t="s">
        <v>1517</v>
      </c>
      <c r="B365" s="807" t="s">
        <v>1114</v>
      </c>
      <c r="C365" s="807" t="s">
        <v>1114</v>
      </c>
      <c r="D365" s="807" t="s">
        <v>1114</v>
      </c>
      <c r="E365" s="807" t="s">
        <v>1114</v>
      </c>
      <c r="F365" s="807" t="s">
        <v>1114</v>
      </c>
      <c r="G365" s="807" t="s">
        <v>1114</v>
      </c>
      <c r="H365" s="807" t="s">
        <v>1525</v>
      </c>
      <c r="I365" s="807" t="s">
        <v>1525</v>
      </c>
      <c r="J365" s="807" t="s">
        <v>1525</v>
      </c>
      <c r="K365" s="807" t="s">
        <v>1525</v>
      </c>
      <c r="L365" s="807" t="s">
        <v>1525</v>
      </c>
      <c r="M365" s="807" t="s">
        <v>1525</v>
      </c>
      <c r="N365" s="807" t="s">
        <v>1525</v>
      </c>
      <c r="O365" s="807" t="s">
        <v>1525</v>
      </c>
      <c r="P365" s="807" t="s">
        <v>1114</v>
      </c>
      <c r="Q365" s="807" t="s">
        <v>1114</v>
      </c>
      <c r="R365" s="807" t="s">
        <v>1525</v>
      </c>
      <c r="S365" s="807" t="s">
        <v>1525</v>
      </c>
      <c r="T365" s="807" t="s">
        <v>1525</v>
      </c>
      <c r="U365" s="807" t="s">
        <v>1525</v>
      </c>
      <c r="V365" s="807" t="s">
        <v>1525</v>
      </c>
      <c r="W365" s="807" t="s">
        <v>1525</v>
      </c>
      <c r="X365" s="807" t="s">
        <v>1525</v>
      </c>
      <c r="Y365" s="807" t="s">
        <v>1525</v>
      </c>
      <c r="Z365" s="807" t="s">
        <v>1525</v>
      </c>
      <c r="AA365" s="807" t="s">
        <v>1525</v>
      </c>
    </row>
    <row r="366" spans="1:27">
      <c r="A366" s="75" t="s">
        <v>1526</v>
      </c>
      <c r="B366" s="807" t="s">
        <v>1114</v>
      </c>
      <c r="C366" s="807" t="s">
        <v>1114</v>
      </c>
      <c r="D366" s="807" t="s">
        <v>1114</v>
      </c>
      <c r="E366" s="807" t="s">
        <v>1114</v>
      </c>
      <c r="F366" s="807" t="s">
        <v>1114</v>
      </c>
      <c r="G366" s="807" t="s">
        <v>1114</v>
      </c>
      <c r="H366" s="807" t="s">
        <v>1527</v>
      </c>
      <c r="I366" s="807" t="s">
        <v>1527</v>
      </c>
      <c r="J366" s="807" t="s">
        <v>1527</v>
      </c>
      <c r="K366" s="807" t="s">
        <v>1527</v>
      </c>
      <c r="L366" s="807" t="s">
        <v>1527</v>
      </c>
      <c r="M366" s="807" t="s">
        <v>1527</v>
      </c>
      <c r="N366" s="807" t="s">
        <v>1527</v>
      </c>
      <c r="O366" s="807" t="s">
        <v>1527</v>
      </c>
      <c r="P366" s="807" t="s">
        <v>1114</v>
      </c>
      <c r="Q366" s="807" t="s">
        <v>1114</v>
      </c>
      <c r="R366" s="807" t="s">
        <v>1527</v>
      </c>
      <c r="S366" s="807" t="s">
        <v>1527</v>
      </c>
      <c r="T366" s="807" t="s">
        <v>1527</v>
      </c>
      <c r="U366" s="807" t="s">
        <v>1527</v>
      </c>
      <c r="V366" s="807" t="s">
        <v>1527</v>
      </c>
      <c r="W366" s="807" t="s">
        <v>1527</v>
      </c>
      <c r="X366" s="807" t="s">
        <v>1527</v>
      </c>
      <c r="Y366" s="807" t="s">
        <v>1527</v>
      </c>
      <c r="Z366" s="807" t="s">
        <v>1527</v>
      </c>
      <c r="AA366" s="807" t="s">
        <v>1527</v>
      </c>
    </row>
    <row r="367" spans="1:27">
      <c r="A367" s="806" t="s">
        <v>1605</v>
      </c>
      <c r="B367" s="808">
        <v>100</v>
      </c>
      <c r="C367" s="808">
        <v>345</v>
      </c>
      <c r="D367" s="808">
        <v>34</v>
      </c>
      <c r="E367" s="808">
        <v>38</v>
      </c>
      <c r="F367" s="808">
        <v>38</v>
      </c>
      <c r="G367" s="808">
        <v>40</v>
      </c>
      <c r="H367" s="809">
        <v>35</v>
      </c>
      <c r="I367" s="808">
        <v>36</v>
      </c>
      <c r="J367" s="807" t="s">
        <v>1114</v>
      </c>
      <c r="K367" s="808">
        <v>37</v>
      </c>
      <c r="L367" s="808">
        <v>40</v>
      </c>
      <c r="M367" s="808">
        <v>34</v>
      </c>
      <c r="N367" s="808">
        <v>31</v>
      </c>
      <c r="O367" s="808">
        <v>36</v>
      </c>
      <c r="P367" s="807" t="s">
        <v>1114</v>
      </c>
      <c r="Q367" s="808">
        <v>41</v>
      </c>
      <c r="R367" s="808">
        <v>46</v>
      </c>
      <c r="S367" s="809">
        <v>41</v>
      </c>
      <c r="T367" s="807" t="s">
        <v>1114</v>
      </c>
      <c r="U367" s="807" t="s">
        <v>1114</v>
      </c>
      <c r="V367" s="807" t="s">
        <v>1114</v>
      </c>
      <c r="W367" s="807" t="s">
        <v>1114</v>
      </c>
      <c r="X367" s="807" t="s">
        <v>1114</v>
      </c>
      <c r="Y367" s="807" t="s">
        <v>1114</v>
      </c>
      <c r="Z367" s="807" t="s">
        <v>1114</v>
      </c>
      <c r="AA367" s="807" t="s">
        <v>1114</v>
      </c>
    </row>
    <row r="368" spans="1:27">
      <c r="A368" s="75" t="s">
        <v>1512</v>
      </c>
      <c r="B368" s="809">
        <v>78</v>
      </c>
      <c r="C368" s="809">
        <v>64</v>
      </c>
      <c r="D368" s="809">
        <v>76</v>
      </c>
      <c r="E368" s="809">
        <v>57.5</v>
      </c>
      <c r="F368" s="809">
        <v>39</v>
      </c>
      <c r="G368" s="809">
        <v>37</v>
      </c>
      <c r="H368" s="807" t="s">
        <v>1114</v>
      </c>
      <c r="I368" s="809">
        <v>42</v>
      </c>
      <c r="J368" s="807" t="s">
        <v>1114</v>
      </c>
      <c r="K368" s="809">
        <v>36.5</v>
      </c>
      <c r="L368" s="809">
        <v>37.666670000000003</v>
      </c>
      <c r="M368" s="809">
        <v>42</v>
      </c>
      <c r="N368" s="809">
        <v>37</v>
      </c>
      <c r="O368" s="809">
        <v>39</v>
      </c>
      <c r="P368" s="807" t="s">
        <v>1114</v>
      </c>
      <c r="Q368" s="809">
        <v>40</v>
      </c>
      <c r="R368" s="809">
        <v>40</v>
      </c>
      <c r="S368" s="807" t="s">
        <v>1114</v>
      </c>
      <c r="T368" s="807" t="s">
        <v>1114</v>
      </c>
      <c r="U368" s="807" t="s">
        <v>1114</v>
      </c>
      <c r="V368" s="807" t="s">
        <v>1114</v>
      </c>
      <c r="W368" s="807" t="s">
        <v>1114</v>
      </c>
      <c r="X368" s="807" t="s">
        <v>1114</v>
      </c>
      <c r="Y368" s="807" t="s">
        <v>1114</v>
      </c>
      <c r="Z368" s="807" t="s">
        <v>1114</v>
      </c>
      <c r="AA368" s="807" t="s">
        <v>1114</v>
      </c>
    </row>
    <row r="369" spans="1:27">
      <c r="A369" s="75" t="s">
        <v>1513</v>
      </c>
      <c r="B369" s="809">
        <v>78</v>
      </c>
      <c r="C369" s="809">
        <v>64</v>
      </c>
      <c r="D369" s="809">
        <v>76</v>
      </c>
      <c r="E369" s="809">
        <v>57.5</v>
      </c>
      <c r="F369" s="809">
        <v>39</v>
      </c>
      <c r="G369" s="809">
        <v>37</v>
      </c>
      <c r="H369" s="809">
        <v>35</v>
      </c>
      <c r="I369" s="809">
        <v>42</v>
      </c>
      <c r="J369" s="807" t="s">
        <v>1114</v>
      </c>
      <c r="K369" s="809">
        <v>36.5</v>
      </c>
      <c r="L369" s="809">
        <v>38</v>
      </c>
      <c r="M369" s="809">
        <v>42</v>
      </c>
      <c r="N369" s="809">
        <v>37</v>
      </c>
      <c r="O369" s="809">
        <v>39</v>
      </c>
      <c r="P369" s="807" t="s">
        <v>1114</v>
      </c>
      <c r="Q369" s="809">
        <v>40</v>
      </c>
      <c r="R369" s="809">
        <v>40</v>
      </c>
      <c r="S369" s="809">
        <v>41</v>
      </c>
      <c r="T369" s="807" t="s">
        <v>1114</v>
      </c>
      <c r="U369" s="807" t="s">
        <v>1114</v>
      </c>
      <c r="V369" s="807" t="s">
        <v>1114</v>
      </c>
      <c r="W369" s="807" t="s">
        <v>1114</v>
      </c>
      <c r="X369" s="807" t="s">
        <v>1114</v>
      </c>
      <c r="Y369" s="807" t="s">
        <v>1114</v>
      </c>
      <c r="Z369" s="807" t="s">
        <v>1114</v>
      </c>
      <c r="AA369" s="807" t="s">
        <v>1114</v>
      </c>
    </row>
    <row r="370" spans="1:27">
      <c r="A370" s="75" t="s">
        <v>1514</v>
      </c>
      <c r="B370" s="809">
        <v>78</v>
      </c>
      <c r="C370" s="809">
        <v>64</v>
      </c>
      <c r="D370" s="809">
        <v>76</v>
      </c>
      <c r="E370" s="809">
        <v>80</v>
      </c>
      <c r="F370" s="809">
        <v>39</v>
      </c>
      <c r="G370" s="809">
        <v>37</v>
      </c>
      <c r="H370" s="809">
        <v>35</v>
      </c>
      <c r="I370" s="809">
        <v>42</v>
      </c>
      <c r="J370" s="807" t="s">
        <v>1114</v>
      </c>
      <c r="K370" s="809">
        <v>38</v>
      </c>
      <c r="L370" s="809">
        <v>40</v>
      </c>
      <c r="M370" s="809">
        <v>42</v>
      </c>
      <c r="N370" s="809">
        <v>39</v>
      </c>
      <c r="O370" s="809">
        <v>39</v>
      </c>
      <c r="P370" s="807" t="s">
        <v>1114</v>
      </c>
      <c r="Q370" s="809">
        <v>40</v>
      </c>
      <c r="R370" s="809">
        <v>40</v>
      </c>
      <c r="S370" s="809">
        <v>41</v>
      </c>
      <c r="T370" s="807" t="s">
        <v>1114</v>
      </c>
      <c r="U370" s="807" t="s">
        <v>1114</v>
      </c>
      <c r="V370" s="807" t="s">
        <v>1114</v>
      </c>
      <c r="W370" s="807" t="s">
        <v>1114</v>
      </c>
      <c r="X370" s="807" t="s">
        <v>1114</v>
      </c>
      <c r="Y370" s="807" t="s">
        <v>1114</v>
      </c>
      <c r="Z370" s="807" t="s">
        <v>1114</v>
      </c>
      <c r="AA370" s="807" t="s">
        <v>1114</v>
      </c>
    </row>
    <row r="371" spans="1:27">
      <c r="A371" s="75" t="s">
        <v>1515</v>
      </c>
      <c r="B371" s="809">
        <v>78</v>
      </c>
      <c r="C371" s="809">
        <v>64</v>
      </c>
      <c r="D371" s="809">
        <v>76</v>
      </c>
      <c r="E371" s="809">
        <v>35</v>
      </c>
      <c r="F371" s="809">
        <v>39</v>
      </c>
      <c r="G371" s="809">
        <v>37</v>
      </c>
      <c r="H371" s="809">
        <v>35</v>
      </c>
      <c r="I371" s="809">
        <v>42</v>
      </c>
      <c r="J371" s="807" t="s">
        <v>1114</v>
      </c>
      <c r="K371" s="809">
        <v>35</v>
      </c>
      <c r="L371" s="809">
        <v>35</v>
      </c>
      <c r="M371" s="809">
        <v>42</v>
      </c>
      <c r="N371" s="809">
        <v>35</v>
      </c>
      <c r="O371" s="809">
        <v>39</v>
      </c>
      <c r="P371" s="807" t="s">
        <v>1114</v>
      </c>
      <c r="Q371" s="809">
        <v>40</v>
      </c>
      <c r="R371" s="809">
        <v>40</v>
      </c>
      <c r="S371" s="809">
        <v>41</v>
      </c>
      <c r="T371" s="807" t="s">
        <v>1114</v>
      </c>
      <c r="U371" s="807" t="s">
        <v>1114</v>
      </c>
      <c r="V371" s="807" t="s">
        <v>1114</v>
      </c>
      <c r="W371" s="807" t="s">
        <v>1114</v>
      </c>
      <c r="X371" s="807" t="s">
        <v>1114</v>
      </c>
      <c r="Y371" s="807" t="s">
        <v>1114</v>
      </c>
      <c r="Z371" s="807" t="s">
        <v>1114</v>
      </c>
      <c r="AA371" s="807" t="s">
        <v>1114</v>
      </c>
    </row>
    <row r="372" spans="1:27">
      <c r="A372" s="75" t="s">
        <v>1516</v>
      </c>
      <c r="B372" s="802">
        <v>0</v>
      </c>
      <c r="C372" s="802">
        <v>0</v>
      </c>
      <c r="D372" s="802">
        <v>0</v>
      </c>
      <c r="E372" s="802">
        <v>22.5</v>
      </c>
      <c r="F372" s="802">
        <v>0</v>
      </c>
      <c r="G372" s="802">
        <v>0</v>
      </c>
      <c r="H372" s="802">
        <v>0</v>
      </c>
      <c r="I372" s="802">
        <v>0</v>
      </c>
      <c r="J372" s="807" t="s">
        <v>1114</v>
      </c>
      <c r="K372" s="802">
        <v>1.5</v>
      </c>
      <c r="L372" s="802">
        <v>2.0548000000000002</v>
      </c>
      <c r="M372" s="802">
        <v>0</v>
      </c>
      <c r="N372" s="802">
        <v>2</v>
      </c>
      <c r="O372" s="802">
        <v>0</v>
      </c>
      <c r="P372" s="807" t="s">
        <v>1114</v>
      </c>
      <c r="Q372" s="802">
        <v>0</v>
      </c>
      <c r="R372" s="802">
        <v>0</v>
      </c>
      <c r="S372" s="802">
        <v>0</v>
      </c>
      <c r="T372" s="807" t="s">
        <v>1114</v>
      </c>
      <c r="U372" s="807" t="s">
        <v>1114</v>
      </c>
      <c r="V372" s="807" t="s">
        <v>1114</v>
      </c>
      <c r="W372" s="807" t="s">
        <v>1114</v>
      </c>
      <c r="X372" s="807" t="s">
        <v>1114</v>
      </c>
      <c r="Y372" s="807" t="s">
        <v>1114</v>
      </c>
      <c r="Z372" s="807" t="s">
        <v>1114</v>
      </c>
      <c r="AA372" s="807" t="s">
        <v>1114</v>
      </c>
    </row>
    <row r="373" spans="1:27">
      <c r="A373" s="75" t="s">
        <v>1517</v>
      </c>
      <c r="B373" s="807" t="s">
        <v>1525</v>
      </c>
      <c r="C373" s="807" t="s">
        <v>1525</v>
      </c>
      <c r="D373" s="807" t="s">
        <v>1525</v>
      </c>
      <c r="E373" s="807" t="s">
        <v>1551</v>
      </c>
      <c r="F373" s="807" t="s">
        <v>1525</v>
      </c>
      <c r="G373" s="807" t="s">
        <v>1525</v>
      </c>
      <c r="H373" s="807" t="s">
        <v>1525</v>
      </c>
      <c r="I373" s="807" t="s">
        <v>1525</v>
      </c>
      <c r="J373" s="807" t="s">
        <v>1114</v>
      </c>
      <c r="K373" s="807" t="s">
        <v>1578</v>
      </c>
      <c r="L373" s="807" t="s">
        <v>1553</v>
      </c>
      <c r="M373" s="807" t="s">
        <v>1525</v>
      </c>
      <c r="N373" s="807" t="s">
        <v>1551</v>
      </c>
      <c r="O373" s="807" t="s">
        <v>1525</v>
      </c>
      <c r="P373" s="807" t="s">
        <v>1114</v>
      </c>
      <c r="Q373" s="807" t="s">
        <v>1525</v>
      </c>
      <c r="R373" s="807" t="s">
        <v>1525</v>
      </c>
      <c r="S373" s="807" t="s">
        <v>1525</v>
      </c>
      <c r="T373" s="807" t="s">
        <v>1114</v>
      </c>
      <c r="U373" s="807" t="s">
        <v>1114</v>
      </c>
      <c r="V373" s="807" t="s">
        <v>1114</v>
      </c>
      <c r="W373" s="807" t="s">
        <v>1114</v>
      </c>
      <c r="X373" s="807" t="s">
        <v>1114</v>
      </c>
      <c r="Y373" s="807" t="s">
        <v>1114</v>
      </c>
      <c r="Z373" s="807" t="s">
        <v>1114</v>
      </c>
      <c r="AA373" s="807" t="s">
        <v>1114</v>
      </c>
    </row>
    <row r="374" spans="1:27">
      <c r="A374" s="75" t="s">
        <v>1526</v>
      </c>
      <c r="B374" s="807" t="s">
        <v>1527</v>
      </c>
      <c r="C374" s="807" t="s">
        <v>1527</v>
      </c>
      <c r="D374" s="807" t="s">
        <v>1527</v>
      </c>
      <c r="E374" s="807" t="s">
        <v>1527</v>
      </c>
      <c r="F374" s="807" t="s">
        <v>1527</v>
      </c>
      <c r="G374" s="807" t="s">
        <v>1527</v>
      </c>
      <c r="H374" s="807" t="s">
        <v>1527</v>
      </c>
      <c r="I374" s="807" t="s">
        <v>1527</v>
      </c>
      <c r="J374" s="807" t="s">
        <v>1114</v>
      </c>
      <c r="K374" s="807" t="s">
        <v>1527</v>
      </c>
      <c r="L374" s="807" t="s">
        <v>1527</v>
      </c>
      <c r="M374" s="807" t="s">
        <v>1527</v>
      </c>
      <c r="N374" s="807" t="s">
        <v>1527</v>
      </c>
      <c r="O374" s="807" t="s">
        <v>1527</v>
      </c>
      <c r="P374" s="807" t="s">
        <v>1114</v>
      </c>
      <c r="Q374" s="807" t="s">
        <v>1527</v>
      </c>
      <c r="R374" s="807" t="s">
        <v>1527</v>
      </c>
      <c r="S374" s="807" t="s">
        <v>1527</v>
      </c>
      <c r="T374" s="807" t="s">
        <v>1114</v>
      </c>
      <c r="U374" s="807" t="s">
        <v>1114</v>
      </c>
      <c r="V374" s="807" t="s">
        <v>1114</v>
      </c>
      <c r="W374" s="807" t="s">
        <v>1114</v>
      </c>
      <c r="X374" s="807" t="s">
        <v>1114</v>
      </c>
      <c r="Y374" s="807" t="s">
        <v>1114</v>
      </c>
      <c r="Z374" s="807" t="s">
        <v>1114</v>
      </c>
      <c r="AA374" s="807" t="s">
        <v>1114</v>
      </c>
    </row>
    <row r="375" spans="1:27">
      <c r="A375" s="806" t="s">
        <v>1608</v>
      </c>
      <c r="B375" s="808">
        <v>-273</v>
      </c>
      <c r="C375" s="807" t="s">
        <v>1114</v>
      </c>
      <c r="D375" s="807" t="s">
        <v>1114</v>
      </c>
      <c r="E375" s="807" t="s">
        <v>1114</v>
      </c>
      <c r="F375" s="807" t="s">
        <v>1114</v>
      </c>
      <c r="G375" s="807" t="s">
        <v>1114</v>
      </c>
      <c r="H375" s="807" t="s">
        <v>1114</v>
      </c>
      <c r="I375" s="807" t="s">
        <v>1114</v>
      </c>
      <c r="J375" s="807" t="s">
        <v>1114</v>
      </c>
      <c r="K375" s="807" t="s">
        <v>1114</v>
      </c>
      <c r="L375" s="808">
        <v>-11</v>
      </c>
      <c r="M375" s="808">
        <v>272</v>
      </c>
      <c r="N375" s="808">
        <v>338</v>
      </c>
      <c r="O375" s="808">
        <v>253</v>
      </c>
      <c r="P375" s="807" t="s">
        <v>1114</v>
      </c>
      <c r="Q375" s="807" t="s">
        <v>1114</v>
      </c>
      <c r="R375" s="808">
        <v>-127</v>
      </c>
      <c r="S375" s="809">
        <v>129</v>
      </c>
      <c r="T375" s="807" t="s">
        <v>1114</v>
      </c>
      <c r="U375" s="807" t="s">
        <v>1114</v>
      </c>
      <c r="V375" s="807" t="s">
        <v>1114</v>
      </c>
      <c r="W375" s="807" t="s">
        <v>1114</v>
      </c>
      <c r="X375" s="807" t="s">
        <v>1114</v>
      </c>
      <c r="Y375" s="807" t="s">
        <v>1114</v>
      </c>
      <c r="Z375" s="807" t="s">
        <v>1114</v>
      </c>
      <c r="AA375" s="807" t="s">
        <v>1114</v>
      </c>
    </row>
    <row r="376" spans="1:27">
      <c r="A376" s="75" t="s">
        <v>1512</v>
      </c>
      <c r="B376" s="809">
        <v>-210</v>
      </c>
      <c r="C376" s="807" t="s">
        <v>1114</v>
      </c>
      <c r="D376" s="807" t="s">
        <v>1114</v>
      </c>
      <c r="E376" s="807" t="s">
        <v>1114</v>
      </c>
      <c r="F376" s="807" t="s">
        <v>1114</v>
      </c>
      <c r="G376" s="807" t="s">
        <v>1114</v>
      </c>
      <c r="H376" s="807" t="s">
        <v>1114</v>
      </c>
      <c r="I376" s="807" t="s">
        <v>1114</v>
      </c>
      <c r="J376" s="807" t="s">
        <v>1114</v>
      </c>
      <c r="K376" s="807" t="s">
        <v>1114</v>
      </c>
      <c r="L376" s="809">
        <v>-143</v>
      </c>
      <c r="M376" s="809">
        <v>87</v>
      </c>
      <c r="N376" s="809">
        <v>129.5</v>
      </c>
      <c r="O376" s="809">
        <v>72.5</v>
      </c>
      <c r="P376" s="807" t="s">
        <v>1114</v>
      </c>
      <c r="Q376" s="807" t="s">
        <v>1114</v>
      </c>
      <c r="R376" s="809">
        <v>105</v>
      </c>
      <c r="S376" s="807" t="s">
        <v>1114</v>
      </c>
      <c r="T376" s="807" t="s">
        <v>1114</v>
      </c>
      <c r="U376" s="807" t="s">
        <v>1114</v>
      </c>
      <c r="V376" s="807" t="s">
        <v>1114</v>
      </c>
      <c r="W376" s="807" t="s">
        <v>1114</v>
      </c>
      <c r="X376" s="807" t="s">
        <v>1114</v>
      </c>
      <c r="Y376" s="807" t="s">
        <v>1114</v>
      </c>
      <c r="Z376" s="807" t="s">
        <v>1114</v>
      </c>
      <c r="AA376" s="807" t="s">
        <v>1114</v>
      </c>
    </row>
    <row r="377" spans="1:27">
      <c r="A377" s="75" t="s">
        <v>1513</v>
      </c>
      <c r="B377" s="809">
        <v>-210</v>
      </c>
      <c r="C377" s="807" t="s">
        <v>1114</v>
      </c>
      <c r="D377" s="807" t="s">
        <v>1114</v>
      </c>
      <c r="E377" s="807" t="s">
        <v>1114</v>
      </c>
      <c r="F377" s="807" t="s">
        <v>1114</v>
      </c>
      <c r="G377" s="807" t="s">
        <v>1114</v>
      </c>
      <c r="H377" s="807" t="s">
        <v>1114</v>
      </c>
      <c r="I377" s="807" t="s">
        <v>1114</v>
      </c>
      <c r="J377" s="807" t="s">
        <v>1114</v>
      </c>
      <c r="K377" s="807" t="s">
        <v>1114</v>
      </c>
      <c r="L377" s="809">
        <v>-143</v>
      </c>
      <c r="M377" s="809">
        <v>87</v>
      </c>
      <c r="N377" s="809">
        <v>129.5</v>
      </c>
      <c r="O377" s="809">
        <v>72.5</v>
      </c>
      <c r="P377" s="807" t="s">
        <v>1114</v>
      </c>
      <c r="Q377" s="807" t="s">
        <v>1114</v>
      </c>
      <c r="R377" s="809">
        <v>105</v>
      </c>
      <c r="S377" s="809">
        <v>129</v>
      </c>
      <c r="T377" s="807" t="s">
        <v>1114</v>
      </c>
      <c r="U377" s="807" t="s">
        <v>1114</v>
      </c>
      <c r="V377" s="807" t="s">
        <v>1114</v>
      </c>
      <c r="W377" s="807" t="s">
        <v>1114</v>
      </c>
      <c r="X377" s="807" t="s">
        <v>1114</v>
      </c>
      <c r="Y377" s="807" t="s">
        <v>1114</v>
      </c>
      <c r="Z377" s="807" t="s">
        <v>1114</v>
      </c>
      <c r="AA377" s="807" t="s">
        <v>1114</v>
      </c>
    </row>
    <row r="378" spans="1:27">
      <c r="A378" s="75" t="s">
        <v>1514</v>
      </c>
      <c r="B378" s="809">
        <v>-210</v>
      </c>
      <c r="C378" s="807" t="s">
        <v>1114</v>
      </c>
      <c r="D378" s="807" t="s">
        <v>1114</v>
      </c>
      <c r="E378" s="807" t="s">
        <v>1114</v>
      </c>
      <c r="F378" s="807" t="s">
        <v>1114</v>
      </c>
      <c r="G378" s="807" t="s">
        <v>1114</v>
      </c>
      <c r="H378" s="807" t="s">
        <v>1114</v>
      </c>
      <c r="I378" s="807" t="s">
        <v>1114</v>
      </c>
      <c r="J378" s="807" t="s">
        <v>1114</v>
      </c>
      <c r="K378" s="807" t="s">
        <v>1114</v>
      </c>
      <c r="L378" s="809">
        <v>-143</v>
      </c>
      <c r="M378" s="809">
        <v>87</v>
      </c>
      <c r="N378" s="809">
        <v>204</v>
      </c>
      <c r="O378" s="809">
        <v>165</v>
      </c>
      <c r="P378" s="807" t="s">
        <v>1114</v>
      </c>
      <c r="Q378" s="807" t="s">
        <v>1114</v>
      </c>
      <c r="R378" s="809">
        <v>105</v>
      </c>
      <c r="S378" s="809">
        <v>129</v>
      </c>
      <c r="T378" s="807" t="s">
        <v>1114</v>
      </c>
      <c r="U378" s="807" t="s">
        <v>1114</v>
      </c>
      <c r="V378" s="807" t="s">
        <v>1114</v>
      </c>
      <c r="W378" s="807" t="s">
        <v>1114</v>
      </c>
      <c r="X378" s="807" t="s">
        <v>1114</v>
      </c>
      <c r="Y378" s="807" t="s">
        <v>1114</v>
      </c>
      <c r="Z378" s="807" t="s">
        <v>1114</v>
      </c>
      <c r="AA378" s="807" t="s">
        <v>1114</v>
      </c>
    </row>
    <row r="379" spans="1:27">
      <c r="A379" s="75" t="s">
        <v>1515</v>
      </c>
      <c r="B379" s="809">
        <v>-210</v>
      </c>
      <c r="C379" s="807" t="s">
        <v>1114</v>
      </c>
      <c r="D379" s="807" t="s">
        <v>1114</v>
      </c>
      <c r="E379" s="807" t="s">
        <v>1114</v>
      </c>
      <c r="F379" s="807" t="s">
        <v>1114</v>
      </c>
      <c r="G379" s="807" t="s">
        <v>1114</v>
      </c>
      <c r="H379" s="807" t="s">
        <v>1114</v>
      </c>
      <c r="I379" s="807" t="s">
        <v>1114</v>
      </c>
      <c r="J379" s="807" t="s">
        <v>1114</v>
      </c>
      <c r="K379" s="807" t="s">
        <v>1114</v>
      </c>
      <c r="L379" s="809">
        <v>-143</v>
      </c>
      <c r="M379" s="809">
        <v>87</v>
      </c>
      <c r="N379" s="809">
        <v>55</v>
      </c>
      <c r="O379" s="809">
        <v>-20</v>
      </c>
      <c r="P379" s="807" t="s">
        <v>1114</v>
      </c>
      <c r="Q379" s="807" t="s">
        <v>1114</v>
      </c>
      <c r="R379" s="809">
        <v>105</v>
      </c>
      <c r="S379" s="809">
        <v>129</v>
      </c>
      <c r="T379" s="807" t="s">
        <v>1114</v>
      </c>
      <c r="U379" s="807" t="s">
        <v>1114</v>
      </c>
      <c r="V379" s="807" t="s">
        <v>1114</v>
      </c>
      <c r="W379" s="807" t="s">
        <v>1114</v>
      </c>
      <c r="X379" s="807" t="s">
        <v>1114</v>
      </c>
      <c r="Y379" s="807" t="s">
        <v>1114</v>
      </c>
      <c r="Z379" s="807" t="s">
        <v>1114</v>
      </c>
      <c r="AA379" s="807" t="s">
        <v>1114</v>
      </c>
    </row>
    <row r="380" spans="1:27">
      <c r="A380" s="75" t="s">
        <v>1516</v>
      </c>
      <c r="B380" s="802">
        <v>0</v>
      </c>
      <c r="C380" s="807" t="s">
        <v>1114</v>
      </c>
      <c r="D380" s="807" t="s">
        <v>1114</v>
      </c>
      <c r="E380" s="807" t="s">
        <v>1114</v>
      </c>
      <c r="F380" s="807" t="s">
        <v>1114</v>
      </c>
      <c r="G380" s="807" t="s">
        <v>1114</v>
      </c>
      <c r="H380" s="807" t="s">
        <v>1114</v>
      </c>
      <c r="I380" s="807" t="s">
        <v>1114</v>
      </c>
      <c r="J380" s="807" t="s">
        <v>1114</v>
      </c>
      <c r="K380" s="807" t="s">
        <v>1114</v>
      </c>
      <c r="L380" s="802">
        <v>0</v>
      </c>
      <c r="M380" s="802">
        <v>0</v>
      </c>
      <c r="N380" s="802">
        <v>74.5</v>
      </c>
      <c r="O380" s="802">
        <v>92.5</v>
      </c>
      <c r="P380" s="807" t="s">
        <v>1114</v>
      </c>
      <c r="Q380" s="807" t="s">
        <v>1114</v>
      </c>
      <c r="R380" s="802">
        <v>0</v>
      </c>
      <c r="S380" s="802">
        <v>0</v>
      </c>
      <c r="T380" s="807" t="s">
        <v>1114</v>
      </c>
      <c r="U380" s="807" t="s">
        <v>1114</v>
      </c>
      <c r="V380" s="807" t="s">
        <v>1114</v>
      </c>
      <c r="W380" s="807" t="s">
        <v>1114</v>
      </c>
      <c r="X380" s="807" t="s">
        <v>1114</v>
      </c>
      <c r="Y380" s="807" t="s">
        <v>1114</v>
      </c>
      <c r="Z380" s="807" t="s">
        <v>1114</v>
      </c>
      <c r="AA380" s="807" t="s">
        <v>1114</v>
      </c>
    </row>
    <row r="381" spans="1:27">
      <c r="A381" s="75" t="s">
        <v>1517</v>
      </c>
      <c r="B381" s="807" t="s">
        <v>1525</v>
      </c>
      <c r="C381" s="807" t="s">
        <v>1114</v>
      </c>
      <c r="D381" s="807" t="s">
        <v>1114</v>
      </c>
      <c r="E381" s="807" t="s">
        <v>1114</v>
      </c>
      <c r="F381" s="807" t="s">
        <v>1114</v>
      </c>
      <c r="G381" s="807" t="s">
        <v>1114</v>
      </c>
      <c r="H381" s="807" t="s">
        <v>1114</v>
      </c>
      <c r="I381" s="807" t="s">
        <v>1114</v>
      </c>
      <c r="J381" s="807" t="s">
        <v>1114</v>
      </c>
      <c r="K381" s="807" t="s">
        <v>1114</v>
      </c>
      <c r="L381" s="807" t="s">
        <v>1525</v>
      </c>
      <c r="M381" s="807" t="s">
        <v>1525</v>
      </c>
      <c r="N381" s="807" t="s">
        <v>1551</v>
      </c>
      <c r="O381" s="807" t="s">
        <v>1551</v>
      </c>
      <c r="P381" s="807" t="s">
        <v>1114</v>
      </c>
      <c r="Q381" s="807" t="s">
        <v>1114</v>
      </c>
      <c r="R381" s="807" t="s">
        <v>1627</v>
      </c>
      <c r="S381" s="807" t="s">
        <v>1627</v>
      </c>
      <c r="T381" s="807" t="s">
        <v>1114</v>
      </c>
      <c r="U381" s="807" t="s">
        <v>1114</v>
      </c>
      <c r="V381" s="807" t="s">
        <v>1114</v>
      </c>
      <c r="W381" s="807" t="s">
        <v>1114</v>
      </c>
      <c r="X381" s="807" t="s">
        <v>1114</v>
      </c>
      <c r="Y381" s="807" t="s">
        <v>1114</v>
      </c>
      <c r="Z381" s="807" t="s">
        <v>1114</v>
      </c>
      <c r="AA381" s="807" t="s">
        <v>1114</v>
      </c>
    </row>
    <row r="382" spans="1:27">
      <c r="A382" s="75" t="s">
        <v>1526</v>
      </c>
      <c r="B382" s="807" t="s">
        <v>1527</v>
      </c>
      <c r="C382" s="807" t="s">
        <v>1114</v>
      </c>
      <c r="D382" s="807" t="s">
        <v>1114</v>
      </c>
      <c r="E382" s="807" t="s">
        <v>1114</v>
      </c>
      <c r="F382" s="807" t="s">
        <v>1114</v>
      </c>
      <c r="G382" s="807" t="s">
        <v>1114</v>
      </c>
      <c r="H382" s="807" t="s">
        <v>1114</v>
      </c>
      <c r="I382" s="807" t="s">
        <v>1114</v>
      </c>
      <c r="J382" s="807" t="s">
        <v>1114</v>
      </c>
      <c r="K382" s="807" t="s">
        <v>1114</v>
      </c>
      <c r="L382" s="807" t="s">
        <v>1527</v>
      </c>
      <c r="M382" s="807" t="s">
        <v>1527</v>
      </c>
      <c r="N382" s="807" t="s">
        <v>1527</v>
      </c>
      <c r="O382" s="807" t="s">
        <v>1527</v>
      </c>
      <c r="P382" s="807" t="s">
        <v>1114</v>
      </c>
      <c r="Q382" s="807" t="s">
        <v>1114</v>
      </c>
      <c r="R382" s="807" t="s">
        <v>1527</v>
      </c>
      <c r="S382" s="807" t="s">
        <v>1527</v>
      </c>
      <c r="T382" s="807" t="s">
        <v>1114</v>
      </c>
      <c r="U382" s="807" t="s">
        <v>1114</v>
      </c>
      <c r="V382" s="807" t="s">
        <v>1114</v>
      </c>
      <c r="W382" s="807" t="s">
        <v>1114</v>
      </c>
      <c r="X382" s="807" t="s">
        <v>1114</v>
      </c>
      <c r="Y382" s="807" t="s">
        <v>1114</v>
      </c>
      <c r="Z382" s="807" t="s">
        <v>1114</v>
      </c>
      <c r="AA382" s="807" t="s">
        <v>1114</v>
      </c>
    </row>
    <row r="383" spans="1:27">
      <c r="A383" s="806" t="s">
        <v>1610</v>
      </c>
      <c r="B383" s="808">
        <v>-17</v>
      </c>
      <c r="C383" s="807" t="s">
        <v>1114</v>
      </c>
      <c r="D383" s="807" t="s">
        <v>1114</v>
      </c>
      <c r="E383" s="807" t="s">
        <v>1114</v>
      </c>
      <c r="F383" s="807" t="s">
        <v>1114</v>
      </c>
      <c r="G383" s="807" t="s">
        <v>1114</v>
      </c>
      <c r="H383" s="807" t="s">
        <v>1114</v>
      </c>
      <c r="I383" s="807" t="s">
        <v>1114</v>
      </c>
      <c r="J383" s="807" t="s">
        <v>1114</v>
      </c>
      <c r="K383" s="807" t="s">
        <v>1114</v>
      </c>
      <c r="L383" s="807" t="s">
        <v>1114</v>
      </c>
      <c r="M383" s="807" t="s">
        <v>1114</v>
      </c>
      <c r="N383" s="808">
        <v>-23</v>
      </c>
      <c r="O383" s="808">
        <v>-53</v>
      </c>
      <c r="P383" s="808">
        <v>-35</v>
      </c>
      <c r="Q383" s="808">
        <v>-25</v>
      </c>
      <c r="R383" s="808">
        <v>-27</v>
      </c>
      <c r="S383" s="809">
        <v>-21.4</v>
      </c>
      <c r="T383" s="807" t="s">
        <v>1114</v>
      </c>
      <c r="U383" s="807" t="s">
        <v>1114</v>
      </c>
      <c r="V383" s="807" t="s">
        <v>1114</v>
      </c>
      <c r="W383" s="807" t="s">
        <v>1114</v>
      </c>
      <c r="X383" s="807" t="s">
        <v>1114</v>
      </c>
      <c r="Y383" s="807" t="s">
        <v>1114</v>
      </c>
      <c r="Z383" s="807" t="s">
        <v>1114</v>
      </c>
      <c r="AA383" s="807" t="s">
        <v>1114</v>
      </c>
    </row>
    <row r="384" spans="1:27">
      <c r="A384" s="75" t="s">
        <v>1512</v>
      </c>
      <c r="B384" s="809">
        <v>-15.5</v>
      </c>
      <c r="C384" s="807" t="s">
        <v>1114</v>
      </c>
      <c r="D384" s="807" t="s">
        <v>1114</v>
      </c>
      <c r="E384" s="807" t="s">
        <v>1114</v>
      </c>
      <c r="F384" s="807" t="s">
        <v>1114</v>
      </c>
      <c r="G384" s="807" t="s">
        <v>1114</v>
      </c>
      <c r="H384" s="807" t="s">
        <v>1114</v>
      </c>
      <c r="I384" s="807" t="s">
        <v>1114</v>
      </c>
      <c r="J384" s="807" t="s">
        <v>1114</v>
      </c>
      <c r="K384" s="807" t="s">
        <v>1114</v>
      </c>
      <c r="L384" s="807" t="s">
        <v>1114</v>
      </c>
      <c r="M384" s="807" t="s">
        <v>1114</v>
      </c>
      <c r="N384" s="809">
        <v>-11.9</v>
      </c>
      <c r="O384" s="809">
        <v>-12.8</v>
      </c>
      <c r="P384" s="809">
        <v>-25</v>
      </c>
      <c r="Q384" s="809">
        <v>-25</v>
      </c>
      <c r="R384" s="809">
        <v>-14.7</v>
      </c>
      <c r="S384" s="807" t="s">
        <v>1114</v>
      </c>
      <c r="T384" s="807" t="s">
        <v>1114</v>
      </c>
      <c r="U384" s="807" t="s">
        <v>1114</v>
      </c>
      <c r="V384" s="807" t="s">
        <v>1114</v>
      </c>
      <c r="W384" s="807" t="s">
        <v>1114</v>
      </c>
      <c r="X384" s="807" t="s">
        <v>1114</v>
      </c>
      <c r="Y384" s="807" t="s">
        <v>1114</v>
      </c>
      <c r="Z384" s="807" t="s">
        <v>1114</v>
      </c>
      <c r="AA384" s="807" t="s">
        <v>1114</v>
      </c>
    </row>
    <row r="385" spans="1:27">
      <c r="A385" s="75" t="s">
        <v>1513</v>
      </c>
      <c r="B385" s="809">
        <v>-15.5</v>
      </c>
      <c r="C385" s="807" t="s">
        <v>1114</v>
      </c>
      <c r="D385" s="807" t="s">
        <v>1114</v>
      </c>
      <c r="E385" s="807" t="s">
        <v>1114</v>
      </c>
      <c r="F385" s="807" t="s">
        <v>1114</v>
      </c>
      <c r="G385" s="807" t="s">
        <v>1114</v>
      </c>
      <c r="H385" s="807" t="s">
        <v>1114</v>
      </c>
      <c r="I385" s="807" t="s">
        <v>1114</v>
      </c>
      <c r="J385" s="807" t="s">
        <v>1114</v>
      </c>
      <c r="K385" s="807" t="s">
        <v>1114</v>
      </c>
      <c r="L385" s="807" t="s">
        <v>1114</v>
      </c>
      <c r="M385" s="807" t="s">
        <v>1114</v>
      </c>
      <c r="N385" s="809">
        <v>-11.9</v>
      </c>
      <c r="O385" s="809">
        <v>-12.8</v>
      </c>
      <c r="P385" s="809">
        <v>-25</v>
      </c>
      <c r="Q385" s="809">
        <v>-25</v>
      </c>
      <c r="R385" s="809">
        <v>-14.7</v>
      </c>
      <c r="S385" s="809">
        <v>-21.4</v>
      </c>
      <c r="T385" s="807" t="s">
        <v>1114</v>
      </c>
      <c r="U385" s="807" t="s">
        <v>1114</v>
      </c>
      <c r="V385" s="807" t="s">
        <v>1114</v>
      </c>
      <c r="W385" s="807" t="s">
        <v>1114</v>
      </c>
      <c r="X385" s="807" t="s">
        <v>1114</v>
      </c>
      <c r="Y385" s="807" t="s">
        <v>1114</v>
      </c>
      <c r="Z385" s="807" t="s">
        <v>1114</v>
      </c>
      <c r="AA385" s="807" t="s">
        <v>1114</v>
      </c>
    </row>
    <row r="386" spans="1:27">
      <c r="A386" s="75" t="s">
        <v>1514</v>
      </c>
      <c r="B386" s="809">
        <v>-15.5</v>
      </c>
      <c r="C386" s="807" t="s">
        <v>1114</v>
      </c>
      <c r="D386" s="807" t="s">
        <v>1114</v>
      </c>
      <c r="E386" s="807" t="s">
        <v>1114</v>
      </c>
      <c r="F386" s="807" t="s">
        <v>1114</v>
      </c>
      <c r="G386" s="807" t="s">
        <v>1114</v>
      </c>
      <c r="H386" s="807" t="s">
        <v>1114</v>
      </c>
      <c r="I386" s="807" t="s">
        <v>1114</v>
      </c>
      <c r="J386" s="807" t="s">
        <v>1114</v>
      </c>
      <c r="K386" s="807" t="s">
        <v>1114</v>
      </c>
      <c r="L386" s="807" t="s">
        <v>1114</v>
      </c>
      <c r="M386" s="807" t="s">
        <v>1114</v>
      </c>
      <c r="N386" s="809">
        <v>-11.9</v>
      </c>
      <c r="O386" s="809">
        <v>-12.8</v>
      </c>
      <c r="P386" s="809">
        <v>-25</v>
      </c>
      <c r="Q386" s="809">
        <v>-25</v>
      </c>
      <c r="R386" s="809">
        <v>-14.7</v>
      </c>
      <c r="S386" s="809">
        <v>-27</v>
      </c>
      <c r="T386" s="807" t="s">
        <v>1114</v>
      </c>
      <c r="U386" s="807" t="s">
        <v>1114</v>
      </c>
      <c r="V386" s="807" t="s">
        <v>1114</v>
      </c>
      <c r="W386" s="807" t="s">
        <v>1114</v>
      </c>
      <c r="X386" s="807" t="s">
        <v>1114</v>
      </c>
      <c r="Y386" s="807" t="s">
        <v>1114</v>
      </c>
      <c r="Z386" s="807" t="s">
        <v>1114</v>
      </c>
      <c r="AA386" s="807" t="s">
        <v>1114</v>
      </c>
    </row>
    <row r="387" spans="1:27">
      <c r="A387" s="75" t="s">
        <v>1515</v>
      </c>
      <c r="B387" s="809">
        <v>-15.5</v>
      </c>
      <c r="C387" s="807" t="s">
        <v>1114</v>
      </c>
      <c r="D387" s="807" t="s">
        <v>1114</v>
      </c>
      <c r="E387" s="807" t="s">
        <v>1114</v>
      </c>
      <c r="F387" s="807" t="s">
        <v>1114</v>
      </c>
      <c r="G387" s="807" t="s">
        <v>1114</v>
      </c>
      <c r="H387" s="807" t="s">
        <v>1114</v>
      </c>
      <c r="I387" s="807" t="s">
        <v>1114</v>
      </c>
      <c r="J387" s="807" t="s">
        <v>1114</v>
      </c>
      <c r="K387" s="807" t="s">
        <v>1114</v>
      </c>
      <c r="L387" s="807" t="s">
        <v>1114</v>
      </c>
      <c r="M387" s="807" t="s">
        <v>1114</v>
      </c>
      <c r="N387" s="809">
        <v>-11.9</v>
      </c>
      <c r="O387" s="809">
        <v>-12.8</v>
      </c>
      <c r="P387" s="809">
        <v>-25</v>
      </c>
      <c r="Q387" s="809">
        <v>-25</v>
      </c>
      <c r="R387" s="809">
        <v>-14.7</v>
      </c>
      <c r="S387" s="809">
        <v>-15.8</v>
      </c>
      <c r="T387" s="807" t="s">
        <v>1114</v>
      </c>
      <c r="U387" s="807" t="s">
        <v>1114</v>
      </c>
      <c r="V387" s="807" t="s">
        <v>1114</v>
      </c>
      <c r="W387" s="807" t="s">
        <v>1114</v>
      </c>
      <c r="X387" s="807" t="s">
        <v>1114</v>
      </c>
      <c r="Y387" s="807" t="s">
        <v>1114</v>
      </c>
      <c r="Z387" s="807" t="s">
        <v>1114</v>
      </c>
      <c r="AA387" s="807" t="s">
        <v>1114</v>
      </c>
    </row>
    <row r="388" spans="1:27">
      <c r="A388" s="75" t="s">
        <v>1516</v>
      </c>
      <c r="B388" s="802">
        <v>0</v>
      </c>
      <c r="C388" s="807" t="s">
        <v>1114</v>
      </c>
      <c r="D388" s="807" t="s">
        <v>1114</v>
      </c>
      <c r="E388" s="807" t="s">
        <v>1114</v>
      </c>
      <c r="F388" s="807" t="s">
        <v>1114</v>
      </c>
      <c r="G388" s="807" t="s">
        <v>1114</v>
      </c>
      <c r="H388" s="807" t="s">
        <v>1114</v>
      </c>
      <c r="I388" s="807" t="s">
        <v>1114</v>
      </c>
      <c r="J388" s="807" t="s">
        <v>1114</v>
      </c>
      <c r="K388" s="807" t="s">
        <v>1114</v>
      </c>
      <c r="L388" s="807" t="s">
        <v>1114</v>
      </c>
      <c r="M388" s="807" t="s">
        <v>1114</v>
      </c>
      <c r="N388" s="802">
        <v>0</v>
      </c>
      <c r="O388" s="802">
        <v>0</v>
      </c>
      <c r="P388" s="802">
        <v>0</v>
      </c>
      <c r="Q388" s="802">
        <v>0</v>
      </c>
      <c r="R388" s="802">
        <v>0</v>
      </c>
      <c r="S388" s="802">
        <v>5.6</v>
      </c>
      <c r="T388" s="807" t="s">
        <v>1114</v>
      </c>
      <c r="U388" s="807" t="s">
        <v>1114</v>
      </c>
      <c r="V388" s="807" t="s">
        <v>1114</v>
      </c>
      <c r="W388" s="807" t="s">
        <v>1114</v>
      </c>
      <c r="X388" s="807" t="s">
        <v>1114</v>
      </c>
      <c r="Y388" s="807" t="s">
        <v>1114</v>
      </c>
      <c r="Z388" s="807" t="s">
        <v>1114</v>
      </c>
      <c r="AA388" s="807" t="s">
        <v>1114</v>
      </c>
    </row>
    <row r="389" spans="1:27">
      <c r="A389" s="75" t="s">
        <v>1517</v>
      </c>
      <c r="B389" s="807" t="s">
        <v>1525</v>
      </c>
      <c r="C389" s="807" t="s">
        <v>1114</v>
      </c>
      <c r="D389" s="807" t="s">
        <v>1114</v>
      </c>
      <c r="E389" s="807" t="s">
        <v>1114</v>
      </c>
      <c r="F389" s="807" t="s">
        <v>1114</v>
      </c>
      <c r="G389" s="807" t="s">
        <v>1114</v>
      </c>
      <c r="H389" s="807" t="s">
        <v>1114</v>
      </c>
      <c r="I389" s="807" t="s">
        <v>1114</v>
      </c>
      <c r="J389" s="807" t="s">
        <v>1114</v>
      </c>
      <c r="K389" s="807" t="s">
        <v>1114</v>
      </c>
      <c r="L389" s="807" t="s">
        <v>1114</v>
      </c>
      <c r="M389" s="807" t="s">
        <v>1114</v>
      </c>
      <c r="N389" s="807" t="s">
        <v>1525</v>
      </c>
      <c r="O389" s="807" t="s">
        <v>1525</v>
      </c>
      <c r="P389" s="807" t="s">
        <v>1525</v>
      </c>
      <c r="Q389" s="807" t="s">
        <v>1525</v>
      </c>
      <c r="R389" s="807" t="s">
        <v>1525</v>
      </c>
      <c r="S389" s="807" t="s">
        <v>1551</v>
      </c>
      <c r="T389" s="807" t="s">
        <v>1114</v>
      </c>
      <c r="U389" s="807" t="s">
        <v>1114</v>
      </c>
      <c r="V389" s="807" t="s">
        <v>1114</v>
      </c>
      <c r="W389" s="807" t="s">
        <v>1114</v>
      </c>
      <c r="X389" s="807" t="s">
        <v>1114</v>
      </c>
      <c r="Y389" s="807" t="s">
        <v>1114</v>
      </c>
      <c r="Z389" s="807" t="s">
        <v>1114</v>
      </c>
      <c r="AA389" s="807" t="s">
        <v>1114</v>
      </c>
    </row>
    <row r="390" spans="1:27">
      <c r="A390" s="75" t="s">
        <v>1526</v>
      </c>
      <c r="B390" s="807" t="s">
        <v>1527</v>
      </c>
      <c r="C390" s="807" t="s">
        <v>1114</v>
      </c>
      <c r="D390" s="807" t="s">
        <v>1114</v>
      </c>
      <c r="E390" s="807" t="s">
        <v>1114</v>
      </c>
      <c r="F390" s="807" t="s">
        <v>1114</v>
      </c>
      <c r="G390" s="807" t="s">
        <v>1114</v>
      </c>
      <c r="H390" s="807" t="s">
        <v>1114</v>
      </c>
      <c r="I390" s="807" t="s">
        <v>1114</v>
      </c>
      <c r="J390" s="807" t="s">
        <v>1114</v>
      </c>
      <c r="K390" s="807" t="s">
        <v>1114</v>
      </c>
      <c r="L390" s="807" t="s">
        <v>1114</v>
      </c>
      <c r="M390" s="807" t="s">
        <v>1114</v>
      </c>
      <c r="N390" s="807" t="s">
        <v>1527</v>
      </c>
      <c r="O390" s="807" t="s">
        <v>1527</v>
      </c>
      <c r="P390" s="807" t="s">
        <v>1527</v>
      </c>
      <c r="Q390" s="807" t="s">
        <v>1527</v>
      </c>
      <c r="R390" s="807" t="s">
        <v>1527</v>
      </c>
      <c r="S390" s="807" t="s">
        <v>1527</v>
      </c>
      <c r="T390" s="807" t="s">
        <v>1114</v>
      </c>
      <c r="U390" s="807" t="s">
        <v>1114</v>
      </c>
      <c r="V390" s="807" t="s">
        <v>1114</v>
      </c>
      <c r="W390" s="807" t="s">
        <v>1114</v>
      </c>
      <c r="X390" s="807" t="s">
        <v>1114</v>
      </c>
      <c r="Y390" s="807" t="s">
        <v>1114</v>
      </c>
      <c r="Z390" s="807" t="s">
        <v>1114</v>
      </c>
      <c r="AA390" s="807" t="s">
        <v>1114</v>
      </c>
    </row>
    <row r="391" spans="1:27">
      <c r="A391" s="806" t="s">
        <v>1613</v>
      </c>
      <c r="B391" s="808">
        <v>-290</v>
      </c>
      <c r="C391" s="807" t="s">
        <v>1114</v>
      </c>
      <c r="D391" s="807" t="s">
        <v>1114</v>
      </c>
      <c r="E391" s="807" t="s">
        <v>1114</v>
      </c>
      <c r="F391" s="807" t="s">
        <v>1114</v>
      </c>
      <c r="G391" s="807" t="s">
        <v>1114</v>
      </c>
      <c r="H391" s="807" t="s">
        <v>1114</v>
      </c>
      <c r="I391" s="807" t="s">
        <v>1114</v>
      </c>
      <c r="J391" s="807" t="s">
        <v>1114</v>
      </c>
      <c r="K391" s="807" t="s">
        <v>1114</v>
      </c>
      <c r="L391" s="807" t="s">
        <v>1114</v>
      </c>
      <c r="M391" s="807" t="s">
        <v>1114</v>
      </c>
      <c r="N391" s="808">
        <v>315</v>
      </c>
      <c r="O391" s="808">
        <v>200</v>
      </c>
      <c r="P391" s="807" t="s">
        <v>1114</v>
      </c>
      <c r="Q391" s="807" t="s">
        <v>1114</v>
      </c>
      <c r="R391" s="808">
        <v>-154</v>
      </c>
      <c r="S391" s="809">
        <v>106</v>
      </c>
      <c r="T391" s="807" t="s">
        <v>1114</v>
      </c>
      <c r="U391" s="807" t="s">
        <v>1114</v>
      </c>
      <c r="V391" s="807" t="s">
        <v>1114</v>
      </c>
      <c r="W391" s="807" t="s">
        <v>1114</v>
      </c>
      <c r="X391" s="807" t="s">
        <v>1114</v>
      </c>
      <c r="Y391" s="807" t="s">
        <v>1114</v>
      </c>
      <c r="Z391" s="807" t="s">
        <v>1114</v>
      </c>
      <c r="AA391" s="807" t="s">
        <v>1114</v>
      </c>
    </row>
    <row r="392" spans="1:27">
      <c r="A392" s="75" t="s">
        <v>1512</v>
      </c>
      <c r="B392" s="809">
        <v>-225</v>
      </c>
      <c r="C392" s="807" t="s">
        <v>1114</v>
      </c>
      <c r="D392" s="807" t="s">
        <v>1114</v>
      </c>
      <c r="E392" s="807" t="s">
        <v>1114</v>
      </c>
      <c r="F392" s="807" t="s">
        <v>1114</v>
      </c>
      <c r="G392" s="807" t="s">
        <v>1114</v>
      </c>
      <c r="H392" s="807" t="s">
        <v>1114</v>
      </c>
      <c r="I392" s="807" t="s">
        <v>1114</v>
      </c>
      <c r="J392" s="807" t="s">
        <v>1114</v>
      </c>
      <c r="K392" s="807" t="s">
        <v>1114</v>
      </c>
      <c r="L392" s="807" t="s">
        <v>1114</v>
      </c>
      <c r="M392" s="807" t="s">
        <v>1114</v>
      </c>
      <c r="N392" s="809">
        <v>188</v>
      </c>
      <c r="O392" s="809">
        <v>147</v>
      </c>
      <c r="P392" s="807" t="s">
        <v>1114</v>
      </c>
      <c r="Q392" s="807" t="s">
        <v>1114</v>
      </c>
      <c r="R392" s="809">
        <v>84</v>
      </c>
      <c r="S392" s="807" t="s">
        <v>1114</v>
      </c>
      <c r="T392" s="807" t="s">
        <v>1114</v>
      </c>
      <c r="U392" s="807" t="s">
        <v>1114</v>
      </c>
      <c r="V392" s="807" t="s">
        <v>1114</v>
      </c>
      <c r="W392" s="807" t="s">
        <v>1114</v>
      </c>
      <c r="X392" s="807" t="s">
        <v>1114</v>
      </c>
      <c r="Y392" s="807" t="s">
        <v>1114</v>
      </c>
      <c r="Z392" s="807" t="s">
        <v>1114</v>
      </c>
      <c r="AA392" s="807" t="s">
        <v>1114</v>
      </c>
    </row>
    <row r="393" spans="1:27">
      <c r="A393" s="75" t="s">
        <v>1513</v>
      </c>
      <c r="B393" s="809">
        <v>-225</v>
      </c>
      <c r="C393" s="807" t="s">
        <v>1114</v>
      </c>
      <c r="D393" s="807" t="s">
        <v>1114</v>
      </c>
      <c r="E393" s="807" t="s">
        <v>1114</v>
      </c>
      <c r="F393" s="807" t="s">
        <v>1114</v>
      </c>
      <c r="G393" s="807" t="s">
        <v>1114</v>
      </c>
      <c r="H393" s="807" t="s">
        <v>1114</v>
      </c>
      <c r="I393" s="807" t="s">
        <v>1114</v>
      </c>
      <c r="J393" s="807" t="s">
        <v>1114</v>
      </c>
      <c r="K393" s="807" t="s">
        <v>1114</v>
      </c>
      <c r="L393" s="807" t="s">
        <v>1114</v>
      </c>
      <c r="M393" s="807" t="s">
        <v>1114</v>
      </c>
      <c r="N393" s="809">
        <v>188</v>
      </c>
      <c r="O393" s="809">
        <v>147</v>
      </c>
      <c r="P393" s="807" t="s">
        <v>1114</v>
      </c>
      <c r="Q393" s="807" t="s">
        <v>1114</v>
      </c>
      <c r="R393" s="809">
        <v>84</v>
      </c>
      <c r="S393" s="809">
        <v>106</v>
      </c>
      <c r="T393" s="807" t="s">
        <v>1114</v>
      </c>
      <c r="U393" s="807" t="s">
        <v>1114</v>
      </c>
      <c r="V393" s="807" t="s">
        <v>1114</v>
      </c>
      <c r="W393" s="807" t="s">
        <v>1114</v>
      </c>
      <c r="X393" s="807" t="s">
        <v>1114</v>
      </c>
      <c r="Y393" s="807" t="s">
        <v>1114</v>
      </c>
      <c r="Z393" s="807" t="s">
        <v>1114</v>
      </c>
      <c r="AA393" s="807" t="s">
        <v>1114</v>
      </c>
    </row>
    <row r="394" spans="1:27">
      <c r="A394" s="75" t="s">
        <v>1514</v>
      </c>
      <c r="B394" s="809">
        <v>-225</v>
      </c>
      <c r="C394" s="807" t="s">
        <v>1114</v>
      </c>
      <c r="D394" s="807" t="s">
        <v>1114</v>
      </c>
      <c r="E394" s="807" t="s">
        <v>1114</v>
      </c>
      <c r="F394" s="807" t="s">
        <v>1114</v>
      </c>
      <c r="G394" s="807" t="s">
        <v>1114</v>
      </c>
      <c r="H394" s="807" t="s">
        <v>1114</v>
      </c>
      <c r="I394" s="807" t="s">
        <v>1114</v>
      </c>
      <c r="J394" s="807" t="s">
        <v>1114</v>
      </c>
      <c r="K394" s="807" t="s">
        <v>1114</v>
      </c>
      <c r="L394" s="807" t="s">
        <v>1114</v>
      </c>
      <c r="M394" s="807" t="s">
        <v>1114</v>
      </c>
      <c r="N394" s="809">
        <v>188</v>
      </c>
      <c r="O394" s="809">
        <v>147</v>
      </c>
      <c r="P394" s="807" t="s">
        <v>1114</v>
      </c>
      <c r="Q394" s="807" t="s">
        <v>1114</v>
      </c>
      <c r="R394" s="809">
        <v>84</v>
      </c>
      <c r="S394" s="809">
        <v>106</v>
      </c>
      <c r="T394" s="807" t="s">
        <v>1114</v>
      </c>
      <c r="U394" s="807" t="s">
        <v>1114</v>
      </c>
      <c r="V394" s="807" t="s">
        <v>1114</v>
      </c>
      <c r="W394" s="807" t="s">
        <v>1114</v>
      </c>
      <c r="X394" s="807" t="s">
        <v>1114</v>
      </c>
      <c r="Y394" s="807" t="s">
        <v>1114</v>
      </c>
      <c r="Z394" s="807" t="s">
        <v>1114</v>
      </c>
      <c r="AA394" s="807" t="s">
        <v>1114</v>
      </c>
    </row>
    <row r="395" spans="1:27">
      <c r="A395" s="75" t="s">
        <v>1515</v>
      </c>
      <c r="B395" s="809">
        <v>-225</v>
      </c>
      <c r="C395" s="807" t="s">
        <v>1114</v>
      </c>
      <c r="D395" s="807" t="s">
        <v>1114</v>
      </c>
      <c r="E395" s="807" t="s">
        <v>1114</v>
      </c>
      <c r="F395" s="807" t="s">
        <v>1114</v>
      </c>
      <c r="G395" s="807" t="s">
        <v>1114</v>
      </c>
      <c r="H395" s="807" t="s">
        <v>1114</v>
      </c>
      <c r="I395" s="807" t="s">
        <v>1114</v>
      </c>
      <c r="J395" s="807" t="s">
        <v>1114</v>
      </c>
      <c r="K395" s="807" t="s">
        <v>1114</v>
      </c>
      <c r="L395" s="807" t="s">
        <v>1114</v>
      </c>
      <c r="M395" s="807" t="s">
        <v>1114</v>
      </c>
      <c r="N395" s="809">
        <v>188</v>
      </c>
      <c r="O395" s="809">
        <v>147</v>
      </c>
      <c r="P395" s="807" t="s">
        <v>1114</v>
      </c>
      <c r="Q395" s="807" t="s">
        <v>1114</v>
      </c>
      <c r="R395" s="809">
        <v>84</v>
      </c>
      <c r="S395" s="809">
        <v>106</v>
      </c>
      <c r="T395" s="807" t="s">
        <v>1114</v>
      </c>
      <c r="U395" s="807" t="s">
        <v>1114</v>
      </c>
      <c r="V395" s="807" t="s">
        <v>1114</v>
      </c>
      <c r="W395" s="807" t="s">
        <v>1114</v>
      </c>
      <c r="X395" s="807" t="s">
        <v>1114</v>
      </c>
      <c r="Y395" s="807" t="s">
        <v>1114</v>
      </c>
      <c r="Z395" s="807" t="s">
        <v>1114</v>
      </c>
      <c r="AA395" s="807" t="s">
        <v>1114</v>
      </c>
    </row>
    <row r="396" spans="1:27">
      <c r="A396" s="75" t="s">
        <v>1516</v>
      </c>
      <c r="B396" s="802">
        <v>0</v>
      </c>
      <c r="C396" s="807" t="s">
        <v>1114</v>
      </c>
      <c r="D396" s="807" t="s">
        <v>1114</v>
      </c>
      <c r="E396" s="807" t="s">
        <v>1114</v>
      </c>
      <c r="F396" s="807" t="s">
        <v>1114</v>
      </c>
      <c r="G396" s="807" t="s">
        <v>1114</v>
      </c>
      <c r="H396" s="807" t="s">
        <v>1114</v>
      </c>
      <c r="I396" s="807" t="s">
        <v>1114</v>
      </c>
      <c r="J396" s="807" t="s">
        <v>1114</v>
      </c>
      <c r="K396" s="807" t="s">
        <v>1114</v>
      </c>
      <c r="L396" s="807" t="s">
        <v>1114</v>
      </c>
      <c r="M396" s="807" t="s">
        <v>1114</v>
      </c>
      <c r="N396" s="802">
        <v>0</v>
      </c>
      <c r="O396" s="802">
        <v>0</v>
      </c>
      <c r="P396" s="807" t="s">
        <v>1114</v>
      </c>
      <c r="Q396" s="807" t="s">
        <v>1114</v>
      </c>
      <c r="R396" s="802">
        <v>0</v>
      </c>
      <c r="S396" s="802">
        <v>0</v>
      </c>
      <c r="T396" s="807" t="s">
        <v>1114</v>
      </c>
      <c r="U396" s="807" t="s">
        <v>1114</v>
      </c>
      <c r="V396" s="807" t="s">
        <v>1114</v>
      </c>
      <c r="W396" s="807" t="s">
        <v>1114</v>
      </c>
      <c r="X396" s="807" t="s">
        <v>1114</v>
      </c>
      <c r="Y396" s="807" t="s">
        <v>1114</v>
      </c>
      <c r="Z396" s="807" t="s">
        <v>1114</v>
      </c>
      <c r="AA396" s="807" t="s">
        <v>1114</v>
      </c>
    </row>
    <row r="397" spans="1:27">
      <c r="A397" s="75" t="s">
        <v>1517</v>
      </c>
      <c r="B397" s="807" t="s">
        <v>1525</v>
      </c>
      <c r="C397" s="807" t="s">
        <v>1114</v>
      </c>
      <c r="D397" s="807" t="s">
        <v>1114</v>
      </c>
      <c r="E397" s="807" t="s">
        <v>1114</v>
      </c>
      <c r="F397" s="807" t="s">
        <v>1114</v>
      </c>
      <c r="G397" s="807" t="s">
        <v>1114</v>
      </c>
      <c r="H397" s="807" t="s">
        <v>1114</v>
      </c>
      <c r="I397" s="807" t="s">
        <v>1114</v>
      </c>
      <c r="J397" s="807" t="s">
        <v>1114</v>
      </c>
      <c r="K397" s="807" t="s">
        <v>1114</v>
      </c>
      <c r="L397" s="807" t="s">
        <v>1114</v>
      </c>
      <c r="M397" s="807" t="s">
        <v>1114</v>
      </c>
      <c r="N397" s="807" t="s">
        <v>1525</v>
      </c>
      <c r="O397" s="807" t="s">
        <v>1525</v>
      </c>
      <c r="P397" s="807" t="s">
        <v>1114</v>
      </c>
      <c r="Q397" s="807" t="s">
        <v>1114</v>
      </c>
      <c r="R397" s="807" t="s">
        <v>1525</v>
      </c>
      <c r="S397" s="807" t="s">
        <v>1525</v>
      </c>
      <c r="T397" s="807" t="s">
        <v>1114</v>
      </c>
      <c r="U397" s="807" t="s">
        <v>1114</v>
      </c>
      <c r="V397" s="807" t="s">
        <v>1114</v>
      </c>
      <c r="W397" s="807" t="s">
        <v>1114</v>
      </c>
      <c r="X397" s="807" t="s">
        <v>1114</v>
      </c>
      <c r="Y397" s="807" t="s">
        <v>1114</v>
      </c>
      <c r="Z397" s="807" t="s">
        <v>1114</v>
      </c>
      <c r="AA397" s="807" t="s">
        <v>1114</v>
      </c>
    </row>
    <row r="398" spans="1:27">
      <c r="A398" s="75" t="s">
        <v>1526</v>
      </c>
      <c r="B398" s="807" t="s">
        <v>1527</v>
      </c>
      <c r="C398" s="807" t="s">
        <v>1114</v>
      </c>
      <c r="D398" s="807" t="s">
        <v>1114</v>
      </c>
      <c r="E398" s="807" t="s">
        <v>1114</v>
      </c>
      <c r="F398" s="807" t="s">
        <v>1114</v>
      </c>
      <c r="G398" s="807" t="s">
        <v>1114</v>
      </c>
      <c r="H398" s="807" t="s">
        <v>1114</v>
      </c>
      <c r="I398" s="807" t="s">
        <v>1114</v>
      </c>
      <c r="J398" s="807" t="s">
        <v>1114</v>
      </c>
      <c r="K398" s="807" t="s">
        <v>1114</v>
      </c>
      <c r="L398" s="807" t="s">
        <v>1114</v>
      </c>
      <c r="M398" s="807" t="s">
        <v>1114</v>
      </c>
      <c r="N398" s="807" t="s">
        <v>1527</v>
      </c>
      <c r="O398" s="807" t="s">
        <v>1527</v>
      </c>
      <c r="P398" s="807" t="s">
        <v>1114</v>
      </c>
      <c r="Q398" s="807" t="s">
        <v>1114</v>
      </c>
      <c r="R398" s="807" t="s">
        <v>1527</v>
      </c>
      <c r="S398" s="807" t="s">
        <v>1527</v>
      </c>
      <c r="T398" s="807" t="s">
        <v>1114</v>
      </c>
      <c r="U398" s="807" t="s">
        <v>1114</v>
      </c>
      <c r="V398" s="807" t="s">
        <v>1114</v>
      </c>
      <c r="W398" s="807" t="s">
        <v>1114</v>
      </c>
      <c r="X398" s="807" t="s">
        <v>1114</v>
      </c>
      <c r="Y398" s="807" t="s">
        <v>1114</v>
      </c>
      <c r="Z398" s="807" t="s">
        <v>1114</v>
      </c>
      <c r="AA398" s="807" t="s">
        <v>1114</v>
      </c>
    </row>
    <row r="399" spans="1:27">
      <c r="A399" s="806" t="s">
        <v>1616</v>
      </c>
      <c r="B399" s="807" t="s">
        <v>1114</v>
      </c>
      <c r="C399" s="807" t="s">
        <v>1114</v>
      </c>
      <c r="D399" s="807" t="s">
        <v>1114</v>
      </c>
      <c r="E399" s="807" t="s">
        <v>1114</v>
      </c>
      <c r="F399" s="807" t="s">
        <v>1114</v>
      </c>
      <c r="G399" s="808">
        <v>22.709160000000001</v>
      </c>
      <c r="H399" s="807" t="s">
        <v>1114</v>
      </c>
      <c r="I399" s="808">
        <v>33.686070000000001</v>
      </c>
      <c r="J399" s="808">
        <v>39.024000000000001</v>
      </c>
      <c r="K399" s="808">
        <v>42.266500000000001</v>
      </c>
      <c r="L399" s="808">
        <v>39.6631</v>
      </c>
      <c r="M399" s="808">
        <v>41.566299999999998</v>
      </c>
      <c r="N399" s="808">
        <v>42.877000000000002</v>
      </c>
      <c r="O399" s="808">
        <v>43.455500000000001</v>
      </c>
      <c r="P399" s="808">
        <v>41.9146</v>
      </c>
      <c r="Q399" s="808">
        <v>43.223399999999998</v>
      </c>
      <c r="R399" s="808">
        <v>43.757199999999997</v>
      </c>
      <c r="S399" s="809">
        <v>45.3</v>
      </c>
      <c r="T399" s="807" t="s">
        <v>1114</v>
      </c>
      <c r="U399" s="807" t="s">
        <v>1114</v>
      </c>
      <c r="V399" s="807" t="s">
        <v>1114</v>
      </c>
      <c r="W399" s="807" t="s">
        <v>1114</v>
      </c>
      <c r="X399" s="807" t="s">
        <v>1114</v>
      </c>
      <c r="Y399" s="807" t="s">
        <v>1114</v>
      </c>
      <c r="Z399" s="807" t="s">
        <v>1114</v>
      </c>
      <c r="AA399" s="807" t="s">
        <v>1114</v>
      </c>
    </row>
    <row r="400" spans="1:27">
      <c r="A400" s="75" t="s">
        <v>1512</v>
      </c>
      <c r="B400" s="807" t="s">
        <v>1114</v>
      </c>
      <c r="C400" s="807" t="s">
        <v>1114</v>
      </c>
      <c r="D400" s="807" t="s">
        <v>1114</v>
      </c>
      <c r="E400" s="807" t="s">
        <v>1114</v>
      </c>
      <c r="F400" s="807" t="s">
        <v>1114</v>
      </c>
      <c r="G400" s="809">
        <v>19.7</v>
      </c>
      <c r="H400" s="807" t="s">
        <v>1114</v>
      </c>
      <c r="I400" s="809">
        <v>19.3</v>
      </c>
      <c r="J400" s="809">
        <v>37.200000000000003</v>
      </c>
      <c r="K400" s="809">
        <v>35.799999999999997</v>
      </c>
      <c r="L400" s="809">
        <v>33.1</v>
      </c>
      <c r="M400" s="809">
        <v>40.299999999999997</v>
      </c>
      <c r="N400" s="809">
        <v>42.9</v>
      </c>
      <c r="O400" s="809">
        <v>42</v>
      </c>
      <c r="P400" s="809">
        <v>45</v>
      </c>
      <c r="Q400" s="809">
        <v>45.1</v>
      </c>
      <c r="R400" s="809">
        <v>45.5</v>
      </c>
      <c r="S400" s="807" t="s">
        <v>1114</v>
      </c>
      <c r="T400" s="807" t="s">
        <v>1114</v>
      </c>
      <c r="U400" s="807" t="s">
        <v>1114</v>
      </c>
      <c r="V400" s="807" t="s">
        <v>1114</v>
      </c>
      <c r="W400" s="807" t="s">
        <v>1114</v>
      </c>
      <c r="X400" s="807" t="s">
        <v>1114</v>
      </c>
      <c r="Y400" s="807" t="s">
        <v>1114</v>
      </c>
      <c r="Z400" s="807" t="s">
        <v>1114</v>
      </c>
      <c r="AA400" s="807" t="s">
        <v>1114</v>
      </c>
    </row>
    <row r="401" spans="1:27">
      <c r="A401" s="75" t="s">
        <v>1513</v>
      </c>
      <c r="B401" s="807" t="s">
        <v>1114</v>
      </c>
      <c r="C401" s="807" t="s">
        <v>1114</v>
      </c>
      <c r="D401" s="807" t="s">
        <v>1114</v>
      </c>
      <c r="E401" s="807" t="s">
        <v>1114</v>
      </c>
      <c r="F401" s="807" t="s">
        <v>1114</v>
      </c>
      <c r="G401" s="809">
        <v>19.7</v>
      </c>
      <c r="H401" s="807" t="s">
        <v>1114</v>
      </c>
      <c r="I401" s="809">
        <v>19.3</v>
      </c>
      <c r="J401" s="809">
        <v>37.200000000000003</v>
      </c>
      <c r="K401" s="809">
        <v>35.799999999999997</v>
      </c>
      <c r="L401" s="809">
        <v>33.1</v>
      </c>
      <c r="M401" s="809">
        <v>40</v>
      </c>
      <c r="N401" s="809">
        <v>42.9</v>
      </c>
      <c r="O401" s="809">
        <v>42</v>
      </c>
      <c r="P401" s="809">
        <v>45</v>
      </c>
      <c r="Q401" s="809">
        <v>44.3</v>
      </c>
      <c r="R401" s="809">
        <v>45.5</v>
      </c>
      <c r="S401" s="809">
        <v>45.3</v>
      </c>
      <c r="T401" s="807" t="s">
        <v>1114</v>
      </c>
      <c r="U401" s="807" t="s">
        <v>1114</v>
      </c>
      <c r="V401" s="807" t="s">
        <v>1114</v>
      </c>
      <c r="W401" s="807" t="s">
        <v>1114</v>
      </c>
      <c r="X401" s="807" t="s">
        <v>1114</v>
      </c>
      <c r="Y401" s="807" t="s">
        <v>1114</v>
      </c>
      <c r="Z401" s="807" t="s">
        <v>1114</v>
      </c>
      <c r="AA401" s="807" t="s">
        <v>1114</v>
      </c>
    </row>
    <row r="402" spans="1:27">
      <c r="A402" s="75" t="s">
        <v>1514</v>
      </c>
      <c r="B402" s="807" t="s">
        <v>1114</v>
      </c>
      <c r="C402" s="807" t="s">
        <v>1114</v>
      </c>
      <c r="D402" s="807" t="s">
        <v>1114</v>
      </c>
      <c r="E402" s="807" t="s">
        <v>1114</v>
      </c>
      <c r="F402" s="807" t="s">
        <v>1114</v>
      </c>
      <c r="G402" s="809">
        <v>19.7</v>
      </c>
      <c r="H402" s="807" t="s">
        <v>1114</v>
      </c>
      <c r="I402" s="809">
        <v>19.3</v>
      </c>
      <c r="J402" s="809">
        <v>37.200000000000003</v>
      </c>
      <c r="K402" s="809">
        <v>35.799999999999997</v>
      </c>
      <c r="L402" s="809">
        <v>33.1</v>
      </c>
      <c r="M402" s="809">
        <v>42.7</v>
      </c>
      <c r="N402" s="809">
        <v>43.8</v>
      </c>
      <c r="O402" s="809">
        <v>42</v>
      </c>
      <c r="P402" s="809">
        <v>46</v>
      </c>
      <c r="Q402" s="809">
        <v>47</v>
      </c>
      <c r="R402" s="809">
        <v>47</v>
      </c>
      <c r="S402" s="809">
        <v>46.6</v>
      </c>
      <c r="T402" s="807" t="s">
        <v>1114</v>
      </c>
      <c r="U402" s="807" t="s">
        <v>1114</v>
      </c>
      <c r="V402" s="807" t="s">
        <v>1114</v>
      </c>
      <c r="W402" s="807" t="s">
        <v>1114</v>
      </c>
      <c r="X402" s="807" t="s">
        <v>1114</v>
      </c>
      <c r="Y402" s="807" t="s">
        <v>1114</v>
      </c>
      <c r="Z402" s="807" t="s">
        <v>1114</v>
      </c>
      <c r="AA402" s="807" t="s">
        <v>1114</v>
      </c>
    </row>
    <row r="403" spans="1:27">
      <c r="A403" s="75" t="s">
        <v>1515</v>
      </c>
      <c r="B403" s="807" t="s">
        <v>1114</v>
      </c>
      <c r="C403" s="807" t="s">
        <v>1114</v>
      </c>
      <c r="D403" s="807" t="s">
        <v>1114</v>
      </c>
      <c r="E403" s="807" t="s">
        <v>1114</v>
      </c>
      <c r="F403" s="807" t="s">
        <v>1114</v>
      </c>
      <c r="G403" s="809">
        <v>19.7</v>
      </c>
      <c r="H403" s="807" t="s">
        <v>1114</v>
      </c>
      <c r="I403" s="809">
        <v>19.3</v>
      </c>
      <c r="J403" s="809">
        <v>37.200000000000003</v>
      </c>
      <c r="K403" s="809">
        <v>35.799999999999997</v>
      </c>
      <c r="L403" s="809">
        <v>33.1</v>
      </c>
      <c r="M403" s="809">
        <v>38.200000000000003</v>
      </c>
      <c r="N403" s="809">
        <v>42</v>
      </c>
      <c r="O403" s="809">
        <v>42</v>
      </c>
      <c r="P403" s="809">
        <v>44</v>
      </c>
      <c r="Q403" s="809">
        <v>44</v>
      </c>
      <c r="R403" s="809">
        <v>44</v>
      </c>
      <c r="S403" s="809">
        <v>44</v>
      </c>
      <c r="T403" s="807" t="s">
        <v>1114</v>
      </c>
      <c r="U403" s="807" t="s">
        <v>1114</v>
      </c>
      <c r="V403" s="807" t="s">
        <v>1114</v>
      </c>
      <c r="W403" s="807" t="s">
        <v>1114</v>
      </c>
      <c r="X403" s="807" t="s">
        <v>1114</v>
      </c>
      <c r="Y403" s="807" t="s">
        <v>1114</v>
      </c>
      <c r="Z403" s="807" t="s">
        <v>1114</v>
      </c>
      <c r="AA403" s="807" t="s">
        <v>1114</v>
      </c>
    </row>
    <row r="404" spans="1:27">
      <c r="A404" s="75" t="s">
        <v>1516</v>
      </c>
      <c r="B404" s="807" t="s">
        <v>1114</v>
      </c>
      <c r="C404" s="807" t="s">
        <v>1114</v>
      </c>
      <c r="D404" s="807" t="s">
        <v>1114</v>
      </c>
      <c r="E404" s="807" t="s">
        <v>1114</v>
      </c>
      <c r="F404" s="807" t="s">
        <v>1114</v>
      </c>
      <c r="G404" s="802">
        <v>0</v>
      </c>
      <c r="H404" s="807" t="s">
        <v>1114</v>
      </c>
      <c r="I404" s="802">
        <v>0</v>
      </c>
      <c r="J404" s="802">
        <v>0</v>
      </c>
      <c r="K404" s="802">
        <v>0</v>
      </c>
      <c r="L404" s="802">
        <v>0</v>
      </c>
      <c r="M404" s="802">
        <v>1.8493200000000001</v>
      </c>
      <c r="N404" s="802">
        <v>0.9</v>
      </c>
      <c r="O404" s="802">
        <v>0</v>
      </c>
      <c r="P404" s="802">
        <v>1</v>
      </c>
      <c r="Q404" s="802">
        <v>1.34907</v>
      </c>
      <c r="R404" s="802">
        <v>1.2247399999999999</v>
      </c>
      <c r="S404" s="802">
        <v>1.3</v>
      </c>
      <c r="T404" s="807" t="s">
        <v>1114</v>
      </c>
      <c r="U404" s="807" t="s">
        <v>1114</v>
      </c>
      <c r="V404" s="807" t="s">
        <v>1114</v>
      </c>
      <c r="W404" s="807" t="s">
        <v>1114</v>
      </c>
      <c r="X404" s="807" t="s">
        <v>1114</v>
      </c>
      <c r="Y404" s="807" t="s">
        <v>1114</v>
      </c>
      <c r="Z404" s="807" t="s">
        <v>1114</v>
      </c>
      <c r="AA404" s="807" t="s">
        <v>1114</v>
      </c>
    </row>
    <row r="405" spans="1:27">
      <c r="A405" s="75" t="s">
        <v>1517</v>
      </c>
      <c r="B405" s="807" t="s">
        <v>1114</v>
      </c>
      <c r="C405" s="807" t="s">
        <v>1114</v>
      </c>
      <c r="D405" s="807" t="s">
        <v>1114</v>
      </c>
      <c r="E405" s="807" t="s">
        <v>1114</v>
      </c>
      <c r="F405" s="807" t="s">
        <v>1114</v>
      </c>
      <c r="G405" s="807" t="s">
        <v>1525</v>
      </c>
      <c r="H405" s="807" t="s">
        <v>1114</v>
      </c>
      <c r="I405" s="807" t="s">
        <v>1525</v>
      </c>
      <c r="J405" s="807" t="s">
        <v>1525</v>
      </c>
      <c r="K405" s="807" t="s">
        <v>1525</v>
      </c>
      <c r="L405" s="807" t="s">
        <v>1525</v>
      </c>
      <c r="M405" s="807" t="s">
        <v>1553</v>
      </c>
      <c r="N405" s="807" t="s">
        <v>1551</v>
      </c>
      <c r="O405" s="807" t="s">
        <v>1525</v>
      </c>
      <c r="P405" s="807" t="s">
        <v>1551</v>
      </c>
      <c r="Q405" s="807" t="s">
        <v>1553</v>
      </c>
      <c r="R405" s="807" t="s">
        <v>1553</v>
      </c>
      <c r="S405" s="807" t="s">
        <v>1551</v>
      </c>
      <c r="T405" s="807" t="s">
        <v>1114</v>
      </c>
      <c r="U405" s="807" t="s">
        <v>1114</v>
      </c>
      <c r="V405" s="807" t="s">
        <v>1114</v>
      </c>
      <c r="W405" s="807" t="s">
        <v>1114</v>
      </c>
      <c r="X405" s="807" t="s">
        <v>1114</v>
      </c>
      <c r="Y405" s="807" t="s">
        <v>1114</v>
      </c>
      <c r="Z405" s="807" t="s">
        <v>1114</v>
      </c>
      <c r="AA405" s="807" t="s">
        <v>1114</v>
      </c>
    </row>
    <row r="406" spans="1:27">
      <c r="A406" s="75" t="s">
        <v>1526</v>
      </c>
      <c r="B406" s="807" t="s">
        <v>1114</v>
      </c>
      <c r="C406" s="807" t="s">
        <v>1114</v>
      </c>
      <c r="D406" s="807" t="s">
        <v>1114</v>
      </c>
      <c r="E406" s="807" t="s">
        <v>1114</v>
      </c>
      <c r="F406" s="807" t="s">
        <v>1114</v>
      </c>
      <c r="G406" s="807" t="s">
        <v>1527</v>
      </c>
      <c r="H406" s="807" t="s">
        <v>1114</v>
      </c>
      <c r="I406" s="807" t="s">
        <v>1527</v>
      </c>
      <c r="J406" s="807" t="s">
        <v>1527</v>
      </c>
      <c r="K406" s="807" t="s">
        <v>1527</v>
      </c>
      <c r="L406" s="807" t="s">
        <v>1527</v>
      </c>
      <c r="M406" s="807" t="s">
        <v>1527</v>
      </c>
      <c r="N406" s="807" t="s">
        <v>1527</v>
      </c>
      <c r="O406" s="807" t="s">
        <v>1527</v>
      </c>
      <c r="P406" s="807" t="s">
        <v>1527</v>
      </c>
      <c r="Q406" s="807" t="s">
        <v>1527</v>
      </c>
      <c r="R406" s="807" t="s">
        <v>1527</v>
      </c>
      <c r="S406" s="807" t="s">
        <v>1527</v>
      </c>
      <c r="T406" s="807" t="s">
        <v>1114</v>
      </c>
      <c r="U406" s="807" t="s">
        <v>1114</v>
      </c>
      <c r="V406" s="807" t="s">
        <v>1114</v>
      </c>
      <c r="W406" s="807" t="s">
        <v>1114</v>
      </c>
      <c r="X406" s="807" t="s">
        <v>1114</v>
      </c>
      <c r="Y406" s="807" t="s">
        <v>1114</v>
      </c>
      <c r="Z406" s="807" t="s">
        <v>1114</v>
      </c>
      <c r="AA406" s="807" t="s">
        <v>1114</v>
      </c>
    </row>
    <row r="407" spans="1:27">
      <c r="A407" s="806" t="s">
        <v>1618</v>
      </c>
      <c r="B407" s="807" t="s">
        <v>1114</v>
      </c>
      <c r="C407" s="807" t="s">
        <v>1114</v>
      </c>
      <c r="D407" s="807" t="s">
        <v>1114</v>
      </c>
      <c r="E407" s="807" t="s">
        <v>1114</v>
      </c>
      <c r="F407" s="807" t="s">
        <v>1114</v>
      </c>
      <c r="G407" s="807" t="s">
        <v>1114</v>
      </c>
      <c r="H407" s="807" t="s">
        <v>1114</v>
      </c>
      <c r="I407" s="807" t="s">
        <v>1114</v>
      </c>
      <c r="J407" s="807" t="s">
        <v>1114</v>
      </c>
      <c r="K407" s="807" t="s">
        <v>1114</v>
      </c>
      <c r="L407" s="807" t="s">
        <v>1114</v>
      </c>
      <c r="M407" s="809">
        <v>17</v>
      </c>
      <c r="N407" s="808">
        <v>68.084999999999994</v>
      </c>
      <c r="O407" s="809">
        <v>17</v>
      </c>
      <c r="P407" s="808">
        <v>58.333300000000001</v>
      </c>
      <c r="Q407" s="808">
        <v>53.488399999999999</v>
      </c>
      <c r="R407" s="808">
        <v>55.263159999999999</v>
      </c>
      <c r="S407" s="809">
        <v>21</v>
      </c>
      <c r="T407" s="807" t="s">
        <v>1114</v>
      </c>
      <c r="U407" s="807" t="s">
        <v>1114</v>
      </c>
      <c r="V407" s="807" t="s">
        <v>1114</v>
      </c>
      <c r="W407" s="807" t="s">
        <v>1114</v>
      </c>
      <c r="X407" s="807" t="s">
        <v>1114</v>
      </c>
      <c r="Y407" s="807" t="s">
        <v>1114</v>
      </c>
      <c r="Z407" s="807" t="s">
        <v>1114</v>
      </c>
      <c r="AA407" s="807" t="s">
        <v>1114</v>
      </c>
    </row>
    <row r="408" spans="1:27">
      <c r="A408" s="75" t="s">
        <v>1512</v>
      </c>
      <c r="B408" s="807" t="s">
        <v>1114</v>
      </c>
      <c r="C408" s="807" t="s">
        <v>1114</v>
      </c>
      <c r="D408" s="807" t="s">
        <v>1114</v>
      </c>
      <c r="E408" s="807" t="s">
        <v>1114</v>
      </c>
      <c r="F408" s="807" t="s">
        <v>1114</v>
      </c>
      <c r="G408" s="807" t="s">
        <v>1114</v>
      </c>
      <c r="H408" s="807" t="s">
        <v>1114</v>
      </c>
      <c r="I408" s="807" t="s">
        <v>1114</v>
      </c>
      <c r="J408" s="807" t="s">
        <v>1114</v>
      </c>
      <c r="K408" s="807" t="s">
        <v>1114</v>
      </c>
      <c r="L408" s="807" t="s">
        <v>1114</v>
      </c>
      <c r="M408" s="807" t="s">
        <v>1114</v>
      </c>
      <c r="N408" s="809">
        <v>20</v>
      </c>
      <c r="O408" s="807" t="s">
        <v>1114</v>
      </c>
      <c r="P408" s="809">
        <v>20</v>
      </c>
      <c r="Q408" s="809">
        <v>19</v>
      </c>
      <c r="R408" s="809">
        <v>20.5</v>
      </c>
      <c r="S408" s="807" t="s">
        <v>1114</v>
      </c>
      <c r="T408" s="807" t="s">
        <v>1114</v>
      </c>
      <c r="U408" s="807" t="s">
        <v>1114</v>
      </c>
      <c r="V408" s="807" t="s">
        <v>1114</v>
      </c>
      <c r="W408" s="807" t="s">
        <v>1114</v>
      </c>
      <c r="X408" s="807" t="s">
        <v>1114</v>
      </c>
      <c r="Y408" s="807" t="s">
        <v>1114</v>
      </c>
      <c r="Z408" s="807" t="s">
        <v>1114</v>
      </c>
      <c r="AA408" s="807" t="s">
        <v>1114</v>
      </c>
    </row>
    <row r="409" spans="1:27">
      <c r="A409" s="75" t="s">
        <v>1513</v>
      </c>
      <c r="B409" s="807" t="s">
        <v>1114</v>
      </c>
      <c r="C409" s="807" t="s">
        <v>1114</v>
      </c>
      <c r="D409" s="807" t="s">
        <v>1114</v>
      </c>
      <c r="E409" s="807" t="s">
        <v>1114</v>
      </c>
      <c r="F409" s="807" t="s">
        <v>1114</v>
      </c>
      <c r="G409" s="807" t="s">
        <v>1114</v>
      </c>
      <c r="H409" s="807" t="s">
        <v>1114</v>
      </c>
      <c r="I409" s="807" t="s">
        <v>1114</v>
      </c>
      <c r="J409" s="807" t="s">
        <v>1114</v>
      </c>
      <c r="K409" s="807" t="s">
        <v>1114</v>
      </c>
      <c r="L409" s="807" t="s">
        <v>1114</v>
      </c>
      <c r="M409" s="809">
        <v>17</v>
      </c>
      <c r="N409" s="809">
        <v>20</v>
      </c>
      <c r="O409" s="809">
        <v>17</v>
      </c>
      <c r="P409" s="809">
        <v>20</v>
      </c>
      <c r="Q409" s="809">
        <v>20</v>
      </c>
      <c r="R409" s="809">
        <v>20.5</v>
      </c>
      <c r="S409" s="809">
        <v>21</v>
      </c>
      <c r="T409" s="807" t="s">
        <v>1114</v>
      </c>
      <c r="U409" s="807" t="s">
        <v>1114</v>
      </c>
      <c r="V409" s="807" t="s">
        <v>1114</v>
      </c>
      <c r="W409" s="807" t="s">
        <v>1114</v>
      </c>
      <c r="X409" s="807" t="s">
        <v>1114</v>
      </c>
      <c r="Y409" s="807" t="s">
        <v>1114</v>
      </c>
      <c r="Z409" s="807" t="s">
        <v>1114</v>
      </c>
      <c r="AA409" s="807" t="s">
        <v>1114</v>
      </c>
    </row>
    <row r="410" spans="1:27">
      <c r="A410" s="75" t="s">
        <v>1514</v>
      </c>
      <c r="B410" s="807" t="s">
        <v>1114</v>
      </c>
      <c r="C410" s="807" t="s">
        <v>1114</v>
      </c>
      <c r="D410" s="807" t="s">
        <v>1114</v>
      </c>
      <c r="E410" s="807" t="s">
        <v>1114</v>
      </c>
      <c r="F410" s="807" t="s">
        <v>1114</v>
      </c>
      <c r="G410" s="807" t="s">
        <v>1114</v>
      </c>
      <c r="H410" s="807" t="s">
        <v>1114</v>
      </c>
      <c r="I410" s="807" t="s">
        <v>1114</v>
      </c>
      <c r="J410" s="807" t="s">
        <v>1114</v>
      </c>
      <c r="K410" s="807" t="s">
        <v>1114</v>
      </c>
      <c r="L410" s="807" t="s">
        <v>1114</v>
      </c>
      <c r="M410" s="809">
        <v>17</v>
      </c>
      <c r="N410" s="809">
        <v>20</v>
      </c>
      <c r="O410" s="809">
        <v>17</v>
      </c>
      <c r="P410" s="809">
        <v>20</v>
      </c>
      <c r="Q410" s="809">
        <v>20</v>
      </c>
      <c r="R410" s="809">
        <v>21</v>
      </c>
      <c r="S410" s="809">
        <v>21</v>
      </c>
      <c r="T410" s="807" t="s">
        <v>1114</v>
      </c>
      <c r="U410" s="807" t="s">
        <v>1114</v>
      </c>
      <c r="V410" s="807" t="s">
        <v>1114</v>
      </c>
      <c r="W410" s="807" t="s">
        <v>1114</v>
      </c>
      <c r="X410" s="807" t="s">
        <v>1114</v>
      </c>
      <c r="Y410" s="807" t="s">
        <v>1114</v>
      </c>
      <c r="Z410" s="807" t="s">
        <v>1114</v>
      </c>
      <c r="AA410" s="807" t="s">
        <v>1114</v>
      </c>
    </row>
    <row r="411" spans="1:27">
      <c r="A411" s="75" t="s">
        <v>1515</v>
      </c>
      <c r="B411" s="807" t="s">
        <v>1114</v>
      </c>
      <c r="C411" s="807" t="s">
        <v>1114</v>
      </c>
      <c r="D411" s="807" t="s">
        <v>1114</v>
      </c>
      <c r="E411" s="807" t="s">
        <v>1114</v>
      </c>
      <c r="F411" s="807" t="s">
        <v>1114</v>
      </c>
      <c r="G411" s="807" t="s">
        <v>1114</v>
      </c>
      <c r="H411" s="807" t="s">
        <v>1114</v>
      </c>
      <c r="I411" s="807" t="s">
        <v>1114</v>
      </c>
      <c r="J411" s="807" t="s">
        <v>1114</v>
      </c>
      <c r="K411" s="807" t="s">
        <v>1114</v>
      </c>
      <c r="L411" s="807" t="s">
        <v>1114</v>
      </c>
      <c r="M411" s="809">
        <v>17</v>
      </c>
      <c r="N411" s="809">
        <v>20</v>
      </c>
      <c r="O411" s="809">
        <v>17</v>
      </c>
      <c r="P411" s="809">
        <v>20</v>
      </c>
      <c r="Q411" s="809">
        <v>17</v>
      </c>
      <c r="R411" s="809">
        <v>20</v>
      </c>
      <c r="S411" s="809">
        <v>21</v>
      </c>
      <c r="T411" s="807" t="s">
        <v>1114</v>
      </c>
      <c r="U411" s="807" t="s">
        <v>1114</v>
      </c>
      <c r="V411" s="807" t="s">
        <v>1114</v>
      </c>
      <c r="W411" s="807" t="s">
        <v>1114</v>
      </c>
      <c r="X411" s="807" t="s">
        <v>1114</v>
      </c>
      <c r="Y411" s="807" t="s">
        <v>1114</v>
      </c>
      <c r="Z411" s="807" t="s">
        <v>1114</v>
      </c>
      <c r="AA411" s="807" t="s">
        <v>1114</v>
      </c>
    </row>
    <row r="412" spans="1:27">
      <c r="A412" s="75" t="s">
        <v>1516</v>
      </c>
      <c r="B412" s="807" t="s">
        <v>1114</v>
      </c>
      <c r="C412" s="807" t="s">
        <v>1114</v>
      </c>
      <c r="D412" s="807" t="s">
        <v>1114</v>
      </c>
      <c r="E412" s="807" t="s">
        <v>1114</v>
      </c>
      <c r="F412" s="807" t="s">
        <v>1114</v>
      </c>
      <c r="G412" s="807" t="s">
        <v>1114</v>
      </c>
      <c r="H412" s="807" t="s">
        <v>1114</v>
      </c>
      <c r="I412" s="807" t="s">
        <v>1114</v>
      </c>
      <c r="J412" s="807" t="s">
        <v>1114</v>
      </c>
      <c r="K412" s="807" t="s">
        <v>1114</v>
      </c>
      <c r="L412" s="807" t="s">
        <v>1114</v>
      </c>
      <c r="M412" s="802">
        <v>0</v>
      </c>
      <c r="N412" s="802">
        <v>0</v>
      </c>
      <c r="O412" s="802">
        <v>0</v>
      </c>
      <c r="P412" s="802">
        <v>0</v>
      </c>
      <c r="Q412" s="802">
        <v>1.41421</v>
      </c>
      <c r="R412" s="802">
        <v>0.5</v>
      </c>
      <c r="S412" s="802">
        <v>0</v>
      </c>
      <c r="T412" s="807" t="s">
        <v>1114</v>
      </c>
      <c r="U412" s="807" t="s">
        <v>1114</v>
      </c>
      <c r="V412" s="807" t="s">
        <v>1114</v>
      </c>
      <c r="W412" s="807" t="s">
        <v>1114</v>
      </c>
      <c r="X412" s="807" t="s">
        <v>1114</v>
      </c>
      <c r="Y412" s="807" t="s">
        <v>1114</v>
      </c>
      <c r="Z412" s="807" t="s">
        <v>1114</v>
      </c>
      <c r="AA412" s="807" t="s">
        <v>1114</v>
      </c>
    </row>
    <row r="413" spans="1:27">
      <c r="A413" s="75" t="s">
        <v>1517</v>
      </c>
      <c r="B413" s="807" t="s">
        <v>1114</v>
      </c>
      <c r="C413" s="807" t="s">
        <v>1114</v>
      </c>
      <c r="D413" s="807" t="s">
        <v>1114</v>
      </c>
      <c r="E413" s="807" t="s">
        <v>1114</v>
      </c>
      <c r="F413" s="807" t="s">
        <v>1114</v>
      </c>
      <c r="G413" s="807" t="s">
        <v>1114</v>
      </c>
      <c r="H413" s="807" t="s">
        <v>1114</v>
      </c>
      <c r="I413" s="807" t="s">
        <v>1114</v>
      </c>
      <c r="J413" s="807" t="s">
        <v>1114</v>
      </c>
      <c r="K413" s="807" t="s">
        <v>1114</v>
      </c>
      <c r="L413" s="807" t="s">
        <v>1114</v>
      </c>
      <c r="M413" s="807" t="s">
        <v>1525</v>
      </c>
      <c r="N413" s="807" t="s">
        <v>1525</v>
      </c>
      <c r="O413" s="807" t="s">
        <v>1525</v>
      </c>
      <c r="P413" s="807" t="s">
        <v>1525</v>
      </c>
      <c r="Q413" s="807" t="s">
        <v>1553</v>
      </c>
      <c r="R413" s="807" t="s">
        <v>1578</v>
      </c>
      <c r="S413" s="807" t="s">
        <v>1627</v>
      </c>
      <c r="T413" s="807" t="s">
        <v>1114</v>
      </c>
      <c r="U413" s="807" t="s">
        <v>1114</v>
      </c>
      <c r="V413" s="807" t="s">
        <v>1114</v>
      </c>
      <c r="W413" s="807" t="s">
        <v>1114</v>
      </c>
      <c r="X413" s="807" t="s">
        <v>1114</v>
      </c>
      <c r="Y413" s="807" t="s">
        <v>1114</v>
      </c>
      <c r="Z413" s="807" t="s">
        <v>1114</v>
      </c>
      <c r="AA413" s="807" t="s">
        <v>1114</v>
      </c>
    </row>
    <row r="414" spans="1:27">
      <c r="A414" s="75" t="s">
        <v>1526</v>
      </c>
      <c r="B414" s="807" t="s">
        <v>1114</v>
      </c>
      <c r="C414" s="807" t="s">
        <v>1114</v>
      </c>
      <c r="D414" s="807" t="s">
        <v>1114</v>
      </c>
      <c r="E414" s="807" t="s">
        <v>1114</v>
      </c>
      <c r="F414" s="807" t="s">
        <v>1114</v>
      </c>
      <c r="G414" s="807" t="s">
        <v>1114</v>
      </c>
      <c r="H414" s="807" t="s">
        <v>1114</v>
      </c>
      <c r="I414" s="807" t="s">
        <v>1114</v>
      </c>
      <c r="J414" s="807" t="s">
        <v>1114</v>
      </c>
      <c r="K414" s="807" t="s">
        <v>1114</v>
      </c>
      <c r="L414" s="807" t="s">
        <v>1114</v>
      </c>
      <c r="M414" s="807" t="s">
        <v>1527</v>
      </c>
      <c r="N414" s="807" t="s">
        <v>1527</v>
      </c>
      <c r="O414" s="807" t="s">
        <v>1527</v>
      </c>
      <c r="P414" s="807" t="s">
        <v>1527</v>
      </c>
      <c r="Q414" s="807" t="s">
        <v>1527</v>
      </c>
      <c r="R414" s="807" t="s">
        <v>1527</v>
      </c>
      <c r="S414" s="807" t="s">
        <v>1527</v>
      </c>
      <c r="T414" s="807" t="s">
        <v>1114</v>
      </c>
      <c r="U414" s="807" t="s">
        <v>1114</v>
      </c>
      <c r="V414" s="807" t="s">
        <v>1114</v>
      </c>
      <c r="W414" s="807" t="s">
        <v>1114</v>
      </c>
      <c r="X414" s="807" t="s">
        <v>1114</v>
      </c>
      <c r="Y414" s="807" t="s">
        <v>1114</v>
      </c>
      <c r="Z414" s="807" t="s">
        <v>1114</v>
      </c>
      <c r="AA414" s="807" t="s">
        <v>1114</v>
      </c>
    </row>
    <row r="415" spans="1:27">
      <c r="B415" s="800"/>
      <c r="C415" s="800"/>
      <c r="D415" s="800"/>
      <c r="E415" s="800"/>
      <c r="F415" s="800"/>
      <c r="G415" s="800"/>
      <c r="H415" s="800"/>
      <c r="I415" s="800"/>
      <c r="J415" s="800"/>
      <c r="K415" s="800"/>
      <c r="L415" s="800"/>
      <c r="M415" s="800"/>
      <c r="N415" s="800"/>
      <c r="O415" s="800"/>
      <c r="P415" s="800"/>
      <c r="Q415" s="800"/>
      <c r="R415" s="800"/>
      <c r="S415" s="800"/>
      <c r="T415" s="800"/>
      <c r="U415" s="800"/>
      <c r="V415" s="800"/>
      <c r="W415" s="800"/>
      <c r="X415" s="800"/>
      <c r="Y415" s="800"/>
      <c r="Z415" s="800"/>
      <c r="AA415" s="800"/>
    </row>
    <row r="416" spans="1:27" ht="19">
      <c r="A416" s="803"/>
      <c r="B416" s="803" t="s">
        <v>1667</v>
      </c>
      <c r="C416" s="800"/>
      <c r="D416" s="800"/>
      <c r="E416" s="800"/>
      <c r="F416" s="800"/>
      <c r="G416" s="800"/>
      <c r="H416" s="800"/>
      <c r="I416" s="800"/>
      <c r="J416" s="800"/>
      <c r="K416" s="800"/>
      <c r="L416" s="800"/>
      <c r="M416" s="800"/>
      <c r="N416" s="800"/>
      <c r="O416" s="800"/>
      <c r="P416" s="800"/>
      <c r="Q416" s="800"/>
      <c r="R416" s="800"/>
      <c r="S416" s="800"/>
      <c r="T416" s="800"/>
      <c r="U416" s="800"/>
      <c r="V416" s="800"/>
      <c r="W416" s="800"/>
      <c r="X416" s="800"/>
      <c r="Y416" s="800"/>
      <c r="Z416" s="800"/>
      <c r="AA416" s="800"/>
    </row>
    <row r="417" spans="1:27" ht="19">
      <c r="A417" s="804" t="s">
        <v>1556</v>
      </c>
      <c r="B417" s="805" t="s">
        <v>1668</v>
      </c>
      <c r="C417" s="800"/>
      <c r="D417" s="800"/>
      <c r="E417" s="800"/>
      <c r="F417" s="800"/>
      <c r="G417" s="800"/>
      <c r="H417" s="800"/>
      <c r="I417" s="800"/>
      <c r="J417" s="800"/>
      <c r="K417" s="800"/>
      <c r="L417" s="800"/>
      <c r="M417" s="800"/>
      <c r="N417" s="800"/>
      <c r="O417" s="800"/>
      <c r="P417" s="800"/>
      <c r="Q417" s="800"/>
      <c r="R417" s="800"/>
      <c r="S417" s="800"/>
      <c r="T417" s="800"/>
      <c r="U417" s="800"/>
      <c r="V417" s="800"/>
      <c r="W417" s="800"/>
      <c r="X417" s="800"/>
      <c r="Y417" s="800"/>
      <c r="Z417" s="800"/>
      <c r="AA417" s="800"/>
    </row>
    <row r="418" spans="1:27">
      <c r="A418" s="806" t="s">
        <v>81</v>
      </c>
      <c r="B418" s="807" t="s">
        <v>1114</v>
      </c>
      <c r="C418" s="800"/>
      <c r="D418" s="800"/>
      <c r="E418" s="800"/>
      <c r="F418" s="800"/>
      <c r="G418" s="800"/>
      <c r="H418" s="800"/>
      <c r="I418" s="800"/>
      <c r="J418" s="800"/>
      <c r="K418" s="800"/>
      <c r="L418" s="800"/>
      <c r="M418" s="800"/>
      <c r="N418" s="800"/>
      <c r="O418" s="800"/>
      <c r="P418" s="800"/>
      <c r="Q418" s="800"/>
      <c r="R418" s="800"/>
      <c r="S418" s="800"/>
      <c r="T418" s="800"/>
      <c r="U418" s="800"/>
      <c r="V418" s="800"/>
      <c r="W418" s="800"/>
      <c r="X418" s="800"/>
      <c r="Y418" s="800"/>
      <c r="Z418" s="800"/>
      <c r="AA418" s="800"/>
    </row>
    <row r="419" spans="1:27">
      <c r="A419" s="75" t="s">
        <v>1664</v>
      </c>
      <c r="B419" s="812">
        <v>-315</v>
      </c>
      <c r="C419" s="800"/>
      <c r="D419" s="800"/>
      <c r="E419" s="800"/>
      <c r="F419" s="800"/>
      <c r="G419" s="800"/>
      <c r="H419" s="800"/>
      <c r="I419" s="800"/>
      <c r="J419" s="800"/>
      <c r="K419" s="800"/>
      <c r="L419" s="800"/>
      <c r="M419" s="800"/>
      <c r="N419" s="800"/>
      <c r="O419" s="800"/>
      <c r="P419" s="800"/>
      <c r="Q419" s="800"/>
      <c r="R419" s="800"/>
      <c r="S419" s="800"/>
      <c r="T419" s="800"/>
      <c r="U419" s="800"/>
      <c r="V419" s="800"/>
      <c r="W419" s="800"/>
      <c r="X419" s="800"/>
      <c r="Y419" s="800"/>
      <c r="Z419" s="800"/>
      <c r="AA419" s="800"/>
    </row>
    <row r="420" spans="1:27">
      <c r="A420" s="75" t="s">
        <v>1526</v>
      </c>
      <c r="B420" s="807" t="s">
        <v>1527</v>
      </c>
      <c r="C420" s="800"/>
      <c r="D420" s="800"/>
      <c r="E420" s="800"/>
      <c r="F420" s="800"/>
      <c r="G420" s="800"/>
      <c r="H420" s="800"/>
      <c r="I420" s="800"/>
      <c r="J420" s="800"/>
      <c r="K420" s="800"/>
      <c r="L420" s="800"/>
      <c r="M420" s="800"/>
      <c r="N420" s="800"/>
      <c r="O420" s="800"/>
      <c r="P420" s="800"/>
      <c r="Q420" s="800"/>
      <c r="R420" s="800"/>
      <c r="S420" s="800"/>
      <c r="T420" s="800"/>
      <c r="U420" s="800"/>
      <c r="V420" s="800"/>
      <c r="W420" s="800"/>
      <c r="X420" s="800"/>
      <c r="Y420" s="800"/>
      <c r="Z420" s="800"/>
      <c r="AA420" s="800"/>
    </row>
    <row r="421" spans="1:27">
      <c r="B421" s="800"/>
      <c r="C421" s="800"/>
      <c r="D421" s="800"/>
      <c r="E421" s="800"/>
      <c r="F421" s="800"/>
      <c r="G421" s="800"/>
      <c r="H421" s="800"/>
      <c r="I421" s="800"/>
      <c r="J421" s="800"/>
      <c r="K421" s="800"/>
      <c r="L421" s="800"/>
      <c r="M421" s="800"/>
      <c r="N421" s="800"/>
      <c r="O421" s="800"/>
      <c r="P421" s="800"/>
      <c r="Q421" s="800"/>
      <c r="R421" s="800"/>
      <c r="S421" s="800"/>
      <c r="T421" s="800"/>
      <c r="U421" s="800"/>
      <c r="V421" s="800"/>
      <c r="W421" s="800"/>
      <c r="X421" s="800"/>
      <c r="Y421" s="800"/>
      <c r="Z421" s="800"/>
      <c r="AA421" s="800"/>
    </row>
    <row r="422" spans="1:27">
      <c r="B422" s="800"/>
      <c r="C422" s="800"/>
      <c r="D422" s="800"/>
      <c r="E422" s="800"/>
      <c r="F422" s="800"/>
      <c r="G422" s="800"/>
      <c r="H422" s="800"/>
      <c r="I422" s="800"/>
      <c r="J422" s="800"/>
      <c r="K422" s="800"/>
      <c r="L422" s="800"/>
      <c r="M422" s="800"/>
      <c r="N422" s="800"/>
      <c r="O422" s="800"/>
      <c r="P422" s="800"/>
      <c r="Q422" s="800"/>
      <c r="R422" s="800"/>
      <c r="S422" s="800"/>
      <c r="T422" s="800"/>
      <c r="U422" s="800"/>
      <c r="V422" s="800"/>
      <c r="W422" s="800"/>
      <c r="X422" s="800"/>
      <c r="Y422" s="800"/>
      <c r="Z422" s="800"/>
      <c r="AA422" s="800"/>
    </row>
    <row r="423" spans="1:27">
      <c r="B423" s="800"/>
      <c r="C423" s="800"/>
      <c r="D423" s="800"/>
      <c r="E423" s="800"/>
      <c r="F423" s="800"/>
      <c r="G423" s="800"/>
      <c r="H423" s="800"/>
      <c r="I423" s="800"/>
      <c r="J423" s="800"/>
      <c r="K423" s="800"/>
      <c r="L423" s="800"/>
      <c r="M423" s="800"/>
      <c r="N423" s="800"/>
      <c r="O423" s="800"/>
      <c r="P423" s="800"/>
      <c r="Q423" s="800"/>
      <c r="R423" s="800"/>
      <c r="S423" s="800"/>
      <c r="T423" s="800"/>
      <c r="U423" s="800"/>
      <c r="V423" s="800"/>
      <c r="W423" s="800"/>
      <c r="X423" s="800"/>
      <c r="Y423" s="800"/>
      <c r="Z423" s="800"/>
      <c r="AA423" s="800"/>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99BC7-5EC3-4DA8-849D-037124B7B975}">
  <dimension ref="A1:P51"/>
  <sheetViews>
    <sheetView showGridLines="0" topLeftCell="A19" zoomScale="70" zoomScaleNormal="70" workbookViewId="0">
      <selection activeCell="D10" sqref="D10"/>
    </sheetView>
  </sheetViews>
  <sheetFormatPr baseColWidth="10" defaultColWidth="8.5" defaultRowHeight="16"/>
  <cols>
    <col min="1" max="2" width="2.5" style="220" customWidth="1"/>
    <col min="3" max="3" width="74" style="220" customWidth="1"/>
    <col min="4" max="4" width="9.5" style="220" bestFit="1" customWidth="1"/>
    <col min="5" max="5" width="11.5" style="220" customWidth="1"/>
    <col min="6" max="15" width="15.5" style="220" customWidth="1"/>
    <col min="16" max="16384" width="8.5" style="220"/>
  </cols>
  <sheetData>
    <row r="1" spans="1:16" s="64" customFormat="1" ht="35">
      <c r="C1" s="1" t="str">
        <f>Cover!$C$7&amp;" ("&amp;Cover!$C$8&amp;": "&amp;Cover!$C$9&amp;")"</f>
        <v>Grab Holdings Limited (NASDAQ: GRAB)</v>
      </c>
      <c r="D1" s="783"/>
      <c r="E1" s="94"/>
      <c r="F1" s="94"/>
      <c r="G1" s="94"/>
      <c r="H1" s="94"/>
      <c r="I1" s="94"/>
      <c r="J1" s="94"/>
      <c r="K1" s="94"/>
      <c r="L1" s="94"/>
      <c r="M1" s="94"/>
      <c r="N1" s="94"/>
      <c r="O1" s="94"/>
    </row>
    <row r="2" spans="1:16" s="64" customFormat="1">
      <c r="C2" s="94"/>
      <c r="D2" s="94"/>
      <c r="E2" s="94"/>
      <c r="F2" s="94"/>
      <c r="G2" s="94"/>
      <c r="H2" s="94"/>
      <c r="I2" s="94"/>
      <c r="J2" s="94"/>
      <c r="K2" s="94"/>
      <c r="L2" s="94"/>
      <c r="M2" s="94"/>
      <c r="N2" s="94"/>
      <c r="O2" s="94"/>
    </row>
    <row r="3" spans="1:16" s="64" customFormat="1">
      <c r="C3" s="654" t="s">
        <v>264</v>
      </c>
      <c r="D3" s="655"/>
      <c r="E3" s="652">
        <f ca="1">Cover!$C$18</f>
        <v>7.2080318777471293</v>
      </c>
      <c r="F3" s="94"/>
      <c r="G3" s="94"/>
      <c r="H3" s="94"/>
      <c r="I3" s="94"/>
      <c r="J3" s="94"/>
      <c r="K3" s="94"/>
      <c r="L3" s="94"/>
      <c r="M3" s="94"/>
      <c r="N3" s="94"/>
      <c r="O3" s="94"/>
    </row>
    <row r="4" spans="1:16" s="64" customFormat="1">
      <c r="C4" s="656" t="s">
        <v>265</v>
      </c>
      <c r="D4" s="657"/>
      <c r="E4" s="658" t="str">
        <f>Cover!$C$11</f>
        <v>Base Case</v>
      </c>
      <c r="F4" s="93"/>
      <c r="G4" s="94"/>
      <c r="H4" s="94"/>
      <c r="I4" s="94"/>
      <c r="J4" s="94"/>
      <c r="K4" s="94"/>
      <c r="L4" s="94"/>
      <c r="M4" s="94"/>
      <c r="N4" s="94"/>
      <c r="O4" s="94"/>
    </row>
    <row r="5" spans="1:16" s="64" customFormat="1" ht="19">
      <c r="C5" s="93"/>
      <c r="D5" s="93"/>
      <c r="E5" s="94"/>
      <c r="F5" s="95" t="s">
        <v>43</v>
      </c>
      <c r="G5" s="95"/>
      <c r="H5" s="95"/>
      <c r="I5" s="95"/>
      <c r="J5" s="95"/>
      <c r="K5" s="95" t="s">
        <v>44</v>
      </c>
      <c r="L5" s="95"/>
      <c r="M5" s="95"/>
      <c r="N5" s="95"/>
      <c r="O5" s="95"/>
    </row>
    <row r="6" spans="1:16" s="64" customFormat="1" ht="19">
      <c r="C6" s="147" t="str">
        <f>"In "&amp;Cover!$C$10&amp;", unless stated otherwise"</f>
        <v>In USD Mn, unless stated otherwise</v>
      </c>
      <c r="D6" s="65"/>
      <c r="E6" s="96" t="s">
        <v>45</v>
      </c>
      <c r="F6" s="52">
        <v>20</v>
      </c>
      <c r="G6" s="52">
        <f>F6+1</f>
        <v>21</v>
      </c>
      <c r="H6" s="52">
        <f t="shared" ref="H6:O6" si="0">G6+1</f>
        <v>22</v>
      </c>
      <c r="I6" s="52">
        <f t="shared" si="0"/>
        <v>23</v>
      </c>
      <c r="J6" s="52">
        <f t="shared" si="0"/>
        <v>24</v>
      </c>
      <c r="K6" s="53">
        <f t="shared" si="0"/>
        <v>25</v>
      </c>
      <c r="L6" s="53">
        <f t="shared" si="0"/>
        <v>26</v>
      </c>
      <c r="M6" s="53">
        <f t="shared" si="0"/>
        <v>27</v>
      </c>
      <c r="N6" s="53">
        <f t="shared" si="0"/>
        <v>28</v>
      </c>
      <c r="O6" s="53">
        <f t="shared" si="0"/>
        <v>29</v>
      </c>
      <c r="P6" s="116" t="s">
        <v>46</v>
      </c>
    </row>
    <row r="8" spans="1:16">
      <c r="A8" s="97">
        <v>1</v>
      </c>
      <c r="B8" s="38"/>
      <c r="C8" s="65" t="s">
        <v>231</v>
      </c>
      <c r="D8" s="65"/>
      <c r="E8" s="64"/>
      <c r="F8" s="64"/>
      <c r="G8" s="64"/>
      <c r="H8" s="64"/>
      <c r="I8" s="64"/>
      <c r="J8" s="64"/>
      <c r="K8" s="64"/>
      <c r="L8" s="64"/>
      <c r="M8" s="64"/>
      <c r="N8" s="64"/>
      <c r="O8" s="64"/>
    </row>
    <row r="9" spans="1:16">
      <c r="C9" s="61" t="s">
        <v>1055</v>
      </c>
      <c r="D9" s="38"/>
    </row>
    <row r="10" spans="1:16">
      <c r="C10" s="38" t="s">
        <v>1669</v>
      </c>
      <c r="D10" s="104">
        <v>0.67</v>
      </c>
      <c r="P10" s="220" t="s">
        <v>1670</v>
      </c>
    </row>
    <row r="11" spans="1:16">
      <c r="C11" s="38" t="s">
        <v>1671</v>
      </c>
      <c r="D11" s="104">
        <v>-0.02</v>
      </c>
    </row>
    <row r="12" spans="1:16">
      <c r="C12" s="38" t="s">
        <v>1672</v>
      </c>
      <c r="D12" s="788">
        <v>2.99</v>
      </c>
    </row>
    <row r="13" spans="1:16">
      <c r="C13" s="38" t="s">
        <v>1673</v>
      </c>
      <c r="D13" s="788">
        <v>2</v>
      </c>
    </row>
    <row r="14" spans="1:16">
      <c r="C14" s="38" t="s">
        <v>1674</v>
      </c>
      <c r="D14" s="104">
        <v>0.4</v>
      </c>
    </row>
    <row r="16" spans="1:16">
      <c r="C16" s="220" t="s">
        <v>1675</v>
      </c>
      <c r="F16" s="55">
        <v>5.69</v>
      </c>
      <c r="G16" s="55">
        <v>5.45</v>
      </c>
      <c r="H16" s="55">
        <v>5.64</v>
      </c>
      <c r="I16" s="55">
        <v>5.92</v>
      </c>
      <c r="J16" s="55">
        <v>6.04</v>
      </c>
      <c r="K16" s="55">
        <v>6.08</v>
      </c>
      <c r="L16" s="55">
        <v>6.12</v>
      </c>
      <c r="M16" s="55">
        <v>6.17</v>
      </c>
      <c r="N16" s="55">
        <v>6.22</v>
      </c>
      <c r="O16" s="55">
        <v>6.27</v>
      </c>
      <c r="P16" s="220" t="s">
        <v>1676</v>
      </c>
    </row>
    <row r="17" spans="1:16">
      <c r="C17" s="785" t="s">
        <v>307</v>
      </c>
      <c r="D17" s="784"/>
      <c r="E17" s="784"/>
      <c r="F17" s="84"/>
      <c r="G17" s="102">
        <f>(G16-F16)/F16</f>
        <v>-4.2179261862917435E-2</v>
      </c>
      <c r="H17" s="102">
        <f t="shared" ref="H17:O17" si="1">(H16-G16)/G16</f>
        <v>3.4862385321100822E-2</v>
      </c>
      <c r="I17" s="102">
        <f t="shared" si="1"/>
        <v>4.964539007092203E-2</v>
      </c>
      <c r="J17" s="102">
        <f t="shared" si="1"/>
        <v>2.0270270270270289E-2</v>
      </c>
      <c r="K17" s="102">
        <f t="shared" si="1"/>
        <v>6.6225165562913968E-3</v>
      </c>
      <c r="L17" s="102">
        <f t="shared" si="1"/>
        <v>6.5789473684210583E-3</v>
      </c>
      <c r="M17" s="102">
        <f t="shared" si="1"/>
        <v>8.1699346405228468E-3</v>
      </c>
      <c r="N17" s="102">
        <f t="shared" si="1"/>
        <v>8.1037277147487565E-3</v>
      </c>
      <c r="O17" s="102">
        <f t="shared" si="1"/>
        <v>8.0385852090031872E-3</v>
      </c>
    </row>
    <row r="18" spans="1:16">
      <c r="F18" s="55"/>
      <c r="G18" s="55"/>
      <c r="H18" s="55"/>
      <c r="I18" s="55"/>
      <c r="J18" s="55"/>
      <c r="K18" s="55"/>
      <c r="L18" s="55"/>
      <c r="M18" s="55"/>
      <c r="N18" s="55"/>
      <c r="O18" s="55"/>
    </row>
    <row r="19" spans="1:16">
      <c r="C19" s="220" t="s">
        <v>1677</v>
      </c>
      <c r="F19" s="82">
        <f t="shared" ref="F19:O19" si="2">F16-F22-F25*$D$13</f>
        <v>0.77685799999999983</v>
      </c>
      <c r="G19" s="82">
        <f t="shared" si="2"/>
        <v>0.69103599999999976</v>
      </c>
      <c r="H19" s="82">
        <f t="shared" si="2"/>
        <v>0.70599799999999968</v>
      </c>
      <c r="I19" s="82">
        <f t="shared" si="2"/>
        <v>0.72527599999999981</v>
      </c>
      <c r="J19" s="82">
        <f t="shared" si="2"/>
        <v>0.67771199999999987</v>
      </c>
      <c r="K19" s="82">
        <f t="shared" si="2"/>
        <v>0.71722176000000015</v>
      </c>
      <c r="L19" s="82">
        <f t="shared" si="2"/>
        <v>0.75620532479999958</v>
      </c>
      <c r="M19" s="82">
        <f t="shared" si="2"/>
        <v>0.79797321830399937</v>
      </c>
      <c r="N19" s="82">
        <f t="shared" si="2"/>
        <v>0.83923575393792005</v>
      </c>
      <c r="O19" s="82">
        <f t="shared" si="2"/>
        <v>0.88000303885916131</v>
      </c>
    </row>
    <row r="20" spans="1:16">
      <c r="C20" s="785" t="s">
        <v>307</v>
      </c>
      <c r="D20" s="784"/>
      <c r="E20" s="784"/>
      <c r="F20" s="84"/>
      <c r="G20" s="102">
        <f>(G19-F19)/F19</f>
        <v>-0.11047321389494616</v>
      </c>
      <c r="H20" s="102">
        <f t="shared" ref="H20" si="3">(H19-G19)/G19</f>
        <v>2.1651549268055389E-2</v>
      </c>
      <c r="I20" s="102">
        <f t="shared" ref="I20" si="4">(I19-H19)/H19</f>
        <v>2.7306026362681108E-2</v>
      </c>
      <c r="J20" s="102">
        <f t="shared" ref="J20" si="5">(J19-I19)/I19</f>
        <v>-6.5580551403879278E-2</v>
      </c>
      <c r="K20" s="102">
        <f>(K19-J19)/J19</f>
        <v>5.8298746370139959E-2</v>
      </c>
      <c r="L20" s="102">
        <f>(L19-K19)/K19</f>
        <v>5.4353572317715815E-2</v>
      </c>
      <c r="M20" s="102">
        <f>(M19-L19)/L19</f>
        <v>5.5233535303452826E-2</v>
      </c>
      <c r="N20" s="102">
        <f>(N19-M19)/M19</f>
        <v>5.1709173550485155E-2</v>
      </c>
      <c r="O20" s="102">
        <f>(O19-N19)/N19</f>
        <v>4.8576677923873227E-2</v>
      </c>
    </row>
    <row r="21" spans="1:16">
      <c r="F21" s="55"/>
      <c r="G21" s="55"/>
      <c r="H21" s="55"/>
      <c r="I21" s="55"/>
      <c r="J21" s="55"/>
      <c r="K21" s="55"/>
      <c r="L21" s="55"/>
      <c r="M21" s="55"/>
      <c r="N21" s="55"/>
      <c r="O21" s="55"/>
    </row>
    <row r="22" spans="1:16">
      <c r="C22" s="220" t="s">
        <v>1678</v>
      </c>
      <c r="F22" s="82">
        <f t="shared" ref="F22:O22" si="6">F16*$D$10</f>
        <v>3.8123000000000005</v>
      </c>
      <c r="G22" s="82">
        <f t="shared" si="6"/>
        <v>3.6515000000000004</v>
      </c>
      <c r="H22" s="82">
        <f t="shared" si="6"/>
        <v>3.7787999999999999</v>
      </c>
      <c r="I22" s="82">
        <f t="shared" si="6"/>
        <v>3.9664000000000001</v>
      </c>
      <c r="J22" s="82">
        <f t="shared" si="6"/>
        <v>4.0468000000000002</v>
      </c>
      <c r="K22" s="82">
        <f t="shared" si="6"/>
        <v>4.0735999999999999</v>
      </c>
      <c r="L22" s="82">
        <f t="shared" si="6"/>
        <v>4.1004000000000005</v>
      </c>
      <c r="M22" s="82">
        <f t="shared" si="6"/>
        <v>4.1339000000000006</v>
      </c>
      <c r="N22" s="82">
        <f t="shared" si="6"/>
        <v>4.1673999999999998</v>
      </c>
      <c r="O22" s="82">
        <f t="shared" si="6"/>
        <v>4.2008999999999999</v>
      </c>
    </row>
    <row r="23" spans="1:16">
      <c r="C23" s="785" t="s">
        <v>307</v>
      </c>
      <c r="D23" s="784"/>
      <c r="E23" s="784"/>
      <c r="F23" s="84"/>
      <c r="G23" s="102">
        <f>(G22-F22)/F22</f>
        <v>-4.2179261862917407E-2</v>
      </c>
      <c r="H23" s="102">
        <f t="shared" ref="H23:O23" si="7">(H22-G22)/G22</f>
        <v>3.4862385321100781E-2</v>
      </c>
      <c r="I23" s="102">
        <f t="shared" si="7"/>
        <v>4.9645390070922044E-2</v>
      </c>
      <c r="J23" s="102">
        <f t="shared" si="7"/>
        <v>2.0270270270270275E-2</v>
      </c>
      <c r="K23" s="102">
        <f t="shared" si="7"/>
        <v>6.6225165562913196E-3</v>
      </c>
      <c r="L23" s="102">
        <f t="shared" si="7"/>
        <v>6.5789473684212006E-3</v>
      </c>
      <c r="M23" s="102">
        <f t="shared" si="7"/>
        <v>8.1699346405228954E-3</v>
      </c>
      <c r="N23" s="102">
        <f t="shared" si="7"/>
        <v>8.1037277147485882E-3</v>
      </c>
      <c r="O23" s="102">
        <f t="shared" si="7"/>
        <v>8.0385852090032357E-3</v>
      </c>
    </row>
    <row r="24" spans="1:16">
      <c r="F24" s="82"/>
      <c r="G24" s="82"/>
      <c r="H24" s="82"/>
      <c r="I24" s="82"/>
      <c r="J24" s="82"/>
      <c r="K24" s="82"/>
      <c r="L24" s="82"/>
      <c r="M24" s="82"/>
      <c r="N24" s="82"/>
      <c r="O24" s="82"/>
    </row>
    <row r="25" spans="1:16">
      <c r="C25" s="220" t="s">
        <v>1679</v>
      </c>
      <c r="F25" s="55">
        <v>0.55042100000000005</v>
      </c>
      <c r="G25" s="55">
        <v>0.553732</v>
      </c>
      <c r="H25" s="55">
        <v>0.57760100000000003</v>
      </c>
      <c r="I25" s="55">
        <v>0.61416199999999999</v>
      </c>
      <c r="J25" s="55">
        <v>0.657744</v>
      </c>
      <c r="K25" s="82">
        <f>J25*(1+K26)</f>
        <v>0.64458912000000002</v>
      </c>
      <c r="L25" s="82">
        <f t="shared" ref="L25:O25" si="8">K25*(1+L26)</f>
        <v>0.63169733760000002</v>
      </c>
      <c r="M25" s="82">
        <f t="shared" si="8"/>
        <v>0.61906339084799999</v>
      </c>
      <c r="N25" s="82">
        <f t="shared" si="8"/>
        <v>0.60668212303103997</v>
      </c>
      <c r="O25" s="82">
        <f t="shared" si="8"/>
        <v>0.5945484805704192</v>
      </c>
      <c r="P25" s="220" t="s">
        <v>1680</v>
      </c>
    </row>
    <row r="26" spans="1:16">
      <c r="C26" s="785" t="s">
        <v>307</v>
      </c>
      <c r="D26" s="784"/>
      <c r="E26" s="784"/>
      <c r="F26" s="84"/>
      <c r="G26" s="102">
        <f>(G25-F25)/F25</f>
        <v>6.0153954881807794E-3</v>
      </c>
      <c r="H26" s="102">
        <f t="shared" ref="H26:J26" si="9">(H25-G25)/G25</f>
        <v>4.3105690117240886E-2</v>
      </c>
      <c r="I26" s="102">
        <f t="shared" si="9"/>
        <v>6.3298020605919922E-2</v>
      </c>
      <c r="J26" s="102">
        <f t="shared" si="9"/>
        <v>7.0961733223481774E-2</v>
      </c>
      <c r="K26" s="786">
        <f>D11</f>
        <v>-0.02</v>
      </c>
      <c r="L26" s="786">
        <f>K26</f>
        <v>-0.02</v>
      </c>
      <c r="M26" s="786">
        <f t="shared" ref="M26:O26" si="10">L26</f>
        <v>-0.02</v>
      </c>
      <c r="N26" s="786">
        <f t="shared" si="10"/>
        <v>-0.02</v>
      </c>
      <c r="O26" s="786">
        <f t="shared" si="10"/>
        <v>-0.02</v>
      </c>
    </row>
    <row r="27" spans="1:16">
      <c r="F27" s="55"/>
      <c r="G27" s="55"/>
      <c r="H27" s="55"/>
      <c r="I27" s="55"/>
      <c r="J27" s="55"/>
    </row>
    <row r="28" spans="1:16">
      <c r="C28" s="220" t="s">
        <v>1681</v>
      </c>
      <c r="F28" s="787">
        <f>F19*(1-$D$14)</f>
        <v>0.46611479999999988</v>
      </c>
      <c r="G28" s="787">
        <f t="shared" ref="G28:O28" si="11">G19*(1-$D$14)</f>
        <v>0.41462159999999987</v>
      </c>
      <c r="H28" s="787">
        <f t="shared" si="11"/>
        <v>0.42359879999999978</v>
      </c>
      <c r="I28" s="787">
        <f t="shared" si="11"/>
        <v>0.43516559999999987</v>
      </c>
      <c r="J28" s="787">
        <f t="shared" si="11"/>
        <v>0.40662719999999991</v>
      </c>
      <c r="K28" s="787">
        <f t="shared" si="11"/>
        <v>0.4303330560000001</v>
      </c>
      <c r="L28" s="787">
        <f t="shared" si="11"/>
        <v>0.45372319487999974</v>
      </c>
      <c r="M28" s="787">
        <f t="shared" si="11"/>
        <v>0.47878393098239957</v>
      </c>
      <c r="N28" s="787">
        <f t="shared" si="11"/>
        <v>0.50354145236275205</v>
      </c>
      <c r="O28" s="787">
        <f t="shared" si="11"/>
        <v>0.52800182331549672</v>
      </c>
    </row>
    <row r="29" spans="1:16">
      <c r="C29" s="785" t="s">
        <v>1682</v>
      </c>
      <c r="D29" s="784"/>
      <c r="E29" s="784"/>
      <c r="F29" s="102">
        <f>F28/F16</f>
        <v>8.1918242530755692E-2</v>
      </c>
      <c r="G29" s="102">
        <f t="shared" ref="G29:O29" si="12">G28/G16</f>
        <v>7.6077357798165116E-2</v>
      </c>
      <c r="H29" s="102">
        <f t="shared" si="12"/>
        <v>7.5106170212765916E-2</v>
      </c>
      <c r="I29" s="102">
        <f t="shared" si="12"/>
        <v>7.3507702702702682E-2</v>
      </c>
      <c r="J29" s="102">
        <f t="shared" si="12"/>
        <v>6.7322384105960253E-2</v>
      </c>
      <c r="K29" s="102">
        <f t="shared" si="12"/>
        <v>7.0778463157894753E-2</v>
      </c>
      <c r="L29" s="102">
        <f t="shared" si="12"/>
        <v>7.4137776941176431E-2</v>
      </c>
      <c r="M29" s="102">
        <f t="shared" si="12"/>
        <v>7.7598692217568807E-2</v>
      </c>
      <c r="N29" s="102">
        <f t="shared" si="12"/>
        <v>8.0955217421664324E-2</v>
      </c>
      <c r="O29" s="102">
        <f t="shared" si="12"/>
        <v>8.4210817115709213E-2</v>
      </c>
      <c r="P29" s="220" t="s">
        <v>1683</v>
      </c>
    </row>
    <row r="31" spans="1:16">
      <c r="A31" s="97">
        <v>2</v>
      </c>
      <c r="B31" s="38"/>
      <c r="C31" s="65" t="s">
        <v>233</v>
      </c>
      <c r="D31" s="65"/>
      <c r="E31" s="64"/>
      <c r="F31" s="64"/>
      <c r="G31" s="64"/>
      <c r="H31" s="64"/>
      <c r="I31" s="64"/>
      <c r="J31" s="64"/>
      <c r="K31" s="64"/>
      <c r="L31" s="64"/>
      <c r="M31" s="64"/>
      <c r="N31" s="64"/>
      <c r="O31" s="64"/>
    </row>
    <row r="33" spans="1:15">
      <c r="C33" s="220" t="s">
        <v>1684</v>
      </c>
      <c r="F33" s="74"/>
      <c r="G33" s="74"/>
      <c r="H33" s="74"/>
      <c r="I33" s="55">
        <f>SUM(I36,I39)</f>
        <v>245.43</v>
      </c>
      <c r="J33" s="55">
        <f t="shared" ref="J33:O33" si="13">SUM(J36,J39)</f>
        <v>255.94</v>
      </c>
      <c r="K33" s="55">
        <f t="shared" si="13"/>
        <v>259.68</v>
      </c>
      <c r="L33" s="55">
        <f t="shared" si="13"/>
        <v>266.67</v>
      </c>
      <c r="M33" s="55">
        <f t="shared" si="13"/>
        <v>272.76</v>
      </c>
      <c r="N33" s="55">
        <f t="shared" si="13"/>
        <v>279.21000000000004</v>
      </c>
      <c r="O33" s="55">
        <f t="shared" si="13"/>
        <v>285.65000000000003</v>
      </c>
    </row>
    <row r="34" spans="1:15">
      <c r="C34" s="785" t="s">
        <v>307</v>
      </c>
      <c r="D34" s="784"/>
      <c r="E34" s="784"/>
      <c r="F34" s="84"/>
      <c r="G34" s="84"/>
      <c r="H34" s="84"/>
      <c r="I34" s="84"/>
      <c r="J34" s="102">
        <f t="shared" ref="J34" si="14">(J33-I33)/I33</f>
        <v>4.2822800798598341E-2</v>
      </c>
      <c r="K34" s="102">
        <f t="shared" ref="K34" si="15">(K33-J33)/J33</f>
        <v>1.4612799874970732E-2</v>
      </c>
      <c r="L34" s="102">
        <f t="shared" ref="L34" si="16">(L33-K33)/K33</f>
        <v>2.6917744916820738E-2</v>
      </c>
      <c r="M34" s="102">
        <f t="shared" ref="M34" si="17">(M33-L33)/L33</f>
        <v>2.2837214534818219E-2</v>
      </c>
      <c r="N34" s="102">
        <f t="shared" ref="N34" si="18">(N33-M33)/M33</f>
        <v>2.3647162340519307E-2</v>
      </c>
      <c r="O34" s="102">
        <f t="shared" ref="O34" si="19">(O33-N33)/N33</f>
        <v>2.3065076465742618E-2</v>
      </c>
    </row>
    <row r="36" spans="1:15">
      <c r="C36" s="220" t="s">
        <v>1685</v>
      </c>
      <c r="F36" s="74"/>
      <c r="G36" s="74"/>
      <c r="H36" s="74"/>
      <c r="I36" s="55">
        <v>82.99</v>
      </c>
      <c r="J36" s="55">
        <v>88.3</v>
      </c>
      <c r="K36" s="55">
        <v>90.76</v>
      </c>
      <c r="L36" s="55">
        <v>93.23</v>
      </c>
      <c r="M36" s="55">
        <v>95.69</v>
      </c>
      <c r="N36" s="55">
        <v>98.15</v>
      </c>
      <c r="O36" s="55">
        <v>100.61</v>
      </c>
    </row>
    <row r="37" spans="1:15">
      <c r="C37" s="785" t="s">
        <v>1686</v>
      </c>
      <c r="D37" s="784"/>
      <c r="E37" s="784"/>
      <c r="F37" s="84"/>
      <c r="G37" s="84"/>
      <c r="H37" s="84"/>
      <c r="I37" s="102">
        <f>I36/I33</f>
        <v>0.33814122152956033</v>
      </c>
      <c r="J37" s="102">
        <f t="shared" ref="J37:O37" si="20">J36/J33</f>
        <v>0.34500273501601936</v>
      </c>
      <c r="K37" s="102">
        <f t="shared" si="20"/>
        <v>0.3495070856438694</v>
      </c>
      <c r="L37" s="102">
        <f t="shared" si="20"/>
        <v>0.34960812989837625</v>
      </c>
      <c r="M37" s="102">
        <f t="shared" si="20"/>
        <v>0.35082123478515914</v>
      </c>
      <c r="N37" s="102">
        <f t="shared" si="20"/>
        <v>0.3515275240858135</v>
      </c>
      <c r="O37" s="102">
        <f t="shared" si="20"/>
        <v>0.35221424820584629</v>
      </c>
    </row>
    <row r="39" spans="1:15">
      <c r="C39" s="220" t="s">
        <v>1678</v>
      </c>
      <c r="F39" s="74"/>
      <c r="G39" s="74"/>
      <c r="H39" s="74"/>
      <c r="I39" s="55">
        <v>162.44</v>
      </c>
      <c r="J39" s="55">
        <v>167.64</v>
      </c>
      <c r="K39" s="55">
        <v>168.92000000000002</v>
      </c>
      <c r="L39" s="55">
        <v>173.44</v>
      </c>
      <c r="M39" s="55">
        <v>177.07</v>
      </c>
      <c r="N39" s="55">
        <v>181.06</v>
      </c>
      <c r="O39" s="55">
        <v>185.04000000000002</v>
      </c>
    </row>
    <row r="40" spans="1:15">
      <c r="C40" s="785" t="s">
        <v>1686</v>
      </c>
      <c r="D40" s="784"/>
      <c r="E40" s="784"/>
      <c r="F40" s="84"/>
      <c r="G40" s="84"/>
      <c r="H40" s="84"/>
      <c r="I40" s="102">
        <f>I39/I33</f>
        <v>0.66185877847043961</v>
      </c>
      <c r="J40" s="102">
        <f t="shared" ref="J40:O40" si="21">J39/J33</f>
        <v>0.65499726498398059</v>
      </c>
      <c r="K40" s="102">
        <f t="shared" si="21"/>
        <v>0.65049291435613066</v>
      </c>
      <c r="L40" s="102">
        <f t="shared" si="21"/>
        <v>0.65039187010162369</v>
      </c>
      <c r="M40" s="102">
        <f t="shared" si="21"/>
        <v>0.64917876521484086</v>
      </c>
      <c r="N40" s="102">
        <f t="shared" si="21"/>
        <v>0.64847247591418633</v>
      </c>
      <c r="O40" s="102">
        <f t="shared" si="21"/>
        <v>0.64778575179415365</v>
      </c>
    </row>
    <row r="42" spans="1:15">
      <c r="A42" s="97">
        <v>3</v>
      </c>
      <c r="B42" s="38"/>
      <c r="C42" s="65" t="s">
        <v>257</v>
      </c>
      <c r="D42" s="65"/>
      <c r="E42" s="64"/>
      <c r="F42" s="64"/>
      <c r="G42" s="64"/>
      <c r="H42" s="64"/>
      <c r="I42" s="64"/>
      <c r="J42" s="64"/>
      <c r="K42" s="64"/>
      <c r="L42" s="64"/>
      <c r="M42" s="64"/>
      <c r="N42" s="64"/>
      <c r="O42" s="64"/>
    </row>
    <row r="44" spans="1:15">
      <c r="C44" s="220" t="s">
        <v>1684</v>
      </c>
      <c r="F44" s="84"/>
      <c r="G44" s="84"/>
      <c r="H44" s="84"/>
      <c r="I44" s="55">
        <f t="shared" ref="I44:O44" si="22">SUM(I47,I50)</f>
        <v>22.05</v>
      </c>
      <c r="J44" s="55">
        <f t="shared" si="22"/>
        <v>22.8</v>
      </c>
      <c r="K44" s="55">
        <f t="shared" si="22"/>
        <v>23.55</v>
      </c>
      <c r="L44" s="55">
        <f t="shared" si="22"/>
        <v>23.96</v>
      </c>
      <c r="M44" s="55">
        <f t="shared" si="22"/>
        <v>24.41</v>
      </c>
      <c r="N44" s="55">
        <f t="shared" si="22"/>
        <v>24.86</v>
      </c>
      <c r="O44" s="55">
        <f t="shared" si="22"/>
        <v>25.33</v>
      </c>
    </row>
    <row r="45" spans="1:15">
      <c r="C45" s="785" t="s">
        <v>307</v>
      </c>
      <c r="D45" s="784"/>
      <c r="E45" s="784"/>
      <c r="F45" s="84"/>
      <c r="G45" s="84"/>
      <c r="H45" s="84"/>
      <c r="I45" s="84"/>
      <c r="J45" s="102">
        <f t="shared" ref="J45:O45" si="23">(J44-I44)/I44</f>
        <v>3.4013605442176867E-2</v>
      </c>
      <c r="K45" s="102">
        <f t="shared" si="23"/>
        <v>3.2894736842105261E-2</v>
      </c>
      <c r="L45" s="102">
        <f t="shared" si="23"/>
        <v>1.7409766454352448E-2</v>
      </c>
      <c r="M45" s="102">
        <f t="shared" si="23"/>
        <v>1.8781302170283776E-2</v>
      </c>
      <c r="N45" s="102">
        <f t="shared" si="23"/>
        <v>1.8435067595247819E-2</v>
      </c>
      <c r="O45" s="102">
        <f t="shared" si="23"/>
        <v>1.8905872888173726E-2</v>
      </c>
    </row>
    <row r="47" spans="1:15">
      <c r="C47" s="220" t="s">
        <v>1685</v>
      </c>
      <c r="F47" s="74"/>
      <c r="G47" s="74"/>
      <c r="H47" s="74"/>
      <c r="I47" s="55">
        <v>8.89</v>
      </c>
      <c r="J47" s="55">
        <v>9.39</v>
      </c>
      <c r="K47" s="55">
        <v>9.89</v>
      </c>
      <c r="L47" s="55">
        <v>10.23</v>
      </c>
      <c r="M47" s="55">
        <v>10.6</v>
      </c>
      <c r="N47" s="55">
        <v>10.97</v>
      </c>
      <c r="O47" s="55">
        <v>11.36</v>
      </c>
    </row>
    <row r="48" spans="1:15">
      <c r="C48" s="785" t="s">
        <v>1686</v>
      </c>
      <c r="D48" s="784"/>
      <c r="E48" s="784"/>
      <c r="F48" s="84"/>
      <c r="G48" s="84"/>
      <c r="H48" s="84"/>
      <c r="I48" s="102">
        <f t="shared" ref="I48:O48" si="24">I47/I44</f>
        <v>0.40317460317460319</v>
      </c>
      <c r="J48" s="102">
        <f t="shared" si="24"/>
        <v>0.4118421052631579</v>
      </c>
      <c r="K48" s="102">
        <f t="shared" si="24"/>
        <v>0.4199575371549894</v>
      </c>
      <c r="L48" s="102">
        <f t="shared" si="24"/>
        <v>0.42696160267111855</v>
      </c>
      <c r="M48" s="102">
        <f t="shared" si="24"/>
        <v>0.43424825891028268</v>
      </c>
      <c r="N48" s="102">
        <f t="shared" si="24"/>
        <v>0.44127111826226872</v>
      </c>
      <c r="O48" s="102">
        <f t="shared" si="24"/>
        <v>0.44848006316620609</v>
      </c>
    </row>
    <row r="50" spans="3:15">
      <c r="C50" s="220" t="s">
        <v>1678</v>
      </c>
      <c r="F50" s="74"/>
      <c r="G50" s="74"/>
      <c r="H50" s="74"/>
      <c r="I50" s="55">
        <v>13.16</v>
      </c>
      <c r="J50" s="55">
        <v>13.41</v>
      </c>
      <c r="K50" s="55">
        <v>13.66</v>
      </c>
      <c r="L50" s="55">
        <v>13.73</v>
      </c>
      <c r="M50" s="55">
        <v>13.81</v>
      </c>
      <c r="N50" s="55">
        <v>13.89</v>
      </c>
      <c r="O50" s="55">
        <v>13.97</v>
      </c>
    </row>
    <row r="51" spans="3:15">
      <c r="C51" s="785" t="s">
        <v>1686</v>
      </c>
      <c r="D51" s="784"/>
      <c r="E51" s="784"/>
      <c r="F51" s="84"/>
      <c r="G51" s="84"/>
      <c r="H51" s="84"/>
      <c r="I51" s="102">
        <f t="shared" ref="I51:O51" si="25">I50/I44</f>
        <v>0.59682539682539681</v>
      </c>
      <c r="J51" s="102">
        <f t="shared" si="25"/>
        <v>0.5881578947368421</v>
      </c>
      <c r="K51" s="102">
        <f t="shared" si="25"/>
        <v>0.5800424628450106</v>
      </c>
      <c r="L51" s="102">
        <f t="shared" si="25"/>
        <v>0.57303839732888151</v>
      </c>
      <c r="M51" s="102">
        <f t="shared" si="25"/>
        <v>0.56575174108971737</v>
      </c>
      <c r="N51" s="102">
        <f t="shared" si="25"/>
        <v>0.55872888173773128</v>
      </c>
      <c r="O51" s="102">
        <f t="shared" si="25"/>
        <v>0.55151993683379397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EB8B8-DC33-4AEE-BF6B-CB5E59131287}">
  <dimension ref="A1:K68"/>
  <sheetViews>
    <sheetView showGridLines="0" topLeftCell="A9" zoomScale="150" workbookViewId="0">
      <selection activeCell="G7" sqref="G7:K7"/>
    </sheetView>
  </sheetViews>
  <sheetFormatPr baseColWidth="10" defaultColWidth="8.83203125" defaultRowHeight="15"/>
  <cols>
    <col min="2" max="2" width="19.1640625" bestFit="1" customWidth="1"/>
    <col min="3" max="3" width="15.1640625" bestFit="1" customWidth="1"/>
    <col min="4" max="4" width="11.33203125" bestFit="1" customWidth="1"/>
    <col min="5" max="5" width="20.5" customWidth="1"/>
    <col min="6" max="6" width="17.33203125" bestFit="1" customWidth="1"/>
    <col min="7" max="11" width="12.33203125" bestFit="1" customWidth="1"/>
  </cols>
  <sheetData>
    <row r="1" spans="1:11">
      <c r="A1" s="792"/>
      <c r="B1" s="792"/>
      <c r="C1" s="792"/>
      <c r="D1" s="792"/>
      <c r="E1" s="792"/>
      <c r="F1" s="792"/>
      <c r="G1" s="792"/>
      <c r="H1" s="792"/>
      <c r="I1" s="792"/>
      <c r="J1" s="792"/>
      <c r="K1" s="792"/>
    </row>
    <row r="2" spans="1:11">
      <c r="A2" s="793"/>
      <c r="B2" s="793"/>
      <c r="C2" s="793"/>
      <c r="D2" s="793"/>
      <c r="E2" s="793"/>
      <c r="F2" s="793"/>
      <c r="G2" s="793"/>
      <c r="H2" s="793"/>
      <c r="I2" s="793"/>
      <c r="J2" s="793"/>
      <c r="K2" s="793"/>
    </row>
    <row r="3" spans="1:11">
      <c r="A3" s="792"/>
      <c r="B3" s="792"/>
      <c r="C3" s="792"/>
      <c r="D3" s="792"/>
      <c r="E3" s="792"/>
      <c r="F3" s="792"/>
      <c r="G3" s="792"/>
      <c r="H3" s="792"/>
      <c r="I3" s="792"/>
      <c r="J3" s="792"/>
      <c r="K3" s="792"/>
    </row>
    <row r="4" spans="1:11">
      <c r="A4" s="792"/>
      <c r="B4" s="792"/>
      <c r="C4" s="792"/>
      <c r="D4" s="792"/>
      <c r="E4" s="792"/>
      <c r="F4" s="792"/>
      <c r="G4" s="792"/>
      <c r="H4" s="792"/>
      <c r="I4" s="792"/>
      <c r="J4" s="792"/>
      <c r="K4" s="792"/>
    </row>
    <row r="5" spans="1:11" ht="16">
      <c r="A5" s="140" t="s">
        <v>1687</v>
      </c>
      <c r="B5" s="139"/>
      <c r="C5" s="139"/>
      <c r="D5" s="139"/>
      <c r="E5" s="139"/>
      <c r="F5" s="139"/>
      <c r="G5" s="139"/>
      <c r="H5" s="139"/>
      <c r="I5" s="139"/>
      <c r="J5" s="139"/>
      <c r="K5" s="139"/>
    </row>
    <row r="6" spans="1:11" ht="16">
      <c r="A6" s="789" t="s">
        <v>1096</v>
      </c>
      <c r="B6" s="789" t="s">
        <v>1097</v>
      </c>
      <c r="C6" s="789" t="s">
        <v>1098</v>
      </c>
      <c r="D6" s="789" t="s">
        <v>1099</v>
      </c>
      <c r="E6" s="789" t="s">
        <v>1688</v>
      </c>
      <c r="F6" s="789" t="s">
        <v>1100</v>
      </c>
      <c r="G6" s="789" t="s">
        <v>1689</v>
      </c>
      <c r="H6" s="789" t="s">
        <v>1690</v>
      </c>
      <c r="I6" s="789" t="s">
        <v>1691</v>
      </c>
      <c r="J6" s="789" t="s">
        <v>1692</v>
      </c>
      <c r="K6" s="789" t="s">
        <v>1693</v>
      </c>
    </row>
    <row r="7" spans="1:11" ht="16">
      <c r="A7" s="120" t="s">
        <v>470</v>
      </c>
      <c r="B7" s="148" t="s">
        <v>1694</v>
      </c>
      <c r="C7" s="120" t="s">
        <v>1695</v>
      </c>
      <c r="D7" s="120" t="s">
        <v>1696</v>
      </c>
      <c r="E7" s="120" t="s">
        <v>1697</v>
      </c>
      <c r="F7" s="120" t="s">
        <v>1698</v>
      </c>
      <c r="G7" s="123">
        <v>9</v>
      </c>
      <c r="H7" s="123">
        <v>8</v>
      </c>
      <c r="I7" s="123">
        <v>7.2</v>
      </c>
      <c r="J7" s="123">
        <v>6.6</v>
      </c>
      <c r="K7" s="123">
        <v>6</v>
      </c>
    </row>
    <row r="8" spans="1:11" ht="16">
      <c r="A8" s="120" t="s">
        <v>1115</v>
      </c>
      <c r="B8" s="148" t="s">
        <v>1694</v>
      </c>
      <c r="C8" s="120" t="s">
        <v>1695</v>
      </c>
      <c r="D8" s="120" t="s">
        <v>1696</v>
      </c>
      <c r="E8" s="120" t="s">
        <v>1697</v>
      </c>
      <c r="F8" s="120" t="s">
        <v>1698</v>
      </c>
      <c r="G8" s="123">
        <v>-13.2</v>
      </c>
      <c r="H8" s="123">
        <v>-10.7</v>
      </c>
      <c r="I8" s="123">
        <v>-9.6999999999999993</v>
      </c>
      <c r="J8" s="123">
        <v>-9</v>
      </c>
      <c r="K8" s="123">
        <v>-9</v>
      </c>
    </row>
    <row r="9" spans="1:11" ht="16">
      <c r="A9" s="120" t="s">
        <v>564</v>
      </c>
      <c r="B9" s="148" t="s">
        <v>1694</v>
      </c>
      <c r="C9" s="120" t="s">
        <v>1695</v>
      </c>
      <c r="D9" s="120" t="s">
        <v>1696</v>
      </c>
      <c r="E9" s="120" t="s">
        <v>1697</v>
      </c>
      <c r="F9" s="120" t="s">
        <v>1698</v>
      </c>
      <c r="G9" s="123">
        <v>16</v>
      </c>
      <c r="H9" s="123">
        <v>15.5</v>
      </c>
      <c r="I9" s="123">
        <v>15</v>
      </c>
      <c r="J9" s="123">
        <v>14.6</v>
      </c>
      <c r="K9" s="123">
        <v>14.4</v>
      </c>
    </row>
    <row r="10" spans="1:11" ht="16">
      <c r="A10" s="120" t="s">
        <v>233</v>
      </c>
      <c r="B10" s="148" t="s">
        <v>1694</v>
      </c>
      <c r="C10" s="120" t="s">
        <v>1695</v>
      </c>
      <c r="D10" s="120" t="s">
        <v>1696</v>
      </c>
      <c r="E10" s="120" t="s">
        <v>1697</v>
      </c>
      <c r="F10" s="120" t="s">
        <v>1698</v>
      </c>
      <c r="G10" s="123">
        <v>16</v>
      </c>
      <c r="H10" s="123">
        <v>5</v>
      </c>
      <c r="I10" s="123">
        <v>4.4000000000000004</v>
      </c>
      <c r="J10" s="123">
        <v>4</v>
      </c>
      <c r="K10" s="123">
        <v>3.7</v>
      </c>
    </row>
    <row r="11" spans="1:11" ht="16">
      <c r="A11" s="120" t="s">
        <v>581</v>
      </c>
      <c r="B11" s="148" t="s">
        <v>1694</v>
      </c>
      <c r="C11" s="120" t="s">
        <v>1695</v>
      </c>
      <c r="D11" s="120" t="s">
        <v>1696</v>
      </c>
      <c r="E11" s="120" t="s">
        <v>1697</v>
      </c>
      <c r="F11" s="120" t="s">
        <v>1698</v>
      </c>
      <c r="G11" s="123">
        <v>6.8</v>
      </c>
      <c r="H11" s="123">
        <v>5.0999999999999996</v>
      </c>
      <c r="I11" s="123">
        <v>4.8</v>
      </c>
      <c r="J11" s="123">
        <v>5.0999999999999996</v>
      </c>
      <c r="K11" s="123">
        <v>4.0999999999999996</v>
      </c>
    </row>
    <row r="12" spans="1:11" ht="16">
      <c r="A12" s="120" t="s">
        <v>257</v>
      </c>
      <c r="B12" s="148" t="s">
        <v>1694</v>
      </c>
      <c r="C12" s="120" t="s">
        <v>1695</v>
      </c>
      <c r="D12" s="120" t="s">
        <v>1696</v>
      </c>
      <c r="E12" s="120" t="s">
        <v>1697</v>
      </c>
      <c r="F12" s="120" t="s">
        <v>1698</v>
      </c>
      <c r="G12" s="123">
        <v>5.5</v>
      </c>
      <c r="H12" s="123">
        <v>3.7</v>
      </c>
      <c r="I12" s="123">
        <v>2.9</v>
      </c>
      <c r="J12" s="123">
        <v>2.8</v>
      </c>
      <c r="K12" s="123">
        <v>2.9</v>
      </c>
    </row>
    <row r="13" spans="1:11" ht="16">
      <c r="A13" s="120" t="s">
        <v>244</v>
      </c>
      <c r="B13" s="148" t="s">
        <v>1694</v>
      </c>
      <c r="C13" s="120" t="s">
        <v>1695</v>
      </c>
      <c r="D13" s="120" t="s">
        <v>1696</v>
      </c>
      <c r="E13" s="120" t="s">
        <v>1697</v>
      </c>
      <c r="F13" s="120" t="s">
        <v>1698</v>
      </c>
      <c r="G13" s="123">
        <v>5.8</v>
      </c>
      <c r="H13" s="123">
        <v>5</v>
      </c>
      <c r="I13" s="123">
        <v>4.3</v>
      </c>
      <c r="J13" s="123">
        <v>3.9</v>
      </c>
      <c r="K13" s="123">
        <v>3.9</v>
      </c>
    </row>
    <row r="14" spans="1:11" ht="16">
      <c r="A14" s="120" t="s">
        <v>231</v>
      </c>
      <c r="B14" s="148" t="s">
        <v>1694</v>
      </c>
      <c r="C14" s="120" t="s">
        <v>1695</v>
      </c>
      <c r="D14" s="120" t="s">
        <v>1696</v>
      </c>
      <c r="E14" s="120" t="s">
        <v>1697</v>
      </c>
      <c r="F14" s="120" t="s">
        <v>1698</v>
      </c>
      <c r="G14" s="123">
        <v>0.1</v>
      </c>
      <c r="H14" s="123">
        <v>0.2</v>
      </c>
      <c r="I14" s="123">
        <v>-1.6</v>
      </c>
      <c r="J14" s="123">
        <v>0</v>
      </c>
      <c r="K14" s="123">
        <v>0</v>
      </c>
    </row>
    <row r="15" spans="1:11" ht="16">
      <c r="A15" s="120" t="s">
        <v>1116</v>
      </c>
      <c r="B15" s="148" t="s">
        <v>1694</v>
      </c>
      <c r="C15" s="120" t="s">
        <v>1695</v>
      </c>
      <c r="D15" s="120" t="s">
        <v>1696</v>
      </c>
      <c r="E15" s="120" t="s">
        <v>1697</v>
      </c>
      <c r="F15" s="120" t="s">
        <v>1698</v>
      </c>
      <c r="G15" s="123">
        <v>9.6999999999999993</v>
      </c>
      <c r="H15" s="123">
        <v>7.9</v>
      </c>
      <c r="I15" s="123">
        <v>9.8000000000000007</v>
      </c>
      <c r="J15" s="123">
        <v>8.6999999999999993</v>
      </c>
      <c r="K15" s="123">
        <v>6.6</v>
      </c>
    </row>
    <row r="16" spans="1:11" ht="16">
      <c r="A16" s="120" t="s">
        <v>1093</v>
      </c>
      <c r="B16" s="148" t="s">
        <v>1694</v>
      </c>
      <c r="C16" s="120" t="s">
        <v>1695</v>
      </c>
      <c r="D16" s="120" t="s">
        <v>1696</v>
      </c>
      <c r="E16" s="120" t="s">
        <v>1697</v>
      </c>
      <c r="F16" s="120" t="s">
        <v>1698</v>
      </c>
      <c r="G16" s="123">
        <v>8.3000000000000007</v>
      </c>
      <c r="H16" s="123">
        <v>6.2</v>
      </c>
      <c r="I16" s="123">
        <v>5.4</v>
      </c>
      <c r="J16" s="123">
        <v>5.7</v>
      </c>
      <c r="K16" s="123">
        <v>5.4</v>
      </c>
    </row>
    <row r="17" spans="1:11" ht="16">
      <c r="A17" s="120" t="s">
        <v>239</v>
      </c>
      <c r="B17" s="148" t="s">
        <v>1694</v>
      </c>
      <c r="C17" s="120" t="s">
        <v>1695</v>
      </c>
      <c r="D17" s="120" t="s">
        <v>1696</v>
      </c>
      <c r="E17" s="120" t="s">
        <v>1697</v>
      </c>
      <c r="F17" s="120" t="s">
        <v>1698</v>
      </c>
      <c r="G17" s="123">
        <v>6.6</v>
      </c>
      <c r="H17" s="123">
        <v>6.1</v>
      </c>
      <c r="I17" s="123">
        <v>5.7</v>
      </c>
      <c r="J17" s="123">
        <v>5.0999999999999996</v>
      </c>
      <c r="K17" s="123">
        <v>4.9000000000000004</v>
      </c>
    </row>
    <row r="18" spans="1:11" ht="16">
      <c r="A18" s="120" t="s">
        <v>258</v>
      </c>
      <c r="B18" s="148" t="s">
        <v>1694</v>
      </c>
      <c r="C18" s="120" t="s">
        <v>1695</v>
      </c>
      <c r="D18" s="120" t="s">
        <v>1696</v>
      </c>
      <c r="E18" s="120" t="s">
        <v>1697</v>
      </c>
      <c r="F18" s="120" t="s">
        <v>1698</v>
      </c>
      <c r="G18" s="123">
        <v>12.9</v>
      </c>
      <c r="H18" s="123">
        <v>11.8</v>
      </c>
      <c r="I18" s="123">
        <v>10.7</v>
      </c>
      <c r="J18" s="123">
        <v>9.6</v>
      </c>
      <c r="K18" s="123">
        <v>8.1999999999999993</v>
      </c>
    </row>
    <row r="19" spans="1:11" ht="16">
      <c r="A19" s="120" t="s">
        <v>409</v>
      </c>
      <c r="B19" s="148" t="s">
        <v>1694</v>
      </c>
      <c r="C19" s="120" t="s">
        <v>1695</v>
      </c>
      <c r="D19" s="120" t="s">
        <v>1696</v>
      </c>
      <c r="E19" s="120" t="s">
        <v>1697</v>
      </c>
      <c r="F19" s="120" t="s">
        <v>1698</v>
      </c>
      <c r="G19" s="123">
        <v>6.5</v>
      </c>
      <c r="H19" s="123">
        <v>5.6</v>
      </c>
      <c r="I19" s="123">
        <v>5.3</v>
      </c>
      <c r="J19" s="123">
        <v>5.2</v>
      </c>
      <c r="K19" s="123">
        <v>5.2</v>
      </c>
    </row>
    <row r="20" spans="1:11" ht="16">
      <c r="A20" s="120" t="s">
        <v>666</v>
      </c>
      <c r="B20" s="148" t="s">
        <v>1694</v>
      </c>
      <c r="C20" s="120" t="s">
        <v>1695</v>
      </c>
      <c r="D20" s="120" t="s">
        <v>1696</v>
      </c>
      <c r="E20" s="120" t="s">
        <v>1697</v>
      </c>
      <c r="F20" s="120" t="s">
        <v>1698</v>
      </c>
      <c r="G20" s="123">
        <v>4.2</v>
      </c>
      <c r="H20" s="123">
        <v>4</v>
      </c>
      <c r="I20" s="123">
        <v>4.3</v>
      </c>
      <c r="J20" s="123">
        <v>4.3</v>
      </c>
      <c r="K20" s="123">
        <v>4.3</v>
      </c>
    </row>
    <row r="21" spans="1:11" ht="16">
      <c r="A21" s="120" t="s">
        <v>447</v>
      </c>
      <c r="B21" s="148" t="s">
        <v>1694</v>
      </c>
      <c r="C21" s="120" t="s">
        <v>1695</v>
      </c>
      <c r="D21" s="120" t="s">
        <v>1696</v>
      </c>
      <c r="E21" s="120" t="s">
        <v>1697</v>
      </c>
      <c r="F21" s="120" t="s">
        <v>1698</v>
      </c>
      <c r="G21" s="123">
        <v>11.3</v>
      </c>
      <c r="H21" s="123">
        <v>10</v>
      </c>
      <c r="I21" s="123">
        <v>9.6</v>
      </c>
      <c r="J21" s="123">
        <v>9.3000000000000007</v>
      </c>
      <c r="K21" s="123">
        <v>8.8000000000000007</v>
      </c>
    </row>
    <row r="22" spans="1:11" ht="16">
      <c r="A22" s="120" t="s">
        <v>483</v>
      </c>
      <c r="B22" s="148" t="s">
        <v>1694</v>
      </c>
      <c r="C22" s="120" t="s">
        <v>1695</v>
      </c>
      <c r="D22" s="120" t="s">
        <v>1696</v>
      </c>
      <c r="E22" s="120" t="s">
        <v>1697</v>
      </c>
      <c r="F22" s="120" t="s">
        <v>1698</v>
      </c>
      <c r="G22" s="123">
        <v>12.1</v>
      </c>
      <c r="H22" s="123">
        <v>9.1999999999999993</v>
      </c>
      <c r="I22" s="123">
        <v>7.9</v>
      </c>
      <c r="J22" s="123">
        <v>7.7</v>
      </c>
      <c r="K22" s="123">
        <v>7.5</v>
      </c>
    </row>
    <row r="23" spans="1:11" ht="16">
      <c r="A23" s="120" t="s">
        <v>1117</v>
      </c>
      <c r="B23" s="148" t="s">
        <v>1694</v>
      </c>
      <c r="C23" s="120" t="s">
        <v>1695</v>
      </c>
      <c r="D23" s="120" t="s">
        <v>1696</v>
      </c>
      <c r="E23" s="120" t="s">
        <v>1697</v>
      </c>
      <c r="F23" s="120" t="s">
        <v>1698</v>
      </c>
      <c r="G23" s="123">
        <v>5.4</v>
      </c>
      <c r="H23" s="123">
        <v>5.7</v>
      </c>
      <c r="I23" s="123">
        <v>5.6</v>
      </c>
      <c r="J23" s="123">
        <v>5.5</v>
      </c>
      <c r="K23" s="123">
        <v>5.4</v>
      </c>
    </row>
    <row r="24" spans="1:11" ht="16">
      <c r="A24" s="120" t="s">
        <v>560</v>
      </c>
      <c r="B24" s="148" t="s">
        <v>1694</v>
      </c>
      <c r="C24" s="120" t="s">
        <v>1695</v>
      </c>
      <c r="D24" s="120" t="s">
        <v>1696</v>
      </c>
      <c r="E24" s="120" t="s">
        <v>1697</v>
      </c>
      <c r="F24" s="120" t="s">
        <v>1698</v>
      </c>
      <c r="G24" s="123">
        <v>8.9</v>
      </c>
      <c r="H24" s="123">
        <v>7.8</v>
      </c>
      <c r="I24" s="123">
        <v>7.5</v>
      </c>
      <c r="J24" s="123">
        <v>7.2</v>
      </c>
      <c r="K24" s="123">
        <v>7.2</v>
      </c>
    </row>
    <row r="25" spans="1:11" ht="16">
      <c r="A25" s="120" t="s">
        <v>695</v>
      </c>
      <c r="B25" s="148" t="s">
        <v>1694</v>
      </c>
      <c r="C25" s="120" t="s">
        <v>1695</v>
      </c>
      <c r="D25" s="120" t="s">
        <v>1696</v>
      </c>
      <c r="E25" s="120" t="s">
        <v>1697</v>
      </c>
      <c r="F25" s="120" t="s">
        <v>1698</v>
      </c>
      <c r="G25" s="123">
        <v>7.6</v>
      </c>
      <c r="H25" s="123">
        <v>7.3</v>
      </c>
      <c r="I25" s="123">
        <v>6.9</v>
      </c>
      <c r="J25" s="123">
        <v>6.5</v>
      </c>
      <c r="K25" s="123">
        <v>6.1</v>
      </c>
    </row>
    <row r="26" spans="1:11" ht="16">
      <c r="A26" s="120" t="s">
        <v>703</v>
      </c>
      <c r="B26" s="148" t="s">
        <v>1694</v>
      </c>
      <c r="C26" s="120" t="s">
        <v>1695</v>
      </c>
      <c r="D26" s="120" t="s">
        <v>1696</v>
      </c>
      <c r="E26" s="120" t="s">
        <v>1697</v>
      </c>
      <c r="F26" s="120" t="s">
        <v>1698</v>
      </c>
      <c r="G26" s="123">
        <v>6.1</v>
      </c>
      <c r="H26" s="123">
        <v>5.5</v>
      </c>
      <c r="I26" s="123">
        <v>4.3</v>
      </c>
      <c r="J26" s="123">
        <v>3.5</v>
      </c>
      <c r="K26" s="123">
        <v>2.8</v>
      </c>
    </row>
    <row r="27" spans="1:11" ht="16">
      <c r="A27" s="120" t="s">
        <v>1118</v>
      </c>
      <c r="B27" s="148" t="s">
        <v>1694</v>
      </c>
      <c r="C27" s="120" t="s">
        <v>1695</v>
      </c>
      <c r="D27" s="120" t="s">
        <v>1696</v>
      </c>
      <c r="E27" s="120" t="s">
        <v>1697</v>
      </c>
      <c r="F27" s="120" t="s">
        <v>1698</v>
      </c>
      <c r="G27" s="123">
        <v>9.1999999999999993</v>
      </c>
      <c r="H27" s="123">
        <v>7.6</v>
      </c>
      <c r="I27" s="123">
        <v>7.5</v>
      </c>
      <c r="J27" s="123">
        <v>7.4</v>
      </c>
      <c r="K27" s="123">
        <v>7.4</v>
      </c>
    </row>
    <row r="28" spans="1:11" ht="16">
      <c r="A28" s="120" t="s">
        <v>1119</v>
      </c>
      <c r="B28" s="148" t="s">
        <v>1694</v>
      </c>
      <c r="C28" s="120" t="s">
        <v>1695</v>
      </c>
      <c r="D28" s="120" t="s">
        <v>1696</v>
      </c>
      <c r="E28" s="120" t="s">
        <v>1697</v>
      </c>
      <c r="F28" s="120" t="s">
        <v>1698</v>
      </c>
      <c r="G28" s="123">
        <v>10.7</v>
      </c>
      <c r="H28" s="123">
        <v>8.3000000000000007</v>
      </c>
      <c r="I28" s="123">
        <v>7.6</v>
      </c>
      <c r="J28" s="123">
        <v>7.3</v>
      </c>
      <c r="K28" s="123">
        <v>7.2</v>
      </c>
    </row>
    <row r="29" spans="1:11" ht="16">
      <c r="A29" s="120" t="s">
        <v>787</v>
      </c>
      <c r="B29" s="148" t="s">
        <v>1694</v>
      </c>
      <c r="C29" s="120" t="s">
        <v>1695</v>
      </c>
      <c r="D29" s="120" t="s">
        <v>1696</v>
      </c>
      <c r="E29" s="120" t="s">
        <v>1697</v>
      </c>
      <c r="F29" s="120" t="s">
        <v>1698</v>
      </c>
      <c r="G29" s="123">
        <v>10.9</v>
      </c>
      <c r="H29" s="123">
        <v>9.3000000000000007</v>
      </c>
      <c r="I29" s="123">
        <v>9.1</v>
      </c>
      <c r="J29" s="123">
        <v>9</v>
      </c>
      <c r="K29" s="123">
        <v>9</v>
      </c>
    </row>
    <row r="30" spans="1:11" ht="16">
      <c r="A30" s="120" t="s">
        <v>403</v>
      </c>
      <c r="B30" s="148" t="s">
        <v>1694</v>
      </c>
      <c r="C30" s="120" t="s">
        <v>1695</v>
      </c>
      <c r="D30" s="120" t="s">
        <v>1696</v>
      </c>
      <c r="E30" s="120" t="s">
        <v>1697</v>
      </c>
      <c r="F30" s="120" t="s">
        <v>1698</v>
      </c>
      <c r="G30" s="123">
        <v>21.2</v>
      </c>
      <c r="H30" s="123">
        <v>14.4</v>
      </c>
      <c r="I30" s="123">
        <v>13.3</v>
      </c>
      <c r="J30" s="123">
        <v>12.3</v>
      </c>
      <c r="K30" s="123">
        <v>11.3</v>
      </c>
    </row>
    <row r="31" spans="1:11" ht="16">
      <c r="A31" s="120" t="s">
        <v>441</v>
      </c>
      <c r="B31" s="148" t="s">
        <v>1694</v>
      </c>
      <c r="C31" s="120" t="s">
        <v>1695</v>
      </c>
      <c r="D31" s="120" t="s">
        <v>1696</v>
      </c>
      <c r="E31" s="120" t="s">
        <v>1697</v>
      </c>
      <c r="F31" s="120" t="s">
        <v>1698</v>
      </c>
      <c r="G31" s="123">
        <v>11.8</v>
      </c>
      <c r="H31" s="123">
        <v>9.3000000000000007</v>
      </c>
      <c r="I31" s="123">
        <v>8.5</v>
      </c>
      <c r="J31" s="123">
        <v>7.3</v>
      </c>
      <c r="K31" s="123">
        <v>6.8</v>
      </c>
    </row>
    <row r="32" spans="1:11" ht="16">
      <c r="A32" s="120" t="s">
        <v>468</v>
      </c>
      <c r="B32" s="148" t="s">
        <v>1694</v>
      </c>
      <c r="C32" s="120" t="s">
        <v>1695</v>
      </c>
      <c r="D32" s="120" t="s">
        <v>1696</v>
      </c>
      <c r="E32" s="120" t="s">
        <v>1697</v>
      </c>
      <c r="F32" s="120" t="s">
        <v>1698</v>
      </c>
      <c r="G32" s="123">
        <v>4.7</v>
      </c>
      <c r="H32" s="123">
        <v>5.9</v>
      </c>
      <c r="I32" s="123">
        <v>5.7</v>
      </c>
      <c r="J32" s="123">
        <v>5.0999999999999996</v>
      </c>
      <c r="K32" s="123">
        <v>5.7</v>
      </c>
    </row>
    <row r="33" spans="1:11" ht="16">
      <c r="A33" s="120" t="s">
        <v>472</v>
      </c>
      <c r="B33" s="148" t="s">
        <v>1694</v>
      </c>
      <c r="C33" s="120" t="s">
        <v>1695</v>
      </c>
      <c r="D33" s="120" t="s">
        <v>1696</v>
      </c>
      <c r="E33" s="120" t="s">
        <v>1697</v>
      </c>
      <c r="F33" s="120" t="s">
        <v>1698</v>
      </c>
      <c r="G33" s="123">
        <v>10</v>
      </c>
      <c r="H33" s="123">
        <v>8.1999999999999993</v>
      </c>
      <c r="I33" s="123">
        <v>6.9</v>
      </c>
      <c r="J33" s="123">
        <v>6.9</v>
      </c>
      <c r="K33" s="123">
        <v>6.9</v>
      </c>
    </row>
    <row r="34" spans="1:11" ht="16">
      <c r="A34" s="120" t="s">
        <v>501</v>
      </c>
      <c r="B34" s="148" t="s">
        <v>1694</v>
      </c>
      <c r="C34" s="120" t="s">
        <v>1695</v>
      </c>
      <c r="D34" s="120" t="s">
        <v>1696</v>
      </c>
      <c r="E34" s="120" t="s">
        <v>1697</v>
      </c>
      <c r="F34" s="120" t="s">
        <v>1698</v>
      </c>
      <c r="G34" s="123">
        <v>5.3</v>
      </c>
      <c r="H34" s="123">
        <v>4.2</v>
      </c>
      <c r="I34" s="123">
        <v>3.9</v>
      </c>
      <c r="J34" s="123">
        <v>3.6</v>
      </c>
      <c r="K34" s="123">
        <v>3.6</v>
      </c>
    </row>
    <row r="35" spans="1:11" ht="16">
      <c r="A35" s="120" t="s">
        <v>638</v>
      </c>
      <c r="B35" s="148" t="s">
        <v>1694</v>
      </c>
      <c r="C35" s="120" t="s">
        <v>1695</v>
      </c>
      <c r="D35" s="120" t="s">
        <v>1696</v>
      </c>
      <c r="E35" s="120" t="s">
        <v>1697</v>
      </c>
      <c r="F35" s="120" t="s">
        <v>1698</v>
      </c>
      <c r="G35" s="123">
        <v>10.199999999999999</v>
      </c>
      <c r="H35" s="123">
        <v>10.1</v>
      </c>
      <c r="I35" s="123">
        <v>10</v>
      </c>
      <c r="J35" s="123">
        <v>10.1</v>
      </c>
      <c r="K35" s="123">
        <v>10.1</v>
      </c>
    </row>
    <row r="36" spans="1:11" ht="16">
      <c r="A36" s="120" t="s">
        <v>692</v>
      </c>
      <c r="B36" s="148" t="s">
        <v>1694</v>
      </c>
      <c r="C36" s="120" t="s">
        <v>1695</v>
      </c>
      <c r="D36" s="120" t="s">
        <v>1696</v>
      </c>
      <c r="E36" s="120" t="s">
        <v>1697</v>
      </c>
      <c r="F36" s="120" t="s">
        <v>1698</v>
      </c>
      <c r="G36" s="123">
        <v>14.7</v>
      </c>
      <c r="H36" s="123">
        <v>12.2</v>
      </c>
      <c r="I36" s="123">
        <v>10.1</v>
      </c>
      <c r="J36" s="123">
        <v>8.5</v>
      </c>
      <c r="K36" s="123">
        <v>7.8</v>
      </c>
    </row>
    <row r="37" spans="1:11" ht="16">
      <c r="A37" s="120" t="s">
        <v>1122</v>
      </c>
      <c r="B37" s="148" t="s">
        <v>1694</v>
      </c>
      <c r="C37" s="120" t="s">
        <v>1695</v>
      </c>
      <c r="D37" s="120" t="s">
        <v>1696</v>
      </c>
      <c r="E37" s="120" t="s">
        <v>1697</v>
      </c>
      <c r="F37" s="120" t="s">
        <v>1698</v>
      </c>
      <c r="G37" s="123">
        <v>16.899999999999999</v>
      </c>
      <c r="H37" s="123">
        <v>21.5</v>
      </c>
      <c r="I37" s="123">
        <v>14.3</v>
      </c>
      <c r="J37" s="123">
        <v>24.9</v>
      </c>
      <c r="K37" s="123">
        <v>21.3</v>
      </c>
    </row>
    <row r="38" spans="1:11" ht="16">
      <c r="A38" s="120" t="s">
        <v>575</v>
      </c>
      <c r="B38" s="148" t="s">
        <v>1694</v>
      </c>
      <c r="C38" s="120" t="s">
        <v>1695</v>
      </c>
      <c r="D38" s="120" t="s">
        <v>1696</v>
      </c>
      <c r="E38" s="120" t="s">
        <v>1697</v>
      </c>
      <c r="F38" s="120" t="s">
        <v>1698</v>
      </c>
      <c r="G38" s="123">
        <v>4.8</v>
      </c>
      <c r="H38" s="123">
        <v>4.4000000000000004</v>
      </c>
      <c r="I38" s="123">
        <v>3.9</v>
      </c>
      <c r="J38" s="123">
        <v>3.3</v>
      </c>
      <c r="K38" s="123">
        <v>3.3</v>
      </c>
    </row>
    <row r="39" spans="1:11" ht="16">
      <c r="A39" s="120" t="s">
        <v>587</v>
      </c>
      <c r="B39" s="148" t="s">
        <v>1694</v>
      </c>
      <c r="C39" s="120" t="s">
        <v>1695</v>
      </c>
      <c r="D39" s="120" t="s">
        <v>1696</v>
      </c>
      <c r="E39" s="120" t="s">
        <v>1697</v>
      </c>
      <c r="F39" s="120" t="s">
        <v>1698</v>
      </c>
      <c r="G39" s="123">
        <v>5.7</v>
      </c>
      <c r="H39" s="123">
        <v>5.5</v>
      </c>
      <c r="I39" s="123">
        <v>5.7</v>
      </c>
      <c r="J39" s="123">
        <v>5.8</v>
      </c>
      <c r="K39" s="123">
        <v>5.8</v>
      </c>
    </row>
    <row r="40" spans="1:11" ht="16">
      <c r="A40" s="120" t="s">
        <v>650</v>
      </c>
      <c r="B40" s="148" t="s">
        <v>1694</v>
      </c>
      <c r="C40" s="120" t="s">
        <v>1695</v>
      </c>
      <c r="D40" s="120" t="s">
        <v>1696</v>
      </c>
      <c r="E40" s="120" t="s">
        <v>1697</v>
      </c>
      <c r="F40" s="120" t="s">
        <v>1698</v>
      </c>
      <c r="G40" s="123">
        <v>15.2</v>
      </c>
      <c r="H40" s="123">
        <v>13.7</v>
      </c>
      <c r="I40" s="123">
        <v>9.6999999999999993</v>
      </c>
      <c r="J40" s="123">
        <v>10.4</v>
      </c>
      <c r="K40" s="123">
        <v>13.3</v>
      </c>
    </row>
    <row r="41" spans="1:11" ht="16">
      <c r="A41" s="120" t="s">
        <v>715</v>
      </c>
      <c r="B41" s="148" t="s">
        <v>1694</v>
      </c>
      <c r="C41" s="120" t="s">
        <v>1695</v>
      </c>
      <c r="D41" s="120" t="s">
        <v>1696</v>
      </c>
      <c r="E41" s="120" t="s">
        <v>1697</v>
      </c>
      <c r="F41" s="120" t="s">
        <v>1698</v>
      </c>
      <c r="G41" s="123">
        <v>13.4</v>
      </c>
      <c r="H41" s="123">
        <v>21</v>
      </c>
      <c r="I41" s="123">
        <v>14.9</v>
      </c>
      <c r="J41" s="123">
        <v>17.100000000000001</v>
      </c>
      <c r="K41" s="123">
        <v>18.100000000000001</v>
      </c>
    </row>
    <row r="42" spans="1:11" ht="16">
      <c r="A42" s="120" t="s">
        <v>736</v>
      </c>
      <c r="B42" s="148" t="s">
        <v>1694</v>
      </c>
      <c r="C42" s="120" t="s">
        <v>1695</v>
      </c>
      <c r="D42" s="120" t="s">
        <v>1696</v>
      </c>
      <c r="E42" s="120" t="s">
        <v>1697</v>
      </c>
      <c r="F42" s="120" t="s">
        <v>1698</v>
      </c>
      <c r="G42" s="123">
        <v>6.1</v>
      </c>
      <c r="H42" s="123">
        <v>6.7</v>
      </c>
      <c r="I42" s="123">
        <v>5.9</v>
      </c>
      <c r="J42" s="123">
        <v>6.1</v>
      </c>
      <c r="K42" s="123">
        <v>6.1</v>
      </c>
    </row>
    <row r="43" spans="1:11" ht="16">
      <c r="A43" s="120" t="s">
        <v>789</v>
      </c>
      <c r="B43" s="148" t="s">
        <v>1694</v>
      </c>
      <c r="C43" s="120" t="s">
        <v>1695</v>
      </c>
      <c r="D43" s="120" t="s">
        <v>1696</v>
      </c>
      <c r="E43" s="120" t="s">
        <v>1697</v>
      </c>
      <c r="F43" s="120" t="s">
        <v>1698</v>
      </c>
      <c r="G43" s="123">
        <v>10.7</v>
      </c>
      <c r="H43" s="123">
        <v>9.8000000000000007</v>
      </c>
      <c r="I43" s="123">
        <v>9.4</v>
      </c>
      <c r="J43" s="123">
        <v>9</v>
      </c>
      <c r="K43" s="123">
        <v>9</v>
      </c>
    </row>
    <row r="44" spans="1:11" ht="16">
      <c r="A44" s="120" t="s">
        <v>458</v>
      </c>
      <c r="B44" s="148" t="s">
        <v>1694</v>
      </c>
      <c r="C44" s="120" t="s">
        <v>1695</v>
      </c>
      <c r="D44" s="120" t="s">
        <v>1696</v>
      </c>
      <c r="E44" s="120" t="s">
        <v>1697</v>
      </c>
      <c r="F44" s="120" t="s">
        <v>1698</v>
      </c>
      <c r="G44" s="123">
        <v>10.8</v>
      </c>
      <c r="H44" s="123">
        <v>6.7</v>
      </c>
      <c r="I44" s="123">
        <v>5.8</v>
      </c>
      <c r="J44" s="123">
        <v>5.2</v>
      </c>
      <c r="K44" s="123">
        <v>4.7</v>
      </c>
    </row>
    <row r="45" spans="1:11" ht="16">
      <c r="A45" s="120" t="s">
        <v>167</v>
      </c>
      <c r="B45" s="148" t="s">
        <v>1694</v>
      </c>
      <c r="C45" s="120" t="s">
        <v>1695</v>
      </c>
      <c r="D45" s="120" t="s">
        <v>1696</v>
      </c>
      <c r="E45" s="120" t="s">
        <v>1697</v>
      </c>
      <c r="F45" s="120" t="s">
        <v>1698</v>
      </c>
      <c r="G45" s="123">
        <v>4.7</v>
      </c>
      <c r="H45" s="123">
        <v>4.2</v>
      </c>
      <c r="I45" s="123">
        <v>4</v>
      </c>
      <c r="J45" s="123">
        <v>4.5999999999999996</v>
      </c>
      <c r="K45" s="123">
        <v>4.8</v>
      </c>
    </row>
    <row r="46" spans="1:11" ht="16">
      <c r="A46" s="120" t="s">
        <v>411</v>
      </c>
      <c r="B46" s="148" t="s">
        <v>1694</v>
      </c>
      <c r="C46" s="120" t="s">
        <v>1695</v>
      </c>
      <c r="D46" s="120" t="s">
        <v>1696</v>
      </c>
      <c r="E46" s="120" t="s">
        <v>1697</v>
      </c>
      <c r="F46" s="120" t="s">
        <v>1698</v>
      </c>
      <c r="G46" s="123">
        <v>2.9</v>
      </c>
      <c r="H46" s="123">
        <v>3.1</v>
      </c>
      <c r="I46" s="123">
        <v>2.9</v>
      </c>
      <c r="J46" s="123">
        <v>2.6</v>
      </c>
      <c r="K46" s="123">
        <v>2.5</v>
      </c>
    </row>
    <row r="47" spans="1:11" ht="16">
      <c r="A47" s="120" t="s">
        <v>425</v>
      </c>
      <c r="B47" s="148" t="s">
        <v>1694</v>
      </c>
      <c r="C47" s="120" t="s">
        <v>1695</v>
      </c>
      <c r="D47" s="120" t="s">
        <v>1696</v>
      </c>
      <c r="E47" s="120" t="s">
        <v>1697</v>
      </c>
      <c r="F47" s="120" t="s">
        <v>1698</v>
      </c>
      <c r="G47" s="123">
        <v>4.3</v>
      </c>
      <c r="H47" s="123">
        <v>3.7</v>
      </c>
      <c r="I47" s="123">
        <v>3.2</v>
      </c>
      <c r="J47" s="123">
        <v>2.4</v>
      </c>
      <c r="K47" s="123">
        <v>2.4</v>
      </c>
    </row>
    <row r="48" spans="1:11" ht="16">
      <c r="A48" s="120" t="s">
        <v>493</v>
      </c>
      <c r="B48" s="148" t="s">
        <v>1694</v>
      </c>
      <c r="C48" s="120" t="s">
        <v>1695</v>
      </c>
      <c r="D48" s="120" t="s">
        <v>1696</v>
      </c>
      <c r="E48" s="120" t="s">
        <v>1697</v>
      </c>
      <c r="F48" s="120" t="s">
        <v>1698</v>
      </c>
      <c r="G48" s="123">
        <v>3.3</v>
      </c>
      <c r="H48" s="123">
        <v>4</v>
      </c>
      <c r="I48" s="123">
        <v>4.4000000000000004</v>
      </c>
      <c r="J48" s="123">
        <v>4.7</v>
      </c>
      <c r="K48" s="123">
        <v>5</v>
      </c>
    </row>
    <row r="49" spans="1:11" ht="16">
      <c r="A49" s="120" t="s">
        <v>521</v>
      </c>
      <c r="B49" s="148" t="s">
        <v>1694</v>
      </c>
      <c r="C49" s="120" t="s">
        <v>1695</v>
      </c>
      <c r="D49" s="120" t="s">
        <v>1696</v>
      </c>
      <c r="E49" s="120" t="s">
        <v>1697</v>
      </c>
      <c r="F49" s="120" t="s">
        <v>1698</v>
      </c>
      <c r="G49" s="123">
        <v>4.3</v>
      </c>
      <c r="H49" s="123">
        <v>4.7</v>
      </c>
      <c r="I49" s="123">
        <v>5</v>
      </c>
      <c r="J49" s="123">
        <v>5.0999999999999996</v>
      </c>
      <c r="K49" s="123">
        <v>5.3</v>
      </c>
    </row>
    <row r="50" spans="1:11" ht="16">
      <c r="A50" s="120" t="s">
        <v>523</v>
      </c>
      <c r="B50" s="148" t="s">
        <v>1694</v>
      </c>
      <c r="C50" s="120" t="s">
        <v>1695</v>
      </c>
      <c r="D50" s="120" t="s">
        <v>1696</v>
      </c>
      <c r="E50" s="120" t="s">
        <v>1697</v>
      </c>
      <c r="F50" s="120" t="s">
        <v>1698</v>
      </c>
      <c r="G50" s="123">
        <v>3.2</v>
      </c>
      <c r="H50" s="123">
        <v>2.8</v>
      </c>
      <c r="I50" s="123">
        <v>2.5</v>
      </c>
      <c r="J50" s="123">
        <v>2.2000000000000002</v>
      </c>
      <c r="K50" s="123">
        <v>1.8</v>
      </c>
    </row>
    <row r="51" spans="1:11" ht="16">
      <c r="A51" s="120" t="s">
        <v>229</v>
      </c>
      <c r="B51" s="148" t="s">
        <v>1694</v>
      </c>
      <c r="C51" s="120" t="s">
        <v>1695</v>
      </c>
      <c r="D51" s="120" t="s">
        <v>1696</v>
      </c>
      <c r="E51" s="120" t="s">
        <v>1697</v>
      </c>
      <c r="F51" s="120" t="s">
        <v>1698</v>
      </c>
      <c r="G51" s="123">
        <v>6.9</v>
      </c>
      <c r="H51" s="123">
        <v>7.3</v>
      </c>
      <c r="I51" s="123">
        <v>7.6</v>
      </c>
      <c r="J51" s="123">
        <v>7.6</v>
      </c>
      <c r="K51" s="123">
        <v>7.8</v>
      </c>
    </row>
    <row r="52" spans="1:11" ht="16">
      <c r="A52" s="120" t="s">
        <v>538</v>
      </c>
      <c r="B52" s="148" t="s">
        <v>1694</v>
      </c>
      <c r="C52" s="120" t="s">
        <v>1695</v>
      </c>
      <c r="D52" s="120" t="s">
        <v>1696</v>
      </c>
      <c r="E52" s="120" t="s">
        <v>1697</v>
      </c>
      <c r="F52" s="120" t="s">
        <v>1698</v>
      </c>
      <c r="G52" s="123">
        <v>5.3</v>
      </c>
      <c r="H52" s="123">
        <v>4.2</v>
      </c>
      <c r="I52" s="123">
        <v>3.8</v>
      </c>
      <c r="J52" s="123">
        <v>4</v>
      </c>
      <c r="K52" s="123">
        <v>4.2</v>
      </c>
    </row>
    <row r="53" spans="1:11" ht="16">
      <c r="A53" s="120" t="s">
        <v>571</v>
      </c>
      <c r="B53" s="148" t="s">
        <v>1694</v>
      </c>
      <c r="C53" s="120" t="s">
        <v>1695</v>
      </c>
      <c r="D53" s="120" t="s">
        <v>1696</v>
      </c>
      <c r="E53" s="120" t="s">
        <v>1697</v>
      </c>
      <c r="F53" s="120" t="s">
        <v>1698</v>
      </c>
      <c r="G53" s="123">
        <v>2.2999999999999998</v>
      </c>
      <c r="H53" s="123">
        <v>2.2000000000000002</v>
      </c>
      <c r="I53" s="123">
        <v>2.2000000000000002</v>
      </c>
      <c r="J53" s="123">
        <v>2.2000000000000002</v>
      </c>
      <c r="K53" s="123">
        <v>2.2000000000000002</v>
      </c>
    </row>
    <row r="54" spans="1:11" ht="16">
      <c r="A54" s="120" t="s">
        <v>577</v>
      </c>
      <c r="B54" s="148" t="s">
        <v>1694</v>
      </c>
      <c r="C54" s="120" t="s">
        <v>1695</v>
      </c>
      <c r="D54" s="120" t="s">
        <v>1696</v>
      </c>
      <c r="E54" s="120" t="s">
        <v>1697</v>
      </c>
      <c r="F54" s="120" t="s">
        <v>1698</v>
      </c>
      <c r="G54" s="123">
        <v>4.9000000000000004</v>
      </c>
      <c r="H54" s="123">
        <v>4.4000000000000004</v>
      </c>
      <c r="I54" s="123">
        <v>4.2</v>
      </c>
      <c r="J54" s="123">
        <v>4.0999999999999996</v>
      </c>
      <c r="K54" s="123">
        <v>4</v>
      </c>
    </row>
    <row r="55" spans="1:11" ht="16">
      <c r="A55" s="120" t="s">
        <v>662</v>
      </c>
      <c r="B55" s="148" t="s">
        <v>1694</v>
      </c>
      <c r="C55" s="120" t="s">
        <v>1695</v>
      </c>
      <c r="D55" s="120" t="s">
        <v>1696</v>
      </c>
      <c r="E55" s="120" t="s">
        <v>1697</v>
      </c>
      <c r="F55" s="120" t="s">
        <v>1698</v>
      </c>
      <c r="G55" s="123">
        <v>6.7</v>
      </c>
      <c r="H55" s="123">
        <v>5.8</v>
      </c>
      <c r="I55" s="123">
        <v>5.5</v>
      </c>
      <c r="J55" s="123">
        <v>5.3</v>
      </c>
      <c r="K55" s="123">
        <v>4.9000000000000004</v>
      </c>
    </row>
    <row r="56" spans="1:11" ht="16">
      <c r="A56" s="120" t="s">
        <v>678</v>
      </c>
      <c r="B56" s="148" t="s">
        <v>1694</v>
      </c>
      <c r="C56" s="120" t="s">
        <v>1695</v>
      </c>
      <c r="D56" s="120" t="s">
        <v>1696</v>
      </c>
      <c r="E56" s="120" t="s">
        <v>1697</v>
      </c>
      <c r="F56" s="120" t="s">
        <v>1698</v>
      </c>
      <c r="G56" s="123">
        <v>4.0999999999999996</v>
      </c>
      <c r="H56" s="123">
        <v>3.9</v>
      </c>
      <c r="I56" s="123">
        <v>3.8</v>
      </c>
      <c r="J56" s="123">
        <v>3.8</v>
      </c>
      <c r="K56" s="123">
        <v>3.7</v>
      </c>
    </row>
    <row r="57" spans="1:11" ht="16">
      <c r="A57" s="120" t="s">
        <v>697</v>
      </c>
      <c r="B57" s="148" t="s">
        <v>1694</v>
      </c>
      <c r="C57" s="120" t="s">
        <v>1695</v>
      </c>
      <c r="D57" s="120" t="s">
        <v>1696</v>
      </c>
      <c r="E57" s="120" t="s">
        <v>1697</v>
      </c>
      <c r="F57" s="120" t="s">
        <v>1698</v>
      </c>
      <c r="G57" s="123">
        <v>6.1</v>
      </c>
      <c r="H57" s="123">
        <v>5.8</v>
      </c>
      <c r="I57" s="123">
        <v>5.4</v>
      </c>
      <c r="J57" s="123">
        <v>5.0999999999999996</v>
      </c>
      <c r="K57" s="123">
        <v>4.8</v>
      </c>
    </row>
    <row r="58" spans="1:11" ht="16">
      <c r="A58" s="120" t="s">
        <v>740</v>
      </c>
      <c r="B58" s="148" t="s">
        <v>1694</v>
      </c>
      <c r="C58" s="120" t="s">
        <v>1695</v>
      </c>
      <c r="D58" s="120" t="s">
        <v>1696</v>
      </c>
      <c r="E58" s="120" t="s">
        <v>1697</v>
      </c>
      <c r="F58" s="120" t="s">
        <v>1698</v>
      </c>
      <c r="G58" s="123">
        <v>4.8</v>
      </c>
      <c r="H58" s="123">
        <v>4.7</v>
      </c>
      <c r="I58" s="123">
        <v>5</v>
      </c>
      <c r="J58" s="123">
        <v>5.0999999999999996</v>
      </c>
      <c r="K58" s="123">
        <v>5.2</v>
      </c>
    </row>
    <row r="59" spans="1:11" ht="16">
      <c r="A59" s="120" t="s">
        <v>756</v>
      </c>
      <c r="B59" s="148" t="s">
        <v>1694</v>
      </c>
      <c r="C59" s="120" t="s">
        <v>1695</v>
      </c>
      <c r="D59" s="120" t="s">
        <v>1696</v>
      </c>
      <c r="E59" s="120" t="s">
        <v>1697</v>
      </c>
      <c r="F59" s="120" t="s">
        <v>1698</v>
      </c>
      <c r="G59" s="123">
        <v>4.4000000000000004</v>
      </c>
      <c r="H59" s="123">
        <v>4.4000000000000004</v>
      </c>
      <c r="I59" s="123">
        <v>4.4000000000000004</v>
      </c>
      <c r="J59" s="123">
        <v>4.3</v>
      </c>
      <c r="K59" s="123">
        <v>4.2</v>
      </c>
    </row>
    <row r="60" spans="1:11" ht="16">
      <c r="A60" s="120" t="s">
        <v>758</v>
      </c>
      <c r="B60" s="148" t="s">
        <v>1694</v>
      </c>
      <c r="C60" s="120" t="s">
        <v>1695</v>
      </c>
      <c r="D60" s="120" t="s">
        <v>1696</v>
      </c>
      <c r="E60" s="120" t="s">
        <v>1697</v>
      </c>
      <c r="F60" s="120" t="s">
        <v>1698</v>
      </c>
      <c r="G60" s="123">
        <v>1.7</v>
      </c>
      <c r="H60" s="123">
        <v>1.8</v>
      </c>
      <c r="I60" s="123">
        <v>1.7</v>
      </c>
      <c r="J60" s="123">
        <v>1.5</v>
      </c>
      <c r="K60" s="123">
        <v>1.2</v>
      </c>
    </row>
    <row r="61" spans="1:11" ht="16">
      <c r="A61" s="120" t="s">
        <v>1124</v>
      </c>
      <c r="B61" s="148" t="s">
        <v>1694</v>
      </c>
      <c r="C61" s="120" t="s">
        <v>1695</v>
      </c>
      <c r="D61" s="120" t="s">
        <v>1696</v>
      </c>
      <c r="E61" s="120" t="s">
        <v>1697</v>
      </c>
      <c r="F61" s="120" t="s">
        <v>1698</v>
      </c>
      <c r="G61" s="123">
        <v>62.1</v>
      </c>
      <c r="H61" s="123">
        <v>45.3</v>
      </c>
      <c r="I61" s="123">
        <v>33</v>
      </c>
      <c r="J61" s="123">
        <v>28.1</v>
      </c>
      <c r="K61" s="123">
        <v>27</v>
      </c>
    </row>
    <row r="62" spans="1:11" ht="16">
      <c r="A62" s="120" t="s">
        <v>791</v>
      </c>
      <c r="B62" s="148" t="s">
        <v>1694</v>
      </c>
      <c r="C62" s="120" t="s">
        <v>1695</v>
      </c>
      <c r="D62" s="120" t="s">
        <v>1696</v>
      </c>
      <c r="E62" s="120" t="s">
        <v>1697</v>
      </c>
      <c r="F62" s="120" t="s">
        <v>1698</v>
      </c>
      <c r="G62" s="123">
        <v>4.7</v>
      </c>
      <c r="H62" s="123">
        <v>4.2</v>
      </c>
      <c r="I62" s="123">
        <v>3.9</v>
      </c>
      <c r="J62" s="123">
        <v>3.6</v>
      </c>
      <c r="K62" s="123">
        <v>3.5</v>
      </c>
    </row>
    <row r="64" spans="1:11">
      <c r="A64" s="794" t="s">
        <v>1125</v>
      </c>
      <c r="B64" s="790"/>
      <c r="C64" s="790"/>
      <c r="D64" s="790"/>
      <c r="E64" s="790"/>
      <c r="F64" s="790"/>
      <c r="G64" s="790"/>
      <c r="H64" s="790"/>
      <c r="I64" s="790"/>
      <c r="J64" s="790"/>
      <c r="K64" s="790"/>
    </row>
    <row r="65" spans="1:1">
      <c r="A65" s="791" t="s">
        <v>1699</v>
      </c>
    </row>
    <row r="67" spans="1:1">
      <c r="A67" s="791" t="s">
        <v>1700</v>
      </c>
    </row>
    <row r="68" spans="1:1">
      <c r="A68" s="791" t="s">
        <v>1128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4E373-ECCD-4890-957D-01082E16079C}">
  <dimension ref="A1:O109"/>
  <sheetViews>
    <sheetView workbookViewId="0">
      <selection activeCell="A5" sqref="A5"/>
    </sheetView>
  </sheetViews>
  <sheetFormatPr baseColWidth="10" defaultColWidth="9.1640625" defaultRowHeight="13"/>
  <cols>
    <col min="1" max="1" width="21.1640625" style="870" customWidth="1"/>
    <col min="2" max="2" width="29.5" style="870" customWidth="1"/>
    <col min="3" max="3" width="22.1640625" style="870" customWidth="1"/>
    <col min="4" max="4" width="15" style="870" customWidth="1"/>
    <col min="5" max="15" width="7.83203125" style="870" customWidth="1"/>
    <col min="16" max="256" width="9.1640625" style="870"/>
    <col min="257" max="257" width="21.1640625" style="870" customWidth="1"/>
    <col min="258" max="258" width="29.5" style="870" customWidth="1"/>
    <col min="259" max="259" width="22.1640625" style="870" customWidth="1"/>
    <col min="260" max="260" width="15" style="870" customWidth="1"/>
    <col min="261" max="271" width="7.83203125" style="870" customWidth="1"/>
    <col min="272" max="512" width="9.1640625" style="870"/>
    <col min="513" max="513" width="21.1640625" style="870" customWidth="1"/>
    <col min="514" max="514" width="29.5" style="870" customWidth="1"/>
    <col min="515" max="515" width="22.1640625" style="870" customWidth="1"/>
    <col min="516" max="516" width="15" style="870" customWidth="1"/>
    <col min="517" max="527" width="7.83203125" style="870" customWidth="1"/>
    <col min="528" max="768" width="9.1640625" style="870"/>
    <col min="769" max="769" width="21.1640625" style="870" customWidth="1"/>
    <col min="770" max="770" width="29.5" style="870" customWidth="1"/>
    <col min="771" max="771" width="22.1640625" style="870" customWidth="1"/>
    <col min="772" max="772" width="15" style="870" customWidth="1"/>
    <col min="773" max="783" width="7.83203125" style="870" customWidth="1"/>
    <col min="784" max="1024" width="9.1640625" style="870"/>
    <col min="1025" max="1025" width="21.1640625" style="870" customWidth="1"/>
    <col min="1026" max="1026" width="29.5" style="870" customWidth="1"/>
    <col min="1027" max="1027" width="22.1640625" style="870" customWidth="1"/>
    <col min="1028" max="1028" width="15" style="870" customWidth="1"/>
    <col min="1029" max="1039" width="7.83203125" style="870" customWidth="1"/>
    <col min="1040" max="1280" width="9.1640625" style="870"/>
    <col min="1281" max="1281" width="21.1640625" style="870" customWidth="1"/>
    <col min="1282" max="1282" width="29.5" style="870" customWidth="1"/>
    <col min="1283" max="1283" width="22.1640625" style="870" customWidth="1"/>
    <col min="1284" max="1284" width="15" style="870" customWidth="1"/>
    <col min="1285" max="1295" width="7.83203125" style="870" customWidth="1"/>
    <col min="1296" max="1536" width="9.1640625" style="870"/>
    <col min="1537" max="1537" width="21.1640625" style="870" customWidth="1"/>
    <col min="1538" max="1538" width="29.5" style="870" customWidth="1"/>
    <col min="1539" max="1539" width="22.1640625" style="870" customWidth="1"/>
    <col min="1540" max="1540" width="15" style="870" customWidth="1"/>
    <col min="1541" max="1551" width="7.83203125" style="870" customWidth="1"/>
    <col min="1552" max="1792" width="9.1640625" style="870"/>
    <col min="1793" max="1793" width="21.1640625" style="870" customWidth="1"/>
    <col min="1794" max="1794" width="29.5" style="870" customWidth="1"/>
    <col min="1795" max="1795" width="22.1640625" style="870" customWidth="1"/>
    <col min="1796" max="1796" width="15" style="870" customWidth="1"/>
    <col min="1797" max="1807" width="7.83203125" style="870" customWidth="1"/>
    <col min="1808" max="2048" width="9.1640625" style="870"/>
    <col min="2049" max="2049" width="21.1640625" style="870" customWidth="1"/>
    <col min="2050" max="2050" width="29.5" style="870" customWidth="1"/>
    <col min="2051" max="2051" width="22.1640625" style="870" customWidth="1"/>
    <col min="2052" max="2052" width="15" style="870" customWidth="1"/>
    <col min="2053" max="2063" width="7.83203125" style="870" customWidth="1"/>
    <col min="2064" max="2304" width="9.1640625" style="870"/>
    <col min="2305" max="2305" width="21.1640625" style="870" customWidth="1"/>
    <col min="2306" max="2306" width="29.5" style="870" customWidth="1"/>
    <col min="2307" max="2307" width="22.1640625" style="870" customWidth="1"/>
    <col min="2308" max="2308" width="15" style="870" customWidth="1"/>
    <col min="2309" max="2319" width="7.83203125" style="870" customWidth="1"/>
    <col min="2320" max="2560" width="9.1640625" style="870"/>
    <col min="2561" max="2561" width="21.1640625" style="870" customWidth="1"/>
    <col min="2562" max="2562" width="29.5" style="870" customWidth="1"/>
    <col min="2563" max="2563" width="22.1640625" style="870" customWidth="1"/>
    <col min="2564" max="2564" width="15" style="870" customWidth="1"/>
    <col min="2565" max="2575" width="7.83203125" style="870" customWidth="1"/>
    <col min="2576" max="2816" width="9.1640625" style="870"/>
    <col min="2817" max="2817" width="21.1640625" style="870" customWidth="1"/>
    <col min="2818" max="2818" width="29.5" style="870" customWidth="1"/>
    <col min="2819" max="2819" width="22.1640625" style="870" customWidth="1"/>
    <col min="2820" max="2820" width="15" style="870" customWidth="1"/>
    <col min="2821" max="2831" width="7.83203125" style="870" customWidth="1"/>
    <col min="2832" max="3072" width="9.1640625" style="870"/>
    <col min="3073" max="3073" width="21.1640625" style="870" customWidth="1"/>
    <col min="3074" max="3074" width="29.5" style="870" customWidth="1"/>
    <col min="3075" max="3075" width="22.1640625" style="870" customWidth="1"/>
    <col min="3076" max="3076" width="15" style="870" customWidth="1"/>
    <col min="3077" max="3087" width="7.83203125" style="870" customWidth="1"/>
    <col min="3088" max="3328" width="9.1640625" style="870"/>
    <col min="3329" max="3329" width="21.1640625" style="870" customWidth="1"/>
    <col min="3330" max="3330" width="29.5" style="870" customWidth="1"/>
    <col min="3331" max="3331" width="22.1640625" style="870" customWidth="1"/>
    <col min="3332" max="3332" width="15" style="870" customWidth="1"/>
    <col min="3333" max="3343" width="7.83203125" style="870" customWidth="1"/>
    <col min="3344" max="3584" width="9.1640625" style="870"/>
    <col min="3585" max="3585" width="21.1640625" style="870" customWidth="1"/>
    <col min="3586" max="3586" width="29.5" style="870" customWidth="1"/>
    <col min="3587" max="3587" width="22.1640625" style="870" customWidth="1"/>
    <col min="3588" max="3588" width="15" style="870" customWidth="1"/>
    <col min="3589" max="3599" width="7.83203125" style="870" customWidth="1"/>
    <col min="3600" max="3840" width="9.1640625" style="870"/>
    <col min="3841" max="3841" width="21.1640625" style="870" customWidth="1"/>
    <col min="3842" max="3842" width="29.5" style="870" customWidth="1"/>
    <col min="3843" max="3843" width="22.1640625" style="870" customWidth="1"/>
    <col min="3844" max="3844" width="15" style="870" customWidth="1"/>
    <col min="3845" max="3855" width="7.83203125" style="870" customWidth="1"/>
    <col min="3856" max="4096" width="9.1640625" style="870"/>
    <col min="4097" max="4097" width="21.1640625" style="870" customWidth="1"/>
    <col min="4098" max="4098" width="29.5" style="870" customWidth="1"/>
    <col min="4099" max="4099" width="22.1640625" style="870" customWidth="1"/>
    <col min="4100" max="4100" width="15" style="870" customWidth="1"/>
    <col min="4101" max="4111" width="7.83203125" style="870" customWidth="1"/>
    <col min="4112" max="4352" width="9.1640625" style="870"/>
    <col min="4353" max="4353" width="21.1640625" style="870" customWidth="1"/>
    <col min="4354" max="4354" width="29.5" style="870" customWidth="1"/>
    <col min="4355" max="4355" width="22.1640625" style="870" customWidth="1"/>
    <col min="4356" max="4356" width="15" style="870" customWidth="1"/>
    <col min="4357" max="4367" width="7.83203125" style="870" customWidth="1"/>
    <col min="4368" max="4608" width="9.1640625" style="870"/>
    <col min="4609" max="4609" width="21.1640625" style="870" customWidth="1"/>
    <col min="4610" max="4610" width="29.5" style="870" customWidth="1"/>
    <col min="4611" max="4611" width="22.1640625" style="870" customWidth="1"/>
    <col min="4612" max="4612" width="15" style="870" customWidth="1"/>
    <col min="4613" max="4623" width="7.83203125" style="870" customWidth="1"/>
    <col min="4624" max="4864" width="9.1640625" style="870"/>
    <col min="4865" max="4865" width="21.1640625" style="870" customWidth="1"/>
    <col min="4866" max="4866" width="29.5" style="870" customWidth="1"/>
    <col min="4867" max="4867" width="22.1640625" style="870" customWidth="1"/>
    <col min="4868" max="4868" width="15" style="870" customWidth="1"/>
    <col min="4869" max="4879" width="7.83203125" style="870" customWidth="1"/>
    <col min="4880" max="5120" width="9.1640625" style="870"/>
    <col min="5121" max="5121" width="21.1640625" style="870" customWidth="1"/>
    <col min="5122" max="5122" width="29.5" style="870" customWidth="1"/>
    <col min="5123" max="5123" width="22.1640625" style="870" customWidth="1"/>
    <col min="5124" max="5124" width="15" style="870" customWidth="1"/>
    <col min="5125" max="5135" width="7.83203125" style="870" customWidth="1"/>
    <col min="5136" max="5376" width="9.1640625" style="870"/>
    <col min="5377" max="5377" width="21.1640625" style="870" customWidth="1"/>
    <col min="5378" max="5378" width="29.5" style="870" customWidth="1"/>
    <col min="5379" max="5379" width="22.1640625" style="870" customWidth="1"/>
    <col min="5380" max="5380" width="15" style="870" customWidth="1"/>
    <col min="5381" max="5391" width="7.83203125" style="870" customWidth="1"/>
    <col min="5392" max="5632" width="9.1640625" style="870"/>
    <col min="5633" max="5633" width="21.1640625" style="870" customWidth="1"/>
    <col min="5634" max="5634" width="29.5" style="870" customWidth="1"/>
    <col min="5635" max="5635" width="22.1640625" style="870" customWidth="1"/>
    <col min="5636" max="5636" width="15" style="870" customWidth="1"/>
    <col min="5637" max="5647" width="7.83203125" style="870" customWidth="1"/>
    <col min="5648" max="5888" width="9.1640625" style="870"/>
    <col min="5889" max="5889" width="21.1640625" style="870" customWidth="1"/>
    <col min="5890" max="5890" width="29.5" style="870" customWidth="1"/>
    <col min="5891" max="5891" width="22.1640625" style="870" customWidth="1"/>
    <col min="5892" max="5892" width="15" style="870" customWidth="1"/>
    <col min="5893" max="5903" width="7.83203125" style="870" customWidth="1"/>
    <col min="5904" max="6144" width="9.1640625" style="870"/>
    <col min="6145" max="6145" width="21.1640625" style="870" customWidth="1"/>
    <col min="6146" max="6146" width="29.5" style="870" customWidth="1"/>
    <col min="6147" max="6147" width="22.1640625" style="870" customWidth="1"/>
    <col min="6148" max="6148" width="15" style="870" customWidth="1"/>
    <col min="6149" max="6159" width="7.83203125" style="870" customWidth="1"/>
    <col min="6160" max="6400" width="9.1640625" style="870"/>
    <col min="6401" max="6401" width="21.1640625" style="870" customWidth="1"/>
    <col min="6402" max="6402" width="29.5" style="870" customWidth="1"/>
    <col min="6403" max="6403" width="22.1640625" style="870" customWidth="1"/>
    <col min="6404" max="6404" width="15" style="870" customWidth="1"/>
    <col min="6405" max="6415" width="7.83203125" style="870" customWidth="1"/>
    <col min="6416" max="6656" width="9.1640625" style="870"/>
    <col min="6657" max="6657" width="21.1640625" style="870" customWidth="1"/>
    <col min="6658" max="6658" width="29.5" style="870" customWidth="1"/>
    <col min="6659" max="6659" width="22.1640625" style="870" customWidth="1"/>
    <col min="6660" max="6660" width="15" style="870" customWidth="1"/>
    <col min="6661" max="6671" width="7.83203125" style="870" customWidth="1"/>
    <col min="6672" max="6912" width="9.1640625" style="870"/>
    <col min="6913" max="6913" width="21.1640625" style="870" customWidth="1"/>
    <col min="6914" max="6914" width="29.5" style="870" customWidth="1"/>
    <col min="6915" max="6915" width="22.1640625" style="870" customWidth="1"/>
    <col min="6916" max="6916" width="15" style="870" customWidth="1"/>
    <col min="6917" max="6927" width="7.83203125" style="870" customWidth="1"/>
    <col min="6928" max="7168" width="9.1640625" style="870"/>
    <col min="7169" max="7169" width="21.1640625" style="870" customWidth="1"/>
    <col min="7170" max="7170" width="29.5" style="870" customWidth="1"/>
    <col min="7171" max="7171" width="22.1640625" style="870" customWidth="1"/>
    <col min="7172" max="7172" width="15" style="870" customWidth="1"/>
    <col min="7173" max="7183" width="7.83203125" style="870" customWidth="1"/>
    <col min="7184" max="7424" width="9.1640625" style="870"/>
    <col min="7425" max="7425" width="21.1640625" style="870" customWidth="1"/>
    <col min="7426" max="7426" width="29.5" style="870" customWidth="1"/>
    <col min="7427" max="7427" width="22.1640625" style="870" customWidth="1"/>
    <col min="7428" max="7428" width="15" style="870" customWidth="1"/>
    <col min="7429" max="7439" width="7.83203125" style="870" customWidth="1"/>
    <col min="7440" max="7680" width="9.1640625" style="870"/>
    <col min="7681" max="7681" width="21.1640625" style="870" customWidth="1"/>
    <col min="7682" max="7682" width="29.5" style="870" customWidth="1"/>
    <col min="7683" max="7683" width="22.1640625" style="870" customWidth="1"/>
    <col min="7684" max="7684" width="15" style="870" customWidth="1"/>
    <col min="7685" max="7695" width="7.83203125" style="870" customWidth="1"/>
    <col min="7696" max="7936" width="9.1640625" style="870"/>
    <col min="7937" max="7937" width="21.1640625" style="870" customWidth="1"/>
    <col min="7938" max="7938" width="29.5" style="870" customWidth="1"/>
    <col min="7939" max="7939" width="22.1640625" style="870" customWidth="1"/>
    <col min="7940" max="7940" width="15" style="870" customWidth="1"/>
    <col min="7941" max="7951" width="7.83203125" style="870" customWidth="1"/>
    <col min="7952" max="8192" width="9.1640625" style="870"/>
    <col min="8193" max="8193" width="21.1640625" style="870" customWidth="1"/>
    <col min="8194" max="8194" width="29.5" style="870" customWidth="1"/>
    <col min="8195" max="8195" width="22.1640625" style="870" customWidth="1"/>
    <col min="8196" max="8196" width="15" style="870" customWidth="1"/>
    <col min="8197" max="8207" width="7.83203125" style="870" customWidth="1"/>
    <col min="8208" max="8448" width="9.1640625" style="870"/>
    <col min="8449" max="8449" width="21.1640625" style="870" customWidth="1"/>
    <col min="8450" max="8450" width="29.5" style="870" customWidth="1"/>
    <col min="8451" max="8451" width="22.1640625" style="870" customWidth="1"/>
    <col min="8452" max="8452" width="15" style="870" customWidth="1"/>
    <col min="8453" max="8463" width="7.83203125" style="870" customWidth="1"/>
    <col min="8464" max="8704" width="9.1640625" style="870"/>
    <col min="8705" max="8705" width="21.1640625" style="870" customWidth="1"/>
    <col min="8706" max="8706" width="29.5" style="870" customWidth="1"/>
    <col min="8707" max="8707" width="22.1640625" style="870" customWidth="1"/>
    <col min="8708" max="8708" width="15" style="870" customWidth="1"/>
    <col min="8709" max="8719" width="7.83203125" style="870" customWidth="1"/>
    <col min="8720" max="8960" width="9.1640625" style="870"/>
    <col min="8961" max="8961" width="21.1640625" style="870" customWidth="1"/>
    <col min="8962" max="8962" width="29.5" style="870" customWidth="1"/>
    <col min="8963" max="8963" width="22.1640625" style="870" customWidth="1"/>
    <col min="8964" max="8964" width="15" style="870" customWidth="1"/>
    <col min="8965" max="8975" width="7.83203125" style="870" customWidth="1"/>
    <col min="8976" max="9216" width="9.1640625" style="870"/>
    <col min="9217" max="9217" width="21.1640625" style="870" customWidth="1"/>
    <col min="9218" max="9218" width="29.5" style="870" customWidth="1"/>
    <col min="9219" max="9219" width="22.1640625" style="870" customWidth="1"/>
    <col min="9220" max="9220" width="15" style="870" customWidth="1"/>
    <col min="9221" max="9231" width="7.83203125" style="870" customWidth="1"/>
    <col min="9232" max="9472" width="9.1640625" style="870"/>
    <col min="9473" max="9473" width="21.1640625" style="870" customWidth="1"/>
    <col min="9474" max="9474" width="29.5" style="870" customWidth="1"/>
    <col min="9475" max="9475" width="22.1640625" style="870" customWidth="1"/>
    <col min="9476" max="9476" width="15" style="870" customWidth="1"/>
    <col min="9477" max="9487" width="7.83203125" style="870" customWidth="1"/>
    <col min="9488" max="9728" width="9.1640625" style="870"/>
    <col min="9729" max="9729" width="21.1640625" style="870" customWidth="1"/>
    <col min="9730" max="9730" width="29.5" style="870" customWidth="1"/>
    <col min="9731" max="9731" width="22.1640625" style="870" customWidth="1"/>
    <col min="9732" max="9732" width="15" style="870" customWidth="1"/>
    <col min="9733" max="9743" width="7.83203125" style="870" customWidth="1"/>
    <col min="9744" max="9984" width="9.1640625" style="870"/>
    <col min="9985" max="9985" width="21.1640625" style="870" customWidth="1"/>
    <col min="9986" max="9986" width="29.5" style="870" customWidth="1"/>
    <col min="9987" max="9987" width="22.1640625" style="870" customWidth="1"/>
    <col min="9988" max="9988" width="15" style="870" customWidth="1"/>
    <col min="9989" max="9999" width="7.83203125" style="870" customWidth="1"/>
    <col min="10000" max="10240" width="9.1640625" style="870"/>
    <col min="10241" max="10241" width="21.1640625" style="870" customWidth="1"/>
    <col min="10242" max="10242" width="29.5" style="870" customWidth="1"/>
    <col min="10243" max="10243" width="22.1640625" style="870" customWidth="1"/>
    <col min="10244" max="10244" width="15" style="870" customWidth="1"/>
    <col min="10245" max="10255" width="7.83203125" style="870" customWidth="1"/>
    <col min="10256" max="10496" width="9.1640625" style="870"/>
    <col min="10497" max="10497" width="21.1640625" style="870" customWidth="1"/>
    <col min="10498" max="10498" width="29.5" style="870" customWidth="1"/>
    <col min="10499" max="10499" width="22.1640625" style="870" customWidth="1"/>
    <col min="10500" max="10500" width="15" style="870" customWidth="1"/>
    <col min="10501" max="10511" width="7.83203125" style="870" customWidth="1"/>
    <col min="10512" max="10752" width="9.1640625" style="870"/>
    <col min="10753" max="10753" width="21.1640625" style="870" customWidth="1"/>
    <col min="10754" max="10754" width="29.5" style="870" customWidth="1"/>
    <col min="10755" max="10755" width="22.1640625" style="870" customWidth="1"/>
    <col min="10756" max="10756" width="15" style="870" customWidth="1"/>
    <col min="10757" max="10767" width="7.83203125" style="870" customWidth="1"/>
    <col min="10768" max="11008" width="9.1640625" style="870"/>
    <col min="11009" max="11009" width="21.1640625" style="870" customWidth="1"/>
    <col min="11010" max="11010" width="29.5" style="870" customWidth="1"/>
    <col min="11011" max="11011" width="22.1640625" style="870" customWidth="1"/>
    <col min="11012" max="11012" width="15" style="870" customWidth="1"/>
    <col min="11013" max="11023" width="7.83203125" style="870" customWidth="1"/>
    <col min="11024" max="11264" width="9.1640625" style="870"/>
    <col min="11265" max="11265" width="21.1640625" style="870" customWidth="1"/>
    <col min="11266" max="11266" width="29.5" style="870" customWidth="1"/>
    <col min="11267" max="11267" width="22.1640625" style="870" customWidth="1"/>
    <col min="11268" max="11268" width="15" style="870" customWidth="1"/>
    <col min="11269" max="11279" width="7.83203125" style="870" customWidth="1"/>
    <col min="11280" max="11520" width="9.1640625" style="870"/>
    <col min="11521" max="11521" width="21.1640625" style="870" customWidth="1"/>
    <col min="11522" max="11522" width="29.5" style="870" customWidth="1"/>
    <col min="11523" max="11523" width="22.1640625" style="870" customWidth="1"/>
    <col min="11524" max="11524" width="15" style="870" customWidth="1"/>
    <col min="11525" max="11535" width="7.83203125" style="870" customWidth="1"/>
    <col min="11536" max="11776" width="9.1640625" style="870"/>
    <col min="11777" max="11777" width="21.1640625" style="870" customWidth="1"/>
    <col min="11778" max="11778" width="29.5" style="870" customWidth="1"/>
    <col min="11779" max="11779" width="22.1640625" style="870" customWidth="1"/>
    <col min="11780" max="11780" width="15" style="870" customWidth="1"/>
    <col min="11781" max="11791" width="7.83203125" style="870" customWidth="1"/>
    <col min="11792" max="12032" width="9.1640625" style="870"/>
    <col min="12033" max="12033" width="21.1640625" style="870" customWidth="1"/>
    <col min="12034" max="12034" width="29.5" style="870" customWidth="1"/>
    <col min="12035" max="12035" width="22.1640625" style="870" customWidth="1"/>
    <col min="12036" max="12036" width="15" style="870" customWidth="1"/>
    <col min="12037" max="12047" width="7.83203125" style="870" customWidth="1"/>
    <col min="12048" max="12288" width="9.1640625" style="870"/>
    <col min="12289" max="12289" width="21.1640625" style="870" customWidth="1"/>
    <col min="12290" max="12290" width="29.5" style="870" customWidth="1"/>
    <col min="12291" max="12291" width="22.1640625" style="870" customWidth="1"/>
    <col min="12292" max="12292" width="15" style="870" customWidth="1"/>
    <col min="12293" max="12303" width="7.83203125" style="870" customWidth="1"/>
    <col min="12304" max="12544" width="9.1640625" style="870"/>
    <col min="12545" max="12545" width="21.1640625" style="870" customWidth="1"/>
    <col min="12546" max="12546" width="29.5" style="870" customWidth="1"/>
    <col min="12547" max="12547" width="22.1640625" style="870" customWidth="1"/>
    <col min="12548" max="12548" width="15" style="870" customWidth="1"/>
    <col min="12549" max="12559" width="7.83203125" style="870" customWidth="1"/>
    <col min="12560" max="12800" width="9.1640625" style="870"/>
    <col min="12801" max="12801" width="21.1640625" style="870" customWidth="1"/>
    <col min="12802" max="12802" width="29.5" style="870" customWidth="1"/>
    <col min="12803" max="12803" width="22.1640625" style="870" customWidth="1"/>
    <col min="12804" max="12804" width="15" style="870" customWidth="1"/>
    <col min="12805" max="12815" width="7.83203125" style="870" customWidth="1"/>
    <col min="12816" max="13056" width="9.1640625" style="870"/>
    <col min="13057" max="13057" width="21.1640625" style="870" customWidth="1"/>
    <col min="13058" max="13058" width="29.5" style="870" customWidth="1"/>
    <col min="13059" max="13059" width="22.1640625" style="870" customWidth="1"/>
    <col min="13060" max="13060" width="15" style="870" customWidth="1"/>
    <col min="13061" max="13071" width="7.83203125" style="870" customWidth="1"/>
    <col min="13072" max="13312" width="9.1640625" style="870"/>
    <col min="13313" max="13313" width="21.1640625" style="870" customWidth="1"/>
    <col min="13314" max="13314" width="29.5" style="870" customWidth="1"/>
    <col min="13315" max="13315" width="22.1640625" style="870" customWidth="1"/>
    <col min="13316" max="13316" width="15" style="870" customWidth="1"/>
    <col min="13317" max="13327" width="7.83203125" style="870" customWidth="1"/>
    <col min="13328" max="13568" width="9.1640625" style="870"/>
    <col min="13569" max="13569" width="21.1640625" style="870" customWidth="1"/>
    <col min="13570" max="13570" width="29.5" style="870" customWidth="1"/>
    <col min="13571" max="13571" width="22.1640625" style="870" customWidth="1"/>
    <col min="13572" max="13572" width="15" style="870" customWidth="1"/>
    <col min="13573" max="13583" width="7.83203125" style="870" customWidth="1"/>
    <col min="13584" max="13824" width="9.1640625" style="870"/>
    <col min="13825" max="13825" width="21.1640625" style="870" customWidth="1"/>
    <col min="13826" max="13826" width="29.5" style="870" customWidth="1"/>
    <col min="13827" max="13827" width="22.1640625" style="870" customWidth="1"/>
    <col min="13828" max="13828" width="15" style="870" customWidth="1"/>
    <col min="13829" max="13839" width="7.83203125" style="870" customWidth="1"/>
    <col min="13840" max="14080" width="9.1640625" style="870"/>
    <col min="14081" max="14081" width="21.1640625" style="870" customWidth="1"/>
    <col min="14082" max="14082" width="29.5" style="870" customWidth="1"/>
    <col min="14083" max="14083" width="22.1640625" style="870" customWidth="1"/>
    <col min="14084" max="14084" width="15" style="870" customWidth="1"/>
    <col min="14085" max="14095" width="7.83203125" style="870" customWidth="1"/>
    <col min="14096" max="14336" width="9.1640625" style="870"/>
    <col min="14337" max="14337" width="21.1640625" style="870" customWidth="1"/>
    <col min="14338" max="14338" width="29.5" style="870" customWidth="1"/>
    <col min="14339" max="14339" width="22.1640625" style="870" customWidth="1"/>
    <col min="14340" max="14340" width="15" style="870" customWidth="1"/>
    <col min="14341" max="14351" width="7.83203125" style="870" customWidth="1"/>
    <col min="14352" max="14592" width="9.1640625" style="870"/>
    <col min="14593" max="14593" width="21.1640625" style="870" customWidth="1"/>
    <col min="14594" max="14594" width="29.5" style="870" customWidth="1"/>
    <col min="14595" max="14595" width="22.1640625" style="870" customWidth="1"/>
    <col min="14596" max="14596" width="15" style="870" customWidth="1"/>
    <col min="14597" max="14607" width="7.83203125" style="870" customWidth="1"/>
    <col min="14608" max="14848" width="9.1640625" style="870"/>
    <col min="14849" max="14849" width="21.1640625" style="870" customWidth="1"/>
    <col min="14850" max="14850" width="29.5" style="870" customWidth="1"/>
    <col min="14851" max="14851" width="22.1640625" style="870" customWidth="1"/>
    <col min="14852" max="14852" width="15" style="870" customWidth="1"/>
    <col min="14853" max="14863" width="7.83203125" style="870" customWidth="1"/>
    <col min="14864" max="15104" width="9.1640625" style="870"/>
    <col min="15105" max="15105" width="21.1640625" style="870" customWidth="1"/>
    <col min="15106" max="15106" width="29.5" style="870" customWidth="1"/>
    <col min="15107" max="15107" width="22.1640625" style="870" customWidth="1"/>
    <col min="15108" max="15108" width="15" style="870" customWidth="1"/>
    <col min="15109" max="15119" width="7.83203125" style="870" customWidth="1"/>
    <col min="15120" max="15360" width="9.1640625" style="870"/>
    <col min="15361" max="15361" width="21.1640625" style="870" customWidth="1"/>
    <col min="15362" max="15362" width="29.5" style="870" customWidth="1"/>
    <col min="15363" max="15363" width="22.1640625" style="870" customWidth="1"/>
    <col min="15364" max="15364" width="15" style="870" customWidth="1"/>
    <col min="15365" max="15375" width="7.83203125" style="870" customWidth="1"/>
    <col min="15376" max="15616" width="9.1640625" style="870"/>
    <col min="15617" max="15617" width="21.1640625" style="870" customWidth="1"/>
    <col min="15618" max="15618" width="29.5" style="870" customWidth="1"/>
    <col min="15619" max="15619" width="22.1640625" style="870" customWidth="1"/>
    <col min="15620" max="15620" width="15" style="870" customWidth="1"/>
    <col min="15621" max="15631" width="7.83203125" style="870" customWidth="1"/>
    <col min="15632" max="15872" width="9.1640625" style="870"/>
    <col min="15873" max="15873" width="21.1640625" style="870" customWidth="1"/>
    <col min="15874" max="15874" width="29.5" style="870" customWidth="1"/>
    <col min="15875" max="15875" width="22.1640625" style="870" customWidth="1"/>
    <col min="15876" max="15876" width="15" style="870" customWidth="1"/>
    <col min="15877" max="15887" width="7.83203125" style="870" customWidth="1"/>
    <col min="15888" max="16128" width="9.1640625" style="870"/>
    <col min="16129" max="16129" width="21.1640625" style="870" customWidth="1"/>
    <col min="16130" max="16130" width="29.5" style="870" customWidth="1"/>
    <col min="16131" max="16131" width="22.1640625" style="870" customWidth="1"/>
    <col min="16132" max="16132" width="15" style="870" customWidth="1"/>
    <col min="16133" max="16143" width="7.83203125" style="870" customWidth="1"/>
    <col min="16144" max="16384" width="9.1640625" style="870"/>
  </cols>
  <sheetData>
    <row r="1" spans="1:15" s="869" customFormat="1"/>
    <row r="2" spans="1:15" s="793" customFormat="1"/>
    <row r="3" spans="1:15" s="869" customFormat="1"/>
    <row r="4" spans="1:15" s="869" customFormat="1"/>
    <row r="5" spans="1:15">
      <c r="A5" s="869" t="s">
        <v>1701</v>
      </c>
    </row>
    <row r="6" spans="1:15" s="872" customFormat="1">
      <c r="A6" s="871" t="s">
        <v>1096</v>
      </c>
      <c r="B6" s="871" t="s">
        <v>1097</v>
      </c>
      <c r="C6" s="871" t="s">
        <v>1702</v>
      </c>
      <c r="D6" s="871" t="s">
        <v>1099</v>
      </c>
      <c r="E6" s="871" t="s">
        <v>1101</v>
      </c>
      <c r="F6" s="871" t="s">
        <v>1102</v>
      </c>
      <c r="G6" s="871" t="s">
        <v>1103</v>
      </c>
      <c r="H6" s="871" t="s">
        <v>1104</v>
      </c>
      <c r="I6" s="871" t="s">
        <v>1105</v>
      </c>
      <c r="J6" s="871" t="s">
        <v>1106</v>
      </c>
      <c r="K6" s="871" t="s">
        <v>1107</v>
      </c>
      <c r="L6" s="871" t="s">
        <v>1108</v>
      </c>
      <c r="M6" s="871" t="s">
        <v>1109</v>
      </c>
      <c r="N6" s="871" t="s">
        <v>1110</v>
      </c>
      <c r="O6" s="871" t="s">
        <v>1133</v>
      </c>
    </row>
    <row r="7" spans="1:15" ht="17.25" customHeight="1">
      <c r="A7" s="873" t="s">
        <v>413</v>
      </c>
      <c r="B7" s="877" t="s">
        <v>1703</v>
      </c>
      <c r="C7" s="873" t="s">
        <v>287</v>
      </c>
      <c r="D7" s="873" t="s">
        <v>1704</v>
      </c>
      <c r="E7" s="874">
        <v>38.1</v>
      </c>
      <c r="F7" s="874">
        <v>38.700000000000003</v>
      </c>
      <c r="G7" s="874">
        <v>44.5</v>
      </c>
      <c r="H7" s="874">
        <v>46.4</v>
      </c>
      <c r="I7" s="874">
        <v>47.6</v>
      </c>
      <c r="J7" s="875">
        <v>48.8</v>
      </c>
      <c r="K7" s="875">
        <v>49.9</v>
      </c>
      <c r="L7" s="875">
        <v>51.1</v>
      </c>
      <c r="M7" s="875">
        <v>52.2</v>
      </c>
      <c r="N7" s="875">
        <v>53.3</v>
      </c>
      <c r="O7" s="875">
        <v>54.3</v>
      </c>
    </row>
    <row r="8" spans="1:15">
      <c r="A8" s="873" t="s">
        <v>419</v>
      </c>
      <c r="B8" s="877" t="s">
        <v>1703</v>
      </c>
      <c r="C8" s="873" t="s">
        <v>287</v>
      </c>
      <c r="D8" s="873" t="s">
        <v>1704</v>
      </c>
      <c r="E8" s="874">
        <v>1.5</v>
      </c>
      <c r="F8" s="874">
        <v>1.6</v>
      </c>
      <c r="G8" s="874">
        <v>1.7</v>
      </c>
      <c r="H8" s="874">
        <v>1.8</v>
      </c>
      <c r="I8" s="874">
        <v>1.8</v>
      </c>
      <c r="J8" s="875">
        <v>1.9</v>
      </c>
      <c r="K8" s="875">
        <v>2</v>
      </c>
      <c r="L8" s="875">
        <v>2</v>
      </c>
      <c r="M8" s="875">
        <v>2.1</v>
      </c>
      <c r="N8" s="875">
        <v>2.2000000000000002</v>
      </c>
      <c r="O8" s="875">
        <v>2.2000000000000002</v>
      </c>
    </row>
    <row r="9" spans="1:15">
      <c r="A9" s="873" t="s">
        <v>260</v>
      </c>
      <c r="B9" s="877" t="s">
        <v>1703</v>
      </c>
      <c r="C9" s="873" t="s">
        <v>287</v>
      </c>
      <c r="D9" s="873" t="s">
        <v>1704</v>
      </c>
      <c r="E9" s="874">
        <v>10.9</v>
      </c>
      <c r="F9" s="874">
        <v>12.8</v>
      </c>
      <c r="G9" s="874">
        <v>14.6</v>
      </c>
      <c r="H9" s="874">
        <v>15.6</v>
      </c>
      <c r="I9" s="874">
        <v>16.600000000000001</v>
      </c>
      <c r="J9" s="875">
        <v>17.5</v>
      </c>
      <c r="K9" s="875">
        <v>18.3</v>
      </c>
      <c r="L9" s="875">
        <v>19.100000000000001</v>
      </c>
      <c r="M9" s="875">
        <v>19.899999999999999</v>
      </c>
      <c r="N9" s="875">
        <v>20.6</v>
      </c>
      <c r="O9" s="875">
        <v>21.2</v>
      </c>
    </row>
    <row r="10" spans="1:15">
      <c r="A10" s="873" t="s">
        <v>470</v>
      </c>
      <c r="B10" s="877" t="s">
        <v>1703</v>
      </c>
      <c r="C10" s="873" t="s">
        <v>287</v>
      </c>
      <c r="D10" s="873" t="s">
        <v>1704</v>
      </c>
      <c r="E10" s="874">
        <v>37.1</v>
      </c>
      <c r="F10" s="874">
        <v>41.8</v>
      </c>
      <c r="G10" s="874">
        <v>43.5</v>
      </c>
      <c r="H10" s="874">
        <v>45.8</v>
      </c>
      <c r="I10" s="874">
        <v>48</v>
      </c>
      <c r="J10" s="875">
        <v>50.1</v>
      </c>
      <c r="K10" s="875">
        <v>52.2</v>
      </c>
      <c r="L10" s="875">
        <v>54.1</v>
      </c>
      <c r="M10" s="875">
        <v>56</v>
      </c>
      <c r="N10" s="875">
        <v>57.8</v>
      </c>
      <c r="O10" s="875">
        <v>59.6</v>
      </c>
    </row>
    <row r="11" spans="1:15">
      <c r="A11" s="873" t="s">
        <v>1115</v>
      </c>
      <c r="B11" s="877" t="s">
        <v>1703</v>
      </c>
      <c r="C11" s="873" t="s">
        <v>287</v>
      </c>
      <c r="D11" s="873" t="s">
        <v>1704</v>
      </c>
      <c r="E11" s="874">
        <v>15.7</v>
      </c>
      <c r="F11" s="874">
        <v>15.9</v>
      </c>
      <c r="G11" s="874">
        <v>16.100000000000001</v>
      </c>
      <c r="H11" s="874">
        <v>16.2</v>
      </c>
      <c r="I11" s="874">
        <v>16.399999999999999</v>
      </c>
      <c r="J11" s="875">
        <v>16.600000000000001</v>
      </c>
      <c r="K11" s="875">
        <v>16.8</v>
      </c>
      <c r="L11" s="875">
        <v>17</v>
      </c>
      <c r="M11" s="875">
        <v>17.2</v>
      </c>
      <c r="N11" s="875">
        <v>17.399999999999999</v>
      </c>
      <c r="O11" s="875">
        <v>17.5</v>
      </c>
    </row>
    <row r="12" spans="1:15">
      <c r="A12" s="873" t="s">
        <v>564</v>
      </c>
      <c r="B12" s="877" t="s">
        <v>1703</v>
      </c>
      <c r="C12" s="873" t="s">
        <v>287</v>
      </c>
      <c r="D12" s="873" t="s">
        <v>1704</v>
      </c>
      <c r="E12" s="874">
        <v>7.5</v>
      </c>
      <c r="F12" s="874">
        <v>7.6</v>
      </c>
      <c r="G12" s="874">
        <v>7.6</v>
      </c>
      <c r="H12" s="874">
        <v>7.7</v>
      </c>
      <c r="I12" s="874">
        <v>7.7</v>
      </c>
      <c r="J12" s="875">
        <v>7.8</v>
      </c>
      <c r="K12" s="875">
        <v>7.9</v>
      </c>
      <c r="L12" s="875">
        <v>7.9</v>
      </c>
      <c r="M12" s="875">
        <v>8</v>
      </c>
      <c r="N12" s="875">
        <v>8.1999999999999993</v>
      </c>
      <c r="O12" s="875">
        <v>8.3000000000000007</v>
      </c>
    </row>
    <row r="13" spans="1:15">
      <c r="A13" s="873" t="s">
        <v>233</v>
      </c>
      <c r="B13" s="877" t="s">
        <v>1703</v>
      </c>
      <c r="C13" s="873" t="s">
        <v>287</v>
      </c>
      <c r="D13" s="873" t="s">
        <v>1704</v>
      </c>
      <c r="E13" s="874">
        <v>14.2</v>
      </c>
      <c r="F13" s="874">
        <v>14.6</v>
      </c>
      <c r="G13" s="874">
        <v>15.1</v>
      </c>
      <c r="H13" s="874">
        <v>15.5</v>
      </c>
      <c r="I13" s="874">
        <v>16</v>
      </c>
      <c r="J13" s="875">
        <v>16.5</v>
      </c>
      <c r="K13" s="875">
        <v>17</v>
      </c>
      <c r="L13" s="875">
        <v>17.5</v>
      </c>
      <c r="M13" s="875">
        <v>18</v>
      </c>
      <c r="N13" s="875">
        <v>18.5</v>
      </c>
      <c r="O13" s="875">
        <v>19</v>
      </c>
    </row>
    <row r="14" spans="1:15">
      <c r="A14" s="873" t="s">
        <v>581</v>
      </c>
      <c r="B14" s="877" t="s">
        <v>1703</v>
      </c>
      <c r="C14" s="873" t="s">
        <v>287</v>
      </c>
      <c r="D14" s="873" t="s">
        <v>1704</v>
      </c>
      <c r="E14" s="874">
        <v>74.8</v>
      </c>
      <c r="F14" s="874">
        <v>75.2</v>
      </c>
      <c r="G14" s="874">
        <v>75.5</v>
      </c>
      <c r="H14" s="874">
        <v>75.900000000000006</v>
      </c>
      <c r="I14" s="874">
        <v>76.2</v>
      </c>
      <c r="J14" s="875">
        <v>76.599999999999994</v>
      </c>
      <c r="K14" s="875">
        <v>76.900000000000006</v>
      </c>
      <c r="L14" s="875">
        <v>77.3</v>
      </c>
      <c r="M14" s="875">
        <v>77.599999999999994</v>
      </c>
      <c r="N14" s="875">
        <v>78</v>
      </c>
      <c r="O14" s="875">
        <v>78.3</v>
      </c>
    </row>
    <row r="15" spans="1:15">
      <c r="A15" s="873" t="s">
        <v>585</v>
      </c>
      <c r="B15" s="877" t="s">
        <v>1703</v>
      </c>
      <c r="C15" s="873" t="s">
        <v>287</v>
      </c>
      <c r="D15" s="873" t="s">
        <v>1704</v>
      </c>
      <c r="E15" s="874">
        <v>31.1</v>
      </c>
      <c r="F15" s="874">
        <v>32.5</v>
      </c>
      <c r="G15" s="874">
        <v>33.700000000000003</v>
      </c>
      <c r="H15" s="874">
        <v>34.9</v>
      </c>
      <c r="I15" s="874">
        <v>36</v>
      </c>
      <c r="J15" s="875">
        <v>37.1</v>
      </c>
      <c r="K15" s="875">
        <v>38.1</v>
      </c>
      <c r="L15" s="875">
        <v>39.1</v>
      </c>
      <c r="M15" s="875">
        <v>40</v>
      </c>
      <c r="N15" s="875">
        <v>40.9</v>
      </c>
      <c r="O15" s="875">
        <v>41.8</v>
      </c>
    </row>
    <row r="16" spans="1:15">
      <c r="A16" s="873" t="s">
        <v>261</v>
      </c>
      <c r="B16" s="877" t="s">
        <v>1703</v>
      </c>
      <c r="C16" s="873" t="s">
        <v>287</v>
      </c>
      <c r="D16" s="873" t="s">
        <v>1704</v>
      </c>
      <c r="E16" s="874">
        <v>20.8</v>
      </c>
      <c r="F16" s="874">
        <v>21.2</v>
      </c>
      <c r="G16" s="874">
        <v>21.5</v>
      </c>
      <c r="H16" s="874">
        <v>21.4</v>
      </c>
      <c r="I16" s="874">
        <v>21.3</v>
      </c>
      <c r="J16" s="875">
        <v>21.1</v>
      </c>
      <c r="K16" s="875">
        <v>20.9</v>
      </c>
      <c r="L16" s="875">
        <v>20.7</v>
      </c>
      <c r="M16" s="875">
        <v>20.6</v>
      </c>
      <c r="N16" s="875">
        <v>20.399999999999999</v>
      </c>
      <c r="O16" s="875">
        <v>20.3</v>
      </c>
    </row>
    <row r="17" spans="1:15">
      <c r="A17" s="873" t="s">
        <v>257</v>
      </c>
      <c r="B17" s="877" t="s">
        <v>1703</v>
      </c>
      <c r="C17" s="873" t="s">
        <v>287</v>
      </c>
      <c r="D17" s="873" t="s">
        <v>1704</v>
      </c>
      <c r="E17" s="874">
        <v>87.8</v>
      </c>
      <c r="F17" s="874">
        <v>88.9</v>
      </c>
      <c r="G17" s="874">
        <v>89.9</v>
      </c>
      <c r="H17" s="874">
        <v>90.4</v>
      </c>
      <c r="I17" s="874">
        <v>90.8</v>
      </c>
      <c r="J17" s="875">
        <v>91.3</v>
      </c>
      <c r="K17" s="875">
        <v>91.7</v>
      </c>
      <c r="L17" s="875">
        <v>92.1</v>
      </c>
      <c r="M17" s="875">
        <v>92.5</v>
      </c>
      <c r="N17" s="875">
        <v>92.9</v>
      </c>
      <c r="O17" s="875">
        <v>93.3</v>
      </c>
    </row>
    <row r="18" spans="1:15">
      <c r="A18" s="873" t="s">
        <v>654</v>
      </c>
      <c r="B18" s="877" t="s">
        <v>1703</v>
      </c>
      <c r="C18" s="873" t="s">
        <v>287</v>
      </c>
      <c r="D18" s="873" t="s">
        <v>1704</v>
      </c>
      <c r="E18" s="874">
        <v>5.4</v>
      </c>
      <c r="F18" s="874">
        <v>5.6</v>
      </c>
      <c r="G18" s="874">
        <v>5.7</v>
      </c>
      <c r="H18" s="874">
        <v>5.9</v>
      </c>
      <c r="I18" s="874">
        <v>6</v>
      </c>
      <c r="J18" s="875">
        <v>6.2</v>
      </c>
      <c r="K18" s="875">
        <v>6.3</v>
      </c>
      <c r="L18" s="875">
        <v>6.5</v>
      </c>
      <c r="M18" s="875">
        <v>6.6</v>
      </c>
      <c r="N18" s="875">
        <v>6.8</v>
      </c>
      <c r="O18" s="875">
        <v>6.9</v>
      </c>
    </row>
    <row r="19" spans="1:15">
      <c r="A19" s="873" t="s">
        <v>682</v>
      </c>
      <c r="B19" s="877" t="s">
        <v>1703</v>
      </c>
      <c r="C19" s="873" t="s">
        <v>287</v>
      </c>
      <c r="D19" s="873" t="s">
        <v>1704</v>
      </c>
      <c r="E19" s="874">
        <v>7.5</v>
      </c>
      <c r="F19" s="874">
        <v>7.5</v>
      </c>
      <c r="G19" s="874">
        <v>7.6</v>
      </c>
      <c r="H19" s="874">
        <v>7.6</v>
      </c>
      <c r="I19" s="874">
        <v>7.7</v>
      </c>
      <c r="J19" s="875">
        <v>7.8</v>
      </c>
      <c r="K19" s="875">
        <v>7.8</v>
      </c>
      <c r="L19" s="875">
        <v>7.9</v>
      </c>
      <c r="M19" s="875">
        <v>8</v>
      </c>
      <c r="N19" s="875">
        <v>8.1</v>
      </c>
      <c r="O19" s="875">
        <v>8.3000000000000007</v>
      </c>
    </row>
    <row r="20" spans="1:15">
      <c r="A20" s="873" t="s">
        <v>244</v>
      </c>
      <c r="B20" s="877" t="s">
        <v>1703</v>
      </c>
      <c r="C20" s="873" t="s">
        <v>287</v>
      </c>
      <c r="D20" s="873" t="s">
        <v>1704</v>
      </c>
      <c r="E20" s="874">
        <v>9.3000000000000007</v>
      </c>
      <c r="F20" s="874">
        <v>10.3</v>
      </c>
      <c r="G20" s="874">
        <v>11.8</v>
      </c>
      <c r="H20" s="874">
        <v>12.5</v>
      </c>
      <c r="I20" s="874">
        <v>13.3</v>
      </c>
      <c r="J20" s="875">
        <v>14</v>
      </c>
      <c r="K20" s="875">
        <v>14.7</v>
      </c>
      <c r="L20" s="875">
        <v>15.3</v>
      </c>
      <c r="M20" s="875">
        <v>15.9</v>
      </c>
      <c r="N20" s="875">
        <v>16.399999999999999</v>
      </c>
      <c r="O20" s="875">
        <v>16.899999999999999</v>
      </c>
    </row>
    <row r="21" spans="1:15">
      <c r="A21" s="873" t="s">
        <v>231</v>
      </c>
      <c r="B21" s="877" t="s">
        <v>1703</v>
      </c>
      <c r="C21" s="873" t="s">
        <v>287</v>
      </c>
      <c r="D21" s="873" t="s">
        <v>1704</v>
      </c>
      <c r="E21" s="874">
        <v>33.200000000000003</v>
      </c>
      <c r="F21" s="874">
        <v>32.5</v>
      </c>
      <c r="G21" s="874">
        <v>32.299999999999997</v>
      </c>
      <c r="H21" s="874">
        <v>32.200000000000003</v>
      </c>
      <c r="I21" s="874">
        <v>32</v>
      </c>
      <c r="J21" s="875">
        <v>31.9</v>
      </c>
      <c r="K21" s="875">
        <v>31.8</v>
      </c>
      <c r="L21" s="875">
        <v>31.7</v>
      </c>
      <c r="M21" s="875">
        <v>31.6</v>
      </c>
      <c r="N21" s="875">
        <v>31.6</v>
      </c>
      <c r="O21" s="875">
        <v>31.5</v>
      </c>
    </row>
    <row r="22" spans="1:15">
      <c r="A22" s="873" t="s">
        <v>1116</v>
      </c>
      <c r="B22" s="877" t="s">
        <v>1703</v>
      </c>
      <c r="C22" s="873" t="s">
        <v>287</v>
      </c>
      <c r="D22" s="873" t="s">
        <v>1704</v>
      </c>
      <c r="E22" s="874">
        <v>65.7</v>
      </c>
      <c r="F22" s="874">
        <v>65.900000000000006</v>
      </c>
      <c r="G22" s="874">
        <v>66.3</v>
      </c>
      <c r="H22" s="874">
        <v>66.7</v>
      </c>
      <c r="I22" s="874">
        <v>67.2</v>
      </c>
      <c r="J22" s="875">
        <v>67.599999999999994</v>
      </c>
      <c r="K22" s="875">
        <v>68.099999999999994</v>
      </c>
      <c r="L22" s="875">
        <v>68.599999999999994</v>
      </c>
      <c r="M22" s="875">
        <v>69</v>
      </c>
      <c r="N22" s="875">
        <v>69.5</v>
      </c>
      <c r="O22" s="875">
        <v>69.900000000000006</v>
      </c>
    </row>
    <row r="23" spans="1:15">
      <c r="A23" s="873" t="s">
        <v>742</v>
      </c>
      <c r="B23" s="877" t="s">
        <v>1703</v>
      </c>
      <c r="C23" s="873" t="s">
        <v>287</v>
      </c>
      <c r="D23" s="873" t="s">
        <v>1704</v>
      </c>
      <c r="E23" s="874">
        <v>11.2</v>
      </c>
      <c r="F23" s="874">
        <v>11.6</v>
      </c>
      <c r="G23" s="874">
        <v>12</v>
      </c>
      <c r="H23" s="874">
        <v>12.4</v>
      </c>
      <c r="I23" s="874">
        <v>12.9</v>
      </c>
      <c r="J23" s="875">
        <v>13.3</v>
      </c>
      <c r="K23" s="875">
        <v>13.8</v>
      </c>
      <c r="L23" s="875">
        <v>14.2</v>
      </c>
      <c r="M23" s="875">
        <v>14.7</v>
      </c>
      <c r="N23" s="875">
        <v>15.1</v>
      </c>
      <c r="O23" s="875">
        <v>15.6</v>
      </c>
    </row>
    <row r="24" spans="1:15">
      <c r="A24" s="873" t="s">
        <v>1093</v>
      </c>
      <c r="B24" s="877" t="s">
        <v>1703</v>
      </c>
      <c r="C24" s="873" t="s">
        <v>287</v>
      </c>
      <c r="D24" s="873" t="s">
        <v>1704</v>
      </c>
      <c r="E24" s="874">
        <v>60.3</v>
      </c>
      <c r="F24" s="874">
        <v>60.3</v>
      </c>
      <c r="G24" s="874">
        <v>61.3</v>
      </c>
      <c r="H24" s="874">
        <v>61.8</v>
      </c>
      <c r="I24" s="874">
        <v>62.3</v>
      </c>
      <c r="J24" s="875">
        <v>62.9</v>
      </c>
      <c r="K24" s="875">
        <v>63.4</v>
      </c>
      <c r="L24" s="875">
        <v>63.9</v>
      </c>
      <c r="M24" s="875">
        <v>64.400000000000006</v>
      </c>
      <c r="N24" s="875">
        <v>64.900000000000006</v>
      </c>
      <c r="O24" s="875">
        <v>65.3</v>
      </c>
    </row>
    <row r="25" spans="1:15">
      <c r="A25" s="873" t="s">
        <v>239</v>
      </c>
      <c r="B25" s="877" t="s">
        <v>1703</v>
      </c>
      <c r="C25" s="873" t="s">
        <v>287</v>
      </c>
      <c r="D25" s="873" t="s">
        <v>1704</v>
      </c>
      <c r="E25" s="874">
        <v>48.8</v>
      </c>
      <c r="F25" s="874">
        <v>49.1</v>
      </c>
      <c r="G25" s="874">
        <v>49.5</v>
      </c>
      <c r="H25" s="874">
        <v>50.1</v>
      </c>
      <c r="I25" s="874">
        <v>50.6</v>
      </c>
      <c r="J25" s="875">
        <v>51.2</v>
      </c>
      <c r="K25" s="875">
        <v>51.8</v>
      </c>
      <c r="L25" s="875">
        <v>52.4</v>
      </c>
      <c r="M25" s="875">
        <v>53</v>
      </c>
      <c r="N25" s="875">
        <v>53.6</v>
      </c>
      <c r="O25" s="875">
        <v>54.3</v>
      </c>
    </row>
    <row r="26" spans="1:15">
      <c r="A26" s="873" t="s">
        <v>779</v>
      </c>
      <c r="B26" s="877" t="s">
        <v>1703</v>
      </c>
      <c r="C26" s="873" t="s">
        <v>287</v>
      </c>
      <c r="D26" s="873" t="s">
        <v>1704</v>
      </c>
      <c r="E26" s="874">
        <v>60</v>
      </c>
      <c r="F26" s="874">
        <v>61.5</v>
      </c>
      <c r="G26" s="874">
        <v>62.6</v>
      </c>
      <c r="H26" s="874">
        <v>63.7</v>
      </c>
      <c r="I26" s="874">
        <v>64.7</v>
      </c>
      <c r="J26" s="875">
        <v>65.599999999999994</v>
      </c>
      <c r="K26" s="875">
        <v>66.599999999999994</v>
      </c>
      <c r="L26" s="875">
        <v>67.5</v>
      </c>
      <c r="M26" s="875">
        <v>68.400000000000006</v>
      </c>
      <c r="N26" s="875">
        <v>69.2</v>
      </c>
      <c r="O26" s="875">
        <v>70</v>
      </c>
    </row>
    <row r="27" spans="1:15">
      <c r="A27" s="873" t="s">
        <v>796</v>
      </c>
      <c r="B27" s="877" t="s">
        <v>1703</v>
      </c>
      <c r="C27" s="873" t="s">
        <v>287</v>
      </c>
      <c r="D27" s="873" t="s">
        <v>1704</v>
      </c>
      <c r="E27" s="874">
        <v>48.5</v>
      </c>
      <c r="F27" s="874">
        <v>53</v>
      </c>
      <c r="G27" s="874">
        <v>55</v>
      </c>
      <c r="H27" s="874">
        <v>57</v>
      </c>
      <c r="I27" s="874">
        <v>58.5</v>
      </c>
      <c r="J27" s="875">
        <v>60.1</v>
      </c>
      <c r="K27" s="875">
        <v>61.5</v>
      </c>
      <c r="L27" s="875">
        <v>62.9</v>
      </c>
      <c r="M27" s="875">
        <v>64.3</v>
      </c>
      <c r="N27" s="875">
        <v>65.599999999999994</v>
      </c>
      <c r="O27" s="875">
        <v>66.8</v>
      </c>
    </row>
    <row r="28" spans="1:15">
      <c r="A28" s="873" t="s">
        <v>258</v>
      </c>
      <c r="B28" s="877" t="s">
        <v>1703</v>
      </c>
      <c r="C28" s="873" t="s">
        <v>287</v>
      </c>
      <c r="D28" s="873" t="s">
        <v>1704</v>
      </c>
      <c r="E28" s="874">
        <v>6.6</v>
      </c>
      <c r="F28" s="874">
        <v>7.5</v>
      </c>
      <c r="G28" s="874">
        <v>8.1999999999999993</v>
      </c>
      <c r="H28" s="874">
        <v>8.8000000000000007</v>
      </c>
      <c r="I28" s="874">
        <v>9.4</v>
      </c>
      <c r="J28" s="875">
        <v>9.9</v>
      </c>
      <c r="K28" s="875">
        <v>10.5</v>
      </c>
      <c r="L28" s="875">
        <v>11</v>
      </c>
      <c r="M28" s="875">
        <v>11.5</v>
      </c>
      <c r="N28" s="875">
        <v>11.9</v>
      </c>
      <c r="O28" s="875">
        <v>12.4</v>
      </c>
    </row>
    <row r="29" spans="1:15">
      <c r="A29" s="873" t="s">
        <v>409</v>
      </c>
      <c r="B29" s="877" t="s">
        <v>1703</v>
      </c>
      <c r="C29" s="873" t="s">
        <v>287</v>
      </c>
      <c r="D29" s="873" t="s">
        <v>1704</v>
      </c>
      <c r="E29" s="874">
        <v>94.3</v>
      </c>
      <c r="F29" s="874">
        <v>94.4</v>
      </c>
      <c r="G29" s="874">
        <v>94.4</v>
      </c>
      <c r="H29" s="874">
        <v>94.6</v>
      </c>
      <c r="I29" s="874">
        <v>94.7</v>
      </c>
      <c r="J29" s="875">
        <v>94.8</v>
      </c>
      <c r="K29" s="875">
        <v>94.9</v>
      </c>
      <c r="L29" s="875">
        <v>95</v>
      </c>
      <c r="M29" s="875">
        <v>95.1</v>
      </c>
      <c r="N29" s="875">
        <v>95.2</v>
      </c>
      <c r="O29" s="875">
        <v>95.3</v>
      </c>
    </row>
    <row r="30" spans="1:15">
      <c r="A30" s="873" t="s">
        <v>666</v>
      </c>
      <c r="B30" s="877" t="s">
        <v>1703</v>
      </c>
      <c r="C30" s="873" t="s">
        <v>287</v>
      </c>
      <c r="D30" s="873" t="s">
        <v>1704</v>
      </c>
      <c r="E30" s="874">
        <v>87</v>
      </c>
      <c r="F30" s="874">
        <v>87.8</v>
      </c>
      <c r="G30" s="874">
        <v>88.5</v>
      </c>
      <c r="H30" s="874">
        <v>89.2</v>
      </c>
      <c r="I30" s="874">
        <v>89.8</v>
      </c>
      <c r="J30" s="875">
        <v>90.5</v>
      </c>
      <c r="K30" s="875">
        <v>91.1</v>
      </c>
      <c r="L30" s="875">
        <v>91.8</v>
      </c>
      <c r="M30" s="875">
        <v>92.4</v>
      </c>
      <c r="N30" s="875">
        <v>93</v>
      </c>
      <c r="O30" s="875">
        <v>93.6</v>
      </c>
    </row>
    <row r="31" spans="1:15">
      <c r="A31" s="873" t="s">
        <v>423</v>
      </c>
      <c r="B31" s="877" t="s">
        <v>1703</v>
      </c>
      <c r="C31" s="873" t="s">
        <v>287</v>
      </c>
      <c r="D31" s="873" t="s">
        <v>1704</v>
      </c>
      <c r="E31" s="874">
        <v>66.400000000000006</v>
      </c>
      <c r="F31" s="874">
        <v>66.900000000000006</v>
      </c>
      <c r="G31" s="874">
        <v>67.5</v>
      </c>
      <c r="H31" s="874">
        <v>68</v>
      </c>
      <c r="I31" s="874">
        <v>68.599999999999994</v>
      </c>
      <c r="J31" s="875">
        <v>69.2</v>
      </c>
      <c r="K31" s="875">
        <v>69.8</v>
      </c>
      <c r="L31" s="875">
        <v>70.3</v>
      </c>
      <c r="M31" s="875">
        <v>70.900000000000006</v>
      </c>
      <c r="N31" s="875">
        <v>71.5</v>
      </c>
      <c r="O31" s="875">
        <v>72</v>
      </c>
    </row>
    <row r="32" spans="1:15">
      <c r="A32" s="873" t="s">
        <v>437</v>
      </c>
      <c r="B32" s="877" t="s">
        <v>1703</v>
      </c>
      <c r="C32" s="873" t="s">
        <v>287</v>
      </c>
      <c r="D32" s="873" t="s">
        <v>1704</v>
      </c>
      <c r="E32" s="874">
        <v>49.3</v>
      </c>
      <c r="F32" s="874">
        <v>49.2</v>
      </c>
      <c r="G32" s="874">
        <v>49.4</v>
      </c>
      <c r="H32" s="874">
        <v>49.7</v>
      </c>
      <c r="I32" s="874">
        <v>50</v>
      </c>
      <c r="J32" s="875">
        <v>50.3</v>
      </c>
      <c r="K32" s="875">
        <v>50.6</v>
      </c>
      <c r="L32" s="875">
        <v>50.9</v>
      </c>
      <c r="M32" s="875">
        <v>51.3</v>
      </c>
      <c r="N32" s="875">
        <v>51.6</v>
      </c>
      <c r="O32" s="875">
        <v>51.9</v>
      </c>
    </row>
    <row r="33" spans="1:15">
      <c r="A33" s="873" t="s">
        <v>447</v>
      </c>
      <c r="B33" s="877" t="s">
        <v>1703</v>
      </c>
      <c r="C33" s="873" t="s">
        <v>287</v>
      </c>
      <c r="D33" s="873" t="s">
        <v>1704</v>
      </c>
      <c r="E33" s="874">
        <v>52</v>
      </c>
      <c r="F33" s="874">
        <v>56.2</v>
      </c>
      <c r="G33" s="874">
        <v>53.8</v>
      </c>
      <c r="H33" s="874">
        <v>53.8</v>
      </c>
      <c r="I33" s="874">
        <v>53.7</v>
      </c>
      <c r="J33" s="875">
        <v>53.6</v>
      </c>
      <c r="K33" s="875">
        <v>53.6</v>
      </c>
      <c r="L33" s="875">
        <v>53.5</v>
      </c>
      <c r="M33" s="875">
        <v>53.6</v>
      </c>
      <c r="N33" s="875">
        <v>53.6</v>
      </c>
      <c r="O33" s="875">
        <v>53.7</v>
      </c>
    </row>
    <row r="34" spans="1:15">
      <c r="A34" s="873" t="s">
        <v>483</v>
      </c>
      <c r="B34" s="877" t="s">
        <v>1703</v>
      </c>
      <c r="C34" s="873" t="s">
        <v>287</v>
      </c>
      <c r="D34" s="873" t="s">
        <v>1704</v>
      </c>
      <c r="E34" s="874">
        <v>72.400000000000006</v>
      </c>
      <c r="F34" s="874">
        <v>73.400000000000006</v>
      </c>
      <c r="G34" s="874">
        <v>74.2</v>
      </c>
      <c r="H34" s="874">
        <v>75.099999999999994</v>
      </c>
      <c r="I34" s="874">
        <v>75.900000000000006</v>
      </c>
      <c r="J34" s="875">
        <v>76.7</v>
      </c>
      <c r="K34" s="875">
        <v>77.5</v>
      </c>
      <c r="L34" s="875">
        <v>78.3</v>
      </c>
      <c r="M34" s="875">
        <v>79</v>
      </c>
      <c r="N34" s="875">
        <v>79.7</v>
      </c>
      <c r="O34" s="875">
        <v>80.400000000000006</v>
      </c>
    </row>
    <row r="35" spans="1:15">
      <c r="A35" s="873" t="s">
        <v>1117</v>
      </c>
      <c r="B35" s="877" t="s">
        <v>1703</v>
      </c>
      <c r="C35" s="873" t="s">
        <v>287</v>
      </c>
      <c r="D35" s="873" t="s">
        <v>1704</v>
      </c>
      <c r="E35" s="874">
        <v>71</v>
      </c>
      <c r="F35" s="874">
        <v>72.7</v>
      </c>
      <c r="G35" s="874">
        <v>72.5</v>
      </c>
      <c r="H35" s="874">
        <v>73.2</v>
      </c>
      <c r="I35" s="874">
        <v>73.400000000000006</v>
      </c>
      <c r="J35" s="875">
        <v>73.599999999999994</v>
      </c>
      <c r="K35" s="875">
        <v>73.900000000000006</v>
      </c>
      <c r="L35" s="875">
        <v>74.099999999999994</v>
      </c>
      <c r="M35" s="875">
        <v>74.3</v>
      </c>
      <c r="N35" s="875">
        <v>74.400000000000006</v>
      </c>
      <c r="O35" s="875">
        <v>74.599999999999994</v>
      </c>
    </row>
    <row r="36" spans="1:15">
      <c r="A36" s="873" t="s">
        <v>511</v>
      </c>
      <c r="B36" s="877" t="s">
        <v>1703</v>
      </c>
      <c r="C36" s="873" t="s">
        <v>287</v>
      </c>
      <c r="D36" s="873" t="s">
        <v>1704</v>
      </c>
      <c r="E36" s="874">
        <v>71</v>
      </c>
      <c r="F36" s="874">
        <v>72.7</v>
      </c>
      <c r="G36" s="874">
        <v>74.099999999999994</v>
      </c>
      <c r="H36" s="874">
        <v>75.5</v>
      </c>
      <c r="I36" s="874">
        <v>76.900000000000006</v>
      </c>
      <c r="J36" s="875">
        <v>78.3</v>
      </c>
      <c r="K36" s="875">
        <v>79.599999999999994</v>
      </c>
      <c r="L36" s="875">
        <v>80.900000000000006</v>
      </c>
      <c r="M36" s="875">
        <v>82.2</v>
      </c>
      <c r="N36" s="875">
        <v>83.5</v>
      </c>
      <c r="O36" s="875">
        <v>84.7</v>
      </c>
    </row>
    <row r="37" spans="1:15">
      <c r="A37" s="873" t="s">
        <v>531</v>
      </c>
      <c r="B37" s="877" t="s">
        <v>1703</v>
      </c>
      <c r="C37" s="873" t="s">
        <v>287</v>
      </c>
      <c r="D37" s="873" t="s">
        <v>1704</v>
      </c>
      <c r="E37" s="874">
        <v>31.8</v>
      </c>
      <c r="F37" s="874">
        <v>32</v>
      </c>
      <c r="G37" s="874">
        <v>32.5</v>
      </c>
      <c r="H37" s="874">
        <v>33</v>
      </c>
      <c r="I37" s="874">
        <v>33.5</v>
      </c>
      <c r="J37" s="875">
        <v>34</v>
      </c>
      <c r="K37" s="875">
        <v>34.6</v>
      </c>
      <c r="L37" s="875">
        <v>35.1</v>
      </c>
      <c r="M37" s="875">
        <v>35.6</v>
      </c>
      <c r="N37" s="875">
        <v>36.200000000000003</v>
      </c>
      <c r="O37" s="875">
        <v>36.700000000000003</v>
      </c>
    </row>
    <row r="38" spans="1:15">
      <c r="A38" s="873" t="s">
        <v>560</v>
      </c>
      <c r="B38" s="877" t="s">
        <v>1703</v>
      </c>
      <c r="C38" s="873" t="s">
        <v>287</v>
      </c>
      <c r="D38" s="873" t="s">
        <v>1704</v>
      </c>
      <c r="E38" s="874">
        <v>74.599999999999994</v>
      </c>
      <c r="F38" s="874">
        <v>76.8</v>
      </c>
      <c r="G38" s="874">
        <v>78.900000000000006</v>
      </c>
      <c r="H38" s="874">
        <v>81</v>
      </c>
      <c r="I38" s="874">
        <v>83.1</v>
      </c>
      <c r="J38" s="875">
        <v>85.1</v>
      </c>
      <c r="K38" s="875">
        <v>87</v>
      </c>
      <c r="L38" s="875">
        <v>88.7</v>
      </c>
      <c r="M38" s="875">
        <v>90.3</v>
      </c>
      <c r="N38" s="875">
        <v>91.7</v>
      </c>
      <c r="O38" s="875">
        <v>93</v>
      </c>
    </row>
    <row r="39" spans="1:15">
      <c r="A39" s="873" t="s">
        <v>603</v>
      </c>
      <c r="B39" s="877" t="s">
        <v>1703</v>
      </c>
      <c r="C39" s="873" t="s">
        <v>287</v>
      </c>
      <c r="D39" s="873" t="s">
        <v>1704</v>
      </c>
      <c r="E39" s="874">
        <v>57.9</v>
      </c>
      <c r="F39" s="874">
        <v>60.1</v>
      </c>
      <c r="G39" s="874">
        <v>59.7</v>
      </c>
      <c r="H39" s="874">
        <v>60.5</v>
      </c>
      <c r="I39" s="874">
        <v>61.1</v>
      </c>
      <c r="J39" s="875">
        <v>61.8</v>
      </c>
      <c r="K39" s="875">
        <v>62.5</v>
      </c>
      <c r="L39" s="875">
        <v>63.2</v>
      </c>
      <c r="M39" s="875">
        <v>63.9</v>
      </c>
      <c r="N39" s="875">
        <v>64.599999999999994</v>
      </c>
      <c r="O39" s="875">
        <v>65.3</v>
      </c>
    </row>
    <row r="40" spans="1:15">
      <c r="A40" s="873" t="s">
        <v>615</v>
      </c>
      <c r="B40" s="877" t="s">
        <v>1703</v>
      </c>
      <c r="C40" s="873" t="s">
        <v>287</v>
      </c>
      <c r="D40" s="873" t="s">
        <v>1704</v>
      </c>
      <c r="E40" s="874">
        <v>74.2</v>
      </c>
      <c r="F40" s="874">
        <v>74.8</v>
      </c>
      <c r="G40" s="874">
        <v>75.3</v>
      </c>
      <c r="H40" s="874">
        <v>75.8</v>
      </c>
      <c r="I40" s="874">
        <v>76.400000000000006</v>
      </c>
      <c r="J40" s="875">
        <v>76.900000000000006</v>
      </c>
      <c r="K40" s="875">
        <v>77.400000000000006</v>
      </c>
      <c r="L40" s="875">
        <v>77.900000000000006</v>
      </c>
      <c r="M40" s="875">
        <v>78.400000000000006</v>
      </c>
      <c r="N40" s="875">
        <v>78.900000000000006</v>
      </c>
      <c r="O40" s="875">
        <v>79.3</v>
      </c>
    </row>
    <row r="41" spans="1:15">
      <c r="A41" s="873" t="s">
        <v>674</v>
      </c>
      <c r="B41" s="877" t="s">
        <v>1703</v>
      </c>
      <c r="C41" s="873" t="s">
        <v>287</v>
      </c>
      <c r="D41" s="873" t="s">
        <v>1704</v>
      </c>
      <c r="E41" s="874">
        <v>64.2</v>
      </c>
      <c r="F41" s="874">
        <v>66.8</v>
      </c>
      <c r="G41" s="874">
        <v>56.5</v>
      </c>
      <c r="H41" s="874">
        <v>62.5</v>
      </c>
      <c r="I41" s="874">
        <v>62.7</v>
      </c>
      <c r="J41" s="875">
        <v>62.8</v>
      </c>
      <c r="K41" s="875">
        <v>63</v>
      </c>
      <c r="L41" s="875">
        <v>63.2</v>
      </c>
      <c r="M41" s="875">
        <v>63.3</v>
      </c>
      <c r="N41" s="875">
        <v>63.5</v>
      </c>
      <c r="O41" s="875">
        <v>63.7</v>
      </c>
    </row>
    <row r="42" spans="1:15">
      <c r="A42" s="873" t="s">
        <v>695</v>
      </c>
      <c r="B42" s="877" t="s">
        <v>1703</v>
      </c>
      <c r="C42" s="873" t="s">
        <v>287</v>
      </c>
      <c r="D42" s="873" t="s">
        <v>1704</v>
      </c>
      <c r="E42" s="874">
        <v>71.400000000000006</v>
      </c>
      <c r="F42" s="874">
        <v>72.3</v>
      </c>
      <c r="G42" s="874">
        <v>72.8</v>
      </c>
      <c r="H42" s="874">
        <v>73</v>
      </c>
      <c r="I42" s="874">
        <v>73.7</v>
      </c>
      <c r="J42" s="875">
        <v>74.3</v>
      </c>
      <c r="K42" s="875">
        <v>74.900000000000006</v>
      </c>
      <c r="L42" s="875">
        <v>75.5</v>
      </c>
      <c r="M42" s="875">
        <v>76.2</v>
      </c>
      <c r="N42" s="875">
        <v>76.8</v>
      </c>
      <c r="O42" s="875">
        <v>77.400000000000006</v>
      </c>
    </row>
    <row r="43" spans="1:15">
      <c r="A43" s="873" t="s">
        <v>703</v>
      </c>
      <c r="B43" s="877" t="s">
        <v>1703</v>
      </c>
      <c r="C43" s="873" t="s">
        <v>287</v>
      </c>
      <c r="D43" s="873" t="s">
        <v>1704</v>
      </c>
      <c r="E43" s="874">
        <v>42.4</v>
      </c>
      <c r="F43" s="874">
        <v>44.9</v>
      </c>
      <c r="G43" s="874">
        <v>46.5</v>
      </c>
      <c r="H43" s="874">
        <v>48.2</v>
      </c>
      <c r="I43" s="874">
        <v>49.9</v>
      </c>
      <c r="J43" s="875">
        <v>51.6</v>
      </c>
      <c r="K43" s="875">
        <v>53.3</v>
      </c>
      <c r="L43" s="875">
        <v>54.9</v>
      </c>
      <c r="M43" s="875">
        <v>56.5</v>
      </c>
      <c r="N43" s="875">
        <v>58.1</v>
      </c>
      <c r="O43" s="875">
        <v>59.6</v>
      </c>
    </row>
    <row r="44" spans="1:15">
      <c r="A44" s="873" t="s">
        <v>1118</v>
      </c>
      <c r="B44" s="877" t="s">
        <v>1703</v>
      </c>
      <c r="C44" s="873" t="s">
        <v>287</v>
      </c>
      <c r="D44" s="873" t="s">
        <v>1704</v>
      </c>
      <c r="E44" s="874">
        <v>48.4</v>
      </c>
      <c r="F44" s="874">
        <v>49</v>
      </c>
      <c r="G44" s="874">
        <v>49.6</v>
      </c>
      <c r="H44" s="874">
        <v>50.3</v>
      </c>
      <c r="I44" s="874">
        <v>51</v>
      </c>
      <c r="J44" s="875">
        <v>51.8</v>
      </c>
      <c r="K44" s="875">
        <v>52.5</v>
      </c>
      <c r="L44" s="875">
        <v>53.2</v>
      </c>
      <c r="M44" s="875">
        <v>53.9</v>
      </c>
      <c r="N44" s="875">
        <v>54.6</v>
      </c>
      <c r="O44" s="875">
        <v>55.3</v>
      </c>
    </row>
    <row r="45" spans="1:15">
      <c r="A45" s="873" t="s">
        <v>719</v>
      </c>
      <c r="B45" s="877" t="s">
        <v>1703</v>
      </c>
      <c r="C45" s="873" t="s">
        <v>287</v>
      </c>
      <c r="D45" s="873" t="s">
        <v>1704</v>
      </c>
      <c r="E45" s="874">
        <v>52</v>
      </c>
      <c r="F45" s="874">
        <v>51.9</v>
      </c>
      <c r="G45" s="874">
        <v>52.1</v>
      </c>
      <c r="H45" s="874">
        <v>52.2</v>
      </c>
      <c r="I45" s="874">
        <v>52.4</v>
      </c>
      <c r="J45" s="875">
        <v>52.5</v>
      </c>
      <c r="K45" s="875">
        <v>52.7</v>
      </c>
      <c r="L45" s="875">
        <v>52.9</v>
      </c>
      <c r="M45" s="875">
        <v>53.1</v>
      </c>
      <c r="N45" s="875">
        <v>53.3</v>
      </c>
      <c r="O45" s="875">
        <v>53.6</v>
      </c>
    </row>
    <row r="46" spans="1:15">
      <c r="A46" s="873" t="s">
        <v>1119</v>
      </c>
      <c r="B46" s="877" t="s">
        <v>1703</v>
      </c>
      <c r="C46" s="873" t="s">
        <v>287</v>
      </c>
      <c r="D46" s="873" t="s">
        <v>1704</v>
      </c>
      <c r="E46" s="874">
        <v>70.5</v>
      </c>
      <c r="F46" s="874">
        <v>71.599999999999994</v>
      </c>
      <c r="G46" s="874">
        <v>72.599999999999994</v>
      </c>
      <c r="H46" s="874">
        <v>73.5</v>
      </c>
      <c r="I46" s="874">
        <v>74.400000000000006</v>
      </c>
      <c r="J46" s="875">
        <v>75.3</v>
      </c>
      <c r="K46" s="875">
        <v>76.099999999999994</v>
      </c>
      <c r="L46" s="875">
        <v>77</v>
      </c>
      <c r="M46" s="875">
        <v>77.8</v>
      </c>
      <c r="N46" s="875">
        <v>78.5</v>
      </c>
      <c r="O46" s="875">
        <v>79.3</v>
      </c>
    </row>
    <row r="47" spans="1:15">
      <c r="A47" s="873" t="s">
        <v>730</v>
      </c>
      <c r="B47" s="877" t="s">
        <v>1703</v>
      </c>
      <c r="C47" s="873" t="s">
        <v>287</v>
      </c>
      <c r="D47" s="873" t="s">
        <v>1704</v>
      </c>
      <c r="E47" s="874">
        <v>83.2</v>
      </c>
      <c r="F47" s="874">
        <v>83.8</v>
      </c>
      <c r="G47" s="874">
        <v>84</v>
      </c>
      <c r="H47" s="874">
        <v>84</v>
      </c>
      <c r="I47" s="874">
        <v>84</v>
      </c>
      <c r="J47" s="875">
        <v>84.1</v>
      </c>
      <c r="K47" s="875">
        <v>84.2</v>
      </c>
      <c r="L47" s="875">
        <v>84.3</v>
      </c>
      <c r="M47" s="875">
        <v>84.5</v>
      </c>
      <c r="N47" s="875">
        <v>84.7</v>
      </c>
      <c r="O47" s="875">
        <v>84.9</v>
      </c>
    </row>
    <row r="48" spans="1:15">
      <c r="A48" s="873" t="s">
        <v>787</v>
      </c>
      <c r="B48" s="877" t="s">
        <v>1703</v>
      </c>
      <c r="C48" s="873" t="s">
        <v>287</v>
      </c>
      <c r="D48" s="873" t="s">
        <v>1704</v>
      </c>
      <c r="E48" s="874">
        <v>28.8</v>
      </c>
      <c r="F48" s="874">
        <v>30.1</v>
      </c>
      <c r="G48" s="874">
        <v>31.3</v>
      </c>
      <c r="H48" s="874">
        <v>32.4</v>
      </c>
      <c r="I48" s="874">
        <v>33.4</v>
      </c>
      <c r="J48" s="875">
        <v>34.4</v>
      </c>
      <c r="K48" s="875">
        <v>35.4</v>
      </c>
      <c r="L48" s="875">
        <v>36.299999999999997</v>
      </c>
      <c r="M48" s="875">
        <v>37.200000000000003</v>
      </c>
      <c r="N48" s="875">
        <v>38</v>
      </c>
      <c r="O48" s="875">
        <v>38.9</v>
      </c>
    </row>
    <row r="49" spans="1:15">
      <c r="A49" s="873" t="s">
        <v>403</v>
      </c>
      <c r="B49" s="877" t="s">
        <v>1703</v>
      </c>
      <c r="C49" s="873" t="s">
        <v>287</v>
      </c>
      <c r="D49" s="873" t="s">
        <v>1704</v>
      </c>
      <c r="E49" s="874">
        <v>53.8</v>
      </c>
      <c r="F49" s="874">
        <v>56.7</v>
      </c>
      <c r="G49" s="874">
        <v>59.3</v>
      </c>
      <c r="H49" s="874">
        <v>61.8</v>
      </c>
      <c r="I49" s="874">
        <v>64.2</v>
      </c>
      <c r="J49" s="875">
        <v>66.5</v>
      </c>
      <c r="K49" s="875">
        <v>68.7</v>
      </c>
      <c r="L49" s="875">
        <v>70.8</v>
      </c>
      <c r="M49" s="875">
        <v>72.8</v>
      </c>
      <c r="N49" s="875">
        <v>74.599999999999994</v>
      </c>
      <c r="O49" s="875">
        <v>76.3</v>
      </c>
    </row>
    <row r="50" spans="1:15">
      <c r="A50" s="873" t="s">
        <v>435</v>
      </c>
      <c r="B50" s="877" t="s">
        <v>1703</v>
      </c>
      <c r="C50" s="873" t="s">
        <v>287</v>
      </c>
      <c r="D50" s="873" t="s">
        <v>1704</v>
      </c>
      <c r="E50" s="874">
        <v>27.7</v>
      </c>
      <c r="F50" s="874">
        <v>28.2</v>
      </c>
      <c r="G50" s="874">
        <v>28.8</v>
      </c>
      <c r="H50" s="874">
        <v>29.5</v>
      </c>
      <c r="I50" s="874">
        <v>30.1</v>
      </c>
      <c r="J50" s="875">
        <v>30.8</v>
      </c>
      <c r="K50" s="875">
        <v>31.4</v>
      </c>
      <c r="L50" s="875">
        <v>32.1</v>
      </c>
      <c r="M50" s="875">
        <v>32.799999999999997</v>
      </c>
      <c r="N50" s="875">
        <v>33.4</v>
      </c>
      <c r="O50" s="875">
        <v>34.1</v>
      </c>
    </row>
    <row r="51" spans="1:15">
      <c r="A51" s="873" t="s">
        <v>441</v>
      </c>
      <c r="B51" s="877" t="s">
        <v>1703</v>
      </c>
      <c r="C51" s="873" t="s">
        <v>287</v>
      </c>
      <c r="D51" s="873" t="s">
        <v>1704</v>
      </c>
      <c r="E51" s="874">
        <v>49.9</v>
      </c>
      <c r="F51" s="874">
        <v>50.5</v>
      </c>
      <c r="G51" s="874">
        <v>51.2</v>
      </c>
      <c r="H51" s="874">
        <v>51.8</v>
      </c>
      <c r="I51" s="874">
        <v>52.5</v>
      </c>
      <c r="J51" s="875">
        <v>53.2</v>
      </c>
      <c r="K51" s="875">
        <v>53.8</v>
      </c>
      <c r="L51" s="875">
        <v>54.5</v>
      </c>
      <c r="M51" s="875">
        <v>55.2</v>
      </c>
      <c r="N51" s="875">
        <v>55.8</v>
      </c>
      <c r="O51" s="875">
        <v>56.5</v>
      </c>
    </row>
    <row r="52" spans="1:15">
      <c r="A52" s="873" t="s">
        <v>468</v>
      </c>
      <c r="B52" s="877" t="s">
        <v>1703</v>
      </c>
      <c r="C52" s="873" t="s">
        <v>287</v>
      </c>
      <c r="D52" s="873" t="s">
        <v>1704</v>
      </c>
      <c r="E52" s="874">
        <v>34.700000000000003</v>
      </c>
      <c r="F52" s="874">
        <v>35.4</v>
      </c>
      <c r="G52" s="874">
        <v>36.200000000000003</v>
      </c>
      <c r="H52" s="874">
        <v>37.1</v>
      </c>
      <c r="I52" s="874">
        <v>38</v>
      </c>
      <c r="J52" s="875">
        <v>38.9</v>
      </c>
      <c r="K52" s="875">
        <v>39.799999999999997</v>
      </c>
      <c r="L52" s="875">
        <v>40.700000000000003</v>
      </c>
      <c r="M52" s="875">
        <v>41.6</v>
      </c>
      <c r="N52" s="875">
        <v>42.5</v>
      </c>
      <c r="O52" s="875">
        <v>43.4</v>
      </c>
    </row>
    <row r="53" spans="1:15">
      <c r="A53" s="873" t="s">
        <v>472</v>
      </c>
      <c r="B53" s="877" t="s">
        <v>1703</v>
      </c>
      <c r="C53" s="873" t="s">
        <v>287</v>
      </c>
      <c r="D53" s="873" t="s">
        <v>1704</v>
      </c>
      <c r="E53" s="874">
        <v>14.6</v>
      </c>
      <c r="F53" s="874">
        <v>14.3</v>
      </c>
      <c r="G53" s="874">
        <v>13.7</v>
      </c>
      <c r="H53" s="874">
        <v>14.4</v>
      </c>
      <c r="I53" s="874">
        <v>14.4</v>
      </c>
      <c r="J53" s="875">
        <v>14.5</v>
      </c>
      <c r="K53" s="875">
        <v>14.7</v>
      </c>
      <c r="L53" s="875">
        <v>14.8</v>
      </c>
      <c r="M53" s="875">
        <v>14.9</v>
      </c>
      <c r="N53" s="875">
        <v>15.1</v>
      </c>
      <c r="O53" s="875">
        <v>15.2</v>
      </c>
    </row>
    <row r="54" spans="1:15">
      <c r="A54" s="873" t="s">
        <v>479</v>
      </c>
      <c r="B54" s="877" t="s">
        <v>1703</v>
      </c>
      <c r="C54" s="873" t="s">
        <v>287</v>
      </c>
      <c r="D54" s="873" t="s">
        <v>1704</v>
      </c>
      <c r="E54" s="874">
        <v>40.700000000000003</v>
      </c>
      <c r="F54" s="874">
        <v>40.200000000000003</v>
      </c>
      <c r="G54" s="874">
        <v>40</v>
      </c>
      <c r="H54" s="874">
        <v>39.9</v>
      </c>
      <c r="I54" s="874">
        <v>39.9</v>
      </c>
      <c r="J54" s="875">
        <v>39.9</v>
      </c>
      <c r="K54" s="875">
        <v>39.9</v>
      </c>
      <c r="L54" s="875">
        <v>40</v>
      </c>
      <c r="M54" s="875">
        <v>40.1</v>
      </c>
      <c r="N54" s="875">
        <v>40.200000000000003</v>
      </c>
      <c r="O54" s="875">
        <v>40.299999999999997</v>
      </c>
    </row>
    <row r="55" spans="1:15">
      <c r="A55" s="873" t="s">
        <v>499</v>
      </c>
      <c r="B55" s="877" t="s">
        <v>1703</v>
      </c>
      <c r="C55" s="873" t="s">
        <v>287</v>
      </c>
      <c r="D55" s="873" t="s">
        <v>1704</v>
      </c>
      <c r="E55" s="874">
        <v>23.3</v>
      </c>
      <c r="F55" s="874">
        <v>23.8</v>
      </c>
      <c r="G55" s="874">
        <v>24.3</v>
      </c>
      <c r="H55" s="874">
        <v>24.7</v>
      </c>
      <c r="I55" s="874">
        <v>25.2</v>
      </c>
      <c r="J55" s="875">
        <v>25.7</v>
      </c>
      <c r="K55" s="875">
        <v>26.2</v>
      </c>
      <c r="L55" s="875">
        <v>26.6</v>
      </c>
      <c r="M55" s="875">
        <v>27.1</v>
      </c>
      <c r="N55" s="875">
        <v>27.5</v>
      </c>
      <c r="O55" s="875">
        <v>28</v>
      </c>
    </row>
    <row r="56" spans="1:15">
      <c r="A56" s="873" t="s">
        <v>501</v>
      </c>
      <c r="B56" s="877" t="s">
        <v>1703</v>
      </c>
      <c r="C56" s="873" t="s">
        <v>287</v>
      </c>
      <c r="D56" s="873" t="s">
        <v>1704</v>
      </c>
      <c r="E56" s="874">
        <v>23.1</v>
      </c>
      <c r="F56" s="874">
        <v>23.7</v>
      </c>
      <c r="G56" s="874">
        <v>24.4</v>
      </c>
      <c r="H56" s="874">
        <v>25</v>
      </c>
      <c r="I56" s="874">
        <v>25.7</v>
      </c>
      <c r="J56" s="875">
        <v>26.3</v>
      </c>
      <c r="K56" s="875">
        <v>26.9</v>
      </c>
      <c r="L56" s="875">
        <v>27.5</v>
      </c>
      <c r="M56" s="875">
        <v>28</v>
      </c>
      <c r="N56" s="875">
        <v>28.6</v>
      </c>
      <c r="O56" s="875">
        <v>29.1</v>
      </c>
    </row>
    <row r="57" spans="1:15">
      <c r="A57" s="873" t="s">
        <v>505</v>
      </c>
      <c r="B57" s="877" t="s">
        <v>1703</v>
      </c>
      <c r="C57" s="873" t="s">
        <v>287</v>
      </c>
      <c r="D57" s="873" t="s">
        <v>1704</v>
      </c>
      <c r="E57" s="874">
        <v>20.100000000000001</v>
      </c>
      <c r="F57" s="874">
        <v>20</v>
      </c>
      <c r="G57" s="874">
        <v>20.5</v>
      </c>
      <c r="H57" s="874">
        <v>21</v>
      </c>
      <c r="I57" s="874">
        <v>21.5</v>
      </c>
      <c r="J57" s="875">
        <v>22</v>
      </c>
      <c r="K57" s="875">
        <v>22.4</v>
      </c>
      <c r="L57" s="875">
        <v>22.9</v>
      </c>
      <c r="M57" s="875">
        <v>23.3</v>
      </c>
      <c r="N57" s="875">
        <v>23.8</v>
      </c>
      <c r="O57" s="875">
        <v>24.2</v>
      </c>
    </row>
    <row r="58" spans="1:15">
      <c r="A58" s="873" t="s">
        <v>546</v>
      </c>
      <c r="B58" s="877" t="s">
        <v>1703</v>
      </c>
      <c r="C58" s="873" t="s">
        <v>287</v>
      </c>
      <c r="D58" s="873" t="s">
        <v>1704</v>
      </c>
      <c r="E58" s="874">
        <v>21.4</v>
      </c>
      <c r="F58" s="874">
        <v>21.5</v>
      </c>
      <c r="G58" s="874">
        <v>21.8</v>
      </c>
      <c r="H58" s="874">
        <v>22.2</v>
      </c>
      <c r="I58" s="874">
        <v>22.6</v>
      </c>
      <c r="J58" s="875">
        <v>23</v>
      </c>
      <c r="K58" s="875">
        <v>23.5</v>
      </c>
      <c r="L58" s="875">
        <v>23.9</v>
      </c>
      <c r="M58" s="875">
        <v>24.4</v>
      </c>
      <c r="N58" s="875">
        <v>24.8</v>
      </c>
      <c r="O58" s="875">
        <v>25.3</v>
      </c>
    </row>
    <row r="59" spans="1:15">
      <c r="A59" s="873" t="s">
        <v>556</v>
      </c>
      <c r="B59" s="877" t="s">
        <v>1703</v>
      </c>
      <c r="C59" s="873" t="s">
        <v>287</v>
      </c>
      <c r="D59" s="873" t="s">
        <v>1704</v>
      </c>
      <c r="E59" s="874">
        <v>23</v>
      </c>
      <c r="F59" s="874">
        <v>23.4</v>
      </c>
      <c r="G59" s="874">
        <v>23.8</v>
      </c>
      <c r="H59" s="874">
        <v>24.3</v>
      </c>
      <c r="I59" s="874">
        <v>24.8</v>
      </c>
      <c r="J59" s="875">
        <v>25.3</v>
      </c>
      <c r="K59" s="875">
        <v>25.8</v>
      </c>
      <c r="L59" s="875">
        <v>26.3</v>
      </c>
      <c r="M59" s="875">
        <v>26.8</v>
      </c>
      <c r="N59" s="875">
        <v>27.3</v>
      </c>
      <c r="O59" s="875">
        <v>27.8</v>
      </c>
    </row>
    <row r="60" spans="1:15">
      <c r="A60" s="873" t="s">
        <v>638</v>
      </c>
      <c r="B60" s="877" t="s">
        <v>1703</v>
      </c>
      <c r="C60" s="873" t="s">
        <v>287</v>
      </c>
      <c r="D60" s="873" t="s">
        <v>1704</v>
      </c>
      <c r="E60" s="874">
        <v>29.2</v>
      </c>
      <c r="F60" s="874">
        <v>29.6</v>
      </c>
      <c r="G60" s="874">
        <v>29.9</v>
      </c>
      <c r="H60" s="874">
        <v>30.1</v>
      </c>
      <c r="I60" s="874">
        <v>30.4</v>
      </c>
      <c r="J60" s="875">
        <v>30.6</v>
      </c>
      <c r="K60" s="875">
        <v>30.9</v>
      </c>
      <c r="L60" s="875">
        <v>31.2</v>
      </c>
      <c r="M60" s="875">
        <v>31.4</v>
      </c>
      <c r="N60" s="875">
        <v>31.6</v>
      </c>
      <c r="O60" s="875">
        <v>31.9</v>
      </c>
    </row>
    <row r="61" spans="1:15">
      <c r="A61" s="873" t="s">
        <v>686</v>
      </c>
      <c r="B61" s="877" t="s">
        <v>1703</v>
      </c>
      <c r="C61" s="873" t="s">
        <v>287</v>
      </c>
      <c r="D61" s="873" t="s">
        <v>1704</v>
      </c>
      <c r="E61" s="874">
        <v>34.5</v>
      </c>
      <c r="F61" s="874">
        <v>34.799999999999997</v>
      </c>
      <c r="G61" s="874">
        <v>35.299999999999997</v>
      </c>
      <c r="H61" s="874">
        <v>35.799999999999997</v>
      </c>
      <c r="I61" s="874">
        <v>36.299999999999997</v>
      </c>
      <c r="J61" s="875">
        <v>36.799999999999997</v>
      </c>
      <c r="K61" s="875">
        <v>37.4</v>
      </c>
      <c r="L61" s="875">
        <v>37.9</v>
      </c>
      <c r="M61" s="875">
        <v>38.4</v>
      </c>
      <c r="N61" s="875">
        <v>39</v>
      </c>
      <c r="O61" s="875">
        <v>39.5</v>
      </c>
    </row>
    <row r="62" spans="1:15">
      <c r="A62" s="873" t="s">
        <v>690</v>
      </c>
      <c r="B62" s="877" t="s">
        <v>1703</v>
      </c>
      <c r="C62" s="873" t="s">
        <v>287</v>
      </c>
      <c r="D62" s="873" t="s">
        <v>1704</v>
      </c>
      <c r="E62" s="874">
        <v>37.799999999999997</v>
      </c>
      <c r="F62" s="874">
        <v>38.700000000000003</v>
      </c>
      <c r="G62" s="874">
        <v>39.6</v>
      </c>
      <c r="H62" s="874">
        <v>40.4</v>
      </c>
      <c r="I62" s="874">
        <v>41.2</v>
      </c>
      <c r="J62" s="875">
        <v>42.1</v>
      </c>
      <c r="K62" s="875">
        <v>42.9</v>
      </c>
      <c r="L62" s="875">
        <v>43.7</v>
      </c>
      <c r="M62" s="875">
        <v>44.4</v>
      </c>
      <c r="N62" s="875">
        <v>45.2</v>
      </c>
      <c r="O62" s="875">
        <v>45.9</v>
      </c>
    </row>
    <row r="63" spans="1:15">
      <c r="A63" s="873" t="s">
        <v>692</v>
      </c>
      <c r="B63" s="877" t="s">
        <v>1703</v>
      </c>
      <c r="C63" s="873" t="s">
        <v>287</v>
      </c>
      <c r="D63" s="873" t="s">
        <v>1704</v>
      </c>
      <c r="E63" s="874">
        <v>10.6</v>
      </c>
      <c r="F63" s="874">
        <v>11.1</v>
      </c>
      <c r="G63" s="874">
        <v>11.6</v>
      </c>
      <c r="H63" s="874">
        <v>11.4</v>
      </c>
      <c r="I63" s="874">
        <v>11.5</v>
      </c>
      <c r="J63" s="875">
        <v>11.5</v>
      </c>
      <c r="K63" s="875">
        <v>11.6</v>
      </c>
      <c r="L63" s="875">
        <v>11.7</v>
      </c>
      <c r="M63" s="875">
        <v>11.8</v>
      </c>
      <c r="N63" s="875">
        <v>11.9</v>
      </c>
      <c r="O63" s="875">
        <v>12</v>
      </c>
    </row>
    <row r="64" spans="1:15">
      <c r="A64" s="873" t="s">
        <v>794</v>
      </c>
      <c r="B64" s="877" t="s">
        <v>1703</v>
      </c>
      <c r="C64" s="873" t="s">
        <v>287</v>
      </c>
      <c r="D64" s="873" t="s">
        <v>1704</v>
      </c>
      <c r="E64" s="874">
        <v>47</v>
      </c>
      <c r="F64" s="874">
        <v>47.9</v>
      </c>
      <c r="G64" s="874">
        <v>48.7</v>
      </c>
      <c r="H64" s="874">
        <v>49.5</v>
      </c>
      <c r="I64" s="874">
        <v>50.3</v>
      </c>
      <c r="J64" s="875">
        <v>51</v>
      </c>
      <c r="K64" s="875">
        <v>51.8</v>
      </c>
      <c r="L64" s="875">
        <v>52.5</v>
      </c>
      <c r="M64" s="875">
        <v>53.3</v>
      </c>
      <c r="N64" s="875">
        <v>54</v>
      </c>
      <c r="O64" s="875">
        <v>54.7</v>
      </c>
    </row>
    <row r="65" spans="1:15">
      <c r="A65" s="873" t="s">
        <v>1120</v>
      </c>
      <c r="B65" s="877" t="s">
        <v>1703</v>
      </c>
      <c r="C65" s="873" t="s">
        <v>287</v>
      </c>
      <c r="D65" s="873" t="s">
        <v>1704</v>
      </c>
      <c r="E65" s="874">
        <v>30.3</v>
      </c>
      <c r="F65" s="874">
        <v>30.5</v>
      </c>
      <c r="G65" s="874">
        <v>30.7</v>
      </c>
      <c r="H65" s="874">
        <v>30.8</v>
      </c>
      <c r="I65" s="874">
        <v>30.9</v>
      </c>
      <c r="J65" s="875">
        <v>31</v>
      </c>
      <c r="K65" s="875">
        <v>31.1</v>
      </c>
      <c r="L65" s="875">
        <v>31.2</v>
      </c>
      <c r="M65" s="875">
        <v>31.3</v>
      </c>
      <c r="N65" s="875">
        <v>31.4</v>
      </c>
      <c r="O65" s="875">
        <v>31.5</v>
      </c>
    </row>
    <row r="66" spans="1:15">
      <c r="A66" s="873" t="s">
        <v>393</v>
      </c>
      <c r="B66" s="877" t="s">
        <v>1703</v>
      </c>
      <c r="C66" s="873" t="s">
        <v>287</v>
      </c>
      <c r="D66" s="873" t="s">
        <v>1704</v>
      </c>
      <c r="E66" s="874">
        <v>43</v>
      </c>
      <c r="F66" s="874">
        <v>44</v>
      </c>
      <c r="G66" s="874">
        <v>44.9</v>
      </c>
      <c r="H66" s="874">
        <v>45.8</v>
      </c>
      <c r="I66" s="874">
        <v>46.6</v>
      </c>
      <c r="J66" s="875">
        <v>47.5</v>
      </c>
      <c r="K66" s="875">
        <v>48.4</v>
      </c>
      <c r="L66" s="875">
        <v>49.2</v>
      </c>
      <c r="M66" s="875">
        <v>50.1</v>
      </c>
      <c r="N66" s="875">
        <v>50.9</v>
      </c>
      <c r="O66" s="875">
        <v>51.7</v>
      </c>
    </row>
    <row r="67" spans="1:15">
      <c r="A67" s="873" t="s">
        <v>399</v>
      </c>
      <c r="B67" s="877" t="s">
        <v>1703</v>
      </c>
      <c r="C67" s="873" t="s">
        <v>287</v>
      </c>
      <c r="D67" s="873" t="s">
        <v>1704</v>
      </c>
      <c r="E67" s="874">
        <v>11.9</v>
      </c>
      <c r="F67" s="874">
        <v>12.2</v>
      </c>
      <c r="G67" s="874">
        <v>12.4</v>
      </c>
      <c r="H67" s="874">
        <v>12.7</v>
      </c>
      <c r="I67" s="874">
        <v>12.9</v>
      </c>
      <c r="J67" s="875">
        <v>13.2</v>
      </c>
      <c r="K67" s="875">
        <v>13.6</v>
      </c>
      <c r="L67" s="875">
        <v>13.9</v>
      </c>
      <c r="M67" s="875">
        <v>14.2</v>
      </c>
      <c r="N67" s="875">
        <v>14.6</v>
      </c>
      <c r="O67" s="875">
        <v>15</v>
      </c>
    </row>
    <row r="68" spans="1:15">
      <c r="A68" s="873" t="s">
        <v>417</v>
      </c>
      <c r="B68" s="877" t="s">
        <v>1703</v>
      </c>
      <c r="C68" s="873" t="s">
        <v>287</v>
      </c>
      <c r="D68" s="873" t="s">
        <v>1704</v>
      </c>
      <c r="E68" s="874">
        <v>87.5</v>
      </c>
      <c r="F68" s="874">
        <v>87.6</v>
      </c>
      <c r="G68" s="874">
        <v>87.8</v>
      </c>
      <c r="H68" s="874">
        <v>88</v>
      </c>
      <c r="I68" s="874">
        <v>88.2</v>
      </c>
      <c r="J68" s="875">
        <v>88.4</v>
      </c>
      <c r="K68" s="875">
        <v>88.7</v>
      </c>
      <c r="L68" s="875">
        <v>88.9</v>
      </c>
      <c r="M68" s="875">
        <v>89.1</v>
      </c>
      <c r="N68" s="875">
        <v>89.3</v>
      </c>
      <c r="O68" s="875">
        <v>89.5</v>
      </c>
    </row>
    <row r="69" spans="1:15">
      <c r="A69" s="873" t="s">
        <v>456</v>
      </c>
      <c r="B69" s="877" t="s">
        <v>1703</v>
      </c>
      <c r="C69" s="873" t="s">
        <v>287</v>
      </c>
      <c r="D69" s="873" t="s">
        <v>1704</v>
      </c>
      <c r="E69" s="874">
        <v>7.6</v>
      </c>
      <c r="F69" s="874">
        <v>8.3000000000000007</v>
      </c>
      <c r="G69" s="874">
        <v>9</v>
      </c>
      <c r="H69" s="874">
        <v>9.6</v>
      </c>
      <c r="I69" s="874">
        <v>10.1</v>
      </c>
      <c r="J69" s="875">
        <v>10.6</v>
      </c>
      <c r="K69" s="875">
        <v>11.1</v>
      </c>
      <c r="L69" s="875">
        <v>11.5</v>
      </c>
      <c r="M69" s="875">
        <v>11.9</v>
      </c>
      <c r="N69" s="875">
        <v>12.2</v>
      </c>
      <c r="O69" s="875">
        <v>12.6</v>
      </c>
    </row>
    <row r="70" spans="1:15">
      <c r="A70" s="873" t="s">
        <v>1121</v>
      </c>
      <c r="B70" s="877" t="s">
        <v>1703</v>
      </c>
      <c r="C70" s="873" t="s">
        <v>287</v>
      </c>
      <c r="D70" s="873" t="s">
        <v>1704</v>
      </c>
      <c r="E70" s="874">
        <v>5</v>
      </c>
      <c r="F70" s="874">
        <v>4.9000000000000004</v>
      </c>
      <c r="G70" s="874">
        <v>4.8</v>
      </c>
      <c r="H70" s="874">
        <v>4.8</v>
      </c>
      <c r="I70" s="874">
        <v>4.7</v>
      </c>
      <c r="J70" s="875">
        <v>4.7</v>
      </c>
      <c r="K70" s="875">
        <v>4.7</v>
      </c>
      <c r="L70" s="875">
        <v>4.7</v>
      </c>
      <c r="M70" s="875">
        <v>4.7</v>
      </c>
      <c r="N70" s="875">
        <v>4.7</v>
      </c>
      <c r="O70" s="875">
        <v>4.7</v>
      </c>
    </row>
    <row r="71" spans="1:15">
      <c r="A71" s="873" t="s">
        <v>1122</v>
      </c>
      <c r="B71" s="877" t="s">
        <v>1703</v>
      </c>
      <c r="C71" s="873" t="s">
        <v>287</v>
      </c>
      <c r="D71" s="873" t="s">
        <v>1704</v>
      </c>
      <c r="E71" s="874">
        <v>6.7</v>
      </c>
      <c r="F71" s="874">
        <v>6.3</v>
      </c>
      <c r="G71" s="874">
        <v>5.9</v>
      </c>
      <c r="H71" s="874">
        <v>5.6</v>
      </c>
      <c r="I71" s="874">
        <v>5.3</v>
      </c>
      <c r="J71" s="875">
        <v>5</v>
      </c>
      <c r="K71" s="875">
        <v>4.7</v>
      </c>
      <c r="L71" s="875">
        <v>4.5</v>
      </c>
      <c r="M71" s="875">
        <v>4.3</v>
      </c>
      <c r="N71" s="875">
        <v>4.0999999999999996</v>
      </c>
      <c r="O71" s="875">
        <v>4</v>
      </c>
    </row>
    <row r="72" spans="1:15">
      <c r="A72" s="873" t="s">
        <v>515</v>
      </c>
      <c r="B72" s="877" t="s">
        <v>1703</v>
      </c>
      <c r="C72" s="873" t="s">
        <v>287</v>
      </c>
      <c r="D72" s="873" t="s">
        <v>1704</v>
      </c>
      <c r="E72" s="874">
        <v>1.7</v>
      </c>
      <c r="F72" s="874">
        <v>1.8</v>
      </c>
      <c r="G72" s="874">
        <v>2</v>
      </c>
      <c r="H72" s="874">
        <v>2.1</v>
      </c>
      <c r="I72" s="874">
        <v>2.2000000000000002</v>
      </c>
      <c r="J72" s="875">
        <v>2.2999999999999998</v>
      </c>
      <c r="K72" s="875">
        <v>2.4</v>
      </c>
      <c r="L72" s="875">
        <v>2.5</v>
      </c>
      <c r="M72" s="875">
        <v>2.6</v>
      </c>
      <c r="N72" s="875">
        <v>2.7</v>
      </c>
      <c r="O72" s="875">
        <v>2.8</v>
      </c>
    </row>
    <row r="73" spans="1:15">
      <c r="A73" s="873" t="s">
        <v>534</v>
      </c>
      <c r="B73" s="877" t="s">
        <v>1703</v>
      </c>
      <c r="C73" s="873" t="s">
        <v>287</v>
      </c>
      <c r="D73" s="873" t="s">
        <v>1704</v>
      </c>
      <c r="E73" s="874">
        <v>9.1999999999999993</v>
      </c>
      <c r="F73" s="874">
        <v>9.6999999999999993</v>
      </c>
      <c r="G73" s="874">
        <v>10.199999999999999</v>
      </c>
      <c r="H73" s="874">
        <v>10.6</v>
      </c>
      <c r="I73" s="874">
        <v>11</v>
      </c>
      <c r="J73" s="875">
        <v>11.4</v>
      </c>
      <c r="K73" s="875">
        <v>11.7</v>
      </c>
      <c r="L73" s="875">
        <v>12.1</v>
      </c>
      <c r="M73" s="875">
        <v>12.4</v>
      </c>
      <c r="N73" s="875">
        <v>12.8</v>
      </c>
      <c r="O73" s="875">
        <v>13.1</v>
      </c>
    </row>
    <row r="74" spans="1:15">
      <c r="A74" s="873" t="s">
        <v>1123</v>
      </c>
      <c r="B74" s="877" t="s">
        <v>1703</v>
      </c>
      <c r="C74" s="873" t="s">
        <v>287</v>
      </c>
      <c r="D74" s="873" t="s">
        <v>1704</v>
      </c>
      <c r="E74" s="874">
        <v>48.9</v>
      </c>
      <c r="F74" s="874">
        <v>49.9</v>
      </c>
      <c r="G74" s="874">
        <v>50.8</v>
      </c>
      <c r="H74" s="874">
        <v>51.7</v>
      </c>
      <c r="I74" s="874">
        <v>52.7</v>
      </c>
      <c r="J74" s="875">
        <v>53.6</v>
      </c>
      <c r="K74" s="875">
        <v>54.5</v>
      </c>
      <c r="L74" s="875">
        <v>55.4</v>
      </c>
      <c r="M74" s="875">
        <v>56.4</v>
      </c>
      <c r="N74" s="875">
        <v>57.3</v>
      </c>
      <c r="O74" s="875">
        <v>58.1</v>
      </c>
    </row>
    <row r="75" spans="1:15">
      <c r="A75" s="873" t="s">
        <v>569</v>
      </c>
      <c r="B75" s="877" t="s">
        <v>1703</v>
      </c>
      <c r="C75" s="873" t="s">
        <v>287</v>
      </c>
      <c r="D75" s="873" t="s">
        <v>1704</v>
      </c>
      <c r="E75" s="874">
        <v>27.2</v>
      </c>
      <c r="F75" s="874">
        <v>27.4</v>
      </c>
      <c r="G75" s="874">
        <v>27.6</v>
      </c>
      <c r="H75" s="874">
        <v>27.7</v>
      </c>
      <c r="I75" s="874">
        <v>27.8</v>
      </c>
      <c r="J75" s="875">
        <v>27.9</v>
      </c>
      <c r="K75" s="875">
        <v>28</v>
      </c>
      <c r="L75" s="875">
        <v>28.1</v>
      </c>
      <c r="M75" s="875">
        <v>28.2</v>
      </c>
      <c r="N75" s="875">
        <v>28.3</v>
      </c>
      <c r="O75" s="875">
        <v>28.4</v>
      </c>
    </row>
    <row r="76" spans="1:15">
      <c r="A76" s="873" t="s">
        <v>575</v>
      </c>
      <c r="B76" s="877" t="s">
        <v>1703</v>
      </c>
      <c r="C76" s="873" t="s">
        <v>287</v>
      </c>
      <c r="D76" s="873" t="s">
        <v>1704</v>
      </c>
      <c r="E76" s="874">
        <v>71.900000000000006</v>
      </c>
      <c r="F76" s="874">
        <v>72</v>
      </c>
      <c r="G76" s="874">
        <v>72</v>
      </c>
      <c r="H76" s="874">
        <v>72</v>
      </c>
      <c r="I76" s="874">
        <v>72.099999999999994</v>
      </c>
      <c r="J76" s="875">
        <v>72.3</v>
      </c>
      <c r="K76" s="875">
        <v>72.5</v>
      </c>
      <c r="L76" s="875">
        <v>72.7</v>
      </c>
      <c r="M76" s="875">
        <v>73</v>
      </c>
      <c r="N76" s="875">
        <v>73.3</v>
      </c>
      <c r="O76" s="875">
        <v>73.599999999999994</v>
      </c>
    </row>
    <row r="77" spans="1:15">
      <c r="A77" s="873" t="s">
        <v>583</v>
      </c>
      <c r="B77" s="877" t="s">
        <v>1703</v>
      </c>
      <c r="C77" s="873" t="s">
        <v>287</v>
      </c>
      <c r="D77" s="873" t="s">
        <v>1704</v>
      </c>
      <c r="E77" s="874">
        <v>61.3</v>
      </c>
      <c r="F77" s="874">
        <v>62.1</v>
      </c>
      <c r="G77" s="874">
        <v>62.9</v>
      </c>
      <c r="H77" s="874">
        <v>63.7</v>
      </c>
      <c r="I77" s="874">
        <v>64.5</v>
      </c>
      <c r="J77" s="875">
        <v>65.2</v>
      </c>
      <c r="K77" s="875">
        <v>66</v>
      </c>
      <c r="L77" s="875">
        <v>66.7</v>
      </c>
      <c r="M77" s="875">
        <v>67.400000000000006</v>
      </c>
      <c r="N77" s="875">
        <v>68.099999999999994</v>
      </c>
      <c r="O77" s="875">
        <v>68.8</v>
      </c>
    </row>
    <row r="78" spans="1:15">
      <c r="A78" s="873" t="s">
        <v>587</v>
      </c>
      <c r="B78" s="877" t="s">
        <v>1703</v>
      </c>
      <c r="C78" s="873" t="s">
        <v>287</v>
      </c>
      <c r="D78" s="873" t="s">
        <v>1704</v>
      </c>
      <c r="E78" s="874">
        <v>9.1999999999999993</v>
      </c>
      <c r="F78" s="874">
        <v>8.4</v>
      </c>
      <c r="G78" s="874">
        <v>8.3000000000000007</v>
      </c>
      <c r="H78" s="874">
        <v>8.1</v>
      </c>
      <c r="I78" s="874">
        <v>7.9</v>
      </c>
      <c r="J78" s="875">
        <v>7.7</v>
      </c>
      <c r="K78" s="875">
        <v>7.5</v>
      </c>
      <c r="L78" s="875">
        <v>7.4</v>
      </c>
      <c r="M78" s="875">
        <v>7.2</v>
      </c>
      <c r="N78" s="875">
        <v>7.1</v>
      </c>
      <c r="O78" s="875">
        <v>7</v>
      </c>
    </row>
    <row r="79" spans="1:15">
      <c r="A79" s="873" t="s">
        <v>597</v>
      </c>
      <c r="B79" s="877" t="s">
        <v>1703</v>
      </c>
      <c r="C79" s="873" t="s">
        <v>287</v>
      </c>
      <c r="D79" s="873" t="s">
        <v>1704</v>
      </c>
      <c r="E79" s="874">
        <v>98.3</v>
      </c>
      <c r="F79" s="874">
        <v>98.3</v>
      </c>
      <c r="G79" s="874">
        <v>98.4</v>
      </c>
      <c r="H79" s="874">
        <v>98.5</v>
      </c>
      <c r="I79" s="874">
        <v>98.5</v>
      </c>
      <c r="J79" s="875">
        <v>98.6</v>
      </c>
      <c r="K79" s="875">
        <v>98.6</v>
      </c>
      <c r="L79" s="875">
        <v>98.7</v>
      </c>
      <c r="M79" s="875">
        <v>98.7</v>
      </c>
      <c r="N79" s="875">
        <v>98.8</v>
      </c>
      <c r="O79" s="875">
        <v>98.8</v>
      </c>
    </row>
    <row r="80" spans="1:15">
      <c r="A80" s="873" t="s">
        <v>605</v>
      </c>
      <c r="B80" s="877" t="s">
        <v>1703</v>
      </c>
      <c r="C80" s="873" t="s">
        <v>287</v>
      </c>
      <c r="D80" s="873" t="s">
        <v>1704</v>
      </c>
      <c r="E80" s="874">
        <v>79.5</v>
      </c>
      <c r="F80" s="874">
        <v>80.3</v>
      </c>
      <c r="G80" s="874">
        <v>81</v>
      </c>
      <c r="H80" s="874">
        <v>81.7</v>
      </c>
      <c r="I80" s="874">
        <v>82.4</v>
      </c>
      <c r="J80" s="875">
        <v>83.1</v>
      </c>
      <c r="K80" s="875">
        <v>83.7</v>
      </c>
      <c r="L80" s="875">
        <v>84.3</v>
      </c>
      <c r="M80" s="875">
        <v>84.9</v>
      </c>
      <c r="N80" s="875">
        <v>85.4</v>
      </c>
      <c r="O80" s="875">
        <v>85.9</v>
      </c>
    </row>
    <row r="81" spans="1:15">
      <c r="A81" s="873" t="s">
        <v>650</v>
      </c>
      <c r="B81" s="877" t="s">
        <v>1703</v>
      </c>
      <c r="C81" s="873" t="s">
        <v>287</v>
      </c>
      <c r="D81" s="873" t="s">
        <v>1704</v>
      </c>
      <c r="E81" s="874">
        <v>17.600000000000001</v>
      </c>
      <c r="F81" s="874">
        <v>17</v>
      </c>
      <c r="G81" s="874">
        <v>16.5</v>
      </c>
      <c r="H81" s="874">
        <v>16.3</v>
      </c>
      <c r="I81" s="874">
        <v>16</v>
      </c>
      <c r="J81" s="875">
        <v>15.8</v>
      </c>
      <c r="K81" s="875">
        <v>15.6</v>
      </c>
      <c r="L81" s="875">
        <v>15.4</v>
      </c>
      <c r="M81" s="875">
        <v>15.3</v>
      </c>
      <c r="N81" s="875">
        <v>15.2</v>
      </c>
      <c r="O81" s="875">
        <v>15.1</v>
      </c>
    </row>
    <row r="82" spans="1:15">
      <c r="A82" s="873" t="s">
        <v>672</v>
      </c>
      <c r="B82" s="877" t="s">
        <v>1703</v>
      </c>
      <c r="C82" s="873" t="s">
        <v>287</v>
      </c>
      <c r="D82" s="873" t="s">
        <v>1704</v>
      </c>
      <c r="E82" s="874">
        <v>9.4</v>
      </c>
      <c r="F82" s="874">
        <v>9.4</v>
      </c>
      <c r="G82" s="874">
        <v>9.5</v>
      </c>
      <c r="H82" s="874">
        <v>9.6</v>
      </c>
      <c r="I82" s="874">
        <v>9.6999999999999993</v>
      </c>
      <c r="J82" s="875">
        <v>9.8000000000000007</v>
      </c>
      <c r="K82" s="875">
        <v>9.9</v>
      </c>
      <c r="L82" s="875">
        <v>10</v>
      </c>
      <c r="M82" s="875">
        <v>10.199999999999999</v>
      </c>
      <c r="N82" s="875">
        <v>10.3</v>
      </c>
      <c r="O82" s="875">
        <v>10.4</v>
      </c>
    </row>
    <row r="83" spans="1:15">
      <c r="A83" s="873" t="s">
        <v>680</v>
      </c>
      <c r="B83" s="877" t="s">
        <v>1703</v>
      </c>
      <c r="C83" s="873" t="s">
        <v>287</v>
      </c>
      <c r="D83" s="873" t="s">
        <v>1704</v>
      </c>
      <c r="E83" s="874">
        <v>94.1</v>
      </c>
      <c r="F83" s="874">
        <v>94.3</v>
      </c>
      <c r="G83" s="874">
        <v>94.4</v>
      </c>
      <c r="H83" s="874">
        <v>94.5</v>
      </c>
      <c r="I83" s="874">
        <v>94.6</v>
      </c>
      <c r="J83" s="875">
        <v>94.7</v>
      </c>
      <c r="K83" s="875">
        <v>94.8</v>
      </c>
      <c r="L83" s="875">
        <v>94.9</v>
      </c>
      <c r="M83" s="875">
        <v>95</v>
      </c>
      <c r="N83" s="875">
        <v>95.1</v>
      </c>
      <c r="O83" s="875">
        <v>95.2</v>
      </c>
    </row>
    <row r="84" spans="1:15">
      <c r="A84" s="873" t="s">
        <v>701</v>
      </c>
      <c r="B84" s="877" t="s">
        <v>1703</v>
      </c>
      <c r="C84" s="873" t="s">
        <v>287</v>
      </c>
      <c r="D84" s="873" t="s">
        <v>1704</v>
      </c>
      <c r="E84" s="874">
        <v>96.6</v>
      </c>
      <c r="F84" s="874">
        <v>96.8</v>
      </c>
      <c r="G84" s="874">
        <v>96.9</v>
      </c>
      <c r="H84" s="874">
        <v>97</v>
      </c>
      <c r="I84" s="874">
        <v>97.2</v>
      </c>
      <c r="J84" s="875">
        <v>97.3</v>
      </c>
      <c r="K84" s="875">
        <v>97.4</v>
      </c>
      <c r="L84" s="875">
        <v>97.5</v>
      </c>
      <c r="M84" s="875">
        <v>97.7</v>
      </c>
      <c r="N84" s="875">
        <v>97.8</v>
      </c>
      <c r="O84" s="875">
        <v>97.9</v>
      </c>
    </row>
    <row r="85" spans="1:15">
      <c r="A85" s="873" t="s">
        <v>715</v>
      </c>
      <c r="B85" s="877" t="s">
        <v>1703</v>
      </c>
      <c r="C85" s="873" t="s">
        <v>287</v>
      </c>
      <c r="D85" s="873" t="s">
        <v>1704</v>
      </c>
      <c r="E85" s="874">
        <v>92.9</v>
      </c>
      <c r="F85" s="874">
        <v>93</v>
      </c>
      <c r="G85" s="874">
        <v>93.1</v>
      </c>
      <c r="H85" s="874">
        <v>93.2</v>
      </c>
      <c r="I85" s="874">
        <v>93.3</v>
      </c>
      <c r="J85" s="875">
        <v>93.3</v>
      </c>
      <c r="K85" s="875">
        <v>93.4</v>
      </c>
      <c r="L85" s="875">
        <v>93.5</v>
      </c>
      <c r="M85" s="875">
        <v>93.6</v>
      </c>
      <c r="N85" s="875">
        <v>93.6</v>
      </c>
      <c r="O85" s="875">
        <v>93.7</v>
      </c>
    </row>
    <row r="86" spans="1:15">
      <c r="A86" s="873" t="s">
        <v>736</v>
      </c>
      <c r="B86" s="877" t="s">
        <v>1703</v>
      </c>
      <c r="C86" s="873" t="s">
        <v>287</v>
      </c>
      <c r="D86" s="873" t="s">
        <v>1704</v>
      </c>
      <c r="E86" s="874">
        <v>31.3</v>
      </c>
      <c r="F86" s="874">
        <v>31.2</v>
      </c>
      <c r="G86" s="874">
        <v>31.1</v>
      </c>
      <c r="H86" s="874">
        <v>31.1</v>
      </c>
      <c r="I86" s="874">
        <v>31.1</v>
      </c>
      <c r="J86" s="875">
        <v>31.1</v>
      </c>
      <c r="K86" s="875">
        <v>31.1</v>
      </c>
      <c r="L86" s="875">
        <v>31.1</v>
      </c>
      <c r="M86" s="875">
        <v>31.1</v>
      </c>
      <c r="N86" s="875">
        <v>31.2</v>
      </c>
      <c r="O86" s="875">
        <v>31.3</v>
      </c>
    </row>
    <row r="87" spans="1:15">
      <c r="A87" s="873" t="s">
        <v>764</v>
      </c>
      <c r="B87" s="877" t="s">
        <v>1703</v>
      </c>
      <c r="C87" s="873" t="s">
        <v>287</v>
      </c>
      <c r="D87" s="873" t="s">
        <v>1704</v>
      </c>
      <c r="E87" s="874">
        <v>3.6</v>
      </c>
      <c r="F87" s="874">
        <v>3.2</v>
      </c>
      <c r="G87" s="874">
        <v>2.9</v>
      </c>
      <c r="H87" s="874">
        <v>2.8</v>
      </c>
      <c r="I87" s="874">
        <v>2.7</v>
      </c>
      <c r="J87" s="875">
        <v>2.6</v>
      </c>
      <c r="K87" s="875">
        <v>2.6</v>
      </c>
      <c r="L87" s="875">
        <v>2.5</v>
      </c>
      <c r="M87" s="875">
        <v>2.4</v>
      </c>
      <c r="N87" s="875">
        <v>2.4</v>
      </c>
      <c r="O87" s="875">
        <v>2.2999999999999998</v>
      </c>
    </row>
    <row r="88" spans="1:15">
      <c r="A88" s="873" t="s">
        <v>775</v>
      </c>
      <c r="B88" s="877" t="s">
        <v>1703</v>
      </c>
      <c r="C88" s="873" t="s">
        <v>287</v>
      </c>
      <c r="D88" s="873" t="s">
        <v>1704</v>
      </c>
      <c r="E88" s="874">
        <v>32.799999999999997</v>
      </c>
      <c r="F88" s="874">
        <v>33.5</v>
      </c>
      <c r="G88" s="874">
        <v>34.200000000000003</v>
      </c>
      <c r="H88" s="874">
        <v>34.799999999999997</v>
      </c>
      <c r="I88" s="874">
        <v>35.5</v>
      </c>
      <c r="J88" s="875">
        <v>36.200000000000003</v>
      </c>
      <c r="K88" s="875">
        <v>36.799999999999997</v>
      </c>
      <c r="L88" s="875">
        <v>37.5</v>
      </c>
      <c r="M88" s="875">
        <v>38.1</v>
      </c>
      <c r="N88" s="875">
        <v>38.799999999999997</v>
      </c>
      <c r="O88" s="875">
        <v>39.4</v>
      </c>
    </row>
    <row r="89" spans="1:15">
      <c r="A89" s="873" t="s">
        <v>785</v>
      </c>
      <c r="B89" s="877" t="s">
        <v>1703</v>
      </c>
      <c r="C89" s="873" t="s">
        <v>287</v>
      </c>
      <c r="D89" s="873" t="s">
        <v>1704</v>
      </c>
      <c r="E89" s="874">
        <v>3.1</v>
      </c>
      <c r="F89" s="874">
        <v>3</v>
      </c>
      <c r="G89" s="874">
        <v>2.9</v>
      </c>
      <c r="H89" s="874">
        <v>2.8</v>
      </c>
      <c r="I89" s="874">
        <v>2.8</v>
      </c>
      <c r="J89" s="875">
        <v>2.7</v>
      </c>
      <c r="K89" s="875">
        <v>2.7</v>
      </c>
      <c r="L89" s="875">
        <v>2.7</v>
      </c>
      <c r="M89" s="875">
        <v>2.6</v>
      </c>
      <c r="N89" s="875">
        <v>2.6</v>
      </c>
      <c r="O89" s="875">
        <v>2.6</v>
      </c>
    </row>
    <row r="90" spans="1:15">
      <c r="A90" s="873" t="s">
        <v>789</v>
      </c>
      <c r="B90" s="877" t="s">
        <v>1703</v>
      </c>
      <c r="C90" s="873" t="s">
        <v>287</v>
      </c>
      <c r="D90" s="873" t="s">
        <v>1704</v>
      </c>
      <c r="E90" s="874">
        <v>86.2</v>
      </c>
      <c r="F90" s="874">
        <v>87.2</v>
      </c>
      <c r="G90" s="874">
        <v>88</v>
      </c>
      <c r="H90" s="874">
        <v>88.7</v>
      </c>
      <c r="I90" s="874">
        <v>89.5</v>
      </c>
      <c r="J90" s="875">
        <v>90.2</v>
      </c>
      <c r="K90" s="875">
        <v>90.9</v>
      </c>
      <c r="L90" s="875">
        <v>91.6</v>
      </c>
      <c r="M90" s="875">
        <v>92.3</v>
      </c>
      <c r="N90" s="875">
        <v>93</v>
      </c>
      <c r="O90" s="875">
        <v>93.6</v>
      </c>
    </row>
    <row r="91" spans="1:15">
      <c r="A91" s="873" t="s">
        <v>458</v>
      </c>
      <c r="B91" s="877" t="s">
        <v>1703</v>
      </c>
      <c r="C91" s="873" t="s">
        <v>287</v>
      </c>
      <c r="D91" s="873" t="s">
        <v>1704</v>
      </c>
      <c r="E91" s="874">
        <v>77.099999999999994</v>
      </c>
      <c r="F91" s="874">
        <v>76</v>
      </c>
      <c r="G91" s="874">
        <v>75.400000000000006</v>
      </c>
      <c r="H91" s="874">
        <v>74.8</v>
      </c>
      <c r="I91" s="874">
        <v>74.2</v>
      </c>
      <c r="J91" s="875">
        <v>73.7</v>
      </c>
      <c r="K91" s="875">
        <v>73.3</v>
      </c>
      <c r="L91" s="875">
        <v>72.900000000000006</v>
      </c>
      <c r="M91" s="875">
        <v>72.5</v>
      </c>
      <c r="N91" s="875">
        <v>72.2</v>
      </c>
      <c r="O91" s="875">
        <v>71.900000000000006</v>
      </c>
    </row>
    <row r="92" spans="1:15">
      <c r="A92" s="873" t="s">
        <v>167</v>
      </c>
      <c r="B92" s="877" t="s">
        <v>1703</v>
      </c>
      <c r="C92" s="873" t="s">
        <v>287</v>
      </c>
      <c r="D92" s="873" t="s">
        <v>1704</v>
      </c>
      <c r="E92" s="874">
        <v>91.5</v>
      </c>
      <c r="F92" s="874">
        <v>91.7</v>
      </c>
      <c r="G92" s="874">
        <v>91.7</v>
      </c>
      <c r="H92" s="874">
        <v>91.8</v>
      </c>
      <c r="I92" s="874">
        <v>91.9</v>
      </c>
      <c r="J92" s="875">
        <v>92</v>
      </c>
      <c r="K92" s="875">
        <v>92.1</v>
      </c>
      <c r="L92" s="875">
        <v>92.2</v>
      </c>
      <c r="M92" s="875">
        <v>92.3</v>
      </c>
      <c r="N92" s="875">
        <v>92.4</v>
      </c>
      <c r="O92" s="875">
        <v>92.6</v>
      </c>
    </row>
    <row r="93" spans="1:15">
      <c r="A93" s="873" t="s">
        <v>411</v>
      </c>
      <c r="B93" s="877" t="s">
        <v>1703</v>
      </c>
      <c r="C93" s="873" t="s">
        <v>287</v>
      </c>
      <c r="D93" s="873" t="s">
        <v>1704</v>
      </c>
      <c r="E93" s="874">
        <v>84.6</v>
      </c>
      <c r="F93" s="874">
        <v>85.8</v>
      </c>
      <c r="G93" s="874">
        <v>85</v>
      </c>
      <c r="H93" s="874">
        <v>85.7</v>
      </c>
      <c r="I93" s="874">
        <v>86</v>
      </c>
      <c r="J93" s="875">
        <v>86.2</v>
      </c>
      <c r="K93" s="875">
        <v>86.5</v>
      </c>
      <c r="L93" s="875">
        <v>86.8</v>
      </c>
      <c r="M93" s="875">
        <v>87</v>
      </c>
      <c r="N93" s="875">
        <v>87.2</v>
      </c>
      <c r="O93" s="875">
        <v>87.4</v>
      </c>
    </row>
    <row r="94" spans="1:15">
      <c r="A94" s="873" t="s">
        <v>425</v>
      </c>
      <c r="B94" s="877" t="s">
        <v>1703</v>
      </c>
      <c r="C94" s="873" t="s">
        <v>287</v>
      </c>
      <c r="D94" s="873" t="s">
        <v>1704</v>
      </c>
      <c r="E94" s="874">
        <v>82</v>
      </c>
      <c r="F94" s="874">
        <v>82.8</v>
      </c>
      <c r="G94" s="874">
        <v>84</v>
      </c>
      <c r="H94" s="874">
        <v>84.7</v>
      </c>
      <c r="I94" s="874">
        <v>85.4</v>
      </c>
      <c r="J94" s="875">
        <v>86.1</v>
      </c>
      <c r="K94" s="875">
        <v>86.7</v>
      </c>
      <c r="L94" s="875">
        <v>87.3</v>
      </c>
      <c r="M94" s="875">
        <v>87.9</v>
      </c>
      <c r="N94" s="875">
        <v>88.4</v>
      </c>
      <c r="O94" s="875">
        <v>88.9</v>
      </c>
    </row>
    <row r="95" spans="1:15">
      <c r="A95" s="873" t="s">
        <v>493</v>
      </c>
      <c r="B95" s="877" t="s">
        <v>1703</v>
      </c>
      <c r="C95" s="873" t="s">
        <v>287</v>
      </c>
      <c r="D95" s="873" t="s">
        <v>1704</v>
      </c>
      <c r="E95" s="874">
        <v>79.8</v>
      </c>
      <c r="F95" s="874">
        <v>80.2</v>
      </c>
      <c r="G95" s="874">
        <v>80.5</v>
      </c>
      <c r="H95" s="874">
        <v>80.900000000000006</v>
      </c>
      <c r="I95" s="874">
        <v>81.2</v>
      </c>
      <c r="J95" s="875">
        <v>81.599999999999994</v>
      </c>
      <c r="K95" s="875">
        <v>81.900000000000006</v>
      </c>
      <c r="L95" s="875">
        <v>82.2</v>
      </c>
      <c r="M95" s="875">
        <v>82.6</v>
      </c>
      <c r="N95" s="875">
        <v>82.9</v>
      </c>
      <c r="O95" s="875">
        <v>83.2</v>
      </c>
    </row>
    <row r="96" spans="1:15">
      <c r="A96" s="873" t="s">
        <v>521</v>
      </c>
      <c r="B96" s="877" t="s">
        <v>1703</v>
      </c>
      <c r="C96" s="873" t="s">
        <v>287</v>
      </c>
      <c r="D96" s="873" t="s">
        <v>1704</v>
      </c>
      <c r="E96" s="874">
        <v>80.2</v>
      </c>
      <c r="F96" s="874">
        <v>80.599999999999994</v>
      </c>
      <c r="G96" s="874">
        <v>81</v>
      </c>
      <c r="H96" s="874">
        <v>81.3</v>
      </c>
      <c r="I96" s="874">
        <v>81.7</v>
      </c>
      <c r="J96" s="875">
        <v>82</v>
      </c>
      <c r="K96" s="875">
        <v>82.4</v>
      </c>
      <c r="L96" s="875">
        <v>82.7</v>
      </c>
      <c r="M96" s="875">
        <v>83.1</v>
      </c>
      <c r="N96" s="875">
        <v>83.4</v>
      </c>
      <c r="O96" s="875">
        <v>83.7</v>
      </c>
    </row>
    <row r="97" spans="1:15">
      <c r="A97" s="873" t="s">
        <v>523</v>
      </c>
      <c r="B97" s="877" t="s">
        <v>1703</v>
      </c>
      <c r="C97" s="873" t="s">
        <v>287</v>
      </c>
      <c r="D97" s="873" t="s">
        <v>1704</v>
      </c>
      <c r="E97" s="874">
        <v>82.1</v>
      </c>
      <c r="F97" s="874">
        <v>82.3</v>
      </c>
      <c r="G97" s="874">
        <v>83</v>
      </c>
      <c r="H97" s="874">
        <v>83</v>
      </c>
      <c r="I97" s="874">
        <v>83.1</v>
      </c>
      <c r="J97" s="875">
        <v>83.3</v>
      </c>
      <c r="K97" s="875">
        <v>83.4</v>
      </c>
      <c r="L97" s="875">
        <v>83.5</v>
      </c>
      <c r="M97" s="875">
        <v>83.6</v>
      </c>
      <c r="N97" s="875">
        <v>83.7</v>
      </c>
      <c r="O97" s="875">
        <v>83.8</v>
      </c>
    </row>
    <row r="98" spans="1:15">
      <c r="A98" s="873" t="s">
        <v>229</v>
      </c>
      <c r="B98" s="877" t="s">
        <v>1703</v>
      </c>
      <c r="C98" s="873" t="s">
        <v>287</v>
      </c>
      <c r="D98" s="873" t="s">
        <v>1704</v>
      </c>
      <c r="E98" s="874">
        <v>77.400000000000006</v>
      </c>
      <c r="F98" s="874">
        <v>77.599999999999994</v>
      </c>
      <c r="G98" s="874">
        <v>77.8</v>
      </c>
      <c r="H98" s="874">
        <v>77.900000000000006</v>
      </c>
      <c r="I98" s="874">
        <v>78.099999999999994</v>
      </c>
      <c r="J98" s="875">
        <v>78.3</v>
      </c>
      <c r="K98" s="875">
        <v>78.400000000000006</v>
      </c>
      <c r="L98" s="875">
        <v>78.599999999999994</v>
      </c>
      <c r="M98" s="875">
        <v>78.8</v>
      </c>
      <c r="N98" s="875">
        <v>78.900000000000006</v>
      </c>
      <c r="O98" s="875">
        <v>79.099999999999994</v>
      </c>
    </row>
    <row r="99" spans="1:15">
      <c r="A99" s="873" t="s">
        <v>538</v>
      </c>
      <c r="B99" s="877" t="s">
        <v>1703</v>
      </c>
      <c r="C99" s="873" t="s">
        <v>287</v>
      </c>
      <c r="D99" s="873" t="s">
        <v>1704</v>
      </c>
      <c r="E99" s="874">
        <v>67.2</v>
      </c>
      <c r="F99" s="874">
        <v>69.7</v>
      </c>
      <c r="G99" s="874">
        <v>70</v>
      </c>
      <c r="H99" s="874">
        <v>71.099999999999994</v>
      </c>
      <c r="I99" s="874">
        <v>72.2</v>
      </c>
      <c r="J99" s="875">
        <v>73.2</v>
      </c>
      <c r="K99" s="875">
        <v>74.2</v>
      </c>
      <c r="L99" s="875">
        <v>75</v>
      </c>
      <c r="M99" s="875">
        <v>75.900000000000006</v>
      </c>
      <c r="N99" s="875">
        <v>76.599999999999994</v>
      </c>
      <c r="O99" s="875">
        <v>77.3</v>
      </c>
    </row>
    <row r="100" spans="1:15">
      <c r="A100" s="873" t="s">
        <v>571</v>
      </c>
      <c r="B100" s="877" t="s">
        <v>1703</v>
      </c>
      <c r="C100" s="873" t="s">
        <v>287</v>
      </c>
      <c r="D100" s="873" t="s">
        <v>1704</v>
      </c>
      <c r="E100" s="874">
        <v>89</v>
      </c>
      <c r="F100" s="874">
        <v>91</v>
      </c>
      <c r="G100" s="874">
        <v>92.9</v>
      </c>
      <c r="H100" s="874">
        <v>93.4</v>
      </c>
      <c r="I100" s="874">
        <v>94</v>
      </c>
      <c r="J100" s="875">
        <v>94.6</v>
      </c>
      <c r="K100" s="875">
        <v>95.2</v>
      </c>
      <c r="L100" s="875">
        <v>95.7</v>
      </c>
      <c r="M100" s="875">
        <v>96.2</v>
      </c>
      <c r="N100" s="875">
        <v>96.7</v>
      </c>
      <c r="O100" s="875">
        <v>97.1</v>
      </c>
    </row>
    <row r="101" spans="1:15">
      <c r="A101" s="873" t="s">
        <v>577</v>
      </c>
      <c r="B101" s="877" t="s">
        <v>1703</v>
      </c>
      <c r="C101" s="873" t="s">
        <v>287</v>
      </c>
      <c r="D101" s="873" t="s">
        <v>1704</v>
      </c>
      <c r="E101" s="874">
        <v>79.099999999999994</v>
      </c>
      <c r="F101" s="874">
        <v>81.099999999999994</v>
      </c>
      <c r="G101" s="874">
        <v>80.900000000000006</v>
      </c>
      <c r="H101" s="874">
        <v>81.099999999999994</v>
      </c>
      <c r="I101" s="874">
        <v>81.3</v>
      </c>
      <c r="J101" s="875">
        <v>81.5</v>
      </c>
      <c r="K101" s="875">
        <v>81.8</v>
      </c>
      <c r="L101" s="875">
        <v>82</v>
      </c>
      <c r="M101" s="875">
        <v>82.3</v>
      </c>
      <c r="N101" s="875">
        <v>82.6</v>
      </c>
      <c r="O101" s="875">
        <v>82.8</v>
      </c>
    </row>
    <row r="102" spans="1:15">
      <c r="A102" s="873" t="s">
        <v>662</v>
      </c>
      <c r="B102" s="877" t="s">
        <v>1703</v>
      </c>
      <c r="C102" s="873" t="s">
        <v>287</v>
      </c>
      <c r="D102" s="873" t="s">
        <v>1704</v>
      </c>
      <c r="E102" s="874">
        <v>83.9</v>
      </c>
      <c r="F102" s="874">
        <v>84.2</v>
      </c>
      <c r="G102" s="874">
        <v>84.5</v>
      </c>
      <c r="H102" s="874">
        <v>84.7</v>
      </c>
      <c r="I102" s="874">
        <v>85</v>
      </c>
      <c r="J102" s="875">
        <v>85.3</v>
      </c>
      <c r="K102" s="875">
        <v>85.5</v>
      </c>
      <c r="L102" s="875">
        <v>85.8</v>
      </c>
      <c r="M102" s="875">
        <v>86.1</v>
      </c>
      <c r="N102" s="875">
        <v>86.3</v>
      </c>
      <c r="O102" s="875">
        <v>86.6</v>
      </c>
    </row>
    <row r="103" spans="1:15">
      <c r="A103" s="873" t="s">
        <v>678</v>
      </c>
      <c r="B103" s="877" t="s">
        <v>1703</v>
      </c>
      <c r="C103" s="873" t="s">
        <v>287</v>
      </c>
      <c r="D103" s="873" t="s">
        <v>1704</v>
      </c>
      <c r="E103" s="874">
        <v>85.8</v>
      </c>
      <c r="F103" s="874">
        <v>86.3</v>
      </c>
      <c r="G103" s="874">
        <v>86.7</v>
      </c>
      <c r="H103" s="874">
        <v>87.1</v>
      </c>
      <c r="I103" s="874">
        <v>87.5</v>
      </c>
      <c r="J103" s="875">
        <v>87.9</v>
      </c>
      <c r="K103" s="875">
        <v>88.3</v>
      </c>
      <c r="L103" s="875">
        <v>88.6</v>
      </c>
      <c r="M103" s="875">
        <v>89</v>
      </c>
      <c r="N103" s="875">
        <v>89.3</v>
      </c>
      <c r="O103" s="875">
        <v>89.7</v>
      </c>
    </row>
    <row r="104" spans="1:15">
      <c r="A104" s="873" t="s">
        <v>697</v>
      </c>
      <c r="B104" s="877" t="s">
        <v>1703</v>
      </c>
      <c r="C104" s="873" t="s">
        <v>287</v>
      </c>
      <c r="D104" s="873" t="s">
        <v>1704</v>
      </c>
      <c r="E104" s="874">
        <v>79.400000000000006</v>
      </c>
      <c r="F104" s="874">
        <v>79.8</v>
      </c>
      <c r="G104" s="874">
        <v>80.3</v>
      </c>
      <c r="H104" s="874">
        <v>80.8</v>
      </c>
      <c r="I104" s="874">
        <v>81.2</v>
      </c>
      <c r="J104" s="875">
        <v>81.7</v>
      </c>
      <c r="K104" s="875">
        <v>82.2</v>
      </c>
      <c r="L104" s="875">
        <v>82.7</v>
      </c>
      <c r="M104" s="875">
        <v>83.1</v>
      </c>
      <c r="N104" s="875">
        <v>83.5</v>
      </c>
      <c r="O104" s="875">
        <v>84</v>
      </c>
    </row>
    <row r="105" spans="1:15">
      <c r="A105" s="873" t="s">
        <v>740</v>
      </c>
      <c r="B105" s="877" t="s">
        <v>1703</v>
      </c>
      <c r="C105" s="873" t="s">
        <v>287</v>
      </c>
      <c r="D105" s="873" t="s">
        <v>1704</v>
      </c>
      <c r="E105" s="874">
        <v>80.900000000000006</v>
      </c>
      <c r="F105" s="874">
        <v>81.2</v>
      </c>
      <c r="G105" s="874">
        <v>81.5</v>
      </c>
      <c r="H105" s="874">
        <v>81.8</v>
      </c>
      <c r="I105" s="874">
        <v>82.2</v>
      </c>
      <c r="J105" s="875">
        <v>82.5</v>
      </c>
      <c r="K105" s="875">
        <v>82.8</v>
      </c>
      <c r="L105" s="875">
        <v>83.2</v>
      </c>
      <c r="M105" s="875">
        <v>83.5</v>
      </c>
      <c r="N105" s="875">
        <v>83.8</v>
      </c>
      <c r="O105" s="875">
        <v>84.2</v>
      </c>
    </row>
    <row r="106" spans="1:15">
      <c r="A106" s="873" t="s">
        <v>756</v>
      </c>
      <c r="B106" s="877" t="s">
        <v>1703</v>
      </c>
      <c r="C106" s="873" t="s">
        <v>287</v>
      </c>
      <c r="D106" s="873" t="s">
        <v>1704</v>
      </c>
      <c r="E106" s="874">
        <v>82.7</v>
      </c>
      <c r="F106" s="874">
        <v>82.7</v>
      </c>
      <c r="G106" s="874">
        <v>82.8</v>
      </c>
      <c r="H106" s="874">
        <v>82.9</v>
      </c>
      <c r="I106" s="874">
        <v>83</v>
      </c>
      <c r="J106" s="875">
        <v>83.2</v>
      </c>
      <c r="K106" s="875">
        <v>83.3</v>
      </c>
      <c r="L106" s="875">
        <v>83.4</v>
      </c>
      <c r="M106" s="875">
        <v>83.6</v>
      </c>
      <c r="N106" s="875">
        <v>83.7</v>
      </c>
      <c r="O106" s="875">
        <v>83.9</v>
      </c>
    </row>
    <row r="107" spans="1:15">
      <c r="A107" s="873" t="s">
        <v>758</v>
      </c>
      <c r="B107" s="877" t="s">
        <v>1703</v>
      </c>
      <c r="C107" s="873" t="s">
        <v>287</v>
      </c>
      <c r="D107" s="873" t="s">
        <v>1704</v>
      </c>
      <c r="E107" s="874">
        <v>79</v>
      </c>
      <c r="F107" s="874">
        <v>78.7</v>
      </c>
      <c r="G107" s="874">
        <v>78.7</v>
      </c>
      <c r="H107" s="874">
        <v>78.8</v>
      </c>
      <c r="I107" s="874">
        <v>78.900000000000006</v>
      </c>
      <c r="J107" s="875">
        <v>78.900000000000006</v>
      </c>
      <c r="K107" s="875">
        <v>79</v>
      </c>
      <c r="L107" s="875">
        <v>79.099999999999994</v>
      </c>
      <c r="M107" s="875">
        <v>79.2</v>
      </c>
      <c r="N107" s="875">
        <v>79.2</v>
      </c>
      <c r="O107" s="875">
        <v>79.3</v>
      </c>
    </row>
    <row r="108" spans="1:15">
      <c r="A108" s="873" t="s">
        <v>1124</v>
      </c>
      <c r="B108" s="877" t="s">
        <v>1703</v>
      </c>
      <c r="C108" s="873" t="s">
        <v>287</v>
      </c>
      <c r="D108" s="873" t="s">
        <v>1704</v>
      </c>
      <c r="E108" s="874">
        <v>46.3</v>
      </c>
      <c r="F108" s="874">
        <v>45.9</v>
      </c>
      <c r="G108" s="874">
        <v>46.2</v>
      </c>
      <c r="H108" s="874">
        <v>48.9</v>
      </c>
      <c r="I108" s="874">
        <v>49.8</v>
      </c>
      <c r="J108" s="875">
        <v>50.9</v>
      </c>
      <c r="K108" s="875">
        <v>52</v>
      </c>
      <c r="L108" s="875">
        <v>53</v>
      </c>
      <c r="M108" s="875">
        <v>53.9</v>
      </c>
      <c r="N108" s="875">
        <v>54.8</v>
      </c>
      <c r="O108" s="875">
        <v>55.7</v>
      </c>
    </row>
    <row r="109" spans="1:15">
      <c r="A109" s="873" t="s">
        <v>791</v>
      </c>
      <c r="B109" s="877" t="s">
        <v>1703</v>
      </c>
      <c r="C109" s="873" t="s">
        <v>287</v>
      </c>
      <c r="D109" s="873" t="s">
        <v>1704</v>
      </c>
      <c r="E109" s="874">
        <v>80</v>
      </c>
      <c r="F109" s="874">
        <v>81</v>
      </c>
      <c r="G109" s="874">
        <v>80</v>
      </c>
      <c r="H109" s="874">
        <v>80.3</v>
      </c>
      <c r="I109" s="874">
        <v>80.5</v>
      </c>
      <c r="J109" s="875">
        <v>80.7</v>
      </c>
      <c r="K109" s="875">
        <v>81</v>
      </c>
      <c r="L109" s="875">
        <v>81.3</v>
      </c>
      <c r="M109" s="875">
        <v>81.599999999999994</v>
      </c>
      <c r="N109" s="875">
        <v>82</v>
      </c>
      <c r="O109" s="875">
        <v>82.3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D1FDC-DA47-42AA-B9F0-66D6B8903B2F}">
  <dimension ref="A1:X267"/>
  <sheetViews>
    <sheetView showGridLines="0" zoomScale="40" zoomScaleNormal="40" workbookViewId="0">
      <selection activeCell="Q45" sqref="Q45"/>
    </sheetView>
  </sheetViews>
  <sheetFormatPr baseColWidth="10" defaultColWidth="8.83203125" defaultRowHeight="15"/>
  <cols>
    <col min="1" max="1" width="22.5" bestFit="1" customWidth="1"/>
  </cols>
  <sheetData>
    <row r="1" spans="1:24" ht="16">
      <c r="A1" s="636" t="s">
        <v>363</v>
      </c>
      <c r="B1" s="637" t="s">
        <v>364</v>
      </c>
      <c r="C1" s="636" t="s">
        <v>365</v>
      </c>
      <c r="D1" s="637" t="s">
        <v>366</v>
      </c>
      <c r="E1" s="636" t="s">
        <v>367</v>
      </c>
      <c r="F1" s="636" t="s">
        <v>368</v>
      </c>
      <c r="G1" s="636" t="s">
        <v>369</v>
      </c>
      <c r="H1" s="636" t="s">
        <v>370</v>
      </c>
      <c r="I1" s="636" t="s">
        <v>371</v>
      </c>
      <c r="J1" s="636" t="s">
        <v>372</v>
      </c>
      <c r="K1" s="636" t="s">
        <v>373</v>
      </c>
      <c r="L1" s="636" t="s">
        <v>374</v>
      </c>
      <c r="M1" s="636" t="s">
        <v>375</v>
      </c>
      <c r="N1" s="636" t="s">
        <v>376</v>
      </c>
      <c r="O1" s="636" t="s">
        <v>377</v>
      </c>
      <c r="P1" s="636" t="s">
        <v>378</v>
      </c>
      <c r="Q1" s="636" t="s">
        <v>379</v>
      </c>
      <c r="R1" s="636" t="s">
        <v>380</v>
      </c>
      <c r="S1" s="636" t="s">
        <v>381</v>
      </c>
      <c r="T1" s="636" t="s">
        <v>382</v>
      </c>
      <c r="U1" s="636" t="s">
        <v>383</v>
      </c>
      <c r="V1" s="636" t="s">
        <v>384</v>
      </c>
      <c r="W1" s="636" t="s">
        <v>385</v>
      </c>
      <c r="X1" s="636" t="s">
        <v>386</v>
      </c>
    </row>
    <row r="2" spans="1:24" ht="16">
      <c r="A2" s="634" t="s">
        <v>387</v>
      </c>
      <c r="B2" s="635" t="s">
        <v>388</v>
      </c>
      <c r="C2" s="634" t="s">
        <v>389</v>
      </c>
      <c r="D2" s="635" t="s">
        <v>390</v>
      </c>
      <c r="E2" s="634">
        <v>11.229714827285903</v>
      </c>
      <c r="F2" s="634">
        <v>5.3574032474859195</v>
      </c>
      <c r="G2" s="634">
        <v>13.826319547128136</v>
      </c>
      <c r="H2" s="634">
        <v>3.9249838199946652</v>
      </c>
      <c r="I2" s="634">
        <v>21.39052839264923</v>
      </c>
      <c r="J2" s="634">
        <v>14.362441471073723</v>
      </c>
      <c r="K2" s="634">
        <v>0.42635477677734457</v>
      </c>
      <c r="L2" s="634">
        <v>12.752287092669732</v>
      </c>
      <c r="M2" s="634">
        <v>5.6007446586322089</v>
      </c>
      <c r="N2" s="634">
        <v>2.7245433621956465</v>
      </c>
      <c r="O2" s="634">
        <v>1.451314660664309</v>
      </c>
      <c r="P2" s="634">
        <v>2.260314202798213</v>
      </c>
      <c r="Q2" s="634">
        <v>2.6470032027450969</v>
      </c>
      <c r="R2" s="634">
        <v>1.1892281294451692</v>
      </c>
      <c r="S2" s="634">
        <v>3.9116034162555167</v>
      </c>
      <c r="T2" s="634">
        <v>-2.3511006720346614</v>
      </c>
      <c r="U2" s="634">
        <v>-20.738839367634327</v>
      </c>
      <c r="V2" s="634">
        <v>-6.2401719924026935</v>
      </c>
      <c r="W2" s="634">
        <v>2.2669437364918821</v>
      </c>
      <c r="X2" s="634" t="s">
        <v>1705</v>
      </c>
    </row>
    <row r="3" spans="1:24" ht="16">
      <c r="A3" s="634" t="s">
        <v>387</v>
      </c>
      <c r="B3" s="635" t="s">
        <v>388</v>
      </c>
      <c r="C3" s="634" t="s">
        <v>391</v>
      </c>
      <c r="D3" s="635" t="s">
        <v>392</v>
      </c>
      <c r="E3" s="634">
        <v>5.1308219305618934</v>
      </c>
      <c r="F3" s="634">
        <v>6.0189812403863954</v>
      </c>
      <c r="G3" s="634">
        <v>6.5000926115820903</v>
      </c>
      <c r="H3" s="634">
        <v>6.9070623071370676</v>
      </c>
      <c r="I3" s="634">
        <v>2.6907515236214579</v>
      </c>
      <c r="J3" s="634">
        <v>2.9731544268124708</v>
      </c>
      <c r="K3" s="634">
        <v>2.4635168391571369</v>
      </c>
      <c r="L3" s="634">
        <v>0.98412988020410808</v>
      </c>
      <c r="M3" s="634">
        <v>1.7072283175405971</v>
      </c>
      <c r="N3" s="634">
        <v>2.2402269538264221</v>
      </c>
      <c r="O3" s="634">
        <v>2.2277040745779004</v>
      </c>
      <c r="P3" s="634">
        <v>3.9089355136224526</v>
      </c>
      <c r="Q3" s="634">
        <v>3.2831759333007255</v>
      </c>
      <c r="R3" s="634">
        <v>3.6714192809890847</v>
      </c>
      <c r="S3" s="634">
        <v>2.062577901761216</v>
      </c>
      <c r="T3" s="634">
        <v>-3.3137563688891589</v>
      </c>
      <c r="U3" s="634">
        <v>8.9695761907409519</v>
      </c>
      <c r="V3" s="634">
        <v>4.8266961191276465</v>
      </c>
      <c r="W3" s="634">
        <v>3.9366168919259934</v>
      </c>
      <c r="X3" s="634">
        <v>3.9617191122371338</v>
      </c>
    </row>
    <row r="4" spans="1:24" ht="16">
      <c r="A4" s="634" t="s">
        <v>387</v>
      </c>
      <c r="B4" s="635" t="s">
        <v>388</v>
      </c>
      <c r="C4" s="634" t="s">
        <v>393</v>
      </c>
      <c r="D4" s="635" t="s">
        <v>394</v>
      </c>
      <c r="E4" s="634">
        <v>5.3999999996952539</v>
      </c>
      <c r="F4" s="634">
        <v>2.8999999990585223</v>
      </c>
      <c r="G4" s="634">
        <v>3.1000000012867446</v>
      </c>
      <c r="H4" s="634">
        <v>2.4999999992937063</v>
      </c>
      <c r="I4" s="634">
        <v>1.1999999996951942</v>
      </c>
      <c r="J4" s="634">
        <v>4.8000000009356398</v>
      </c>
      <c r="K4" s="634">
        <v>2.9999999994190887</v>
      </c>
      <c r="L4" s="634">
        <v>2.4000000003443205</v>
      </c>
      <c r="M4" s="634">
        <v>2.6000000006116437</v>
      </c>
      <c r="N4" s="634">
        <v>4.0999999986650124</v>
      </c>
      <c r="O4" s="634">
        <v>3.2000000008902276</v>
      </c>
      <c r="P4" s="634">
        <v>3.9000000001762061</v>
      </c>
      <c r="Q4" s="634">
        <v>1.4999999989558717</v>
      </c>
      <c r="R4" s="634">
        <v>1.4000000008828124</v>
      </c>
      <c r="S4" s="634">
        <v>0.89999999921914764</v>
      </c>
      <c r="T4" s="634">
        <v>-4.999999999085972</v>
      </c>
      <c r="U4" s="634">
        <v>3.7999999990070705</v>
      </c>
      <c r="V4" s="634">
        <v>3.6000000009491515</v>
      </c>
      <c r="W4" s="634">
        <v>4.1000000000596373</v>
      </c>
      <c r="X4" s="634">
        <v>3.2999999993960927</v>
      </c>
    </row>
    <row r="5" spans="1:24" ht="16">
      <c r="A5" s="634" t="s">
        <v>387</v>
      </c>
      <c r="B5" s="635" t="s">
        <v>388</v>
      </c>
      <c r="C5" s="634" t="s">
        <v>395</v>
      </c>
      <c r="D5" s="635" t="s">
        <v>396</v>
      </c>
      <c r="E5" s="634">
        <v>-0.40816326530612912</v>
      </c>
      <c r="F5" s="634">
        <v>-4.0983606557377072</v>
      </c>
      <c r="G5" s="634">
        <v>1.8518518518518619</v>
      </c>
      <c r="H5" s="634">
        <v>-2.6573426573426531</v>
      </c>
      <c r="I5" s="634">
        <v>-4.1666666666666572</v>
      </c>
      <c r="J5" s="634">
        <v>0.29985007496252081</v>
      </c>
      <c r="K5" s="634">
        <v>0</v>
      </c>
      <c r="L5" s="634">
        <v>-4.3348281016442485</v>
      </c>
      <c r="M5" s="634">
        <v>-2.5</v>
      </c>
      <c r="N5" s="634">
        <v>1.762820512820511</v>
      </c>
      <c r="O5" s="634">
        <v>3.1496062992125928</v>
      </c>
      <c r="P5" s="634">
        <v>-1.6793893129770936</v>
      </c>
      <c r="Q5" s="634">
        <v>-6.9875776397515494</v>
      </c>
      <c r="R5" s="634">
        <v>2.6711185308847973</v>
      </c>
      <c r="S5" s="634">
        <v>-0.48780487804877737</v>
      </c>
      <c r="T5" s="634">
        <v>4.4117647058823621</v>
      </c>
      <c r="U5" s="634">
        <v>-0.78247261345852337</v>
      </c>
      <c r="V5" s="634">
        <v>1.7350157728706534</v>
      </c>
      <c r="W5" s="634" t="s">
        <v>1705</v>
      </c>
      <c r="X5" s="634" t="s">
        <v>1705</v>
      </c>
    </row>
    <row r="6" spans="1:24" ht="16">
      <c r="A6" s="634" t="s">
        <v>387</v>
      </c>
      <c r="B6" s="635" t="s">
        <v>388</v>
      </c>
      <c r="C6" s="634" t="s">
        <v>397</v>
      </c>
      <c r="D6" s="635" t="s">
        <v>398</v>
      </c>
      <c r="E6" s="634">
        <v>5.3977959850042225</v>
      </c>
      <c r="F6" s="634">
        <v>4.8086886991692097</v>
      </c>
      <c r="G6" s="634">
        <v>1.5531881410322228</v>
      </c>
      <c r="H6" s="634">
        <v>-5.5591863685058058</v>
      </c>
      <c r="I6" s="634">
        <v>-5.3028465434829144</v>
      </c>
      <c r="J6" s="634">
        <v>-1.974957999653455</v>
      </c>
      <c r="K6" s="634">
        <v>-8.0697534113909342E-3</v>
      </c>
      <c r="L6" s="634">
        <v>-4.9744437185350279</v>
      </c>
      <c r="M6" s="634">
        <v>-3.5475965154934386</v>
      </c>
      <c r="N6" s="634">
        <v>2.5044655211451783</v>
      </c>
      <c r="O6" s="634">
        <v>1.4341403952271605</v>
      </c>
      <c r="P6" s="634">
        <v>3.7096780697898595</v>
      </c>
      <c r="Q6" s="634">
        <v>0.346071889630295</v>
      </c>
      <c r="R6" s="634">
        <v>1.588765490463544</v>
      </c>
      <c r="S6" s="634">
        <v>2.0155476384830848</v>
      </c>
      <c r="T6" s="634">
        <v>-11.18393993553839</v>
      </c>
      <c r="U6" s="634">
        <v>8.28677879049404</v>
      </c>
      <c r="V6" s="634">
        <v>9.564612256481837</v>
      </c>
      <c r="W6" s="634">
        <v>2.5835548096131902</v>
      </c>
      <c r="X6" s="634">
        <v>3.3718203263899795</v>
      </c>
    </row>
    <row r="7" spans="1:24" ht="16">
      <c r="A7" s="634" t="s">
        <v>387</v>
      </c>
      <c r="B7" s="635" t="s">
        <v>388</v>
      </c>
      <c r="C7" s="634" t="s">
        <v>399</v>
      </c>
      <c r="D7" s="635" t="s">
        <v>400</v>
      </c>
      <c r="E7" s="634">
        <v>15.029999990551318</v>
      </c>
      <c r="F7" s="634">
        <v>11.549999997879027</v>
      </c>
      <c r="G7" s="634">
        <v>14.0100000086059</v>
      </c>
      <c r="H7" s="634">
        <v>11.169999994214635</v>
      </c>
      <c r="I7" s="634">
        <v>0.8600000021527876</v>
      </c>
      <c r="J7" s="634">
        <v>4.3983759381076339</v>
      </c>
      <c r="K7" s="634">
        <v>3.472053147981029</v>
      </c>
      <c r="L7" s="634">
        <v>8.5421070758414146</v>
      </c>
      <c r="M7" s="634">
        <v>4.9546130311273799</v>
      </c>
      <c r="N7" s="634">
        <v>4.8225592696215642</v>
      </c>
      <c r="O7" s="634">
        <v>0.94357156132500108</v>
      </c>
      <c r="P7" s="634">
        <v>-2.5800496440493248</v>
      </c>
      <c r="Q7" s="634">
        <v>-0.14721294108575478</v>
      </c>
      <c r="R7" s="634">
        <v>-1.3163616889689536</v>
      </c>
      <c r="S7" s="634">
        <v>-0.70227295761601738</v>
      </c>
      <c r="T7" s="634">
        <v>-5.6382147171493386</v>
      </c>
      <c r="U7" s="634">
        <v>1.1992105214515334</v>
      </c>
      <c r="V7" s="634">
        <v>3.0447265239191807</v>
      </c>
      <c r="W7" s="634">
        <v>1.0780995197067256</v>
      </c>
      <c r="X7" s="634">
        <v>4.423904529447455</v>
      </c>
    </row>
    <row r="8" spans="1:24" ht="16">
      <c r="A8" s="634" t="s">
        <v>387</v>
      </c>
      <c r="B8" s="635" t="s">
        <v>388</v>
      </c>
      <c r="C8" s="634" t="s">
        <v>401</v>
      </c>
      <c r="D8" s="635" t="s">
        <v>402</v>
      </c>
      <c r="E8" s="634">
        <v>6.4736894178174111</v>
      </c>
      <c r="F8" s="634">
        <v>12.708147487362481</v>
      </c>
      <c r="G8" s="634">
        <v>9.3151827231568518</v>
      </c>
      <c r="H8" s="634">
        <v>-1.4006598185176244E-2</v>
      </c>
      <c r="I8" s="634">
        <v>-11.962879470347104</v>
      </c>
      <c r="J8" s="634">
        <v>-7.840506837309718</v>
      </c>
      <c r="K8" s="634">
        <v>-1.9587426221757198</v>
      </c>
      <c r="L8" s="634">
        <v>3.3731427394795901</v>
      </c>
      <c r="M8" s="634">
        <v>-0.60098232959936126</v>
      </c>
      <c r="N8" s="634">
        <v>2.1982918873879669</v>
      </c>
      <c r="O8" s="634">
        <v>1.4216199759537176</v>
      </c>
      <c r="P8" s="634">
        <v>4.1203675438060969</v>
      </c>
      <c r="Q8" s="634">
        <v>2.7127265797362696</v>
      </c>
      <c r="R8" s="634">
        <v>6.7120048715972587</v>
      </c>
      <c r="S8" s="634">
        <v>3.1722219373937008</v>
      </c>
      <c r="T8" s="634">
        <v>-18.868776520814791</v>
      </c>
      <c r="U8" s="634">
        <v>8.1728631118662207</v>
      </c>
      <c r="V8" s="634">
        <v>9.1078062338595771</v>
      </c>
      <c r="W8" s="634">
        <v>2.4273630011033589</v>
      </c>
      <c r="X8" s="634">
        <v>4.3275214503640171</v>
      </c>
    </row>
    <row r="9" spans="1:24" ht="16">
      <c r="A9" s="634" t="s">
        <v>387</v>
      </c>
      <c r="B9" s="635" t="s">
        <v>388</v>
      </c>
      <c r="C9" s="634" t="s">
        <v>403</v>
      </c>
      <c r="D9" s="635" t="s">
        <v>404</v>
      </c>
      <c r="E9" s="634">
        <v>8.8516599201343666</v>
      </c>
      <c r="F9" s="634">
        <v>8.0471515004302745</v>
      </c>
      <c r="G9" s="634">
        <v>9.0076508750475739</v>
      </c>
      <c r="H9" s="634">
        <v>4.057233103464057</v>
      </c>
      <c r="I9" s="634">
        <v>-5.9185250763494679</v>
      </c>
      <c r="J9" s="634">
        <v>10.125398156100232</v>
      </c>
      <c r="K9" s="634">
        <v>6.003951692805785</v>
      </c>
      <c r="L9" s="634">
        <v>-1.0264204544320989</v>
      </c>
      <c r="M9" s="634">
        <v>2.4053237807943617</v>
      </c>
      <c r="N9" s="634">
        <v>-2.5126153208139357</v>
      </c>
      <c r="O9" s="634">
        <v>2.7311598282894352</v>
      </c>
      <c r="P9" s="634">
        <v>-2.0803278437781074</v>
      </c>
      <c r="Q9" s="634">
        <v>2.8185029777591808</v>
      </c>
      <c r="R9" s="634">
        <v>-2.6173964628203805</v>
      </c>
      <c r="S9" s="634">
        <v>-2.000861002857846</v>
      </c>
      <c r="T9" s="634">
        <v>-9.9004848136464005</v>
      </c>
      <c r="U9" s="634">
        <v>10.441811988250564</v>
      </c>
      <c r="V9" s="634">
        <v>5.2698796738407196</v>
      </c>
      <c r="W9" s="634">
        <v>-1.611001620901888</v>
      </c>
      <c r="X9" s="634">
        <v>-1.7191051472237717</v>
      </c>
    </row>
    <row r="10" spans="1:24" ht="16">
      <c r="A10" s="634" t="s">
        <v>387</v>
      </c>
      <c r="B10" s="635" t="s">
        <v>388</v>
      </c>
      <c r="C10" s="634" t="s">
        <v>405</v>
      </c>
      <c r="D10" s="635" t="s">
        <v>406</v>
      </c>
      <c r="E10" s="634">
        <v>13.899999999113263</v>
      </c>
      <c r="F10" s="634">
        <v>13.199999999466144</v>
      </c>
      <c r="G10" s="634">
        <v>13.700000001546698</v>
      </c>
      <c r="H10" s="634">
        <v>6.9000000004295856</v>
      </c>
      <c r="I10" s="634">
        <v>-14.100000000699779</v>
      </c>
      <c r="J10" s="634">
        <v>2.2000000002150983</v>
      </c>
      <c r="K10" s="634">
        <v>4.6999999986741159</v>
      </c>
      <c r="L10" s="634">
        <v>7.200000000964863</v>
      </c>
      <c r="M10" s="634">
        <v>3.2999999999999972</v>
      </c>
      <c r="N10" s="634">
        <v>3.6000000005899295</v>
      </c>
      <c r="O10" s="634">
        <v>3.1999999989662484</v>
      </c>
      <c r="P10" s="634">
        <v>0.19999999982599093</v>
      </c>
      <c r="Q10" s="634">
        <v>7.500000001641439</v>
      </c>
      <c r="R10" s="634">
        <v>5.1999999996532438</v>
      </c>
      <c r="S10" s="634">
        <v>7.5999999985391753</v>
      </c>
      <c r="T10" s="634">
        <v>-7.1999999992063124</v>
      </c>
      <c r="U10" s="634">
        <v>5.8000000006564534</v>
      </c>
      <c r="V10" s="634">
        <v>12.599999999776628</v>
      </c>
      <c r="W10" s="634">
        <v>8.2999999995953857</v>
      </c>
      <c r="X10" s="634">
        <v>5.9000000004622848</v>
      </c>
    </row>
    <row r="11" spans="1:24" ht="16">
      <c r="A11" s="634" t="s">
        <v>387</v>
      </c>
      <c r="B11" s="635" t="s">
        <v>388</v>
      </c>
      <c r="C11" s="634" t="s">
        <v>407</v>
      </c>
      <c r="D11" s="635" t="s">
        <v>408</v>
      </c>
      <c r="E11" s="634">
        <v>-0.38313767206376781</v>
      </c>
      <c r="F11" s="634">
        <v>1.1274114641162356</v>
      </c>
      <c r="G11" s="634">
        <v>3.0895443848508961</v>
      </c>
      <c r="H11" s="634">
        <v>1.8357551719136751</v>
      </c>
      <c r="I11" s="634">
        <v>-11.677741369385188</v>
      </c>
      <c r="J11" s="634">
        <v>-2.733456792506388</v>
      </c>
      <c r="K11" s="634">
        <v>3.369237184215109</v>
      </c>
      <c r="L11" s="634">
        <v>-1.0407998843668338</v>
      </c>
      <c r="M11" s="634">
        <v>6.4314826041882185</v>
      </c>
      <c r="N11" s="634">
        <v>-1.5865751381723499</v>
      </c>
      <c r="O11" s="634">
        <v>-0.62362590237124493</v>
      </c>
      <c r="P11" s="634">
        <v>1.7196249798944194</v>
      </c>
      <c r="Q11" s="634">
        <v>7.0485333860349897</v>
      </c>
      <c r="R11" s="634">
        <v>2.3970861998132307</v>
      </c>
      <c r="S11" s="634">
        <v>-2.2324420265186831</v>
      </c>
      <c r="T11" s="634">
        <v>-26.211820214516948</v>
      </c>
      <c r="U11" s="634">
        <v>24.132627356979782</v>
      </c>
      <c r="V11" s="634">
        <v>8.517918105175454</v>
      </c>
      <c r="W11" s="634">
        <v>4.2637194145294757</v>
      </c>
      <c r="X11" s="634" t="s">
        <v>1705</v>
      </c>
    </row>
    <row r="12" spans="1:24" ht="16">
      <c r="A12" s="634" t="s">
        <v>387</v>
      </c>
      <c r="B12" s="635" t="s">
        <v>388</v>
      </c>
      <c r="C12" s="634" t="s">
        <v>409</v>
      </c>
      <c r="D12" s="635" t="s">
        <v>410</v>
      </c>
      <c r="E12" s="634">
        <v>3.1541675318422051</v>
      </c>
      <c r="F12" s="634">
        <v>2.7553461055722721</v>
      </c>
      <c r="G12" s="634">
        <v>3.7733217130356564</v>
      </c>
      <c r="H12" s="634">
        <v>3.5862669522604591</v>
      </c>
      <c r="I12" s="634">
        <v>1.8925558192254925</v>
      </c>
      <c r="J12" s="634">
        <v>2.2199802653654928</v>
      </c>
      <c r="K12" s="634">
        <v>2.4070801829198842</v>
      </c>
      <c r="L12" s="634">
        <v>3.916709424540727</v>
      </c>
      <c r="M12" s="634">
        <v>2.6021933943655853</v>
      </c>
      <c r="N12" s="634">
        <v>2.5952841159404159</v>
      </c>
      <c r="O12" s="634">
        <v>2.1901692869522122</v>
      </c>
      <c r="P12" s="634">
        <v>2.759385972383896</v>
      </c>
      <c r="Q12" s="634">
        <v>2.2795917982034268</v>
      </c>
      <c r="R12" s="634">
        <v>2.878469714678829</v>
      </c>
      <c r="S12" s="634">
        <v>2.171545057371759</v>
      </c>
      <c r="T12" s="634">
        <v>-0.11959073582997348</v>
      </c>
      <c r="U12" s="634">
        <v>2.111168147687863</v>
      </c>
      <c r="V12" s="634">
        <v>4.2423855533613875</v>
      </c>
      <c r="W12" s="634">
        <v>3.4419922000902545</v>
      </c>
      <c r="X12" s="634">
        <v>1.4311125201703021</v>
      </c>
    </row>
    <row r="13" spans="1:24" ht="16">
      <c r="A13" s="634" t="s">
        <v>387</v>
      </c>
      <c r="B13" s="635" t="s">
        <v>388</v>
      </c>
      <c r="C13" s="634" t="s">
        <v>411</v>
      </c>
      <c r="D13" s="635" t="s">
        <v>412</v>
      </c>
      <c r="E13" s="634">
        <v>2.3203651426678249</v>
      </c>
      <c r="F13" s="634">
        <v>3.2693360150605884</v>
      </c>
      <c r="G13" s="634">
        <v>3.7752246872918533</v>
      </c>
      <c r="H13" s="634">
        <v>1.4533056214211371</v>
      </c>
      <c r="I13" s="634">
        <v>-3.58626472551299</v>
      </c>
      <c r="J13" s="634">
        <v>1.8089824304366289</v>
      </c>
      <c r="K13" s="634">
        <v>2.9274680016914516</v>
      </c>
      <c r="L13" s="634">
        <v>0.62824623947963687</v>
      </c>
      <c r="M13" s="634">
        <v>-0.25072642331845429</v>
      </c>
      <c r="N13" s="634">
        <v>0.75579885031666549</v>
      </c>
      <c r="O13" s="634">
        <v>1.3035233182619805</v>
      </c>
      <c r="P13" s="634">
        <v>2.1172196449431198</v>
      </c>
      <c r="Q13" s="634">
        <v>2.2722499203820661</v>
      </c>
      <c r="R13" s="634">
        <v>2.4842211408002441</v>
      </c>
      <c r="S13" s="634">
        <v>1.7549761964928763</v>
      </c>
      <c r="T13" s="634">
        <v>-6.3182550920993634</v>
      </c>
      <c r="U13" s="634">
        <v>4.7953288569954253</v>
      </c>
      <c r="V13" s="634">
        <v>5.2778944853865823</v>
      </c>
      <c r="W13" s="634">
        <v>-0.95496252938912107</v>
      </c>
      <c r="X13" s="634">
        <v>-1.1735405355218802</v>
      </c>
    </row>
    <row r="14" spans="1:24" ht="16">
      <c r="A14" s="634" t="s">
        <v>387</v>
      </c>
      <c r="B14" s="635" t="s">
        <v>388</v>
      </c>
      <c r="C14" s="634" t="s">
        <v>413</v>
      </c>
      <c r="D14" s="635" t="s">
        <v>414</v>
      </c>
      <c r="E14" s="634">
        <v>27.961538068524348</v>
      </c>
      <c r="F14" s="634">
        <v>34.466209363795571</v>
      </c>
      <c r="G14" s="634">
        <v>25.463215906121661</v>
      </c>
      <c r="H14" s="634">
        <v>10.591437294393046</v>
      </c>
      <c r="I14" s="634">
        <v>9.3695027841860252</v>
      </c>
      <c r="J14" s="634">
        <v>4.7888327097977026</v>
      </c>
      <c r="K14" s="634">
        <v>-1.572997621083843</v>
      </c>
      <c r="L14" s="634">
        <v>2.2029390226780947</v>
      </c>
      <c r="M14" s="634">
        <v>5.843415762372544</v>
      </c>
      <c r="N14" s="634">
        <v>2.7975854340362787</v>
      </c>
      <c r="O14" s="634">
        <v>1.0495463680440196</v>
      </c>
      <c r="P14" s="634">
        <v>-3.0635984535124408</v>
      </c>
      <c r="Q14" s="634">
        <v>0.15361464668615099</v>
      </c>
      <c r="R14" s="634">
        <v>1.5004017069940971</v>
      </c>
      <c r="S14" s="634">
        <v>2.4798089344393759</v>
      </c>
      <c r="T14" s="634">
        <v>-4.1989607923123202</v>
      </c>
      <c r="U14" s="634">
        <v>5.6164402686064392</v>
      </c>
      <c r="V14" s="634">
        <v>4.7146803785754372</v>
      </c>
      <c r="W14" s="634">
        <v>1.3544773175544691</v>
      </c>
      <c r="X14" s="634">
        <v>4.0714021054465377</v>
      </c>
    </row>
    <row r="15" spans="1:24" ht="16">
      <c r="A15" s="634" t="s">
        <v>387</v>
      </c>
      <c r="B15" s="635" t="s">
        <v>388</v>
      </c>
      <c r="C15" s="634" t="s">
        <v>415</v>
      </c>
      <c r="D15" s="635" t="s">
        <v>416</v>
      </c>
      <c r="E15" s="634">
        <v>3.3960842053601112</v>
      </c>
      <c r="F15" s="634">
        <v>2.5165922171270552</v>
      </c>
      <c r="G15" s="634">
        <v>1.4460999123575817</v>
      </c>
      <c r="H15" s="634">
        <v>-2.3236480704185141</v>
      </c>
      <c r="I15" s="634">
        <v>-4.1754280564734216</v>
      </c>
      <c r="J15" s="634">
        <v>1.5386624869383496</v>
      </c>
      <c r="K15" s="634">
        <v>0.61317073589064819</v>
      </c>
      <c r="L15" s="634">
        <v>4.520124102896304</v>
      </c>
      <c r="M15" s="634">
        <v>-2.8632800299449315</v>
      </c>
      <c r="N15" s="634">
        <v>1.8473059422066314</v>
      </c>
      <c r="O15" s="634">
        <v>0.99674894324168406</v>
      </c>
      <c r="P15" s="634">
        <v>-1.1562670375339934</v>
      </c>
      <c r="Q15" s="634">
        <v>3.3712364861126787</v>
      </c>
      <c r="R15" s="634">
        <v>2.3985200060388365</v>
      </c>
      <c r="S15" s="634">
        <v>-0.83905130101315706</v>
      </c>
      <c r="T15" s="634">
        <v>-20.089555432484147</v>
      </c>
      <c r="U15" s="634">
        <v>17.586897369156802</v>
      </c>
      <c r="V15" s="634">
        <v>10.877455014596762</v>
      </c>
      <c r="W15" s="634">
        <v>3.048774962850203</v>
      </c>
      <c r="X15" s="634">
        <v>3.3785066074614605</v>
      </c>
    </row>
    <row r="16" spans="1:24" ht="16">
      <c r="A16" s="634" t="s">
        <v>387</v>
      </c>
      <c r="B16" s="635" t="s">
        <v>388</v>
      </c>
      <c r="C16" s="634" t="s">
        <v>417</v>
      </c>
      <c r="D16" s="635" t="s">
        <v>418</v>
      </c>
      <c r="E16" s="634">
        <v>6.768997377895019</v>
      </c>
      <c r="F16" s="634">
        <v>6.4669995195041992</v>
      </c>
      <c r="G16" s="634">
        <v>8.2939612909384266</v>
      </c>
      <c r="H16" s="634">
        <v>6.2450109499579725</v>
      </c>
      <c r="I16" s="634">
        <v>2.53988570158225</v>
      </c>
      <c r="J16" s="634">
        <v>4.3342989754845007</v>
      </c>
      <c r="K16" s="634">
        <v>1.9281579117079559</v>
      </c>
      <c r="L16" s="634">
        <v>3.8030289904306187</v>
      </c>
      <c r="M16" s="634">
        <v>5.2926222490620347</v>
      </c>
      <c r="N16" s="634">
        <v>4.308856926570769</v>
      </c>
      <c r="O16" s="634">
        <v>2.5078720526761487</v>
      </c>
      <c r="P16" s="634">
        <v>3.8149932742242498</v>
      </c>
      <c r="Q16" s="634">
        <v>4.9538353412365694</v>
      </c>
      <c r="R16" s="634">
        <v>2.0525886497986079</v>
      </c>
      <c r="S16" s="634">
        <v>2.0528777441865458</v>
      </c>
      <c r="T16" s="634">
        <v>-5.9113629524152032</v>
      </c>
      <c r="U16" s="634">
        <v>4.3500409166898635</v>
      </c>
      <c r="V16" s="634">
        <v>6.1801612547518516</v>
      </c>
      <c r="W16" s="634">
        <v>3.8781161484556606</v>
      </c>
      <c r="X16" s="634">
        <v>3.0172483909273922</v>
      </c>
    </row>
    <row r="17" spans="1:24" ht="16">
      <c r="A17" s="634" t="s">
        <v>387</v>
      </c>
      <c r="B17" s="635" t="s">
        <v>388</v>
      </c>
      <c r="C17" s="634" t="s">
        <v>419</v>
      </c>
      <c r="D17" s="635" t="s">
        <v>420</v>
      </c>
      <c r="E17" s="634">
        <v>6.5359449387550228</v>
      </c>
      <c r="F17" s="634">
        <v>6.6719049857678812</v>
      </c>
      <c r="G17" s="634">
        <v>7.0585993544984831</v>
      </c>
      <c r="H17" s="634">
        <v>6.0137897573853536</v>
      </c>
      <c r="I17" s="634">
        <v>5.0451247991933741</v>
      </c>
      <c r="J17" s="634">
        <v>5.571788185331215</v>
      </c>
      <c r="K17" s="634">
        <v>6.4643791249772846</v>
      </c>
      <c r="L17" s="634">
        <v>6.5214587790644316</v>
      </c>
      <c r="M17" s="634">
        <v>6.0136056583434367</v>
      </c>
      <c r="N17" s="634">
        <v>6.061059358849505</v>
      </c>
      <c r="O17" s="634">
        <v>6.552639878161969</v>
      </c>
      <c r="P17" s="634">
        <v>7.113478212700926</v>
      </c>
      <c r="Q17" s="634">
        <v>6.5902499979405746</v>
      </c>
      <c r="R17" s="634">
        <v>7.3194126301413576</v>
      </c>
      <c r="S17" s="634">
        <v>7.8819151511772247</v>
      </c>
      <c r="T17" s="634">
        <v>3.4480175512244529</v>
      </c>
      <c r="U17" s="634">
        <v>6.9386791244244534</v>
      </c>
      <c r="V17" s="634">
        <v>7.0998287757515754</v>
      </c>
      <c r="W17" s="634">
        <v>5.7751123700788867</v>
      </c>
      <c r="X17" s="634">
        <v>4.2232591125016086</v>
      </c>
    </row>
    <row r="18" spans="1:24" ht="16">
      <c r="A18" s="634" t="s">
        <v>387</v>
      </c>
      <c r="B18" s="635" t="s">
        <v>388</v>
      </c>
      <c r="C18" s="634" t="s">
        <v>421</v>
      </c>
      <c r="D18" s="635" t="s">
        <v>422</v>
      </c>
      <c r="E18" s="634">
        <v>3.9554572075761314</v>
      </c>
      <c r="F18" s="634">
        <v>6.0705462167351953</v>
      </c>
      <c r="G18" s="634">
        <v>2.079183862588792</v>
      </c>
      <c r="H18" s="634">
        <v>0.63346059085931472</v>
      </c>
      <c r="I18" s="634">
        <v>-5.0172753825090268</v>
      </c>
      <c r="J18" s="634">
        <v>-2.2177108562822667</v>
      </c>
      <c r="K18" s="634">
        <v>-0.73143455865010765</v>
      </c>
      <c r="L18" s="634">
        <v>-0.31331115107960272</v>
      </c>
      <c r="M18" s="634">
        <v>-1.0103818461817156</v>
      </c>
      <c r="N18" s="634">
        <v>8.2405477814020855E-2</v>
      </c>
      <c r="O18" s="634">
        <v>-0.8460985213563248</v>
      </c>
      <c r="P18" s="634">
        <v>1.7919303343126671</v>
      </c>
      <c r="Q18" s="634">
        <v>0.12844600157031039</v>
      </c>
      <c r="R18" s="634">
        <v>-1.1740650937381929</v>
      </c>
      <c r="S18" s="634">
        <v>0.65258541769841827</v>
      </c>
      <c r="T18" s="634">
        <v>-15.054362949589191</v>
      </c>
      <c r="U18" s="634">
        <v>-0.2549658802165311</v>
      </c>
      <c r="V18" s="634">
        <v>17.832863025132696</v>
      </c>
      <c r="W18" s="634">
        <v>4.0938201097057174</v>
      </c>
      <c r="X18" s="634">
        <v>3.8000003189674345</v>
      </c>
    </row>
    <row r="19" spans="1:24" ht="16">
      <c r="A19" s="634" t="s">
        <v>387</v>
      </c>
      <c r="B19" s="635" t="s">
        <v>388</v>
      </c>
      <c r="C19" s="634" t="s">
        <v>423</v>
      </c>
      <c r="D19" s="635" t="s">
        <v>424</v>
      </c>
      <c r="E19" s="634">
        <v>9.400001525688026</v>
      </c>
      <c r="F19" s="634">
        <v>9.9999947182092086</v>
      </c>
      <c r="G19" s="634">
        <v>8.6000066010841465</v>
      </c>
      <c r="H19" s="634">
        <v>10.199999520449211</v>
      </c>
      <c r="I19" s="634">
        <v>0.19999521454772662</v>
      </c>
      <c r="J19" s="634">
        <v>7.7500170664920063</v>
      </c>
      <c r="K19" s="634">
        <v>5.5499747229649188</v>
      </c>
      <c r="L19" s="634">
        <v>1.7078525698542819</v>
      </c>
      <c r="M19" s="634">
        <v>0.99871927865898158</v>
      </c>
      <c r="N19" s="634">
        <v>1.6511246852446817</v>
      </c>
      <c r="O19" s="634">
        <v>-3.8295705582836206</v>
      </c>
      <c r="P19" s="634">
        <v>-2.5264464355237664</v>
      </c>
      <c r="Q19" s="634">
        <v>2.5321835002300759</v>
      </c>
      <c r="R19" s="634">
        <v>3.1491975937496761</v>
      </c>
      <c r="S19" s="634">
        <v>1.4464554769185014</v>
      </c>
      <c r="T19" s="634">
        <v>-0.67274295062424017</v>
      </c>
      <c r="U19" s="634">
        <v>2.4388621239682209</v>
      </c>
      <c r="V19" s="634">
        <v>-4.6583959157358521</v>
      </c>
      <c r="W19" s="634">
        <v>4.1265400715388125</v>
      </c>
      <c r="X19" s="634">
        <v>4.0098485246545152</v>
      </c>
    </row>
    <row r="20" spans="1:24" ht="16">
      <c r="A20" s="634" t="s">
        <v>387</v>
      </c>
      <c r="B20" s="635" t="s">
        <v>388</v>
      </c>
      <c r="C20" s="634" t="s">
        <v>425</v>
      </c>
      <c r="D20" s="635" t="s">
        <v>426</v>
      </c>
      <c r="E20" s="634">
        <v>2.321737929118342</v>
      </c>
      <c r="F20" s="634">
        <v>2.5523408732246224</v>
      </c>
      <c r="G20" s="634">
        <v>3.6769246251580228</v>
      </c>
      <c r="H20" s="634">
        <v>0.44690513072723093</v>
      </c>
      <c r="I20" s="634">
        <v>-1.9064410551533513</v>
      </c>
      <c r="J20" s="634">
        <v>2.7103115025466167</v>
      </c>
      <c r="K20" s="634">
        <v>1.9311550241132522</v>
      </c>
      <c r="L20" s="634">
        <v>0.21580361208974352</v>
      </c>
      <c r="M20" s="634">
        <v>0.30549454907023232</v>
      </c>
      <c r="N20" s="634">
        <v>1.7655403814992354</v>
      </c>
      <c r="O20" s="634">
        <v>1.4741643373192659</v>
      </c>
      <c r="P20" s="634">
        <v>1.1935027300775403</v>
      </c>
      <c r="Q20" s="634">
        <v>1.4744676155678462</v>
      </c>
      <c r="R20" s="634">
        <v>1.8779684738356508</v>
      </c>
      <c r="S20" s="634">
        <v>2.4428900448155986</v>
      </c>
      <c r="T20" s="634">
        <v>-4.7929839083518004</v>
      </c>
      <c r="U20" s="634">
        <v>6.2075998127443057</v>
      </c>
      <c r="V20" s="634">
        <v>4.2593607365269008</v>
      </c>
      <c r="W20" s="634">
        <v>1.201691781996999</v>
      </c>
      <c r="X20" s="634">
        <v>1.0188986250612402</v>
      </c>
    </row>
    <row r="21" spans="1:24" ht="16">
      <c r="A21" s="634" t="s">
        <v>387</v>
      </c>
      <c r="B21" s="635" t="s">
        <v>388</v>
      </c>
      <c r="C21" s="634" t="s">
        <v>427</v>
      </c>
      <c r="D21" s="635" t="s">
        <v>428</v>
      </c>
      <c r="E21" s="634">
        <v>2.2195388419297331</v>
      </c>
      <c r="F21" s="634">
        <v>4.5114473758226978</v>
      </c>
      <c r="G21" s="634">
        <v>3.3532482910813286</v>
      </c>
      <c r="H21" s="634">
        <v>-1.6821164462035227</v>
      </c>
      <c r="I21" s="634">
        <v>-0.38932146829810677</v>
      </c>
      <c r="J21" s="634">
        <v>1.1140357874026137</v>
      </c>
      <c r="K21" s="634">
        <v>-0.24454378122534592</v>
      </c>
      <c r="L21" s="634">
        <v>3.7377757861718095</v>
      </c>
      <c r="M21" s="634">
        <v>4.4543260068606259</v>
      </c>
      <c r="N21" s="634">
        <v>4.0308455775031717</v>
      </c>
      <c r="O21" s="634">
        <v>2.8761837951595908</v>
      </c>
      <c r="P21" s="634">
        <v>5.4551653597002314E-2</v>
      </c>
      <c r="Q21" s="634">
        <v>-1.8128535405165849</v>
      </c>
      <c r="R21" s="634">
        <v>1.1105712500867497</v>
      </c>
      <c r="S21" s="634">
        <v>4.2676368961808606</v>
      </c>
      <c r="T21" s="634">
        <v>-13.902910064521791</v>
      </c>
      <c r="U21" s="634">
        <v>17.746170120567911</v>
      </c>
      <c r="V21" s="634">
        <v>9.6529777238975782</v>
      </c>
      <c r="W21" s="634">
        <v>1.1490168206586162</v>
      </c>
      <c r="X21" s="634">
        <v>8.1517898270679723</v>
      </c>
    </row>
    <row r="22" spans="1:24" ht="16">
      <c r="A22" s="634" t="s">
        <v>387</v>
      </c>
      <c r="B22" s="635" t="s">
        <v>388</v>
      </c>
      <c r="C22" s="634" t="s">
        <v>429</v>
      </c>
      <c r="D22" s="635" t="s">
        <v>430</v>
      </c>
      <c r="E22" s="634">
        <v>1.7131645636118407</v>
      </c>
      <c r="F22" s="634">
        <v>3.9437388281579757</v>
      </c>
      <c r="G22" s="634">
        <v>5.986349321776089</v>
      </c>
      <c r="H22" s="634">
        <v>4.8965770842964673</v>
      </c>
      <c r="I22" s="634">
        <v>2.3192921391283789</v>
      </c>
      <c r="J22" s="634">
        <v>2.1140647264839174</v>
      </c>
      <c r="K22" s="634">
        <v>2.9637529190420082</v>
      </c>
      <c r="L22" s="634">
        <v>4.8112233156879967</v>
      </c>
      <c r="M22" s="634">
        <v>7.1914337214494566</v>
      </c>
      <c r="N22" s="634">
        <v>6.3576790979193163</v>
      </c>
      <c r="O22" s="634">
        <v>1.7781510603027755</v>
      </c>
      <c r="P22" s="634">
        <v>3.3396734262969261</v>
      </c>
      <c r="Q22" s="634">
        <v>5.6715619515044438</v>
      </c>
      <c r="R22" s="634">
        <v>6.6972536218088834</v>
      </c>
      <c r="S22" s="634">
        <v>6.8656866284833455</v>
      </c>
      <c r="T22" s="634">
        <v>3.8487924003013347</v>
      </c>
      <c r="U22" s="634">
        <v>7.1554516457573953</v>
      </c>
      <c r="V22" s="634">
        <v>6.2529470537362499</v>
      </c>
      <c r="W22" s="634">
        <v>6.3527773854441989</v>
      </c>
      <c r="X22" s="634">
        <v>7.4531156622620074</v>
      </c>
    </row>
    <row r="23" spans="1:24" ht="16">
      <c r="A23" s="634" t="s">
        <v>387</v>
      </c>
      <c r="B23" s="635" t="s">
        <v>388</v>
      </c>
      <c r="C23" s="634" t="s">
        <v>431</v>
      </c>
      <c r="D23" s="635" t="s">
        <v>432</v>
      </c>
      <c r="E23" s="634">
        <v>1.6742061141050755</v>
      </c>
      <c r="F23" s="634">
        <v>5.5438663804406048</v>
      </c>
      <c r="G23" s="634">
        <v>3.3451397087760739</v>
      </c>
      <c r="H23" s="634">
        <v>-1.8659558263518647</v>
      </c>
      <c r="I23" s="634">
        <v>-5.6266977105160976</v>
      </c>
      <c r="J23" s="634">
        <v>-2.502878289473685</v>
      </c>
      <c r="K23" s="634">
        <v>-3.7427443174070305</v>
      </c>
      <c r="L23" s="634">
        <v>-5.3052991067529689</v>
      </c>
      <c r="M23" s="634">
        <v>-0.27970854542303414</v>
      </c>
      <c r="N23" s="634">
        <v>-3.701067593642577</v>
      </c>
      <c r="O23" s="634">
        <v>0.77552969956897755</v>
      </c>
      <c r="P23" s="634">
        <v>-0.6572063042592049</v>
      </c>
      <c r="Q23" s="634">
        <v>3.611419837061149</v>
      </c>
      <c r="R23" s="634">
        <v>-0.43280130033930675</v>
      </c>
      <c r="S23" s="634">
        <v>0.30710646124066443</v>
      </c>
      <c r="T23" s="634">
        <v>-6.8275730348017731</v>
      </c>
      <c r="U23" s="634">
        <v>4.6074291710946937</v>
      </c>
      <c r="V23" s="634">
        <v>6.4762257118670732</v>
      </c>
      <c r="W23" s="634">
        <v>4.9172155726416378</v>
      </c>
      <c r="X23" s="634">
        <v>2.1053688222023084</v>
      </c>
    </row>
    <row r="24" spans="1:24" ht="16">
      <c r="A24" s="634" t="s">
        <v>387</v>
      </c>
      <c r="B24" s="635" t="s">
        <v>388</v>
      </c>
      <c r="C24" s="634" t="s">
        <v>433</v>
      </c>
      <c r="D24" s="635" t="s">
        <v>434</v>
      </c>
      <c r="E24" s="634">
        <v>6.9350714676665888</v>
      </c>
      <c r="F24" s="634">
        <v>5.6408051539139024</v>
      </c>
      <c r="G24" s="634">
        <v>16.104783654201242</v>
      </c>
      <c r="H24" s="634">
        <v>4.5294487769623544</v>
      </c>
      <c r="I24" s="634">
        <v>7.6674923855313466</v>
      </c>
      <c r="J24" s="634">
        <v>11.931873837622931</v>
      </c>
      <c r="K24" s="634">
        <v>8.4892584842807963</v>
      </c>
      <c r="L24" s="634">
        <v>5.1648201268389471</v>
      </c>
      <c r="M24" s="634">
        <v>1.7363403950569278</v>
      </c>
      <c r="N24" s="634">
        <v>5.8810855065828775</v>
      </c>
      <c r="O24" s="634">
        <v>6.6608012886619719</v>
      </c>
      <c r="P24" s="634">
        <v>8.4759433923296257</v>
      </c>
      <c r="Q24" s="634">
        <v>2.0868452273306701</v>
      </c>
      <c r="R24" s="634">
        <v>3.501871857327373</v>
      </c>
      <c r="S24" s="634">
        <v>5.7551485124650554</v>
      </c>
      <c r="T24" s="634">
        <v>-10.21839742085686</v>
      </c>
      <c r="U24" s="634">
        <v>4.421367389450154</v>
      </c>
      <c r="V24" s="634">
        <v>5.2138678378622387</v>
      </c>
      <c r="W24" s="634">
        <v>4.8825939625363191</v>
      </c>
      <c r="X24" s="634" t="s">
        <v>1705</v>
      </c>
    </row>
    <row r="25" spans="1:24" ht="16">
      <c r="A25" s="634" t="s">
        <v>387</v>
      </c>
      <c r="B25" s="635" t="s">
        <v>388</v>
      </c>
      <c r="C25" s="634" t="s">
        <v>435</v>
      </c>
      <c r="D25" s="635" t="s">
        <v>436</v>
      </c>
      <c r="E25" s="634">
        <v>4.4214331268797906</v>
      </c>
      <c r="F25" s="634">
        <v>4.7970088235606738</v>
      </c>
      <c r="G25" s="634">
        <v>4.5643842688788681</v>
      </c>
      <c r="H25" s="634">
        <v>6.1484978746216399</v>
      </c>
      <c r="I25" s="634">
        <v>3.3569995743056467</v>
      </c>
      <c r="J25" s="634">
        <v>4.1267225910567049</v>
      </c>
      <c r="K25" s="634">
        <v>5.2040924430859974</v>
      </c>
      <c r="L25" s="634">
        <v>5.1222755809175737</v>
      </c>
      <c r="M25" s="634">
        <v>6.7960114281084145</v>
      </c>
      <c r="N25" s="634">
        <v>5.4605695063513622</v>
      </c>
      <c r="O25" s="634">
        <v>4.8571871797141313</v>
      </c>
      <c r="P25" s="634">
        <v>4.2639208638211272</v>
      </c>
      <c r="Q25" s="634">
        <v>4.1952063336039487</v>
      </c>
      <c r="R25" s="634">
        <v>4.2236236527184445</v>
      </c>
      <c r="S25" s="634">
        <v>2.2167056396103106</v>
      </c>
      <c r="T25" s="634">
        <v>-8.7378843576993006</v>
      </c>
      <c r="U25" s="634">
        <v>6.1113726971414621</v>
      </c>
      <c r="V25" s="634">
        <v>3.6056804263363489</v>
      </c>
      <c r="W25" s="634">
        <v>3.081965210477307</v>
      </c>
      <c r="X25" s="634">
        <v>1.3846827897225182</v>
      </c>
    </row>
    <row r="26" spans="1:24" ht="16">
      <c r="A26" s="634" t="s">
        <v>387</v>
      </c>
      <c r="B26" s="635" t="s">
        <v>388</v>
      </c>
      <c r="C26" s="634" t="s">
        <v>437</v>
      </c>
      <c r="D26" s="635" t="s">
        <v>438</v>
      </c>
      <c r="E26" s="634">
        <v>3.8971779899219285</v>
      </c>
      <c r="F26" s="634">
        <v>5.4140035707943355</v>
      </c>
      <c r="G26" s="634">
        <v>5.8571263421709432</v>
      </c>
      <c r="H26" s="634">
        <v>5.4438310345017698</v>
      </c>
      <c r="I26" s="634">
        <v>-3.0044559301334601</v>
      </c>
      <c r="J26" s="634">
        <v>0.8656692602370839</v>
      </c>
      <c r="K26" s="634">
        <v>0.95951124724126657</v>
      </c>
      <c r="L26" s="634">
        <v>-0.82183647421689443</v>
      </c>
      <c r="M26" s="634">
        <v>2.3498566632458022</v>
      </c>
      <c r="N26" s="634">
        <v>1.1538510920040324</v>
      </c>
      <c r="O26" s="634">
        <v>4.3147506111633476</v>
      </c>
      <c r="P26" s="634">
        <v>3.2422552117191401</v>
      </c>
      <c r="Q26" s="634">
        <v>3.2441009588946628</v>
      </c>
      <c r="R26" s="634">
        <v>3.8274992054689676</v>
      </c>
      <c r="S26" s="634">
        <v>2.8873433441487464</v>
      </c>
      <c r="T26" s="634">
        <v>-3.0150951475986147</v>
      </c>
      <c r="U26" s="634">
        <v>7.3899623401275676</v>
      </c>
      <c r="V26" s="634">
        <v>4.2268110109554584</v>
      </c>
      <c r="W26" s="634">
        <v>1.9943952031946424</v>
      </c>
      <c r="X26" s="634">
        <v>2.4800470838283388</v>
      </c>
    </row>
    <row r="27" spans="1:24" ht="16">
      <c r="A27" s="634" t="s">
        <v>387</v>
      </c>
      <c r="B27" s="635" t="s">
        <v>388</v>
      </c>
      <c r="C27" s="634" t="s">
        <v>439</v>
      </c>
      <c r="D27" s="635" t="s">
        <v>440</v>
      </c>
      <c r="E27" s="634">
        <v>4.5566456532318114</v>
      </c>
      <c r="F27" s="634">
        <v>8.3638710928230608</v>
      </c>
      <c r="G27" s="634">
        <v>5.7925557772711755</v>
      </c>
      <c r="H27" s="634">
        <v>3.2520729579683234</v>
      </c>
      <c r="I27" s="634">
        <v>-14.144234616342331</v>
      </c>
      <c r="J27" s="634">
        <v>10.119723330909267</v>
      </c>
      <c r="K27" s="634">
        <v>6.8384105006025209</v>
      </c>
      <c r="L27" s="634">
        <v>-0.17085711659370872</v>
      </c>
      <c r="M27" s="634">
        <v>11.102906877877786</v>
      </c>
      <c r="N27" s="634">
        <v>5.6971442202759874</v>
      </c>
      <c r="O27" s="634">
        <v>-4.8513250461762851</v>
      </c>
      <c r="P27" s="634">
        <v>7.2044247591426682</v>
      </c>
      <c r="Q27" s="634">
        <v>4.1143785602663741</v>
      </c>
      <c r="R27" s="634">
        <v>4.1886923900019042</v>
      </c>
      <c r="S27" s="634">
        <v>3.0317733708240269</v>
      </c>
      <c r="T27" s="634">
        <v>-8.7288824114946522</v>
      </c>
      <c r="U27" s="634">
        <v>11.916272413183009</v>
      </c>
      <c r="V27" s="634">
        <v>5.4860170644677169</v>
      </c>
      <c r="W27" s="634">
        <v>3.2080681222443843</v>
      </c>
      <c r="X27" s="634">
        <v>-2.9898687946792819</v>
      </c>
    </row>
    <row r="28" spans="1:24" ht="16">
      <c r="A28" s="634" t="s">
        <v>387</v>
      </c>
      <c r="B28" s="635" t="s">
        <v>388</v>
      </c>
      <c r="C28" s="634" t="s">
        <v>441</v>
      </c>
      <c r="D28" s="635" t="s">
        <v>442</v>
      </c>
      <c r="E28" s="634">
        <v>3.2021320613043116</v>
      </c>
      <c r="F28" s="634">
        <v>3.9619887112261694</v>
      </c>
      <c r="G28" s="634">
        <v>6.0698706067833825</v>
      </c>
      <c r="H28" s="634">
        <v>5.0941954465873636</v>
      </c>
      <c r="I28" s="634">
        <v>-0.12581200216116883</v>
      </c>
      <c r="J28" s="634">
        <v>7.5282258181536434</v>
      </c>
      <c r="K28" s="634">
        <v>3.9744230794470212</v>
      </c>
      <c r="L28" s="634">
        <v>1.9211759857653732</v>
      </c>
      <c r="M28" s="634">
        <v>3.004822669444323</v>
      </c>
      <c r="N28" s="634">
        <v>0.50395574024224743</v>
      </c>
      <c r="O28" s="634">
        <v>-3.5457633926942549</v>
      </c>
      <c r="P28" s="634">
        <v>-3.275916907821923</v>
      </c>
      <c r="Q28" s="634">
        <v>1.3228690540439914</v>
      </c>
      <c r="R28" s="634">
        <v>1.7836667616339952</v>
      </c>
      <c r="S28" s="634">
        <v>1.2207778236084152</v>
      </c>
      <c r="T28" s="634">
        <v>-3.2767587964736009</v>
      </c>
      <c r="U28" s="634">
        <v>4.7626043790860848</v>
      </c>
      <c r="V28" s="634">
        <v>3.0166943539301485</v>
      </c>
      <c r="W28" s="634">
        <v>3.2416553290698147</v>
      </c>
      <c r="X28" s="634">
        <v>3.3958664545484396</v>
      </c>
    </row>
    <row r="29" spans="1:24" ht="16">
      <c r="A29" s="634" t="s">
        <v>387</v>
      </c>
      <c r="B29" s="635" t="s">
        <v>388</v>
      </c>
      <c r="C29" s="634" t="s">
        <v>443</v>
      </c>
      <c r="D29" s="635" t="s">
        <v>444</v>
      </c>
      <c r="E29" s="634" t="s">
        <v>1705</v>
      </c>
      <c r="F29" s="634" t="s">
        <v>1705</v>
      </c>
      <c r="G29" s="634" t="s">
        <v>1705</v>
      </c>
      <c r="H29" s="634" t="s">
        <v>1705</v>
      </c>
      <c r="I29" s="634" t="s">
        <v>1705</v>
      </c>
      <c r="J29" s="634" t="s">
        <v>1705</v>
      </c>
      <c r="K29" s="634" t="s">
        <v>1705</v>
      </c>
      <c r="L29" s="634" t="s">
        <v>1705</v>
      </c>
      <c r="M29" s="634" t="s">
        <v>1705</v>
      </c>
      <c r="N29" s="634" t="s">
        <v>1705</v>
      </c>
      <c r="O29" s="634" t="s">
        <v>1705</v>
      </c>
      <c r="P29" s="634" t="s">
        <v>1705</v>
      </c>
      <c r="Q29" s="634" t="s">
        <v>1705</v>
      </c>
      <c r="R29" s="634" t="s">
        <v>1705</v>
      </c>
      <c r="S29" s="634" t="s">
        <v>1705</v>
      </c>
      <c r="T29" s="634" t="s">
        <v>1705</v>
      </c>
      <c r="U29" s="634" t="s">
        <v>1705</v>
      </c>
      <c r="V29" s="634" t="s">
        <v>1705</v>
      </c>
      <c r="W29" s="634" t="s">
        <v>1705</v>
      </c>
      <c r="X29" s="634" t="s">
        <v>1705</v>
      </c>
    </row>
    <row r="30" spans="1:24" ht="16">
      <c r="A30" s="634" t="s">
        <v>387</v>
      </c>
      <c r="B30" s="635" t="s">
        <v>388</v>
      </c>
      <c r="C30" s="634" t="s">
        <v>445</v>
      </c>
      <c r="D30" s="635" t="s">
        <v>446</v>
      </c>
      <c r="E30" s="634">
        <v>-3.9251887198048507E-3</v>
      </c>
      <c r="F30" s="634">
        <v>4.0984126097812066</v>
      </c>
      <c r="G30" s="634">
        <v>-3.7636234757041791</v>
      </c>
      <c r="H30" s="634">
        <v>-3.9007108208565882</v>
      </c>
      <c r="I30" s="634">
        <v>-1.9002538618213123</v>
      </c>
      <c r="J30" s="634">
        <v>2.7413643351482193</v>
      </c>
      <c r="K30" s="634">
        <v>3.7444063872803923</v>
      </c>
      <c r="L30" s="634">
        <v>0.91313532441425593</v>
      </c>
      <c r="M30" s="634">
        <v>-2.1247831862075799</v>
      </c>
      <c r="N30" s="634">
        <v>-2.5078872163048089</v>
      </c>
      <c r="O30" s="634">
        <v>-0.39238348793352884</v>
      </c>
      <c r="P30" s="634">
        <v>-2.4779177652045661</v>
      </c>
      <c r="Q30" s="634">
        <v>1.3287265131818344</v>
      </c>
      <c r="R30" s="634">
        <v>5.23710544736673E-2</v>
      </c>
      <c r="S30" s="634">
        <v>3.8688441643288911</v>
      </c>
      <c r="T30" s="634">
        <v>1.1335734060540261</v>
      </c>
      <c r="U30" s="634">
        <v>-1.5907624807543641</v>
      </c>
      <c r="V30" s="634">
        <v>-1.6283315402236553</v>
      </c>
      <c r="W30" s="634">
        <v>1.1276441916160564</v>
      </c>
      <c r="X30" s="634">
        <v>4.2003727347205597</v>
      </c>
    </row>
    <row r="31" spans="1:24" ht="16">
      <c r="A31" s="634" t="s">
        <v>387</v>
      </c>
      <c r="B31" s="635" t="s">
        <v>388</v>
      </c>
      <c r="C31" s="634" t="s">
        <v>447</v>
      </c>
      <c r="D31" s="635" t="s">
        <v>448</v>
      </c>
      <c r="E31" s="634">
        <v>7.0563492118169648</v>
      </c>
      <c r="F31" s="634">
        <v>6.8025889874584209</v>
      </c>
      <c r="G31" s="634">
        <v>6.6543876490021887</v>
      </c>
      <c r="H31" s="634">
        <v>6.1295587990118179</v>
      </c>
      <c r="I31" s="634">
        <v>-3.347141367042056</v>
      </c>
      <c r="J31" s="634">
        <v>1.5553596346203165</v>
      </c>
      <c r="K31" s="634">
        <v>2.0901752701553846</v>
      </c>
      <c r="L31" s="634">
        <v>0.7488148967965742</v>
      </c>
      <c r="M31" s="634">
        <v>-0.54275160303015468</v>
      </c>
      <c r="N31" s="634">
        <v>0.94944898509048414</v>
      </c>
      <c r="O31" s="634">
        <v>3.3975532586942165</v>
      </c>
      <c r="P31" s="634">
        <v>3.0266289313891832</v>
      </c>
      <c r="Q31" s="634">
        <v>2.7459264470779345</v>
      </c>
      <c r="R31" s="634">
        <v>2.5494643471817966</v>
      </c>
      <c r="S31" s="634">
        <v>3.788850364780032</v>
      </c>
      <c r="T31" s="634">
        <v>-3.2157374344501619</v>
      </c>
      <c r="U31" s="634">
        <v>7.7806148140697786</v>
      </c>
      <c r="V31" s="634">
        <v>4.0387775830168096</v>
      </c>
      <c r="W31" s="634">
        <v>1.8868148390717749</v>
      </c>
      <c r="X31" s="634">
        <v>2.8108277518888087</v>
      </c>
    </row>
    <row r="32" spans="1:24" ht="16">
      <c r="A32" s="634" t="s">
        <v>387</v>
      </c>
      <c r="B32" s="635" t="s">
        <v>388</v>
      </c>
      <c r="C32" s="634" t="s">
        <v>449</v>
      </c>
      <c r="D32" s="635" t="s">
        <v>450</v>
      </c>
      <c r="E32" s="634">
        <v>8.6618732284122473</v>
      </c>
      <c r="F32" s="634">
        <v>6.2531646881747776</v>
      </c>
      <c r="G32" s="634">
        <v>4.1113790176151639</v>
      </c>
      <c r="H32" s="634">
        <v>5.7999917410538728</v>
      </c>
      <c r="I32" s="634">
        <v>2.9619508586669241</v>
      </c>
      <c r="J32" s="634">
        <v>8.4462815770762489</v>
      </c>
      <c r="K32" s="634">
        <v>6.6225626130669326</v>
      </c>
      <c r="L32" s="634">
        <v>6.4526723795314638</v>
      </c>
      <c r="M32" s="634">
        <v>5.7925848450986734</v>
      </c>
      <c r="N32" s="634">
        <v>4.3268456145297591</v>
      </c>
      <c r="O32" s="634">
        <v>3.9212287937935031</v>
      </c>
      <c r="P32" s="634">
        <v>5.9579767075402401</v>
      </c>
      <c r="Q32" s="634">
        <v>6.2034894112186834</v>
      </c>
      <c r="R32" s="634">
        <v>6.6045690681234106</v>
      </c>
      <c r="S32" s="634">
        <v>5.8892049706813481</v>
      </c>
      <c r="T32" s="634">
        <v>2.0107726240622128</v>
      </c>
      <c r="U32" s="634">
        <v>6.9425249257234753</v>
      </c>
      <c r="V32" s="634">
        <v>1.4972397409896985</v>
      </c>
      <c r="W32" s="634">
        <v>2.9601814738492891</v>
      </c>
      <c r="X32" s="634">
        <v>4.9851030062518333</v>
      </c>
    </row>
    <row r="33" spans="1:24" ht="16">
      <c r="A33" s="634" t="s">
        <v>387</v>
      </c>
      <c r="B33" s="635" t="s">
        <v>388</v>
      </c>
      <c r="C33" s="634" t="s">
        <v>451</v>
      </c>
      <c r="D33" s="635" t="s">
        <v>452</v>
      </c>
      <c r="E33" s="634">
        <v>0.90000000090191179</v>
      </c>
      <c r="F33" s="634">
        <v>5.4138071449144434</v>
      </c>
      <c r="G33" s="634">
        <v>3.4519485638194283</v>
      </c>
      <c r="H33" s="634">
        <v>4.8617163671264052</v>
      </c>
      <c r="I33" s="634">
        <v>3.8127453663341839</v>
      </c>
      <c r="J33" s="634">
        <v>5.124159994398056</v>
      </c>
      <c r="K33" s="634">
        <v>4.0325999884441472</v>
      </c>
      <c r="L33" s="634">
        <v>4.4467063311149531</v>
      </c>
      <c r="M33" s="634">
        <v>4.9241898983468388</v>
      </c>
      <c r="N33" s="634">
        <v>4.2406502140265729</v>
      </c>
      <c r="O33" s="634">
        <v>-3.9000000804854977</v>
      </c>
      <c r="P33" s="634">
        <v>-0.60000090911638893</v>
      </c>
      <c r="Q33" s="634">
        <v>0.50000126242927934</v>
      </c>
      <c r="R33" s="634">
        <v>1.6099354212771431</v>
      </c>
      <c r="S33" s="634">
        <v>1.8125653240155231</v>
      </c>
      <c r="T33" s="634">
        <v>0.32715689263838499</v>
      </c>
      <c r="U33" s="634">
        <v>3.0999999987062665</v>
      </c>
      <c r="V33" s="634">
        <v>1.8489994394821281</v>
      </c>
      <c r="W33" s="634">
        <v>2.6655396041818733</v>
      </c>
      <c r="X33" s="634">
        <v>3.4892317483896846</v>
      </c>
    </row>
    <row r="34" spans="1:24" ht="16">
      <c r="A34" s="634" t="s">
        <v>387</v>
      </c>
      <c r="B34" s="635" t="s">
        <v>388</v>
      </c>
      <c r="C34" s="634" t="s">
        <v>453</v>
      </c>
      <c r="D34" s="635" t="s">
        <v>454</v>
      </c>
      <c r="E34" s="634">
        <v>6.9124579572020082</v>
      </c>
      <c r="F34" s="634">
        <v>7.9837504479504844</v>
      </c>
      <c r="G34" s="634">
        <v>15.170687973551679</v>
      </c>
      <c r="H34" s="634">
        <v>7.039011295651278</v>
      </c>
      <c r="I34" s="634">
        <v>-1.5035867238567846</v>
      </c>
      <c r="J34" s="634">
        <v>1.8364191498997826</v>
      </c>
      <c r="K34" s="634">
        <v>3.9247182133828318</v>
      </c>
      <c r="L34" s="634">
        <v>1.0836484837616638</v>
      </c>
      <c r="M34" s="634">
        <v>0.63213672738513083</v>
      </c>
      <c r="N34" s="634">
        <v>0.69666684011858138</v>
      </c>
      <c r="O34" s="634">
        <v>0.93602650780883323</v>
      </c>
      <c r="P34" s="634">
        <v>4.2807148266237078</v>
      </c>
      <c r="Q34" s="634">
        <v>4.5513148102973986</v>
      </c>
      <c r="R34" s="634">
        <v>3.7069645831084159</v>
      </c>
      <c r="S34" s="634">
        <v>6.9478263405185885</v>
      </c>
      <c r="T34" s="634">
        <v>-20.805275899073521</v>
      </c>
      <c r="U34" s="634">
        <v>7.0335301069451361</v>
      </c>
      <c r="V34" s="634">
        <v>15.843675684641951</v>
      </c>
      <c r="W34" s="634">
        <v>5.3911442736601032</v>
      </c>
      <c r="X34" s="634">
        <v>7.2718814720441145</v>
      </c>
    </row>
    <row r="35" spans="1:24" ht="16">
      <c r="A35" s="634" t="s">
        <v>387</v>
      </c>
      <c r="B35" s="635" t="s">
        <v>388</v>
      </c>
      <c r="C35" s="634" t="s">
        <v>260</v>
      </c>
      <c r="D35" s="635" t="s">
        <v>455</v>
      </c>
      <c r="E35" s="634">
        <v>13.303333835845493</v>
      </c>
      <c r="F35" s="634">
        <v>10.943360068169355</v>
      </c>
      <c r="G35" s="634">
        <v>10.398458101200973</v>
      </c>
      <c r="H35" s="634">
        <v>7.4763660663101064</v>
      </c>
      <c r="I35" s="634">
        <v>4.0747785059906505</v>
      </c>
      <c r="J35" s="634">
        <v>5.076918432292473</v>
      </c>
      <c r="K35" s="634">
        <v>7.2866581387955165</v>
      </c>
      <c r="L35" s="634">
        <v>7.650256578703619</v>
      </c>
      <c r="M35" s="634">
        <v>7.8574997554251951</v>
      </c>
      <c r="N35" s="634">
        <v>8.0003207461856647</v>
      </c>
      <c r="O35" s="634">
        <v>7.2070347252951166</v>
      </c>
      <c r="P35" s="634">
        <v>7.9055011613070434</v>
      </c>
      <c r="Q35" s="634">
        <v>8.0750391553597893</v>
      </c>
      <c r="R35" s="634">
        <v>8.7762237622446264</v>
      </c>
      <c r="S35" s="634">
        <v>7.9369501358852403</v>
      </c>
      <c r="T35" s="634">
        <v>-3.5557219340654882</v>
      </c>
      <c r="U35" s="634">
        <v>3.089842841519939</v>
      </c>
      <c r="V35" s="634">
        <v>5.1299011076726657</v>
      </c>
      <c r="W35" s="634">
        <v>5.0073304381264165</v>
      </c>
      <c r="X35" s="634">
        <v>6.0158145735460806</v>
      </c>
    </row>
    <row r="36" spans="1:24" ht="16">
      <c r="A36" s="634" t="s">
        <v>387</v>
      </c>
      <c r="B36" s="635" t="s">
        <v>388</v>
      </c>
      <c r="C36" s="634" t="s">
        <v>456</v>
      </c>
      <c r="D36" s="635" t="s">
        <v>457</v>
      </c>
      <c r="E36" s="634">
        <v>2.2282702092411739</v>
      </c>
      <c r="F36" s="634">
        <v>3.8095832756613675</v>
      </c>
      <c r="G36" s="634">
        <v>4.3275890097287117</v>
      </c>
      <c r="H36" s="634">
        <v>2.8476778892105017</v>
      </c>
      <c r="I36" s="634">
        <v>2.5792517773875403</v>
      </c>
      <c r="J36" s="634">
        <v>2.8990247212201439</v>
      </c>
      <c r="K36" s="634">
        <v>3.3792112850604497</v>
      </c>
      <c r="L36" s="634">
        <v>4.6259787220957094</v>
      </c>
      <c r="M36" s="634">
        <v>4.9955291613078288</v>
      </c>
      <c r="N36" s="634">
        <v>5.7198181450919776</v>
      </c>
      <c r="O36" s="634">
        <v>5.6669529870393234</v>
      </c>
      <c r="P36" s="634">
        <v>4.5357942367880071</v>
      </c>
      <c r="Q36" s="634">
        <v>3.5411765492600722</v>
      </c>
      <c r="R36" s="634">
        <v>3.955514238920486</v>
      </c>
      <c r="S36" s="634">
        <v>3.475059981949812</v>
      </c>
      <c r="T36" s="634">
        <v>0.25993291590711465</v>
      </c>
      <c r="U36" s="634">
        <v>3.3388574717950519</v>
      </c>
      <c r="V36" s="634">
        <v>3.7367840056411978</v>
      </c>
      <c r="W36" s="634">
        <v>3.2483449782387623</v>
      </c>
      <c r="X36" s="634">
        <v>3.6707428468098442</v>
      </c>
    </row>
    <row r="37" spans="1:24" ht="16">
      <c r="A37" s="634" t="s">
        <v>387</v>
      </c>
      <c r="B37" s="635" t="s">
        <v>388</v>
      </c>
      <c r="C37" s="634" t="s">
        <v>458</v>
      </c>
      <c r="D37" s="635" t="s">
        <v>459</v>
      </c>
      <c r="E37" s="634">
        <v>3.2104543906356326</v>
      </c>
      <c r="F37" s="634">
        <v>2.6379437500734753</v>
      </c>
      <c r="G37" s="634">
        <v>2.0499046372678578</v>
      </c>
      <c r="H37" s="634">
        <v>0.99540630114074702</v>
      </c>
      <c r="I37" s="634">
        <v>-2.9150862155026687</v>
      </c>
      <c r="J37" s="634">
        <v>3.0908063446933483</v>
      </c>
      <c r="K37" s="634">
        <v>3.13719442170364</v>
      </c>
      <c r="L37" s="634">
        <v>1.7556612914548282</v>
      </c>
      <c r="M37" s="634">
        <v>2.3258135480642892</v>
      </c>
      <c r="N37" s="634">
        <v>2.8734667778581127</v>
      </c>
      <c r="O37" s="634">
        <v>0.64997100173485478</v>
      </c>
      <c r="P37" s="634">
        <v>1.0385509249085487</v>
      </c>
      <c r="Q37" s="634">
        <v>3.0338349120022201</v>
      </c>
      <c r="R37" s="634">
        <v>2.7429634490665507</v>
      </c>
      <c r="S37" s="634">
        <v>1.9084319459061589</v>
      </c>
      <c r="T37" s="634">
        <v>-5.0382334346889905</v>
      </c>
      <c r="U37" s="634">
        <v>5.9505280280438058</v>
      </c>
      <c r="V37" s="634">
        <v>4.1890362810085122</v>
      </c>
      <c r="W37" s="634">
        <v>1.5287455083835795</v>
      </c>
      <c r="X37" s="634">
        <v>1.5280811085283972</v>
      </c>
    </row>
    <row r="38" spans="1:24" ht="16">
      <c r="A38" s="634" t="s">
        <v>387</v>
      </c>
      <c r="B38" s="635" t="s">
        <v>388</v>
      </c>
      <c r="C38" s="634" t="s">
        <v>460</v>
      </c>
      <c r="D38" s="635" t="s">
        <v>461</v>
      </c>
      <c r="E38" s="634" t="s">
        <v>1705</v>
      </c>
      <c r="F38" s="634" t="s">
        <v>1705</v>
      </c>
      <c r="G38" s="634">
        <v>3.162625226527993</v>
      </c>
      <c r="H38" s="634">
        <v>-0.35740120109298346</v>
      </c>
      <c r="I38" s="634">
        <v>-7.2004824466470581</v>
      </c>
      <c r="J38" s="634">
        <v>-2.7156352621757662</v>
      </c>
      <c r="K38" s="634">
        <v>1.1690621983910603</v>
      </c>
      <c r="L38" s="634">
        <v>1.2297536570114858</v>
      </c>
      <c r="M38" s="634">
        <v>1.2793310199902095</v>
      </c>
      <c r="N38" s="634">
        <v>2.6545279845127112</v>
      </c>
      <c r="O38" s="634">
        <v>2.8331222262960978</v>
      </c>
      <c r="P38" s="634">
        <v>3.2399743389566851</v>
      </c>
      <c r="Q38" s="634">
        <v>3.1840459233452236</v>
      </c>
      <c r="R38" s="634">
        <v>4.2672674524964123</v>
      </c>
      <c r="S38" s="634">
        <v>3.9156353424941557</v>
      </c>
      <c r="T38" s="634">
        <v>-4.954806407592443</v>
      </c>
      <c r="U38" s="634">
        <v>4.9049294127044192</v>
      </c>
      <c r="V38" s="634">
        <v>5.1563295424833342</v>
      </c>
      <c r="W38" s="634">
        <v>4.3596759570036596</v>
      </c>
      <c r="X38" s="634" t="s">
        <v>1705</v>
      </c>
    </row>
    <row r="39" spans="1:24" ht="16">
      <c r="A39" s="634" t="s">
        <v>387</v>
      </c>
      <c r="B39" s="635" t="s">
        <v>388</v>
      </c>
      <c r="C39" s="634" t="s">
        <v>462</v>
      </c>
      <c r="D39" s="635" t="s">
        <v>463</v>
      </c>
      <c r="E39" s="634">
        <v>0.90821051487195348</v>
      </c>
      <c r="F39" s="634">
        <v>4.7710854304410475</v>
      </c>
      <c r="G39" s="634">
        <v>4.607534854520253</v>
      </c>
      <c r="H39" s="634">
        <v>2.054130962004848</v>
      </c>
      <c r="I39" s="634">
        <v>8.5872604264099408</v>
      </c>
      <c r="J39" s="634">
        <v>4.6308184322330703</v>
      </c>
      <c r="K39" s="634">
        <v>4.19461533741989</v>
      </c>
      <c r="L39" s="634">
        <v>5.0537612535691778</v>
      </c>
      <c r="M39" s="634">
        <v>-36.391977098388672</v>
      </c>
      <c r="N39" s="634">
        <v>8.107051532648768E-2</v>
      </c>
      <c r="O39" s="634">
        <v>4.3371210302023115</v>
      </c>
      <c r="P39" s="634">
        <v>4.7503168412234231</v>
      </c>
      <c r="Q39" s="634">
        <v>4.52727821346231</v>
      </c>
      <c r="R39" s="634">
        <v>3.7894435927546226</v>
      </c>
      <c r="S39" s="634">
        <v>3.0999999999999943</v>
      </c>
      <c r="T39" s="634">
        <v>0.899999996857062</v>
      </c>
      <c r="U39" s="634">
        <v>0.98291999626422921</v>
      </c>
      <c r="V39" s="634">
        <v>0.45390188150700794</v>
      </c>
      <c r="W39" s="634">
        <v>0.69996838992121013</v>
      </c>
      <c r="X39" s="634">
        <v>1.539632474828494</v>
      </c>
    </row>
    <row r="40" spans="1:24" ht="16">
      <c r="A40" s="634" t="s">
        <v>387</v>
      </c>
      <c r="B40" s="635" t="s">
        <v>388</v>
      </c>
      <c r="C40" s="634" t="s">
        <v>464</v>
      </c>
      <c r="D40" s="635" t="s">
        <v>465</v>
      </c>
      <c r="E40" s="634">
        <v>17.332533735083672</v>
      </c>
      <c r="F40" s="634">
        <v>-0.52152226483480035</v>
      </c>
      <c r="G40" s="634">
        <v>4.3562121138045455</v>
      </c>
      <c r="H40" s="634">
        <v>3.1083622164388913</v>
      </c>
      <c r="I40" s="634">
        <v>-1.3384843664611168</v>
      </c>
      <c r="J40" s="634">
        <v>13.794388929096343</v>
      </c>
      <c r="K40" s="634">
        <v>4.5535903996333502</v>
      </c>
      <c r="L40" s="634">
        <v>9.0526802508940136</v>
      </c>
      <c r="M40" s="634">
        <v>2.8073518871181591</v>
      </c>
      <c r="N40" s="634">
        <v>2.0629809711576854</v>
      </c>
      <c r="O40" s="634">
        <v>3.3108856741758785</v>
      </c>
      <c r="P40" s="634">
        <v>-4.1299283720585152</v>
      </c>
      <c r="Q40" s="634">
        <v>-1.6279936708343428</v>
      </c>
      <c r="R40" s="634">
        <v>5.7411158075815365</v>
      </c>
      <c r="S40" s="634">
        <v>5.388656469197926</v>
      </c>
      <c r="T40" s="634">
        <v>-0.40889436325535655</v>
      </c>
      <c r="U40" s="634">
        <v>0.2939791632644102</v>
      </c>
      <c r="V40" s="634">
        <v>12.896616430008237</v>
      </c>
      <c r="W40" s="634">
        <v>4.1174517920100442</v>
      </c>
      <c r="X40" s="634">
        <v>3.6544511046340489</v>
      </c>
    </row>
    <row r="41" spans="1:24" ht="16">
      <c r="A41" s="634" t="s">
        <v>387</v>
      </c>
      <c r="B41" s="635" t="s">
        <v>388</v>
      </c>
      <c r="C41" s="634" t="s">
        <v>466</v>
      </c>
      <c r="D41" s="635" t="s">
        <v>467</v>
      </c>
      <c r="E41" s="634" t="s">
        <v>1705</v>
      </c>
      <c r="F41" s="634" t="s">
        <v>1705</v>
      </c>
      <c r="G41" s="634" t="s">
        <v>1705</v>
      </c>
      <c r="H41" s="634" t="s">
        <v>1705</v>
      </c>
      <c r="I41" s="634" t="s">
        <v>1705</v>
      </c>
      <c r="J41" s="634">
        <v>-3.606632315727424</v>
      </c>
      <c r="K41" s="634">
        <v>1.1250431089537187</v>
      </c>
      <c r="L41" s="634">
        <v>-5.7536612213911269</v>
      </c>
      <c r="M41" s="634">
        <v>0.49393112052878507</v>
      </c>
      <c r="N41" s="634">
        <v>2.4271017848231082</v>
      </c>
      <c r="O41" s="634">
        <v>0.37436708382938377</v>
      </c>
      <c r="P41" s="634">
        <v>1.2130240765719549</v>
      </c>
      <c r="Q41" s="634">
        <v>1.806481313835846</v>
      </c>
      <c r="R41" s="634">
        <v>1.1222435658518037</v>
      </c>
      <c r="S41" s="634">
        <v>1.5733559615634221</v>
      </c>
      <c r="T41" s="634">
        <v>-8.8967792659195908</v>
      </c>
      <c r="U41" s="634">
        <v>9.9368013698507553</v>
      </c>
      <c r="V41" s="634">
        <v>5.3419614037586882</v>
      </c>
      <c r="W41" s="634">
        <v>3.7150059036726617</v>
      </c>
      <c r="X41" s="634" t="s">
        <v>1705</v>
      </c>
    </row>
    <row r="42" spans="1:24" ht="16">
      <c r="A42" s="634" t="s">
        <v>387</v>
      </c>
      <c r="B42" s="635" t="s">
        <v>388</v>
      </c>
      <c r="C42" s="634" t="s">
        <v>468</v>
      </c>
      <c r="D42" s="635" t="s">
        <v>469</v>
      </c>
      <c r="E42" s="634">
        <v>5.8370457191775813</v>
      </c>
      <c r="F42" s="634">
        <v>6.0499908256396822</v>
      </c>
      <c r="G42" s="634">
        <v>5.1682309852843105</v>
      </c>
      <c r="H42" s="634">
        <v>3.7893928063523816</v>
      </c>
      <c r="I42" s="634">
        <v>-1.1180372364287763</v>
      </c>
      <c r="J42" s="634">
        <v>5.8516510222404747</v>
      </c>
      <c r="K42" s="634">
        <v>6.2238967850913838</v>
      </c>
      <c r="L42" s="634">
        <v>6.1553400185549378</v>
      </c>
      <c r="M42" s="634">
        <v>3.3085082471008462</v>
      </c>
      <c r="N42" s="634">
        <v>1.7926494713925933</v>
      </c>
      <c r="O42" s="634">
        <v>2.1519424998118382</v>
      </c>
      <c r="P42" s="634">
        <v>1.7530387490709956</v>
      </c>
      <c r="Q42" s="634">
        <v>1.3576953734395687</v>
      </c>
      <c r="R42" s="634">
        <v>3.9900294778997676</v>
      </c>
      <c r="S42" s="634">
        <v>0.63436753382843847</v>
      </c>
      <c r="T42" s="634">
        <v>-6.143474792240923</v>
      </c>
      <c r="U42" s="634">
        <v>11.314920487904857</v>
      </c>
      <c r="V42" s="634">
        <v>2.1539935619245796</v>
      </c>
      <c r="W42" s="634">
        <v>0.52136797724682538</v>
      </c>
      <c r="X42" s="634">
        <v>2.644311548715379</v>
      </c>
    </row>
    <row r="43" spans="1:24" ht="16">
      <c r="A43" s="634" t="s">
        <v>387</v>
      </c>
      <c r="B43" s="635" t="s">
        <v>388</v>
      </c>
      <c r="C43" s="634" t="s">
        <v>470</v>
      </c>
      <c r="D43" s="635" t="s">
        <v>471</v>
      </c>
      <c r="E43" s="634">
        <v>11.458238455067018</v>
      </c>
      <c r="F43" s="634">
        <v>12.674675165523524</v>
      </c>
      <c r="G43" s="634">
        <v>14.149985494712737</v>
      </c>
      <c r="H43" s="634">
        <v>9.6702458860285105</v>
      </c>
      <c r="I43" s="634">
        <v>9.4026997277804441</v>
      </c>
      <c r="J43" s="634">
        <v>10.596271976168154</v>
      </c>
      <c r="K43" s="634">
        <v>9.4613358870736022</v>
      </c>
      <c r="L43" s="634">
        <v>7.8561742705558686</v>
      </c>
      <c r="M43" s="634">
        <v>7.7787240944671652</v>
      </c>
      <c r="N43" s="634">
        <v>7.4619002822943372</v>
      </c>
      <c r="O43" s="634">
        <v>6.9787800265747677</v>
      </c>
      <c r="P43" s="634">
        <v>6.7755556283701708</v>
      </c>
      <c r="Q43" s="634">
        <v>6.891266362121101</v>
      </c>
      <c r="R43" s="634">
        <v>6.7567180016683324</v>
      </c>
      <c r="S43" s="634">
        <v>6.0685023505370452</v>
      </c>
      <c r="T43" s="634">
        <v>2.3401884307841385</v>
      </c>
      <c r="U43" s="634">
        <v>8.5700851316632196</v>
      </c>
      <c r="V43" s="634">
        <v>3.1341888719577042</v>
      </c>
      <c r="W43" s="634">
        <v>5.4148433009967505</v>
      </c>
      <c r="X43" s="634">
        <v>4.9773565917572</v>
      </c>
    </row>
    <row r="44" spans="1:24" ht="16">
      <c r="A44" s="634" t="s">
        <v>387</v>
      </c>
      <c r="B44" s="635" t="s">
        <v>388</v>
      </c>
      <c r="C44" s="634" t="s">
        <v>472</v>
      </c>
      <c r="D44" s="635" t="s">
        <v>473</v>
      </c>
      <c r="E44" s="634">
        <v>4.8287611077374066</v>
      </c>
      <c r="F44" s="634">
        <v>6.7168686984440171</v>
      </c>
      <c r="G44" s="634">
        <v>6.7381946909097508</v>
      </c>
      <c r="H44" s="634">
        <v>3.2834461861654063</v>
      </c>
      <c r="I44" s="634">
        <v>1.1396486454806194</v>
      </c>
      <c r="J44" s="634">
        <v>4.4946589707092244</v>
      </c>
      <c r="K44" s="634">
        <v>6.9478919817355518</v>
      </c>
      <c r="L44" s="634">
        <v>3.9126357671611487</v>
      </c>
      <c r="M44" s="634">
        <v>5.1339935199567179</v>
      </c>
      <c r="N44" s="634">
        <v>4.4990300011097162</v>
      </c>
      <c r="O44" s="634">
        <v>2.9559013752752321</v>
      </c>
      <c r="P44" s="634">
        <v>2.0873825016279426</v>
      </c>
      <c r="Q44" s="634">
        <v>1.3593608678874602</v>
      </c>
      <c r="R44" s="634">
        <v>2.5643242827770365</v>
      </c>
      <c r="S44" s="634">
        <v>3.1868553924553282</v>
      </c>
      <c r="T44" s="634">
        <v>-7.1859141376085915</v>
      </c>
      <c r="U44" s="634">
        <v>10.801198190487838</v>
      </c>
      <c r="V44" s="634">
        <v>7.3282772942797862</v>
      </c>
      <c r="W44" s="634">
        <v>0.71238003197433386</v>
      </c>
      <c r="X44" s="634">
        <v>1.7438014504115955</v>
      </c>
    </row>
    <row r="45" spans="1:24" ht="16">
      <c r="A45" s="634" t="s">
        <v>387</v>
      </c>
      <c r="B45" s="635" t="s">
        <v>388</v>
      </c>
      <c r="C45" s="634" t="s">
        <v>474</v>
      </c>
      <c r="D45" s="635" t="s">
        <v>475</v>
      </c>
      <c r="E45" s="634">
        <v>2.8375478698833234</v>
      </c>
      <c r="F45" s="634">
        <v>2.6469554759411977</v>
      </c>
      <c r="G45" s="634">
        <v>0.80004234895538673</v>
      </c>
      <c r="H45" s="634">
        <v>3.9646111887181519</v>
      </c>
      <c r="I45" s="634">
        <v>6.4869288199063107</v>
      </c>
      <c r="J45" s="634">
        <v>4.8010581682338653</v>
      </c>
      <c r="K45" s="634">
        <v>5.8881526705417002</v>
      </c>
      <c r="L45" s="634">
        <v>6.3106397375404271</v>
      </c>
      <c r="M45" s="634">
        <v>8.9272695336596115</v>
      </c>
      <c r="N45" s="634">
        <v>3.8956932895121525</v>
      </c>
      <c r="O45" s="634">
        <v>1.9920646874693944</v>
      </c>
      <c r="P45" s="634">
        <v>2.7802285421223587</v>
      </c>
      <c r="Q45" s="634">
        <v>5.5961895207301069</v>
      </c>
      <c r="R45" s="634">
        <v>4.0596059366280457</v>
      </c>
      <c r="S45" s="634">
        <v>3.6287702443718644</v>
      </c>
      <c r="T45" s="634">
        <v>4.0053179351331067</v>
      </c>
      <c r="U45" s="634">
        <v>2.7257984507955939</v>
      </c>
      <c r="V45" s="634">
        <v>2.8183950656263619</v>
      </c>
      <c r="W45" s="634">
        <v>3.0646623685557586</v>
      </c>
      <c r="X45" s="634">
        <v>3.3887835062683962</v>
      </c>
    </row>
    <row r="46" spans="1:24" ht="16">
      <c r="A46" s="634" t="s">
        <v>387</v>
      </c>
      <c r="B46" s="635" t="s">
        <v>388</v>
      </c>
      <c r="C46" s="634" t="s">
        <v>476</v>
      </c>
      <c r="D46" s="635" t="s">
        <v>178</v>
      </c>
      <c r="E46" s="634">
        <v>6.1351511554897229</v>
      </c>
      <c r="F46" s="634">
        <v>5.3209795654899779</v>
      </c>
      <c r="G46" s="634">
        <v>6.259477764373969</v>
      </c>
      <c r="H46" s="634">
        <v>6.2258942686919312</v>
      </c>
      <c r="I46" s="634">
        <v>2.8550640101148446</v>
      </c>
      <c r="J46" s="634">
        <v>7.1079765758139217</v>
      </c>
      <c r="K46" s="634">
        <v>6.8746708900163043</v>
      </c>
      <c r="L46" s="634">
        <v>7.0868989467194154</v>
      </c>
      <c r="M46" s="634">
        <v>8.4819566360875456</v>
      </c>
      <c r="N46" s="634">
        <v>9.4702880993100962</v>
      </c>
      <c r="O46" s="634">
        <v>6.9161671192256051</v>
      </c>
      <c r="P46" s="634">
        <v>2.3993989113345151</v>
      </c>
      <c r="Q46" s="634">
        <v>3.7269476588300989</v>
      </c>
      <c r="R46" s="634">
        <v>5.8211210996902452</v>
      </c>
      <c r="S46" s="634">
        <v>4.3845288742983399</v>
      </c>
      <c r="T46" s="634">
        <v>1.7354227668149349</v>
      </c>
      <c r="U46" s="634">
        <v>6.2001540107594622</v>
      </c>
      <c r="V46" s="634">
        <v>8.9244478507951754</v>
      </c>
      <c r="W46" s="634">
        <v>8.6090897234843595</v>
      </c>
      <c r="X46" s="634">
        <v>6.675930289867793</v>
      </c>
    </row>
    <row r="47" spans="1:24" ht="16">
      <c r="A47" s="634" t="s">
        <v>387</v>
      </c>
      <c r="B47" s="635" t="s">
        <v>388</v>
      </c>
      <c r="C47" s="634" t="s">
        <v>477</v>
      </c>
      <c r="D47" s="635" t="s">
        <v>478</v>
      </c>
      <c r="E47" s="634">
        <v>7.7557589780664813</v>
      </c>
      <c r="F47" s="634">
        <v>7.9862383633429062</v>
      </c>
      <c r="G47" s="634">
        <v>-6.6139948044100123</v>
      </c>
      <c r="H47" s="634">
        <v>6.3063759558525874</v>
      </c>
      <c r="I47" s="634">
        <v>11.637288861575755</v>
      </c>
      <c r="J47" s="634">
        <v>9.9312654309557757</v>
      </c>
      <c r="K47" s="634">
        <v>2.2059193628671778</v>
      </c>
      <c r="L47" s="634">
        <v>9.9471531425756439</v>
      </c>
      <c r="M47" s="634">
        <v>-0.71243445187644738</v>
      </c>
      <c r="N47" s="634">
        <v>6.6460654092844749</v>
      </c>
      <c r="O47" s="634">
        <v>0.41519306129376332</v>
      </c>
      <c r="P47" s="634">
        <v>-8.6852434391378637</v>
      </c>
      <c r="Q47" s="634">
        <v>-5.5947737191554694</v>
      </c>
      <c r="R47" s="634">
        <v>-2.3043178012584207</v>
      </c>
      <c r="S47" s="634">
        <v>1.1244739197652933</v>
      </c>
      <c r="T47" s="634">
        <v>-6.2677722796322541</v>
      </c>
      <c r="U47" s="634">
        <v>1.0150703699090826</v>
      </c>
      <c r="V47" s="634">
        <v>1.4753561324713331</v>
      </c>
      <c r="W47" s="634">
        <v>1.9068642634675399</v>
      </c>
      <c r="X47" s="634">
        <v>2.5796663953513814</v>
      </c>
    </row>
    <row r="48" spans="1:24" ht="16">
      <c r="A48" s="634" t="s">
        <v>387</v>
      </c>
      <c r="B48" s="635" t="s">
        <v>388</v>
      </c>
      <c r="C48" s="634" t="s">
        <v>479</v>
      </c>
      <c r="D48" s="635" t="s">
        <v>480</v>
      </c>
      <c r="E48" s="634">
        <v>3.9766663681802612</v>
      </c>
      <c r="F48" s="634">
        <v>7.3266954325066962</v>
      </c>
      <c r="G48" s="634">
        <v>8.2151319834871543</v>
      </c>
      <c r="H48" s="634">
        <v>4.7381748775402173</v>
      </c>
      <c r="I48" s="634">
        <v>-0.87345594278778549</v>
      </c>
      <c r="J48" s="634">
        <v>5.3603435263411114</v>
      </c>
      <c r="K48" s="634">
        <v>4.4031592397043084</v>
      </c>
      <c r="L48" s="634">
        <v>4.8825924102573879</v>
      </c>
      <c r="M48" s="634">
        <v>2.4947661120995406</v>
      </c>
      <c r="N48" s="634">
        <v>3.5421098776597688</v>
      </c>
      <c r="O48" s="634">
        <v>3.6520809680288266</v>
      </c>
      <c r="P48" s="634">
        <v>4.2043232517589928</v>
      </c>
      <c r="Q48" s="634">
        <v>4.1576989627609038</v>
      </c>
      <c r="R48" s="634">
        <v>2.6159044043378969</v>
      </c>
      <c r="S48" s="634">
        <v>2.417511817625126</v>
      </c>
      <c r="T48" s="634">
        <v>-4.2733543216146188</v>
      </c>
      <c r="U48" s="634">
        <v>7.9357622474314695</v>
      </c>
      <c r="V48" s="634">
        <v>4.5514917795839835</v>
      </c>
      <c r="W48" s="634">
        <v>5.1119218322913724</v>
      </c>
      <c r="X48" s="634">
        <v>4.3212242964722378</v>
      </c>
    </row>
    <row r="49" spans="1:24" ht="16">
      <c r="A49" s="634" t="s">
        <v>387</v>
      </c>
      <c r="B49" s="635" t="s">
        <v>388</v>
      </c>
      <c r="C49" s="634" t="s">
        <v>481</v>
      </c>
      <c r="D49" s="635" t="s">
        <v>482</v>
      </c>
      <c r="E49" s="634">
        <v>0.99606556485478848</v>
      </c>
      <c r="F49" s="634">
        <v>2.8155785925232664</v>
      </c>
      <c r="G49" s="634">
        <v>1.1014297679347749</v>
      </c>
      <c r="H49" s="634">
        <v>4.7826659787671986</v>
      </c>
      <c r="I49" s="634">
        <v>3.6033215666705303</v>
      </c>
      <c r="J49" s="634">
        <v>6.8480493990701348</v>
      </c>
      <c r="K49" s="634">
        <v>-5.3704472400057881</v>
      </c>
      <c r="L49" s="634">
        <v>7.6204117645164899</v>
      </c>
      <c r="M49" s="634">
        <v>10.760213131125582</v>
      </c>
      <c r="N49" s="634">
        <v>9.3719999424037468</v>
      </c>
      <c r="O49" s="634">
        <v>7.1949494272819123</v>
      </c>
      <c r="P49" s="634">
        <v>7.1727596395633242</v>
      </c>
      <c r="Q49" s="634">
        <v>7.4107624259250429</v>
      </c>
      <c r="R49" s="634">
        <v>4.8431460588917759</v>
      </c>
      <c r="S49" s="634">
        <v>6.721371675849781</v>
      </c>
      <c r="T49" s="634">
        <v>0.69972859349422833</v>
      </c>
      <c r="U49" s="634">
        <v>7.0633291020523217</v>
      </c>
      <c r="V49" s="634">
        <v>6.3998836272053126</v>
      </c>
      <c r="W49" s="634">
        <v>6.4504579690257486</v>
      </c>
      <c r="X49" s="634">
        <v>5.9500000000203102</v>
      </c>
    </row>
    <row r="50" spans="1:24" ht="16">
      <c r="A50" s="634" t="s">
        <v>387</v>
      </c>
      <c r="B50" s="635" t="s">
        <v>388</v>
      </c>
      <c r="C50" s="634" t="s">
        <v>483</v>
      </c>
      <c r="D50" s="635" t="s">
        <v>484</v>
      </c>
      <c r="E50" s="634">
        <v>4.3270765220591301</v>
      </c>
      <c r="F50" s="634">
        <v>5.0814659040727008</v>
      </c>
      <c r="G50" s="634">
        <v>5.0488862087603366</v>
      </c>
      <c r="H50" s="634">
        <v>1.9685900928191131</v>
      </c>
      <c r="I50" s="634">
        <v>-6.813956177894255</v>
      </c>
      <c r="J50" s="634">
        <v>-1.3340815240057111</v>
      </c>
      <c r="K50" s="634">
        <v>-9.7751452744660128E-2</v>
      </c>
      <c r="L50" s="634">
        <v>-2.2537455807858322</v>
      </c>
      <c r="M50" s="634">
        <v>-0.12544982621149359</v>
      </c>
      <c r="N50" s="634">
        <v>-0.55715019730610038</v>
      </c>
      <c r="O50" s="634">
        <v>2.323175158038552</v>
      </c>
      <c r="P50" s="634">
        <v>3.4611294735676665</v>
      </c>
      <c r="Q50" s="634">
        <v>3.2809581214065844</v>
      </c>
      <c r="R50" s="634">
        <v>2.90468149344008</v>
      </c>
      <c r="S50" s="634">
        <v>3.1004391144375774</v>
      </c>
      <c r="T50" s="634">
        <v>-8.3116425788468717</v>
      </c>
      <c r="U50" s="634">
        <v>12.631700327771185</v>
      </c>
      <c r="V50" s="634">
        <v>7.2879364320656492</v>
      </c>
      <c r="W50" s="634">
        <v>3.3025448808632518</v>
      </c>
      <c r="X50" s="634">
        <v>3.814945216674289</v>
      </c>
    </row>
    <row r="51" spans="1:24" ht="16">
      <c r="A51" s="634" t="s">
        <v>387</v>
      </c>
      <c r="B51" s="635" t="s">
        <v>388</v>
      </c>
      <c r="C51" s="634" t="s">
        <v>485</v>
      </c>
      <c r="D51" s="635" t="s">
        <v>486</v>
      </c>
      <c r="E51" s="634">
        <v>11.201656421909362</v>
      </c>
      <c r="F51" s="634">
        <v>12.065863112995316</v>
      </c>
      <c r="G51" s="634">
        <v>7.2621369664794315</v>
      </c>
      <c r="H51" s="634">
        <v>4.1168280416468122</v>
      </c>
      <c r="I51" s="634">
        <v>1.4513054307407032</v>
      </c>
      <c r="J51" s="634">
        <v>2.3903522965072312</v>
      </c>
      <c r="K51" s="634">
        <v>2.8023008364762632</v>
      </c>
      <c r="L51" s="634">
        <v>3.0149002889877181</v>
      </c>
      <c r="M51" s="634">
        <v>2.7476025625721121</v>
      </c>
      <c r="N51" s="634">
        <v>1.047576631876538</v>
      </c>
      <c r="O51" s="634">
        <v>4.4383335888394981</v>
      </c>
      <c r="P51" s="634">
        <v>0.51284309570074527</v>
      </c>
      <c r="Q51" s="634">
        <v>1.8097917721228356</v>
      </c>
      <c r="R51" s="634">
        <v>2.2479485408623248</v>
      </c>
      <c r="S51" s="634">
        <v>-0.16308722360662387</v>
      </c>
      <c r="T51" s="634">
        <v>-10.94908460488621</v>
      </c>
      <c r="U51" s="634">
        <v>1.2536934250131111</v>
      </c>
      <c r="V51" s="634">
        <v>1.7750487982576715</v>
      </c>
      <c r="W51" s="634">
        <v>-1.9293712316968055</v>
      </c>
      <c r="X51" s="634" t="s">
        <v>1705</v>
      </c>
    </row>
    <row r="52" spans="1:24" ht="16">
      <c r="A52" s="634" t="s">
        <v>387</v>
      </c>
      <c r="B52" s="635" t="s">
        <v>388</v>
      </c>
      <c r="C52" s="634" t="s">
        <v>487</v>
      </c>
      <c r="D52" s="635" t="s">
        <v>488</v>
      </c>
      <c r="E52" s="634">
        <v>0.67642534520166464</v>
      </c>
      <c r="F52" s="634">
        <v>1.6359346898703535</v>
      </c>
      <c r="G52" s="634">
        <v>2.4699632283678739</v>
      </c>
      <c r="H52" s="634">
        <v>2.1880430801916759</v>
      </c>
      <c r="I52" s="634">
        <v>-0.5313082423381843</v>
      </c>
      <c r="J52" s="634">
        <v>8.2306608813141224E-2</v>
      </c>
      <c r="K52" s="634">
        <v>0.50845748203722962</v>
      </c>
      <c r="L52" s="634">
        <v>-0.34895082430242041</v>
      </c>
      <c r="M52" s="634">
        <v>-0.63569690759113939</v>
      </c>
      <c r="N52" s="634">
        <v>-0.63739737332713275</v>
      </c>
      <c r="O52" s="634">
        <v>0.45815154416004589</v>
      </c>
      <c r="P52" s="634">
        <v>-1.0677084865527746</v>
      </c>
      <c r="Q52" s="634">
        <v>-1.2762081008495016</v>
      </c>
      <c r="R52" s="634">
        <v>-2.1041113310102872</v>
      </c>
      <c r="S52" s="634">
        <v>-3.2061317190253504</v>
      </c>
      <c r="T52" s="634">
        <v>-18.438470350539376</v>
      </c>
      <c r="U52" s="634">
        <v>4.1837119305355088</v>
      </c>
      <c r="V52" s="634">
        <v>7.923000000000016</v>
      </c>
      <c r="W52" s="634">
        <v>4.2019999999999271</v>
      </c>
      <c r="X52" s="634" t="s">
        <v>1705</v>
      </c>
    </row>
    <row r="53" spans="1:24" ht="16">
      <c r="A53" s="634" t="s">
        <v>387</v>
      </c>
      <c r="B53" s="635" t="s">
        <v>388</v>
      </c>
      <c r="C53" s="634" t="s">
        <v>489</v>
      </c>
      <c r="D53" s="635" t="s">
        <v>490</v>
      </c>
      <c r="E53" s="634">
        <v>4.8529876217558581</v>
      </c>
      <c r="F53" s="634">
        <v>4.7137835859395949</v>
      </c>
      <c r="G53" s="634">
        <v>5.0982261485479796</v>
      </c>
      <c r="H53" s="634">
        <v>3.6469892210393908</v>
      </c>
      <c r="I53" s="634">
        <v>-2.0150820368369438</v>
      </c>
      <c r="J53" s="634">
        <v>2.2826710011978832</v>
      </c>
      <c r="K53" s="634">
        <v>0.41671186840868302</v>
      </c>
      <c r="L53" s="634">
        <v>-3.4473815137458672</v>
      </c>
      <c r="M53" s="634">
        <v>-6.5874775111834651</v>
      </c>
      <c r="N53" s="634">
        <v>-1.7760586772861586</v>
      </c>
      <c r="O53" s="634">
        <v>3.4189203888901289</v>
      </c>
      <c r="P53" s="634">
        <v>6.573590809246781</v>
      </c>
      <c r="Q53" s="634">
        <v>5.75083236554525</v>
      </c>
      <c r="R53" s="634">
        <v>6.2716636005640396</v>
      </c>
      <c r="S53" s="634">
        <v>5.8755958338660719</v>
      </c>
      <c r="T53" s="634">
        <v>-3.2206301863756721</v>
      </c>
      <c r="U53" s="634">
        <v>11.388189268430523</v>
      </c>
      <c r="V53" s="634">
        <v>7.204867807438788</v>
      </c>
      <c r="W53" s="634">
        <v>2.7639097541960496</v>
      </c>
      <c r="X53" s="634">
        <v>3.4480617042135009</v>
      </c>
    </row>
    <row r="54" spans="1:24" ht="16">
      <c r="A54" s="634" t="s">
        <v>387</v>
      </c>
      <c r="B54" s="635" t="s">
        <v>388</v>
      </c>
      <c r="C54" s="634" t="s">
        <v>491</v>
      </c>
      <c r="D54" s="635" t="s">
        <v>492</v>
      </c>
      <c r="E54" s="634">
        <v>6.3750288608679142</v>
      </c>
      <c r="F54" s="634">
        <v>6.6231729917744673</v>
      </c>
      <c r="G54" s="634">
        <v>5.4888259516451683</v>
      </c>
      <c r="H54" s="634">
        <v>2.6122680720513927</v>
      </c>
      <c r="I54" s="634">
        <v>-4.7983241668492553</v>
      </c>
      <c r="J54" s="634">
        <v>2.7146650990770098</v>
      </c>
      <c r="K54" s="634">
        <v>1.7723808533847318</v>
      </c>
      <c r="L54" s="634">
        <v>-0.77066819062274305</v>
      </c>
      <c r="M54" s="634">
        <v>-4.1812416044749057E-2</v>
      </c>
      <c r="N54" s="634">
        <v>2.2452121986263478</v>
      </c>
      <c r="O54" s="634">
        <v>4.9587584891560397</v>
      </c>
      <c r="P54" s="634">
        <v>2.5808701392137579</v>
      </c>
      <c r="Q54" s="634">
        <v>5.1735652996788133</v>
      </c>
      <c r="R54" s="634">
        <v>2.8303058826786582</v>
      </c>
      <c r="S54" s="634">
        <v>3.5657765812826057</v>
      </c>
      <c r="T54" s="634">
        <v>-5.3048795546387595</v>
      </c>
      <c r="U54" s="634">
        <v>4.0290183205514865</v>
      </c>
      <c r="V54" s="634">
        <v>2.8471706583814012</v>
      </c>
      <c r="W54" s="634">
        <v>-5.5261820112022519E-2</v>
      </c>
      <c r="X54" s="634">
        <v>1.1203846269866489</v>
      </c>
    </row>
    <row r="55" spans="1:24" ht="16">
      <c r="A55" s="634" t="s">
        <v>387</v>
      </c>
      <c r="B55" s="635" t="s">
        <v>388</v>
      </c>
      <c r="C55" s="634" t="s">
        <v>493</v>
      </c>
      <c r="D55" s="635" t="s">
        <v>494</v>
      </c>
      <c r="E55" s="634">
        <v>2.3596088299252784</v>
      </c>
      <c r="F55" s="634">
        <v>3.8164876990817191</v>
      </c>
      <c r="G55" s="634">
        <v>0.98717381594512688</v>
      </c>
      <c r="H55" s="634">
        <v>-0.41717843999100523</v>
      </c>
      <c r="I55" s="634">
        <v>-4.9744790566905834</v>
      </c>
      <c r="J55" s="634">
        <v>1.5828970310880237</v>
      </c>
      <c r="K55" s="634">
        <v>1.3108037609605958</v>
      </c>
      <c r="L55" s="634">
        <v>-5.4323016167074911E-3</v>
      </c>
      <c r="M55" s="634">
        <v>1.3926734316197127</v>
      </c>
      <c r="N55" s="634">
        <v>1.2779998319283123</v>
      </c>
      <c r="O55" s="634">
        <v>2.104414564453009</v>
      </c>
      <c r="P55" s="634">
        <v>3.0730454920909267</v>
      </c>
      <c r="Q55" s="634">
        <v>3.0564772392271777</v>
      </c>
      <c r="R55" s="634">
        <v>1.8600074900921015</v>
      </c>
      <c r="S55" s="634">
        <v>1.7114009393273619</v>
      </c>
      <c r="T55" s="634">
        <v>-1.7801060183129067</v>
      </c>
      <c r="U55" s="634">
        <v>7.3820663344986315</v>
      </c>
      <c r="V55" s="634">
        <v>1.5401730735789272</v>
      </c>
      <c r="W55" s="634">
        <v>2.4951843451677291</v>
      </c>
      <c r="X55" s="634">
        <v>3.6761973497192884</v>
      </c>
    </row>
    <row r="56" spans="1:24" ht="16">
      <c r="A56" s="634" t="s">
        <v>387</v>
      </c>
      <c r="B56" s="635" t="s">
        <v>388</v>
      </c>
      <c r="C56" s="634" t="s">
        <v>495</v>
      </c>
      <c r="D56" s="635" t="s">
        <v>496</v>
      </c>
      <c r="E56" s="634" t="s">
        <v>1705</v>
      </c>
      <c r="F56" s="634" t="s">
        <v>1705</v>
      </c>
      <c r="G56" s="634" t="s">
        <v>1705</v>
      </c>
      <c r="H56" s="634" t="s">
        <v>1705</v>
      </c>
      <c r="I56" s="634" t="s">
        <v>1705</v>
      </c>
      <c r="J56" s="634" t="s">
        <v>1705</v>
      </c>
      <c r="K56" s="634" t="s">
        <v>1705</v>
      </c>
      <c r="L56" s="634" t="s">
        <v>1705</v>
      </c>
      <c r="M56" s="634" t="s">
        <v>1705</v>
      </c>
      <c r="N56" s="634">
        <v>7.1929872846369705</v>
      </c>
      <c r="O56" s="634">
        <v>7.3089856345079909</v>
      </c>
      <c r="P56" s="634">
        <v>7.1234323372871984</v>
      </c>
      <c r="Q56" s="634">
        <v>5.4580915172119973</v>
      </c>
      <c r="R56" s="634">
        <v>4.7743393494319264</v>
      </c>
      <c r="S56" s="634">
        <v>5.5450808115497807</v>
      </c>
      <c r="T56" s="634">
        <v>1.202115172896896</v>
      </c>
      <c r="U56" s="634">
        <v>4.4071566756115317</v>
      </c>
      <c r="V56" s="634">
        <v>5.1665370285437433</v>
      </c>
      <c r="W56" s="634">
        <v>7.3720714870199515</v>
      </c>
      <c r="X56" s="634">
        <v>5.9538299885484776</v>
      </c>
    </row>
    <row r="57" spans="1:24" ht="16">
      <c r="A57" s="634" t="s">
        <v>387</v>
      </c>
      <c r="B57" s="635" t="s">
        <v>388</v>
      </c>
      <c r="C57" s="634" t="s">
        <v>497</v>
      </c>
      <c r="D57" s="635" t="s">
        <v>498</v>
      </c>
      <c r="E57" s="634">
        <v>0.91528647277914388</v>
      </c>
      <c r="F57" s="634">
        <v>4.4007747981205938</v>
      </c>
      <c r="G57" s="634">
        <v>5.3579375575878032</v>
      </c>
      <c r="H57" s="634">
        <v>7.1213121776223147</v>
      </c>
      <c r="I57" s="634">
        <v>-1.1357514564832201</v>
      </c>
      <c r="J57" s="634">
        <v>-0.10561085769498391</v>
      </c>
      <c r="K57" s="634">
        <v>4.2738887889143484E-2</v>
      </c>
      <c r="L57" s="634">
        <v>-0.15739179314221019</v>
      </c>
      <c r="M57" s="634">
        <v>4.5039972976042009E-3</v>
      </c>
      <c r="N57" s="634">
        <v>2.3352174206769263</v>
      </c>
      <c r="O57" s="634">
        <v>-3.3733826247689507</v>
      </c>
      <c r="P57" s="634">
        <v>1.4472455648926257</v>
      </c>
      <c r="Q57" s="634">
        <v>-7.5443637547281952</v>
      </c>
      <c r="R57" s="634">
        <v>2.9640106104660049</v>
      </c>
      <c r="S57" s="634">
        <v>3.94809757938053</v>
      </c>
      <c r="T57" s="634">
        <v>-15.706402454586183</v>
      </c>
      <c r="U57" s="634">
        <v>5.3798383895471176</v>
      </c>
      <c r="V57" s="634">
        <v>10.396807661612129</v>
      </c>
      <c r="W57" s="634">
        <v>3.6522101220873395</v>
      </c>
      <c r="X57" s="634">
        <v>2.0527384725260021</v>
      </c>
    </row>
    <row r="58" spans="1:24" ht="16">
      <c r="A58" s="634" t="s">
        <v>387</v>
      </c>
      <c r="B58" s="635" t="s">
        <v>388</v>
      </c>
      <c r="C58" s="634" t="s">
        <v>499</v>
      </c>
      <c r="D58" s="635" t="s">
        <v>500</v>
      </c>
      <c r="E58" s="634">
        <v>9.4317893197728466</v>
      </c>
      <c r="F58" s="634">
        <v>9.171206509552988</v>
      </c>
      <c r="G58" s="634">
        <v>7.4184057777423504</v>
      </c>
      <c r="H58" s="634">
        <v>3.2680867128821234</v>
      </c>
      <c r="I58" s="634">
        <v>1.0034529301871942</v>
      </c>
      <c r="J58" s="634">
        <v>8.401145412095957</v>
      </c>
      <c r="K58" s="634">
        <v>3.1919622747552268</v>
      </c>
      <c r="L58" s="634">
        <v>2.7756710084881604</v>
      </c>
      <c r="M58" s="634">
        <v>4.9347330070988136</v>
      </c>
      <c r="N58" s="634">
        <v>7.1112262967389199</v>
      </c>
      <c r="O58" s="634">
        <v>6.9877113123638708</v>
      </c>
      <c r="P58" s="634">
        <v>6.7197407868129488</v>
      </c>
      <c r="Q58" s="634">
        <v>3.9338617640157594</v>
      </c>
      <c r="R58" s="634">
        <v>7.09751640210159</v>
      </c>
      <c r="S58" s="634">
        <v>4.8940301149583973</v>
      </c>
      <c r="T58" s="634">
        <v>-7.9290523423106123</v>
      </c>
      <c r="U58" s="634">
        <v>14.012428906220691</v>
      </c>
      <c r="V58" s="634">
        <v>5.2379565290259507</v>
      </c>
      <c r="W58" s="634">
        <v>2.1922984823793854</v>
      </c>
      <c r="X58" s="634">
        <v>4.9516968718248222</v>
      </c>
    </row>
    <row r="59" spans="1:24" ht="16">
      <c r="A59" s="634" t="s">
        <v>387</v>
      </c>
      <c r="B59" s="635" t="s">
        <v>388</v>
      </c>
      <c r="C59" s="634" t="s">
        <v>501</v>
      </c>
      <c r="D59" s="635" t="s">
        <v>502</v>
      </c>
      <c r="E59" s="634">
        <v>5.3986224399434235</v>
      </c>
      <c r="F59" s="634">
        <v>4.3411319857763857</v>
      </c>
      <c r="G59" s="634">
        <v>1.9024285970048425</v>
      </c>
      <c r="H59" s="634">
        <v>6.5649206822471911</v>
      </c>
      <c r="I59" s="634">
        <v>1.0910129698310982</v>
      </c>
      <c r="J59" s="634">
        <v>4.0291378798662123</v>
      </c>
      <c r="K59" s="634">
        <v>8.4814765633282292</v>
      </c>
      <c r="L59" s="634">
        <v>5.7832123361719994</v>
      </c>
      <c r="M59" s="634">
        <v>7.2112365367915885</v>
      </c>
      <c r="N59" s="634">
        <v>4.2260652038845592</v>
      </c>
      <c r="O59" s="634">
        <v>0.11969210928761242</v>
      </c>
      <c r="P59" s="634">
        <v>-0.68795424587794685</v>
      </c>
      <c r="Q59" s="634">
        <v>5.9703988095484135</v>
      </c>
      <c r="R59" s="634">
        <v>1.0442946067960719</v>
      </c>
      <c r="S59" s="634">
        <v>0.16540446460030012</v>
      </c>
      <c r="T59" s="634">
        <v>-9.2450961916586465</v>
      </c>
      <c r="U59" s="634">
        <v>9.4218926903363069</v>
      </c>
      <c r="V59" s="634">
        <v>5.8684235486231131</v>
      </c>
      <c r="W59" s="634">
        <v>1.9882381398423519</v>
      </c>
      <c r="X59" s="634">
        <v>-2.0012547634102589</v>
      </c>
    </row>
    <row r="60" spans="1:24" ht="16">
      <c r="A60" s="634" t="s">
        <v>387</v>
      </c>
      <c r="B60" s="635" t="s">
        <v>388</v>
      </c>
      <c r="C60" s="634" t="s">
        <v>503</v>
      </c>
      <c r="D60" s="635" t="s">
        <v>504</v>
      </c>
      <c r="E60" s="634">
        <v>4.4717444717443442</v>
      </c>
      <c r="F60" s="634">
        <v>6.8438381937911714</v>
      </c>
      <c r="G60" s="634">
        <v>7.087827426810378</v>
      </c>
      <c r="H60" s="634">
        <v>7.1562835660581925</v>
      </c>
      <c r="I60" s="634">
        <v>4.6735997995239131</v>
      </c>
      <c r="J60" s="634">
        <v>5.1472348575531015</v>
      </c>
      <c r="K60" s="634">
        <v>1.7645719489981957</v>
      </c>
      <c r="L60" s="634">
        <v>2.2261997986352497</v>
      </c>
      <c r="M60" s="634">
        <v>2.1854660536214254</v>
      </c>
      <c r="N60" s="634">
        <v>2.9159118798574752</v>
      </c>
      <c r="O60" s="634">
        <v>4.3720190779014132</v>
      </c>
      <c r="P60" s="634">
        <v>4.3466434555544708</v>
      </c>
      <c r="Q60" s="634">
        <v>4.181220999947783</v>
      </c>
      <c r="R60" s="634">
        <v>5.3311086189447963</v>
      </c>
      <c r="S60" s="634">
        <v>5.5520930715695584</v>
      </c>
      <c r="T60" s="634">
        <v>3.5501648378683797</v>
      </c>
      <c r="U60" s="634">
        <v>3.2906460120221084</v>
      </c>
      <c r="V60" s="634">
        <v>6.5878456088696709</v>
      </c>
      <c r="W60" s="634">
        <v>3.7602805227924705</v>
      </c>
      <c r="X60" s="634">
        <v>2.3991692678251013</v>
      </c>
    </row>
    <row r="61" spans="1:24" ht="16">
      <c r="A61" s="634" t="s">
        <v>387</v>
      </c>
      <c r="B61" s="635" t="s">
        <v>388</v>
      </c>
      <c r="C61" s="634" t="s">
        <v>505</v>
      </c>
      <c r="D61" s="635" t="s">
        <v>506</v>
      </c>
      <c r="E61" s="634">
        <v>2.6808300936319398</v>
      </c>
      <c r="F61" s="634">
        <v>4.3369986028604046</v>
      </c>
      <c r="G61" s="634">
        <v>1.8476022058785873</v>
      </c>
      <c r="H61" s="634">
        <v>2.1544029828276763</v>
      </c>
      <c r="I61" s="634">
        <v>-2.1087683762752221</v>
      </c>
      <c r="J61" s="634">
        <v>2.1541953669363494</v>
      </c>
      <c r="K61" s="634">
        <v>3.7735849983468626</v>
      </c>
      <c r="L61" s="634">
        <v>2.8877001018869066</v>
      </c>
      <c r="M61" s="634">
        <v>2.1829523249963501</v>
      </c>
      <c r="N61" s="634">
        <v>1.7293998423458987</v>
      </c>
      <c r="O61" s="634">
        <v>2.4000000885211534</v>
      </c>
      <c r="P61" s="634">
        <v>2.5390624113586426</v>
      </c>
      <c r="Q61" s="634">
        <v>2.2476190813413837</v>
      </c>
      <c r="R61" s="634">
        <v>2.4124442237792039</v>
      </c>
      <c r="S61" s="634">
        <v>2.4374715906578359</v>
      </c>
      <c r="T61" s="634">
        <v>-7.8931013598670035</v>
      </c>
      <c r="U61" s="634">
        <v>11.904761701595675</v>
      </c>
      <c r="V61" s="634">
        <v>2.9546151654988932</v>
      </c>
      <c r="W61" s="634">
        <v>3.5391566928735045</v>
      </c>
      <c r="X61" s="634">
        <v>2.6020201612106888</v>
      </c>
    </row>
    <row r="62" spans="1:24" ht="16">
      <c r="A62" s="634" t="s">
        <v>387</v>
      </c>
      <c r="B62" s="635" t="s">
        <v>388</v>
      </c>
      <c r="C62" s="634" t="s">
        <v>507</v>
      </c>
      <c r="D62" s="635" t="s">
        <v>508</v>
      </c>
      <c r="E62" s="634">
        <v>16.748700605354088</v>
      </c>
      <c r="F62" s="634">
        <v>7.7049176065876708</v>
      </c>
      <c r="G62" s="634">
        <v>15.282113919485724</v>
      </c>
      <c r="H62" s="634">
        <v>17.799109133381137</v>
      </c>
      <c r="I62" s="634">
        <v>1.3433562880609458</v>
      </c>
      <c r="J62" s="634">
        <v>-8.9241758885180644</v>
      </c>
      <c r="K62" s="634">
        <v>6.5239236298987322</v>
      </c>
      <c r="L62" s="634">
        <v>8.31287184445641</v>
      </c>
      <c r="M62" s="634">
        <v>-4.1331985013158317</v>
      </c>
      <c r="N62" s="634">
        <v>0.41506630159686608</v>
      </c>
      <c r="O62" s="634">
        <v>-9.1100411488153696</v>
      </c>
      <c r="P62" s="634">
        <v>-8.8164172321975656</v>
      </c>
      <c r="Q62" s="634">
        <v>-5.6675085048668592</v>
      </c>
      <c r="R62" s="634">
        <v>-6.2365440673457471</v>
      </c>
      <c r="S62" s="634">
        <v>-5.4818253789344453</v>
      </c>
      <c r="T62" s="634">
        <v>-4.791080833832936</v>
      </c>
      <c r="U62" s="634">
        <v>0.86026995638206927</v>
      </c>
      <c r="V62" s="634">
        <v>3.2235083165859777</v>
      </c>
      <c r="W62" s="634">
        <v>-5.0893087207153229</v>
      </c>
      <c r="X62" s="634">
        <v>0.90724824598673592</v>
      </c>
    </row>
    <row r="63" spans="1:24" ht="16">
      <c r="A63" s="634" t="s">
        <v>387</v>
      </c>
      <c r="B63" s="635" t="s">
        <v>388</v>
      </c>
      <c r="C63" s="634" t="s">
        <v>509</v>
      </c>
      <c r="D63" s="635" t="s">
        <v>510</v>
      </c>
      <c r="E63" s="634">
        <v>2.5744495512484633</v>
      </c>
      <c r="F63" s="634">
        <v>-0.96921711071135519</v>
      </c>
      <c r="G63" s="634">
        <v>1.4268222112032305</v>
      </c>
      <c r="H63" s="634">
        <v>-9.7830300178245579</v>
      </c>
      <c r="I63" s="634">
        <v>3.8765015275421035</v>
      </c>
      <c r="J63" s="634">
        <v>2.1941903488808236</v>
      </c>
      <c r="K63" s="634">
        <v>8.6798001013804935</v>
      </c>
      <c r="L63" s="634" t="s">
        <v>1705</v>
      </c>
      <c r="M63" s="634" t="s">
        <v>1705</v>
      </c>
      <c r="N63" s="634" t="s">
        <v>1705</v>
      </c>
      <c r="O63" s="634" t="s">
        <v>1705</v>
      </c>
      <c r="P63" s="634" t="s">
        <v>1705</v>
      </c>
      <c r="Q63" s="634" t="s">
        <v>1705</v>
      </c>
      <c r="R63" s="634" t="s">
        <v>1705</v>
      </c>
      <c r="S63" s="634" t="s">
        <v>1705</v>
      </c>
      <c r="T63" s="634" t="s">
        <v>1705</v>
      </c>
      <c r="U63" s="634" t="s">
        <v>1705</v>
      </c>
      <c r="V63" s="634" t="s">
        <v>1705</v>
      </c>
      <c r="W63" s="634" t="s">
        <v>1705</v>
      </c>
      <c r="X63" s="634" t="s">
        <v>1705</v>
      </c>
    </row>
    <row r="64" spans="1:24" ht="16">
      <c r="A64" s="634" t="s">
        <v>387</v>
      </c>
      <c r="B64" s="635" t="s">
        <v>388</v>
      </c>
      <c r="C64" s="634" t="s">
        <v>511</v>
      </c>
      <c r="D64" s="635" t="s">
        <v>512</v>
      </c>
      <c r="E64" s="634">
        <v>9.5230538646206639</v>
      </c>
      <c r="F64" s="634">
        <v>9.7625713120665267</v>
      </c>
      <c r="G64" s="634">
        <v>7.5709187931188211</v>
      </c>
      <c r="H64" s="634">
        <v>-5.1253115430880314</v>
      </c>
      <c r="I64" s="634">
        <v>-14.630222542790634</v>
      </c>
      <c r="J64" s="634">
        <v>2.4497502063998979</v>
      </c>
      <c r="K64" s="634">
        <v>7.6069745891316245</v>
      </c>
      <c r="L64" s="634">
        <v>3.6720187250654135</v>
      </c>
      <c r="M64" s="634">
        <v>1.7564937962186917</v>
      </c>
      <c r="N64" s="634">
        <v>3.3227898818270205</v>
      </c>
      <c r="O64" s="634">
        <v>1.8381526288293202</v>
      </c>
      <c r="P64" s="634">
        <v>3.093019207519589</v>
      </c>
      <c r="Q64" s="634">
        <v>5.634672489639911</v>
      </c>
      <c r="R64" s="634">
        <v>3.6996975616172563</v>
      </c>
      <c r="S64" s="634">
        <v>3.7266494346688432</v>
      </c>
      <c r="T64" s="634">
        <v>-2.883807514837784</v>
      </c>
      <c r="U64" s="634">
        <v>7.1544467628014559</v>
      </c>
      <c r="V64" s="634">
        <v>6.0430516513093835E-2</v>
      </c>
      <c r="W64" s="634">
        <v>-3.0230387452077707</v>
      </c>
      <c r="X64" s="634">
        <v>-0.26100621006085589</v>
      </c>
    </row>
    <row r="65" spans="1:24" ht="16">
      <c r="A65" s="634" t="s">
        <v>387</v>
      </c>
      <c r="B65" s="635" t="s">
        <v>388</v>
      </c>
      <c r="C65" s="634" t="s">
        <v>513</v>
      </c>
      <c r="D65" s="635" t="s">
        <v>514</v>
      </c>
      <c r="E65" s="634">
        <v>5.998776473664222</v>
      </c>
      <c r="F65" s="634">
        <v>5.9921669369447699</v>
      </c>
      <c r="G65" s="634">
        <v>4.4353755089453983</v>
      </c>
      <c r="H65" s="634">
        <v>0.82166393546592076</v>
      </c>
      <c r="I65" s="634">
        <v>1.5650488408222856</v>
      </c>
      <c r="J65" s="634">
        <v>3.7937550774569644</v>
      </c>
      <c r="K65" s="634">
        <v>2.2472296183597962</v>
      </c>
      <c r="L65" s="634">
        <v>5.3966307703617815</v>
      </c>
      <c r="M65" s="634">
        <v>3.8612138049228406</v>
      </c>
      <c r="N65" s="634">
        <v>1.4358974928682073</v>
      </c>
      <c r="O65" s="634">
        <v>2.0469301509936599</v>
      </c>
      <c r="P65" s="634">
        <v>4.6758458373152791</v>
      </c>
      <c r="Q65" s="634">
        <v>1.4567929756901918</v>
      </c>
      <c r="R65" s="634">
        <v>0.25658600189319714</v>
      </c>
      <c r="S65" s="634">
        <v>6.0831764512818012</v>
      </c>
      <c r="T65" s="634">
        <v>-2.8628821367799162</v>
      </c>
      <c r="U65" s="634">
        <v>3.4349689119705715</v>
      </c>
      <c r="V65" s="634">
        <v>1.119590667755304</v>
      </c>
      <c r="W65" s="634">
        <v>3.4444783120068223</v>
      </c>
      <c r="X65" s="634">
        <v>2.6407046161200043</v>
      </c>
    </row>
    <row r="66" spans="1:24" ht="16">
      <c r="A66" s="634" t="s">
        <v>387</v>
      </c>
      <c r="B66" s="635" t="s">
        <v>388</v>
      </c>
      <c r="C66" s="634" t="s">
        <v>515</v>
      </c>
      <c r="D66" s="635" t="s">
        <v>516</v>
      </c>
      <c r="E66" s="634">
        <v>11.818765946649364</v>
      </c>
      <c r="F66" s="634">
        <v>10.834727065877132</v>
      </c>
      <c r="G66" s="634">
        <v>11.456167000023541</v>
      </c>
      <c r="H66" s="634">
        <v>10.788521685372459</v>
      </c>
      <c r="I66" s="634">
        <v>8.8025531978257305</v>
      </c>
      <c r="J66" s="634">
        <v>12.55053834593069</v>
      </c>
      <c r="K66" s="634">
        <v>11.178296227164168</v>
      </c>
      <c r="L66" s="634">
        <v>8.6478116333736921</v>
      </c>
      <c r="M66" s="634">
        <v>10.582270048267588</v>
      </c>
      <c r="N66" s="634">
        <v>10.257492961005397</v>
      </c>
      <c r="O66" s="634">
        <v>10.392463020233194</v>
      </c>
      <c r="P66" s="634">
        <v>9.4334826578441096</v>
      </c>
      <c r="Q66" s="634">
        <v>9.5641896575401404</v>
      </c>
      <c r="R66" s="634">
        <v>6.8161477855728236</v>
      </c>
      <c r="S66" s="634">
        <v>8.3640857331405414</v>
      </c>
      <c r="T66" s="634">
        <v>6.0595308905480749</v>
      </c>
      <c r="U66" s="634">
        <v>5.6415306925707682</v>
      </c>
      <c r="V66" s="634">
        <v>5.3217598840337814</v>
      </c>
      <c r="W66" s="634">
        <v>6.5942459935707518</v>
      </c>
      <c r="X66" s="634">
        <v>7.316691128483825</v>
      </c>
    </row>
    <row r="67" spans="1:24" ht="16">
      <c r="A67" s="634" t="s">
        <v>387</v>
      </c>
      <c r="B67" s="635" t="s">
        <v>388</v>
      </c>
      <c r="C67" s="634" t="s">
        <v>517</v>
      </c>
      <c r="D67" s="635" t="s">
        <v>518</v>
      </c>
      <c r="E67" s="634" t="s">
        <v>1705</v>
      </c>
      <c r="F67" s="634" t="s">
        <v>1705</v>
      </c>
      <c r="G67" s="634" t="s">
        <v>1705</v>
      </c>
      <c r="H67" s="634" t="s">
        <v>1705</v>
      </c>
      <c r="I67" s="634">
        <v>-4.5532982410347813</v>
      </c>
      <c r="J67" s="634">
        <v>-0.3798179912186157</v>
      </c>
      <c r="K67" s="634">
        <v>3.5663631788443126</v>
      </c>
      <c r="L67" s="634">
        <v>7.0814834448788417</v>
      </c>
      <c r="M67" s="634">
        <v>5.8561438973576259</v>
      </c>
      <c r="N67" s="634">
        <v>5.4321420684100445</v>
      </c>
      <c r="O67" s="634">
        <v>0.95800193448623361</v>
      </c>
      <c r="P67" s="634">
        <v>1.3864479593829344</v>
      </c>
      <c r="Q67" s="634">
        <v>3.5120136748844288</v>
      </c>
      <c r="R67" s="634">
        <v>2.76370952267429</v>
      </c>
      <c r="S67" s="634">
        <v>4.5385102867618912</v>
      </c>
      <c r="T67" s="634">
        <v>-1.6373211801702752</v>
      </c>
      <c r="U67" s="634">
        <v>5.5043801725655754</v>
      </c>
      <c r="V67" s="634">
        <v>3.5560238041839796</v>
      </c>
      <c r="W67" s="634">
        <v>2.4890581166362011</v>
      </c>
      <c r="X67" s="634" t="s">
        <v>1705</v>
      </c>
    </row>
    <row r="68" spans="1:24" ht="16">
      <c r="A68" s="634" t="s">
        <v>387</v>
      </c>
      <c r="B68" s="635" t="s">
        <v>388</v>
      </c>
      <c r="C68" s="634" t="s">
        <v>519</v>
      </c>
      <c r="D68" s="635" t="s">
        <v>520</v>
      </c>
      <c r="E68" s="634">
        <v>0.70000040243243689</v>
      </c>
      <c r="F68" s="634">
        <v>1.8524838719948633</v>
      </c>
      <c r="G68" s="634">
        <v>-0.85065431004582592</v>
      </c>
      <c r="H68" s="634">
        <v>1.0327942202596745</v>
      </c>
      <c r="I68" s="634">
        <v>-1.3860377076358077</v>
      </c>
      <c r="J68" s="634">
        <v>2.9546724221224139</v>
      </c>
      <c r="K68" s="634">
        <v>2.7051430290104861</v>
      </c>
      <c r="L68" s="634">
        <v>1.4113143817796754</v>
      </c>
      <c r="M68" s="634">
        <v>4.7342194895653193</v>
      </c>
      <c r="N68" s="634">
        <v>5.6035144061830806</v>
      </c>
      <c r="O68" s="634">
        <v>4.5012004102876375</v>
      </c>
      <c r="P68" s="634">
        <v>2.4456517966417408</v>
      </c>
      <c r="Q68" s="634">
        <v>5.3533645596510553</v>
      </c>
      <c r="R68" s="634">
        <v>3.8123512220851836</v>
      </c>
      <c r="S68" s="634">
        <v>-0.58194670934381065</v>
      </c>
      <c r="T68" s="634">
        <v>-17.038667370403914</v>
      </c>
      <c r="U68" s="634">
        <v>-4.8810361959849331</v>
      </c>
      <c r="V68" s="634">
        <v>19.792726688669916</v>
      </c>
      <c r="W68" s="634">
        <v>7.5242913513423986</v>
      </c>
      <c r="X68" s="634">
        <v>3.8289988872459446</v>
      </c>
    </row>
    <row r="69" spans="1:24" ht="16">
      <c r="A69" s="634" t="s">
        <v>387</v>
      </c>
      <c r="B69" s="635" t="s">
        <v>388</v>
      </c>
      <c r="C69" s="634" t="s">
        <v>521</v>
      </c>
      <c r="D69" s="635" t="s">
        <v>522</v>
      </c>
      <c r="E69" s="634">
        <v>2.7773091851801723</v>
      </c>
      <c r="F69" s="634">
        <v>4.0195732651589537</v>
      </c>
      <c r="G69" s="634">
        <v>5.3128017669414476</v>
      </c>
      <c r="H69" s="634">
        <v>0.78443123571705087</v>
      </c>
      <c r="I69" s="634">
        <v>-8.0760311655239292</v>
      </c>
      <c r="J69" s="634">
        <v>3.1682879121620999</v>
      </c>
      <c r="K69" s="634">
        <v>2.390394553968278</v>
      </c>
      <c r="L69" s="634">
        <v>-1.522840130406891</v>
      </c>
      <c r="M69" s="634">
        <v>-0.97974102494961812</v>
      </c>
      <c r="N69" s="634">
        <v>-0.47806842478370015</v>
      </c>
      <c r="O69" s="634">
        <v>0.4665037663226741</v>
      </c>
      <c r="P69" s="634">
        <v>2.5719341489875376</v>
      </c>
      <c r="Q69" s="634">
        <v>3.3033700359103904</v>
      </c>
      <c r="R69" s="634">
        <v>1.1929775974229244</v>
      </c>
      <c r="S69" s="634">
        <v>1.3497384574173736</v>
      </c>
      <c r="T69" s="634">
        <v>-2.4910360553570712</v>
      </c>
      <c r="U69" s="634">
        <v>2.67634641498897</v>
      </c>
      <c r="V69" s="634">
        <v>0.7630419127635264</v>
      </c>
      <c r="W69" s="634">
        <v>-0.94690486261103501</v>
      </c>
      <c r="X69" s="634">
        <v>-0.15421482107031181</v>
      </c>
    </row>
    <row r="70" spans="1:24" ht="16">
      <c r="A70" s="634" t="s">
        <v>387</v>
      </c>
      <c r="B70" s="635" t="s">
        <v>388</v>
      </c>
      <c r="C70" s="634" t="s">
        <v>523</v>
      </c>
      <c r="D70" s="635" t="s">
        <v>524</v>
      </c>
      <c r="E70" s="634">
        <v>1.8885658410928556</v>
      </c>
      <c r="F70" s="634">
        <v>2.7140644875523634</v>
      </c>
      <c r="G70" s="634">
        <v>2.5304818835106602</v>
      </c>
      <c r="H70" s="634">
        <v>0.38017143584912105</v>
      </c>
      <c r="I70" s="634">
        <v>-2.8245515371478263</v>
      </c>
      <c r="J70" s="634">
        <v>2.0003247603905123</v>
      </c>
      <c r="K70" s="634">
        <v>2.4375765372900702</v>
      </c>
      <c r="L70" s="634">
        <v>0.18383526497301261</v>
      </c>
      <c r="M70" s="634">
        <v>0.78175644623100027</v>
      </c>
      <c r="N70" s="634">
        <v>0.99783294729525096</v>
      </c>
      <c r="O70" s="634">
        <v>1.0667547478346222</v>
      </c>
      <c r="P70" s="634">
        <v>0.86003107542403257</v>
      </c>
      <c r="Q70" s="634">
        <v>2.0836148599739914</v>
      </c>
      <c r="R70" s="634">
        <v>1.6459087239588683</v>
      </c>
      <c r="S70" s="634">
        <v>2.0274464641923657</v>
      </c>
      <c r="T70" s="634">
        <v>-7.4406458994823055</v>
      </c>
      <c r="U70" s="634">
        <v>6.8823378336023922</v>
      </c>
      <c r="V70" s="634">
        <v>2.570840475677926</v>
      </c>
      <c r="W70" s="634">
        <v>0.93648751885085346</v>
      </c>
      <c r="X70" s="634">
        <v>1.1661385149722889</v>
      </c>
    </row>
    <row r="71" spans="1:24" ht="16">
      <c r="A71" s="634" t="s">
        <v>387</v>
      </c>
      <c r="B71" s="635" t="s">
        <v>388</v>
      </c>
      <c r="C71" s="634" t="s">
        <v>525</v>
      </c>
      <c r="D71" s="635" t="s">
        <v>526</v>
      </c>
      <c r="E71" s="634">
        <v>0.30997347618000504</v>
      </c>
      <c r="F71" s="634">
        <v>0.88958411759760736</v>
      </c>
      <c r="G71" s="634">
        <v>1.7049756380300209</v>
      </c>
      <c r="H71" s="634">
        <v>6.7675506631275084E-3</v>
      </c>
      <c r="I71" s="634">
        <v>-4.2313918306944629</v>
      </c>
      <c r="J71" s="634">
        <v>-2.4660641898174021</v>
      </c>
      <c r="K71" s="634">
        <v>-2.9619574542722944</v>
      </c>
      <c r="L71" s="634">
        <v>-0.92753771253207162</v>
      </c>
      <c r="M71" s="634">
        <v>0.39880141434693428</v>
      </c>
      <c r="N71" s="634">
        <v>0.59355445294228559</v>
      </c>
      <c r="O71" s="634">
        <v>1.8033408145272602</v>
      </c>
      <c r="P71" s="634">
        <v>2.3021982367043847</v>
      </c>
      <c r="Q71" s="634">
        <v>4.2926336310348745</v>
      </c>
      <c r="R71" s="634">
        <v>1.8712319109126554</v>
      </c>
      <c r="S71" s="634">
        <v>2.7000120670930272</v>
      </c>
      <c r="T71" s="634">
        <v>-7.0509442210629771</v>
      </c>
      <c r="U71" s="634">
        <v>2.0945299065854925</v>
      </c>
      <c r="V71" s="634">
        <v>4.4663796996314602</v>
      </c>
      <c r="W71" s="634">
        <v>2.9969270777956609</v>
      </c>
      <c r="X71" s="634" t="s">
        <v>1705</v>
      </c>
    </row>
    <row r="72" spans="1:24" ht="16">
      <c r="A72" s="634" t="s">
        <v>387</v>
      </c>
      <c r="B72" s="635" t="s">
        <v>388</v>
      </c>
      <c r="C72" s="634" t="s">
        <v>527</v>
      </c>
      <c r="D72" s="635" t="s">
        <v>528</v>
      </c>
      <c r="E72" s="634">
        <v>2.6762033331092567</v>
      </c>
      <c r="F72" s="634">
        <v>-2.8065783556905188</v>
      </c>
      <c r="G72" s="634">
        <v>6.0081080248766767</v>
      </c>
      <c r="H72" s="634">
        <v>-3.3084306487875068</v>
      </c>
      <c r="I72" s="634">
        <v>0.13033111981661705</v>
      </c>
      <c r="J72" s="634">
        <v>7.0898873145512624</v>
      </c>
      <c r="K72" s="634">
        <v>7.0917533425865429</v>
      </c>
      <c r="L72" s="634">
        <v>5.251076917504065</v>
      </c>
      <c r="M72" s="634">
        <v>5.6386990033869608</v>
      </c>
      <c r="N72" s="634">
        <v>4.314964441074693</v>
      </c>
      <c r="O72" s="634">
        <v>3.8788993950789035</v>
      </c>
      <c r="P72" s="634">
        <v>2.0914422082956179</v>
      </c>
      <c r="Q72" s="634">
        <v>0.47264203091114609</v>
      </c>
      <c r="R72" s="634">
        <v>0.83791658082157028</v>
      </c>
      <c r="S72" s="634">
        <v>3.9208087945283125</v>
      </c>
      <c r="T72" s="634">
        <v>-1.8377610635094044</v>
      </c>
      <c r="U72" s="634">
        <v>1.4679573150809091</v>
      </c>
      <c r="V72" s="634">
        <v>3.0376144952569177</v>
      </c>
      <c r="W72" s="634">
        <v>2.4458808309659332</v>
      </c>
      <c r="X72" s="634">
        <v>3.3839076078346721</v>
      </c>
    </row>
    <row r="73" spans="1:24" ht="16">
      <c r="A73" s="634" t="s">
        <v>387</v>
      </c>
      <c r="B73" s="635" t="s">
        <v>388</v>
      </c>
      <c r="C73" s="634" t="s">
        <v>529</v>
      </c>
      <c r="D73" s="635" t="s">
        <v>530</v>
      </c>
      <c r="E73" s="634">
        <v>-2.3517293617601922</v>
      </c>
      <c r="F73" s="634">
        <v>-0.555580977246521</v>
      </c>
      <c r="G73" s="634">
        <v>3.0432495082973929</v>
      </c>
      <c r="H73" s="634">
        <v>6.2559055339428653</v>
      </c>
      <c r="I73" s="634">
        <v>6.6657243078366974</v>
      </c>
      <c r="J73" s="634">
        <v>5.9083358096828817</v>
      </c>
      <c r="K73" s="634">
        <v>-8.1304442231565872</v>
      </c>
      <c r="L73" s="634">
        <v>5.2415692463074066</v>
      </c>
      <c r="M73" s="634">
        <v>2.8727687903270009</v>
      </c>
      <c r="N73" s="634">
        <v>-1.4073824951095446</v>
      </c>
      <c r="O73" s="634">
        <v>4.0580738039996049</v>
      </c>
      <c r="P73" s="634">
        <v>1.9433596547877556</v>
      </c>
      <c r="Q73" s="634">
        <v>4.8226112492756954</v>
      </c>
      <c r="R73" s="634">
        <v>7.2348903325857918</v>
      </c>
      <c r="S73" s="634">
        <v>6.2220531599485867</v>
      </c>
      <c r="T73" s="634">
        <v>0.59148728787397431</v>
      </c>
      <c r="U73" s="634">
        <v>5.2559687881674364</v>
      </c>
      <c r="V73" s="634">
        <v>5.4929982550894607</v>
      </c>
      <c r="W73" s="634">
        <v>4.7975089453094313</v>
      </c>
      <c r="X73" s="634">
        <v>5.7467176553559653</v>
      </c>
    </row>
    <row r="74" spans="1:24" ht="16">
      <c r="A74" s="634" t="s">
        <v>387</v>
      </c>
      <c r="B74" s="635" t="s">
        <v>388</v>
      </c>
      <c r="C74" s="634" t="s">
        <v>531</v>
      </c>
      <c r="D74" s="635" t="s">
        <v>532</v>
      </c>
      <c r="E74" s="634">
        <v>9.5911383285302634</v>
      </c>
      <c r="F74" s="634">
        <v>9.4214808118990874</v>
      </c>
      <c r="G74" s="634">
        <v>12.575569824640453</v>
      </c>
      <c r="H74" s="634">
        <v>2.4216144096064056</v>
      </c>
      <c r="I74" s="634">
        <v>-3.6507522959682177</v>
      </c>
      <c r="J74" s="634">
        <v>6.246408653033626</v>
      </c>
      <c r="K74" s="634">
        <v>7.9343365253077991</v>
      </c>
      <c r="L74" s="634">
        <v>6.5788310195419513</v>
      </c>
      <c r="M74" s="634">
        <v>5.1328853120938192</v>
      </c>
      <c r="N74" s="634">
        <v>4.0904905958174282</v>
      </c>
      <c r="O74" s="634">
        <v>3.3510235026535327</v>
      </c>
      <c r="P74" s="634">
        <v>3.4502151799687084</v>
      </c>
      <c r="Q74" s="634">
        <v>5.1599026165882691</v>
      </c>
      <c r="R74" s="634">
        <v>6.0620364126770028</v>
      </c>
      <c r="S74" s="634">
        <v>5.3807192658995149</v>
      </c>
      <c r="T74" s="634">
        <v>-6.2904717853839003</v>
      </c>
      <c r="U74" s="634">
        <v>10.644233658096923</v>
      </c>
      <c r="V74" s="634">
        <v>10.95853213856239</v>
      </c>
      <c r="W74" s="634">
        <v>7.8322012655572593</v>
      </c>
      <c r="X74" s="634">
        <v>9.4285722015777491</v>
      </c>
    </row>
    <row r="75" spans="1:24" ht="16">
      <c r="A75" s="634" t="s">
        <v>387</v>
      </c>
      <c r="B75" s="635" t="s">
        <v>388</v>
      </c>
      <c r="C75" s="634" t="s">
        <v>229</v>
      </c>
      <c r="D75" s="635" t="s">
        <v>533</v>
      </c>
      <c r="E75" s="634">
        <v>0.8856972567054413</v>
      </c>
      <c r="F75" s="634">
        <v>3.8557361463572875</v>
      </c>
      <c r="G75" s="634">
        <v>2.8901071788807258</v>
      </c>
      <c r="H75" s="634">
        <v>0.91040321415327696</v>
      </c>
      <c r="I75" s="634">
        <v>-5.5451645447931099</v>
      </c>
      <c r="J75" s="634">
        <v>4.1467675504048884</v>
      </c>
      <c r="K75" s="634">
        <v>3.7579688448734743</v>
      </c>
      <c r="L75" s="634">
        <v>0.47429132103845006</v>
      </c>
      <c r="M75" s="634">
        <v>0.38622459204647441</v>
      </c>
      <c r="N75" s="634">
        <v>2.1694988975851714</v>
      </c>
      <c r="O75" s="634">
        <v>1.6527197865636083</v>
      </c>
      <c r="P75" s="634">
        <v>2.2947106641356072</v>
      </c>
      <c r="Q75" s="634">
        <v>2.7160245463984296</v>
      </c>
      <c r="R75" s="634">
        <v>1.1164431090242743</v>
      </c>
      <c r="S75" s="634">
        <v>0.98789335016485325</v>
      </c>
      <c r="T75" s="634">
        <v>-4.0951375168252611</v>
      </c>
      <c r="U75" s="634">
        <v>3.6699998840451968</v>
      </c>
      <c r="V75" s="634">
        <v>1.3697310461275833</v>
      </c>
      <c r="W75" s="634">
        <v>-0.26643840118025253</v>
      </c>
      <c r="X75" s="634">
        <v>-0.23852685825616504</v>
      </c>
    </row>
    <row r="76" spans="1:24" ht="16">
      <c r="A76" s="634" t="s">
        <v>387</v>
      </c>
      <c r="B76" s="635" t="s">
        <v>388</v>
      </c>
      <c r="C76" s="634" t="s">
        <v>534</v>
      </c>
      <c r="D76" s="635" t="s">
        <v>535</v>
      </c>
      <c r="E76" s="634">
        <v>5.9000038185510419</v>
      </c>
      <c r="F76" s="634">
        <v>6.3999126061803366</v>
      </c>
      <c r="G76" s="634">
        <v>4.3468191044007938</v>
      </c>
      <c r="H76" s="634">
        <v>9.1497989383181704</v>
      </c>
      <c r="I76" s="634">
        <v>4.844487051750761</v>
      </c>
      <c r="J76" s="634">
        <v>7.8997119405162124</v>
      </c>
      <c r="K76" s="634">
        <v>14.047123580314903</v>
      </c>
      <c r="L76" s="634">
        <v>9.2927894063004999</v>
      </c>
      <c r="M76" s="634">
        <v>7.3125250167814499</v>
      </c>
      <c r="N76" s="634">
        <v>2.8562401633088257</v>
      </c>
      <c r="O76" s="634">
        <v>2.1207593381733432</v>
      </c>
      <c r="P76" s="634">
        <v>3.3734657496693643</v>
      </c>
      <c r="Q76" s="634">
        <v>8.1288948810095576</v>
      </c>
      <c r="R76" s="634">
        <v>6.2000776812728446</v>
      </c>
      <c r="S76" s="634">
        <v>6.5077747939152033</v>
      </c>
      <c r="T76" s="634">
        <v>0.51394167062817075</v>
      </c>
      <c r="U76" s="634">
        <v>5.0764664353354192</v>
      </c>
      <c r="V76" s="634">
        <v>3.8048498095216416</v>
      </c>
      <c r="W76" s="634">
        <v>3.1400909976375431</v>
      </c>
      <c r="X76" s="634">
        <v>5.6848726038983557</v>
      </c>
    </row>
    <row r="77" spans="1:24" ht="16">
      <c r="A77" s="634" t="s">
        <v>387</v>
      </c>
      <c r="B77" s="635" t="s">
        <v>388</v>
      </c>
      <c r="C77" s="634" t="s">
        <v>536</v>
      </c>
      <c r="D77" s="635" t="s">
        <v>537</v>
      </c>
      <c r="E77" s="634" t="s">
        <v>1705</v>
      </c>
      <c r="F77" s="634" t="s">
        <v>1705</v>
      </c>
      <c r="G77" s="634" t="s">
        <v>1705</v>
      </c>
      <c r="H77" s="634" t="s">
        <v>1705</v>
      </c>
      <c r="I77" s="634" t="s">
        <v>1705</v>
      </c>
      <c r="J77" s="634" t="s">
        <v>1705</v>
      </c>
      <c r="K77" s="634" t="s">
        <v>1705</v>
      </c>
      <c r="L77" s="634" t="s">
        <v>1705</v>
      </c>
      <c r="M77" s="634" t="s">
        <v>1705</v>
      </c>
      <c r="N77" s="634" t="s">
        <v>1705</v>
      </c>
      <c r="O77" s="634" t="s">
        <v>1705</v>
      </c>
      <c r="P77" s="634" t="s">
        <v>1705</v>
      </c>
      <c r="Q77" s="634" t="s">
        <v>1705</v>
      </c>
      <c r="R77" s="634" t="s">
        <v>1705</v>
      </c>
      <c r="S77" s="634" t="s">
        <v>1705</v>
      </c>
      <c r="T77" s="634" t="s">
        <v>1705</v>
      </c>
      <c r="U77" s="634" t="s">
        <v>1705</v>
      </c>
      <c r="V77" s="634" t="s">
        <v>1705</v>
      </c>
      <c r="W77" s="634" t="s">
        <v>1705</v>
      </c>
      <c r="X77" s="634" t="s">
        <v>1705</v>
      </c>
    </row>
    <row r="78" spans="1:24" ht="16">
      <c r="A78" s="634" t="s">
        <v>387</v>
      </c>
      <c r="B78" s="635" t="s">
        <v>388</v>
      </c>
      <c r="C78" s="634" t="s">
        <v>538</v>
      </c>
      <c r="D78" s="635" t="s">
        <v>539</v>
      </c>
      <c r="E78" s="634">
        <v>1.1835063549328879</v>
      </c>
      <c r="F78" s="634">
        <v>6.4433976248743647</v>
      </c>
      <c r="G78" s="634">
        <v>3.5068697663945869</v>
      </c>
      <c r="H78" s="634">
        <v>5.7474023820077491E-2</v>
      </c>
      <c r="I78" s="634">
        <v>-4.1192760671501105</v>
      </c>
      <c r="J78" s="634">
        <v>-5.6937412158003013</v>
      </c>
      <c r="K78" s="634">
        <v>-9.8767787530024265</v>
      </c>
      <c r="L78" s="634">
        <v>-8.3311342109999202</v>
      </c>
      <c r="M78" s="634">
        <v>-2.2721169988802359</v>
      </c>
      <c r="N78" s="634">
        <v>0.79222506096283496</v>
      </c>
      <c r="O78" s="634">
        <v>-0.22830189217285124</v>
      </c>
      <c r="P78" s="634">
        <v>-3.1794767841205385E-2</v>
      </c>
      <c r="Q78" s="634">
        <v>1.4731247270235173</v>
      </c>
      <c r="R78" s="634">
        <v>2.0646720789240902</v>
      </c>
      <c r="S78" s="634">
        <v>2.2771806533480827</v>
      </c>
      <c r="T78" s="634">
        <v>-9.1962314972697783</v>
      </c>
      <c r="U78" s="634">
        <v>8.6544978600213085</v>
      </c>
      <c r="V78" s="634">
        <v>5.7436490252633661</v>
      </c>
      <c r="W78" s="634">
        <v>2.3321244494581777</v>
      </c>
      <c r="X78" s="634">
        <v>2.2717362261510488</v>
      </c>
    </row>
    <row r="79" spans="1:24" ht="16">
      <c r="A79" s="634" t="s">
        <v>387</v>
      </c>
      <c r="B79" s="635" t="s">
        <v>388</v>
      </c>
      <c r="C79" s="634" t="s">
        <v>540</v>
      </c>
      <c r="D79" s="635" t="s">
        <v>541</v>
      </c>
      <c r="E79" s="634">
        <v>4.9874917709019257</v>
      </c>
      <c r="F79" s="634">
        <v>5.5556949008001197</v>
      </c>
      <c r="G79" s="634">
        <v>2.3524379811805005</v>
      </c>
      <c r="H79" s="634">
        <v>6.1661327018618977</v>
      </c>
      <c r="I79" s="634">
        <v>0.86595232888694795</v>
      </c>
      <c r="J79" s="634">
        <v>1.7358250588966513</v>
      </c>
      <c r="K79" s="634">
        <v>-0.49651939195908312</v>
      </c>
      <c r="L79" s="634">
        <v>1.3941933595562546</v>
      </c>
      <c r="M79" s="634">
        <v>-1.2982806933551103</v>
      </c>
      <c r="N79" s="634">
        <v>4.7421356730151984</v>
      </c>
      <c r="O79" s="634">
        <v>-2.5293180239447537</v>
      </c>
      <c r="P79" s="634">
        <v>4.6819541097230228</v>
      </c>
      <c r="Q79" s="634">
        <v>5.2728182880031227E-2</v>
      </c>
      <c r="R79" s="634">
        <v>0.62306542854094005</v>
      </c>
      <c r="S79" s="634">
        <v>2.8321775679868324</v>
      </c>
      <c r="T79" s="634">
        <v>0.25078976210430426</v>
      </c>
      <c r="U79" s="634">
        <v>1.6340941099299613</v>
      </c>
      <c r="V79" s="634">
        <v>2.0045558086560362</v>
      </c>
      <c r="W79" s="634">
        <v>0.8659619869981583</v>
      </c>
      <c r="X79" s="634" t="s">
        <v>1705</v>
      </c>
    </row>
    <row r="80" spans="1:24" ht="16">
      <c r="A80" s="634" t="s">
        <v>387</v>
      </c>
      <c r="B80" s="635" t="s">
        <v>388</v>
      </c>
      <c r="C80" s="634" t="s">
        <v>542</v>
      </c>
      <c r="D80" s="635" t="s">
        <v>543</v>
      </c>
      <c r="E80" s="634">
        <v>13.276188330627207</v>
      </c>
      <c r="F80" s="634">
        <v>-3.9953282442748161</v>
      </c>
      <c r="G80" s="634">
        <v>6.1234509474146677</v>
      </c>
      <c r="H80" s="634">
        <v>0.94754262490769747</v>
      </c>
      <c r="I80" s="634">
        <v>-6.6132813479954535</v>
      </c>
      <c r="J80" s="634">
        <v>-0.51114618717372196</v>
      </c>
      <c r="K80" s="634">
        <v>0.76477355033873096</v>
      </c>
      <c r="L80" s="634">
        <v>-1.1548381640980097</v>
      </c>
      <c r="M80" s="634">
        <v>2.3510980167790478</v>
      </c>
      <c r="N80" s="634">
        <v>7.3421239603794817</v>
      </c>
      <c r="O80" s="634">
        <v>6.4452231469314398</v>
      </c>
      <c r="P80" s="634">
        <v>3.7396039558691001</v>
      </c>
      <c r="Q80" s="634">
        <v>4.4386756694815119</v>
      </c>
      <c r="R80" s="634">
        <v>4.3614403936479675</v>
      </c>
      <c r="S80" s="634">
        <v>0.67651173887375649</v>
      </c>
      <c r="T80" s="634">
        <v>-13.75662225721068</v>
      </c>
      <c r="U80" s="634">
        <v>4.68747816934534</v>
      </c>
      <c r="V80" s="634">
        <v>7.3207406155187442</v>
      </c>
      <c r="W80" s="634">
        <v>4.679761815935862</v>
      </c>
      <c r="X80" s="634">
        <v>3.6930593278619739</v>
      </c>
    </row>
    <row r="81" spans="1:24" ht="16">
      <c r="A81" s="634" t="s">
        <v>387</v>
      </c>
      <c r="B81" s="635" t="s">
        <v>388</v>
      </c>
      <c r="C81" s="634" t="s">
        <v>544</v>
      </c>
      <c r="D81" s="635" t="s">
        <v>545</v>
      </c>
      <c r="E81" s="634">
        <v>3.642316349498671</v>
      </c>
      <c r="F81" s="634">
        <v>-3.652517275419541</v>
      </c>
      <c r="G81" s="634">
        <v>0.71721311475410232</v>
      </c>
      <c r="H81" s="634">
        <v>2.0345879959308206</v>
      </c>
      <c r="I81" s="634">
        <v>0.43868394815554268</v>
      </c>
      <c r="J81" s="634">
        <v>2.2632519356760099</v>
      </c>
      <c r="K81" s="634">
        <v>7.7654824305952275E-2</v>
      </c>
      <c r="L81" s="634">
        <v>2.1338506304558535</v>
      </c>
      <c r="M81" s="634">
        <v>1.6904083570750146</v>
      </c>
      <c r="N81" s="634">
        <v>1.7930519237952893</v>
      </c>
      <c r="O81" s="634">
        <v>0.82568807339448824</v>
      </c>
      <c r="P81" s="634">
        <v>0.18198362147406044</v>
      </c>
      <c r="Q81" s="634">
        <v>0.89009990917348603</v>
      </c>
      <c r="R81" s="634">
        <v>-0.82823190493338927</v>
      </c>
      <c r="S81" s="634">
        <v>2.5236020334059646</v>
      </c>
      <c r="T81" s="634">
        <v>-10.518859571453859</v>
      </c>
      <c r="U81" s="634">
        <v>2.0581832574708017</v>
      </c>
      <c r="V81" s="634">
        <v>5.0998642621679267</v>
      </c>
      <c r="W81" s="634" t="s">
        <v>1705</v>
      </c>
      <c r="X81" s="634" t="s">
        <v>1705</v>
      </c>
    </row>
    <row r="82" spans="1:24" ht="16">
      <c r="A82" s="634" t="s">
        <v>387</v>
      </c>
      <c r="B82" s="635" t="s">
        <v>388</v>
      </c>
      <c r="C82" s="634" t="s">
        <v>546</v>
      </c>
      <c r="D82" s="635" t="s">
        <v>547</v>
      </c>
      <c r="E82" s="634">
        <v>3.276026925888857</v>
      </c>
      <c r="F82" s="634">
        <v>5.35139778711536</v>
      </c>
      <c r="G82" s="634">
        <v>6.3377186901620348</v>
      </c>
      <c r="H82" s="634">
        <v>3.2935240002848474</v>
      </c>
      <c r="I82" s="634">
        <v>0.4768981065963942</v>
      </c>
      <c r="J82" s="634">
        <v>2.8841754280037719</v>
      </c>
      <c r="K82" s="634">
        <v>4.1639068829334889</v>
      </c>
      <c r="L82" s="634">
        <v>2.9747085684766148</v>
      </c>
      <c r="M82" s="634">
        <v>3.6948190244916219</v>
      </c>
      <c r="N82" s="634">
        <v>4.443977830487043</v>
      </c>
      <c r="O82" s="634">
        <v>4.0921707214116338</v>
      </c>
      <c r="P82" s="634">
        <v>2.6778027326436842</v>
      </c>
      <c r="Q82" s="634">
        <v>3.0798512714748512</v>
      </c>
      <c r="R82" s="634">
        <v>3.4068734647273828</v>
      </c>
      <c r="S82" s="634">
        <v>4.0178979343828019</v>
      </c>
      <c r="T82" s="634">
        <v>-1.7855519446760439</v>
      </c>
      <c r="U82" s="634">
        <v>8.0417038372514043</v>
      </c>
      <c r="V82" s="634">
        <v>4.184518087126051</v>
      </c>
      <c r="W82" s="634">
        <v>3.5331567008694691</v>
      </c>
      <c r="X82" s="634">
        <v>3.6518646289819543</v>
      </c>
    </row>
    <row r="83" spans="1:24" ht="16">
      <c r="A83" s="634" t="s">
        <v>387</v>
      </c>
      <c r="B83" s="635" t="s">
        <v>388</v>
      </c>
      <c r="C83" s="634" t="s">
        <v>548</v>
      </c>
      <c r="D83" s="635" t="s">
        <v>549</v>
      </c>
      <c r="E83" s="634">
        <v>2.9972725627581838</v>
      </c>
      <c r="F83" s="634">
        <v>1.18960211693242</v>
      </c>
      <c r="G83" s="634">
        <v>6.8174711107028116</v>
      </c>
      <c r="H83" s="634">
        <v>4.1330161596583253</v>
      </c>
      <c r="I83" s="634">
        <v>-1.1226420484868669</v>
      </c>
      <c r="J83" s="634">
        <v>4.8133601696755335</v>
      </c>
      <c r="K83" s="634">
        <v>5.6121117743097528</v>
      </c>
      <c r="L83" s="634">
        <v>5.9152862613332218</v>
      </c>
      <c r="M83" s="634">
        <v>3.9456870862405253</v>
      </c>
      <c r="N83" s="634">
        <v>3.6965531166408567</v>
      </c>
      <c r="O83" s="634">
        <v>3.8259105694943543</v>
      </c>
      <c r="P83" s="634">
        <v>10.82062719659001</v>
      </c>
      <c r="Q83" s="634">
        <v>10.300005342735517</v>
      </c>
      <c r="R83" s="634">
        <v>6.3584919273671545</v>
      </c>
      <c r="S83" s="634">
        <v>5.6169144688987558</v>
      </c>
      <c r="T83" s="634">
        <v>4.7045909611357501</v>
      </c>
      <c r="U83" s="634">
        <v>5.5823328114905024</v>
      </c>
      <c r="V83" s="634">
        <v>3.9724078420072146</v>
      </c>
      <c r="W83" s="634">
        <v>5.5417266862770163</v>
      </c>
      <c r="X83" s="634">
        <v>5.6685239347435044</v>
      </c>
    </row>
    <row r="84" spans="1:24" ht="16">
      <c r="A84" s="634" t="s">
        <v>387</v>
      </c>
      <c r="B84" s="635" t="s">
        <v>388</v>
      </c>
      <c r="C84" s="634" t="s">
        <v>550</v>
      </c>
      <c r="D84" s="635" t="s">
        <v>551</v>
      </c>
      <c r="E84" s="634">
        <v>6.5597711184607732</v>
      </c>
      <c r="F84" s="634">
        <v>2.666504932695716</v>
      </c>
      <c r="G84" s="634">
        <v>2.5598264707875131</v>
      </c>
      <c r="H84" s="634">
        <v>4.5245751461025208</v>
      </c>
      <c r="I84" s="634">
        <v>2.4479510609868527</v>
      </c>
      <c r="J84" s="634">
        <v>5.6053631135826123</v>
      </c>
      <c r="K84" s="634">
        <v>8.0850416717355387</v>
      </c>
      <c r="L84" s="634">
        <v>-1.7128695844641868</v>
      </c>
      <c r="M84" s="634">
        <v>3.256071908520866</v>
      </c>
      <c r="N84" s="634">
        <v>0.96452574584142781</v>
      </c>
      <c r="O84" s="634">
        <v>6.1340893623122952</v>
      </c>
      <c r="P84" s="634">
        <v>5.432678265030404</v>
      </c>
      <c r="Q84" s="634">
        <v>4.6636794391326362</v>
      </c>
      <c r="R84" s="634">
        <v>3.761453596370032</v>
      </c>
      <c r="S84" s="634">
        <v>5.5657453358556808</v>
      </c>
      <c r="T84" s="634">
        <v>2.1281149012628759</v>
      </c>
      <c r="U84" s="634">
        <v>5.2373664063488832</v>
      </c>
      <c r="V84" s="634">
        <v>5.5851372801147363</v>
      </c>
      <c r="W84" s="634">
        <v>4.4636993613339229</v>
      </c>
      <c r="X84" s="634">
        <v>4.8134859518829529</v>
      </c>
    </row>
    <row r="85" spans="1:24" ht="16">
      <c r="A85" s="634" t="s">
        <v>387</v>
      </c>
      <c r="B85" s="635" t="s">
        <v>388</v>
      </c>
      <c r="C85" s="634" t="s">
        <v>552</v>
      </c>
      <c r="D85" s="635" t="s">
        <v>553</v>
      </c>
      <c r="E85" s="634">
        <v>-1.9509575950171438</v>
      </c>
      <c r="F85" s="634">
        <v>5.1296093477299962</v>
      </c>
      <c r="G85" s="634">
        <v>7.1912362405745682</v>
      </c>
      <c r="H85" s="634">
        <v>1.7552234959201911</v>
      </c>
      <c r="I85" s="634">
        <v>3.6115084721858466</v>
      </c>
      <c r="J85" s="634">
        <v>4.1384416013734153</v>
      </c>
      <c r="K85" s="634">
        <v>5.1962515605160178</v>
      </c>
      <c r="L85" s="634">
        <v>5.2763306204680873</v>
      </c>
      <c r="M85" s="634">
        <v>3.6533843333823199</v>
      </c>
      <c r="N85" s="634">
        <v>1.6864944501958377</v>
      </c>
      <c r="O85" s="634">
        <v>0.68740459061949366</v>
      </c>
      <c r="P85" s="634">
        <v>3.8074562637881399</v>
      </c>
      <c r="Q85" s="634">
        <v>3.7344915457128423</v>
      </c>
      <c r="R85" s="634">
        <v>4.4409128847596691</v>
      </c>
      <c r="S85" s="634">
        <v>5.3528400353566497</v>
      </c>
      <c r="T85" s="634">
        <v>43.479651716848991</v>
      </c>
      <c r="U85" s="634">
        <v>20.059997556841807</v>
      </c>
      <c r="V85" s="634">
        <v>63.334634365485499</v>
      </c>
      <c r="W85" s="634">
        <v>33.795011115872967</v>
      </c>
      <c r="X85" s="634">
        <v>43.372009477713192</v>
      </c>
    </row>
    <row r="86" spans="1:24" ht="16">
      <c r="A86" s="634" t="s">
        <v>387</v>
      </c>
      <c r="B86" s="635" t="s">
        <v>388</v>
      </c>
      <c r="C86" s="634" t="s">
        <v>554</v>
      </c>
      <c r="D86" s="635" t="s">
        <v>555</v>
      </c>
      <c r="E86" s="634">
        <v>3.0721733766473136</v>
      </c>
      <c r="F86" s="634">
        <v>1.7687506028819513</v>
      </c>
      <c r="G86" s="634">
        <v>4.7065299400830298</v>
      </c>
      <c r="H86" s="634">
        <v>2.6580323082746986</v>
      </c>
      <c r="I86" s="634">
        <v>5.890378948443157</v>
      </c>
      <c r="J86" s="634">
        <v>-5.6515115344829923</v>
      </c>
      <c r="K86" s="634">
        <v>5.0982135441003607</v>
      </c>
      <c r="L86" s="634">
        <v>0.50242440358158547</v>
      </c>
      <c r="M86" s="634">
        <v>4.3247841147287431</v>
      </c>
      <c r="N86" s="634">
        <v>2.8887725086337923</v>
      </c>
      <c r="O86" s="634">
        <v>1.4000000085972744</v>
      </c>
      <c r="P86" s="634">
        <v>1.8124680784753195</v>
      </c>
      <c r="Q86" s="634">
        <v>2.5102713454468528</v>
      </c>
      <c r="R86" s="634">
        <v>1.6678109548465585</v>
      </c>
      <c r="S86" s="634">
        <v>-1.7230969983923217</v>
      </c>
      <c r="T86" s="634">
        <v>-3.3055054696589252</v>
      </c>
      <c r="U86" s="634">
        <v>-1.798239889314857</v>
      </c>
      <c r="V86" s="634">
        <v>-1.6819839689797789</v>
      </c>
      <c r="W86" s="634">
        <v>-1.8638842025483768</v>
      </c>
      <c r="X86" s="634">
        <v>-4.1696339580813202</v>
      </c>
    </row>
    <row r="87" spans="1:24" ht="16">
      <c r="A87" s="634" t="s">
        <v>387</v>
      </c>
      <c r="B87" s="635" t="s">
        <v>388</v>
      </c>
      <c r="C87" s="634" t="s">
        <v>556</v>
      </c>
      <c r="D87" s="635" t="s">
        <v>557</v>
      </c>
      <c r="E87" s="634">
        <v>6.0505992221597324</v>
      </c>
      <c r="F87" s="634">
        <v>6.5672435517758743</v>
      </c>
      <c r="G87" s="634">
        <v>6.1883271667800841</v>
      </c>
      <c r="H87" s="634">
        <v>4.2316001100934244</v>
      </c>
      <c r="I87" s="634">
        <v>-2.4316278798801108</v>
      </c>
      <c r="J87" s="634">
        <v>3.7311403443300861</v>
      </c>
      <c r="K87" s="634">
        <v>3.8356906620750522</v>
      </c>
      <c r="L87" s="634">
        <v>4.1286877486693925</v>
      </c>
      <c r="M87" s="634">
        <v>2.7915597574680078</v>
      </c>
      <c r="N87" s="634">
        <v>3.0580805621437008</v>
      </c>
      <c r="O87" s="634">
        <v>3.840079970939513</v>
      </c>
      <c r="P87" s="634">
        <v>3.8929721972641289</v>
      </c>
      <c r="Q87" s="634">
        <v>4.8429139105038672</v>
      </c>
      <c r="R87" s="634">
        <v>3.8449947696673519</v>
      </c>
      <c r="S87" s="634">
        <v>2.5596343459231434</v>
      </c>
      <c r="T87" s="634">
        <v>-8.9650822326729553</v>
      </c>
      <c r="U87" s="634">
        <v>12.565284377127895</v>
      </c>
      <c r="V87" s="634">
        <v>4.1435619401376727</v>
      </c>
      <c r="W87" s="634">
        <v>3.5758476045441228</v>
      </c>
      <c r="X87" s="634">
        <v>3.5539700329666886</v>
      </c>
    </row>
    <row r="88" spans="1:24" ht="16">
      <c r="A88" s="634" t="s">
        <v>387</v>
      </c>
      <c r="B88" s="635" t="s">
        <v>388</v>
      </c>
      <c r="C88" s="634" t="s">
        <v>558</v>
      </c>
      <c r="D88" s="635" t="s">
        <v>559</v>
      </c>
      <c r="E88" s="634">
        <v>7.3881763189396281</v>
      </c>
      <c r="F88" s="634">
        <v>7.0326247913137223</v>
      </c>
      <c r="G88" s="634">
        <v>6.464864119096319</v>
      </c>
      <c r="H88" s="634">
        <v>2.12792093606744</v>
      </c>
      <c r="I88" s="634">
        <v>-2.459140985903403</v>
      </c>
      <c r="J88" s="634">
        <v>6.7676658174788145</v>
      </c>
      <c r="K88" s="634">
        <v>4.8146810012065941</v>
      </c>
      <c r="L88" s="634">
        <v>1.7002938026964927</v>
      </c>
      <c r="M88" s="634">
        <v>3.1015169639448317</v>
      </c>
      <c r="N88" s="634">
        <v>2.7624303011989184</v>
      </c>
      <c r="O88" s="634">
        <v>2.3877833954599765</v>
      </c>
      <c r="P88" s="634">
        <v>2.175436927658609</v>
      </c>
      <c r="Q88" s="634">
        <v>3.7961135811964652</v>
      </c>
      <c r="R88" s="634">
        <v>2.8469345759766185</v>
      </c>
      <c r="S88" s="634">
        <v>-1.6723951654533806</v>
      </c>
      <c r="T88" s="634">
        <v>-6.5447832016685368</v>
      </c>
      <c r="U88" s="634">
        <v>6.4544247325682989</v>
      </c>
      <c r="V88" s="634">
        <v>-3.6837514169857286</v>
      </c>
      <c r="W88" s="634">
        <v>3.2144890171447145</v>
      </c>
      <c r="X88" s="634">
        <v>2.5411975388228001</v>
      </c>
    </row>
    <row r="89" spans="1:24" ht="16">
      <c r="A89" s="634" t="s">
        <v>387</v>
      </c>
      <c r="B89" s="635" t="s">
        <v>388</v>
      </c>
      <c r="C89" s="634" t="s">
        <v>560</v>
      </c>
      <c r="D89" s="635" t="s">
        <v>561</v>
      </c>
      <c r="E89" s="634">
        <v>4.3002831846167311</v>
      </c>
      <c r="F89" s="634">
        <v>3.9339316271205433</v>
      </c>
      <c r="G89" s="634">
        <v>0.33235433787892532</v>
      </c>
      <c r="H89" s="634">
        <v>0.99343708547965548</v>
      </c>
      <c r="I89" s="634">
        <v>-6.7401660845501965</v>
      </c>
      <c r="J89" s="634">
        <v>1.0679506815204576</v>
      </c>
      <c r="K89" s="634">
        <v>1.9167091659974176</v>
      </c>
      <c r="L89" s="634">
        <v>-1.3394844651818119</v>
      </c>
      <c r="M89" s="634">
        <v>2.032169906781462</v>
      </c>
      <c r="N89" s="634">
        <v>4.3343536411396713</v>
      </c>
      <c r="O89" s="634">
        <v>3.6598161540695457</v>
      </c>
      <c r="P89" s="634">
        <v>2.4386414130934213</v>
      </c>
      <c r="Q89" s="634">
        <v>4.1241838945180547</v>
      </c>
      <c r="R89" s="634">
        <v>5.6061381376887596</v>
      </c>
      <c r="S89" s="634">
        <v>5.0771849508893325</v>
      </c>
      <c r="T89" s="634">
        <v>-4.3387254002405768</v>
      </c>
      <c r="U89" s="634">
        <v>7.2229158081113667</v>
      </c>
      <c r="V89" s="634">
        <v>4.2703475516290439</v>
      </c>
      <c r="W89" s="634">
        <v>-0.8425288406390905</v>
      </c>
      <c r="X89" s="634">
        <v>0.51230579065713755</v>
      </c>
    </row>
    <row r="90" spans="1:24" ht="16">
      <c r="A90" s="634" t="s">
        <v>387</v>
      </c>
      <c r="B90" s="635" t="s">
        <v>388</v>
      </c>
      <c r="C90" s="634" t="s">
        <v>562</v>
      </c>
      <c r="D90" s="635" t="s">
        <v>563</v>
      </c>
      <c r="E90" s="634">
        <v>6.12443905447644</v>
      </c>
      <c r="F90" s="634">
        <v>6.3169930216992327</v>
      </c>
      <c r="G90" s="634">
        <v>8.4548601037353563</v>
      </c>
      <c r="H90" s="634">
        <v>2.2094964133305979</v>
      </c>
      <c r="I90" s="634">
        <v>-7.6638095199309362</v>
      </c>
      <c r="J90" s="634">
        <v>-2.8327749227643295</v>
      </c>
      <c r="K90" s="634">
        <v>1.845779148828413</v>
      </c>
      <c r="L90" s="634">
        <v>1.0636365958641676</v>
      </c>
      <c r="M90" s="634">
        <v>4.5524602892335935</v>
      </c>
      <c r="N90" s="634">
        <v>1.6872150348133346</v>
      </c>
      <c r="O90" s="634">
        <v>4.4366637389808545</v>
      </c>
      <c r="P90" s="634">
        <v>6.3036871247927451</v>
      </c>
      <c r="Q90" s="634">
        <v>4.1949487893467392</v>
      </c>
      <c r="R90" s="634">
        <v>4.8891730021822326</v>
      </c>
      <c r="S90" s="634">
        <v>1.861177946116598</v>
      </c>
      <c r="T90" s="634">
        <v>-6.9404530682900258</v>
      </c>
      <c r="U90" s="634">
        <v>5.0334061312738072</v>
      </c>
      <c r="V90" s="634">
        <v>8.9789708517549656</v>
      </c>
      <c r="W90" s="634">
        <v>5.6464618192356255</v>
      </c>
      <c r="X90" s="634">
        <v>0.51686312172938642</v>
      </c>
    </row>
    <row r="91" spans="1:24" ht="16">
      <c r="A91" s="634" t="s">
        <v>387</v>
      </c>
      <c r="B91" s="635" t="s">
        <v>388</v>
      </c>
      <c r="C91" s="634" t="s">
        <v>564</v>
      </c>
      <c r="D91" s="635" t="s">
        <v>565</v>
      </c>
      <c r="E91" s="634">
        <v>7.9234306214831776</v>
      </c>
      <c r="F91" s="634">
        <v>8.0607325716665059</v>
      </c>
      <c r="G91" s="634">
        <v>7.6608150670107023</v>
      </c>
      <c r="H91" s="634">
        <v>3.0866980592198132</v>
      </c>
      <c r="I91" s="634">
        <v>7.8618888328607426</v>
      </c>
      <c r="J91" s="634">
        <v>8.4975847022123503</v>
      </c>
      <c r="K91" s="634">
        <v>5.2413161993769535</v>
      </c>
      <c r="L91" s="634">
        <v>5.4563875516658698</v>
      </c>
      <c r="M91" s="634">
        <v>6.3861064009482504</v>
      </c>
      <c r="N91" s="634">
        <v>7.4102276050885365</v>
      </c>
      <c r="O91" s="634">
        <v>7.996253785714714</v>
      </c>
      <c r="P91" s="634">
        <v>8.2563055017908624</v>
      </c>
      <c r="Q91" s="634">
        <v>6.7953834189791138</v>
      </c>
      <c r="R91" s="634">
        <v>6.4538513449776929</v>
      </c>
      <c r="S91" s="634">
        <v>3.8714369407035605</v>
      </c>
      <c r="T91" s="634">
        <v>-5.777724706868014</v>
      </c>
      <c r="U91" s="634">
        <v>9.6895924919287495</v>
      </c>
      <c r="V91" s="634">
        <v>7.6093649776889549</v>
      </c>
      <c r="W91" s="634">
        <v>9.1907549302834468</v>
      </c>
      <c r="X91" s="634">
        <v>6.4842236303375671</v>
      </c>
    </row>
    <row r="92" spans="1:24" ht="16">
      <c r="A92" s="634" t="s">
        <v>387</v>
      </c>
      <c r="B92" s="635" t="s">
        <v>388</v>
      </c>
      <c r="C92" s="634" t="s">
        <v>233</v>
      </c>
      <c r="D92" s="635" t="s">
        <v>566</v>
      </c>
      <c r="E92" s="634">
        <v>5.6925713038338444</v>
      </c>
      <c r="F92" s="634">
        <v>5.5009517852034833</v>
      </c>
      <c r="G92" s="634">
        <v>6.3450222266721426</v>
      </c>
      <c r="H92" s="634">
        <v>6.0137036000912332</v>
      </c>
      <c r="I92" s="634">
        <v>4.6288711825615252</v>
      </c>
      <c r="J92" s="634">
        <v>6.2238541806236611</v>
      </c>
      <c r="K92" s="634">
        <v>6.1697842077100802</v>
      </c>
      <c r="L92" s="634">
        <v>6.0300506530561506</v>
      </c>
      <c r="M92" s="634">
        <v>5.5572636889100977</v>
      </c>
      <c r="N92" s="634">
        <v>5.0066684257549952</v>
      </c>
      <c r="O92" s="634">
        <v>4.8763223002212328</v>
      </c>
      <c r="P92" s="634">
        <v>5.0330691828017677</v>
      </c>
      <c r="Q92" s="634">
        <v>5.0697859013491637</v>
      </c>
      <c r="R92" s="634">
        <v>5.1742915395502393</v>
      </c>
      <c r="S92" s="634">
        <v>5.0192876804628241</v>
      </c>
      <c r="T92" s="634">
        <v>-2.065511829341645</v>
      </c>
      <c r="U92" s="634">
        <v>3.7028856282775138</v>
      </c>
      <c r="V92" s="634">
        <v>5.3071972266479861</v>
      </c>
      <c r="W92" s="634">
        <v>5.0490233183599713</v>
      </c>
      <c r="X92" s="634">
        <v>5.0303446941903758</v>
      </c>
    </row>
    <row r="93" spans="1:24" ht="16">
      <c r="A93" s="634" t="s">
        <v>387</v>
      </c>
      <c r="B93" s="635" t="s">
        <v>388</v>
      </c>
      <c r="C93" s="634" t="s">
        <v>567</v>
      </c>
      <c r="D93" s="635" t="s">
        <v>568</v>
      </c>
      <c r="E93" s="634">
        <v>3.1898040813102284</v>
      </c>
      <c r="F93" s="634">
        <v>4.9997952693596943</v>
      </c>
      <c r="G93" s="634">
        <v>8.1557735184346427</v>
      </c>
      <c r="H93" s="634">
        <v>0.25085655251105266</v>
      </c>
      <c r="I93" s="634">
        <v>1.0073854628562202</v>
      </c>
      <c r="J93" s="634">
        <v>5.7979382959026111</v>
      </c>
      <c r="K93" s="634">
        <v>2.6457179200895808</v>
      </c>
      <c r="L93" s="634">
        <v>-3.7471713986413988</v>
      </c>
      <c r="M93" s="634">
        <v>-1.5219792049416299</v>
      </c>
      <c r="N93" s="634">
        <v>4.9847750670949438</v>
      </c>
      <c r="O93" s="634">
        <v>-1.4248849393749055</v>
      </c>
      <c r="P93" s="634">
        <v>8.815086642518196</v>
      </c>
      <c r="Q93" s="634">
        <v>2.7585052457887542</v>
      </c>
      <c r="R93" s="634">
        <v>-1.8380075709303583</v>
      </c>
      <c r="S93" s="634">
        <v>-3.0705879849703024</v>
      </c>
      <c r="T93" s="634">
        <v>3.3302884592659439</v>
      </c>
      <c r="U93" s="634">
        <v>4.7197777315716394</v>
      </c>
      <c r="V93" s="634">
        <v>3.776631401529059</v>
      </c>
      <c r="W93" s="634">
        <v>5.0448901951213827</v>
      </c>
      <c r="X93" s="634">
        <v>3.0400003094751042</v>
      </c>
    </row>
    <row r="94" spans="1:24" ht="16">
      <c r="A94" s="634" t="s">
        <v>387</v>
      </c>
      <c r="B94" s="635" t="s">
        <v>388</v>
      </c>
      <c r="C94" s="634" t="s">
        <v>569</v>
      </c>
      <c r="D94" s="635" t="s">
        <v>570</v>
      </c>
      <c r="E94" s="634">
        <v>1.6752286358682795</v>
      </c>
      <c r="F94" s="634">
        <v>5.6382991522063719</v>
      </c>
      <c r="G94" s="634">
        <v>1.8885393624395306</v>
      </c>
      <c r="H94" s="634">
        <v>8.2281071038327696</v>
      </c>
      <c r="I94" s="634">
        <v>3.3792990944277079</v>
      </c>
      <c r="J94" s="634">
        <v>6.4025648447119323</v>
      </c>
      <c r="K94" s="634">
        <v>7.5464712004259979</v>
      </c>
      <c r="L94" s="634">
        <v>13.936430173753706</v>
      </c>
      <c r="M94" s="634">
        <v>7.6282859229875442</v>
      </c>
      <c r="N94" s="634">
        <v>2.2636881756361333</v>
      </c>
      <c r="O94" s="634">
        <v>2.6067664293954067</v>
      </c>
      <c r="P94" s="634">
        <v>13.787373018708934</v>
      </c>
      <c r="Q94" s="634">
        <v>-1.8197503511830888</v>
      </c>
      <c r="R94" s="634">
        <v>2.6338509910562351</v>
      </c>
      <c r="S94" s="634">
        <v>5.5137905754232293</v>
      </c>
      <c r="T94" s="634">
        <v>-12.036793093115179</v>
      </c>
      <c r="U94" s="634">
        <v>1.5021807095203741</v>
      </c>
      <c r="V94" s="634">
        <v>7.9590480499266221</v>
      </c>
      <c r="W94" s="634">
        <v>0.51770552513119128</v>
      </c>
      <c r="X94" s="634">
        <v>-1.5452519831830358</v>
      </c>
    </row>
    <row r="95" spans="1:24" ht="16">
      <c r="A95" s="634" t="s">
        <v>387</v>
      </c>
      <c r="B95" s="635" t="s">
        <v>388</v>
      </c>
      <c r="C95" s="634" t="s">
        <v>571</v>
      </c>
      <c r="D95" s="635" t="s">
        <v>572</v>
      </c>
      <c r="E95" s="634">
        <v>5.7397826655828794</v>
      </c>
      <c r="F95" s="634">
        <v>4.987854805134063</v>
      </c>
      <c r="G95" s="634">
        <v>5.3101167301293373</v>
      </c>
      <c r="H95" s="634">
        <v>-4.4840695671926767</v>
      </c>
      <c r="I95" s="634">
        <v>-5.095781788269008</v>
      </c>
      <c r="J95" s="634">
        <v>1.6829722706203114</v>
      </c>
      <c r="K95" s="634">
        <v>1.648774004061579</v>
      </c>
      <c r="L95" s="634">
        <v>-0.39896048173109477</v>
      </c>
      <c r="M95" s="634">
        <v>2.1921761948905782</v>
      </c>
      <c r="N95" s="634">
        <v>9.3360337504583697</v>
      </c>
      <c r="O95" s="634">
        <v>24.615569898020468</v>
      </c>
      <c r="P95" s="634">
        <v>1.2226384923420994</v>
      </c>
      <c r="Q95" s="634">
        <v>10.04962848216617</v>
      </c>
      <c r="R95" s="634">
        <v>7.5443421414266965</v>
      </c>
      <c r="S95" s="634">
        <v>5.040549961611589</v>
      </c>
      <c r="T95" s="634">
        <v>7.1578988000836006</v>
      </c>
      <c r="U95" s="634">
        <v>16.255613523335754</v>
      </c>
      <c r="V95" s="634">
        <v>8.6195034561877151</v>
      </c>
      <c r="W95" s="634">
        <v>-5.5300073886595982</v>
      </c>
      <c r="X95" s="634">
        <v>1.2213342989892766</v>
      </c>
    </row>
    <row r="96" spans="1:24" ht="16">
      <c r="A96" s="634" t="s">
        <v>387</v>
      </c>
      <c r="B96" s="635" t="s">
        <v>388</v>
      </c>
      <c r="C96" s="634" t="s">
        <v>573</v>
      </c>
      <c r="D96" s="635" t="s">
        <v>574</v>
      </c>
      <c r="E96" s="634">
        <v>5.8999993357667506</v>
      </c>
      <c r="F96" s="634">
        <v>7.6999987125343239</v>
      </c>
      <c r="G96" s="634">
        <v>7.5000002298881725</v>
      </c>
      <c r="H96" s="634">
        <v>4.9000010008154504</v>
      </c>
      <c r="I96" s="634">
        <v>2.1000002718137409</v>
      </c>
      <c r="J96" s="634">
        <v>3.3999984239595733</v>
      </c>
      <c r="K96" s="634">
        <v>1.9999993820741508</v>
      </c>
      <c r="L96" s="634">
        <v>7.3038910851171721</v>
      </c>
      <c r="M96" s="634">
        <v>4.1418615875349332</v>
      </c>
      <c r="N96" s="634">
        <v>5.1550998374859915</v>
      </c>
      <c r="O96" s="634">
        <v>-0.38586688219808707</v>
      </c>
      <c r="P96" s="634">
        <v>6.9523028489940657</v>
      </c>
      <c r="Q96" s="634">
        <v>2.8377580709368857</v>
      </c>
      <c r="R96" s="634">
        <v>2.2133975392250989</v>
      </c>
      <c r="S96" s="634">
        <v>0.25487784739826225</v>
      </c>
      <c r="T96" s="634">
        <v>-8.8368169747347451</v>
      </c>
      <c r="U96" s="634">
        <v>3.8378363233463944</v>
      </c>
      <c r="V96" s="634">
        <v>-4.1653934521323208</v>
      </c>
      <c r="W96" s="634" t="s">
        <v>1705</v>
      </c>
      <c r="X96" s="634" t="s">
        <v>1705</v>
      </c>
    </row>
    <row r="97" spans="1:24" ht="16">
      <c r="A97" s="634" t="s">
        <v>387</v>
      </c>
      <c r="B97" s="635" t="s">
        <v>388</v>
      </c>
      <c r="C97" s="634" t="s">
        <v>575</v>
      </c>
      <c r="D97" s="635" t="s">
        <v>576</v>
      </c>
      <c r="E97" s="634">
        <v>4.3877888704155055</v>
      </c>
      <c r="F97" s="634">
        <v>5.6016269815800399</v>
      </c>
      <c r="G97" s="634">
        <v>6.3233495049974664</v>
      </c>
      <c r="H97" s="634">
        <v>3.2220959998726642</v>
      </c>
      <c r="I97" s="634">
        <v>1.2377315972181435</v>
      </c>
      <c r="J97" s="634">
        <v>5.5343403390219379</v>
      </c>
      <c r="K97" s="634">
        <v>5.518796213716513</v>
      </c>
      <c r="L97" s="634">
        <v>2.4471683674131839</v>
      </c>
      <c r="M97" s="634">
        <v>4.0857091863820472</v>
      </c>
      <c r="N97" s="634">
        <v>3.7758284321310924</v>
      </c>
      <c r="O97" s="634">
        <v>2.2376031748248835</v>
      </c>
      <c r="P97" s="634">
        <v>4.45978271860821</v>
      </c>
      <c r="Q97" s="634">
        <v>4.3469311670645965</v>
      </c>
      <c r="R97" s="634">
        <v>4.003898621870249</v>
      </c>
      <c r="S97" s="634">
        <v>3.7104963275040461</v>
      </c>
      <c r="T97" s="634">
        <v>-2.0216154823758927</v>
      </c>
      <c r="U97" s="634">
        <v>9.3883740335462846</v>
      </c>
      <c r="V97" s="634">
        <v>6.2632634384128636</v>
      </c>
      <c r="W97" s="634">
        <v>1.8265204948238392</v>
      </c>
      <c r="X97" s="634">
        <v>0.87196842437744237</v>
      </c>
    </row>
    <row r="98" spans="1:24" ht="16">
      <c r="A98" s="634" t="s">
        <v>387</v>
      </c>
      <c r="B98" s="635" t="s">
        <v>388</v>
      </c>
      <c r="C98" s="634" t="s">
        <v>577</v>
      </c>
      <c r="D98" s="635" t="s">
        <v>578</v>
      </c>
      <c r="E98" s="634">
        <v>0.76241067730649092</v>
      </c>
      <c r="F98" s="634">
        <v>1.7994799223424423</v>
      </c>
      <c r="G98" s="634">
        <v>1.4622920528929058</v>
      </c>
      <c r="H98" s="634">
        <v>-1.0231385117709664</v>
      </c>
      <c r="I98" s="634">
        <v>-5.3051540123399121</v>
      </c>
      <c r="J98" s="634">
        <v>1.5291057324710096</v>
      </c>
      <c r="K98" s="634">
        <v>0.69546315444017637</v>
      </c>
      <c r="L98" s="634">
        <v>-3.1252387728299595</v>
      </c>
      <c r="M98" s="634">
        <v>-1.8180251074979168</v>
      </c>
      <c r="N98" s="634">
        <v>-1.3876173045446194E-3</v>
      </c>
      <c r="O98" s="634">
        <v>0.88566763524080727</v>
      </c>
      <c r="P98" s="634">
        <v>1.2362210851166111</v>
      </c>
      <c r="Q98" s="634">
        <v>1.6036999529410139</v>
      </c>
      <c r="R98" s="634">
        <v>0.82664671234411458</v>
      </c>
      <c r="S98" s="634">
        <v>0.42916253378034241</v>
      </c>
      <c r="T98" s="634">
        <v>-8.868221221853446</v>
      </c>
      <c r="U98" s="634">
        <v>8.9310621080005461</v>
      </c>
      <c r="V98" s="634">
        <v>4.8211766991356484</v>
      </c>
      <c r="W98" s="634">
        <v>0.7153725008675309</v>
      </c>
      <c r="X98" s="634">
        <v>0.72579238023442372</v>
      </c>
    </row>
    <row r="99" spans="1:24" ht="16">
      <c r="A99" s="634" t="s">
        <v>387</v>
      </c>
      <c r="B99" s="635" t="s">
        <v>388</v>
      </c>
      <c r="C99" s="634" t="s">
        <v>579</v>
      </c>
      <c r="D99" s="635" t="s">
        <v>580</v>
      </c>
      <c r="E99" s="634">
        <v>0.89379793594500256</v>
      </c>
      <c r="F99" s="634">
        <v>2.899125349588715</v>
      </c>
      <c r="G99" s="634">
        <v>1.4319540366511774</v>
      </c>
      <c r="H99" s="634">
        <v>-0.81173670328081471</v>
      </c>
      <c r="I99" s="634">
        <v>-4.3453018579463958</v>
      </c>
      <c r="J99" s="634">
        <v>-1.4571472094750249</v>
      </c>
      <c r="K99" s="634">
        <v>1.7303762674692109</v>
      </c>
      <c r="L99" s="634">
        <v>-0.61363603986912096</v>
      </c>
      <c r="M99" s="634">
        <v>0.51768601280240034</v>
      </c>
      <c r="N99" s="634">
        <v>0.68982235737433939</v>
      </c>
      <c r="O99" s="634">
        <v>0.92148712538030964</v>
      </c>
      <c r="P99" s="634">
        <v>1.3752230644553833</v>
      </c>
      <c r="Q99" s="634">
        <v>0.99712306233519143</v>
      </c>
      <c r="R99" s="634">
        <v>1.8899236812108597</v>
      </c>
      <c r="S99" s="634">
        <v>0.89229165382222675</v>
      </c>
      <c r="T99" s="634">
        <v>-9.9203224505441341</v>
      </c>
      <c r="U99" s="634">
        <v>4.6014245003338345</v>
      </c>
      <c r="V99" s="634">
        <v>5.2215198515961276</v>
      </c>
      <c r="W99" s="634">
        <v>2.6046630553220069</v>
      </c>
      <c r="X99" s="634">
        <v>-0.71880691177231881</v>
      </c>
    </row>
    <row r="100" spans="1:24" ht="16">
      <c r="A100" s="634" t="s">
        <v>387</v>
      </c>
      <c r="B100" s="635" t="s">
        <v>388</v>
      </c>
      <c r="C100" s="634" t="s">
        <v>581</v>
      </c>
      <c r="D100" s="635" t="s">
        <v>582</v>
      </c>
      <c r="E100" s="634">
        <v>1.8039008721582093</v>
      </c>
      <c r="F100" s="634">
        <v>1.372350127583104</v>
      </c>
      <c r="G100" s="634">
        <v>1.4839694115747193</v>
      </c>
      <c r="H100" s="634">
        <v>-1.2242890006171336</v>
      </c>
      <c r="I100" s="634">
        <v>-5.6932363589274075</v>
      </c>
      <c r="J100" s="634">
        <v>4.0979179194318078</v>
      </c>
      <c r="K100" s="634">
        <v>2.3809523799542376E-2</v>
      </c>
      <c r="L100" s="634">
        <v>1.3747509990527362</v>
      </c>
      <c r="M100" s="634">
        <v>2.0051001768121068</v>
      </c>
      <c r="N100" s="634">
        <v>0.29620551414188867</v>
      </c>
      <c r="O100" s="634">
        <v>1.560626696807816</v>
      </c>
      <c r="P100" s="634">
        <v>0.75382674578912656</v>
      </c>
      <c r="Q100" s="634">
        <v>1.6753317517335944</v>
      </c>
      <c r="R100" s="634">
        <v>0.64339102353314104</v>
      </c>
      <c r="S100" s="634">
        <v>-0.40216920089494579</v>
      </c>
      <c r="T100" s="634">
        <v>-4.1687645714674346</v>
      </c>
      <c r="U100" s="634">
        <v>2.6965740418718838</v>
      </c>
      <c r="V100" s="634">
        <v>0.94199877548328459</v>
      </c>
      <c r="W100" s="634">
        <v>1.4750348105338418</v>
      </c>
      <c r="X100" s="634">
        <v>8.3698564385215946E-2</v>
      </c>
    </row>
    <row r="101" spans="1:24" ht="16">
      <c r="A101" s="634" t="s">
        <v>387</v>
      </c>
      <c r="B101" s="635" t="s">
        <v>388</v>
      </c>
      <c r="C101" s="634" t="s">
        <v>583</v>
      </c>
      <c r="D101" s="635" t="s">
        <v>584</v>
      </c>
      <c r="E101" s="634">
        <v>8.1465948107993142</v>
      </c>
      <c r="F101" s="634">
        <v>8.0929752781193258</v>
      </c>
      <c r="G101" s="634">
        <v>8.1761699520464646</v>
      </c>
      <c r="H101" s="634">
        <v>7.2203863728013857</v>
      </c>
      <c r="I101" s="634">
        <v>5.0237100727266863</v>
      </c>
      <c r="J101" s="634">
        <v>2.3148342206304591</v>
      </c>
      <c r="K101" s="634">
        <v>2.7371798863210444</v>
      </c>
      <c r="L101" s="634">
        <v>2.4293580010023845</v>
      </c>
      <c r="M101" s="634">
        <v>2.6099473754863141</v>
      </c>
      <c r="N101" s="634">
        <v>3.3840780993347153</v>
      </c>
      <c r="O101" s="634">
        <v>2.4965287931518816</v>
      </c>
      <c r="P101" s="634">
        <v>1.9941808493012019</v>
      </c>
      <c r="Q101" s="634">
        <v>2.4735981544904462</v>
      </c>
      <c r="R101" s="634">
        <v>1.9190709134156378</v>
      </c>
      <c r="S101" s="634">
        <v>1.7512407786622504</v>
      </c>
      <c r="T101" s="634">
        <v>-1.1027518830904626</v>
      </c>
      <c r="U101" s="634">
        <v>3.6556435899914703</v>
      </c>
      <c r="V101" s="634">
        <v>2.6474351491205823</v>
      </c>
      <c r="W101" s="634">
        <v>2.8840833928168337</v>
      </c>
      <c r="X101" s="634">
        <v>2.4888940960364749</v>
      </c>
    </row>
    <row r="102" spans="1:24" ht="16">
      <c r="A102" s="634" t="s">
        <v>387</v>
      </c>
      <c r="B102" s="635" t="s">
        <v>388</v>
      </c>
      <c r="C102" s="634" t="s">
        <v>585</v>
      </c>
      <c r="D102" s="635" t="s">
        <v>586</v>
      </c>
      <c r="E102" s="634">
        <v>9.6999999992268187</v>
      </c>
      <c r="F102" s="634">
        <v>10.700000000000003</v>
      </c>
      <c r="G102" s="634">
        <v>8.8999999999940513</v>
      </c>
      <c r="H102" s="634">
        <v>3.3000000002109147</v>
      </c>
      <c r="I102" s="634">
        <v>1.1999999994287265</v>
      </c>
      <c r="J102" s="634">
        <v>7.3000000032981376</v>
      </c>
      <c r="K102" s="634">
        <v>7.4000000014418816</v>
      </c>
      <c r="L102" s="634">
        <v>4.7999999952829739</v>
      </c>
      <c r="M102" s="634">
        <v>5.9999999967108408</v>
      </c>
      <c r="N102" s="634">
        <v>4.2000000056670501</v>
      </c>
      <c r="O102" s="634">
        <v>1.2000000005328815</v>
      </c>
      <c r="P102" s="634">
        <v>1.0999999991017262</v>
      </c>
      <c r="Q102" s="634">
        <v>4.1000000025735801</v>
      </c>
      <c r="R102" s="634">
        <v>4.0999999930984075</v>
      </c>
      <c r="S102" s="634">
        <v>4.5000000009188312</v>
      </c>
      <c r="T102" s="634">
        <v>-2.4999999962799961</v>
      </c>
      <c r="U102" s="634">
        <v>4.2999999972945631</v>
      </c>
      <c r="V102" s="634">
        <v>3.1999999997073445</v>
      </c>
      <c r="W102" s="634">
        <v>5.0999999999999943</v>
      </c>
      <c r="X102" s="634">
        <v>4.8000000000002245</v>
      </c>
    </row>
    <row r="103" spans="1:24" ht="16">
      <c r="A103" s="634" t="s">
        <v>387</v>
      </c>
      <c r="B103" s="635" t="s">
        <v>388</v>
      </c>
      <c r="C103" s="634" t="s">
        <v>587</v>
      </c>
      <c r="D103" s="635" t="s">
        <v>588</v>
      </c>
      <c r="E103" s="634">
        <v>5.9066660798005728</v>
      </c>
      <c r="F103" s="634">
        <v>6.4724943001548354</v>
      </c>
      <c r="G103" s="634">
        <v>6.8507297699878364</v>
      </c>
      <c r="H103" s="634">
        <v>0.23228274481297717</v>
      </c>
      <c r="I103" s="634">
        <v>3.3069398163108872</v>
      </c>
      <c r="J103" s="634">
        <v>8.0584736029090607</v>
      </c>
      <c r="K103" s="634">
        <v>5.1211061197056011</v>
      </c>
      <c r="L103" s="634">
        <v>4.5686796144498203</v>
      </c>
      <c r="M103" s="634">
        <v>3.7978483925754034</v>
      </c>
      <c r="N103" s="634">
        <v>5.020111002324839</v>
      </c>
      <c r="O103" s="634">
        <v>4.9677211275976703</v>
      </c>
      <c r="P103" s="634">
        <v>4.2135170681474392</v>
      </c>
      <c r="Q103" s="634">
        <v>3.837958173647209</v>
      </c>
      <c r="R103" s="634">
        <v>5.6479464070921921</v>
      </c>
      <c r="S103" s="634">
        <v>5.1141588576780066</v>
      </c>
      <c r="T103" s="634">
        <v>-0.27276632743881635</v>
      </c>
      <c r="U103" s="634">
        <v>7.5904894733346708</v>
      </c>
      <c r="V103" s="634">
        <v>4.8599810428799941</v>
      </c>
      <c r="W103" s="634">
        <v>5.5558730131986636</v>
      </c>
      <c r="X103" s="634">
        <v>4.4964982846120876</v>
      </c>
    </row>
    <row r="104" spans="1:24" ht="16">
      <c r="A104" s="634" t="s">
        <v>387</v>
      </c>
      <c r="B104" s="635" t="s">
        <v>388</v>
      </c>
      <c r="C104" s="634" t="s">
        <v>589</v>
      </c>
      <c r="D104" s="635" t="s">
        <v>590</v>
      </c>
      <c r="E104" s="634">
        <v>1.2924302946584874</v>
      </c>
      <c r="F104" s="634">
        <v>5.7769344983618538</v>
      </c>
      <c r="G104" s="634">
        <v>3.0550798156666872</v>
      </c>
      <c r="H104" s="634">
        <v>-2.9847312163183091</v>
      </c>
      <c r="I104" s="634">
        <v>0.53680119464831932</v>
      </c>
      <c r="J104" s="634">
        <v>1.2259519892487987</v>
      </c>
      <c r="K104" s="634">
        <v>3.2637271953222466</v>
      </c>
      <c r="L104" s="634">
        <v>5.8036597464525812</v>
      </c>
      <c r="M104" s="634">
        <v>7.7309218869964695</v>
      </c>
      <c r="N104" s="634">
        <v>1.2636626804459468</v>
      </c>
      <c r="O104" s="634">
        <v>11.265320943129382</v>
      </c>
      <c r="P104" s="634">
        <v>7.0880346577866931</v>
      </c>
      <c r="Q104" s="634">
        <v>3.7491178264237561</v>
      </c>
      <c r="R104" s="634">
        <v>3.4794397210587249</v>
      </c>
      <c r="S104" s="634">
        <v>3.264287564582574</v>
      </c>
      <c r="T104" s="634">
        <v>-1.4680671807810768</v>
      </c>
      <c r="U104" s="634">
        <v>8.4797378713821274</v>
      </c>
      <c r="V104" s="634">
        <v>4.5663259310037176</v>
      </c>
      <c r="W104" s="634">
        <v>2.6520108748987923</v>
      </c>
      <c r="X104" s="634">
        <v>5.2668992638504619</v>
      </c>
    </row>
    <row r="105" spans="1:24" ht="16">
      <c r="A105" s="634" t="s">
        <v>387</v>
      </c>
      <c r="B105" s="635" t="s">
        <v>388</v>
      </c>
      <c r="C105" s="634" t="s">
        <v>591</v>
      </c>
      <c r="D105" s="635" t="s">
        <v>592</v>
      </c>
      <c r="E105" s="634" t="s">
        <v>1705</v>
      </c>
      <c r="F105" s="634" t="s">
        <v>1705</v>
      </c>
      <c r="G105" s="634" t="s">
        <v>1705</v>
      </c>
      <c r="H105" s="634" t="s">
        <v>1705</v>
      </c>
      <c r="I105" s="634" t="s">
        <v>1705</v>
      </c>
      <c r="J105" s="634" t="s">
        <v>1705</v>
      </c>
      <c r="K105" s="634" t="s">
        <v>1705</v>
      </c>
      <c r="L105" s="634" t="s">
        <v>1705</v>
      </c>
      <c r="M105" s="634" t="s">
        <v>1705</v>
      </c>
      <c r="N105" s="634" t="s">
        <v>1705</v>
      </c>
      <c r="O105" s="634" t="s">
        <v>1705</v>
      </c>
      <c r="P105" s="634" t="s">
        <v>1705</v>
      </c>
      <c r="Q105" s="634" t="s">
        <v>1705</v>
      </c>
      <c r="R105" s="634" t="s">
        <v>1705</v>
      </c>
      <c r="S105" s="634" t="s">
        <v>1705</v>
      </c>
      <c r="T105" s="634" t="s">
        <v>1705</v>
      </c>
      <c r="U105" s="634" t="s">
        <v>1705</v>
      </c>
      <c r="V105" s="634" t="s">
        <v>1705</v>
      </c>
      <c r="W105" s="634" t="s">
        <v>1705</v>
      </c>
      <c r="X105" s="634" t="s">
        <v>1705</v>
      </c>
    </row>
    <row r="106" spans="1:24" ht="16">
      <c r="A106" s="634" t="s">
        <v>387</v>
      </c>
      <c r="B106" s="635" t="s">
        <v>388</v>
      </c>
      <c r="C106" s="634" t="s">
        <v>593</v>
      </c>
      <c r="D106" s="635" t="s">
        <v>594</v>
      </c>
      <c r="E106" s="634">
        <v>4.3085427141123631</v>
      </c>
      <c r="F106" s="634">
        <v>5.2643265946672386</v>
      </c>
      <c r="G106" s="634">
        <v>5.799548415032163</v>
      </c>
      <c r="H106" s="634">
        <v>3.0129848728116713</v>
      </c>
      <c r="I106" s="634">
        <v>0.79269898951818618</v>
      </c>
      <c r="J106" s="634">
        <v>6.8048249178367115</v>
      </c>
      <c r="K106" s="634">
        <v>3.6856677821252646</v>
      </c>
      <c r="L106" s="634">
        <v>2.4025309924618625</v>
      </c>
      <c r="M106" s="634">
        <v>3.1647086364718433</v>
      </c>
      <c r="N106" s="634">
        <v>3.2024537945736</v>
      </c>
      <c r="O106" s="634">
        <v>2.8091032682413299</v>
      </c>
      <c r="P106" s="634">
        <v>2.9468817150862634</v>
      </c>
      <c r="Q106" s="634">
        <v>3.1596357401277686</v>
      </c>
      <c r="R106" s="634">
        <v>2.9074037737713496</v>
      </c>
      <c r="S106" s="634">
        <v>2.243977860110121</v>
      </c>
      <c r="T106" s="634">
        <v>-0.7094153593976813</v>
      </c>
      <c r="U106" s="634">
        <v>4.3047348190696937</v>
      </c>
      <c r="V106" s="634">
        <v>2.6126721918722637</v>
      </c>
      <c r="W106" s="634">
        <v>1.3567332431109804</v>
      </c>
      <c r="X106" s="634" t="s">
        <v>1705</v>
      </c>
    </row>
    <row r="107" spans="1:24" ht="16">
      <c r="A107" s="634" t="s">
        <v>387</v>
      </c>
      <c r="B107" s="635" t="s">
        <v>388</v>
      </c>
      <c r="C107" s="634" t="s">
        <v>595</v>
      </c>
      <c r="D107" s="635" t="s">
        <v>596</v>
      </c>
      <c r="E107" s="634" t="s">
        <v>1705</v>
      </c>
      <c r="F107" s="634" t="s">
        <v>1705</v>
      </c>
      <c r="G107" s="634" t="s">
        <v>1705</v>
      </c>
      <c r="H107" s="634" t="s">
        <v>1705</v>
      </c>
      <c r="I107" s="634">
        <v>5.0348541383989271</v>
      </c>
      <c r="J107" s="634">
        <v>4.9399509596139524</v>
      </c>
      <c r="K107" s="634">
        <v>6.3198102289676115</v>
      </c>
      <c r="L107" s="634">
        <v>1.7121959589054825</v>
      </c>
      <c r="M107" s="634">
        <v>5.3407991190027815</v>
      </c>
      <c r="N107" s="634">
        <v>3.3488047843162292</v>
      </c>
      <c r="O107" s="634">
        <v>5.916231283452106</v>
      </c>
      <c r="P107" s="634">
        <v>5.5717750473163221</v>
      </c>
      <c r="Q107" s="634">
        <v>4.8256556529805437</v>
      </c>
      <c r="R107" s="634">
        <v>3.4066322705628522</v>
      </c>
      <c r="S107" s="634">
        <v>4.7568005700783402</v>
      </c>
      <c r="T107" s="634">
        <v>-5.3402754782616597</v>
      </c>
      <c r="U107" s="634">
        <v>10.745656081958302</v>
      </c>
      <c r="V107" s="634">
        <v>4.2784989582754349</v>
      </c>
      <c r="W107" s="634">
        <v>4.0676270143643762</v>
      </c>
      <c r="X107" s="634">
        <v>4.4127382875508374</v>
      </c>
    </row>
    <row r="108" spans="1:24" ht="16">
      <c r="A108" s="634" t="s">
        <v>387</v>
      </c>
      <c r="B108" s="635" t="s">
        <v>388</v>
      </c>
      <c r="C108" s="634" t="s">
        <v>597</v>
      </c>
      <c r="D108" s="635" t="s">
        <v>598</v>
      </c>
      <c r="E108" s="634">
        <v>10.609044984022844</v>
      </c>
      <c r="F108" s="634">
        <v>7.5147730002402113</v>
      </c>
      <c r="G108" s="634">
        <v>5.991575510593151</v>
      </c>
      <c r="H108" s="634">
        <v>2.4797569427854427</v>
      </c>
      <c r="I108" s="634">
        <v>-7.0760564307341127</v>
      </c>
      <c r="J108" s="634">
        <v>-2.3705480470201366</v>
      </c>
      <c r="K108" s="634">
        <v>9.6286341294699014</v>
      </c>
      <c r="L108" s="634">
        <v>6.6258750370158452</v>
      </c>
      <c r="M108" s="634">
        <v>1.1494653430844863</v>
      </c>
      <c r="N108" s="634">
        <v>0.50091473923517071</v>
      </c>
      <c r="O108" s="634">
        <v>0.59277073334125419</v>
      </c>
      <c r="P108" s="634">
        <v>2.9260758773873192</v>
      </c>
      <c r="Q108" s="634">
        <v>-4.7122227011676188</v>
      </c>
      <c r="R108" s="634">
        <v>2.7433305386129376</v>
      </c>
      <c r="S108" s="634">
        <v>2.2638169055351227</v>
      </c>
      <c r="T108" s="634">
        <v>-4.8177898225727915</v>
      </c>
      <c r="U108" s="634">
        <v>1.6726368963021088</v>
      </c>
      <c r="V108" s="634">
        <v>6.7586670465067158</v>
      </c>
      <c r="W108" s="634">
        <v>-1.6672058973843065</v>
      </c>
      <c r="X108" s="634">
        <v>-2.5601111329454369</v>
      </c>
    </row>
    <row r="109" spans="1:24" ht="16">
      <c r="A109" s="634" t="s">
        <v>387</v>
      </c>
      <c r="B109" s="635" t="s">
        <v>388</v>
      </c>
      <c r="C109" s="634" t="s">
        <v>599</v>
      </c>
      <c r="D109" s="635" t="s">
        <v>600</v>
      </c>
      <c r="E109" s="634">
        <v>-0.17551540404421928</v>
      </c>
      <c r="F109" s="634">
        <v>3.1028987419998089</v>
      </c>
      <c r="G109" s="634">
        <v>8.5428747750760721</v>
      </c>
      <c r="H109" s="634">
        <v>8.4016160486142866</v>
      </c>
      <c r="I109" s="634">
        <v>2.8862945753773062</v>
      </c>
      <c r="J109" s="634">
        <v>-0.47156659679161805</v>
      </c>
      <c r="K109" s="634">
        <v>5.9562742969350353</v>
      </c>
      <c r="L109" s="634">
        <v>-8.8150199843937571E-2</v>
      </c>
      <c r="M109" s="634">
        <v>10.915469452804544</v>
      </c>
      <c r="N109" s="634">
        <v>4.0240386308325213</v>
      </c>
      <c r="O109" s="634">
        <v>3.8758254451243914</v>
      </c>
      <c r="P109" s="634">
        <v>4.3358559219011568</v>
      </c>
      <c r="Q109" s="634">
        <v>4.7399372237788384</v>
      </c>
      <c r="R109" s="634">
        <v>3.7579101355716489</v>
      </c>
      <c r="S109" s="634">
        <v>4.6006256570759803</v>
      </c>
      <c r="T109" s="634">
        <v>-7.1489775772795525</v>
      </c>
      <c r="U109" s="634">
        <v>5.5070076267192292</v>
      </c>
      <c r="V109" s="634">
        <v>8.9675052004139104</v>
      </c>
      <c r="W109" s="634">
        <v>9.0132928339342016</v>
      </c>
      <c r="X109" s="634">
        <v>9.0401355612001169</v>
      </c>
    </row>
    <row r="110" spans="1:24" ht="16">
      <c r="A110" s="634" t="s">
        <v>387</v>
      </c>
      <c r="B110" s="635" t="s">
        <v>388</v>
      </c>
      <c r="C110" s="634" t="s">
        <v>601</v>
      </c>
      <c r="D110" s="635" t="s">
        <v>602</v>
      </c>
      <c r="E110" s="634">
        <v>7.1075683681126662</v>
      </c>
      <c r="F110" s="634">
        <v>8.6192662083280691</v>
      </c>
      <c r="G110" s="634">
        <v>7.5968288005487778</v>
      </c>
      <c r="H110" s="634">
        <v>7.8249027633701189</v>
      </c>
      <c r="I110" s="634">
        <v>7.5017749122585258</v>
      </c>
      <c r="J110" s="634">
        <v>8.526905517397168</v>
      </c>
      <c r="K110" s="634">
        <v>8.0386526802372487</v>
      </c>
      <c r="L110" s="634">
        <v>8.0260984346128339</v>
      </c>
      <c r="M110" s="634">
        <v>8.0263002269901733</v>
      </c>
      <c r="N110" s="634">
        <v>7.6119634397931861</v>
      </c>
      <c r="O110" s="634">
        <v>7.2700658437378536</v>
      </c>
      <c r="P110" s="634">
        <v>7.0228362550113843</v>
      </c>
      <c r="Q110" s="634">
        <v>6.8925308726988987</v>
      </c>
      <c r="R110" s="634">
        <v>6.2479600075587172</v>
      </c>
      <c r="S110" s="634">
        <v>5.4577350924847963</v>
      </c>
      <c r="T110" s="634">
        <v>0.50303182901868126</v>
      </c>
      <c r="U110" s="634">
        <v>2.5283510048610225</v>
      </c>
      <c r="V110" s="634">
        <v>2.7074265264315471</v>
      </c>
      <c r="W110" s="634">
        <v>3.745681401582317</v>
      </c>
      <c r="X110" s="634">
        <v>4.2582572465158108</v>
      </c>
    </row>
    <row r="111" spans="1:24" ht="16">
      <c r="A111" s="634" t="s">
        <v>387</v>
      </c>
      <c r="B111" s="635" t="s">
        <v>388</v>
      </c>
      <c r="C111" s="634" t="s">
        <v>603</v>
      </c>
      <c r="D111" s="635" t="s">
        <v>604</v>
      </c>
      <c r="E111" s="634">
        <v>11.615317855745701</v>
      </c>
      <c r="F111" s="634">
        <v>12.825017846905013</v>
      </c>
      <c r="G111" s="634">
        <v>10.4145372792714</v>
      </c>
      <c r="H111" s="634">
        <v>-3.3887166584995754</v>
      </c>
      <c r="I111" s="634">
        <v>-16.04001953130421</v>
      </c>
      <c r="J111" s="634">
        <v>-3.661258595547622</v>
      </c>
      <c r="K111" s="634">
        <v>3.0363448266881505</v>
      </c>
      <c r="L111" s="634">
        <v>7.3052405720089695</v>
      </c>
      <c r="M111" s="634">
        <v>2.096090281562482</v>
      </c>
      <c r="N111" s="634">
        <v>2.0949597710558976</v>
      </c>
      <c r="O111" s="634">
        <v>3.7833671208497179</v>
      </c>
      <c r="P111" s="634">
        <v>2.5516860197403446</v>
      </c>
      <c r="Q111" s="634">
        <v>3.3989487262393112</v>
      </c>
      <c r="R111" s="634">
        <v>4.3097128629450339</v>
      </c>
      <c r="S111" s="634">
        <v>0.67537277188422706</v>
      </c>
      <c r="T111" s="634">
        <v>-3.4692275078055417</v>
      </c>
      <c r="U111" s="634">
        <v>6.9425417306259192</v>
      </c>
      <c r="V111" s="634">
        <v>1.8067719800806543</v>
      </c>
      <c r="W111" s="634">
        <v>2.854218001065874</v>
      </c>
      <c r="X111" s="634">
        <v>-0.44249112634327048</v>
      </c>
    </row>
    <row r="112" spans="1:24" ht="16">
      <c r="A112" s="634" t="s">
        <v>387</v>
      </c>
      <c r="B112" s="635" t="s">
        <v>388</v>
      </c>
      <c r="C112" s="634" t="s">
        <v>605</v>
      </c>
      <c r="D112" s="635" t="s">
        <v>606</v>
      </c>
      <c r="E112" s="634">
        <v>2.6857793101634542</v>
      </c>
      <c r="F112" s="634">
        <v>1.5495150008321303</v>
      </c>
      <c r="G112" s="634">
        <v>9.3106225264114357</v>
      </c>
      <c r="H112" s="634">
        <v>9.0691282678908181</v>
      </c>
      <c r="I112" s="634">
        <v>10.232155577776012</v>
      </c>
      <c r="J112" s="634">
        <v>7.975135558449324</v>
      </c>
      <c r="K112" s="634">
        <v>0.86733987855276951</v>
      </c>
      <c r="L112" s="634">
        <v>2.5647913368003827</v>
      </c>
      <c r="M112" s="634">
        <v>3.8278734986016048</v>
      </c>
      <c r="N112" s="634">
        <v>2.4840601050074298</v>
      </c>
      <c r="O112" s="634">
        <v>0.46232079259758052</v>
      </c>
      <c r="P112" s="634">
        <v>1.5545494085694287</v>
      </c>
      <c r="Q112" s="634">
        <v>0.9030284640738131</v>
      </c>
      <c r="R112" s="634">
        <v>-1.8847057563165066</v>
      </c>
      <c r="S112" s="634">
        <v>-6.9149247285102575</v>
      </c>
      <c r="T112" s="634">
        <v>-21.399899691432125</v>
      </c>
      <c r="U112" s="634">
        <v>-7.0012386251411556</v>
      </c>
      <c r="V112" s="634">
        <v>-0.62167897066311184</v>
      </c>
      <c r="W112" s="634">
        <v>-0.76058447025731368</v>
      </c>
      <c r="X112" s="634" t="s">
        <v>1705</v>
      </c>
    </row>
    <row r="113" spans="1:24" ht="16">
      <c r="A113" s="634" t="s">
        <v>387</v>
      </c>
      <c r="B113" s="635" t="s">
        <v>388</v>
      </c>
      <c r="C113" s="634" t="s">
        <v>607</v>
      </c>
      <c r="D113" s="635" t="s">
        <v>608</v>
      </c>
      <c r="E113" s="634">
        <v>3.4661222275531145</v>
      </c>
      <c r="F113" s="634">
        <v>4.2300952280520931</v>
      </c>
      <c r="G113" s="634">
        <v>4.1879140995715147</v>
      </c>
      <c r="H113" s="634">
        <v>5.5234196697864633</v>
      </c>
      <c r="I113" s="634">
        <v>-1.2537577992083158</v>
      </c>
      <c r="J113" s="634">
        <v>5.269670780562862</v>
      </c>
      <c r="K113" s="634">
        <v>4.616413945287519</v>
      </c>
      <c r="L113" s="634">
        <v>6.3340837467944766</v>
      </c>
      <c r="M113" s="634">
        <v>1.7925255557554465</v>
      </c>
      <c r="N113" s="634">
        <v>1.710549905454755</v>
      </c>
      <c r="O113" s="634">
        <v>3.1240667804454603</v>
      </c>
      <c r="P113" s="634">
        <v>3.6089073168771364</v>
      </c>
      <c r="Q113" s="634">
        <v>-3.1381749373347105</v>
      </c>
      <c r="R113" s="634">
        <v>-1.4806331584824051</v>
      </c>
      <c r="S113" s="634">
        <v>-1.4179938308520548</v>
      </c>
      <c r="T113" s="634">
        <v>-8.1559587991426667</v>
      </c>
      <c r="U113" s="634">
        <v>2.266710670065379</v>
      </c>
      <c r="V113" s="634">
        <v>2.3877802018628387</v>
      </c>
      <c r="W113" s="634">
        <v>1.8266252585236344</v>
      </c>
      <c r="X113" s="634">
        <v>2.7622381853268791</v>
      </c>
    </row>
    <row r="114" spans="1:24" ht="16">
      <c r="A114" s="634" t="s">
        <v>387</v>
      </c>
      <c r="B114" s="635" t="s">
        <v>388</v>
      </c>
      <c r="C114" s="634" t="s">
        <v>609</v>
      </c>
      <c r="D114" s="635" t="s">
        <v>610</v>
      </c>
      <c r="E114" s="634">
        <v>5.2812124530929481</v>
      </c>
      <c r="F114" s="634">
        <v>8.0439099719005895</v>
      </c>
      <c r="G114" s="634">
        <v>9.5352753628228157</v>
      </c>
      <c r="H114" s="634">
        <v>7.1456911281147626</v>
      </c>
      <c r="I114" s="634">
        <v>5.300540502915311</v>
      </c>
      <c r="J114" s="634">
        <v>6.0998252400414685</v>
      </c>
      <c r="K114" s="634">
        <v>8.2007682249706448</v>
      </c>
      <c r="L114" s="634">
        <v>7.9938144455536673</v>
      </c>
      <c r="M114" s="634">
        <v>8.6872878163968323</v>
      </c>
      <c r="N114" s="634">
        <v>0.70139310028751822</v>
      </c>
      <c r="O114" s="634">
        <v>-1.8564969559093925E-2</v>
      </c>
      <c r="P114" s="634">
        <v>-1.5549586174877987</v>
      </c>
      <c r="Q114" s="634">
        <v>2.4551559201223938</v>
      </c>
      <c r="R114" s="634">
        <v>1.1575751220735526</v>
      </c>
      <c r="S114" s="634">
        <v>-2.4672976353268581</v>
      </c>
      <c r="T114" s="634">
        <v>-2.9824912764947271</v>
      </c>
      <c r="U114" s="634">
        <v>4.9867128348161742</v>
      </c>
      <c r="V114" s="634">
        <v>4.8081051729065507</v>
      </c>
      <c r="W114" s="634">
        <v>4.6837568876131144</v>
      </c>
      <c r="X114" s="634">
        <v>4.7929148215681181</v>
      </c>
    </row>
    <row r="115" spans="1:24" ht="16">
      <c r="A115" s="634" t="s">
        <v>387</v>
      </c>
      <c r="B115" s="635" t="s">
        <v>388</v>
      </c>
      <c r="C115" s="634" t="s">
        <v>611</v>
      </c>
      <c r="D115" s="635" t="s">
        <v>612</v>
      </c>
      <c r="E115" s="634">
        <v>11.870756522615096</v>
      </c>
      <c r="F115" s="634">
        <v>6.5005254195927904</v>
      </c>
      <c r="G115" s="634">
        <v>6.2299827856183754</v>
      </c>
      <c r="H115" s="634">
        <v>-0.16204823879988339</v>
      </c>
      <c r="I115" s="634">
        <v>-4.400181763102097</v>
      </c>
      <c r="J115" s="634">
        <v>5.0272476723774986</v>
      </c>
      <c r="K115" s="634">
        <v>-50.338515138498622</v>
      </c>
      <c r="L115" s="634">
        <v>86.826748439578438</v>
      </c>
      <c r="M115" s="634">
        <v>-17.997961574568123</v>
      </c>
      <c r="N115" s="634">
        <v>-23.042805828221503</v>
      </c>
      <c r="O115" s="634">
        <v>-0.84265625211884299</v>
      </c>
      <c r="P115" s="634">
        <v>-1.4909411172621958</v>
      </c>
      <c r="Q115" s="634">
        <v>32.491802186268757</v>
      </c>
      <c r="R115" s="634">
        <v>7.9413678529104033</v>
      </c>
      <c r="S115" s="634">
        <v>-11.196082885338583</v>
      </c>
      <c r="T115" s="634">
        <v>-29.455296728282377</v>
      </c>
      <c r="U115" s="634">
        <v>28.333462462229818</v>
      </c>
      <c r="V115" s="634">
        <v>-8.2516300410528771</v>
      </c>
      <c r="W115" s="634">
        <v>10.155818177032614</v>
      </c>
      <c r="X115" s="634">
        <v>-0.60583252691061773</v>
      </c>
    </row>
    <row r="116" spans="1:24" ht="16">
      <c r="A116" s="634" t="s">
        <v>387</v>
      </c>
      <c r="B116" s="635" t="s">
        <v>388</v>
      </c>
      <c r="C116" s="634" t="s">
        <v>613</v>
      </c>
      <c r="D116" s="635" t="s">
        <v>614</v>
      </c>
      <c r="E116" s="634">
        <v>4.8280767774352427</v>
      </c>
      <c r="F116" s="634">
        <v>8.6449685726728092</v>
      </c>
      <c r="G116" s="634">
        <v>3.3259635093690036</v>
      </c>
      <c r="H116" s="634">
        <v>1.7980884783641073</v>
      </c>
      <c r="I116" s="634">
        <v>-1.1574829197563616</v>
      </c>
      <c r="J116" s="634" t="s">
        <v>1705</v>
      </c>
      <c r="K116" s="634" t="s">
        <v>1705</v>
      </c>
      <c r="L116" s="634" t="s">
        <v>1705</v>
      </c>
      <c r="M116" s="634" t="s">
        <v>1705</v>
      </c>
      <c r="N116" s="634" t="s">
        <v>1705</v>
      </c>
      <c r="O116" s="634" t="s">
        <v>1705</v>
      </c>
      <c r="P116" s="634" t="s">
        <v>1705</v>
      </c>
      <c r="Q116" s="634" t="s">
        <v>1705</v>
      </c>
      <c r="R116" s="634" t="s">
        <v>1705</v>
      </c>
      <c r="S116" s="634" t="s">
        <v>1705</v>
      </c>
      <c r="T116" s="634" t="s">
        <v>1705</v>
      </c>
      <c r="U116" s="634" t="s">
        <v>1705</v>
      </c>
      <c r="V116" s="634" t="s">
        <v>1705</v>
      </c>
      <c r="W116" s="634" t="s">
        <v>1705</v>
      </c>
      <c r="X116" s="634" t="s">
        <v>1705</v>
      </c>
    </row>
    <row r="117" spans="1:24" ht="16">
      <c r="A117" s="634" t="s">
        <v>387</v>
      </c>
      <c r="B117" s="635" t="s">
        <v>388</v>
      </c>
      <c r="C117" s="634" t="s">
        <v>615</v>
      </c>
      <c r="D117" s="635" t="s">
        <v>616</v>
      </c>
      <c r="E117" s="634">
        <v>7.7314467577491968</v>
      </c>
      <c r="F117" s="634">
        <v>7.3954812246862929</v>
      </c>
      <c r="G117" s="634">
        <v>11.077928257867313</v>
      </c>
      <c r="H117" s="634">
        <v>2.5994615460560198</v>
      </c>
      <c r="I117" s="634">
        <v>-14.838611789484759</v>
      </c>
      <c r="J117" s="634">
        <v>0.42719956655076885</v>
      </c>
      <c r="K117" s="634">
        <v>6.3236366482129824</v>
      </c>
      <c r="L117" s="634">
        <v>4.3829058435515691</v>
      </c>
      <c r="M117" s="634">
        <v>4.0469131857532545</v>
      </c>
      <c r="N117" s="634">
        <v>3.7725437958098951</v>
      </c>
      <c r="O117" s="634">
        <v>2.8328064334323386</v>
      </c>
      <c r="P117" s="634">
        <v>2.6719221505332911</v>
      </c>
      <c r="Q117" s="634">
        <v>4.6122431031280939</v>
      </c>
      <c r="R117" s="634">
        <v>4.9183678010681149</v>
      </c>
      <c r="S117" s="634">
        <v>4.6773518353045063</v>
      </c>
      <c r="T117" s="634">
        <v>4.2815833698142569E-2</v>
      </c>
      <c r="U117" s="634">
        <v>6.3800160617987274</v>
      </c>
      <c r="V117" s="634">
        <v>2.5375257401153419</v>
      </c>
      <c r="W117" s="634">
        <v>0.34226271627726135</v>
      </c>
      <c r="X117" s="634">
        <v>2.772631245302847</v>
      </c>
    </row>
    <row r="118" spans="1:24" ht="16">
      <c r="A118" s="634" t="s">
        <v>387</v>
      </c>
      <c r="B118" s="635" t="s">
        <v>388</v>
      </c>
      <c r="C118" s="634" t="s">
        <v>617</v>
      </c>
      <c r="D118" s="635" t="s">
        <v>618</v>
      </c>
      <c r="E118" s="634">
        <v>2.4828749846838747</v>
      </c>
      <c r="F118" s="634">
        <v>6.0167154014547037</v>
      </c>
      <c r="G118" s="634">
        <v>8.098667230480828</v>
      </c>
      <c r="H118" s="634">
        <v>-0.30017562493684125</v>
      </c>
      <c r="I118" s="634">
        <v>-3.2389540914749233</v>
      </c>
      <c r="J118" s="634">
        <v>3.7604145432002838</v>
      </c>
      <c r="K118" s="634">
        <v>1.0442985532332472</v>
      </c>
      <c r="L118" s="634">
        <v>1.6499021276455323</v>
      </c>
      <c r="M118" s="634">
        <v>3.1717898996868286</v>
      </c>
      <c r="N118" s="634">
        <v>2.6230867915488147</v>
      </c>
      <c r="O118" s="634">
        <v>2.2697842330283464</v>
      </c>
      <c r="P118" s="634">
        <v>4.9781901152011585</v>
      </c>
      <c r="Q118" s="634">
        <v>1.3171871375428452</v>
      </c>
      <c r="R118" s="634">
        <v>1.6112956133816851</v>
      </c>
      <c r="S118" s="634">
        <v>2.7493192907265893</v>
      </c>
      <c r="T118" s="634">
        <v>-0.51005163403982579</v>
      </c>
      <c r="U118" s="634">
        <v>6.929734258423295</v>
      </c>
      <c r="V118" s="634">
        <v>-1.0950535116083557</v>
      </c>
      <c r="W118" s="634">
        <v>-0.69363272769231799</v>
      </c>
      <c r="X118" s="634">
        <v>1.0316167134892424</v>
      </c>
    </row>
    <row r="119" spans="1:24" ht="16">
      <c r="A119" s="634" t="s">
        <v>387</v>
      </c>
      <c r="B119" s="635" t="s">
        <v>388</v>
      </c>
      <c r="C119" s="634" t="s">
        <v>619</v>
      </c>
      <c r="D119" s="635" t="s">
        <v>620</v>
      </c>
      <c r="E119" s="634">
        <v>8.0752313059305294</v>
      </c>
      <c r="F119" s="634">
        <v>13.39059327663476</v>
      </c>
      <c r="G119" s="634">
        <v>14.476496167270383</v>
      </c>
      <c r="H119" s="634">
        <v>3.3912965131993786</v>
      </c>
      <c r="I119" s="634">
        <v>1.2743782351813451</v>
      </c>
      <c r="J119" s="634">
        <v>25.122788177916377</v>
      </c>
      <c r="K119" s="634">
        <v>21.61646948145011</v>
      </c>
      <c r="L119" s="634">
        <v>9.2421445955360042</v>
      </c>
      <c r="M119" s="634">
        <v>10.752892994904514</v>
      </c>
      <c r="N119" s="634">
        <v>-2.0483781414104385</v>
      </c>
      <c r="O119" s="634">
        <v>-21.514293239482853</v>
      </c>
      <c r="P119" s="634">
        <v>-0.67918361788686354</v>
      </c>
      <c r="Q119" s="634">
        <v>9.8600515135786253</v>
      </c>
      <c r="R119" s="634">
        <v>6.4052791570464507</v>
      </c>
      <c r="S119" s="634">
        <v>-2.5634151500998001</v>
      </c>
      <c r="T119" s="634">
        <v>-54.336106274585674</v>
      </c>
      <c r="U119" s="634">
        <v>23.5358913163209</v>
      </c>
      <c r="V119" s="634">
        <v>-19.609344932572753</v>
      </c>
      <c r="W119" s="634">
        <v>75.061857136085706</v>
      </c>
      <c r="X119" s="634">
        <v>8.8081596846163848</v>
      </c>
    </row>
    <row r="120" spans="1:24" ht="16">
      <c r="A120" s="634" t="s">
        <v>387</v>
      </c>
      <c r="B120" s="635" t="s">
        <v>388</v>
      </c>
      <c r="C120" s="634" t="s">
        <v>621</v>
      </c>
      <c r="D120" s="635" t="s">
        <v>622</v>
      </c>
      <c r="E120" s="634">
        <v>4.7558450949911872</v>
      </c>
      <c r="F120" s="634">
        <v>5.398508448536802</v>
      </c>
      <c r="G120" s="634">
        <v>5.7105641988505198</v>
      </c>
      <c r="H120" s="634">
        <v>6.7126325391300128</v>
      </c>
      <c r="I120" s="634">
        <v>-3.9787086116543975</v>
      </c>
      <c r="J120" s="634">
        <v>0.61923974462212072</v>
      </c>
      <c r="K120" s="634">
        <v>1.5784270536655498</v>
      </c>
      <c r="L120" s="634">
        <v>3.0111481162120839</v>
      </c>
      <c r="M120" s="634">
        <v>2.3003762280072664</v>
      </c>
      <c r="N120" s="634">
        <v>3.3392031119536654</v>
      </c>
      <c r="O120" s="634">
        <v>3.1322980749030478</v>
      </c>
      <c r="P120" s="634">
        <v>3.9931460619949917</v>
      </c>
      <c r="Q120" s="634">
        <v>3.9333075946279337</v>
      </c>
      <c r="R120" s="634">
        <v>3.1943565174439783</v>
      </c>
      <c r="S120" s="634">
        <v>4.4112321290958931</v>
      </c>
      <c r="T120" s="634">
        <v>-7.1376716206448947</v>
      </c>
      <c r="U120" s="634">
        <v>4.6506834319399246</v>
      </c>
      <c r="V120" s="634">
        <v>4.1560977838081214</v>
      </c>
      <c r="W120" s="634">
        <v>4.2030461580397684</v>
      </c>
      <c r="X120" s="634">
        <v>4.1999999999822393</v>
      </c>
    </row>
    <row r="121" spans="1:24" ht="16">
      <c r="A121" s="634" t="s">
        <v>387</v>
      </c>
      <c r="B121" s="635" t="s">
        <v>388</v>
      </c>
      <c r="C121" s="634" t="s">
        <v>623</v>
      </c>
      <c r="D121" s="635" t="s">
        <v>624</v>
      </c>
      <c r="E121" s="634">
        <v>3.2687260231706574</v>
      </c>
      <c r="F121" s="634">
        <v>4.6999997640469076</v>
      </c>
      <c r="G121" s="634">
        <v>9.599999876834687</v>
      </c>
      <c r="H121" s="634">
        <v>7.6397363994459084</v>
      </c>
      <c r="I121" s="634">
        <v>8.3281098524037986</v>
      </c>
      <c r="J121" s="634">
        <v>6.8740658541614152</v>
      </c>
      <c r="K121" s="634">
        <v>4.9326699981372855</v>
      </c>
      <c r="L121" s="634">
        <v>1.9000000007290936</v>
      </c>
      <c r="M121" s="634">
        <v>5.4103499981716681</v>
      </c>
      <c r="N121" s="634">
        <v>5.6252700010513905</v>
      </c>
      <c r="O121" s="634">
        <v>2.800000000033549</v>
      </c>
      <c r="P121" s="634">
        <v>2.4999999991431139</v>
      </c>
      <c r="Q121" s="634">
        <v>4.0000000008917169</v>
      </c>
      <c r="R121" s="634">
        <v>4.3535647161921105</v>
      </c>
      <c r="S121" s="634">
        <v>5.7168251919433715</v>
      </c>
      <c r="T121" s="634">
        <v>0.79359642978728573</v>
      </c>
      <c r="U121" s="634">
        <v>4.5582921201608286</v>
      </c>
      <c r="V121" s="634">
        <v>0.92111506900593554</v>
      </c>
      <c r="W121" s="634">
        <v>1.8924579875638301</v>
      </c>
      <c r="X121" s="634">
        <v>1.8268500001019419</v>
      </c>
    </row>
    <row r="122" spans="1:24" ht="16">
      <c r="A122" s="634" t="s">
        <v>387</v>
      </c>
      <c r="B122" s="635" t="s">
        <v>388</v>
      </c>
      <c r="C122" s="634" t="s">
        <v>257</v>
      </c>
      <c r="D122" s="635" t="s">
        <v>625</v>
      </c>
      <c r="E122" s="634">
        <v>5.3321391614148581</v>
      </c>
      <c r="F122" s="634">
        <v>5.5848470671515003</v>
      </c>
      <c r="G122" s="634">
        <v>6.2987859274094689</v>
      </c>
      <c r="H122" s="634">
        <v>4.8317698891309675</v>
      </c>
      <c r="I122" s="634">
        <v>-1.5135287159871353</v>
      </c>
      <c r="J122" s="634">
        <v>7.4248473832609676</v>
      </c>
      <c r="K122" s="634">
        <v>5.2939128341400306</v>
      </c>
      <c r="L122" s="634">
        <v>5.4734541925385258</v>
      </c>
      <c r="M122" s="634">
        <v>4.6937225255789343</v>
      </c>
      <c r="N122" s="634">
        <v>6.0067219455820293</v>
      </c>
      <c r="O122" s="634">
        <v>5.091532421550113</v>
      </c>
      <c r="P122" s="634">
        <v>4.4497813976154106</v>
      </c>
      <c r="Q122" s="634">
        <v>5.8127224098332846</v>
      </c>
      <c r="R122" s="634">
        <v>4.8430869763488147</v>
      </c>
      <c r="S122" s="634">
        <v>4.4131874212958593</v>
      </c>
      <c r="T122" s="634">
        <v>-5.4568465842670122</v>
      </c>
      <c r="U122" s="634">
        <v>3.3153495439916583</v>
      </c>
      <c r="V122" s="634">
        <v>8.8618218757804641</v>
      </c>
      <c r="W122" s="634">
        <v>3.5554871541050943</v>
      </c>
      <c r="X122" s="634">
        <v>5.1141554782909111</v>
      </c>
    </row>
    <row r="123" spans="1:24" ht="16">
      <c r="A123" s="634" t="s">
        <v>387</v>
      </c>
      <c r="B123" s="635" t="s">
        <v>388</v>
      </c>
      <c r="C123" s="634" t="s">
        <v>626</v>
      </c>
      <c r="D123" s="635" t="s">
        <v>627</v>
      </c>
      <c r="E123" s="634">
        <v>-11.177309772038384</v>
      </c>
      <c r="F123" s="634">
        <v>23.630272098124294</v>
      </c>
      <c r="G123" s="634">
        <v>7.1333802337135666</v>
      </c>
      <c r="H123" s="634">
        <v>8.9764546052698506</v>
      </c>
      <c r="I123" s="634">
        <v>-8.3406987604298024</v>
      </c>
      <c r="J123" s="634">
        <v>6.7854679094087089</v>
      </c>
      <c r="K123" s="634">
        <v>8.8434259452278212</v>
      </c>
      <c r="L123" s="634">
        <v>2.3892881255925431</v>
      </c>
      <c r="M123" s="634">
        <v>6.9749622683046368</v>
      </c>
      <c r="N123" s="634">
        <v>7.8606863718052153</v>
      </c>
      <c r="O123" s="634">
        <v>3.8681353357138022</v>
      </c>
      <c r="P123" s="634">
        <v>6.3752830306640078</v>
      </c>
      <c r="Q123" s="634">
        <v>7.0744287170630571</v>
      </c>
      <c r="R123" s="634">
        <v>8.5689555970945435</v>
      </c>
      <c r="S123" s="634">
        <v>6.9230598083256609</v>
      </c>
      <c r="T123" s="634">
        <v>-32.908828728442501</v>
      </c>
      <c r="U123" s="634">
        <v>37.507870004707485</v>
      </c>
      <c r="V123" s="634">
        <v>13.826089530681358</v>
      </c>
      <c r="W123" s="634">
        <v>4.7263919504302123</v>
      </c>
      <c r="X123" s="634">
        <v>5.1339622308209272</v>
      </c>
    </row>
    <row r="124" spans="1:24" ht="16">
      <c r="A124" s="634" t="s">
        <v>387</v>
      </c>
      <c r="B124" s="635" t="s">
        <v>388</v>
      </c>
      <c r="C124" s="634" t="s">
        <v>628</v>
      </c>
      <c r="D124" s="635" t="s">
        <v>629</v>
      </c>
      <c r="E124" s="634">
        <v>7.5046846350018654</v>
      </c>
      <c r="F124" s="634">
        <v>6.6542611217275152</v>
      </c>
      <c r="G124" s="634">
        <v>3.8750281631275243</v>
      </c>
      <c r="H124" s="634">
        <v>6.5373539517570123</v>
      </c>
      <c r="I124" s="634">
        <v>4.6335098478097621</v>
      </c>
      <c r="J124" s="634">
        <v>6.9217218856117313</v>
      </c>
      <c r="K124" s="634">
        <v>4.0191352545648726</v>
      </c>
      <c r="L124" s="634">
        <v>-0.57058858890134445</v>
      </c>
      <c r="M124" s="634">
        <v>2.3821259541026052</v>
      </c>
      <c r="N124" s="634">
        <v>7.6025346897140338</v>
      </c>
      <c r="O124" s="634">
        <v>5.9747161012107881</v>
      </c>
      <c r="P124" s="634">
        <v>6.0050630855949834</v>
      </c>
      <c r="Q124" s="634">
        <v>5.3755476964793871</v>
      </c>
      <c r="R124" s="634">
        <v>4.867849999352643</v>
      </c>
      <c r="S124" s="634">
        <v>4.9999991169970457</v>
      </c>
      <c r="T124" s="634">
        <v>-1.1690750095271341</v>
      </c>
      <c r="U124" s="634">
        <v>3.1009412441844972</v>
      </c>
      <c r="V124" s="634">
        <v>3.5082827896139008</v>
      </c>
      <c r="W124" s="634">
        <v>4.7171610398950321</v>
      </c>
      <c r="X124" s="634">
        <v>5.0045459374303647</v>
      </c>
    </row>
    <row r="125" spans="1:24" ht="16">
      <c r="A125" s="634" t="s">
        <v>387</v>
      </c>
      <c r="B125" s="635" t="s">
        <v>388</v>
      </c>
      <c r="C125" s="634" t="s">
        <v>630</v>
      </c>
      <c r="D125" s="635" t="s">
        <v>631</v>
      </c>
      <c r="E125" s="634">
        <v>2.8806712728293604</v>
      </c>
      <c r="F125" s="634">
        <v>2.3361227336122852</v>
      </c>
      <c r="G125" s="634">
        <v>5.0366639508184505</v>
      </c>
      <c r="H125" s="634">
        <v>4.4101262252309397</v>
      </c>
      <c r="I125" s="634">
        <v>-1.3953425545710019</v>
      </c>
      <c r="J125" s="634">
        <v>6.1973451691118981</v>
      </c>
      <c r="K125" s="634">
        <v>0.99196367529637541</v>
      </c>
      <c r="L125" s="634">
        <v>4.1025903029683803</v>
      </c>
      <c r="M125" s="634">
        <v>6.2917157440125777</v>
      </c>
      <c r="N125" s="634">
        <v>7.6311293748268554</v>
      </c>
      <c r="O125" s="634">
        <v>9.6210975622834809</v>
      </c>
      <c r="P125" s="634">
        <v>4.0777192948128373</v>
      </c>
      <c r="Q125" s="634">
        <v>12.972119343497951</v>
      </c>
      <c r="R125" s="634">
        <v>7.1890965369190098</v>
      </c>
      <c r="S125" s="634">
        <v>4.0847060284733914</v>
      </c>
      <c r="T125" s="634">
        <v>-3.3583425315473932</v>
      </c>
      <c r="U125" s="634">
        <v>13.299789320965274</v>
      </c>
      <c r="V125" s="634">
        <v>4.2693185301229306</v>
      </c>
      <c r="W125" s="634">
        <v>6.7963131111880415</v>
      </c>
      <c r="X125" s="634">
        <v>5.9692819612568542</v>
      </c>
    </row>
    <row r="126" spans="1:24" ht="16">
      <c r="A126" s="634" t="s">
        <v>387</v>
      </c>
      <c r="B126" s="635" t="s">
        <v>388</v>
      </c>
      <c r="C126" s="634" t="s">
        <v>632</v>
      </c>
      <c r="D126" s="635" t="s">
        <v>633</v>
      </c>
      <c r="E126" s="634">
        <v>1.7910447761194064</v>
      </c>
      <c r="F126" s="634">
        <v>0.17595307917888192</v>
      </c>
      <c r="G126" s="634">
        <v>3.6885245901639365</v>
      </c>
      <c r="H126" s="634">
        <v>-7.5663466967814799</v>
      </c>
      <c r="I126" s="634">
        <v>3.6652412950519278</v>
      </c>
      <c r="J126" s="634">
        <v>5.5391868002357114</v>
      </c>
      <c r="K126" s="634">
        <v>-0.50251256281407564</v>
      </c>
      <c r="L126" s="634">
        <v>-1.2906846240179561</v>
      </c>
      <c r="M126" s="634">
        <v>3.8089823763501869</v>
      </c>
      <c r="N126" s="634">
        <v>-1.2595837897042657</v>
      </c>
      <c r="O126" s="634">
        <v>1.8857459789240067</v>
      </c>
      <c r="P126" s="634">
        <v>2.5040827436037034</v>
      </c>
      <c r="Q126" s="634">
        <v>3.5581518852894334</v>
      </c>
      <c r="R126" s="634">
        <v>5.487179487179489</v>
      </c>
      <c r="S126" s="634">
        <v>10.452114730189592</v>
      </c>
      <c r="T126" s="634">
        <v>-2.7728873239436638</v>
      </c>
      <c r="U126" s="634">
        <v>1.22227252150293</v>
      </c>
      <c r="V126" s="634">
        <v>-1.1180679785331051</v>
      </c>
      <c r="W126" s="634">
        <v>-3.9348710990502127</v>
      </c>
      <c r="X126" s="634">
        <v>2.7709680223196926</v>
      </c>
    </row>
    <row r="127" spans="1:24" ht="16">
      <c r="A127" s="634" t="s">
        <v>387</v>
      </c>
      <c r="B127" s="635" t="s">
        <v>388</v>
      </c>
      <c r="C127" s="634" t="s">
        <v>634</v>
      </c>
      <c r="D127" s="635" t="s">
        <v>635</v>
      </c>
      <c r="E127" s="634">
        <v>8.5662873200941902</v>
      </c>
      <c r="F127" s="634">
        <v>18.333198693234507</v>
      </c>
      <c r="G127" s="634">
        <v>-1.9694227498840888</v>
      </c>
      <c r="H127" s="634">
        <v>-0.33107922343080531</v>
      </c>
      <c r="I127" s="634">
        <v>9.7875914332007596E-2</v>
      </c>
      <c r="J127" s="634">
        <v>2.6202294810454276</v>
      </c>
      <c r="K127" s="634">
        <v>4.172783278153986</v>
      </c>
      <c r="L127" s="634">
        <v>4.4700131917047941</v>
      </c>
      <c r="M127" s="634">
        <v>4.1508131898954019</v>
      </c>
      <c r="N127" s="634">
        <v>4.2748232881445745</v>
      </c>
      <c r="O127" s="634">
        <v>5.3763392409925075</v>
      </c>
      <c r="P127" s="634">
        <v>1.2609092306722545</v>
      </c>
      <c r="Q127" s="634">
        <v>6.2705456693767729</v>
      </c>
      <c r="R127" s="634">
        <v>4.7721736569262134</v>
      </c>
      <c r="S127" s="634">
        <v>3.1410048930696917</v>
      </c>
      <c r="T127" s="634">
        <v>-0.36065738415106807</v>
      </c>
      <c r="U127" s="634">
        <v>0.74271539513826212</v>
      </c>
      <c r="V127" s="634">
        <v>6.7960051018228569</v>
      </c>
      <c r="W127" s="634">
        <v>6.5071871985859389</v>
      </c>
      <c r="X127" s="634">
        <v>5.2000000000000028</v>
      </c>
    </row>
    <row r="128" spans="1:24" ht="16">
      <c r="A128" s="634" t="s">
        <v>387</v>
      </c>
      <c r="B128" s="635" t="s">
        <v>388</v>
      </c>
      <c r="C128" s="634" t="s">
        <v>636</v>
      </c>
      <c r="D128" s="635" t="s">
        <v>637</v>
      </c>
      <c r="E128" s="634">
        <v>1.7775430203445381</v>
      </c>
      <c r="F128" s="634">
        <v>4.8655446077552966</v>
      </c>
      <c r="G128" s="634">
        <v>5.7270161598166851</v>
      </c>
      <c r="H128" s="634">
        <v>5.38696254207251</v>
      </c>
      <c r="I128" s="634">
        <v>3.3150769979078092</v>
      </c>
      <c r="J128" s="634">
        <v>4.3772032234429332</v>
      </c>
      <c r="K128" s="634">
        <v>4.0775380661033296</v>
      </c>
      <c r="L128" s="634">
        <v>3.4961183647086642</v>
      </c>
      <c r="M128" s="634">
        <v>3.3604060997413256</v>
      </c>
      <c r="N128" s="634">
        <v>3.8269698200933675</v>
      </c>
      <c r="O128" s="634">
        <v>3.6905569036943291</v>
      </c>
      <c r="P128" s="634">
        <v>3.8624682634000038</v>
      </c>
      <c r="Q128" s="634">
        <v>3.9379838063235297</v>
      </c>
      <c r="R128" s="634">
        <v>4.0067405719854889</v>
      </c>
      <c r="S128" s="634">
        <v>2.8912849934651632</v>
      </c>
      <c r="T128" s="634">
        <v>-14.54653814901657</v>
      </c>
      <c r="U128" s="634">
        <v>3.4037986617766194</v>
      </c>
      <c r="V128" s="634">
        <v>8.6930667526406609</v>
      </c>
      <c r="W128" s="634">
        <v>5.0078138175562117</v>
      </c>
      <c r="X128" s="634">
        <v>4.6939031839850429</v>
      </c>
    </row>
    <row r="129" spans="1:24" ht="16">
      <c r="A129" s="634" t="s">
        <v>387</v>
      </c>
      <c r="B129" s="635" t="s">
        <v>388</v>
      </c>
      <c r="C129" s="634" t="s">
        <v>638</v>
      </c>
      <c r="D129" s="635" t="s">
        <v>639</v>
      </c>
      <c r="E129" s="634">
        <v>2.113247114732971</v>
      </c>
      <c r="F129" s="634">
        <v>4.8050135166490122</v>
      </c>
      <c r="G129" s="634">
        <v>2.0778639395329037</v>
      </c>
      <c r="H129" s="634">
        <v>0.94333187291293541</v>
      </c>
      <c r="I129" s="634">
        <v>-6.295250566972868</v>
      </c>
      <c r="J129" s="634">
        <v>4.9713345779989879</v>
      </c>
      <c r="K129" s="634">
        <v>3.4440450630887369</v>
      </c>
      <c r="L129" s="634">
        <v>3.5532107551275516</v>
      </c>
      <c r="M129" s="634">
        <v>0.85210155016470424</v>
      </c>
      <c r="N129" s="634">
        <v>2.5037634986289135</v>
      </c>
      <c r="O129" s="634">
        <v>2.7023234484472312</v>
      </c>
      <c r="P129" s="634">
        <v>1.7724932340035764</v>
      </c>
      <c r="Q129" s="634">
        <v>1.8717285418653944</v>
      </c>
      <c r="R129" s="634">
        <v>1.9720820770188396</v>
      </c>
      <c r="S129" s="634">
        <v>-0.39269050509929571</v>
      </c>
      <c r="T129" s="634">
        <v>-8.3540345657636408</v>
      </c>
      <c r="U129" s="634">
        <v>6.0484834570463164</v>
      </c>
      <c r="V129" s="634">
        <v>3.7109889311718263</v>
      </c>
      <c r="W129" s="634">
        <v>3.2953909570288005</v>
      </c>
      <c r="X129" s="634">
        <v>1.4540624784798979</v>
      </c>
    </row>
    <row r="130" spans="1:24" ht="16">
      <c r="A130" s="634" t="s">
        <v>387</v>
      </c>
      <c r="B130" s="635" t="s">
        <v>388</v>
      </c>
      <c r="C130" s="634" t="s">
        <v>640</v>
      </c>
      <c r="D130" s="635" t="s">
        <v>641</v>
      </c>
      <c r="E130" s="634">
        <v>2.0418671639554447</v>
      </c>
      <c r="F130" s="634">
        <v>-8.105529341648321E-2</v>
      </c>
      <c r="G130" s="634">
        <v>-1.8361852940239771</v>
      </c>
      <c r="H130" s="634">
        <v>-2.40849258666222</v>
      </c>
      <c r="I130" s="634">
        <v>1.0930992410524567</v>
      </c>
      <c r="J130" s="634">
        <v>2.2593899558593193</v>
      </c>
      <c r="K130" s="634">
        <v>3.1885747547392782</v>
      </c>
      <c r="L130" s="634">
        <v>-1.8668197547554399</v>
      </c>
      <c r="M130" s="634">
        <v>-3.6797677907348287</v>
      </c>
      <c r="N130" s="634">
        <v>-2.3057757452932464</v>
      </c>
      <c r="O130" s="634">
        <v>4.6218840040493916</v>
      </c>
      <c r="P130" s="634">
        <v>0.4841018023870447</v>
      </c>
      <c r="Q130" s="634">
        <v>0.82304526748970375</v>
      </c>
      <c r="R130" s="634">
        <v>0</v>
      </c>
      <c r="S130" s="634">
        <v>4.0816326530612344</v>
      </c>
      <c r="T130" s="634">
        <v>-1.672954171455288</v>
      </c>
      <c r="U130" s="634">
        <v>3.0997045729213539</v>
      </c>
      <c r="V130" s="634">
        <v>-2.9058658059566937</v>
      </c>
      <c r="W130" s="634">
        <v>0.48214776245714575</v>
      </c>
      <c r="X130" s="634">
        <v>0.71908351174255358</v>
      </c>
    </row>
    <row r="131" spans="1:24" ht="16">
      <c r="A131" s="634" t="s">
        <v>387</v>
      </c>
      <c r="B131" s="635" t="s">
        <v>388</v>
      </c>
      <c r="C131" s="634" t="s">
        <v>642</v>
      </c>
      <c r="D131" s="635" t="s">
        <v>643</v>
      </c>
      <c r="E131" s="634">
        <v>7.5000001493725961</v>
      </c>
      <c r="F131" s="634">
        <v>4.7999998367083094</v>
      </c>
      <c r="G131" s="634">
        <v>3.0000002258552456</v>
      </c>
      <c r="H131" s="634">
        <v>7.8000001454152255</v>
      </c>
      <c r="I131" s="634">
        <v>-6.0000002635282783</v>
      </c>
      <c r="J131" s="634">
        <v>7.1000001070583636</v>
      </c>
      <c r="K131" s="634">
        <v>5.8181661468482417</v>
      </c>
      <c r="L131" s="634">
        <v>-0.58973395476257906</v>
      </c>
      <c r="M131" s="634">
        <v>9.0438656074180983</v>
      </c>
      <c r="N131" s="634">
        <v>4.9996258540765552</v>
      </c>
      <c r="O131" s="634">
        <v>-0.33823562238720228</v>
      </c>
      <c r="P131" s="634">
        <v>4.6460143625940873</v>
      </c>
      <c r="Q131" s="634">
        <v>4.1756120510627852</v>
      </c>
      <c r="R131" s="634">
        <v>4.0755954658503413</v>
      </c>
      <c r="S131" s="634">
        <v>3.5523140853476036</v>
      </c>
      <c r="T131" s="634">
        <v>-8.2759783197694929</v>
      </c>
      <c r="U131" s="634">
        <v>13.929999788978577</v>
      </c>
      <c r="V131" s="634">
        <v>-4.6000000000000085</v>
      </c>
      <c r="W131" s="634">
        <v>1.2000000000000028</v>
      </c>
      <c r="X131" s="634">
        <v>0.10305941245098893</v>
      </c>
    </row>
    <row r="132" spans="1:24" ht="16">
      <c r="A132" s="634" t="s">
        <v>387</v>
      </c>
      <c r="B132" s="635" t="s">
        <v>388</v>
      </c>
      <c r="C132" s="634" t="s">
        <v>644</v>
      </c>
      <c r="D132" s="635" t="s">
        <v>645</v>
      </c>
      <c r="E132" s="634">
        <v>1.8954141085919787</v>
      </c>
      <c r="F132" s="634">
        <v>5.8176484967000732</v>
      </c>
      <c r="G132" s="634">
        <v>14.437514437514437</v>
      </c>
      <c r="H132" s="634">
        <v>0.74687121517965238</v>
      </c>
      <c r="I132" s="634">
        <v>-11.336986575836505</v>
      </c>
      <c r="J132" s="634">
        <v>2.0652196265409799</v>
      </c>
      <c r="K132" s="634">
        <v>7.0223569461761883</v>
      </c>
      <c r="L132" s="634">
        <v>1.0122184123046054</v>
      </c>
      <c r="M132" s="634">
        <v>9.5770983235481566</v>
      </c>
      <c r="N132" s="634">
        <v>7.1870277753796756</v>
      </c>
      <c r="O132" s="634">
        <v>4.9103717653623562</v>
      </c>
      <c r="P132" s="634">
        <v>3.008443587527438</v>
      </c>
      <c r="Q132" s="634">
        <v>-3.2061832381321267</v>
      </c>
      <c r="R132" s="634">
        <v>5.6979012119292634</v>
      </c>
      <c r="S132" s="634">
        <v>7.120889519753959</v>
      </c>
      <c r="T132" s="634">
        <v>-13.239104829210831</v>
      </c>
      <c r="U132" s="634">
        <v>22.232215585120827</v>
      </c>
      <c r="V132" s="634">
        <v>11.046939427175161</v>
      </c>
      <c r="W132" s="634">
        <v>5.0433825919535877</v>
      </c>
      <c r="X132" s="634" t="s">
        <v>1705</v>
      </c>
    </row>
    <row r="133" spans="1:24" ht="16">
      <c r="A133" s="634" t="s">
        <v>387</v>
      </c>
      <c r="B133" s="635" t="s">
        <v>388</v>
      </c>
      <c r="C133" s="634" t="s">
        <v>646</v>
      </c>
      <c r="D133" s="635" t="s">
        <v>647</v>
      </c>
      <c r="E133" s="634">
        <v>7.2536654379601515</v>
      </c>
      <c r="F133" s="634">
        <v>8.5562348166436522</v>
      </c>
      <c r="G133" s="634">
        <v>10.248016359005746</v>
      </c>
      <c r="H133" s="634">
        <v>8.9003679406755083</v>
      </c>
      <c r="I133" s="634">
        <v>-1.2685989360828245</v>
      </c>
      <c r="J133" s="634">
        <v>6.3651616786310967</v>
      </c>
      <c r="K133" s="634">
        <v>17.290777586955542</v>
      </c>
      <c r="L133" s="634">
        <v>12.319819849403203</v>
      </c>
      <c r="M133" s="634">
        <v>11.648916187892496</v>
      </c>
      <c r="N133" s="634">
        <v>7.8852254820476162</v>
      </c>
      <c r="O133" s="634">
        <v>2.379835807317221</v>
      </c>
      <c r="P133" s="634">
        <v>1.4897844867957701</v>
      </c>
      <c r="Q133" s="634">
        <v>5.6368763869477192</v>
      </c>
      <c r="R133" s="634">
        <v>7.7448806202488072</v>
      </c>
      <c r="S133" s="634">
        <v>5.6022442206425467</v>
      </c>
      <c r="T133" s="634">
        <v>-4.5577519758343072</v>
      </c>
      <c r="U133" s="634">
        <v>1.6367695773666213</v>
      </c>
      <c r="V133" s="634">
        <v>5.0327096366526973</v>
      </c>
      <c r="W133" s="634">
        <v>7.422112761502504</v>
      </c>
      <c r="X133" s="634">
        <v>4.8640014335570498</v>
      </c>
    </row>
    <row r="134" spans="1:24" ht="16">
      <c r="A134" s="634" t="s">
        <v>387</v>
      </c>
      <c r="B134" s="635" t="s">
        <v>388</v>
      </c>
      <c r="C134" s="634" t="s">
        <v>648</v>
      </c>
      <c r="D134" s="635" t="s">
        <v>649</v>
      </c>
      <c r="E134" s="634">
        <v>4.1806045088547563</v>
      </c>
      <c r="F134" s="634">
        <v>8.5664180296420653</v>
      </c>
      <c r="G134" s="634">
        <v>6.8101501252699137</v>
      </c>
      <c r="H134" s="634">
        <v>7.2227525921252607</v>
      </c>
      <c r="I134" s="634">
        <v>-5.795096994772436</v>
      </c>
      <c r="J134" s="634">
        <v>2.7343310823382865</v>
      </c>
      <c r="K134" s="634">
        <v>3.2284510206106063</v>
      </c>
      <c r="L134" s="634">
        <v>-2.723790771306227</v>
      </c>
      <c r="M134" s="634">
        <v>3.5489799124505765</v>
      </c>
      <c r="N134" s="634">
        <v>1.7836985810670143</v>
      </c>
      <c r="O134" s="634">
        <v>3.3903813971207342</v>
      </c>
      <c r="P134" s="634">
        <v>2.949280320975106</v>
      </c>
      <c r="Q134" s="634">
        <v>4.7164652757203385</v>
      </c>
      <c r="R134" s="634">
        <v>5.0778888113380987</v>
      </c>
      <c r="S134" s="634">
        <v>4.0629449916719693</v>
      </c>
      <c r="T134" s="634">
        <v>-15.306893757040655</v>
      </c>
      <c r="U134" s="634">
        <v>13.043464252155232</v>
      </c>
      <c r="V134" s="634">
        <v>6.4066803287927456</v>
      </c>
      <c r="W134" s="634">
        <v>6.3376975424354782</v>
      </c>
      <c r="X134" s="634">
        <v>3.0403157975006536</v>
      </c>
    </row>
    <row r="135" spans="1:24" ht="16">
      <c r="A135" s="634" t="s">
        <v>387</v>
      </c>
      <c r="B135" s="635" t="s">
        <v>388</v>
      </c>
      <c r="C135" s="634" t="s">
        <v>650</v>
      </c>
      <c r="D135" s="635" t="s">
        <v>651</v>
      </c>
      <c r="E135" s="634">
        <v>3.1922497301583093</v>
      </c>
      <c r="F135" s="634">
        <v>7.7908200104026974</v>
      </c>
      <c r="G135" s="634">
        <v>3.4410677669041831</v>
      </c>
      <c r="H135" s="634">
        <v>5.6845393628473175</v>
      </c>
      <c r="I135" s="634">
        <v>3.7457694013625797</v>
      </c>
      <c r="J135" s="634">
        <v>3.4995570940321556</v>
      </c>
      <c r="K135" s="634">
        <v>5.5246452331984699</v>
      </c>
      <c r="L135" s="634">
        <v>3.0623436850299726</v>
      </c>
      <c r="M135" s="634">
        <v>4.1222128686094379</v>
      </c>
      <c r="N135" s="634">
        <v>2.7192440802028983</v>
      </c>
      <c r="O135" s="634">
        <v>4.3445829763523847</v>
      </c>
      <c r="P135" s="634">
        <v>0.52118550608967951</v>
      </c>
      <c r="Q135" s="634">
        <v>5.0578981617344567</v>
      </c>
      <c r="R135" s="634">
        <v>3.0656413302595524</v>
      </c>
      <c r="S135" s="634">
        <v>2.8909747613707708</v>
      </c>
      <c r="T135" s="634">
        <v>-7.1782074424677376</v>
      </c>
      <c r="U135" s="634">
        <v>8.1547388982368147</v>
      </c>
      <c r="V135" s="634">
        <v>1.5272035797611068</v>
      </c>
      <c r="W135" s="634">
        <v>3.4033413007883411</v>
      </c>
      <c r="X135" s="634">
        <v>3.2365137352101385</v>
      </c>
    </row>
    <row r="136" spans="1:24" ht="16">
      <c r="A136" s="634" t="s">
        <v>387</v>
      </c>
      <c r="B136" s="635" t="s">
        <v>388</v>
      </c>
      <c r="C136" s="634" t="s">
        <v>652</v>
      </c>
      <c r="D136" s="635" t="s">
        <v>653</v>
      </c>
      <c r="E136" s="634">
        <v>6.3120237802319252</v>
      </c>
      <c r="F136" s="634">
        <v>9.9106775678291541</v>
      </c>
      <c r="G136" s="634">
        <v>7.649353937958665</v>
      </c>
      <c r="H136" s="634">
        <v>6.8780294256099523</v>
      </c>
      <c r="I136" s="634">
        <v>5.9289718746081519</v>
      </c>
      <c r="J136" s="634">
        <v>6.6797293566286413</v>
      </c>
      <c r="K136" s="634">
        <v>7.134058423004447</v>
      </c>
      <c r="L136" s="634">
        <v>7.9945031610722026</v>
      </c>
      <c r="M136" s="634">
        <v>6.5714138966553719</v>
      </c>
      <c r="N136" s="634">
        <v>7.7025684483930945</v>
      </c>
      <c r="O136" s="634">
        <v>7.3930936986376992</v>
      </c>
      <c r="P136" s="634">
        <v>4.6969902422579537</v>
      </c>
      <c r="Q136" s="634">
        <v>2.6382073731065816</v>
      </c>
      <c r="R136" s="634">
        <v>3.4849320242278168</v>
      </c>
      <c r="S136" s="634">
        <v>2.3178139482147486</v>
      </c>
      <c r="T136" s="634">
        <v>-1.2195225001119212</v>
      </c>
      <c r="U136" s="634">
        <v>2.3774357276150653</v>
      </c>
      <c r="V136" s="634">
        <v>4.3644507443260778</v>
      </c>
      <c r="W136" s="634">
        <v>5.436859122925199</v>
      </c>
      <c r="X136" s="634">
        <v>1.851775024744569</v>
      </c>
    </row>
    <row r="137" spans="1:24" ht="16">
      <c r="A137" s="634" t="s">
        <v>387</v>
      </c>
      <c r="B137" s="635" t="s">
        <v>388</v>
      </c>
      <c r="C137" s="634" t="s">
        <v>654</v>
      </c>
      <c r="D137" s="635" t="s">
        <v>655</v>
      </c>
      <c r="E137" s="634">
        <v>13.56895002164562</v>
      </c>
      <c r="F137" s="634">
        <v>13.076101379237244</v>
      </c>
      <c r="G137" s="634">
        <v>11.991435240214642</v>
      </c>
      <c r="H137" s="634">
        <v>10.255305392980787</v>
      </c>
      <c r="I137" s="634">
        <v>10.550009096193165</v>
      </c>
      <c r="J137" s="634">
        <v>9.6344394520444041</v>
      </c>
      <c r="K137" s="634">
        <v>5.5914823782366057</v>
      </c>
      <c r="L137" s="634">
        <v>7.3326704470414938</v>
      </c>
      <c r="M137" s="634">
        <v>8.4260010250176691</v>
      </c>
      <c r="N137" s="634">
        <v>8.1699074555827735</v>
      </c>
      <c r="O137" s="634">
        <v>6.9928402902612135</v>
      </c>
      <c r="P137" s="634">
        <v>5.8624729151857196</v>
      </c>
      <c r="Q137" s="634">
        <v>6.1361082436030472</v>
      </c>
      <c r="R137" s="634">
        <v>6.2688622147107509</v>
      </c>
      <c r="S137" s="634">
        <v>6.5791100676541419</v>
      </c>
      <c r="T137" s="634">
        <v>-9.0483471798464308</v>
      </c>
      <c r="U137" s="634">
        <v>-12.016372482917674</v>
      </c>
      <c r="V137" s="634">
        <v>4.0374934360085035</v>
      </c>
      <c r="W137" s="634">
        <v>0.95844662512611478</v>
      </c>
      <c r="X137" s="634">
        <v>-0.97204641363362043</v>
      </c>
    </row>
    <row r="138" spans="1:24" ht="16">
      <c r="A138" s="634" t="s">
        <v>387</v>
      </c>
      <c r="B138" s="635" t="s">
        <v>388</v>
      </c>
      <c r="C138" s="634" t="s">
        <v>656</v>
      </c>
      <c r="D138" s="635" t="s">
        <v>657</v>
      </c>
      <c r="E138" s="634">
        <v>2.5292626581902198</v>
      </c>
      <c r="F138" s="634">
        <v>7.0731753184582544</v>
      </c>
      <c r="G138" s="634">
        <v>5.374044151676344</v>
      </c>
      <c r="H138" s="634">
        <v>2.6498120378026755</v>
      </c>
      <c r="I138" s="634">
        <v>0.29597091400108866</v>
      </c>
      <c r="J138" s="634">
        <v>6.0392494795585776</v>
      </c>
      <c r="K138" s="634">
        <v>5.0913381386433798</v>
      </c>
      <c r="L138" s="634">
        <v>5.0616820696264</v>
      </c>
      <c r="M138" s="634">
        <v>5.6147196225448539</v>
      </c>
      <c r="N138" s="634">
        <v>6.092519159779556</v>
      </c>
      <c r="O138" s="634">
        <v>4.2641745376367481</v>
      </c>
      <c r="P138" s="634">
        <v>3.3794450206329429E-2</v>
      </c>
      <c r="Q138" s="634">
        <v>-1.0272480885670916</v>
      </c>
      <c r="R138" s="634">
        <v>1.0599394986075197</v>
      </c>
      <c r="S138" s="634">
        <v>-0.83915216341935661</v>
      </c>
      <c r="T138" s="634">
        <v>-8.1014020144331909</v>
      </c>
      <c r="U138" s="634">
        <v>3.6038291924870265</v>
      </c>
      <c r="V138" s="634">
        <v>5.3987247622409313</v>
      </c>
      <c r="W138" s="634">
        <v>4.442806038195755</v>
      </c>
      <c r="X138" s="634">
        <v>3.7115449741623934</v>
      </c>
    </row>
    <row r="139" spans="1:24" ht="16">
      <c r="A139" s="634" t="s">
        <v>387</v>
      </c>
      <c r="B139" s="635" t="s">
        <v>388</v>
      </c>
      <c r="C139" s="634" t="s">
        <v>658</v>
      </c>
      <c r="D139" s="635" t="s">
        <v>659</v>
      </c>
      <c r="E139" s="634">
        <v>-0.35564887447149829</v>
      </c>
      <c r="F139" s="634">
        <v>8.3287608057226947</v>
      </c>
      <c r="G139" s="634">
        <v>-22.185304977996722</v>
      </c>
      <c r="H139" s="634">
        <v>20.380907592447841</v>
      </c>
      <c r="I139" s="634">
        <v>-5.6519327996731477</v>
      </c>
      <c r="J139" s="634">
        <v>-0.15997691123855873</v>
      </c>
      <c r="K139" s="634">
        <v>14.394633415729501</v>
      </c>
      <c r="L139" s="634">
        <v>25.279320502218923</v>
      </c>
      <c r="M139" s="634">
        <v>3.6477404166362533</v>
      </c>
      <c r="N139" s="634">
        <v>16.423335638610865</v>
      </c>
      <c r="O139" s="634">
        <v>2.6980172736751058</v>
      </c>
      <c r="P139" s="634">
        <v>4.3632405390558802</v>
      </c>
      <c r="Q139" s="634">
        <v>-6.0112299865351559</v>
      </c>
      <c r="R139" s="634">
        <v>-1.219122014569777</v>
      </c>
      <c r="S139" s="634">
        <v>8.4867365919310913</v>
      </c>
      <c r="T139" s="634">
        <v>1.9818194937727611</v>
      </c>
      <c r="U139" s="634">
        <v>7.2065946659143947</v>
      </c>
      <c r="V139" s="634">
        <v>2.9515183463878003</v>
      </c>
      <c r="W139" s="634">
        <v>0.64641033466782005</v>
      </c>
      <c r="X139" s="634">
        <v>1.7602516223349056</v>
      </c>
    </row>
    <row r="140" spans="1:24" ht="16">
      <c r="A140" s="634" t="s">
        <v>387</v>
      </c>
      <c r="B140" s="635" t="s">
        <v>388</v>
      </c>
      <c r="C140" s="634" t="s">
        <v>660</v>
      </c>
      <c r="D140" s="635" t="s">
        <v>661</v>
      </c>
      <c r="E140" s="634">
        <v>3.4791810482949614</v>
      </c>
      <c r="F140" s="634">
        <v>3.3646147805627749</v>
      </c>
      <c r="G140" s="634">
        <v>3.4115602798027567</v>
      </c>
      <c r="H140" s="634">
        <v>6.1046391437347154</v>
      </c>
      <c r="I140" s="634">
        <v>4.533078724648604</v>
      </c>
      <c r="J140" s="634">
        <v>4.8164146469457307</v>
      </c>
      <c r="K140" s="634">
        <v>3.4218087011616234</v>
      </c>
      <c r="L140" s="634">
        <v>4.670141924469533</v>
      </c>
      <c r="M140" s="634">
        <v>3.5251531712914925</v>
      </c>
      <c r="N140" s="634">
        <v>6.0114828425044067</v>
      </c>
      <c r="O140" s="634">
        <v>3.9760532716297092</v>
      </c>
      <c r="P140" s="634">
        <v>0.43311371938152377</v>
      </c>
      <c r="Q140" s="634">
        <v>8.9772793564346642</v>
      </c>
      <c r="R140" s="634">
        <v>7.6223761039793345</v>
      </c>
      <c r="S140" s="634">
        <v>6.6570554311046806</v>
      </c>
      <c r="T140" s="634">
        <v>-2.3696206292072048</v>
      </c>
      <c r="U140" s="634">
        <v>4.8381496141149967</v>
      </c>
      <c r="V140" s="634">
        <v>5.6313145568450977</v>
      </c>
      <c r="W140" s="634">
        <v>1.9825484362839205</v>
      </c>
      <c r="X140" s="634">
        <v>3.6653743074496816</v>
      </c>
    </row>
    <row r="141" spans="1:24" ht="16">
      <c r="A141" s="634" t="s">
        <v>387</v>
      </c>
      <c r="B141" s="635" t="s">
        <v>388</v>
      </c>
      <c r="C141" s="634" t="s">
        <v>662</v>
      </c>
      <c r="D141" s="635" t="s">
        <v>663</v>
      </c>
      <c r="E141" s="634">
        <v>2.0339633619914252</v>
      </c>
      <c r="F141" s="634">
        <v>3.5373750968078213</v>
      </c>
      <c r="G141" s="634">
        <v>3.8853064480182269</v>
      </c>
      <c r="H141" s="634">
        <v>2.116815936421375</v>
      </c>
      <c r="I141" s="634">
        <v>-3.6652904914509605</v>
      </c>
      <c r="J141" s="634">
        <v>1.31932032302214</v>
      </c>
      <c r="K141" s="634">
        <v>1.7733451626942269</v>
      </c>
      <c r="L141" s="634">
        <v>-0.97787687774773246</v>
      </c>
      <c r="M141" s="634">
        <v>-3.0232560053960356E-2</v>
      </c>
      <c r="N141" s="634">
        <v>1.6126100129401095</v>
      </c>
      <c r="O141" s="634">
        <v>2.1206052386084622</v>
      </c>
      <c r="P141" s="634">
        <v>2.4242857295548248</v>
      </c>
      <c r="Q141" s="634">
        <v>2.7815461930993592</v>
      </c>
      <c r="R141" s="634">
        <v>2.2587403735731044</v>
      </c>
      <c r="S141" s="634">
        <v>2.3000915791675709</v>
      </c>
      <c r="T141" s="634">
        <v>-3.8679533382322262</v>
      </c>
      <c r="U141" s="634">
        <v>6.2768306708325952</v>
      </c>
      <c r="V141" s="634">
        <v>5.0072345515961132</v>
      </c>
      <c r="W141" s="634">
        <v>7.4560834901177486E-2</v>
      </c>
      <c r="X141" s="634">
        <v>0.97967492151596502</v>
      </c>
    </row>
    <row r="142" spans="1:24" ht="16">
      <c r="A142" s="634" t="s">
        <v>387</v>
      </c>
      <c r="B142" s="635" t="s">
        <v>388</v>
      </c>
      <c r="C142" s="634" t="s">
        <v>664</v>
      </c>
      <c r="D142" s="635" t="s">
        <v>665</v>
      </c>
      <c r="E142" s="634" t="s">
        <v>1705</v>
      </c>
      <c r="F142" s="634" t="s">
        <v>1705</v>
      </c>
      <c r="G142" s="634" t="s">
        <v>1705</v>
      </c>
      <c r="H142" s="634" t="s">
        <v>1705</v>
      </c>
      <c r="I142" s="634" t="s">
        <v>1705</v>
      </c>
      <c r="J142" s="634" t="s">
        <v>1705</v>
      </c>
      <c r="K142" s="634" t="s">
        <v>1705</v>
      </c>
      <c r="L142" s="634" t="s">
        <v>1705</v>
      </c>
      <c r="M142" s="634" t="s">
        <v>1705</v>
      </c>
      <c r="N142" s="634" t="s">
        <v>1705</v>
      </c>
      <c r="O142" s="634" t="s">
        <v>1705</v>
      </c>
      <c r="P142" s="634" t="s">
        <v>1705</v>
      </c>
      <c r="Q142" s="634" t="s">
        <v>1705</v>
      </c>
      <c r="R142" s="634">
        <v>3.9957072820387936</v>
      </c>
      <c r="S142" s="634">
        <v>-1.4000000019845089</v>
      </c>
      <c r="T142" s="634">
        <v>-2.40000000064407</v>
      </c>
      <c r="U142" s="634">
        <v>-2.0999999976284869</v>
      </c>
      <c r="V142" s="634">
        <v>3.4999999963137611</v>
      </c>
      <c r="W142" s="634" t="s">
        <v>1705</v>
      </c>
      <c r="X142" s="634" t="s">
        <v>1705</v>
      </c>
    </row>
    <row r="143" spans="1:24" ht="16">
      <c r="A143" s="634" t="s">
        <v>387</v>
      </c>
      <c r="B143" s="635" t="s">
        <v>388</v>
      </c>
      <c r="C143" s="634" t="s">
        <v>666</v>
      </c>
      <c r="D143" s="635" t="s">
        <v>667</v>
      </c>
      <c r="E143" s="634">
        <v>3.3529276040506204</v>
      </c>
      <c r="F143" s="634">
        <v>2.7797805910561664</v>
      </c>
      <c r="G143" s="634">
        <v>3.0564163898495451</v>
      </c>
      <c r="H143" s="634">
        <v>-1.0170384693397523</v>
      </c>
      <c r="I143" s="634">
        <v>-3.7466112071300017E-2</v>
      </c>
      <c r="J143" s="634">
        <v>1.4586363491134904</v>
      </c>
      <c r="K143" s="634">
        <v>2.0934962166991227</v>
      </c>
      <c r="L143" s="634">
        <v>2.3663066465617391</v>
      </c>
      <c r="M143" s="634">
        <v>2.5895419903159791</v>
      </c>
      <c r="N143" s="634">
        <v>3.8263849176029936</v>
      </c>
      <c r="O143" s="634">
        <v>3.6903690838723264</v>
      </c>
      <c r="P143" s="634">
        <v>3.7791106835433368</v>
      </c>
      <c r="Q143" s="634">
        <v>3.3787321947076521</v>
      </c>
      <c r="R143" s="634">
        <v>3.4705820386632809</v>
      </c>
      <c r="S143" s="634">
        <v>2.3174714403480152</v>
      </c>
      <c r="T143" s="634">
        <v>-0.30724689602654109</v>
      </c>
      <c r="U143" s="634">
        <v>4.5354056571609505</v>
      </c>
      <c r="V143" s="634">
        <v>3.4963868645884162</v>
      </c>
      <c r="W143" s="634">
        <v>1.3942518156356556</v>
      </c>
      <c r="X143" s="634">
        <v>-0.12646241856727158</v>
      </c>
    </row>
    <row r="144" spans="1:24" ht="16">
      <c r="A144" s="634" t="s">
        <v>387</v>
      </c>
      <c r="B144" s="635" t="s">
        <v>388</v>
      </c>
      <c r="C144" s="634" t="s">
        <v>668</v>
      </c>
      <c r="D144" s="635" t="s">
        <v>669</v>
      </c>
      <c r="E144" s="634">
        <v>4.2823983377065389</v>
      </c>
      <c r="F144" s="634">
        <v>4.1529455984625372</v>
      </c>
      <c r="G144" s="634">
        <v>5.076352018098703</v>
      </c>
      <c r="H144" s="634">
        <v>3.4357169360808086</v>
      </c>
      <c r="I144" s="634">
        <v>-3.2926651586196982</v>
      </c>
      <c r="J144" s="634">
        <v>4.4100991171654584</v>
      </c>
      <c r="K144" s="634">
        <v>6.3166855349184203</v>
      </c>
      <c r="L144" s="634">
        <v>6.4961364710875955</v>
      </c>
      <c r="M144" s="634">
        <v>4.9270941344730375</v>
      </c>
      <c r="N144" s="634">
        <v>4.7854601358998252</v>
      </c>
      <c r="O144" s="634">
        <v>4.7922676833269691</v>
      </c>
      <c r="P144" s="634">
        <v>4.5631473952496719</v>
      </c>
      <c r="Q144" s="634">
        <v>4.6312075758020939</v>
      </c>
      <c r="R144" s="634">
        <v>-3.3633566598573026</v>
      </c>
      <c r="S144" s="634">
        <v>-2.8968698672890127</v>
      </c>
      <c r="T144" s="634">
        <v>-2.2365417626232329</v>
      </c>
      <c r="U144" s="634">
        <v>10.454389484407983</v>
      </c>
      <c r="V144" s="634">
        <v>3.5502994561397543</v>
      </c>
      <c r="W144" s="634">
        <v>4.4277438476037361</v>
      </c>
      <c r="X144" s="634">
        <v>3.5878302292344983</v>
      </c>
    </row>
    <row r="145" spans="1:24" ht="16">
      <c r="A145" s="634" t="s">
        <v>387</v>
      </c>
      <c r="B145" s="635" t="s">
        <v>388</v>
      </c>
      <c r="C145" s="634" t="s">
        <v>670</v>
      </c>
      <c r="D145" s="635" t="s">
        <v>671</v>
      </c>
      <c r="E145" s="634">
        <v>7.3318688425851661</v>
      </c>
      <c r="F145" s="634">
        <v>5.9310499735034199</v>
      </c>
      <c r="G145" s="634">
        <v>3.1427240838673072</v>
      </c>
      <c r="H145" s="634">
        <v>7.7314142277733708</v>
      </c>
      <c r="I145" s="634">
        <v>1.9626009069464487</v>
      </c>
      <c r="J145" s="634">
        <v>8.5781667426225283</v>
      </c>
      <c r="K145" s="634">
        <v>2.35775693603874</v>
      </c>
      <c r="L145" s="634">
        <v>10.54894457634461</v>
      </c>
      <c r="M145" s="634">
        <v>5.3151306339472626</v>
      </c>
      <c r="N145" s="634">
        <v>6.6421366549560332</v>
      </c>
      <c r="O145" s="634">
        <v>4.3926488320729078</v>
      </c>
      <c r="P145" s="634">
        <v>5.7408931505815701</v>
      </c>
      <c r="Q145" s="634">
        <v>5.0053607861554354</v>
      </c>
      <c r="R145" s="634">
        <v>7.2114180276289659</v>
      </c>
      <c r="S145" s="634">
        <v>5.939852571235221</v>
      </c>
      <c r="T145" s="634">
        <v>3.5506410943689133</v>
      </c>
      <c r="U145" s="634">
        <v>1.3835963619847718</v>
      </c>
      <c r="V145" s="634">
        <v>11.900000000027717</v>
      </c>
      <c r="W145" s="634">
        <v>1.6676340648427868</v>
      </c>
      <c r="X145" s="634">
        <v>8.4215978952545356</v>
      </c>
    </row>
    <row r="146" spans="1:24" ht="16">
      <c r="A146" s="634" t="s">
        <v>387</v>
      </c>
      <c r="B146" s="635" t="s">
        <v>388</v>
      </c>
      <c r="C146" s="634" t="s">
        <v>672</v>
      </c>
      <c r="D146" s="635" t="s">
        <v>673</v>
      </c>
      <c r="E146" s="634">
        <v>6.4385165253831929</v>
      </c>
      <c r="F146" s="634">
        <v>6.0594280320291176</v>
      </c>
      <c r="G146" s="634">
        <v>6.5911303606873446</v>
      </c>
      <c r="H146" s="634">
        <v>6.7644727778017</v>
      </c>
      <c r="I146" s="634">
        <v>8.0369251009906719</v>
      </c>
      <c r="J146" s="634">
        <v>8.0056559162864573</v>
      </c>
      <c r="K146" s="634">
        <v>5.3079242028951228</v>
      </c>
      <c r="L146" s="634">
        <v>4.2300611749316772</v>
      </c>
      <c r="M146" s="634">
        <v>6.6713353930617245</v>
      </c>
      <c r="N146" s="634">
        <v>6.3097186552546702</v>
      </c>
      <c r="O146" s="634">
        <v>2.6526932954300264</v>
      </c>
      <c r="P146" s="634">
        <v>-1.6168689490652923</v>
      </c>
      <c r="Q146" s="634">
        <v>0.80588661910221049</v>
      </c>
      <c r="R146" s="634">
        <v>1.9227573420065056</v>
      </c>
      <c r="S146" s="634">
        <v>2.2084292771488094</v>
      </c>
      <c r="T146" s="634">
        <v>-1.7942530827445751</v>
      </c>
      <c r="U146" s="634">
        <v>3.6471865407244621</v>
      </c>
      <c r="V146" s="634">
        <v>3.251681408270926</v>
      </c>
      <c r="W146" s="634">
        <v>2.8602149910836374</v>
      </c>
      <c r="X146" s="634">
        <v>3.4264394713514861</v>
      </c>
    </row>
    <row r="147" spans="1:24" ht="16">
      <c r="A147" s="634" t="s">
        <v>387</v>
      </c>
      <c r="B147" s="635" t="s">
        <v>388</v>
      </c>
      <c r="C147" s="634" t="s">
        <v>674</v>
      </c>
      <c r="D147" s="635" t="s">
        <v>675</v>
      </c>
      <c r="E147" s="634">
        <v>4.724088642019737</v>
      </c>
      <c r="F147" s="634">
        <v>5.1370251615350497</v>
      </c>
      <c r="G147" s="634">
        <v>6.4734868575234685</v>
      </c>
      <c r="H147" s="634">
        <v>5.4720013901559525</v>
      </c>
      <c r="I147" s="634">
        <v>-0.35861485697967055</v>
      </c>
      <c r="J147" s="634">
        <v>3.3587508577381158</v>
      </c>
      <c r="K147" s="634">
        <v>2.3398860452033148</v>
      </c>
      <c r="L147" s="634">
        <v>-0.45618322360793684</v>
      </c>
      <c r="M147" s="634">
        <v>2.9252576645048407</v>
      </c>
      <c r="N147" s="634">
        <v>3.6291235127637265</v>
      </c>
      <c r="O147" s="634">
        <v>3.8558651404173787</v>
      </c>
      <c r="P147" s="634">
        <v>2.8482051936330635</v>
      </c>
      <c r="Q147" s="634">
        <v>1.0817727381324289</v>
      </c>
      <c r="R147" s="634">
        <v>2.8805967096426741</v>
      </c>
      <c r="S147" s="634">
        <v>3.910419538401726</v>
      </c>
      <c r="T147" s="634">
        <v>-4.6884500095665231</v>
      </c>
      <c r="U147" s="634">
        <v>4.5106794903822163</v>
      </c>
      <c r="V147" s="634">
        <v>2.7588841533296744</v>
      </c>
      <c r="W147" s="634">
        <v>2.072542088451172</v>
      </c>
      <c r="X147" s="634">
        <v>2.7562491733897616</v>
      </c>
    </row>
    <row r="148" spans="1:24" ht="16">
      <c r="A148" s="634" t="s">
        <v>387</v>
      </c>
      <c r="B148" s="635" t="s">
        <v>388</v>
      </c>
      <c r="C148" s="634" t="s">
        <v>676</v>
      </c>
      <c r="D148" s="635" t="s">
        <v>677</v>
      </c>
      <c r="E148" s="634">
        <v>-12.702893436838394</v>
      </c>
      <c r="F148" s="634">
        <v>-6.8714632174616099</v>
      </c>
      <c r="G148" s="634">
        <v>-6.6840277777777857</v>
      </c>
      <c r="H148" s="634">
        <v>-11.069767441860463</v>
      </c>
      <c r="I148" s="634">
        <v>-17.573221757322173</v>
      </c>
      <c r="J148" s="634">
        <v>1.3959390862944048</v>
      </c>
      <c r="K148" s="634">
        <v>-7.3842302878598218</v>
      </c>
      <c r="L148" s="634">
        <v>0.81081081081080697</v>
      </c>
      <c r="M148" s="634">
        <v>2.6809651474530796</v>
      </c>
      <c r="N148" s="634">
        <v>4.1775456919060048</v>
      </c>
      <c r="O148" s="634">
        <v>3.383458646616532</v>
      </c>
      <c r="P148" s="634">
        <v>29.212121212121218</v>
      </c>
      <c r="Q148" s="634">
        <v>23.170731707317074</v>
      </c>
      <c r="R148" s="634">
        <v>-19.497334348819493</v>
      </c>
      <c r="S148" s="634">
        <v>-11.447492904446548</v>
      </c>
      <c r="T148" s="634">
        <v>-29.059829059829056</v>
      </c>
      <c r="U148" s="634">
        <v>4.9698795180722897</v>
      </c>
      <c r="V148" s="634">
        <v>16.642754662840758</v>
      </c>
      <c r="W148" s="634" t="s">
        <v>1705</v>
      </c>
      <c r="X148" s="634" t="s">
        <v>1705</v>
      </c>
    </row>
    <row r="149" spans="1:24" ht="16">
      <c r="A149" s="634" t="s">
        <v>387</v>
      </c>
      <c r="B149" s="635" t="s">
        <v>388</v>
      </c>
      <c r="C149" s="634" t="s">
        <v>678</v>
      </c>
      <c r="D149" s="635" t="s">
        <v>679</v>
      </c>
      <c r="E149" s="634">
        <v>2.6851229033908481</v>
      </c>
      <c r="F149" s="634">
        <v>2.4614731163516552</v>
      </c>
      <c r="G149" s="634">
        <v>2.9140400065322751</v>
      </c>
      <c r="H149" s="634">
        <v>0.48191954975793294</v>
      </c>
      <c r="I149" s="634">
        <v>-1.940364725966333</v>
      </c>
      <c r="J149" s="634">
        <v>0.7870518614940778</v>
      </c>
      <c r="K149" s="634">
        <v>1.1056560338298311</v>
      </c>
      <c r="L149" s="634">
        <v>2.7179592489473379</v>
      </c>
      <c r="M149" s="634">
        <v>1.0161908404464128</v>
      </c>
      <c r="N149" s="634">
        <v>2.04813200438943</v>
      </c>
      <c r="O149" s="634">
        <v>1.8573397162390108</v>
      </c>
      <c r="P149" s="634">
        <v>1.1647242392881907</v>
      </c>
      <c r="Q149" s="634">
        <v>2.4637462657415341</v>
      </c>
      <c r="R149" s="634">
        <v>0.82893150051690156</v>
      </c>
      <c r="S149" s="634">
        <v>1.1237469496875718</v>
      </c>
      <c r="T149" s="634">
        <v>-1.2781717723403432</v>
      </c>
      <c r="U149" s="634">
        <v>3.9086867683063389</v>
      </c>
      <c r="V149" s="634">
        <v>3.246228602609321</v>
      </c>
      <c r="W149" s="634">
        <v>7.2120480603032888E-2</v>
      </c>
      <c r="X149" s="634">
        <v>2.1004532783729104</v>
      </c>
    </row>
    <row r="150" spans="1:24" ht="16">
      <c r="A150" s="634" t="s">
        <v>387</v>
      </c>
      <c r="B150" s="635" t="s">
        <v>388</v>
      </c>
      <c r="C150" s="634" t="s">
        <v>680</v>
      </c>
      <c r="D150" s="635" t="s">
        <v>681</v>
      </c>
      <c r="E150" s="634">
        <v>2.7794436030615088</v>
      </c>
      <c r="F150" s="634">
        <v>4.6698148193932809</v>
      </c>
      <c r="G150" s="634">
        <v>4.9806546705152783</v>
      </c>
      <c r="H150" s="634">
        <v>8.9500589500589598</v>
      </c>
      <c r="I150" s="634">
        <v>5.9819669490440219</v>
      </c>
      <c r="J150" s="634">
        <v>2.4719985658277324</v>
      </c>
      <c r="K150" s="634">
        <v>2.8946097354119189</v>
      </c>
      <c r="L150" s="634">
        <v>8.8631222555701754</v>
      </c>
      <c r="M150" s="634">
        <v>5.2277040814594216</v>
      </c>
      <c r="N150" s="634">
        <v>1.2922522941108099</v>
      </c>
      <c r="O150" s="634">
        <v>5.0170579971904488</v>
      </c>
      <c r="P150" s="634">
        <v>5.04642394571691</v>
      </c>
      <c r="Q150" s="634">
        <v>0.3040575659224487</v>
      </c>
      <c r="R150" s="634">
        <v>1.2871039154328798</v>
      </c>
      <c r="S150" s="634">
        <v>-1.1286380172805792</v>
      </c>
      <c r="T150" s="634">
        <v>-3.3797205269799946</v>
      </c>
      <c r="U150" s="634">
        <v>2.5821749892892996</v>
      </c>
      <c r="V150" s="634">
        <v>7.98570728354278</v>
      </c>
      <c r="W150" s="634">
        <v>1.1871348955885281</v>
      </c>
      <c r="X150" s="634">
        <v>1.6740766300813448</v>
      </c>
    </row>
    <row r="151" spans="1:24" ht="16">
      <c r="A151" s="634" t="s">
        <v>387</v>
      </c>
      <c r="B151" s="635" t="s">
        <v>388</v>
      </c>
      <c r="C151" s="634" t="s">
        <v>682</v>
      </c>
      <c r="D151" s="635" t="s">
        <v>683</v>
      </c>
      <c r="E151" s="634">
        <v>7.2765744364722025</v>
      </c>
      <c r="F151" s="634">
        <v>6.0516376756999648</v>
      </c>
      <c r="G151" s="634">
        <v>4.4448143398844024</v>
      </c>
      <c r="H151" s="634">
        <v>2.1204410433083041</v>
      </c>
      <c r="I151" s="634">
        <v>3.4725505956734821</v>
      </c>
      <c r="J151" s="634">
        <v>1.5017175215288319</v>
      </c>
      <c r="K151" s="634">
        <v>2.6801168542170473</v>
      </c>
      <c r="L151" s="634">
        <v>3.0275839108862925</v>
      </c>
      <c r="M151" s="634">
        <v>4.3668650497838684</v>
      </c>
      <c r="N151" s="634">
        <v>4.116428171614217</v>
      </c>
      <c r="O151" s="634">
        <v>4.2179420957250642</v>
      </c>
      <c r="P151" s="634">
        <v>6.5738382851104262</v>
      </c>
      <c r="Q151" s="634">
        <v>4.4326259068397462</v>
      </c>
      <c r="R151" s="634">
        <v>6.1517026109951871</v>
      </c>
      <c r="S151" s="634">
        <v>2.4976369294336536</v>
      </c>
      <c r="T151" s="634">
        <v>-1.2740874433870886</v>
      </c>
      <c r="U151" s="634">
        <v>6.5138857585270244</v>
      </c>
      <c r="V151" s="634">
        <v>4.7781068690357955</v>
      </c>
      <c r="W151" s="634">
        <v>-3.983897166735062E-2</v>
      </c>
      <c r="X151" s="634">
        <v>3.2347844321014776</v>
      </c>
    </row>
    <row r="152" spans="1:24" ht="16">
      <c r="A152" s="634" t="s">
        <v>387</v>
      </c>
      <c r="B152" s="635" t="s">
        <v>388</v>
      </c>
      <c r="C152" s="634" t="s">
        <v>684</v>
      </c>
      <c r="D152" s="635" t="s">
        <v>685</v>
      </c>
      <c r="E152" s="634">
        <v>3.4139654003197961</v>
      </c>
      <c r="F152" s="634">
        <v>-0.12371989193619015</v>
      </c>
      <c r="G152" s="634">
        <v>1.7540310150582457</v>
      </c>
      <c r="H152" s="634">
        <v>-5.4939766587910839</v>
      </c>
      <c r="I152" s="634">
        <v>-7.2605760118379976</v>
      </c>
      <c r="J152" s="634">
        <v>-0.8958958601021294</v>
      </c>
      <c r="K152" s="634">
        <v>5.118280225130718</v>
      </c>
      <c r="L152" s="634">
        <v>1.2534124167347329</v>
      </c>
      <c r="M152" s="634">
        <v>-3.0362268810169297</v>
      </c>
      <c r="N152" s="634">
        <v>4.7699994328551014</v>
      </c>
      <c r="O152" s="634">
        <v>8.199979830128143</v>
      </c>
      <c r="P152" s="634">
        <v>-0.43998926755151047</v>
      </c>
      <c r="Q152" s="634">
        <v>-3.2600184552075717</v>
      </c>
      <c r="R152" s="634">
        <v>0.11000833957139378</v>
      </c>
      <c r="S152" s="634">
        <v>0.20001506865479257</v>
      </c>
      <c r="T152" s="634">
        <v>-5.9994339253235438</v>
      </c>
      <c r="U152" s="634">
        <v>-13.793893219060578</v>
      </c>
      <c r="V152" s="634">
        <v>-1.3184271665502365</v>
      </c>
      <c r="W152" s="634">
        <v>1.8770319839259884</v>
      </c>
      <c r="X152" s="634" t="s">
        <v>1705</v>
      </c>
    </row>
    <row r="153" spans="1:24" ht="16">
      <c r="A153" s="634" t="s">
        <v>387</v>
      </c>
      <c r="B153" s="635" t="s">
        <v>388</v>
      </c>
      <c r="C153" s="634" t="s">
        <v>686</v>
      </c>
      <c r="D153" s="635" t="s">
        <v>687</v>
      </c>
      <c r="E153" s="634">
        <v>8.2761833450353066</v>
      </c>
      <c r="F153" s="634">
        <v>9.8572387056475179</v>
      </c>
      <c r="G153" s="634">
        <v>13.153065378293348</v>
      </c>
      <c r="H153" s="634">
        <v>10.197432590795842</v>
      </c>
      <c r="I153" s="634">
        <v>1.6118640597605491</v>
      </c>
      <c r="J153" s="634">
        <v>6.0733935310608729</v>
      </c>
      <c r="K153" s="634">
        <v>11.908877224953088</v>
      </c>
      <c r="L153" s="634">
        <v>9.627293464390192</v>
      </c>
      <c r="M153" s="634">
        <v>6.3243538866284581</v>
      </c>
      <c r="N153" s="634">
        <v>4.6258137556555141</v>
      </c>
      <c r="O153" s="634">
        <v>5.2669171959551591</v>
      </c>
      <c r="P153" s="634">
        <v>4.5719670793727545</v>
      </c>
      <c r="Q153" s="634">
        <v>5.7440594635578037</v>
      </c>
      <c r="R153" s="634">
        <v>3.9181980738990347</v>
      </c>
      <c r="S153" s="634">
        <v>3.1030678863035916</v>
      </c>
      <c r="T153" s="634">
        <v>-17.821229969500763</v>
      </c>
      <c r="U153" s="634">
        <v>16.467124919155879</v>
      </c>
      <c r="V153" s="634">
        <v>10.769665870618979</v>
      </c>
      <c r="W153" s="634">
        <v>7.3993015562621878</v>
      </c>
      <c r="X153" s="634">
        <v>2.8616666352324671</v>
      </c>
    </row>
    <row r="154" spans="1:24" ht="16">
      <c r="A154" s="634" t="s">
        <v>387</v>
      </c>
      <c r="B154" s="635" t="s">
        <v>388</v>
      </c>
      <c r="C154" s="634" t="s">
        <v>688</v>
      </c>
      <c r="D154" s="635" t="s">
        <v>689</v>
      </c>
      <c r="E154" s="634">
        <v>6.3447959230965409</v>
      </c>
      <c r="F154" s="634">
        <v>5.4099440910730721</v>
      </c>
      <c r="G154" s="634">
        <v>7.8151892286238791</v>
      </c>
      <c r="H154" s="634">
        <v>-0.29645784588058177</v>
      </c>
      <c r="I154" s="634">
        <v>6.8004214832209584</v>
      </c>
      <c r="J154" s="634">
        <v>10.12845407202316</v>
      </c>
      <c r="K154" s="634">
        <v>1.1075436261961613</v>
      </c>
      <c r="L154" s="634">
        <v>4.6571195968623869</v>
      </c>
      <c r="M154" s="634">
        <v>3.8249463280067459</v>
      </c>
      <c r="N154" s="634">
        <v>13.543770621654588</v>
      </c>
      <c r="O154" s="634">
        <v>6.5783563230427546</v>
      </c>
      <c r="P154" s="634">
        <v>5.4895731527818725</v>
      </c>
      <c r="Q154" s="634">
        <v>3.5346108175045856</v>
      </c>
      <c r="R154" s="634">
        <v>-0.27925228495995214</v>
      </c>
      <c r="S154" s="634">
        <v>4.4805145694258215</v>
      </c>
      <c r="T154" s="634">
        <v>-3.1674320443481463</v>
      </c>
      <c r="U154" s="634">
        <v>-0.51135341857819583</v>
      </c>
      <c r="V154" s="634">
        <v>5.707584042381967</v>
      </c>
      <c r="W154" s="634">
        <v>3.8108862290605146</v>
      </c>
      <c r="X154" s="634">
        <v>4.0950290020300883</v>
      </c>
    </row>
    <row r="155" spans="1:24" ht="16">
      <c r="A155" s="634" t="s">
        <v>387</v>
      </c>
      <c r="B155" s="635" t="s">
        <v>388</v>
      </c>
      <c r="C155" s="634" t="s">
        <v>690</v>
      </c>
      <c r="D155" s="635" t="s">
        <v>691</v>
      </c>
      <c r="E155" s="634">
        <v>2.1334906645960103</v>
      </c>
      <c r="F155" s="634">
        <v>4.8071171926837621</v>
      </c>
      <c r="G155" s="634">
        <v>5.4216228721823541</v>
      </c>
      <c r="H155" s="634">
        <v>6.4962921197090964</v>
      </c>
      <c r="I155" s="634">
        <v>-0.26113732808028089</v>
      </c>
      <c r="J155" s="634">
        <v>11.095231268552055</v>
      </c>
      <c r="K155" s="634">
        <v>4.2863712070228246</v>
      </c>
      <c r="L155" s="634">
        <v>-0.70804311231688644</v>
      </c>
      <c r="M155" s="634">
        <v>8.2930764894047115</v>
      </c>
      <c r="N155" s="634">
        <v>5.3012385923702539</v>
      </c>
      <c r="O155" s="634">
        <v>2.9571517348710614</v>
      </c>
      <c r="P155" s="634">
        <v>4.2680258331458276</v>
      </c>
      <c r="Q155" s="634">
        <v>4.8100788555404108</v>
      </c>
      <c r="R155" s="634">
        <v>3.2042503407663929</v>
      </c>
      <c r="S155" s="634">
        <v>-0.40185510068000951</v>
      </c>
      <c r="T155" s="634">
        <v>-0.81978539097191572</v>
      </c>
      <c r="U155" s="634">
        <v>4.0167373178031198</v>
      </c>
      <c r="V155" s="634">
        <v>0.17603836612406099</v>
      </c>
      <c r="W155" s="634">
        <v>4.9992279113015172</v>
      </c>
      <c r="X155" s="634">
        <v>4.2499601046404223</v>
      </c>
    </row>
    <row r="156" spans="1:24" ht="16">
      <c r="A156" s="634" t="s">
        <v>387</v>
      </c>
      <c r="B156" s="635" t="s">
        <v>388</v>
      </c>
      <c r="C156" s="634" t="s">
        <v>692</v>
      </c>
      <c r="D156" s="635" t="s">
        <v>693</v>
      </c>
      <c r="E156" s="634">
        <v>6.285060325096012</v>
      </c>
      <c r="F156" s="634">
        <v>7.5288990440594006</v>
      </c>
      <c r="G156" s="634">
        <v>8.5183877690954972</v>
      </c>
      <c r="H156" s="634">
        <v>9.1265683014642036</v>
      </c>
      <c r="I156" s="634">
        <v>1.0958236592426971</v>
      </c>
      <c r="J156" s="634">
        <v>8.3324591074957652</v>
      </c>
      <c r="K156" s="634">
        <v>6.3271924016111711</v>
      </c>
      <c r="L156" s="634">
        <v>6.1397247056043511</v>
      </c>
      <c r="M156" s="634">
        <v>5.8525182108492828</v>
      </c>
      <c r="N156" s="634">
        <v>2.3821573718054054</v>
      </c>
      <c r="O156" s="634">
        <v>3.2522447721845111</v>
      </c>
      <c r="P156" s="634">
        <v>3.9533187152076721</v>
      </c>
      <c r="Q156" s="634">
        <v>2.5188354423313513</v>
      </c>
      <c r="R156" s="634">
        <v>3.9693513413649981</v>
      </c>
      <c r="S156" s="634">
        <v>2.2406317687504895</v>
      </c>
      <c r="T156" s="634">
        <v>-10.933306501038231</v>
      </c>
      <c r="U156" s="634">
        <v>13.36262409031248</v>
      </c>
      <c r="V156" s="634">
        <v>2.8090335533015036</v>
      </c>
      <c r="W156" s="634">
        <v>-0.40324215149426834</v>
      </c>
      <c r="X156" s="634">
        <v>3.3039409817151579</v>
      </c>
    </row>
    <row r="157" spans="1:24" ht="16">
      <c r="A157" s="634" t="s">
        <v>387</v>
      </c>
      <c r="B157" s="635" t="s">
        <v>388</v>
      </c>
      <c r="C157" s="634" t="s">
        <v>244</v>
      </c>
      <c r="D157" s="635" t="s">
        <v>694</v>
      </c>
      <c r="E157" s="634">
        <v>4.9425051187767792</v>
      </c>
      <c r="F157" s="634">
        <v>5.316416821369387</v>
      </c>
      <c r="G157" s="634">
        <v>6.5192915501893793</v>
      </c>
      <c r="H157" s="634">
        <v>4.3444873050918318</v>
      </c>
      <c r="I157" s="634">
        <v>1.4483230627566854</v>
      </c>
      <c r="J157" s="634">
        <v>7.3344999603453829</v>
      </c>
      <c r="K157" s="634">
        <v>3.8582328279566269</v>
      </c>
      <c r="L157" s="634">
        <v>6.8969517105098532</v>
      </c>
      <c r="M157" s="634">
        <v>6.750531301422555</v>
      </c>
      <c r="N157" s="634">
        <v>6.3479874826086728</v>
      </c>
      <c r="O157" s="634">
        <v>6.3483097167276128</v>
      </c>
      <c r="P157" s="634">
        <v>7.1494567500075163</v>
      </c>
      <c r="Q157" s="634">
        <v>6.9309883258402039</v>
      </c>
      <c r="R157" s="634">
        <v>6.3414855715347329</v>
      </c>
      <c r="S157" s="634">
        <v>6.1185256622130311</v>
      </c>
      <c r="T157" s="634">
        <v>-9.5182947404529727</v>
      </c>
      <c r="U157" s="634">
        <v>5.7147331318511618</v>
      </c>
      <c r="V157" s="634">
        <v>7.5809821278556342</v>
      </c>
      <c r="W157" s="634">
        <v>5.5189496786286298</v>
      </c>
      <c r="X157" s="634">
        <v>5.6920161282341155</v>
      </c>
    </row>
    <row r="158" spans="1:24" ht="16">
      <c r="A158" s="634" t="s">
        <v>387</v>
      </c>
      <c r="B158" s="635" t="s">
        <v>388</v>
      </c>
      <c r="C158" s="634" t="s">
        <v>695</v>
      </c>
      <c r="D158" s="635" t="s">
        <v>696</v>
      </c>
      <c r="E158" s="634">
        <v>3.260822746792158</v>
      </c>
      <c r="F158" s="634">
        <v>6.2021071093437286</v>
      </c>
      <c r="G158" s="634">
        <v>6.7604478527625957</v>
      </c>
      <c r="H158" s="634">
        <v>4.3837706927460545</v>
      </c>
      <c r="I158" s="634">
        <v>2.6151285929168324</v>
      </c>
      <c r="J158" s="634">
        <v>3.1689274825803579</v>
      </c>
      <c r="K158" s="634">
        <v>5.2554625661279601</v>
      </c>
      <c r="L158" s="634">
        <v>1.5117816764457501</v>
      </c>
      <c r="M158" s="634">
        <v>0.68424060705180523</v>
      </c>
      <c r="N158" s="634">
        <v>3.920508623900318</v>
      </c>
      <c r="O158" s="634">
        <v>4.4317670026447757</v>
      </c>
      <c r="P158" s="634">
        <v>3.0311776759484701</v>
      </c>
      <c r="Q158" s="634">
        <v>5.1524577332590695</v>
      </c>
      <c r="R158" s="634">
        <v>6.2458584723942039</v>
      </c>
      <c r="S158" s="634">
        <v>4.5804581725619897</v>
      </c>
      <c r="T158" s="634">
        <v>-2.0355688239997676</v>
      </c>
      <c r="U158" s="634">
        <v>6.9271826605250055</v>
      </c>
      <c r="V158" s="634">
        <v>5.2554569738603618</v>
      </c>
      <c r="W158" s="634">
        <v>0.24961083401787221</v>
      </c>
      <c r="X158" s="634">
        <v>2.9233880806668964</v>
      </c>
    </row>
    <row r="159" spans="1:24" ht="16">
      <c r="A159" s="634" t="s">
        <v>387</v>
      </c>
      <c r="B159" s="635" t="s">
        <v>388</v>
      </c>
      <c r="C159" s="634" t="s">
        <v>697</v>
      </c>
      <c r="D159" s="635" t="s">
        <v>698</v>
      </c>
      <c r="E159" s="634">
        <v>0.78184756517580922</v>
      </c>
      <c r="F159" s="634">
        <v>1.6250353214199151</v>
      </c>
      <c r="G159" s="634">
        <v>2.5065793651548347</v>
      </c>
      <c r="H159" s="634">
        <v>0.31924734289916046</v>
      </c>
      <c r="I159" s="634">
        <v>-3.1220782604831925</v>
      </c>
      <c r="J159" s="634">
        <v>1.7376245278014579</v>
      </c>
      <c r="K159" s="634">
        <v>-1.71352745071583</v>
      </c>
      <c r="L159" s="634">
        <v>-4.0509026561716723</v>
      </c>
      <c r="M159" s="634">
        <v>-0.98410656907242355</v>
      </c>
      <c r="N159" s="634">
        <v>0.74139141684450749</v>
      </c>
      <c r="O159" s="634">
        <v>1.5897980288062712</v>
      </c>
      <c r="P159" s="634">
        <v>2.0041412864648862</v>
      </c>
      <c r="Q159" s="634">
        <v>3.3147205642082724</v>
      </c>
      <c r="R159" s="634">
        <v>2.9462824400740004</v>
      </c>
      <c r="S159" s="634">
        <v>2.7456847956423616</v>
      </c>
      <c r="T159" s="634">
        <v>-8.2046320123990313</v>
      </c>
      <c r="U159" s="634">
        <v>5.5587577155667276</v>
      </c>
      <c r="V159" s="634">
        <v>6.9858417811996958</v>
      </c>
      <c r="W159" s="634">
        <v>2.6131285435102285</v>
      </c>
      <c r="X159" s="634">
        <v>1.928444060439773</v>
      </c>
    </row>
    <row r="160" spans="1:24" ht="16">
      <c r="A160" s="634" t="s">
        <v>387</v>
      </c>
      <c r="B160" s="635" t="s">
        <v>388</v>
      </c>
      <c r="C160" s="634" t="s">
        <v>699</v>
      </c>
      <c r="D160" s="635" t="s">
        <v>700</v>
      </c>
      <c r="E160" s="634">
        <v>-1.9869387177270283</v>
      </c>
      <c r="F160" s="634">
        <v>-1.4094140568482345</v>
      </c>
      <c r="G160" s="634">
        <v>-1.1628066557399279</v>
      </c>
      <c r="H160" s="634">
        <v>-1.8441342183188425</v>
      </c>
      <c r="I160" s="634">
        <v>-1.9524251838112434</v>
      </c>
      <c r="J160" s="634">
        <v>-0.41325411917236465</v>
      </c>
      <c r="K160" s="634">
        <v>-0.35851063685031193</v>
      </c>
      <c r="L160" s="634">
        <v>2.9275150094406399E-2</v>
      </c>
      <c r="M160" s="634">
        <v>-0.30682666694177385</v>
      </c>
      <c r="N160" s="634">
        <v>-1.190363473469418</v>
      </c>
      <c r="O160" s="634">
        <v>-1.049290032386736</v>
      </c>
      <c r="P160" s="634">
        <v>-1.2636943478111675</v>
      </c>
      <c r="Q160" s="634">
        <v>-2.8852183839848067</v>
      </c>
      <c r="R160" s="634">
        <v>-4.3614270316253538</v>
      </c>
      <c r="S160" s="634">
        <v>1.6754637949820932</v>
      </c>
      <c r="T160" s="634">
        <v>-4.1808743093345981</v>
      </c>
      <c r="U160" s="634">
        <v>0.38522271952923859</v>
      </c>
      <c r="V160" s="634">
        <v>2.957095654995868</v>
      </c>
      <c r="W160" s="634">
        <v>0.49810125248070847</v>
      </c>
      <c r="X160" s="634">
        <v>3.2267054222914879</v>
      </c>
    </row>
    <row r="161" spans="1:24" ht="16">
      <c r="A161" s="634" t="s">
        <v>387</v>
      </c>
      <c r="B161" s="635" t="s">
        <v>388</v>
      </c>
      <c r="C161" s="634" t="s">
        <v>701</v>
      </c>
      <c r="D161" s="635" t="s">
        <v>702</v>
      </c>
      <c r="E161" s="634">
        <v>7.492758482790677</v>
      </c>
      <c r="F161" s="634">
        <v>26.170245670303188</v>
      </c>
      <c r="G161" s="634">
        <v>17.985656816026349</v>
      </c>
      <c r="H161" s="634">
        <v>17.663556362608944</v>
      </c>
      <c r="I161" s="634">
        <v>11.956561128908589</v>
      </c>
      <c r="J161" s="634">
        <v>19.592331533785895</v>
      </c>
      <c r="K161" s="634">
        <v>13.375176410792861</v>
      </c>
      <c r="L161" s="634">
        <v>4.7300118436078407</v>
      </c>
      <c r="M161" s="634">
        <v>5.5560406430660692</v>
      </c>
      <c r="N161" s="634">
        <v>5.3343232919645942</v>
      </c>
      <c r="O161" s="634">
        <v>4.7533457243873727</v>
      </c>
      <c r="P161" s="634">
        <v>3.0641918843015645</v>
      </c>
      <c r="Q161" s="634">
        <v>-1.4976047022783803</v>
      </c>
      <c r="R161" s="634">
        <v>1.2348722019106475</v>
      </c>
      <c r="S161" s="634">
        <v>0.68824095459267198</v>
      </c>
      <c r="T161" s="634">
        <v>-3.5576039896783982</v>
      </c>
      <c r="U161" s="634">
        <v>1.6268467191877534</v>
      </c>
      <c r="V161" s="634">
        <v>4.1850097098286199</v>
      </c>
      <c r="W161" s="634">
        <v>1.1871599162377606</v>
      </c>
      <c r="X161" s="634">
        <v>2.7684143359769706</v>
      </c>
    </row>
    <row r="162" spans="1:24" ht="16">
      <c r="A162" s="634" t="s">
        <v>387</v>
      </c>
      <c r="B162" s="635" t="s">
        <v>388</v>
      </c>
      <c r="C162" s="634" t="s">
        <v>703</v>
      </c>
      <c r="D162" s="635" t="s">
        <v>704</v>
      </c>
      <c r="E162" s="634">
        <v>4.6681480508486999</v>
      </c>
      <c r="F162" s="634">
        <v>8.0288110759916265</v>
      </c>
      <c r="G162" s="634">
        <v>7.2338077436280486</v>
      </c>
      <c r="H162" s="634">
        <v>9.3074671707733785</v>
      </c>
      <c r="I162" s="634">
        <v>-5.5167061584301109</v>
      </c>
      <c r="J162" s="634">
        <v>-3.9058115730297231</v>
      </c>
      <c r="K162" s="634">
        <v>4.4955890994631318</v>
      </c>
      <c r="L162" s="634">
        <v>1.9036169679960295</v>
      </c>
      <c r="M162" s="634">
        <v>0.27877187747023413</v>
      </c>
      <c r="N162" s="634">
        <v>4.1160010926783173</v>
      </c>
      <c r="O162" s="634">
        <v>3.1570360543854008</v>
      </c>
      <c r="P162" s="634">
        <v>2.8599325230208876</v>
      </c>
      <c r="Q162" s="634">
        <v>8.1954782664126071</v>
      </c>
      <c r="R162" s="634">
        <v>6.1209300071460007</v>
      </c>
      <c r="S162" s="634">
        <v>3.9232638496349352</v>
      </c>
      <c r="T162" s="634">
        <v>-3.67438440910189</v>
      </c>
      <c r="U162" s="634">
        <v>5.5457096259051042</v>
      </c>
      <c r="V162" s="634">
        <v>3.9653076631171729</v>
      </c>
      <c r="W162" s="634">
        <v>2.404271779128095</v>
      </c>
      <c r="X162" s="634">
        <v>0.81368720348208967</v>
      </c>
    </row>
    <row r="163" spans="1:24" ht="16">
      <c r="A163" s="634" t="s">
        <v>387</v>
      </c>
      <c r="B163" s="635" t="s">
        <v>388</v>
      </c>
      <c r="C163" s="634" t="s">
        <v>705</v>
      </c>
      <c r="D163" s="635" t="s">
        <v>706</v>
      </c>
      <c r="E163" s="634">
        <v>6.3999654479946884</v>
      </c>
      <c r="F163" s="634">
        <v>8.200068254563206</v>
      </c>
      <c r="G163" s="634">
        <v>8.4999777691651133</v>
      </c>
      <c r="H163" s="634">
        <v>5.1999692640495709</v>
      </c>
      <c r="I163" s="634">
        <v>-7.7999939127127504</v>
      </c>
      <c r="J163" s="634">
        <v>4.4999999992067217</v>
      </c>
      <c r="K163" s="634">
        <v>4.3000291856774879</v>
      </c>
      <c r="L163" s="634">
        <v>4.0240861574692133</v>
      </c>
      <c r="M163" s="634">
        <v>1.75542214874298</v>
      </c>
      <c r="N163" s="634">
        <v>0.73626722176567228</v>
      </c>
      <c r="O163" s="634">
        <v>-1.9727192258040844</v>
      </c>
      <c r="P163" s="634">
        <v>0.19369007126053361</v>
      </c>
      <c r="Q163" s="634">
        <v>1.8257900640183351</v>
      </c>
      <c r="R163" s="634">
        <v>2.8072454105960105</v>
      </c>
      <c r="S163" s="634">
        <v>2.198075713350093</v>
      </c>
      <c r="T163" s="634">
        <v>-2.6536545010277308</v>
      </c>
      <c r="U163" s="634">
        <v>5.8664917729259543</v>
      </c>
      <c r="V163" s="634">
        <v>-1.4358821385984157</v>
      </c>
      <c r="W163" s="634">
        <v>4.0825248125928084</v>
      </c>
      <c r="X163" s="634">
        <v>4.3443747549152931</v>
      </c>
    </row>
    <row r="164" spans="1:24" ht="16">
      <c r="A164" s="634" t="s">
        <v>387</v>
      </c>
      <c r="B164" s="635" t="s">
        <v>388</v>
      </c>
      <c r="C164" s="634" t="s">
        <v>707</v>
      </c>
      <c r="D164" s="635" t="s">
        <v>708</v>
      </c>
      <c r="E164" s="634">
        <v>9.3778991673685965</v>
      </c>
      <c r="F164" s="634">
        <v>9.2270757679888078</v>
      </c>
      <c r="G164" s="634">
        <v>7.6332981912527629</v>
      </c>
      <c r="H164" s="634">
        <v>11.161247324732344</v>
      </c>
      <c r="I164" s="634">
        <v>6.2482575062050785</v>
      </c>
      <c r="J164" s="634">
        <v>7.3346564500675271</v>
      </c>
      <c r="K164" s="634">
        <v>7.9583886984709409</v>
      </c>
      <c r="L164" s="634">
        <v>8.6415081583632229</v>
      </c>
      <c r="M164" s="634">
        <v>4.7198485697826271</v>
      </c>
      <c r="N164" s="634">
        <v>6.1671661516693206</v>
      </c>
      <c r="O164" s="634">
        <v>8.8568555974538015</v>
      </c>
      <c r="P164" s="634">
        <v>5.9707452543109412</v>
      </c>
      <c r="Q164" s="634">
        <v>3.9181709362846533</v>
      </c>
      <c r="R164" s="634">
        <v>8.5164672259240888</v>
      </c>
      <c r="S164" s="634">
        <v>9.4473851861309726</v>
      </c>
      <c r="T164" s="634">
        <v>-3.37368746369782</v>
      </c>
      <c r="U164" s="634">
        <v>10.858432018489552</v>
      </c>
      <c r="V164" s="634">
        <v>8.1612072087291239</v>
      </c>
      <c r="W164" s="634">
        <v>8.249903020145581</v>
      </c>
      <c r="X164" s="634">
        <v>8.8906552957311362</v>
      </c>
    </row>
    <row r="165" spans="1:24" ht="16">
      <c r="A165" s="634" t="s">
        <v>387</v>
      </c>
      <c r="B165" s="635" t="s">
        <v>388</v>
      </c>
      <c r="C165" s="634" t="s">
        <v>709</v>
      </c>
      <c r="D165" s="635" t="s">
        <v>710</v>
      </c>
      <c r="E165" s="634">
        <v>6.6392036130073393</v>
      </c>
      <c r="F165" s="634">
        <v>2.132127146773513</v>
      </c>
      <c r="G165" s="634">
        <v>0.48598255001725477</v>
      </c>
      <c r="H165" s="634">
        <v>3.5561046739500028</v>
      </c>
      <c r="I165" s="634">
        <v>-0.54167760183459279</v>
      </c>
      <c r="J165" s="634">
        <v>6.1247199226124991</v>
      </c>
      <c r="K165" s="634">
        <v>3.8490779466039555</v>
      </c>
      <c r="L165" s="634">
        <v>-3.7321302089026602</v>
      </c>
      <c r="M165" s="634">
        <v>0.10729327648893161</v>
      </c>
      <c r="N165" s="634">
        <v>0.65992376878286052</v>
      </c>
      <c r="O165" s="634">
        <v>3.8503618166493965</v>
      </c>
      <c r="P165" s="634">
        <v>7.9838628784712995</v>
      </c>
      <c r="Q165" s="634">
        <v>1.4062823997130067</v>
      </c>
      <c r="R165" s="634">
        <v>-0.60964710338014072</v>
      </c>
      <c r="S165" s="634">
        <v>4.4518589168869056</v>
      </c>
      <c r="T165" s="634">
        <v>-3.108444010531386</v>
      </c>
      <c r="U165" s="634">
        <v>-7.0788309429150758</v>
      </c>
      <c r="V165" s="634">
        <v>-5.30629089966979</v>
      </c>
      <c r="W165" s="634">
        <v>9.2086492396468884</v>
      </c>
      <c r="X165" s="634">
        <v>9.4223504415869428</v>
      </c>
    </row>
    <row r="166" spans="1:24" ht="16">
      <c r="A166" s="634" t="s">
        <v>387</v>
      </c>
      <c r="B166" s="635" t="s">
        <v>388</v>
      </c>
      <c r="C166" s="634" t="s">
        <v>711</v>
      </c>
      <c r="D166" s="635" t="s">
        <v>712</v>
      </c>
      <c r="E166" s="634">
        <v>2.4251069900142568</v>
      </c>
      <c r="F166" s="634">
        <v>3.830083565459617</v>
      </c>
      <c r="G166" s="634">
        <v>7.1093226022803435</v>
      </c>
      <c r="H166" s="634">
        <v>-0.50093926111458131</v>
      </c>
      <c r="I166" s="634">
        <v>-10.320956576463175</v>
      </c>
      <c r="J166" s="634">
        <v>-5.473684210526315</v>
      </c>
      <c r="K166" s="634">
        <v>-8.3147735708982964</v>
      </c>
      <c r="L166" s="634">
        <v>-7.044534412955457</v>
      </c>
      <c r="M166" s="634">
        <v>-0.78397212543553962</v>
      </c>
      <c r="N166" s="634">
        <v>-0.70237050043898819</v>
      </c>
      <c r="O166" s="634">
        <v>2.2915055612926665</v>
      </c>
      <c r="P166" s="634">
        <v>2.3444058605542466</v>
      </c>
      <c r="Q166" s="634">
        <v>0.25826546632805503</v>
      </c>
      <c r="R166" s="634">
        <v>1.4939053181737023</v>
      </c>
      <c r="S166" s="634">
        <v>2.0656851473274145</v>
      </c>
      <c r="T166" s="634">
        <v>-6.6479108178060216</v>
      </c>
      <c r="U166" s="634">
        <v>13.897789507623386</v>
      </c>
      <c r="V166" s="634">
        <v>7.8984414576760429</v>
      </c>
      <c r="W166" s="634" t="s">
        <v>1705</v>
      </c>
      <c r="X166" s="634" t="s">
        <v>1705</v>
      </c>
    </row>
    <row r="167" spans="1:24" ht="16">
      <c r="A167" s="634" t="s">
        <v>387</v>
      </c>
      <c r="B167" s="635" t="s">
        <v>388</v>
      </c>
      <c r="C167" s="634" t="s">
        <v>713</v>
      </c>
      <c r="D167" s="635" t="s">
        <v>714</v>
      </c>
      <c r="E167" s="634">
        <v>6.6146247503359916</v>
      </c>
      <c r="F167" s="634">
        <v>8.8661093594402587</v>
      </c>
      <c r="G167" s="634">
        <v>3.641471851660242</v>
      </c>
      <c r="H167" s="634">
        <v>6.228785069610197</v>
      </c>
      <c r="I167" s="634">
        <v>3.3023996664506114</v>
      </c>
      <c r="J167" s="634">
        <v>1.4484552289063544</v>
      </c>
      <c r="K167" s="634">
        <v>1.9994321033325946</v>
      </c>
      <c r="L167" s="634">
        <v>2.9429427741602296</v>
      </c>
      <c r="M167" s="634">
        <v>5.1196773542851304</v>
      </c>
      <c r="N167" s="634">
        <v>4.9062104866486749</v>
      </c>
      <c r="O167" s="634">
        <v>1.5397042826734975</v>
      </c>
      <c r="P167" s="634">
        <v>5.1768246868411296</v>
      </c>
      <c r="Q167" s="634">
        <v>4.1129796628195407</v>
      </c>
      <c r="R167" s="634">
        <v>4.3781280826497238</v>
      </c>
      <c r="S167" s="634">
        <v>2.0143167212940654</v>
      </c>
      <c r="T167" s="634">
        <v>2.6248594954381161</v>
      </c>
      <c r="U167" s="634">
        <v>1.8992989133783169</v>
      </c>
      <c r="V167" s="634">
        <v>0.16869849221656352</v>
      </c>
      <c r="W167" s="634">
        <v>0.37225277500145637</v>
      </c>
      <c r="X167" s="634">
        <v>0.90000059899249152</v>
      </c>
    </row>
    <row r="168" spans="1:24" ht="16">
      <c r="A168" s="634" t="s">
        <v>387</v>
      </c>
      <c r="B168" s="635" t="s">
        <v>388</v>
      </c>
      <c r="C168" s="634" t="s">
        <v>715</v>
      </c>
      <c r="D168" s="635" t="s">
        <v>716</v>
      </c>
      <c r="E168" s="634">
        <v>5.9448962393483527</v>
      </c>
      <c r="F168" s="634">
        <v>3.3134847362590136</v>
      </c>
      <c r="G168" s="634">
        <v>2.2136539637252781</v>
      </c>
      <c r="H168" s="634">
        <v>6.237987536545802</v>
      </c>
      <c r="I168" s="634">
        <v>-1.0667171124020314</v>
      </c>
      <c r="J168" s="634">
        <v>5.0395150823516985</v>
      </c>
      <c r="K168" s="634">
        <v>11.75885680520048</v>
      </c>
      <c r="L168" s="634">
        <v>5.7615073241280186</v>
      </c>
      <c r="M168" s="634">
        <v>2.9456999070129655</v>
      </c>
      <c r="N168" s="634">
        <v>4.0246407058452718</v>
      </c>
      <c r="O168" s="634">
        <v>4.655123166526991</v>
      </c>
      <c r="P168" s="634">
        <v>1.7040746576595609</v>
      </c>
      <c r="Q168" s="634">
        <v>1.1820799330852623</v>
      </c>
      <c r="R168" s="634">
        <v>3.2269508901591024</v>
      </c>
      <c r="S168" s="634">
        <v>1.6515635888557654</v>
      </c>
      <c r="T168" s="634">
        <v>-3.8047647303899907</v>
      </c>
      <c r="U168" s="634">
        <v>6.5195969832541891</v>
      </c>
      <c r="V168" s="634">
        <v>12.000587475292889</v>
      </c>
      <c r="W168" s="634">
        <v>0.54259243939316093</v>
      </c>
      <c r="X168" s="634">
        <v>1.8079551514729815</v>
      </c>
    </row>
    <row r="169" spans="1:24" ht="16">
      <c r="A169" s="634" t="s">
        <v>387</v>
      </c>
      <c r="B169" s="635" t="s">
        <v>388</v>
      </c>
      <c r="C169" s="634" t="s">
        <v>717</v>
      </c>
      <c r="D169" s="635" t="s">
        <v>718</v>
      </c>
      <c r="E169" s="634">
        <v>4.3102385263963328</v>
      </c>
      <c r="F169" s="634">
        <v>2.3307709833023864</v>
      </c>
      <c r="G169" s="634">
        <v>2.8271192013337441</v>
      </c>
      <c r="H169" s="634">
        <v>3.7031690639138617</v>
      </c>
      <c r="I169" s="634">
        <v>2.7521044845505287</v>
      </c>
      <c r="J169" s="634">
        <v>3.39088925336209</v>
      </c>
      <c r="K169" s="634">
        <v>1.3340910796125769</v>
      </c>
      <c r="L169" s="634">
        <v>4.002995550904572</v>
      </c>
      <c r="M169" s="634">
        <v>2.4123852760557867</v>
      </c>
      <c r="N169" s="634">
        <v>6.2240744379098629</v>
      </c>
      <c r="O169" s="634">
        <v>6.367043650669828</v>
      </c>
      <c r="P169" s="634">
        <v>6.3560685718187813</v>
      </c>
      <c r="Q169" s="634">
        <v>7.4074861863012984</v>
      </c>
      <c r="R169" s="634">
        <v>6.2092410338908621</v>
      </c>
      <c r="S169" s="634">
        <v>4.6136280974970845</v>
      </c>
      <c r="T169" s="634">
        <v>1.3420737726679022</v>
      </c>
      <c r="U169" s="634">
        <v>6.5440010996430402</v>
      </c>
      <c r="V169" s="634">
        <v>3.8504319373576834</v>
      </c>
      <c r="W169" s="634">
        <v>4.2574308328028962</v>
      </c>
      <c r="X169" s="634">
        <v>6.8920074029138476</v>
      </c>
    </row>
    <row r="170" spans="1:24" ht="16">
      <c r="A170" s="634" t="s">
        <v>387</v>
      </c>
      <c r="B170" s="635" t="s">
        <v>388</v>
      </c>
      <c r="C170" s="634" t="s">
        <v>719</v>
      </c>
      <c r="D170" s="635" t="s">
        <v>720</v>
      </c>
      <c r="E170" s="634">
        <v>5.9034979833987506</v>
      </c>
      <c r="F170" s="634">
        <v>3.9006638550375072</v>
      </c>
      <c r="G170" s="634">
        <v>7.8320716633740233</v>
      </c>
      <c r="H170" s="634">
        <v>5.1608927729224234</v>
      </c>
      <c r="I170" s="634">
        <v>-3.1426104649936661</v>
      </c>
      <c r="J170" s="634">
        <v>1.6109726614483861</v>
      </c>
      <c r="K170" s="634">
        <v>5.4272478583939687E-2</v>
      </c>
      <c r="L170" s="634">
        <v>-0.44395602949771273</v>
      </c>
      <c r="M170" s="634">
        <v>0.45157876294470611</v>
      </c>
      <c r="N170" s="634">
        <v>-1.804270248220476</v>
      </c>
      <c r="O170" s="634">
        <v>1.2957385118974827</v>
      </c>
      <c r="P170" s="634">
        <v>2.975197792119431</v>
      </c>
      <c r="Q170" s="634">
        <v>2.3633937869092421</v>
      </c>
      <c r="R170" s="634">
        <v>4.6493503549100694</v>
      </c>
      <c r="S170" s="634">
        <v>4.7502079389901439</v>
      </c>
      <c r="T170" s="634">
        <v>-0.95002399185159447</v>
      </c>
      <c r="U170" s="634">
        <v>7.9490565047227761</v>
      </c>
      <c r="V170" s="634">
        <v>2.630986444088407</v>
      </c>
      <c r="W170" s="634">
        <v>3.8474711278494169</v>
      </c>
      <c r="X170" s="634">
        <v>3.8780127959719124</v>
      </c>
    </row>
    <row r="171" spans="1:24" ht="16">
      <c r="A171" s="634" t="s">
        <v>387</v>
      </c>
      <c r="B171" s="635" t="s">
        <v>388</v>
      </c>
      <c r="C171" s="634" t="s">
        <v>721</v>
      </c>
      <c r="D171" s="635" t="s">
        <v>722</v>
      </c>
      <c r="E171" s="634">
        <v>9.0057617374237964</v>
      </c>
      <c r="F171" s="634">
        <v>9.4061285573282731</v>
      </c>
      <c r="G171" s="634">
        <v>8.8760664557087949</v>
      </c>
      <c r="H171" s="634">
        <v>-2.7259462615486427</v>
      </c>
      <c r="I171" s="634">
        <v>-2.4793759472613743</v>
      </c>
      <c r="J171" s="634">
        <v>4.5051320431206676</v>
      </c>
      <c r="K171" s="634">
        <v>9.5097833517957042</v>
      </c>
      <c r="L171" s="634">
        <v>3.1106784939242971</v>
      </c>
      <c r="M171" s="634">
        <v>1.2537349624294905</v>
      </c>
      <c r="N171" s="634">
        <v>4.0636918123521042</v>
      </c>
      <c r="O171" s="634">
        <v>8.9140088750469033</v>
      </c>
      <c r="P171" s="634">
        <v>12.117527245391344</v>
      </c>
      <c r="Q171" s="634">
        <v>6.954162187942714</v>
      </c>
      <c r="R171" s="634">
        <v>4.9394727225431154</v>
      </c>
      <c r="S171" s="634">
        <v>5.5142920737341967</v>
      </c>
      <c r="T171" s="634">
        <v>-11.739860828173192</v>
      </c>
      <c r="U171" s="634">
        <v>0.55228163120727913</v>
      </c>
      <c r="V171" s="634">
        <v>12.710468890283551</v>
      </c>
      <c r="W171" s="634">
        <v>2.2592532228328537</v>
      </c>
      <c r="X171" s="634">
        <v>3.4656806641534104</v>
      </c>
    </row>
    <row r="172" spans="1:24" ht="16">
      <c r="A172" s="634" t="s">
        <v>387</v>
      </c>
      <c r="B172" s="635" t="s">
        <v>388</v>
      </c>
      <c r="C172" s="634" t="s">
        <v>723</v>
      </c>
      <c r="D172" s="635" t="s">
        <v>724</v>
      </c>
      <c r="E172" s="634">
        <v>4.3534998939362595</v>
      </c>
      <c r="F172" s="634">
        <v>4.283110499973958</v>
      </c>
      <c r="G172" s="634">
        <v>3.7497580475164085</v>
      </c>
      <c r="H172" s="634">
        <v>3.686059699321234</v>
      </c>
      <c r="I172" s="634">
        <v>1.5308032395871578</v>
      </c>
      <c r="J172" s="634">
        <v>6.3556659580049484</v>
      </c>
      <c r="K172" s="634">
        <v>8.1006551871491723</v>
      </c>
      <c r="L172" s="634">
        <v>10.578331663386976</v>
      </c>
      <c r="M172" s="634">
        <v>14.663323807522914</v>
      </c>
      <c r="N172" s="634">
        <v>-7.8150151245724118</v>
      </c>
      <c r="O172" s="634">
        <v>-4.3633326209378822</v>
      </c>
      <c r="P172" s="634">
        <v>6.4374365276425749</v>
      </c>
      <c r="Q172" s="634">
        <v>3.2078608771598738</v>
      </c>
      <c r="R172" s="634">
        <v>2.8938564123676969</v>
      </c>
      <c r="S172" s="634">
        <v>5.5027093737815278</v>
      </c>
      <c r="T172" s="634">
        <v>-1.2533490322766028</v>
      </c>
      <c r="U172" s="634">
        <v>5.8968527047094028</v>
      </c>
      <c r="V172" s="634">
        <v>5.3135546141915029</v>
      </c>
      <c r="W172" s="634">
        <v>5.7100218981805995</v>
      </c>
      <c r="X172" s="634">
        <v>4.0000000257011266</v>
      </c>
    </row>
    <row r="173" spans="1:24" ht="16">
      <c r="A173" s="634" t="s">
        <v>387</v>
      </c>
      <c r="B173" s="635" t="s">
        <v>388</v>
      </c>
      <c r="C173" s="634" t="s">
        <v>231</v>
      </c>
      <c r="D173" s="635" t="s">
        <v>725</v>
      </c>
      <c r="E173" s="634">
        <v>7.366322392507584</v>
      </c>
      <c r="F173" s="634">
        <v>9.0067660787175754</v>
      </c>
      <c r="G173" s="634">
        <v>9.0215195126889256</v>
      </c>
      <c r="H173" s="634">
        <v>1.8634834546203507</v>
      </c>
      <c r="I173" s="634">
        <v>0.1279533827780881</v>
      </c>
      <c r="J173" s="634">
        <v>14.519749710899404</v>
      </c>
      <c r="K173" s="634">
        <v>6.2149341685898918</v>
      </c>
      <c r="L173" s="634">
        <v>4.4354975937853709</v>
      </c>
      <c r="M173" s="634">
        <v>4.8176309912067552</v>
      </c>
      <c r="N173" s="634">
        <v>3.9355402770900696</v>
      </c>
      <c r="O173" s="634">
        <v>2.9767993163480639</v>
      </c>
      <c r="P173" s="634">
        <v>3.7475784879279246</v>
      </c>
      <c r="Q173" s="634">
        <v>4.4768991584587638</v>
      </c>
      <c r="R173" s="634">
        <v>3.4519759658686979</v>
      </c>
      <c r="S173" s="634">
        <v>1.3080411815312658</v>
      </c>
      <c r="T173" s="634">
        <v>-3.8147088551071278</v>
      </c>
      <c r="U173" s="634">
        <v>9.7568044629903028</v>
      </c>
      <c r="V173" s="634">
        <v>4.1080002189715117</v>
      </c>
      <c r="W173" s="634">
        <v>1.8214069411538532</v>
      </c>
      <c r="X173" s="634">
        <v>4.3880236246186541</v>
      </c>
    </row>
    <row r="174" spans="1:24" ht="16">
      <c r="A174" s="634" t="s">
        <v>387</v>
      </c>
      <c r="B174" s="635" t="s">
        <v>388</v>
      </c>
      <c r="C174" s="634" t="s">
        <v>726</v>
      </c>
      <c r="D174" s="635" t="s">
        <v>727</v>
      </c>
      <c r="E174" s="634" t="s">
        <v>1705</v>
      </c>
      <c r="F174" s="634" t="s">
        <v>1705</v>
      </c>
      <c r="G174" s="634" t="s">
        <v>1705</v>
      </c>
      <c r="H174" s="634" t="s">
        <v>1705</v>
      </c>
      <c r="I174" s="634" t="s">
        <v>1705</v>
      </c>
      <c r="J174" s="634">
        <v>3.1999926921936606</v>
      </c>
      <c r="K174" s="634">
        <v>4.6000034141539459</v>
      </c>
      <c r="L174" s="634">
        <v>1.3905445677313111</v>
      </c>
      <c r="M174" s="634">
        <v>1.3067310345967798</v>
      </c>
      <c r="N174" s="634">
        <v>1.5803822153911256</v>
      </c>
      <c r="O174" s="634">
        <v>0.10581314999700453</v>
      </c>
      <c r="P174" s="634">
        <v>0.96775836306881047</v>
      </c>
      <c r="Q174" s="634">
        <v>-7.5352139988242754</v>
      </c>
      <c r="R174" s="634">
        <v>-6.8569829922794412</v>
      </c>
      <c r="S174" s="634">
        <v>10.965000935239203</v>
      </c>
      <c r="T174" s="634">
        <v>-13.316788722156687</v>
      </c>
      <c r="U174" s="634">
        <v>4.5775967793334473</v>
      </c>
      <c r="V174" s="634">
        <v>9.8000011114577745</v>
      </c>
      <c r="W174" s="634">
        <v>3.7999999999999972</v>
      </c>
      <c r="X174" s="634">
        <v>3.4999999999999858</v>
      </c>
    </row>
    <row r="175" spans="1:24" ht="16">
      <c r="A175" s="634" t="s">
        <v>387</v>
      </c>
      <c r="B175" s="635" t="s">
        <v>388</v>
      </c>
      <c r="C175" s="634" t="s">
        <v>728</v>
      </c>
      <c r="D175" s="635" t="s">
        <v>729</v>
      </c>
      <c r="E175" s="634">
        <v>6.4849322227438648</v>
      </c>
      <c r="F175" s="634">
        <v>8.925687047702155</v>
      </c>
      <c r="G175" s="634">
        <v>10.818629507490357</v>
      </c>
      <c r="H175" s="634">
        <v>5.3633772123194916</v>
      </c>
      <c r="I175" s="634">
        <v>-5.5053379097222575</v>
      </c>
      <c r="J175" s="634">
        <v>6.7905815914242282</v>
      </c>
      <c r="K175" s="634">
        <v>2.5624247321555345</v>
      </c>
      <c r="L175" s="634">
        <v>1.569171047027055</v>
      </c>
      <c r="M175" s="634">
        <v>0.70332354524720131</v>
      </c>
      <c r="N175" s="634">
        <v>2.70795151449488</v>
      </c>
      <c r="O175" s="634">
        <v>5.176879097221331</v>
      </c>
      <c r="P175" s="634">
        <v>1.9478184152455782</v>
      </c>
      <c r="Q175" s="634">
        <v>2.8747332745369505</v>
      </c>
      <c r="R175" s="634">
        <v>4.0621198189648311</v>
      </c>
      <c r="S175" s="634">
        <v>2.2758991001939251</v>
      </c>
      <c r="T175" s="634">
        <v>-2.5855124173320689</v>
      </c>
      <c r="U175" s="634">
        <v>5.6995926329251034</v>
      </c>
      <c r="V175" s="634">
        <v>0.43735950856917327</v>
      </c>
      <c r="W175" s="634">
        <v>2.1681491156957406</v>
      </c>
      <c r="X175" s="634">
        <v>2.0616777177357619</v>
      </c>
    </row>
    <row r="176" spans="1:24" ht="16">
      <c r="A176" s="634" t="s">
        <v>387</v>
      </c>
      <c r="B176" s="635" t="s">
        <v>388</v>
      </c>
      <c r="C176" s="634" t="s">
        <v>730</v>
      </c>
      <c r="D176" s="635" t="s">
        <v>731</v>
      </c>
      <c r="E176" s="634">
        <v>3.854127711456897</v>
      </c>
      <c r="F176" s="634">
        <v>5.9087813001117411</v>
      </c>
      <c r="G176" s="634">
        <v>7.139231291471603</v>
      </c>
      <c r="H176" s="634">
        <v>3.3722386611412674</v>
      </c>
      <c r="I176" s="634">
        <v>-7.5905861404638699</v>
      </c>
      <c r="J176" s="634">
        <v>1.1121371930673547</v>
      </c>
      <c r="K176" s="634">
        <v>0.65543812837974258</v>
      </c>
      <c r="L176" s="634">
        <v>-2.9155378204046229</v>
      </c>
      <c r="M176" s="634">
        <v>-0.82377641769167553</v>
      </c>
      <c r="N176" s="634">
        <v>2.7628332763974157</v>
      </c>
      <c r="O176" s="634">
        <v>2.3933062133816776</v>
      </c>
      <c r="P176" s="634">
        <v>3.0344148666365385</v>
      </c>
      <c r="Q176" s="634">
        <v>5.1744021557995836</v>
      </c>
      <c r="R176" s="634">
        <v>4.379083473311951</v>
      </c>
      <c r="S176" s="634">
        <v>3.5052533238191188</v>
      </c>
      <c r="T176" s="634">
        <v>-4.0850009494289594</v>
      </c>
      <c r="U176" s="634">
        <v>8.3896515818722435</v>
      </c>
      <c r="V176" s="634">
        <v>2.6992387452382758</v>
      </c>
      <c r="W176" s="634">
        <v>2.1125909846062711</v>
      </c>
      <c r="X176" s="634">
        <v>1.5910147992140224</v>
      </c>
    </row>
    <row r="177" spans="1:24" ht="16">
      <c r="A177" s="634" t="s">
        <v>387</v>
      </c>
      <c r="B177" s="635" t="s">
        <v>388</v>
      </c>
      <c r="C177" s="634" t="s">
        <v>732</v>
      </c>
      <c r="D177" s="635" t="s">
        <v>733</v>
      </c>
      <c r="E177" s="634">
        <v>7.3578419335601666</v>
      </c>
      <c r="F177" s="634">
        <v>4.1382803182538481</v>
      </c>
      <c r="G177" s="634">
        <v>3.6396724294813509</v>
      </c>
      <c r="H177" s="634">
        <v>6.2259695437619058</v>
      </c>
      <c r="I177" s="634">
        <v>2.8642679016743813</v>
      </c>
      <c r="J177" s="634">
        <v>9.7083881692872467</v>
      </c>
      <c r="K177" s="634">
        <v>7.4299496167590746</v>
      </c>
      <c r="L177" s="634">
        <v>2.4660013869788315</v>
      </c>
      <c r="M177" s="634">
        <v>5.2377401778032748</v>
      </c>
      <c r="N177" s="634">
        <v>1.1892174709235803</v>
      </c>
      <c r="O177" s="634">
        <v>1.6761461564977651</v>
      </c>
      <c r="P177" s="634">
        <v>5.5547315336695391</v>
      </c>
      <c r="Q177" s="634">
        <v>3.0753480342463604</v>
      </c>
      <c r="R177" s="634">
        <v>2.7459954233409576</v>
      </c>
      <c r="S177" s="634">
        <v>1.7485665545183195</v>
      </c>
      <c r="T177" s="634">
        <v>-3.3811475409836049</v>
      </c>
      <c r="U177" s="634">
        <v>2.5643497541694842</v>
      </c>
      <c r="V177" s="634">
        <v>2.4024814362252158</v>
      </c>
      <c r="W177" s="634">
        <v>2.6563618673471296</v>
      </c>
      <c r="X177" s="634">
        <v>2.5393419170243163</v>
      </c>
    </row>
    <row r="178" spans="1:24" ht="16">
      <c r="A178" s="634" t="s">
        <v>387</v>
      </c>
      <c r="B178" s="635" t="s">
        <v>388</v>
      </c>
      <c r="C178" s="634" t="s">
        <v>734</v>
      </c>
      <c r="D178" s="635" t="s">
        <v>735</v>
      </c>
      <c r="E178" s="634">
        <v>7.110314311244295</v>
      </c>
      <c r="F178" s="634">
        <v>6.4863707327001237</v>
      </c>
      <c r="G178" s="634">
        <v>6.6943519256080748</v>
      </c>
      <c r="H178" s="634">
        <v>6.6943519256986264</v>
      </c>
      <c r="I178" s="634">
        <v>6.6943519256186477</v>
      </c>
      <c r="J178" s="634">
        <v>6.6943519255630264</v>
      </c>
      <c r="K178" s="634">
        <v>6.6943519256344359</v>
      </c>
      <c r="L178" s="634">
        <v>6.6943519255431028</v>
      </c>
      <c r="M178" s="634">
        <v>10.959298616474285</v>
      </c>
      <c r="N178" s="634">
        <v>8.9780059057323882</v>
      </c>
      <c r="O178" s="634">
        <v>10.46218812351654</v>
      </c>
      <c r="P178" s="634">
        <v>7.034872600420556</v>
      </c>
      <c r="Q178" s="634">
        <v>14.735795604528292</v>
      </c>
      <c r="R178" s="634">
        <v>2.0543150725943633</v>
      </c>
      <c r="S178" s="634">
        <v>2.8243133654527952</v>
      </c>
      <c r="T178" s="634">
        <v>-2.7524810392823866</v>
      </c>
      <c r="U178" s="634">
        <v>3.4582279293904605</v>
      </c>
      <c r="V178" s="634">
        <v>2.7271142958214654</v>
      </c>
      <c r="W178" s="634">
        <v>4.216384326108539</v>
      </c>
      <c r="X178" s="634">
        <v>3.9723208086603279</v>
      </c>
    </row>
    <row r="179" spans="1:24" ht="16">
      <c r="A179" s="634" t="s">
        <v>387</v>
      </c>
      <c r="B179" s="635" t="s">
        <v>388</v>
      </c>
      <c r="C179" s="634" t="s">
        <v>736</v>
      </c>
      <c r="D179" s="635" t="s">
        <v>737</v>
      </c>
      <c r="E179" s="634">
        <v>5.2770519729546663</v>
      </c>
      <c r="F179" s="634">
        <v>5.6038064589588856</v>
      </c>
      <c r="G179" s="634">
        <v>5.3604740539416156</v>
      </c>
      <c r="H179" s="634">
        <v>3.1910438863287993</v>
      </c>
      <c r="I179" s="634">
        <v>-1.5380891352558308</v>
      </c>
      <c r="J179" s="634">
        <v>3.0397328812795621</v>
      </c>
      <c r="K179" s="634">
        <v>3.1685562785881842</v>
      </c>
      <c r="L179" s="634">
        <v>2.396232384657452</v>
      </c>
      <c r="M179" s="634">
        <v>2.4854680082658831</v>
      </c>
      <c r="N179" s="634">
        <v>1.4138264522379274</v>
      </c>
      <c r="O179" s="634">
        <v>1.3218622367822945</v>
      </c>
      <c r="P179" s="634">
        <v>0.66455230785811636</v>
      </c>
      <c r="Q179" s="634">
        <v>1.1579469518173511</v>
      </c>
      <c r="R179" s="634">
        <v>1.5567838472167637</v>
      </c>
      <c r="S179" s="634">
        <v>0.25993557687633029</v>
      </c>
      <c r="T179" s="634">
        <v>-6.1689177146757004</v>
      </c>
      <c r="U179" s="634">
        <v>4.9550325944075553</v>
      </c>
      <c r="V179" s="634">
        <v>1.9114799603350434</v>
      </c>
      <c r="W179" s="634">
        <v>0.69848519372483509</v>
      </c>
      <c r="X179" s="634">
        <v>0.5798536923039137</v>
      </c>
    </row>
    <row r="180" spans="1:24" ht="16">
      <c r="A180" s="634" t="s">
        <v>387</v>
      </c>
      <c r="B180" s="635" t="s">
        <v>388</v>
      </c>
      <c r="C180" s="634" t="s">
        <v>738</v>
      </c>
      <c r="D180" s="635" t="s">
        <v>739</v>
      </c>
      <c r="E180" s="634" t="s">
        <v>1705</v>
      </c>
      <c r="F180" s="634" t="s">
        <v>1705</v>
      </c>
      <c r="G180" s="634" t="s">
        <v>1705</v>
      </c>
      <c r="H180" s="634" t="s">
        <v>1705</v>
      </c>
      <c r="I180" s="634">
        <v>5.0416418798334206</v>
      </c>
      <c r="J180" s="634">
        <v>5.4934163952994481</v>
      </c>
      <c r="K180" s="634">
        <v>-4.640316736008586</v>
      </c>
      <c r="L180" s="634">
        <v>-46.082122374300695</v>
      </c>
      <c r="M180" s="634">
        <v>13.129731140694332</v>
      </c>
      <c r="N180" s="634">
        <v>3.37364847715736</v>
      </c>
      <c r="O180" s="634">
        <v>-10.793364627114315</v>
      </c>
      <c r="P180" s="634" t="s">
        <v>1705</v>
      </c>
      <c r="Q180" s="634" t="s">
        <v>1705</v>
      </c>
      <c r="R180" s="634" t="s">
        <v>1705</v>
      </c>
      <c r="S180" s="634" t="s">
        <v>1705</v>
      </c>
      <c r="T180" s="634" t="s">
        <v>1705</v>
      </c>
      <c r="U180" s="634" t="s">
        <v>1705</v>
      </c>
      <c r="V180" s="634" t="s">
        <v>1705</v>
      </c>
      <c r="W180" s="634" t="s">
        <v>1705</v>
      </c>
      <c r="X180" s="634" t="s">
        <v>1705</v>
      </c>
    </row>
    <row r="181" spans="1:24" ht="16">
      <c r="A181" s="634" t="s">
        <v>387</v>
      </c>
      <c r="B181" s="635" t="s">
        <v>388</v>
      </c>
      <c r="C181" s="634" t="s">
        <v>740</v>
      </c>
      <c r="D181" s="635" t="s">
        <v>741</v>
      </c>
      <c r="E181" s="634">
        <v>3.5512255846124958</v>
      </c>
      <c r="F181" s="634">
        <v>4.0434351560509896</v>
      </c>
      <c r="G181" s="634">
        <v>3.5335001316597214</v>
      </c>
      <c r="H181" s="634">
        <v>0.76716574829069373</v>
      </c>
      <c r="I181" s="634">
        <v>-3.7681330694005339</v>
      </c>
      <c r="J181" s="634">
        <v>9.4122311636951395E-2</v>
      </c>
      <c r="K181" s="634">
        <v>-0.63992063652034403</v>
      </c>
      <c r="L181" s="634">
        <v>-2.8651136863774838</v>
      </c>
      <c r="M181" s="634">
        <v>-1.4273222475762566</v>
      </c>
      <c r="N181" s="634">
        <v>1.520485936472312</v>
      </c>
      <c r="O181" s="634">
        <v>4.0608667247386592</v>
      </c>
      <c r="P181" s="634">
        <v>2.9151559859578668</v>
      </c>
      <c r="Q181" s="634">
        <v>2.8960420786500691</v>
      </c>
      <c r="R181" s="634">
        <v>2.3954112447887752</v>
      </c>
      <c r="S181" s="634">
        <v>1.9611785084171061</v>
      </c>
      <c r="T181" s="634">
        <v>-10.94007063503706</v>
      </c>
      <c r="U181" s="634">
        <v>6.6831442047300129</v>
      </c>
      <c r="V181" s="634">
        <v>6.1793121996611404</v>
      </c>
      <c r="W181" s="634">
        <v>2.6756634629065985</v>
      </c>
      <c r="X181" s="634">
        <v>3.1501956451722322</v>
      </c>
    </row>
    <row r="182" spans="1:24" ht="16">
      <c r="A182" s="634" t="s">
        <v>387</v>
      </c>
      <c r="B182" s="635" t="s">
        <v>388</v>
      </c>
      <c r="C182" s="634" t="s">
        <v>742</v>
      </c>
      <c r="D182" s="635" t="s">
        <v>743</v>
      </c>
      <c r="E182" s="634">
        <v>6.2417480437644741</v>
      </c>
      <c r="F182" s="634">
        <v>7.6682919010791863</v>
      </c>
      <c r="G182" s="634">
        <v>6.7968261189286636</v>
      </c>
      <c r="H182" s="634">
        <v>5.9500881447389702</v>
      </c>
      <c r="I182" s="634">
        <v>3.5389120531784215</v>
      </c>
      <c r="J182" s="634">
        <v>8.0159673704046384</v>
      </c>
      <c r="K182" s="634">
        <v>8.6694830116057062</v>
      </c>
      <c r="L182" s="634">
        <v>8.6321813802403824</v>
      </c>
      <c r="M182" s="634">
        <v>4.0517463292691076</v>
      </c>
      <c r="N182" s="634">
        <v>6.3779788928939922</v>
      </c>
      <c r="O182" s="634">
        <v>4.2059554767764666</v>
      </c>
      <c r="P182" s="634">
        <v>5.0536248899443592</v>
      </c>
      <c r="Q182" s="634">
        <v>6.4606812706575312</v>
      </c>
      <c r="R182" s="634">
        <v>2.3100842554584489</v>
      </c>
      <c r="S182" s="634">
        <v>-0.22048388683127484</v>
      </c>
      <c r="T182" s="634">
        <v>-4.6245150374950157</v>
      </c>
      <c r="U182" s="634">
        <v>4.2074764951156993</v>
      </c>
      <c r="V182" s="634">
        <v>-7.349193013067449</v>
      </c>
      <c r="W182" s="634">
        <v>-2.3298481898333989</v>
      </c>
      <c r="X182" s="634">
        <v>5.008719309571589</v>
      </c>
    </row>
    <row r="183" spans="1:24" ht="16">
      <c r="A183" s="634" t="s">
        <v>387</v>
      </c>
      <c r="B183" s="635" t="s">
        <v>388</v>
      </c>
      <c r="C183" s="634" t="s">
        <v>744</v>
      </c>
      <c r="D183" s="635" t="s">
        <v>745</v>
      </c>
      <c r="E183" s="634">
        <v>9.7328207029801632</v>
      </c>
      <c r="F183" s="634">
        <v>3.1503811996822293</v>
      </c>
      <c r="G183" s="634">
        <v>0.60060232654375056</v>
      </c>
      <c r="H183" s="634">
        <v>11.317035826710935</v>
      </c>
      <c r="I183" s="634">
        <v>-3.4047401537624467</v>
      </c>
      <c r="J183" s="634">
        <v>-5.4194206533054512E-2</v>
      </c>
      <c r="K183" s="634">
        <v>1.6166073042368794</v>
      </c>
      <c r="L183" s="634">
        <v>-0.73763673744839764</v>
      </c>
      <c r="M183" s="634">
        <v>5.7272808723470376</v>
      </c>
      <c r="N183" s="634">
        <v>7.5769660232892164</v>
      </c>
      <c r="O183" s="634">
        <v>0.69413552787662525</v>
      </c>
      <c r="P183" s="634">
        <v>3.9327031927328164</v>
      </c>
      <c r="Q183" s="634">
        <v>0.22094114729999603</v>
      </c>
      <c r="R183" s="634">
        <v>2.0035254980097221</v>
      </c>
      <c r="S183" s="634">
        <v>2.9382465805635576</v>
      </c>
      <c r="T183" s="634">
        <v>-15.301889174064883</v>
      </c>
      <c r="U183" s="634">
        <v>0.36760687921631074</v>
      </c>
      <c r="V183" s="634">
        <v>10.342404054602511</v>
      </c>
      <c r="W183" s="634">
        <v>4.3285577155980519</v>
      </c>
      <c r="X183" s="634">
        <v>1.1664402290745954</v>
      </c>
    </row>
    <row r="184" spans="1:24" ht="16">
      <c r="A184" s="634" t="s">
        <v>387</v>
      </c>
      <c r="B184" s="635" t="s">
        <v>388</v>
      </c>
      <c r="C184" s="634" t="s">
        <v>746</v>
      </c>
      <c r="D184" s="635" t="s">
        <v>747</v>
      </c>
      <c r="E184" s="634">
        <v>-0.41030472629023507</v>
      </c>
      <c r="F184" s="634">
        <v>6.1952572914104849</v>
      </c>
      <c r="G184" s="634">
        <v>1.691618574339131</v>
      </c>
      <c r="H184" s="634">
        <v>4.9493219402805693</v>
      </c>
      <c r="I184" s="634">
        <v>-2.828899548306282</v>
      </c>
      <c r="J184" s="634">
        <v>0.33001854607148573</v>
      </c>
      <c r="K184" s="634">
        <v>4.3269428053214227</v>
      </c>
      <c r="L184" s="634">
        <v>-0.10875614826235847</v>
      </c>
      <c r="M184" s="634">
        <v>-1.8187760373599104</v>
      </c>
      <c r="N184" s="634">
        <v>1.3280902211010499</v>
      </c>
      <c r="O184" s="634">
        <v>0.1019178364129516</v>
      </c>
      <c r="P184" s="634">
        <v>3.4278721452521097</v>
      </c>
      <c r="Q184" s="634">
        <v>3.3798261727224599</v>
      </c>
      <c r="R184" s="634">
        <v>2.8867790217160092</v>
      </c>
      <c r="S184" s="634">
        <v>-0.70032239629944115</v>
      </c>
      <c r="T184" s="634">
        <v>-24.361473212912244</v>
      </c>
      <c r="U184" s="634">
        <v>11.598783583642984</v>
      </c>
      <c r="V184" s="634">
        <v>20.388443182841428</v>
      </c>
      <c r="W184" s="634">
        <v>2.2098827652651636</v>
      </c>
      <c r="X184" s="634">
        <v>3.8917502421889765</v>
      </c>
    </row>
    <row r="185" spans="1:24" ht="16">
      <c r="A185" s="634" t="s">
        <v>387</v>
      </c>
      <c r="B185" s="635" t="s">
        <v>388</v>
      </c>
      <c r="C185" s="634" t="s">
        <v>748</v>
      </c>
      <c r="D185" s="635" t="s">
        <v>749</v>
      </c>
      <c r="E185" s="634" t="s">
        <v>1705</v>
      </c>
      <c r="F185" s="634" t="s">
        <v>1705</v>
      </c>
      <c r="G185" s="634" t="s">
        <v>1705</v>
      </c>
      <c r="H185" s="634" t="s">
        <v>1705</v>
      </c>
      <c r="I185" s="634" t="s">
        <v>1705</v>
      </c>
      <c r="J185" s="634" t="s">
        <v>1705</v>
      </c>
      <c r="K185" s="634" t="s">
        <v>1705</v>
      </c>
      <c r="L185" s="634" t="s">
        <v>1705</v>
      </c>
      <c r="M185" s="634" t="s">
        <v>1705</v>
      </c>
      <c r="N185" s="634" t="s">
        <v>1705</v>
      </c>
      <c r="O185" s="634">
        <v>1</v>
      </c>
      <c r="P185" s="634">
        <v>5</v>
      </c>
      <c r="Q185" s="634">
        <v>-8.0000032403829522</v>
      </c>
      <c r="R185" s="634">
        <v>-7.9999950689822867</v>
      </c>
      <c r="S185" s="634">
        <v>6.5000036370082057</v>
      </c>
      <c r="T185" s="634">
        <v>-12.500002246730958</v>
      </c>
      <c r="U185" s="634">
        <v>4.8999996713353369</v>
      </c>
      <c r="V185" s="634" t="s">
        <v>1705</v>
      </c>
      <c r="W185" s="634" t="s">
        <v>1705</v>
      </c>
      <c r="X185" s="634" t="s">
        <v>1705</v>
      </c>
    </row>
    <row r="186" spans="1:24" ht="16">
      <c r="A186" s="634" t="s">
        <v>387</v>
      </c>
      <c r="B186" s="635" t="s">
        <v>388</v>
      </c>
      <c r="C186" s="634" t="s">
        <v>750</v>
      </c>
      <c r="D186" s="635" t="s">
        <v>751</v>
      </c>
      <c r="E186" s="634">
        <v>2.4885573393813161</v>
      </c>
      <c r="F186" s="634">
        <v>6.9969262675882504</v>
      </c>
      <c r="G186" s="634">
        <v>3.3229685982929027</v>
      </c>
      <c r="H186" s="634">
        <v>0.40464080863888796</v>
      </c>
      <c r="I186" s="634">
        <v>-1.3781936056056026</v>
      </c>
      <c r="J186" s="634">
        <v>-4.4704679350780197</v>
      </c>
      <c r="K186" s="634">
        <v>-0.60627665148327026</v>
      </c>
      <c r="L186" s="634">
        <v>1.1691121837647813</v>
      </c>
      <c r="M186" s="634">
        <v>2.4624841721544044</v>
      </c>
      <c r="N186" s="634">
        <v>1.2502543692718149</v>
      </c>
      <c r="O186" s="634">
        <v>2.7831611943520187</v>
      </c>
      <c r="P186" s="634">
        <v>4.1459316818393432</v>
      </c>
      <c r="Q186" s="634">
        <v>1.448830633671605</v>
      </c>
      <c r="R186" s="634">
        <v>3.1756114423991022</v>
      </c>
      <c r="S186" s="634">
        <v>0.66842848108423425</v>
      </c>
      <c r="T186" s="634">
        <v>-4.268924344226491</v>
      </c>
      <c r="U186" s="634">
        <v>2.0934012446545864</v>
      </c>
      <c r="V186" s="634">
        <v>3.1108330034352036</v>
      </c>
      <c r="W186" s="634">
        <v>5.3263647209871721</v>
      </c>
      <c r="X186" s="634">
        <v>4.0618349005020917</v>
      </c>
    </row>
    <row r="187" spans="1:24" ht="16">
      <c r="A187" s="634" t="s">
        <v>387</v>
      </c>
      <c r="B187" s="635" t="s">
        <v>388</v>
      </c>
      <c r="C187" s="634" t="s">
        <v>752</v>
      </c>
      <c r="D187" s="635" t="s">
        <v>753</v>
      </c>
      <c r="E187" s="634">
        <v>5.6435155134363129</v>
      </c>
      <c r="F187" s="634">
        <v>6.5314117467791988</v>
      </c>
      <c r="G187" s="634">
        <v>5.735274236644841</v>
      </c>
      <c r="H187" s="634">
        <v>3.8467447312105776</v>
      </c>
      <c r="I187" s="634">
        <v>-2.7677043659913778</v>
      </c>
      <c r="J187" s="634">
        <v>3.8582419523010714</v>
      </c>
      <c r="K187" s="634">
        <v>-3.2135320925337112</v>
      </c>
      <c r="L187" s="634">
        <v>-17.004688404894466</v>
      </c>
      <c r="M187" s="634">
        <v>1.9551446330242186</v>
      </c>
      <c r="N187" s="634">
        <v>4.6613795422987323</v>
      </c>
      <c r="O187" s="634">
        <v>1.9101768905275094</v>
      </c>
      <c r="P187" s="634">
        <v>3.4676421840928811</v>
      </c>
      <c r="Q187" s="634">
        <v>0.70925628476643965</v>
      </c>
      <c r="R187" s="634">
        <v>-2.6809305497998963</v>
      </c>
      <c r="S187" s="634">
        <v>-2.178251045300911</v>
      </c>
      <c r="T187" s="634">
        <v>-3.6298008241075195</v>
      </c>
      <c r="U187" s="634">
        <v>-1.8685204827206974</v>
      </c>
      <c r="V187" s="634">
        <v>-0.95781659111918316</v>
      </c>
      <c r="W187" s="634">
        <v>-29.433271832514947</v>
      </c>
      <c r="X187" s="634">
        <v>-13.493292059286887</v>
      </c>
    </row>
    <row r="188" spans="1:24" ht="16">
      <c r="A188" s="634" t="s">
        <v>387</v>
      </c>
      <c r="B188" s="635" t="s">
        <v>388</v>
      </c>
      <c r="C188" s="634" t="s">
        <v>754</v>
      </c>
      <c r="D188" s="635" t="s">
        <v>755</v>
      </c>
      <c r="E188" s="634">
        <v>4.5000002108688761</v>
      </c>
      <c r="F188" s="634">
        <v>5.7935435846330421</v>
      </c>
      <c r="G188" s="634">
        <v>5.1114877777345811</v>
      </c>
      <c r="H188" s="634">
        <v>4.1434068116562628</v>
      </c>
      <c r="I188" s="634">
        <v>3.0136989826621061</v>
      </c>
      <c r="J188" s="634">
        <v>5.1688251522581368</v>
      </c>
      <c r="K188" s="634">
        <v>5.8493676717300929</v>
      </c>
      <c r="L188" s="634">
        <v>2.6903497466884687</v>
      </c>
      <c r="M188" s="634">
        <v>2.9334416518612016</v>
      </c>
      <c r="N188" s="634">
        <v>0.25550303164547472</v>
      </c>
      <c r="O188" s="634">
        <v>-3.4130426806762131</v>
      </c>
      <c r="P188" s="634">
        <v>-4.9116605090585068</v>
      </c>
      <c r="Q188" s="634">
        <v>1.5660378253489711</v>
      </c>
      <c r="R188" s="634">
        <v>4.9482710846888551</v>
      </c>
      <c r="S188" s="634">
        <v>1.167589772338772</v>
      </c>
      <c r="T188" s="634">
        <v>-15.975191714862191</v>
      </c>
      <c r="U188" s="634">
        <v>-2.4353858361283756</v>
      </c>
      <c r="V188" s="634">
        <v>2.4062223560121794</v>
      </c>
      <c r="W188" s="634">
        <v>2.5395667544682539</v>
      </c>
      <c r="X188" s="634">
        <v>2.8395860284605448</v>
      </c>
    </row>
    <row r="189" spans="1:24" ht="16">
      <c r="A189" s="634" t="s">
        <v>387</v>
      </c>
      <c r="B189" s="635" t="s">
        <v>388</v>
      </c>
      <c r="C189" s="634" t="s">
        <v>756</v>
      </c>
      <c r="D189" s="635" t="s">
        <v>757</v>
      </c>
      <c r="E189" s="634">
        <v>2.7931768601992246</v>
      </c>
      <c r="F189" s="634">
        <v>4.67599870313569</v>
      </c>
      <c r="G189" s="634">
        <v>3.2249113242818623</v>
      </c>
      <c r="H189" s="634">
        <v>-0.92312308560221368</v>
      </c>
      <c r="I189" s="634">
        <v>-4.255573744728153</v>
      </c>
      <c r="J189" s="634">
        <v>5.7507358394407078</v>
      </c>
      <c r="K189" s="634">
        <v>3.163910496657877</v>
      </c>
      <c r="L189" s="634">
        <v>-0.41446573683597876</v>
      </c>
      <c r="M189" s="634">
        <v>1.1377165076810201</v>
      </c>
      <c r="N189" s="634">
        <v>2.2957637921659853</v>
      </c>
      <c r="O189" s="634">
        <v>4.4101406870299371</v>
      </c>
      <c r="P189" s="634">
        <v>2.3497408070902566</v>
      </c>
      <c r="Q189" s="634">
        <v>1.8251560179848951</v>
      </c>
      <c r="R189" s="634">
        <v>1.9029645725483419</v>
      </c>
      <c r="S189" s="634">
        <v>2.5496478720310449</v>
      </c>
      <c r="T189" s="634">
        <v>-2.0053375219518017</v>
      </c>
      <c r="U189" s="634">
        <v>5.9375085889641355</v>
      </c>
      <c r="V189" s="634">
        <v>1.4592884998004365</v>
      </c>
      <c r="W189" s="634">
        <v>-0.11416193539778874</v>
      </c>
      <c r="X189" s="634">
        <v>0.97383221294859368</v>
      </c>
    </row>
    <row r="190" spans="1:24" ht="16">
      <c r="A190" s="634" t="s">
        <v>387</v>
      </c>
      <c r="B190" s="635" t="s">
        <v>388</v>
      </c>
      <c r="C190" s="634" t="s">
        <v>758</v>
      </c>
      <c r="D190" s="635" t="s">
        <v>759</v>
      </c>
      <c r="E190" s="634">
        <v>2.7496991061873928</v>
      </c>
      <c r="F190" s="634">
        <v>4.0736284178369004</v>
      </c>
      <c r="G190" s="634">
        <v>3.9163757722758135</v>
      </c>
      <c r="H190" s="634">
        <v>2.8079835919565994</v>
      </c>
      <c r="I190" s="634">
        <v>-2.2973745257092162</v>
      </c>
      <c r="J190" s="634">
        <v>3.2433971565635602</v>
      </c>
      <c r="K190" s="634">
        <v>1.8131083045959571</v>
      </c>
      <c r="L190" s="634">
        <v>1.179253852505127</v>
      </c>
      <c r="M190" s="634">
        <v>1.7921440071611698</v>
      </c>
      <c r="N190" s="634">
        <v>2.3498814150017893</v>
      </c>
      <c r="O190" s="634">
        <v>1.644627508494878</v>
      </c>
      <c r="P190" s="634">
        <v>2.0686896903956153</v>
      </c>
      <c r="Q190" s="634">
        <v>1.3627996548885903</v>
      </c>
      <c r="R190" s="634">
        <v>2.8604457943903583</v>
      </c>
      <c r="S190" s="634">
        <v>1.1419821896569147</v>
      </c>
      <c r="T190" s="634">
        <v>-2.1417371200803785</v>
      </c>
      <c r="U190" s="634">
        <v>5.5596202060584403</v>
      </c>
      <c r="V190" s="634">
        <v>3.0440610296942339</v>
      </c>
      <c r="W190" s="634">
        <v>0.68332817437604376</v>
      </c>
      <c r="X190" s="634">
        <v>1.3023333254110554</v>
      </c>
    </row>
    <row r="191" spans="1:24" ht="16">
      <c r="A191" s="634" t="s">
        <v>387</v>
      </c>
      <c r="B191" s="635" t="s">
        <v>388</v>
      </c>
      <c r="C191" s="634" t="s">
        <v>760</v>
      </c>
      <c r="D191" s="635" t="s">
        <v>761</v>
      </c>
      <c r="E191" s="634">
        <v>6.2150778353928189</v>
      </c>
      <c r="F191" s="634">
        <v>5.0461955558552631</v>
      </c>
      <c r="G191" s="634">
        <v>5.6745917768580512</v>
      </c>
      <c r="H191" s="634">
        <v>4.4766727360801895</v>
      </c>
      <c r="I191" s="634">
        <v>5.9120427933770543</v>
      </c>
      <c r="J191" s="634">
        <v>5.1919058407533072</v>
      </c>
      <c r="K191" s="634">
        <v>2.850002843579702</v>
      </c>
      <c r="L191" s="634">
        <v>-26.339017077253246</v>
      </c>
      <c r="M191" s="634">
        <v>-26.300087661506126</v>
      </c>
      <c r="N191" s="634">
        <v>-10.310339909052999</v>
      </c>
      <c r="O191" s="634">
        <v>-4.1797916132319983</v>
      </c>
      <c r="P191" s="634">
        <v>-6.405590739361898</v>
      </c>
      <c r="Q191" s="634">
        <v>-0.72328177747054667</v>
      </c>
      <c r="R191" s="634">
        <v>1.3931760783083718</v>
      </c>
      <c r="S191" s="634">
        <v>1.2207052207052271</v>
      </c>
      <c r="T191" s="634">
        <v>-0.69715450423512948</v>
      </c>
      <c r="U191" s="634">
        <v>1.8542159006412362</v>
      </c>
      <c r="V191" s="634">
        <v>0.73278130186136536</v>
      </c>
      <c r="W191" s="634">
        <v>-1.2072642027964378</v>
      </c>
      <c r="X191" s="634" t="s">
        <v>1705</v>
      </c>
    </row>
    <row r="192" spans="1:24" ht="16">
      <c r="A192" s="634" t="s">
        <v>387</v>
      </c>
      <c r="B192" s="635" t="s">
        <v>388</v>
      </c>
      <c r="C192" s="634" t="s">
        <v>762</v>
      </c>
      <c r="D192" s="635" t="s">
        <v>763</v>
      </c>
      <c r="E192" s="634">
        <v>6.6999985165540892</v>
      </c>
      <c r="F192" s="634">
        <v>7.000003211089961</v>
      </c>
      <c r="G192" s="634">
        <v>7.8000001187216128</v>
      </c>
      <c r="H192" s="634">
        <v>7.8999982715493928</v>
      </c>
      <c r="I192" s="634">
        <v>3.9000011482649626</v>
      </c>
      <c r="J192" s="634">
        <v>6.4999990858523518</v>
      </c>
      <c r="K192" s="634">
        <v>7.4000005995671074</v>
      </c>
      <c r="L192" s="634">
        <v>7.4999994632152465</v>
      </c>
      <c r="M192" s="634">
        <v>7.3999997470037897</v>
      </c>
      <c r="N192" s="634">
        <v>6.7000006901625255</v>
      </c>
      <c r="O192" s="634">
        <v>6.0193033177118593</v>
      </c>
      <c r="P192" s="634">
        <v>6.8999999999999915</v>
      </c>
      <c r="Q192" s="634">
        <v>7.1000004186430914</v>
      </c>
      <c r="R192" s="634">
        <v>7.5999988895536035</v>
      </c>
      <c r="S192" s="634">
        <v>7.4000001631055596</v>
      </c>
      <c r="T192" s="634">
        <v>4.4000011155349341</v>
      </c>
      <c r="U192" s="634">
        <v>9.3999995503752274</v>
      </c>
      <c r="V192" s="634">
        <v>8.0000003384636358</v>
      </c>
      <c r="W192" s="634">
        <v>8.2999992165193532</v>
      </c>
      <c r="X192" s="634">
        <v>8.3999998098398123</v>
      </c>
    </row>
    <row r="193" spans="1:24" ht="16">
      <c r="A193" s="634" t="s">
        <v>387</v>
      </c>
      <c r="B193" s="635" t="s">
        <v>388</v>
      </c>
      <c r="C193" s="634" t="s">
        <v>764</v>
      </c>
      <c r="D193" s="635" t="s">
        <v>765</v>
      </c>
      <c r="E193" s="634">
        <v>7.4763192597478394</v>
      </c>
      <c r="F193" s="634">
        <v>6.5322213884781348</v>
      </c>
      <c r="G193" s="634">
        <v>6.7685352029371586</v>
      </c>
      <c r="H193" s="634">
        <v>5.6864168590522439</v>
      </c>
      <c r="I193" s="634">
        <v>5.2691052487346326</v>
      </c>
      <c r="J193" s="634">
        <v>6.3365234266688901</v>
      </c>
      <c r="K193" s="634">
        <v>7.6721554348606418</v>
      </c>
      <c r="L193" s="634">
        <v>4.5001535601013103</v>
      </c>
      <c r="M193" s="634">
        <v>6.781585600653159</v>
      </c>
      <c r="N193" s="634">
        <v>6.7324618683248332</v>
      </c>
      <c r="O193" s="634">
        <v>6.1606287740668222</v>
      </c>
      <c r="P193" s="634">
        <v>6.8671161964455081</v>
      </c>
      <c r="Q193" s="634">
        <v>6.762277168341484</v>
      </c>
      <c r="R193" s="634">
        <v>5.4680818152800867</v>
      </c>
      <c r="S193" s="634">
        <v>5.7999999999672269</v>
      </c>
      <c r="T193" s="634">
        <v>1.9919646064785468</v>
      </c>
      <c r="U193" s="634">
        <v>4.3213842948048153</v>
      </c>
      <c r="V193" s="634">
        <v>4.5660057643095513</v>
      </c>
      <c r="W193" s="634">
        <v>5.0695235320339407</v>
      </c>
      <c r="X193" s="634">
        <v>5.5263138305945034</v>
      </c>
    </row>
    <row r="194" spans="1:24" ht="16">
      <c r="A194" s="634" t="s">
        <v>387</v>
      </c>
      <c r="B194" s="635" t="s">
        <v>388</v>
      </c>
      <c r="C194" s="634" t="s">
        <v>239</v>
      </c>
      <c r="D194" s="635" t="s">
        <v>766</v>
      </c>
      <c r="E194" s="634">
        <v>4.1876384288433712</v>
      </c>
      <c r="F194" s="634">
        <v>4.967810892461074</v>
      </c>
      <c r="G194" s="634">
        <v>5.4351516905080928</v>
      </c>
      <c r="H194" s="634">
        <v>1.7256988486633418</v>
      </c>
      <c r="I194" s="634">
        <v>-0.69061823230057939</v>
      </c>
      <c r="J194" s="634">
        <v>7.513390532616242</v>
      </c>
      <c r="K194" s="634">
        <v>0.84013208305333364</v>
      </c>
      <c r="L194" s="634">
        <v>7.2427962024964216</v>
      </c>
      <c r="M194" s="634">
        <v>2.6874955632055588</v>
      </c>
      <c r="N194" s="634">
        <v>0.98446886361942632</v>
      </c>
      <c r="O194" s="634">
        <v>3.1340472491163496</v>
      </c>
      <c r="P194" s="634">
        <v>3.4351577169218217</v>
      </c>
      <c r="Q194" s="634">
        <v>4.1776810321000966</v>
      </c>
      <c r="R194" s="634">
        <v>4.222870287460708</v>
      </c>
      <c r="S194" s="634">
        <v>2.1145577962827815</v>
      </c>
      <c r="T194" s="634">
        <v>-6.0500384685162203</v>
      </c>
      <c r="U194" s="634">
        <v>1.5521660842664744</v>
      </c>
      <c r="V194" s="634">
        <v>2.5803787470982655</v>
      </c>
      <c r="W194" s="634">
        <v>2.0177509532832687</v>
      </c>
      <c r="X194" s="634">
        <v>2.5259617577149527</v>
      </c>
    </row>
    <row r="195" spans="1:24" ht="16">
      <c r="A195" s="634" t="s">
        <v>387</v>
      </c>
      <c r="B195" s="635" t="s">
        <v>388</v>
      </c>
      <c r="C195" s="634" t="s">
        <v>767</v>
      </c>
      <c r="D195" s="635" t="s">
        <v>768</v>
      </c>
      <c r="E195" s="634">
        <v>2.9845796380748624</v>
      </c>
      <c r="F195" s="634">
        <v>-4.1160926894211372</v>
      </c>
      <c r="G195" s="634">
        <v>10.26538845422013</v>
      </c>
      <c r="H195" s="634">
        <v>11.394804826646492</v>
      </c>
      <c r="I195" s="634">
        <v>10.146954418347548</v>
      </c>
      <c r="J195" s="634">
        <v>9.3315117662921239</v>
      </c>
      <c r="K195" s="634">
        <v>5.9585397121065427</v>
      </c>
      <c r="L195" s="634">
        <v>4.8606218682746771</v>
      </c>
      <c r="M195" s="634">
        <v>3.1043668321114666</v>
      </c>
      <c r="N195" s="634">
        <v>4.4724984656963755</v>
      </c>
      <c r="O195" s="634">
        <v>2.4800404021839739</v>
      </c>
      <c r="P195" s="634">
        <v>3.0099306255335136</v>
      </c>
      <c r="Q195" s="634">
        <v>-3.1824152248919546</v>
      </c>
      <c r="R195" s="634">
        <v>1.1475491486123701E-4</v>
      </c>
      <c r="S195" s="634">
        <v>23.412013584388262</v>
      </c>
      <c r="T195" s="634">
        <v>31.961918565386952</v>
      </c>
      <c r="U195" s="634">
        <v>5.3155385366764136</v>
      </c>
      <c r="V195" s="634">
        <v>-20.541584747173331</v>
      </c>
      <c r="W195" s="634">
        <v>-18.124790956373175</v>
      </c>
      <c r="X195" s="634">
        <v>-2.1891215563334185</v>
      </c>
    </row>
    <row r="196" spans="1:24" ht="16">
      <c r="A196" s="634" t="s">
        <v>387</v>
      </c>
      <c r="B196" s="635" t="s">
        <v>388</v>
      </c>
      <c r="C196" s="634" t="s">
        <v>769</v>
      </c>
      <c r="D196" s="635" t="s">
        <v>770</v>
      </c>
      <c r="E196" s="634">
        <v>-4.6662993841333815</v>
      </c>
      <c r="F196" s="634">
        <v>2.6501320994347282</v>
      </c>
      <c r="G196" s="634">
        <v>-1.1751203922476776</v>
      </c>
      <c r="H196" s="634">
        <v>4.0356452760748454</v>
      </c>
      <c r="I196" s="634">
        <v>5.4538239926266669</v>
      </c>
      <c r="J196" s="634">
        <v>5.8543526941056143</v>
      </c>
      <c r="K196" s="634">
        <v>5.8232522365878623</v>
      </c>
      <c r="L196" s="634">
        <v>6.3026954206915065</v>
      </c>
      <c r="M196" s="634">
        <v>5.824265832445505</v>
      </c>
      <c r="N196" s="634">
        <v>5.6332402182029</v>
      </c>
      <c r="O196" s="634">
        <v>5.4680312927273746</v>
      </c>
      <c r="P196" s="634">
        <v>4.2148956092582495</v>
      </c>
      <c r="Q196" s="634">
        <v>4.0081332616230441</v>
      </c>
      <c r="R196" s="634">
        <v>4.7950602703237024</v>
      </c>
      <c r="S196" s="634">
        <v>4.9229259168597252</v>
      </c>
      <c r="T196" s="634">
        <v>1.9921550187034427</v>
      </c>
      <c r="U196" s="634">
        <v>5.9908761039231422</v>
      </c>
      <c r="V196" s="634">
        <v>5.7595425152173334</v>
      </c>
      <c r="W196" s="634">
        <v>6.4079221563624174</v>
      </c>
      <c r="X196" s="634">
        <v>5.3000053141664125</v>
      </c>
    </row>
    <row r="197" spans="1:24" ht="16">
      <c r="A197" s="634" t="s">
        <v>387</v>
      </c>
      <c r="B197" s="635" t="s">
        <v>388</v>
      </c>
      <c r="C197" s="634" t="s">
        <v>771</v>
      </c>
      <c r="D197" s="635" t="s">
        <v>772</v>
      </c>
      <c r="E197" s="634">
        <v>-0.65765070349516463</v>
      </c>
      <c r="F197" s="634">
        <v>-2.1656634268038175</v>
      </c>
      <c r="G197" s="634">
        <v>-2.4643077910022271</v>
      </c>
      <c r="H197" s="634">
        <v>4.8628413237699704</v>
      </c>
      <c r="I197" s="634">
        <v>-5.1291781915053178</v>
      </c>
      <c r="J197" s="634">
        <v>0.8243969140818308</v>
      </c>
      <c r="K197" s="634">
        <v>6.7036974623876802</v>
      </c>
      <c r="L197" s="634">
        <v>0.91976102492307632</v>
      </c>
      <c r="M197" s="634">
        <v>0.39392253013733125</v>
      </c>
      <c r="N197" s="634">
        <v>1.990537698908156</v>
      </c>
      <c r="O197" s="634">
        <v>1.113744023980658</v>
      </c>
      <c r="P197" s="634">
        <v>6.5986987941795832</v>
      </c>
      <c r="Q197" s="634">
        <v>3.2023197622424391</v>
      </c>
      <c r="R197" s="634">
        <v>0.68754650668071804</v>
      </c>
      <c r="S197" s="634">
        <v>-0.20843339142196271</v>
      </c>
      <c r="T197" s="634">
        <v>1.7833958990116372</v>
      </c>
      <c r="U197" s="634">
        <v>0.36260427301044729</v>
      </c>
      <c r="V197" s="634">
        <v>-2.309864445204596</v>
      </c>
      <c r="W197" s="634">
        <v>2.0841558363654542</v>
      </c>
      <c r="X197" s="634" t="s">
        <v>1705</v>
      </c>
    </row>
    <row r="198" spans="1:24" ht="16">
      <c r="A198" s="634" t="s">
        <v>387</v>
      </c>
      <c r="B198" s="635" t="s">
        <v>388</v>
      </c>
      <c r="C198" s="634" t="s">
        <v>773</v>
      </c>
      <c r="D198" s="635" t="s">
        <v>774</v>
      </c>
      <c r="E198" s="634">
        <v>6.2089378795417502</v>
      </c>
      <c r="F198" s="634">
        <v>13.208058605173491</v>
      </c>
      <c r="G198" s="634">
        <v>4.7542097009272197</v>
      </c>
      <c r="H198" s="634">
        <v>3.3917370780738736</v>
      </c>
      <c r="I198" s="634">
        <v>-4.3917292474613987</v>
      </c>
      <c r="J198" s="634">
        <v>3.3232247102737063</v>
      </c>
      <c r="K198" s="634">
        <v>-0.29435440904376264</v>
      </c>
      <c r="L198" s="634">
        <v>6.7100836632247223</v>
      </c>
      <c r="M198" s="634">
        <v>3.3446064754054419</v>
      </c>
      <c r="N198" s="634">
        <v>3.6953651508303267</v>
      </c>
      <c r="O198" s="634">
        <v>-0.56481695339748228</v>
      </c>
      <c r="P198" s="634">
        <v>-7.4034532659717058</v>
      </c>
      <c r="Q198" s="634">
        <v>-4.8185889067650578</v>
      </c>
      <c r="R198" s="634">
        <v>-0.9855250828640294</v>
      </c>
      <c r="S198" s="634">
        <v>0.47181338418715768</v>
      </c>
      <c r="T198" s="634">
        <v>-8.9027944600665592</v>
      </c>
      <c r="U198" s="634">
        <v>-0.91199286686564562</v>
      </c>
      <c r="V198" s="634">
        <v>1.082222339508192</v>
      </c>
      <c r="W198" s="634">
        <v>1.4271133977040051</v>
      </c>
      <c r="X198" s="634">
        <v>1.6506033458527867</v>
      </c>
    </row>
    <row r="199" spans="1:24" ht="16">
      <c r="A199" s="634" t="s">
        <v>387</v>
      </c>
      <c r="B199" s="635" t="s">
        <v>388</v>
      </c>
      <c r="C199" s="634" t="s">
        <v>775</v>
      </c>
      <c r="D199" s="635" t="s">
        <v>776</v>
      </c>
      <c r="E199" s="634">
        <v>3.4865455430439027</v>
      </c>
      <c r="F199" s="634">
        <v>5.2440998324691606</v>
      </c>
      <c r="G199" s="634">
        <v>6.7095209745355362</v>
      </c>
      <c r="H199" s="634">
        <v>4.2377814750281857</v>
      </c>
      <c r="I199" s="634">
        <v>3.043450123715516</v>
      </c>
      <c r="J199" s="634">
        <v>2.9711327506651202</v>
      </c>
      <c r="K199" s="634">
        <v>-2.046633895356436</v>
      </c>
      <c r="L199" s="634">
        <v>4.216677115356319</v>
      </c>
      <c r="M199" s="634">
        <v>2.4299309644642904</v>
      </c>
      <c r="N199" s="634">
        <v>3.0903280307077523</v>
      </c>
      <c r="O199" s="634">
        <v>0.96770310822012107</v>
      </c>
      <c r="P199" s="634">
        <v>1.1174259489107357</v>
      </c>
      <c r="Q199" s="634">
        <v>2.2378386796594327</v>
      </c>
      <c r="R199" s="634">
        <v>2.6249301087039498</v>
      </c>
      <c r="S199" s="634">
        <v>1.5878466546650429</v>
      </c>
      <c r="T199" s="634">
        <v>-9.0119341239023782</v>
      </c>
      <c r="U199" s="634">
        <v>4.7363207484732044</v>
      </c>
      <c r="V199" s="634">
        <v>2.6733182184056687</v>
      </c>
      <c r="W199" s="634">
        <v>3.9156567493932926E-2</v>
      </c>
      <c r="X199" s="634">
        <v>1.3506525349018119</v>
      </c>
    </row>
    <row r="200" spans="1:24" ht="16">
      <c r="A200" s="634" t="s">
        <v>387</v>
      </c>
      <c r="B200" s="635" t="s">
        <v>388</v>
      </c>
      <c r="C200" s="634" t="s">
        <v>777</v>
      </c>
      <c r="D200" s="635" t="s">
        <v>778</v>
      </c>
      <c r="E200" s="634">
        <v>8.992304936265171</v>
      </c>
      <c r="F200" s="634">
        <v>6.9479880857199277</v>
      </c>
      <c r="G200" s="634">
        <v>5.0435079315710425</v>
      </c>
      <c r="H200" s="634">
        <v>0.81502457300770459</v>
      </c>
      <c r="I200" s="634">
        <v>-4.8231539530176946</v>
      </c>
      <c r="J200" s="634">
        <v>8.427104322761906</v>
      </c>
      <c r="K200" s="634">
        <v>11.200110583350352</v>
      </c>
      <c r="L200" s="634">
        <v>4.7884927110800817</v>
      </c>
      <c r="M200" s="634">
        <v>8.4858169965302608</v>
      </c>
      <c r="N200" s="634">
        <v>4.9397151613657968</v>
      </c>
      <c r="O200" s="634">
        <v>6.0844869044366305</v>
      </c>
      <c r="P200" s="634">
        <v>3.323084208457459</v>
      </c>
      <c r="Q200" s="634">
        <v>7.5019974891749115</v>
      </c>
      <c r="R200" s="634">
        <v>3.0131703931214986</v>
      </c>
      <c r="S200" s="634">
        <v>0.81851452672667335</v>
      </c>
      <c r="T200" s="634">
        <v>1.8598730397646221</v>
      </c>
      <c r="U200" s="634">
        <v>11.439395692656575</v>
      </c>
      <c r="V200" s="634">
        <v>5.5334278749278099</v>
      </c>
      <c r="W200" s="634">
        <v>5.1111681848870205</v>
      </c>
      <c r="X200" s="634">
        <v>3.1840243547922142</v>
      </c>
    </row>
    <row r="201" spans="1:24" ht="16">
      <c r="A201" s="634" t="s">
        <v>387</v>
      </c>
      <c r="B201" s="635" t="s">
        <v>388</v>
      </c>
      <c r="C201" s="634" t="s">
        <v>779</v>
      </c>
      <c r="D201" s="635" t="s">
        <v>780</v>
      </c>
      <c r="E201" s="634">
        <v>13.034034870021998</v>
      </c>
      <c r="F201" s="634">
        <v>10.973308325401703</v>
      </c>
      <c r="G201" s="634">
        <v>11.059299470450014</v>
      </c>
      <c r="H201" s="634">
        <v>14.700000000000003</v>
      </c>
      <c r="I201" s="634">
        <v>6.100000114856428</v>
      </c>
      <c r="J201" s="634">
        <v>9.1999999880548273</v>
      </c>
      <c r="K201" s="634">
        <v>14.699999927872341</v>
      </c>
      <c r="L201" s="634">
        <v>11.099999961554488</v>
      </c>
      <c r="M201" s="634">
        <v>10.200000101398984</v>
      </c>
      <c r="N201" s="634">
        <v>10.299999970545912</v>
      </c>
      <c r="O201" s="634">
        <v>6.4999999095166601</v>
      </c>
      <c r="P201" s="634">
        <v>6.1999999664300987</v>
      </c>
      <c r="Q201" s="634">
        <v>6.5000000468297543</v>
      </c>
      <c r="R201" s="634">
        <v>6.199999941371189</v>
      </c>
      <c r="S201" s="634">
        <v>6.300000042267115</v>
      </c>
      <c r="T201" s="634">
        <v>5.900000048525996</v>
      </c>
      <c r="U201" s="634">
        <v>6.2000000174707566</v>
      </c>
      <c r="V201" s="634">
        <v>6.1999999362169831</v>
      </c>
      <c r="W201" s="634">
        <v>6.3001575854987095</v>
      </c>
      <c r="X201" s="634">
        <v>2.2641172265904288</v>
      </c>
    </row>
    <row r="202" spans="1:24" ht="16">
      <c r="A202" s="634" t="s">
        <v>387</v>
      </c>
      <c r="B202" s="635" t="s">
        <v>388</v>
      </c>
      <c r="C202" s="634" t="s">
        <v>781</v>
      </c>
      <c r="D202" s="635" t="s">
        <v>782</v>
      </c>
      <c r="E202" s="634" t="s">
        <v>1705</v>
      </c>
      <c r="F202" s="634" t="s">
        <v>1705</v>
      </c>
      <c r="G202" s="634" t="s">
        <v>1705</v>
      </c>
      <c r="H202" s="634">
        <v>8.2718931248614922</v>
      </c>
      <c r="I202" s="634">
        <v>-19.550246759502215</v>
      </c>
      <c r="J202" s="634">
        <v>0.98492485381068207</v>
      </c>
      <c r="K202" s="634">
        <v>4.6204989297823857</v>
      </c>
      <c r="L202" s="634">
        <v>-2.6665556205336429</v>
      </c>
      <c r="M202" s="634">
        <v>1.0708804955403224</v>
      </c>
      <c r="N202" s="634">
        <v>8.7112958082421699</v>
      </c>
      <c r="O202" s="634">
        <v>11.314829392992891</v>
      </c>
      <c r="P202" s="634">
        <v>7.2511862757026506</v>
      </c>
      <c r="Q202" s="634">
        <v>-2.4902226041480446</v>
      </c>
      <c r="R202" s="634">
        <v>91.137038873708065</v>
      </c>
      <c r="S202" s="634">
        <v>4.9817054938299208</v>
      </c>
      <c r="T202" s="634">
        <v>-33.817097343465193</v>
      </c>
      <c r="U202" s="634">
        <v>29.629378172241417</v>
      </c>
      <c r="V202" s="634">
        <v>14.087123416815288</v>
      </c>
      <c r="W202" s="634">
        <v>13.731148113922842</v>
      </c>
      <c r="X202" s="634">
        <v>5.6368251744336249</v>
      </c>
    </row>
    <row r="203" spans="1:24" ht="16">
      <c r="A203" s="634" t="s">
        <v>387</v>
      </c>
      <c r="B203" s="635" t="s">
        <v>388</v>
      </c>
      <c r="C203" s="634" t="s">
        <v>783</v>
      </c>
      <c r="D203" s="635" t="s">
        <v>784</v>
      </c>
      <c r="E203" s="634">
        <v>-4.6511627906976685</v>
      </c>
      <c r="F203" s="634">
        <v>2.4390243902439011</v>
      </c>
      <c r="G203" s="634">
        <v>7.1428571428571388</v>
      </c>
      <c r="H203" s="634">
        <v>6.6666666666666714</v>
      </c>
      <c r="I203" s="634">
        <v>-6.25</v>
      </c>
      <c r="J203" s="634">
        <v>-2.2222222222222285</v>
      </c>
      <c r="K203" s="634">
        <v>6.818181818181813</v>
      </c>
      <c r="L203" s="634">
        <v>-2.1276595744680833</v>
      </c>
      <c r="M203" s="634">
        <v>4.3478260869565162</v>
      </c>
      <c r="N203" s="634">
        <v>0</v>
      </c>
      <c r="O203" s="634">
        <v>10.416666666666671</v>
      </c>
      <c r="P203" s="634">
        <v>5.6603773584905639</v>
      </c>
      <c r="Q203" s="634">
        <v>2.4483928571428635</v>
      </c>
      <c r="R203" s="634">
        <v>1.3872838415160231</v>
      </c>
      <c r="S203" s="634">
        <v>13.822098440696621</v>
      </c>
      <c r="T203" s="634">
        <v>-4.2749320690139712</v>
      </c>
      <c r="U203" s="634">
        <v>1.8041359113615982</v>
      </c>
      <c r="V203" s="634">
        <v>0.67730936143830434</v>
      </c>
      <c r="W203" s="634">
        <v>3.8528091951703232</v>
      </c>
      <c r="X203" s="634" t="s">
        <v>1705</v>
      </c>
    </row>
    <row r="204" spans="1:24" ht="16">
      <c r="A204" s="634" t="s">
        <v>387</v>
      </c>
      <c r="B204" s="635" t="s">
        <v>388</v>
      </c>
      <c r="C204" s="634" t="s">
        <v>785</v>
      </c>
      <c r="D204" s="635" t="s">
        <v>786</v>
      </c>
      <c r="E204" s="634">
        <v>6.3325651162315637</v>
      </c>
      <c r="F204" s="634">
        <v>10.784744385745341</v>
      </c>
      <c r="G204" s="634">
        <v>8.4124259655107068</v>
      </c>
      <c r="H204" s="634">
        <v>8.7087519015449857</v>
      </c>
      <c r="I204" s="634">
        <v>6.8015173486039515</v>
      </c>
      <c r="J204" s="634">
        <v>5.6376116374975709</v>
      </c>
      <c r="K204" s="634">
        <v>9.3916554927176037</v>
      </c>
      <c r="L204" s="634">
        <v>3.8374556060522877</v>
      </c>
      <c r="M204" s="634">
        <v>3.5869058262302502</v>
      </c>
      <c r="N204" s="634">
        <v>5.1063073253979638</v>
      </c>
      <c r="O204" s="634">
        <v>5.187859860024659</v>
      </c>
      <c r="P204" s="634">
        <v>4.7810002925448174</v>
      </c>
      <c r="Q204" s="634">
        <v>3.1314055172359616</v>
      </c>
      <c r="R204" s="634">
        <v>6.3039237826299654</v>
      </c>
      <c r="S204" s="634">
        <v>6.4387450327643876</v>
      </c>
      <c r="T204" s="634">
        <v>2.9513064221809771</v>
      </c>
      <c r="U204" s="634">
        <v>3.53658034070898</v>
      </c>
      <c r="V204" s="634">
        <v>4.5880219218177274</v>
      </c>
      <c r="W204" s="634">
        <v>5.3369729551146889</v>
      </c>
      <c r="X204" s="634">
        <v>6.1364520184639844</v>
      </c>
    </row>
    <row r="205" spans="1:24" ht="16">
      <c r="A205" s="634" t="s">
        <v>387</v>
      </c>
      <c r="B205" s="635" t="s">
        <v>388</v>
      </c>
      <c r="C205" s="634" t="s">
        <v>787</v>
      </c>
      <c r="D205" s="635" t="s">
        <v>788</v>
      </c>
      <c r="E205" s="634">
        <v>3.0712303924520938</v>
      </c>
      <c r="F205" s="634">
        <v>7.5714207632296677</v>
      </c>
      <c r="G205" s="634">
        <v>8.2158444516571478</v>
      </c>
      <c r="H205" s="634">
        <v>2.2434915962828796</v>
      </c>
      <c r="I205" s="634">
        <v>-15.136467910150159</v>
      </c>
      <c r="J205" s="634">
        <v>4.0920043666808681</v>
      </c>
      <c r="K205" s="634">
        <v>5.4452808104847605</v>
      </c>
      <c r="L205" s="634">
        <v>0.15231496720065252</v>
      </c>
      <c r="M205" s="634">
        <v>4.5439094492707E-2</v>
      </c>
      <c r="N205" s="634">
        <v>-10.078894984095271</v>
      </c>
      <c r="O205" s="634">
        <v>-9.772987212867605</v>
      </c>
      <c r="P205" s="634">
        <v>2.4409819449206651</v>
      </c>
      <c r="Q205" s="634">
        <v>2.35997228099491</v>
      </c>
      <c r="R205" s="634">
        <v>3.4883623402265869</v>
      </c>
      <c r="S205" s="634">
        <v>3.199503863541338</v>
      </c>
      <c r="T205" s="634">
        <v>-3.7528179398316155</v>
      </c>
      <c r="U205" s="634">
        <v>3.4456206594594363</v>
      </c>
      <c r="V205" s="634">
        <v>-28.758584215508492</v>
      </c>
      <c r="W205" s="634">
        <v>5.5347335474588562</v>
      </c>
      <c r="X205" s="634">
        <v>2.9138222147053483</v>
      </c>
    </row>
    <row r="206" spans="1:24" ht="16">
      <c r="A206" s="634" t="s">
        <v>387</v>
      </c>
      <c r="B206" s="635" t="s">
        <v>388</v>
      </c>
      <c r="C206" s="634" t="s">
        <v>789</v>
      </c>
      <c r="D206" s="635" t="s">
        <v>790</v>
      </c>
      <c r="E206" s="634">
        <v>4.8551411955335197</v>
      </c>
      <c r="F206" s="634">
        <v>9.8373197692395848</v>
      </c>
      <c r="G206" s="634">
        <v>3.1843901732460722</v>
      </c>
      <c r="H206" s="634">
        <v>3.1918362733181596</v>
      </c>
      <c r="I206" s="634">
        <v>-5.2429219038502737</v>
      </c>
      <c r="J206" s="634">
        <v>1.6028500467135416</v>
      </c>
      <c r="K206" s="634">
        <v>6.2161218166437067</v>
      </c>
      <c r="L206" s="634">
        <v>1.8244807850986007</v>
      </c>
      <c r="M206" s="634">
        <v>5.0555596580796873</v>
      </c>
      <c r="N206" s="634">
        <v>4.1656918406492167</v>
      </c>
      <c r="O206" s="634">
        <v>6.7867728765661752</v>
      </c>
      <c r="P206" s="634">
        <v>5.5614907597993266</v>
      </c>
      <c r="Q206" s="634">
        <v>0.7350687139412031</v>
      </c>
      <c r="R206" s="634">
        <v>1.3139138815357825</v>
      </c>
      <c r="S206" s="634">
        <v>1.1083481345329602</v>
      </c>
      <c r="T206" s="634">
        <v>-4.9570524330331551</v>
      </c>
      <c r="U206" s="634">
        <v>4.354755296599194</v>
      </c>
      <c r="V206" s="634">
        <v>7.5096970349644465</v>
      </c>
      <c r="W206" s="634">
        <v>3.6187065311815871</v>
      </c>
      <c r="X206" s="634">
        <v>3.7616154455314899</v>
      </c>
    </row>
    <row r="207" spans="1:24" ht="16">
      <c r="A207" s="634" t="s">
        <v>387</v>
      </c>
      <c r="B207" s="635" t="s">
        <v>388</v>
      </c>
      <c r="C207" s="634" t="s">
        <v>791</v>
      </c>
      <c r="D207" s="635" t="s">
        <v>792</v>
      </c>
      <c r="E207" s="634">
        <v>2.7326607668118896</v>
      </c>
      <c r="F207" s="634">
        <v>2.3806940353246802</v>
      </c>
      <c r="G207" s="634">
        <v>2.6248799534028535</v>
      </c>
      <c r="H207" s="634">
        <v>-0.24879726075664621</v>
      </c>
      <c r="I207" s="634">
        <v>-4.6205537076842518</v>
      </c>
      <c r="J207" s="634">
        <v>2.2333150881534607</v>
      </c>
      <c r="K207" s="634">
        <v>1.1383623984066276</v>
      </c>
      <c r="L207" s="634">
        <v>1.5089983466822758</v>
      </c>
      <c r="M207" s="634">
        <v>1.7999214970283646</v>
      </c>
      <c r="N207" s="634">
        <v>3.1946373193892299</v>
      </c>
      <c r="O207" s="634">
        <v>2.2228884228033365</v>
      </c>
      <c r="P207" s="634">
        <v>1.9217100993400749</v>
      </c>
      <c r="Q207" s="634">
        <v>2.6565048756620229</v>
      </c>
      <c r="R207" s="634">
        <v>1.4051902598153845</v>
      </c>
      <c r="S207" s="634">
        <v>1.6244751803840387</v>
      </c>
      <c r="T207" s="634">
        <v>-10.296918859170972</v>
      </c>
      <c r="U207" s="634">
        <v>8.575950873930239</v>
      </c>
      <c r="V207" s="634">
        <v>4.8390851787713416</v>
      </c>
      <c r="W207" s="634">
        <v>0.39708234553962996</v>
      </c>
      <c r="X207" s="634">
        <v>1.1006678663927119</v>
      </c>
    </row>
    <row r="208" spans="1:24" ht="16">
      <c r="A208" s="634" t="s">
        <v>387</v>
      </c>
      <c r="B208" s="635" t="s">
        <v>388</v>
      </c>
      <c r="C208" s="634" t="s">
        <v>793</v>
      </c>
      <c r="D208" s="635" t="s">
        <v>167</v>
      </c>
      <c r="E208" s="634">
        <v>3.4835499354455948</v>
      </c>
      <c r="F208" s="634">
        <v>2.7845396381789129</v>
      </c>
      <c r="G208" s="634">
        <v>2.0038582990915756</v>
      </c>
      <c r="H208" s="634">
        <v>0.11358724816099652</v>
      </c>
      <c r="I208" s="634">
        <v>-2.5765002322500123</v>
      </c>
      <c r="J208" s="634">
        <v>2.6951925823485112</v>
      </c>
      <c r="K208" s="634">
        <v>1.5644068553730648</v>
      </c>
      <c r="L208" s="634">
        <v>2.2891133863190021</v>
      </c>
      <c r="M208" s="634">
        <v>2.1178300978646831</v>
      </c>
      <c r="N208" s="634">
        <v>2.523819813726206</v>
      </c>
      <c r="O208" s="634">
        <v>2.9455504559977186</v>
      </c>
      <c r="P208" s="634">
        <v>1.8194514762052165</v>
      </c>
      <c r="Q208" s="634">
        <v>2.4576223017508596</v>
      </c>
      <c r="R208" s="634">
        <v>2.9665050691659616</v>
      </c>
      <c r="S208" s="634">
        <v>2.5838253301888869</v>
      </c>
      <c r="T208" s="634">
        <v>-2.1630291386651237</v>
      </c>
      <c r="U208" s="634">
        <v>6.0550529330455589</v>
      </c>
      <c r="V208" s="634">
        <v>2.5123753198331968</v>
      </c>
      <c r="W208" s="634">
        <v>2.8875560090598356</v>
      </c>
      <c r="X208" s="634">
        <v>2.796190356213927</v>
      </c>
    </row>
    <row r="209" spans="1:24" ht="16">
      <c r="A209" s="634" t="s">
        <v>387</v>
      </c>
      <c r="B209" s="635" t="s">
        <v>388</v>
      </c>
      <c r="C209" s="634" t="s">
        <v>794</v>
      </c>
      <c r="D209" s="635" t="s">
        <v>795</v>
      </c>
      <c r="E209" s="634">
        <v>7.4601321302473025</v>
      </c>
      <c r="F209" s="634">
        <v>4.0985773544540081</v>
      </c>
      <c r="G209" s="634">
        <v>6.5415108450481654</v>
      </c>
      <c r="H209" s="634">
        <v>7.1761446645510745</v>
      </c>
      <c r="I209" s="634">
        <v>4.2434941946242617</v>
      </c>
      <c r="J209" s="634">
        <v>7.8034096507169011</v>
      </c>
      <c r="K209" s="634">
        <v>5.1621330246360628</v>
      </c>
      <c r="L209" s="634">
        <v>3.5381787205686948</v>
      </c>
      <c r="M209" s="634">
        <v>4.6375386290241636</v>
      </c>
      <c r="N209" s="634">
        <v>3.2387912295236418</v>
      </c>
      <c r="O209" s="634">
        <v>0.37074125768134536</v>
      </c>
      <c r="P209" s="634">
        <v>1.6897982297177521</v>
      </c>
      <c r="Q209" s="634">
        <v>1.7403764337421137</v>
      </c>
      <c r="R209" s="634">
        <v>0.1647776089401134</v>
      </c>
      <c r="S209" s="634">
        <v>0.92835114126749829</v>
      </c>
      <c r="T209" s="634">
        <v>-7.357327064847226</v>
      </c>
      <c r="U209" s="634">
        <v>5.8442731255817932</v>
      </c>
      <c r="V209" s="634">
        <v>4.4862270307207268</v>
      </c>
      <c r="W209" s="634">
        <v>0.74212878531592708</v>
      </c>
      <c r="X209" s="634">
        <v>3.1082547806617242</v>
      </c>
    </row>
    <row r="210" spans="1:24" ht="16">
      <c r="A210" s="634" t="s">
        <v>387</v>
      </c>
      <c r="B210" s="635" t="s">
        <v>388</v>
      </c>
      <c r="C210" s="634" t="s">
        <v>796</v>
      </c>
      <c r="D210" s="635" t="s">
        <v>797</v>
      </c>
      <c r="E210" s="634">
        <v>6.9500071956909721</v>
      </c>
      <c r="F210" s="634">
        <v>7.4514184762176825</v>
      </c>
      <c r="G210" s="634">
        <v>9.4730053054453975</v>
      </c>
      <c r="H210" s="634">
        <v>9.0291610178477697</v>
      </c>
      <c r="I210" s="634">
        <v>8.0509333273396635</v>
      </c>
      <c r="J210" s="634">
        <v>7.5971679610016025</v>
      </c>
      <c r="K210" s="634">
        <v>7.5251398942297669</v>
      </c>
      <c r="L210" s="634">
        <v>7.1024448870631716</v>
      </c>
      <c r="M210" s="634">
        <v>7.2965503696989913</v>
      </c>
      <c r="N210" s="634">
        <v>6.8738384408163995</v>
      </c>
      <c r="O210" s="634">
        <v>7.2187735082080309</v>
      </c>
      <c r="P210" s="634">
        <v>5.932150799932927</v>
      </c>
      <c r="Q210" s="634">
        <v>4.3952746334926331</v>
      </c>
      <c r="R210" s="634">
        <v>5.5591957291928793</v>
      </c>
      <c r="S210" s="634">
        <v>6.7799239965523554</v>
      </c>
      <c r="T210" s="634">
        <v>1.5633427726051536</v>
      </c>
      <c r="U210" s="634">
        <v>8.0346831264004948</v>
      </c>
      <c r="V210" s="634">
        <v>6.001342322034418</v>
      </c>
      <c r="W210" s="634">
        <v>6.2914163508231127</v>
      </c>
      <c r="X210" s="634">
        <v>6.4999999999767653</v>
      </c>
    </row>
    <row r="211" spans="1:24" ht="16">
      <c r="A211" s="634" t="s">
        <v>387</v>
      </c>
      <c r="B211" s="635" t="s">
        <v>388</v>
      </c>
      <c r="C211" s="634" t="s">
        <v>798</v>
      </c>
      <c r="D211" s="635" t="s">
        <v>799</v>
      </c>
      <c r="E211" s="634">
        <v>5.3053264725922702</v>
      </c>
      <c r="F211" s="634">
        <v>8.4606974720542638</v>
      </c>
      <c r="G211" s="634">
        <v>2.8758922877537998</v>
      </c>
      <c r="H211" s="634">
        <v>5.6009918214721353</v>
      </c>
      <c r="I211" s="634">
        <v>3.037303540996021</v>
      </c>
      <c r="J211" s="634">
        <v>1.2588672032932635</v>
      </c>
      <c r="K211" s="634">
        <v>3.1398029002341161</v>
      </c>
      <c r="L211" s="634">
        <v>1.0100476869204158</v>
      </c>
      <c r="M211" s="634">
        <v>0.46339041513509471</v>
      </c>
      <c r="N211" s="634">
        <v>2.5750403162877973</v>
      </c>
      <c r="O211" s="634">
        <v>3.9659194644487314</v>
      </c>
      <c r="P211" s="634">
        <v>3.4715447154471519</v>
      </c>
      <c r="Q211" s="634">
        <v>4.4126659856996895</v>
      </c>
      <c r="R211" s="634">
        <v>2.9002302725644569</v>
      </c>
      <c r="S211" s="634">
        <v>3.241187655404417</v>
      </c>
      <c r="T211" s="634">
        <v>-4.9924914288952493</v>
      </c>
      <c r="U211" s="634">
        <v>-1.5522948912946219</v>
      </c>
      <c r="V211" s="634">
        <v>5.1862286242256204</v>
      </c>
      <c r="W211" s="634">
        <v>-0.9647922816617438</v>
      </c>
      <c r="X211" s="634">
        <v>3.9672583060705193</v>
      </c>
    </row>
    <row r="212" spans="1:24" ht="16">
      <c r="A212" s="634" t="s">
        <v>387</v>
      </c>
      <c r="B212" s="635" t="s">
        <v>388</v>
      </c>
      <c r="C212" s="634" t="s">
        <v>800</v>
      </c>
      <c r="D212" s="635" t="s">
        <v>801</v>
      </c>
      <c r="E212" s="634">
        <v>10.317913804314841</v>
      </c>
      <c r="F212" s="634">
        <v>9.8721491085103708</v>
      </c>
      <c r="G212" s="634">
        <v>8.7535788078585028</v>
      </c>
      <c r="H212" s="634">
        <v>5.2778541239878223</v>
      </c>
      <c r="I212" s="634">
        <v>-3.2023026574900229</v>
      </c>
      <c r="J212" s="634">
        <v>-1.4887912507834784</v>
      </c>
      <c r="K212" s="634">
        <v>4.1764253592392748</v>
      </c>
      <c r="L212" s="634">
        <v>5.6259569750864102</v>
      </c>
      <c r="M212" s="634">
        <v>1.3430940360747599</v>
      </c>
      <c r="N212" s="634">
        <v>-3.8943864745066179</v>
      </c>
      <c r="O212" s="634" t="s">
        <v>1705</v>
      </c>
      <c r="P212" s="634" t="s">
        <v>1705</v>
      </c>
      <c r="Q212" s="634" t="s">
        <v>1705</v>
      </c>
      <c r="R212" s="634" t="s">
        <v>1705</v>
      </c>
      <c r="S212" s="634" t="s">
        <v>1705</v>
      </c>
      <c r="T212" s="634" t="s">
        <v>1705</v>
      </c>
      <c r="U212" s="634" t="s">
        <v>1705</v>
      </c>
      <c r="V212" s="634" t="s">
        <v>1705</v>
      </c>
      <c r="W212" s="634" t="s">
        <v>1705</v>
      </c>
      <c r="X212" s="634" t="s">
        <v>1705</v>
      </c>
    </row>
    <row r="213" spans="1:24" ht="16">
      <c r="A213" s="634" t="s">
        <v>387</v>
      </c>
      <c r="B213" s="635" t="s">
        <v>388</v>
      </c>
      <c r="C213" s="634" t="s">
        <v>802</v>
      </c>
      <c r="D213" s="635" t="s">
        <v>803</v>
      </c>
      <c r="E213" s="634">
        <v>7.5472477289591779</v>
      </c>
      <c r="F213" s="634">
        <v>6.9779548105671125</v>
      </c>
      <c r="G213" s="634">
        <v>7.1295044860543868</v>
      </c>
      <c r="H213" s="634">
        <v>5.6617712089136205</v>
      </c>
      <c r="I213" s="634">
        <v>5.3978975401418126</v>
      </c>
      <c r="J213" s="634">
        <v>6.4232448223948211</v>
      </c>
      <c r="K213" s="634">
        <v>6.4131688968168277</v>
      </c>
      <c r="L213" s="634">
        <v>5.5045447041188993</v>
      </c>
      <c r="M213" s="634">
        <v>5.5535108102607182</v>
      </c>
      <c r="N213" s="634">
        <v>6.422243121185673</v>
      </c>
      <c r="O213" s="634">
        <v>6.9871543059861096</v>
      </c>
      <c r="P213" s="634">
        <v>6.6900089266042357</v>
      </c>
      <c r="Q213" s="634">
        <v>6.9401903735920598</v>
      </c>
      <c r="R213" s="634">
        <v>7.4650068557275091</v>
      </c>
      <c r="S213" s="634">
        <v>7.3592627010500564</v>
      </c>
      <c r="T213" s="634">
        <v>2.8654132091227211</v>
      </c>
      <c r="U213" s="634">
        <v>2.5537285264813079</v>
      </c>
      <c r="V213" s="634">
        <v>8.5375004675578765</v>
      </c>
      <c r="W213" s="634">
        <v>5.0650239145507499</v>
      </c>
      <c r="X213" s="634">
        <v>7.0911874663397469</v>
      </c>
    </row>
    <row r="214" spans="1:24" ht="16">
      <c r="A214" s="634" t="s">
        <v>387</v>
      </c>
      <c r="B214" s="635" t="s">
        <v>388</v>
      </c>
      <c r="C214" s="634" t="s">
        <v>804</v>
      </c>
      <c r="D214" s="635" t="s">
        <v>805</v>
      </c>
      <c r="E214" s="634">
        <v>3.4853090172238979</v>
      </c>
      <c r="F214" s="634">
        <v>3.5049931466614339</v>
      </c>
      <c r="G214" s="634">
        <v>4.0105940219447689</v>
      </c>
      <c r="H214" s="634">
        <v>1.2186249545289058</v>
      </c>
      <c r="I214" s="634">
        <v>-6.5947888589398076</v>
      </c>
      <c r="J214" s="634">
        <v>0.59638322431705149</v>
      </c>
      <c r="K214" s="634">
        <v>-8.2042455536431476</v>
      </c>
      <c r="L214" s="634">
        <v>-14.8125</v>
      </c>
      <c r="M214" s="634">
        <v>-6.2851552946930838</v>
      </c>
      <c r="N214" s="634">
        <v>-1.7745302713987456</v>
      </c>
      <c r="O214" s="634">
        <v>-0.4250797024442079</v>
      </c>
      <c r="P214" s="634">
        <v>1.6008537886873029</v>
      </c>
      <c r="Q214" s="634">
        <v>-0.73529411764705799</v>
      </c>
      <c r="R214" s="634">
        <v>1.8783068783068728</v>
      </c>
      <c r="S214" s="634">
        <v>2.908335497273427</v>
      </c>
      <c r="T214" s="634">
        <v>-1.6149381781478667</v>
      </c>
      <c r="U214" s="634">
        <v>3.6676070787381434</v>
      </c>
      <c r="V214" s="634">
        <v>-1.3112320633349839</v>
      </c>
      <c r="W214" s="634" t="s">
        <v>1705</v>
      </c>
      <c r="X214" s="634" t="s">
        <v>1705</v>
      </c>
    </row>
    <row r="215" spans="1:24" ht="16">
      <c r="A215" s="634" t="s">
        <v>387</v>
      </c>
      <c r="B215" s="635" t="s">
        <v>388</v>
      </c>
      <c r="C215" s="634" t="s">
        <v>806</v>
      </c>
      <c r="D215" s="635" t="s">
        <v>807</v>
      </c>
      <c r="E215" s="634">
        <v>11.290651182927135</v>
      </c>
      <c r="F215" s="634">
        <v>-0.99655610347707579</v>
      </c>
      <c r="G215" s="634">
        <v>3.7882815208598117</v>
      </c>
      <c r="H215" s="634">
        <v>7.4291822554783522</v>
      </c>
      <c r="I215" s="634">
        <v>8.5934908789386384</v>
      </c>
      <c r="J215" s="634">
        <v>5.7773620562941943</v>
      </c>
      <c r="K215" s="634">
        <v>9.6008084891359431</v>
      </c>
      <c r="L215" s="634">
        <v>6.0964565632615404</v>
      </c>
      <c r="M215" s="634">
        <v>4.6985698655223445</v>
      </c>
      <c r="N215" s="634">
        <v>-0.15786665085529705</v>
      </c>
      <c r="O215" s="634">
        <v>3.7212996711478752</v>
      </c>
      <c r="P215" s="634">
        <v>8.8646188199593468</v>
      </c>
      <c r="Q215" s="634">
        <v>1.419367562947869</v>
      </c>
      <c r="R215" s="634">
        <v>1.2270773778270296</v>
      </c>
      <c r="S215" s="634">
        <v>1.3626874655806205</v>
      </c>
      <c r="T215" s="634">
        <v>-11.318466106513355</v>
      </c>
      <c r="U215" s="634">
        <v>7.0119822759200332</v>
      </c>
      <c r="V215" s="634">
        <v>4.0827602734710524</v>
      </c>
      <c r="W215" s="634">
        <v>-4.5558042852574374</v>
      </c>
      <c r="X215" s="634">
        <v>-26.55752645298773</v>
      </c>
    </row>
    <row r="216" spans="1:24" ht="16">
      <c r="A216" s="634" t="s">
        <v>387</v>
      </c>
      <c r="B216" s="635" t="s">
        <v>388</v>
      </c>
      <c r="C216" s="634" t="s">
        <v>808</v>
      </c>
      <c r="D216" s="635" t="s">
        <v>809</v>
      </c>
      <c r="E216" s="634">
        <v>5.5917480756326796</v>
      </c>
      <c r="F216" s="634">
        <v>3.1704093592236404</v>
      </c>
      <c r="G216" s="634">
        <v>3.338427956050964</v>
      </c>
      <c r="H216" s="634">
        <v>3.6475694701263279</v>
      </c>
      <c r="I216" s="634">
        <v>3.8662295158774214</v>
      </c>
      <c r="J216" s="634">
        <v>7.7023070451423195</v>
      </c>
      <c r="K216" s="634">
        <v>-12.714896899888231</v>
      </c>
      <c r="L216" s="634">
        <v>2.392990203477467</v>
      </c>
      <c r="M216" s="634">
        <v>4.8235190811281541</v>
      </c>
      <c r="N216" s="634">
        <v>-0.18869023790976769</v>
      </c>
      <c r="O216" s="634">
        <v>-27.994546244692771</v>
      </c>
      <c r="P216" s="634">
        <v>-9.3751238238057795</v>
      </c>
      <c r="Q216" s="634">
        <v>-5.0717956426149016</v>
      </c>
      <c r="R216" s="634">
        <v>0.75244759197288147</v>
      </c>
      <c r="S216" s="634" t="s">
        <v>1705</v>
      </c>
      <c r="T216" s="634" t="s">
        <v>1705</v>
      </c>
      <c r="U216" s="634" t="s">
        <v>1705</v>
      </c>
      <c r="V216" s="634" t="s">
        <v>1705</v>
      </c>
      <c r="W216" s="634" t="s">
        <v>1705</v>
      </c>
      <c r="X216" s="634" t="s">
        <v>1705</v>
      </c>
    </row>
    <row r="217" spans="1:24" ht="16">
      <c r="A217" s="634" t="s">
        <v>387</v>
      </c>
      <c r="B217" s="635" t="s">
        <v>388</v>
      </c>
      <c r="C217" s="634" t="s">
        <v>810</v>
      </c>
      <c r="D217" s="635" t="s">
        <v>811</v>
      </c>
      <c r="E217" s="634">
        <v>7.2355990065554323</v>
      </c>
      <c r="F217" s="634">
        <v>7.9036944448007915</v>
      </c>
      <c r="G217" s="634">
        <v>8.3524362444740632</v>
      </c>
      <c r="H217" s="634">
        <v>7.7738958154236286</v>
      </c>
      <c r="I217" s="634">
        <v>9.2203484058663037</v>
      </c>
      <c r="J217" s="634">
        <v>10.298223324121267</v>
      </c>
      <c r="K217" s="634">
        <v>5.5692521926301879</v>
      </c>
      <c r="L217" s="634">
        <v>7.597381049019944</v>
      </c>
      <c r="M217" s="634">
        <v>5.0575369504725245</v>
      </c>
      <c r="N217" s="634">
        <v>4.6932831637670489</v>
      </c>
      <c r="O217" s="634">
        <v>2.9203751121796131</v>
      </c>
      <c r="P217" s="634">
        <v>3.7551003167898784</v>
      </c>
      <c r="Q217" s="634">
        <v>3.5258627714992627</v>
      </c>
      <c r="R217" s="634">
        <v>4.0344938966716484</v>
      </c>
      <c r="S217" s="634">
        <v>1.4413060260378501</v>
      </c>
      <c r="T217" s="634">
        <v>-2.7850550654516724</v>
      </c>
      <c r="U217" s="634">
        <v>6.234922047264476</v>
      </c>
      <c r="V217" s="634">
        <v>5.2112236035624733</v>
      </c>
      <c r="W217" s="634">
        <v>5.3679428549305896</v>
      </c>
      <c r="X217" s="634">
        <v>4.0431482994442973</v>
      </c>
    </row>
    <row r="218" spans="1:24" ht="16">
      <c r="A218" s="634" t="s">
        <v>387</v>
      </c>
      <c r="B218" s="635" t="s">
        <v>388</v>
      </c>
      <c r="C218" s="634" t="s">
        <v>812</v>
      </c>
      <c r="D218" s="635" t="s">
        <v>813</v>
      </c>
      <c r="E218" s="634">
        <v>-5.7110837065036577</v>
      </c>
      <c r="F218" s="634">
        <v>-3.4614951878136679</v>
      </c>
      <c r="G218" s="634">
        <v>-3.6533268353551165</v>
      </c>
      <c r="H218" s="634">
        <v>-17.668946330105513</v>
      </c>
      <c r="I218" s="634">
        <v>13.272078582067664</v>
      </c>
      <c r="J218" s="634">
        <v>19.675407656253554</v>
      </c>
      <c r="K218" s="634">
        <v>14.19391573125101</v>
      </c>
      <c r="L218" s="634">
        <v>16.665428979756996</v>
      </c>
      <c r="M218" s="634">
        <v>1.989485539694229</v>
      </c>
      <c r="N218" s="634">
        <v>2.376985703950524</v>
      </c>
      <c r="O218" s="634">
        <v>1.7798535409207119</v>
      </c>
      <c r="P218" s="634">
        <v>0.75579405437120784</v>
      </c>
      <c r="Q218" s="634">
        <v>4.7344112255432975</v>
      </c>
      <c r="R218" s="634">
        <v>5.0099213818811279</v>
      </c>
      <c r="S218" s="634">
        <v>-6.3324497510857185</v>
      </c>
      <c r="T218" s="634">
        <v>-7.8169328407513063</v>
      </c>
      <c r="U218" s="634">
        <v>8.4680391693441806</v>
      </c>
      <c r="V218" s="634">
        <v>6.1391761744748976</v>
      </c>
      <c r="W218" s="634">
        <v>5.3367703733952681</v>
      </c>
      <c r="X218" s="634">
        <v>2.0294841433712349</v>
      </c>
    </row>
    <row r="219" spans="1:24" ht="16">
      <c r="A219" s="634" t="s">
        <v>387</v>
      </c>
      <c r="B219" s="635" t="s">
        <v>388</v>
      </c>
      <c r="C219" s="634" t="s">
        <v>814</v>
      </c>
      <c r="D219" s="635" t="s">
        <v>815</v>
      </c>
      <c r="E219" s="634">
        <v>6.1624933497316903</v>
      </c>
      <c r="F219" s="634">
        <v>6.5774386034674848</v>
      </c>
      <c r="G219" s="634">
        <v>6.6469350471877249</v>
      </c>
      <c r="H219" s="634">
        <v>4.3661731032863145</v>
      </c>
      <c r="I219" s="634">
        <v>0.89265136110157073</v>
      </c>
      <c r="J219" s="634">
        <v>5.2079434406321781</v>
      </c>
      <c r="K219" s="634">
        <v>4.0589232721120538</v>
      </c>
      <c r="L219" s="634">
        <v>1.7679695424127431</v>
      </c>
      <c r="M219" s="634">
        <v>4.3177251676446105</v>
      </c>
      <c r="N219" s="634">
        <v>4.0143505581414303</v>
      </c>
      <c r="O219" s="634">
        <v>3.0033669287938096</v>
      </c>
      <c r="P219" s="634">
        <v>2.195991207379052</v>
      </c>
      <c r="Q219" s="634">
        <v>2.6962378291510873</v>
      </c>
      <c r="R219" s="634">
        <v>2.6650380745653734</v>
      </c>
      <c r="S219" s="634">
        <v>2.2003404329238805</v>
      </c>
      <c r="T219" s="634">
        <v>-2.859783921047125</v>
      </c>
      <c r="U219" s="634">
        <v>4.5635680759566384</v>
      </c>
      <c r="V219" s="634">
        <v>3.5557687871619947</v>
      </c>
      <c r="W219" s="634">
        <v>1.8913073872193706</v>
      </c>
      <c r="X219" s="634">
        <v>2.7668037304499506</v>
      </c>
    </row>
    <row r="220" spans="1:24" ht="16">
      <c r="A220" s="634" t="s">
        <v>387</v>
      </c>
      <c r="B220" s="635" t="s">
        <v>388</v>
      </c>
      <c r="C220" s="634" t="s">
        <v>816</v>
      </c>
      <c r="D220" s="635" t="s">
        <v>817</v>
      </c>
      <c r="E220" s="634">
        <v>5.9121108808749767</v>
      </c>
      <c r="F220" s="634">
        <v>5.3551836976997009</v>
      </c>
      <c r="G220" s="634">
        <v>5.5023286899064345</v>
      </c>
      <c r="H220" s="634">
        <v>6.2761345113260063</v>
      </c>
      <c r="I220" s="634">
        <v>6.1255291674972909</v>
      </c>
      <c r="J220" s="634">
        <v>7.0320247234436124</v>
      </c>
      <c r="K220" s="634">
        <v>4.9466662453979069</v>
      </c>
      <c r="L220" s="634">
        <v>5.1405755767892884</v>
      </c>
      <c r="M220" s="634">
        <v>6.0280228896078825</v>
      </c>
      <c r="N220" s="634">
        <v>5.7124585226159326</v>
      </c>
      <c r="O220" s="634">
        <v>2.9280096098400321</v>
      </c>
      <c r="P220" s="634">
        <v>0.19417748941414459</v>
      </c>
      <c r="Q220" s="634">
        <v>2.2961675473938783</v>
      </c>
      <c r="R220" s="634">
        <v>2.9046543751129548</v>
      </c>
      <c r="S220" s="634">
        <v>3.2821629979396789</v>
      </c>
      <c r="T220" s="634">
        <v>-0.98411742515334311</v>
      </c>
      <c r="U220" s="634">
        <v>4.0300003060735889</v>
      </c>
      <c r="V220" s="634">
        <v>3.9749635448374363</v>
      </c>
      <c r="W220" s="634">
        <v>3.3579869948865451</v>
      </c>
      <c r="X220" s="634">
        <v>4.1761028893151604</v>
      </c>
    </row>
    <row r="221" spans="1:24" ht="16">
      <c r="A221" s="634" t="s">
        <v>387</v>
      </c>
      <c r="B221" s="635" t="s">
        <v>388</v>
      </c>
      <c r="C221" s="634" t="s">
        <v>818</v>
      </c>
      <c r="D221" s="635" t="s">
        <v>819</v>
      </c>
      <c r="E221" s="634">
        <v>5.5711199283827284</v>
      </c>
      <c r="F221" s="634">
        <v>6.2824261704674598</v>
      </c>
      <c r="G221" s="634">
        <v>4.5997619617738081</v>
      </c>
      <c r="H221" s="634">
        <v>5.5685656694827372</v>
      </c>
      <c r="I221" s="634">
        <v>0.64266429618670884</v>
      </c>
      <c r="J221" s="634">
        <v>4.8377172153874</v>
      </c>
      <c r="K221" s="634">
        <v>3.7862130618346583</v>
      </c>
      <c r="L221" s="634">
        <v>5.0983116246057278</v>
      </c>
      <c r="M221" s="634">
        <v>2.659523109726706</v>
      </c>
      <c r="N221" s="634">
        <v>2.5897328582069434</v>
      </c>
      <c r="O221" s="634">
        <v>3.2942234887690489</v>
      </c>
      <c r="P221" s="634">
        <v>3.5492835188491938</v>
      </c>
      <c r="Q221" s="634">
        <v>1.6048258955611914</v>
      </c>
      <c r="R221" s="634">
        <v>2.6428452090216723</v>
      </c>
      <c r="S221" s="634">
        <v>1.7269161369727613</v>
      </c>
      <c r="T221" s="634">
        <v>-4.7571449957682717</v>
      </c>
      <c r="U221" s="634">
        <v>4.4045759597888718</v>
      </c>
      <c r="V221" s="634">
        <v>6.9954138183775427</v>
      </c>
      <c r="W221" s="634">
        <v>1.5043551993805977</v>
      </c>
      <c r="X221" s="634">
        <v>1.5489191239935565</v>
      </c>
    </row>
    <row r="222" spans="1:24" ht="16">
      <c r="A222" s="634" t="s">
        <v>387</v>
      </c>
      <c r="B222" s="635" t="s">
        <v>388</v>
      </c>
      <c r="C222" s="634" t="s">
        <v>820</v>
      </c>
      <c r="D222" s="635" t="s">
        <v>821</v>
      </c>
      <c r="E222" s="634">
        <v>4.4016455270615893</v>
      </c>
      <c r="F222" s="634">
        <v>7.8564334499483266</v>
      </c>
      <c r="G222" s="634">
        <v>3.8685290033032089</v>
      </c>
      <c r="H222" s="634">
        <v>1.7112317634678789</v>
      </c>
      <c r="I222" s="634">
        <v>-3.3726731227482531</v>
      </c>
      <c r="J222" s="634">
        <v>1.8947285672138463</v>
      </c>
      <c r="K222" s="634">
        <v>0.85439235247366696</v>
      </c>
      <c r="L222" s="634">
        <v>4.4041586473648948</v>
      </c>
      <c r="M222" s="634">
        <v>1.4705609794228138</v>
      </c>
      <c r="N222" s="634">
        <v>2.5616567641340282</v>
      </c>
      <c r="O222" s="634">
        <v>-0.13095870451515168</v>
      </c>
      <c r="P222" s="634">
        <v>-3.0252654969647494</v>
      </c>
      <c r="Q222" s="634">
        <v>-0.78770192552821072</v>
      </c>
      <c r="R222" s="634">
        <v>1.2310564069212546</v>
      </c>
      <c r="S222" s="634">
        <v>0.9191341677211966</v>
      </c>
      <c r="T222" s="634">
        <v>-9.1132531035630393</v>
      </c>
      <c r="U222" s="634">
        <v>6.4790691099325954</v>
      </c>
      <c r="V222" s="634">
        <v>15.018157162776617</v>
      </c>
      <c r="W222" s="634">
        <v>9.0079519622707096</v>
      </c>
      <c r="X222" s="634">
        <v>13.344325867934529</v>
      </c>
    </row>
    <row r="223" spans="1:24" ht="16">
      <c r="A223" s="634" t="s">
        <v>387</v>
      </c>
      <c r="B223" s="635" t="s">
        <v>388</v>
      </c>
      <c r="C223" s="634" t="s">
        <v>822</v>
      </c>
      <c r="D223" s="635" t="s">
        <v>823</v>
      </c>
      <c r="E223" s="634">
        <v>4.909840407911517</v>
      </c>
      <c r="F223" s="634">
        <v>6.6411559006068757</v>
      </c>
      <c r="G223" s="634">
        <v>6.3388377474276467</v>
      </c>
      <c r="H223" s="634">
        <v>3.9620651169266523</v>
      </c>
      <c r="I223" s="634">
        <v>-3.6223514024727024</v>
      </c>
      <c r="J223" s="634">
        <v>1.5385663139084755</v>
      </c>
      <c r="K223" s="634">
        <v>3.6011856898606567</v>
      </c>
      <c r="L223" s="634">
        <v>0.83722966670521259</v>
      </c>
      <c r="M223" s="634">
        <v>0.66820944314898156</v>
      </c>
      <c r="N223" s="634">
        <v>3.262021274142171</v>
      </c>
      <c r="O223" s="634">
        <v>4.0017829910073459</v>
      </c>
      <c r="P223" s="634">
        <v>2.8070553417610711</v>
      </c>
      <c r="Q223" s="634">
        <v>5.1070076593995282</v>
      </c>
      <c r="R223" s="634">
        <v>5.0641304231931343</v>
      </c>
      <c r="S223" s="634">
        <v>4.0267112474345907</v>
      </c>
      <c r="T223" s="634">
        <v>-3.3153681048413404</v>
      </c>
      <c r="U223" s="634">
        <v>6.5460768168742902</v>
      </c>
      <c r="V223" s="634">
        <v>4.03666414212897</v>
      </c>
      <c r="W223" s="634">
        <v>0.76327813188028415</v>
      </c>
      <c r="X223" s="634">
        <v>1.9633055238237347</v>
      </c>
    </row>
    <row r="224" spans="1:24" ht="16">
      <c r="A224" s="634" t="s">
        <v>387</v>
      </c>
      <c r="B224" s="635" t="s">
        <v>388</v>
      </c>
      <c r="C224" s="634" t="s">
        <v>824</v>
      </c>
      <c r="D224" s="635" t="s">
        <v>825</v>
      </c>
      <c r="E224" s="634">
        <v>5.8951462725397761</v>
      </c>
      <c r="F224" s="634">
        <v>6.0717155582242981</v>
      </c>
      <c r="G224" s="634">
        <v>5.7132181968074605</v>
      </c>
      <c r="H224" s="634">
        <v>3.4500565663022229</v>
      </c>
      <c r="I224" s="634">
        <v>0.72375960729344513</v>
      </c>
      <c r="J224" s="634">
        <v>6.5036287794201684</v>
      </c>
      <c r="K224" s="634">
        <v>4.978264998676039</v>
      </c>
      <c r="L224" s="634">
        <v>4.2084047557502657</v>
      </c>
      <c r="M224" s="634">
        <v>4.0711113175065208</v>
      </c>
      <c r="N224" s="634">
        <v>4.1343331777880223</v>
      </c>
      <c r="O224" s="634">
        <v>4.4137472158001856</v>
      </c>
      <c r="P224" s="634">
        <v>4.4039027176237937</v>
      </c>
      <c r="Q224" s="634">
        <v>4.6489450679557223</v>
      </c>
      <c r="R224" s="634">
        <v>3.8410976541858162</v>
      </c>
      <c r="S224" s="634">
        <v>2.3871912472840648</v>
      </c>
      <c r="T224" s="634">
        <v>-4.215304366329903</v>
      </c>
      <c r="U224" s="634">
        <v>7.506481400475991</v>
      </c>
      <c r="V224" s="634">
        <v>5.9601946033986479</v>
      </c>
      <c r="W224" s="634">
        <v>4.6109008700226468</v>
      </c>
      <c r="X224" s="634">
        <v>3.5824610412904718</v>
      </c>
    </row>
    <row r="225" spans="1:24" ht="16">
      <c r="A225" s="634" t="s">
        <v>387</v>
      </c>
      <c r="B225" s="635" t="s">
        <v>388</v>
      </c>
      <c r="C225" s="634" t="s">
        <v>826</v>
      </c>
      <c r="D225" s="635" t="s">
        <v>827</v>
      </c>
      <c r="E225" s="634">
        <v>5.9585998102571978</v>
      </c>
      <c r="F225" s="634">
        <v>6.485089960954511</v>
      </c>
      <c r="G225" s="634">
        <v>7.4857634957016472</v>
      </c>
      <c r="H225" s="634">
        <v>4.4359701547271868</v>
      </c>
      <c r="I225" s="634">
        <v>2.6235669600221314</v>
      </c>
      <c r="J225" s="634">
        <v>7.6180368729149137</v>
      </c>
      <c r="K225" s="634">
        <v>5.4582546194483825</v>
      </c>
      <c r="L225" s="634">
        <v>5.2052337100679864</v>
      </c>
      <c r="M225" s="634">
        <v>5.2736828023205504</v>
      </c>
      <c r="N225" s="634">
        <v>4.8029900533622936</v>
      </c>
      <c r="O225" s="634">
        <v>4.7201857712590822</v>
      </c>
      <c r="P225" s="634">
        <v>4.6463746976015585</v>
      </c>
      <c r="Q225" s="634">
        <v>5.0496218967289224</v>
      </c>
      <c r="R225" s="634">
        <v>4.7843128392732979</v>
      </c>
      <c r="S225" s="634">
        <v>4.0437292452971718</v>
      </c>
      <c r="T225" s="634">
        <v>-5.4128673368552427E-2</v>
      </c>
      <c r="U225" s="634">
        <v>6.3397358353444133</v>
      </c>
      <c r="V225" s="634">
        <v>2.9904715952247187</v>
      </c>
      <c r="W225" s="634">
        <v>4.1939549505955966</v>
      </c>
      <c r="X225" s="634">
        <v>3.8945931508952896</v>
      </c>
    </row>
    <row r="226" spans="1:24" ht="16">
      <c r="A226" s="634" t="s">
        <v>387</v>
      </c>
      <c r="B226" s="635" t="s">
        <v>388</v>
      </c>
      <c r="C226" s="634" t="s">
        <v>828</v>
      </c>
      <c r="D226" s="635" t="s">
        <v>829</v>
      </c>
      <c r="E226" s="634">
        <v>10.049382754726281</v>
      </c>
      <c r="F226" s="634">
        <v>11.070304119950052</v>
      </c>
      <c r="G226" s="634">
        <v>12.451747131027943</v>
      </c>
      <c r="H226" s="634">
        <v>8.6488258479748623</v>
      </c>
      <c r="I226" s="634">
        <v>8.0160320063088051</v>
      </c>
      <c r="J226" s="634">
        <v>9.8979522090944556</v>
      </c>
      <c r="K226" s="634">
        <v>8.5848031440385313</v>
      </c>
      <c r="L226" s="634">
        <v>7.5791375654262794</v>
      </c>
      <c r="M226" s="634">
        <v>7.3175368328623165</v>
      </c>
      <c r="N226" s="634">
        <v>7.02297969698418</v>
      </c>
      <c r="O226" s="634">
        <v>6.6614282192022074</v>
      </c>
      <c r="P226" s="634">
        <v>6.5100772915701555</v>
      </c>
      <c r="Q226" s="634">
        <v>6.6666909138265282</v>
      </c>
      <c r="R226" s="634">
        <v>6.5371900922158517</v>
      </c>
      <c r="S226" s="634">
        <v>5.8857935889594017</v>
      </c>
      <c r="T226" s="634">
        <v>1.3452889645040784</v>
      </c>
      <c r="U226" s="634">
        <v>7.7197986588591618</v>
      </c>
      <c r="V226" s="634">
        <v>3.5453750042520937</v>
      </c>
      <c r="W226" s="634">
        <v>5.25477821929519</v>
      </c>
      <c r="X226" s="634">
        <v>4.9625995622417634</v>
      </c>
    </row>
    <row r="227" spans="1:24" ht="16">
      <c r="A227" s="634" t="s">
        <v>387</v>
      </c>
      <c r="B227" s="635" t="s">
        <v>388</v>
      </c>
      <c r="C227" s="634" t="s">
        <v>830</v>
      </c>
      <c r="D227" s="635" t="s">
        <v>831</v>
      </c>
      <c r="E227" s="634">
        <v>10.048960700440006</v>
      </c>
      <c r="F227" s="634">
        <v>11.069766077185307</v>
      </c>
      <c r="G227" s="634">
        <v>12.451018665976065</v>
      </c>
      <c r="H227" s="634">
        <v>8.6483636353959383</v>
      </c>
      <c r="I227" s="634">
        <v>8.0154481905613721</v>
      </c>
      <c r="J227" s="634">
        <v>9.8975949189937609</v>
      </c>
      <c r="K227" s="634">
        <v>8.584744969024257</v>
      </c>
      <c r="L227" s="634">
        <v>7.5790769210146749</v>
      </c>
      <c r="M227" s="634">
        <v>7.3172764510147914</v>
      </c>
      <c r="N227" s="634">
        <v>7.0229889161731052</v>
      </c>
      <c r="O227" s="634">
        <v>6.6614338009038221</v>
      </c>
      <c r="P227" s="634">
        <v>6.509920702296256</v>
      </c>
      <c r="Q227" s="634">
        <v>6.6664222631306274</v>
      </c>
      <c r="R227" s="634">
        <v>6.5370360658701117</v>
      </c>
      <c r="S227" s="634">
        <v>5.8857132469739497</v>
      </c>
      <c r="T227" s="634">
        <v>1.3451781381745178</v>
      </c>
      <c r="U227" s="634">
        <v>7.7194860733730906</v>
      </c>
      <c r="V227" s="634">
        <v>3.5453158849927888</v>
      </c>
      <c r="W227" s="634">
        <v>5.2547176353900653</v>
      </c>
      <c r="X227" s="634">
        <v>4.9626071157649108</v>
      </c>
    </row>
    <row r="228" spans="1:24" ht="16">
      <c r="A228" s="634" t="s">
        <v>387</v>
      </c>
      <c r="B228" s="635" t="s">
        <v>388</v>
      </c>
      <c r="C228" s="634" t="s">
        <v>832</v>
      </c>
      <c r="D228" s="635" t="s">
        <v>833</v>
      </c>
      <c r="E228" s="634">
        <v>1.7719186866137022</v>
      </c>
      <c r="F228" s="634">
        <v>3.3216015340721015</v>
      </c>
      <c r="G228" s="634">
        <v>3.0115056101668074</v>
      </c>
      <c r="H228" s="634">
        <v>0.41650193847391392</v>
      </c>
      <c r="I228" s="634">
        <v>-4.4828520407029941</v>
      </c>
      <c r="J228" s="634">
        <v>2.121339132639406</v>
      </c>
      <c r="K228" s="634">
        <v>1.778222734717076</v>
      </c>
      <c r="L228" s="634">
        <v>-0.917843011767701</v>
      </c>
      <c r="M228" s="634">
        <v>-0.16975203934477179</v>
      </c>
      <c r="N228" s="634">
        <v>1.4520010388254576</v>
      </c>
      <c r="O228" s="634">
        <v>2.1410319458092744</v>
      </c>
      <c r="P228" s="634">
        <v>1.8224685629950557</v>
      </c>
      <c r="Q228" s="634">
        <v>2.5974949354143462</v>
      </c>
      <c r="R228" s="634">
        <v>1.7705125717898653</v>
      </c>
      <c r="S228" s="634">
        <v>1.6275605718827961</v>
      </c>
      <c r="T228" s="634">
        <v>-6.0463911124646188</v>
      </c>
      <c r="U228" s="634">
        <v>6.3584474278722212</v>
      </c>
      <c r="V228" s="634">
        <v>3.5431541433043776</v>
      </c>
      <c r="W228" s="634">
        <v>0.41869630505443922</v>
      </c>
      <c r="X228" s="634">
        <v>0.86329700760985872</v>
      </c>
    </row>
    <row r="229" spans="1:24" ht="16">
      <c r="A229" s="634" t="s">
        <v>387</v>
      </c>
      <c r="B229" s="635" t="s">
        <v>388</v>
      </c>
      <c r="C229" s="634" t="s">
        <v>834</v>
      </c>
      <c r="D229" s="635" t="s">
        <v>835</v>
      </c>
      <c r="E229" s="634">
        <v>2.7109826025312174</v>
      </c>
      <c r="F229" s="634">
        <v>3.9098731162036273</v>
      </c>
      <c r="G229" s="634">
        <v>3.6450267536345109</v>
      </c>
      <c r="H229" s="634">
        <v>0.99864754237646025</v>
      </c>
      <c r="I229" s="634">
        <v>-4.4333905899911628</v>
      </c>
      <c r="J229" s="634">
        <v>2.6255620699014344</v>
      </c>
      <c r="K229" s="634">
        <v>2.3766118864893144</v>
      </c>
      <c r="L229" s="634">
        <v>0.31107753923063797</v>
      </c>
      <c r="M229" s="634">
        <v>0.87156463235791648</v>
      </c>
      <c r="N229" s="634">
        <v>1.9436335405028871</v>
      </c>
      <c r="O229" s="634">
        <v>2.0980068057192369</v>
      </c>
      <c r="P229" s="634">
        <v>1.8819678046046562</v>
      </c>
      <c r="Q229" s="634">
        <v>2.8731751450172567</v>
      </c>
      <c r="R229" s="634">
        <v>2.1241732492646577</v>
      </c>
      <c r="S229" s="634">
        <v>1.8568153800879941</v>
      </c>
      <c r="T229" s="634">
        <v>-5.407884961633215</v>
      </c>
      <c r="U229" s="634">
        <v>6.7664244812200849</v>
      </c>
      <c r="V229" s="634">
        <v>3.3011566701317605</v>
      </c>
      <c r="W229" s="634">
        <v>1.0694465164508387</v>
      </c>
      <c r="X229" s="634">
        <v>1.5157845110571202</v>
      </c>
    </row>
    <row r="230" spans="1:24" ht="16">
      <c r="A230" s="634" t="s">
        <v>387</v>
      </c>
      <c r="B230" s="635" t="s">
        <v>388</v>
      </c>
      <c r="C230" s="634" t="s">
        <v>836</v>
      </c>
      <c r="D230" s="635" t="s">
        <v>837</v>
      </c>
      <c r="E230" s="634">
        <v>8.4676577296609139</v>
      </c>
      <c r="F230" s="634">
        <v>8.182775201095609</v>
      </c>
      <c r="G230" s="634">
        <v>7.1501828011742816</v>
      </c>
      <c r="H230" s="634">
        <v>3.0475926649350669</v>
      </c>
      <c r="I230" s="634">
        <v>-3.4586204076252898</v>
      </c>
      <c r="J230" s="634">
        <v>7.0604053043780084</v>
      </c>
      <c r="K230" s="634">
        <v>8.4300077637352331</v>
      </c>
      <c r="L230" s="634">
        <v>4.0466168608435282</v>
      </c>
      <c r="M230" s="634">
        <v>6.5085652365977751</v>
      </c>
      <c r="N230" s="634">
        <v>3.3619473011400771</v>
      </c>
      <c r="O230" s="634">
        <v>3.5694127359251979</v>
      </c>
      <c r="P230" s="634">
        <v>2.7817935736472492</v>
      </c>
      <c r="Q230" s="634">
        <v>5.8191720133977185</v>
      </c>
      <c r="R230" s="634">
        <v>3.4973983676072464</v>
      </c>
      <c r="S230" s="634">
        <v>2.3064893435058593</v>
      </c>
      <c r="T230" s="634">
        <v>0.29502381681960799</v>
      </c>
      <c r="U230" s="634">
        <v>9.0447679361919313</v>
      </c>
      <c r="V230" s="634">
        <v>3.1058344605009864</v>
      </c>
      <c r="W230" s="634">
        <v>5.0758400279859757</v>
      </c>
      <c r="X230" s="634">
        <v>3.7519390958337766</v>
      </c>
    </row>
    <row r="231" spans="1:24" ht="16">
      <c r="A231" s="634" t="s">
        <v>387</v>
      </c>
      <c r="B231" s="635" t="s">
        <v>388</v>
      </c>
      <c r="C231" s="634" t="s">
        <v>838</v>
      </c>
      <c r="D231" s="635" t="s">
        <v>839</v>
      </c>
      <c r="E231" s="634">
        <v>6.6129298622382038</v>
      </c>
      <c r="F231" s="634">
        <v>7.8448284783052742</v>
      </c>
      <c r="G231" s="634">
        <v>7.615736266972803</v>
      </c>
      <c r="H231" s="634">
        <v>4.4708546693471192</v>
      </c>
      <c r="I231" s="634">
        <v>-4.688914887301749</v>
      </c>
      <c r="J231" s="634">
        <v>4.6616621245040051</v>
      </c>
      <c r="K231" s="634">
        <v>5.8985117498325508</v>
      </c>
      <c r="L231" s="634">
        <v>3.4483142143443786</v>
      </c>
      <c r="M231" s="634">
        <v>3.3424167812561905</v>
      </c>
      <c r="N231" s="634">
        <v>2.3419869832197264</v>
      </c>
      <c r="O231" s="634">
        <v>1.4869266664871787</v>
      </c>
      <c r="P231" s="634">
        <v>1.8600930096626058</v>
      </c>
      <c r="Q231" s="634">
        <v>4.2935258053049807</v>
      </c>
      <c r="R231" s="634">
        <v>3.7320520167723856</v>
      </c>
      <c r="S231" s="634">
        <v>2.6980367980445408</v>
      </c>
      <c r="T231" s="634">
        <v>-1.4616108460230635</v>
      </c>
      <c r="U231" s="634">
        <v>7.4805771450443785</v>
      </c>
      <c r="V231" s="634">
        <v>1.9474739367641831</v>
      </c>
      <c r="W231" s="634">
        <v>3.8417570106383749</v>
      </c>
      <c r="X231" s="634">
        <v>3.6730758617806316</v>
      </c>
    </row>
    <row r="232" spans="1:24" ht="16">
      <c r="A232" s="634" t="s">
        <v>387</v>
      </c>
      <c r="B232" s="635" t="s">
        <v>388</v>
      </c>
      <c r="C232" s="634" t="s">
        <v>840</v>
      </c>
      <c r="D232" s="635" t="s">
        <v>841</v>
      </c>
      <c r="E232" s="634">
        <v>1.9838230420347998</v>
      </c>
      <c r="F232" s="634">
        <v>3.5649451088690256</v>
      </c>
      <c r="G232" s="634">
        <v>3.142149391284633</v>
      </c>
      <c r="H232" s="634">
        <v>0.62325292680273492</v>
      </c>
      <c r="I232" s="634">
        <v>-4.3121506459675345</v>
      </c>
      <c r="J232" s="634">
        <v>2.1845195020449637</v>
      </c>
      <c r="K232" s="634">
        <v>1.9612009754830524</v>
      </c>
      <c r="L232" s="634">
        <v>-0.76178543929728448</v>
      </c>
      <c r="M232" s="634">
        <v>-3.5674675046124094E-2</v>
      </c>
      <c r="N232" s="634">
        <v>1.6293580615306382</v>
      </c>
      <c r="O232" s="634">
        <v>2.3704798412292831</v>
      </c>
      <c r="P232" s="634">
        <v>1.9461161181005338</v>
      </c>
      <c r="Q232" s="634">
        <v>2.7941430523320605</v>
      </c>
      <c r="R232" s="634">
        <v>2.0540414117159003</v>
      </c>
      <c r="S232" s="634">
        <v>1.8771585670859707</v>
      </c>
      <c r="T232" s="634">
        <v>-5.5734328838517371</v>
      </c>
      <c r="U232" s="634">
        <v>6.3571358569924854</v>
      </c>
      <c r="V232" s="634">
        <v>3.4921438470139776</v>
      </c>
      <c r="W232" s="634">
        <v>0.45550239598924236</v>
      </c>
      <c r="X232" s="634">
        <v>1.025367827248445</v>
      </c>
    </row>
    <row r="233" spans="1:24" ht="16">
      <c r="A233" s="634" t="s">
        <v>387</v>
      </c>
      <c r="B233" s="635" t="s">
        <v>388</v>
      </c>
      <c r="C233" s="634" t="s">
        <v>842</v>
      </c>
      <c r="D233" s="635" t="s">
        <v>843</v>
      </c>
      <c r="E233" s="634">
        <v>5.8779444336971522</v>
      </c>
      <c r="F233" s="634">
        <v>5.8098881324535085</v>
      </c>
      <c r="G233" s="634">
        <v>5.9915033560564694</v>
      </c>
      <c r="H233" s="634">
        <v>5.0520975303652449</v>
      </c>
      <c r="I233" s="634">
        <v>3.018282572568836</v>
      </c>
      <c r="J233" s="634">
        <v>7.0443262161189892</v>
      </c>
      <c r="K233" s="634">
        <v>6.3872136026247972E-2</v>
      </c>
      <c r="L233" s="634">
        <v>5.6042584697371325</v>
      </c>
      <c r="M233" s="634">
        <v>3.4925228515662212</v>
      </c>
      <c r="N233" s="634">
        <v>2.3339895953216967</v>
      </c>
      <c r="O233" s="634">
        <v>0.81289881210007309</v>
      </c>
      <c r="P233" s="634">
        <v>2.1576000819548682</v>
      </c>
      <c r="Q233" s="634">
        <v>2.568696398781384</v>
      </c>
      <c r="R233" s="634">
        <v>2.75006146665892</v>
      </c>
      <c r="S233" s="634">
        <v>2.3136612406299264</v>
      </c>
      <c r="T233" s="634">
        <v>-5.0231159413669531</v>
      </c>
      <c r="U233" s="634">
        <v>2.440370295587428</v>
      </c>
      <c r="V233" s="634">
        <v>1.2399953162956336</v>
      </c>
      <c r="W233" s="634">
        <v>1.9618826379323053</v>
      </c>
      <c r="X233" s="634">
        <v>1.653989499599561</v>
      </c>
    </row>
    <row r="234" spans="1:24" ht="16">
      <c r="A234" s="634" t="s">
        <v>387</v>
      </c>
      <c r="B234" s="635" t="s">
        <v>388</v>
      </c>
      <c r="C234" s="634" t="s">
        <v>844</v>
      </c>
      <c r="D234" s="635" t="s">
        <v>845</v>
      </c>
      <c r="E234" s="634">
        <v>5.6623308275670183</v>
      </c>
      <c r="F234" s="634">
        <v>5.8330143233078786</v>
      </c>
      <c r="G234" s="634">
        <v>5.4370685182091165</v>
      </c>
      <c r="H234" s="634">
        <v>5.6425635553484739</v>
      </c>
      <c r="I234" s="634">
        <v>3.5969067451769661</v>
      </c>
      <c r="J234" s="634">
        <v>6.1824077013142471</v>
      </c>
      <c r="K234" s="634">
        <v>4.5766590769509747</v>
      </c>
      <c r="L234" s="634">
        <v>3.997934807909715</v>
      </c>
      <c r="M234" s="634">
        <v>5.6925679361019377</v>
      </c>
      <c r="N234" s="634">
        <v>5.6096763977556208</v>
      </c>
      <c r="O234" s="634">
        <v>4.926056062469371</v>
      </c>
      <c r="P234" s="634">
        <v>4.4509553279943503</v>
      </c>
      <c r="Q234" s="634">
        <v>5.0267872003298351</v>
      </c>
      <c r="R234" s="634">
        <v>4.2344499590569313</v>
      </c>
      <c r="S234" s="634">
        <v>4.4679459749190187</v>
      </c>
      <c r="T234" s="634">
        <v>0.23949519348529691</v>
      </c>
      <c r="U234" s="634">
        <v>4.2418829154822362</v>
      </c>
      <c r="V234" s="634">
        <v>4.9921359347225405</v>
      </c>
      <c r="W234" s="634">
        <v>3.4812055575774252</v>
      </c>
      <c r="X234" s="634">
        <v>5.2437795231380306</v>
      </c>
    </row>
    <row r="235" spans="1:24" ht="16">
      <c r="A235" s="634" t="s">
        <v>387</v>
      </c>
      <c r="B235" s="635" t="s">
        <v>388</v>
      </c>
      <c r="C235" s="634" t="s">
        <v>846</v>
      </c>
      <c r="D235" s="635" t="s">
        <v>847</v>
      </c>
      <c r="E235" s="634">
        <v>2.9965034323999902</v>
      </c>
      <c r="F235" s="634">
        <v>3.2500604861927656</v>
      </c>
      <c r="G235" s="634">
        <v>2.8638637613726132</v>
      </c>
      <c r="H235" s="634">
        <v>0.67489657026004579</v>
      </c>
      <c r="I235" s="634">
        <v>-3.3544179108915273</v>
      </c>
      <c r="J235" s="634">
        <v>3.0364965535228947</v>
      </c>
      <c r="K235" s="634">
        <v>2.0475100465437066</v>
      </c>
      <c r="L235" s="634">
        <v>1.4587397950223817</v>
      </c>
      <c r="M235" s="634">
        <v>1.6122100294354311</v>
      </c>
      <c r="N235" s="634">
        <v>2.152438530513038</v>
      </c>
      <c r="O235" s="634">
        <v>2.3436085901080901</v>
      </c>
      <c r="P235" s="634">
        <v>1.8263589416147568</v>
      </c>
      <c r="Q235" s="634">
        <v>2.4721151676251054</v>
      </c>
      <c r="R235" s="634">
        <v>2.3685362628292665</v>
      </c>
      <c r="S235" s="634">
        <v>1.9136694134952847</v>
      </c>
      <c r="T235" s="634">
        <v>-3.8745159868203132</v>
      </c>
      <c r="U235" s="634">
        <v>5.8433714536385395</v>
      </c>
      <c r="V235" s="634">
        <v>3.0032783499684541</v>
      </c>
      <c r="W235" s="634">
        <v>1.8213284864161636</v>
      </c>
      <c r="X235" s="634">
        <v>1.9269982883662919</v>
      </c>
    </row>
    <row r="236" spans="1:24" ht="16">
      <c r="A236" s="634" t="s">
        <v>387</v>
      </c>
      <c r="B236" s="635" t="s">
        <v>388</v>
      </c>
      <c r="C236" s="634" t="s">
        <v>848</v>
      </c>
      <c r="D236" s="635" t="s">
        <v>849</v>
      </c>
      <c r="E236" s="634">
        <v>7.2271756294889116</v>
      </c>
      <c r="F236" s="634">
        <v>8.313387630579399</v>
      </c>
      <c r="G236" s="634">
        <v>8.9595483647662917</v>
      </c>
      <c r="H236" s="634">
        <v>5.9414729614510264</v>
      </c>
      <c r="I236" s="634">
        <v>2.8313032025859286</v>
      </c>
      <c r="J236" s="634">
        <v>7.8273423162905402</v>
      </c>
      <c r="K236" s="634">
        <v>6.368346740531166</v>
      </c>
      <c r="L236" s="634">
        <v>5.4602631334189624</v>
      </c>
      <c r="M236" s="634">
        <v>5.2382180463234107</v>
      </c>
      <c r="N236" s="634">
        <v>4.8434052679527042</v>
      </c>
      <c r="O236" s="634">
        <v>4.3859416571169021</v>
      </c>
      <c r="P236" s="634">
        <v>4.5460750200617497</v>
      </c>
      <c r="Q236" s="634">
        <v>5.2296730261862621</v>
      </c>
      <c r="R236" s="634">
        <v>4.9596998932547081</v>
      </c>
      <c r="S236" s="634">
        <v>4.038930981451557</v>
      </c>
      <c r="T236" s="634">
        <v>-1.2491002680246481</v>
      </c>
      <c r="U236" s="634">
        <v>7.6242489688196571</v>
      </c>
      <c r="V236" s="634">
        <v>3.7356225162674406</v>
      </c>
      <c r="W236" s="634">
        <v>4.8204914203248563</v>
      </c>
      <c r="X236" s="634">
        <v>4.3138203873644585</v>
      </c>
    </row>
    <row r="237" spans="1:24" ht="16">
      <c r="A237" s="634" t="s">
        <v>387</v>
      </c>
      <c r="B237" s="635" t="s">
        <v>388</v>
      </c>
      <c r="C237" s="634" t="s">
        <v>850</v>
      </c>
      <c r="D237" s="635" t="s">
        <v>851</v>
      </c>
      <c r="E237" s="634">
        <v>7.1427928340931857</v>
      </c>
      <c r="F237" s="634">
        <v>8.1270634231565708</v>
      </c>
      <c r="G237" s="634">
        <v>8.7112754123782565</v>
      </c>
      <c r="H237" s="634">
        <v>5.8697771369697733</v>
      </c>
      <c r="I237" s="634">
        <v>3.0098839504814237</v>
      </c>
      <c r="J237" s="634">
        <v>7.6937446080658418</v>
      </c>
      <c r="K237" s="634">
        <v>6.1953170007259502</v>
      </c>
      <c r="L237" s="634">
        <v>5.2991872102797117</v>
      </c>
      <c r="M237" s="634">
        <v>5.2391943599998712</v>
      </c>
      <c r="N237" s="634">
        <v>4.8882601581058651</v>
      </c>
      <c r="O237" s="634">
        <v>4.3120342541718628</v>
      </c>
      <c r="P237" s="634">
        <v>4.4462194023813879</v>
      </c>
      <c r="Q237" s="634">
        <v>5.1336293508009732</v>
      </c>
      <c r="R237" s="634">
        <v>4.9139633337463806</v>
      </c>
      <c r="S237" s="634">
        <v>4.0360075431629951</v>
      </c>
      <c r="T237" s="634">
        <v>-1.2196812214060202</v>
      </c>
      <c r="U237" s="634">
        <v>7.3844048434247327</v>
      </c>
      <c r="V237" s="634">
        <v>3.782779701267188</v>
      </c>
      <c r="W237" s="634">
        <v>4.6859112071385454</v>
      </c>
      <c r="X237" s="634">
        <v>4.3067541368657629</v>
      </c>
    </row>
    <row r="238" spans="1:24" ht="16">
      <c r="A238" s="634" t="s">
        <v>387</v>
      </c>
      <c r="B238" s="635" t="s">
        <v>388</v>
      </c>
      <c r="C238" s="634" t="s">
        <v>852</v>
      </c>
      <c r="D238" s="635" t="s">
        <v>853</v>
      </c>
      <c r="E238" s="634">
        <v>5.9676232584858582</v>
      </c>
      <c r="F238" s="634">
        <v>5.7225009073012814</v>
      </c>
      <c r="G238" s="634">
        <v>5.4225095244002262</v>
      </c>
      <c r="H238" s="634">
        <v>4.1742313447990114</v>
      </c>
      <c r="I238" s="634">
        <v>5.8826560146137723</v>
      </c>
      <c r="J238" s="634">
        <v>5.9426548524794924</v>
      </c>
      <c r="K238" s="634">
        <v>4.1977900385474385</v>
      </c>
      <c r="L238" s="634">
        <v>4.505150885488149</v>
      </c>
      <c r="M238" s="634">
        <v>5.6724556034556173</v>
      </c>
      <c r="N238" s="634">
        <v>5.7437603378152744</v>
      </c>
      <c r="O238" s="634">
        <v>3.8367120224392011</v>
      </c>
      <c r="P238" s="634">
        <v>2.2749774214655645</v>
      </c>
      <c r="Q238" s="634">
        <v>2.7712530069526906</v>
      </c>
      <c r="R238" s="634">
        <v>3.8652191051559868</v>
      </c>
      <c r="S238" s="634">
        <v>3.020933527327557</v>
      </c>
      <c r="T238" s="634">
        <v>-1.4183253894414065</v>
      </c>
      <c r="U238" s="634">
        <v>5.2645791672621698</v>
      </c>
      <c r="V238" s="634">
        <v>4.3654101609596552</v>
      </c>
      <c r="W238" s="634">
        <v>2.7369666468022302</v>
      </c>
      <c r="X238" s="634">
        <v>3.8708201655073964</v>
      </c>
    </row>
    <row r="239" spans="1:24" ht="16">
      <c r="A239" s="634" t="s">
        <v>387</v>
      </c>
      <c r="B239" s="635" t="s">
        <v>388</v>
      </c>
      <c r="C239" s="634" t="s">
        <v>854</v>
      </c>
      <c r="D239" s="635" t="s">
        <v>855</v>
      </c>
      <c r="E239" s="634">
        <v>6.4920492135816801</v>
      </c>
      <c r="F239" s="634">
        <v>6.4469083410934473</v>
      </c>
      <c r="G239" s="634">
        <v>6.4397671993643257</v>
      </c>
      <c r="H239" s="634">
        <v>5.9393129224783507</v>
      </c>
      <c r="I239" s="634">
        <v>4.2480187678651191</v>
      </c>
      <c r="J239" s="634">
        <v>6.4425860630546339</v>
      </c>
      <c r="K239" s="634">
        <v>4.2432411185168633</v>
      </c>
      <c r="L239" s="634">
        <v>2.3418935535645602</v>
      </c>
      <c r="M239" s="634">
        <v>4.8206788783506909</v>
      </c>
      <c r="N239" s="634">
        <v>5.0886048483544499</v>
      </c>
      <c r="O239" s="634">
        <v>3.030431452458032</v>
      </c>
      <c r="P239" s="634">
        <v>4.2794411401930006</v>
      </c>
      <c r="Q239" s="634">
        <v>5.205140873100774</v>
      </c>
      <c r="R239" s="634">
        <v>4.8451933891495997</v>
      </c>
      <c r="S239" s="634">
        <v>4.9672464924092736</v>
      </c>
      <c r="T239" s="634">
        <v>-0.31591388570517154</v>
      </c>
      <c r="U239" s="634">
        <v>3.6725064951081521</v>
      </c>
      <c r="V239" s="634">
        <v>4.3880927016311375</v>
      </c>
      <c r="W239" s="634">
        <v>3.2574986513173201</v>
      </c>
      <c r="X239" s="634">
        <v>4.5516130036096882</v>
      </c>
    </row>
    <row r="240" spans="1:24" ht="16">
      <c r="A240" s="634" t="s">
        <v>387</v>
      </c>
      <c r="B240" s="635" t="s">
        <v>388</v>
      </c>
      <c r="C240" s="634" t="s">
        <v>856</v>
      </c>
      <c r="D240" s="635" t="s">
        <v>857</v>
      </c>
      <c r="E240" s="634">
        <v>6.2221580043514138</v>
      </c>
      <c r="F240" s="634">
        <v>6.0749917666715447</v>
      </c>
      <c r="G240" s="634">
        <v>5.9192344826140726</v>
      </c>
      <c r="H240" s="634">
        <v>5.0403529490364036</v>
      </c>
      <c r="I240" s="634">
        <v>5.0606388433339191</v>
      </c>
      <c r="J240" s="634">
        <v>6.1921129020138181</v>
      </c>
      <c r="K240" s="634">
        <v>4.2205229276954555</v>
      </c>
      <c r="L240" s="634">
        <v>3.4229365822155131</v>
      </c>
      <c r="M240" s="634">
        <v>5.25079071709213</v>
      </c>
      <c r="N240" s="634">
        <v>5.4204041840460775</v>
      </c>
      <c r="O240" s="634">
        <v>3.4400196137230239</v>
      </c>
      <c r="P240" s="634">
        <v>3.2572744258910262</v>
      </c>
      <c r="Q240" s="634">
        <v>3.9757985448342765</v>
      </c>
      <c r="R240" s="634">
        <v>4.3559484564998314</v>
      </c>
      <c r="S240" s="634">
        <v>4.0001333958576595</v>
      </c>
      <c r="T240" s="634">
        <v>-0.85853902449088082</v>
      </c>
      <c r="U240" s="634">
        <v>4.4517262207009765</v>
      </c>
      <c r="V240" s="634">
        <v>4.3769046262121378</v>
      </c>
      <c r="W240" s="634">
        <v>3.0007765287601131</v>
      </c>
      <c r="X240" s="634">
        <v>4.2167115163579467</v>
      </c>
    </row>
    <row r="241" spans="1:24" ht="16">
      <c r="A241" s="634" t="s">
        <v>387</v>
      </c>
      <c r="B241" s="635" t="s">
        <v>388</v>
      </c>
      <c r="C241" s="634" t="s">
        <v>858</v>
      </c>
      <c r="D241" s="635" t="s">
        <v>859</v>
      </c>
      <c r="E241" s="634">
        <v>7.7949595081301197</v>
      </c>
      <c r="F241" s="634">
        <v>9.2930059599730441</v>
      </c>
      <c r="G241" s="634">
        <v>10.204454334347602</v>
      </c>
      <c r="H241" s="634">
        <v>6.9574599161072115</v>
      </c>
      <c r="I241" s="634">
        <v>3.7412168480309447</v>
      </c>
      <c r="J241" s="634">
        <v>8.033159406915928</v>
      </c>
      <c r="K241" s="634">
        <v>7.1607620827527541</v>
      </c>
      <c r="L241" s="634">
        <v>5.8275977137356421</v>
      </c>
      <c r="M241" s="634">
        <v>5.6440438569456859</v>
      </c>
      <c r="N241" s="634">
        <v>5.2809906295544238</v>
      </c>
      <c r="O241" s="634">
        <v>4.7009433581041833</v>
      </c>
      <c r="P241" s="634">
        <v>4.4474742568477268</v>
      </c>
      <c r="Q241" s="634">
        <v>5.3020698207905781</v>
      </c>
      <c r="R241" s="634">
        <v>5.4410930044665378</v>
      </c>
      <c r="S241" s="634">
        <v>4.7455413938598809</v>
      </c>
      <c r="T241" s="634">
        <v>0.30369377978878731</v>
      </c>
      <c r="U241" s="634">
        <v>7.5862532160527962</v>
      </c>
      <c r="V241" s="634">
        <v>3.3028670649152758</v>
      </c>
      <c r="W241" s="634">
        <v>4.3534891846105381</v>
      </c>
      <c r="X241" s="634">
        <v>4.4530151012942127</v>
      </c>
    </row>
    <row r="242" spans="1:24" ht="16">
      <c r="A242" s="634" t="s">
        <v>387</v>
      </c>
      <c r="B242" s="635" t="s">
        <v>388</v>
      </c>
      <c r="C242" s="634" t="s">
        <v>860</v>
      </c>
      <c r="D242" s="635" t="s">
        <v>861</v>
      </c>
      <c r="E242" s="634">
        <v>3.9385325841579544</v>
      </c>
      <c r="F242" s="634">
        <v>5.1377580499552948</v>
      </c>
      <c r="G242" s="634">
        <v>5.1903287265754727</v>
      </c>
      <c r="H242" s="634">
        <v>3.6456922530101963</v>
      </c>
      <c r="I242" s="634">
        <v>-2.2787823805991962</v>
      </c>
      <c r="J242" s="634">
        <v>6.3885305986199938</v>
      </c>
      <c r="K242" s="634">
        <v>4.4029471004010929</v>
      </c>
      <c r="L242" s="634">
        <v>2.5681636842800515</v>
      </c>
      <c r="M242" s="634">
        <v>2.7557701194493234</v>
      </c>
      <c r="N242" s="634">
        <v>1.3328338198022323</v>
      </c>
      <c r="O242" s="634">
        <v>0.40325665296315094</v>
      </c>
      <c r="P242" s="634">
        <v>-0.3367583151171516</v>
      </c>
      <c r="Q242" s="634">
        <v>1.8825738681312458</v>
      </c>
      <c r="R242" s="634">
        <v>1.5892639202467933</v>
      </c>
      <c r="S242" s="634">
        <v>0.68279883783471007</v>
      </c>
      <c r="T242" s="634">
        <v>-6.6177249753302476</v>
      </c>
      <c r="U242" s="634">
        <v>7.0820737717136097</v>
      </c>
      <c r="V242" s="634">
        <v>3.9689841328385427</v>
      </c>
      <c r="W242" s="634">
        <v>2.2530415761797116</v>
      </c>
      <c r="X242" s="634">
        <v>2.265258831244239</v>
      </c>
    </row>
    <row r="243" spans="1:24" ht="16">
      <c r="A243" s="634" t="s">
        <v>387</v>
      </c>
      <c r="B243" s="635" t="s">
        <v>388</v>
      </c>
      <c r="C243" s="634" t="s">
        <v>862</v>
      </c>
      <c r="D243" s="635" t="s">
        <v>863</v>
      </c>
      <c r="E243" s="634">
        <v>3.9886505100669325</v>
      </c>
      <c r="F243" s="634">
        <v>5.2302103813631788</v>
      </c>
      <c r="G243" s="634">
        <v>5.3034490962344307</v>
      </c>
      <c r="H243" s="634">
        <v>3.7293334963633811</v>
      </c>
      <c r="I243" s="634">
        <v>-2.4233354273662115</v>
      </c>
      <c r="J243" s="634">
        <v>6.6876439035713986</v>
      </c>
      <c r="K243" s="634">
        <v>4.4264538319048796</v>
      </c>
      <c r="L243" s="634">
        <v>2.3433753076987074</v>
      </c>
      <c r="M243" s="634">
        <v>2.7694237157791548</v>
      </c>
      <c r="N243" s="634">
        <v>1.2698788155445726</v>
      </c>
      <c r="O243" s="634">
        <v>0.25279333494970047</v>
      </c>
      <c r="P243" s="634">
        <v>-0.54093167908274609</v>
      </c>
      <c r="Q243" s="634">
        <v>1.9773497043561292</v>
      </c>
      <c r="R243" s="634">
        <v>1.552546370513582</v>
      </c>
      <c r="S243" s="634">
        <v>0.60002744388825136</v>
      </c>
      <c r="T243" s="634">
        <v>-6.5236090907036015</v>
      </c>
      <c r="U243" s="634">
        <v>6.8704044530770716</v>
      </c>
      <c r="V243" s="634">
        <v>3.8517395301548447</v>
      </c>
      <c r="W243" s="634">
        <v>2.1885694605886243</v>
      </c>
      <c r="X243" s="634">
        <v>2.0121138618432752</v>
      </c>
    </row>
    <row r="244" spans="1:24" ht="16">
      <c r="A244" s="634" t="s">
        <v>387</v>
      </c>
      <c r="B244" s="635" t="s">
        <v>388</v>
      </c>
      <c r="C244" s="634" t="s">
        <v>864</v>
      </c>
      <c r="D244" s="635" t="s">
        <v>865</v>
      </c>
      <c r="E244" s="634">
        <v>4.0345248349180025</v>
      </c>
      <c r="F244" s="634">
        <v>5.2473740408013754</v>
      </c>
      <c r="G244" s="634">
        <v>5.3592117560276051</v>
      </c>
      <c r="H244" s="634">
        <v>3.814267577506385</v>
      </c>
      <c r="I244" s="634">
        <v>-2.325689821577626</v>
      </c>
      <c r="J244" s="634">
        <v>6.6795457111871457</v>
      </c>
      <c r="K244" s="634">
        <v>4.5765186452367601</v>
      </c>
      <c r="L244" s="634">
        <v>2.6387461695404681</v>
      </c>
      <c r="M244" s="634">
        <v>2.8485184900511058</v>
      </c>
      <c r="N244" s="634">
        <v>1.3943900381879502</v>
      </c>
      <c r="O244" s="634">
        <v>0.36145294564174435</v>
      </c>
      <c r="P244" s="634">
        <v>-0.3378301693419985</v>
      </c>
      <c r="Q244" s="634">
        <v>1.9822447622395174</v>
      </c>
      <c r="R244" s="634">
        <v>1.6765087051874303</v>
      </c>
      <c r="S244" s="634">
        <v>0.67825828840850022</v>
      </c>
      <c r="T244" s="634">
        <v>-6.5290236404353692</v>
      </c>
      <c r="U244" s="634">
        <v>7.2800781598665054</v>
      </c>
      <c r="V244" s="634">
        <v>4.0002517562987947</v>
      </c>
      <c r="W244" s="634">
        <v>2.3386131930027858</v>
      </c>
      <c r="X244" s="634">
        <v>2.2441060750872026</v>
      </c>
    </row>
    <row r="245" spans="1:24" ht="16">
      <c r="A245" s="634" t="s">
        <v>387</v>
      </c>
      <c r="B245" s="635" t="s">
        <v>388</v>
      </c>
      <c r="C245" s="634" t="s">
        <v>866</v>
      </c>
      <c r="D245" s="635" t="s">
        <v>867</v>
      </c>
      <c r="E245" s="634">
        <v>7.5062757973274756</v>
      </c>
      <c r="F245" s="634">
        <v>6.8604433699408673</v>
      </c>
      <c r="G245" s="634">
        <v>7.2514397286583971</v>
      </c>
      <c r="H245" s="634">
        <v>6.4579397157851446</v>
      </c>
      <c r="I245" s="634">
        <v>4.2248535613838385</v>
      </c>
      <c r="J245" s="634">
        <v>6.2746738051969544</v>
      </c>
      <c r="K245" s="634">
        <v>3.3227431601906545</v>
      </c>
      <c r="L245" s="634">
        <v>3.1993375765839431</v>
      </c>
      <c r="M245" s="634">
        <v>5.7591267336261325</v>
      </c>
      <c r="N245" s="634">
        <v>5.4810311690586104</v>
      </c>
      <c r="O245" s="634">
        <v>2.8093996066292704</v>
      </c>
      <c r="P245" s="634">
        <v>3.7319998933500074</v>
      </c>
      <c r="Q245" s="634">
        <v>4.5463047315651153</v>
      </c>
      <c r="R245" s="634">
        <v>4.643983666504667</v>
      </c>
      <c r="S245" s="634">
        <v>5.1019778141707661</v>
      </c>
      <c r="T245" s="634">
        <v>-9.9896524137889742E-2</v>
      </c>
      <c r="U245" s="634">
        <v>2.8213417429632841</v>
      </c>
      <c r="V245" s="634">
        <v>4.7731511546661949</v>
      </c>
      <c r="W245" s="634">
        <v>3.0522202675470851</v>
      </c>
      <c r="X245" s="634">
        <v>3.8638548565135551</v>
      </c>
    </row>
    <row r="246" spans="1:24" ht="16">
      <c r="A246" s="634" t="s">
        <v>387</v>
      </c>
      <c r="B246" s="635" t="s">
        <v>388</v>
      </c>
      <c r="C246" s="634" t="s">
        <v>868</v>
      </c>
      <c r="D246" s="635" t="s">
        <v>869</v>
      </c>
      <c r="E246" s="634">
        <v>7.3681466502775379</v>
      </c>
      <c r="F246" s="634">
        <v>8.2174325191387538</v>
      </c>
      <c r="G246" s="634">
        <v>8.8405766744032519</v>
      </c>
      <c r="H246" s="634">
        <v>5.9401226920433174</v>
      </c>
      <c r="I246" s="634">
        <v>4.0192087708072393</v>
      </c>
      <c r="J246" s="634">
        <v>8.159129849199914</v>
      </c>
      <c r="K246" s="634">
        <v>6.3613837455361448</v>
      </c>
      <c r="L246" s="634">
        <v>5.4871187080265003</v>
      </c>
      <c r="M246" s="634">
        <v>5.6188059535549968</v>
      </c>
      <c r="N246" s="634">
        <v>5.1937929672110101</v>
      </c>
      <c r="O246" s="634">
        <v>4.7064137466723537</v>
      </c>
      <c r="P246" s="634">
        <v>4.7382062480572529</v>
      </c>
      <c r="Q246" s="634">
        <v>5.3196277211331449</v>
      </c>
      <c r="R246" s="634">
        <v>5.0097589849957842</v>
      </c>
      <c r="S246" s="634">
        <v>4.1365914075448984</v>
      </c>
      <c r="T246" s="634">
        <v>-1.0574432740004056</v>
      </c>
      <c r="U246" s="634">
        <v>7.4142150848722963</v>
      </c>
      <c r="V246" s="634">
        <v>3.9590511584207064</v>
      </c>
      <c r="W246" s="634">
        <v>4.8177375937149094</v>
      </c>
      <c r="X246" s="634">
        <v>4.3334649815597572</v>
      </c>
    </row>
    <row r="247" spans="1:24" ht="16">
      <c r="A247" s="634" t="s">
        <v>387</v>
      </c>
      <c r="B247" s="635" t="s">
        <v>388</v>
      </c>
      <c r="C247" s="634" t="s">
        <v>870</v>
      </c>
      <c r="D247" s="635" t="s">
        <v>871</v>
      </c>
      <c r="E247" s="634">
        <v>6.2444987454321392</v>
      </c>
      <c r="F247" s="634">
        <v>5.4094098640222796</v>
      </c>
      <c r="G247" s="634">
        <v>5.5373105961911335</v>
      </c>
      <c r="H247" s="634">
        <v>4.9980632434329664</v>
      </c>
      <c r="I247" s="634">
        <v>3.4455966446496689</v>
      </c>
      <c r="J247" s="634">
        <v>6.4884145053157596</v>
      </c>
      <c r="K247" s="634">
        <v>-0.17023473272350031</v>
      </c>
      <c r="L247" s="634">
        <v>-4.5622704063415682</v>
      </c>
      <c r="M247" s="634">
        <v>2.362875261607968</v>
      </c>
      <c r="N247" s="634">
        <v>3.0748772444736687</v>
      </c>
      <c r="O247" s="634">
        <v>-2.1026184423682679</v>
      </c>
      <c r="P247" s="634">
        <v>0.69485709556951747</v>
      </c>
      <c r="Q247" s="634">
        <v>1.7872047110498528</v>
      </c>
      <c r="R247" s="634">
        <v>2.7692997578436405</v>
      </c>
      <c r="S247" s="634">
        <v>3.4556618926950335</v>
      </c>
      <c r="T247" s="634">
        <v>-1.0441670052411496</v>
      </c>
      <c r="U247" s="634">
        <v>1.2674289405463242</v>
      </c>
      <c r="V247" s="634">
        <v>3.6366776313226694</v>
      </c>
      <c r="W247" s="634">
        <v>-0.2022421076198242</v>
      </c>
      <c r="X247" s="634">
        <v>2.3321019406244119</v>
      </c>
    </row>
    <row r="248" spans="1:24" ht="16">
      <c r="A248" s="634" t="s">
        <v>387</v>
      </c>
      <c r="B248" s="635" t="s">
        <v>388</v>
      </c>
      <c r="C248" s="634" t="s">
        <v>872</v>
      </c>
      <c r="D248" s="635" t="s">
        <v>873</v>
      </c>
      <c r="E248" s="634">
        <v>6.6999361047200381</v>
      </c>
      <c r="F248" s="634">
        <v>6.9661640014734729</v>
      </c>
      <c r="G248" s="634">
        <v>6.891186144953025</v>
      </c>
      <c r="H248" s="634">
        <v>4.583068666245623</v>
      </c>
      <c r="I248" s="634">
        <v>5.9536225937946199</v>
      </c>
      <c r="J248" s="634">
        <v>6.8538625383673093</v>
      </c>
      <c r="K248" s="634">
        <v>4.757949917874015</v>
      </c>
      <c r="L248" s="634">
        <v>5.1722157967777633</v>
      </c>
      <c r="M248" s="634">
        <v>5.6770960968088389</v>
      </c>
      <c r="N248" s="634">
        <v>6.1254552154477011</v>
      </c>
      <c r="O248" s="634">
        <v>5.9338484928058932</v>
      </c>
      <c r="P248" s="634">
        <v>5.6881395145802429</v>
      </c>
      <c r="Q248" s="634">
        <v>5.4531381639697685</v>
      </c>
      <c r="R248" s="634">
        <v>5.4344052720577594</v>
      </c>
      <c r="S248" s="634">
        <v>4.0706981332097456</v>
      </c>
      <c r="T248" s="634">
        <v>-3.601667272524594</v>
      </c>
      <c r="U248" s="634">
        <v>6.6579834861218075</v>
      </c>
      <c r="V248" s="634">
        <v>6.1278441512635879</v>
      </c>
      <c r="W248" s="634">
        <v>6.0163278478391646</v>
      </c>
      <c r="X248" s="634">
        <v>5.132162544136861</v>
      </c>
    </row>
    <row r="249" spans="1:24" ht="16">
      <c r="A249" s="634" t="s">
        <v>387</v>
      </c>
      <c r="B249" s="635" t="s">
        <v>388</v>
      </c>
      <c r="C249" s="634" t="s">
        <v>874</v>
      </c>
      <c r="D249" s="635" t="s">
        <v>875</v>
      </c>
      <c r="E249" s="634">
        <v>5.2880649289461417</v>
      </c>
      <c r="F249" s="634">
        <v>5.9911814293684955</v>
      </c>
      <c r="G249" s="634">
        <v>5.2313414544328936</v>
      </c>
      <c r="H249" s="634">
        <v>4.3755920197261702</v>
      </c>
      <c r="I249" s="634">
        <v>1.1132267952014701</v>
      </c>
      <c r="J249" s="634">
        <v>4.8073142859552433</v>
      </c>
      <c r="K249" s="634">
        <v>3.7940150852094234</v>
      </c>
      <c r="L249" s="634">
        <v>3.9653151427228011</v>
      </c>
      <c r="M249" s="634">
        <v>2.4243020797302108</v>
      </c>
      <c r="N249" s="634">
        <v>3.0720110767761923</v>
      </c>
      <c r="O249" s="634">
        <v>2.7275046082813219</v>
      </c>
      <c r="P249" s="634">
        <v>4.484584976217846</v>
      </c>
      <c r="Q249" s="634">
        <v>2.2443344252288284</v>
      </c>
      <c r="R249" s="634">
        <v>2.610824091455811</v>
      </c>
      <c r="S249" s="634">
        <v>1.4860109423223093</v>
      </c>
      <c r="T249" s="634">
        <v>-3.3078311837047636</v>
      </c>
      <c r="U249" s="634">
        <v>5.0848879691885145</v>
      </c>
      <c r="V249" s="634">
        <v>6.3774503594380576</v>
      </c>
      <c r="W249" s="634">
        <v>2.1537582485023847</v>
      </c>
      <c r="X249" s="634">
        <v>1.9418749039173946</v>
      </c>
    </row>
    <row r="250" spans="1:24" ht="16">
      <c r="A250" s="634" t="s">
        <v>387</v>
      </c>
      <c r="B250" s="635" t="s">
        <v>388</v>
      </c>
      <c r="C250" s="634" t="s">
        <v>876</v>
      </c>
      <c r="D250" s="635" t="s">
        <v>877</v>
      </c>
      <c r="E250" s="634">
        <v>4.95082475109146</v>
      </c>
      <c r="F250" s="634">
        <v>5.4004089868291629</v>
      </c>
      <c r="G250" s="634">
        <v>5.8174975988223991</v>
      </c>
      <c r="H250" s="634">
        <v>3.4632836371265086</v>
      </c>
      <c r="I250" s="634">
        <v>2.830779631644802</v>
      </c>
      <c r="J250" s="634">
        <v>4.8304065449094509</v>
      </c>
      <c r="K250" s="634">
        <v>-0.37551350408131157</v>
      </c>
      <c r="L250" s="634">
        <v>3.5560244140742583</v>
      </c>
      <c r="M250" s="634">
        <v>1.1175396883362794</v>
      </c>
      <c r="N250" s="634">
        <v>2.3963251352372623</v>
      </c>
      <c r="O250" s="634">
        <v>1.1120903552565267</v>
      </c>
      <c r="P250" s="634">
        <v>5.5669405018924749</v>
      </c>
      <c r="Q250" s="634">
        <v>3.3397033251472834</v>
      </c>
      <c r="R250" s="634">
        <v>2.554068461469555</v>
      </c>
      <c r="S250" s="634">
        <v>1.2190774489085499</v>
      </c>
      <c r="T250" s="634">
        <v>-2.860877249714008</v>
      </c>
      <c r="U250" s="634">
        <v>4.468192981469727</v>
      </c>
      <c r="V250" s="634">
        <v>4.1791829383931827</v>
      </c>
      <c r="W250" s="634">
        <v>2.8383671828392067</v>
      </c>
      <c r="X250" s="634">
        <v>1.9658739865806609</v>
      </c>
    </row>
    <row r="251" spans="1:24" ht="16">
      <c r="A251" s="634" t="s">
        <v>387</v>
      </c>
      <c r="B251" s="635" t="s">
        <v>388</v>
      </c>
      <c r="C251" s="634" t="s">
        <v>878</v>
      </c>
      <c r="D251" s="635" t="s">
        <v>879</v>
      </c>
      <c r="E251" s="634">
        <v>4.9111022021540265</v>
      </c>
      <c r="F251" s="634">
        <v>5.4429268035040224</v>
      </c>
      <c r="G251" s="634">
        <v>5.8301612260770241</v>
      </c>
      <c r="H251" s="634">
        <v>3.4390113726526721</v>
      </c>
      <c r="I251" s="634">
        <v>2.7941499237534657</v>
      </c>
      <c r="J251" s="634">
        <v>4.8240477975925984</v>
      </c>
      <c r="K251" s="634">
        <v>-0.44311312418304283</v>
      </c>
      <c r="L251" s="634">
        <v>3.5370737755598327</v>
      </c>
      <c r="M251" s="634">
        <v>1.0901662582443663</v>
      </c>
      <c r="N251" s="634">
        <v>2.4165213426834811</v>
      </c>
      <c r="O251" s="634">
        <v>1.0919777156829298</v>
      </c>
      <c r="P251" s="634">
        <v>5.5408597747010049</v>
      </c>
      <c r="Q251" s="634">
        <v>3.3553692019120405</v>
      </c>
      <c r="R251" s="634">
        <v>2.5646911242802446</v>
      </c>
      <c r="S251" s="634">
        <v>1.2179428327986415</v>
      </c>
      <c r="T251" s="634">
        <v>-2.7939610309203289</v>
      </c>
      <c r="U251" s="634">
        <v>4.4498315765400207</v>
      </c>
      <c r="V251" s="634">
        <v>4.1798960024871832</v>
      </c>
      <c r="W251" s="634">
        <v>2.8929975144982478</v>
      </c>
      <c r="X251" s="634">
        <v>2.1613571335384876</v>
      </c>
    </row>
    <row r="252" spans="1:24" ht="16">
      <c r="A252" s="634" t="s">
        <v>387</v>
      </c>
      <c r="B252" s="635" t="s">
        <v>388</v>
      </c>
      <c r="C252" s="634" t="s">
        <v>880</v>
      </c>
      <c r="D252" s="635" t="s">
        <v>881</v>
      </c>
      <c r="E252" s="634">
        <v>7.3892339476338833</v>
      </c>
      <c r="F252" s="634">
        <v>8.2695684330267483</v>
      </c>
      <c r="G252" s="634">
        <v>8.9002874781512133</v>
      </c>
      <c r="H252" s="634">
        <v>5.9566257591639129</v>
      </c>
      <c r="I252" s="634">
        <v>4.0298449672266941</v>
      </c>
      <c r="J252" s="634">
        <v>8.1899350854565824</v>
      </c>
      <c r="K252" s="634">
        <v>6.4799219630641716</v>
      </c>
      <c r="L252" s="634">
        <v>5.658108258945532</v>
      </c>
      <c r="M252" s="634">
        <v>5.6688465329254711</v>
      </c>
      <c r="N252" s="634">
        <v>5.2253369207269316</v>
      </c>
      <c r="O252" s="634">
        <v>4.8057071345655658</v>
      </c>
      <c r="P252" s="634">
        <v>4.793282240354074</v>
      </c>
      <c r="Q252" s="634">
        <v>5.3658623778121779</v>
      </c>
      <c r="R252" s="634">
        <v>5.0380875932462033</v>
      </c>
      <c r="S252" s="634">
        <v>4.1450151861518663</v>
      </c>
      <c r="T252" s="634">
        <v>-1.0576064275762747</v>
      </c>
      <c r="U252" s="634">
        <v>7.4897638989350952</v>
      </c>
      <c r="V252" s="634">
        <v>3.962784017487337</v>
      </c>
      <c r="W252" s="634">
        <v>4.875683100394653</v>
      </c>
      <c r="X252" s="634">
        <v>4.3554994954611033</v>
      </c>
    </row>
    <row r="253" spans="1:24" ht="16">
      <c r="A253" s="634" t="s">
        <v>387</v>
      </c>
      <c r="B253" s="635" t="s">
        <v>388</v>
      </c>
      <c r="C253" s="634" t="s">
        <v>882</v>
      </c>
      <c r="D253" s="635" t="s">
        <v>883</v>
      </c>
      <c r="E253" s="634">
        <v>3.4612832307834935</v>
      </c>
      <c r="F253" s="634">
        <v>2.7743146338336828</v>
      </c>
      <c r="G253" s="634">
        <v>2.0080830491201027</v>
      </c>
      <c r="H253" s="634">
        <v>0.18162437681333188</v>
      </c>
      <c r="I253" s="634">
        <v>-2.6046076408093626</v>
      </c>
      <c r="J253" s="634">
        <v>2.7239591669271306</v>
      </c>
      <c r="K253" s="634">
        <v>1.6862113208173639</v>
      </c>
      <c r="L253" s="634">
        <v>2.2433785943366757</v>
      </c>
      <c r="M253" s="634">
        <v>2.1334968845291087</v>
      </c>
      <c r="N253" s="634">
        <v>2.5494471364894622</v>
      </c>
      <c r="O253" s="634">
        <v>2.7611045598068955</v>
      </c>
      <c r="P253" s="634">
        <v>1.7574135922103835</v>
      </c>
      <c r="Q253" s="634">
        <v>2.5028449614174804</v>
      </c>
      <c r="R253" s="634">
        <v>2.947893141548235</v>
      </c>
      <c r="S253" s="634">
        <v>2.5303658626684609</v>
      </c>
      <c r="T253" s="634">
        <v>-2.3876084093815848</v>
      </c>
      <c r="U253" s="634">
        <v>6.0467295655090965</v>
      </c>
      <c r="V253" s="634">
        <v>2.640006331487271</v>
      </c>
      <c r="W253" s="634">
        <v>2.784140410576768</v>
      </c>
      <c r="X253" s="634">
        <v>2.700069253239775</v>
      </c>
    </row>
    <row r="254" spans="1:24" ht="16">
      <c r="A254" s="634" t="s">
        <v>387</v>
      </c>
      <c r="B254" s="635" t="s">
        <v>388</v>
      </c>
      <c r="C254" s="634" t="s">
        <v>884</v>
      </c>
      <c r="D254" s="635" t="s">
        <v>885</v>
      </c>
      <c r="E254" s="634" t="s">
        <v>1705</v>
      </c>
      <c r="F254" s="634" t="s">
        <v>1705</v>
      </c>
      <c r="G254" s="634" t="s">
        <v>1705</v>
      </c>
      <c r="H254" s="634" t="s">
        <v>1705</v>
      </c>
      <c r="I254" s="634" t="s">
        <v>1705</v>
      </c>
      <c r="J254" s="634" t="s">
        <v>1705</v>
      </c>
      <c r="K254" s="634" t="s">
        <v>1705</v>
      </c>
      <c r="L254" s="634" t="s">
        <v>1705</v>
      </c>
      <c r="M254" s="634" t="s">
        <v>1705</v>
      </c>
      <c r="N254" s="634" t="s">
        <v>1705</v>
      </c>
      <c r="O254" s="634" t="s">
        <v>1705</v>
      </c>
      <c r="P254" s="634" t="s">
        <v>1705</v>
      </c>
      <c r="Q254" s="634" t="s">
        <v>1705</v>
      </c>
      <c r="R254" s="634" t="s">
        <v>1705</v>
      </c>
      <c r="S254" s="634" t="s">
        <v>1705</v>
      </c>
      <c r="T254" s="634" t="s">
        <v>1705</v>
      </c>
      <c r="U254" s="634" t="s">
        <v>1705</v>
      </c>
      <c r="V254" s="634" t="s">
        <v>1705</v>
      </c>
      <c r="W254" s="634" t="s">
        <v>1705</v>
      </c>
      <c r="X254" s="634" t="s">
        <v>1705</v>
      </c>
    </row>
    <row r="255" spans="1:24" ht="16">
      <c r="A255" s="634" t="s">
        <v>387</v>
      </c>
      <c r="B255" s="635" t="s">
        <v>388</v>
      </c>
      <c r="C255" s="634" t="s">
        <v>886</v>
      </c>
      <c r="D255" s="635" t="s">
        <v>887</v>
      </c>
      <c r="E255" s="634">
        <v>2.8373665024881518</v>
      </c>
      <c r="F255" s="634">
        <v>3.0481511063599669</v>
      </c>
      <c r="G255" s="634">
        <v>2.5939448823168618</v>
      </c>
      <c r="H255" s="634">
        <v>0.37934083545118824</v>
      </c>
      <c r="I255" s="634">
        <v>-3.3865376679464845</v>
      </c>
      <c r="J255" s="634">
        <v>2.9542465149049519</v>
      </c>
      <c r="K255" s="634">
        <v>1.8957960836184213</v>
      </c>
      <c r="L255" s="634">
        <v>1.3701944786100455</v>
      </c>
      <c r="M255" s="634">
        <v>1.6172749700962328</v>
      </c>
      <c r="N255" s="634">
        <v>2.1829720212404027</v>
      </c>
      <c r="O255" s="634">
        <v>2.5175463523664945</v>
      </c>
      <c r="P255" s="634">
        <v>1.8433244775090714</v>
      </c>
      <c r="Q255" s="634">
        <v>2.5709910321650113</v>
      </c>
      <c r="R255" s="634">
        <v>2.3379228505223608</v>
      </c>
      <c r="S255" s="634">
        <v>1.8580124934186415</v>
      </c>
      <c r="T255" s="634">
        <v>-3.9021769722256181</v>
      </c>
      <c r="U255" s="634">
        <v>5.9570896739133445</v>
      </c>
      <c r="V255" s="634">
        <v>3.0534747681363967</v>
      </c>
      <c r="W255" s="634">
        <v>1.8233071590788796</v>
      </c>
      <c r="X255" s="634">
        <v>1.7845240878370419</v>
      </c>
    </row>
    <row r="256" spans="1:24" ht="16">
      <c r="A256" s="634" t="s">
        <v>387</v>
      </c>
      <c r="B256" s="635" t="s">
        <v>388</v>
      </c>
      <c r="C256" s="634" t="s">
        <v>888</v>
      </c>
      <c r="D256" s="635" t="s">
        <v>889</v>
      </c>
      <c r="E256" s="634">
        <v>4.4440826158123343</v>
      </c>
      <c r="F256" s="634">
        <v>6.3194469521936583</v>
      </c>
      <c r="G256" s="634">
        <v>5.4006507487199542</v>
      </c>
      <c r="H256" s="634">
        <v>0.95891938183001457</v>
      </c>
      <c r="I256" s="634">
        <v>-5.0038859729995409</v>
      </c>
      <c r="J256" s="634">
        <v>2.3989825150610784</v>
      </c>
      <c r="K256" s="634">
        <v>3.3829192224275459</v>
      </c>
      <c r="L256" s="634">
        <v>1.2345132734722597</v>
      </c>
      <c r="M256" s="634">
        <v>0.94450539153829993</v>
      </c>
      <c r="N256" s="634">
        <v>2.038520315460616</v>
      </c>
      <c r="O256" s="634">
        <v>3.492773469390869</v>
      </c>
      <c r="P256" s="634">
        <v>4.1551513607333703</v>
      </c>
      <c r="Q256" s="634">
        <v>5.1651184157050807</v>
      </c>
      <c r="R256" s="634">
        <v>4.418847455368109</v>
      </c>
      <c r="S256" s="634">
        <v>4.3378061036871003</v>
      </c>
      <c r="T256" s="634">
        <v>-5.7971934781880208</v>
      </c>
      <c r="U256" s="634">
        <v>7.7400561671257861</v>
      </c>
      <c r="V256" s="634">
        <v>4.6199748660776123</v>
      </c>
      <c r="W256" s="634">
        <v>2.6844224309310931</v>
      </c>
      <c r="X256" s="634">
        <v>2.935138727472804</v>
      </c>
    </row>
    <row r="257" spans="1:24" ht="16">
      <c r="A257" s="634" t="s">
        <v>387</v>
      </c>
      <c r="B257" s="635" t="s">
        <v>388</v>
      </c>
      <c r="C257" s="634" t="s">
        <v>890</v>
      </c>
      <c r="D257" s="635" t="s">
        <v>891</v>
      </c>
      <c r="E257" s="634">
        <v>2.4307804198569443</v>
      </c>
      <c r="F257" s="634">
        <v>2.3411305736058807</v>
      </c>
      <c r="G257" s="634">
        <v>0.13525763454853745</v>
      </c>
      <c r="H257" s="634">
        <v>1.9612611273432776</v>
      </c>
      <c r="I257" s="634">
        <v>-0.58061784311522047</v>
      </c>
      <c r="J257" s="634">
        <v>3.7350757959582666</v>
      </c>
      <c r="K257" s="634">
        <v>3.843868607336276</v>
      </c>
      <c r="L257" s="634">
        <v>1.0122874688642298</v>
      </c>
      <c r="M257" s="634">
        <v>3.2236170645712434</v>
      </c>
      <c r="N257" s="634">
        <v>3.5669893071075052</v>
      </c>
      <c r="O257" s="634">
        <v>4.0088853115742324</v>
      </c>
      <c r="P257" s="634">
        <v>3.6484077269590642</v>
      </c>
      <c r="Q257" s="634">
        <v>3.8716999829899805</v>
      </c>
      <c r="R257" s="634">
        <v>2.7680948599259807</v>
      </c>
      <c r="S257" s="634">
        <v>1.1536188414301023</v>
      </c>
      <c r="T257" s="634">
        <v>-10.150927937419056</v>
      </c>
      <c r="U257" s="634">
        <v>-2.6888692305154507</v>
      </c>
      <c r="V257" s="634">
        <v>9.3749622783042525</v>
      </c>
      <c r="W257" s="634">
        <v>5.0545381475617859</v>
      </c>
      <c r="X257" s="634">
        <v>4.0014509851623785</v>
      </c>
    </row>
    <row r="258" spans="1:24" ht="16">
      <c r="A258" s="634" t="s">
        <v>387</v>
      </c>
      <c r="B258" s="635" t="s">
        <v>388</v>
      </c>
      <c r="C258" s="634" t="s">
        <v>892</v>
      </c>
      <c r="D258" s="635" t="s">
        <v>893</v>
      </c>
      <c r="E258" s="634">
        <v>2.7859343852044702</v>
      </c>
      <c r="F258" s="634">
        <v>2.9416924658247154</v>
      </c>
      <c r="G258" s="634">
        <v>2.5408828486331032</v>
      </c>
      <c r="H258" s="634">
        <v>0.34890129916995249</v>
      </c>
      <c r="I258" s="634">
        <v>-3.3789057801306228</v>
      </c>
      <c r="J258" s="634">
        <v>2.8919794368802485</v>
      </c>
      <c r="K258" s="634">
        <v>1.6808744034886018</v>
      </c>
      <c r="L258" s="634">
        <v>1.2344519742490121</v>
      </c>
      <c r="M258" s="634">
        <v>1.5166883113424205</v>
      </c>
      <c r="N258" s="634">
        <v>2.0143148578419527</v>
      </c>
      <c r="O258" s="634">
        <v>2.2371485960769064</v>
      </c>
      <c r="P258" s="634">
        <v>1.7935783818821278</v>
      </c>
      <c r="Q258" s="634">
        <v>2.4425470503145448</v>
      </c>
      <c r="R258" s="634">
        <v>2.2454197947416645</v>
      </c>
      <c r="S258" s="634">
        <v>1.8363911282889234</v>
      </c>
      <c r="T258" s="634">
        <v>-4.0788532104336923</v>
      </c>
      <c r="U258" s="634">
        <v>5.6792157969465649</v>
      </c>
      <c r="V258" s="634">
        <v>2.7353766287014309</v>
      </c>
      <c r="W258" s="634">
        <v>1.8608615920538796</v>
      </c>
      <c r="X258" s="634">
        <v>1.7925252956904956</v>
      </c>
    </row>
    <row r="259" spans="1:24" ht="16">
      <c r="A259" s="634" t="s">
        <v>387</v>
      </c>
      <c r="B259" s="635" t="s">
        <v>388</v>
      </c>
      <c r="C259" s="634" t="s">
        <v>894</v>
      </c>
      <c r="D259" s="635" t="s">
        <v>895</v>
      </c>
      <c r="E259" s="634">
        <v>6.020936455795308</v>
      </c>
      <c r="F259" s="634">
        <v>6.2061259964501119</v>
      </c>
      <c r="G259" s="634">
        <v>6.0464843946315767</v>
      </c>
      <c r="H259" s="634">
        <v>6.3829825694479183</v>
      </c>
      <c r="I259" s="634">
        <v>4.8429051835667991</v>
      </c>
      <c r="J259" s="634">
        <v>6.6009858658183589</v>
      </c>
      <c r="K259" s="634">
        <v>4.3552269989486518</v>
      </c>
      <c r="L259" s="634">
        <v>4.259241674631653</v>
      </c>
      <c r="M259" s="634">
        <v>5.8841103311302589</v>
      </c>
      <c r="N259" s="634">
        <v>5.2561804537658361</v>
      </c>
      <c r="O259" s="634">
        <v>3.0738448290937583</v>
      </c>
      <c r="P259" s="634">
        <v>2.4141470481779237</v>
      </c>
      <c r="Q259" s="634">
        <v>1.6480496762529384</v>
      </c>
      <c r="R259" s="634">
        <v>2.6207308401726266</v>
      </c>
      <c r="S259" s="634">
        <v>3.3412314357478436</v>
      </c>
      <c r="T259" s="634">
        <v>-2.5354085534431903</v>
      </c>
      <c r="U259" s="634">
        <v>3.1873204974744169</v>
      </c>
      <c r="V259" s="634">
        <v>4.2985792780072813</v>
      </c>
      <c r="W259" s="634">
        <v>2.2853688387695286</v>
      </c>
      <c r="X259" s="634">
        <v>3.0997328718541155</v>
      </c>
    </row>
    <row r="260" spans="1:24" ht="16">
      <c r="A260" s="634" t="s">
        <v>387</v>
      </c>
      <c r="B260" s="635" t="s">
        <v>388</v>
      </c>
      <c r="C260" s="634" t="s">
        <v>896</v>
      </c>
      <c r="D260" s="635" t="s">
        <v>897</v>
      </c>
      <c r="E260" s="634">
        <v>4.3341970432579728</v>
      </c>
      <c r="F260" s="634">
        <v>6.635987271282346</v>
      </c>
      <c r="G260" s="634">
        <v>4.6571151395677646</v>
      </c>
      <c r="H260" s="634">
        <v>1.2490596332721964</v>
      </c>
      <c r="I260" s="634">
        <v>-4.2742739910707144</v>
      </c>
      <c r="J260" s="634">
        <v>2.2911476216550994</v>
      </c>
      <c r="K260" s="634">
        <v>2.5652252851927386</v>
      </c>
      <c r="L260" s="634">
        <v>2.2580883352823662</v>
      </c>
      <c r="M260" s="634">
        <v>1.2236282695467366</v>
      </c>
      <c r="N260" s="634">
        <v>2.2814227016757513</v>
      </c>
      <c r="O260" s="634">
        <v>2.3177002577837129</v>
      </c>
      <c r="P260" s="634">
        <v>1.8120230736320195</v>
      </c>
      <c r="Q260" s="634">
        <v>3.2715016789571081</v>
      </c>
      <c r="R260" s="634">
        <v>3.3967263499289828</v>
      </c>
      <c r="S260" s="634">
        <v>3.1952487589792469</v>
      </c>
      <c r="T260" s="634">
        <v>-6.9410724942753319</v>
      </c>
      <c r="U260" s="634">
        <v>6.9162272557130962</v>
      </c>
      <c r="V260" s="634">
        <v>7.6791980607304282</v>
      </c>
      <c r="W260" s="634">
        <v>4.6581616904428813</v>
      </c>
      <c r="X260" s="634">
        <v>6.1920743527729343</v>
      </c>
    </row>
    <row r="261" spans="1:24" ht="16">
      <c r="A261" s="634" t="s">
        <v>387</v>
      </c>
      <c r="B261" s="635" t="s">
        <v>388</v>
      </c>
      <c r="C261" s="634" t="s">
        <v>898</v>
      </c>
      <c r="D261" s="635" t="s">
        <v>899</v>
      </c>
      <c r="E261" s="634">
        <v>7.6444922176081462</v>
      </c>
      <c r="F261" s="634">
        <v>7.8951842299528181</v>
      </c>
      <c r="G261" s="634">
        <v>7.5342817303014868</v>
      </c>
      <c r="H261" s="634">
        <v>3.480635774621831</v>
      </c>
      <c r="I261" s="634">
        <v>7.3898118406778792</v>
      </c>
      <c r="J261" s="634">
        <v>8.1944035177280625</v>
      </c>
      <c r="K261" s="634">
        <v>5.4510940319072461</v>
      </c>
      <c r="L261" s="634">
        <v>5.6451591564403003</v>
      </c>
      <c r="M261" s="634">
        <v>6.2332651303769211</v>
      </c>
      <c r="N261" s="634">
        <v>7.2454798666604603</v>
      </c>
      <c r="O261" s="634">
        <v>7.6897393517118218</v>
      </c>
      <c r="P261" s="634">
        <v>7.9691233362163985</v>
      </c>
      <c r="Q261" s="634">
        <v>6.7841196601772253</v>
      </c>
      <c r="R261" s="634">
        <v>6.3936663253614512</v>
      </c>
      <c r="S261" s="634">
        <v>4.0945430649412202</v>
      </c>
      <c r="T261" s="634">
        <v>-4.9875017364192331</v>
      </c>
      <c r="U261" s="634">
        <v>9.2465995971539314</v>
      </c>
      <c r="V261" s="634">
        <v>7.1011539263234056</v>
      </c>
      <c r="W261" s="634">
        <v>8.5051178536900096</v>
      </c>
      <c r="X261" s="634">
        <v>6.2248422535275978</v>
      </c>
    </row>
    <row r="262" spans="1:24" ht="16">
      <c r="A262" s="634" t="s">
        <v>387</v>
      </c>
      <c r="B262" s="635" t="s">
        <v>388</v>
      </c>
      <c r="C262" s="634" t="s">
        <v>900</v>
      </c>
      <c r="D262" s="635" t="s">
        <v>901</v>
      </c>
      <c r="E262" s="634">
        <v>7.6444922176081462</v>
      </c>
      <c r="F262" s="634">
        <v>7.8951842299528181</v>
      </c>
      <c r="G262" s="634">
        <v>7.5342817303014868</v>
      </c>
      <c r="H262" s="634">
        <v>3.480635774621831</v>
      </c>
      <c r="I262" s="634">
        <v>7.3898118406778792</v>
      </c>
      <c r="J262" s="634">
        <v>8.1944035177280625</v>
      </c>
      <c r="K262" s="634">
        <v>5.4510940319072461</v>
      </c>
      <c r="L262" s="634">
        <v>5.6451591564403003</v>
      </c>
      <c r="M262" s="634">
        <v>6.2332651303769211</v>
      </c>
      <c r="N262" s="634">
        <v>7.2454798666604603</v>
      </c>
      <c r="O262" s="634">
        <v>7.6897393517118218</v>
      </c>
      <c r="P262" s="634">
        <v>7.9691233362163985</v>
      </c>
      <c r="Q262" s="634">
        <v>6.7841196601772253</v>
      </c>
      <c r="R262" s="634">
        <v>6.3936663253614512</v>
      </c>
      <c r="S262" s="634">
        <v>4.0945430649412202</v>
      </c>
      <c r="T262" s="634">
        <v>-4.9875017364192331</v>
      </c>
      <c r="U262" s="634">
        <v>9.2465995971539314</v>
      </c>
      <c r="V262" s="634">
        <v>7.1011539263234056</v>
      </c>
      <c r="W262" s="634">
        <v>8.5051178536900096</v>
      </c>
      <c r="X262" s="634">
        <v>6.2248422535275978</v>
      </c>
    </row>
    <row r="263" spans="1:24" ht="16">
      <c r="A263" s="634" t="s">
        <v>387</v>
      </c>
      <c r="B263" s="635" t="s">
        <v>388</v>
      </c>
      <c r="C263" s="634" t="s">
        <v>902</v>
      </c>
      <c r="D263" s="635" t="s">
        <v>903</v>
      </c>
      <c r="E263" s="634">
        <v>6.0528175446219024</v>
      </c>
      <c r="F263" s="634">
        <v>6.0427608488230078</v>
      </c>
      <c r="G263" s="634">
        <v>6.1494713849658211</v>
      </c>
      <c r="H263" s="634">
        <v>5.1912112155864776</v>
      </c>
      <c r="I263" s="634">
        <v>3.1396025496025715</v>
      </c>
      <c r="J263" s="634">
        <v>6.0138629085902977</v>
      </c>
      <c r="K263" s="634">
        <v>4.4549147000052756</v>
      </c>
      <c r="L263" s="634">
        <v>3.2794548242538752</v>
      </c>
      <c r="M263" s="634">
        <v>5.0980338522254982</v>
      </c>
      <c r="N263" s="634">
        <v>4.7959533354004407</v>
      </c>
      <c r="O263" s="634">
        <v>2.9683782217409629</v>
      </c>
      <c r="P263" s="634">
        <v>1.2669054159063649</v>
      </c>
      <c r="Q263" s="634">
        <v>2.512523346045441</v>
      </c>
      <c r="R263" s="634">
        <v>2.7748389749933295</v>
      </c>
      <c r="S263" s="634">
        <v>2.6966970225990963</v>
      </c>
      <c r="T263" s="634">
        <v>-1.9942935793726662</v>
      </c>
      <c r="U263" s="634">
        <v>4.3148257491239832</v>
      </c>
      <c r="V263" s="634">
        <v>3.750658317979358</v>
      </c>
      <c r="W263" s="634">
        <v>2.5746615378400293</v>
      </c>
      <c r="X263" s="634">
        <v>3.4284375945617995</v>
      </c>
    </row>
    <row r="264" spans="1:24" ht="16">
      <c r="A264" s="634" t="s">
        <v>387</v>
      </c>
      <c r="B264" s="635" t="s">
        <v>388</v>
      </c>
      <c r="C264" s="634" t="s">
        <v>904</v>
      </c>
      <c r="D264" s="635" t="s">
        <v>905</v>
      </c>
      <c r="E264" s="634">
        <v>5.9228201914535532</v>
      </c>
      <c r="F264" s="634">
        <v>5.92793002246556</v>
      </c>
      <c r="G264" s="634">
        <v>6.0174108487919113</v>
      </c>
      <c r="H264" s="634">
        <v>5.0553804294568607</v>
      </c>
      <c r="I264" s="634">
        <v>2.9939617668923546</v>
      </c>
      <c r="J264" s="634">
        <v>5.8314473906489326</v>
      </c>
      <c r="K264" s="634">
        <v>4.249783741156989</v>
      </c>
      <c r="L264" s="634">
        <v>3.1085068997324612</v>
      </c>
      <c r="M264" s="634">
        <v>4.9172131513574726</v>
      </c>
      <c r="N264" s="634">
        <v>4.6032504711101012</v>
      </c>
      <c r="O264" s="634">
        <v>2.6863994199402157</v>
      </c>
      <c r="P264" s="634">
        <v>0.92969302609522231</v>
      </c>
      <c r="Q264" s="634">
        <v>2.2014621846991247</v>
      </c>
      <c r="R264" s="634">
        <v>2.5841852154202059</v>
      </c>
      <c r="S264" s="634">
        <v>2.418589163351939</v>
      </c>
      <c r="T264" s="634">
        <v>-2.3973482168069751</v>
      </c>
      <c r="U264" s="634">
        <v>4.2444845352626004</v>
      </c>
      <c r="V264" s="634">
        <v>3.6532762761409998</v>
      </c>
      <c r="W264" s="634">
        <v>2.3439709011479692</v>
      </c>
      <c r="X264" s="634">
        <v>3.1956499281887716</v>
      </c>
    </row>
    <row r="265" spans="1:24" ht="16">
      <c r="A265" s="634" t="s">
        <v>387</v>
      </c>
      <c r="B265" s="635" t="s">
        <v>388</v>
      </c>
      <c r="C265" s="634" t="s">
        <v>906</v>
      </c>
      <c r="D265" s="635" t="s">
        <v>907</v>
      </c>
      <c r="E265" s="634">
        <v>6.0528175446219308</v>
      </c>
      <c r="F265" s="634">
        <v>6.0427608488230078</v>
      </c>
      <c r="G265" s="634">
        <v>6.1494713849657927</v>
      </c>
      <c r="H265" s="634">
        <v>5.1912112155865486</v>
      </c>
      <c r="I265" s="634">
        <v>3.1396025496025288</v>
      </c>
      <c r="J265" s="634">
        <v>6.0138629085903119</v>
      </c>
      <c r="K265" s="634">
        <v>4.4549147000052471</v>
      </c>
      <c r="L265" s="634">
        <v>3.2794548242538752</v>
      </c>
      <c r="M265" s="634">
        <v>5.0980338522254982</v>
      </c>
      <c r="N265" s="634">
        <v>4.7959533354004407</v>
      </c>
      <c r="O265" s="634">
        <v>2.9683782217409487</v>
      </c>
      <c r="P265" s="634">
        <v>1.2669054159063506</v>
      </c>
      <c r="Q265" s="634">
        <v>2.512523346045441</v>
      </c>
      <c r="R265" s="634">
        <v>2.7748389749933295</v>
      </c>
      <c r="S265" s="634">
        <v>2.6966970225990963</v>
      </c>
      <c r="T265" s="634">
        <v>-1.9942935793726662</v>
      </c>
      <c r="U265" s="634">
        <v>4.3148257491240116</v>
      </c>
      <c r="V265" s="634">
        <v>3.7506583179793438</v>
      </c>
      <c r="W265" s="634">
        <v>2.5746615378400008</v>
      </c>
      <c r="X265" s="634">
        <v>3.4284375945618137</v>
      </c>
    </row>
    <row r="266" spans="1:24" ht="16">
      <c r="A266" s="634" t="s">
        <v>387</v>
      </c>
      <c r="B266" s="635" t="s">
        <v>388</v>
      </c>
      <c r="C266" s="634" t="s">
        <v>908</v>
      </c>
      <c r="D266" s="635" t="s">
        <v>909</v>
      </c>
      <c r="E266" s="634">
        <v>7.5755640881859989</v>
      </c>
      <c r="F266" s="634">
        <v>8.6190352245421877</v>
      </c>
      <c r="G266" s="634">
        <v>9.4307675110241149</v>
      </c>
      <c r="H266" s="634">
        <v>6.3108810677855871</v>
      </c>
      <c r="I266" s="634">
        <v>3.5419105734192868</v>
      </c>
      <c r="J266" s="634">
        <v>8.5367008695464932</v>
      </c>
      <c r="K266" s="634">
        <v>6.9199151015659481</v>
      </c>
      <c r="L266" s="634">
        <v>5.7797516040648986</v>
      </c>
      <c r="M266" s="634">
        <v>5.6667931135114173</v>
      </c>
      <c r="N266" s="634">
        <v>5.0011602117072727</v>
      </c>
      <c r="O266" s="634">
        <v>4.5217322773665671</v>
      </c>
      <c r="P266" s="634">
        <v>4.5649862452357581</v>
      </c>
      <c r="Q266" s="634">
        <v>5.3433574171650235</v>
      </c>
      <c r="R266" s="634">
        <v>4.9357864972256209</v>
      </c>
      <c r="S266" s="634">
        <v>4.1642897274339248</v>
      </c>
      <c r="T266" s="634">
        <v>-0.39838293366604205</v>
      </c>
      <c r="U266" s="634">
        <v>7.6983651962928974</v>
      </c>
      <c r="V266" s="634">
        <v>3.4250561592493938</v>
      </c>
      <c r="W266" s="634">
        <v>4.5849820806655117</v>
      </c>
      <c r="X266" s="634">
        <v>4.1542622629821011</v>
      </c>
    </row>
    <row r="267" spans="1:24" ht="16">
      <c r="A267" s="634" t="s">
        <v>387</v>
      </c>
      <c r="B267" s="635" t="s">
        <v>388</v>
      </c>
      <c r="C267" s="634" t="s">
        <v>910</v>
      </c>
      <c r="D267" s="635" t="s">
        <v>911</v>
      </c>
      <c r="E267" s="634">
        <v>4.0386152608502073</v>
      </c>
      <c r="F267" s="634">
        <v>4.471221167096175</v>
      </c>
      <c r="G267" s="634">
        <v>4.3855832215937482</v>
      </c>
      <c r="H267" s="634">
        <v>2.0739527261911803</v>
      </c>
      <c r="I267" s="634">
        <v>-1.3195982243467768</v>
      </c>
      <c r="J267" s="634">
        <v>4.5271470715416768</v>
      </c>
      <c r="K267" s="634">
        <v>3.3473109825424814</v>
      </c>
      <c r="L267" s="634">
        <v>2.7072811480056913</v>
      </c>
      <c r="M267" s="634">
        <v>2.8890220126384918</v>
      </c>
      <c r="N267" s="634">
        <v>3.1486237482111221</v>
      </c>
      <c r="O267" s="634">
        <v>3.1345153253414821</v>
      </c>
      <c r="P267" s="634">
        <v>2.8143608967909017</v>
      </c>
      <c r="Q267" s="634">
        <v>3.4563416013483135</v>
      </c>
      <c r="R267" s="634">
        <v>3.2960912808793523</v>
      </c>
      <c r="S267" s="634">
        <v>2.7100401603168223</v>
      </c>
      <c r="T267" s="634">
        <v>-2.8490823467067372</v>
      </c>
      <c r="U267" s="634">
        <v>6.4195412773983236</v>
      </c>
      <c r="V267" s="634">
        <v>3.3599113827870895</v>
      </c>
      <c r="W267" s="634">
        <v>2.9433327307046113</v>
      </c>
      <c r="X267" s="634">
        <v>2.8632630262785312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53A6-9123-4CA8-9019-132528DC8FB2}">
  <dimension ref="A6:IU55"/>
  <sheetViews>
    <sheetView workbookViewId="0">
      <selection activeCell="F35" sqref="F35"/>
    </sheetView>
  </sheetViews>
  <sheetFormatPr baseColWidth="10" defaultColWidth="8.83203125" defaultRowHeight="11"/>
  <cols>
    <col min="1" max="1" width="47.83203125" style="41" customWidth="1"/>
    <col min="2" max="19" width="20.83203125" style="41" customWidth="1"/>
    <col min="20" max="21" width="8.5" style="41"/>
    <col min="22" max="22" width="20.83203125" style="41" customWidth="1"/>
    <col min="23" max="256" width="8.5" style="41"/>
    <col min="257" max="257" width="47.83203125" style="41" customWidth="1"/>
    <col min="258" max="275" width="20.83203125" style="41" customWidth="1"/>
    <col min="276" max="512" width="8.5" style="41"/>
    <col min="513" max="513" width="47.83203125" style="41" customWidth="1"/>
    <col min="514" max="531" width="20.83203125" style="41" customWidth="1"/>
    <col min="532" max="768" width="8.5" style="41"/>
    <col min="769" max="769" width="47.83203125" style="41" customWidth="1"/>
    <col min="770" max="787" width="20.83203125" style="41" customWidth="1"/>
    <col min="788" max="1024" width="8.5" style="41"/>
    <col min="1025" max="1025" width="47.83203125" style="41" customWidth="1"/>
    <col min="1026" max="1043" width="20.83203125" style="41" customWidth="1"/>
    <col min="1044" max="1280" width="8.5" style="41"/>
    <col min="1281" max="1281" width="47.83203125" style="41" customWidth="1"/>
    <col min="1282" max="1299" width="20.83203125" style="41" customWidth="1"/>
    <col min="1300" max="1536" width="8.5" style="41"/>
    <col min="1537" max="1537" width="47.83203125" style="41" customWidth="1"/>
    <col min="1538" max="1555" width="20.83203125" style="41" customWidth="1"/>
    <col min="1556" max="1792" width="8.5" style="41"/>
    <col min="1793" max="1793" width="47.83203125" style="41" customWidth="1"/>
    <col min="1794" max="1811" width="20.83203125" style="41" customWidth="1"/>
    <col min="1812" max="2048" width="8.5" style="41"/>
    <col min="2049" max="2049" width="47.83203125" style="41" customWidth="1"/>
    <col min="2050" max="2067" width="20.83203125" style="41" customWidth="1"/>
    <col min="2068" max="2304" width="8.5" style="41"/>
    <col min="2305" max="2305" width="47.83203125" style="41" customWidth="1"/>
    <col min="2306" max="2323" width="20.83203125" style="41" customWidth="1"/>
    <col min="2324" max="2560" width="8.5" style="41"/>
    <col min="2561" max="2561" width="47.83203125" style="41" customWidth="1"/>
    <col min="2562" max="2579" width="20.83203125" style="41" customWidth="1"/>
    <col min="2580" max="2816" width="8.5" style="41"/>
    <col min="2817" max="2817" width="47.83203125" style="41" customWidth="1"/>
    <col min="2818" max="2835" width="20.83203125" style="41" customWidth="1"/>
    <col min="2836" max="3072" width="8.5" style="41"/>
    <col min="3073" max="3073" width="47.83203125" style="41" customWidth="1"/>
    <col min="3074" max="3091" width="20.83203125" style="41" customWidth="1"/>
    <col min="3092" max="3328" width="8.5" style="41"/>
    <col min="3329" max="3329" width="47.83203125" style="41" customWidth="1"/>
    <col min="3330" max="3347" width="20.83203125" style="41" customWidth="1"/>
    <col min="3348" max="3584" width="8.5" style="41"/>
    <col min="3585" max="3585" width="47.83203125" style="41" customWidth="1"/>
    <col min="3586" max="3603" width="20.83203125" style="41" customWidth="1"/>
    <col min="3604" max="3840" width="8.5" style="41"/>
    <col min="3841" max="3841" width="47.83203125" style="41" customWidth="1"/>
    <col min="3842" max="3859" width="20.83203125" style="41" customWidth="1"/>
    <col min="3860" max="4096" width="8.5" style="41"/>
    <col min="4097" max="4097" width="47.83203125" style="41" customWidth="1"/>
    <col min="4098" max="4115" width="20.83203125" style="41" customWidth="1"/>
    <col min="4116" max="4352" width="8.5" style="41"/>
    <col min="4353" max="4353" width="47.83203125" style="41" customWidth="1"/>
    <col min="4354" max="4371" width="20.83203125" style="41" customWidth="1"/>
    <col min="4372" max="4608" width="8.5" style="41"/>
    <col min="4609" max="4609" width="47.83203125" style="41" customWidth="1"/>
    <col min="4610" max="4627" width="20.83203125" style="41" customWidth="1"/>
    <col min="4628" max="4864" width="8.5" style="41"/>
    <col min="4865" max="4865" width="47.83203125" style="41" customWidth="1"/>
    <col min="4866" max="4883" width="20.83203125" style="41" customWidth="1"/>
    <col min="4884" max="5120" width="8.5" style="41"/>
    <col min="5121" max="5121" width="47.83203125" style="41" customWidth="1"/>
    <col min="5122" max="5139" width="20.83203125" style="41" customWidth="1"/>
    <col min="5140" max="5376" width="8.5" style="41"/>
    <col min="5377" max="5377" width="47.83203125" style="41" customWidth="1"/>
    <col min="5378" max="5395" width="20.83203125" style="41" customWidth="1"/>
    <col min="5396" max="5632" width="8.5" style="41"/>
    <col min="5633" max="5633" width="47.83203125" style="41" customWidth="1"/>
    <col min="5634" max="5651" width="20.83203125" style="41" customWidth="1"/>
    <col min="5652" max="5888" width="8.5" style="41"/>
    <col min="5889" max="5889" width="47.83203125" style="41" customWidth="1"/>
    <col min="5890" max="5907" width="20.83203125" style="41" customWidth="1"/>
    <col min="5908" max="6144" width="8.5" style="41"/>
    <col min="6145" max="6145" width="47.83203125" style="41" customWidth="1"/>
    <col min="6146" max="6163" width="20.83203125" style="41" customWidth="1"/>
    <col min="6164" max="6400" width="8.5" style="41"/>
    <col min="6401" max="6401" width="47.83203125" style="41" customWidth="1"/>
    <col min="6402" max="6419" width="20.83203125" style="41" customWidth="1"/>
    <col min="6420" max="6656" width="8.5" style="41"/>
    <col min="6657" max="6657" width="47.83203125" style="41" customWidth="1"/>
    <col min="6658" max="6675" width="20.83203125" style="41" customWidth="1"/>
    <col min="6676" max="6912" width="8.5" style="41"/>
    <col min="6913" max="6913" width="47.83203125" style="41" customWidth="1"/>
    <col min="6914" max="6931" width="20.83203125" style="41" customWidth="1"/>
    <col min="6932" max="7168" width="8.5" style="41"/>
    <col min="7169" max="7169" width="47.83203125" style="41" customWidth="1"/>
    <col min="7170" max="7187" width="20.83203125" style="41" customWidth="1"/>
    <col min="7188" max="7424" width="8.5" style="41"/>
    <col min="7425" max="7425" width="47.83203125" style="41" customWidth="1"/>
    <col min="7426" max="7443" width="20.83203125" style="41" customWidth="1"/>
    <col min="7444" max="7680" width="8.5" style="41"/>
    <col min="7681" max="7681" width="47.83203125" style="41" customWidth="1"/>
    <col min="7682" max="7699" width="20.83203125" style="41" customWidth="1"/>
    <col min="7700" max="7936" width="8.5" style="41"/>
    <col min="7937" max="7937" width="47.83203125" style="41" customWidth="1"/>
    <col min="7938" max="7955" width="20.83203125" style="41" customWidth="1"/>
    <col min="7956" max="8192" width="8.5" style="41"/>
    <col min="8193" max="8193" width="47.83203125" style="41" customWidth="1"/>
    <col min="8194" max="8211" width="20.83203125" style="41" customWidth="1"/>
    <col min="8212" max="8448" width="8.5" style="41"/>
    <col min="8449" max="8449" width="47.83203125" style="41" customWidth="1"/>
    <col min="8450" max="8467" width="20.83203125" style="41" customWidth="1"/>
    <col min="8468" max="8704" width="8.5" style="41"/>
    <col min="8705" max="8705" width="47.83203125" style="41" customWidth="1"/>
    <col min="8706" max="8723" width="20.83203125" style="41" customWidth="1"/>
    <col min="8724" max="8960" width="8.5" style="41"/>
    <col min="8961" max="8961" width="47.83203125" style="41" customWidth="1"/>
    <col min="8962" max="8979" width="20.83203125" style="41" customWidth="1"/>
    <col min="8980" max="9216" width="8.5" style="41"/>
    <col min="9217" max="9217" width="47.83203125" style="41" customWidth="1"/>
    <col min="9218" max="9235" width="20.83203125" style="41" customWidth="1"/>
    <col min="9236" max="9472" width="8.5" style="41"/>
    <col min="9473" max="9473" width="47.83203125" style="41" customWidth="1"/>
    <col min="9474" max="9491" width="20.83203125" style="41" customWidth="1"/>
    <col min="9492" max="9728" width="8.5" style="41"/>
    <col min="9729" max="9729" width="47.83203125" style="41" customWidth="1"/>
    <col min="9730" max="9747" width="20.83203125" style="41" customWidth="1"/>
    <col min="9748" max="9984" width="8.5" style="41"/>
    <col min="9985" max="9985" width="47.83203125" style="41" customWidth="1"/>
    <col min="9986" max="10003" width="20.83203125" style="41" customWidth="1"/>
    <col min="10004" max="10240" width="8.5" style="41"/>
    <col min="10241" max="10241" width="47.83203125" style="41" customWidth="1"/>
    <col min="10242" max="10259" width="20.83203125" style="41" customWidth="1"/>
    <col min="10260" max="10496" width="8.5" style="41"/>
    <col min="10497" max="10497" width="47.83203125" style="41" customWidth="1"/>
    <col min="10498" max="10515" width="20.83203125" style="41" customWidth="1"/>
    <col min="10516" max="10752" width="8.5" style="41"/>
    <col min="10753" max="10753" width="47.83203125" style="41" customWidth="1"/>
    <col min="10754" max="10771" width="20.83203125" style="41" customWidth="1"/>
    <col min="10772" max="11008" width="8.5" style="41"/>
    <col min="11009" max="11009" width="47.83203125" style="41" customWidth="1"/>
    <col min="11010" max="11027" width="20.83203125" style="41" customWidth="1"/>
    <col min="11028" max="11264" width="8.5" style="41"/>
    <col min="11265" max="11265" width="47.83203125" style="41" customWidth="1"/>
    <col min="11266" max="11283" width="20.83203125" style="41" customWidth="1"/>
    <col min="11284" max="11520" width="8.5" style="41"/>
    <col min="11521" max="11521" width="47.83203125" style="41" customWidth="1"/>
    <col min="11522" max="11539" width="20.83203125" style="41" customWidth="1"/>
    <col min="11540" max="11776" width="8.5" style="41"/>
    <col min="11777" max="11777" width="47.83203125" style="41" customWidth="1"/>
    <col min="11778" max="11795" width="20.83203125" style="41" customWidth="1"/>
    <col min="11796" max="12032" width="8.5" style="41"/>
    <col min="12033" max="12033" width="47.83203125" style="41" customWidth="1"/>
    <col min="12034" max="12051" width="20.83203125" style="41" customWidth="1"/>
    <col min="12052" max="12288" width="8.5" style="41"/>
    <col min="12289" max="12289" width="47.83203125" style="41" customWidth="1"/>
    <col min="12290" max="12307" width="20.83203125" style="41" customWidth="1"/>
    <col min="12308" max="12544" width="8.5" style="41"/>
    <col min="12545" max="12545" width="47.83203125" style="41" customWidth="1"/>
    <col min="12546" max="12563" width="20.83203125" style="41" customWidth="1"/>
    <col min="12564" max="12800" width="8.5" style="41"/>
    <col min="12801" max="12801" width="47.83203125" style="41" customWidth="1"/>
    <col min="12802" max="12819" width="20.83203125" style="41" customWidth="1"/>
    <col min="12820" max="13056" width="8.5" style="41"/>
    <col min="13057" max="13057" width="47.83203125" style="41" customWidth="1"/>
    <col min="13058" max="13075" width="20.83203125" style="41" customWidth="1"/>
    <col min="13076" max="13312" width="8.5" style="41"/>
    <col min="13313" max="13313" width="47.83203125" style="41" customWidth="1"/>
    <col min="13314" max="13331" width="20.83203125" style="41" customWidth="1"/>
    <col min="13332" max="13568" width="8.5" style="41"/>
    <col min="13569" max="13569" width="47.83203125" style="41" customWidth="1"/>
    <col min="13570" max="13587" width="20.83203125" style="41" customWidth="1"/>
    <col min="13588" max="13824" width="8.5" style="41"/>
    <col min="13825" max="13825" width="47.83203125" style="41" customWidth="1"/>
    <col min="13826" max="13843" width="20.83203125" style="41" customWidth="1"/>
    <col min="13844" max="14080" width="8.5" style="41"/>
    <col min="14081" max="14081" width="47.83203125" style="41" customWidth="1"/>
    <col min="14082" max="14099" width="20.83203125" style="41" customWidth="1"/>
    <col min="14100" max="14336" width="8.5" style="41"/>
    <col min="14337" max="14337" width="47.83203125" style="41" customWidth="1"/>
    <col min="14338" max="14355" width="20.83203125" style="41" customWidth="1"/>
    <col min="14356" max="14592" width="8.5" style="41"/>
    <col min="14593" max="14593" width="47.83203125" style="41" customWidth="1"/>
    <col min="14594" max="14611" width="20.83203125" style="41" customWidth="1"/>
    <col min="14612" max="14848" width="8.5" style="41"/>
    <col min="14849" max="14849" width="47.83203125" style="41" customWidth="1"/>
    <col min="14850" max="14867" width="20.83203125" style="41" customWidth="1"/>
    <col min="14868" max="15104" width="8.5" style="41"/>
    <col min="15105" max="15105" width="47.83203125" style="41" customWidth="1"/>
    <col min="15106" max="15123" width="20.83203125" style="41" customWidth="1"/>
    <col min="15124" max="15360" width="8.5" style="41"/>
    <col min="15361" max="15361" width="47.83203125" style="41" customWidth="1"/>
    <col min="15362" max="15379" width="20.83203125" style="41" customWidth="1"/>
    <col min="15380" max="15616" width="8.5" style="41"/>
    <col min="15617" max="15617" width="47.83203125" style="41" customWidth="1"/>
    <col min="15618" max="15635" width="20.83203125" style="41" customWidth="1"/>
    <col min="15636" max="15872" width="8.5" style="41"/>
    <col min="15873" max="15873" width="47.83203125" style="41" customWidth="1"/>
    <col min="15874" max="15891" width="20.83203125" style="41" customWidth="1"/>
    <col min="15892" max="16128" width="8.5" style="41"/>
    <col min="16129" max="16129" width="47.83203125" style="41" customWidth="1"/>
    <col min="16130" max="16147" width="20.83203125" style="41" customWidth="1"/>
    <col min="16148" max="16384" width="8.5" style="41"/>
  </cols>
  <sheetData>
    <row r="6" spans="1:255" ht="16.5" customHeight="1">
      <c r="A6" s="40" t="s">
        <v>1706</v>
      </c>
      <c r="T6" s="596"/>
      <c r="U6" s="596"/>
    </row>
    <row r="7" spans="1:255">
      <c r="A7" s="44" t="s">
        <v>1707</v>
      </c>
      <c r="B7" s="44"/>
      <c r="C7" s="44"/>
      <c r="D7" s="44"/>
      <c r="E7" s="44"/>
      <c r="F7" s="44"/>
      <c r="G7" s="44"/>
      <c r="H7" s="44"/>
      <c r="I7" s="44"/>
      <c r="J7" s="44"/>
      <c r="K7" s="44"/>
      <c r="L7" s="44"/>
      <c r="M7" s="44"/>
      <c r="N7" s="44"/>
      <c r="O7" s="44"/>
      <c r="P7" s="44"/>
      <c r="Q7" s="44"/>
      <c r="R7" s="44"/>
      <c r="S7" s="44"/>
      <c r="T7" s="597"/>
      <c r="U7" s="597"/>
      <c r="V7" s="44"/>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c r="BN7" s="45"/>
      <c r="BO7" s="45"/>
      <c r="BP7" s="45"/>
      <c r="BQ7" s="45"/>
      <c r="BR7" s="45"/>
      <c r="BS7" s="45"/>
      <c r="BT7" s="45"/>
      <c r="BU7" s="45"/>
      <c r="BV7" s="45"/>
      <c r="BW7" s="45"/>
      <c r="BX7" s="45"/>
      <c r="BY7" s="45"/>
      <c r="BZ7" s="45"/>
      <c r="CA7" s="45"/>
      <c r="CB7" s="45"/>
      <c r="CC7" s="45"/>
      <c r="CD7" s="45"/>
      <c r="CE7" s="45"/>
      <c r="CF7" s="45"/>
      <c r="CG7" s="45"/>
      <c r="CH7" s="45"/>
      <c r="CI7" s="45"/>
      <c r="CJ7" s="45"/>
      <c r="CK7" s="45"/>
      <c r="CL7" s="45"/>
      <c r="CM7" s="45"/>
      <c r="CN7" s="45"/>
      <c r="CO7" s="45"/>
      <c r="CP7" s="45"/>
      <c r="CQ7" s="45"/>
      <c r="CR7" s="45"/>
      <c r="CS7" s="45"/>
      <c r="CT7" s="45"/>
      <c r="CU7" s="45"/>
      <c r="CV7" s="45"/>
      <c r="CW7" s="45"/>
      <c r="CX7" s="45"/>
      <c r="CY7" s="45"/>
      <c r="CZ7" s="45"/>
      <c r="DA7" s="45"/>
      <c r="DB7" s="45"/>
      <c r="DC7" s="45"/>
      <c r="DD7" s="45"/>
      <c r="DE7" s="45"/>
      <c r="DF7" s="45"/>
      <c r="DG7" s="45"/>
      <c r="DH7" s="45"/>
      <c r="DI7" s="45"/>
      <c r="DJ7" s="45"/>
      <c r="DK7" s="45"/>
      <c r="DL7" s="45"/>
      <c r="DM7" s="45"/>
      <c r="DN7" s="45"/>
      <c r="DO7" s="45"/>
      <c r="DP7" s="45"/>
      <c r="DQ7" s="45"/>
      <c r="DR7" s="45"/>
      <c r="DS7" s="45"/>
      <c r="DT7" s="45"/>
      <c r="DU7" s="45"/>
      <c r="DV7" s="45"/>
      <c r="DW7" s="45"/>
      <c r="DX7" s="45"/>
      <c r="DY7" s="45"/>
      <c r="DZ7" s="45"/>
      <c r="EA7" s="45"/>
      <c r="EB7" s="45"/>
      <c r="EC7" s="45"/>
      <c r="ED7" s="45"/>
      <c r="EE7" s="45"/>
      <c r="EF7" s="45"/>
      <c r="EG7" s="45"/>
      <c r="EH7" s="45"/>
      <c r="EI7" s="45"/>
      <c r="EJ7" s="45"/>
      <c r="EK7" s="45"/>
      <c r="EL7" s="45"/>
      <c r="EM7" s="45"/>
      <c r="EN7" s="45"/>
      <c r="EO7" s="45"/>
      <c r="EP7" s="45"/>
      <c r="EQ7" s="45"/>
      <c r="ER7" s="45"/>
      <c r="ES7" s="45"/>
      <c r="ET7" s="45"/>
      <c r="EU7" s="45"/>
      <c r="EV7" s="45"/>
      <c r="EW7" s="45"/>
      <c r="EX7" s="45"/>
      <c r="EY7" s="45"/>
      <c r="EZ7" s="45"/>
      <c r="FA7" s="45"/>
      <c r="FB7" s="45"/>
      <c r="FC7" s="45"/>
      <c r="FD7" s="45"/>
      <c r="FE7" s="45"/>
      <c r="FF7" s="45"/>
      <c r="FG7" s="45"/>
      <c r="FH7" s="45"/>
      <c r="FI7" s="45"/>
      <c r="FJ7" s="45"/>
      <c r="FK7" s="45"/>
      <c r="FL7" s="45"/>
      <c r="FM7" s="45"/>
      <c r="FN7" s="45"/>
      <c r="FO7" s="45"/>
      <c r="FP7" s="45"/>
      <c r="FQ7" s="45"/>
      <c r="FR7" s="45"/>
      <c r="FS7" s="45"/>
      <c r="FT7" s="45"/>
      <c r="FU7" s="45"/>
      <c r="FV7" s="45"/>
      <c r="FW7" s="45"/>
      <c r="FX7" s="45"/>
      <c r="FY7" s="45"/>
      <c r="FZ7" s="45"/>
      <c r="GA7" s="45"/>
      <c r="GB7" s="45"/>
      <c r="GC7" s="45"/>
      <c r="GD7" s="45"/>
      <c r="GE7" s="45"/>
      <c r="GF7" s="45"/>
      <c r="GG7" s="45"/>
      <c r="GH7" s="45"/>
      <c r="GI7" s="45"/>
      <c r="GJ7" s="45"/>
      <c r="GK7" s="45"/>
      <c r="GL7" s="45"/>
      <c r="GM7" s="45"/>
      <c r="GN7" s="45"/>
      <c r="GO7" s="45"/>
      <c r="GP7" s="45"/>
      <c r="GQ7" s="45"/>
      <c r="GR7" s="45"/>
      <c r="GS7" s="45"/>
      <c r="GT7" s="45"/>
      <c r="GU7" s="45"/>
      <c r="GV7" s="45"/>
      <c r="GW7" s="45"/>
      <c r="GX7" s="45"/>
      <c r="GY7" s="45"/>
      <c r="GZ7" s="45"/>
      <c r="HA7" s="45"/>
      <c r="HB7" s="45"/>
      <c r="HC7" s="45"/>
      <c r="HD7" s="45"/>
      <c r="HE7" s="45"/>
      <c r="HF7" s="45"/>
      <c r="HG7" s="45"/>
      <c r="HH7" s="45"/>
      <c r="HI7" s="45"/>
      <c r="HJ7" s="45"/>
      <c r="HK7" s="45"/>
      <c r="HL7" s="45"/>
      <c r="HM7" s="45"/>
      <c r="HN7" s="45"/>
      <c r="HO7" s="45"/>
      <c r="HP7" s="45"/>
      <c r="HQ7" s="45"/>
      <c r="HR7" s="45"/>
      <c r="HS7" s="45"/>
      <c r="HT7" s="45"/>
      <c r="HU7" s="45"/>
      <c r="HV7" s="45"/>
      <c r="HW7" s="45"/>
      <c r="HX7" s="45"/>
      <c r="HY7" s="45"/>
      <c r="HZ7" s="45"/>
      <c r="IA7" s="45"/>
      <c r="IB7" s="45"/>
      <c r="IC7" s="45"/>
      <c r="ID7" s="45"/>
      <c r="IE7" s="45"/>
      <c r="IF7" s="45"/>
      <c r="IG7" s="45"/>
      <c r="IH7" s="45"/>
      <c r="II7" s="45"/>
      <c r="IJ7" s="45"/>
      <c r="IK7" s="45"/>
      <c r="IL7" s="45"/>
      <c r="IM7" s="45"/>
      <c r="IN7" s="45"/>
      <c r="IO7" s="45"/>
      <c r="IP7" s="45"/>
      <c r="IQ7" s="45"/>
      <c r="IR7" s="45"/>
      <c r="IS7" s="45"/>
      <c r="IT7" s="45"/>
      <c r="IU7" s="45"/>
    </row>
    <row r="8" spans="1:255">
      <c r="A8" s="43" t="s">
        <v>1708</v>
      </c>
      <c r="B8" s="399" t="s">
        <v>1709</v>
      </c>
      <c r="T8" s="596"/>
      <c r="U8" s="596"/>
    </row>
    <row r="9" spans="1:255">
      <c r="A9" s="43" t="s">
        <v>1710</v>
      </c>
      <c r="B9" s="399" t="s">
        <v>1496</v>
      </c>
      <c r="T9" s="596"/>
      <c r="U9" s="596"/>
    </row>
    <row r="10" spans="1:255">
      <c r="A10" s="43" t="s">
        <v>1711</v>
      </c>
      <c r="B10" s="400">
        <v>45994</v>
      </c>
      <c r="T10" s="596"/>
      <c r="U10" s="596"/>
    </row>
    <row r="11" spans="1:255">
      <c r="A11" s="42"/>
      <c r="T11" s="596"/>
      <c r="U11" s="596"/>
    </row>
    <row r="13" spans="1:255">
      <c r="A13" s="44" t="s">
        <v>1712</v>
      </c>
      <c r="B13" s="44"/>
      <c r="C13" s="44"/>
      <c r="D13" s="44"/>
      <c r="E13" s="44"/>
      <c r="F13" s="44"/>
      <c r="G13" s="44"/>
      <c r="H13" s="44"/>
      <c r="I13" s="44"/>
      <c r="J13" s="44"/>
      <c r="K13" s="44"/>
      <c r="L13" s="44"/>
      <c r="M13" s="44"/>
      <c r="N13" s="44"/>
      <c r="O13" s="44"/>
      <c r="P13" s="44"/>
      <c r="Q13" s="44"/>
      <c r="R13" s="44"/>
      <c r="S13" s="44"/>
      <c r="T13" s="597"/>
      <c r="U13" s="597"/>
      <c r="V13" s="44"/>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c r="CH13" s="45"/>
      <c r="CI13" s="45"/>
      <c r="CJ13" s="45"/>
      <c r="CK13" s="45"/>
      <c r="CL13" s="45"/>
      <c r="CM13" s="45"/>
      <c r="CN13" s="45"/>
      <c r="CO13" s="45"/>
      <c r="CP13" s="45"/>
      <c r="CQ13" s="45"/>
      <c r="CR13" s="45"/>
      <c r="CS13" s="45"/>
      <c r="CT13" s="45"/>
      <c r="CU13" s="45"/>
      <c r="CV13" s="45"/>
      <c r="CW13" s="45"/>
      <c r="CX13" s="45"/>
      <c r="CY13" s="45"/>
      <c r="CZ13" s="45"/>
      <c r="DA13" s="45"/>
      <c r="DB13" s="45"/>
      <c r="DC13" s="45"/>
      <c r="DD13" s="45"/>
      <c r="DE13" s="45"/>
      <c r="DF13" s="45"/>
      <c r="DG13" s="45"/>
      <c r="DH13" s="45"/>
      <c r="DI13" s="45"/>
      <c r="DJ13" s="45"/>
      <c r="DK13" s="45"/>
      <c r="DL13" s="45"/>
      <c r="DM13" s="45"/>
      <c r="DN13" s="45"/>
      <c r="DO13" s="45"/>
      <c r="DP13" s="45"/>
      <c r="DQ13" s="45"/>
      <c r="DR13" s="45"/>
      <c r="DS13" s="45"/>
      <c r="DT13" s="45"/>
      <c r="DU13" s="45"/>
      <c r="DV13" s="45"/>
      <c r="DW13" s="45"/>
      <c r="DX13" s="45"/>
      <c r="DY13" s="45"/>
      <c r="DZ13" s="45"/>
      <c r="EA13" s="45"/>
      <c r="EB13" s="45"/>
      <c r="EC13" s="45"/>
      <c r="ED13" s="45"/>
      <c r="EE13" s="45"/>
      <c r="EF13" s="45"/>
      <c r="EG13" s="45"/>
      <c r="EH13" s="45"/>
      <c r="EI13" s="45"/>
      <c r="EJ13" s="45"/>
      <c r="EK13" s="45"/>
      <c r="EL13" s="45"/>
      <c r="EM13" s="45"/>
      <c r="EN13" s="45"/>
      <c r="EO13" s="45"/>
      <c r="EP13" s="45"/>
      <c r="EQ13" s="45"/>
      <c r="ER13" s="45"/>
      <c r="ES13" s="45"/>
      <c r="ET13" s="45"/>
      <c r="EU13" s="45"/>
      <c r="EV13" s="45"/>
      <c r="EW13" s="45"/>
      <c r="EX13" s="45"/>
      <c r="EY13" s="45"/>
      <c r="EZ13" s="45"/>
      <c r="FA13" s="45"/>
      <c r="FB13" s="45"/>
      <c r="FC13" s="45"/>
      <c r="FD13" s="45"/>
      <c r="FE13" s="45"/>
      <c r="FF13" s="45"/>
      <c r="FG13" s="45"/>
      <c r="FH13" s="45"/>
      <c r="FI13" s="45"/>
      <c r="FJ13" s="45"/>
      <c r="FK13" s="45"/>
      <c r="FL13" s="45"/>
      <c r="FM13" s="45"/>
      <c r="FN13" s="45"/>
      <c r="FO13" s="45"/>
      <c r="FP13" s="45"/>
      <c r="FQ13" s="45"/>
      <c r="FR13" s="45"/>
      <c r="FS13" s="45"/>
      <c r="FT13" s="45"/>
      <c r="FU13" s="45"/>
      <c r="FV13" s="45"/>
      <c r="FW13" s="45"/>
      <c r="FX13" s="45"/>
      <c r="FY13" s="45"/>
      <c r="FZ13" s="45"/>
      <c r="GA13" s="45"/>
      <c r="GB13" s="45"/>
      <c r="GC13" s="45"/>
      <c r="GD13" s="45"/>
      <c r="GE13" s="45"/>
      <c r="GF13" s="45"/>
      <c r="GG13" s="45"/>
      <c r="GH13" s="45"/>
      <c r="GI13" s="45"/>
      <c r="GJ13" s="45"/>
      <c r="GK13" s="45"/>
      <c r="GL13" s="45"/>
      <c r="GM13" s="45"/>
      <c r="GN13" s="45"/>
      <c r="GO13" s="45"/>
      <c r="GP13" s="45"/>
      <c r="GQ13" s="45"/>
      <c r="GR13" s="45"/>
      <c r="GS13" s="45"/>
      <c r="GT13" s="45"/>
      <c r="GU13" s="45"/>
      <c r="GV13" s="45"/>
      <c r="GW13" s="45"/>
      <c r="GX13" s="45"/>
      <c r="GY13" s="45"/>
      <c r="GZ13" s="45"/>
      <c r="HA13" s="45"/>
      <c r="HB13" s="45"/>
      <c r="HC13" s="45"/>
      <c r="HD13" s="45"/>
      <c r="HE13" s="45"/>
      <c r="HF13" s="45"/>
      <c r="HG13" s="45"/>
      <c r="HH13" s="45"/>
      <c r="HI13" s="45"/>
      <c r="HJ13" s="45"/>
      <c r="HK13" s="45"/>
      <c r="HL13" s="45"/>
      <c r="HM13" s="45"/>
      <c r="HN13" s="45"/>
      <c r="HO13" s="45"/>
      <c r="HP13" s="45"/>
      <c r="HQ13" s="45"/>
      <c r="HR13" s="45"/>
      <c r="HS13" s="45"/>
      <c r="HT13" s="45"/>
      <c r="HU13" s="45"/>
      <c r="HV13" s="45"/>
      <c r="HW13" s="45"/>
      <c r="HX13" s="45"/>
      <c r="HY13" s="45"/>
      <c r="HZ13" s="45"/>
      <c r="IA13" s="45"/>
      <c r="IB13" s="45"/>
      <c r="IC13" s="45"/>
      <c r="ID13" s="45"/>
      <c r="IE13" s="45"/>
      <c r="IF13" s="45"/>
      <c r="IG13" s="45"/>
      <c r="IH13" s="45"/>
      <c r="II13" s="45"/>
      <c r="IJ13" s="45"/>
      <c r="IK13" s="45"/>
      <c r="IL13" s="45"/>
      <c r="IM13" s="45"/>
      <c r="IN13" s="45"/>
      <c r="IO13" s="45"/>
      <c r="IP13" s="45"/>
      <c r="IQ13" s="45"/>
      <c r="IR13" s="45"/>
      <c r="IS13" s="45"/>
      <c r="IT13" s="45"/>
      <c r="IU13" s="45"/>
    </row>
    <row r="14" spans="1:255" ht="24">
      <c r="A14" s="401" t="s">
        <v>1713</v>
      </c>
      <c r="B14" s="402" t="s">
        <v>1714</v>
      </c>
      <c r="C14" s="402" t="s">
        <v>1715</v>
      </c>
      <c r="D14" s="402" t="s">
        <v>1716</v>
      </c>
      <c r="E14" s="402" t="s">
        <v>1717</v>
      </c>
      <c r="F14" s="402" t="s">
        <v>1718</v>
      </c>
      <c r="G14" s="402" t="s">
        <v>1719</v>
      </c>
      <c r="H14" s="402" t="s">
        <v>1720</v>
      </c>
      <c r="I14" s="402" t="s">
        <v>1721</v>
      </c>
      <c r="J14" s="402" t="s">
        <v>1722</v>
      </c>
      <c r="K14" s="402" t="s">
        <v>1723</v>
      </c>
      <c r="L14" s="402" t="s">
        <v>1724</v>
      </c>
      <c r="M14" s="402" t="s">
        <v>1725</v>
      </c>
      <c r="N14" s="402" t="s">
        <v>1726</v>
      </c>
      <c r="O14" s="402" t="s">
        <v>1727</v>
      </c>
      <c r="P14" s="402" t="s">
        <v>1728</v>
      </c>
      <c r="Q14" s="402" t="s">
        <v>1729</v>
      </c>
      <c r="R14" s="402" t="s">
        <v>1730</v>
      </c>
      <c r="S14" s="402" t="s">
        <v>1731</v>
      </c>
      <c r="T14" s="600" t="s">
        <v>1732</v>
      </c>
      <c r="U14" s="600" t="s">
        <v>1733</v>
      </c>
      <c r="V14" s="402" t="s">
        <v>1734</v>
      </c>
    </row>
    <row r="15" spans="1:255" ht="12" customHeight="1">
      <c r="A15" s="401" t="s">
        <v>1735</v>
      </c>
      <c r="B15" s="403">
        <v>21.75</v>
      </c>
      <c r="C15" s="404">
        <v>216.1</v>
      </c>
      <c r="D15" s="404">
        <v>4698.6000000000004</v>
      </c>
      <c r="E15" s="404">
        <v>5924.9</v>
      </c>
      <c r="F15" s="403">
        <v>8.69</v>
      </c>
      <c r="G15" s="403">
        <v>19.86</v>
      </c>
      <c r="H15" s="404">
        <v>10652</v>
      </c>
      <c r="I15" s="403">
        <v>4.37</v>
      </c>
      <c r="J15" s="404">
        <v>3732.5</v>
      </c>
      <c r="K15" s="404">
        <v>1462.7</v>
      </c>
      <c r="L15" s="404">
        <v>946.7</v>
      </c>
      <c r="M15" s="403">
        <v>3832.34</v>
      </c>
      <c r="N15" s="403">
        <v>1934.41</v>
      </c>
      <c r="O15" s="403">
        <v>2.31</v>
      </c>
      <c r="P15" s="403">
        <v>2.75</v>
      </c>
      <c r="Q15" s="403">
        <v>0.48</v>
      </c>
      <c r="R15" s="404">
        <v>0.4</v>
      </c>
      <c r="S15" s="403">
        <v>0.25</v>
      </c>
      <c r="T15" s="601">
        <v>5686.6</v>
      </c>
      <c r="U15" s="601">
        <v>1977.9</v>
      </c>
      <c r="V15" s="603">
        <v>0.2316</v>
      </c>
    </row>
    <row r="16" spans="1:255" ht="12" customHeight="1">
      <c r="A16" s="401" t="s">
        <v>1736</v>
      </c>
      <c r="B16" s="403">
        <v>26.62</v>
      </c>
      <c r="C16" s="404">
        <v>1652.2</v>
      </c>
      <c r="D16" s="404">
        <v>43988.800000000003</v>
      </c>
      <c r="E16" s="404">
        <v>-18593.5</v>
      </c>
      <c r="F16" s="403">
        <v>2117.66</v>
      </c>
      <c r="G16" s="405" t="s">
        <v>1114</v>
      </c>
      <c r="H16" s="405" t="s">
        <v>1114</v>
      </c>
      <c r="I16" s="403">
        <v>19.760000000000002</v>
      </c>
      <c r="J16" s="404">
        <v>9110.2000000000007</v>
      </c>
      <c r="K16" s="405" t="s">
        <v>1114</v>
      </c>
      <c r="L16" s="405" t="s">
        <v>1114</v>
      </c>
      <c r="M16" s="403">
        <v>10817.51</v>
      </c>
      <c r="N16" s="405" t="s">
        <v>1114</v>
      </c>
      <c r="O16" s="403">
        <v>2.1800000000000002</v>
      </c>
      <c r="P16" s="403">
        <v>2.66</v>
      </c>
      <c r="Q16" s="403">
        <v>0.41</v>
      </c>
      <c r="R16" s="404">
        <v>0.4</v>
      </c>
      <c r="S16" s="403">
        <v>0.62</v>
      </c>
      <c r="T16" s="601">
        <v>41866.1</v>
      </c>
      <c r="U16" s="601">
        <v>38618.6</v>
      </c>
      <c r="V16" s="603">
        <v>0.15140000000000001</v>
      </c>
    </row>
    <row r="17" spans="1:22" ht="12" customHeight="1">
      <c r="A17" s="401" t="s">
        <v>1737</v>
      </c>
      <c r="B17" s="403">
        <v>41.94</v>
      </c>
      <c r="C17" s="404">
        <v>2837.6</v>
      </c>
      <c r="D17" s="404">
        <v>119020.6</v>
      </c>
      <c r="E17" s="404">
        <v>79426.8</v>
      </c>
      <c r="F17" s="405" t="s">
        <v>1114</v>
      </c>
      <c r="G17" s="405" t="s">
        <v>1114</v>
      </c>
      <c r="H17" s="405" t="s">
        <v>1114</v>
      </c>
      <c r="I17" s="403">
        <v>16.61</v>
      </c>
      <c r="J17" s="404">
        <v>17171.7</v>
      </c>
      <c r="K17" s="405" t="s">
        <v>1114</v>
      </c>
      <c r="L17" s="405" t="s">
        <v>1114</v>
      </c>
      <c r="M17" s="403">
        <v>18228.509999999998</v>
      </c>
      <c r="N17" s="405" t="s">
        <v>1114</v>
      </c>
      <c r="O17" s="403">
        <v>3.01</v>
      </c>
      <c r="P17" s="403">
        <v>2.99</v>
      </c>
      <c r="Q17" s="403">
        <v>0.3</v>
      </c>
      <c r="R17" s="404">
        <v>0.6</v>
      </c>
      <c r="S17" s="403">
        <v>0.68</v>
      </c>
      <c r="T17" s="601">
        <v>124739.5</v>
      </c>
      <c r="U17" s="601">
        <v>53210.400000000001</v>
      </c>
      <c r="V17" s="603">
        <v>0.14949999999999999</v>
      </c>
    </row>
    <row r="18" spans="1:22" ht="12" customHeight="1">
      <c r="A18" s="401" t="s">
        <v>1738</v>
      </c>
      <c r="B18" s="403">
        <v>4.16</v>
      </c>
      <c r="C18" s="404">
        <v>3367.1</v>
      </c>
      <c r="D18" s="404">
        <v>14018.7</v>
      </c>
      <c r="E18" s="404">
        <v>-17674.2</v>
      </c>
      <c r="F18" s="405" t="s">
        <v>1114</v>
      </c>
      <c r="G18" s="403">
        <v>195</v>
      </c>
      <c r="H18" s="405" t="s">
        <v>1114</v>
      </c>
      <c r="I18" s="403">
        <v>4.3</v>
      </c>
      <c r="J18" s="404">
        <v>4174.3999999999996</v>
      </c>
      <c r="K18" s="405" t="s">
        <v>1114</v>
      </c>
      <c r="L18" s="405" t="s">
        <v>1114</v>
      </c>
      <c r="M18" s="403">
        <v>5189.5600000000004</v>
      </c>
      <c r="N18" s="405" t="s">
        <v>1114</v>
      </c>
      <c r="O18" s="403">
        <v>0.45</v>
      </c>
      <c r="P18" s="403">
        <v>0.4</v>
      </c>
      <c r="Q18" s="403">
        <v>0.23</v>
      </c>
      <c r="R18" s="404">
        <v>0.3</v>
      </c>
      <c r="S18" s="403">
        <v>0.22</v>
      </c>
      <c r="T18" s="601">
        <v>4914.8999999999996</v>
      </c>
      <c r="U18" s="601">
        <v>15532.8</v>
      </c>
      <c r="V18" s="603">
        <v>0.20580000000000001</v>
      </c>
    </row>
    <row r="19" spans="1:22" ht="12" customHeight="1">
      <c r="A19" s="401" t="s">
        <v>1739</v>
      </c>
      <c r="B19" s="403">
        <v>21.35</v>
      </c>
      <c r="C19" s="404">
        <v>48</v>
      </c>
      <c r="D19" s="404">
        <v>1024.5999999999999</v>
      </c>
      <c r="E19" s="404">
        <v>141.30000000000001</v>
      </c>
      <c r="F19" s="405" t="s">
        <v>1114</v>
      </c>
      <c r="G19" s="403">
        <v>72.040000000000006</v>
      </c>
      <c r="H19" s="404">
        <v>1238</v>
      </c>
      <c r="I19" s="403">
        <v>33.04</v>
      </c>
      <c r="J19" s="404">
        <v>2242.6</v>
      </c>
      <c r="K19" s="404">
        <v>206.3</v>
      </c>
      <c r="L19" s="404">
        <v>125.2</v>
      </c>
      <c r="M19" s="403">
        <v>2335.0700000000002</v>
      </c>
      <c r="N19" s="403">
        <v>219.24</v>
      </c>
      <c r="O19" s="403">
        <v>2</v>
      </c>
      <c r="P19" s="403">
        <v>2.1800000000000002</v>
      </c>
      <c r="Q19" s="403">
        <v>0.14000000000000001</v>
      </c>
      <c r="R19" s="404">
        <v>1</v>
      </c>
      <c r="S19" s="403">
        <v>0.81</v>
      </c>
      <c r="T19" s="601">
        <v>520.79999999999995</v>
      </c>
      <c r="U19" s="601">
        <v>1765.9</v>
      </c>
      <c r="V19" s="405" t="s">
        <v>1114</v>
      </c>
    </row>
    <row r="20" spans="1:22" ht="12" customHeight="1">
      <c r="A20" s="401" t="s">
        <v>1740</v>
      </c>
      <c r="B20" s="403">
        <v>5.96</v>
      </c>
      <c r="C20" s="404">
        <v>2369.3000000000002</v>
      </c>
      <c r="D20" s="404">
        <v>14113.3</v>
      </c>
      <c r="E20" s="404">
        <v>-11764.7</v>
      </c>
      <c r="F20" s="405" t="s">
        <v>1114</v>
      </c>
      <c r="G20" s="403">
        <v>2723.81</v>
      </c>
      <c r="H20" s="405" t="s">
        <v>1114</v>
      </c>
      <c r="I20" s="403">
        <v>7.1</v>
      </c>
      <c r="J20" s="404">
        <v>4773.6000000000004</v>
      </c>
      <c r="K20" s="405" t="s">
        <v>1114</v>
      </c>
      <c r="L20" s="405" t="s">
        <v>1114</v>
      </c>
      <c r="M20" s="403">
        <v>5838.86</v>
      </c>
      <c r="N20" s="405" t="s">
        <v>1114</v>
      </c>
      <c r="O20" s="403">
        <v>0.64</v>
      </c>
      <c r="P20" s="403">
        <v>0.63</v>
      </c>
      <c r="Q20" s="403">
        <v>0.23</v>
      </c>
      <c r="R20" s="404">
        <v>0.3</v>
      </c>
      <c r="S20" s="403">
        <v>0.49</v>
      </c>
      <c r="T20" s="601">
        <v>8913.7999999999993</v>
      </c>
      <c r="U20" s="601">
        <v>19826.3</v>
      </c>
      <c r="V20" s="603">
        <v>0.19900000000000001</v>
      </c>
    </row>
    <row r="21" spans="1:22" ht="12" customHeight="1">
      <c r="A21" s="401" t="s">
        <v>1741</v>
      </c>
      <c r="B21" s="403">
        <v>27.4</v>
      </c>
      <c r="C21" s="404">
        <v>144.5</v>
      </c>
      <c r="D21" s="404">
        <v>3958.6</v>
      </c>
      <c r="E21" s="404">
        <v>6008</v>
      </c>
      <c r="F21" s="403">
        <v>30.53</v>
      </c>
      <c r="G21" s="403">
        <v>0.83</v>
      </c>
      <c r="H21" s="404">
        <v>9997.9</v>
      </c>
      <c r="I21" s="403">
        <v>18.18</v>
      </c>
      <c r="J21" s="404">
        <v>3069.3</v>
      </c>
      <c r="K21" s="404">
        <v>1282.9000000000001</v>
      </c>
      <c r="L21" s="404">
        <v>667.7</v>
      </c>
      <c r="M21" s="403">
        <v>3108.46</v>
      </c>
      <c r="N21" s="403">
        <v>1538.12</v>
      </c>
      <c r="O21" s="403">
        <v>2.35</v>
      </c>
      <c r="P21" s="403">
        <v>2.93</v>
      </c>
      <c r="Q21" s="403">
        <v>0.27</v>
      </c>
      <c r="R21" s="404">
        <v>0.2</v>
      </c>
      <c r="S21" s="403">
        <v>0.16</v>
      </c>
      <c r="T21" s="601">
        <v>6194</v>
      </c>
      <c r="U21" s="601">
        <v>2842.8</v>
      </c>
      <c r="V21" s="603">
        <v>0.17899999999999999</v>
      </c>
    </row>
    <row r="22" spans="1:22" ht="12" customHeight="1">
      <c r="A22" s="401" t="s">
        <v>1742</v>
      </c>
      <c r="B22" s="403">
        <v>0.32</v>
      </c>
      <c r="C22" s="404">
        <v>2251.3000000000002</v>
      </c>
      <c r="D22" s="404">
        <v>720</v>
      </c>
      <c r="E22" s="404">
        <v>-177.5</v>
      </c>
      <c r="F22" s="405" t="s">
        <v>1114</v>
      </c>
      <c r="G22" s="405" t="s">
        <v>1114</v>
      </c>
      <c r="H22" s="404">
        <v>542.5</v>
      </c>
      <c r="I22" s="403">
        <v>0.39</v>
      </c>
      <c r="J22" s="404">
        <v>572.20000000000005</v>
      </c>
      <c r="K22" s="404">
        <v>48.4</v>
      </c>
      <c r="L22" s="404">
        <v>27.7</v>
      </c>
      <c r="M22" s="403">
        <v>442.03</v>
      </c>
      <c r="N22" s="403">
        <v>56.52</v>
      </c>
      <c r="O22" s="403">
        <v>0.08</v>
      </c>
      <c r="P22" s="403">
        <v>0.01</v>
      </c>
      <c r="Q22" s="403">
        <v>0.24</v>
      </c>
      <c r="R22" s="404">
        <v>0.8</v>
      </c>
      <c r="S22" s="403">
        <v>0.84</v>
      </c>
      <c r="T22" s="601">
        <v>286.2</v>
      </c>
      <c r="U22" s="601">
        <v>1242.5999999999999</v>
      </c>
      <c r="V22" s="603">
        <v>3.9899999999999998E-2</v>
      </c>
    </row>
    <row r="23" spans="1:22" ht="12" customHeight="1">
      <c r="A23" s="401" t="s">
        <v>1743</v>
      </c>
      <c r="B23" s="403">
        <v>1.1100000000000001</v>
      </c>
      <c r="C23" s="404">
        <v>2166.8000000000002</v>
      </c>
      <c r="D23" s="404">
        <v>2404.4</v>
      </c>
      <c r="E23" s="404">
        <v>629</v>
      </c>
      <c r="F23" s="405" t="s">
        <v>1114</v>
      </c>
      <c r="G23" s="403">
        <v>316.33999999999997</v>
      </c>
      <c r="H23" s="404">
        <v>3349.8</v>
      </c>
      <c r="I23" s="403">
        <v>0.41</v>
      </c>
      <c r="J23" s="404">
        <v>3684.9</v>
      </c>
      <c r="K23" s="404">
        <v>521.6</v>
      </c>
      <c r="L23" s="404">
        <v>266.3</v>
      </c>
      <c r="M23" s="403">
        <v>3833.34</v>
      </c>
      <c r="N23" s="403">
        <v>608.05999999999995</v>
      </c>
      <c r="O23" s="403">
        <v>0.08</v>
      </c>
      <c r="P23" s="403">
        <v>0.08</v>
      </c>
      <c r="Q23" s="403">
        <v>0.19</v>
      </c>
      <c r="R23" s="404">
        <v>0.3</v>
      </c>
      <c r="S23" s="403">
        <v>0.43</v>
      </c>
      <c r="T23" s="601">
        <v>1047.2</v>
      </c>
      <c r="U23" s="601">
        <v>2338.9</v>
      </c>
      <c r="V23" s="603">
        <v>0.19819999999999999</v>
      </c>
    </row>
    <row r="24" spans="1:22" ht="12" customHeight="1">
      <c r="A24" s="401" t="s">
        <v>1744</v>
      </c>
      <c r="B24" s="403">
        <v>0.08</v>
      </c>
      <c r="C24" s="404">
        <v>16093.8</v>
      </c>
      <c r="D24" s="404">
        <v>1284.9000000000001</v>
      </c>
      <c r="E24" s="404">
        <v>4926.6000000000004</v>
      </c>
      <c r="F24" s="405" t="s">
        <v>1114</v>
      </c>
      <c r="G24" s="403">
        <v>1450.02</v>
      </c>
      <c r="H24" s="404">
        <v>7661.5</v>
      </c>
      <c r="I24" s="403">
        <v>0.1</v>
      </c>
      <c r="J24" s="404">
        <v>708.5</v>
      </c>
      <c r="K24" s="404">
        <v>113.1</v>
      </c>
      <c r="L24" s="404">
        <v>50.9</v>
      </c>
      <c r="M24" s="403">
        <v>754.45</v>
      </c>
      <c r="N24" s="403">
        <v>319.18</v>
      </c>
      <c r="O24" s="403">
        <v>0.01</v>
      </c>
      <c r="P24" s="403">
        <v>0</v>
      </c>
      <c r="Q24" s="403">
        <v>0.02</v>
      </c>
      <c r="R24" s="404">
        <v>0.9</v>
      </c>
      <c r="S24" s="403">
        <v>1.46</v>
      </c>
      <c r="T24" s="601">
        <v>5790.2</v>
      </c>
      <c r="U24" s="601">
        <v>3319.7</v>
      </c>
      <c r="V24" s="603">
        <v>0.504</v>
      </c>
    </row>
    <row r="25" spans="1:22" ht="12" customHeight="1">
      <c r="A25" s="401" t="s">
        <v>1745</v>
      </c>
      <c r="B25" s="403">
        <v>22.18</v>
      </c>
      <c r="C25" s="404">
        <v>298.2</v>
      </c>
      <c r="D25" s="404">
        <v>6613.6</v>
      </c>
      <c r="E25" s="404">
        <v>2120.4</v>
      </c>
      <c r="F25" s="405" t="s">
        <v>1114</v>
      </c>
      <c r="G25" s="403">
        <v>163.71</v>
      </c>
      <c r="H25" s="404">
        <v>8897.7000000000007</v>
      </c>
      <c r="I25" s="403">
        <v>-13.81</v>
      </c>
      <c r="J25" s="404">
        <v>15549.3</v>
      </c>
      <c r="K25" s="404">
        <v>431.7</v>
      </c>
      <c r="L25" s="404">
        <v>158.1</v>
      </c>
      <c r="M25" s="403">
        <v>17837.03</v>
      </c>
      <c r="N25" s="403">
        <v>1240.6099999999999</v>
      </c>
      <c r="O25" s="403">
        <v>-2.2200000000000002</v>
      </c>
      <c r="P25" s="403">
        <v>0.99</v>
      </c>
      <c r="Q25" s="403">
        <v>1.69</v>
      </c>
      <c r="R25" s="404">
        <v>1.5</v>
      </c>
      <c r="S25" s="403">
        <v>1.78</v>
      </c>
      <c r="T25" s="601">
        <v>6610.8</v>
      </c>
      <c r="U25" s="601">
        <v>3164</v>
      </c>
      <c r="V25" s="405" t="s">
        <v>1114</v>
      </c>
    </row>
    <row r="26" spans="1:22" ht="12" customHeight="1">
      <c r="A26" s="401" t="s">
        <v>1746</v>
      </c>
      <c r="B26" s="403">
        <v>7.0000000000000007E-2</v>
      </c>
      <c r="C26" s="404">
        <v>960.7</v>
      </c>
      <c r="D26" s="404">
        <v>64.2</v>
      </c>
      <c r="E26" s="404">
        <v>-55.2</v>
      </c>
      <c r="F26" s="405" t="s">
        <v>1114</v>
      </c>
      <c r="G26" s="405" t="s">
        <v>1114</v>
      </c>
      <c r="H26" s="404">
        <v>9</v>
      </c>
      <c r="I26" s="403">
        <v>0.21</v>
      </c>
      <c r="J26" s="404">
        <v>203.5</v>
      </c>
      <c r="K26" s="404">
        <v>5.3</v>
      </c>
      <c r="L26" s="404">
        <v>1.3</v>
      </c>
      <c r="M26" s="405" t="s">
        <v>1114</v>
      </c>
      <c r="N26" s="405" t="s">
        <v>1114</v>
      </c>
      <c r="O26" s="403">
        <v>-0.02</v>
      </c>
      <c r="P26" s="405" t="s">
        <v>1114</v>
      </c>
      <c r="Q26" s="403">
        <v>0.59</v>
      </c>
      <c r="R26" s="404">
        <v>0.3</v>
      </c>
      <c r="S26" s="403">
        <v>0.3</v>
      </c>
      <c r="T26" s="601">
        <v>2.2000000000000002</v>
      </c>
      <c r="U26" s="601">
        <v>201.8</v>
      </c>
      <c r="V26" s="405" t="s">
        <v>1114</v>
      </c>
    </row>
    <row r="27" spans="1:22" ht="12" customHeight="1">
      <c r="A27" s="401" t="s">
        <v>1747</v>
      </c>
      <c r="B27" s="403">
        <v>0.1</v>
      </c>
      <c r="C27" s="404">
        <v>2502.1</v>
      </c>
      <c r="D27" s="404">
        <v>262</v>
      </c>
      <c r="E27" s="404">
        <v>50.4</v>
      </c>
      <c r="F27" s="405" t="s">
        <v>1114</v>
      </c>
      <c r="G27" s="403">
        <v>6.96</v>
      </c>
      <c r="H27" s="404">
        <v>319.3</v>
      </c>
      <c r="I27" s="403">
        <v>0.14000000000000001</v>
      </c>
      <c r="J27" s="404">
        <v>330.7</v>
      </c>
      <c r="K27" s="404">
        <v>79</v>
      </c>
      <c r="L27" s="404">
        <v>42.2</v>
      </c>
      <c r="M27" s="403">
        <v>368.86</v>
      </c>
      <c r="N27" s="403">
        <v>90.02</v>
      </c>
      <c r="O27" s="403">
        <v>0.02</v>
      </c>
      <c r="P27" s="403">
        <v>0.02</v>
      </c>
      <c r="Q27" s="403">
        <v>0.26</v>
      </c>
      <c r="R27" s="404">
        <v>0.4</v>
      </c>
      <c r="S27" s="403">
        <v>0.84</v>
      </c>
      <c r="T27" s="601">
        <v>82.1</v>
      </c>
      <c r="U27" s="601">
        <v>361</v>
      </c>
      <c r="V27" s="603">
        <v>0.22009999999999999</v>
      </c>
    </row>
    <row r="28" spans="1:22" ht="12" customHeight="1">
      <c r="A28" s="401" t="s">
        <v>1748</v>
      </c>
      <c r="B28" s="405" t="s">
        <v>1114</v>
      </c>
      <c r="C28" s="405" t="s">
        <v>1114</v>
      </c>
      <c r="D28" s="405" t="s">
        <v>1114</v>
      </c>
      <c r="E28" s="404">
        <v>-529.29999999999995</v>
      </c>
      <c r="F28" s="405" t="s">
        <v>1114</v>
      </c>
      <c r="G28" s="405" t="s">
        <v>1114</v>
      </c>
      <c r="H28" s="405" t="s">
        <v>1114</v>
      </c>
      <c r="I28" s="403">
        <v>0.26</v>
      </c>
      <c r="J28" s="404">
        <v>2832.2</v>
      </c>
      <c r="K28" s="404">
        <v>40.5</v>
      </c>
      <c r="L28" s="404">
        <v>29</v>
      </c>
      <c r="M28" s="405" t="s">
        <v>1114</v>
      </c>
      <c r="N28" s="405" t="s">
        <v>1114</v>
      </c>
      <c r="O28" s="403">
        <v>-0.02</v>
      </c>
      <c r="P28" s="405" t="s">
        <v>1114</v>
      </c>
      <c r="Q28" s="405" t="s">
        <v>1114</v>
      </c>
      <c r="R28" s="405" t="s">
        <v>1114</v>
      </c>
      <c r="S28" s="405" t="s">
        <v>1114</v>
      </c>
      <c r="T28" s="601">
        <v>67.2</v>
      </c>
      <c r="U28" s="601">
        <v>586.1</v>
      </c>
      <c r="V28" s="405" t="s">
        <v>1114</v>
      </c>
    </row>
    <row r="29" spans="1:22" ht="12" customHeight="1">
      <c r="A29" s="401" t="s">
        <v>1749</v>
      </c>
      <c r="B29" s="403">
        <v>0</v>
      </c>
      <c r="C29" s="404">
        <v>1058414.5</v>
      </c>
      <c r="D29" s="404">
        <v>4076.2</v>
      </c>
      <c r="E29" s="404">
        <v>-838.9</v>
      </c>
      <c r="F29" s="405" t="s">
        <v>1114</v>
      </c>
      <c r="G29" s="403">
        <v>-179.21</v>
      </c>
      <c r="H29" s="404">
        <v>3058.1</v>
      </c>
      <c r="I29" s="403">
        <v>0</v>
      </c>
      <c r="J29" s="404">
        <v>1054.7</v>
      </c>
      <c r="K29" s="404">
        <v>-35.5</v>
      </c>
      <c r="L29" s="404">
        <v>-24.8</v>
      </c>
      <c r="M29" s="403">
        <v>1216.24</v>
      </c>
      <c r="N29" s="403">
        <v>124.33</v>
      </c>
      <c r="O29" s="403">
        <v>0</v>
      </c>
      <c r="P29" s="403">
        <v>0</v>
      </c>
      <c r="Q29" s="403">
        <v>0.46</v>
      </c>
      <c r="R29" s="404">
        <v>0.4</v>
      </c>
      <c r="S29" s="403">
        <v>0.33</v>
      </c>
      <c r="T29" s="601">
        <v>290.2</v>
      </c>
      <c r="U29" s="601">
        <v>1830.8</v>
      </c>
      <c r="V29" s="405" t="s">
        <v>1114</v>
      </c>
    </row>
    <row r="30" spans="1:22" ht="12" customHeight="1">
      <c r="A30" s="401" t="s">
        <v>1750</v>
      </c>
      <c r="B30" s="403">
        <v>0.13</v>
      </c>
      <c r="C30" s="404">
        <v>13861.3</v>
      </c>
      <c r="D30" s="404">
        <v>1751.7</v>
      </c>
      <c r="E30" s="404">
        <v>-100.1</v>
      </c>
      <c r="F30" s="405" t="s">
        <v>1114</v>
      </c>
      <c r="G30" s="405" t="s">
        <v>1114</v>
      </c>
      <c r="H30" s="405" t="s">
        <v>1114</v>
      </c>
      <c r="I30" s="403">
        <v>0.03</v>
      </c>
      <c r="J30" s="404">
        <v>114.2</v>
      </c>
      <c r="K30" s="405" t="s">
        <v>1114</v>
      </c>
      <c r="L30" s="405" t="s">
        <v>1114</v>
      </c>
      <c r="M30" s="403">
        <v>204.94</v>
      </c>
      <c r="N30" s="405" t="s">
        <v>1114</v>
      </c>
      <c r="O30" s="403">
        <v>0</v>
      </c>
      <c r="P30" s="403">
        <v>0</v>
      </c>
      <c r="Q30" s="403">
        <v>1.46</v>
      </c>
      <c r="R30" s="404">
        <v>0.7</v>
      </c>
      <c r="S30" s="403">
        <v>1.27</v>
      </c>
      <c r="T30" s="601">
        <v>26.6</v>
      </c>
      <c r="U30" s="601">
        <v>513</v>
      </c>
      <c r="V30" s="603">
        <v>0.25540000000000002</v>
      </c>
    </row>
    <row r="31" spans="1:22" ht="12" customHeight="1">
      <c r="A31" s="401" t="s">
        <v>1751</v>
      </c>
      <c r="B31" s="403">
        <v>137.83000000000001</v>
      </c>
      <c r="C31" s="404">
        <v>592</v>
      </c>
      <c r="D31" s="404">
        <v>81598.100000000006</v>
      </c>
      <c r="E31" s="404">
        <v>-5658.2</v>
      </c>
      <c r="F31" s="405" t="s">
        <v>1114</v>
      </c>
      <c r="G31" s="403">
        <v>108.09</v>
      </c>
      <c r="H31" s="404">
        <v>76048</v>
      </c>
      <c r="I31" s="403">
        <v>16.93</v>
      </c>
      <c r="J31" s="404">
        <v>21037</v>
      </c>
      <c r="K31" s="404">
        <v>1792.1</v>
      </c>
      <c r="L31" s="404">
        <v>1725.8</v>
      </c>
      <c r="M31" s="403">
        <v>26251.65</v>
      </c>
      <c r="N31" s="403">
        <v>3884.98</v>
      </c>
      <c r="O31" s="403">
        <v>2.29</v>
      </c>
      <c r="P31" s="403">
        <v>4.3099999999999996</v>
      </c>
      <c r="Q31" s="403">
        <v>1.58</v>
      </c>
      <c r="R31" s="404">
        <v>1.4</v>
      </c>
      <c r="S31" s="403">
        <v>1.47</v>
      </c>
      <c r="T31" s="601">
        <v>4124.1000000000004</v>
      </c>
      <c r="U31" s="601">
        <v>8477.6</v>
      </c>
      <c r="V31" s="603">
        <v>0.26960000000000001</v>
      </c>
    </row>
    <row r="32" spans="1:22" ht="12" customHeight="1">
      <c r="A32" s="401" t="s">
        <v>1752</v>
      </c>
      <c r="B32" s="403">
        <v>5.26</v>
      </c>
      <c r="C32" s="404">
        <v>4087</v>
      </c>
      <c r="D32" s="404">
        <v>21497.599999999999</v>
      </c>
      <c r="E32" s="404">
        <v>-4974</v>
      </c>
      <c r="F32" s="405" t="s">
        <v>1114</v>
      </c>
      <c r="G32" s="403">
        <v>43</v>
      </c>
      <c r="H32" s="404">
        <v>16566.599999999999</v>
      </c>
      <c r="I32" s="403">
        <v>1.33</v>
      </c>
      <c r="J32" s="404">
        <v>3228</v>
      </c>
      <c r="K32" s="404">
        <v>191</v>
      </c>
      <c r="L32" s="404">
        <v>26</v>
      </c>
      <c r="M32" s="403">
        <v>3926.21</v>
      </c>
      <c r="N32" s="403">
        <v>630.92999999999995</v>
      </c>
      <c r="O32" s="403">
        <v>0.02</v>
      </c>
      <c r="P32" s="403">
        <v>0.08</v>
      </c>
      <c r="Q32" s="403">
        <v>0.89</v>
      </c>
      <c r="R32" s="404">
        <v>1.3</v>
      </c>
      <c r="S32" s="403">
        <v>1.95</v>
      </c>
      <c r="T32" s="601">
        <v>364</v>
      </c>
      <c r="U32" s="601">
        <v>6351</v>
      </c>
      <c r="V32" s="603">
        <v>0.5</v>
      </c>
    </row>
    <row r="33" spans="1:22">
      <c r="A33" s="406"/>
      <c r="B33" s="406"/>
      <c r="C33" s="406"/>
      <c r="D33" s="406"/>
      <c r="E33" s="406"/>
      <c r="F33" s="406"/>
      <c r="G33" s="406"/>
      <c r="H33" s="406"/>
      <c r="I33" s="406"/>
      <c r="J33" s="406"/>
      <c r="K33" s="406"/>
      <c r="L33" s="406"/>
      <c r="M33" s="406"/>
      <c r="N33" s="406"/>
      <c r="O33" s="406"/>
      <c r="P33" s="406"/>
      <c r="Q33" s="406"/>
      <c r="R33" s="406"/>
      <c r="S33" s="406"/>
      <c r="T33" s="598"/>
      <c r="U33" s="598"/>
      <c r="V33" s="406"/>
    </row>
    <row r="34" spans="1:22" ht="24">
      <c r="A34" s="401" t="s">
        <v>1753</v>
      </c>
      <c r="B34" s="402" t="s">
        <v>1714</v>
      </c>
      <c r="C34" s="402" t="s">
        <v>1715</v>
      </c>
      <c r="D34" s="402" t="s">
        <v>1716</v>
      </c>
      <c r="E34" s="402" t="s">
        <v>1717</v>
      </c>
      <c r="F34" s="402" t="s">
        <v>1718</v>
      </c>
      <c r="G34" s="402" t="s">
        <v>1719</v>
      </c>
      <c r="H34" s="402" t="s">
        <v>1720</v>
      </c>
      <c r="I34" s="402" t="s">
        <v>1721</v>
      </c>
      <c r="J34" s="402" t="s">
        <v>1722</v>
      </c>
      <c r="K34" s="402" t="s">
        <v>1723</v>
      </c>
      <c r="L34" s="402" t="s">
        <v>1724</v>
      </c>
      <c r="M34" s="402" t="s">
        <v>1725</v>
      </c>
      <c r="N34" s="402" t="s">
        <v>1726</v>
      </c>
      <c r="O34" s="402" t="s">
        <v>1727</v>
      </c>
      <c r="P34" s="402" t="s">
        <v>1728</v>
      </c>
      <c r="Q34" s="402" t="s">
        <v>1729</v>
      </c>
      <c r="R34" s="402" t="s">
        <v>1730</v>
      </c>
      <c r="S34" s="402" t="s">
        <v>1731</v>
      </c>
      <c r="T34" s="600" t="s">
        <v>1732</v>
      </c>
      <c r="U34" s="600" t="s">
        <v>1733</v>
      </c>
      <c r="V34" s="402" t="s">
        <v>1734</v>
      </c>
    </row>
    <row r="35" spans="1:22" ht="12">
      <c r="A35" s="401" t="s">
        <v>1090</v>
      </c>
      <c r="B35" s="403">
        <v>137.83000000000001</v>
      </c>
      <c r="C35" s="404">
        <v>1058414.5</v>
      </c>
      <c r="D35" s="404">
        <v>119020.6</v>
      </c>
      <c r="E35" s="404">
        <v>79426.8</v>
      </c>
      <c r="F35" s="403">
        <v>2117.66</v>
      </c>
      <c r="G35" s="403">
        <v>2723.81</v>
      </c>
      <c r="H35" s="404">
        <v>76048</v>
      </c>
      <c r="I35" s="403">
        <v>33.04</v>
      </c>
      <c r="J35" s="404">
        <v>21037</v>
      </c>
      <c r="K35" s="404">
        <v>1792.1</v>
      </c>
      <c r="L35" s="404">
        <v>1725.8</v>
      </c>
      <c r="M35" s="403">
        <v>26251.65</v>
      </c>
      <c r="N35" s="403">
        <v>3884.98</v>
      </c>
      <c r="O35" s="403">
        <v>3.01</v>
      </c>
      <c r="P35" s="403">
        <v>4.3099999999999996</v>
      </c>
      <c r="Q35" s="403">
        <v>1.69</v>
      </c>
      <c r="R35" s="404">
        <v>1.5</v>
      </c>
      <c r="S35" s="403">
        <v>1.95</v>
      </c>
      <c r="T35" s="601">
        <v>124739.5</v>
      </c>
      <c r="U35" s="601">
        <v>53210.400000000001</v>
      </c>
      <c r="V35" s="603">
        <v>0.504</v>
      </c>
    </row>
    <row r="36" spans="1:22" ht="12">
      <c r="A36" s="401" t="s">
        <v>1091</v>
      </c>
      <c r="B36" s="403">
        <v>0</v>
      </c>
      <c r="C36" s="404">
        <v>48</v>
      </c>
      <c r="D36" s="404">
        <v>64.2</v>
      </c>
      <c r="E36" s="404">
        <v>-18593.5</v>
      </c>
      <c r="F36" s="403">
        <v>8.69</v>
      </c>
      <c r="G36" s="403">
        <v>-179.21</v>
      </c>
      <c r="H36" s="404">
        <v>9</v>
      </c>
      <c r="I36" s="403">
        <v>-13.81</v>
      </c>
      <c r="J36" s="404">
        <v>114.2</v>
      </c>
      <c r="K36" s="404">
        <v>-35.5</v>
      </c>
      <c r="L36" s="404">
        <v>-24.8</v>
      </c>
      <c r="M36" s="403">
        <v>204.94</v>
      </c>
      <c r="N36" s="403">
        <v>56.52</v>
      </c>
      <c r="O36" s="403">
        <v>-2.2200000000000002</v>
      </c>
      <c r="P36" s="403">
        <v>0</v>
      </c>
      <c r="Q36" s="403">
        <v>0.02</v>
      </c>
      <c r="R36" s="404">
        <v>0.2</v>
      </c>
      <c r="S36" s="403">
        <v>0.16</v>
      </c>
      <c r="T36" s="601">
        <v>2.2000000000000002</v>
      </c>
      <c r="U36" s="601">
        <v>201.8</v>
      </c>
      <c r="V36" s="603">
        <v>3.9899999999999998E-2</v>
      </c>
    </row>
    <row r="37" spans="1:22" ht="12">
      <c r="A37" s="401" t="s">
        <v>1476</v>
      </c>
      <c r="B37" s="403">
        <v>18.600000000000001</v>
      </c>
      <c r="C37" s="404">
        <v>65403.7</v>
      </c>
      <c r="D37" s="404">
        <v>18888</v>
      </c>
      <c r="E37" s="404">
        <v>2159</v>
      </c>
      <c r="F37" s="403">
        <v>718.96</v>
      </c>
      <c r="G37" s="403">
        <v>410.04</v>
      </c>
      <c r="H37" s="404">
        <v>11528.4</v>
      </c>
      <c r="I37" s="403">
        <v>6.07</v>
      </c>
      <c r="J37" s="404">
        <v>5199.3999999999996</v>
      </c>
      <c r="K37" s="404">
        <v>472.2</v>
      </c>
      <c r="L37" s="404">
        <v>310.89999999999998</v>
      </c>
      <c r="M37" s="403">
        <v>6511.57</v>
      </c>
      <c r="N37" s="403">
        <v>967.85</v>
      </c>
      <c r="O37" s="403">
        <v>0.73</v>
      </c>
      <c r="P37" s="403">
        <v>1.25</v>
      </c>
      <c r="Q37" s="403">
        <v>0.56000000000000005</v>
      </c>
      <c r="R37" s="404">
        <v>0.7</v>
      </c>
      <c r="S37" s="403">
        <v>0.82</v>
      </c>
      <c r="T37" s="601">
        <v>11751.5</v>
      </c>
      <c r="U37" s="601">
        <v>9008.9</v>
      </c>
      <c r="V37" s="603">
        <v>0.2387</v>
      </c>
    </row>
    <row r="38" spans="1:22" ht="12">
      <c r="A38" s="401" t="s">
        <v>273</v>
      </c>
      <c r="B38" s="403">
        <v>5.26</v>
      </c>
      <c r="C38" s="404">
        <v>2251.3000000000002</v>
      </c>
      <c r="D38" s="404">
        <v>4076.2</v>
      </c>
      <c r="E38" s="404">
        <v>-77.7</v>
      </c>
      <c r="F38" s="403">
        <v>30.53</v>
      </c>
      <c r="G38" s="403">
        <v>90.07</v>
      </c>
      <c r="H38" s="404">
        <v>5505.6</v>
      </c>
      <c r="I38" s="403">
        <v>0.87</v>
      </c>
      <c r="J38" s="404">
        <v>3148.7</v>
      </c>
      <c r="K38" s="404">
        <v>191</v>
      </c>
      <c r="L38" s="404">
        <v>50.9</v>
      </c>
      <c r="M38" s="403">
        <v>3832.84</v>
      </c>
      <c r="N38" s="403">
        <v>608.05999999999995</v>
      </c>
      <c r="O38" s="403">
        <v>0.08</v>
      </c>
      <c r="P38" s="403">
        <v>0.51</v>
      </c>
      <c r="Q38" s="403">
        <v>0.3</v>
      </c>
      <c r="R38" s="404">
        <v>0.4</v>
      </c>
      <c r="S38" s="403">
        <v>0.68</v>
      </c>
      <c r="T38" s="601">
        <v>2585.6</v>
      </c>
      <c r="U38" s="601">
        <v>2590.8000000000002</v>
      </c>
      <c r="V38" s="603">
        <v>0.20580000000000001</v>
      </c>
    </row>
    <row r="39" spans="1:22">
      <c r="A39" s="46"/>
      <c r="B39" s="46"/>
      <c r="C39" s="46"/>
      <c r="D39" s="46"/>
      <c r="E39" s="46"/>
      <c r="F39" s="46"/>
      <c r="G39" s="46"/>
      <c r="H39" s="46"/>
      <c r="I39" s="46"/>
      <c r="J39" s="46"/>
      <c r="K39" s="46"/>
      <c r="L39" s="46"/>
      <c r="M39" s="46"/>
      <c r="N39" s="46"/>
      <c r="O39" s="46"/>
      <c r="P39" s="46"/>
      <c r="Q39" s="46"/>
      <c r="R39" s="46"/>
      <c r="S39" s="46"/>
      <c r="T39" s="599"/>
      <c r="U39" s="599"/>
      <c r="V39" s="46"/>
    </row>
    <row r="41" spans="1:22">
      <c r="A41" s="42" t="s">
        <v>1754</v>
      </c>
      <c r="T41" s="596"/>
      <c r="U41" s="596"/>
    </row>
    <row r="44" spans="1:22">
      <c r="A44" s="41" t="s">
        <v>1755</v>
      </c>
      <c r="T44" s="596"/>
      <c r="U44" s="596"/>
    </row>
    <row r="46" spans="1:22">
      <c r="A46" s="41" t="s">
        <v>1756</v>
      </c>
      <c r="T46" s="596"/>
      <c r="U46" s="596"/>
    </row>
    <row r="55" spans="1:3" ht="25" customHeight="1">
      <c r="A55" s="889" t="s">
        <v>1757</v>
      </c>
      <c r="B55" s="890"/>
      <c r="C55" s="890"/>
    </row>
  </sheetData>
  <mergeCells count="1">
    <mergeCell ref="A55:C55"/>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17F4C-2AE9-4A72-9AAE-0797D5529F71}">
  <dimension ref="A1:O178"/>
  <sheetViews>
    <sheetView tabSelected="1" topLeftCell="Y1" workbookViewId="0">
      <selection activeCell="AE26" sqref="AE26"/>
    </sheetView>
  </sheetViews>
  <sheetFormatPr baseColWidth="10" defaultColWidth="9.1640625" defaultRowHeight="16"/>
  <cols>
    <col min="1" max="1" width="3.1640625" style="436" customWidth="1"/>
    <col min="2" max="2" width="1.5" style="153" customWidth="1"/>
    <col min="3" max="3" width="48.5" style="153" customWidth="1"/>
    <col min="4" max="4" width="17.5" style="153" customWidth="1"/>
    <col min="5" max="5" width="18" style="153" bestFit="1" customWidth="1"/>
    <col min="6" max="6" width="17.5" style="153" bestFit="1" customWidth="1"/>
    <col min="7" max="7" width="22.5" style="153" bestFit="1" customWidth="1"/>
    <col min="8" max="8" width="25.5" style="153" customWidth="1"/>
    <col min="9" max="9" width="25.83203125" style="153" bestFit="1" customWidth="1"/>
    <col min="10" max="10" width="31.5" style="153" customWidth="1"/>
    <col min="11" max="11" width="5.83203125" style="435" customWidth="1"/>
    <col min="12" max="12" width="16.83203125" style="153" customWidth="1"/>
    <col min="13" max="13" width="18.1640625" style="153" customWidth="1"/>
    <col min="14" max="14" width="17" style="153" customWidth="1"/>
    <col min="15" max="15" width="19.5" style="153" customWidth="1"/>
    <col min="16" max="16384" width="9.1640625" style="153"/>
  </cols>
  <sheetData>
    <row r="1" spans="1:15" s="471" customFormat="1" ht="31">
      <c r="A1" s="437"/>
      <c r="B1" s="470"/>
      <c r="C1" s="439" t="str">
        <f>[2]Cover!$F$7&amp;" ("&amp;[2]Cover!$F$8&amp;": "&amp;[2]Cover!$F$9&amp;")"</f>
        <v>DMG Mori Co., Ltd. (TSE: 6141)</v>
      </c>
      <c r="D1" s="439"/>
      <c r="E1" s="439"/>
      <c r="F1" s="470"/>
      <c r="G1" s="470"/>
      <c r="H1" s="470"/>
      <c r="I1" s="470"/>
      <c r="J1" s="470"/>
      <c r="K1" s="438"/>
      <c r="L1" s="470"/>
      <c r="M1" s="470"/>
      <c r="N1" s="470"/>
      <c r="O1" s="470"/>
    </row>
    <row r="2" spans="1:15" s="471" customFormat="1">
      <c r="A2" s="440"/>
      <c r="B2" s="438"/>
      <c r="C2" s="472"/>
      <c r="D2" s="472"/>
      <c r="E2" s="472"/>
      <c r="F2" s="438"/>
      <c r="G2" s="438"/>
      <c r="H2" s="438"/>
      <c r="I2" s="438"/>
      <c r="J2" s="438"/>
      <c r="K2" s="438"/>
      <c r="L2" s="438"/>
      <c r="M2" s="438"/>
      <c r="N2" s="438"/>
      <c r="O2" s="438"/>
    </row>
    <row r="3" spans="1:15" s="471" customFormat="1">
      <c r="A3" s="473"/>
      <c r="B3" s="474"/>
      <c r="C3" s="473"/>
      <c r="D3" s="473"/>
      <c r="E3" s="473"/>
      <c r="F3" s="473"/>
      <c r="G3" s="473"/>
      <c r="H3" s="473"/>
      <c r="I3" s="473"/>
      <c r="J3" s="473"/>
      <c r="K3" s="473"/>
      <c r="L3" s="475"/>
      <c r="M3" s="475"/>
      <c r="N3" s="475"/>
      <c r="O3" s="475"/>
    </row>
    <row r="4" spans="1:15" s="471" customFormat="1">
      <c r="A4" s="473"/>
      <c r="B4" s="474"/>
      <c r="C4" s="473"/>
      <c r="D4" s="473"/>
      <c r="E4" s="473"/>
      <c r="F4" s="473"/>
      <c r="G4" s="475"/>
      <c r="H4" s="475"/>
      <c r="I4" s="475"/>
      <c r="J4" s="475"/>
      <c r="K4" s="475"/>
      <c r="L4" s="475"/>
      <c r="M4" s="475"/>
      <c r="N4" s="475"/>
      <c r="O4" s="475"/>
    </row>
    <row r="5" spans="1:15" s="471" customFormat="1" ht="19">
      <c r="A5" s="473"/>
      <c r="B5" s="474"/>
      <c r="C5" s="448"/>
      <c r="D5" s="448"/>
      <c r="E5" s="448"/>
      <c r="F5" s="154"/>
      <c r="G5" s="476"/>
      <c r="H5" s="446"/>
      <c r="I5" s="446"/>
      <c r="J5" s="446"/>
      <c r="K5" s="446"/>
      <c r="L5" s="446"/>
      <c r="M5" s="446"/>
      <c r="N5" s="446"/>
      <c r="O5" s="475"/>
    </row>
    <row r="6" spans="1:15" s="471" customFormat="1">
      <c r="A6" s="473"/>
      <c r="B6" s="474"/>
      <c r="C6" s="449" t="str">
        <f>"In "&amp;[2]Cover!F10&amp;", unless stated otherwise"</f>
        <v>In JPY Bn, unless stated otherwise</v>
      </c>
      <c r="D6" s="449"/>
      <c r="E6" s="449"/>
      <c r="F6" s="477"/>
      <c r="G6" s="476"/>
      <c r="H6" s="155"/>
      <c r="I6" s="155"/>
      <c r="J6" s="155"/>
      <c r="K6" s="155"/>
      <c r="L6" s="478"/>
      <c r="M6" s="478"/>
      <c r="N6" s="478"/>
      <c r="O6" s="478"/>
    </row>
    <row r="9" spans="1:15">
      <c r="A9" s="436" t="s">
        <v>57</v>
      </c>
      <c r="C9" s="479" t="s">
        <v>223</v>
      </c>
      <c r="D9" s="480" t="s">
        <v>1758</v>
      </c>
      <c r="E9" s="480" t="s">
        <v>1759</v>
      </c>
      <c r="F9" s="480" t="s">
        <v>1760</v>
      </c>
      <c r="G9" s="480" t="s">
        <v>253</v>
      </c>
      <c r="H9" s="481" t="s">
        <v>210</v>
      </c>
      <c r="I9" s="482" t="s">
        <v>1761</v>
      </c>
      <c r="J9" s="483" t="s">
        <v>1762</v>
      </c>
      <c r="K9" s="153"/>
      <c r="L9" s="484" t="s">
        <v>1763</v>
      </c>
      <c r="M9" s="484"/>
      <c r="N9" s="484"/>
      <c r="O9" s="484"/>
    </row>
    <row r="10" spans="1:15">
      <c r="C10" s="454" t="s">
        <v>1764</v>
      </c>
      <c r="D10" s="455" t="s">
        <v>1765</v>
      </c>
      <c r="E10" s="456">
        <v>6.7999999999999996E-3</v>
      </c>
      <c r="F10" s="456">
        <v>4.8999999999999998E-3</v>
      </c>
      <c r="G10" s="456">
        <v>4.9399999999999999E-2</v>
      </c>
      <c r="H10" s="457">
        <v>7.3000000000000001E-3</v>
      </c>
      <c r="I10" s="458">
        <v>0.15</v>
      </c>
      <c r="J10" s="459" t="s">
        <v>1766</v>
      </c>
      <c r="K10" s="153"/>
      <c r="L10" s="485" t="s">
        <v>1767</v>
      </c>
      <c r="M10" s="485" t="s">
        <v>1768</v>
      </c>
      <c r="N10" s="485" t="s">
        <v>1769</v>
      </c>
      <c r="O10" s="485" t="s">
        <v>1770</v>
      </c>
    </row>
    <row r="11" spans="1:15">
      <c r="C11" s="454" t="s">
        <v>391</v>
      </c>
      <c r="D11" s="455" t="s">
        <v>1771</v>
      </c>
      <c r="E11" s="455" t="s">
        <v>1772</v>
      </c>
      <c r="F11" s="456">
        <v>3.5400000000000001E-2</v>
      </c>
      <c r="G11" s="456">
        <v>9.5299999999999996E-2</v>
      </c>
      <c r="H11" s="457">
        <v>5.3199999999999997E-2</v>
      </c>
      <c r="I11" s="458">
        <v>0.15</v>
      </c>
      <c r="J11" s="459" t="s">
        <v>1773</v>
      </c>
      <c r="K11" s="153"/>
      <c r="L11" s="459">
        <v>-100000</v>
      </c>
      <c r="M11" s="459">
        <v>0.19999900000000001</v>
      </c>
      <c r="N11" s="459" t="s">
        <v>1774</v>
      </c>
      <c r="O11" s="460">
        <v>0.19</v>
      </c>
    </row>
    <row r="12" spans="1:15">
      <c r="C12" s="454" t="s">
        <v>1775</v>
      </c>
      <c r="D12" s="455" t="s">
        <v>1776</v>
      </c>
      <c r="E12" s="455" t="s">
        <v>1772</v>
      </c>
      <c r="F12" s="456">
        <v>1.5699999999999999E-2</v>
      </c>
      <c r="G12" s="456">
        <v>6.5699999999999995E-2</v>
      </c>
      <c r="H12" s="457">
        <v>2.3599999999999999E-2</v>
      </c>
      <c r="I12" s="458">
        <v>0.1898</v>
      </c>
      <c r="J12" s="459" t="s">
        <v>1777</v>
      </c>
      <c r="K12" s="153"/>
      <c r="L12" s="459">
        <v>0.2</v>
      </c>
      <c r="M12" s="459">
        <v>0.64999899999999999</v>
      </c>
      <c r="N12" s="459" t="s">
        <v>1778</v>
      </c>
      <c r="O12" s="460">
        <v>0.155</v>
      </c>
    </row>
    <row r="13" spans="1:15">
      <c r="C13" s="454" t="s">
        <v>399</v>
      </c>
      <c r="D13" s="455" t="s">
        <v>1779</v>
      </c>
      <c r="E13" s="456">
        <v>7.1599999999999997E-2</v>
      </c>
      <c r="F13" s="456">
        <v>6.3899999999999998E-2</v>
      </c>
      <c r="G13" s="456">
        <v>0.13819999999999999</v>
      </c>
      <c r="H13" s="457">
        <v>9.6100000000000005E-2</v>
      </c>
      <c r="I13" s="458">
        <v>0.25</v>
      </c>
      <c r="J13" s="459" t="s">
        <v>1780</v>
      </c>
      <c r="K13" s="153"/>
      <c r="L13" s="459">
        <v>0.65</v>
      </c>
      <c r="M13" s="459">
        <v>0.79999900000000002</v>
      </c>
      <c r="N13" s="459" t="s">
        <v>1781</v>
      </c>
      <c r="O13" s="460">
        <v>0.10100000000000001</v>
      </c>
    </row>
    <row r="14" spans="1:15">
      <c r="C14" s="454" t="s">
        <v>403</v>
      </c>
      <c r="D14" s="455" t="s">
        <v>1782</v>
      </c>
      <c r="E14" s="455" t="s">
        <v>1772</v>
      </c>
      <c r="F14" s="456">
        <v>9.8299999999999998E-2</v>
      </c>
      <c r="G14" s="456">
        <v>0.19009999999999999</v>
      </c>
      <c r="H14" s="457">
        <v>0.14799999999999999</v>
      </c>
      <c r="I14" s="458">
        <v>0.35</v>
      </c>
      <c r="J14" s="459" t="s">
        <v>1783</v>
      </c>
      <c r="K14" s="153"/>
      <c r="L14" s="459">
        <v>0.8</v>
      </c>
      <c r="M14" s="459">
        <v>1.2499990000000001</v>
      </c>
      <c r="N14" s="459" t="s">
        <v>1784</v>
      </c>
      <c r="O14" s="460">
        <v>7.2800000000000004E-2</v>
      </c>
    </row>
    <row r="15" spans="1:15">
      <c r="C15" s="454" t="s">
        <v>405</v>
      </c>
      <c r="D15" s="455" t="s">
        <v>1771</v>
      </c>
      <c r="E15" s="455" t="s">
        <v>1772</v>
      </c>
      <c r="F15" s="456">
        <v>3.5400000000000001E-2</v>
      </c>
      <c r="G15" s="456">
        <v>9.5299999999999996E-2</v>
      </c>
      <c r="H15" s="457">
        <v>5.3199999999999997E-2</v>
      </c>
      <c r="I15" s="458">
        <v>0.18</v>
      </c>
      <c r="J15" s="459" t="s">
        <v>1773</v>
      </c>
      <c r="K15" s="153"/>
      <c r="L15" s="459">
        <v>1.25</v>
      </c>
      <c r="M15" s="459">
        <v>1.4999990000000001</v>
      </c>
      <c r="N15" s="459" t="s">
        <v>1785</v>
      </c>
      <c r="O15" s="460">
        <v>4.4200000000000003E-2</v>
      </c>
    </row>
    <row r="16" spans="1:15">
      <c r="C16" s="454" t="s">
        <v>407</v>
      </c>
      <c r="D16" s="455" t="s">
        <v>1786</v>
      </c>
      <c r="E16" s="455" t="s">
        <v>1772</v>
      </c>
      <c r="F16" s="456">
        <v>2.1600000000000001E-2</v>
      </c>
      <c r="G16" s="456">
        <v>7.46E-2</v>
      </c>
      <c r="H16" s="457">
        <v>3.2500000000000001E-2</v>
      </c>
      <c r="I16" s="458">
        <v>0.25</v>
      </c>
      <c r="J16" s="459" t="s">
        <v>1787</v>
      </c>
      <c r="K16" s="153"/>
      <c r="L16" s="459">
        <v>1.5</v>
      </c>
      <c r="M16" s="459">
        <v>1.7499990000000001</v>
      </c>
      <c r="N16" s="459" t="s">
        <v>1788</v>
      </c>
      <c r="O16" s="460">
        <v>0.03</v>
      </c>
    </row>
    <row r="17" spans="3:15">
      <c r="C17" s="454" t="s">
        <v>409</v>
      </c>
      <c r="D17" s="455" t="s">
        <v>1789</v>
      </c>
      <c r="E17" s="456">
        <v>1.8E-3</v>
      </c>
      <c r="F17" s="456">
        <v>0</v>
      </c>
      <c r="G17" s="456">
        <v>4.2099999999999999E-2</v>
      </c>
      <c r="H17" s="457">
        <v>0</v>
      </c>
      <c r="I17" s="458">
        <v>0.3</v>
      </c>
      <c r="J17" s="459" t="s">
        <v>1790</v>
      </c>
      <c r="K17" s="153"/>
      <c r="L17" s="459">
        <v>1.75</v>
      </c>
      <c r="M17" s="459">
        <v>1.9999990000000001</v>
      </c>
      <c r="N17" s="459" t="s">
        <v>1791</v>
      </c>
      <c r="O17" s="460">
        <v>2.6100000000000002E-2</v>
      </c>
    </row>
    <row r="18" spans="3:15">
      <c r="C18" s="454" t="s">
        <v>411</v>
      </c>
      <c r="D18" s="455" t="s">
        <v>1792</v>
      </c>
      <c r="E18" s="456">
        <v>3.2000000000000002E-3</v>
      </c>
      <c r="F18" s="456">
        <v>2.7000000000000001E-3</v>
      </c>
      <c r="G18" s="456">
        <v>4.6199999999999998E-2</v>
      </c>
      <c r="H18" s="457">
        <v>4.1000000000000003E-3</v>
      </c>
      <c r="I18" s="458">
        <v>0.24</v>
      </c>
      <c r="J18" s="459" t="s">
        <v>1777</v>
      </c>
      <c r="K18" s="153"/>
      <c r="L18" s="459">
        <v>2</v>
      </c>
      <c r="M18" s="459">
        <v>2.2499999000000002</v>
      </c>
      <c r="N18" s="459" t="s">
        <v>1793</v>
      </c>
      <c r="O18" s="460">
        <v>1.83E-2</v>
      </c>
    </row>
    <row r="19" spans="3:15">
      <c r="C19" s="454" t="s">
        <v>413</v>
      </c>
      <c r="D19" s="455" t="s">
        <v>1786</v>
      </c>
      <c r="E19" s="455" t="s">
        <v>1772</v>
      </c>
      <c r="F19" s="456">
        <v>2.1600000000000001E-2</v>
      </c>
      <c r="G19" s="456">
        <v>7.46E-2</v>
      </c>
      <c r="H19" s="457">
        <v>3.2500000000000001E-2</v>
      </c>
      <c r="I19" s="458">
        <v>0.2</v>
      </c>
      <c r="J19" s="459" t="s">
        <v>1773</v>
      </c>
      <c r="K19" s="153"/>
      <c r="L19" s="459">
        <v>2.25</v>
      </c>
      <c r="M19" s="459">
        <v>2.4999899999999999</v>
      </c>
      <c r="N19" s="459" t="s">
        <v>1794</v>
      </c>
      <c r="O19" s="460">
        <v>1.55E-2</v>
      </c>
    </row>
    <row r="20" spans="3:15">
      <c r="C20" s="454" t="s">
        <v>1795</v>
      </c>
      <c r="D20" s="455" t="s">
        <v>1796</v>
      </c>
      <c r="E20" s="455" t="s">
        <v>1772</v>
      </c>
      <c r="F20" s="456">
        <v>4.4299999999999999E-2</v>
      </c>
      <c r="G20" s="456">
        <v>0.1087</v>
      </c>
      <c r="H20" s="457">
        <v>6.6600000000000006E-2</v>
      </c>
      <c r="I20" s="458">
        <v>0</v>
      </c>
      <c r="J20" s="459" t="s">
        <v>1787</v>
      </c>
      <c r="K20" s="153"/>
      <c r="L20" s="459">
        <v>2.5</v>
      </c>
      <c r="M20" s="459">
        <v>2.9999989999999999</v>
      </c>
      <c r="N20" s="459" t="s">
        <v>1797</v>
      </c>
      <c r="O20" s="460">
        <v>1.2E-2</v>
      </c>
    </row>
    <row r="21" spans="3:15">
      <c r="C21" s="454" t="s">
        <v>417</v>
      </c>
      <c r="D21" s="455" t="s">
        <v>1798</v>
      </c>
      <c r="E21" s="456">
        <v>2.7900000000000001E-2</v>
      </c>
      <c r="F21" s="456">
        <v>5.4100000000000002E-2</v>
      </c>
      <c r="G21" s="456">
        <v>0.1235</v>
      </c>
      <c r="H21" s="457">
        <v>8.14E-2</v>
      </c>
      <c r="I21" s="458">
        <v>0</v>
      </c>
      <c r="J21" s="459" t="s">
        <v>1766</v>
      </c>
      <c r="K21" s="153"/>
      <c r="L21" s="459">
        <v>3</v>
      </c>
      <c r="M21" s="459">
        <v>4.2499989999999999</v>
      </c>
      <c r="N21" s="459" t="s">
        <v>1799</v>
      </c>
      <c r="O21" s="460">
        <v>9.4999999999999998E-3</v>
      </c>
    </row>
    <row r="22" spans="3:15">
      <c r="C22" s="454" t="s">
        <v>419</v>
      </c>
      <c r="D22" s="455" t="s">
        <v>1798</v>
      </c>
      <c r="E22" s="455" t="s">
        <v>1772</v>
      </c>
      <c r="F22" s="456">
        <v>5.4100000000000002E-2</v>
      </c>
      <c r="G22" s="456">
        <v>0.1235</v>
      </c>
      <c r="H22" s="457">
        <v>8.14E-2</v>
      </c>
      <c r="I22" s="458">
        <v>0.3</v>
      </c>
      <c r="J22" s="459" t="s">
        <v>1800</v>
      </c>
      <c r="K22" s="153"/>
      <c r="L22" s="459">
        <v>4.25</v>
      </c>
      <c r="M22" s="459">
        <v>5.4999989999999999</v>
      </c>
      <c r="N22" s="459" t="s">
        <v>1801</v>
      </c>
      <c r="O22" s="460">
        <v>8.5000000000000006E-3</v>
      </c>
    </row>
    <row r="23" spans="3:15">
      <c r="C23" s="454" t="s">
        <v>421</v>
      </c>
      <c r="D23" s="455" t="s">
        <v>1798</v>
      </c>
      <c r="E23" s="455" t="s">
        <v>1772</v>
      </c>
      <c r="F23" s="456">
        <v>5.4100000000000002E-2</v>
      </c>
      <c r="G23" s="456">
        <v>0.1235</v>
      </c>
      <c r="H23" s="457">
        <v>8.14E-2</v>
      </c>
      <c r="I23" s="458">
        <v>5.5E-2</v>
      </c>
      <c r="J23" s="459" t="s">
        <v>1787</v>
      </c>
      <c r="K23" s="153"/>
      <c r="L23" s="459">
        <v>5.5</v>
      </c>
      <c r="M23" s="459">
        <v>6.4999989999999999</v>
      </c>
      <c r="N23" s="459" t="s">
        <v>1802</v>
      </c>
      <c r="O23" s="460">
        <v>7.7000000000000002E-3</v>
      </c>
    </row>
    <row r="24" spans="3:15">
      <c r="C24" s="454" t="s">
        <v>423</v>
      </c>
      <c r="D24" s="455" t="s">
        <v>1803</v>
      </c>
      <c r="E24" s="455" t="s">
        <v>1772</v>
      </c>
      <c r="F24" s="456">
        <v>0.17499999999999999</v>
      </c>
      <c r="G24" s="456">
        <v>0.3054</v>
      </c>
      <c r="H24" s="457">
        <v>0.26329999999999998</v>
      </c>
      <c r="I24" s="458">
        <v>0.18</v>
      </c>
      <c r="J24" s="459" t="s">
        <v>1773</v>
      </c>
      <c r="K24" s="153"/>
      <c r="L24" s="459">
        <v>6.5</v>
      </c>
      <c r="M24" s="459">
        <v>8.4999990000000007</v>
      </c>
      <c r="N24" s="459" t="s">
        <v>1804</v>
      </c>
      <c r="O24" s="460">
        <v>6.0000000000000001E-3</v>
      </c>
    </row>
    <row r="25" spans="3:15">
      <c r="C25" s="454" t="s">
        <v>425</v>
      </c>
      <c r="D25" s="455" t="s">
        <v>1805</v>
      </c>
      <c r="E25" s="456">
        <v>5.0000000000000001E-3</v>
      </c>
      <c r="F25" s="456">
        <v>5.8999999999999999E-3</v>
      </c>
      <c r="G25" s="456">
        <v>5.0999999999999997E-2</v>
      </c>
      <c r="H25" s="457">
        <v>8.8999999999999999E-3</v>
      </c>
      <c r="I25" s="458">
        <v>0.25</v>
      </c>
      <c r="J25" s="459" t="s">
        <v>1777</v>
      </c>
      <c r="K25" s="153"/>
      <c r="L25" s="459">
        <v>8.5</v>
      </c>
      <c r="M25" s="459">
        <v>100000</v>
      </c>
      <c r="N25" s="459" t="s">
        <v>1806</v>
      </c>
      <c r="O25" s="460">
        <v>4.4999999999999997E-3</v>
      </c>
    </row>
    <row r="26" spans="3:15">
      <c r="C26" s="454" t="s">
        <v>427</v>
      </c>
      <c r="D26" s="455" t="s">
        <v>1807</v>
      </c>
      <c r="E26" s="455" t="s">
        <v>1772</v>
      </c>
      <c r="F26" s="456">
        <v>7.3700000000000002E-2</v>
      </c>
      <c r="G26" s="456">
        <v>0.153</v>
      </c>
      <c r="H26" s="457">
        <v>0.1109</v>
      </c>
      <c r="I26" s="458">
        <v>0.2853</v>
      </c>
      <c r="J26" s="459" t="s">
        <v>1783</v>
      </c>
      <c r="K26" s="153"/>
    </row>
    <row r="27" spans="3:15">
      <c r="C27" s="454" t="s">
        <v>429</v>
      </c>
      <c r="D27" s="455" t="s">
        <v>1796</v>
      </c>
      <c r="E27" s="455" t="s">
        <v>1772</v>
      </c>
      <c r="F27" s="456">
        <v>4.4299999999999999E-2</v>
      </c>
      <c r="G27" s="456">
        <v>0.1087</v>
      </c>
      <c r="H27" s="457">
        <v>6.6600000000000006E-2</v>
      </c>
      <c r="I27" s="458">
        <v>0.3</v>
      </c>
      <c r="J27" s="459" t="s">
        <v>1780</v>
      </c>
      <c r="K27" s="153"/>
    </row>
    <row r="28" spans="3:15">
      <c r="C28" s="454" t="s">
        <v>431</v>
      </c>
      <c r="D28" s="455" t="s">
        <v>1808</v>
      </c>
      <c r="E28" s="455" t="s">
        <v>1772</v>
      </c>
      <c r="F28" s="456">
        <v>8.3000000000000001E-3</v>
      </c>
      <c r="G28" s="456">
        <v>5.4600000000000003E-2</v>
      </c>
      <c r="H28" s="457">
        <v>1.2500000000000001E-2</v>
      </c>
      <c r="I28" s="458">
        <v>0</v>
      </c>
      <c r="J28" s="459" t="s">
        <v>1787</v>
      </c>
      <c r="K28" s="153"/>
    </row>
    <row r="29" spans="3:15">
      <c r="C29" s="454" t="s">
        <v>435</v>
      </c>
      <c r="D29" s="455" t="s">
        <v>1809</v>
      </c>
      <c r="E29" s="455" t="s">
        <v>1772</v>
      </c>
      <c r="F29" s="456">
        <v>0.11799999999999999</v>
      </c>
      <c r="G29" s="456">
        <v>0.21959999999999999</v>
      </c>
      <c r="H29" s="457">
        <v>0.17749999999999999</v>
      </c>
      <c r="I29" s="458">
        <v>0.25</v>
      </c>
      <c r="J29" s="459" t="s">
        <v>1783</v>
      </c>
      <c r="K29" s="153"/>
    </row>
    <row r="30" spans="3:15">
      <c r="C30" s="454" t="s">
        <v>437</v>
      </c>
      <c r="D30" s="455" t="s">
        <v>1779</v>
      </c>
      <c r="E30" s="455" t="s">
        <v>1772</v>
      </c>
      <c r="F30" s="456">
        <v>6.3899999999999998E-2</v>
      </c>
      <c r="G30" s="456">
        <v>0.13819999999999999</v>
      </c>
      <c r="H30" s="457">
        <v>9.6100000000000005E-2</v>
      </c>
      <c r="I30" s="458">
        <v>0.1</v>
      </c>
      <c r="J30" s="459" t="s">
        <v>1773</v>
      </c>
      <c r="K30" s="153"/>
    </row>
    <row r="31" spans="3:15">
      <c r="C31" s="454" t="s">
        <v>439</v>
      </c>
      <c r="D31" s="455" t="s">
        <v>1810</v>
      </c>
      <c r="E31" s="455" t="s">
        <v>1772</v>
      </c>
      <c r="F31" s="456">
        <v>1.18E-2</v>
      </c>
      <c r="G31" s="456">
        <v>5.9799999999999999E-2</v>
      </c>
      <c r="H31" s="457">
        <v>1.77E-2</v>
      </c>
      <c r="I31" s="458">
        <v>0.22</v>
      </c>
      <c r="J31" s="459" t="s">
        <v>1780</v>
      </c>
      <c r="K31" s="153"/>
    </row>
    <row r="32" spans="3:15">
      <c r="C32" s="454" t="s">
        <v>441</v>
      </c>
      <c r="D32" s="455" t="s">
        <v>1811</v>
      </c>
      <c r="E32" s="456">
        <v>2.5499999999999998E-2</v>
      </c>
      <c r="F32" s="456">
        <v>2.46E-2</v>
      </c>
      <c r="G32" s="456">
        <v>7.9100000000000004E-2</v>
      </c>
      <c r="H32" s="457">
        <v>3.6999999999999998E-2</v>
      </c>
      <c r="I32" s="458">
        <v>0.34</v>
      </c>
      <c r="J32" s="459" t="s">
        <v>1783</v>
      </c>
      <c r="K32" s="153"/>
    </row>
    <row r="33" spans="3:10" s="153" customFormat="1">
      <c r="C33" s="454" t="s">
        <v>447</v>
      </c>
      <c r="D33" s="455" t="s">
        <v>1776</v>
      </c>
      <c r="E33" s="456">
        <v>1.12E-2</v>
      </c>
      <c r="F33" s="456">
        <v>1.5699999999999999E-2</v>
      </c>
      <c r="G33" s="456">
        <v>6.5699999999999995E-2</v>
      </c>
      <c r="H33" s="457">
        <v>2.3599999999999999E-2</v>
      </c>
      <c r="I33" s="458">
        <v>0.1</v>
      </c>
      <c r="J33" s="459" t="s">
        <v>1773</v>
      </c>
    </row>
    <row r="34" spans="3:10" s="153" customFormat="1">
      <c r="C34" s="454" t="s">
        <v>449</v>
      </c>
      <c r="D34" s="455" t="s">
        <v>1807</v>
      </c>
      <c r="E34" s="455" t="s">
        <v>1772</v>
      </c>
      <c r="F34" s="456">
        <v>7.3700000000000002E-2</v>
      </c>
      <c r="G34" s="456">
        <v>0.153</v>
      </c>
      <c r="H34" s="457">
        <v>0.1109</v>
      </c>
      <c r="I34" s="458">
        <v>0.28000000000000003</v>
      </c>
      <c r="J34" s="459" t="s">
        <v>1780</v>
      </c>
    </row>
    <row r="35" spans="3:10" s="153" customFormat="1">
      <c r="C35" s="454" t="s">
        <v>260</v>
      </c>
      <c r="D35" s="455" t="s">
        <v>1798</v>
      </c>
      <c r="E35" s="455" t="s">
        <v>1772</v>
      </c>
      <c r="F35" s="456">
        <v>5.4100000000000002E-2</v>
      </c>
      <c r="G35" s="456">
        <v>0.1235</v>
      </c>
      <c r="H35" s="457">
        <v>8.14E-2</v>
      </c>
      <c r="I35" s="458">
        <v>0.2</v>
      </c>
      <c r="J35" s="459" t="s">
        <v>1800</v>
      </c>
    </row>
    <row r="36" spans="3:10" s="153" customFormat="1">
      <c r="C36" s="454" t="s">
        <v>456</v>
      </c>
      <c r="D36" s="455" t="s">
        <v>1807</v>
      </c>
      <c r="E36" s="456">
        <v>8.0299999999999996E-2</v>
      </c>
      <c r="F36" s="456">
        <v>7.3700000000000002E-2</v>
      </c>
      <c r="G36" s="456">
        <v>0.153</v>
      </c>
      <c r="H36" s="457">
        <v>0.1109</v>
      </c>
      <c r="I36" s="458">
        <v>0.33</v>
      </c>
      <c r="J36" s="459" t="s">
        <v>1780</v>
      </c>
    </row>
    <row r="37" spans="3:10" s="153" customFormat="1">
      <c r="C37" s="454" t="s">
        <v>458</v>
      </c>
      <c r="D37" s="455" t="s">
        <v>1789</v>
      </c>
      <c r="E37" s="456">
        <v>3.7000000000000002E-3</v>
      </c>
      <c r="F37" s="456">
        <v>0</v>
      </c>
      <c r="G37" s="456">
        <v>4.2099999999999999E-2</v>
      </c>
      <c r="H37" s="457">
        <v>0</v>
      </c>
      <c r="I37" s="458">
        <v>0.26500000000000001</v>
      </c>
      <c r="J37" s="459" t="s">
        <v>882</v>
      </c>
    </row>
    <row r="38" spans="3:10" s="153" customFormat="1">
      <c r="C38" s="454" t="s">
        <v>1812</v>
      </c>
      <c r="D38" s="455" t="s">
        <v>1798</v>
      </c>
      <c r="E38" s="455" t="s">
        <v>1772</v>
      </c>
      <c r="F38" s="456">
        <v>5.4100000000000002E-2</v>
      </c>
      <c r="G38" s="456">
        <v>0.1235</v>
      </c>
      <c r="H38" s="457">
        <v>8.14E-2</v>
      </c>
      <c r="I38" s="458">
        <v>0</v>
      </c>
      <c r="J38" s="459" t="s">
        <v>1780</v>
      </c>
    </row>
    <row r="39" spans="3:10" s="153" customFormat="1">
      <c r="C39" s="454" t="s">
        <v>460</v>
      </c>
      <c r="D39" s="455" t="s">
        <v>1805</v>
      </c>
      <c r="E39" s="455" t="s">
        <v>1772</v>
      </c>
      <c r="F39" s="456">
        <v>5.8999999999999999E-3</v>
      </c>
      <c r="G39" s="456">
        <v>5.0999999999999997E-2</v>
      </c>
      <c r="H39" s="457">
        <v>8.8999999999999999E-3</v>
      </c>
      <c r="I39" s="458">
        <v>0</v>
      </c>
      <c r="J39" s="459" t="s">
        <v>1787</v>
      </c>
    </row>
    <row r="40" spans="3:10" s="153" customFormat="1">
      <c r="C40" s="454" t="s">
        <v>468</v>
      </c>
      <c r="D40" s="455" t="s">
        <v>1808</v>
      </c>
      <c r="E40" s="456">
        <v>1.04E-2</v>
      </c>
      <c r="F40" s="456">
        <v>8.3000000000000001E-3</v>
      </c>
      <c r="G40" s="456">
        <v>5.4600000000000003E-2</v>
      </c>
      <c r="H40" s="457">
        <v>1.2500000000000001E-2</v>
      </c>
      <c r="I40" s="458">
        <v>0.27</v>
      </c>
      <c r="J40" s="459" t="s">
        <v>1783</v>
      </c>
    </row>
    <row r="41" spans="3:10" s="153" customFormat="1">
      <c r="C41" s="454" t="s">
        <v>470</v>
      </c>
      <c r="D41" s="455" t="s">
        <v>1813</v>
      </c>
      <c r="E41" s="456">
        <v>7.4999999999999997E-3</v>
      </c>
      <c r="F41" s="456">
        <v>6.8999999999999999E-3</v>
      </c>
      <c r="G41" s="456">
        <v>5.2499999999999998E-2</v>
      </c>
      <c r="H41" s="457">
        <v>1.04E-2</v>
      </c>
      <c r="I41" s="458">
        <v>0.25</v>
      </c>
      <c r="J41" s="459" t="s">
        <v>1800</v>
      </c>
    </row>
    <row r="42" spans="3:10" s="153" customFormat="1">
      <c r="C42" s="454" t="s">
        <v>472</v>
      </c>
      <c r="D42" s="455" t="s">
        <v>1786</v>
      </c>
      <c r="E42" s="456">
        <v>3.4799999999999998E-2</v>
      </c>
      <c r="F42" s="456">
        <v>2.1600000000000001E-2</v>
      </c>
      <c r="G42" s="456">
        <v>7.46E-2</v>
      </c>
      <c r="H42" s="457">
        <v>3.2500000000000001E-2</v>
      </c>
      <c r="I42" s="458">
        <v>0.35</v>
      </c>
      <c r="J42" s="459" t="s">
        <v>1783</v>
      </c>
    </row>
    <row r="43" spans="3:10" s="153" customFormat="1">
      <c r="C43" s="454" t="s">
        <v>1814</v>
      </c>
      <c r="D43" s="455" t="s">
        <v>1779</v>
      </c>
      <c r="E43" s="455" t="s">
        <v>1772</v>
      </c>
      <c r="F43" s="456">
        <v>6.3899999999999998E-2</v>
      </c>
      <c r="G43" s="456">
        <v>0.13819999999999999</v>
      </c>
      <c r="H43" s="457">
        <v>9.6100000000000005E-2</v>
      </c>
      <c r="I43" s="458">
        <v>0.3</v>
      </c>
      <c r="J43" s="459" t="s">
        <v>1780</v>
      </c>
    </row>
    <row r="44" spans="3:10" s="153" customFormat="1">
      <c r="C44" s="454" t="s">
        <v>1815</v>
      </c>
      <c r="D44" s="455" t="s">
        <v>1816</v>
      </c>
      <c r="E44" s="455" t="s">
        <v>1772</v>
      </c>
      <c r="F44" s="456">
        <v>8.8499999999999995E-2</v>
      </c>
      <c r="G44" s="456">
        <v>0.17530000000000001</v>
      </c>
      <c r="H44" s="457">
        <v>0.13320000000000001</v>
      </c>
      <c r="I44" s="458">
        <v>0.28000000000000003</v>
      </c>
      <c r="J44" s="459" t="s">
        <v>1780</v>
      </c>
    </row>
    <row r="45" spans="3:10" s="153" customFormat="1">
      <c r="C45" s="454" t="s">
        <v>1817</v>
      </c>
      <c r="D45" s="455" t="s">
        <v>1796</v>
      </c>
      <c r="E45" s="455" t="s">
        <v>1772</v>
      </c>
      <c r="F45" s="456">
        <v>4.4299999999999999E-2</v>
      </c>
      <c r="G45" s="456">
        <v>0.1087</v>
      </c>
      <c r="H45" s="457">
        <v>6.6600000000000006E-2</v>
      </c>
      <c r="I45" s="458">
        <v>0.2974</v>
      </c>
      <c r="J45" s="459" t="s">
        <v>1790</v>
      </c>
    </row>
    <row r="46" spans="3:10" s="153" customFormat="1">
      <c r="C46" s="454" t="s">
        <v>479</v>
      </c>
      <c r="D46" s="455" t="s">
        <v>1771</v>
      </c>
      <c r="E46" s="456">
        <v>2.5000000000000001E-2</v>
      </c>
      <c r="F46" s="456">
        <v>3.5400000000000001E-2</v>
      </c>
      <c r="G46" s="456">
        <v>9.5299999999999996E-2</v>
      </c>
      <c r="H46" s="457">
        <v>5.3199999999999997E-2</v>
      </c>
      <c r="I46" s="458">
        <v>0.3</v>
      </c>
      <c r="J46" s="459" t="s">
        <v>1783</v>
      </c>
    </row>
    <row r="47" spans="3:10" s="153" customFormat="1">
      <c r="C47" s="454" t="s">
        <v>1121</v>
      </c>
      <c r="D47" s="455" t="s">
        <v>1818</v>
      </c>
      <c r="E47" s="455" t="s">
        <v>1772</v>
      </c>
      <c r="F47" s="456">
        <v>2.9600000000000001E-2</v>
      </c>
      <c r="G47" s="456">
        <v>8.6599999999999996E-2</v>
      </c>
      <c r="H47" s="457">
        <v>4.4499999999999998E-2</v>
      </c>
      <c r="I47" s="458">
        <v>0.25</v>
      </c>
      <c r="J47" s="459" t="s">
        <v>1780</v>
      </c>
    </row>
    <row r="48" spans="3:10" s="153" customFormat="1">
      <c r="C48" s="454" t="s">
        <v>483</v>
      </c>
      <c r="D48" s="455" t="s">
        <v>1810</v>
      </c>
      <c r="E48" s="456">
        <v>1.24E-2</v>
      </c>
      <c r="F48" s="456">
        <v>1.18E-2</v>
      </c>
      <c r="G48" s="456">
        <v>5.9799999999999999E-2</v>
      </c>
      <c r="H48" s="457">
        <v>1.77E-2</v>
      </c>
      <c r="I48" s="458">
        <v>0.18</v>
      </c>
      <c r="J48" s="459" t="s">
        <v>1773</v>
      </c>
    </row>
    <row r="49" spans="3:10" s="153" customFormat="1">
      <c r="C49" s="454" t="s">
        <v>485</v>
      </c>
      <c r="D49" s="455" t="s">
        <v>1809</v>
      </c>
      <c r="E49" s="455" t="s">
        <v>1772</v>
      </c>
      <c r="F49" s="456">
        <v>0.11799999999999999</v>
      </c>
      <c r="G49" s="456">
        <v>0.21959999999999999</v>
      </c>
      <c r="H49" s="457">
        <v>0.17749999999999999</v>
      </c>
      <c r="I49" s="458">
        <v>0.2853</v>
      </c>
      <c r="J49" s="459" t="s">
        <v>1787</v>
      </c>
    </row>
    <row r="50" spans="3:10" s="153" customFormat="1">
      <c r="C50" s="454" t="s">
        <v>487</v>
      </c>
      <c r="D50" s="455" t="s">
        <v>1786</v>
      </c>
      <c r="E50" s="455" t="s">
        <v>1772</v>
      </c>
      <c r="F50" s="456">
        <v>2.1600000000000001E-2</v>
      </c>
      <c r="G50" s="456">
        <v>7.46E-2</v>
      </c>
      <c r="H50" s="457">
        <v>3.2500000000000001E-2</v>
      </c>
      <c r="I50" s="458">
        <v>0.22</v>
      </c>
      <c r="J50" s="459" t="s">
        <v>1787</v>
      </c>
    </row>
    <row r="51" spans="3:10" s="153" customFormat="1">
      <c r="C51" s="454" t="s">
        <v>489</v>
      </c>
      <c r="D51" s="455" t="s">
        <v>1810</v>
      </c>
      <c r="E51" s="456">
        <v>8.2000000000000007E-3</v>
      </c>
      <c r="F51" s="456">
        <v>1.18E-2</v>
      </c>
      <c r="G51" s="456">
        <v>5.9799999999999999E-2</v>
      </c>
      <c r="H51" s="457">
        <v>1.77E-2</v>
      </c>
      <c r="I51" s="458">
        <v>0.125</v>
      </c>
      <c r="J51" s="459" t="s">
        <v>1777</v>
      </c>
    </row>
    <row r="52" spans="3:10" s="153" customFormat="1">
      <c r="C52" s="454" t="s">
        <v>1117</v>
      </c>
      <c r="D52" s="455" t="s">
        <v>1805</v>
      </c>
      <c r="E52" s="456">
        <v>5.4000000000000003E-3</v>
      </c>
      <c r="F52" s="456">
        <v>5.8999999999999999E-3</v>
      </c>
      <c r="G52" s="456">
        <v>5.0999999999999997E-2</v>
      </c>
      <c r="H52" s="457">
        <v>8.8999999999999999E-3</v>
      </c>
      <c r="I52" s="458">
        <v>0.21</v>
      </c>
      <c r="J52" s="459" t="s">
        <v>1773</v>
      </c>
    </row>
    <row r="53" spans="3:10" s="153" customFormat="1">
      <c r="C53" s="454" t="s">
        <v>493</v>
      </c>
      <c r="D53" s="455" t="s">
        <v>1789</v>
      </c>
      <c r="E53" s="456">
        <v>2.0999999999999999E-3</v>
      </c>
      <c r="F53" s="456">
        <v>0</v>
      </c>
      <c r="G53" s="456">
        <v>4.2099999999999999E-2</v>
      </c>
      <c r="H53" s="457">
        <v>0</v>
      </c>
      <c r="I53" s="458">
        <v>0.22</v>
      </c>
      <c r="J53" s="459" t="s">
        <v>1777</v>
      </c>
    </row>
    <row r="54" spans="3:10" s="153" customFormat="1">
      <c r="C54" s="454" t="s">
        <v>499</v>
      </c>
      <c r="D54" s="455" t="s">
        <v>1771</v>
      </c>
      <c r="E54" s="455" t="s">
        <v>1772</v>
      </c>
      <c r="F54" s="456">
        <v>3.5400000000000001E-2</v>
      </c>
      <c r="G54" s="456">
        <v>9.5299999999999996E-2</v>
      </c>
      <c r="H54" s="457">
        <v>5.3199999999999997E-2</v>
      </c>
      <c r="I54" s="458">
        <v>0.27</v>
      </c>
      <c r="J54" s="459" t="s">
        <v>1787</v>
      </c>
    </row>
    <row r="55" spans="3:10" s="153" customFormat="1">
      <c r="C55" s="454" t="s">
        <v>501</v>
      </c>
      <c r="D55" s="455" t="s">
        <v>1782</v>
      </c>
      <c r="E55" s="456">
        <v>0.1242</v>
      </c>
      <c r="F55" s="456">
        <v>9.8299999999999998E-2</v>
      </c>
      <c r="G55" s="456">
        <v>0.19009999999999999</v>
      </c>
      <c r="H55" s="457">
        <v>0.14799999999999999</v>
      </c>
      <c r="I55" s="458">
        <v>0.25</v>
      </c>
      <c r="J55" s="459" t="s">
        <v>1783</v>
      </c>
    </row>
    <row r="56" spans="3:10" s="153" customFormat="1">
      <c r="C56" s="454" t="s">
        <v>1122</v>
      </c>
      <c r="D56" s="455" t="s">
        <v>1807</v>
      </c>
      <c r="E56" s="456">
        <v>6.6100000000000006E-2</v>
      </c>
      <c r="F56" s="456">
        <v>7.3700000000000002E-2</v>
      </c>
      <c r="G56" s="456">
        <v>0.153</v>
      </c>
      <c r="H56" s="457">
        <v>0.1109</v>
      </c>
      <c r="I56" s="458">
        <v>0.22500000000000001</v>
      </c>
      <c r="J56" s="459" t="s">
        <v>1780</v>
      </c>
    </row>
    <row r="57" spans="3:10" s="153" customFormat="1">
      <c r="C57" s="454" t="s">
        <v>505</v>
      </c>
      <c r="D57" s="455" t="s">
        <v>1779</v>
      </c>
      <c r="E57" s="456">
        <v>4.4699999999999997E-2</v>
      </c>
      <c r="F57" s="456">
        <v>6.3899999999999998E-2</v>
      </c>
      <c r="G57" s="456">
        <v>0.13819999999999999</v>
      </c>
      <c r="H57" s="457">
        <v>9.6100000000000005E-2</v>
      </c>
      <c r="I57" s="458">
        <v>0.3</v>
      </c>
      <c r="J57" s="459" t="s">
        <v>1783</v>
      </c>
    </row>
    <row r="58" spans="3:10" s="153" customFormat="1">
      <c r="C58" s="454" t="s">
        <v>511</v>
      </c>
      <c r="D58" s="455" t="s">
        <v>1813</v>
      </c>
      <c r="E58" s="456">
        <v>9.2999999999999992E-3</v>
      </c>
      <c r="F58" s="456">
        <v>6.8999999999999999E-3</v>
      </c>
      <c r="G58" s="456">
        <v>5.2499999999999998E-2</v>
      </c>
      <c r="H58" s="457">
        <v>1.04E-2</v>
      </c>
      <c r="I58" s="458">
        <v>0.2</v>
      </c>
      <c r="J58" s="459" t="s">
        <v>1773</v>
      </c>
    </row>
    <row r="59" spans="3:10" s="153" customFormat="1">
      <c r="C59" s="454" t="s">
        <v>515</v>
      </c>
      <c r="D59" s="455" t="s">
        <v>1816</v>
      </c>
      <c r="E59" s="455" t="s">
        <v>1772</v>
      </c>
      <c r="F59" s="456">
        <v>8.8499999999999995E-2</v>
      </c>
      <c r="G59" s="456">
        <v>0.17530000000000001</v>
      </c>
      <c r="H59" s="457">
        <v>0.13320000000000001</v>
      </c>
      <c r="I59" s="458">
        <v>0.3</v>
      </c>
      <c r="J59" s="459" t="s">
        <v>1780</v>
      </c>
    </row>
    <row r="60" spans="3:10" s="153" customFormat="1">
      <c r="C60" s="454" t="s">
        <v>519</v>
      </c>
      <c r="D60" s="455" t="s">
        <v>1796</v>
      </c>
      <c r="E60" s="455" t="s">
        <v>1772</v>
      </c>
      <c r="F60" s="456">
        <v>4.4299999999999999E-2</v>
      </c>
      <c r="G60" s="456">
        <v>0.1087</v>
      </c>
      <c r="H60" s="457">
        <v>6.6600000000000006E-2</v>
      </c>
      <c r="I60" s="458">
        <v>0.2</v>
      </c>
      <c r="J60" s="459" t="s">
        <v>1800</v>
      </c>
    </row>
    <row r="61" spans="3:10" s="153" customFormat="1">
      <c r="C61" s="454" t="s">
        <v>521</v>
      </c>
      <c r="D61" s="455" t="s">
        <v>1792</v>
      </c>
      <c r="E61" s="456">
        <v>3.2000000000000002E-3</v>
      </c>
      <c r="F61" s="456">
        <v>2.7000000000000001E-3</v>
      </c>
      <c r="G61" s="456">
        <v>4.6199999999999998E-2</v>
      </c>
      <c r="H61" s="457">
        <v>4.1000000000000003E-3</v>
      </c>
      <c r="I61" s="458">
        <v>0.2</v>
      </c>
      <c r="J61" s="459" t="s">
        <v>1777</v>
      </c>
    </row>
    <row r="62" spans="3:10" s="153" customFormat="1">
      <c r="C62" s="454" t="s">
        <v>523</v>
      </c>
      <c r="D62" s="455" t="s">
        <v>1805</v>
      </c>
      <c r="E62" s="456">
        <v>6.7999999999999996E-3</v>
      </c>
      <c r="F62" s="456">
        <v>5.8999999999999999E-3</v>
      </c>
      <c r="G62" s="456">
        <v>5.0999999999999997E-2</v>
      </c>
      <c r="H62" s="457">
        <v>8.8999999999999999E-3</v>
      </c>
      <c r="I62" s="458">
        <v>0.25</v>
      </c>
      <c r="J62" s="459" t="s">
        <v>1777</v>
      </c>
    </row>
    <row r="63" spans="3:10" s="153" customFormat="1">
      <c r="C63" s="454" t="s">
        <v>527</v>
      </c>
      <c r="D63" s="455" t="s">
        <v>1816</v>
      </c>
      <c r="E63" s="455" t="s">
        <v>1772</v>
      </c>
      <c r="F63" s="456">
        <v>8.8499999999999995E-2</v>
      </c>
      <c r="G63" s="456">
        <v>0.17530000000000001</v>
      </c>
      <c r="H63" s="457">
        <v>0.13320000000000001</v>
      </c>
      <c r="I63" s="458">
        <v>0.3</v>
      </c>
      <c r="J63" s="459" t="s">
        <v>1780</v>
      </c>
    </row>
    <row r="64" spans="3:10" s="153" customFormat="1">
      <c r="C64" s="454" t="s">
        <v>531</v>
      </c>
      <c r="D64" s="455" t="s">
        <v>1818</v>
      </c>
      <c r="E64" s="455" t="s">
        <v>1772</v>
      </c>
      <c r="F64" s="456">
        <v>2.9600000000000001E-2</v>
      </c>
      <c r="G64" s="456">
        <v>8.6599999999999996E-2</v>
      </c>
      <c r="H64" s="457">
        <v>4.4499999999999998E-2</v>
      </c>
      <c r="I64" s="458">
        <v>0.15</v>
      </c>
      <c r="J64" s="459" t="s">
        <v>1773</v>
      </c>
    </row>
    <row r="65" spans="3:10" s="153" customFormat="1">
      <c r="C65" s="461" t="s">
        <v>229</v>
      </c>
      <c r="D65" s="462" t="s">
        <v>1789</v>
      </c>
      <c r="E65" s="463">
        <v>2.3999999999999998E-3</v>
      </c>
      <c r="F65" s="463">
        <v>0</v>
      </c>
      <c r="G65" s="463">
        <v>4.2099999999999999E-2</v>
      </c>
      <c r="H65" s="464">
        <v>0</v>
      </c>
      <c r="I65" s="465">
        <v>0.3</v>
      </c>
      <c r="J65" s="466" t="s">
        <v>1777</v>
      </c>
    </row>
    <row r="66" spans="3:10" s="153" customFormat="1">
      <c r="C66" s="454" t="s">
        <v>534</v>
      </c>
      <c r="D66" s="455" t="s">
        <v>1816</v>
      </c>
      <c r="E66" s="455" t="s">
        <v>1772</v>
      </c>
      <c r="F66" s="456">
        <v>8.8499999999999995E-2</v>
      </c>
      <c r="G66" s="456">
        <v>0.17530000000000001</v>
      </c>
      <c r="H66" s="457">
        <v>0.13320000000000001</v>
      </c>
      <c r="I66" s="458">
        <v>0.25</v>
      </c>
      <c r="J66" s="459" t="s">
        <v>1780</v>
      </c>
    </row>
    <row r="67" spans="3:10" s="153" customFormat="1">
      <c r="C67" s="454" t="s">
        <v>538</v>
      </c>
      <c r="D67" s="455" t="s">
        <v>1786</v>
      </c>
      <c r="E67" s="456">
        <v>1.04E-2</v>
      </c>
      <c r="F67" s="456">
        <v>2.1600000000000001E-2</v>
      </c>
      <c r="G67" s="456">
        <v>7.46E-2</v>
      </c>
      <c r="H67" s="457">
        <v>3.2500000000000001E-2</v>
      </c>
      <c r="I67" s="458">
        <v>0.22</v>
      </c>
      <c r="J67" s="459" t="s">
        <v>1777</v>
      </c>
    </row>
    <row r="68" spans="3:10" s="153" customFormat="1">
      <c r="C68" s="454" t="s">
        <v>546</v>
      </c>
      <c r="D68" s="455" t="s">
        <v>1811</v>
      </c>
      <c r="E68" s="455" t="s">
        <v>1772</v>
      </c>
      <c r="F68" s="456">
        <v>2.46E-2</v>
      </c>
      <c r="G68" s="456">
        <v>7.9100000000000004E-2</v>
      </c>
      <c r="H68" s="457">
        <v>3.6999999999999998E-2</v>
      </c>
      <c r="I68" s="458">
        <v>0.25</v>
      </c>
      <c r="J68" s="459" t="s">
        <v>1783</v>
      </c>
    </row>
    <row r="69" spans="3:10" s="153" customFormat="1">
      <c r="C69" s="454" t="s">
        <v>1819</v>
      </c>
      <c r="D69" s="455" t="s">
        <v>1813</v>
      </c>
      <c r="E69" s="455" t="s">
        <v>1772</v>
      </c>
      <c r="F69" s="456">
        <v>6.8999999999999999E-3</v>
      </c>
      <c r="G69" s="456">
        <v>5.2499999999999998E-2</v>
      </c>
      <c r="H69" s="457">
        <v>1.04E-2</v>
      </c>
      <c r="I69" s="458">
        <v>0</v>
      </c>
      <c r="J69" s="459" t="s">
        <v>1777</v>
      </c>
    </row>
    <row r="70" spans="3:10" s="153" customFormat="1">
      <c r="C70" s="454" t="s">
        <v>556</v>
      </c>
      <c r="D70" s="455" t="s">
        <v>1796</v>
      </c>
      <c r="E70" s="455" t="s">
        <v>1772</v>
      </c>
      <c r="F70" s="456">
        <v>4.4299999999999999E-2</v>
      </c>
      <c r="G70" s="456">
        <v>0.1087</v>
      </c>
      <c r="H70" s="457">
        <v>6.6600000000000006E-2</v>
      </c>
      <c r="I70" s="458">
        <v>0.25</v>
      </c>
      <c r="J70" s="459" t="s">
        <v>1783</v>
      </c>
    </row>
    <row r="71" spans="3:10" s="153" customFormat="1">
      <c r="C71" s="454" t="s">
        <v>1820</v>
      </c>
      <c r="D71" s="455" t="s">
        <v>1805</v>
      </c>
      <c r="E71" s="456">
        <v>5.8999999999999999E-3</v>
      </c>
      <c r="F71" s="456">
        <v>5.8999999999999999E-3</v>
      </c>
      <c r="G71" s="456">
        <v>5.0999999999999997E-2</v>
      </c>
      <c r="H71" s="457">
        <v>8.8999999999999999E-3</v>
      </c>
      <c r="I71" s="458">
        <v>0.16500000000000001</v>
      </c>
      <c r="J71" s="459" t="s">
        <v>1800</v>
      </c>
    </row>
    <row r="72" spans="3:10" s="153" customFormat="1">
      <c r="C72" s="454" t="s">
        <v>560</v>
      </c>
      <c r="D72" s="455" t="s">
        <v>1821</v>
      </c>
      <c r="E72" s="456">
        <v>1.83E-2</v>
      </c>
      <c r="F72" s="456">
        <v>1.8700000000000001E-2</v>
      </c>
      <c r="G72" s="456">
        <v>7.0300000000000001E-2</v>
      </c>
      <c r="H72" s="457">
        <v>2.8199999999999999E-2</v>
      </c>
      <c r="I72" s="458">
        <v>0.09</v>
      </c>
      <c r="J72" s="459" t="s">
        <v>1773</v>
      </c>
    </row>
    <row r="73" spans="3:10" s="153" customFormat="1">
      <c r="C73" s="454" t="s">
        <v>562</v>
      </c>
      <c r="D73" s="455" t="s">
        <v>1813</v>
      </c>
      <c r="E73" s="456">
        <v>4.7000000000000002E-3</v>
      </c>
      <c r="F73" s="456">
        <v>6.8999999999999999E-3</v>
      </c>
      <c r="G73" s="456">
        <v>5.2499999999999998E-2</v>
      </c>
      <c r="H73" s="457">
        <v>1.04E-2</v>
      </c>
      <c r="I73" s="458">
        <v>0.2</v>
      </c>
      <c r="J73" s="459" t="s">
        <v>1777</v>
      </c>
    </row>
    <row r="74" spans="3:10" s="153" customFormat="1">
      <c r="C74" s="454" t="s">
        <v>564</v>
      </c>
      <c r="D74" s="455" t="s">
        <v>1786</v>
      </c>
      <c r="E74" s="456">
        <v>8.3999999999999995E-3</v>
      </c>
      <c r="F74" s="456">
        <v>2.1600000000000001E-2</v>
      </c>
      <c r="G74" s="456">
        <v>7.46E-2</v>
      </c>
      <c r="H74" s="457">
        <v>3.2500000000000001E-2</v>
      </c>
      <c r="I74" s="458">
        <v>0.3</v>
      </c>
      <c r="J74" s="459" t="s">
        <v>1800</v>
      </c>
    </row>
    <row r="75" spans="3:10" s="153" customFormat="1">
      <c r="C75" s="454" t="s">
        <v>233</v>
      </c>
      <c r="D75" s="455" t="s">
        <v>1821</v>
      </c>
      <c r="E75" s="456">
        <v>1.34E-2</v>
      </c>
      <c r="F75" s="456">
        <v>1.8700000000000001E-2</v>
      </c>
      <c r="G75" s="456">
        <v>7.0300000000000001E-2</v>
      </c>
      <c r="H75" s="457">
        <v>2.8199999999999999E-2</v>
      </c>
      <c r="I75" s="458">
        <v>0.22</v>
      </c>
      <c r="J75" s="459" t="s">
        <v>1800</v>
      </c>
    </row>
    <row r="76" spans="3:10" s="153" customFormat="1">
      <c r="C76" s="454" t="s">
        <v>569</v>
      </c>
      <c r="D76" s="455" t="s">
        <v>1807</v>
      </c>
      <c r="E76" s="456">
        <v>4.0500000000000001E-2</v>
      </c>
      <c r="F76" s="456">
        <v>7.3700000000000002E-2</v>
      </c>
      <c r="G76" s="456">
        <v>0.153</v>
      </c>
      <c r="H76" s="457">
        <v>0.1109</v>
      </c>
      <c r="I76" s="458">
        <v>0.15</v>
      </c>
      <c r="J76" s="459" t="s">
        <v>1766</v>
      </c>
    </row>
    <row r="77" spans="3:10" s="153" customFormat="1">
      <c r="C77" s="454" t="s">
        <v>571</v>
      </c>
      <c r="D77" s="455" t="s">
        <v>1805</v>
      </c>
      <c r="E77" s="456">
        <v>3.8E-3</v>
      </c>
      <c r="F77" s="456">
        <v>5.8999999999999999E-3</v>
      </c>
      <c r="G77" s="456">
        <v>5.0999999999999997E-2</v>
      </c>
      <c r="H77" s="457">
        <v>8.8999999999999999E-3</v>
      </c>
      <c r="I77" s="458">
        <v>0.125</v>
      </c>
      <c r="J77" s="459" t="s">
        <v>1777</v>
      </c>
    </row>
    <row r="78" spans="3:10" s="153" customFormat="1">
      <c r="C78" s="454" t="s">
        <v>573</v>
      </c>
      <c r="D78" s="455" t="s">
        <v>1805</v>
      </c>
      <c r="E78" s="455" t="s">
        <v>1772</v>
      </c>
      <c r="F78" s="456">
        <v>5.8999999999999999E-3</v>
      </c>
      <c r="G78" s="456">
        <v>5.0999999999999997E-2</v>
      </c>
      <c r="H78" s="457">
        <v>8.8999999999999999E-3</v>
      </c>
      <c r="I78" s="458">
        <v>0</v>
      </c>
      <c r="J78" s="459" t="s">
        <v>1777</v>
      </c>
    </row>
    <row r="79" spans="3:10" s="153" customFormat="1">
      <c r="C79" s="454" t="s">
        <v>575</v>
      </c>
      <c r="D79" s="455" t="s">
        <v>1776</v>
      </c>
      <c r="E79" s="456">
        <v>1.3899999999999999E-2</v>
      </c>
      <c r="F79" s="456">
        <v>1.5699999999999999E-2</v>
      </c>
      <c r="G79" s="456">
        <v>6.5699999999999995E-2</v>
      </c>
      <c r="H79" s="457">
        <v>2.3599999999999999E-2</v>
      </c>
      <c r="I79" s="458">
        <v>0.23</v>
      </c>
      <c r="J79" s="459" t="s">
        <v>1766</v>
      </c>
    </row>
    <row r="80" spans="3:10" s="153" customFormat="1">
      <c r="C80" s="454" t="s">
        <v>577</v>
      </c>
      <c r="D80" s="455" t="s">
        <v>1786</v>
      </c>
      <c r="E80" s="456">
        <v>9.7999999999999997E-3</v>
      </c>
      <c r="F80" s="456">
        <v>2.1600000000000001E-2</v>
      </c>
      <c r="G80" s="456">
        <v>7.46E-2</v>
      </c>
      <c r="H80" s="457">
        <v>3.2500000000000001E-2</v>
      </c>
      <c r="I80" s="458">
        <v>0.24</v>
      </c>
      <c r="J80" s="459" t="s">
        <v>1777</v>
      </c>
    </row>
    <row r="81" spans="3:10" s="153" customFormat="1">
      <c r="C81" s="454" t="s">
        <v>579</v>
      </c>
      <c r="D81" s="455" t="s">
        <v>1796</v>
      </c>
      <c r="E81" s="455" t="s">
        <v>1772</v>
      </c>
      <c r="F81" s="456">
        <v>4.4299999999999999E-2</v>
      </c>
      <c r="G81" s="456">
        <v>0.1087</v>
      </c>
      <c r="H81" s="457">
        <v>6.6600000000000006E-2</v>
      </c>
      <c r="I81" s="458">
        <v>0.25</v>
      </c>
      <c r="J81" s="459" t="s">
        <v>1787</v>
      </c>
    </row>
    <row r="82" spans="3:10" s="153" customFormat="1">
      <c r="C82" s="461" t="s">
        <v>581</v>
      </c>
      <c r="D82" s="462" t="s">
        <v>1813</v>
      </c>
      <c r="E82" s="463">
        <v>3.5999999999999999E-3</v>
      </c>
      <c r="F82" s="463">
        <v>6.8999999999999999E-3</v>
      </c>
      <c r="G82" s="463">
        <v>5.2499999999999998E-2</v>
      </c>
      <c r="H82" s="464">
        <v>1.04E-2</v>
      </c>
      <c r="I82" s="465">
        <v>0.30620000000000003</v>
      </c>
      <c r="J82" s="466" t="s">
        <v>1800</v>
      </c>
    </row>
    <row r="83" spans="3:10" s="153" customFormat="1">
      <c r="C83" s="454" t="s">
        <v>1822</v>
      </c>
      <c r="D83" s="455" t="s">
        <v>1805</v>
      </c>
      <c r="E83" s="455" t="s">
        <v>1772</v>
      </c>
      <c r="F83" s="456">
        <v>5.8999999999999999E-3</v>
      </c>
      <c r="G83" s="456">
        <v>5.0999999999999997E-2</v>
      </c>
      <c r="H83" s="457">
        <v>8.8999999999999999E-3</v>
      </c>
      <c r="I83" s="458">
        <v>0</v>
      </c>
      <c r="J83" s="459" t="s">
        <v>1777</v>
      </c>
    </row>
    <row r="84" spans="3:10" s="153" customFormat="1">
      <c r="C84" s="454" t="s">
        <v>583</v>
      </c>
      <c r="D84" s="455" t="s">
        <v>1771</v>
      </c>
      <c r="E84" s="455" t="s">
        <v>1772</v>
      </c>
      <c r="F84" s="456">
        <v>3.5400000000000001E-2</v>
      </c>
      <c r="G84" s="456">
        <v>9.5299999999999996E-2</v>
      </c>
      <c r="H84" s="457">
        <v>5.3199999999999997E-2</v>
      </c>
      <c r="I84" s="458">
        <v>0.2</v>
      </c>
      <c r="J84" s="459" t="s">
        <v>1766</v>
      </c>
    </row>
    <row r="85" spans="3:10" s="153" customFormat="1">
      <c r="C85" s="454" t="s">
        <v>585</v>
      </c>
      <c r="D85" s="455" t="s">
        <v>1776</v>
      </c>
      <c r="E85" s="456">
        <v>1.46E-2</v>
      </c>
      <c r="F85" s="456">
        <v>1.5699999999999999E-2</v>
      </c>
      <c r="G85" s="456">
        <v>6.5699999999999995E-2</v>
      </c>
      <c r="H85" s="457">
        <v>2.3599999999999999E-2</v>
      </c>
      <c r="I85" s="458">
        <v>0.2</v>
      </c>
      <c r="J85" s="459" t="s">
        <v>1773</v>
      </c>
    </row>
    <row r="86" spans="3:10" s="153" customFormat="1">
      <c r="C86" s="454" t="s">
        <v>587</v>
      </c>
      <c r="D86" s="455" t="s">
        <v>1807</v>
      </c>
      <c r="E86" s="456">
        <v>6.3399999999999998E-2</v>
      </c>
      <c r="F86" s="456">
        <v>7.3700000000000002E-2</v>
      </c>
      <c r="G86" s="456">
        <v>0.153</v>
      </c>
      <c r="H86" s="457">
        <v>0.1109</v>
      </c>
      <c r="I86" s="458">
        <v>0.3</v>
      </c>
      <c r="J86" s="459" t="s">
        <v>1780</v>
      </c>
    </row>
    <row r="87" spans="3:10" s="153" customFormat="1">
      <c r="C87" s="454" t="s">
        <v>1823</v>
      </c>
      <c r="D87" s="455" t="s">
        <v>1765</v>
      </c>
      <c r="E87" s="456">
        <v>3.7000000000000002E-3</v>
      </c>
      <c r="F87" s="456">
        <v>4.8999999999999998E-3</v>
      </c>
      <c r="G87" s="456">
        <v>4.9399999999999999E-2</v>
      </c>
      <c r="H87" s="457">
        <v>7.3000000000000001E-3</v>
      </c>
      <c r="I87" s="458">
        <v>0.25</v>
      </c>
      <c r="J87" s="459" t="s">
        <v>1800</v>
      </c>
    </row>
    <row r="88" spans="3:10" s="153" customFormat="1">
      <c r="C88" s="454" t="s">
        <v>597</v>
      </c>
      <c r="D88" s="455" t="s">
        <v>1813</v>
      </c>
      <c r="E88" s="456">
        <v>8.6999999999999994E-3</v>
      </c>
      <c r="F88" s="456">
        <v>6.8999999999999999E-3</v>
      </c>
      <c r="G88" s="456">
        <v>5.2499999999999998E-2</v>
      </c>
      <c r="H88" s="457">
        <v>1.04E-2</v>
      </c>
      <c r="I88" s="458">
        <v>0.15</v>
      </c>
      <c r="J88" s="459" t="s">
        <v>1766</v>
      </c>
    </row>
    <row r="89" spans="3:10" s="153" customFormat="1">
      <c r="C89" s="454" t="s">
        <v>1418</v>
      </c>
      <c r="D89" s="455" t="s">
        <v>1779</v>
      </c>
      <c r="E89" s="455" t="s">
        <v>1772</v>
      </c>
      <c r="F89" s="456">
        <v>6.3899999999999998E-2</v>
      </c>
      <c r="G89" s="456">
        <v>0.13819999999999999</v>
      </c>
      <c r="H89" s="457">
        <v>9.6100000000000005E-2</v>
      </c>
      <c r="I89" s="458">
        <v>0.1</v>
      </c>
      <c r="J89" s="459" t="s">
        <v>1773</v>
      </c>
    </row>
    <row r="90" spans="3:10" s="153" customFormat="1">
      <c r="C90" s="454" t="s">
        <v>261</v>
      </c>
      <c r="D90" s="455" t="s">
        <v>1782</v>
      </c>
      <c r="E90" s="455" t="s">
        <v>1772</v>
      </c>
      <c r="F90" s="456">
        <v>9.8299999999999998E-2</v>
      </c>
      <c r="G90" s="456">
        <v>0.19009999999999999</v>
      </c>
      <c r="H90" s="457">
        <v>0.14799999999999999</v>
      </c>
      <c r="I90" s="458">
        <v>0.26860000000000001</v>
      </c>
      <c r="J90" s="459" t="s">
        <v>1800</v>
      </c>
    </row>
    <row r="91" spans="3:10" s="153" customFormat="1">
      <c r="C91" s="454" t="s">
        <v>603</v>
      </c>
      <c r="D91" s="455" t="s">
        <v>1810</v>
      </c>
      <c r="E91" s="456">
        <v>9.7999999999999997E-3</v>
      </c>
      <c r="F91" s="456">
        <v>1.18E-2</v>
      </c>
      <c r="G91" s="456">
        <v>5.9799999999999999E-2</v>
      </c>
      <c r="H91" s="457">
        <v>1.77E-2</v>
      </c>
      <c r="I91" s="458">
        <v>0.2</v>
      </c>
      <c r="J91" s="459" t="s">
        <v>1773</v>
      </c>
    </row>
    <row r="92" spans="3:10" s="153" customFormat="1">
      <c r="C92" s="454" t="s">
        <v>605</v>
      </c>
      <c r="D92" s="455" t="s">
        <v>1803</v>
      </c>
      <c r="E92" s="455" t="s">
        <v>1772</v>
      </c>
      <c r="F92" s="456">
        <v>0.17499999999999999</v>
      </c>
      <c r="G92" s="456">
        <v>0.3054</v>
      </c>
      <c r="H92" s="457">
        <v>0.26329999999999998</v>
      </c>
      <c r="I92" s="458">
        <v>0.17</v>
      </c>
      <c r="J92" s="459" t="s">
        <v>1766</v>
      </c>
    </row>
    <row r="93" spans="3:10" s="153" customFormat="1">
      <c r="C93" s="454" t="s">
        <v>613</v>
      </c>
      <c r="D93" s="455" t="s">
        <v>1789</v>
      </c>
      <c r="E93" s="455" t="s">
        <v>1772</v>
      </c>
      <c r="F93" s="456">
        <v>0</v>
      </c>
      <c r="G93" s="456">
        <v>4.2099999999999999E-2</v>
      </c>
      <c r="H93" s="457">
        <v>0</v>
      </c>
      <c r="I93" s="458">
        <v>0.125</v>
      </c>
      <c r="J93" s="459" t="s">
        <v>1777</v>
      </c>
    </row>
    <row r="94" spans="3:10" s="153" customFormat="1">
      <c r="C94" s="454" t="s">
        <v>615</v>
      </c>
      <c r="D94" s="455" t="s">
        <v>1808</v>
      </c>
      <c r="E94" s="456">
        <v>8.9999999999999993E-3</v>
      </c>
      <c r="F94" s="456">
        <v>8.3000000000000001E-3</v>
      </c>
      <c r="G94" s="456">
        <v>5.4600000000000003E-2</v>
      </c>
      <c r="H94" s="457">
        <v>1.2500000000000001E-2</v>
      </c>
      <c r="I94" s="458">
        <v>0.15</v>
      </c>
      <c r="J94" s="459" t="s">
        <v>1773</v>
      </c>
    </row>
    <row r="95" spans="3:10" s="153" customFormat="1">
      <c r="C95" s="454" t="s">
        <v>617</v>
      </c>
      <c r="D95" s="455" t="s">
        <v>1789</v>
      </c>
      <c r="E95" s="455" t="s">
        <v>1772</v>
      </c>
      <c r="F95" s="456">
        <v>0</v>
      </c>
      <c r="G95" s="456">
        <v>4.2099999999999999E-2</v>
      </c>
      <c r="H95" s="457">
        <v>0</v>
      </c>
      <c r="I95" s="458">
        <v>0.24940000000000001</v>
      </c>
      <c r="J95" s="459" t="s">
        <v>1777</v>
      </c>
    </row>
    <row r="96" spans="3:10" s="153" customFormat="1">
      <c r="C96" s="454" t="s">
        <v>1824</v>
      </c>
      <c r="D96" s="455" t="s">
        <v>1805</v>
      </c>
      <c r="E96" s="455" t="s">
        <v>1772</v>
      </c>
      <c r="F96" s="456">
        <v>5.8999999999999999E-3</v>
      </c>
      <c r="G96" s="456">
        <v>5.0999999999999997E-2</v>
      </c>
      <c r="H96" s="457">
        <v>8.8999999999999999E-3</v>
      </c>
      <c r="I96" s="458">
        <v>0.26860000000000001</v>
      </c>
      <c r="J96" s="459" t="s">
        <v>1800</v>
      </c>
    </row>
    <row r="97" spans="3:10" s="153" customFormat="1">
      <c r="C97" s="454" t="s">
        <v>1825</v>
      </c>
      <c r="D97" s="455" t="s">
        <v>1771</v>
      </c>
      <c r="E97" s="455" t="s">
        <v>1772</v>
      </c>
      <c r="F97" s="456">
        <v>3.5400000000000001E-2</v>
      </c>
      <c r="G97" s="456">
        <v>9.5299999999999996E-2</v>
      </c>
      <c r="H97" s="457">
        <v>5.3199999999999997E-2</v>
      </c>
      <c r="I97" s="458">
        <v>0.1</v>
      </c>
      <c r="J97" s="459" t="s">
        <v>1773</v>
      </c>
    </row>
    <row r="98" spans="3:10" s="153" customFormat="1">
      <c r="C98" s="454" t="s">
        <v>257</v>
      </c>
      <c r="D98" s="455" t="s">
        <v>1810</v>
      </c>
      <c r="E98" s="456">
        <v>8.0999999999999996E-3</v>
      </c>
      <c r="F98" s="456">
        <v>1.18E-2</v>
      </c>
      <c r="G98" s="456">
        <v>5.9799999999999999E-2</v>
      </c>
      <c r="H98" s="457">
        <v>1.77E-2</v>
      </c>
      <c r="I98" s="458">
        <v>0.24</v>
      </c>
      <c r="J98" s="459" t="s">
        <v>1800</v>
      </c>
    </row>
    <row r="99" spans="3:10" s="153" customFormat="1">
      <c r="C99" s="454" t="s">
        <v>626</v>
      </c>
      <c r="D99" s="455" t="s">
        <v>1816</v>
      </c>
      <c r="E99" s="455" t="s">
        <v>1772</v>
      </c>
      <c r="F99" s="456">
        <v>8.8499999999999995E-2</v>
      </c>
      <c r="G99" s="456">
        <v>0.17530000000000001</v>
      </c>
      <c r="H99" s="457">
        <v>0.13320000000000001</v>
      </c>
      <c r="I99" s="458">
        <v>0.26860000000000001</v>
      </c>
      <c r="J99" s="459" t="s">
        <v>1800</v>
      </c>
    </row>
    <row r="100" spans="3:10" s="153" customFormat="1">
      <c r="C100" s="454" t="s">
        <v>628</v>
      </c>
      <c r="D100" s="455" t="s">
        <v>1816</v>
      </c>
      <c r="E100" s="455" t="s">
        <v>1772</v>
      </c>
      <c r="F100" s="456">
        <v>8.8499999999999995E-2</v>
      </c>
      <c r="G100" s="456">
        <v>0.17530000000000001</v>
      </c>
      <c r="H100" s="457">
        <v>0.13320000000000001</v>
      </c>
      <c r="I100" s="458">
        <v>0.26860000000000001</v>
      </c>
      <c r="J100" s="459" t="s">
        <v>1780</v>
      </c>
    </row>
    <row r="101" spans="3:10" s="153" customFormat="1">
      <c r="C101" s="454" t="s">
        <v>630</v>
      </c>
      <c r="D101" s="455" t="s">
        <v>1808</v>
      </c>
      <c r="E101" s="455" t="s">
        <v>1772</v>
      </c>
      <c r="F101" s="456">
        <v>8.3000000000000001E-3</v>
      </c>
      <c r="G101" s="456">
        <v>5.4600000000000003E-2</v>
      </c>
      <c r="H101" s="457">
        <v>1.2500000000000001E-2</v>
      </c>
      <c r="I101" s="458">
        <v>0.35</v>
      </c>
      <c r="J101" s="459" t="s">
        <v>1777</v>
      </c>
    </row>
    <row r="102" spans="3:10" s="153" customFormat="1">
      <c r="C102" s="454" t="s">
        <v>636</v>
      </c>
      <c r="D102" s="455" t="s">
        <v>1786</v>
      </c>
      <c r="E102" s="455" t="s">
        <v>1772</v>
      </c>
      <c r="F102" s="456">
        <v>2.1600000000000001E-2</v>
      </c>
      <c r="G102" s="456">
        <v>7.46E-2</v>
      </c>
      <c r="H102" s="457">
        <v>3.2500000000000001E-2</v>
      </c>
      <c r="I102" s="458">
        <v>0.15</v>
      </c>
      <c r="J102" s="459" t="s">
        <v>1780</v>
      </c>
    </row>
    <row r="103" spans="3:10" s="153" customFormat="1">
      <c r="C103" s="454" t="s">
        <v>638</v>
      </c>
      <c r="D103" s="455" t="s">
        <v>1821</v>
      </c>
      <c r="E103" s="456">
        <v>1.8599999999999998E-2</v>
      </c>
      <c r="F103" s="456">
        <v>1.8700000000000001E-2</v>
      </c>
      <c r="G103" s="456">
        <v>7.0300000000000001E-2</v>
      </c>
      <c r="H103" s="457">
        <v>2.8199999999999999E-2</v>
      </c>
      <c r="I103" s="458">
        <v>0.3</v>
      </c>
      <c r="J103" s="459" t="s">
        <v>1783</v>
      </c>
    </row>
    <row r="104" spans="3:10" s="153" customFormat="1">
      <c r="C104" s="454" t="s">
        <v>642</v>
      </c>
      <c r="D104" s="455" t="s">
        <v>1779</v>
      </c>
      <c r="E104" s="455" t="s">
        <v>1772</v>
      </c>
      <c r="F104" s="456">
        <v>6.3899999999999998E-2</v>
      </c>
      <c r="G104" s="456">
        <v>0.13819999999999999</v>
      </c>
      <c r="H104" s="457">
        <v>9.6100000000000005E-2</v>
      </c>
      <c r="I104" s="458">
        <v>0.12</v>
      </c>
      <c r="J104" s="459" t="s">
        <v>1773</v>
      </c>
    </row>
    <row r="105" spans="3:10" s="153" customFormat="1">
      <c r="C105" s="454" t="s">
        <v>646</v>
      </c>
      <c r="D105" s="455" t="s">
        <v>1798</v>
      </c>
      <c r="E105" s="455" t="s">
        <v>1772</v>
      </c>
      <c r="F105" s="456">
        <v>5.4100000000000002E-2</v>
      </c>
      <c r="G105" s="456">
        <v>0.1235</v>
      </c>
      <c r="H105" s="457">
        <v>8.14E-2</v>
      </c>
      <c r="I105" s="458">
        <v>0.25</v>
      </c>
      <c r="J105" s="459" t="s">
        <v>1800</v>
      </c>
    </row>
    <row r="106" spans="3:10" s="153" customFormat="1">
      <c r="C106" s="454" t="s">
        <v>648</v>
      </c>
      <c r="D106" s="455" t="s">
        <v>1796</v>
      </c>
      <c r="E106" s="455" t="s">
        <v>1772</v>
      </c>
      <c r="F106" s="456">
        <v>4.4299999999999999E-2</v>
      </c>
      <c r="G106" s="456">
        <v>0.1087</v>
      </c>
      <c r="H106" s="457">
        <v>6.6600000000000006E-2</v>
      </c>
      <c r="I106" s="458">
        <v>0.15</v>
      </c>
      <c r="J106" s="459" t="s">
        <v>1773</v>
      </c>
    </row>
    <row r="107" spans="3:10" s="153" customFormat="1">
      <c r="C107" s="454" t="s">
        <v>1826</v>
      </c>
      <c r="D107" s="455" t="s">
        <v>1786</v>
      </c>
      <c r="E107" s="455" t="s">
        <v>1772</v>
      </c>
      <c r="F107" s="456">
        <v>2.1600000000000001E-2</v>
      </c>
      <c r="G107" s="456">
        <v>7.46E-2</v>
      </c>
      <c r="H107" s="457">
        <v>3.2500000000000001E-2</v>
      </c>
      <c r="I107" s="458">
        <v>0.2853</v>
      </c>
      <c r="J107" s="459" t="s">
        <v>1787</v>
      </c>
    </row>
    <row r="108" spans="3:10" s="153" customFormat="1">
      <c r="C108" s="454" t="s">
        <v>650</v>
      </c>
      <c r="D108" s="455" t="s">
        <v>1811</v>
      </c>
      <c r="E108" s="456">
        <v>1.6E-2</v>
      </c>
      <c r="F108" s="456">
        <v>2.46E-2</v>
      </c>
      <c r="G108" s="456">
        <v>7.9100000000000004E-2</v>
      </c>
      <c r="H108" s="457">
        <v>3.6999999999999998E-2</v>
      </c>
      <c r="I108" s="458">
        <v>0.32</v>
      </c>
      <c r="J108" s="459" t="s">
        <v>1780</v>
      </c>
    </row>
    <row r="109" spans="3:10" s="153" customFormat="1">
      <c r="C109" s="454" t="s">
        <v>652</v>
      </c>
      <c r="D109" s="455" t="s">
        <v>1782</v>
      </c>
      <c r="E109" s="455" t="s">
        <v>1772</v>
      </c>
      <c r="F109" s="456">
        <v>9.8299999999999998E-2</v>
      </c>
      <c r="G109" s="456">
        <v>0.19009999999999999</v>
      </c>
      <c r="H109" s="457">
        <v>0.14799999999999999</v>
      </c>
      <c r="I109" s="458">
        <v>0.32</v>
      </c>
      <c r="J109" s="459" t="s">
        <v>1780</v>
      </c>
    </row>
    <row r="110" spans="3:10" s="153" customFormat="1">
      <c r="C110" s="454" t="s">
        <v>656</v>
      </c>
      <c r="D110" s="455" t="s">
        <v>1796</v>
      </c>
      <c r="E110" s="455" t="s">
        <v>1772</v>
      </c>
      <c r="F110" s="456">
        <v>4.4299999999999999E-2</v>
      </c>
      <c r="G110" s="456">
        <v>0.1087</v>
      </c>
      <c r="H110" s="457">
        <v>6.6600000000000006E-2</v>
      </c>
      <c r="I110" s="458">
        <v>0.32</v>
      </c>
      <c r="J110" s="459" t="s">
        <v>1780</v>
      </c>
    </row>
    <row r="111" spans="3:10" s="153" customFormat="1">
      <c r="C111" s="454" t="s">
        <v>660</v>
      </c>
      <c r="D111" s="455" t="s">
        <v>1771</v>
      </c>
      <c r="E111" s="455" t="s">
        <v>1772</v>
      </c>
      <c r="F111" s="456">
        <v>3.5400000000000001E-2</v>
      </c>
      <c r="G111" s="456">
        <v>9.5299999999999996E-2</v>
      </c>
      <c r="H111" s="457">
        <v>5.3199999999999997E-2</v>
      </c>
      <c r="I111" s="458">
        <v>0.25</v>
      </c>
      <c r="J111" s="459" t="s">
        <v>1800</v>
      </c>
    </row>
    <row r="112" spans="3:10" s="153" customFormat="1">
      <c r="C112" s="454" t="s">
        <v>662</v>
      </c>
      <c r="D112" s="455" t="s">
        <v>1789</v>
      </c>
      <c r="E112" s="456">
        <v>2.5000000000000001E-3</v>
      </c>
      <c r="F112" s="456">
        <v>0</v>
      </c>
      <c r="G112" s="456">
        <v>4.2099999999999999E-2</v>
      </c>
      <c r="H112" s="457">
        <v>0</v>
      </c>
      <c r="I112" s="458">
        <v>0.25800000000000001</v>
      </c>
      <c r="J112" s="459" t="s">
        <v>1777</v>
      </c>
    </row>
    <row r="113" spans="3:10" s="153" customFormat="1">
      <c r="C113" s="454" t="s">
        <v>666</v>
      </c>
      <c r="D113" s="455" t="s">
        <v>1789</v>
      </c>
      <c r="E113" s="456">
        <v>2.3E-3</v>
      </c>
      <c r="F113" s="456">
        <v>0</v>
      </c>
      <c r="G113" s="456">
        <v>4.2099999999999999E-2</v>
      </c>
      <c r="H113" s="457">
        <v>0</v>
      </c>
      <c r="I113" s="458">
        <v>0.28000000000000003</v>
      </c>
      <c r="J113" s="459" t="s">
        <v>1790</v>
      </c>
    </row>
    <row r="114" spans="3:10" s="153" customFormat="1">
      <c r="C114" s="454" t="s">
        <v>668</v>
      </c>
      <c r="D114" s="455" t="s">
        <v>1798</v>
      </c>
      <c r="E114" s="456">
        <v>6.3700000000000007E-2</v>
      </c>
      <c r="F114" s="456">
        <v>5.4100000000000002E-2</v>
      </c>
      <c r="G114" s="456">
        <v>0.1235</v>
      </c>
      <c r="H114" s="457">
        <v>8.14E-2</v>
      </c>
      <c r="I114" s="458">
        <v>0.3</v>
      </c>
      <c r="J114" s="459" t="s">
        <v>1783</v>
      </c>
    </row>
    <row r="115" spans="3:10" s="153" customFormat="1">
      <c r="C115" s="454" t="s">
        <v>670</v>
      </c>
      <c r="D115" s="455" t="s">
        <v>1782</v>
      </c>
      <c r="E115" s="455" t="s">
        <v>1772</v>
      </c>
      <c r="F115" s="456">
        <v>9.8299999999999998E-2</v>
      </c>
      <c r="G115" s="456">
        <v>0.19009999999999999</v>
      </c>
      <c r="H115" s="457">
        <v>0.14799999999999999</v>
      </c>
      <c r="I115" s="458">
        <v>0.26860000000000001</v>
      </c>
      <c r="J115" s="459" t="s">
        <v>1780</v>
      </c>
    </row>
    <row r="116" spans="3:10" s="153" customFormat="1">
      <c r="C116" s="454" t="s">
        <v>672</v>
      </c>
      <c r="D116" s="455" t="s">
        <v>1779</v>
      </c>
      <c r="E116" s="456">
        <v>6.0499999999999998E-2</v>
      </c>
      <c r="F116" s="456">
        <v>6.3899999999999998E-2</v>
      </c>
      <c r="G116" s="456">
        <v>0.13819999999999999</v>
      </c>
      <c r="H116" s="457">
        <v>9.6100000000000005E-2</v>
      </c>
      <c r="I116" s="458">
        <v>0.3</v>
      </c>
      <c r="J116" s="459" t="s">
        <v>1780</v>
      </c>
    </row>
    <row r="117" spans="3:10" s="153" customFormat="1">
      <c r="C117" s="454" t="s">
        <v>678</v>
      </c>
      <c r="D117" s="455" t="s">
        <v>1789</v>
      </c>
      <c r="E117" s="456">
        <v>2.2000000000000001E-3</v>
      </c>
      <c r="F117" s="456">
        <v>0</v>
      </c>
      <c r="G117" s="456">
        <v>4.2099999999999999E-2</v>
      </c>
      <c r="H117" s="457">
        <v>0</v>
      </c>
      <c r="I117" s="458">
        <v>0.22</v>
      </c>
      <c r="J117" s="459" t="s">
        <v>1777</v>
      </c>
    </row>
    <row r="118" spans="3:10" s="153" customFormat="1">
      <c r="C118" s="454" t="s">
        <v>680</v>
      </c>
      <c r="D118" s="455" t="s">
        <v>1811</v>
      </c>
      <c r="E118" s="456">
        <v>1.66E-2</v>
      </c>
      <c r="F118" s="456">
        <v>2.46E-2</v>
      </c>
      <c r="G118" s="456">
        <v>7.9100000000000004E-2</v>
      </c>
      <c r="H118" s="457">
        <v>3.6999999999999998E-2</v>
      </c>
      <c r="I118" s="458">
        <v>0.15</v>
      </c>
      <c r="J118" s="459" t="s">
        <v>1766</v>
      </c>
    </row>
    <row r="119" spans="3:10" s="153" customFormat="1">
      <c r="C119" s="454" t="s">
        <v>682</v>
      </c>
      <c r="D119" s="455" t="s">
        <v>1816</v>
      </c>
      <c r="E119" s="456">
        <v>7.6399999999999996E-2</v>
      </c>
      <c r="F119" s="456">
        <v>8.8499999999999995E-2</v>
      </c>
      <c r="G119" s="456">
        <v>0.17530000000000001</v>
      </c>
      <c r="H119" s="457">
        <v>0.13320000000000001</v>
      </c>
      <c r="I119" s="458">
        <v>0.28999999999999998</v>
      </c>
      <c r="J119" s="459" t="s">
        <v>1800</v>
      </c>
    </row>
    <row r="120" spans="3:10" s="153" customFormat="1">
      <c r="C120" s="454" t="s">
        <v>686</v>
      </c>
      <c r="D120" s="455" t="s">
        <v>1786</v>
      </c>
      <c r="E120" s="456">
        <v>2.9600000000000001E-2</v>
      </c>
      <c r="F120" s="456">
        <v>2.1600000000000001E-2</v>
      </c>
      <c r="G120" s="456">
        <v>7.46E-2</v>
      </c>
      <c r="H120" s="457">
        <v>3.2500000000000001E-2</v>
      </c>
      <c r="I120" s="458">
        <v>0.25</v>
      </c>
      <c r="J120" s="459" t="s">
        <v>1783</v>
      </c>
    </row>
    <row r="121" spans="3:10" s="153" customFormat="1">
      <c r="C121" s="454" t="s">
        <v>688</v>
      </c>
      <c r="D121" s="455" t="s">
        <v>1798</v>
      </c>
      <c r="E121" s="455" t="s">
        <v>1772</v>
      </c>
      <c r="F121" s="456">
        <v>5.4100000000000002E-2</v>
      </c>
      <c r="G121" s="456">
        <v>0.1235</v>
      </c>
      <c r="H121" s="457">
        <v>8.14E-2</v>
      </c>
      <c r="I121" s="458">
        <v>0.3</v>
      </c>
      <c r="J121" s="459" t="s">
        <v>1800</v>
      </c>
    </row>
    <row r="122" spans="3:10" s="153" customFormat="1">
      <c r="C122" s="454" t="s">
        <v>690</v>
      </c>
      <c r="D122" s="455" t="s">
        <v>1786</v>
      </c>
      <c r="E122" s="455" t="s">
        <v>1772</v>
      </c>
      <c r="F122" s="456">
        <v>2.1600000000000001E-2</v>
      </c>
      <c r="G122" s="456">
        <v>7.46E-2</v>
      </c>
      <c r="H122" s="457">
        <v>3.2500000000000001E-2</v>
      </c>
      <c r="I122" s="458">
        <v>0.1</v>
      </c>
      <c r="J122" s="459" t="s">
        <v>1783</v>
      </c>
    </row>
    <row r="123" spans="3:10" s="153" customFormat="1">
      <c r="C123" s="454" t="s">
        <v>692</v>
      </c>
      <c r="D123" s="455" t="s">
        <v>1776</v>
      </c>
      <c r="E123" s="456">
        <v>1.3899999999999999E-2</v>
      </c>
      <c r="F123" s="456">
        <v>1.5699999999999999E-2</v>
      </c>
      <c r="G123" s="456">
        <v>6.5699999999999995E-2</v>
      </c>
      <c r="H123" s="457">
        <v>2.3599999999999999E-2</v>
      </c>
      <c r="I123" s="458">
        <v>0.29499999999999998</v>
      </c>
      <c r="J123" s="459" t="s">
        <v>1783</v>
      </c>
    </row>
    <row r="124" spans="3:10" s="153" customFormat="1">
      <c r="C124" s="454" t="s">
        <v>244</v>
      </c>
      <c r="D124" s="455" t="s">
        <v>1821</v>
      </c>
      <c r="E124" s="456">
        <v>1.15E-2</v>
      </c>
      <c r="F124" s="456">
        <v>1.8700000000000001E-2</v>
      </c>
      <c r="G124" s="456">
        <v>7.0300000000000001E-2</v>
      </c>
      <c r="H124" s="457">
        <v>2.8199999999999999E-2</v>
      </c>
      <c r="I124" s="458">
        <v>0.25</v>
      </c>
      <c r="J124" s="459" t="s">
        <v>1800</v>
      </c>
    </row>
    <row r="125" spans="3:10" s="153" customFormat="1">
      <c r="C125" s="454" t="s">
        <v>695</v>
      </c>
      <c r="D125" s="455" t="s">
        <v>1808</v>
      </c>
      <c r="E125" s="456">
        <v>1.0999999999999999E-2</v>
      </c>
      <c r="F125" s="456">
        <v>8.3000000000000001E-3</v>
      </c>
      <c r="G125" s="456">
        <v>5.4600000000000003E-2</v>
      </c>
      <c r="H125" s="457">
        <v>1.2500000000000001E-2</v>
      </c>
      <c r="I125" s="458">
        <v>0.19</v>
      </c>
      <c r="J125" s="459" t="s">
        <v>1773</v>
      </c>
    </row>
    <row r="126" spans="3:10" s="153" customFormat="1">
      <c r="C126" s="454" t="s">
        <v>697</v>
      </c>
      <c r="D126" s="455" t="s">
        <v>1810</v>
      </c>
      <c r="E126" s="456">
        <v>5.4999999999999997E-3</v>
      </c>
      <c r="F126" s="456">
        <v>1.18E-2</v>
      </c>
      <c r="G126" s="456">
        <v>5.9799999999999999E-2</v>
      </c>
      <c r="H126" s="457">
        <v>1.77E-2</v>
      </c>
      <c r="I126" s="458">
        <v>0.21</v>
      </c>
      <c r="J126" s="459" t="s">
        <v>1777</v>
      </c>
    </row>
    <row r="127" spans="3:10" s="153" customFormat="1">
      <c r="C127" s="454" t="s">
        <v>701</v>
      </c>
      <c r="D127" s="455" t="s">
        <v>1765</v>
      </c>
      <c r="E127" s="456">
        <v>6.7999999999999996E-3</v>
      </c>
      <c r="F127" s="456">
        <v>4.8999999999999998E-3</v>
      </c>
      <c r="G127" s="456">
        <v>4.9399999999999999E-2</v>
      </c>
      <c r="H127" s="457">
        <v>7.3000000000000001E-3</v>
      </c>
      <c r="I127" s="458">
        <v>0.1</v>
      </c>
      <c r="J127" s="459" t="s">
        <v>1766</v>
      </c>
    </row>
    <row r="128" spans="3:10" s="153" customFormat="1">
      <c r="C128" s="454" t="s">
        <v>1827</v>
      </c>
      <c r="D128" s="455" t="s">
        <v>1810</v>
      </c>
      <c r="E128" s="455" t="s">
        <v>1772</v>
      </c>
      <c r="F128" s="456">
        <v>1.18E-2</v>
      </c>
      <c r="G128" s="456">
        <v>5.9799999999999999E-2</v>
      </c>
      <c r="H128" s="457">
        <v>1.77E-2</v>
      </c>
      <c r="I128" s="458">
        <v>0</v>
      </c>
      <c r="J128" s="459" t="s">
        <v>1766</v>
      </c>
    </row>
    <row r="129" spans="3:10" s="153" customFormat="1">
      <c r="C129" s="454" t="s">
        <v>703</v>
      </c>
      <c r="D129" s="455" t="s">
        <v>1786</v>
      </c>
      <c r="E129" s="456">
        <v>2.6700000000000002E-2</v>
      </c>
      <c r="F129" s="456">
        <v>2.1600000000000001E-2</v>
      </c>
      <c r="G129" s="456">
        <v>7.46E-2</v>
      </c>
      <c r="H129" s="457">
        <v>3.2500000000000001E-2</v>
      </c>
      <c r="I129" s="458">
        <v>0.16</v>
      </c>
      <c r="J129" s="459" t="s">
        <v>1773</v>
      </c>
    </row>
    <row r="130" spans="3:10" s="153" customFormat="1">
      <c r="C130" s="454" t="s">
        <v>707</v>
      </c>
      <c r="D130" s="455" t="s">
        <v>1798</v>
      </c>
      <c r="E130" s="456">
        <v>5.4300000000000001E-2</v>
      </c>
      <c r="F130" s="456">
        <v>5.4100000000000002E-2</v>
      </c>
      <c r="G130" s="456">
        <v>0.1235</v>
      </c>
      <c r="H130" s="457">
        <v>8.14E-2</v>
      </c>
      <c r="I130" s="458">
        <v>0.3</v>
      </c>
      <c r="J130" s="459" t="s">
        <v>1780</v>
      </c>
    </row>
    <row r="131" spans="3:10" s="153" customFormat="1">
      <c r="C131" s="454" t="s">
        <v>715</v>
      </c>
      <c r="D131" s="455" t="s">
        <v>1805</v>
      </c>
      <c r="E131" s="456">
        <v>1.12E-2</v>
      </c>
      <c r="F131" s="456">
        <v>5.8999999999999999E-3</v>
      </c>
      <c r="G131" s="456">
        <v>5.0999999999999997E-2</v>
      </c>
      <c r="H131" s="457">
        <v>8.8999999999999999E-3</v>
      </c>
      <c r="I131" s="458">
        <v>0.2</v>
      </c>
      <c r="J131" s="459" t="s">
        <v>1766</v>
      </c>
    </row>
    <row r="132" spans="3:10" s="153" customFormat="1">
      <c r="C132" s="454" t="s">
        <v>717</v>
      </c>
      <c r="D132" s="455" t="s">
        <v>1779</v>
      </c>
      <c r="E132" s="456">
        <v>7.8299999999999995E-2</v>
      </c>
      <c r="F132" s="456">
        <v>6.3899999999999998E-2</v>
      </c>
      <c r="G132" s="456">
        <v>0.13819999999999999</v>
      </c>
      <c r="H132" s="457">
        <v>9.6100000000000005E-2</v>
      </c>
      <c r="I132" s="458">
        <v>0.3</v>
      </c>
      <c r="J132" s="459" t="s">
        <v>1780</v>
      </c>
    </row>
    <row r="133" spans="3:10" s="153" customFormat="1">
      <c r="C133" s="454" t="s">
        <v>719</v>
      </c>
      <c r="D133" s="455" t="s">
        <v>1818</v>
      </c>
      <c r="E133" s="456">
        <v>2.3E-2</v>
      </c>
      <c r="F133" s="456">
        <v>2.9600000000000001E-2</v>
      </c>
      <c r="G133" s="456">
        <v>8.6599999999999996E-2</v>
      </c>
      <c r="H133" s="457">
        <v>4.4499999999999998E-2</v>
      </c>
      <c r="I133" s="458">
        <v>0.15</v>
      </c>
      <c r="J133" s="459" t="s">
        <v>1773</v>
      </c>
    </row>
    <row r="134" spans="3:10" s="153" customFormat="1">
      <c r="C134" s="454" t="s">
        <v>1828</v>
      </c>
      <c r="D134" s="455" t="s">
        <v>1811</v>
      </c>
      <c r="E134" s="455" t="e">
        <v>#N/A</v>
      </c>
      <c r="F134" s="456">
        <v>2.46E-2</v>
      </c>
      <c r="G134" s="456">
        <v>7.9100000000000004E-2</v>
      </c>
      <c r="H134" s="457">
        <v>3.6999999999999998E-2</v>
      </c>
      <c r="I134" s="458">
        <v>0</v>
      </c>
      <c r="J134" s="459" t="s">
        <v>1766</v>
      </c>
    </row>
    <row r="135" spans="3:10" s="153" customFormat="1">
      <c r="C135" s="454" t="s">
        <v>231</v>
      </c>
      <c r="D135" s="455" t="s">
        <v>1789</v>
      </c>
      <c r="E135" s="455" t="e">
        <v>#N/A</v>
      </c>
      <c r="F135" s="456">
        <v>0</v>
      </c>
      <c r="G135" s="456">
        <v>4.2099999999999999E-2</v>
      </c>
      <c r="H135" s="457">
        <v>0</v>
      </c>
      <c r="I135" s="458">
        <v>0.17</v>
      </c>
      <c r="J135" s="459" t="s">
        <v>1800</v>
      </c>
    </row>
    <row r="136" spans="3:10" s="153" customFormat="1">
      <c r="C136" s="454" t="s">
        <v>1119</v>
      </c>
      <c r="D136" s="455" t="s">
        <v>1810</v>
      </c>
      <c r="E136" s="456">
        <v>6.1000000000000004E-3</v>
      </c>
      <c r="F136" s="456">
        <v>1.18E-2</v>
      </c>
      <c r="G136" s="456">
        <v>5.9799999999999999E-2</v>
      </c>
      <c r="H136" s="457">
        <v>1.77E-2</v>
      </c>
      <c r="I136" s="458">
        <v>0.21</v>
      </c>
      <c r="J136" s="459" t="s">
        <v>1773</v>
      </c>
    </row>
    <row r="137" spans="3:10" s="153" customFormat="1">
      <c r="C137" s="454" t="s">
        <v>730</v>
      </c>
      <c r="D137" s="455" t="s">
        <v>1810</v>
      </c>
      <c r="E137" s="456">
        <v>7.0000000000000001E-3</v>
      </c>
      <c r="F137" s="456">
        <v>1.18E-2</v>
      </c>
      <c r="G137" s="456">
        <v>5.9799999999999999E-2</v>
      </c>
      <c r="H137" s="457">
        <v>1.77E-2</v>
      </c>
      <c r="I137" s="458">
        <v>0.19</v>
      </c>
      <c r="J137" s="459" t="s">
        <v>1773</v>
      </c>
    </row>
    <row r="138" spans="3:10" s="153" customFormat="1">
      <c r="C138" s="454" t="s">
        <v>732</v>
      </c>
      <c r="D138" s="455" t="s">
        <v>1807</v>
      </c>
      <c r="E138" s="455" t="e">
        <v>#N/A</v>
      </c>
      <c r="F138" s="456">
        <v>7.3700000000000002E-2</v>
      </c>
      <c r="G138" s="456">
        <v>0.153</v>
      </c>
      <c r="H138" s="457">
        <v>0.1109</v>
      </c>
      <c r="I138" s="458">
        <v>0.3</v>
      </c>
      <c r="J138" s="459" t="s">
        <v>1800</v>
      </c>
    </row>
    <row r="139" spans="3:10" s="153" customFormat="1">
      <c r="C139" s="454" t="s">
        <v>736</v>
      </c>
      <c r="D139" s="455" t="s">
        <v>1818</v>
      </c>
      <c r="E139" s="456">
        <v>3.0099999999999998E-2</v>
      </c>
      <c r="F139" s="456">
        <v>2.9600000000000001E-2</v>
      </c>
      <c r="G139" s="456">
        <v>8.6599999999999996E-2</v>
      </c>
      <c r="H139" s="457">
        <v>4.4499999999999998E-2</v>
      </c>
      <c r="I139" s="458">
        <v>0.27</v>
      </c>
      <c r="J139" s="459" t="s">
        <v>1780</v>
      </c>
    </row>
    <row r="140" spans="3:10" s="153" customFormat="1">
      <c r="C140" s="454" t="s">
        <v>740</v>
      </c>
      <c r="D140" s="455" t="s">
        <v>1776</v>
      </c>
      <c r="E140" s="456">
        <v>6.4000000000000003E-3</v>
      </c>
      <c r="F140" s="456">
        <v>1.5699999999999999E-2</v>
      </c>
      <c r="G140" s="456">
        <v>6.5699999999999995E-2</v>
      </c>
      <c r="H140" s="457">
        <v>2.3599999999999999E-2</v>
      </c>
      <c r="I140" s="458">
        <v>0.25</v>
      </c>
      <c r="J140" s="459" t="s">
        <v>1777</v>
      </c>
    </row>
    <row r="141" spans="3:10" s="153" customFormat="1">
      <c r="C141" s="454" t="s">
        <v>742</v>
      </c>
      <c r="D141" s="455" t="s">
        <v>1809</v>
      </c>
      <c r="E141" s="456">
        <v>4.8599999999999997E-2</v>
      </c>
      <c r="F141" s="456">
        <v>0.11799999999999999</v>
      </c>
      <c r="G141" s="456">
        <v>0.21959999999999999</v>
      </c>
      <c r="H141" s="457">
        <v>0.17749999999999999</v>
      </c>
      <c r="I141" s="458">
        <v>0.24</v>
      </c>
      <c r="J141" s="459" t="s">
        <v>1800</v>
      </c>
    </row>
    <row r="142" spans="3:10" s="153" customFormat="1">
      <c r="C142" s="454" t="s">
        <v>1829</v>
      </c>
      <c r="D142" s="455" t="s">
        <v>1818</v>
      </c>
      <c r="E142" s="455" t="e">
        <v>#N/A</v>
      </c>
      <c r="F142" s="456">
        <v>2.9600000000000001E-2</v>
      </c>
      <c r="G142" s="456">
        <v>8.6599999999999996E-2</v>
      </c>
      <c r="H142" s="457">
        <v>4.4499999999999998E-2</v>
      </c>
      <c r="I142" s="458">
        <v>0.2853</v>
      </c>
      <c r="J142" s="459" t="s">
        <v>1787</v>
      </c>
    </row>
    <row r="143" spans="3:10" s="153" customFormat="1">
      <c r="C143" s="454" t="s">
        <v>1830</v>
      </c>
      <c r="D143" s="455" t="s">
        <v>1779</v>
      </c>
      <c r="E143" s="455" t="e">
        <v>#N/A</v>
      </c>
      <c r="F143" s="456">
        <v>6.3899999999999998E-2</v>
      </c>
      <c r="G143" s="456">
        <v>0.13819999999999999</v>
      </c>
      <c r="H143" s="457">
        <v>9.6100000000000005E-2</v>
      </c>
      <c r="I143" s="458">
        <v>0.2853</v>
      </c>
      <c r="J143" s="459" t="s">
        <v>1787</v>
      </c>
    </row>
    <row r="144" spans="3:10" s="153" customFormat="1">
      <c r="C144" s="454" t="s">
        <v>754</v>
      </c>
      <c r="D144" s="455" t="s">
        <v>1807</v>
      </c>
      <c r="E144" s="455" t="e">
        <v>#N/A</v>
      </c>
      <c r="F144" s="456">
        <v>7.3700000000000002E-2</v>
      </c>
      <c r="G144" s="456">
        <v>0.153</v>
      </c>
      <c r="H144" s="457">
        <v>0.1109</v>
      </c>
      <c r="I144" s="458">
        <v>0.36</v>
      </c>
      <c r="J144" s="459" t="s">
        <v>1783</v>
      </c>
    </row>
    <row r="145" spans="3:10" s="153" customFormat="1">
      <c r="C145" s="454" t="s">
        <v>1831</v>
      </c>
      <c r="D145" s="455" t="s">
        <v>1798</v>
      </c>
      <c r="E145" s="455" t="e">
        <v>#N/A</v>
      </c>
      <c r="F145" s="456">
        <v>5.4100000000000002E-2</v>
      </c>
      <c r="G145" s="456">
        <v>0.1235</v>
      </c>
      <c r="H145" s="457">
        <v>8.14E-2</v>
      </c>
      <c r="I145" s="458">
        <v>0.27500000000000002</v>
      </c>
      <c r="J145" s="459" t="s">
        <v>1780</v>
      </c>
    </row>
    <row r="146" spans="3:10" s="153" customFormat="1">
      <c r="C146" s="454" t="s">
        <v>756</v>
      </c>
      <c r="D146" s="455" t="s">
        <v>1789</v>
      </c>
      <c r="E146" s="456">
        <v>2.5000000000000001E-3</v>
      </c>
      <c r="F146" s="456">
        <v>0</v>
      </c>
      <c r="G146" s="456">
        <v>4.2099999999999999E-2</v>
      </c>
      <c r="H146" s="457">
        <v>0</v>
      </c>
      <c r="I146" s="458">
        <v>0.20599999999999999</v>
      </c>
      <c r="J146" s="459" t="s">
        <v>1777</v>
      </c>
    </row>
    <row r="147" spans="3:10" s="153" customFormat="1">
      <c r="C147" s="454" t="s">
        <v>758</v>
      </c>
      <c r="D147" s="455" t="s">
        <v>1789</v>
      </c>
      <c r="E147" s="456">
        <v>1.6999999999999999E-3</v>
      </c>
      <c r="F147" s="456">
        <v>0</v>
      </c>
      <c r="G147" s="456">
        <v>4.2099999999999999E-2</v>
      </c>
      <c r="H147" s="457">
        <v>0</v>
      </c>
      <c r="I147" s="458">
        <v>0.14599999999999999</v>
      </c>
      <c r="J147" s="459" t="s">
        <v>1777</v>
      </c>
    </row>
    <row r="148" spans="3:10" s="153" customFormat="1">
      <c r="C148" s="454" t="s">
        <v>1093</v>
      </c>
      <c r="D148" s="455" t="s">
        <v>1805</v>
      </c>
      <c r="E148" s="455" t="e">
        <v>#N/A</v>
      </c>
      <c r="F148" s="456">
        <v>5.8999999999999999E-3</v>
      </c>
      <c r="G148" s="456">
        <v>5.0999999999999997E-2</v>
      </c>
      <c r="H148" s="457">
        <v>8.8999999999999999E-3</v>
      </c>
      <c r="I148" s="458">
        <v>0.2</v>
      </c>
      <c r="J148" s="459" t="s">
        <v>1800</v>
      </c>
    </row>
    <row r="149" spans="3:10" s="153" customFormat="1">
      <c r="C149" s="454" t="s">
        <v>762</v>
      </c>
      <c r="D149" s="455" t="s">
        <v>1779</v>
      </c>
      <c r="E149" s="455" t="e">
        <v>#N/A</v>
      </c>
      <c r="F149" s="456">
        <v>6.3899999999999998E-2</v>
      </c>
      <c r="G149" s="456">
        <v>0.13819999999999999</v>
      </c>
      <c r="H149" s="457">
        <v>9.6100000000000005E-2</v>
      </c>
      <c r="I149" s="458">
        <v>0.18</v>
      </c>
      <c r="J149" s="459" t="s">
        <v>1773</v>
      </c>
    </row>
    <row r="150" spans="3:10" s="153" customFormat="1">
      <c r="C150" s="454" t="s">
        <v>764</v>
      </c>
      <c r="D150" s="455" t="s">
        <v>1796</v>
      </c>
      <c r="E150" s="455" t="e">
        <v>#N/A</v>
      </c>
      <c r="F150" s="456">
        <v>4.4299999999999999E-2</v>
      </c>
      <c r="G150" s="456">
        <v>0.1087</v>
      </c>
      <c r="H150" s="457">
        <v>6.6600000000000006E-2</v>
      </c>
      <c r="I150" s="458">
        <v>0.3</v>
      </c>
      <c r="J150" s="459" t="s">
        <v>1780</v>
      </c>
    </row>
    <row r="151" spans="3:10" s="153" customFormat="1">
      <c r="C151" s="454" t="s">
        <v>239</v>
      </c>
      <c r="D151" s="455" t="s">
        <v>1776</v>
      </c>
      <c r="E151" s="456">
        <v>7.1999999999999998E-3</v>
      </c>
      <c r="F151" s="456">
        <v>1.5699999999999999E-2</v>
      </c>
      <c r="G151" s="456">
        <v>6.5699999999999995E-2</v>
      </c>
      <c r="H151" s="457">
        <v>2.3599999999999999E-2</v>
      </c>
      <c r="I151" s="458">
        <v>0.2</v>
      </c>
      <c r="J151" s="459" t="s">
        <v>1800</v>
      </c>
    </row>
    <row r="152" spans="3:10" s="153" customFormat="1">
      <c r="C152" s="454" t="s">
        <v>769</v>
      </c>
      <c r="D152" s="455" t="s">
        <v>1779</v>
      </c>
      <c r="E152" s="455" t="e">
        <v>#N/A</v>
      </c>
      <c r="F152" s="456">
        <v>6.3899999999999998E-2</v>
      </c>
      <c r="G152" s="456">
        <v>0.13819999999999999</v>
      </c>
      <c r="H152" s="457">
        <v>9.6100000000000005E-2</v>
      </c>
      <c r="I152" s="458">
        <v>0.26860000000000001</v>
      </c>
      <c r="J152" s="459" t="s">
        <v>1780</v>
      </c>
    </row>
    <row r="153" spans="3:10" s="153" customFormat="1">
      <c r="C153" s="454" t="s">
        <v>773</v>
      </c>
      <c r="D153" s="455" t="s">
        <v>1818</v>
      </c>
      <c r="E153" s="455" t="e">
        <v>#N/A</v>
      </c>
      <c r="F153" s="456">
        <v>2.9600000000000001E-2</v>
      </c>
      <c r="G153" s="456">
        <v>8.6599999999999996E-2</v>
      </c>
      <c r="H153" s="457">
        <v>4.4499999999999998E-2</v>
      </c>
      <c r="I153" s="458">
        <v>0.3</v>
      </c>
      <c r="J153" s="459" t="s">
        <v>1787</v>
      </c>
    </row>
    <row r="154" spans="3:10" s="153" customFormat="1">
      <c r="C154" s="454" t="s">
        <v>775</v>
      </c>
      <c r="D154" s="455" t="s">
        <v>1807</v>
      </c>
      <c r="E154" s="456">
        <v>7.4200000000000002E-2</v>
      </c>
      <c r="F154" s="456">
        <v>7.3700000000000002E-2</v>
      </c>
      <c r="G154" s="456">
        <v>0.153</v>
      </c>
      <c r="H154" s="457">
        <v>0.1109</v>
      </c>
      <c r="I154" s="458">
        <v>0.15</v>
      </c>
      <c r="J154" s="459" t="s">
        <v>1780</v>
      </c>
    </row>
    <row r="155" spans="3:10" s="153" customFormat="1">
      <c r="C155" s="454" t="s">
        <v>1124</v>
      </c>
      <c r="D155" s="455" t="s">
        <v>1796</v>
      </c>
      <c r="E155" s="456">
        <v>3.7999999999999999E-2</v>
      </c>
      <c r="F155" s="456">
        <v>4.4299999999999999E-2</v>
      </c>
      <c r="G155" s="456">
        <v>0.1087</v>
      </c>
      <c r="H155" s="457">
        <v>6.6600000000000006E-2</v>
      </c>
      <c r="I155" s="458">
        <v>0.25</v>
      </c>
      <c r="J155" s="459" t="s">
        <v>1777</v>
      </c>
    </row>
    <row r="156" spans="3:10" s="153" customFormat="1">
      <c r="C156" s="454" t="s">
        <v>781</v>
      </c>
      <c r="D156" s="455" t="s">
        <v>1776</v>
      </c>
      <c r="E156" s="455" t="e">
        <v>#N/A</v>
      </c>
      <c r="F156" s="456">
        <v>1.5699999999999999E-2</v>
      </c>
      <c r="G156" s="456">
        <v>6.5699999999999995E-2</v>
      </c>
      <c r="H156" s="457">
        <v>2.3599999999999999E-2</v>
      </c>
      <c r="I156" s="458">
        <v>0</v>
      </c>
      <c r="J156" s="459" t="s">
        <v>1787</v>
      </c>
    </row>
    <row r="157" spans="3:10" s="153" customFormat="1">
      <c r="C157" s="454" t="s">
        <v>785</v>
      </c>
      <c r="D157" s="455" t="s">
        <v>1779</v>
      </c>
      <c r="E157" s="455" t="e">
        <v>#N/A</v>
      </c>
      <c r="F157" s="456">
        <v>6.3899999999999998E-2</v>
      </c>
      <c r="G157" s="456">
        <v>0.13819999999999999</v>
      </c>
      <c r="H157" s="457">
        <v>9.6100000000000005E-2</v>
      </c>
      <c r="I157" s="458">
        <v>0.3</v>
      </c>
      <c r="J157" s="459" t="s">
        <v>1780</v>
      </c>
    </row>
    <row r="158" spans="3:10" s="153" customFormat="1">
      <c r="C158" s="454" t="s">
        <v>787</v>
      </c>
      <c r="D158" s="455" t="s">
        <v>1809</v>
      </c>
      <c r="E158" s="455" t="s">
        <v>1772</v>
      </c>
      <c r="F158" s="456">
        <v>0.11799999999999999</v>
      </c>
      <c r="G158" s="456">
        <v>0.21959999999999999</v>
      </c>
      <c r="H158" s="457">
        <v>0.17749999999999999</v>
      </c>
      <c r="I158" s="458">
        <v>0.18</v>
      </c>
      <c r="J158" s="459" t="s">
        <v>1773</v>
      </c>
    </row>
    <row r="159" spans="3:10" s="153" customFormat="1">
      <c r="C159" s="454" t="s">
        <v>789</v>
      </c>
      <c r="D159" s="455" t="s">
        <v>1765</v>
      </c>
      <c r="E159" s="455" t="e">
        <v>#N/A</v>
      </c>
      <c r="F159" s="456">
        <v>4.8999999999999998E-3</v>
      </c>
      <c r="G159" s="456">
        <v>4.9399999999999999E-2</v>
      </c>
      <c r="H159" s="457">
        <v>7.3000000000000001E-3</v>
      </c>
      <c r="I159" s="458">
        <v>0.25</v>
      </c>
      <c r="J159" s="459" t="s">
        <v>1766</v>
      </c>
    </row>
    <row r="160" spans="3:10" s="153" customFormat="1">
      <c r="C160" s="454" t="s">
        <v>791</v>
      </c>
      <c r="D160" s="455" t="s">
        <v>1805</v>
      </c>
      <c r="E160" s="456">
        <v>3.7000000000000002E-3</v>
      </c>
      <c r="F160" s="456">
        <v>5.8999999999999999E-3</v>
      </c>
      <c r="G160" s="456">
        <v>5.0999999999999997E-2</v>
      </c>
      <c r="H160" s="457">
        <v>8.8999999999999999E-3</v>
      </c>
      <c r="I160" s="458">
        <v>0.25</v>
      </c>
      <c r="J160" s="459" t="s">
        <v>1777</v>
      </c>
    </row>
    <row r="161" spans="1:10">
      <c r="C161" s="454" t="s">
        <v>793</v>
      </c>
      <c r="D161" s="455" t="s">
        <v>1792</v>
      </c>
      <c r="E161" s="456">
        <v>5.0000000000000001E-3</v>
      </c>
      <c r="F161" s="456">
        <v>2.7000000000000001E-3</v>
      </c>
      <c r="G161" s="456">
        <v>4.6199999999999998E-2</v>
      </c>
      <c r="H161" s="457">
        <v>4.1000000000000003E-3</v>
      </c>
      <c r="I161" s="458">
        <v>0.25</v>
      </c>
      <c r="J161" s="459" t="s">
        <v>882</v>
      </c>
    </row>
    <row r="162" spans="1:10">
      <c r="C162" s="454" t="s">
        <v>794</v>
      </c>
      <c r="D162" s="455" t="s">
        <v>1776</v>
      </c>
      <c r="E162" s="456">
        <v>1.1900000000000001E-2</v>
      </c>
      <c r="F162" s="456">
        <v>1.5699999999999999E-2</v>
      </c>
      <c r="G162" s="456">
        <v>6.5699999999999995E-2</v>
      </c>
      <c r="H162" s="457">
        <v>2.3599999999999999E-2</v>
      </c>
      <c r="I162" s="458">
        <v>0.25</v>
      </c>
      <c r="J162" s="459" t="s">
        <v>1783</v>
      </c>
    </row>
    <row r="163" spans="1:10">
      <c r="C163" s="454" t="s">
        <v>796</v>
      </c>
      <c r="D163" s="455" t="s">
        <v>1771</v>
      </c>
      <c r="E163" s="455" t="e">
        <v>#N/A</v>
      </c>
      <c r="F163" s="456">
        <v>3.5400000000000001E-2</v>
      </c>
      <c r="G163" s="456">
        <v>9.5299999999999996E-2</v>
      </c>
      <c r="H163" s="457">
        <v>5.3199999999999997E-2</v>
      </c>
      <c r="I163" s="458">
        <v>0.15</v>
      </c>
      <c r="J163" s="459" t="s">
        <v>1773</v>
      </c>
    </row>
    <row r="164" spans="1:10">
      <c r="C164" s="454" t="s">
        <v>1120</v>
      </c>
      <c r="D164" s="455" t="s">
        <v>1803</v>
      </c>
      <c r="E164" s="455" t="s">
        <v>1772</v>
      </c>
      <c r="F164" s="456">
        <v>0.17499999999999999</v>
      </c>
      <c r="G164" s="456">
        <v>0.3054</v>
      </c>
      <c r="H164" s="457">
        <v>0.26329999999999998</v>
      </c>
      <c r="I164" s="458">
        <v>0.34</v>
      </c>
      <c r="J164" s="459" t="s">
        <v>1783</v>
      </c>
    </row>
    <row r="165" spans="1:10">
      <c r="C165" s="454" t="s">
        <v>258</v>
      </c>
      <c r="D165" s="455" t="s">
        <v>1818</v>
      </c>
      <c r="E165" s="456">
        <v>1.5699999999999999E-2</v>
      </c>
      <c r="F165" s="456">
        <v>2.9600000000000001E-2</v>
      </c>
      <c r="G165" s="456">
        <v>8.6599999999999996E-2</v>
      </c>
      <c r="H165" s="457">
        <v>4.4499999999999998E-2</v>
      </c>
      <c r="I165" s="458">
        <v>0.2</v>
      </c>
      <c r="J165" s="459" t="s">
        <v>1800</v>
      </c>
    </row>
    <row r="166" spans="1:10">
      <c r="A166" s="436" t="s">
        <v>57</v>
      </c>
      <c r="C166" s="454" t="s">
        <v>810</v>
      </c>
      <c r="D166" s="455" t="s">
        <v>1816</v>
      </c>
      <c r="E166" s="455" t="s">
        <v>1772</v>
      </c>
      <c r="F166" s="456">
        <v>8.8499999999999995E-2</v>
      </c>
      <c r="G166" s="456">
        <v>0.17530000000000001</v>
      </c>
      <c r="H166" s="457">
        <v>0.13320000000000001</v>
      </c>
      <c r="I166" s="458">
        <v>0.35</v>
      </c>
      <c r="J166" s="459" t="s">
        <v>1780</v>
      </c>
    </row>
    <row r="168" spans="1:10">
      <c r="C168" s="467"/>
      <c r="D168" s="467"/>
      <c r="E168" s="467"/>
      <c r="F168" s="467"/>
      <c r="G168" s="467"/>
    </row>
    <row r="169" spans="1:10" ht="34">
      <c r="C169" s="486" t="s">
        <v>1762</v>
      </c>
      <c r="D169" s="486" t="s">
        <v>1832</v>
      </c>
      <c r="E169" s="486" t="s">
        <v>1833</v>
      </c>
      <c r="F169" s="486" t="s">
        <v>1834</v>
      </c>
      <c r="G169" s="486" t="s">
        <v>1835</v>
      </c>
    </row>
    <row r="170" spans="1:10">
      <c r="C170" s="468" t="s">
        <v>1780</v>
      </c>
      <c r="D170" s="469">
        <v>6.3069199452244401E-2</v>
      </c>
      <c r="E170" s="469">
        <v>9.4891665978056733E-2</v>
      </c>
      <c r="F170" s="469">
        <v>0.13699166597805673</v>
      </c>
      <c r="G170" s="469">
        <v>0.26819333333333339</v>
      </c>
    </row>
    <row r="171" spans="1:10">
      <c r="C171" s="468" t="s">
        <v>1800</v>
      </c>
      <c r="D171" s="469">
        <v>3.8149489041419751E-2</v>
      </c>
      <c r="E171" s="469">
        <v>5.7398359306796515E-2</v>
      </c>
      <c r="F171" s="469">
        <v>9.9498359306796527E-2</v>
      </c>
      <c r="G171" s="469">
        <v>0.24529166666666671</v>
      </c>
    </row>
    <row r="172" spans="1:10">
      <c r="C172" s="468" t="s">
        <v>1790</v>
      </c>
      <c r="D172" s="469">
        <v>1.4753254376235024E-2</v>
      </c>
      <c r="E172" s="469">
        <v>2.2197219855613345E-2</v>
      </c>
      <c r="F172" s="469">
        <v>6.4297219855613347E-2</v>
      </c>
      <c r="G172" s="469">
        <v>0.29246666666666665</v>
      </c>
    </row>
    <row r="173" spans="1:10">
      <c r="C173" s="468" t="s">
        <v>1787</v>
      </c>
      <c r="D173" s="469">
        <v>3.6698789047038931E-2</v>
      </c>
      <c r="E173" s="469">
        <v>5.5215687884030362E-2</v>
      </c>
      <c r="F173" s="469">
        <v>9.7315687884030361E-2</v>
      </c>
      <c r="G173" s="469">
        <v>0.17758571428571426</v>
      </c>
    </row>
    <row r="174" spans="1:10">
      <c r="C174" s="468" t="s">
        <v>1783</v>
      </c>
      <c r="D174" s="469">
        <v>5.3014128631707298E-2</v>
      </c>
      <c r="E174" s="469">
        <v>7.9763165379114098E-2</v>
      </c>
      <c r="F174" s="469">
        <v>0.1218631653791141</v>
      </c>
      <c r="G174" s="469">
        <v>0.28369999999999995</v>
      </c>
    </row>
    <row r="175" spans="1:10">
      <c r="C175" s="468" t="s">
        <v>1773</v>
      </c>
      <c r="D175" s="469">
        <v>3.7056573993488127E-2</v>
      </c>
      <c r="E175" s="469">
        <v>5.5753998341833783E-2</v>
      </c>
      <c r="F175" s="469">
        <v>9.7853998341833781E-2</v>
      </c>
      <c r="G175" s="469">
        <v>0.16038461538461538</v>
      </c>
    </row>
    <row r="176" spans="1:10">
      <c r="C176" s="468" t="s">
        <v>1766</v>
      </c>
      <c r="D176" s="469">
        <v>3.4022460758524782E-2</v>
      </c>
      <c r="E176" s="469">
        <v>5.1188979883818507E-2</v>
      </c>
      <c r="F176" s="469">
        <v>9.3288979883818485E-2</v>
      </c>
      <c r="G176" s="469">
        <v>0.13461538461538461</v>
      </c>
    </row>
    <row r="177" spans="3:7">
      <c r="C177" s="468" t="s">
        <v>882</v>
      </c>
      <c r="D177" s="469">
        <v>1.3402173913043477E-3</v>
      </c>
      <c r="E177" s="469">
        <v>2.0164432423140422E-3</v>
      </c>
      <c r="F177" s="469">
        <v>4.4116443242314042E-2</v>
      </c>
      <c r="G177" s="469">
        <v>0.25750000000000001</v>
      </c>
    </row>
    <row r="178" spans="3:7">
      <c r="C178" s="468" t="s">
        <v>1777</v>
      </c>
      <c r="D178" s="469">
        <v>7.899865738026389E-3</v>
      </c>
      <c r="E178" s="469">
        <v>1.1885855970819969E-2</v>
      </c>
      <c r="F178" s="469">
        <v>5.3985855970819965E-2</v>
      </c>
      <c r="G178" s="469">
        <v>0.1951615384615385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E9F4B-2331-4CB3-A960-E153028B4C61}">
  <dimension ref="A6:IU55"/>
  <sheetViews>
    <sheetView zoomScale="125" workbookViewId="0">
      <selection activeCell="D41" sqref="D41"/>
    </sheetView>
  </sheetViews>
  <sheetFormatPr baseColWidth="10" defaultColWidth="8.83203125" defaultRowHeight="11"/>
  <cols>
    <col min="1" max="1" width="47.83203125" style="41" customWidth="1"/>
    <col min="2" max="16" width="20.83203125" style="41" customWidth="1"/>
    <col min="17" max="256" width="8.5" style="41"/>
    <col min="257" max="257" width="47.83203125" style="41" customWidth="1"/>
    <col min="258" max="272" width="20.83203125" style="41" customWidth="1"/>
    <col min="273" max="512" width="8.5" style="41"/>
    <col min="513" max="513" width="47.83203125" style="41" customWidth="1"/>
    <col min="514" max="528" width="20.83203125" style="41" customWidth="1"/>
    <col min="529" max="768" width="8.5" style="41"/>
    <col min="769" max="769" width="47.83203125" style="41" customWidth="1"/>
    <col min="770" max="784" width="20.83203125" style="41" customWidth="1"/>
    <col min="785" max="1024" width="8.5" style="41"/>
    <col min="1025" max="1025" width="47.83203125" style="41" customWidth="1"/>
    <col min="1026" max="1040" width="20.83203125" style="41" customWidth="1"/>
    <col min="1041" max="1280" width="8.5" style="41"/>
    <col min="1281" max="1281" width="47.83203125" style="41" customWidth="1"/>
    <col min="1282" max="1296" width="20.83203125" style="41" customWidth="1"/>
    <col min="1297" max="1536" width="8.5" style="41"/>
    <col min="1537" max="1537" width="47.83203125" style="41" customWidth="1"/>
    <col min="1538" max="1552" width="20.83203125" style="41" customWidth="1"/>
    <col min="1553" max="1792" width="8.5" style="41"/>
    <col min="1793" max="1793" width="47.83203125" style="41" customWidth="1"/>
    <col min="1794" max="1808" width="20.83203125" style="41" customWidth="1"/>
    <col min="1809" max="2048" width="8.5" style="41"/>
    <col min="2049" max="2049" width="47.83203125" style="41" customWidth="1"/>
    <col min="2050" max="2064" width="20.83203125" style="41" customWidth="1"/>
    <col min="2065" max="2304" width="8.5" style="41"/>
    <col min="2305" max="2305" width="47.83203125" style="41" customWidth="1"/>
    <col min="2306" max="2320" width="20.83203125" style="41" customWidth="1"/>
    <col min="2321" max="2560" width="8.5" style="41"/>
    <col min="2561" max="2561" width="47.83203125" style="41" customWidth="1"/>
    <col min="2562" max="2576" width="20.83203125" style="41" customWidth="1"/>
    <col min="2577" max="2816" width="8.5" style="41"/>
    <col min="2817" max="2817" width="47.83203125" style="41" customWidth="1"/>
    <col min="2818" max="2832" width="20.83203125" style="41" customWidth="1"/>
    <col min="2833" max="3072" width="8.5" style="41"/>
    <col min="3073" max="3073" width="47.83203125" style="41" customWidth="1"/>
    <col min="3074" max="3088" width="20.83203125" style="41" customWidth="1"/>
    <col min="3089" max="3328" width="8.5" style="41"/>
    <col min="3329" max="3329" width="47.83203125" style="41" customWidth="1"/>
    <col min="3330" max="3344" width="20.83203125" style="41" customWidth="1"/>
    <col min="3345" max="3584" width="8.5" style="41"/>
    <col min="3585" max="3585" width="47.83203125" style="41" customWidth="1"/>
    <col min="3586" max="3600" width="20.83203125" style="41" customWidth="1"/>
    <col min="3601" max="3840" width="8.5" style="41"/>
    <col min="3841" max="3841" width="47.83203125" style="41" customWidth="1"/>
    <col min="3842" max="3856" width="20.83203125" style="41" customWidth="1"/>
    <col min="3857" max="4096" width="8.5" style="41"/>
    <col min="4097" max="4097" width="47.83203125" style="41" customWidth="1"/>
    <col min="4098" max="4112" width="20.83203125" style="41" customWidth="1"/>
    <col min="4113" max="4352" width="8.5" style="41"/>
    <col min="4353" max="4353" width="47.83203125" style="41" customWidth="1"/>
    <col min="4354" max="4368" width="20.83203125" style="41" customWidth="1"/>
    <col min="4369" max="4608" width="8.5" style="41"/>
    <col min="4609" max="4609" width="47.83203125" style="41" customWidth="1"/>
    <col min="4610" max="4624" width="20.83203125" style="41" customWidth="1"/>
    <col min="4625" max="4864" width="8.5" style="41"/>
    <col min="4865" max="4865" width="47.83203125" style="41" customWidth="1"/>
    <col min="4866" max="4880" width="20.83203125" style="41" customWidth="1"/>
    <col min="4881" max="5120" width="8.5" style="41"/>
    <col min="5121" max="5121" width="47.83203125" style="41" customWidth="1"/>
    <col min="5122" max="5136" width="20.83203125" style="41" customWidth="1"/>
    <col min="5137" max="5376" width="8.5" style="41"/>
    <col min="5377" max="5377" width="47.83203125" style="41" customWidth="1"/>
    <col min="5378" max="5392" width="20.83203125" style="41" customWidth="1"/>
    <col min="5393" max="5632" width="8.5" style="41"/>
    <col min="5633" max="5633" width="47.83203125" style="41" customWidth="1"/>
    <col min="5634" max="5648" width="20.83203125" style="41" customWidth="1"/>
    <col min="5649" max="5888" width="8.5" style="41"/>
    <col min="5889" max="5889" width="47.83203125" style="41" customWidth="1"/>
    <col min="5890" max="5904" width="20.83203125" style="41" customWidth="1"/>
    <col min="5905" max="6144" width="8.5" style="41"/>
    <col min="6145" max="6145" width="47.83203125" style="41" customWidth="1"/>
    <col min="6146" max="6160" width="20.83203125" style="41" customWidth="1"/>
    <col min="6161" max="6400" width="8.5" style="41"/>
    <col min="6401" max="6401" width="47.83203125" style="41" customWidth="1"/>
    <col min="6402" max="6416" width="20.83203125" style="41" customWidth="1"/>
    <col min="6417" max="6656" width="8.5" style="41"/>
    <col min="6657" max="6657" width="47.83203125" style="41" customWidth="1"/>
    <col min="6658" max="6672" width="20.83203125" style="41" customWidth="1"/>
    <col min="6673" max="6912" width="8.5" style="41"/>
    <col min="6913" max="6913" width="47.83203125" style="41" customWidth="1"/>
    <col min="6914" max="6928" width="20.83203125" style="41" customWidth="1"/>
    <col min="6929" max="7168" width="8.5" style="41"/>
    <col min="7169" max="7169" width="47.83203125" style="41" customWidth="1"/>
    <col min="7170" max="7184" width="20.83203125" style="41" customWidth="1"/>
    <col min="7185" max="7424" width="8.5" style="41"/>
    <col min="7425" max="7425" width="47.83203125" style="41" customWidth="1"/>
    <col min="7426" max="7440" width="20.83203125" style="41" customWidth="1"/>
    <col min="7441" max="7680" width="8.5" style="41"/>
    <col min="7681" max="7681" width="47.83203125" style="41" customWidth="1"/>
    <col min="7682" max="7696" width="20.83203125" style="41" customWidth="1"/>
    <col min="7697" max="7936" width="8.5" style="41"/>
    <col min="7937" max="7937" width="47.83203125" style="41" customWidth="1"/>
    <col min="7938" max="7952" width="20.83203125" style="41" customWidth="1"/>
    <col min="7953" max="8192" width="8.5" style="41"/>
    <col min="8193" max="8193" width="47.83203125" style="41" customWidth="1"/>
    <col min="8194" max="8208" width="20.83203125" style="41" customWidth="1"/>
    <col min="8209" max="8448" width="8.5" style="41"/>
    <col min="8449" max="8449" width="47.83203125" style="41" customWidth="1"/>
    <col min="8450" max="8464" width="20.83203125" style="41" customWidth="1"/>
    <col min="8465" max="8704" width="8.5" style="41"/>
    <col min="8705" max="8705" width="47.83203125" style="41" customWidth="1"/>
    <col min="8706" max="8720" width="20.83203125" style="41" customWidth="1"/>
    <col min="8721" max="8960" width="8.5" style="41"/>
    <col min="8961" max="8961" width="47.83203125" style="41" customWidth="1"/>
    <col min="8962" max="8976" width="20.83203125" style="41" customWidth="1"/>
    <col min="8977" max="9216" width="8.5" style="41"/>
    <col min="9217" max="9217" width="47.83203125" style="41" customWidth="1"/>
    <col min="9218" max="9232" width="20.83203125" style="41" customWidth="1"/>
    <col min="9233" max="9472" width="8.5" style="41"/>
    <col min="9473" max="9473" width="47.83203125" style="41" customWidth="1"/>
    <col min="9474" max="9488" width="20.83203125" style="41" customWidth="1"/>
    <col min="9489" max="9728" width="8.5" style="41"/>
    <col min="9729" max="9729" width="47.83203125" style="41" customWidth="1"/>
    <col min="9730" max="9744" width="20.83203125" style="41" customWidth="1"/>
    <col min="9745" max="9984" width="8.5" style="41"/>
    <col min="9985" max="9985" width="47.83203125" style="41" customWidth="1"/>
    <col min="9986" max="10000" width="20.83203125" style="41" customWidth="1"/>
    <col min="10001" max="10240" width="8.5" style="41"/>
    <col min="10241" max="10241" width="47.83203125" style="41" customWidth="1"/>
    <col min="10242" max="10256" width="20.83203125" style="41" customWidth="1"/>
    <col min="10257" max="10496" width="8.5" style="41"/>
    <col min="10497" max="10497" width="47.83203125" style="41" customWidth="1"/>
    <col min="10498" max="10512" width="20.83203125" style="41" customWidth="1"/>
    <col min="10513" max="10752" width="8.5" style="41"/>
    <col min="10753" max="10753" width="47.83203125" style="41" customWidth="1"/>
    <col min="10754" max="10768" width="20.83203125" style="41" customWidth="1"/>
    <col min="10769" max="11008" width="8.5" style="41"/>
    <col min="11009" max="11009" width="47.83203125" style="41" customWidth="1"/>
    <col min="11010" max="11024" width="20.83203125" style="41" customWidth="1"/>
    <col min="11025" max="11264" width="8.5" style="41"/>
    <col min="11265" max="11265" width="47.83203125" style="41" customWidth="1"/>
    <col min="11266" max="11280" width="20.83203125" style="41" customWidth="1"/>
    <col min="11281" max="11520" width="8.5" style="41"/>
    <col min="11521" max="11521" width="47.83203125" style="41" customWidth="1"/>
    <col min="11522" max="11536" width="20.83203125" style="41" customWidth="1"/>
    <col min="11537" max="11776" width="8.5" style="41"/>
    <col min="11777" max="11777" width="47.83203125" style="41" customWidth="1"/>
    <col min="11778" max="11792" width="20.83203125" style="41" customWidth="1"/>
    <col min="11793" max="12032" width="8.5" style="41"/>
    <col min="12033" max="12033" width="47.83203125" style="41" customWidth="1"/>
    <col min="12034" max="12048" width="20.83203125" style="41" customWidth="1"/>
    <col min="12049" max="12288" width="8.5" style="41"/>
    <col min="12289" max="12289" width="47.83203125" style="41" customWidth="1"/>
    <col min="12290" max="12304" width="20.83203125" style="41" customWidth="1"/>
    <col min="12305" max="12544" width="8.5" style="41"/>
    <col min="12545" max="12545" width="47.83203125" style="41" customWidth="1"/>
    <col min="12546" max="12560" width="20.83203125" style="41" customWidth="1"/>
    <col min="12561" max="12800" width="8.5" style="41"/>
    <col min="12801" max="12801" width="47.83203125" style="41" customWidth="1"/>
    <col min="12802" max="12816" width="20.83203125" style="41" customWidth="1"/>
    <col min="12817" max="13056" width="8.5" style="41"/>
    <col min="13057" max="13057" width="47.83203125" style="41" customWidth="1"/>
    <col min="13058" max="13072" width="20.83203125" style="41" customWidth="1"/>
    <col min="13073" max="13312" width="8.5" style="41"/>
    <col min="13313" max="13313" width="47.83203125" style="41" customWidth="1"/>
    <col min="13314" max="13328" width="20.83203125" style="41" customWidth="1"/>
    <col min="13329" max="13568" width="8.5" style="41"/>
    <col min="13569" max="13569" width="47.83203125" style="41" customWidth="1"/>
    <col min="13570" max="13584" width="20.83203125" style="41" customWidth="1"/>
    <col min="13585" max="13824" width="8.5" style="41"/>
    <col min="13825" max="13825" width="47.83203125" style="41" customWidth="1"/>
    <col min="13826" max="13840" width="20.83203125" style="41" customWidth="1"/>
    <col min="13841" max="14080" width="8.5" style="41"/>
    <col min="14081" max="14081" width="47.83203125" style="41" customWidth="1"/>
    <col min="14082" max="14096" width="20.83203125" style="41" customWidth="1"/>
    <col min="14097" max="14336" width="8.5" style="41"/>
    <col min="14337" max="14337" width="47.83203125" style="41" customWidth="1"/>
    <col min="14338" max="14352" width="20.83203125" style="41" customWidth="1"/>
    <col min="14353" max="14592" width="8.5" style="41"/>
    <col min="14593" max="14593" width="47.83203125" style="41" customWidth="1"/>
    <col min="14594" max="14608" width="20.83203125" style="41" customWidth="1"/>
    <col min="14609" max="14848" width="8.5" style="41"/>
    <col min="14849" max="14849" width="47.83203125" style="41" customWidth="1"/>
    <col min="14850" max="14864" width="20.83203125" style="41" customWidth="1"/>
    <col min="14865" max="15104" width="8.5" style="41"/>
    <col min="15105" max="15105" width="47.83203125" style="41" customWidth="1"/>
    <col min="15106" max="15120" width="20.83203125" style="41" customWidth="1"/>
    <col min="15121" max="15360" width="8.5" style="41"/>
    <col min="15361" max="15361" width="47.83203125" style="41" customWidth="1"/>
    <col min="15362" max="15376" width="20.83203125" style="41" customWidth="1"/>
    <col min="15377" max="15616" width="8.5" style="41"/>
    <col min="15617" max="15617" width="47.83203125" style="41" customWidth="1"/>
    <col min="15618" max="15632" width="20.83203125" style="41" customWidth="1"/>
    <col min="15633" max="15872" width="8.5" style="41"/>
    <col min="15873" max="15873" width="47.83203125" style="41" customWidth="1"/>
    <col min="15874" max="15888" width="20.83203125" style="41" customWidth="1"/>
    <col min="15889" max="16128" width="8.5" style="41"/>
    <col min="16129" max="16129" width="47.83203125" style="41" customWidth="1"/>
    <col min="16130" max="16144" width="20.83203125" style="41" customWidth="1"/>
    <col min="16145" max="16384" width="8.5" style="41"/>
  </cols>
  <sheetData>
    <row r="6" spans="1:255" ht="16.5" customHeight="1">
      <c r="A6" s="40" t="s">
        <v>1836</v>
      </c>
    </row>
    <row r="7" spans="1:255">
      <c r="A7" s="44" t="s">
        <v>1707</v>
      </c>
      <c r="B7" s="44"/>
      <c r="C7" s="44"/>
      <c r="D7" s="44"/>
      <c r="E7" s="44"/>
      <c r="F7" s="44"/>
      <c r="G7" s="44"/>
      <c r="H7" s="44"/>
      <c r="I7" s="44"/>
      <c r="J7" s="44"/>
      <c r="K7" s="44"/>
      <c r="L7" s="44"/>
      <c r="M7" s="44"/>
      <c r="N7" s="44"/>
      <c r="O7" s="44"/>
      <c r="P7" s="44"/>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c r="BN7" s="45"/>
      <c r="BO7" s="45"/>
      <c r="BP7" s="45"/>
      <c r="BQ7" s="45"/>
      <c r="BR7" s="45"/>
      <c r="BS7" s="45"/>
      <c r="BT7" s="45"/>
      <c r="BU7" s="45"/>
      <c r="BV7" s="45"/>
      <c r="BW7" s="45"/>
      <c r="BX7" s="45"/>
      <c r="BY7" s="45"/>
      <c r="BZ7" s="45"/>
      <c r="CA7" s="45"/>
      <c r="CB7" s="45"/>
      <c r="CC7" s="45"/>
      <c r="CD7" s="45"/>
      <c r="CE7" s="45"/>
      <c r="CF7" s="45"/>
      <c r="CG7" s="45"/>
      <c r="CH7" s="45"/>
      <c r="CI7" s="45"/>
      <c r="CJ7" s="45"/>
      <c r="CK7" s="45"/>
      <c r="CL7" s="45"/>
      <c r="CM7" s="45"/>
      <c r="CN7" s="45"/>
      <c r="CO7" s="45"/>
      <c r="CP7" s="45"/>
      <c r="CQ7" s="45"/>
      <c r="CR7" s="45"/>
      <c r="CS7" s="45"/>
      <c r="CT7" s="45"/>
      <c r="CU7" s="45"/>
      <c r="CV7" s="45"/>
      <c r="CW7" s="45"/>
      <c r="CX7" s="45"/>
      <c r="CY7" s="45"/>
      <c r="CZ7" s="45"/>
      <c r="DA7" s="45"/>
      <c r="DB7" s="45"/>
      <c r="DC7" s="45"/>
      <c r="DD7" s="45"/>
      <c r="DE7" s="45"/>
      <c r="DF7" s="45"/>
      <c r="DG7" s="45"/>
      <c r="DH7" s="45"/>
      <c r="DI7" s="45"/>
      <c r="DJ7" s="45"/>
      <c r="DK7" s="45"/>
      <c r="DL7" s="45"/>
      <c r="DM7" s="45"/>
      <c r="DN7" s="45"/>
      <c r="DO7" s="45"/>
      <c r="DP7" s="45"/>
      <c r="DQ7" s="45"/>
      <c r="DR7" s="45"/>
      <c r="DS7" s="45"/>
      <c r="DT7" s="45"/>
      <c r="DU7" s="45"/>
      <c r="DV7" s="45"/>
      <c r="DW7" s="45"/>
      <c r="DX7" s="45"/>
      <c r="DY7" s="45"/>
      <c r="DZ7" s="45"/>
      <c r="EA7" s="45"/>
      <c r="EB7" s="45"/>
      <c r="EC7" s="45"/>
      <c r="ED7" s="45"/>
      <c r="EE7" s="45"/>
      <c r="EF7" s="45"/>
      <c r="EG7" s="45"/>
      <c r="EH7" s="45"/>
      <c r="EI7" s="45"/>
      <c r="EJ7" s="45"/>
      <c r="EK7" s="45"/>
      <c r="EL7" s="45"/>
      <c r="EM7" s="45"/>
      <c r="EN7" s="45"/>
      <c r="EO7" s="45"/>
      <c r="EP7" s="45"/>
      <c r="EQ7" s="45"/>
      <c r="ER7" s="45"/>
      <c r="ES7" s="45"/>
      <c r="ET7" s="45"/>
      <c r="EU7" s="45"/>
      <c r="EV7" s="45"/>
      <c r="EW7" s="45"/>
      <c r="EX7" s="45"/>
      <c r="EY7" s="45"/>
      <c r="EZ7" s="45"/>
      <c r="FA7" s="45"/>
      <c r="FB7" s="45"/>
      <c r="FC7" s="45"/>
      <c r="FD7" s="45"/>
      <c r="FE7" s="45"/>
      <c r="FF7" s="45"/>
      <c r="FG7" s="45"/>
      <c r="FH7" s="45"/>
      <c r="FI7" s="45"/>
      <c r="FJ7" s="45"/>
      <c r="FK7" s="45"/>
      <c r="FL7" s="45"/>
      <c r="FM7" s="45"/>
      <c r="FN7" s="45"/>
      <c r="FO7" s="45"/>
      <c r="FP7" s="45"/>
      <c r="FQ7" s="45"/>
      <c r="FR7" s="45"/>
      <c r="FS7" s="45"/>
      <c r="FT7" s="45"/>
      <c r="FU7" s="45"/>
      <c r="FV7" s="45"/>
      <c r="FW7" s="45"/>
      <c r="FX7" s="45"/>
      <c r="FY7" s="45"/>
      <c r="FZ7" s="45"/>
      <c r="GA7" s="45"/>
      <c r="GB7" s="45"/>
      <c r="GC7" s="45"/>
      <c r="GD7" s="45"/>
      <c r="GE7" s="45"/>
      <c r="GF7" s="45"/>
      <c r="GG7" s="45"/>
      <c r="GH7" s="45"/>
      <c r="GI7" s="45"/>
      <c r="GJ7" s="45"/>
      <c r="GK7" s="45"/>
      <c r="GL7" s="45"/>
      <c r="GM7" s="45"/>
      <c r="GN7" s="45"/>
      <c r="GO7" s="45"/>
      <c r="GP7" s="45"/>
      <c r="GQ7" s="45"/>
      <c r="GR7" s="45"/>
      <c r="GS7" s="45"/>
      <c r="GT7" s="45"/>
      <c r="GU7" s="45"/>
      <c r="GV7" s="45"/>
      <c r="GW7" s="45"/>
      <c r="GX7" s="45"/>
      <c r="GY7" s="45"/>
      <c r="GZ7" s="45"/>
      <c r="HA7" s="45"/>
      <c r="HB7" s="45"/>
      <c r="HC7" s="45"/>
      <c r="HD7" s="45"/>
      <c r="HE7" s="45"/>
      <c r="HF7" s="45"/>
      <c r="HG7" s="45"/>
      <c r="HH7" s="45"/>
      <c r="HI7" s="45"/>
      <c r="HJ7" s="45"/>
      <c r="HK7" s="45"/>
      <c r="HL7" s="45"/>
      <c r="HM7" s="45"/>
      <c r="HN7" s="45"/>
      <c r="HO7" s="45"/>
      <c r="HP7" s="45"/>
      <c r="HQ7" s="45"/>
      <c r="HR7" s="45"/>
      <c r="HS7" s="45"/>
      <c r="HT7" s="45"/>
      <c r="HU7" s="45"/>
      <c r="HV7" s="45"/>
      <c r="HW7" s="45"/>
      <c r="HX7" s="45"/>
      <c r="HY7" s="45"/>
      <c r="HZ7" s="45"/>
      <c r="IA7" s="45"/>
      <c r="IB7" s="45"/>
      <c r="IC7" s="45"/>
      <c r="ID7" s="45"/>
      <c r="IE7" s="45"/>
      <c r="IF7" s="45"/>
      <c r="IG7" s="45"/>
      <c r="IH7" s="45"/>
      <c r="II7" s="45"/>
      <c r="IJ7" s="45"/>
      <c r="IK7" s="45"/>
      <c r="IL7" s="45"/>
      <c r="IM7" s="45"/>
      <c r="IN7" s="45"/>
      <c r="IO7" s="45"/>
      <c r="IP7" s="45"/>
      <c r="IQ7" s="45"/>
      <c r="IR7" s="45"/>
      <c r="IS7" s="45"/>
      <c r="IT7" s="45"/>
      <c r="IU7" s="45"/>
    </row>
    <row r="8" spans="1:255">
      <c r="A8" s="43" t="s">
        <v>1708</v>
      </c>
      <c r="B8" s="399" t="s">
        <v>1709</v>
      </c>
    </row>
    <row r="9" spans="1:255">
      <c r="A9" s="43" t="s">
        <v>1710</v>
      </c>
      <c r="B9" s="399" t="s">
        <v>1496</v>
      </c>
    </row>
    <row r="10" spans="1:255">
      <c r="A10" s="43" t="s">
        <v>1711</v>
      </c>
      <c r="B10" s="400">
        <v>45994</v>
      </c>
    </row>
    <row r="11" spans="1:255">
      <c r="A11" s="42"/>
    </row>
    <row r="13" spans="1:255">
      <c r="A13" s="44" t="s">
        <v>1712</v>
      </c>
      <c r="B13" s="44"/>
      <c r="C13" s="44"/>
      <c r="D13" s="44"/>
      <c r="E13" s="44"/>
      <c r="F13" s="44"/>
      <c r="G13" s="44"/>
      <c r="H13" s="44"/>
      <c r="I13" s="44"/>
      <c r="J13" s="44"/>
      <c r="K13" s="44"/>
      <c r="L13" s="44"/>
      <c r="M13" s="44"/>
      <c r="N13" s="44"/>
      <c r="O13" s="44"/>
      <c r="P13" s="44"/>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c r="CH13" s="45"/>
      <c r="CI13" s="45"/>
      <c r="CJ13" s="45"/>
      <c r="CK13" s="45"/>
      <c r="CL13" s="45"/>
      <c r="CM13" s="45"/>
      <c r="CN13" s="45"/>
      <c r="CO13" s="45"/>
      <c r="CP13" s="45"/>
      <c r="CQ13" s="45"/>
      <c r="CR13" s="45"/>
      <c r="CS13" s="45"/>
      <c r="CT13" s="45"/>
      <c r="CU13" s="45"/>
      <c r="CV13" s="45"/>
      <c r="CW13" s="45"/>
      <c r="CX13" s="45"/>
      <c r="CY13" s="45"/>
      <c r="CZ13" s="45"/>
      <c r="DA13" s="45"/>
      <c r="DB13" s="45"/>
      <c r="DC13" s="45"/>
      <c r="DD13" s="45"/>
      <c r="DE13" s="45"/>
      <c r="DF13" s="45"/>
      <c r="DG13" s="45"/>
      <c r="DH13" s="45"/>
      <c r="DI13" s="45"/>
      <c r="DJ13" s="45"/>
      <c r="DK13" s="45"/>
      <c r="DL13" s="45"/>
      <c r="DM13" s="45"/>
      <c r="DN13" s="45"/>
      <c r="DO13" s="45"/>
      <c r="DP13" s="45"/>
      <c r="DQ13" s="45"/>
      <c r="DR13" s="45"/>
      <c r="DS13" s="45"/>
      <c r="DT13" s="45"/>
      <c r="DU13" s="45"/>
      <c r="DV13" s="45"/>
      <c r="DW13" s="45"/>
      <c r="DX13" s="45"/>
      <c r="DY13" s="45"/>
      <c r="DZ13" s="45"/>
      <c r="EA13" s="45"/>
      <c r="EB13" s="45"/>
      <c r="EC13" s="45"/>
      <c r="ED13" s="45"/>
      <c r="EE13" s="45"/>
      <c r="EF13" s="45"/>
      <c r="EG13" s="45"/>
      <c r="EH13" s="45"/>
      <c r="EI13" s="45"/>
      <c r="EJ13" s="45"/>
      <c r="EK13" s="45"/>
      <c r="EL13" s="45"/>
      <c r="EM13" s="45"/>
      <c r="EN13" s="45"/>
      <c r="EO13" s="45"/>
      <c r="EP13" s="45"/>
      <c r="EQ13" s="45"/>
      <c r="ER13" s="45"/>
      <c r="ES13" s="45"/>
      <c r="ET13" s="45"/>
      <c r="EU13" s="45"/>
      <c r="EV13" s="45"/>
      <c r="EW13" s="45"/>
      <c r="EX13" s="45"/>
      <c r="EY13" s="45"/>
      <c r="EZ13" s="45"/>
      <c r="FA13" s="45"/>
      <c r="FB13" s="45"/>
      <c r="FC13" s="45"/>
      <c r="FD13" s="45"/>
      <c r="FE13" s="45"/>
      <c r="FF13" s="45"/>
      <c r="FG13" s="45"/>
      <c r="FH13" s="45"/>
      <c r="FI13" s="45"/>
      <c r="FJ13" s="45"/>
      <c r="FK13" s="45"/>
      <c r="FL13" s="45"/>
      <c r="FM13" s="45"/>
      <c r="FN13" s="45"/>
      <c r="FO13" s="45"/>
      <c r="FP13" s="45"/>
      <c r="FQ13" s="45"/>
      <c r="FR13" s="45"/>
      <c r="FS13" s="45"/>
      <c r="FT13" s="45"/>
      <c r="FU13" s="45"/>
      <c r="FV13" s="45"/>
      <c r="FW13" s="45"/>
      <c r="FX13" s="45"/>
      <c r="FY13" s="45"/>
      <c r="FZ13" s="45"/>
      <c r="GA13" s="45"/>
      <c r="GB13" s="45"/>
      <c r="GC13" s="45"/>
      <c r="GD13" s="45"/>
      <c r="GE13" s="45"/>
      <c r="GF13" s="45"/>
      <c r="GG13" s="45"/>
      <c r="GH13" s="45"/>
      <c r="GI13" s="45"/>
      <c r="GJ13" s="45"/>
      <c r="GK13" s="45"/>
      <c r="GL13" s="45"/>
      <c r="GM13" s="45"/>
      <c r="GN13" s="45"/>
      <c r="GO13" s="45"/>
      <c r="GP13" s="45"/>
      <c r="GQ13" s="45"/>
      <c r="GR13" s="45"/>
      <c r="GS13" s="45"/>
      <c r="GT13" s="45"/>
      <c r="GU13" s="45"/>
      <c r="GV13" s="45"/>
      <c r="GW13" s="45"/>
      <c r="GX13" s="45"/>
      <c r="GY13" s="45"/>
      <c r="GZ13" s="45"/>
      <c r="HA13" s="45"/>
      <c r="HB13" s="45"/>
      <c r="HC13" s="45"/>
      <c r="HD13" s="45"/>
      <c r="HE13" s="45"/>
      <c r="HF13" s="45"/>
      <c r="HG13" s="45"/>
      <c r="HH13" s="45"/>
      <c r="HI13" s="45"/>
      <c r="HJ13" s="45"/>
      <c r="HK13" s="45"/>
      <c r="HL13" s="45"/>
      <c r="HM13" s="45"/>
      <c r="HN13" s="45"/>
      <c r="HO13" s="45"/>
      <c r="HP13" s="45"/>
      <c r="HQ13" s="45"/>
      <c r="HR13" s="45"/>
      <c r="HS13" s="45"/>
      <c r="HT13" s="45"/>
      <c r="HU13" s="45"/>
      <c r="HV13" s="45"/>
      <c r="HW13" s="45"/>
      <c r="HX13" s="45"/>
      <c r="HY13" s="45"/>
      <c r="HZ13" s="45"/>
      <c r="IA13" s="45"/>
      <c r="IB13" s="45"/>
      <c r="IC13" s="45"/>
      <c r="ID13" s="45"/>
      <c r="IE13" s="45"/>
      <c r="IF13" s="45"/>
      <c r="IG13" s="45"/>
      <c r="IH13" s="45"/>
      <c r="II13" s="45"/>
      <c r="IJ13" s="45"/>
      <c r="IK13" s="45"/>
      <c r="IL13" s="45"/>
      <c r="IM13" s="45"/>
      <c r="IN13" s="45"/>
      <c r="IO13" s="45"/>
      <c r="IP13" s="45"/>
      <c r="IQ13" s="45"/>
      <c r="IR13" s="45"/>
      <c r="IS13" s="45"/>
      <c r="IT13" s="45"/>
      <c r="IU13" s="45"/>
    </row>
    <row r="14" spans="1:255" ht="24">
      <c r="A14" s="401" t="s">
        <v>1713</v>
      </c>
      <c r="B14" s="402" t="s">
        <v>1837</v>
      </c>
      <c r="C14" s="402" t="s">
        <v>1838</v>
      </c>
      <c r="D14" s="402" t="s">
        <v>1839</v>
      </c>
      <c r="E14" s="402" t="s">
        <v>1840</v>
      </c>
      <c r="F14" s="402" t="s">
        <v>1841</v>
      </c>
      <c r="G14" s="402" t="s">
        <v>1842</v>
      </c>
      <c r="H14" s="402" t="s">
        <v>1843</v>
      </c>
      <c r="I14" s="402" t="s">
        <v>1844</v>
      </c>
      <c r="J14" s="402" t="s">
        <v>1845</v>
      </c>
      <c r="K14" s="402" t="s">
        <v>1846</v>
      </c>
      <c r="L14" s="402" t="s">
        <v>1847</v>
      </c>
      <c r="M14" s="402" t="s">
        <v>1848</v>
      </c>
      <c r="N14" s="402" t="s">
        <v>1849</v>
      </c>
      <c r="O14" s="402" t="s">
        <v>1850</v>
      </c>
      <c r="P14" s="402" t="s">
        <v>1851</v>
      </c>
    </row>
    <row r="15" spans="1:255" ht="12" customHeight="1">
      <c r="A15" s="401" t="s">
        <v>1735</v>
      </c>
      <c r="B15" s="407">
        <v>11.2</v>
      </c>
      <c r="C15" s="407">
        <v>5</v>
      </c>
      <c r="D15" s="408">
        <v>2.78</v>
      </c>
      <c r="E15" s="408">
        <v>5.51</v>
      </c>
      <c r="F15" s="408">
        <v>7.9</v>
      </c>
      <c r="G15" s="407">
        <v>6.6</v>
      </c>
      <c r="H15" s="408">
        <v>5.64</v>
      </c>
      <c r="I15" s="408">
        <v>5.46</v>
      </c>
      <c r="J15" s="407">
        <v>2.9</v>
      </c>
      <c r="K15" s="408">
        <v>2.85</v>
      </c>
      <c r="L15" s="408">
        <v>2.76</v>
      </c>
      <c r="M15" s="407">
        <v>10.1</v>
      </c>
      <c r="N15" s="408">
        <v>7.89</v>
      </c>
      <c r="O15" s="408">
        <v>7.5</v>
      </c>
      <c r="P15" s="407">
        <v>9.4</v>
      </c>
    </row>
    <row r="16" spans="1:255" ht="12" customHeight="1">
      <c r="A16" s="401" t="s">
        <v>1736</v>
      </c>
      <c r="B16" s="405" t="s">
        <v>1114</v>
      </c>
      <c r="C16" s="407">
        <v>1.3</v>
      </c>
      <c r="D16" s="405" t="s">
        <v>1114</v>
      </c>
      <c r="E16" s="405" t="s">
        <v>1114</v>
      </c>
      <c r="F16" s="408">
        <v>10.02</v>
      </c>
      <c r="G16" s="405" t="s">
        <v>1114</v>
      </c>
      <c r="H16" s="405" t="s">
        <v>1114</v>
      </c>
      <c r="I16" s="405" t="s">
        <v>1114</v>
      </c>
      <c r="J16" s="405" t="s">
        <v>1114</v>
      </c>
      <c r="K16" s="405" t="s">
        <v>1114</v>
      </c>
      <c r="L16" s="405" t="s">
        <v>1114</v>
      </c>
      <c r="M16" s="407">
        <v>15.8</v>
      </c>
      <c r="N16" s="408">
        <v>12.3</v>
      </c>
      <c r="O16" s="408">
        <v>10.01</v>
      </c>
      <c r="P16" s="407">
        <v>12.2</v>
      </c>
    </row>
    <row r="17" spans="1:16" ht="12" customHeight="1">
      <c r="A17" s="401" t="s">
        <v>1737</v>
      </c>
      <c r="B17" s="405" t="s">
        <v>1114</v>
      </c>
      <c r="C17" s="407">
        <v>2.5</v>
      </c>
      <c r="D17" s="405" t="s">
        <v>1114</v>
      </c>
      <c r="E17" s="405" t="s">
        <v>1114</v>
      </c>
      <c r="F17" s="408">
        <v>14.01</v>
      </c>
      <c r="G17" s="405" t="s">
        <v>1114</v>
      </c>
      <c r="H17" s="405" t="s">
        <v>1114</v>
      </c>
      <c r="I17" s="405" t="s">
        <v>1114</v>
      </c>
      <c r="J17" s="405" t="s">
        <v>1114</v>
      </c>
      <c r="K17" s="405" t="s">
        <v>1114</v>
      </c>
      <c r="L17" s="405" t="s">
        <v>1114</v>
      </c>
      <c r="M17" s="407">
        <v>18.8</v>
      </c>
      <c r="N17" s="408">
        <v>13.68</v>
      </c>
      <c r="O17" s="408">
        <v>13.64</v>
      </c>
      <c r="P17" s="407">
        <v>13.9</v>
      </c>
    </row>
    <row r="18" spans="1:16" ht="12" customHeight="1">
      <c r="A18" s="401" t="s">
        <v>1738</v>
      </c>
      <c r="B18" s="405" t="s">
        <v>1114</v>
      </c>
      <c r="C18" s="407">
        <v>1</v>
      </c>
      <c r="D18" s="405" t="s">
        <v>1114</v>
      </c>
      <c r="E18" s="405" t="s">
        <v>1114</v>
      </c>
      <c r="F18" s="408">
        <v>10.31</v>
      </c>
      <c r="G18" s="405" t="s">
        <v>1114</v>
      </c>
      <c r="H18" s="405" t="s">
        <v>1114</v>
      </c>
      <c r="I18" s="405" t="s">
        <v>1114</v>
      </c>
      <c r="J18" s="405" t="s">
        <v>1114</v>
      </c>
      <c r="K18" s="405" t="s">
        <v>1114</v>
      </c>
      <c r="L18" s="405" t="s">
        <v>1114</v>
      </c>
      <c r="M18" s="407">
        <v>11.7</v>
      </c>
      <c r="N18" s="408">
        <v>9.57</v>
      </c>
      <c r="O18" s="408">
        <v>9.8000000000000007</v>
      </c>
      <c r="P18" s="407">
        <v>9.1999999999999993</v>
      </c>
    </row>
    <row r="19" spans="1:16" ht="12" customHeight="1">
      <c r="A19" s="401" t="s">
        <v>1739</v>
      </c>
      <c r="B19" s="407">
        <v>9.9</v>
      </c>
      <c r="C19" s="407">
        <v>0.6</v>
      </c>
      <c r="D19" s="408">
        <v>0.53</v>
      </c>
      <c r="E19" s="408">
        <v>5.65</v>
      </c>
      <c r="F19" s="408">
        <v>9.7899999999999991</v>
      </c>
      <c r="G19" s="407">
        <v>6</v>
      </c>
      <c r="H19" s="408">
        <v>5.93</v>
      </c>
      <c r="I19" s="408">
        <v>5.56</v>
      </c>
      <c r="J19" s="407">
        <v>0.6</v>
      </c>
      <c r="K19" s="408">
        <v>0.55000000000000004</v>
      </c>
      <c r="L19" s="408">
        <v>0.53</v>
      </c>
      <c r="M19" s="407">
        <v>13.1</v>
      </c>
      <c r="N19" s="408">
        <v>10.38</v>
      </c>
      <c r="O19" s="408">
        <v>9.61</v>
      </c>
      <c r="P19" s="407">
        <v>10.7</v>
      </c>
    </row>
    <row r="20" spans="1:16" ht="12" customHeight="1">
      <c r="A20" s="401" t="s">
        <v>1740</v>
      </c>
      <c r="B20" s="405" t="s">
        <v>1114</v>
      </c>
      <c r="C20" s="407">
        <v>0.8</v>
      </c>
      <c r="D20" s="405" t="s">
        <v>1114</v>
      </c>
      <c r="E20" s="405" t="s">
        <v>1114</v>
      </c>
      <c r="F20" s="408">
        <v>9.51</v>
      </c>
      <c r="G20" s="405" t="s">
        <v>1114</v>
      </c>
      <c r="H20" s="405" t="s">
        <v>1114</v>
      </c>
      <c r="I20" s="405" t="s">
        <v>1114</v>
      </c>
      <c r="J20" s="405" t="s">
        <v>1114</v>
      </c>
      <c r="K20" s="405" t="s">
        <v>1114</v>
      </c>
      <c r="L20" s="405" t="s">
        <v>1114</v>
      </c>
      <c r="M20" s="407">
        <v>12.1</v>
      </c>
      <c r="N20" s="408">
        <v>8.99</v>
      </c>
      <c r="O20" s="408">
        <v>9.0299999999999994</v>
      </c>
      <c r="P20" s="407">
        <v>9.4</v>
      </c>
    </row>
    <row r="21" spans="1:16" ht="12" customHeight="1">
      <c r="A21" s="401" t="s">
        <v>1741</v>
      </c>
      <c r="B21" s="407">
        <v>13.1</v>
      </c>
      <c r="C21" s="407">
        <v>1.5</v>
      </c>
      <c r="D21" s="408">
        <v>3.22</v>
      </c>
      <c r="E21" s="408">
        <v>6.5</v>
      </c>
      <c r="F21" s="408">
        <v>9.35</v>
      </c>
      <c r="G21" s="407">
        <v>6.4</v>
      </c>
      <c r="H21" s="408">
        <v>6.63</v>
      </c>
      <c r="I21" s="408">
        <v>6.46</v>
      </c>
      <c r="J21" s="407">
        <v>3.3</v>
      </c>
      <c r="K21" s="408">
        <v>3.3</v>
      </c>
      <c r="L21" s="408">
        <v>3.19</v>
      </c>
      <c r="M21" s="407">
        <v>14.3</v>
      </c>
      <c r="N21" s="408">
        <v>11.57</v>
      </c>
      <c r="O21" s="408">
        <v>9.9700000000000006</v>
      </c>
      <c r="P21" s="407">
        <v>11.7</v>
      </c>
    </row>
    <row r="22" spans="1:16" ht="12" customHeight="1">
      <c r="A22" s="401" t="s">
        <v>1742</v>
      </c>
      <c r="B22" s="407">
        <v>19.3</v>
      </c>
      <c r="C22" s="407">
        <v>0.8</v>
      </c>
      <c r="D22" s="408">
        <v>1.23</v>
      </c>
      <c r="E22" s="408">
        <v>9.6</v>
      </c>
      <c r="F22" s="408">
        <v>30.74</v>
      </c>
      <c r="G22" s="407">
        <v>9.6999999999999993</v>
      </c>
      <c r="H22" s="408">
        <v>9.32</v>
      </c>
      <c r="I22" s="408">
        <v>9.2899999999999991</v>
      </c>
      <c r="J22" s="407">
        <v>0.9</v>
      </c>
      <c r="K22" s="408">
        <v>1.1100000000000001</v>
      </c>
      <c r="L22" s="408">
        <v>1.2</v>
      </c>
      <c r="M22" s="407">
        <v>65.5</v>
      </c>
      <c r="N22" s="408">
        <v>32.17</v>
      </c>
      <c r="O22" s="408">
        <v>28.42</v>
      </c>
      <c r="P22" s="407">
        <v>3.9</v>
      </c>
    </row>
    <row r="23" spans="1:16" ht="12" customHeight="1">
      <c r="A23" s="401" t="s">
        <v>1743</v>
      </c>
      <c r="B23" s="407">
        <v>12.5</v>
      </c>
      <c r="C23" s="407">
        <v>2.7</v>
      </c>
      <c r="D23" s="408">
        <v>0.87</v>
      </c>
      <c r="E23" s="408">
        <v>5.51</v>
      </c>
      <c r="F23" s="408">
        <v>13.65</v>
      </c>
      <c r="G23" s="407">
        <v>6</v>
      </c>
      <c r="H23" s="408">
        <v>5.51</v>
      </c>
      <c r="I23" s="408">
        <v>5.32</v>
      </c>
      <c r="J23" s="407">
        <v>0.9</v>
      </c>
      <c r="K23" s="408">
        <v>0.87</v>
      </c>
      <c r="L23" s="408">
        <v>0.85</v>
      </c>
      <c r="M23" s="407">
        <v>19.899999999999999</v>
      </c>
      <c r="N23" s="408">
        <v>13.65</v>
      </c>
      <c r="O23" s="408">
        <v>12.46</v>
      </c>
      <c r="P23" s="407">
        <v>14.1</v>
      </c>
    </row>
    <row r="24" spans="1:16" ht="12" customHeight="1">
      <c r="A24" s="401" t="s">
        <v>1744</v>
      </c>
      <c r="B24" s="407">
        <v>113.7</v>
      </c>
      <c r="C24" s="407">
        <v>0.8</v>
      </c>
      <c r="D24" s="408">
        <v>10.16</v>
      </c>
      <c r="E24" s="408">
        <v>24</v>
      </c>
      <c r="F24" s="408">
        <v>56.89</v>
      </c>
      <c r="G24" s="407">
        <v>55</v>
      </c>
      <c r="H24" s="408">
        <v>29.55</v>
      </c>
      <c r="I24" s="408">
        <v>23.74</v>
      </c>
      <c r="J24" s="407">
        <v>10.8</v>
      </c>
      <c r="K24" s="408">
        <v>10.85</v>
      </c>
      <c r="L24" s="408">
        <v>10.09</v>
      </c>
      <c r="M24" s="407">
        <v>55.7</v>
      </c>
      <c r="N24" s="408">
        <v>69</v>
      </c>
      <c r="O24" s="408">
        <v>46.55</v>
      </c>
      <c r="P24" s="407">
        <v>14.9</v>
      </c>
    </row>
    <row r="25" spans="1:16" ht="12" customHeight="1">
      <c r="A25" s="401" t="s">
        <v>1745</v>
      </c>
      <c r="B25" s="407">
        <v>56.9</v>
      </c>
      <c r="C25" s="405" t="s">
        <v>1852</v>
      </c>
      <c r="D25" s="408">
        <v>0.5</v>
      </c>
      <c r="E25" s="408">
        <v>7.17</v>
      </c>
      <c r="F25" s="408">
        <v>22.31</v>
      </c>
      <c r="G25" s="407">
        <v>14.9</v>
      </c>
      <c r="H25" s="408">
        <v>8.42</v>
      </c>
      <c r="I25" s="408">
        <v>6.84</v>
      </c>
      <c r="J25" s="407">
        <v>0.6</v>
      </c>
      <c r="K25" s="408">
        <v>0.54</v>
      </c>
      <c r="L25" s="408">
        <v>0.49</v>
      </c>
      <c r="M25" s="405" t="s">
        <v>1852</v>
      </c>
      <c r="N25" s="408">
        <v>37.619999999999997</v>
      </c>
      <c r="O25" s="408">
        <v>19.64</v>
      </c>
      <c r="P25" s="405" t="s">
        <v>1852</v>
      </c>
    </row>
    <row r="26" spans="1:16" ht="12" customHeight="1">
      <c r="A26" s="401" t="s">
        <v>1746</v>
      </c>
      <c r="B26" s="407">
        <v>6.8</v>
      </c>
      <c r="C26" s="407">
        <v>0.3</v>
      </c>
      <c r="D26" s="405" t="s">
        <v>1114</v>
      </c>
      <c r="E26" s="405" t="s">
        <v>1114</v>
      </c>
      <c r="F26" s="405" t="s">
        <v>1114</v>
      </c>
      <c r="G26" s="407">
        <v>1.3</v>
      </c>
      <c r="H26" s="405" t="s">
        <v>1114</v>
      </c>
      <c r="I26" s="405" t="s">
        <v>1114</v>
      </c>
      <c r="J26" s="407">
        <v>0</v>
      </c>
      <c r="K26" s="405" t="s">
        <v>1114</v>
      </c>
      <c r="L26" s="405" t="s">
        <v>1114</v>
      </c>
      <c r="M26" s="407">
        <v>30.4</v>
      </c>
      <c r="N26" s="405" t="s">
        <v>1114</v>
      </c>
      <c r="O26" s="405" t="s">
        <v>1114</v>
      </c>
      <c r="P26" s="405" t="s">
        <v>1852</v>
      </c>
    </row>
    <row r="27" spans="1:16" ht="12" customHeight="1">
      <c r="A27" s="401" t="s">
        <v>1747</v>
      </c>
      <c r="B27" s="407">
        <v>7.6</v>
      </c>
      <c r="C27" s="407">
        <v>0.7</v>
      </c>
      <c r="D27" s="408">
        <v>0.87</v>
      </c>
      <c r="E27" s="408">
        <v>3.55</v>
      </c>
      <c r="F27" s="408">
        <v>6.27</v>
      </c>
      <c r="G27" s="407">
        <v>4</v>
      </c>
      <c r="H27" s="408">
        <v>3.91</v>
      </c>
      <c r="I27" s="408">
        <v>3.44</v>
      </c>
      <c r="J27" s="407">
        <v>1</v>
      </c>
      <c r="K27" s="408">
        <v>0.93</v>
      </c>
      <c r="L27" s="408">
        <v>0.85</v>
      </c>
      <c r="M27" s="407">
        <v>10.3</v>
      </c>
      <c r="N27" s="408">
        <v>6.75</v>
      </c>
      <c r="O27" s="408">
        <v>6.12</v>
      </c>
      <c r="P27" s="407">
        <v>6.9</v>
      </c>
    </row>
    <row r="28" spans="1:16" ht="12" customHeight="1">
      <c r="A28" s="401" t="s">
        <v>1748</v>
      </c>
      <c r="B28" s="405" t="s">
        <v>1114</v>
      </c>
      <c r="C28" s="405" t="s">
        <v>1114</v>
      </c>
      <c r="D28" s="405" t="s">
        <v>1114</v>
      </c>
      <c r="E28" s="405" t="s">
        <v>1114</v>
      </c>
      <c r="F28" s="405" t="s">
        <v>1114</v>
      </c>
      <c r="G28" s="405" t="s">
        <v>1114</v>
      </c>
      <c r="H28" s="405" t="s">
        <v>1114</v>
      </c>
      <c r="I28" s="405" t="s">
        <v>1114</v>
      </c>
      <c r="J28" s="405" t="s">
        <v>1114</v>
      </c>
      <c r="K28" s="405" t="s">
        <v>1114</v>
      </c>
      <c r="L28" s="405" t="s">
        <v>1114</v>
      </c>
      <c r="M28" s="405" t="s">
        <v>1114</v>
      </c>
      <c r="N28" s="405" t="s">
        <v>1114</v>
      </c>
      <c r="O28" s="405" t="s">
        <v>1114</v>
      </c>
      <c r="P28" s="405" t="s">
        <v>1114</v>
      </c>
    </row>
    <row r="29" spans="1:16" ht="12" customHeight="1">
      <c r="A29" s="401" t="s">
        <v>1749</v>
      </c>
      <c r="B29" s="405" t="s">
        <v>1852</v>
      </c>
      <c r="C29" s="407">
        <v>2.2999999999999998</v>
      </c>
      <c r="D29" s="408">
        <v>2.5099999999999998</v>
      </c>
      <c r="E29" s="408">
        <v>24.6</v>
      </c>
      <c r="F29" s="408">
        <v>188.01</v>
      </c>
      <c r="G29" s="405" t="s">
        <v>1852</v>
      </c>
      <c r="H29" s="408">
        <v>41.57</v>
      </c>
      <c r="I29" s="408">
        <v>21.65</v>
      </c>
      <c r="J29" s="407">
        <v>2.9</v>
      </c>
      <c r="K29" s="408">
        <v>2.8</v>
      </c>
      <c r="L29" s="408">
        <v>2.4300000000000002</v>
      </c>
      <c r="M29" s="405" t="s">
        <v>1852</v>
      </c>
      <c r="N29" s="405" t="s">
        <v>1852</v>
      </c>
      <c r="O29" s="408">
        <v>86.32</v>
      </c>
      <c r="P29" s="405" t="s">
        <v>1852</v>
      </c>
    </row>
    <row r="30" spans="1:16" ht="12" customHeight="1">
      <c r="A30" s="401" t="s">
        <v>1750</v>
      </c>
      <c r="B30" s="405" t="s">
        <v>1114</v>
      </c>
      <c r="C30" s="407">
        <v>4.5</v>
      </c>
      <c r="D30" s="405" t="s">
        <v>1114</v>
      </c>
      <c r="E30" s="405" t="s">
        <v>1114</v>
      </c>
      <c r="F30" s="408">
        <v>63.25</v>
      </c>
      <c r="G30" s="405" t="s">
        <v>1114</v>
      </c>
      <c r="H30" s="405" t="s">
        <v>1114</v>
      </c>
      <c r="I30" s="405" t="s">
        <v>1114</v>
      </c>
      <c r="J30" s="405" t="s">
        <v>1114</v>
      </c>
      <c r="K30" s="405" t="s">
        <v>1114</v>
      </c>
      <c r="L30" s="405" t="s">
        <v>1114</v>
      </c>
      <c r="M30" s="407">
        <v>145.9</v>
      </c>
      <c r="N30" s="408">
        <v>107.44</v>
      </c>
      <c r="O30" s="408">
        <v>55.62</v>
      </c>
      <c r="P30" s="407">
        <v>122.4</v>
      </c>
    </row>
    <row r="31" spans="1:16" ht="12" customHeight="1">
      <c r="A31" s="401" t="s">
        <v>1751</v>
      </c>
      <c r="B31" s="407">
        <v>44.6</v>
      </c>
      <c r="C31" s="407">
        <v>8.1</v>
      </c>
      <c r="D31" s="408">
        <v>2.9</v>
      </c>
      <c r="E31" s="408">
        <v>19.57</v>
      </c>
      <c r="F31" s="408">
        <v>31.97</v>
      </c>
      <c r="G31" s="407">
        <v>35.299999999999997</v>
      </c>
      <c r="H31" s="408">
        <v>21.78</v>
      </c>
      <c r="I31" s="408">
        <v>17.079999999999998</v>
      </c>
      <c r="J31" s="407">
        <v>3.6</v>
      </c>
      <c r="K31" s="408">
        <v>3.41</v>
      </c>
      <c r="L31" s="408">
        <v>2.74</v>
      </c>
      <c r="M31" s="407">
        <v>70.3</v>
      </c>
      <c r="N31" s="408">
        <v>39.42</v>
      </c>
      <c r="O31" s="408">
        <v>26.82</v>
      </c>
      <c r="P31" s="407">
        <v>60.1</v>
      </c>
    </row>
    <row r="32" spans="1:16" ht="12" customHeight="1">
      <c r="A32" s="401" t="s">
        <v>1752</v>
      </c>
      <c r="B32" s="405" t="s">
        <v>1852</v>
      </c>
      <c r="C32" s="407">
        <v>4</v>
      </c>
      <c r="D32" s="408">
        <v>4.22</v>
      </c>
      <c r="E32" s="408">
        <v>26.26</v>
      </c>
      <c r="F32" s="408">
        <v>64.94</v>
      </c>
      <c r="G32" s="407">
        <v>87.7</v>
      </c>
      <c r="H32" s="408">
        <v>33.15</v>
      </c>
      <c r="I32" s="408">
        <v>22.59</v>
      </c>
      <c r="J32" s="407">
        <v>5.0999999999999996</v>
      </c>
      <c r="K32" s="408">
        <v>4.87</v>
      </c>
      <c r="L32" s="408">
        <v>4.01</v>
      </c>
      <c r="M32" s="407">
        <v>151.9</v>
      </c>
      <c r="N32" s="408">
        <v>131.86000000000001</v>
      </c>
      <c r="O32" s="408">
        <v>55.67</v>
      </c>
      <c r="P32" s="407">
        <v>261.8</v>
      </c>
    </row>
    <row r="33" spans="1:16">
      <c r="A33" s="406"/>
      <c r="B33" s="406"/>
      <c r="C33" s="406"/>
      <c r="D33" s="406"/>
      <c r="E33" s="406"/>
      <c r="F33" s="406"/>
      <c r="G33" s="406"/>
      <c r="H33" s="406"/>
      <c r="I33" s="406"/>
      <c r="J33" s="406"/>
      <c r="K33" s="406"/>
      <c r="L33" s="406"/>
      <c r="M33" s="406"/>
      <c r="N33" s="406"/>
      <c r="O33" s="406"/>
      <c r="P33" s="406"/>
    </row>
    <row r="34" spans="1:16" ht="24">
      <c r="A34" s="401" t="s">
        <v>1753</v>
      </c>
      <c r="B34" s="402" t="s">
        <v>1837</v>
      </c>
      <c r="C34" s="402" t="s">
        <v>1838</v>
      </c>
      <c r="D34" s="402" t="s">
        <v>1839</v>
      </c>
      <c r="E34" s="402" t="s">
        <v>1840</v>
      </c>
      <c r="F34" s="402" t="s">
        <v>1841</v>
      </c>
      <c r="G34" s="402" t="s">
        <v>1842</v>
      </c>
      <c r="H34" s="402" t="s">
        <v>1843</v>
      </c>
      <c r="I34" s="402" t="s">
        <v>1844</v>
      </c>
      <c r="J34" s="402" t="s">
        <v>1845</v>
      </c>
      <c r="K34" s="402" t="s">
        <v>1846</v>
      </c>
      <c r="L34" s="402" t="s">
        <v>1847</v>
      </c>
      <c r="M34" s="402" t="s">
        <v>1848</v>
      </c>
      <c r="N34" s="402" t="s">
        <v>1849</v>
      </c>
      <c r="O34" s="402" t="s">
        <v>1850</v>
      </c>
      <c r="P34" s="402" t="s">
        <v>1851</v>
      </c>
    </row>
    <row r="35" spans="1:16" ht="12">
      <c r="A35" s="401" t="s">
        <v>1090</v>
      </c>
      <c r="B35" s="407">
        <v>113.7</v>
      </c>
      <c r="C35" s="407">
        <v>8.1</v>
      </c>
      <c r="D35" s="408">
        <v>10.16</v>
      </c>
      <c r="E35" s="408">
        <v>26.26</v>
      </c>
      <c r="F35" s="408">
        <v>188.01</v>
      </c>
      <c r="G35" s="407">
        <v>87.7</v>
      </c>
      <c r="H35" s="408">
        <v>41.57</v>
      </c>
      <c r="I35" s="408">
        <v>23.74</v>
      </c>
      <c r="J35" s="407">
        <v>10.8</v>
      </c>
      <c r="K35" s="408">
        <v>10.85</v>
      </c>
      <c r="L35" s="408">
        <v>10.09</v>
      </c>
      <c r="M35" s="407">
        <v>151.9</v>
      </c>
      <c r="N35" s="408">
        <v>131.86000000000001</v>
      </c>
      <c r="O35" s="408">
        <v>86.32</v>
      </c>
      <c r="P35" s="407">
        <v>261.8</v>
      </c>
    </row>
    <row r="36" spans="1:16" ht="12">
      <c r="A36" s="401" t="s">
        <v>1091</v>
      </c>
      <c r="B36" s="407">
        <v>6.8</v>
      </c>
      <c r="C36" s="407">
        <v>0.3</v>
      </c>
      <c r="D36" s="408">
        <v>0.5</v>
      </c>
      <c r="E36" s="408">
        <v>3.55</v>
      </c>
      <c r="F36" s="408">
        <v>6.27</v>
      </c>
      <c r="G36" s="407">
        <v>1.3</v>
      </c>
      <c r="H36" s="408">
        <v>3.91</v>
      </c>
      <c r="I36" s="408">
        <v>3.44</v>
      </c>
      <c r="J36" s="407">
        <v>0</v>
      </c>
      <c r="K36" s="408">
        <v>0.54</v>
      </c>
      <c r="L36" s="408">
        <v>0.49</v>
      </c>
      <c r="M36" s="407">
        <v>10.1</v>
      </c>
      <c r="N36" s="408">
        <v>6.75</v>
      </c>
      <c r="O36" s="408">
        <v>6.12</v>
      </c>
      <c r="P36" s="407">
        <v>3.9</v>
      </c>
    </row>
    <row r="37" spans="1:16" ht="12">
      <c r="A37" s="401" t="s">
        <v>1476</v>
      </c>
      <c r="B37" s="407">
        <v>29.6</v>
      </c>
      <c r="C37" s="407">
        <v>2.2999999999999998</v>
      </c>
      <c r="D37" s="408">
        <v>2.71</v>
      </c>
      <c r="E37" s="408">
        <v>12.54</v>
      </c>
      <c r="F37" s="408">
        <v>34.31</v>
      </c>
      <c r="G37" s="407">
        <v>21.2</v>
      </c>
      <c r="H37" s="408">
        <v>15.58</v>
      </c>
      <c r="I37" s="408">
        <v>11.58</v>
      </c>
      <c r="J37" s="407">
        <v>2.7</v>
      </c>
      <c r="K37" s="408">
        <v>2.92</v>
      </c>
      <c r="L37" s="408">
        <v>2.65</v>
      </c>
      <c r="M37" s="407">
        <v>43</v>
      </c>
      <c r="N37" s="408">
        <v>34.15</v>
      </c>
      <c r="O37" s="408">
        <v>25.45</v>
      </c>
      <c r="P37" s="407">
        <v>40</v>
      </c>
    </row>
    <row r="38" spans="1:16" ht="12">
      <c r="A38" s="401" t="s">
        <v>273</v>
      </c>
      <c r="B38" s="407">
        <v>12.8</v>
      </c>
      <c r="C38" s="407">
        <v>1.4</v>
      </c>
      <c r="D38" s="408">
        <v>2.5099999999999998</v>
      </c>
      <c r="E38" s="408">
        <v>7.17</v>
      </c>
      <c r="F38" s="408">
        <v>13.83</v>
      </c>
      <c r="G38" s="407">
        <v>6.6</v>
      </c>
      <c r="H38" s="408">
        <v>8.42</v>
      </c>
      <c r="I38" s="408">
        <v>6.84</v>
      </c>
      <c r="J38" s="407">
        <v>1.9</v>
      </c>
      <c r="K38" s="408">
        <v>2.8</v>
      </c>
      <c r="L38" s="408">
        <v>2.4300000000000002</v>
      </c>
      <c r="M38" s="407">
        <v>18.8</v>
      </c>
      <c r="N38" s="408">
        <v>13.65</v>
      </c>
      <c r="O38" s="408">
        <v>13.05</v>
      </c>
      <c r="P38" s="407">
        <v>11.9</v>
      </c>
    </row>
    <row r="39" spans="1:16">
      <c r="A39" s="46"/>
      <c r="B39" s="46"/>
      <c r="C39" s="46"/>
      <c r="D39" s="46"/>
      <c r="E39" s="46"/>
      <c r="F39" s="46"/>
      <c r="G39" s="46"/>
      <c r="H39" s="46"/>
      <c r="I39" s="46"/>
      <c r="J39" s="46"/>
      <c r="K39" s="46"/>
      <c r="L39" s="46"/>
      <c r="M39" s="46"/>
      <c r="N39" s="46"/>
      <c r="O39" s="46"/>
      <c r="P39" s="46"/>
    </row>
    <row r="41" spans="1:16">
      <c r="A41" s="42" t="s">
        <v>1754</v>
      </c>
    </row>
    <row r="44" spans="1:16">
      <c r="A44" s="41" t="s">
        <v>1755</v>
      </c>
    </row>
    <row r="46" spans="1:16">
      <c r="A46" s="41" t="s">
        <v>1756</v>
      </c>
    </row>
    <row r="55" spans="1:3" ht="25" customHeight="1">
      <c r="A55" s="889" t="s">
        <v>1757</v>
      </c>
      <c r="B55" s="890"/>
      <c r="C55" s="890"/>
    </row>
  </sheetData>
  <mergeCells count="1">
    <mergeCell ref="A55:C55"/>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0F5B2-13BE-4C2A-BC13-AC10A4E72F9B}">
  <dimension ref="A1:O59"/>
  <sheetViews>
    <sheetView topLeftCell="A14" workbookViewId="0">
      <selection activeCell="B7" sqref="B7"/>
    </sheetView>
  </sheetViews>
  <sheetFormatPr baseColWidth="10" defaultColWidth="8.83203125" defaultRowHeight="15"/>
  <cols>
    <col min="1" max="1" width="31.5" customWidth="1"/>
    <col min="2" max="2" width="20.1640625" bestFit="1" customWidth="1"/>
    <col min="3" max="3" width="16.83203125" bestFit="1" customWidth="1"/>
    <col min="4" max="4" width="13.5" bestFit="1" customWidth="1"/>
    <col min="5" max="5" width="19" bestFit="1" customWidth="1"/>
    <col min="6" max="15" width="13.5" bestFit="1" customWidth="1"/>
  </cols>
  <sheetData>
    <row r="1" spans="1:15" ht="16">
      <c r="A1" s="140"/>
      <c r="B1" s="140"/>
      <c r="C1" s="140"/>
      <c r="D1" s="140"/>
      <c r="E1" s="140"/>
      <c r="F1" s="140"/>
      <c r="G1" s="140"/>
      <c r="H1" s="140"/>
      <c r="I1" s="140"/>
      <c r="J1" s="140"/>
      <c r="K1" s="140"/>
      <c r="L1" s="140"/>
      <c r="M1" s="140"/>
      <c r="N1" s="140"/>
      <c r="O1" s="140"/>
    </row>
    <row r="2" spans="1:15" ht="16">
      <c r="A2" s="118"/>
      <c r="B2" s="118"/>
      <c r="C2" s="118"/>
      <c r="D2" s="118"/>
      <c r="E2" s="118"/>
      <c r="F2" s="118"/>
      <c r="G2" s="118"/>
      <c r="H2" s="118"/>
      <c r="I2" s="118"/>
      <c r="J2" s="118"/>
      <c r="K2" s="118"/>
      <c r="L2" s="118"/>
      <c r="M2" s="118"/>
      <c r="N2" s="118"/>
      <c r="O2" s="118"/>
    </row>
    <row r="3" spans="1:15" ht="16">
      <c r="A3" s="140"/>
      <c r="B3" s="140"/>
      <c r="C3" s="140"/>
      <c r="D3" s="140"/>
      <c r="E3" s="140"/>
      <c r="F3" s="140"/>
      <c r="G3" s="140"/>
      <c r="H3" s="140"/>
      <c r="I3" s="140"/>
      <c r="J3" s="140"/>
      <c r="K3" s="140"/>
      <c r="L3" s="140"/>
      <c r="M3" s="140"/>
      <c r="N3" s="140"/>
      <c r="O3" s="140"/>
    </row>
    <row r="4" spans="1:15" ht="16">
      <c r="A4" s="140"/>
      <c r="B4" s="140"/>
      <c r="C4" s="140"/>
      <c r="D4" s="140"/>
      <c r="E4" s="140"/>
      <c r="F4" s="140"/>
      <c r="G4" s="140"/>
      <c r="H4" s="140"/>
      <c r="I4" s="140"/>
      <c r="J4" s="140"/>
      <c r="K4" s="140"/>
      <c r="L4" s="140"/>
      <c r="M4" s="140"/>
      <c r="N4" s="140"/>
      <c r="O4" s="140"/>
    </row>
    <row r="5" spans="1:15" ht="16">
      <c r="A5" s="140" t="s">
        <v>1687</v>
      </c>
      <c r="B5" s="139"/>
      <c r="C5" s="139"/>
      <c r="D5" s="139"/>
      <c r="E5" s="139"/>
      <c r="F5" s="139"/>
      <c r="G5" s="139"/>
      <c r="H5" s="139"/>
      <c r="I5" s="139"/>
      <c r="J5" s="139"/>
      <c r="K5" s="139"/>
      <c r="L5" s="139"/>
      <c r="M5" s="139"/>
      <c r="N5" s="139"/>
      <c r="O5" s="139"/>
    </row>
    <row r="6" spans="1:15" ht="16">
      <c r="A6" s="130" t="s">
        <v>1096</v>
      </c>
      <c r="B6" s="130" t="s">
        <v>1097</v>
      </c>
      <c r="C6" s="130" t="s">
        <v>1098</v>
      </c>
      <c r="D6" s="130" t="s">
        <v>1099</v>
      </c>
      <c r="E6" s="130" t="s">
        <v>1100</v>
      </c>
      <c r="F6" s="130" t="s">
        <v>1853</v>
      </c>
      <c r="G6" s="130" t="s">
        <v>1854</v>
      </c>
      <c r="H6" s="130" t="s">
        <v>1855</v>
      </c>
      <c r="I6" s="130" t="s">
        <v>1856</v>
      </c>
      <c r="J6" s="130" t="s">
        <v>1857</v>
      </c>
      <c r="K6" s="130" t="s">
        <v>1689</v>
      </c>
      <c r="L6" s="130" t="s">
        <v>1690</v>
      </c>
      <c r="M6" s="130" t="s">
        <v>1691</v>
      </c>
      <c r="N6" s="130" t="s">
        <v>1692</v>
      </c>
      <c r="O6" s="130" t="s">
        <v>1693</v>
      </c>
    </row>
    <row r="7" spans="1:15" ht="16">
      <c r="A7" s="120" t="s">
        <v>470</v>
      </c>
      <c r="B7" s="148" t="s">
        <v>1086</v>
      </c>
      <c r="C7" s="120" t="s">
        <v>1695</v>
      </c>
      <c r="D7" s="120" t="s">
        <v>1858</v>
      </c>
      <c r="E7" s="120" t="s">
        <v>1698</v>
      </c>
      <c r="F7" s="122">
        <v>16.600000000000001</v>
      </c>
      <c r="G7" s="122">
        <v>11</v>
      </c>
      <c r="H7" s="122">
        <v>15.3</v>
      </c>
      <c r="I7" s="122">
        <v>10.5</v>
      </c>
      <c r="J7" s="122">
        <v>8.6</v>
      </c>
      <c r="K7" s="123">
        <v>10.199999999999999</v>
      </c>
      <c r="L7" s="123">
        <v>9.8000000000000007</v>
      </c>
      <c r="M7" s="123">
        <v>9.5</v>
      </c>
      <c r="N7" s="123">
        <v>9.5</v>
      </c>
      <c r="O7" s="123">
        <v>9.6999999999999993</v>
      </c>
    </row>
    <row r="8" spans="1:15" ht="16">
      <c r="A8" s="120" t="s">
        <v>1115</v>
      </c>
      <c r="B8" s="148" t="s">
        <v>1086</v>
      </c>
      <c r="C8" s="120" t="s">
        <v>1695</v>
      </c>
      <c r="D8" s="120" t="s">
        <v>1859</v>
      </c>
      <c r="E8" s="120" t="s">
        <v>1698</v>
      </c>
      <c r="F8" s="122">
        <v>45.6</v>
      </c>
      <c r="G8" s="122">
        <v>23.1</v>
      </c>
      <c r="H8" s="122">
        <v>17.5</v>
      </c>
      <c r="I8" s="122">
        <v>4.2</v>
      </c>
      <c r="J8" s="122">
        <v>10.3</v>
      </c>
      <c r="K8" s="123">
        <v>9.1999999999999993</v>
      </c>
      <c r="L8" s="123">
        <v>8.3000000000000007</v>
      </c>
      <c r="M8" s="123">
        <v>8.6999999999999993</v>
      </c>
      <c r="N8" s="123">
        <v>7.1</v>
      </c>
      <c r="O8" s="123">
        <v>7.2</v>
      </c>
    </row>
    <row r="9" spans="1:15" ht="16">
      <c r="A9" s="120" t="s">
        <v>564</v>
      </c>
      <c r="B9" s="148" t="s">
        <v>1086</v>
      </c>
      <c r="C9" s="120" t="s">
        <v>1695</v>
      </c>
      <c r="D9" s="120" t="s">
        <v>1860</v>
      </c>
      <c r="E9" s="120" t="s">
        <v>1698</v>
      </c>
      <c r="F9" s="122">
        <v>39.799999999999997</v>
      </c>
      <c r="G9" s="122">
        <v>40.799999999999997</v>
      </c>
      <c r="H9" s="122">
        <v>28.9</v>
      </c>
      <c r="I9" s="122">
        <v>30.5</v>
      </c>
      <c r="J9" s="122">
        <v>26.9</v>
      </c>
      <c r="K9" s="123">
        <v>24</v>
      </c>
      <c r="L9" s="123">
        <v>23.2</v>
      </c>
      <c r="M9" s="123">
        <v>22.8</v>
      </c>
      <c r="N9" s="123">
        <v>21.3</v>
      </c>
      <c r="O9" s="123">
        <v>21.3</v>
      </c>
    </row>
    <row r="10" spans="1:15" ht="16">
      <c r="A10" s="120" t="s">
        <v>233</v>
      </c>
      <c r="B10" s="148" t="s">
        <v>1086</v>
      </c>
      <c r="C10" s="120" t="s">
        <v>1695</v>
      </c>
      <c r="D10" s="120" t="s">
        <v>1861</v>
      </c>
      <c r="E10" s="120" t="s">
        <v>1698</v>
      </c>
      <c r="F10" s="122">
        <v>47.8</v>
      </c>
      <c r="G10" s="122">
        <v>31.8</v>
      </c>
      <c r="H10" s="122">
        <v>11.3</v>
      </c>
      <c r="I10" s="122">
        <v>11</v>
      </c>
      <c r="J10" s="122">
        <v>14.2</v>
      </c>
      <c r="K10" s="123">
        <v>17.600000000000001</v>
      </c>
      <c r="L10" s="123">
        <v>16.899999999999999</v>
      </c>
      <c r="M10" s="123">
        <v>15.4</v>
      </c>
      <c r="N10" s="123">
        <v>14.2</v>
      </c>
      <c r="O10" s="123">
        <v>14.2</v>
      </c>
    </row>
    <row r="11" spans="1:15" ht="16">
      <c r="A11" s="120" t="s">
        <v>581</v>
      </c>
      <c r="B11" s="148" t="s">
        <v>1086</v>
      </c>
      <c r="C11" s="120" t="s">
        <v>1695</v>
      </c>
      <c r="D11" s="120" t="s">
        <v>1862</v>
      </c>
      <c r="E11" s="120" t="s">
        <v>1698</v>
      </c>
      <c r="F11" s="122">
        <v>16.3</v>
      </c>
      <c r="G11" s="122">
        <v>11.5</v>
      </c>
      <c r="H11" s="122">
        <v>19.399999999999999</v>
      </c>
      <c r="I11" s="122">
        <v>8</v>
      </c>
      <c r="J11" s="122">
        <v>9.8000000000000007</v>
      </c>
      <c r="K11" s="123">
        <v>8.4</v>
      </c>
      <c r="L11" s="123">
        <v>7.1</v>
      </c>
      <c r="M11" s="123">
        <v>6.9</v>
      </c>
      <c r="N11" s="123">
        <v>7.1</v>
      </c>
      <c r="O11" s="123">
        <v>7.2</v>
      </c>
    </row>
    <row r="12" spans="1:15" ht="16">
      <c r="A12" s="120" t="s">
        <v>257</v>
      </c>
      <c r="B12" s="148" t="s">
        <v>1086</v>
      </c>
      <c r="C12" s="120" t="s">
        <v>1695</v>
      </c>
      <c r="D12" s="120" t="s">
        <v>1863</v>
      </c>
      <c r="E12" s="120" t="s">
        <v>1698</v>
      </c>
      <c r="F12" s="122">
        <v>24.6</v>
      </c>
      <c r="G12" s="122">
        <v>20</v>
      </c>
      <c r="H12" s="122">
        <v>21.2</v>
      </c>
      <c r="I12" s="122">
        <v>19.5</v>
      </c>
      <c r="J12" s="122">
        <v>15</v>
      </c>
      <c r="K12" s="123">
        <v>15.3</v>
      </c>
      <c r="L12" s="123">
        <v>13.1</v>
      </c>
      <c r="M12" s="123">
        <v>11.2</v>
      </c>
      <c r="N12" s="123">
        <v>9.6999999999999993</v>
      </c>
      <c r="O12" s="123">
        <v>9.8000000000000007</v>
      </c>
    </row>
    <row r="13" spans="1:15" ht="16">
      <c r="A13" s="120" t="s">
        <v>244</v>
      </c>
      <c r="B13" s="148" t="s">
        <v>1086</v>
      </c>
      <c r="C13" s="120" t="s">
        <v>1695</v>
      </c>
      <c r="D13" s="120" t="s">
        <v>1864</v>
      </c>
      <c r="E13" s="120" t="s">
        <v>1698</v>
      </c>
      <c r="F13" s="122">
        <v>48.9</v>
      </c>
      <c r="G13" s="122">
        <v>29.2</v>
      </c>
      <c r="H13" s="122">
        <v>22.7</v>
      </c>
      <c r="I13" s="122">
        <v>18.399999999999999</v>
      </c>
      <c r="J13" s="122">
        <v>17.399999999999999</v>
      </c>
      <c r="K13" s="123">
        <v>18.2</v>
      </c>
      <c r="L13" s="123">
        <v>16.3</v>
      </c>
      <c r="M13" s="123">
        <v>15</v>
      </c>
      <c r="N13" s="123">
        <v>14.1</v>
      </c>
      <c r="O13" s="123">
        <v>14.2</v>
      </c>
    </row>
    <row r="14" spans="1:15" ht="16">
      <c r="A14" s="120" t="s">
        <v>231</v>
      </c>
      <c r="B14" s="148" t="s">
        <v>1086</v>
      </c>
      <c r="C14" s="120" t="s">
        <v>1695</v>
      </c>
      <c r="D14" s="120" t="s">
        <v>1865</v>
      </c>
      <c r="E14" s="120" t="s">
        <v>1698</v>
      </c>
      <c r="F14" s="122">
        <v>29.1</v>
      </c>
      <c r="G14" s="122">
        <v>17.5</v>
      </c>
      <c r="H14" s="122">
        <v>14.2</v>
      </c>
      <c r="I14" s="122">
        <v>11.1</v>
      </c>
      <c r="J14" s="122">
        <v>13.4</v>
      </c>
      <c r="K14" s="123">
        <v>10.199999999999999</v>
      </c>
      <c r="L14" s="123">
        <v>9.6</v>
      </c>
      <c r="M14" s="123">
        <v>8.4</v>
      </c>
      <c r="N14" s="123">
        <v>8</v>
      </c>
      <c r="O14" s="123">
        <v>8.1</v>
      </c>
    </row>
    <row r="15" spans="1:15" ht="16">
      <c r="A15" s="120" t="s">
        <v>1116</v>
      </c>
      <c r="B15" s="148" t="s">
        <v>1086</v>
      </c>
      <c r="C15" s="120" t="s">
        <v>1695</v>
      </c>
      <c r="D15" s="120" t="s">
        <v>1866</v>
      </c>
      <c r="E15" s="120" t="s">
        <v>1698</v>
      </c>
      <c r="F15" s="122">
        <v>28.7</v>
      </c>
      <c r="G15" s="122">
        <v>16.399999999999999</v>
      </c>
      <c r="H15" s="122">
        <v>20.399999999999999</v>
      </c>
      <c r="I15" s="122">
        <v>18.600000000000001</v>
      </c>
      <c r="J15" s="122">
        <v>11.3</v>
      </c>
      <c r="K15" s="123">
        <v>18.899999999999999</v>
      </c>
      <c r="L15" s="123">
        <v>21.5</v>
      </c>
      <c r="M15" s="123">
        <v>5.5</v>
      </c>
      <c r="N15" s="123">
        <v>5.6</v>
      </c>
      <c r="O15" s="123">
        <v>6</v>
      </c>
    </row>
    <row r="16" spans="1:15" ht="16">
      <c r="A16" s="120" t="s">
        <v>1093</v>
      </c>
      <c r="B16" s="148" t="s">
        <v>1086</v>
      </c>
      <c r="C16" s="120" t="s">
        <v>1695</v>
      </c>
      <c r="D16" s="120" t="s">
        <v>1867</v>
      </c>
      <c r="E16" s="120" t="s">
        <v>1698</v>
      </c>
      <c r="F16" s="122">
        <v>24.4</v>
      </c>
      <c r="G16" s="122">
        <v>18.8</v>
      </c>
      <c r="H16" s="122">
        <v>25.9</v>
      </c>
      <c r="I16" s="122">
        <v>8.4</v>
      </c>
      <c r="J16" s="122">
        <v>13.2</v>
      </c>
      <c r="K16" s="123">
        <v>8.6</v>
      </c>
      <c r="L16" s="123">
        <v>7.1</v>
      </c>
      <c r="M16" s="123">
        <v>6.7</v>
      </c>
      <c r="N16" s="123">
        <v>5.9</v>
      </c>
      <c r="O16" s="123">
        <v>6.1</v>
      </c>
    </row>
    <row r="17" spans="1:15" ht="16">
      <c r="A17" s="120" t="s">
        <v>239</v>
      </c>
      <c r="B17" s="148" t="s">
        <v>1086</v>
      </c>
      <c r="C17" s="120" t="s">
        <v>1695</v>
      </c>
      <c r="D17" s="120" t="s">
        <v>1868</v>
      </c>
      <c r="E17" s="120" t="s">
        <v>1698</v>
      </c>
      <c r="F17" s="122">
        <v>43.3</v>
      </c>
      <c r="G17" s="122">
        <v>28.4</v>
      </c>
      <c r="H17" s="122">
        <v>18.3</v>
      </c>
      <c r="I17" s="122">
        <v>10</v>
      </c>
      <c r="J17" s="122">
        <v>10.9</v>
      </c>
      <c r="K17" s="123">
        <v>10.8</v>
      </c>
      <c r="L17" s="123">
        <v>10.5</v>
      </c>
      <c r="M17" s="123">
        <v>10.1</v>
      </c>
      <c r="N17" s="123">
        <v>9.6</v>
      </c>
      <c r="O17" s="123">
        <v>9.6999999999999993</v>
      </c>
    </row>
    <row r="18" spans="1:15" ht="16">
      <c r="A18" s="120" t="s">
        <v>258</v>
      </c>
      <c r="B18" s="148" t="s">
        <v>1086</v>
      </c>
      <c r="C18" s="120" t="s">
        <v>1695</v>
      </c>
      <c r="D18" s="120" t="s">
        <v>1869</v>
      </c>
      <c r="E18" s="120" t="s">
        <v>1698</v>
      </c>
      <c r="F18" s="122">
        <v>59.6</v>
      </c>
      <c r="G18" s="122">
        <v>96</v>
      </c>
      <c r="H18" s="122">
        <v>12.7</v>
      </c>
      <c r="I18" s="122">
        <v>35</v>
      </c>
      <c r="J18" s="122">
        <v>29.1</v>
      </c>
      <c r="K18" s="123">
        <v>22.2</v>
      </c>
      <c r="L18" s="123">
        <v>15.9</v>
      </c>
      <c r="M18" s="123">
        <v>13.8</v>
      </c>
      <c r="N18" s="123">
        <v>12.7</v>
      </c>
      <c r="O18" s="123">
        <v>12.7</v>
      </c>
    </row>
    <row r="19" spans="1:15" ht="16">
      <c r="A19" s="120" t="s">
        <v>409</v>
      </c>
      <c r="B19" s="148" t="s">
        <v>1086</v>
      </c>
      <c r="C19" s="120" t="s">
        <v>1695</v>
      </c>
      <c r="D19" s="120" t="s">
        <v>1870</v>
      </c>
      <c r="E19" s="120" t="s">
        <v>1698</v>
      </c>
      <c r="F19" s="122">
        <v>17.7</v>
      </c>
      <c r="G19" s="122">
        <v>17.5</v>
      </c>
      <c r="H19" s="122">
        <v>16</v>
      </c>
      <c r="I19" s="122">
        <v>5</v>
      </c>
      <c r="J19" s="122">
        <v>10.6</v>
      </c>
      <c r="K19" s="123">
        <v>8.5</v>
      </c>
      <c r="L19" s="123">
        <v>8</v>
      </c>
      <c r="M19" s="123">
        <v>7.5</v>
      </c>
      <c r="N19" s="123">
        <v>7.2</v>
      </c>
      <c r="O19" s="123">
        <v>7.2</v>
      </c>
    </row>
    <row r="20" spans="1:15" ht="16">
      <c r="A20" s="120" t="s">
        <v>1117</v>
      </c>
      <c r="B20" s="148" t="s">
        <v>1086</v>
      </c>
      <c r="C20" s="120" t="s">
        <v>1695</v>
      </c>
      <c r="D20" s="120" t="s">
        <v>1871</v>
      </c>
      <c r="E20" s="120" t="s">
        <v>1698</v>
      </c>
      <c r="F20" s="122">
        <v>85.4</v>
      </c>
      <c r="G20" s="122">
        <v>77.7</v>
      </c>
      <c r="H20" s="122">
        <v>40.4</v>
      </c>
      <c r="I20" s="122">
        <v>20.5</v>
      </c>
      <c r="J20" s="122">
        <v>17.600000000000001</v>
      </c>
      <c r="K20" s="123">
        <v>12.7</v>
      </c>
      <c r="L20" s="123">
        <v>11.6</v>
      </c>
      <c r="M20" s="123">
        <v>10.199999999999999</v>
      </c>
      <c r="N20" s="123">
        <v>9.9</v>
      </c>
      <c r="O20" s="123">
        <v>9.9</v>
      </c>
    </row>
    <row r="21" spans="1:15" ht="16">
      <c r="A21" s="120" t="s">
        <v>560</v>
      </c>
      <c r="B21" s="148" t="s">
        <v>1086</v>
      </c>
      <c r="C21" s="120" t="s">
        <v>1695</v>
      </c>
      <c r="D21" s="120" t="s">
        <v>1872</v>
      </c>
      <c r="E21" s="120" t="s">
        <v>1698</v>
      </c>
      <c r="F21" s="122">
        <v>114</v>
      </c>
      <c r="G21" s="122">
        <v>133.1</v>
      </c>
      <c r="H21" s="122">
        <v>59.3</v>
      </c>
      <c r="I21" s="122">
        <v>38.1</v>
      </c>
      <c r="J21" s="122">
        <v>25.5</v>
      </c>
      <c r="K21" s="123">
        <v>21.1</v>
      </c>
      <c r="L21" s="123">
        <v>19.899999999999999</v>
      </c>
      <c r="M21" s="123">
        <v>18.7</v>
      </c>
      <c r="N21" s="123">
        <v>18</v>
      </c>
      <c r="O21" s="123">
        <v>18</v>
      </c>
    </row>
    <row r="22" spans="1:15" ht="16">
      <c r="A22" s="120" t="s">
        <v>695</v>
      </c>
      <c r="B22" s="148" t="s">
        <v>1086</v>
      </c>
      <c r="C22" s="120" t="s">
        <v>1695</v>
      </c>
      <c r="D22" s="120" t="s">
        <v>1873</v>
      </c>
      <c r="E22" s="120" t="s">
        <v>1698</v>
      </c>
      <c r="F22" s="122">
        <v>46.7</v>
      </c>
      <c r="G22" s="122">
        <v>38.9</v>
      </c>
      <c r="H22" s="122">
        <v>31</v>
      </c>
      <c r="I22" s="122">
        <v>30</v>
      </c>
      <c r="J22" s="122">
        <v>30.3</v>
      </c>
      <c r="K22" s="123">
        <v>24.4</v>
      </c>
      <c r="L22" s="123">
        <v>22.3</v>
      </c>
      <c r="M22" s="123">
        <v>20.5</v>
      </c>
      <c r="N22" s="123">
        <v>16.5</v>
      </c>
      <c r="O22" s="123">
        <v>16.7</v>
      </c>
    </row>
    <row r="23" spans="1:15" ht="16">
      <c r="A23" s="120" t="s">
        <v>703</v>
      </c>
      <c r="B23" s="148" t="s">
        <v>1086</v>
      </c>
      <c r="C23" s="120" t="s">
        <v>1695</v>
      </c>
      <c r="D23" s="120" t="s">
        <v>1874</v>
      </c>
      <c r="E23" s="120" t="s">
        <v>1698</v>
      </c>
      <c r="F23" s="122">
        <v>69.400000000000006</v>
      </c>
      <c r="G23" s="122">
        <v>96.2</v>
      </c>
      <c r="H23" s="122">
        <v>96.8</v>
      </c>
      <c r="I23" s="122">
        <v>82.4</v>
      </c>
      <c r="J23" s="122">
        <v>42.3</v>
      </c>
      <c r="K23" s="123">
        <v>38.5</v>
      </c>
      <c r="L23" s="123">
        <v>21.4</v>
      </c>
      <c r="M23" s="123">
        <v>13.7</v>
      </c>
      <c r="N23" s="123">
        <v>11.1</v>
      </c>
      <c r="O23" s="123">
        <v>11.1</v>
      </c>
    </row>
    <row r="24" spans="1:15" ht="16">
      <c r="A24" s="120" t="s">
        <v>1118</v>
      </c>
      <c r="B24" s="148" t="s">
        <v>1086</v>
      </c>
      <c r="C24" s="120" t="s">
        <v>1695</v>
      </c>
      <c r="D24" s="120" t="s">
        <v>1875</v>
      </c>
      <c r="E24" s="120" t="s">
        <v>1698</v>
      </c>
      <c r="F24" s="122">
        <v>38.799999999999997</v>
      </c>
      <c r="G24" s="122">
        <v>1.5</v>
      </c>
      <c r="H24" s="122">
        <v>29.5</v>
      </c>
      <c r="I24" s="122">
        <v>34.1</v>
      </c>
      <c r="J24" s="122">
        <v>25.2</v>
      </c>
      <c r="K24" s="123">
        <v>17.899999999999999</v>
      </c>
      <c r="L24" s="123">
        <v>15</v>
      </c>
      <c r="M24" s="123">
        <v>14</v>
      </c>
      <c r="N24" s="123">
        <v>13</v>
      </c>
      <c r="O24" s="123">
        <v>13</v>
      </c>
    </row>
    <row r="25" spans="1:15" ht="16">
      <c r="A25" s="120" t="s">
        <v>787</v>
      </c>
      <c r="B25" s="148" t="s">
        <v>1086</v>
      </c>
      <c r="C25" s="120" t="s">
        <v>1695</v>
      </c>
      <c r="D25" s="120" t="s">
        <v>1876</v>
      </c>
      <c r="E25" s="120" t="s">
        <v>1698</v>
      </c>
      <c r="F25" s="122">
        <v>131.30000000000001</v>
      </c>
      <c r="G25" s="122">
        <v>73.8</v>
      </c>
      <c r="H25" s="122">
        <v>51</v>
      </c>
      <c r="I25" s="122">
        <v>31.5</v>
      </c>
      <c r="J25" s="122">
        <v>41.4</v>
      </c>
      <c r="K25" s="123">
        <v>29.1</v>
      </c>
      <c r="L25" s="123">
        <v>21.1</v>
      </c>
      <c r="M25" s="123">
        <v>15.9</v>
      </c>
      <c r="N25" s="123">
        <v>12.9</v>
      </c>
      <c r="O25" s="123">
        <v>12.9</v>
      </c>
    </row>
    <row r="26" spans="1:15" ht="16">
      <c r="A26" s="120" t="s">
        <v>403</v>
      </c>
      <c r="B26" s="148" t="s">
        <v>1086</v>
      </c>
      <c r="C26" s="120" t="s">
        <v>1695</v>
      </c>
      <c r="D26" s="120" t="s">
        <v>1877</v>
      </c>
      <c r="E26" s="120" t="s">
        <v>1698</v>
      </c>
      <c r="F26" s="122">
        <v>71.5</v>
      </c>
      <c r="G26" s="122">
        <v>95.3</v>
      </c>
      <c r="H26" s="122">
        <v>190</v>
      </c>
      <c r="I26" s="122">
        <v>72.3</v>
      </c>
      <c r="J26" s="122">
        <v>61.6</v>
      </c>
      <c r="K26" s="123">
        <v>42.9</v>
      </c>
      <c r="L26" s="123">
        <v>29.9</v>
      </c>
      <c r="M26" s="123">
        <v>28.4</v>
      </c>
      <c r="N26" s="123">
        <v>25.3</v>
      </c>
      <c r="O26" s="123">
        <v>24.3</v>
      </c>
    </row>
    <row r="27" spans="1:15" ht="16">
      <c r="A27" s="120" t="s">
        <v>441</v>
      </c>
      <c r="B27" s="148" t="s">
        <v>1086</v>
      </c>
      <c r="C27" s="120" t="s">
        <v>1695</v>
      </c>
      <c r="D27" s="120" t="s">
        <v>1878</v>
      </c>
      <c r="E27" s="120" t="s">
        <v>1698</v>
      </c>
      <c r="F27" s="122">
        <v>47.2</v>
      </c>
      <c r="G27" s="122">
        <v>24.6</v>
      </c>
      <c r="H27" s="122">
        <v>21.8</v>
      </c>
      <c r="I27" s="122">
        <v>15.7</v>
      </c>
      <c r="J27" s="122">
        <v>20.7</v>
      </c>
      <c r="K27" s="123">
        <v>20</v>
      </c>
      <c r="L27" s="123">
        <v>20.9</v>
      </c>
      <c r="M27" s="123">
        <v>19.7</v>
      </c>
      <c r="N27" s="123">
        <v>18</v>
      </c>
      <c r="O27" s="123">
        <v>18.899999999999999</v>
      </c>
    </row>
    <row r="28" spans="1:15" ht="16">
      <c r="A28" s="120" t="s">
        <v>468</v>
      </c>
      <c r="B28" s="148" t="s">
        <v>1086</v>
      </c>
      <c r="C28" s="120" t="s">
        <v>1695</v>
      </c>
      <c r="D28" s="120" t="s">
        <v>1879</v>
      </c>
      <c r="E28" s="120" t="s">
        <v>1698</v>
      </c>
      <c r="F28" s="122">
        <v>52.7</v>
      </c>
      <c r="G28" s="122">
        <v>8.6999999999999993</v>
      </c>
      <c r="H28" s="122">
        <v>4.3</v>
      </c>
      <c r="I28" s="122">
        <v>15.3</v>
      </c>
      <c r="J28" s="122">
        <v>18.5</v>
      </c>
      <c r="K28" s="123">
        <v>14.9</v>
      </c>
      <c r="L28" s="123">
        <v>13.3</v>
      </c>
      <c r="M28" s="123">
        <v>12.9</v>
      </c>
      <c r="N28" s="123">
        <v>12</v>
      </c>
      <c r="O28" s="123">
        <v>12.1</v>
      </c>
    </row>
    <row r="29" spans="1:15" ht="16">
      <c r="A29" s="120" t="s">
        <v>472</v>
      </c>
      <c r="B29" s="148" t="s">
        <v>1086</v>
      </c>
      <c r="C29" s="120" t="s">
        <v>1695</v>
      </c>
      <c r="D29" s="120" t="s">
        <v>1880</v>
      </c>
      <c r="E29" s="120" t="s">
        <v>1698</v>
      </c>
      <c r="F29" s="122">
        <v>42.8</v>
      </c>
      <c r="G29" s="122">
        <v>24.8</v>
      </c>
      <c r="H29" s="122">
        <v>22.9</v>
      </c>
      <c r="I29" s="122">
        <v>13.3</v>
      </c>
      <c r="J29" s="122">
        <v>18.100000000000001</v>
      </c>
      <c r="K29" s="123">
        <v>15.6</v>
      </c>
      <c r="L29" s="123">
        <v>15.2</v>
      </c>
      <c r="M29" s="123">
        <v>15.2</v>
      </c>
      <c r="N29" s="123">
        <v>15.7</v>
      </c>
      <c r="O29" s="123">
        <v>16.100000000000001</v>
      </c>
    </row>
    <row r="30" spans="1:15" ht="16">
      <c r="A30" s="120" t="s">
        <v>638</v>
      </c>
      <c r="B30" s="148" t="s">
        <v>1086</v>
      </c>
      <c r="C30" s="120" t="s">
        <v>1695</v>
      </c>
      <c r="D30" s="120" t="s">
        <v>1881</v>
      </c>
      <c r="E30" s="120" t="s">
        <v>1698</v>
      </c>
      <c r="F30" s="122">
        <v>34.9</v>
      </c>
      <c r="G30" s="122">
        <v>27.8</v>
      </c>
      <c r="H30" s="122">
        <v>22.8</v>
      </c>
      <c r="I30" s="122">
        <v>14.4</v>
      </c>
      <c r="J30" s="122">
        <v>18.2</v>
      </c>
      <c r="K30" s="123">
        <v>15.7</v>
      </c>
      <c r="L30" s="123">
        <v>14.4</v>
      </c>
      <c r="M30" s="123">
        <v>13.1</v>
      </c>
      <c r="N30" s="123">
        <v>12.8</v>
      </c>
      <c r="O30" s="123">
        <v>12.9</v>
      </c>
    </row>
    <row r="31" spans="1:15" ht="16">
      <c r="A31" s="120" t="s">
        <v>692</v>
      </c>
      <c r="B31" s="148" t="s">
        <v>1086</v>
      </c>
      <c r="C31" s="120" t="s">
        <v>1695</v>
      </c>
      <c r="D31" s="120" t="s">
        <v>1882</v>
      </c>
      <c r="E31" s="120" t="s">
        <v>1698</v>
      </c>
      <c r="F31" s="122">
        <v>52.8</v>
      </c>
      <c r="G31" s="122">
        <v>41.5</v>
      </c>
      <c r="H31" s="122">
        <v>7.6</v>
      </c>
      <c r="I31" s="122">
        <v>9</v>
      </c>
      <c r="J31" s="122">
        <v>10.5</v>
      </c>
      <c r="K31" s="123">
        <v>8.6</v>
      </c>
      <c r="L31" s="123">
        <v>6.5</v>
      </c>
      <c r="M31" s="123">
        <v>5.0999999999999996</v>
      </c>
      <c r="N31" s="123">
        <v>4.2</v>
      </c>
      <c r="O31" s="123">
        <v>4.2</v>
      </c>
    </row>
    <row r="32" spans="1:15" ht="16">
      <c r="A32" s="120" t="s">
        <v>1122</v>
      </c>
      <c r="B32" s="148" t="s">
        <v>1086</v>
      </c>
      <c r="C32" s="120" t="s">
        <v>1695</v>
      </c>
      <c r="D32" s="120" t="s">
        <v>1883</v>
      </c>
      <c r="E32" s="120" t="s">
        <v>1698</v>
      </c>
      <c r="F32" s="122">
        <v>30</v>
      </c>
      <c r="G32" s="122">
        <v>25.3</v>
      </c>
      <c r="H32" s="122">
        <v>57.4</v>
      </c>
      <c r="I32" s="122">
        <v>28</v>
      </c>
      <c r="J32" s="122">
        <v>14.8</v>
      </c>
      <c r="K32" s="123">
        <v>32</v>
      </c>
      <c r="L32" s="123">
        <v>29.1</v>
      </c>
      <c r="M32" s="123">
        <v>24.8</v>
      </c>
      <c r="N32" s="123">
        <v>22.8</v>
      </c>
      <c r="O32" s="123">
        <v>22</v>
      </c>
    </row>
    <row r="33" spans="1:15" ht="16">
      <c r="A33" s="120" t="s">
        <v>575</v>
      </c>
      <c r="B33" s="148" t="s">
        <v>1086</v>
      </c>
      <c r="C33" s="120" t="s">
        <v>1695</v>
      </c>
      <c r="D33" s="120" t="s">
        <v>1884</v>
      </c>
      <c r="E33" s="120" t="s">
        <v>1698</v>
      </c>
      <c r="F33" s="122">
        <v>53.2</v>
      </c>
      <c r="G33" s="122">
        <v>135.6</v>
      </c>
      <c r="H33" s="122">
        <v>87.9</v>
      </c>
      <c r="I33" s="122">
        <v>44.8</v>
      </c>
      <c r="J33" s="122">
        <v>17.2</v>
      </c>
      <c r="K33" s="123">
        <v>11.9</v>
      </c>
      <c r="L33" s="123">
        <v>10.1</v>
      </c>
      <c r="M33" s="123">
        <v>9.4</v>
      </c>
      <c r="N33" s="123">
        <v>8.9</v>
      </c>
      <c r="O33" s="123">
        <v>8.9</v>
      </c>
    </row>
    <row r="34" spans="1:15" ht="16">
      <c r="A34" s="120" t="s">
        <v>650</v>
      </c>
      <c r="B34" s="148" t="s">
        <v>1086</v>
      </c>
      <c r="C34" s="120" t="s">
        <v>1695</v>
      </c>
      <c r="D34" s="120" t="s">
        <v>1885</v>
      </c>
      <c r="E34" s="120" t="s">
        <v>1698</v>
      </c>
      <c r="F34" s="122">
        <v>95.5</v>
      </c>
      <c r="G34" s="122">
        <v>68</v>
      </c>
      <c r="H34" s="122">
        <v>36.799999999999997</v>
      </c>
      <c r="I34" s="122">
        <v>76.900000000000006</v>
      </c>
      <c r="J34" s="122">
        <v>60.3</v>
      </c>
      <c r="K34" s="123">
        <v>23.1</v>
      </c>
      <c r="L34" s="123">
        <v>22.2</v>
      </c>
      <c r="M34" s="123">
        <v>21</v>
      </c>
      <c r="N34" s="123">
        <v>20.100000000000001</v>
      </c>
      <c r="O34" s="123">
        <v>20.100000000000001</v>
      </c>
    </row>
    <row r="35" spans="1:15" ht="16">
      <c r="A35" s="120" t="s">
        <v>672</v>
      </c>
      <c r="B35" s="148" t="s">
        <v>1086</v>
      </c>
      <c r="C35" s="120" t="s">
        <v>1695</v>
      </c>
      <c r="D35" s="120" t="s">
        <v>1886</v>
      </c>
      <c r="E35" s="120" t="s">
        <v>1698</v>
      </c>
      <c r="F35" s="122">
        <v>53.1</v>
      </c>
      <c r="G35" s="122">
        <v>23.3</v>
      </c>
      <c r="H35" s="122">
        <v>11.8</v>
      </c>
      <c r="I35" s="122">
        <v>55.7</v>
      </c>
      <c r="J35" s="122">
        <v>48.3</v>
      </c>
      <c r="K35" s="123">
        <v>34.299999999999997</v>
      </c>
      <c r="L35" s="123">
        <v>29.4</v>
      </c>
      <c r="M35" s="123">
        <v>26.8</v>
      </c>
      <c r="N35" s="123">
        <v>23.9</v>
      </c>
      <c r="O35" s="123">
        <v>23</v>
      </c>
    </row>
    <row r="36" spans="1:15" ht="16">
      <c r="A36" s="120" t="s">
        <v>715</v>
      </c>
      <c r="B36" s="148" t="s">
        <v>1086</v>
      </c>
      <c r="C36" s="120" t="s">
        <v>1695</v>
      </c>
      <c r="D36" s="120" t="s">
        <v>1887</v>
      </c>
      <c r="E36" s="120" t="s">
        <v>1698</v>
      </c>
      <c r="F36" s="122">
        <v>23.5</v>
      </c>
      <c r="G36" s="122">
        <v>25.6</v>
      </c>
      <c r="H36" s="122">
        <v>15.5</v>
      </c>
      <c r="I36" s="122">
        <v>14.9</v>
      </c>
      <c r="J36" s="122">
        <v>15.2</v>
      </c>
      <c r="K36" s="123">
        <v>12.5</v>
      </c>
      <c r="L36" s="123">
        <v>13.2</v>
      </c>
      <c r="M36" s="123">
        <v>13.9</v>
      </c>
      <c r="N36" s="123">
        <v>13.6</v>
      </c>
      <c r="O36" s="123">
        <v>13.7</v>
      </c>
    </row>
    <row r="37" spans="1:15" ht="16">
      <c r="A37" s="120" t="s">
        <v>736</v>
      </c>
      <c r="B37" s="148" t="s">
        <v>1086</v>
      </c>
      <c r="C37" s="120" t="s">
        <v>1695</v>
      </c>
      <c r="D37" s="120" t="s">
        <v>1888</v>
      </c>
      <c r="E37" s="120" t="s">
        <v>1698</v>
      </c>
      <c r="F37" s="122">
        <v>28.8</v>
      </c>
      <c r="G37" s="122">
        <v>41.3</v>
      </c>
      <c r="H37" s="122">
        <v>34.299999999999997</v>
      </c>
      <c r="I37" s="122">
        <v>17.7</v>
      </c>
      <c r="J37" s="122">
        <v>17.2</v>
      </c>
      <c r="K37" s="123">
        <v>15.2</v>
      </c>
      <c r="L37" s="123">
        <v>14.1</v>
      </c>
      <c r="M37" s="123">
        <v>13.6</v>
      </c>
      <c r="N37" s="123">
        <v>13.4</v>
      </c>
      <c r="O37" s="123">
        <v>13.6</v>
      </c>
    </row>
    <row r="38" spans="1:15" ht="16">
      <c r="A38" s="120" t="s">
        <v>789</v>
      </c>
      <c r="B38" s="148" t="s">
        <v>1086</v>
      </c>
      <c r="C38" s="120" t="s">
        <v>1695</v>
      </c>
      <c r="D38" s="120" t="s">
        <v>1889</v>
      </c>
      <c r="E38" s="120" t="s">
        <v>1698</v>
      </c>
      <c r="F38" s="122">
        <v>30.8</v>
      </c>
      <c r="G38" s="122">
        <v>28.6</v>
      </c>
      <c r="H38" s="122">
        <v>22.6</v>
      </c>
      <c r="I38" s="122">
        <v>15.7</v>
      </c>
      <c r="J38" s="122">
        <v>12.3</v>
      </c>
      <c r="K38" s="123">
        <v>11.6</v>
      </c>
      <c r="L38" s="123">
        <v>10.1</v>
      </c>
      <c r="M38" s="123">
        <v>9.1999999999999993</v>
      </c>
      <c r="N38" s="123">
        <v>8.5</v>
      </c>
      <c r="O38" s="123">
        <v>8.4</v>
      </c>
    </row>
    <row r="39" spans="1:15" ht="16">
      <c r="A39" s="120" t="s">
        <v>458</v>
      </c>
      <c r="B39" s="148" t="s">
        <v>1086</v>
      </c>
      <c r="C39" s="120" t="s">
        <v>1695</v>
      </c>
      <c r="D39" s="120" t="s">
        <v>1890</v>
      </c>
      <c r="E39" s="120" t="s">
        <v>1698</v>
      </c>
      <c r="F39" s="122">
        <v>16.2</v>
      </c>
      <c r="G39" s="122">
        <v>22</v>
      </c>
      <c r="H39" s="122">
        <v>18</v>
      </c>
      <c r="I39" s="122">
        <v>10</v>
      </c>
      <c r="J39" s="122">
        <v>10</v>
      </c>
      <c r="K39" s="123">
        <v>8.8000000000000007</v>
      </c>
      <c r="L39" s="123">
        <v>7.7</v>
      </c>
      <c r="M39" s="123">
        <v>8</v>
      </c>
      <c r="N39" s="123">
        <v>7.3</v>
      </c>
      <c r="O39" s="123">
        <v>7.3</v>
      </c>
    </row>
    <row r="40" spans="1:15" ht="16">
      <c r="A40" s="120" t="s">
        <v>167</v>
      </c>
      <c r="B40" s="148" t="s">
        <v>1086</v>
      </c>
      <c r="C40" s="120" t="s">
        <v>1695</v>
      </c>
      <c r="D40" s="120" t="s">
        <v>1696</v>
      </c>
      <c r="E40" s="120" t="s">
        <v>1698</v>
      </c>
      <c r="F40" s="122">
        <v>26.2</v>
      </c>
      <c r="G40" s="122">
        <v>17.899999999999999</v>
      </c>
      <c r="H40" s="122">
        <v>11</v>
      </c>
      <c r="I40" s="122">
        <v>8.1999999999999993</v>
      </c>
      <c r="J40" s="122">
        <v>13.7</v>
      </c>
      <c r="K40" s="123">
        <v>10.4</v>
      </c>
      <c r="L40" s="123">
        <v>9.6</v>
      </c>
      <c r="M40" s="123">
        <v>9.5</v>
      </c>
      <c r="N40" s="123">
        <v>9.1999999999999993</v>
      </c>
      <c r="O40" s="123">
        <v>9.3000000000000007</v>
      </c>
    </row>
    <row r="41" spans="1:15" ht="16">
      <c r="A41" s="120" t="s">
        <v>411</v>
      </c>
      <c r="B41" s="148" t="s">
        <v>1086</v>
      </c>
      <c r="C41" s="120" t="s">
        <v>1695</v>
      </c>
      <c r="D41" s="120" t="s">
        <v>1891</v>
      </c>
      <c r="E41" s="120" t="s">
        <v>1698</v>
      </c>
      <c r="F41" s="122">
        <v>65.5</v>
      </c>
      <c r="G41" s="122">
        <v>39.9</v>
      </c>
      <c r="H41" s="122">
        <v>32.5</v>
      </c>
      <c r="I41" s="122">
        <v>41.7</v>
      </c>
      <c r="J41" s="122">
        <v>48.1</v>
      </c>
      <c r="K41" s="123">
        <v>48.7</v>
      </c>
      <c r="L41" s="123">
        <v>43.7</v>
      </c>
      <c r="M41" s="123">
        <v>35.799999999999997</v>
      </c>
      <c r="N41" s="123">
        <v>26.5</v>
      </c>
      <c r="O41" s="123">
        <v>17.899999999999999</v>
      </c>
    </row>
    <row r="42" spans="1:15" ht="16">
      <c r="A42" s="120" t="s">
        <v>493</v>
      </c>
      <c r="B42" s="148" t="s">
        <v>1086</v>
      </c>
      <c r="C42" s="120" t="s">
        <v>1695</v>
      </c>
      <c r="D42" s="120" t="s">
        <v>1892</v>
      </c>
      <c r="E42" s="120" t="s">
        <v>1698</v>
      </c>
      <c r="F42" s="122">
        <v>43.5</v>
      </c>
      <c r="G42" s="122">
        <v>31.5</v>
      </c>
      <c r="H42" s="122">
        <v>21.5</v>
      </c>
      <c r="I42" s="122">
        <v>21</v>
      </c>
      <c r="J42" s="122">
        <v>12.2</v>
      </c>
      <c r="K42" s="123">
        <v>10.8</v>
      </c>
      <c r="L42" s="123">
        <v>10.7</v>
      </c>
      <c r="M42" s="123">
        <v>10.199999999999999</v>
      </c>
      <c r="N42" s="123">
        <v>9.6999999999999993</v>
      </c>
      <c r="O42" s="123">
        <v>9.6999999999999993</v>
      </c>
    </row>
    <row r="43" spans="1:15" ht="16">
      <c r="A43" s="120" t="s">
        <v>523</v>
      </c>
      <c r="B43" s="148" t="s">
        <v>1086</v>
      </c>
      <c r="C43" s="120" t="s">
        <v>1695</v>
      </c>
      <c r="D43" s="120" t="s">
        <v>1891</v>
      </c>
      <c r="E43" s="120" t="s">
        <v>1698</v>
      </c>
      <c r="F43" s="122">
        <v>24</v>
      </c>
      <c r="G43" s="122">
        <v>18.2</v>
      </c>
      <c r="H43" s="122">
        <v>10</v>
      </c>
      <c r="I43" s="122">
        <v>8.6999999999999993</v>
      </c>
      <c r="J43" s="122">
        <v>10.8</v>
      </c>
      <c r="K43" s="123">
        <v>9.6999999999999993</v>
      </c>
      <c r="L43" s="123">
        <v>9.6999999999999993</v>
      </c>
      <c r="M43" s="123">
        <v>9</v>
      </c>
      <c r="N43" s="123">
        <v>8.5</v>
      </c>
      <c r="O43" s="123">
        <v>8.6</v>
      </c>
    </row>
    <row r="44" spans="1:15" ht="16">
      <c r="A44" s="120" t="s">
        <v>229</v>
      </c>
      <c r="B44" s="148" t="s">
        <v>1086</v>
      </c>
      <c r="C44" s="120" t="s">
        <v>1695</v>
      </c>
      <c r="D44" s="120" t="s">
        <v>1891</v>
      </c>
      <c r="E44" s="120" t="s">
        <v>1698</v>
      </c>
      <c r="F44" s="122">
        <v>28</v>
      </c>
      <c r="G44" s="122">
        <v>16</v>
      </c>
      <c r="H44" s="122">
        <v>14.2</v>
      </c>
      <c r="I44" s="122">
        <v>14.6</v>
      </c>
      <c r="J44" s="122">
        <v>18.899999999999999</v>
      </c>
      <c r="K44" s="123">
        <v>13.7</v>
      </c>
      <c r="L44" s="123">
        <v>10.3</v>
      </c>
      <c r="M44" s="123">
        <v>9.4</v>
      </c>
      <c r="N44" s="123">
        <v>9.3000000000000007</v>
      </c>
      <c r="O44" s="123">
        <v>9.6</v>
      </c>
    </row>
    <row r="45" spans="1:15" ht="16">
      <c r="A45" s="120" t="s">
        <v>538</v>
      </c>
      <c r="B45" s="148" t="s">
        <v>1086</v>
      </c>
      <c r="C45" s="120" t="s">
        <v>1695</v>
      </c>
      <c r="D45" s="120" t="s">
        <v>1891</v>
      </c>
      <c r="E45" s="120" t="s">
        <v>1698</v>
      </c>
      <c r="F45" s="122">
        <v>46.3</v>
      </c>
      <c r="G45" s="122">
        <v>25.8</v>
      </c>
      <c r="H45" s="122">
        <v>29.5</v>
      </c>
      <c r="I45" s="122">
        <v>24</v>
      </c>
      <c r="J45" s="122">
        <v>24</v>
      </c>
      <c r="K45" s="123">
        <v>21.3</v>
      </c>
      <c r="L45" s="123">
        <v>22.6</v>
      </c>
      <c r="M45" s="123">
        <v>25</v>
      </c>
      <c r="N45" s="123">
        <v>27.7</v>
      </c>
      <c r="O45" s="123">
        <v>30.8</v>
      </c>
    </row>
    <row r="46" spans="1:15" ht="16">
      <c r="A46" s="120" t="s">
        <v>577</v>
      </c>
      <c r="B46" s="148" t="s">
        <v>1086</v>
      </c>
      <c r="C46" s="120" t="s">
        <v>1695</v>
      </c>
      <c r="D46" s="120" t="s">
        <v>1891</v>
      </c>
      <c r="E46" s="120" t="s">
        <v>1698</v>
      </c>
      <c r="F46" s="122">
        <v>31.7</v>
      </c>
      <c r="G46" s="122">
        <v>29.2</v>
      </c>
      <c r="H46" s="122">
        <v>19.5</v>
      </c>
      <c r="I46" s="122">
        <v>14.5</v>
      </c>
      <c r="J46" s="122">
        <v>14.8</v>
      </c>
      <c r="K46" s="123">
        <v>11.5</v>
      </c>
      <c r="L46" s="123">
        <v>11.2</v>
      </c>
      <c r="M46" s="123">
        <v>10.6</v>
      </c>
      <c r="N46" s="123">
        <v>9.8000000000000007</v>
      </c>
      <c r="O46" s="123">
        <v>9.8000000000000007</v>
      </c>
    </row>
    <row r="47" spans="1:15" ht="16">
      <c r="A47" s="120" t="s">
        <v>662</v>
      </c>
      <c r="B47" s="148" t="s">
        <v>1086</v>
      </c>
      <c r="C47" s="120" t="s">
        <v>1695</v>
      </c>
      <c r="D47" s="120" t="s">
        <v>1891</v>
      </c>
      <c r="E47" s="120" t="s">
        <v>1698</v>
      </c>
      <c r="F47" s="122">
        <v>45.7</v>
      </c>
      <c r="G47" s="122">
        <v>123.2</v>
      </c>
      <c r="H47" s="122">
        <v>28.4</v>
      </c>
      <c r="I47" s="122">
        <v>22.5</v>
      </c>
      <c r="J47" s="122">
        <v>10.6</v>
      </c>
      <c r="K47" s="123">
        <v>28</v>
      </c>
      <c r="L47" s="123">
        <v>6.7</v>
      </c>
      <c r="M47" s="123">
        <v>9.5</v>
      </c>
      <c r="N47" s="123">
        <v>6.3</v>
      </c>
      <c r="O47" s="123">
        <v>6.3</v>
      </c>
    </row>
    <row r="48" spans="1:15" ht="16">
      <c r="A48" s="120" t="s">
        <v>678</v>
      </c>
      <c r="B48" s="148" t="s">
        <v>1086</v>
      </c>
      <c r="C48" s="120" t="s">
        <v>1695</v>
      </c>
      <c r="D48" s="120" t="s">
        <v>1893</v>
      </c>
      <c r="E48" s="120" t="s">
        <v>1698</v>
      </c>
      <c r="F48" s="122">
        <v>127.9</v>
      </c>
      <c r="G48" s="122">
        <v>65.3</v>
      </c>
      <c r="H48" s="122">
        <v>43.1</v>
      </c>
      <c r="I48" s="122">
        <v>46</v>
      </c>
      <c r="J48" s="122">
        <v>14.9</v>
      </c>
      <c r="K48" s="123">
        <v>12.7</v>
      </c>
      <c r="L48" s="123">
        <v>11.3</v>
      </c>
      <c r="M48" s="123">
        <v>10.7</v>
      </c>
      <c r="N48" s="123">
        <v>10.199999999999999</v>
      </c>
      <c r="O48" s="123">
        <v>10.199999999999999</v>
      </c>
    </row>
    <row r="49" spans="1:15" ht="16">
      <c r="A49" s="120" t="s">
        <v>697</v>
      </c>
      <c r="B49" s="148" t="s">
        <v>1086</v>
      </c>
      <c r="C49" s="120" t="s">
        <v>1695</v>
      </c>
      <c r="D49" s="120" t="s">
        <v>1891</v>
      </c>
      <c r="E49" s="120" t="s">
        <v>1698</v>
      </c>
      <c r="F49" s="122">
        <v>97.5</v>
      </c>
      <c r="G49" s="122">
        <v>77.8</v>
      </c>
      <c r="H49" s="122">
        <v>66.599999999999994</v>
      </c>
      <c r="I49" s="122">
        <v>48.3</v>
      </c>
      <c r="J49" s="122">
        <v>26.9</v>
      </c>
      <c r="K49" s="123">
        <v>19.7</v>
      </c>
      <c r="L49" s="123">
        <v>16.5</v>
      </c>
      <c r="M49" s="123">
        <v>15</v>
      </c>
      <c r="N49" s="123">
        <v>15.9</v>
      </c>
      <c r="O49" s="123">
        <v>16</v>
      </c>
    </row>
    <row r="50" spans="1:15" ht="16">
      <c r="A50" s="120" t="s">
        <v>740</v>
      </c>
      <c r="B50" s="148" t="s">
        <v>1086</v>
      </c>
      <c r="C50" s="120" t="s">
        <v>1695</v>
      </c>
      <c r="D50" s="120" t="s">
        <v>1891</v>
      </c>
      <c r="E50" s="120" t="s">
        <v>1698</v>
      </c>
      <c r="F50" s="122">
        <v>34.799999999999997</v>
      </c>
      <c r="G50" s="122">
        <v>29.1</v>
      </c>
      <c r="H50" s="122">
        <v>19.399999999999999</v>
      </c>
      <c r="I50" s="122">
        <v>16.100000000000001</v>
      </c>
      <c r="J50" s="122">
        <v>13.8</v>
      </c>
      <c r="K50" s="123">
        <v>11</v>
      </c>
      <c r="L50" s="123">
        <v>9.9</v>
      </c>
      <c r="M50" s="123">
        <v>8.9</v>
      </c>
      <c r="N50" s="123">
        <v>8.3000000000000007</v>
      </c>
      <c r="O50" s="123">
        <v>7.8</v>
      </c>
    </row>
    <row r="51" spans="1:15" ht="16">
      <c r="A51" s="120" t="s">
        <v>756</v>
      </c>
      <c r="B51" s="148" t="s">
        <v>1086</v>
      </c>
      <c r="C51" s="120" t="s">
        <v>1695</v>
      </c>
      <c r="D51" s="120" t="s">
        <v>1894</v>
      </c>
      <c r="E51" s="120" t="s">
        <v>1698</v>
      </c>
      <c r="F51" s="122">
        <v>36.4</v>
      </c>
      <c r="G51" s="122">
        <v>28.4</v>
      </c>
      <c r="H51" s="122">
        <v>26.7</v>
      </c>
      <c r="I51" s="122">
        <v>19.600000000000001</v>
      </c>
      <c r="J51" s="122">
        <v>20.5</v>
      </c>
      <c r="K51" s="123">
        <v>17.100000000000001</v>
      </c>
      <c r="L51" s="123">
        <v>15.1</v>
      </c>
      <c r="M51" s="123">
        <v>13.3</v>
      </c>
      <c r="N51" s="123">
        <v>11.2</v>
      </c>
      <c r="O51" s="123">
        <v>11.2</v>
      </c>
    </row>
    <row r="52" spans="1:15" ht="16">
      <c r="A52" s="120" t="s">
        <v>1124</v>
      </c>
      <c r="B52" s="148" t="s">
        <v>1086</v>
      </c>
      <c r="C52" s="120" t="s">
        <v>1695</v>
      </c>
      <c r="D52" s="120" t="s">
        <v>1895</v>
      </c>
      <c r="E52" s="120" t="s">
        <v>1698</v>
      </c>
      <c r="F52" s="122">
        <v>83.5</v>
      </c>
      <c r="G52" s="122">
        <v>92.8</v>
      </c>
      <c r="H52" s="122">
        <v>71</v>
      </c>
      <c r="I52" s="122">
        <v>62.8</v>
      </c>
      <c r="J52" s="122">
        <v>67.599999999999994</v>
      </c>
      <c r="K52" s="123">
        <v>40.799999999999997</v>
      </c>
      <c r="L52" s="123">
        <v>31.3</v>
      </c>
      <c r="M52" s="123">
        <v>26.6</v>
      </c>
      <c r="N52" s="123">
        <v>26</v>
      </c>
      <c r="O52" s="123">
        <v>26.6</v>
      </c>
    </row>
    <row r="53" spans="1:15" ht="16">
      <c r="A53" s="120" t="s">
        <v>791</v>
      </c>
      <c r="B53" s="148" t="s">
        <v>1086</v>
      </c>
      <c r="C53" s="120" t="s">
        <v>1695</v>
      </c>
      <c r="D53" s="120" t="s">
        <v>1896</v>
      </c>
      <c r="E53" s="120" t="s">
        <v>1698</v>
      </c>
      <c r="F53" s="122">
        <v>20.2</v>
      </c>
      <c r="G53" s="122">
        <v>25.8</v>
      </c>
      <c r="H53" s="122">
        <v>22.7</v>
      </c>
      <c r="I53" s="122">
        <v>13.2</v>
      </c>
      <c r="J53" s="122">
        <v>13.7</v>
      </c>
      <c r="K53" s="123">
        <v>11.6</v>
      </c>
      <c r="L53" s="123">
        <v>10.199999999999999</v>
      </c>
      <c r="M53" s="123">
        <v>9</v>
      </c>
      <c r="N53" s="123">
        <v>8.1</v>
      </c>
      <c r="O53" s="123">
        <v>8.1999999999999993</v>
      </c>
    </row>
    <row r="54" spans="1:15" ht="16">
      <c r="A54" s="149"/>
      <c r="B54" s="149"/>
      <c r="C54" s="149"/>
      <c r="D54" s="149"/>
      <c r="E54" s="149"/>
      <c r="F54" s="149"/>
      <c r="G54" s="149"/>
      <c r="H54" s="149"/>
      <c r="I54" s="149"/>
      <c r="J54" s="149"/>
      <c r="K54" s="149"/>
      <c r="L54" s="149"/>
      <c r="M54" s="149"/>
      <c r="N54" s="149"/>
      <c r="O54" s="149"/>
    </row>
    <row r="55" spans="1:15" ht="16">
      <c r="A55" s="150" t="s">
        <v>1125</v>
      </c>
      <c r="B55" s="151"/>
      <c r="C55" s="151"/>
      <c r="D55" s="151"/>
      <c r="E55" s="151"/>
      <c r="F55" s="151"/>
      <c r="G55" s="151"/>
      <c r="H55" s="151"/>
      <c r="I55" s="151"/>
      <c r="J55" s="151"/>
      <c r="K55" s="151"/>
      <c r="L55" s="151"/>
      <c r="M55" s="151"/>
      <c r="N55" s="151"/>
      <c r="O55" s="151"/>
    </row>
    <row r="56" spans="1:15" ht="16">
      <c r="A56" s="139" t="s">
        <v>1897</v>
      </c>
      <c r="B56" s="151"/>
      <c r="C56" s="151"/>
      <c r="D56" s="151"/>
      <c r="E56" s="151"/>
      <c r="F56" s="151"/>
      <c r="G56" s="151"/>
      <c r="H56" s="151"/>
      <c r="I56" s="151"/>
      <c r="J56" s="151"/>
      <c r="K56" s="151"/>
      <c r="L56" s="151"/>
      <c r="M56" s="151"/>
      <c r="N56" s="151"/>
      <c r="O56" s="151"/>
    </row>
    <row r="57" spans="1:15" ht="16">
      <c r="A57" s="149"/>
      <c r="B57" s="149"/>
      <c r="C57" s="149"/>
      <c r="D57" s="149"/>
      <c r="E57" s="149"/>
      <c r="F57" s="149"/>
      <c r="G57" s="149"/>
      <c r="H57" s="149"/>
      <c r="I57" s="149"/>
      <c r="J57" s="149"/>
      <c r="K57" s="149"/>
      <c r="L57" s="149"/>
      <c r="M57" s="149"/>
      <c r="N57" s="149"/>
      <c r="O57" s="149"/>
    </row>
    <row r="58" spans="1:15" ht="16">
      <c r="A58" s="139" t="s">
        <v>1898</v>
      </c>
      <c r="B58" s="151"/>
      <c r="C58" s="151"/>
      <c r="D58" s="151"/>
      <c r="E58" s="151"/>
      <c r="F58" s="151"/>
      <c r="G58" s="151"/>
      <c r="H58" s="151"/>
      <c r="I58" s="151"/>
      <c r="J58" s="151"/>
      <c r="K58" s="151"/>
      <c r="L58" s="151"/>
      <c r="M58" s="151"/>
      <c r="N58" s="151"/>
      <c r="O58" s="151"/>
    </row>
    <row r="59" spans="1:15" ht="16">
      <c r="A59" s="139" t="s">
        <v>1128</v>
      </c>
      <c r="B59" s="151"/>
      <c r="C59" s="151"/>
      <c r="D59" s="151"/>
      <c r="E59" s="151"/>
      <c r="F59" s="151"/>
      <c r="G59" s="151"/>
      <c r="H59" s="151"/>
      <c r="I59" s="151"/>
      <c r="J59" s="151"/>
      <c r="K59" s="151"/>
      <c r="L59" s="151"/>
      <c r="M59" s="151"/>
      <c r="N59" s="151"/>
      <c r="O59" s="151"/>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AA2C4-9350-4C5B-8DB9-155C3FD1BEA5}">
  <dimension ref="A1:O91"/>
  <sheetViews>
    <sheetView topLeftCell="A2" zoomScale="142" workbookViewId="0">
      <selection activeCell="R12" sqref="R12"/>
    </sheetView>
  </sheetViews>
  <sheetFormatPr baseColWidth="10" defaultColWidth="9.1640625" defaultRowHeight="16"/>
  <cols>
    <col min="1" max="1" width="19" style="119" customWidth="1"/>
    <col min="2" max="2" width="37.83203125" style="119" customWidth="1"/>
    <col min="3" max="3" width="15.5" style="119" customWidth="1"/>
    <col min="4" max="4" width="11.5" style="119" customWidth="1"/>
    <col min="5" max="5" width="19" style="119" customWidth="1"/>
    <col min="6" max="15" width="13.5" style="119" customWidth="1"/>
    <col min="16" max="256" width="9.1640625" style="119"/>
    <col min="257" max="257" width="19" style="119" customWidth="1"/>
    <col min="258" max="258" width="37.83203125" style="119" customWidth="1"/>
    <col min="259" max="259" width="15.5" style="119" customWidth="1"/>
    <col min="260" max="260" width="11.5" style="119" customWidth="1"/>
    <col min="261" max="261" width="19" style="119" customWidth="1"/>
    <col min="262" max="271" width="13.5" style="119" customWidth="1"/>
    <col min="272" max="512" width="9.1640625" style="119"/>
    <col min="513" max="513" width="19" style="119" customWidth="1"/>
    <col min="514" max="514" width="37.83203125" style="119" customWidth="1"/>
    <col min="515" max="515" width="15.5" style="119" customWidth="1"/>
    <col min="516" max="516" width="11.5" style="119" customWidth="1"/>
    <col min="517" max="517" width="19" style="119" customWidth="1"/>
    <col min="518" max="527" width="13.5" style="119" customWidth="1"/>
    <col min="528" max="768" width="9.1640625" style="119"/>
    <col min="769" max="769" width="19" style="119" customWidth="1"/>
    <col min="770" max="770" width="37.83203125" style="119" customWidth="1"/>
    <col min="771" max="771" width="15.5" style="119" customWidth="1"/>
    <col min="772" max="772" width="11.5" style="119" customWidth="1"/>
    <col min="773" max="773" width="19" style="119" customWidth="1"/>
    <col min="774" max="783" width="13.5" style="119" customWidth="1"/>
    <col min="784" max="1024" width="9.1640625" style="119"/>
    <col min="1025" max="1025" width="19" style="119" customWidth="1"/>
    <col min="1026" max="1026" width="37.83203125" style="119" customWidth="1"/>
    <col min="1027" max="1027" width="15.5" style="119" customWidth="1"/>
    <col min="1028" max="1028" width="11.5" style="119" customWidth="1"/>
    <col min="1029" max="1029" width="19" style="119" customWidth="1"/>
    <col min="1030" max="1039" width="13.5" style="119" customWidth="1"/>
    <col min="1040" max="1280" width="9.1640625" style="119"/>
    <col min="1281" max="1281" width="19" style="119" customWidth="1"/>
    <col min="1282" max="1282" width="37.83203125" style="119" customWidth="1"/>
    <col min="1283" max="1283" width="15.5" style="119" customWidth="1"/>
    <col min="1284" max="1284" width="11.5" style="119" customWidth="1"/>
    <col min="1285" max="1285" width="19" style="119" customWidth="1"/>
    <col min="1286" max="1295" width="13.5" style="119" customWidth="1"/>
    <col min="1296" max="1536" width="9.1640625" style="119"/>
    <col min="1537" max="1537" width="19" style="119" customWidth="1"/>
    <col min="1538" max="1538" width="37.83203125" style="119" customWidth="1"/>
    <col min="1539" max="1539" width="15.5" style="119" customWidth="1"/>
    <col min="1540" max="1540" width="11.5" style="119" customWidth="1"/>
    <col min="1541" max="1541" width="19" style="119" customWidth="1"/>
    <col min="1542" max="1551" width="13.5" style="119" customWidth="1"/>
    <col min="1552" max="1792" width="9.1640625" style="119"/>
    <col min="1793" max="1793" width="19" style="119" customWidth="1"/>
    <col min="1794" max="1794" width="37.83203125" style="119" customWidth="1"/>
    <col min="1795" max="1795" width="15.5" style="119" customWidth="1"/>
    <col min="1796" max="1796" width="11.5" style="119" customWidth="1"/>
    <col min="1797" max="1797" width="19" style="119" customWidth="1"/>
    <col min="1798" max="1807" width="13.5" style="119" customWidth="1"/>
    <col min="1808" max="2048" width="9.1640625" style="119"/>
    <col min="2049" max="2049" width="19" style="119" customWidth="1"/>
    <col min="2050" max="2050" width="37.83203125" style="119" customWidth="1"/>
    <col min="2051" max="2051" width="15.5" style="119" customWidth="1"/>
    <col min="2052" max="2052" width="11.5" style="119" customWidth="1"/>
    <col min="2053" max="2053" width="19" style="119" customWidth="1"/>
    <col min="2054" max="2063" width="13.5" style="119" customWidth="1"/>
    <col min="2064" max="2304" width="9.1640625" style="119"/>
    <col min="2305" max="2305" width="19" style="119" customWidth="1"/>
    <col min="2306" max="2306" width="37.83203125" style="119" customWidth="1"/>
    <col min="2307" max="2307" width="15.5" style="119" customWidth="1"/>
    <col min="2308" max="2308" width="11.5" style="119" customWidth="1"/>
    <col min="2309" max="2309" width="19" style="119" customWidth="1"/>
    <col min="2310" max="2319" width="13.5" style="119" customWidth="1"/>
    <col min="2320" max="2560" width="9.1640625" style="119"/>
    <col min="2561" max="2561" width="19" style="119" customWidth="1"/>
    <col min="2562" max="2562" width="37.83203125" style="119" customWidth="1"/>
    <col min="2563" max="2563" width="15.5" style="119" customWidth="1"/>
    <col min="2564" max="2564" width="11.5" style="119" customWidth="1"/>
    <col min="2565" max="2565" width="19" style="119" customWidth="1"/>
    <col min="2566" max="2575" width="13.5" style="119" customWidth="1"/>
    <col min="2576" max="2816" width="9.1640625" style="119"/>
    <col min="2817" max="2817" width="19" style="119" customWidth="1"/>
    <col min="2818" max="2818" width="37.83203125" style="119" customWidth="1"/>
    <col min="2819" max="2819" width="15.5" style="119" customWidth="1"/>
    <col min="2820" max="2820" width="11.5" style="119" customWidth="1"/>
    <col min="2821" max="2821" width="19" style="119" customWidth="1"/>
    <col min="2822" max="2831" width="13.5" style="119" customWidth="1"/>
    <col min="2832" max="3072" width="9.1640625" style="119"/>
    <col min="3073" max="3073" width="19" style="119" customWidth="1"/>
    <col min="3074" max="3074" width="37.83203125" style="119" customWidth="1"/>
    <col min="3075" max="3075" width="15.5" style="119" customWidth="1"/>
    <col min="3076" max="3076" width="11.5" style="119" customWidth="1"/>
    <col min="3077" max="3077" width="19" style="119" customWidth="1"/>
    <col min="3078" max="3087" width="13.5" style="119" customWidth="1"/>
    <col min="3088" max="3328" width="9.1640625" style="119"/>
    <col min="3329" max="3329" width="19" style="119" customWidth="1"/>
    <col min="3330" max="3330" width="37.83203125" style="119" customWidth="1"/>
    <col min="3331" max="3331" width="15.5" style="119" customWidth="1"/>
    <col min="3332" max="3332" width="11.5" style="119" customWidth="1"/>
    <col min="3333" max="3333" width="19" style="119" customWidth="1"/>
    <col min="3334" max="3343" width="13.5" style="119" customWidth="1"/>
    <col min="3344" max="3584" width="9.1640625" style="119"/>
    <col min="3585" max="3585" width="19" style="119" customWidth="1"/>
    <col min="3586" max="3586" width="37.83203125" style="119" customWidth="1"/>
    <col min="3587" max="3587" width="15.5" style="119" customWidth="1"/>
    <col min="3588" max="3588" width="11.5" style="119" customWidth="1"/>
    <col min="3589" max="3589" width="19" style="119" customWidth="1"/>
    <col min="3590" max="3599" width="13.5" style="119" customWidth="1"/>
    <col min="3600" max="3840" width="9.1640625" style="119"/>
    <col min="3841" max="3841" width="19" style="119" customWidth="1"/>
    <col min="3842" max="3842" width="37.83203125" style="119" customWidth="1"/>
    <col min="3843" max="3843" width="15.5" style="119" customWidth="1"/>
    <col min="3844" max="3844" width="11.5" style="119" customWidth="1"/>
    <col min="3845" max="3845" width="19" style="119" customWidth="1"/>
    <col min="3846" max="3855" width="13.5" style="119" customWidth="1"/>
    <col min="3856" max="4096" width="9.1640625" style="119"/>
    <col min="4097" max="4097" width="19" style="119" customWidth="1"/>
    <col min="4098" max="4098" width="37.83203125" style="119" customWidth="1"/>
    <col min="4099" max="4099" width="15.5" style="119" customWidth="1"/>
    <col min="4100" max="4100" width="11.5" style="119" customWidth="1"/>
    <col min="4101" max="4101" width="19" style="119" customWidth="1"/>
    <col min="4102" max="4111" width="13.5" style="119" customWidth="1"/>
    <col min="4112" max="4352" width="9.1640625" style="119"/>
    <col min="4353" max="4353" width="19" style="119" customWidth="1"/>
    <col min="4354" max="4354" width="37.83203125" style="119" customWidth="1"/>
    <col min="4355" max="4355" width="15.5" style="119" customWidth="1"/>
    <col min="4356" max="4356" width="11.5" style="119" customWidth="1"/>
    <col min="4357" max="4357" width="19" style="119" customWidth="1"/>
    <col min="4358" max="4367" width="13.5" style="119" customWidth="1"/>
    <col min="4368" max="4608" width="9.1640625" style="119"/>
    <col min="4609" max="4609" width="19" style="119" customWidth="1"/>
    <col min="4610" max="4610" width="37.83203125" style="119" customWidth="1"/>
    <col min="4611" max="4611" width="15.5" style="119" customWidth="1"/>
    <col min="4612" max="4612" width="11.5" style="119" customWidth="1"/>
    <col min="4613" max="4613" width="19" style="119" customWidth="1"/>
    <col min="4614" max="4623" width="13.5" style="119" customWidth="1"/>
    <col min="4624" max="4864" width="9.1640625" style="119"/>
    <col min="4865" max="4865" width="19" style="119" customWidth="1"/>
    <col min="4866" max="4866" width="37.83203125" style="119" customWidth="1"/>
    <col min="4867" max="4867" width="15.5" style="119" customWidth="1"/>
    <col min="4868" max="4868" width="11.5" style="119" customWidth="1"/>
    <col min="4869" max="4869" width="19" style="119" customWidth="1"/>
    <col min="4870" max="4879" width="13.5" style="119" customWidth="1"/>
    <col min="4880" max="5120" width="9.1640625" style="119"/>
    <col min="5121" max="5121" width="19" style="119" customWidth="1"/>
    <col min="5122" max="5122" width="37.83203125" style="119" customWidth="1"/>
    <col min="5123" max="5123" width="15.5" style="119" customWidth="1"/>
    <col min="5124" max="5124" width="11.5" style="119" customWidth="1"/>
    <col min="5125" max="5125" width="19" style="119" customWidth="1"/>
    <col min="5126" max="5135" width="13.5" style="119" customWidth="1"/>
    <col min="5136" max="5376" width="9.1640625" style="119"/>
    <col min="5377" max="5377" width="19" style="119" customWidth="1"/>
    <col min="5378" max="5378" width="37.83203125" style="119" customWidth="1"/>
    <col min="5379" max="5379" width="15.5" style="119" customWidth="1"/>
    <col min="5380" max="5380" width="11.5" style="119" customWidth="1"/>
    <col min="5381" max="5381" width="19" style="119" customWidth="1"/>
    <col min="5382" max="5391" width="13.5" style="119" customWidth="1"/>
    <col min="5392" max="5632" width="9.1640625" style="119"/>
    <col min="5633" max="5633" width="19" style="119" customWidth="1"/>
    <col min="5634" max="5634" width="37.83203125" style="119" customWidth="1"/>
    <col min="5635" max="5635" width="15.5" style="119" customWidth="1"/>
    <col min="5636" max="5636" width="11.5" style="119" customWidth="1"/>
    <col min="5637" max="5637" width="19" style="119" customWidth="1"/>
    <col min="5638" max="5647" width="13.5" style="119" customWidth="1"/>
    <col min="5648" max="5888" width="9.1640625" style="119"/>
    <col min="5889" max="5889" width="19" style="119" customWidth="1"/>
    <col min="5890" max="5890" width="37.83203125" style="119" customWidth="1"/>
    <col min="5891" max="5891" width="15.5" style="119" customWidth="1"/>
    <col min="5892" max="5892" width="11.5" style="119" customWidth="1"/>
    <col min="5893" max="5893" width="19" style="119" customWidth="1"/>
    <col min="5894" max="5903" width="13.5" style="119" customWidth="1"/>
    <col min="5904" max="6144" width="9.1640625" style="119"/>
    <col min="6145" max="6145" width="19" style="119" customWidth="1"/>
    <col min="6146" max="6146" width="37.83203125" style="119" customWidth="1"/>
    <col min="6147" max="6147" width="15.5" style="119" customWidth="1"/>
    <col min="6148" max="6148" width="11.5" style="119" customWidth="1"/>
    <col min="6149" max="6149" width="19" style="119" customWidth="1"/>
    <col min="6150" max="6159" width="13.5" style="119" customWidth="1"/>
    <col min="6160" max="6400" width="9.1640625" style="119"/>
    <col min="6401" max="6401" width="19" style="119" customWidth="1"/>
    <col min="6402" max="6402" width="37.83203125" style="119" customWidth="1"/>
    <col min="6403" max="6403" width="15.5" style="119" customWidth="1"/>
    <col min="6404" max="6404" width="11.5" style="119" customWidth="1"/>
    <col min="6405" max="6405" width="19" style="119" customWidth="1"/>
    <col min="6406" max="6415" width="13.5" style="119" customWidth="1"/>
    <col min="6416" max="6656" width="9.1640625" style="119"/>
    <col min="6657" max="6657" width="19" style="119" customWidth="1"/>
    <col min="6658" max="6658" width="37.83203125" style="119" customWidth="1"/>
    <col min="6659" max="6659" width="15.5" style="119" customWidth="1"/>
    <col min="6660" max="6660" width="11.5" style="119" customWidth="1"/>
    <col min="6661" max="6661" width="19" style="119" customWidth="1"/>
    <col min="6662" max="6671" width="13.5" style="119" customWidth="1"/>
    <col min="6672" max="6912" width="9.1640625" style="119"/>
    <col min="6913" max="6913" width="19" style="119" customWidth="1"/>
    <col min="6914" max="6914" width="37.83203125" style="119" customWidth="1"/>
    <col min="6915" max="6915" width="15.5" style="119" customWidth="1"/>
    <col min="6916" max="6916" width="11.5" style="119" customWidth="1"/>
    <col min="6917" max="6917" width="19" style="119" customWidth="1"/>
    <col min="6918" max="6927" width="13.5" style="119" customWidth="1"/>
    <col min="6928" max="7168" width="9.1640625" style="119"/>
    <col min="7169" max="7169" width="19" style="119" customWidth="1"/>
    <col min="7170" max="7170" width="37.83203125" style="119" customWidth="1"/>
    <col min="7171" max="7171" width="15.5" style="119" customWidth="1"/>
    <col min="7172" max="7172" width="11.5" style="119" customWidth="1"/>
    <col min="7173" max="7173" width="19" style="119" customWidth="1"/>
    <col min="7174" max="7183" width="13.5" style="119" customWidth="1"/>
    <col min="7184" max="7424" width="9.1640625" style="119"/>
    <col min="7425" max="7425" width="19" style="119" customWidth="1"/>
    <col min="7426" max="7426" width="37.83203125" style="119" customWidth="1"/>
    <col min="7427" max="7427" width="15.5" style="119" customWidth="1"/>
    <col min="7428" max="7428" width="11.5" style="119" customWidth="1"/>
    <col min="7429" max="7429" width="19" style="119" customWidth="1"/>
    <col min="7430" max="7439" width="13.5" style="119" customWidth="1"/>
    <col min="7440" max="7680" width="9.1640625" style="119"/>
    <col min="7681" max="7681" width="19" style="119" customWidth="1"/>
    <col min="7682" max="7682" width="37.83203125" style="119" customWidth="1"/>
    <col min="7683" max="7683" width="15.5" style="119" customWidth="1"/>
    <col min="7684" max="7684" width="11.5" style="119" customWidth="1"/>
    <col min="7685" max="7685" width="19" style="119" customWidth="1"/>
    <col min="7686" max="7695" width="13.5" style="119" customWidth="1"/>
    <col min="7696" max="7936" width="9.1640625" style="119"/>
    <col min="7937" max="7937" width="19" style="119" customWidth="1"/>
    <col min="7938" max="7938" width="37.83203125" style="119" customWidth="1"/>
    <col min="7939" max="7939" width="15.5" style="119" customWidth="1"/>
    <col min="7940" max="7940" width="11.5" style="119" customWidth="1"/>
    <col min="7941" max="7941" width="19" style="119" customWidth="1"/>
    <col min="7942" max="7951" width="13.5" style="119" customWidth="1"/>
    <col min="7952" max="8192" width="9.1640625" style="119"/>
    <col min="8193" max="8193" width="19" style="119" customWidth="1"/>
    <col min="8194" max="8194" width="37.83203125" style="119" customWidth="1"/>
    <col min="8195" max="8195" width="15.5" style="119" customWidth="1"/>
    <col min="8196" max="8196" width="11.5" style="119" customWidth="1"/>
    <col min="8197" max="8197" width="19" style="119" customWidth="1"/>
    <col min="8198" max="8207" width="13.5" style="119" customWidth="1"/>
    <col min="8208" max="8448" width="9.1640625" style="119"/>
    <col min="8449" max="8449" width="19" style="119" customWidth="1"/>
    <col min="8450" max="8450" width="37.83203125" style="119" customWidth="1"/>
    <col min="8451" max="8451" width="15.5" style="119" customWidth="1"/>
    <col min="8452" max="8452" width="11.5" style="119" customWidth="1"/>
    <col min="8453" max="8453" width="19" style="119" customWidth="1"/>
    <col min="8454" max="8463" width="13.5" style="119" customWidth="1"/>
    <col min="8464" max="8704" width="9.1640625" style="119"/>
    <col min="8705" max="8705" width="19" style="119" customWidth="1"/>
    <col min="8706" max="8706" width="37.83203125" style="119" customWidth="1"/>
    <col min="8707" max="8707" width="15.5" style="119" customWidth="1"/>
    <col min="8708" max="8708" width="11.5" style="119" customWidth="1"/>
    <col min="8709" max="8709" width="19" style="119" customWidth="1"/>
    <col min="8710" max="8719" width="13.5" style="119" customWidth="1"/>
    <col min="8720" max="8960" width="9.1640625" style="119"/>
    <col min="8961" max="8961" width="19" style="119" customWidth="1"/>
    <col min="8962" max="8962" width="37.83203125" style="119" customWidth="1"/>
    <col min="8963" max="8963" width="15.5" style="119" customWidth="1"/>
    <col min="8964" max="8964" width="11.5" style="119" customWidth="1"/>
    <col min="8965" max="8965" width="19" style="119" customWidth="1"/>
    <col min="8966" max="8975" width="13.5" style="119" customWidth="1"/>
    <col min="8976" max="9216" width="9.1640625" style="119"/>
    <col min="9217" max="9217" width="19" style="119" customWidth="1"/>
    <col min="9218" max="9218" width="37.83203125" style="119" customWidth="1"/>
    <col min="9219" max="9219" width="15.5" style="119" customWidth="1"/>
    <col min="9220" max="9220" width="11.5" style="119" customWidth="1"/>
    <col min="9221" max="9221" width="19" style="119" customWidth="1"/>
    <col min="9222" max="9231" width="13.5" style="119" customWidth="1"/>
    <col min="9232" max="9472" width="9.1640625" style="119"/>
    <col min="9473" max="9473" width="19" style="119" customWidth="1"/>
    <col min="9474" max="9474" width="37.83203125" style="119" customWidth="1"/>
    <col min="9475" max="9475" width="15.5" style="119" customWidth="1"/>
    <col min="9476" max="9476" width="11.5" style="119" customWidth="1"/>
    <col min="9477" max="9477" width="19" style="119" customWidth="1"/>
    <col min="9478" max="9487" width="13.5" style="119" customWidth="1"/>
    <col min="9488" max="9728" width="9.1640625" style="119"/>
    <col min="9729" max="9729" width="19" style="119" customWidth="1"/>
    <col min="9730" max="9730" width="37.83203125" style="119" customWidth="1"/>
    <col min="9731" max="9731" width="15.5" style="119" customWidth="1"/>
    <col min="9732" max="9732" width="11.5" style="119" customWidth="1"/>
    <col min="9733" max="9733" width="19" style="119" customWidth="1"/>
    <col min="9734" max="9743" width="13.5" style="119" customWidth="1"/>
    <col min="9744" max="9984" width="9.1640625" style="119"/>
    <col min="9985" max="9985" width="19" style="119" customWidth="1"/>
    <col min="9986" max="9986" width="37.83203125" style="119" customWidth="1"/>
    <col min="9987" max="9987" width="15.5" style="119" customWidth="1"/>
    <col min="9988" max="9988" width="11.5" style="119" customWidth="1"/>
    <col min="9989" max="9989" width="19" style="119" customWidth="1"/>
    <col min="9990" max="9999" width="13.5" style="119" customWidth="1"/>
    <col min="10000" max="10240" width="9.1640625" style="119"/>
    <col min="10241" max="10241" width="19" style="119" customWidth="1"/>
    <col min="10242" max="10242" width="37.83203125" style="119" customWidth="1"/>
    <col min="10243" max="10243" width="15.5" style="119" customWidth="1"/>
    <col min="10244" max="10244" width="11.5" style="119" customWidth="1"/>
    <col min="10245" max="10245" width="19" style="119" customWidth="1"/>
    <col min="10246" max="10255" width="13.5" style="119" customWidth="1"/>
    <col min="10256" max="10496" width="9.1640625" style="119"/>
    <col min="10497" max="10497" width="19" style="119" customWidth="1"/>
    <col min="10498" max="10498" width="37.83203125" style="119" customWidth="1"/>
    <col min="10499" max="10499" width="15.5" style="119" customWidth="1"/>
    <col min="10500" max="10500" width="11.5" style="119" customWidth="1"/>
    <col min="10501" max="10501" width="19" style="119" customWidth="1"/>
    <col min="10502" max="10511" width="13.5" style="119" customWidth="1"/>
    <col min="10512" max="10752" width="9.1640625" style="119"/>
    <col min="10753" max="10753" width="19" style="119" customWidth="1"/>
    <col min="10754" max="10754" width="37.83203125" style="119" customWidth="1"/>
    <col min="10755" max="10755" width="15.5" style="119" customWidth="1"/>
    <col min="10756" max="10756" width="11.5" style="119" customWidth="1"/>
    <col min="10757" max="10757" width="19" style="119" customWidth="1"/>
    <col min="10758" max="10767" width="13.5" style="119" customWidth="1"/>
    <col min="10768" max="11008" width="9.1640625" style="119"/>
    <col min="11009" max="11009" width="19" style="119" customWidth="1"/>
    <col min="11010" max="11010" width="37.83203125" style="119" customWidth="1"/>
    <col min="11011" max="11011" width="15.5" style="119" customWidth="1"/>
    <col min="11012" max="11012" width="11.5" style="119" customWidth="1"/>
    <col min="11013" max="11013" width="19" style="119" customWidth="1"/>
    <col min="11014" max="11023" width="13.5" style="119" customWidth="1"/>
    <col min="11024" max="11264" width="9.1640625" style="119"/>
    <col min="11265" max="11265" width="19" style="119" customWidth="1"/>
    <col min="11266" max="11266" width="37.83203125" style="119" customWidth="1"/>
    <col min="11267" max="11267" width="15.5" style="119" customWidth="1"/>
    <col min="11268" max="11268" width="11.5" style="119" customWidth="1"/>
    <col min="11269" max="11269" width="19" style="119" customWidth="1"/>
    <col min="11270" max="11279" width="13.5" style="119" customWidth="1"/>
    <col min="11280" max="11520" width="9.1640625" style="119"/>
    <col min="11521" max="11521" width="19" style="119" customWidth="1"/>
    <col min="11522" max="11522" width="37.83203125" style="119" customWidth="1"/>
    <col min="11523" max="11523" width="15.5" style="119" customWidth="1"/>
    <col min="11524" max="11524" width="11.5" style="119" customWidth="1"/>
    <col min="11525" max="11525" width="19" style="119" customWidth="1"/>
    <col min="11526" max="11535" width="13.5" style="119" customWidth="1"/>
    <col min="11536" max="11776" width="9.1640625" style="119"/>
    <col min="11777" max="11777" width="19" style="119" customWidth="1"/>
    <col min="11778" max="11778" width="37.83203125" style="119" customWidth="1"/>
    <col min="11779" max="11779" width="15.5" style="119" customWidth="1"/>
    <col min="11780" max="11780" width="11.5" style="119" customWidth="1"/>
    <col min="11781" max="11781" width="19" style="119" customWidth="1"/>
    <col min="11782" max="11791" width="13.5" style="119" customWidth="1"/>
    <col min="11792" max="12032" width="9.1640625" style="119"/>
    <col min="12033" max="12033" width="19" style="119" customWidth="1"/>
    <col min="12034" max="12034" width="37.83203125" style="119" customWidth="1"/>
    <col min="12035" max="12035" width="15.5" style="119" customWidth="1"/>
    <col min="12036" max="12036" width="11.5" style="119" customWidth="1"/>
    <col min="12037" max="12037" width="19" style="119" customWidth="1"/>
    <col min="12038" max="12047" width="13.5" style="119" customWidth="1"/>
    <col min="12048" max="12288" width="9.1640625" style="119"/>
    <col min="12289" max="12289" width="19" style="119" customWidth="1"/>
    <col min="12290" max="12290" width="37.83203125" style="119" customWidth="1"/>
    <col min="12291" max="12291" width="15.5" style="119" customWidth="1"/>
    <col min="12292" max="12292" width="11.5" style="119" customWidth="1"/>
    <col min="12293" max="12293" width="19" style="119" customWidth="1"/>
    <col min="12294" max="12303" width="13.5" style="119" customWidth="1"/>
    <col min="12304" max="12544" width="9.1640625" style="119"/>
    <col min="12545" max="12545" width="19" style="119" customWidth="1"/>
    <col min="12546" max="12546" width="37.83203125" style="119" customWidth="1"/>
    <col min="12547" max="12547" width="15.5" style="119" customWidth="1"/>
    <col min="12548" max="12548" width="11.5" style="119" customWidth="1"/>
    <col min="12549" max="12549" width="19" style="119" customWidth="1"/>
    <col min="12550" max="12559" width="13.5" style="119" customWidth="1"/>
    <col min="12560" max="12800" width="9.1640625" style="119"/>
    <col min="12801" max="12801" width="19" style="119" customWidth="1"/>
    <col min="12802" max="12802" width="37.83203125" style="119" customWidth="1"/>
    <col min="12803" max="12803" width="15.5" style="119" customWidth="1"/>
    <col min="12804" max="12804" width="11.5" style="119" customWidth="1"/>
    <col min="12805" max="12805" width="19" style="119" customWidth="1"/>
    <col min="12806" max="12815" width="13.5" style="119" customWidth="1"/>
    <col min="12816" max="13056" width="9.1640625" style="119"/>
    <col min="13057" max="13057" width="19" style="119" customWidth="1"/>
    <col min="13058" max="13058" width="37.83203125" style="119" customWidth="1"/>
    <col min="13059" max="13059" width="15.5" style="119" customWidth="1"/>
    <col min="13060" max="13060" width="11.5" style="119" customWidth="1"/>
    <col min="13061" max="13061" width="19" style="119" customWidth="1"/>
    <col min="13062" max="13071" width="13.5" style="119" customWidth="1"/>
    <col min="13072" max="13312" width="9.1640625" style="119"/>
    <col min="13313" max="13313" width="19" style="119" customWidth="1"/>
    <col min="13314" max="13314" width="37.83203125" style="119" customWidth="1"/>
    <col min="13315" max="13315" width="15.5" style="119" customWidth="1"/>
    <col min="13316" max="13316" width="11.5" style="119" customWidth="1"/>
    <col min="13317" max="13317" width="19" style="119" customWidth="1"/>
    <col min="13318" max="13327" width="13.5" style="119" customWidth="1"/>
    <col min="13328" max="13568" width="9.1640625" style="119"/>
    <col min="13569" max="13569" width="19" style="119" customWidth="1"/>
    <col min="13570" max="13570" width="37.83203125" style="119" customWidth="1"/>
    <col min="13571" max="13571" width="15.5" style="119" customWidth="1"/>
    <col min="13572" max="13572" width="11.5" style="119" customWidth="1"/>
    <col min="13573" max="13573" width="19" style="119" customWidth="1"/>
    <col min="13574" max="13583" width="13.5" style="119" customWidth="1"/>
    <col min="13584" max="13824" width="9.1640625" style="119"/>
    <col min="13825" max="13825" width="19" style="119" customWidth="1"/>
    <col min="13826" max="13826" width="37.83203125" style="119" customWidth="1"/>
    <col min="13827" max="13827" width="15.5" style="119" customWidth="1"/>
    <col min="13828" max="13828" width="11.5" style="119" customWidth="1"/>
    <col min="13829" max="13829" width="19" style="119" customWidth="1"/>
    <col min="13830" max="13839" width="13.5" style="119" customWidth="1"/>
    <col min="13840" max="14080" width="9.1640625" style="119"/>
    <col min="14081" max="14081" width="19" style="119" customWidth="1"/>
    <col min="14082" max="14082" width="37.83203125" style="119" customWidth="1"/>
    <col min="14083" max="14083" width="15.5" style="119" customWidth="1"/>
    <col min="14084" max="14084" width="11.5" style="119" customWidth="1"/>
    <col min="14085" max="14085" width="19" style="119" customWidth="1"/>
    <col min="14086" max="14095" width="13.5" style="119" customWidth="1"/>
    <col min="14096" max="14336" width="9.1640625" style="119"/>
    <col min="14337" max="14337" width="19" style="119" customWidth="1"/>
    <col min="14338" max="14338" width="37.83203125" style="119" customWidth="1"/>
    <col min="14339" max="14339" width="15.5" style="119" customWidth="1"/>
    <col min="14340" max="14340" width="11.5" style="119" customWidth="1"/>
    <col min="14341" max="14341" width="19" style="119" customWidth="1"/>
    <col min="14342" max="14351" width="13.5" style="119" customWidth="1"/>
    <col min="14352" max="14592" width="9.1640625" style="119"/>
    <col min="14593" max="14593" width="19" style="119" customWidth="1"/>
    <col min="14594" max="14594" width="37.83203125" style="119" customWidth="1"/>
    <col min="14595" max="14595" width="15.5" style="119" customWidth="1"/>
    <col min="14596" max="14596" width="11.5" style="119" customWidth="1"/>
    <col min="14597" max="14597" width="19" style="119" customWidth="1"/>
    <col min="14598" max="14607" width="13.5" style="119" customWidth="1"/>
    <col min="14608" max="14848" width="9.1640625" style="119"/>
    <col min="14849" max="14849" width="19" style="119" customWidth="1"/>
    <col min="14850" max="14850" width="37.83203125" style="119" customWidth="1"/>
    <col min="14851" max="14851" width="15.5" style="119" customWidth="1"/>
    <col min="14852" max="14852" width="11.5" style="119" customWidth="1"/>
    <col min="14853" max="14853" width="19" style="119" customWidth="1"/>
    <col min="14854" max="14863" width="13.5" style="119" customWidth="1"/>
    <col min="14864" max="15104" width="9.1640625" style="119"/>
    <col min="15105" max="15105" width="19" style="119" customWidth="1"/>
    <col min="15106" max="15106" width="37.83203125" style="119" customWidth="1"/>
    <col min="15107" max="15107" width="15.5" style="119" customWidth="1"/>
    <col min="15108" max="15108" width="11.5" style="119" customWidth="1"/>
    <col min="15109" max="15109" width="19" style="119" customWidth="1"/>
    <col min="15110" max="15119" width="13.5" style="119" customWidth="1"/>
    <col min="15120" max="15360" width="9.1640625" style="119"/>
    <col min="15361" max="15361" width="19" style="119" customWidth="1"/>
    <col min="15362" max="15362" width="37.83203125" style="119" customWidth="1"/>
    <col min="15363" max="15363" width="15.5" style="119" customWidth="1"/>
    <col min="15364" max="15364" width="11.5" style="119" customWidth="1"/>
    <col min="15365" max="15365" width="19" style="119" customWidth="1"/>
    <col min="15366" max="15375" width="13.5" style="119" customWidth="1"/>
    <col min="15376" max="15616" width="9.1640625" style="119"/>
    <col min="15617" max="15617" width="19" style="119" customWidth="1"/>
    <col min="15618" max="15618" width="37.83203125" style="119" customWidth="1"/>
    <col min="15619" max="15619" width="15.5" style="119" customWidth="1"/>
    <col min="15620" max="15620" width="11.5" style="119" customWidth="1"/>
    <col min="15621" max="15621" width="19" style="119" customWidth="1"/>
    <col min="15622" max="15631" width="13.5" style="119" customWidth="1"/>
    <col min="15632" max="15872" width="9.1640625" style="119"/>
    <col min="15873" max="15873" width="19" style="119" customWidth="1"/>
    <col min="15874" max="15874" width="37.83203125" style="119" customWidth="1"/>
    <col min="15875" max="15875" width="15.5" style="119" customWidth="1"/>
    <col min="15876" max="15876" width="11.5" style="119" customWidth="1"/>
    <col min="15877" max="15877" width="19" style="119" customWidth="1"/>
    <col min="15878" max="15887" width="13.5" style="119" customWidth="1"/>
    <col min="15888" max="16128" width="9.1640625" style="119"/>
    <col min="16129" max="16129" width="19" style="119" customWidth="1"/>
    <col min="16130" max="16130" width="37.83203125" style="119" customWidth="1"/>
    <col min="16131" max="16131" width="15.5" style="119" customWidth="1"/>
    <col min="16132" max="16132" width="11.5" style="119" customWidth="1"/>
    <col min="16133" max="16133" width="19" style="119" customWidth="1"/>
    <col min="16134" max="16143" width="13.5" style="119" customWidth="1"/>
    <col min="16144" max="16384" width="9.1640625" style="119"/>
  </cols>
  <sheetData>
    <row r="1" spans="1:15" s="117" customFormat="1"/>
    <row r="2" spans="1:15" s="118" customFormat="1"/>
    <row r="3" spans="1:15" s="117" customFormat="1"/>
    <row r="4" spans="1:15" s="117" customFormat="1"/>
    <row r="5" spans="1:15">
      <c r="A5" s="117" t="s">
        <v>1687</v>
      </c>
    </row>
    <row r="6" spans="1:15" s="126" customFormat="1">
      <c r="A6" s="125" t="s">
        <v>1096</v>
      </c>
      <c r="B6" s="125" t="s">
        <v>1097</v>
      </c>
      <c r="C6" s="125" t="s">
        <v>1098</v>
      </c>
      <c r="D6" s="125" t="s">
        <v>1099</v>
      </c>
      <c r="E6" s="125" t="s">
        <v>1100</v>
      </c>
      <c r="F6" s="125" t="s">
        <v>1853</v>
      </c>
      <c r="G6" s="125" t="s">
        <v>1854</v>
      </c>
      <c r="H6" s="125" t="s">
        <v>1855</v>
      </c>
      <c r="I6" s="125" t="s">
        <v>1856</v>
      </c>
      <c r="J6" s="125" t="s">
        <v>1857</v>
      </c>
      <c r="K6" s="125" t="s">
        <v>1689</v>
      </c>
      <c r="L6" s="125" t="s">
        <v>1690</v>
      </c>
      <c r="M6" s="125" t="s">
        <v>1691</v>
      </c>
      <c r="N6" s="125" t="s">
        <v>1692</v>
      </c>
      <c r="O6" s="125" t="s">
        <v>1693</v>
      </c>
    </row>
    <row r="7" spans="1:15" ht="17.25" customHeight="1">
      <c r="A7" s="120" t="s">
        <v>260</v>
      </c>
      <c r="B7" s="121" t="s">
        <v>1899</v>
      </c>
      <c r="C7" s="120" t="s">
        <v>1695</v>
      </c>
      <c r="D7" s="120" t="s">
        <v>1900</v>
      </c>
      <c r="E7" s="120" t="s">
        <v>1698</v>
      </c>
      <c r="F7" s="122">
        <v>-82.4</v>
      </c>
      <c r="G7" s="122">
        <v>679.7</v>
      </c>
      <c r="H7" s="122">
        <v>118.6</v>
      </c>
      <c r="I7" s="122">
        <v>23.6</v>
      </c>
      <c r="J7" s="122">
        <v>16.5</v>
      </c>
      <c r="K7" s="123">
        <v>10.6</v>
      </c>
      <c r="L7" s="123">
        <v>11.5</v>
      </c>
      <c r="M7" s="123">
        <v>11.3</v>
      </c>
      <c r="N7" s="123">
        <v>11.8</v>
      </c>
      <c r="O7" s="123">
        <v>11.5</v>
      </c>
    </row>
    <row r="8" spans="1:15">
      <c r="A8" s="120" t="s">
        <v>470</v>
      </c>
      <c r="B8" s="121" t="s">
        <v>1901</v>
      </c>
      <c r="C8" s="120" t="s">
        <v>1695</v>
      </c>
      <c r="D8" s="120" t="s">
        <v>1858</v>
      </c>
      <c r="E8" s="120" t="s">
        <v>1698</v>
      </c>
      <c r="F8" s="122">
        <v>8</v>
      </c>
      <c r="G8" s="122">
        <v>-18.5</v>
      </c>
      <c r="H8" s="122">
        <v>295.5</v>
      </c>
      <c r="I8" s="122">
        <v>34.9</v>
      </c>
      <c r="J8" s="122">
        <v>31.9</v>
      </c>
      <c r="K8" s="123">
        <v>19.399999999999999</v>
      </c>
      <c r="L8" s="123">
        <v>16.7</v>
      </c>
      <c r="M8" s="123">
        <v>13.7</v>
      </c>
      <c r="N8" s="123">
        <v>11.4</v>
      </c>
      <c r="O8" s="123">
        <v>9.5</v>
      </c>
    </row>
    <row r="9" spans="1:15">
      <c r="A9" s="120" t="s">
        <v>1115</v>
      </c>
      <c r="B9" s="121" t="s">
        <v>1901</v>
      </c>
      <c r="C9" s="120" t="s">
        <v>1695</v>
      </c>
      <c r="D9" s="120" t="s">
        <v>1859</v>
      </c>
      <c r="E9" s="120" t="s">
        <v>1698</v>
      </c>
      <c r="F9" s="122">
        <v>-35.200000000000003</v>
      </c>
      <c r="G9" s="122">
        <v>72</v>
      </c>
      <c r="H9" s="122">
        <v>619.5</v>
      </c>
      <c r="I9" s="122">
        <v>4.9000000000000004</v>
      </c>
      <c r="J9" s="122">
        <v>12</v>
      </c>
      <c r="K9" s="123">
        <v>9.8000000000000007</v>
      </c>
      <c r="L9" s="123">
        <v>8.4</v>
      </c>
      <c r="M9" s="123">
        <v>7.8</v>
      </c>
      <c r="N9" s="123">
        <v>7.3</v>
      </c>
      <c r="O9" s="123">
        <v>7.5</v>
      </c>
    </row>
    <row r="10" spans="1:15">
      <c r="A10" s="120" t="s">
        <v>564</v>
      </c>
      <c r="B10" s="121" t="s">
        <v>1901</v>
      </c>
      <c r="C10" s="120" t="s">
        <v>1695</v>
      </c>
      <c r="D10" s="120" t="s">
        <v>1860</v>
      </c>
      <c r="E10" s="120" t="s">
        <v>1698</v>
      </c>
      <c r="F10" s="122">
        <v>0</v>
      </c>
      <c r="G10" s="122">
        <v>115.1</v>
      </c>
      <c r="H10" s="122">
        <v>70.900000000000006</v>
      </c>
      <c r="I10" s="122">
        <v>16.2</v>
      </c>
      <c r="J10" s="122">
        <v>4.2</v>
      </c>
      <c r="K10" s="123">
        <v>9.6999999999999993</v>
      </c>
      <c r="L10" s="123">
        <v>10.4</v>
      </c>
      <c r="M10" s="123">
        <v>9.9</v>
      </c>
      <c r="N10" s="123">
        <v>10.1</v>
      </c>
      <c r="O10" s="123">
        <v>9.3000000000000007</v>
      </c>
    </row>
    <row r="11" spans="1:15">
      <c r="A11" s="120" t="s">
        <v>233</v>
      </c>
      <c r="B11" s="121" t="s">
        <v>1901</v>
      </c>
      <c r="C11" s="120" t="s">
        <v>1695</v>
      </c>
      <c r="D11" s="120" t="s">
        <v>1902</v>
      </c>
      <c r="E11" s="120" t="s">
        <v>1698</v>
      </c>
      <c r="F11" s="122">
        <v>-43.3</v>
      </c>
      <c r="G11" s="122">
        <v>71.5</v>
      </c>
      <c r="H11" s="122">
        <v>136.19999999999999</v>
      </c>
      <c r="I11" s="122">
        <v>12.4</v>
      </c>
      <c r="J11" s="122">
        <v>9.1999999999999993</v>
      </c>
      <c r="K11" s="123">
        <v>9.3000000000000007</v>
      </c>
      <c r="L11" s="123">
        <v>9.3000000000000007</v>
      </c>
      <c r="M11" s="123">
        <v>9</v>
      </c>
      <c r="N11" s="123">
        <v>8.4</v>
      </c>
      <c r="O11" s="123">
        <v>8.3000000000000007</v>
      </c>
    </row>
    <row r="12" spans="1:15">
      <c r="A12" s="120" t="s">
        <v>581</v>
      </c>
      <c r="B12" s="121" t="s">
        <v>1901</v>
      </c>
      <c r="C12" s="120" t="s">
        <v>1695</v>
      </c>
      <c r="D12" s="120" t="s">
        <v>1903</v>
      </c>
      <c r="E12" s="120" t="s">
        <v>1698</v>
      </c>
      <c r="F12" s="122">
        <v>-83.8</v>
      </c>
      <c r="G12" s="122">
        <v>644</v>
      </c>
      <c r="H12" s="122">
        <v>490.5</v>
      </c>
      <c r="I12" s="122">
        <v>53.1</v>
      </c>
      <c r="J12" s="122">
        <v>16.600000000000001</v>
      </c>
      <c r="K12" s="123">
        <v>7.2</v>
      </c>
      <c r="L12" s="123">
        <v>5.9</v>
      </c>
      <c r="M12" s="123">
        <v>6.9</v>
      </c>
      <c r="N12" s="123">
        <v>5.4</v>
      </c>
      <c r="O12" s="123">
        <v>6</v>
      </c>
    </row>
    <row r="13" spans="1:15">
      <c r="A13" s="120" t="s">
        <v>585</v>
      </c>
      <c r="B13" s="121" t="s">
        <v>1899</v>
      </c>
      <c r="C13" s="120" t="s">
        <v>1695</v>
      </c>
      <c r="D13" s="120" t="s">
        <v>1904</v>
      </c>
      <c r="E13" s="120" t="s">
        <v>1698</v>
      </c>
      <c r="F13" s="122">
        <v>5.7</v>
      </c>
      <c r="G13" s="122">
        <v>146.1</v>
      </c>
      <c r="H13" s="122">
        <v>50</v>
      </c>
      <c r="I13" s="122">
        <v>19.7</v>
      </c>
      <c r="J13" s="122">
        <v>14.7</v>
      </c>
      <c r="K13" s="123">
        <v>16.3</v>
      </c>
      <c r="L13" s="123">
        <v>15.6</v>
      </c>
      <c r="M13" s="123">
        <v>14.1</v>
      </c>
      <c r="N13" s="123">
        <v>13.2</v>
      </c>
      <c r="O13" s="123">
        <v>12.1</v>
      </c>
    </row>
    <row r="14" spans="1:15">
      <c r="A14" s="120" t="s">
        <v>261</v>
      </c>
      <c r="B14" s="121" t="s">
        <v>1899</v>
      </c>
      <c r="C14" s="120" t="s">
        <v>1695</v>
      </c>
      <c r="D14" s="120" t="s">
        <v>1905</v>
      </c>
      <c r="E14" s="120" t="s">
        <v>1698</v>
      </c>
      <c r="F14" s="122">
        <v>-87.4</v>
      </c>
      <c r="G14" s="122">
        <v>1093.5999999999999</v>
      </c>
      <c r="H14" s="122">
        <v>211.1</v>
      </c>
      <c r="I14" s="122">
        <v>48.1</v>
      </c>
      <c r="J14" s="122">
        <v>29</v>
      </c>
      <c r="K14" s="123">
        <v>16.600000000000001</v>
      </c>
      <c r="L14" s="123">
        <v>18.399999999999999</v>
      </c>
      <c r="M14" s="123">
        <v>17.600000000000001</v>
      </c>
      <c r="N14" s="123">
        <v>15.9</v>
      </c>
      <c r="O14" s="123">
        <v>13.1</v>
      </c>
    </row>
    <row r="15" spans="1:15">
      <c r="A15" s="120" t="s">
        <v>257</v>
      </c>
      <c r="B15" s="121" t="s">
        <v>1901</v>
      </c>
      <c r="C15" s="120" t="s">
        <v>1695</v>
      </c>
      <c r="D15" s="120" t="s">
        <v>1863</v>
      </c>
      <c r="E15" s="120" t="s">
        <v>1698</v>
      </c>
      <c r="F15" s="122">
        <v>-96.6</v>
      </c>
      <c r="G15" s="122">
        <v>6997.9</v>
      </c>
      <c r="H15" s="122">
        <v>107.6</v>
      </c>
      <c r="I15" s="122">
        <v>43.3</v>
      </c>
      <c r="J15" s="122">
        <v>5.7</v>
      </c>
      <c r="K15" s="123">
        <v>8.6</v>
      </c>
      <c r="L15" s="123">
        <v>8.8000000000000007</v>
      </c>
      <c r="M15" s="123">
        <v>8.4</v>
      </c>
      <c r="N15" s="123">
        <v>8.4</v>
      </c>
      <c r="O15" s="123">
        <v>8.4</v>
      </c>
    </row>
    <row r="16" spans="1:15">
      <c r="A16" s="120" t="s">
        <v>654</v>
      </c>
      <c r="B16" s="121" t="s">
        <v>1899</v>
      </c>
      <c r="C16" s="120" t="s">
        <v>1695</v>
      </c>
      <c r="D16" s="120" t="s">
        <v>1906</v>
      </c>
      <c r="E16" s="120" t="s">
        <v>1698</v>
      </c>
      <c r="F16" s="122">
        <v>-93.9</v>
      </c>
      <c r="G16" s="122">
        <v>834.3</v>
      </c>
      <c r="H16" s="122">
        <v>306.5</v>
      </c>
      <c r="I16" s="122">
        <v>14.8</v>
      </c>
      <c r="J16" s="122">
        <v>9.8000000000000007</v>
      </c>
      <c r="K16" s="123">
        <v>25.1</v>
      </c>
      <c r="L16" s="123">
        <v>17.7</v>
      </c>
      <c r="M16" s="123">
        <v>12.7</v>
      </c>
      <c r="N16" s="123">
        <v>12</v>
      </c>
      <c r="O16" s="123">
        <v>11.5</v>
      </c>
    </row>
    <row r="17" spans="1:15">
      <c r="A17" s="120" t="s">
        <v>244</v>
      </c>
      <c r="B17" s="121" t="s">
        <v>1901</v>
      </c>
      <c r="C17" s="120" t="s">
        <v>1695</v>
      </c>
      <c r="D17" s="120" t="s">
        <v>1864</v>
      </c>
      <c r="E17" s="120" t="s">
        <v>1698</v>
      </c>
      <c r="F17" s="122">
        <v>-82.1</v>
      </c>
      <c r="G17" s="122">
        <v>942</v>
      </c>
      <c r="H17" s="122">
        <v>105</v>
      </c>
      <c r="I17" s="122">
        <v>-26.9</v>
      </c>
      <c r="J17" s="122">
        <v>6.4</v>
      </c>
      <c r="K17" s="123">
        <v>8.6999999999999993</v>
      </c>
      <c r="L17" s="123">
        <v>8.5</v>
      </c>
      <c r="M17" s="123">
        <v>8.1999999999999993</v>
      </c>
      <c r="N17" s="123">
        <v>8.1</v>
      </c>
      <c r="O17" s="123">
        <v>8.1999999999999993</v>
      </c>
    </row>
    <row r="18" spans="1:15">
      <c r="A18" s="120" t="s">
        <v>231</v>
      </c>
      <c r="B18" s="121" t="s">
        <v>1901</v>
      </c>
      <c r="C18" s="120" t="s">
        <v>1695</v>
      </c>
      <c r="D18" s="120" t="s">
        <v>1865</v>
      </c>
      <c r="E18" s="120" t="s">
        <v>1698</v>
      </c>
      <c r="F18" s="122">
        <v>-89.9</v>
      </c>
      <c r="G18" s="122">
        <v>2631.9</v>
      </c>
      <c r="H18" s="122">
        <v>63</v>
      </c>
      <c r="I18" s="122">
        <v>14.3</v>
      </c>
      <c r="J18" s="122">
        <v>17.2</v>
      </c>
      <c r="K18" s="123">
        <v>6.9</v>
      </c>
      <c r="L18" s="123">
        <v>7.8</v>
      </c>
      <c r="M18" s="123">
        <v>8</v>
      </c>
      <c r="N18" s="123">
        <v>8.1</v>
      </c>
      <c r="O18" s="123">
        <v>8.1</v>
      </c>
    </row>
    <row r="19" spans="1:15">
      <c r="A19" s="120" t="s">
        <v>1116</v>
      </c>
      <c r="B19" s="121" t="s">
        <v>1901</v>
      </c>
      <c r="C19" s="120" t="s">
        <v>1695</v>
      </c>
      <c r="D19" s="120" t="s">
        <v>1907</v>
      </c>
      <c r="E19" s="120" t="s">
        <v>1698</v>
      </c>
      <c r="F19" s="122">
        <v>-4.0999999999999996</v>
      </c>
      <c r="G19" s="122">
        <v>44</v>
      </c>
      <c r="H19" s="122">
        <v>24</v>
      </c>
      <c r="I19" s="122">
        <v>35.700000000000003</v>
      </c>
      <c r="J19" s="122">
        <v>9.3000000000000007</v>
      </c>
      <c r="K19" s="123">
        <v>6.4</v>
      </c>
      <c r="L19" s="123">
        <v>6.7</v>
      </c>
      <c r="M19" s="123">
        <v>6.6</v>
      </c>
      <c r="N19" s="123">
        <v>7.1</v>
      </c>
      <c r="O19" s="123">
        <v>6.6</v>
      </c>
    </row>
    <row r="20" spans="1:15">
      <c r="A20" s="120" t="s">
        <v>742</v>
      </c>
      <c r="B20" s="121" t="s">
        <v>1899</v>
      </c>
      <c r="C20" s="120" t="s">
        <v>1695</v>
      </c>
      <c r="D20" s="120" t="s">
        <v>1908</v>
      </c>
      <c r="E20" s="120" t="s">
        <v>1698</v>
      </c>
      <c r="F20" s="122">
        <v>-38.700000000000003</v>
      </c>
      <c r="G20" s="122">
        <v>257.2</v>
      </c>
      <c r="H20" s="122">
        <v>138.19999999999999</v>
      </c>
      <c r="I20" s="122">
        <v>39.799999999999997</v>
      </c>
      <c r="J20" s="122">
        <v>9.3000000000000007</v>
      </c>
      <c r="K20" s="123">
        <v>8.1</v>
      </c>
      <c r="L20" s="123">
        <v>8.1</v>
      </c>
      <c r="M20" s="123">
        <v>7.8</v>
      </c>
      <c r="N20" s="123">
        <v>8.5</v>
      </c>
      <c r="O20" s="123">
        <v>8.1</v>
      </c>
    </row>
    <row r="21" spans="1:15">
      <c r="A21" s="120" t="s">
        <v>1093</v>
      </c>
      <c r="B21" s="121" t="s">
        <v>1901</v>
      </c>
      <c r="C21" s="120" t="s">
        <v>1695</v>
      </c>
      <c r="D21" s="120" t="s">
        <v>1867</v>
      </c>
      <c r="E21" s="120" t="s">
        <v>1698</v>
      </c>
      <c r="F21" s="122">
        <v>-58.6</v>
      </c>
      <c r="G21" s="122">
        <v>139.1</v>
      </c>
      <c r="H21" s="122">
        <v>386.3</v>
      </c>
      <c r="I21" s="122">
        <v>24.1</v>
      </c>
      <c r="J21" s="122">
        <v>7.3</v>
      </c>
      <c r="K21" s="123">
        <v>8.8000000000000007</v>
      </c>
      <c r="L21" s="123">
        <v>7.9</v>
      </c>
      <c r="M21" s="123">
        <v>7.5</v>
      </c>
      <c r="N21" s="123">
        <v>7.1</v>
      </c>
      <c r="O21" s="123">
        <v>6.9</v>
      </c>
    </row>
    <row r="22" spans="1:15">
      <c r="A22" s="120" t="s">
        <v>239</v>
      </c>
      <c r="B22" s="121" t="s">
        <v>1901</v>
      </c>
      <c r="C22" s="120" t="s">
        <v>1695</v>
      </c>
      <c r="D22" s="120" t="s">
        <v>1868</v>
      </c>
      <c r="E22" s="120" t="s">
        <v>1698</v>
      </c>
      <c r="F22" s="122">
        <v>-75.3</v>
      </c>
      <c r="G22" s="122">
        <v>418.4</v>
      </c>
      <c r="H22" s="122">
        <v>96.1</v>
      </c>
      <c r="I22" s="122">
        <v>42.7</v>
      </c>
      <c r="J22" s="122">
        <v>-9.4</v>
      </c>
      <c r="K22" s="123">
        <v>16.7</v>
      </c>
      <c r="L22" s="123">
        <v>16.399999999999999</v>
      </c>
      <c r="M22" s="123">
        <v>15.3</v>
      </c>
      <c r="N22" s="123">
        <v>14.6</v>
      </c>
      <c r="O22" s="123">
        <v>13.1</v>
      </c>
    </row>
    <row r="23" spans="1:15">
      <c r="A23" s="120" t="s">
        <v>258</v>
      </c>
      <c r="B23" s="121" t="s">
        <v>1901</v>
      </c>
      <c r="C23" s="120" t="s">
        <v>1695</v>
      </c>
      <c r="D23" s="120" t="s">
        <v>1869</v>
      </c>
      <c r="E23" s="120" t="s">
        <v>1698</v>
      </c>
      <c r="F23" s="122">
        <v>-94.7</v>
      </c>
      <c r="G23" s="122">
        <v>2387</v>
      </c>
      <c r="H23" s="122">
        <v>155</v>
      </c>
      <c r="I23" s="122">
        <v>39.799999999999997</v>
      </c>
      <c r="J23" s="122">
        <v>18.3</v>
      </c>
      <c r="K23" s="123">
        <v>15.3</v>
      </c>
      <c r="L23" s="123">
        <v>14.1</v>
      </c>
      <c r="M23" s="123">
        <v>13.4</v>
      </c>
      <c r="N23" s="123">
        <v>13.1</v>
      </c>
      <c r="O23" s="123">
        <v>13</v>
      </c>
    </row>
    <row r="24" spans="1:15">
      <c r="A24" s="120" t="s">
        <v>409</v>
      </c>
      <c r="B24" s="121" t="s">
        <v>1901</v>
      </c>
      <c r="C24" s="120" t="s">
        <v>1695</v>
      </c>
      <c r="D24" s="120" t="s">
        <v>1870</v>
      </c>
      <c r="E24" s="120" t="s">
        <v>1698</v>
      </c>
      <c r="F24" s="122">
        <v>-82.9</v>
      </c>
      <c r="G24" s="122">
        <v>1096.9000000000001</v>
      </c>
      <c r="H24" s="122">
        <v>71.3</v>
      </c>
      <c r="I24" s="122">
        <v>23.2</v>
      </c>
      <c r="J24" s="122">
        <v>8.6999999999999993</v>
      </c>
      <c r="K24" s="123">
        <v>12.5</v>
      </c>
      <c r="L24" s="123">
        <v>13.3</v>
      </c>
      <c r="M24" s="123">
        <v>9.4</v>
      </c>
      <c r="N24" s="123">
        <v>10.5</v>
      </c>
      <c r="O24" s="123">
        <v>10.3</v>
      </c>
    </row>
    <row r="25" spans="1:15">
      <c r="A25" s="120" t="s">
        <v>666</v>
      </c>
      <c r="B25" s="121" t="s">
        <v>1901</v>
      </c>
      <c r="C25" s="120" t="s">
        <v>1695</v>
      </c>
      <c r="D25" s="120" t="s">
        <v>1909</v>
      </c>
      <c r="E25" s="120" t="s">
        <v>1698</v>
      </c>
      <c r="F25" s="122">
        <v>-82.6</v>
      </c>
      <c r="G25" s="122">
        <v>630.70000000000005</v>
      </c>
      <c r="H25" s="122">
        <v>127.4</v>
      </c>
      <c r="I25" s="122">
        <v>20.6</v>
      </c>
      <c r="J25" s="122">
        <v>6.2</v>
      </c>
      <c r="K25" s="123">
        <v>6.3</v>
      </c>
      <c r="L25" s="123">
        <v>6.4</v>
      </c>
      <c r="M25" s="123">
        <v>6.4</v>
      </c>
      <c r="N25" s="123">
        <v>6.5</v>
      </c>
      <c r="O25" s="123">
        <v>6.3</v>
      </c>
    </row>
    <row r="26" spans="1:15">
      <c r="A26" s="120" t="s">
        <v>447</v>
      </c>
      <c r="B26" s="121" t="s">
        <v>1901</v>
      </c>
      <c r="C26" s="120" t="s">
        <v>1695</v>
      </c>
      <c r="D26" s="120" t="s">
        <v>1910</v>
      </c>
      <c r="E26" s="120" t="s">
        <v>1698</v>
      </c>
      <c r="F26" s="122">
        <v>9.9</v>
      </c>
      <c r="G26" s="122">
        <v>65.400000000000006</v>
      </c>
      <c r="H26" s="122">
        <v>20</v>
      </c>
      <c r="I26" s="122">
        <v>8.8000000000000007</v>
      </c>
      <c r="J26" s="122">
        <v>7.6</v>
      </c>
      <c r="K26" s="123">
        <v>6.3</v>
      </c>
      <c r="L26" s="123">
        <v>6.6</v>
      </c>
      <c r="M26" s="123">
        <v>6.3</v>
      </c>
      <c r="N26" s="123">
        <v>6.6</v>
      </c>
      <c r="O26" s="123">
        <v>6.1</v>
      </c>
    </row>
    <row r="27" spans="1:15">
      <c r="A27" s="120" t="s">
        <v>483</v>
      </c>
      <c r="B27" s="121" t="s">
        <v>1901</v>
      </c>
      <c r="C27" s="120" t="s">
        <v>1695</v>
      </c>
      <c r="D27" s="120" t="s">
        <v>1891</v>
      </c>
      <c r="E27" s="120" t="s">
        <v>1698</v>
      </c>
      <c r="F27" s="122">
        <v>89</v>
      </c>
      <c r="G27" s="122">
        <v>40.799999999999997</v>
      </c>
      <c r="H27" s="122">
        <v>3.7</v>
      </c>
      <c r="I27" s="122">
        <v>7.2</v>
      </c>
      <c r="J27" s="122">
        <v>4.9000000000000004</v>
      </c>
      <c r="K27" s="123">
        <v>6.6</v>
      </c>
      <c r="L27" s="123">
        <v>6.6</v>
      </c>
      <c r="M27" s="123">
        <v>6.3</v>
      </c>
      <c r="N27" s="123">
        <v>6.7</v>
      </c>
      <c r="O27" s="123">
        <v>6.1</v>
      </c>
    </row>
    <row r="28" spans="1:15">
      <c r="A28" s="120" t="s">
        <v>1117</v>
      </c>
      <c r="B28" s="121" t="s">
        <v>1901</v>
      </c>
      <c r="C28" s="120" t="s">
        <v>1695</v>
      </c>
      <c r="D28" s="120" t="s">
        <v>1871</v>
      </c>
      <c r="E28" s="120" t="s">
        <v>1698</v>
      </c>
      <c r="F28" s="122">
        <v>-0.7</v>
      </c>
      <c r="G28" s="122">
        <v>195.7</v>
      </c>
      <c r="H28" s="122">
        <v>35.9</v>
      </c>
      <c r="I28" s="122">
        <v>21.6</v>
      </c>
      <c r="J28" s="122">
        <v>6</v>
      </c>
      <c r="K28" s="123">
        <v>5.3</v>
      </c>
      <c r="L28" s="123">
        <v>5.8</v>
      </c>
      <c r="M28" s="123">
        <v>5.5</v>
      </c>
      <c r="N28" s="123">
        <v>5.5</v>
      </c>
      <c r="O28" s="123">
        <v>5.3</v>
      </c>
    </row>
    <row r="29" spans="1:15">
      <c r="A29" s="120" t="s">
        <v>511</v>
      </c>
      <c r="B29" s="121" t="s">
        <v>1899</v>
      </c>
      <c r="C29" s="120" t="s">
        <v>1695</v>
      </c>
      <c r="D29" s="120" t="s">
        <v>1891</v>
      </c>
      <c r="E29" s="120" t="s">
        <v>1698</v>
      </c>
      <c r="F29" s="122">
        <v>13</v>
      </c>
      <c r="G29" s="122">
        <v>134.5</v>
      </c>
      <c r="H29" s="122">
        <v>24</v>
      </c>
      <c r="I29" s="122">
        <v>18.5</v>
      </c>
      <c r="J29" s="122">
        <v>5.7</v>
      </c>
      <c r="K29" s="123">
        <v>4.8</v>
      </c>
      <c r="L29" s="123">
        <v>5.5</v>
      </c>
      <c r="M29" s="123">
        <v>5.8</v>
      </c>
      <c r="N29" s="123">
        <v>5.7</v>
      </c>
      <c r="O29" s="123">
        <v>5.4</v>
      </c>
    </row>
    <row r="30" spans="1:15">
      <c r="A30" s="120" t="s">
        <v>531</v>
      </c>
      <c r="B30" s="121" t="s">
        <v>1899</v>
      </c>
      <c r="C30" s="120" t="s">
        <v>1695</v>
      </c>
      <c r="D30" s="120" t="s">
        <v>1911</v>
      </c>
      <c r="E30" s="120" t="s">
        <v>1698</v>
      </c>
      <c r="F30" s="122">
        <v>138.9</v>
      </c>
      <c r="G30" s="122">
        <v>153.19999999999999</v>
      </c>
      <c r="H30" s="122">
        <v>5.8</v>
      </c>
      <c r="I30" s="122">
        <v>11.1</v>
      </c>
      <c r="J30" s="122">
        <v>10.4</v>
      </c>
      <c r="K30" s="123">
        <v>9.5</v>
      </c>
      <c r="L30" s="123">
        <v>8.8000000000000007</v>
      </c>
      <c r="M30" s="123">
        <v>8.8000000000000007</v>
      </c>
      <c r="N30" s="123">
        <v>9.1999999999999993</v>
      </c>
      <c r="O30" s="123">
        <v>8.9</v>
      </c>
    </row>
    <row r="31" spans="1:15">
      <c r="A31" s="120" t="s">
        <v>560</v>
      </c>
      <c r="B31" s="121" t="s">
        <v>1901</v>
      </c>
      <c r="C31" s="120" t="s">
        <v>1695</v>
      </c>
      <c r="D31" s="120" t="s">
        <v>1872</v>
      </c>
      <c r="E31" s="120" t="s">
        <v>1698</v>
      </c>
      <c r="F31" s="122">
        <v>35</v>
      </c>
      <c r="G31" s="122">
        <v>90.7</v>
      </c>
      <c r="H31" s="122">
        <v>35.799999999999997</v>
      </c>
      <c r="I31" s="122">
        <v>5.2</v>
      </c>
      <c r="J31" s="122">
        <v>5.3</v>
      </c>
      <c r="K31" s="123">
        <v>5.4</v>
      </c>
      <c r="L31" s="123">
        <v>6.3</v>
      </c>
      <c r="M31" s="123">
        <v>6.1</v>
      </c>
      <c r="N31" s="123">
        <v>6.6</v>
      </c>
      <c r="O31" s="123">
        <v>6.1</v>
      </c>
    </row>
    <row r="32" spans="1:15">
      <c r="A32" s="120" t="s">
        <v>603</v>
      </c>
      <c r="B32" s="121" t="s">
        <v>1899</v>
      </c>
      <c r="C32" s="120" t="s">
        <v>1695</v>
      </c>
      <c r="D32" s="120" t="s">
        <v>1891</v>
      </c>
      <c r="E32" s="120" t="s">
        <v>1698</v>
      </c>
      <c r="F32" s="122">
        <v>-9.8000000000000007</v>
      </c>
      <c r="G32" s="122">
        <v>64.599999999999994</v>
      </c>
      <c r="H32" s="122">
        <v>14.8</v>
      </c>
      <c r="I32" s="122">
        <v>5.3</v>
      </c>
      <c r="J32" s="122">
        <v>5.0999999999999996</v>
      </c>
      <c r="K32" s="123">
        <v>4.7</v>
      </c>
      <c r="L32" s="123">
        <v>5.4</v>
      </c>
      <c r="M32" s="123">
        <v>4.8</v>
      </c>
      <c r="N32" s="123">
        <v>5.0999999999999996</v>
      </c>
      <c r="O32" s="123">
        <v>4.5999999999999996</v>
      </c>
    </row>
    <row r="33" spans="1:15">
      <c r="A33" s="120" t="s">
        <v>615</v>
      </c>
      <c r="B33" s="121" t="s">
        <v>1899</v>
      </c>
      <c r="C33" s="120" t="s">
        <v>1695</v>
      </c>
      <c r="D33" s="120" t="s">
        <v>1891</v>
      </c>
      <c r="E33" s="120" t="s">
        <v>1698</v>
      </c>
      <c r="F33" s="122">
        <v>3.2</v>
      </c>
      <c r="G33" s="122">
        <v>123.3</v>
      </c>
      <c r="H33" s="122">
        <v>17.600000000000001</v>
      </c>
      <c r="I33" s="122">
        <v>7.9</v>
      </c>
      <c r="J33" s="122">
        <v>7.8</v>
      </c>
      <c r="K33" s="123">
        <v>6.1</v>
      </c>
      <c r="L33" s="123">
        <v>5.5</v>
      </c>
      <c r="M33" s="123">
        <v>5.0999999999999996</v>
      </c>
      <c r="N33" s="123">
        <v>5.6</v>
      </c>
      <c r="O33" s="123">
        <v>4.9000000000000004</v>
      </c>
    </row>
    <row r="34" spans="1:15">
      <c r="A34" s="120" t="s">
        <v>695</v>
      </c>
      <c r="B34" s="121" t="s">
        <v>1901</v>
      </c>
      <c r="C34" s="120" t="s">
        <v>1695</v>
      </c>
      <c r="D34" s="120" t="s">
        <v>1873</v>
      </c>
      <c r="E34" s="120" t="s">
        <v>1698</v>
      </c>
      <c r="F34" s="122">
        <v>15.8</v>
      </c>
      <c r="G34" s="122">
        <v>70.3</v>
      </c>
      <c r="H34" s="122">
        <v>16.5</v>
      </c>
      <c r="I34" s="122">
        <v>15.4</v>
      </c>
      <c r="J34" s="122">
        <v>5.8</v>
      </c>
      <c r="K34" s="123">
        <v>6.7</v>
      </c>
      <c r="L34" s="123">
        <v>6.9</v>
      </c>
      <c r="M34" s="123">
        <v>6.5</v>
      </c>
      <c r="N34" s="123">
        <v>6.6</v>
      </c>
      <c r="O34" s="123">
        <v>6.5</v>
      </c>
    </row>
    <row r="35" spans="1:15">
      <c r="A35" s="120" t="s">
        <v>703</v>
      </c>
      <c r="B35" s="121" t="s">
        <v>1901</v>
      </c>
      <c r="C35" s="120" t="s">
        <v>1695</v>
      </c>
      <c r="D35" s="120" t="s">
        <v>1874</v>
      </c>
      <c r="E35" s="120" t="s">
        <v>1698</v>
      </c>
      <c r="F35" s="122">
        <v>89.6</v>
      </c>
      <c r="G35" s="122">
        <v>64.2</v>
      </c>
      <c r="H35" s="122">
        <v>23.6</v>
      </c>
      <c r="I35" s="122">
        <v>23.6</v>
      </c>
      <c r="J35" s="122">
        <v>5.3</v>
      </c>
      <c r="K35" s="123">
        <v>8.5</v>
      </c>
      <c r="L35" s="123">
        <v>8.6999999999999993</v>
      </c>
      <c r="M35" s="123">
        <v>8.9</v>
      </c>
      <c r="N35" s="123">
        <v>8.8000000000000007</v>
      </c>
      <c r="O35" s="123">
        <v>8.6999999999999993</v>
      </c>
    </row>
    <row r="36" spans="1:15">
      <c r="A36" s="120" t="s">
        <v>1118</v>
      </c>
      <c r="B36" s="121" t="s">
        <v>1901</v>
      </c>
      <c r="C36" s="120" t="s">
        <v>1695</v>
      </c>
      <c r="D36" s="120" t="s">
        <v>1875</v>
      </c>
      <c r="E36" s="120" t="s">
        <v>1698</v>
      </c>
      <c r="F36" s="122">
        <v>31.5</v>
      </c>
      <c r="G36" s="122">
        <v>-15.2</v>
      </c>
      <c r="H36" s="122">
        <v>82.5</v>
      </c>
      <c r="I36" s="122">
        <v>25.2</v>
      </c>
      <c r="J36" s="122">
        <v>18.2</v>
      </c>
      <c r="K36" s="123">
        <v>13.9</v>
      </c>
      <c r="L36" s="123">
        <v>11.5</v>
      </c>
      <c r="M36" s="123">
        <v>10.5</v>
      </c>
      <c r="N36" s="123">
        <v>10.4</v>
      </c>
      <c r="O36" s="123">
        <v>9.9</v>
      </c>
    </row>
    <row r="37" spans="1:15">
      <c r="A37" s="120" t="s">
        <v>1119</v>
      </c>
      <c r="B37" s="121" t="s">
        <v>1901</v>
      </c>
      <c r="C37" s="120" t="s">
        <v>1695</v>
      </c>
      <c r="D37" s="120" t="s">
        <v>1891</v>
      </c>
      <c r="E37" s="120" t="s">
        <v>1698</v>
      </c>
      <c r="F37" s="122">
        <v>-14.5</v>
      </c>
      <c r="G37" s="122">
        <v>227.2</v>
      </c>
      <c r="H37" s="122">
        <v>27.9</v>
      </c>
      <c r="I37" s="122">
        <v>7.1</v>
      </c>
      <c r="J37" s="122">
        <v>6.2</v>
      </c>
      <c r="K37" s="123">
        <v>5.8</v>
      </c>
      <c r="L37" s="123">
        <v>6.1</v>
      </c>
      <c r="M37" s="123">
        <v>5.8</v>
      </c>
      <c r="N37" s="123">
        <v>6.1</v>
      </c>
      <c r="O37" s="123">
        <v>5.7</v>
      </c>
    </row>
    <row r="38" spans="1:15">
      <c r="A38" s="120" t="s">
        <v>730</v>
      </c>
      <c r="B38" s="121" t="s">
        <v>1899</v>
      </c>
      <c r="C38" s="120" t="s">
        <v>1695</v>
      </c>
      <c r="D38" s="120" t="s">
        <v>1891</v>
      </c>
      <c r="E38" s="120" t="s">
        <v>1698</v>
      </c>
      <c r="F38" s="122">
        <v>34.1</v>
      </c>
      <c r="G38" s="122">
        <v>73.8</v>
      </c>
      <c r="H38" s="122">
        <v>9.9</v>
      </c>
      <c r="I38" s="122">
        <v>2.7</v>
      </c>
      <c r="J38" s="122">
        <v>5.0999999999999996</v>
      </c>
      <c r="K38" s="123">
        <v>4.8</v>
      </c>
      <c r="L38" s="123">
        <v>5.5</v>
      </c>
      <c r="M38" s="123">
        <v>5.2</v>
      </c>
      <c r="N38" s="123">
        <v>5.5</v>
      </c>
      <c r="O38" s="123">
        <v>5</v>
      </c>
    </row>
    <row r="39" spans="1:15">
      <c r="A39" s="120" t="s">
        <v>787</v>
      </c>
      <c r="B39" s="121" t="s">
        <v>1901</v>
      </c>
      <c r="C39" s="120" t="s">
        <v>1695</v>
      </c>
      <c r="D39" s="120" t="s">
        <v>1876</v>
      </c>
      <c r="E39" s="120" t="s">
        <v>1698</v>
      </c>
      <c r="F39" s="122">
        <v>109.9</v>
      </c>
      <c r="G39" s="122">
        <v>-27.4</v>
      </c>
      <c r="H39" s="122">
        <v>-98.9</v>
      </c>
      <c r="I39" s="122">
        <v>8.6</v>
      </c>
      <c r="J39" s="122">
        <v>24.5</v>
      </c>
      <c r="K39" s="123">
        <v>16.399999999999999</v>
      </c>
      <c r="L39" s="123">
        <v>12.2</v>
      </c>
      <c r="M39" s="123">
        <v>11.1</v>
      </c>
      <c r="N39" s="123">
        <v>11.3</v>
      </c>
      <c r="O39" s="123">
        <v>10.6</v>
      </c>
    </row>
    <row r="40" spans="1:15">
      <c r="A40" s="120" t="s">
        <v>403</v>
      </c>
      <c r="B40" s="121" t="s">
        <v>1901</v>
      </c>
      <c r="C40" s="120" t="s">
        <v>1695</v>
      </c>
      <c r="D40" s="120" t="s">
        <v>1877</v>
      </c>
      <c r="E40" s="120" t="s">
        <v>1698</v>
      </c>
      <c r="F40" s="122">
        <v>-67.400000000000006</v>
      </c>
      <c r="G40" s="122">
        <v>1070.8</v>
      </c>
      <c r="H40" s="122">
        <v>258.3</v>
      </c>
      <c r="I40" s="122">
        <v>174.6</v>
      </c>
      <c r="J40" s="122">
        <v>44.4</v>
      </c>
      <c r="K40" s="123">
        <v>28.1</v>
      </c>
      <c r="L40" s="123">
        <v>18.899999999999999</v>
      </c>
      <c r="M40" s="123">
        <v>13.9</v>
      </c>
      <c r="N40" s="123">
        <v>12.2</v>
      </c>
      <c r="O40" s="123">
        <v>9.9</v>
      </c>
    </row>
    <row r="41" spans="1:15">
      <c r="A41" s="120" t="s">
        <v>435</v>
      </c>
      <c r="B41" s="121" t="s">
        <v>1899</v>
      </c>
      <c r="C41" s="120" t="s">
        <v>1695</v>
      </c>
      <c r="D41" s="120" t="s">
        <v>1912</v>
      </c>
      <c r="E41" s="120" t="s">
        <v>1698</v>
      </c>
      <c r="F41" s="122">
        <v>6.2</v>
      </c>
      <c r="G41" s="122">
        <v>161.1</v>
      </c>
      <c r="H41" s="122">
        <v>37.9</v>
      </c>
      <c r="I41" s="122">
        <v>7.6</v>
      </c>
      <c r="J41" s="122">
        <v>6.5</v>
      </c>
      <c r="K41" s="123">
        <v>10</v>
      </c>
      <c r="L41" s="123">
        <v>10.3</v>
      </c>
      <c r="M41" s="123">
        <v>9.1999999999999993</v>
      </c>
      <c r="N41" s="123">
        <v>9.6999999999999993</v>
      </c>
      <c r="O41" s="123">
        <v>9.1</v>
      </c>
    </row>
    <row r="42" spans="1:15">
      <c r="A42" s="120" t="s">
        <v>441</v>
      </c>
      <c r="B42" s="121" t="s">
        <v>1901</v>
      </c>
      <c r="C42" s="120" t="s">
        <v>1695</v>
      </c>
      <c r="D42" s="120" t="s">
        <v>1878</v>
      </c>
      <c r="E42" s="120" t="s">
        <v>1698</v>
      </c>
      <c r="F42" s="122">
        <v>1.5</v>
      </c>
      <c r="G42" s="122">
        <v>58.3</v>
      </c>
      <c r="H42" s="122">
        <v>34.799999999999997</v>
      </c>
      <c r="I42" s="122">
        <v>12.5</v>
      </c>
      <c r="J42" s="122">
        <v>10.1</v>
      </c>
      <c r="K42" s="123">
        <v>6.9</v>
      </c>
      <c r="L42" s="123">
        <v>6.6</v>
      </c>
      <c r="M42" s="123">
        <v>6.8</v>
      </c>
      <c r="N42" s="123">
        <v>7.2</v>
      </c>
      <c r="O42" s="123">
        <v>6.5</v>
      </c>
    </row>
    <row r="43" spans="1:15">
      <c r="A43" s="120" t="s">
        <v>468</v>
      </c>
      <c r="B43" s="121" t="s">
        <v>1901</v>
      </c>
      <c r="C43" s="120" t="s">
        <v>1695</v>
      </c>
      <c r="D43" s="120" t="s">
        <v>1879</v>
      </c>
      <c r="E43" s="120" t="s">
        <v>1698</v>
      </c>
      <c r="F43" s="122">
        <v>-81</v>
      </c>
      <c r="G43" s="122">
        <v>1198.5</v>
      </c>
      <c r="H43" s="122">
        <v>109.4</v>
      </c>
      <c r="I43" s="122">
        <v>37.200000000000003</v>
      </c>
      <c r="J43" s="122">
        <v>14.4</v>
      </c>
      <c r="K43" s="123">
        <v>6.8</v>
      </c>
      <c r="L43" s="123">
        <v>6.5</v>
      </c>
      <c r="M43" s="123">
        <v>7.1</v>
      </c>
      <c r="N43" s="123">
        <v>7.1</v>
      </c>
      <c r="O43" s="123">
        <v>6.9</v>
      </c>
    </row>
    <row r="44" spans="1:15">
      <c r="A44" s="120" t="s">
        <v>472</v>
      </c>
      <c r="B44" s="121" t="s">
        <v>1901</v>
      </c>
      <c r="C44" s="120" t="s">
        <v>1695</v>
      </c>
      <c r="D44" s="120" t="s">
        <v>1880</v>
      </c>
      <c r="E44" s="120" t="s">
        <v>1698</v>
      </c>
      <c r="F44" s="122">
        <v>56.1</v>
      </c>
      <c r="G44" s="122">
        <v>183.9</v>
      </c>
      <c r="H44" s="122">
        <v>23.4</v>
      </c>
      <c r="I44" s="122">
        <v>5.5</v>
      </c>
      <c r="J44" s="122">
        <v>6.4</v>
      </c>
      <c r="K44" s="123">
        <v>7.1</v>
      </c>
      <c r="L44" s="123">
        <v>13.7</v>
      </c>
      <c r="M44" s="123">
        <v>1.6</v>
      </c>
      <c r="N44" s="123">
        <v>7</v>
      </c>
      <c r="O44" s="123">
        <v>6.9</v>
      </c>
    </row>
    <row r="45" spans="1:15">
      <c r="A45" s="120" t="s">
        <v>479</v>
      </c>
      <c r="B45" s="121" t="s">
        <v>1899</v>
      </c>
      <c r="C45" s="120" t="s">
        <v>1695</v>
      </c>
      <c r="D45" s="120" t="s">
        <v>1913</v>
      </c>
      <c r="E45" s="120" t="s">
        <v>1698</v>
      </c>
      <c r="F45" s="122">
        <v>33</v>
      </c>
      <c r="G45" s="122">
        <v>85.1</v>
      </c>
      <c r="H45" s="122">
        <v>20.7</v>
      </c>
      <c r="I45" s="122">
        <v>11.8</v>
      </c>
      <c r="J45" s="122">
        <v>5</v>
      </c>
      <c r="K45" s="123">
        <v>6.4</v>
      </c>
      <c r="L45" s="123">
        <v>7.3</v>
      </c>
      <c r="M45" s="123">
        <v>6.7</v>
      </c>
      <c r="N45" s="123">
        <v>7.1</v>
      </c>
      <c r="O45" s="123">
        <v>6.6</v>
      </c>
    </row>
    <row r="46" spans="1:15">
      <c r="A46" s="120" t="s">
        <v>499</v>
      </c>
      <c r="B46" s="121" t="s">
        <v>1899</v>
      </c>
      <c r="C46" s="120" t="s">
        <v>1695</v>
      </c>
      <c r="D46" s="120" t="s">
        <v>1914</v>
      </c>
      <c r="E46" s="120" t="s">
        <v>1698</v>
      </c>
      <c r="F46" s="122">
        <v>115.3</v>
      </c>
      <c r="G46" s="122">
        <v>42.1</v>
      </c>
      <c r="H46" s="122">
        <v>21.7</v>
      </c>
      <c r="I46" s="122">
        <v>22.8</v>
      </c>
      <c r="J46" s="122">
        <v>9</v>
      </c>
      <c r="K46" s="123">
        <v>8</v>
      </c>
      <c r="L46" s="123">
        <v>8.9</v>
      </c>
      <c r="M46" s="123">
        <v>8.6</v>
      </c>
      <c r="N46" s="123">
        <v>9.1</v>
      </c>
      <c r="O46" s="123">
        <v>8.5</v>
      </c>
    </row>
    <row r="47" spans="1:15">
      <c r="A47" s="120" t="s">
        <v>501</v>
      </c>
      <c r="B47" s="121" t="s">
        <v>1901</v>
      </c>
      <c r="C47" s="120" t="s">
        <v>1695</v>
      </c>
      <c r="D47" s="120" t="s">
        <v>1696</v>
      </c>
      <c r="E47" s="120" t="s">
        <v>1698</v>
      </c>
      <c r="F47" s="122">
        <v>43.6</v>
      </c>
      <c r="G47" s="122">
        <v>85</v>
      </c>
      <c r="H47" s="122">
        <v>13.1</v>
      </c>
      <c r="I47" s="122">
        <v>-9.3000000000000007</v>
      </c>
      <c r="J47" s="122">
        <v>1</v>
      </c>
      <c r="K47" s="123">
        <v>4.8</v>
      </c>
      <c r="L47" s="123">
        <v>5.7</v>
      </c>
      <c r="M47" s="123">
        <v>5.6</v>
      </c>
      <c r="N47" s="123">
        <v>5.6</v>
      </c>
      <c r="O47" s="123">
        <v>5.7</v>
      </c>
    </row>
    <row r="48" spans="1:15">
      <c r="A48" s="120" t="s">
        <v>546</v>
      </c>
      <c r="B48" s="121" t="s">
        <v>1899</v>
      </c>
      <c r="C48" s="120" t="s">
        <v>1695</v>
      </c>
      <c r="D48" s="120" t="s">
        <v>1915</v>
      </c>
      <c r="E48" s="120" t="s">
        <v>1698</v>
      </c>
      <c r="F48" s="122">
        <v>19.8</v>
      </c>
      <c r="G48" s="122">
        <v>152.80000000000001</v>
      </c>
      <c r="H48" s="122">
        <v>40</v>
      </c>
      <c r="I48" s="122">
        <v>18.3</v>
      </c>
      <c r="J48" s="122">
        <v>8</v>
      </c>
      <c r="K48" s="123">
        <v>7.5</v>
      </c>
      <c r="L48" s="123">
        <v>8.4</v>
      </c>
      <c r="M48" s="123">
        <v>7.9</v>
      </c>
      <c r="N48" s="123">
        <v>8.6</v>
      </c>
      <c r="O48" s="123">
        <v>8.1</v>
      </c>
    </row>
    <row r="49" spans="1:15">
      <c r="A49" s="120" t="s">
        <v>638</v>
      </c>
      <c r="B49" s="121" t="s">
        <v>1901</v>
      </c>
      <c r="C49" s="120" t="s">
        <v>1695</v>
      </c>
      <c r="D49" s="120" t="s">
        <v>1881</v>
      </c>
      <c r="E49" s="120" t="s">
        <v>1698</v>
      </c>
      <c r="F49" s="122">
        <v>71</v>
      </c>
      <c r="G49" s="122">
        <v>40.299999999999997</v>
      </c>
      <c r="H49" s="122">
        <v>-3.4</v>
      </c>
      <c r="I49" s="122">
        <v>7.4</v>
      </c>
      <c r="J49" s="122">
        <v>12.1</v>
      </c>
      <c r="K49" s="123">
        <v>11.4</v>
      </c>
      <c r="L49" s="123">
        <v>4.5999999999999996</v>
      </c>
      <c r="M49" s="123">
        <v>6.9</v>
      </c>
      <c r="N49" s="123">
        <v>7.1</v>
      </c>
      <c r="O49" s="123">
        <v>7</v>
      </c>
    </row>
    <row r="50" spans="1:15">
      <c r="A50" s="120" t="s">
        <v>686</v>
      </c>
      <c r="B50" s="121" t="s">
        <v>1899</v>
      </c>
      <c r="C50" s="120" t="s">
        <v>1695</v>
      </c>
      <c r="D50" s="120" t="s">
        <v>1696</v>
      </c>
      <c r="E50" s="120" t="s">
        <v>1698</v>
      </c>
      <c r="F50" s="122">
        <v>108.8</v>
      </c>
      <c r="G50" s="122">
        <v>94.1</v>
      </c>
      <c r="H50" s="122">
        <v>15.5</v>
      </c>
      <c r="I50" s="122">
        <v>10.3</v>
      </c>
      <c r="J50" s="122">
        <v>4.4000000000000004</v>
      </c>
      <c r="K50" s="123">
        <v>6.7</v>
      </c>
      <c r="L50" s="123">
        <v>7</v>
      </c>
      <c r="M50" s="123">
        <v>6.6</v>
      </c>
      <c r="N50" s="123">
        <v>7.1</v>
      </c>
      <c r="O50" s="123">
        <v>6.6</v>
      </c>
    </row>
    <row r="51" spans="1:15">
      <c r="A51" s="120" t="s">
        <v>692</v>
      </c>
      <c r="B51" s="121" t="s">
        <v>1901</v>
      </c>
      <c r="C51" s="120" t="s">
        <v>1695</v>
      </c>
      <c r="D51" s="120" t="s">
        <v>1882</v>
      </c>
      <c r="E51" s="120" t="s">
        <v>1698</v>
      </c>
      <c r="F51" s="122">
        <v>15.8</v>
      </c>
      <c r="G51" s="122">
        <v>171.7</v>
      </c>
      <c r="H51" s="122">
        <v>16.8</v>
      </c>
      <c r="I51" s="122">
        <v>35.299999999999997</v>
      </c>
      <c r="J51" s="122">
        <v>10.6</v>
      </c>
      <c r="K51" s="123">
        <v>6.2</v>
      </c>
      <c r="L51" s="123">
        <v>6.6</v>
      </c>
      <c r="M51" s="123">
        <v>5.9</v>
      </c>
      <c r="N51" s="123">
        <v>6.3</v>
      </c>
      <c r="O51" s="123">
        <v>5.8</v>
      </c>
    </row>
    <row r="52" spans="1:15">
      <c r="A52" s="120" t="s">
        <v>794</v>
      </c>
      <c r="B52" s="121" t="s">
        <v>1899</v>
      </c>
      <c r="C52" s="120" t="s">
        <v>1695</v>
      </c>
      <c r="D52" s="120" t="s">
        <v>1916</v>
      </c>
      <c r="E52" s="120" t="s">
        <v>1698</v>
      </c>
      <c r="F52" s="122">
        <v>-43.9</v>
      </c>
      <c r="G52" s="122">
        <v>155.80000000000001</v>
      </c>
      <c r="H52" s="122">
        <v>30.4</v>
      </c>
      <c r="I52" s="122">
        <v>1</v>
      </c>
      <c r="J52" s="122">
        <v>6.4</v>
      </c>
      <c r="K52" s="123">
        <v>6.6</v>
      </c>
      <c r="L52" s="123">
        <v>7.9</v>
      </c>
      <c r="M52" s="123">
        <v>8.8000000000000007</v>
      </c>
      <c r="N52" s="123">
        <v>9.1</v>
      </c>
      <c r="O52" s="123">
        <v>8.4</v>
      </c>
    </row>
    <row r="53" spans="1:15">
      <c r="A53" s="120" t="s">
        <v>1122</v>
      </c>
      <c r="B53" s="121" t="s">
        <v>1901</v>
      </c>
      <c r="C53" s="120" t="s">
        <v>1695</v>
      </c>
      <c r="D53" s="120" t="s">
        <v>1883</v>
      </c>
      <c r="E53" s="120" t="s">
        <v>1698</v>
      </c>
      <c r="F53" s="122">
        <v>91.2</v>
      </c>
      <c r="G53" s="122">
        <v>76.3</v>
      </c>
      <c r="H53" s="122">
        <v>83.6</v>
      </c>
      <c r="I53" s="122">
        <v>38.799999999999997</v>
      </c>
      <c r="J53" s="122">
        <v>28.5</v>
      </c>
      <c r="K53" s="123">
        <v>20.9</v>
      </c>
      <c r="L53" s="123">
        <v>17.2</v>
      </c>
      <c r="M53" s="123">
        <v>12</v>
      </c>
      <c r="N53" s="123">
        <v>12</v>
      </c>
      <c r="O53" s="123">
        <v>10.9</v>
      </c>
    </row>
    <row r="54" spans="1:15">
      <c r="A54" s="120" t="s">
        <v>575</v>
      </c>
      <c r="B54" s="121" t="s">
        <v>1901</v>
      </c>
      <c r="C54" s="120" t="s">
        <v>1695</v>
      </c>
      <c r="D54" s="120" t="s">
        <v>1884</v>
      </c>
      <c r="E54" s="120" t="s">
        <v>1698</v>
      </c>
      <c r="F54" s="122">
        <v>-58</v>
      </c>
      <c r="G54" s="122">
        <v>453.6</v>
      </c>
      <c r="H54" s="122">
        <v>19.100000000000001</v>
      </c>
      <c r="I54" s="122">
        <v>-88.8</v>
      </c>
      <c r="J54" s="122">
        <v>6.4</v>
      </c>
      <c r="K54" s="123">
        <v>50.4</v>
      </c>
      <c r="L54" s="123">
        <v>185.4</v>
      </c>
      <c r="M54" s="123">
        <v>13.6</v>
      </c>
      <c r="N54" s="123">
        <v>13.3</v>
      </c>
      <c r="O54" s="123">
        <v>14.7</v>
      </c>
    </row>
    <row r="55" spans="1:15">
      <c r="A55" s="120" t="s">
        <v>583</v>
      </c>
      <c r="B55" s="121" t="s">
        <v>1899</v>
      </c>
      <c r="C55" s="120" t="s">
        <v>1695</v>
      </c>
      <c r="D55" s="120" t="s">
        <v>1917</v>
      </c>
      <c r="E55" s="120" t="s">
        <v>1698</v>
      </c>
      <c r="F55" s="122">
        <v>77</v>
      </c>
      <c r="G55" s="122">
        <v>138</v>
      </c>
      <c r="H55" s="122">
        <v>29.6</v>
      </c>
      <c r="I55" s="122">
        <v>-6.3</v>
      </c>
      <c r="J55" s="122">
        <v>18.600000000000001</v>
      </c>
      <c r="K55" s="123">
        <v>6.6</v>
      </c>
      <c r="L55" s="123">
        <v>7.8</v>
      </c>
      <c r="M55" s="123">
        <v>8.5</v>
      </c>
      <c r="N55" s="123">
        <v>8.8000000000000007</v>
      </c>
      <c r="O55" s="123">
        <v>7.6</v>
      </c>
    </row>
    <row r="56" spans="1:15">
      <c r="A56" s="120" t="s">
        <v>587</v>
      </c>
      <c r="B56" s="121" t="s">
        <v>1901</v>
      </c>
      <c r="C56" s="120" t="s">
        <v>1695</v>
      </c>
      <c r="D56" s="120" t="s">
        <v>1918</v>
      </c>
      <c r="E56" s="120" t="s">
        <v>1698</v>
      </c>
      <c r="F56" s="122">
        <v>70.3</v>
      </c>
      <c r="G56" s="122">
        <v>49.9</v>
      </c>
      <c r="H56" s="122">
        <v>34.799999999999997</v>
      </c>
      <c r="I56" s="122">
        <v>4.4000000000000004</v>
      </c>
      <c r="J56" s="122">
        <v>9.1</v>
      </c>
      <c r="K56" s="123">
        <v>12.1</v>
      </c>
      <c r="L56" s="123">
        <v>19.5</v>
      </c>
      <c r="M56" s="123">
        <v>6.7</v>
      </c>
      <c r="N56" s="123">
        <v>11.8</v>
      </c>
      <c r="O56" s="123">
        <v>11.7</v>
      </c>
    </row>
    <row r="57" spans="1:15">
      <c r="A57" s="120" t="s">
        <v>605</v>
      </c>
      <c r="B57" s="121" t="s">
        <v>1899</v>
      </c>
      <c r="C57" s="120" t="s">
        <v>1695</v>
      </c>
      <c r="D57" s="120" t="s">
        <v>1919</v>
      </c>
      <c r="E57" s="120" t="s">
        <v>1698</v>
      </c>
      <c r="F57" s="122">
        <v>277.8</v>
      </c>
      <c r="G57" s="122">
        <v>194.6</v>
      </c>
      <c r="H57" s="122">
        <v>169.3</v>
      </c>
      <c r="I57" s="122">
        <v>105.6</v>
      </c>
      <c r="J57" s="122">
        <v>33.6</v>
      </c>
      <c r="K57" s="123">
        <v>30.2</v>
      </c>
      <c r="L57" s="123">
        <v>28.8</v>
      </c>
      <c r="M57" s="123">
        <v>25.3</v>
      </c>
      <c r="N57" s="123">
        <v>21.5</v>
      </c>
      <c r="O57" s="123">
        <v>19</v>
      </c>
    </row>
    <row r="58" spans="1:15">
      <c r="A58" s="120" t="s">
        <v>650</v>
      </c>
      <c r="B58" s="121" t="s">
        <v>1901</v>
      </c>
      <c r="C58" s="120" t="s">
        <v>1695</v>
      </c>
      <c r="D58" s="120" t="s">
        <v>1885</v>
      </c>
      <c r="E58" s="120" t="s">
        <v>1698</v>
      </c>
      <c r="F58" s="122">
        <v>-33.299999999999997</v>
      </c>
      <c r="G58" s="122">
        <v>240.5</v>
      </c>
      <c r="H58" s="122">
        <v>57</v>
      </c>
      <c r="I58" s="122">
        <v>35.4</v>
      </c>
      <c r="J58" s="122">
        <v>11.4</v>
      </c>
      <c r="K58" s="123">
        <v>2.1</v>
      </c>
      <c r="L58" s="123">
        <v>5.7</v>
      </c>
      <c r="M58" s="123">
        <v>5.2</v>
      </c>
      <c r="N58" s="123">
        <v>5.5</v>
      </c>
      <c r="O58" s="123">
        <v>8.9</v>
      </c>
    </row>
    <row r="59" spans="1:15">
      <c r="A59" s="120" t="s">
        <v>672</v>
      </c>
      <c r="B59" s="121" t="s">
        <v>1899</v>
      </c>
      <c r="C59" s="120" t="s">
        <v>1695</v>
      </c>
      <c r="D59" s="120" t="s">
        <v>1920</v>
      </c>
      <c r="E59" s="120" t="s">
        <v>1698</v>
      </c>
      <c r="F59" s="122">
        <v>-7.6</v>
      </c>
      <c r="G59" s="122">
        <v>357.4</v>
      </c>
      <c r="H59" s="122">
        <v>-9.3000000000000007</v>
      </c>
      <c r="I59" s="122">
        <v>34.5</v>
      </c>
      <c r="J59" s="122">
        <v>30.5</v>
      </c>
      <c r="K59" s="123">
        <v>19.7</v>
      </c>
      <c r="L59" s="123">
        <v>18.5</v>
      </c>
      <c r="M59" s="123">
        <v>17.5</v>
      </c>
      <c r="N59" s="123">
        <v>17</v>
      </c>
      <c r="O59" s="123">
        <v>16.399999999999999</v>
      </c>
    </row>
    <row r="60" spans="1:15">
      <c r="A60" s="120" t="s">
        <v>680</v>
      </c>
      <c r="B60" s="121" t="s">
        <v>1899</v>
      </c>
      <c r="C60" s="120" t="s">
        <v>1695</v>
      </c>
      <c r="D60" s="120" t="s">
        <v>1921</v>
      </c>
      <c r="E60" s="120" t="s">
        <v>1698</v>
      </c>
      <c r="F60" s="122">
        <v>-22.4</v>
      </c>
      <c r="G60" s="122">
        <v>163.30000000000001</v>
      </c>
      <c r="H60" s="122">
        <v>21.5</v>
      </c>
      <c r="I60" s="122">
        <v>48.9</v>
      </c>
      <c r="J60" s="122">
        <v>12.8</v>
      </c>
      <c r="K60" s="123">
        <v>9.9</v>
      </c>
      <c r="L60" s="123">
        <v>9.6999999999999993</v>
      </c>
      <c r="M60" s="123">
        <v>7.8</v>
      </c>
      <c r="N60" s="123">
        <v>8</v>
      </c>
      <c r="O60" s="123">
        <v>8</v>
      </c>
    </row>
    <row r="61" spans="1:15">
      <c r="A61" s="120" t="s">
        <v>701</v>
      </c>
      <c r="B61" s="121" t="s">
        <v>1899</v>
      </c>
      <c r="C61" s="120" t="s">
        <v>1695</v>
      </c>
      <c r="D61" s="120" t="s">
        <v>1922</v>
      </c>
      <c r="E61" s="120" t="s">
        <v>1698</v>
      </c>
      <c r="F61" s="122">
        <v>19.7</v>
      </c>
      <c r="G61" s="122">
        <v>70.400000000000006</v>
      </c>
      <c r="H61" s="122">
        <v>21.8</v>
      </c>
      <c r="I61" s="122">
        <v>28.1</v>
      </c>
      <c r="J61" s="122">
        <v>7.6</v>
      </c>
      <c r="K61" s="123">
        <v>7.4</v>
      </c>
      <c r="L61" s="123">
        <v>8.6999999999999993</v>
      </c>
      <c r="M61" s="123">
        <v>8.4</v>
      </c>
      <c r="N61" s="123">
        <v>8.1999999999999993</v>
      </c>
      <c r="O61" s="123">
        <v>12.7</v>
      </c>
    </row>
    <row r="62" spans="1:15">
      <c r="A62" s="120" t="s">
        <v>715</v>
      </c>
      <c r="B62" s="121" t="s">
        <v>1901</v>
      </c>
      <c r="C62" s="120" t="s">
        <v>1695</v>
      </c>
      <c r="D62" s="120" t="s">
        <v>1887</v>
      </c>
      <c r="E62" s="120" t="s">
        <v>1698</v>
      </c>
      <c r="F62" s="122">
        <v>-26.8</v>
      </c>
      <c r="G62" s="122">
        <v>568</v>
      </c>
      <c r="H62" s="122">
        <v>43.7</v>
      </c>
      <c r="I62" s="122">
        <v>16.2</v>
      </c>
      <c r="J62" s="122">
        <v>8</v>
      </c>
      <c r="K62" s="123">
        <v>8.1999999999999993</v>
      </c>
      <c r="L62" s="123">
        <v>9.1</v>
      </c>
      <c r="M62" s="123">
        <v>9</v>
      </c>
      <c r="N62" s="123">
        <v>12.2</v>
      </c>
      <c r="O62" s="123">
        <v>8.6999999999999993</v>
      </c>
    </row>
    <row r="63" spans="1:15">
      <c r="A63" s="120" t="s">
        <v>736</v>
      </c>
      <c r="B63" s="121" t="s">
        <v>1901</v>
      </c>
      <c r="C63" s="120" t="s">
        <v>1695</v>
      </c>
      <c r="D63" s="120" t="s">
        <v>1888</v>
      </c>
      <c r="E63" s="120" t="s">
        <v>1698</v>
      </c>
      <c r="F63" s="122">
        <v>-30</v>
      </c>
      <c r="G63" s="122">
        <v>151.19999999999999</v>
      </c>
      <c r="H63" s="122">
        <v>77.3</v>
      </c>
      <c r="I63" s="122">
        <v>12.2</v>
      </c>
      <c r="J63" s="122">
        <v>7.5</v>
      </c>
      <c r="K63" s="123">
        <v>9.3000000000000007</v>
      </c>
      <c r="L63" s="123">
        <v>13.1</v>
      </c>
      <c r="M63" s="123">
        <v>6.2</v>
      </c>
      <c r="N63" s="123">
        <v>9.6</v>
      </c>
      <c r="O63" s="123">
        <v>9.1999999999999993</v>
      </c>
    </row>
    <row r="64" spans="1:15">
      <c r="A64" s="120" t="s">
        <v>764</v>
      </c>
      <c r="B64" s="121" t="s">
        <v>1899</v>
      </c>
      <c r="C64" s="120" t="s">
        <v>1695</v>
      </c>
      <c r="D64" s="120" t="s">
        <v>1923</v>
      </c>
      <c r="E64" s="120" t="s">
        <v>1698</v>
      </c>
      <c r="F64" s="122">
        <v>93.8</v>
      </c>
      <c r="G64" s="122">
        <v>92.5</v>
      </c>
      <c r="H64" s="122">
        <v>37.700000000000003</v>
      </c>
      <c r="I64" s="122">
        <v>23.8</v>
      </c>
      <c r="J64" s="122">
        <v>13.4</v>
      </c>
      <c r="K64" s="123">
        <v>11.6</v>
      </c>
      <c r="L64" s="123">
        <v>20.5</v>
      </c>
      <c r="M64" s="123">
        <v>4.3</v>
      </c>
      <c r="N64" s="123">
        <v>11.2</v>
      </c>
      <c r="O64" s="123">
        <v>11.1</v>
      </c>
    </row>
    <row r="65" spans="1:15">
      <c r="A65" s="120" t="s">
        <v>775</v>
      </c>
      <c r="B65" s="121" t="s">
        <v>1899</v>
      </c>
      <c r="C65" s="120" t="s">
        <v>1695</v>
      </c>
      <c r="D65" s="120" t="s">
        <v>1924</v>
      </c>
      <c r="E65" s="120" t="s">
        <v>1698</v>
      </c>
      <c r="F65" s="122">
        <v>33.5</v>
      </c>
      <c r="G65" s="122">
        <v>135.9</v>
      </c>
      <c r="H65" s="122">
        <v>26.8</v>
      </c>
      <c r="I65" s="122">
        <v>8.4</v>
      </c>
      <c r="J65" s="122">
        <v>10.7</v>
      </c>
      <c r="K65" s="123">
        <v>8.5</v>
      </c>
      <c r="L65" s="123">
        <v>7.7</v>
      </c>
      <c r="M65" s="123">
        <v>7.3</v>
      </c>
      <c r="N65" s="123">
        <v>7.2</v>
      </c>
      <c r="O65" s="123">
        <v>6.8</v>
      </c>
    </row>
    <row r="66" spans="1:15">
      <c r="A66" s="120" t="s">
        <v>789</v>
      </c>
      <c r="B66" s="121" t="s">
        <v>1901</v>
      </c>
      <c r="C66" s="120" t="s">
        <v>1695</v>
      </c>
      <c r="D66" s="120" t="s">
        <v>1889</v>
      </c>
      <c r="E66" s="120" t="s">
        <v>1698</v>
      </c>
      <c r="F66" s="122">
        <v>25.6</v>
      </c>
      <c r="G66" s="122">
        <v>76.2</v>
      </c>
      <c r="H66" s="122">
        <v>26.3</v>
      </c>
      <c r="I66" s="122">
        <v>12.7</v>
      </c>
      <c r="J66" s="122">
        <v>7.5</v>
      </c>
      <c r="K66" s="123">
        <v>7.8</v>
      </c>
      <c r="L66" s="123">
        <v>8.9</v>
      </c>
      <c r="M66" s="123">
        <v>8.6</v>
      </c>
      <c r="N66" s="123">
        <v>9.1</v>
      </c>
      <c r="O66" s="123">
        <v>8.5</v>
      </c>
    </row>
    <row r="67" spans="1:15">
      <c r="A67" s="120" t="s">
        <v>458</v>
      </c>
      <c r="B67" s="121" t="s">
        <v>1901</v>
      </c>
      <c r="C67" s="120" t="s">
        <v>1695</v>
      </c>
      <c r="D67" s="120" t="s">
        <v>1890</v>
      </c>
      <c r="E67" s="120" t="s">
        <v>1698</v>
      </c>
      <c r="F67" s="122">
        <v>2.2000000000000002</v>
      </c>
      <c r="G67" s="122">
        <v>313.5</v>
      </c>
      <c r="H67" s="122">
        <v>47.5</v>
      </c>
      <c r="I67" s="122">
        <v>10.199999999999999</v>
      </c>
      <c r="J67" s="122">
        <v>5.7</v>
      </c>
      <c r="K67" s="123">
        <v>8.3000000000000007</v>
      </c>
      <c r="L67" s="123">
        <v>3.7</v>
      </c>
      <c r="M67" s="123">
        <v>6</v>
      </c>
      <c r="N67" s="123">
        <v>6.2</v>
      </c>
      <c r="O67" s="123">
        <v>6</v>
      </c>
    </row>
    <row r="68" spans="1:15">
      <c r="A68" s="120" t="s">
        <v>167</v>
      </c>
      <c r="B68" s="121" t="s">
        <v>1901</v>
      </c>
      <c r="C68" s="120" t="s">
        <v>1695</v>
      </c>
      <c r="D68" s="120" t="s">
        <v>1696</v>
      </c>
      <c r="E68" s="120" t="s">
        <v>1698</v>
      </c>
      <c r="F68" s="122">
        <v>11.5</v>
      </c>
      <c r="G68" s="122">
        <v>143.5</v>
      </c>
      <c r="H68" s="122">
        <v>32.299999999999997</v>
      </c>
      <c r="I68" s="122">
        <v>13.9</v>
      </c>
      <c r="J68" s="122">
        <v>-1.6</v>
      </c>
      <c r="K68" s="123">
        <v>10.3</v>
      </c>
      <c r="L68" s="123">
        <v>4.9000000000000004</v>
      </c>
      <c r="M68" s="123">
        <v>6.7</v>
      </c>
      <c r="N68" s="123">
        <v>6</v>
      </c>
      <c r="O68" s="123">
        <v>6.4</v>
      </c>
    </row>
    <row r="69" spans="1:15">
      <c r="A69" s="120" t="s">
        <v>411</v>
      </c>
      <c r="B69" s="121" t="s">
        <v>1901</v>
      </c>
      <c r="C69" s="120" t="s">
        <v>1695</v>
      </c>
      <c r="D69" s="120" t="s">
        <v>1891</v>
      </c>
      <c r="E69" s="120" t="s">
        <v>1698</v>
      </c>
      <c r="F69" s="122">
        <v>-27.6</v>
      </c>
      <c r="G69" s="122">
        <v>89</v>
      </c>
      <c r="H69" s="122">
        <v>21.8</v>
      </c>
      <c r="I69" s="122">
        <v>13.1</v>
      </c>
      <c r="J69" s="122">
        <v>3.3</v>
      </c>
      <c r="K69" s="123">
        <v>4</v>
      </c>
      <c r="L69" s="123">
        <v>4.9000000000000004</v>
      </c>
      <c r="M69" s="123">
        <v>4.8</v>
      </c>
      <c r="N69" s="123">
        <v>4.8</v>
      </c>
      <c r="O69" s="123">
        <v>4.5999999999999996</v>
      </c>
    </row>
    <row r="70" spans="1:15">
      <c r="A70" s="120" t="s">
        <v>425</v>
      </c>
      <c r="B70" s="121" t="s">
        <v>1901</v>
      </c>
      <c r="C70" s="120" t="s">
        <v>1695</v>
      </c>
      <c r="D70" s="120" t="s">
        <v>1891</v>
      </c>
      <c r="E70" s="120" t="s">
        <v>1698</v>
      </c>
      <c r="F70" s="122">
        <v>9.1</v>
      </c>
      <c r="G70" s="122">
        <v>34</v>
      </c>
      <c r="H70" s="122">
        <v>59.8</v>
      </c>
      <c r="I70" s="122">
        <v>10.7</v>
      </c>
      <c r="J70" s="122">
        <v>3.7</v>
      </c>
      <c r="K70" s="123">
        <v>4</v>
      </c>
      <c r="L70" s="123">
        <v>4.8</v>
      </c>
      <c r="M70" s="123">
        <v>4.5</v>
      </c>
      <c r="N70" s="123">
        <v>4.5999999999999996</v>
      </c>
      <c r="O70" s="123">
        <v>4.5</v>
      </c>
    </row>
    <row r="71" spans="1:15">
      <c r="A71" s="120" t="s">
        <v>493</v>
      </c>
      <c r="B71" s="121" t="s">
        <v>1901</v>
      </c>
      <c r="C71" s="120" t="s">
        <v>1695</v>
      </c>
      <c r="D71" s="120" t="s">
        <v>1892</v>
      </c>
      <c r="E71" s="120" t="s">
        <v>1698</v>
      </c>
      <c r="F71" s="122">
        <v>8.4</v>
      </c>
      <c r="G71" s="122">
        <v>124.3</v>
      </c>
      <c r="H71" s="122">
        <v>11.6</v>
      </c>
      <c r="I71" s="122">
        <v>7.8</v>
      </c>
      <c r="J71" s="122">
        <v>10</v>
      </c>
      <c r="K71" s="123">
        <v>4.7</v>
      </c>
      <c r="L71" s="123">
        <v>5.2</v>
      </c>
      <c r="M71" s="123">
        <v>4.9000000000000004</v>
      </c>
      <c r="N71" s="123">
        <v>4.8</v>
      </c>
      <c r="O71" s="123">
        <v>4.7</v>
      </c>
    </row>
    <row r="72" spans="1:15">
      <c r="A72" s="120" t="s">
        <v>521</v>
      </c>
      <c r="B72" s="121" t="s">
        <v>1901</v>
      </c>
      <c r="C72" s="120" t="s">
        <v>1695</v>
      </c>
      <c r="D72" s="120" t="s">
        <v>1891</v>
      </c>
      <c r="E72" s="120" t="s">
        <v>1698</v>
      </c>
      <c r="F72" s="122">
        <v>-15.5</v>
      </c>
      <c r="G72" s="122">
        <v>159.69999999999999</v>
      </c>
      <c r="H72" s="122">
        <v>15.2</v>
      </c>
      <c r="I72" s="122">
        <v>-0.2</v>
      </c>
      <c r="J72" s="122">
        <v>4.4000000000000004</v>
      </c>
      <c r="K72" s="123">
        <v>4.8</v>
      </c>
      <c r="L72" s="123">
        <v>4.9000000000000004</v>
      </c>
      <c r="M72" s="123">
        <v>4.9000000000000004</v>
      </c>
      <c r="N72" s="123">
        <v>5</v>
      </c>
      <c r="O72" s="123">
        <v>4.9000000000000004</v>
      </c>
    </row>
    <row r="73" spans="1:15">
      <c r="A73" s="120" t="s">
        <v>523</v>
      </c>
      <c r="B73" s="121" t="s">
        <v>1901</v>
      </c>
      <c r="C73" s="120" t="s">
        <v>1695</v>
      </c>
      <c r="D73" s="120" t="s">
        <v>1891</v>
      </c>
      <c r="E73" s="120" t="s">
        <v>1698</v>
      </c>
      <c r="F73" s="122">
        <v>15.5</v>
      </c>
      <c r="G73" s="122">
        <v>79.7</v>
      </c>
      <c r="H73" s="122">
        <v>22.2</v>
      </c>
      <c r="I73" s="122">
        <v>16.7</v>
      </c>
      <c r="J73" s="122">
        <v>2.2000000000000002</v>
      </c>
      <c r="K73" s="123">
        <v>3.5</v>
      </c>
      <c r="L73" s="123">
        <v>5.0999999999999996</v>
      </c>
      <c r="M73" s="123">
        <v>4.9000000000000004</v>
      </c>
      <c r="N73" s="123">
        <v>5</v>
      </c>
      <c r="O73" s="123">
        <v>6.9</v>
      </c>
    </row>
    <row r="74" spans="1:15">
      <c r="A74" s="120" t="s">
        <v>229</v>
      </c>
      <c r="B74" s="121" t="s">
        <v>1901</v>
      </c>
      <c r="C74" s="120" t="s">
        <v>1695</v>
      </c>
      <c r="D74" s="120" t="s">
        <v>1891</v>
      </c>
      <c r="E74" s="120" t="s">
        <v>1698</v>
      </c>
      <c r="F74" s="122">
        <v>-3.4</v>
      </c>
      <c r="G74" s="122">
        <v>58.8</v>
      </c>
      <c r="H74" s="122">
        <v>29.7</v>
      </c>
      <c r="I74" s="122">
        <v>6.4</v>
      </c>
      <c r="J74" s="122">
        <v>2.1</v>
      </c>
      <c r="K74" s="123">
        <v>4.0999999999999996</v>
      </c>
      <c r="L74" s="123">
        <v>5</v>
      </c>
      <c r="M74" s="123">
        <v>4.9000000000000004</v>
      </c>
      <c r="N74" s="123">
        <v>5.0999999999999996</v>
      </c>
      <c r="O74" s="123">
        <v>4.9000000000000004</v>
      </c>
    </row>
    <row r="75" spans="1:15">
      <c r="A75" s="120" t="s">
        <v>538</v>
      </c>
      <c r="B75" s="121" t="s">
        <v>1901</v>
      </c>
      <c r="C75" s="120" t="s">
        <v>1695</v>
      </c>
      <c r="D75" s="120" t="s">
        <v>1891</v>
      </c>
      <c r="E75" s="120" t="s">
        <v>1698</v>
      </c>
      <c r="F75" s="122">
        <v>128.30000000000001</v>
      </c>
      <c r="G75" s="122">
        <v>97</v>
      </c>
      <c r="H75" s="122">
        <v>7.3</v>
      </c>
      <c r="I75" s="122">
        <v>2</v>
      </c>
      <c r="J75" s="122">
        <v>5.7</v>
      </c>
      <c r="K75" s="123">
        <v>5.4</v>
      </c>
      <c r="L75" s="123">
        <v>5.0999999999999996</v>
      </c>
      <c r="M75" s="123">
        <v>5</v>
      </c>
      <c r="N75" s="123">
        <v>5</v>
      </c>
      <c r="O75" s="123">
        <v>5</v>
      </c>
    </row>
    <row r="76" spans="1:15">
      <c r="A76" s="120" t="s">
        <v>571</v>
      </c>
      <c r="B76" s="121" t="s">
        <v>1901</v>
      </c>
      <c r="C76" s="120" t="s">
        <v>1695</v>
      </c>
      <c r="D76" s="120" t="s">
        <v>1891</v>
      </c>
      <c r="E76" s="120" t="s">
        <v>1698</v>
      </c>
      <c r="F76" s="122">
        <v>-0.1</v>
      </c>
      <c r="G76" s="122">
        <v>183</v>
      </c>
      <c r="H76" s="122">
        <v>-21.6</v>
      </c>
      <c r="I76" s="122">
        <v>7.4</v>
      </c>
      <c r="J76" s="122">
        <v>4.8</v>
      </c>
      <c r="K76" s="123">
        <v>5</v>
      </c>
      <c r="L76" s="123">
        <v>5.0999999999999996</v>
      </c>
      <c r="M76" s="123">
        <v>6.9</v>
      </c>
      <c r="N76" s="123">
        <v>3.4</v>
      </c>
      <c r="O76" s="123">
        <v>4.9000000000000004</v>
      </c>
    </row>
    <row r="77" spans="1:15">
      <c r="A77" s="120" t="s">
        <v>577</v>
      </c>
      <c r="B77" s="121" t="s">
        <v>1901</v>
      </c>
      <c r="C77" s="120" t="s">
        <v>1695</v>
      </c>
      <c r="D77" s="120" t="s">
        <v>1891</v>
      </c>
      <c r="E77" s="120" t="s">
        <v>1698</v>
      </c>
      <c r="F77" s="122">
        <v>20.2</v>
      </c>
      <c r="G77" s="122">
        <v>99</v>
      </c>
      <c r="H77" s="122">
        <v>-1.7</v>
      </c>
      <c r="I77" s="122">
        <v>-0.9</v>
      </c>
      <c r="J77" s="122">
        <v>5</v>
      </c>
      <c r="K77" s="123">
        <v>6.9</v>
      </c>
      <c r="L77" s="123">
        <v>2.2999999999999998</v>
      </c>
      <c r="M77" s="123">
        <v>4.3</v>
      </c>
      <c r="N77" s="123">
        <v>4.5</v>
      </c>
      <c r="O77" s="123">
        <v>4.3</v>
      </c>
    </row>
    <row r="78" spans="1:15">
      <c r="A78" s="120" t="s">
        <v>662</v>
      </c>
      <c r="B78" s="121" t="s">
        <v>1901</v>
      </c>
      <c r="C78" s="120" t="s">
        <v>1695</v>
      </c>
      <c r="D78" s="120" t="s">
        <v>1891</v>
      </c>
      <c r="E78" s="120" t="s">
        <v>1698</v>
      </c>
      <c r="F78" s="122">
        <v>-5.9</v>
      </c>
      <c r="G78" s="122">
        <v>106.4</v>
      </c>
      <c r="H78" s="122">
        <v>50.6</v>
      </c>
      <c r="I78" s="122">
        <v>9.1999999999999993</v>
      </c>
      <c r="J78" s="122">
        <v>5.3</v>
      </c>
      <c r="K78" s="123">
        <v>6.5</v>
      </c>
      <c r="L78" s="123">
        <v>6.4</v>
      </c>
      <c r="M78" s="123">
        <v>6.3</v>
      </c>
      <c r="N78" s="123">
        <v>6.2</v>
      </c>
      <c r="O78" s="123">
        <v>4.4000000000000004</v>
      </c>
    </row>
    <row r="79" spans="1:15">
      <c r="A79" s="120" t="s">
        <v>678</v>
      </c>
      <c r="B79" s="121" t="s">
        <v>1901</v>
      </c>
      <c r="C79" s="120" t="s">
        <v>1695</v>
      </c>
      <c r="D79" s="120" t="s">
        <v>1893</v>
      </c>
      <c r="E79" s="120" t="s">
        <v>1698</v>
      </c>
      <c r="F79" s="122">
        <v>0.9</v>
      </c>
      <c r="G79" s="122">
        <v>200.4</v>
      </c>
      <c r="H79" s="122">
        <v>29.5</v>
      </c>
      <c r="I79" s="122">
        <v>17.899999999999999</v>
      </c>
      <c r="J79" s="122">
        <v>5.6</v>
      </c>
      <c r="K79" s="123">
        <v>4.8</v>
      </c>
      <c r="L79" s="123">
        <v>4.8</v>
      </c>
      <c r="M79" s="123">
        <v>4.2</v>
      </c>
      <c r="N79" s="123">
        <v>4.7</v>
      </c>
      <c r="O79" s="123">
        <v>4.2</v>
      </c>
    </row>
    <row r="80" spans="1:15">
      <c r="A80" s="120" t="s">
        <v>697</v>
      </c>
      <c r="B80" s="121" t="s">
        <v>1901</v>
      </c>
      <c r="C80" s="120" t="s">
        <v>1695</v>
      </c>
      <c r="D80" s="120" t="s">
        <v>1891</v>
      </c>
      <c r="E80" s="120" t="s">
        <v>1698</v>
      </c>
      <c r="F80" s="122">
        <v>31.6</v>
      </c>
      <c r="G80" s="122">
        <v>118.3</v>
      </c>
      <c r="H80" s="122">
        <v>17</v>
      </c>
      <c r="I80" s="122">
        <v>6.9</v>
      </c>
      <c r="J80" s="122">
        <v>5.2</v>
      </c>
      <c r="K80" s="123">
        <v>5</v>
      </c>
      <c r="L80" s="123">
        <v>5.4</v>
      </c>
      <c r="M80" s="123">
        <v>5.3</v>
      </c>
      <c r="N80" s="123">
        <v>5.3</v>
      </c>
      <c r="O80" s="123">
        <v>8.9</v>
      </c>
    </row>
    <row r="81" spans="1:15">
      <c r="A81" s="120" t="s">
        <v>740</v>
      </c>
      <c r="B81" s="121" t="s">
        <v>1901</v>
      </c>
      <c r="C81" s="120" t="s">
        <v>1695</v>
      </c>
      <c r="D81" s="120" t="s">
        <v>1891</v>
      </c>
      <c r="E81" s="120" t="s">
        <v>1698</v>
      </c>
      <c r="F81" s="122">
        <v>56.9</v>
      </c>
      <c r="G81" s="122">
        <v>160.69999999999999</v>
      </c>
      <c r="H81" s="122">
        <v>24.5</v>
      </c>
      <c r="I81" s="122">
        <v>16.2</v>
      </c>
      <c r="J81" s="122">
        <v>4.5</v>
      </c>
      <c r="K81" s="123">
        <v>5.4</v>
      </c>
      <c r="L81" s="123">
        <v>5.3</v>
      </c>
      <c r="M81" s="123">
        <v>5.2</v>
      </c>
      <c r="N81" s="123">
        <v>5.0999999999999996</v>
      </c>
      <c r="O81" s="123">
        <v>7</v>
      </c>
    </row>
    <row r="82" spans="1:15">
      <c r="A82" s="120" t="s">
        <v>756</v>
      </c>
      <c r="B82" s="121" t="s">
        <v>1901</v>
      </c>
      <c r="C82" s="120" t="s">
        <v>1695</v>
      </c>
      <c r="D82" s="120" t="s">
        <v>1894</v>
      </c>
      <c r="E82" s="120" t="s">
        <v>1698</v>
      </c>
      <c r="F82" s="122">
        <v>24.8</v>
      </c>
      <c r="G82" s="122">
        <v>70.7</v>
      </c>
      <c r="H82" s="122">
        <v>14.5</v>
      </c>
      <c r="I82" s="122">
        <v>9.3000000000000007</v>
      </c>
      <c r="J82" s="122">
        <v>2.7</v>
      </c>
      <c r="K82" s="123">
        <v>4.0999999999999996</v>
      </c>
      <c r="L82" s="123">
        <v>4.5999999999999996</v>
      </c>
      <c r="M82" s="123">
        <v>4.0999999999999996</v>
      </c>
      <c r="N82" s="123">
        <v>4.5</v>
      </c>
      <c r="O82" s="123">
        <v>4</v>
      </c>
    </row>
    <row r="83" spans="1:15">
      <c r="A83" s="120" t="s">
        <v>758</v>
      </c>
      <c r="B83" s="121" t="s">
        <v>1901</v>
      </c>
      <c r="C83" s="120" t="s">
        <v>1695</v>
      </c>
      <c r="D83" s="120" t="s">
        <v>1925</v>
      </c>
      <c r="E83" s="120" t="s">
        <v>1698</v>
      </c>
      <c r="F83" s="122">
        <v>7.8</v>
      </c>
      <c r="G83" s="122">
        <v>69.2</v>
      </c>
      <c r="H83" s="122">
        <v>12.4</v>
      </c>
      <c r="I83" s="122">
        <v>7.7</v>
      </c>
      <c r="J83" s="122">
        <v>2.4</v>
      </c>
      <c r="K83" s="123">
        <v>2.9</v>
      </c>
      <c r="L83" s="123">
        <v>3.8</v>
      </c>
      <c r="M83" s="123">
        <v>3.5</v>
      </c>
      <c r="N83" s="123">
        <v>3.8</v>
      </c>
      <c r="O83" s="123">
        <v>3.4</v>
      </c>
    </row>
    <row r="84" spans="1:15">
      <c r="A84" s="120" t="s">
        <v>1124</v>
      </c>
      <c r="B84" s="121" t="s">
        <v>1901</v>
      </c>
      <c r="C84" s="120" t="s">
        <v>1695</v>
      </c>
      <c r="D84" s="120" t="s">
        <v>1895</v>
      </c>
      <c r="E84" s="120" t="s">
        <v>1698</v>
      </c>
      <c r="F84" s="122">
        <v>163.6</v>
      </c>
      <c r="G84" s="122">
        <v>243.1</v>
      </c>
      <c r="H84" s="122">
        <v>56.8</v>
      </c>
      <c r="I84" s="122">
        <v>55.3</v>
      </c>
      <c r="J84" s="122">
        <v>35.1</v>
      </c>
      <c r="K84" s="123">
        <v>27.4</v>
      </c>
      <c r="L84" s="123">
        <v>22.4</v>
      </c>
      <c r="M84" s="123">
        <v>20.8</v>
      </c>
      <c r="N84" s="123">
        <v>21.2</v>
      </c>
      <c r="O84" s="123">
        <v>21.1</v>
      </c>
    </row>
    <row r="85" spans="1:15">
      <c r="A85" s="120" t="s">
        <v>791</v>
      </c>
      <c r="B85" s="121" t="s">
        <v>1901</v>
      </c>
      <c r="C85" s="120" t="s">
        <v>1695</v>
      </c>
      <c r="D85" s="120" t="s">
        <v>1896</v>
      </c>
      <c r="E85" s="120" t="s">
        <v>1698</v>
      </c>
      <c r="F85" s="122">
        <v>-4.8</v>
      </c>
      <c r="G85" s="122">
        <v>349.2</v>
      </c>
      <c r="H85" s="122">
        <v>17.399999999999999</v>
      </c>
      <c r="I85" s="122">
        <v>1.3</v>
      </c>
      <c r="J85" s="122">
        <v>5</v>
      </c>
      <c r="K85" s="123">
        <v>3.6</v>
      </c>
      <c r="L85" s="123">
        <v>5.6</v>
      </c>
      <c r="M85" s="123">
        <v>6</v>
      </c>
      <c r="N85" s="123">
        <v>4.8</v>
      </c>
      <c r="O85" s="123">
        <v>6</v>
      </c>
    </row>
    <row r="87" spans="1:15">
      <c r="A87" s="124" t="s">
        <v>1125</v>
      </c>
    </row>
    <row r="88" spans="1:15">
      <c r="A88" s="119" t="s">
        <v>1699</v>
      </c>
    </row>
    <row r="90" spans="1:15">
      <c r="A90" s="119" t="s">
        <v>1926</v>
      </c>
    </row>
    <row r="91" spans="1:15">
      <c r="A91" s="119" t="s">
        <v>1128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FC4CE-0290-4256-BA91-622E12FE6E07}">
  <dimension ref="B3:R217"/>
  <sheetViews>
    <sheetView topLeftCell="A17" zoomScale="125" workbookViewId="0">
      <selection activeCell="D13" sqref="D13"/>
    </sheetView>
  </sheetViews>
  <sheetFormatPr baseColWidth="10" defaultColWidth="8.5" defaultRowHeight="14"/>
  <cols>
    <col min="1" max="3" width="8.5" style="129"/>
    <col min="4" max="4" width="25.5" style="129" customWidth="1"/>
    <col min="5" max="5" width="8.5" style="129" bestFit="1"/>
    <col min="6" max="6" width="13" style="129" customWidth="1"/>
    <col min="7" max="7" width="8.5" style="129" bestFit="1"/>
    <col min="8" max="9" width="9.1640625" style="129" bestFit="1" customWidth="1"/>
    <col min="10" max="18" width="8.5" style="129" bestFit="1" customWidth="1"/>
    <col min="19" max="16384" width="8.5" style="129"/>
  </cols>
  <sheetData>
    <row r="3" spans="2:18" ht="16">
      <c r="B3" s="127" t="s">
        <v>1927</v>
      </c>
      <c r="C3" s="128"/>
      <c r="D3" s="128"/>
      <c r="E3" s="128"/>
      <c r="F3" s="128"/>
      <c r="G3" s="128"/>
      <c r="H3" s="128"/>
      <c r="I3" s="128"/>
      <c r="J3" s="128"/>
      <c r="K3" s="128"/>
      <c r="L3" s="128"/>
      <c r="M3" s="128"/>
      <c r="N3" s="128"/>
      <c r="O3" s="128"/>
      <c r="P3" s="128"/>
      <c r="Q3" s="128"/>
      <c r="R3" s="128"/>
    </row>
    <row r="4" spans="2:18" ht="16">
      <c r="B4" s="130" t="s">
        <v>1096</v>
      </c>
      <c r="C4" s="130" t="s">
        <v>1097</v>
      </c>
      <c r="D4" s="130" t="s">
        <v>1098</v>
      </c>
      <c r="E4" s="130" t="s">
        <v>1099</v>
      </c>
      <c r="F4" s="130" t="s">
        <v>1100</v>
      </c>
      <c r="G4" s="130" t="s">
        <v>1928</v>
      </c>
      <c r="H4" s="131">
        <v>2020</v>
      </c>
      <c r="I4" s="131">
        <f t="shared" ref="I4:R4" si="0">H4+1</f>
        <v>2021</v>
      </c>
      <c r="J4" s="131">
        <f t="shared" si="0"/>
        <v>2022</v>
      </c>
      <c r="K4" s="131">
        <f t="shared" si="0"/>
        <v>2023</v>
      </c>
      <c r="L4" s="131">
        <f t="shared" si="0"/>
        <v>2024</v>
      </c>
      <c r="M4" s="132">
        <f t="shared" si="0"/>
        <v>2025</v>
      </c>
      <c r="N4" s="132">
        <f t="shared" si="0"/>
        <v>2026</v>
      </c>
      <c r="O4" s="132">
        <f t="shared" si="0"/>
        <v>2027</v>
      </c>
      <c r="P4" s="132">
        <f t="shared" si="0"/>
        <v>2028</v>
      </c>
      <c r="Q4" s="132">
        <f t="shared" si="0"/>
        <v>2029</v>
      </c>
      <c r="R4" s="132">
        <f t="shared" si="0"/>
        <v>2030</v>
      </c>
    </row>
    <row r="5" spans="2:18" ht="16">
      <c r="B5" s="133" t="s">
        <v>910</v>
      </c>
      <c r="C5" s="134" t="s">
        <v>1072</v>
      </c>
      <c r="D5" s="133" t="s">
        <v>1112</v>
      </c>
      <c r="E5" s="133" t="s">
        <v>968</v>
      </c>
      <c r="F5" s="133" t="s">
        <v>1698</v>
      </c>
      <c r="G5" s="133" t="s">
        <v>1929</v>
      </c>
      <c r="H5" s="135">
        <v>-5.5999999999999994E-2</v>
      </c>
      <c r="I5" s="135">
        <v>0.124</v>
      </c>
      <c r="J5" s="135">
        <v>4.0999999999999995E-2</v>
      </c>
      <c r="K5" s="135">
        <v>5.0999999999999997E-2</v>
      </c>
      <c r="L5" s="135">
        <v>3.3000000000000002E-2</v>
      </c>
      <c r="M5" s="135">
        <v>4.5999999999999999E-2</v>
      </c>
      <c r="N5" s="135">
        <v>2.7999999999999997E-2</v>
      </c>
      <c r="O5" s="135">
        <v>0.04</v>
      </c>
      <c r="P5" s="135">
        <v>4.2999999999999997E-2</v>
      </c>
      <c r="Q5" s="135">
        <v>4.2999999999999997E-2</v>
      </c>
      <c r="R5" s="135">
        <v>4.4000000000000004E-2</v>
      </c>
    </row>
    <row r="6" spans="2:18" ht="16">
      <c r="B6" s="133" t="s">
        <v>1930</v>
      </c>
      <c r="C6" s="134" t="s">
        <v>1072</v>
      </c>
      <c r="D6" s="133" t="s">
        <v>1112</v>
      </c>
      <c r="E6" s="133" t="s">
        <v>968</v>
      </c>
      <c r="F6" s="133" t="s">
        <v>1698</v>
      </c>
      <c r="G6" s="133" t="s">
        <v>1929</v>
      </c>
      <c r="H6" s="135">
        <v>-2.8999999999999998E-2</v>
      </c>
      <c r="I6" s="135">
        <v>0.121</v>
      </c>
      <c r="J6" s="135">
        <v>-1.6E-2</v>
      </c>
      <c r="K6" s="135">
        <v>2.7999999999999997E-2</v>
      </c>
      <c r="L6" s="135">
        <v>2.7999999999999997E-2</v>
      </c>
      <c r="M6" s="135">
        <v>5.2999999999999999E-2</v>
      </c>
      <c r="N6" s="135">
        <v>4.8000000000000001E-2</v>
      </c>
      <c r="O6" s="135">
        <v>6.0999999999999999E-2</v>
      </c>
      <c r="P6" s="135">
        <v>6.4000000000000001E-2</v>
      </c>
      <c r="Q6" s="135">
        <v>6.0999999999999999E-2</v>
      </c>
      <c r="R6" s="135">
        <v>6.3E-2</v>
      </c>
    </row>
    <row r="7" spans="2:18" ht="16">
      <c r="B7" s="133" t="s">
        <v>389</v>
      </c>
      <c r="C7" s="134" t="s">
        <v>1072</v>
      </c>
      <c r="D7" s="133" t="s">
        <v>1112</v>
      </c>
      <c r="E7" s="133" t="s">
        <v>1931</v>
      </c>
      <c r="F7" s="133" t="s">
        <v>1698</v>
      </c>
      <c r="G7" s="133" t="s">
        <v>1929</v>
      </c>
      <c r="H7" s="135">
        <v>2.3E-2</v>
      </c>
      <c r="I7" s="135">
        <v>-0.23800000000000002</v>
      </c>
      <c r="J7" s="135">
        <v>0.11599999999999999</v>
      </c>
      <c r="K7" s="135">
        <v>3.2000000000000001E-2</v>
      </c>
      <c r="L7" s="136" t="s">
        <v>1114</v>
      </c>
      <c r="M7" s="136" t="s">
        <v>1114</v>
      </c>
      <c r="N7" s="136" t="s">
        <v>1114</v>
      </c>
      <c r="O7" s="136" t="s">
        <v>1114</v>
      </c>
      <c r="P7" s="136" t="s">
        <v>1114</v>
      </c>
      <c r="Q7" s="136" t="s">
        <v>1114</v>
      </c>
      <c r="R7" s="136" t="s">
        <v>1114</v>
      </c>
    </row>
    <row r="8" spans="2:18" ht="16">
      <c r="B8" s="133" t="s">
        <v>405</v>
      </c>
      <c r="C8" s="134" t="s">
        <v>1072</v>
      </c>
      <c r="D8" s="133" t="s">
        <v>1112</v>
      </c>
      <c r="E8" s="133" t="s">
        <v>1932</v>
      </c>
      <c r="F8" s="133" t="s">
        <v>1698</v>
      </c>
      <c r="G8" s="133" t="s">
        <v>1929</v>
      </c>
      <c r="H8" s="135">
        <v>-0.14400000000000002</v>
      </c>
      <c r="I8" s="135">
        <v>7.6999999999999999E-2</v>
      </c>
      <c r="J8" s="135">
        <v>0.13600000000000001</v>
      </c>
      <c r="K8" s="135">
        <v>6.2E-2</v>
      </c>
      <c r="L8" s="135">
        <v>5.4000000000000006E-2</v>
      </c>
      <c r="M8" s="135">
        <v>9.6000000000000002E-2</v>
      </c>
      <c r="N8" s="135">
        <v>8.5999999999999993E-2</v>
      </c>
      <c r="O8" s="135">
        <v>8.4000000000000005E-2</v>
      </c>
      <c r="P8" s="135">
        <v>8.5000000000000006E-2</v>
      </c>
      <c r="Q8" s="135">
        <v>8.5000000000000006E-2</v>
      </c>
      <c r="R8" s="135">
        <v>8.5000000000000006E-2</v>
      </c>
    </row>
    <row r="9" spans="2:18" ht="16">
      <c r="B9" s="133" t="s">
        <v>413</v>
      </c>
      <c r="C9" s="134" t="s">
        <v>1072</v>
      </c>
      <c r="D9" s="133" t="s">
        <v>1112</v>
      </c>
      <c r="E9" s="133" t="s">
        <v>1933</v>
      </c>
      <c r="F9" s="133" t="s">
        <v>1698</v>
      </c>
      <c r="G9" s="133" t="s">
        <v>1929</v>
      </c>
      <c r="H9" s="135">
        <v>-7.5999999999999998E-2</v>
      </c>
      <c r="I9" s="135">
        <v>9.4E-2</v>
      </c>
      <c r="J9" s="135">
        <v>0.193</v>
      </c>
      <c r="K9" s="135">
        <v>0.14400000000000002</v>
      </c>
      <c r="L9" s="135">
        <v>4.9000000000000002E-2</v>
      </c>
      <c r="M9" s="135">
        <v>7.5999999999999998E-2</v>
      </c>
      <c r="N9" s="135">
        <v>7.9000000000000001E-2</v>
      </c>
      <c r="O9" s="135">
        <v>8.1000000000000003E-2</v>
      </c>
      <c r="P9" s="135">
        <v>7.9000000000000001E-2</v>
      </c>
      <c r="Q9" s="135">
        <v>7.400000000000001E-2</v>
      </c>
      <c r="R9" s="135">
        <v>7.2999999999999995E-2</v>
      </c>
    </row>
    <row r="10" spans="2:18" ht="16">
      <c r="B10" s="133" t="s">
        <v>419</v>
      </c>
      <c r="C10" s="134" t="s">
        <v>1072</v>
      </c>
      <c r="D10" s="133" t="s">
        <v>1112</v>
      </c>
      <c r="E10" s="133" t="s">
        <v>1934</v>
      </c>
      <c r="F10" s="133" t="s">
        <v>1698</v>
      </c>
      <c r="G10" s="133" t="s">
        <v>1929</v>
      </c>
      <c r="H10" s="135">
        <v>0.08</v>
      </c>
      <c r="I10" s="135">
        <v>0.13800000000000001</v>
      </c>
      <c r="J10" s="135">
        <v>0.115</v>
      </c>
      <c r="K10" s="135">
        <v>0.1</v>
      </c>
      <c r="L10" s="135">
        <v>0.154</v>
      </c>
      <c r="M10" s="135">
        <v>0.122</v>
      </c>
      <c r="N10" s="135">
        <v>0.109</v>
      </c>
      <c r="O10" s="135">
        <v>0.115</v>
      </c>
      <c r="P10" s="135">
        <v>0.11199999999999999</v>
      </c>
      <c r="Q10" s="135">
        <v>0.11199999999999999</v>
      </c>
      <c r="R10" s="135">
        <v>0.113</v>
      </c>
    </row>
    <row r="11" spans="2:18" ht="16">
      <c r="B11" s="133" t="s">
        <v>433</v>
      </c>
      <c r="C11" s="134" t="s">
        <v>1072</v>
      </c>
      <c r="D11" s="133" t="s">
        <v>1112</v>
      </c>
      <c r="E11" s="133" t="s">
        <v>434</v>
      </c>
      <c r="F11" s="133" t="s">
        <v>1698</v>
      </c>
      <c r="G11" s="133" t="s">
        <v>1929</v>
      </c>
      <c r="H11" s="135">
        <v>5.2000000000000005E-2</v>
      </c>
      <c r="I11" s="135">
        <v>0.06</v>
      </c>
      <c r="J11" s="135">
        <v>0.21199999999999999</v>
      </c>
      <c r="K11" s="135">
        <v>0.105</v>
      </c>
      <c r="L11" s="135">
        <v>8.3000000000000004E-2</v>
      </c>
      <c r="M11" s="135">
        <v>9.4E-2</v>
      </c>
      <c r="N11" s="135">
        <v>0.11</v>
      </c>
      <c r="O11" s="135">
        <v>9.5000000000000001E-2</v>
      </c>
      <c r="P11" s="135">
        <v>9.6999999999999989E-2</v>
      </c>
      <c r="Q11" s="135">
        <v>9.4E-2</v>
      </c>
      <c r="R11" s="135">
        <v>8.6999999999999994E-2</v>
      </c>
    </row>
    <row r="12" spans="2:18" ht="16">
      <c r="B12" s="133" t="s">
        <v>445</v>
      </c>
      <c r="C12" s="134" t="s">
        <v>1072</v>
      </c>
      <c r="D12" s="133" t="s">
        <v>1112</v>
      </c>
      <c r="E12" s="133" t="s">
        <v>1935</v>
      </c>
      <c r="F12" s="133" t="s">
        <v>1698</v>
      </c>
      <c r="G12" s="133" t="s">
        <v>1929</v>
      </c>
      <c r="H12" s="135">
        <v>3.3000000000000002E-2</v>
      </c>
      <c r="I12" s="135">
        <v>0.16300000000000001</v>
      </c>
      <c r="J12" s="135">
        <v>0.14599999999999999</v>
      </c>
      <c r="K12" s="135">
        <v>-1.2E-2</v>
      </c>
      <c r="L12" s="135">
        <v>-3.0000000000000001E-3</v>
      </c>
      <c r="M12" s="135">
        <v>3.0000000000000001E-3</v>
      </c>
      <c r="N12" s="135">
        <v>0.02</v>
      </c>
      <c r="O12" s="135">
        <v>2.5000000000000001E-2</v>
      </c>
      <c r="P12" s="135">
        <v>2.4E-2</v>
      </c>
      <c r="Q12" s="135">
        <v>2.4E-2</v>
      </c>
      <c r="R12" s="135">
        <v>-3.9E-2</v>
      </c>
    </row>
    <row r="13" spans="2:18" ht="16">
      <c r="B13" s="133" t="s">
        <v>260</v>
      </c>
      <c r="C13" s="134" t="s">
        <v>1072</v>
      </c>
      <c r="D13" s="133" t="s">
        <v>1112</v>
      </c>
      <c r="E13" s="133" t="s">
        <v>1936</v>
      </c>
      <c r="F13" s="133" t="s">
        <v>1698</v>
      </c>
      <c r="G13" s="133" t="s">
        <v>1929</v>
      </c>
      <c r="H13" s="135">
        <v>-0.154</v>
      </c>
      <c r="I13" s="135">
        <v>7.0999999999999994E-2</v>
      </c>
      <c r="J13" s="135">
        <v>4.2999999999999997E-2</v>
      </c>
      <c r="K13" s="135">
        <v>0.20100000000000001</v>
      </c>
      <c r="L13" s="135">
        <v>4.0999999999999995E-2</v>
      </c>
      <c r="M13" s="135">
        <v>6.6000000000000003E-2</v>
      </c>
      <c r="N13" s="135">
        <v>7.2999999999999995E-2</v>
      </c>
      <c r="O13" s="135">
        <v>7.6999999999999999E-2</v>
      </c>
      <c r="P13" s="135">
        <v>8.1000000000000003E-2</v>
      </c>
      <c r="Q13" s="135">
        <v>8.5000000000000006E-2</v>
      </c>
      <c r="R13" s="135">
        <v>0.08</v>
      </c>
    </row>
    <row r="14" spans="2:18" ht="16">
      <c r="B14" s="133" t="s">
        <v>470</v>
      </c>
      <c r="C14" s="134" t="s">
        <v>1072</v>
      </c>
      <c r="D14" s="133" t="s">
        <v>1112</v>
      </c>
      <c r="E14" s="133" t="s">
        <v>1937</v>
      </c>
      <c r="F14" s="133" t="s">
        <v>1698</v>
      </c>
      <c r="G14" s="133" t="s">
        <v>1929</v>
      </c>
      <c r="H14" s="135">
        <v>5.0000000000000001E-3</v>
      </c>
      <c r="I14" s="135">
        <v>0.13300000000000001</v>
      </c>
      <c r="J14" s="135">
        <v>2.5000000000000001E-2</v>
      </c>
      <c r="K14" s="135">
        <v>8.6999999999999994E-2</v>
      </c>
      <c r="L14" s="135">
        <v>4.4999999999999998E-2</v>
      </c>
      <c r="M14" s="135">
        <v>5.5999999999999994E-2</v>
      </c>
      <c r="N14" s="135">
        <v>3.7999999999999999E-2</v>
      </c>
      <c r="O14" s="135">
        <v>0.06</v>
      </c>
      <c r="P14" s="135">
        <v>6.3E-2</v>
      </c>
      <c r="Q14" s="135">
        <v>6.5000000000000002E-2</v>
      </c>
      <c r="R14" s="135">
        <v>6.6000000000000003E-2</v>
      </c>
    </row>
    <row r="15" spans="2:18" ht="16">
      <c r="B15" s="133" t="s">
        <v>519</v>
      </c>
      <c r="C15" s="134" t="s">
        <v>1072</v>
      </c>
      <c r="D15" s="133" t="s">
        <v>1112</v>
      </c>
      <c r="E15" s="133" t="s">
        <v>1938</v>
      </c>
      <c r="F15" s="133" t="s">
        <v>1698</v>
      </c>
      <c r="G15" s="133" t="s">
        <v>1929</v>
      </c>
      <c r="H15" s="135">
        <v>-0.106</v>
      </c>
      <c r="I15" s="135">
        <v>-9.0000000000000011E-3</v>
      </c>
      <c r="J15" s="135">
        <v>0.22699999999999998</v>
      </c>
      <c r="K15" s="135">
        <v>7.2000000000000008E-2</v>
      </c>
      <c r="L15" s="135">
        <v>7.9000000000000001E-2</v>
      </c>
      <c r="M15" s="135">
        <v>5.9000000000000004E-2</v>
      </c>
      <c r="N15" s="135">
        <v>0.06</v>
      </c>
      <c r="O15" s="135">
        <v>6.3E-2</v>
      </c>
      <c r="P15" s="135">
        <v>6.5000000000000002E-2</v>
      </c>
      <c r="Q15" s="135">
        <v>6.7000000000000004E-2</v>
      </c>
      <c r="R15" s="135">
        <v>5.2999999999999999E-2</v>
      </c>
    </row>
    <row r="16" spans="2:18" ht="16">
      <c r="B16" s="133" t="s">
        <v>525</v>
      </c>
      <c r="C16" s="134" t="s">
        <v>1072</v>
      </c>
      <c r="D16" s="133" t="s">
        <v>1112</v>
      </c>
      <c r="E16" s="133" t="s">
        <v>1939</v>
      </c>
      <c r="F16" s="133" t="s">
        <v>1698</v>
      </c>
      <c r="G16" s="133" t="s">
        <v>1929</v>
      </c>
      <c r="H16" s="135">
        <v>-5.0000000000000001E-3</v>
      </c>
      <c r="I16" s="135">
        <v>4.0999999999999995E-2</v>
      </c>
      <c r="J16" s="135">
        <v>6.8000000000000005E-2</v>
      </c>
      <c r="K16" s="135">
        <v>5.4000000000000006E-2</v>
      </c>
      <c r="L16" s="135">
        <v>3.9E-2</v>
      </c>
      <c r="M16" s="135">
        <v>4.4999999999999998E-2</v>
      </c>
      <c r="N16" s="135">
        <v>4.7E-2</v>
      </c>
      <c r="O16" s="135">
        <v>4.7E-2</v>
      </c>
      <c r="P16" s="135">
        <v>4.8000000000000001E-2</v>
      </c>
      <c r="Q16" s="135">
        <v>4.9000000000000002E-2</v>
      </c>
      <c r="R16" s="135">
        <v>4.4999999999999998E-2</v>
      </c>
    </row>
    <row r="17" spans="2:18" ht="16">
      <c r="B17" s="133" t="s">
        <v>544</v>
      </c>
      <c r="C17" s="134" t="s">
        <v>1072</v>
      </c>
      <c r="D17" s="133" t="s">
        <v>1112</v>
      </c>
      <c r="E17" s="133" t="s">
        <v>968</v>
      </c>
      <c r="F17" s="133" t="s">
        <v>1698</v>
      </c>
      <c r="G17" s="133" t="s">
        <v>1929</v>
      </c>
      <c r="H17" s="135">
        <v>-1.7000000000000001E-2</v>
      </c>
      <c r="I17" s="135">
        <v>6.8000000000000005E-2</v>
      </c>
      <c r="J17" s="135">
        <v>7.400000000000001E-2</v>
      </c>
      <c r="K17" s="135">
        <v>8.1000000000000003E-2</v>
      </c>
      <c r="L17" s="135">
        <v>9.9000000000000005E-2</v>
      </c>
      <c r="M17" s="135">
        <v>8.900000000000001E-2</v>
      </c>
      <c r="N17" s="135">
        <v>8.5000000000000006E-2</v>
      </c>
      <c r="O17" s="136" t="s">
        <v>1114</v>
      </c>
      <c r="P17" s="136" t="s">
        <v>1114</v>
      </c>
      <c r="Q17" s="136" t="s">
        <v>1114</v>
      </c>
      <c r="R17" s="136" t="s">
        <v>1114</v>
      </c>
    </row>
    <row r="18" spans="2:18" ht="16">
      <c r="B18" s="133" t="s">
        <v>1115</v>
      </c>
      <c r="C18" s="134" t="s">
        <v>1072</v>
      </c>
      <c r="D18" s="133" t="s">
        <v>1112</v>
      </c>
      <c r="E18" s="133" t="s">
        <v>1940</v>
      </c>
      <c r="F18" s="133" t="s">
        <v>1698</v>
      </c>
      <c r="G18" s="133" t="s">
        <v>1929</v>
      </c>
      <c r="H18" s="135">
        <v>-0.14000000000000001</v>
      </c>
      <c r="I18" s="135">
        <v>6.6000000000000003E-2</v>
      </c>
      <c r="J18" s="135">
        <v>5.0000000000000001E-3</v>
      </c>
      <c r="K18" s="135">
        <v>0.114</v>
      </c>
      <c r="L18" s="135">
        <v>1.3000000000000001E-2</v>
      </c>
      <c r="M18" s="135">
        <v>2.1000000000000001E-2</v>
      </c>
      <c r="N18" s="135">
        <v>3.9E-2</v>
      </c>
      <c r="O18" s="135">
        <v>4.2999999999999997E-2</v>
      </c>
      <c r="P18" s="135">
        <v>4.4000000000000004E-2</v>
      </c>
      <c r="Q18" s="135">
        <v>4.4999999999999998E-2</v>
      </c>
      <c r="R18" s="135">
        <v>4.5999999999999999E-2</v>
      </c>
    </row>
    <row r="19" spans="2:18" ht="16">
      <c r="B19" s="133" t="s">
        <v>564</v>
      </c>
      <c r="C19" s="134" t="s">
        <v>1072</v>
      </c>
      <c r="D19" s="133" t="s">
        <v>1112</v>
      </c>
      <c r="E19" s="133" t="s">
        <v>1941</v>
      </c>
      <c r="F19" s="133" t="s">
        <v>1698</v>
      </c>
      <c r="G19" s="133" t="s">
        <v>1929</v>
      </c>
      <c r="H19" s="135">
        <v>-2.5000000000000001E-2</v>
      </c>
      <c r="I19" s="135">
        <v>0.17399999999999999</v>
      </c>
      <c r="J19" s="135">
        <v>0.14400000000000002</v>
      </c>
      <c r="K19" s="135">
        <v>8.8000000000000009E-2</v>
      </c>
      <c r="L19" s="135">
        <v>0.111</v>
      </c>
      <c r="M19" s="135">
        <v>0.12300000000000001</v>
      </c>
      <c r="N19" s="135">
        <v>0.10099999999999999</v>
      </c>
      <c r="O19" s="135">
        <v>0.1</v>
      </c>
      <c r="P19" s="135">
        <v>0.10099999999999999</v>
      </c>
      <c r="Q19" s="135">
        <v>0.10099999999999999</v>
      </c>
      <c r="R19" s="135">
        <v>0.10099999999999999</v>
      </c>
    </row>
    <row r="20" spans="2:18" ht="16">
      <c r="B20" s="133" t="s">
        <v>233</v>
      </c>
      <c r="C20" s="134" t="s">
        <v>1072</v>
      </c>
      <c r="D20" s="133" t="s">
        <v>1112</v>
      </c>
      <c r="E20" s="133" t="s">
        <v>1942</v>
      </c>
      <c r="F20" s="133" t="s">
        <v>1698</v>
      </c>
      <c r="G20" s="133" t="s">
        <v>1929</v>
      </c>
      <c r="H20" s="135">
        <v>-1.2E-2</v>
      </c>
      <c r="I20" s="135">
        <v>2.7000000000000003E-2</v>
      </c>
      <c r="J20" s="135">
        <v>8.5999999999999993E-2</v>
      </c>
      <c r="K20" s="135">
        <v>0.09</v>
      </c>
      <c r="L20" s="135">
        <v>7.0999999999999994E-2</v>
      </c>
      <c r="M20" s="135">
        <v>4.5999999999999999E-2</v>
      </c>
      <c r="N20" s="135">
        <v>5.9000000000000004E-2</v>
      </c>
      <c r="O20" s="135">
        <v>6.9000000000000006E-2</v>
      </c>
      <c r="P20" s="135">
        <v>6.9000000000000006E-2</v>
      </c>
      <c r="Q20" s="135">
        <v>6.8000000000000005E-2</v>
      </c>
      <c r="R20" s="135">
        <v>6.8000000000000005E-2</v>
      </c>
    </row>
    <row r="21" spans="2:18" ht="16">
      <c r="B21" s="133" t="s">
        <v>581</v>
      </c>
      <c r="C21" s="134" t="s">
        <v>1072</v>
      </c>
      <c r="D21" s="133" t="s">
        <v>1112</v>
      </c>
      <c r="E21" s="133" t="s">
        <v>1943</v>
      </c>
      <c r="F21" s="133" t="s">
        <v>1698</v>
      </c>
      <c r="G21" s="133" t="s">
        <v>1929</v>
      </c>
      <c r="H21" s="135">
        <v>-4.9000000000000002E-2</v>
      </c>
      <c r="I21" s="135">
        <v>1.8000000000000002E-2</v>
      </c>
      <c r="J21" s="135">
        <v>5.7999999999999996E-2</v>
      </c>
      <c r="K21" s="135">
        <v>5.4000000000000006E-2</v>
      </c>
      <c r="L21" s="135">
        <v>3.1E-2</v>
      </c>
      <c r="M21" s="135">
        <v>4.4999999999999998E-2</v>
      </c>
      <c r="N21" s="135">
        <v>3.2000000000000001E-2</v>
      </c>
      <c r="O21" s="135">
        <v>3.3000000000000002E-2</v>
      </c>
      <c r="P21" s="135">
        <v>3.3000000000000002E-2</v>
      </c>
      <c r="Q21" s="135">
        <v>3.4000000000000002E-2</v>
      </c>
      <c r="R21" s="135">
        <v>3.4000000000000002E-2</v>
      </c>
    </row>
    <row r="22" spans="2:18" ht="16">
      <c r="B22" s="133" t="s">
        <v>585</v>
      </c>
      <c r="C22" s="134" t="s">
        <v>1072</v>
      </c>
      <c r="D22" s="133" t="s">
        <v>1112</v>
      </c>
      <c r="E22" s="133" t="s">
        <v>1944</v>
      </c>
      <c r="F22" s="133" t="s">
        <v>1698</v>
      </c>
      <c r="G22" s="133" t="s">
        <v>1929</v>
      </c>
      <c r="H22" s="135">
        <v>5.0000000000000001E-3</v>
      </c>
      <c r="I22" s="135">
        <v>0.13900000000000001</v>
      </c>
      <c r="J22" s="135">
        <v>0.185</v>
      </c>
      <c r="K22" s="135">
        <v>0.188</v>
      </c>
      <c r="L22" s="135">
        <v>0.13900000000000001</v>
      </c>
      <c r="M22" s="135">
        <v>0.13900000000000001</v>
      </c>
      <c r="N22" s="135">
        <v>0.11699999999999999</v>
      </c>
      <c r="O22" s="135">
        <v>0.10099999999999999</v>
      </c>
      <c r="P22" s="135">
        <v>9.1999999999999998E-2</v>
      </c>
      <c r="Q22" s="135">
        <v>8.1000000000000003E-2</v>
      </c>
      <c r="R22" s="135">
        <v>7.5999999999999998E-2</v>
      </c>
    </row>
    <row r="23" spans="2:18" ht="16">
      <c r="B23" s="133" t="s">
        <v>589</v>
      </c>
      <c r="C23" s="134" t="s">
        <v>1072</v>
      </c>
      <c r="D23" s="133" t="s">
        <v>1112</v>
      </c>
      <c r="E23" s="133" t="s">
        <v>1945</v>
      </c>
      <c r="F23" s="133" t="s">
        <v>1698</v>
      </c>
      <c r="G23" s="133" t="s">
        <v>1929</v>
      </c>
      <c r="H23" s="135">
        <v>-6.0000000000000001E-3</v>
      </c>
      <c r="I23" s="135">
        <v>0.24399999999999999</v>
      </c>
      <c r="J23" s="135">
        <v>0.13699999999999998</v>
      </c>
      <c r="K23" s="135">
        <v>0.13699999999999998</v>
      </c>
      <c r="L23" s="135">
        <v>6.7000000000000004E-2</v>
      </c>
      <c r="M23" s="135">
        <v>8.199999999999999E-2</v>
      </c>
      <c r="N23" s="135">
        <v>6.6000000000000003E-2</v>
      </c>
      <c r="O23" s="135">
        <v>5.5999999999999994E-2</v>
      </c>
      <c r="P23" s="135">
        <v>0.05</v>
      </c>
      <c r="Q23" s="135">
        <v>4.4999999999999998E-2</v>
      </c>
      <c r="R23" s="135">
        <v>4.4000000000000004E-2</v>
      </c>
    </row>
    <row r="24" spans="2:18" ht="16">
      <c r="B24" s="133" t="s">
        <v>1418</v>
      </c>
      <c r="C24" s="134" t="s">
        <v>1072</v>
      </c>
      <c r="D24" s="133" t="s">
        <v>1112</v>
      </c>
      <c r="E24" s="133" t="s">
        <v>1946</v>
      </c>
      <c r="F24" s="133" t="s">
        <v>1698</v>
      </c>
      <c r="G24" s="133" t="s">
        <v>1929</v>
      </c>
      <c r="H24" s="135">
        <v>-5.7999999999999996E-2</v>
      </c>
      <c r="I24" s="135">
        <v>0.33899999999999997</v>
      </c>
      <c r="J24" s="135">
        <v>0.32600000000000001</v>
      </c>
      <c r="K24" s="135">
        <v>0.17100000000000001</v>
      </c>
      <c r="L24" s="135">
        <v>0.111</v>
      </c>
      <c r="M24" s="135">
        <v>0.126</v>
      </c>
      <c r="N24" s="135">
        <v>0.10800000000000001</v>
      </c>
      <c r="O24" s="135">
        <v>0.1</v>
      </c>
      <c r="P24" s="135">
        <v>9.3000000000000013E-2</v>
      </c>
      <c r="Q24" s="135">
        <v>9.4E-2</v>
      </c>
      <c r="R24" s="135">
        <v>9.6000000000000002E-2</v>
      </c>
    </row>
    <row r="25" spans="2:18" ht="16">
      <c r="B25" s="133" t="s">
        <v>261</v>
      </c>
      <c r="C25" s="134" t="s">
        <v>1072</v>
      </c>
      <c r="D25" s="133" t="s">
        <v>1112</v>
      </c>
      <c r="E25" s="133" t="s">
        <v>1947</v>
      </c>
      <c r="F25" s="133" t="s">
        <v>1698</v>
      </c>
      <c r="G25" s="133" t="s">
        <v>1929</v>
      </c>
      <c r="H25" s="135">
        <v>3.9E-2</v>
      </c>
      <c r="I25" s="135">
        <v>-7.9000000000000001E-2</v>
      </c>
      <c r="J25" s="135">
        <v>0.23800000000000002</v>
      </c>
      <c r="K25" s="135">
        <v>0.6</v>
      </c>
      <c r="L25" s="135">
        <v>0.25600000000000001</v>
      </c>
      <c r="M25" s="135">
        <v>0.191</v>
      </c>
      <c r="N25" s="135">
        <v>8.8000000000000009E-2</v>
      </c>
      <c r="O25" s="135">
        <v>8.900000000000001E-2</v>
      </c>
      <c r="P25" s="135">
        <v>8.5999999999999993E-2</v>
      </c>
      <c r="Q25" s="135">
        <v>0.09</v>
      </c>
      <c r="R25" s="135">
        <v>9.4E-2</v>
      </c>
    </row>
    <row r="26" spans="2:18" ht="16">
      <c r="B26" s="137" t="s">
        <v>1948</v>
      </c>
      <c r="C26" s="134" t="s">
        <v>1072</v>
      </c>
      <c r="D26" s="133" t="s">
        <v>1112</v>
      </c>
      <c r="E26" s="133" t="s">
        <v>1949</v>
      </c>
      <c r="F26" s="133" t="s">
        <v>1698</v>
      </c>
      <c r="G26" s="133" t="s">
        <v>1929</v>
      </c>
      <c r="H26" s="135">
        <v>-0.15</v>
      </c>
      <c r="I26" s="135">
        <v>9.8000000000000004E-2</v>
      </c>
      <c r="J26" s="135">
        <v>-5.7999999999999996E-2</v>
      </c>
      <c r="K26" s="135">
        <v>0.12300000000000001</v>
      </c>
      <c r="L26" s="135">
        <v>8.1000000000000003E-2</v>
      </c>
      <c r="M26" s="135">
        <v>5.5E-2</v>
      </c>
      <c r="N26" s="135">
        <v>6.2E-2</v>
      </c>
      <c r="O26" s="135">
        <v>7.2000000000000008E-2</v>
      </c>
      <c r="P26" s="135">
        <v>7.2000000000000008E-2</v>
      </c>
      <c r="Q26" s="135">
        <v>6.7000000000000004E-2</v>
      </c>
      <c r="R26" s="135">
        <v>8.1000000000000003E-2</v>
      </c>
    </row>
    <row r="27" spans="2:18" ht="16">
      <c r="B27" s="133" t="s">
        <v>257</v>
      </c>
      <c r="C27" s="134" t="s">
        <v>1072</v>
      </c>
      <c r="D27" s="133" t="s">
        <v>1112</v>
      </c>
      <c r="E27" s="133" t="s">
        <v>1950</v>
      </c>
      <c r="F27" s="133" t="s">
        <v>1698</v>
      </c>
      <c r="G27" s="133" t="s">
        <v>1929</v>
      </c>
      <c r="H27" s="135">
        <v>-8.5000000000000006E-2</v>
      </c>
      <c r="I27" s="135">
        <v>2.6000000000000002E-2</v>
      </c>
      <c r="J27" s="135">
        <v>0.16500000000000001</v>
      </c>
      <c r="K27" s="135">
        <v>6.2E-2</v>
      </c>
      <c r="L27" s="135">
        <v>0.06</v>
      </c>
      <c r="M27" s="135">
        <v>5.9000000000000004E-2</v>
      </c>
      <c r="N27" s="135">
        <v>5.4000000000000006E-2</v>
      </c>
      <c r="O27" s="135">
        <v>5.5999999999999994E-2</v>
      </c>
      <c r="P27" s="135">
        <v>5.9000000000000004E-2</v>
      </c>
      <c r="Q27" s="135">
        <v>0.06</v>
      </c>
      <c r="R27" s="135">
        <v>0.06</v>
      </c>
    </row>
    <row r="28" spans="2:18" ht="16">
      <c r="B28" s="133" t="s">
        <v>626</v>
      </c>
      <c r="C28" s="134" t="s">
        <v>1072</v>
      </c>
      <c r="D28" s="133" t="s">
        <v>1112</v>
      </c>
      <c r="E28" s="133" t="s">
        <v>1951</v>
      </c>
      <c r="F28" s="133" t="s">
        <v>1698</v>
      </c>
      <c r="G28" s="133" t="s">
        <v>1929</v>
      </c>
      <c r="H28" s="135">
        <v>-0.22</v>
      </c>
      <c r="I28" s="135">
        <v>4.9000000000000002E-2</v>
      </c>
      <c r="J28" s="135">
        <v>0.127</v>
      </c>
      <c r="K28" s="135">
        <v>0.13400000000000001</v>
      </c>
      <c r="L28" s="135">
        <v>4.2000000000000003E-2</v>
      </c>
      <c r="M28" s="135">
        <v>7.2000000000000008E-2</v>
      </c>
      <c r="N28" s="135">
        <v>0.06</v>
      </c>
      <c r="O28" s="135">
        <v>5.2999999999999999E-2</v>
      </c>
      <c r="P28" s="135">
        <v>4.5999999999999999E-2</v>
      </c>
      <c r="Q28" s="135">
        <v>4.7E-2</v>
      </c>
      <c r="R28" s="135">
        <v>2.7000000000000003E-2</v>
      </c>
    </row>
    <row r="29" spans="2:18" ht="16">
      <c r="B29" s="133" t="s">
        <v>646</v>
      </c>
      <c r="C29" s="134" t="s">
        <v>1072</v>
      </c>
      <c r="D29" s="133" t="s">
        <v>1112</v>
      </c>
      <c r="E29" s="133" t="s">
        <v>1952</v>
      </c>
      <c r="F29" s="133" t="s">
        <v>1698</v>
      </c>
      <c r="G29" s="133" t="s">
        <v>1929</v>
      </c>
      <c r="H29" s="135">
        <v>2.6000000000000002E-2</v>
      </c>
      <c r="I29" s="135">
        <v>4.0000000000000001E-3</v>
      </c>
      <c r="J29" s="135">
        <v>0.193</v>
      </c>
      <c r="K29" s="135">
        <v>0.16399999999999998</v>
      </c>
      <c r="L29" s="135">
        <v>0.11</v>
      </c>
      <c r="M29" s="135">
        <v>0.14699999999999999</v>
      </c>
      <c r="N29" s="135">
        <v>0.14199999999999999</v>
      </c>
      <c r="O29" s="135">
        <v>0.127</v>
      </c>
      <c r="P29" s="135">
        <v>0.12</v>
      </c>
      <c r="Q29" s="135">
        <v>0.113</v>
      </c>
      <c r="R29" s="135">
        <v>0.111</v>
      </c>
    </row>
    <row r="30" spans="2:18" ht="16">
      <c r="B30" s="133" t="s">
        <v>654</v>
      </c>
      <c r="C30" s="134" t="s">
        <v>1072</v>
      </c>
      <c r="D30" s="133" t="s">
        <v>1112</v>
      </c>
      <c r="E30" s="133" t="s">
        <v>1953</v>
      </c>
      <c r="F30" s="133" t="s">
        <v>1698</v>
      </c>
      <c r="G30" s="133" t="s">
        <v>1929</v>
      </c>
      <c r="H30" s="135">
        <v>4.8000000000000001E-2</v>
      </c>
      <c r="I30" s="135">
        <v>0.10199999999999999</v>
      </c>
      <c r="J30" s="135">
        <v>0.188</v>
      </c>
      <c r="K30" s="135">
        <v>0.28699999999999998</v>
      </c>
      <c r="L30" s="135">
        <v>0.3</v>
      </c>
      <c r="M30" s="135">
        <v>0.215</v>
      </c>
      <c r="N30" s="135">
        <v>0.23699999999999999</v>
      </c>
      <c r="O30" s="135">
        <v>0.17</v>
      </c>
      <c r="P30" s="135">
        <v>0.125</v>
      </c>
      <c r="Q30" s="135">
        <v>0.107</v>
      </c>
      <c r="R30" s="135">
        <v>0.107</v>
      </c>
    </row>
    <row r="31" spans="2:18" ht="16">
      <c r="B31" s="133" t="s">
        <v>658</v>
      </c>
      <c r="C31" s="134" t="s">
        <v>1072</v>
      </c>
      <c r="D31" s="133" t="s">
        <v>1112</v>
      </c>
      <c r="E31" s="133" t="s">
        <v>1945</v>
      </c>
      <c r="F31" s="133" t="s">
        <v>1698</v>
      </c>
      <c r="G31" s="133" t="s">
        <v>1929</v>
      </c>
      <c r="H31" s="135">
        <v>0.01</v>
      </c>
      <c r="I31" s="135">
        <v>0.30499999999999999</v>
      </c>
      <c r="J31" s="135">
        <v>-1.8000000000000002E-2</v>
      </c>
      <c r="K31" s="135">
        <v>8.8000000000000009E-2</v>
      </c>
      <c r="L31" s="135">
        <v>0.127</v>
      </c>
      <c r="M31" s="135">
        <v>8.1000000000000003E-2</v>
      </c>
      <c r="N31" s="135">
        <v>5.5999999999999994E-2</v>
      </c>
      <c r="O31" s="135">
        <v>4.7E-2</v>
      </c>
      <c r="P31" s="135">
        <v>0.04</v>
      </c>
      <c r="Q31" s="135">
        <v>4.2000000000000003E-2</v>
      </c>
      <c r="R31" s="135">
        <v>-1.1000000000000001E-2</v>
      </c>
    </row>
    <row r="32" spans="2:18" ht="16">
      <c r="B32" s="133" t="s">
        <v>660</v>
      </c>
      <c r="C32" s="134" t="s">
        <v>1072</v>
      </c>
      <c r="D32" s="133" t="s">
        <v>1112</v>
      </c>
      <c r="E32" s="133" t="s">
        <v>1954</v>
      </c>
      <c r="F32" s="133" t="s">
        <v>1698</v>
      </c>
      <c r="G32" s="133" t="s">
        <v>1929</v>
      </c>
      <c r="H32" s="135">
        <v>9.9000000000000005E-2</v>
      </c>
      <c r="I32" s="135">
        <v>0.10199999999999999</v>
      </c>
      <c r="J32" s="135">
        <v>0.129</v>
      </c>
      <c r="K32" s="135">
        <v>8.6999999999999994E-2</v>
      </c>
      <c r="L32" s="135">
        <v>9.8000000000000004E-2</v>
      </c>
      <c r="M32" s="135">
        <v>9.9000000000000005E-2</v>
      </c>
      <c r="N32" s="135">
        <v>0.109</v>
      </c>
      <c r="O32" s="135">
        <v>0.10300000000000001</v>
      </c>
      <c r="P32" s="135">
        <v>9.6999999999999989E-2</v>
      </c>
      <c r="Q32" s="135">
        <v>9.5000000000000001E-2</v>
      </c>
      <c r="R32" s="135">
        <v>9.4E-2</v>
      </c>
    </row>
    <row r="33" spans="2:18" ht="16">
      <c r="B33" s="133" t="s">
        <v>664</v>
      </c>
      <c r="C33" s="134" t="s">
        <v>1072</v>
      </c>
      <c r="D33" s="133" t="s">
        <v>1112</v>
      </c>
      <c r="E33" s="133" t="s">
        <v>1939</v>
      </c>
      <c r="F33" s="133" t="s">
        <v>1698</v>
      </c>
      <c r="G33" s="133" t="s">
        <v>1929</v>
      </c>
      <c r="H33" s="135">
        <v>-2.4E-2</v>
      </c>
      <c r="I33" s="135">
        <v>2.3E-2</v>
      </c>
      <c r="J33" s="135">
        <v>6.8000000000000005E-2</v>
      </c>
      <c r="K33" s="135">
        <v>4.4000000000000004E-2</v>
      </c>
      <c r="L33" s="135">
        <v>4.7E-2</v>
      </c>
      <c r="M33" s="135">
        <v>5.4000000000000006E-2</v>
      </c>
      <c r="N33" s="135">
        <v>5.2999999999999999E-2</v>
      </c>
      <c r="O33" s="136" t="s">
        <v>1114</v>
      </c>
      <c r="P33" s="136" t="s">
        <v>1114</v>
      </c>
      <c r="Q33" s="136" t="s">
        <v>1114</v>
      </c>
      <c r="R33" s="136" t="s">
        <v>1114</v>
      </c>
    </row>
    <row r="34" spans="2:18" ht="16">
      <c r="B34" s="133" t="s">
        <v>682</v>
      </c>
      <c r="C34" s="134" t="s">
        <v>1072</v>
      </c>
      <c r="D34" s="133" t="s">
        <v>1112</v>
      </c>
      <c r="E34" s="133" t="s">
        <v>1955</v>
      </c>
      <c r="F34" s="133" t="s">
        <v>1698</v>
      </c>
      <c r="G34" s="133" t="s">
        <v>1929</v>
      </c>
      <c r="H34" s="135">
        <v>0.05</v>
      </c>
      <c r="I34" s="135">
        <v>0.183</v>
      </c>
      <c r="J34" s="135">
        <v>0.19699999999999998</v>
      </c>
      <c r="K34" s="135">
        <v>0.20800000000000002</v>
      </c>
      <c r="L34" s="135">
        <v>0.17100000000000001</v>
      </c>
      <c r="M34" s="135">
        <v>8.4000000000000005E-2</v>
      </c>
      <c r="N34" s="135">
        <v>8.3000000000000004E-2</v>
      </c>
      <c r="O34" s="135">
        <v>8.4000000000000005E-2</v>
      </c>
      <c r="P34" s="135">
        <v>8.199999999999999E-2</v>
      </c>
      <c r="Q34" s="135">
        <v>8.4000000000000005E-2</v>
      </c>
      <c r="R34" s="135">
        <v>8.6999999999999994E-2</v>
      </c>
    </row>
    <row r="35" spans="2:18" ht="16">
      <c r="B35" s="133" t="s">
        <v>688</v>
      </c>
      <c r="C35" s="134" t="s">
        <v>1072</v>
      </c>
      <c r="D35" s="133" t="s">
        <v>1112</v>
      </c>
      <c r="E35" s="133" t="s">
        <v>1956</v>
      </c>
      <c r="F35" s="133" t="s">
        <v>1698</v>
      </c>
      <c r="G35" s="133" t="s">
        <v>1929</v>
      </c>
      <c r="H35" s="135">
        <v>-1.4999999999999999E-2</v>
      </c>
      <c r="I35" s="135">
        <v>0.109</v>
      </c>
      <c r="J35" s="135">
        <v>0.16800000000000001</v>
      </c>
      <c r="K35" s="135">
        <v>-0.01</v>
      </c>
      <c r="L35" s="135">
        <v>2.6000000000000002E-2</v>
      </c>
      <c r="M35" s="135">
        <v>8.5999999999999993E-2</v>
      </c>
      <c r="N35" s="135">
        <v>7.400000000000001E-2</v>
      </c>
      <c r="O35" s="135">
        <v>7.4999999999999997E-2</v>
      </c>
      <c r="P35" s="135">
        <v>7.5999999999999998E-2</v>
      </c>
      <c r="Q35" s="135">
        <v>7.2999999999999995E-2</v>
      </c>
      <c r="R35" s="135">
        <v>7.8E-2</v>
      </c>
    </row>
    <row r="36" spans="2:18" ht="16">
      <c r="B36" s="133" t="s">
        <v>244</v>
      </c>
      <c r="C36" s="134" t="s">
        <v>1072</v>
      </c>
      <c r="D36" s="133" t="s">
        <v>1112</v>
      </c>
      <c r="E36" s="133" t="s">
        <v>1957</v>
      </c>
      <c r="F36" s="133" t="s">
        <v>1698</v>
      </c>
      <c r="G36" s="133" t="s">
        <v>1929</v>
      </c>
      <c r="H36" s="135">
        <v>-6.9000000000000006E-2</v>
      </c>
      <c r="I36" s="135">
        <v>6.8000000000000005E-2</v>
      </c>
      <c r="J36" s="135">
        <v>0.13900000000000001</v>
      </c>
      <c r="K36" s="135">
        <v>0.109</v>
      </c>
      <c r="L36" s="135">
        <v>7.6999999999999999E-2</v>
      </c>
      <c r="M36" s="135">
        <v>7.6999999999999999E-2</v>
      </c>
      <c r="N36" s="135">
        <v>8.5000000000000006E-2</v>
      </c>
      <c r="O36" s="135">
        <v>8.4000000000000005E-2</v>
      </c>
      <c r="P36" s="135">
        <v>8.4000000000000005E-2</v>
      </c>
      <c r="Q36" s="135">
        <v>8.4000000000000005E-2</v>
      </c>
      <c r="R36" s="135">
        <v>8.4000000000000005E-2</v>
      </c>
    </row>
    <row r="37" spans="2:18" ht="16">
      <c r="B37" s="133" t="s">
        <v>709</v>
      </c>
      <c r="C37" s="134" t="s">
        <v>1072</v>
      </c>
      <c r="D37" s="133" t="s">
        <v>1112</v>
      </c>
      <c r="E37" s="133" t="s">
        <v>1958</v>
      </c>
      <c r="F37" s="133" t="s">
        <v>1698</v>
      </c>
      <c r="G37" s="133" t="s">
        <v>1929</v>
      </c>
      <c r="H37" s="135">
        <v>2.5000000000000001E-2</v>
      </c>
      <c r="I37" s="135">
        <v>4.2999999999999997E-2</v>
      </c>
      <c r="J37" s="135">
        <v>2.6000000000000002E-2</v>
      </c>
      <c r="K37" s="135">
        <v>0.16200000000000001</v>
      </c>
      <c r="L37" s="135">
        <v>9.9000000000000005E-2</v>
      </c>
      <c r="M37" s="135">
        <v>7.8E-2</v>
      </c>
      <c r="N37" s="135">
        <v>6.4000000000000001E-2</v>
      </c>
      <c r="O37" s="135">
        <v>5.5E-2</v>
      </c>
      <c r="P37" s="135">
        <v>5.2999999999999999E-2</v>
      </c>
      <c r="Q37" s="135">
        <v>5.2000000000000005E-2</v>
      </c>
      <c r="R37" s="135">
        <v>4.7E-2</v>
      </c>
    </row>
    <row r="38" spans="2:18" ht="16">
      <c r="B38" s="133" t="s">
        <v>231</v>
      </c>
      <c r="C38" s="134" t="s">
        <v>1072</v>
      </c>
      <c r="D38" s="133" t="s">
        <v>1112</v>
      </c>
      <c r="E38" s="133" t="s">
        <v>1959</v>
      </c>
      <c r="F38" s="133" t="s">
        <v>1698</v>
      </c>
      <c r="G38" s="133" t="s">
        <v>1929</v>
      </c>
      <c r="H38" s="135">
        <v>-0.14000000000000001</v>
      </c>
      <c r="I38" s="135">
        <v>0.14300000000000002</v>
      </c>
      <c r="J38" s="135">
        <v>0.114</v>
      </c>
      <c r="K38" s="135">
        <v>4.8000000000000001E-2</v>
      </c>
      <c r="L38" s="135">
        <v>4.4999999999999998E-2</v>
      </c>
      <c r="M38" s="135">
        <v>2.5000000000000001E-2</v>
      </c>
      <c r="N38" s="135">
        <v>1.3999999999999999E-2</v>
      </c>
      <c r="O38" s="135">
        <v>4.4999999999999998E-2</v>
      </c>
      <c r="P38" s="135">
        <v>4.4999999999999998E-2</v>
      </c>
      <c r="Q38" s="135">
        <v>4.4999999999999998E-2</v>
      </c>
      <c r="R38" s="135">
        <v>4.4999999999999998E-2</v>
      </c>
    </row>
    <row r="39" spans="2:18" ht="16">
      <c r="B39" s="133" t="s">
        <v>732</v>
      </c>
      <c r="C39" s="134" t="s">
        <v>1072</v>
      </c>
      <c r="D39" s="133" t="s">
        <v>1112</v>
      </c>
      <c r="E39" s="133" t="s">
        <v>1960</v>
      </c>
      <c r="F39" s="133" t="s">
        <v>1698</v>
      </c>
      <c r="G39" s="133" t="s">
        <v>1929</v>
      </c>
      <c r="H39" s="135">
        <v>-1.8000000000000002E-2</v>
      </c>
      <c r="I39" s="135">
        <v>-7.0999999999999994E-2</v>
      </c>
      <c r="J39" s="135">
        <v>4.4999999999999998E-2</v>
      </c>
      <c r="K39" s="135">
        <v>3.4000000000000002E-2</v>
      </c>
      <c r="L39" s="135">
        <v>0.05</v>
      </c>
      <c r="M39" s="135">
        <v>5.7999999999999996E-2</v>
      </c>
      <c r="N39" s="135">
        <v>4.8000000000000001E-2</v>
      </c>
      <c r="O39" s="135">
        <v>4.0999999999999995E-2</v>
      </c>
      <c r="P39" s="135">
        <v>4.5999999999999999E-2</v>
      </c>
      <c r="Q39" s="135">
        <v>4.4999999999999998E-2</v>
      </c>
      <c r="R39" s="135">
        <v>4.0999999999999995E-2</v>
      </c>
    </row>
    <row r="40" spans="2:18" ht="16">
      <c r="B40" s="133" t="s">
        <v>1116</v>
      </c>
      <c r="C40" s="134" t="s">
        <v>1072</v>
      </c>
      <c r="D40" s="133" t="s">
        <v>1112</v>
      </c>
      <c r="E40" s="133" t="s">
        <v>1961</v>
      </c>
      <c r="F40" s="133" t="s">
        <v>1698</v>
      </c>
      <c r="G40" s="133" t="s">
        <v>1929</v>
      </c>
      <c r="H40" s="135">
        <v>-0.03</v>
      </c>
      <c r="I40" s="135">
        <v>7.0000000000000007E-2</v>
      </c>
      <c r="J40" s="135">
        <v>8.8000000000000009E-2</v>
      </c>
      <c r="K40" s="135">
        <v>4.9000000000000002E-2</v>
      </c>
      <c r="L40" s="135">
        <v>2.5000000000000001E-2</v>
      </c>
      <c r="M40" s="135">
        <v>0.03</v>
      </c>
      <c r="N40" s="135">
        <v>3.7999999999999999E-2</v>
      </c>
      <c r="O40" s="135">
        <v>3.9E-2</v>
      </c>
      <c r="P40" s="135">
        <v>3.9E-2</v>
      </c>
      <c r="Q40" s="135">
        <v>0.04</v>
      </c>
      <c r="R40" s="135">
        <v>0.04</v>
      </c>
    </row>
    <row r="41" spans="2:18" ht="16">
      <c r="B41" s="133" t="s">
        <v>742</v>
      </c>
      <c r="C41" s="134" t="s">
        <v>1072</v>
      </c>
      <c r="D41" s="133" t="s">
        <v>1112</v>
      </c>
      <c r="E41" s="133" t="s">
        <v>1962</v>
      </c>
      <c r="F41" s="133" t="s">
        <v>1698</v>
      </c>
      <c r="G41" s="133" t="s">
        <v>1929</v>
      </c>
      <c r="H41" s="135">
        <v>-4.9000000000000002E-2</v>
      </c>
      <c r="I41" s="135">
        <v>0.09</v>
      </c>
      <c r="J41" s="135">
        <v>0.54799999999999993</v>
      </c>
      <c r="K41" s="135">
        <v>0.17499999999999999</v>
      </c>
      <c r="L41" s="135">
        <v>6.2E-2</v>
      </c>
      <c r="M41" s="135">
        <v>8.4000000000000005E-2</v>
      </c>
      <c r="N41" s="135">
        <v>7.400000000000001E-2</v>
      </c>
      <c r="O41" s="135">
        <v>7.400000000000001E-2</v>
      </c>
      <c r="P41" s="135">
        <v>7.2000000000000008E-2</v>
      </c>
      <c r="Q41" s="135">
        <v>7.2999999999999995E-2</v>
      </c>
      <c r="R41" s="135">
        <v>7.2999999999999995E-2</v>
      </c>
    </row>
    <row r="42" spans="2:18" ht="16">
      <c r="B42" s="133" t="s">
        <v>1093</v>
      </c>
      <c r="C42" s="134" t="s">
        <v>1072</v>
      </c>
      <c r="D42" s="133" t="s">
        <v>1112</v>
      </c>
      <c r="E42" s="133" t="s">
        <v>1963</v>
      </c>
      <c r="F42" s="133" t="s">
        <v>1698</v>
      </c>
      <c r="G42" s="133" t="s">
        <v>1929</v>
      </c>
      <c r="H42" s="135">
        <v>-9.0000000000000011E-3</v>
      </c>
      <c r="I42" s="135">
        <v>1.8000000000000002E-2</v>
      </c>
      <c r="J42" s="135">
        <v>7.400000000000001E-2</v>
      </c>
      <c r="K42" s="135">
        <v>9.3000000000000013E-2</v>
      </c>
      <c r="L42" s="135">
        <v>4.2999999999999997E-2</v>
      </c>
      <c r="M42" s="135">
        <v>2.2000000000000002E-2</v>
      </c>
      <c r="N42" s="135">
        <v>2.8999999999999998E-2</v>
      </c>
      <c r="O42" s="135">
        <v>0.04</v>
      </c>
      <c r="P42" s="135">
        <v>0.04</v>
      </c>
      <c r="Q42" s="135">
        <v>0.04</v>
      </c>
      <c r="R42" s="135">
        <v>4.0999999999999995E-2</v>
      </c>
    </row>
    <row r="43" spans="2:18" ht="16">
      <c r="B43" s="133" t="s">
        <v>762</v>
      </c>
      <c r="C43" s="134" t="s">
        <v>1072</v>
      </c>
      <c r="D43" s="133" t="s">
        <v>1112</v>
      </c>
      <c r="E43" s="133" t="s">
        <v>1964</v>
      </c>
      <c r="F43" s="133" t="s">
        <v>1698</v>
      </c>
      <c r="G43" s="133" t="s">
        <v>1929</v>
      </c>
      <c r="H43" s="135">
        <v>5.7999999999999996E-2</v>
      </c>
      <c r="I43" s="135">
        <v>0.222</v>
      </c>
      <c r="J43" s="135">
        <v>0.251</v>
      </c>
      <c r="K43" s="135">
        <v>3.1E-2</v>
      </c>
      <c r="L43" s="135">
        <v>8.5999999999999993E-2</v>
      </c>
      <c r="M43" s="135">
        <v>0.09</v>
      </c>
      <c r="N43" s="135">
        <v>9.6999999999999989E-2</v>
      </c>
      <c r="O43" s="135">
        <v>0.10199999999999999</v>
      </c>
      <c r="P43" s="135">
        <v>0.1</v>
      </c>
      <c r="Q43" s="135">
        <v>9.9000000000000005E-2</v>
      </c>
      <c r="R43" s="135">
        <v>0.106</v>
      </c>
    </row>
    <row r="44" spans="2:18" ht="16">
      <c r="B44" s="133" t="s">
        <v>239</v>
      </c>
      <c r="C44" s="134" t="s">
        <v>1072</v>
      </c>
      <c r="D44" s="133" t="s">
        <v>1112</v>
      </c>
      <c r="E44" s="133" t="s">
        <v>1965</v>
      </c>
      <c r="F44" s="133" t="s">
        <v>1698</v>
      </c>
      <c r="G44" s="133" t="s">
        <v>1929</v>
      </c>
      <c r="H44" s="135">
        <v>-0.13500000000000001</v>
      </c>
      <c r="I44" s="135">
        <v>-9.0000000000000011E-3</v>
      </c>
      <c r="J44" s="135">
        <v>0.151</v>
      </c>
      <c r="K44" s="135">
        <v>0.12</v>
      </c>
      <c r="L44" s="135">
        <v>7.5999999999999998E-2</v>
      </c>
      <c r="M44" s="135">
        <v>7.0999999999999994E-2</v>
      </c>
      <c r="N44" s="135">
        <v>4.4999999999999998E-2</v>
      </c>
      <c r="O44" s="135">
        <v>4.9000000000000002E-2</v>
      </c>
      <c r="P44" s="135">
        <v>5.2000000000000005E-2</v>
      </c>
      <c r="Q44" s="135">
        <v>5.2000000000000005E-2</v>
      </c>
      <c r="R44" s="135">
        <v>5.2000000000000005E-2</v>
      </c>
    </row>
    <row r="45" spans="2:18" ht="16">
      <c r="B45" s="133" t="s">
        <v>771</v>
      </c>
      <c r="C45" s="134" t="s">
        <v>1072</v>
      </c>
      <c r="D45" s="133" t="s">
        <v>1112</v>
      </c>
      <c r="E45" s="133" t="s">
        <v>1966</v>
      </c>
      <c r="F45" s="133" t="s">
        <v>1698</v>
      </c>
      <c r="G45" s="133" t="s">
        <v>1929</v>
      </c>
      <c r="H45" s="135">
        <v>-2.7000000000000003E-2</v>
      </c>
      <c r="I45" s="135">
        <v>9.6999999999999989E-2</v>
      </c>
      <c r="J45" s="135">
        <v>-0.126</v>
      </c>
      <c r="K45" s="135">
        <v>0.42200000000000004</v>
      </c>
      <c r="L45" s="135">
        <v>8.3000000000000004E-2</v>
      </c>
      <c r="M45" s="135">
        <v>7.5999999999999998E-2</v>
      </c>
      <c r="N45" s="135">
        <v>5.9000000000000004E-2</v>
      </c>
      <c r="O45" s="135">
        <v>6.4000000000000001E-2</v>
      </c>
      <c r="P45" s="135">
        <v>6.4000000000000001E-2</v>
      </c>
      <c r="Q45" s="135">
        <v>6.2E-2</v>
      </c>
      <c r="R45" s="135">
        <v>6.5000000000000002E-2</v>
      </c>
    </row>
    <row r="46" spans="2:18" ht="16">
      <c r="B46" s="133" t="s">
        <v>779</v>
      </c>
      <c r="C46" s="134" t="s">
        <v>1072</v>
      </c>
      <c r="D46" s="133" t="s">
        <v>1112</v>
      </c>
      <c r="E46" s="133" t="s">
        <v>1967</v>
      </c>
      <c r="F46" s="133" t="s">
        <v>1698</v>
      </c>
      <c r="G46" s="133" t="s">
        <v>1929</v>
      </c>
      <c r="H46" s="135">
        <v>0</v>
      </c>
      <c r="I46" s="135">
        <v>6.9000000000000006E-2</v>
      </c>
      <c r="J46" s="135">
        <v>0.106</v>
      </c>
      <c r="K46" s="135">
        <v>4.2000000000000003E-2</v>
      </c>
      <c r="L46" s="135">
        <v>7.0000000000000007E-2</v>
      </c>
      <c r="M46" s="135">
        <v>9.0999999999999998E-2</v>
      </c>
      <c r="N46" s="135">
        <v>9.4E-2</v>
      </c>
      <c r="O46" s="135">
        <v>9.6000000000000002E-2</v>
      </c>
      <c r="P46" s="135">
        <v>0.10300000000000001</v>
      </c>
      <c r="Q46" s="135">
        <v>0.106</v>
      </c>
      <c r="R46" s="135">
        <v>0.106</v>
      </c>
    </row>
    <row r="47" spans="2:18" ht="16">
      <c r="B47" s="133" t="s">
        <v>783</v>
      </c>
      <c r="C47" s="134" t="s">
        <v>1072</v>
      </c>
      <c r="D47" s="133" t="s">
        <v>1112</v>
      </c>
      <c r="E47" s="133" t="s">
        <v>1945</v>
      </c>
      <c r="F47" s="133" t="s">
        <v>1698</v>
      </c>
      <c r="G47" s="133" t="s">
        <v>1929</v>
      </c>
      <c r="H47" s="135">
        <v>-0.14800000000000002</v>
      </c>
      <c r="I47" s="135">
        <v>0.13</v>
      </c>
      <c r="J47" s="135">
        <v>-0.152</v>
      </c>
      <c r="K47" s="135">
        <v>0.374</v>
      </c>
      <c r="L47" s="135">
        <v>8.900000000000001E-2</v>
      </c>
      <c r="M47" s="135">
        <v>7.8E-2</v>
      </c>
      <c r="N47" s="135">
        <v>7.0999999999999994E-2</v>
      </c>
      <c r="O47" s="135">
        <v>6.6000000000000003E-2</v>
      </c>
      <c r="P47" s="135">
        <v>6.0999999999999999E-2</v>
      </c>
      <c r="Q47" s="135">
        <v>5.9000000000000004E-2</v>
      </c>
      <c r="R47" s="135">
        <v>5.5999999999999994E-2</v>
      </c>
    </row>
    <row r="48" spans="2:18" ht="16">
      <c r="B48" s="133" t="s">
        <v>796</v>
      </c>
      <c r="C48" s="134" t="s">
        <v>1072</v>
      </c>
      <c r="D48" s="133" t="s">
        <v>1112</v>
      </c>
      <c r="E48" s="133" t="s">
        <v>1968</v>
      </c>
      <c r="F48" s="133" t="s">
        <v>1698</v>
      </c>
      <c r="G48" s="133" t="s">
        <v>1929</v>
      </c>
      <c r="H48" s="135">
        <v>8.5000000000000006E-2</v>
      </c>
      <c r="I48" s="135">
        <v>0.221</v>
      </c>
      <c r="J48" s="135">
        <v>0.222</v>
      </c>
      <c r="K48" s="135">
        <v>0.14800000000000002</v>
      </c>
      <c r="L48" s="135">
        <v>0.153</v>
      </c>
      <c r="M48" s="135">
        <v>0.14099999999999999</v>
      </c>
      <c r="N48" s="135">
        <v>0.10400000000000001</v>
      </c>
      <c r="O48" s="135">
        <v>8.5000000000000006E-2</v>
      </c>
      <c r="P48" s="135">
        <v>8.1000000000000003E-2</v>
      </c>
      <c r="Q48" s="135">
        <v>0.08</v>
      </c>
      <c r="R48" s="135">
        <v>8.1000000000000003E-2</v>
      </c>
    </row>
    <row r="49" spans="2:18" ht="16">
      <c r="B49" s="133" t="s">
        <v>798</v>
      </c>
      <c r="C49" s="134" t="s">
        <v>1072</v>
      </c>
      <c r="D49" s="133" t="s">
        <v>1112</v>
      </c>
      <c r="E49" s="133" t="s">
        <v>1969</v>
      </c>
      <c r="F49" s="133" t="s">
        <v>1698</v>
      </c>
      <c r="G49" s="133" t="s">
        <v>1929</v>
      </c>
      <c r="H49" s="135">
        <v>0.23399999999999999</v>
      </c>
      <c r="I49" s="135">
        <v>2E-3</v>
      </c>
      <c r="J49" s="135">
        <v>6.5000000000000002E-2</v>
      </c>
      <c r="K49" s="135">
        <v>0.10099999999999999</v>
      </c>
      <c r="L49" s="135">
        <v>4.2000000000000003E-2</v>
      </c>
      <c r="M49" s="135">
        <v>0.05</v>
      </c>
      <c r="N49" s="135">
        <v>4.5999999999999999E-2</v>
      </c>
      <c r="O49" s="135">
        <v>3.7999999999999999E-2</v>
      </c>
      <c r="P49" s="135">
        <v>3.3000000000000002E-2</v>
      </c>
      <c r="Q49" s="135">
        <v>3.3000000000000002E-2</v>
      </c>
      <c r="R49" s="135">
        <v>2.8999999999999998E-2</v>
      </c>
    </row>
    <row r="50" spans="2:18" ht="16">
      <c r="B50" s="133" t="s">
        <v>258</v>
      </c>
      <c r="C50" s="134" t="s">
        <v>1072</v>
      </c>
      <c r="D50" s="133" t="s">
        <v>1112</v>
      </c>
      <c r="E50" s="133" t="s">
        <v>1970</v>
      </c>
      <c r="F50" s="133" t="s">
        <v>1698</v>
      </c>
      <c r="G50" s="133" t="s">
        <v>1929</v>
      </c>
      <c r="H50" s="135">
        <v>6.7000000000000004E-2</v>
      </c>
      <c r="I50" s="135">
        <v>3.9E-2</v>
      </c>
      <c r="J50" s="135">
        <v>9.3000000000000013E-2</v>
      </c>
      <c r="K50" s="135">
        <v>2.2000000000000002E-2</v>
      </c>
      <c r="L50" s="135">
        <v>8.8000000000000009E-2</v>
      </c>
      <c r="M50" s="135">
        <v>7.8E-2</v>
      </c>
      <c r="N50" s="135">
        <v>7.0000000000000007E-2</v>
      </c>
      <c r="O50" s="135">
        <v>9.0999999999999998E-2</v>
      </c>
      <c r="P50" s="135">
        <v>9.1999999999999998E-2</v>
      </c>
      <c r="Q50" s="135">
        <v>9.0999999999999998E-2</v>
      </c>
      <c r="R50" s="135">
        <v>9.0999999999999998E-2</v>
      </c>
    </row>
    <row r="51" spans="2:18" ht="16">
      <c r="B51" s="133" t="s">
        <v>1971</v>
      </c>
      <c r="C51" s="134" t="s">
        <v>1072</v>
      </c>
      <c r="D51" s="133" t="s">
        <v>1112</v>
      </c>
      <c r="E51" s="133" t="s">
        <v>968</v>
      </c>
      <c r="F51" s="133" t="s">
        <v>1698</v>
      </c>
      <c r="G51" s="133" t="s">
        <v>1929</v>
      </c>
      <c r="H51" s="135">
        <v>-6.3E-2</v>
      </c>
      <c r="I51" s="135">
        <v>0.16</v>
      </c>
      <c r="J51" s="135">
        <v>0.02</v>
      </c>
      <c r="K51" s="135">
        <v>1.6E-2</v>
      </c>
      <c r="L51" s="135">
        <v>1.8000000000000002E-2</v>
      </c>
      <c r="M51" s="135">
        <v>-1.3000000000000001E-2</v>
      </c>
      <c r="N51" s="135">
        <v>0.02</v>
      </c>
      <c r="O51" s="135">
        <v>3.3000000000000002E-2</v>
      </c>
      <c r="P51" s="135">
        <v>3.6000000000000004E-2</v>
      </c>
      <c r="Q51" s="135">
        <v>3.7999999999999999E-2</v>
      </c>
      <c r="R51" s="135">
        <v>4.0999999999999995E-2</v>
      </c>
    </row>
    <row r="52" spans="2:18" ht="16">
      <c r="B52" s="133" t="s">
        <v>409</v>
      </c>
      <c r="C52" s="134" t="s">
        <v>1072</v>
      </c>
      <c r="D52" s="133" t="s">
        <v>1112</v>
      </c>
      <c r="E52" s="133" t="s">
        <v>1945</v>
      </c>
      <c r="F52" s="133" t="s">
        <v>1698</v>
      </c>
      <c r="G52" s="133" t="s">
        <v>1929</v>
      </c>
      <c r="H52" s="135">
        <v>-5.5E-2</v>
      </c>
      <c r="I52" s="135">
        <v>5.9000000000000004E-2</v>
      </c>
      <c r="J52" s="135">
        <v>0.11</v>
      </c>
      <c r="K52" s="135">
        <v>5.7999999999999996E-2</v>
      </c>
      <c r="L52" s="135">
        <v>2.7999999999999997E-2</v>
      </c>
      <c r="M52" s="135">
        <v>2.1000000000000001E-2</v>
      </c>
      <c r="N52" s="135">
        <v>0.03</v>
      </c>
      <c r="O52" s="135">
        <v>0.04</v>
      </c>
      <c r="P52" s="135">
        <v>4.0999999999999995E-2</v>
      </c>
      <c r="Q52" s="135">
        <v>4.0999999999999995E-2</v>
      </c>
      <c r="R52" s="135">
        <v>4.0999999999999995E-2</v>
      </c>
    </row>
    <row r="53" spans="2:18" ht="16">
      <c r="B53" s="133" t="s">
        <v>666</v>
      </c>
      <c r="C53" s="134" t="s">
        <v>1072</v>
      </c>
      <c r="D53" s="133" t="s">
        <v>1112</v>
      </c>
      <c r="E53" s="133" t="s">
        <v>1972</v>
      </c>
      <c r="F53" s="133" t="s">
        <v>1698</v>
      </c>
      <c r="G53" s="133" t="s">
        <v>1929</v>
      </c>
      <c r="H53" s="135">
        <v>-3.5000000000000003E-2</v>
      </c>
      <c r="I53" s="135">
        <v>8.5000000000000006E-2</v>
      </c>
      <c r="J53" s="135">
        <v>0.109</v>
      </c>
      <c r="K53" s="135">
        <v>6.6000000000000003E-2</v>
      </c>
      <c r="L53" s="135">
        <v>1.1000000000000001E-2</v>
      </c>
      <c r="M53" s="135">
        <v>4.0999999999999995E-2</v>
      </c>
      <c r="N53" s="135">
        <v>3.9E-2</v>
      </c>
      <c r="O53" s="135">
        <v>3.7000000000000005E-2</v>
      </c>
      <c r="P53" s="135">
        <v>3.6000000000000004E-2</v>
      </c>
      <c r="Q53" s="135">
        <v>3.6000000000000004E-2</v>
      </c>
      <c r="R53" s="135">
        <v>3.6000000000000004E-2</v>
      </c>
    </row>
    <row r="54" spans="2:18" ht="16">
      <c r="B54" s="133" t="s">
        <v>1973</v>
      </c>
      <c r="C54" s="134" t="s">
        <v>1072</v>
      </c>
      <c r="D54" s="133" t="s">
        <v>1112</v>
      </c>
      <c r="E54" s="133" t="s">
        <v>968</v>
      </c>
      <c r="F54" s="133" t="s">
        <v>1698</v>
      </c>
      <c r="G54" s="133" t="s">
        <v>1929</v>
      </c>
      <c r="H54" s="135">
        <v>-5.9000000000000004E-2</v>
      </c>
      <c r="I54" s="135">
        <v>0.17699999999999999</v>
      </c>
      <c r="J54" s="135">
        <v>9.5000000000000001E-2</v>
      </c>
      <c r="K54" s="135">
        <v>5.7999999999999996E-2</v>
      </c>
      <c r="L54" s="135">
        <v>7.2000000000000008E-2</v>
      </c>
      <c r="M54" s="135">
        <v>9.3000000000000013E-2</v>
      </c>
      <c r="N54" s="135">
        <v>-0.01</v>
      </c>
      <c r="O54" s="135">
        <v>5.2000000000000005E-2</v>
      </c>
      <c r="P54" s="135">
        <v>5.5E-2</v>
      </c>
      <c r="Q54" s="135">
        <v>5.5999999999999994E-2</v>
      </c>
      <c r="R54" s="135">
        <v>5.5999999999999994E-2</v>
      </c>
    </row>
    <row r="55" spans="2:18" ht="16">
      <c r="B55" s="133" t="s">
        <v>391</v>
      </c>
      <c r="C55" s="134" t="s">
        <v>1072</v>
      </c>
      <c r="D55" s="133" t="s">
        <v>1112</v>
      </c>
      <c r="E55" s="133" t="s">
        <v>1974</v>
      </c>
      <c r="F55" s="133" t="s">
        <v>1698</v>
      </c>
      <c r="G55" s="133" t="s">
        <v>1929</v>
      </c>
      <c r="H55" s="135">
        <v>-1.6E-2</v>
      </c>
      <c r="I55" s="135">
        <v>7.6999999999999999E-2</v>
      </c>
      <c r="J55" s="135">
        <v>0.14400000000000002</v>
      </c>
      <c r="K55" s="135">
        <v>0.08</v>
      </c>
      <c r="L55" s="135">
        <v>7.0999999999999994E-2</v>
      </c>
      <c r="M55" s="135">
        <v>7.2000000000000008E-2</v>
      </c>
      <c r="N55" s="135">
        <v>7.2999999999999995E-2</v>
      </c>
      <c r="O55" s="135">
        <v>7.6999999999999999E-2</v>
      </c>
      <c r="P55" s="135">
        <v>7.5999999999999998E-2</v>
      </c>
      <c r="Q55" s="135">
        <v>7.6999999999999999E-2</v>
      </c>
      <c r="R55" s="135">
        <v>6.8000000000000005E-2</v>
      </c>
    </row>
    <row r="56" spans="2:18" ht="16">
      <c r="B56" s="133" t="s">
        <v>423</v>
      </c>
      <c r="C56" s="134" t="s">
        <v>1072</v>
      </c>
      <c r="D56" s="133" t="s">
        <v>1112</v>
      </c>
      <c r="E56" s="133" t="s">
        <v>1975</v>
      </c>
      <c r="F56" s="133" t="s">
        <v>1698</v>
      </c>
      <c r="G56" s="133" t="s">
        <v>1929</v>
      </c>
      <c r="H56" s="135">
        <v>6.7000000000000004E-2</v>
      </c>
      <c r="I56" s="135">
        <v>0.14300000000000002</v>
      </c>
      <c r="J56" s="135">
        <v>0.16200000000000001</v>
      </c>
      <c r="K56" s="135">
        <v>0.17</v>
      </c>
      <c r="L56" s="135">
        <v>0.20399999999999999</v>
      </c>
      <c r="M56" s="135">
        <v>5.2999999999999999E-2</v>
      </c>
      <c r="N56" s="135">
        <v>5.0999999999999997E-2</v>
      </c>
      <c r="O56" s="135">
        <v>8.4000000000000005E-2</v>
      </c>
      <c r="P56" s="135">
        <v>8.1000000000000003E-2</v>
      </c>
      <c r="Q56" s="135">
        <v>0.08</v>
      </c>
      <c r="R56" s="135">
        <v>0.08</v>
      </c>
    </row>
    <row r="57" spans="2:18" ht="16">
      <c r="B57" s="133" t="s">
        <v>437</v>
      </c>
      <c r="C57" s="134" t="s">
        <v>1072</v>
      </c>
      <c r="D57" s="133" t="s">
        <v>1112</v>
      </c>
      <c r="E57" s="133" t="s">
        <v>1976</v>
      </c>
      <c r="F57" s="133" t="s">
        <v>1698</v>
      </c>
      <c r="G57" s="133" t="s">
        <v>1929</v>
      </c>
      <c r="H57" s="135">
        <v>-7.400000000000001E-2</v>
      </c>
      <c r="I57" s="135">
        <v>0.10400000000000001</v>
      </c>
      <c r="J57" s="135">
        <v>0.18100000000000002</v>
      </c>
      <c r="K57" s="135">
        <v>0.126</v>
      </c>
      <c r="L57" s="135">
        <v>4.4999999999999998E-2</v>
      </c>
      <c r="M57" s="135">
        <v>3.1E-2</v>
      </c>
      <c r="N57" s="135">
        <v>6.2E-2</v>
      </c>
      <c r="O57" s="135">
        <v>5.7000000000000002E-2</v>
      </c>
      <c r="P57" s="135">
        <v>5.7999999999999996E-2</v>
      </c>
      <c r="Q57" s="135">
        <v>5.7000000000000002E-2</v>
      </c>
      <c r="R57" s="135">
        <v>5.7000000000000002E-2</v>
      </c>
    </row>
    <row r="58" spans="2:18" ht="16">
      <c r="B58" s="133" t="s">
        <v>447</v>
      </c>
      <c r="C58" s="134" t="s">
        <v>1072</v>
      </c>
      <c r="D58" s="133" t="s">
        <v>1112</v>
      </c>
      <c r="E58" s="133" t="s">
        <v>1977</v>
      </c>
      <c r="F58" s="133" t="s">
        <v>1698</v>
      </c>
      <c r="G58" s="133" t="s">
        <v>1929</v>
      </c>
      <c r="H58" s="135">
        <v>-3.7999999999999999E-2</v>
      </c>
      <c r="I58" s="135">
        <v>0.16600000000000001</v>
      </c>
      <c r="J58" s="135">
        <v>0.22800000000000001</v>
      </c>
      <c r="K58" s="135">
        <v>0.106</v>
      </c>
      <c r="L58" s="135">
        <v>9.8000000000000004E-2</v>
      </c>
      <c r="M58" s="135">
        <v>6.7000000000000004E-2</v>
      </c>
      <c r="N58" s="135">
        <v>5.4000000000000006E-2</v>
      </c>
      <c r="O58" s="135">
        <v>6.2E-2</v>
      </c>
      <c r="P58" s="135">
        <v>0.06</v>
      </c>
      <c r="Q58" s="135">
        <v>5.7999999999999996E-2</v>
      </c>
      <c r="R58" s="135">
        <v>5.7999999999999996E-2</v>
      </c>
    </row>
    <row r="59" spans="2:18" ht="16">
      <c r="B59" s="133" t="s">
        <v>483</v>
      </c>
      <c r="C59" s="134" t="s">
        <v>1072</v>
      </c>
      <c r="D59" s="133" t="s">
        <v>1112</v>
      </c>
      <c r="E59" s="133" t="s">
        <v>1978</v>
      </c>
      <c r="F59" s="133" t="s">
        <v>1698</v>
      </c>
      <c r="G59" s="133" t="s">
        <v>1929</v>
      </c>
      <c r="H59" s="135">
        <v>-0.152</v>
      </c>
      <c r="I59" s="135">
        <v>0.26400000000000001</v>
      </c>
      <c r="J59" s="135">
        <v>0.23699999999999999</v>
      </c>
      <c r="K59" s="135">
        <v>0.11800000000000001</v>
      </c>
      <c r="L59" s="135">
        <v>9.4E-2</v>
      </c>
      <c r="M59" s="135">
        <v>6.6000000000000003E-2</v>
      </c>
      <c r="N59" s="135">
        <v>6.2E-2</v>
      </c>
      <c r="O59" s="135">
        <v>5.5E-2</v>
      </c>
      <c r="P59" s="135">
        <v>5.5E-2</v>
      </c>
      <c r="Q59" s="135">
        <v>5.5E-2</v>
      </c>
      <c r="R59" s="135">
        <v>5.5E-2</v>
      </c>
    </row>
    <row r="60" spans="2:18" ht="16">
      <c r="B60" s="133" t="s">
        <v>1117</v>
      </c>
      <c r="C60" s="134" t="s">
        <v>1072</v>
      </c>
      <c r="D60" s="133" t="s">
        <v>1112</v>
      </c>
      <c r="E60" s="133" t="s">
        <v>1979</v>
      </c>
      <c r="F60" s="133" t="s">
        <v>1698</v>
      </c>
      <c r="G60" s="133" t="s">
        <v>1929</v>
      </c>
      <c r="H60" s="135">
        <v>-5.5999999999999994E-2</v>
      </c>
      <c r="I60" s="135">
        <v>8.3000000000000004E-2</v>
      </c>
      <c r="J60" s="135">
        <v>0.14699999999999999</v>
      </c>
      <c r="K60" s="135">
        <v>3.7000000000000005E-2</v>
      </c>
      <c r="L60" s="135">
        <v>5.4000000000000006E-2</v>
      </c>
      <c r="M60" s="135">
        <v>7.5999999999999998E-2</v>
      </c>
      <c r="N60" s="135">
        <v>5.9000000000000004E-2</v>
      </c>
      <c r="O60" s="135">
        <v>5.0999999999999997E-2</v>
      </c>
      <c r="P60" s="135">
        <v>5.2999999999999999E-2</v>
      </c>
      <c r="Q60" s="135">
        <v>0.05</v>
      </c>
      <c r="R60" s="135">
        <v>0.05</v>
      </c>
    </row>
    <row r="61" spans="2:18" ht="16">
      <c r="B61" s="133" t="s">
        <v>511</v>
      </c>
      <c r="C61" s="134" t="s">
        <v>1072</v>
      </c>
      <c r="D61" s="133" t="s">
        <v>1112</v>
      </c>
      <c r="E61" s="133" t="s">
        <v>1978</v>
      </c>
      <c r="F61" s="133" t="s">
        <v>1698</v>
      </c>
      <c r="G61" s="133" t="s">
        <v>1929</v>
      </c>
      <c r="H61" s="135">
        <v>-4.4000000000000004E-2</v>
      </c>
      <c r="I61" s="135">
        <v>0.11199999999999999</v>
      </c>
      <c r="J61" s="135">
        <v>0.222</v>
      </c>
      <c r="K61" s="135">
        <v>4.8000000000000001E-2</v>
      </c>
      <c r="L61" s="135">
        <v>2.2000000000000002E-2</v>
      </c>
      <c r="M61" s="135">
        <v>6.4000000000000001E-2</v>
      </c>
      <c r="N61" s="135">
        <v>6.3E-2</v>
      </c>
      <c r="O61" s="135">
        <v>5.4000000000000006E-2</v>
      </c>
      <c r="P61" s="135">
        <v>6.3E-2</v>
      </c>
      <c r="Q61" s="135">
        <v>5.9000000000000004E-2</v>
      </c>
      <c r="R61" s="135">
        <v>5.7999999999999996E-2</v>
      </c>
    </row>
    <row r="62" spans="2:18" ht="16">
      <c r="B62" s="133" t="s">
        <v>531</v>
      </c>
      <c r="C62" s="134" t="s">
        <v>1072</v>
      </c>
      <c r="D62" s="133" t="s">
        <v>1112</v>
      </c>
      <c r="E62" s="133" t="s">
        <v>1980</v>
      </c>
      <c r="F62" s="133" t="s">
        <v>1698</v>
      </c>
      <c r="G62" s="133" t="s">
        <v>1929</v>
      </c>
      <c r="H62" s="135">
        <v>4.8000000000000001E-2</v>
      </c>
      <c r="I62" s="135">
        <v>0.30299999999999999</v>
      </c>
      <c r="J62" s="135">
        <v>0.13200000000000001</v>
      </c>
      <c r="K62" s="135">
        <v>0.125</v>
      </c>
      <c r="L62" s="135">
        <v>0.14300000000000002</v>
      </c>
      <c r="M62" s="135">
        <v>9.6999999999999989E-2</v>
      </c>
      <c r="N62" s="135">
        <v>7.4999999999999997E-2</v>
      </c>
      <c r="O62" s="135">
        <v>7.400000000000001E-2</v>
      </c>
      <c r="P62" s="135">
        <v>7.5999999999999998E-2</v>
      </c>
      <c r="Q62" s="135">
        <v>7.6999999999999999E-2</v>
      </c>
      <c r="R62" s="135">
        <v>7.5999999999999998E-2</v>
      </c>
    </row>
    <row r="63" spans="2:18" ht="16">
      <c r="B63" s="133" t="s">
        <v>560</v>
      </c>
      <c r="C63" s="134" t="s">
        <v>1072</v>
      </c>
      <c r="D63" s="133" t="s">
        <v>1112</v>
      </c>
      <c r="E63" s="133" t="s">
        <v>1981</v>
      </c>
      <c r="F63" s="133" t="s">
        <v>1698</v>
      </c>
      <c r="G63" s="133" t="s">
        <v>1929</v>
      </c>
      <c r="H63" s="135">
        <v>-1.3000000000000001E-2</v>
      </c>
      <c r="I63" s="135">
        <v>0.122</v>
      </c>
      <c r="J63" s="135">
        <v>0.24</v>
      </c>
      <c r="K63" s="135">
        <v>0.129</v>
      </c>
      <c r="L63" s="135">
        <v>0.111</v>
      </c>
      <c r="M63" s="135">
        <v>6.9000000000000006E-2</v>
      </c>
      <c r="N63" s="135">
        <v>0.06</v>
      </c>
      <c r="O63" s="135">
        <v>7.0000000000000007E-2</v>
      </c>
      <c r="P63" s="135">
        <v>6.8000000000000005E-2</v>
      </c>
      <c r="Q63" s="135">
        <v>6.8000000000000005E-2</v>
      </c>
      <c r="R63" s="135">
        <v>6.8000000000000005E-2</v>
      </c>
    </row>
    <row r="64" spans="2:18" ht="16">
      <c r="B64" s="133" t="s">
        <v>595</v>
      </c>
      <c r="C64" s="134" t="s">
        <v>1072</v>
      </c>
      <c r="D64" s="133" t="s">
        <v>1112</v>
      </c>
      <c r="E64" s="133" t="s">
        <v>1978</v>
      </c>
      <c r="F64" s="133" t="s">
        <v>1698</v>
      </c>
      <c r="G64" s="133" t="s">
        <v>1929</v>
      </c>
      <c r="H64" s="135">
        <v>1.9E-2</v>
      </c>
      <c r="I64" s="135">
        <v>0.154</v>
      </c>
      <c r="J64" s="135">
        <v>0.16899999999999998</v>
      </c>
      <c r="K64" s="135">
        <v>7.6999999999999999E-2</v>
      </c>
      <c r="L64" s="135">
        <v>7.2999999999999995E-2</v>
      </c>
      <c r="M64" s="135">
        <v>7.400000000000001E-2</v>
      </c>
      <c r="N64" s="135">
        <v>6.9000000000000006E-2</v>
      </c>
      <c r="O64" s="135">
        <v>6.8000000000000005E-2</v>
      </c>
      <c r="P64" s="135">
        <v>6.5000000000000002E-2</v>
      </c>
      <c r="Q64" s="135">
        <v>6.4000000000000001E-2</v>
      </c>
      <c r="R64" s="135">
        <v>0.06</v>
      </c>
    </row>
    <row r="65" spans="2:18" ht="16">
      <c r="B65" s="133" t="s">
        <v>603</v>
      </c>
      <c r="C65" s="134" t="s">
        <v>1072</v>
      </c>
      <c r="D65" s="133" t="s">
        <v>1112</v>
      </c>
      <c r="E65" s="133" t="s">
        <v>1978</v>
      </c>
      <c r="F65" s="133" t="s">
        <v>1698</v>
      </c>
      <c r="G65" s="133" t="s">
        <v>1929</v>
      </c>
      <c r="H65" s="135">
        <v>-4.0999999999999995E-2</v>
      </c>
      <c r="I65" s="135">
        <v>0.10300000000000001</v>
      </c>
      <c r="J65" s="135">
        <v>0.21199999999999999</v>
      </c>
      <c r="K65" s="135">
        <v>6.7000000000000004E-2</v>
      </c>
      <c r="L65" s="135">
        <v>5.2999999999999999E-2</v>
      </c>
      <c r="M65" s="135">
        <v>7.0999999999999994E-2</v>
      </c>
      <c r="N65" s="135">
        <v>7.2000000000000008E-2</v>
      </c>
      <c r="O65" s="135">
        <v>0.06</v>
      </c>
      <c r="P65" s="135">
        <v>5.7999999999999996E-2</v>
      </c>
      <c r="Q65" s="135">
        <v>5.5999999999999994E-2</v>
      </c>
      <c r="R65" s="135">
        <v>5.5999999999999994E-2</v>
      </c>
    </row>
    <row r="66" spans="2:18" ht="16">
      <c r="B66" s="133" t="s">
        <v>615</v>
      </c>
      <c r="C66" s="134" t="s">
        <v>1072</v>
      </c>
      <c r="D66" s="133" t="s">
        <v>1112</v>
      </c>
      <c r="E66" s="133" t="s">
        <v>1978</v>
      </c>
      <c r="F66" s="133" t="s">
        <v>1698</v>
      </c>
      <c r="G66" s="133" t="s">
        <v>1929</v>
      </c>
      <c r="H66" s="135">
        <v>-0.02</v>
      </c>
      <c r="I66" s="135">
        <v>0.13</v>
      </c>
      <c r="J66" s="135">
        <v>0.21</v>
      </c>
      <c r="K66" s="135">
        <v>6.7000000000000004E-2</v>
      </c>
      <c r="L66" s="135">
        <v>3.3000000000000002E-2</v>
      </c>
      <c r="M66" s="135">
        <v>7.400000000000001E-2</v>
      </c>
      <c r="N66" s="135">
        <v>5.5999999999999994E-2</v>
      </c>
      <c r="O66" s="135">
        <v>4.7E-2</v>
      </c>
      <c r="P66" s="135">
        <v>4.4999999999999998E-2</v>
      </c>
      <c r="Q66" s="135">
        <v>4.5999999999999999E-2</v>
      </c>
      <c r="R66" s="135">
        <v>4.7E-2</v>
      </c>
    </row>
    <row r="67" spans="2:18" ht="16">
      <c r="B67" s="133" t="s">
        <v>642</v>
      </c>
      <c r="C67" s="134" t="s">
        <v>1072</v>
      </c>
      <c r="D67" s="133" t="s">
        <v>1112</v>
      </c>
      <c r="E67" s="133" t="s">
        <v>1982</v>
      </c>
      <c r="F67" s="133" t="s">
        <v>1698</v>
      </c>
      <c r="G67" s="133" t="s">
        <v>1929</v>
      </c>
      <c r="H67" s="135">
        <v>-4.7E-2</v>
      </c>
      <c r="I67" s="135">
        <v>0.249</v>
      </c>
      <c r="J67" s="135">
        <v>0.155</v>
      </c>
      <c r="K67" s="135">
        <v>9.0999999999999998E-2</v>
      </c>
      <c r="L67" s="135">
        <v>8.8000000000000009E-2</v>
      </c>
      <c r="M67" s="135">
        <v>0.13400000000000001</v>
      </c>
      <c r="N67" s="135">
        <v>0.121</v>
      </c>
      <c r="O67" s="135">
        <v>0.11599999999999999</v>
      </c>
      <c r="P67" s="135">
        <v>0.113</v>
      </c>
      <c r="Q67" s="135">
        <v>0.11199999999999999</v>
      </c>
      <c r="R67" s="135">
        <v>0.115</v>
      </c>
    </row>
    <row r="68" spans="2:18" ht="16">
      <c r="B68" s="133" t="s">
        <v>674</v>
      </c>
      <c r="C68" s="134" t="s">
        <v>1072</v>
      </c>
      <c r="D68" s="133" t="s">
        <v>1112</v>
      </c>
      <c r="E68" s="133" t="s">
        <v>675</v>
      </c>
      <c r="F68" s="133" t="s">
        <v>1698</v>
      </c>
      <c r="G68" s="133" t="s">
        <v>1929</v>
      </c>
      <c r="H68" s="135">
        <v>2.5000000000000001E-2</v>
      </c>
      <c r="I68" s="135">
        <v>0.11800000000000001</v>
      </c>
      <c r="J68" s="135">
        <v>0.13800000000000001</v>
      </c>
      <c r="K68" s="135">
        <v>8.6999999999999994E-2</v>
      </c>
      <c r="L68" s="135">
        <v>7.400000000000001E-2</v>
      </c>
      <c r="M68" s="135">
        <v>0.1</v>
      </c>
      <c r="N68" s="135">
        <v>6.8000000000000005E-2</v>
      </c>
      <c r="O68" s="135">
        <v>5.7999999999999996E-2</v>
      </c>
      <c r="P68" s="135">
        <v>5.9000000000000004E-2</v>
      </c>
      <c r="Q68" s="135">
        <v>5.9000000000000004E-2</v>
      </c>
      <c r="R68" s="135">
        <v>5.9000000000000004E-2</v>
      </c>
    </row>
    <row r="69" spans="2:18" ht="16">
      <c r="B69" s="133" t="s">
        <v>695</v>
      </c>
      <c r="C69" s="134" t="s">
        <v>1072</v>
      </c>
      <c r="D69" s="133" t="s">
        <v>1112</v>
      </c>
      <c r="E69" s="133" t="s">
        <v>1983</v>
      </c>
      <c r="F69" s="133" t="s">
        <v>1698</v>
      </c>
      <c r="G69" s="133" t="s">
        <v>1929</v>
      </c>
      <c r="H69" s="135">
        <v>-3.0000000000000001E-3</v>
      </c>
      <c r="I69" s="135">
        <v>0.126</v>
      </c>
      <c r="J69" s="135">
        <v>0.20399999999999999</v>
      </c>
      <c r="K69" s="135">
        <v>6.9000000000000006E-2</v>
      </c>
      <c r="L69" s="135">
        <v>6.5000000000000002E-2</v>
      </c>
      <c r="M69" s="135">
        <v>0.10099999999999999</v>
      </c>
      <c r="N69" s="135">
        <v>7.6999999999999999E-2</v>
      </c>
      <c r="O69" s="135">
        <v>6.8000000000000005E-2</v>
      </c>
      <c r="P69" s="135">
        <v>6.8000000000000005E-2</v>
      </c>
      <c r="Q69" s="135">
        <v>6.6000000000000003E-2</v>
      </c>
      <c r="R69" s="135">
        <v>6.5000000000000002E-2</v>
      </c>
    </row>
    <row r="70" spans="2:18" ht="16">
      <c r="B70" s="133" t="s">
        <v>703</v>
      </c>
      <c r="C70" s="134" t="s">
        <v>1072</v>
      </c>
      <c r="D70" s="133" t="s">
        <v>1112</v>
      </c>
      <c r="E70" s="133" t="s">
        <v>1984</v>
      </c>
      <c r="F70" s="133" t="s">
        <v>1698</v>
      </c>
      <c r="G70" s="133" t="s">
        <v>1929</v>
      </c>
      <c r="H70" s="135">
        <v>-2E-3</v>
      </c>
      <c r="I70" s="135">
        <v>0.127</v>
      </c>
      <c r="J70" s="135">
        <v>0.20300000000000001</v>
      </c>
      <c r="K70" s="135">
        <v>0.125</v>
      </c>
      <c r="L70" s="135">
        <v>0.125</v>
      </c>
      <c r="M70" s="135">
        <v>5.5E-2</v>
      </c>
      <c r="N70" s="135">
        <v>7.2000000000000008E-2</v>
      </c>
      <c r="O70" s="135">
        <v>7.0000000000000007E-2</v>
      </c>
      <c r="P70" s="135">
        <v>6.9000000000000006E-2</v>
      </c>
      <c r="Q70" s="135">
        <v>6.8000000000000005E-2</v>
      </c>
      <c r="R70" s="135">
        <v>6.7000000000000004E-2</v>
      </c>
    </row>
    <row r="71" spans="2:18" ht="16">
      <c r="B71" s="133" t="s">
        <v>1118</v>
      </c>
      <c r="C71" s="134" t="s">
        <v>1072</v>
      </c>
      <c r="D71" s="133" t="s">
        <v>1112</v>
      </c>
      <c r="E71" s="133" t="s">
        <v>1985</v>
      </c>
      <c r="F71" s="133" t="s">
        <v>1698</v>
      </c>
      <c r="G71" s="133" t="s">
        <v>1929</v>
      </c>
      <c r="H71" s="135">
        <v>-4.0000000000000001E-3</v>
      </c>
      <c r="I71" s="135">
        <v>0.22699999999999998</v>
      </c>
      <c r="J71" s="135">
        <v>0.10800000000000001</v>
      </c>
      <c r="K71" s="135">
        <v>0.14000000000000001</v>
      </c>
      <c r="L71" s="135">
        <v>0.113</v>
      </c>
      <c r="M71" s="135">
        <v>4.7E-2</v>
      </c>
      <c r="N71" s="135">
        <v>7.0000000000000007E-2</v>
      </c>
      <c r="O71" s="135">
        <v>6.3E-2</v>
      </c>
      <c r="P71" s="135">
        <v>6.2E-2</v>
      </c>
      <c r="Q71" s="135">
        <v>6.0999999999999999E-2</v>
      </c>
      <c r="R71" s="135">
        <v>6.0999999999999999E-2</v>
      </c>
    </row>
    <row r="72" spans="2:18" ht="16">
      <c r="B72" s="133" t="s">
        <v>719</v>
      </c>
      <c r="C72" s="134" t="s">
        <v>1072</v>
      </c>
      <c r="D72" s="133" t="s">
        <v>1112</v>
      </c>
      <c r="E72" s="133" t="s">
        <v>1986</v>
      </c>
      <c r="F72" s="133" t="s">
        <v>1698</v>
      </c>
      <c r="G72" s="133" t="s">
        <v>1929</v>
      </c>
      <c r="H72" s="135">
        <v>4.0000000000000001E-3</v>
      </c>
      <c r="I72" s="135">
        <v>0.14099999999999999</v>
      </c>
      <c r="J72" s="135">
        <v>0.185</v>
      </c>
      <c r="K72" s="135">
        <v>0.12</v>
      </c>
      <c r="L72" s="135">
        <v>9.8000000000000004E-2</v>
      </c>
      <c r="M72" s="135">
        <v>6.2E-2</v>
      </c>
      <c r="N72" s="135">
        <v>7.4999999999999997E-2</v>
      </c>
      <c r="O72" s="135">
        <v>6.8000000000000005E-2</v>
      </c>
      <c r="P72" s="135">
        <v>6.8000000000000005E-2</v>
      </c>
      <c r="Q72" s="135">
        <v>6.8000000000000005E-2</v>
      </c>
      <c r="R72" s="135">
        <v>6.8000000000000005E-2</v>
      </c>
    </row>
    <row r="73" spans="2:18" ht="16">
      <c r="B73" s="133" t="s">
        <v>1119</v>
      </c>
      <c r="C73" s="134" t="s">
        <v>1072</v>
      </c>
      <c r="D73" s="133" t="s">
        <v>1112</v>
      </c>
      <c r="E73" s="133" t="s">
        <v>1978</v>
      </c>
      <c r="F73" s="133" t="s">
        <v>1698</v>
      </c>
      <c r="G73" s="133" t="s">
        <v>1929</v>
      </c>
      <c r="H73" s="135">
        <v>1.6E-2</v>
      </c>
      <c r="I73" s="135">
        <v>5.7000000000000002E-2</v>
      </c>
      <c r="J73" s="135">
        <v>0.16800000000000001</v>
      </c>
      <c r="K73" s="135">
        <v>5.2000000000000005E-2</v>
      </c>
      <c r="L73" s="135">
        <v>5.4000000000000006E-2</v>
      </c>
      <c r="M73" s="135">
        <v>7.0000000000000007E-2</v>
      </c>
      <c r="N73" s="135">
        <v>6.3E-2</v>
      </c>
      <c r="O73" s="135">
        <v>4.7E-2</v>
      </c>
      <c r="P73" s="135">
        <v>4.8000000000000001E-2</v>
      </c>
      <c r="Q73" s="135">
        <v>4.5999999999999999E-2</v>
      </c>
      <c r="R73" s="135">
        <v>4.5999999999999999E-2</v>
      </c>
    </row>
    <row r="74" spans="2:18" ht="16">
      <c r="B74" s="133" t="s">
        <v>730</v>
      </c>
      <c r="C74" s="134" t="s">
        <v>1072</v>
      </c>
      <c r="D74" s="133" t="s">
        <v>1112</v>
      </c>
      <c r="E74" s="133" t="s">
        <v>1978</v>
      </c>
      <c r="F74" s="133" t="s">
        <v>1698</v>
      </c>
      <c r="G74" s="133" t="s">
        <v>1929</v>
      </c>
      <c r="H74" s="135">
        <v>-0.114</v>
      </c>
      <c r="I74" s="135">
        <v>0.14000000000000001</v>
      </c>
      <c r="J74" s="135">
        <v>0.18100000000000002</v>
      </c>
      <c r="K74" s="135">
        <v>6.2E-2</v>
      </c>
      <c r="L74" s="135">
        <v>3.2000000000000001E-2</v>
      </c>
      <c r="M74" s="135">
        <v>4.0999999999999995E-2</v>
      </c>
      <c r="N74" s="135">
        <v>3.9E-2</v>
      </c>
      <c r="O74" s="135">
        <v>4.7E-2</v>
      </c>
      <c r="P74" s="135">
        <v>4.7E-2</v>
      </c>
      <c r="Q74" s="135">
        <v>4.5999999999999999E-2</v>
      </c>
      <c r="R74" s="135">
        <v>4.5999999999999999E-2</v>
      </c>
    </row>
    <row r="75" spans="2:18" ht="16">
      <c r="B75" s="133" t="s">
        <v>787</v>
      </c>
      <c r="C75" s="134" t="s">
        <v>1072</v>
      </c>
      <c r="D75" s="133" t="s">
        <v>1112</v>
      </c>
      <c r="E75" s="133" t="s">
        <v>1987</v>
      </c>
      <c r="F75" s="133" t="s">
        <v>1698</v>
      </c>
      <c r="G75" s="133" t="s">
        <v>1929</v>
      </c>
      <c r="H75" s="135">
        <v>7.0000000000000007E-2</v>
      </c>
      <c r="I75" s="135">
        <v>0.223</v>
      </c>
      <c r="J75" s="135">
        <v>-0.11800000000000001</v>
      </c>
      <c r="K75" s="135">
        <v>0.44700000000000001</v>
      </c>
      <c r="L75" s="135">
        <v>0.26500000000000001</v>
      </c>
      <c r="M75" s="135">
        <v>0.18</v>
      </c>
      <c r="N75" s="135">
        <v>0.15</v>
      </c>
      <c r="O75" s="135">
        <v>0.11199999999999999</v>
      </c>
      <c r="P75" s="135">
        <v>9.6000000000000002E-2</v>
      </c>
      <c r="Q75" s="135">
        <v>0.107</v>
      </c>
      <c r="R75" s="135">
        <v>0.10300000000000001</v>
      </c>
    </row>
    <row r="76" spans="2:18" ht="16">
      <c r="B76" s="133" t="s">
        <v>1988</v>
      </c>
      <c r="C76" s="134" t="s">
        <v>1072</v>
      </c>
      <c r="D76" s="133" t="s">
        <v>1112</v>
      </c>
      <c r="E76" s="133" t="s">
        <v>968</v>
      </c>
      <c r="F76" s="133" t="s">
        <v>1698</v>
      </c>
      <c r="G76" s="133" t="s">
        <v>1929</v>
      </c>
      <c r="H76" s="135">
        <v>-0.16500000000000001</v>
      </c>
      <c r="I76" s="135">
        <v>0.155</v>
      </c>
      <c r="J76" s="135">
        <v>0.16</v>
      </c>
      <c r="K76" s="135">
        <v>0.12300000000000001</v>
      </c>
      <c r="L76" s="135">
        <v>3.1E-2</v>
      </c>
      <c r="M76" s="135">
        <v>1.3000000000000001E-2</v>
      </c>
      <c r="N76" s="135">
        <v>2.2000000000000002E-2</v>
      </c>
      <c r="O76" s="135">
        <v>3.5000000000000003E-2</v>
      </c>
      <c r="P76" s="135">
        <v>4.2000000000000003E-2</v>
      </c>
      <c r="Q76" s="135">
        <v>4.7E-2</v>
      </c>
      <c r="R76" s="135">
        <v>4.4999999999999998E-2</v>
      </c>
    </row>
    <row r="77" spans="2:18" ht="16">
      <c r="B77" s="133" t="s">
        <v>1989</v>
      </c>
      <c r="C77" s="134" t="s">
        <v>1072</v>
      </c>
      <c r="D77" s="133" t="s">
        <v>1112</v>
      </c>
      <c r="E77" s="133" t="s">
        <v>1990</v>
      </c>
      <c r="F77" s="133" t="s">
        <v>1698</v>
      </c>
      <c r="G77" s="133" t="s">
        <v>1929</v>
      </c>
      <c r="H77" s="135">
        <v>-0.38400000000000001</v>
      </c>
      <c r="I77" s="135">
        <v>0.21899999999999997</v>
      </c>
      <c r="J77" s="135">
        <v>0.54100000000000004</v>
      </c>
      <c r="K77" s="135">
        <v>8.199999999999999E-2</v>
      </c>
      <c r="L77" s="135">
        <v>6.8000000000000005E-2</v>
      </c>
      <c r="M77" s="135">
        <v>9.3000000000000013E-2</v>
      </c>
      <c r="N77" s="135">
        <v>8.3000000000000004E-2</v>
      </c>
      <c r="O77" s="136" t="s">
        <v>1114</v>
      </c>
      <c r="P77" s="136" t="s">
        <v>1114</v>
      </c>
      <c r="Q77" s="136" t="s">
        <v>1114</v>
      </c>
      <c r="R77" s="136" t="s">
        <v>1114</v>
      </c>
    </row>
    <row r="78" spans="2:18" ht="16">
      <c r="B78" s="133" t="s">
        <v>401</v>
      </c>
      <c r="C78" s="134" t="s">
        <v>1072</v>
      </c>
      <c r="D78" s="133" t="s">
        <v>1112</v>
      </c>
      <c r="E78" s="133" t="s">
        <v>1990</v>
      </c>
      <c r="F78" s="133" t="s">
        <v>1698</v>
      </c>
      <c r="G78" s="133" t="s">
        <v>1929</v>
      </c>
      <c r="H78" s="135">
        <v>-0.23</v>
      </c>
      <c r="I78" s="135">
        <v>0.21899999999999997</v>
      </c>
      <c r="J78" s="135">
        <v>0.19500000000000001</v>
      </c>
      <c r="K78" s="135">
        <v>9.1999999999999998E-2</v>
      </c>
      <c r="L78" s="135">
        <v>0.09</v>
      </c>
      <c r="M78" s="135">
        <v>0.06</v>
      </c>
      <c r="N78" s="135">
        <v>0.05</v>
      </c>
      <c r="O78" s="135">
        <v>5.4000000000000006E-2</v>
      </c>
      <c r="P78" s="135">
        <v>0.05</v>
      </c>
      <c r="Q78" s="135">
        <v>4.8000000000000001E-2</v>
      </c>
      <c r="R78" s="135">
        <v>4.7E-2</v>
      </c>
    </row>
    <row r="79" spans="2:18" ht="16">
      <c r="B79" s="133" t="s">
        <v>403</v>
      </c>
      <c r="C79" s="134" t="s">
        <v>1072</v>
      </c>
      <c r="D79" s="133" t="s">
        <v>1112</v>
      </c>
      <c r="E79" s="133" t="s">
        <v>1991</v>
      </c>
      <c r="F79" s="133" t="s">
        <v>1698</v>
      </c>
      <c r="G79" s="133" t="s">
        <v>1929</v>
      </c>
      <c r="H79" s="135">
        <v>0.28699999999999998</v>
      </c>
      <c r="I79" s="135">
        <v>0.623</v>
      </c>
      <c r="J79" s="135">
        <v>0.84799999999999998</v>
      </c>
      <c r="K79" s="135">
        <v>1.3009999999999999</v>
      </c>
      <c r="L79" s="135">
        <v>2.11</v>
      </c>
      <c r="M79" s="135">
        <v>0.53500000000000003</v>
      </c>
      <c r="N79" s="135">
        <v>0.26300000000000001</v>
      </c>
      <c r="O79" s="135">
        <v>0.14300000000000002</v>
      </c>
      <c r="P79" s="135">
        <v>0.129</v>
      </c>
      <c r="Q79" s="135">
        <v>0.11599999999999999</v>
      </c>
      <c r="R79" s="135">
        <v>0.10099999999999999</v>
      </c>
    </row>
    <row r="80" spans="2:18" ht="16">
      <c r="B80" s="133" t="s">
        <v>407</v>
      </c>
      <c r="C80" s="134" t="s">
        <v>1072</v>
      </c>
      <c r="D80" s="133" t="s">
        <v>1112</v>
      </c>
      <c r="E80" s="133" t="s">
        <v>1992</v>
      </c>
      <c r="F80" s="133" t="s">
        <v>1698</v>
      </c>
      <c r="G80" s="133" t="s">
        <v>1929</v>
      </c>
      <c r="H80" s="135">
        <v>-0.114</v>
      </c>
      <c r="I80" s="135">
        <v>0.10199999999999999</v>
      </c>
      <c r="J80" s="135">
        <v>0.02</v>
      </c>
      <c r="K80" s="135">
        <v>3.5000000000000003E-2</v>
      </c>
      <c r="L80" s="135">
        <v>5.2000000000000005E-2</v>
      </c>
      <c r="M80" s="135">
        <v>4.4999999999999998E-2</v>
      </c>
      <c r="N80" s="135">
        <v>4.9000000000000002E-2</v>
      </c>
      <c r="O80" s="135">
        <v>4.5999999999999999E-2</v>
      </c>
      <c r="P80" s="135">
        <v>3.9E-2</v>
      </c>
      <c r="Q80" s="135">
        <v>3.9E-2</v>
      </c>
      <c r="R80" s="135">
        <v>3.6000000000000004E-2</v>
      </c>
    </row>
    <row r="81" spans="2:18" ht="16">
      <c r="B81" s="133" t="s">
        <v>1795</v>
      </c>
      <c r="C81" s="134" t="s">
        <v>1072</v>
      </c>
      <c r="D81" s="133" t="s">
        <v>1112</v>
      </c>
      <c r="E81" s="133" t="s">
        <v>1993</v>
      </c>
      <c r="F81" s="133" t="s">
        <v>1698</v>
      </c>
      <c r="G81" s="133" t="s">
        <v>1929</v>
      </c>
      <c r="H81" s="135">
        <v>-0.187</v>
      </c>
      <c r="I81" s="135">
        <v>0.23100000000000001</v>
      </c>
      <c r="J81" s="135">
        <v>7.2999999999999995E-2</v>
      </c>
      <c r="K81" s="135">
        <v>0.10800000000000001</v>
      </c>
      <c r="L81" s="135">
        <v>2.7999999999999997E-2</v>
      </c>
      <c r="M81" s="135">
        <v>3.2000000000000001E-2</v>
      </c>
      <c r="N81" s="135">
        <v>3.5000000000000003E-2</v>
      </c>
      <c r="O81" s="135">
        <v>0.04</v>
      </c>
      <c r="P81" s="135">
        <v>4.0999999999999995E-2</v>
      </c>
      <c r="Q81" s="135">
        <v>4.2000000000000003E-2</v>
      </c>
      <c r="R81" s="135">
        <v>3.9E-2</v>
      </c>
    </row>
    <row r="82" spans="2:18" ht="16">
      <c r="B82" s="133" t="s">
        <v>421</v>
      </c>
      <c r="C82" s="134" t="s">
        <v>1072</v>
      </c>
      <c r="D82" s="133" t="s">
        <v>1112</v>
      </c>
      <c r="E82" s="133" t="s">
        <v>1994</v>
      </c>
      <c r="F82" s="133" t="s">
        <v>1698</v>
      </c>
      <c r="G82" s="133" t="s">
        <v>1929</v>
      </c>
      <c r="H82" s="135">
        <v>-2.3E-2</v>
      </c>
      <c r="I82" s="135">
        <v>0</v>
      </c>
      <c r="J82" s="135">
        <v>0.155</v>
      </c>
      <c r="K82" s="135">
        <v>4.5999999999999999E-2</v>
      </c>
      <c r="L82" s="135">
        <v>5.5999999999999994E-2</v>
      </c>
      <c r="M82" s="135">
        <v>5.5999999999999994E-2</v>
      </c>
      <c r="N82" s="135">
        <v>5.5E-2</v>
      </c>
      <c r="O82" s="135">
        <v>5.2000000000000005E-2</v>
      </c>
      <c r="P82" s="135">
        <v>5.2000000000000005E-2</v>
      </c>
      <c r="Q82" s="135">
        <v>5.2999999999999999E-2</v>
      </c>
      <c r="R82" s="135">
        <v>5.2999999999999999E-2</v>
      </c>
    </row>
    <row r="83" spans="2:18" ht="16">
      <c r="B83" s="133" t="s">
        <v>427</v>
      </c>
      <c r="C83" s="134" t="s">
        <v>1072</v>
      </c>
      <c r="D83" s="133" t="s">
        <v>1112</v>
      </c>
      <c r="E83" s="133" t="s">
        <v>1995</v>
      </c>
      <c r="F83" s="133" t="s">
        <v>1698</v>
      </c>
      <c r="G83" s="133" t="s">
        <v>1929</v>
      </c>
      <c r="H83" s="135">
        <v>-0.14000000000000001</v>
      </c>
      <c r="I83" s="135">
        <v>0.17199999999999999</v>
      </c>
      <c r="J83" s="135">
        <v>0.156</v>
      </c>
      <c r="K83" s="135">
        <v>5.2999999999999999E-2</v>
      </c>
      <c r="L83" s="135">
        <v>4.7E-2</v>
      </c>
      <c r="M83" s="135">
        <v>3.7999999999999999E-2</v>
      </c>
      <c r="N83" s="135">
        <v>3.4000000000000002E-2</v>
      </c>
      <c r="O83" s="135">
        <v>3.4000000000000002E-2</v>
      </c>
      <c r="P83" s="135">
        <v>3.4000000000000002E-2</v>
      </c>
      <c r="Q83" s="135">
        <v>3.2000000000000001E-2</v>
      </c>
      <c r="R83" s="135">
        <v>3.1E-2</v>
      </c>
    </row>
    <row r="84" spans="2:18" ht="16">
      <c r="B84" s="133" t="s">
        <v>431</v>
      </c>
      <c r="C84" s="134" t="s">
        <v>1072</v>
      </c>
      <c r="D84" s="133" t="s">
        <v>1112</v>
      </c>
      <c r="E84" s="133" t="s">
        <v>1996</v>
      </c>
      <c r="F84" s="133" t="s">
        <v>1698</v>
      </c>
      <c r="G84" s="133" t="s">
        <v>1929</v>
      </c>
      <c r="H84" s="135">
        <v>-8.5999999999999993E-2</v>
      </c>
      <c r="I84" s="135">
        <v>3.7999999999999999E-2</v>
      </c>
      <c r="J84" s="135">
        <v>7.6999999999999999E-2</v>
      </c>
      <c r="K84" s="135">
        <v>2.6000000000000002E-2</v>
      </c>
      <c r="L84" s="135">
        <v>4.8000000000000001E-2</v>
      </c>
      <c r="M84" s="135">
        <v>3.9E-2</v>
      </c>
      <c r="N84" s="135">
        <v>4.4000000000000004E-2</v>
      </c>
      <c r="O84" s="135">
        <v>4.5999999999999999E-2</v>
      </c>
      <c r="P84" s="135">
        <v>4.5999999999999999E-2</v>
      </c>
      <c r="Q84" s="135">
        <v>4.7E-2</v>
      </c>
      <c r="R84" s="135">
        <v>4.4000000000000004E-2</v>
      </c>
    </row>
    <row r="85" spans="2:18" ht="16">
      <c r="B85" s="133" t="s">
        <v>435</v>
      </c>
      <c r="C85" s="134" t="s">
        <v>1072</v>
      </c>
      <c r="D85" s="133" t="s">
        <v>1112</v>
      </c>
      <c r="E85" s="133" t="s">
        <v>1997</v>
      </c>
      <c r="F85" s="133" t="s">
        <v>1698</v>
      </c>
      <c r="G85" s="133" t="s">
        <v>1929</v>
      </c>
      <c r="H85" s="135">
        <v>-9.5000000000000001E-2</v>
      </c>
      <c r="I85" s="135">
        <v>7.2000000000000008E-2</v>
      </c>
      <c r="J85" s="135">
        <v>7.8E-2</v>
      </c>
      <c r="K85" s="135">
        <v>4.5999999999999999E-2</v>
      </c>
      <c r="L85" s="135">
        <v>0.05</v>
      </c>
      <c r="M85" s="135">
        <v>0.16500000000000001</v>
      </c>
      <c r="N85" s="135">
        <v>0.11900000000000001</v>
      </c>
      <c r="O85" s="135">
        <v>0.113</v>
      </c>
      <c r="P85" s="135">
        <v>0.08</v>
      </c>
      <c r="Q85" s="135">
        <v>0.08</v>
      </c>
      <c r="R85" s="135">
        <v>0.08</v>
      </c>
    </row>
    <row r="86" spans="2:18" ht="16">
      <c r="B86" s="133" t="s">
        <v>441</v>
      </c>
      <c r="C86" s="134" t="s">
        <v>1072</v>
      </c>
      <c r="D86" s="133" t="s">
        <v>1112</v>
      </c>
      <c r="E86" s="133" t="s">
        <v>1998</v>
      </c>
      <c r="F86" s="133" t="s">
        <v>1698</v>
      </c>
      <c r="G86" s="133" t="s">
        <v>1929</v>
      </c>
      <c r="H86" s="135">
        <v>6.0000000000000001E-3</v>
      </c>
      <c r="I86" s="135">
        <v>0.14699999999999999</v>
      </c>
      <c r="J86" s="135">
        <v>0.13800000000000001</v>
      </c>
      <c r="K86" s="135">
        <v>7.8E-2</v>
      </c>
      <c r="L86" s="135">
        <v>8.199999999999999E-2</v>
      </c>
      <c r="M86" s="135">
        <v>6.0999999999999999E-2</v>
      </c>
      <c r="N86" s="135">
        <v>5.2000000000000005E-2</v>
      </c>
      <c r="O86" s="135">
        <v>5.5E-2</v>
      </c>
      <c r="P86" s="135">
        <v>5.2000000000000005E-2</v>
      </c>
      <c r="Q86" s="135">
        <v>0.05</v>
      </c>
      <c r="R86" s="135">
        <v>4.9000000000000002E-2</v>
      </c>
    </row>
    <row r="87" spans="2:18" ht="16">
      <c r="B87" s="133" t="s">
        <v>443</v>
      </c>
      <c r="C87" s="134" t="s">
        <v>1072</v>
      </c>
      <c r="D87" s="133" t="s">
        <v>1112</v>
      </c>
      <c r="E87" s="133" t="s">
        <v>968</v>
      </c>
      <c r="F87" s="133" t="s">
        <v>1698</v>
      </c>
      <c r="G87" s="133" t="s">
        <v>1929</v>
      </c>
      <c r="H87" s="135">
        <v>-8.8000000000000009E-2</v>
      </c>
      <c r="I87" s="135">
        <v>-1.3000000000000001E-2</v>
      </c>
      <c r="J87" s="135">
        <v>-2.5000000000000001E-2</v>
      </c>
      <c r="K87" s="135">
        <v>-1.3000000000000001E-2</v>
      </c>
      <c r="L87" s="135">
        <v>1.7000000000000001E-2</v>
      </c>
      <c r="M87" s="135">
        <v>2.5000000000000001E-2</v>
      </c>
      <c r="N87" s="135">
        <v>2.7999999999999997E-2</v>
      </c>
      <c r="O87" s="135">
        <v>0.03</v>
      </c>
      <c r="P87" s="135">
        <v>3.1E-2</v>
      </c>
      <c r="Q87" s="135">
        <v>3.4000000000000002E-2</v>
      </c>
      <c r="R87" s="135">
        <v>-2.7999999999999997E-2</v>
      </c>
    </row>
    <row r="88" spans="2:18" ht="16">
      <c r="B88" s="133" t="s">
        <v>460</v>
      </c>
      <c r="C88" s="134" t="s">
        <v>1072</v>
      </c>
      <c r="D88" s="133" t="s">
        <v>1112</v>
      </c>
      <c r="E88" s="133" t="s">
        <v>1999</v>
      </c>
      <c r="F88" s="133" t="s">
        <v>1698</v>
      </c>
      <c r="G88" s="133" t="s">
        <v>1929</v>
      </c>
      <c r="H88" s="135">
        <v>-6.3E-2</v>
      </c>
      <c r="I88" s="135">
        <v>7.0999999999999994E-2</v>
      </c>
      <c r="J88" s="135">
        <v>6.4000000000000001E-2</v>
      </c>
      <c r="K88" s="135">
        <v>4.9000000000000002E-2</v>
      </c>
      <c r="L88" s="135">
        <v>5.2000000000000005E-2</v>
      </c>
      <c r="M88" s="135">
        <v>5.0999999999999997E-2</v>
      </c>
      <c r="N88" s="135">
        <v>5.2999999999999999E-2</v>
      </c>
      <c r="O88" s="135">
        <v>5.2999999999999999E-2</v>
      </c>
      <c r="P88" s="135">
        <v>5.4000000000000006E-2</v>
      </c>
      <c r="Q88" s="135">
        <v>5.7000000000000002E-2</v>
      </c>
      <c r="R88" s="135">
        <v>5.0999999999999997E-2</v>
      </c>
    </row>
    <row r="89" spans="2:18" ht="16">
      <c r="B89" s="133" t="s">
        <v>468</v>
      </c>
      <c r="C89" s="134" t="s">
        <v>1072</v>
      </c>
      <c r="D89" s="133" t="s">
        <v>1112</v>
      </c>
      <c r="E89" s="133" t="s">
        <v>2000</v>
      </c>
      <c r="F89" s="133" t="s">
        <v>1698</v>
      </c>
      <c r="G89" s="133" t="s">
        <v>1929</v>
      </c>
      <c r="H89" s="135">
        <v>-3.3000000000000002E-2</v>
      </c>
      <c r="I89" s="135">
        <v>0.25700000000000001</v>
      </c>
      <c r="J89" s="135">
        <v>0.115</v>
      </c>
      <c r="K89" s="135">
        <v>1.4999999999999999E-2</v>
      </c>
      <c r="L89" s="135">
        <v>6.0999999999999999E-2</v>
      </c>
      <c r="M89" s="135">
        <v>3.3000000000000002E-2</v>
      </c>
      <c r="N89" s="135">
        <v>4.8000000000000001E-2</v>
      </c>
      <c r="O89" s="135">
        <v>5.4000000000000006E-2</v>
      </c>
      <c r="P89" s="135">
        <v>5.2999999999999999E-2</v>
      </c>
      <c r="Q89" s="135">
        <v>5.4000000000000006E-2</v>
      </c>
      <c r="R89" s="135">
        <v>5.4000000000000006E-2</v>
      </c>
    </row>
    <row r="90" spans="2:18" ht="16">
      <c r="B90" s="133" t="s">
        <v>472</v>
      </c>
      <c r="C90" s="134" t="s">
        <v>1072</v>
      </c>
      <c r="D90" s="133" t="s">
        <v>1112</v>
      </c>
      <c r="E90" s="133" t="s">
        <v>2001</v>
      </c>
      <c r="F90" s="133" t="s">
        <v>1698</v>
      </c>
      <c r="G90" s="133" t="s">
        <v>1929</v>
      </c>
      <c r="H90" s="135">
        <v>-3.7000000000000005E-2</v>
      </c>
      <c r="I90" s="135">
        <v>0.20199999999999999</v>
      </c>
      <c r="J90" s="135">
        <v>0.20499999999999999</v>
      </c>
      <c r="K90" s="135">
        <v>0.11</v>
      </c>
      <c r="L90" s="135">
        <v>6.7000000000000004E-2</v>
      </c>
      <c r="M90" s="135">
        <v>7.6999999999999999E-2</v>
      </c>
      <c r="N90" s="135">
        <v>5.7999999999999996E-2</v>
      </c>
      <c r="O90" s="135">
        <v>5.7000000000000002E-2</v>
      </c>
      <c r="P90" s="135">
        <v>5.5999999999999994E-2</v>
      </c>
      <c r="Q90" s="135">
        <v>5.7000000000000002E-2</v>
      </c>
      <c r="R90" s="135">
        <v>5.7000000000000002E-2</v>
      </c>
    </row>
    <row r="91" spans="2:18" ht="16">
      <c r="B91" s="133" t="s">
        <v>479</v>
      </c>
      <c r="C91" s="134" t="s">
        <v>1072</v>
      </c>
      <c r="D91" s="133" t="s">
        <v>1112</v>
      </c>
      <c r="E91" s="133" t="s">
        <v>2002</v>
      </c>
      <c r="F91" s="133" t="s">
        <v>1698</v>
      </c>
      <c r="G91" s="133" t="s">
        <v>1929</v>
      </c>
      <c r="H91" s="135">
        <v>-0.111</v>
      </c>
      <c r="I91" s="135">
        <v>0.10099999999999999</v>
      </c>
      <c r="J91" s="135">
        <v>0.125</v>
      </c>
      <c r="K91" s="135">
        <v>0.106</v>
      </c>
      <c r="L91" s="135">
        <v>3.1E-2</v>
      </c>
      <c r="M91" s="135">
        <v>4.5999999999999999E-2</v>
      </c>
      <c r="N91" s="135">
        <v>6.2E-2</v>
      </c>
      <c r="O91" s="135">
        <v>6.8000000000000005E-2</v>
      </c>
      <c r="P91" s="135">
        <v>6.9000000000000006E-2</v>
      </c>
      <c r="Q91" s="135">
        <v>7.0000000000000007E-2</v>
      </c>
      <c r="R91" s="135">
        <v>7.0000000000000007E-2</v>
      </c>
    </row>
    <row r="92" spans="2:18" ht="16">
      <c r="B92" s="133" t="s">
        <v>485</v>
      </c>
      <c r="C92" s="134" t="s">
        <v>1072</v>
      </c>
      <c r="D92" s="133" t="s">
        <v>1112</v>
      </c>
      <c r="E92" s="133" t="s">
        <v>2003</v>
      </c>
      <c r="F92" s="133" t="s">
        <v>1698</v>
      </c>
      <c r="G92" s="133" t="s">
        <v>1929</v>
      </c>
      <c r="H92" s="135">
        <v>-3.7999999999999999E-2</v>
      </c>
      <c r="I92" s="135">
        <v>2.7999999999999997E-2</v>
      </c>
      <c r="J92" s="135">
        <v>0.373</v>
      </c>
      <c r="K92" s="135">
        <v>0.63100000000000001</v>
      </c>
      <c r="L92" s="135">
        <v>6.8000000000000005E-2</v>
      </c>
      <c r="M92" s="135">
        <v>7.6999999999999999E-2</v>
      </c>
      <c r="N92" s="135">
        <v>8.1000000000000003E-2</v>
      </c>
      <c r="O92" s="135">
        <v>8.3000000000000004E-2</v>
      </c>
      <c r="P92" s="135">
        <v>8.4000000000000005E-2</v>
      </c>
      <c r="Q92" s="135">
        <v>0.08</v>
      </c>
      <c r="R92" s="135">
        <v>6.8000000000000005E-2</v>
      </c>
    </row>
    <row r="93" spans="2:18" ht="16">
      <c r="B93" s="133" t="s">
        <v>487</v>
      </c>
      <c r="C93" s="134" t="s">
        <v>1072</v>
      </c>
      <c r="D93" s="133" t="s">
        <v>1112</v>
      </c>
      <c r="E93" s="133" t="s">
        <v>2004</v>
      </c>
      <c r="F93" s="133" t="s">
        <v>1698</v>
      </c>
      <c r="G93" s="133" t="s">
        <v>1929</v>
      </c>
      <c r="H93" s="135">
        <v>-7.9000000000000001E-2</v>
      </c>
      <c r="I93" s="135">
        <v>-1.3999999999999999E-2</v>
      </c>
      <c r="J93" s="135">
        <v>0.14800000000000002</v>
      </c>
      <c r="K93" s="135">
        <v>6.6000000000000003E-2</v>
      </c>
      <c r="L93" s="135">
        <v>7.2000000000000008E-2</v>
      </c>
      <c r="M93" s="135">
        <v>7.0000000000000007E-2</v>
      </c>
      <c r="N93" s="135">
        <v>7.2999999999999995E-2</v>
      </c>
      <c r="O93" s="136" t="s">
        <v>1114</v>
      </c>
      <c r="P93" s="136" t="s">
        <v>1114</v>
      </c>
      <c r="Q93" s="136" t="s">
        <v>1114</v>
      </c>
      <c r="R93" s="136" t="s">
        <v>1114</v>
      </c>
    </row>
    <row r="94" spans="2:18" ht="16">
      <c r="B94" s="133" t="s">
        <v>497</v>
      </c>
      <c r="C94" s="134" t="s">
        <v>1072</v>
      </c>
      <c r="D94" s="133" t="s">
        <v>1112</v>
      </c>
      <c r="E94" s="133" t="s">
        <v>1990</v>
      </c>
      <c r="F94" s="133" t="s">
        <v>1698</v>
      </c>
      <c r="G94" s="133" t="s">
        <v>1929</v>
      </c>
      <c r="H94" s="135">
        <v>-0.17800000000000002</v>
      </c>
      <c r="I94" s="135">
        <v>-0.05</v>
      </c>
      <c r="J94" s="135">
        <v>1.1000000000000001E-2</v>
      </c>
      <c r="K94" s="135">
        <v>0.14099999999999999</v>
      </c>
      <c r="L94" s="135">
        <v>6.9000000000000006E-2</v>
      </c>
      <c r="M94" s="135">
        <v>6.9000000000000006E-2</v>
      </c>
      <c r="N94" s="135">
        <v>6.3E-2</v>
      </c>
      <c r="O94" s="135">
        <v>0.06</v>
      </c>
      <c r="P94" s="135">
        <v>5.7999999999999996E-2</v>
      </c>
      <c r="Q94" s="135">
        <v>5.7000000000000002E-2</v>
      </c>
      <c r="R94" s="135">
        <v>5.9000000000000004E-2</v>
      </c>
    </row>
    <row r="95" spans="2:18" ht="16">
      <c r="B95" s="133" t="s">
        <v>499</v>
      </c>
      <c r="C95" s="134" t="s">
        <v>1072</v>
      </c>
      <c r="D95" s="133" t="s">
        <v>1112</v>
      </c>
      <c r="E95" s="133" t="s">
        <v>2005</v>
      </c>
      <c r="F95" s="133" t="s">
        <v>1698</v>
      </c>
      <c r="G95" s="133" t="s">
        <v>1929</v>
      </c>
      <c r="H95" s="135">
        <v>-7.0999999999999994E-2</v>
      </c>
      <c r="I95" s="135">
        <v>0.20800000000000002</v>
      </c>
      <c r="J95" s="135">
        <v>0.17499999999999999</v>
      </c>
      <c r="K95" s="135">
        <v>6.0999999999999999E-2</v>
      </c>
      <c r="L95" s="135">
        <v>7.8E-2</v>
      </c>
      <c r="M95" s="135">
        <v>0.04</v>
      </c>
      <c r="N95" s="135">
        <v>7.2999999999999995E-2</v>
      </c>
      <c r="O95" s="135">
        <v>7.400000000000001E-2</v>
      </c>
      <c r="P95" s="135">
        <v>7.400000000000001E-2</v>
      </c>
      <c r="Q95" s="135">
        <v>7.4999999999999997E-2</v>
      </c>
      <c r="R95" s="135">
        <v>7.4999999999999997E-2</v>
      </c>
    </row>
    <row r="96" spans="2:18" ht="16">
      <c r="B96" s="133" t="s">
        <v>501</v>
      </c>
      <c r="C96" s="134" t="s">
        <v>1072</v>
      </c>
      <c r="D96" s="133" t="s">
        <v>1112</v>
      </c>
      <c r="E96" s="133" t="s">
        <v>968</v>
      </c>
      <c r="F96" s="133" t="s">
        <v>1698</v>
      </c>
      <c r="G96" s="133" t="s">
        <v>1929</v>
      </c>
      <c r="H96" s="135">
        <v>-0.129</v>
      </c>
      <c r="I96" s="135">
        <v>0.11699999999999999</v>
      </c>
      <c r="J96" s="135">
        <v>8.3000000000000004E-2</v>
      </c>
      <c r="K96" s="135">
        <v>0.06</v>
      </c>
      <c r="L96" s="135">
        <v>1.1000000000000001E-2</v>
      </c>
      <c r="M96" s="135">
        <v>3.3000000000000002E-2</v>
      </c>
      <c r="N96" s="135">
        <v>2.7000000000000003E-2</v>
      </c>
      <c r="O96" s="135">
        <v>3.1E-2</v>
      </c>
      <c r="P96" s="135">
        <v>3.1E-2</v>
      </c>
      <c r="Q96" s="135">
        <v>0.03</v>
      </c>
      <c r="R96" s="135">
        <v>0.03</v>
      </c>
    </row>
    <row r="97" spans="2:18" ht="16">
      <c r="B97" s="133" t="s">
        <v>505</v>
      </c>
      <c r="C97" s="134" t="s">
        <v>1072</v>
      </c>
      <c r="D97" s="133" t="s">
        <v>1112</v>
      </c>
      <c r="E97" s="133" t="s">
        <v>968</v>
      </c>
      <c r="F97" s="133" t="s">
        <v>1698</v>
      </c>
      <c r="G97" s="133" t="s">
        <v>1929</v>
      </c>
      <c r="H97" s="135">
        <v>-9.6000000000000002E-2</v>
      </c>
      <c r="I97" s="135">
        <v>0.187</v>
      </c>
      <c r="J97" s="135">
        <v>8.6999999999999994E-2</v>
      </c>
      <c r="K97" s="135">
        <v>3.6000000000000004E-2</v>
      </c>
      <c r="L97" s="135">
        <v>4.2999999999999997E-2</v>
      </c>
      <c r="M97" s="135">
        <v>3.1E-2</v>
      </c>
      <c r="N97" s="135">
        <v>3.1E-2</v>
      </c>
      <c r="O97" s="135">
        <v>3.4000000000000002E-2</v>
      </c>
      <c r="P97" s="135">
        <v>3.5000000000000003E-2</v>
      </c>
      <c r="Q97" s="135">
        <v>3.7000000000000005E-2</v>
      </c>
      <c r="R97" s="135">
        <v>3.7000000000000005E-2</v>
      </c>
    </row>
    <row r="98" spans="2:18" ht="16">
      <c r="B98" s="133" t="s">
        <v>2006</v>
      </c>
      <c r="C98" s="134" t="s">
        <v>1072</v>
      </c>
      <c r="D98" s="133" t="s">
        <v>1112</v>
      </c>
      <c r="E98" s="133" t="s">
        <v>1978</v>
      </c>
      <c r="F98" s="133" t="s">
        <v>1698</v>
      </c>
      <c r="G98" s="133" t="s">
        <v>1929</v>
      </c>
      <c r="H98" s="135">
        <v>-8.8000000000000009E-2</v>
      </c>
      <c r="I98" s="135">
        <v>8.4000000000000005E-2</v>
      </c>
      <c r="J98" s="135">
        <v>3.4000000000000002E-2</v>
      </c>
      <c r="K98" s="135">
        <v>-0.113</v>
      </c>
      <c r="L98" s="135">
        <v>1.8000000000000002E-2</v>
      </c>
      <c r="M98" s="135">
        <v>2.8999999999999998E-2</v>
      </c>
      <c r="N98" s="135">
        <v>2.5000000000000001E-2</v>
      </c>
      <c r="O98" s="136" t="s">
        <v>1114</v>
      </c>
      <c r="P98" s="136" t="s">
        <v>1114</v>
      </c>
      <c r="Q98" s="136" t="s">
        <v>1114</v>
      </c>
      <c r="R98" s="136" t="s">
        <v>1114</v>
      </c>
    </row>
    <row r="99" spans="2:18" ht="16">
      <c r="B99" s="133" t="s">
        <v>542</v>
      </c>
      <c r="C99" s="134" t="s">
        <v>1072</v>
      </c>
      <c r="D99" s="133" t="s">
        <v>1112</v>
      </c>
      <c r="E99" s="133" t="s">
        <v>1990</v>
      </c>
      <c r="F99" s="133" t="s">
        <v>1698</v>
      </c>
      <c r="G99" s="133" t="s">
        <v>1929</v>
      </c>
      <c r="H99" s="135">
        <v>-0.11599999999999999</v>
      </c>
      <c r="I99" s="135">
        <v>5.4000000000000006E-2</v>
      </c>
      <c r="J99" s="135">
        <v>8.8000000000000009E-2</v>
      </c>
      <c r="K99" s="135">
        <v>-0.10400000000000001</v>
      </c>
      <c r="L99" s="135">
        <v>5.0999999999999997E-2</v>
      </c>
      <c r="M99" s="135">
        <v>5.2000000000000005E-2</v>
      </c>
      <c r="N99" s="135">
        <v>5.5E-2</v>
      </c>
      <c r="O99" s="135">
        <v>5.0999999999999997E-2</v>
      </c>
      <c r="P99" s="135">
        <v>5.0999999999999997E-2</v>
      </c>
      <c r="Q99" s="135">
        <v>5.0999999999999997E-2</v>
      </c>
      <c r="R99" s="135">
        <v>4.9000000000000002E-2</v>
      </c>
    </row>
    <row r="100" spans="2:18" ht="16">
      <c r="B100" s="133" t="s">
        <v>2007</v>
      </c>
      <c r="C100" s="134" t="s">
        <v>1072</v>
      </c>
      <c r="D100" s="133" t="s">
        <v>1112</v>
      </c>
      <c r="E100" s="133" t="s">
        <v>1978</v>
      </c>
      <c r="F100" s="133" t="s">
        <v>1698</v>
      </c>
      <c r="G100" s="133" t="s">
        <v>1929</v>
      </c>
      <c r="H100" s="135">
        <v>-5.9000000000000004E-2</v>
      </c>
      <c r="I100" s="135">
        <v>5.7000000000000002E-2</v>
      </c>
      <c r="J100" s="135">
        <v>0.129</v>
      </c>
      <c r="K100" s="135">
        <v>0.13300000000000001</v>
      </c>
      <c r="L100" s="135">
        <v>1.4999999999999999E-2</v>
      </c>
      <c r="M100" s="135">
        <v>2.2000000000000002E-2</v>
      </c>
      <c r="N100" s="135">
        <v>2.5000000000000001E-2</v>
      </c>
      <c r="O100" s="136" t="s">
        <v>1114</v>
      </c>
      <c r="P100" s="136" t="s">
        <v>1114</v>
      </c>
      <c r="Q100" s="136" t="s">
        <v>1114</v>
      </c>
      <c r="R100" s="136" t="s">
        <v>1114</v>
      </c>
    </row>
    <row r="101" spans="2:18" ht="16">
      <c r="B101" s="133" t="s">
        <v>546</v>
      </c>
      <c r="C101" s="134" t="s">
        <v>1072</v>
      </c>
      <c r="D101" s="133" t="s">
        <v>1112</v>
      </c>
      <c r="E101" s="133" t="s">
        <v>2008</v>
      </c>
      <c r="F101" s="133" t="s">
        <v>1698</v>
      </c>
      <c r="G101" s="133" t="s">
        <v>1929</v>
      </c>
      <c r="H101" s="135">
        <v>-2.5000000000000001E-2</v>
      </c>
      <c r="I101" s="135">
        <v>0.13400000000000001</v>
      </c>
      <c r="J101" s="135">
        <v>0.124</v>
      </c>
      <c r="K101" s="135">
        <v>7.5999999999999998E-2</v>
      </c>
      <c r="L101" s="135">
        <v>6.8000000000000005E-2</v>
      </c>
      <c r="M101" s="135">
        <v>5.7000000000000002E-2</v>
      </c>
      <c r="N101" s="135">
        <v>5.7000000000000002E-2</v>
      </c>
      <c r="O101" s="135">
        <v>6.0999999999999999E-2</v>
      </c>
      <c r="P101" s="135">
        <v>6.2E-2</v>
      </c>
      <c r="Q101" s="135">
        <v>6.3E-2</v>
      </c>
      <c r="R101" s="135">
        <v>6.4000000000000001E-2</v>
      </c>
    </row>
    <row r="102" spans="2:18" ht="16">
      <c r="B102" s="133" t="s">
        <v>552</v>
      </c>
      <c r="C102" s="134" t="s">
        <v>1072</v>
      </c>
      <c r="D102" s="133" t="s">
        <v>1112</v>
      </c>
      <c r="E102" s="133" t="s">
        <v>2009</v>
      </c>
      <c r="F102" s="133" t="s">
        <v>1698</v>
      </c>
      <c r="G102" s="133" t="s">
        <v>1929</v>
      </c>
      <c r="H102" s="135">
        <v>-0.27300000000000002</v>
      </c>
      <c r="I102" s="135">
        <v>0.54600000000000004</v>
      </c>
      <c r="J102" s="135">
        <v>-9.9000000000000005E-2</v>
      </c>
      <c r="K102" s="135">
        <v>0.16699999999999998</v>
      </c>
      <c r="L102" s="135">
        <v>0.20100000000000001</v>
      </c>
      <c r="M102" s="135">
        <v>0.25</v>
      </c>
      <c r="N102" s="135">
        <v>0.21</v>
      </c>
      <c r="O102" s="135">
        <v>0.17300000000000001</v>
      </c>
      <c r="P102" s="135">
        <v>0.157</v>
      </c>
      <c r="Q102" s="135">
        <v>0.153</v>
      </c>
      <c r="R102" s="135">
        <v>0.151</v>
      </c>
    </row>
    <row r="103" spans="2:18" ht="16">
      <c r="B103" s="133" t="s">
        <v>554</v>
      </c>
      <c r="C103" s="134" t="s">
        <v>1072</v>
      </c>
      <c r="D103" s="133" t="s">
        <v>1112</v>
      </c>
      <c r="E103" s="133" t="s">
        <v>2010</v>
      </c>
      <c r="F103" s="133" t="s">
        <v>1698</v>
      </c>
      <c r="G103" s="133" t="s">
        <v>1929</v>
      </c>
      <c r="H103" s="135">
        <v>0.14199999999999999</v>
      </c>
      <c r="I103" s="135">
        <v>0.16300000000000001</v>
      </c>
      <c r="J103" s="135">
        <v>0.28899999999999998</v>
      </c>
      <c r="K103" s="135">
        <v>0.28899999999999998</v>
      </c>
      <c r="L103" s="135">
        <v>0.22500000000000001</v>
      </c>
      <c r="M103" s="135">
        <v>0.26600000000000001</v>
      </c>
      <c r="N103" s="135">
        <v>0.23800000000000002</v>
      </c>
      <c r="O103" s="135">
        <v>0.17399999999999999</v>
      </c>
      <c r="P103" s="135">
        <v>0.14099999999999999</v>
      </c>
      <c r="Q103" s="135">
        <v>0.106</v>
      </c>
      <c r="R103" s="135">
        <v>9.0999999999999998E-2</v>
      </c>
    </row>
    <row r="104" spans="2:18" ht="16">
      <c r="B104" s="133" t="s">
        <v>556</v>
      </c>
      <c r="C104" s="134" t="s">
        <v>1072</v>
      </c>
      <c r="D104" s="133" t="s">
        <v>1112</v>
      </c>
      <c r="E104" s="133" t="s">
        <v>2011</v>
      </c>
      <c r="F104" s="133" t="s">
        <v>1698</v>
      </c>
      <c r="G104" s="133" t="s">
        <v>1929</v>
      </c>
      <c r="H104" s="135">
        <v>-7.6999999999999999E-2</v>
      </c>
      <c r="I104" s="135">
        <v>0.21</v>
      </c>
      <c r="J104" s="135">
        <v>0.14800000000000002</v>
      </c>
      <c r="K104" s="135">
        <v>6.5000000000000002E-2</v>
      </c>
      <c r="L104" s="135">
        <v>5.9000000000000004E-2</v>
      </c>
      <c r="M104" s="135">
        <v>3.6000000000000004E-2</v>
      </c>
      <c r="N104" s="135">
        <v>4.2999999999999997E-2</v>
      </c>
      <c r="O104" s="135">
        <v>0.06</v>
      </c>
      <c r="P104" s="135">
        <v>0.06</v>
      </c>
      <c r="Q104" s="135">
        <v>5.9000000000000004E-2</v>
      </c>
      <c r="R104" s="135">
        <v>0.06</v>
      </c>
    </row>
    <row r="105" spans="2:18" ht="16">
      <c r="B105" s="133" t="s">
        <v>579</v>
      </c>
      <c r="C105" s="134" t="s">
        <v>1072</v>
      </c>
      <c r="D105" s="133" t="s">
        <v>1112</v>
      </c>
      <c r="E105" s="133" t="s">
        <v>2012</v>
      </c>
      <c r="F105" s="133" t="s">
        <v>1698</v>
      </c>
      <c r="G105" s="133" t="s">
        <v>1929</v>
      </c>
      <c r="H105" s="135">
        <v>2.4E-2</v>
      </c>
      <c r="I105" s="135">
        <v>0.14599999999999999</v>
      </c>
      <c r="J105" s="135">
        <v>0.11</v>
      </c>
      <c r="K105" s="135">
        <v>6.6000000000000003E-2</v>
      </c>
      <c r="L105" s="135">
        <v>8.8000000000000009E-2</v>
      </c>
      <c r="M105" s="135">
        <v>8.1000000000000003E-2</v>
      </c>
      <c r="N105" s="135">
        <v>8.1000000000000003E-2</v>
      </c>
      <c r="O105" s="135">
        <v>0.08</v>
      </c>
      <c r="P105" s="135">
        <v>7.9000000000000001E-2</v>
      </c>
      <c r="Q105" s="135">
        <v>0.08</v>
      </c>
      <c r="R105" s="135">
        <v>8.1000000000000003E-2</v>
      </c>
    </row>
    <row r="106" spans="2:18" ht="16">
      <c r="B106" s="133" t="s">
        <v>2013</v>
      </c>
      <c r="C106" s="134" t="s">
        <v>1072</v>
      </c>
      <c r="D106" s="133" t="s">
        <v>1112</v>
      </c>
      <c r="E106" s="133" t="s">
        <v>1978</v>
      </c>
      <c r="F106" s="133" t="s">
        <v>1698</v>
      </c>
      <c r="G106" s="133" t="s">
        <v>1929</v>
      </c>
      <c r="H106" s="135">
        <v>3.1E-2</v>
      </c>
      <c r="I106" s="135">
        <v>8.5000000000000006E-2</v>
      </c>
      <c r="J106" s="135">
        <v>9.5000000000000001E-2</v>
      </c>
      <c r="K106" s="135">
        <v>5.4000000000000006E-2</v>
      </c>
      <c r="L106" s="135">
        <v>5.5E-2</v>
      </c>
      <c r="M106" s="135">
        <v>0.04</v>
      </c>
      <c r="N106" s="135">
        <v>3.5000000000000003E-2</v>
      </c>
      <c r="O106" s="136" t="s">
        <v>1114</v>
      </c>
      <c r="P106" s="136" t="s">
        <v>1114</v>
      </c>
      <c r="Q106" s="136" t="s">
        <v>1114</v>
      </c>
      <c r="R106" s="136" t="s">
        <v>1114</v>
      </c>
    </row>
    <row r="107" spans="2:18" ht="16">
      <c r="B107" s="133" t="s">
        <v>638</v>
      </c>
      <c r="C107" s="134" t="s">
        <v>1072</v>
      </c>
      <c r="D107" s="133" t="s">
        <v>1112</v>
      </c>
      <c r="E107" s="133" t="s">
        <v>2014</v>
      </c>
      <c r="F107" s="133" t="s">
        <v>1698</v>
      </c>
      <c r="G107" s="133" t="s">
        <v>1929</v>
      </c>
      <c r="H107" s="135">
        <v>-6.7000000000000004E-2</v>
      </c>
      <c r="I107" s="135">
        <v>0.14699999999999999</v>
      </c>
      <c r="J107" s="135">
        <v>0.14000000000000001</v>
      </c>
      <c r="K107" s="135">
        <v>5.7999999999999996E-2</v>
      </c>
      <c r="L107" s="135">
        <v>6.8000000000000005E-2</v>
      </c>
      <c r="M107" s="135">
        <v>4.9000000000000002E-2</v>
      </c>
      <c r="N107" s="135">
        <v>5.2000000000000005E-2</v>
      </c>
      <c r="O107" s="135">
        <v>4.5999999999999999E-2</v>
      </c>
      <c r="P107" s="135">
        <v>4.5999999999999999E-2</v>
      </c>
      <c r="Q107" s="135">
        <v>4.5999999999999999E-2</v>
      </c>
      <c r="R107" s="135">
        <v>4.7E-2</v>
      </c>
    </row>
    <row r="108" spans="2:18" ht="16">
      <c r="B108" s="133" t="s">
        <v>668</v>
      </c>
      <c r="C108" s="134" t="s">
        <v>1072</v>
      </c>
      <c r="D108" s="133" t="s">
        <v>1112</v>
      </c>
      <c r="E108" s="133" t="s">
        <v>2015</v>
      </c>
      <c r="F108" s="133" t="s">
        <v>1698</v>
      </c>
      <c r="G108" s="133" t="s">
        <v>1929</v>
      </c>
      <c r="H108" s="135">
        <v>8.0000000000000002E-3</v>
      </c>
      <c r="I108" s="135">
        <v>0.19800000000000001</v>
      </c>
      <c r="J108" s="135">
        <v>0.19399999999999998</v>
      </c>
      <c r="K108" s="135">
        <v>0.11199999999999999</v>
      </c>
      <c r="L108" s="135">
        <v>7.8E-2</v>
      </c>
      <c r="M108" s="135">
        <v>6.9000000000000006E-2</v>
      </c>
      <c r="N108" s="135">
        <v>6.8000000000000005E-2</v>
      </c>
      <c r="O108" s="135">
        <v>7.2000000000000008E-2</v>
      </c>
      <c r="P108" s="135">
        <v>7.0000000000000007E-2</v>
      </c>
      <c r="Q108" s="135">
        <v>6.9000000000000006E-2</v>
      </c>
      <c r="R108" s="135">
        <v>6.8000000000000005E-2</v>
      </c>
    </row>
    <row r="109" spans="2:18" ht="16">
      <c r="B109" s="133" t="s">
        <v>686</v>
      </c>
      <c r="C109" s="134" t="s">
        <v>1072</v>
      </c>
      <c r="D109" s="133" t="s">
        <v>1112</v>
      </c>
      <c r="E109" s="133" t="s">
        <v>2016</v>
      </c>
      <c r="F109" s="133" t="s">
        <v>1698</v>
      </c>
      <c r="G109" s="133" t="s">
        <v>1929</v>
      </c>
      <c r="H109" s="135">
        <v>-0.183</v>
      </c>
      <c r="I109" s="135">
        <v>0.11</v>
      </c>
      <c r="J109" s="135">
        <v>6.8000000000000005E-2</v>
      </c>
      <c r="K109" s="135">
        <v>0.06</v>
      </c>
      <c r="L109" s="135">
        <v>3.5000000000000003E-2</v>
      </c>
      <c r="M109" s="135">
        <v>7.0999999999999994E-2</v>
      </c>
      <c r="N109" s="135">
        <v>5.2999999999999999E-2</v>
      </c>
      <c r="O109" s="135">
        <v>4.2000000000000003E-2</v>
      </c>
      <c r="P109" s="135">
        <v>4.4999999999999998E-2</v>
      </c>
      <c r="Q109" s="135">
        <v>4.5999999999999999E-2</v>
      </c>
      <c r="R109" s="135">
        <v>4.7E-2</v>
      </c>
    </row>
    <row r="110" spans="2:18" ht="16">
      <c r="B110" s="133" t="s">
        <v>690</v>
      </c>
      <c r="C110" s="134" t="s">
        <v>1072</v>
      </c>
      <c r="D110" s="133" t="s">
        <v>1112</v>
      </c>
      <c r="E110" s="133" t="s">
        <v>2017</v>
      </c>
      <c r="F110" s="133" t="s">
        <v>1698</v>
      </c>
      <c r="G110" s="133" t="s">
        <v>1929</v>
      </c>
      <c r="H110" s="135">
        <v>-2.8999999999999998E-2</v>
      </c>
      <c r="I110" s="135">
        <v>0.10099999999999999</v>
      </c>
      <c r="J110" s="135">
        <v>0.11599999999999999</v>
      </c>
      <c r="K110" s="135">
        <v>6.8000000000000005E-2</v>
      </c>
      <c r="L110" s="135">
        <v>7.2000000000000008E-2</v>
      </c>
      <c r="M110" s="135">
        <v>6.6000000000000003E-2</v>
      </c>
      <c r="N110" s="135">
        <v>0.06</v>
      </c>
      <c r="O110" s="135">
        <v>6.4000000000000001E-2</v>
      </c>
      <c r="P110" s="135">
        <v>6.4000000000000001E-2</v>
      </c>
      <c r="Q110" s="135">
        <v>6.3E-2</v>
      </c>
      <c r="R110" s="135">
        <v>6.3E-2</v>
      </c>
    </row>
    <row r="111" spans="2:18" ht="16">
      <c r="B111" s="133" t="s">
        <v>692</v>
      </c>
      <c r="C111" s="134" t="s">
        <v>1072</v>
      </c>
      <c r="D111" s="133" t="s">
        <v>1112</v>
      </c>
      <c r="E111" s="133" t="s">
        <v>2018</v>
      </c>
      <c r="F111" s="133" t="s">
        <v>1698</v>
      </c>
      <c r="G111" s="133" t="s">
        <v>1929</v>
      </c>
      <c r="H111" s="135">
        <v>-9.9000000000000005E-2</v>
      </c>
      <c r="I111" s="135">
        <v>0.152</v>
      </c>
      <c r="J111" s="135">
        <v>0.114</v>
      </c>
      <c r="K111" s="135">
        <v>5.9000000000000004E-2</v>
      </c>
      <c r="L111" s="135">
        <v>4.4000000000000004E-2</v>
      </c>
      <c r="M111" s="135">
        <v>0.01</v>
      </c>
      <c r="N111" s="135">
        <v>2.8999999999999998E-2</v>
      </c>
      <c r="O111" s="135">
        <v>4.4000000000000004E-2</v>
      </c>
      <c r="P111" s="135">
        <v>4.2999999999999997E-2</v>
      </c>
      <c r="Q111" s="135">
        <v>4.2999999999999997E-2</v>
      </c>
      <c r="R111" s="135">
        <v>4.4000000000000004E-2</v>
      </c>
    </row>
    <row r="112" spans="2:18" ht="16">
      <c r="B112" s="133" t="s">
        <v>1434</v>
      </c>
      <c r="C112" s="134" t="s">
        <v>1072</v>
      </c>
      <c r="D112" s="133" t="s">
        <v>1112</v>
      </c>
      <c r="E112" s="133" t="s">
        <v>968</v>
      </c>
      <c r="F112" s="133" t="s">
        <v>1698</v>
      </c>
      <c r="G112" s="133" t="s">
        <v>1929</v>
      </c>
      <c r="H112" s="135">
        <v>-4.2999999999999997E-2</v>
      </c>
      <c r="I112" s="135">
        <v>0.23</v>
      </c>
      <c r="J112" s="135">
        <v>0.11599999999999999</v>
      </c>
      <c r="K112" s="135">
        <v>6.4000000000000001E-2</v>
      </c>
      <c r="L112" s="135">
        <v>4.0999999999999995E-2</v>
      </c>
      <c r="M112" s="135">
        <v>3.6000000000000004E-2</v>
      </c>
      <c r="N112" s="135">
        <v>0.04</v>
      </c>
      <c r="O112" s="135">
        <v>4.9000000000000002E-2</v>
      </c>
      <c r="P112" s="135">
        <v>4.7E-2</v>
      </c>
      <c r="Q112" s="135">
        <v>4.7E-2</v>
      </c>
      <c r="R112" s="135">
        <v>4.8000000000000001E-2</v>
      </c>
    </row>
    <row r="113" spans="2:18" ht="16">
      <c r="B113" s="133" t="s">
        <v>2019</v>
      </c>
      <c r="C113" s="134" t="s">
        <v>1072</v>
      </c>
      <c r="D113" s="133" t="s">
        <v>1112</v>
      </c>
      <c r="E113" s="133" t="s">
        <v>2004</v>
      </c>
      <c r="F113" s="133" t="s">
        <v>1698</v>
      </c>
      <c r="G113" s="133" t="s">
        <v>1929</v>
      </c>
      <c r="H113" s="135">
        <v>-0.122</v>
      </c>
      <c r="I113" s="135">
        <v>0.14199999999999999</v>
      </c>
      <c r="J113" s="135">
        <v>0.10199999999999999</v>
      </c>
      <c r="K113" s="135">
        <v>0.13</v>
      </c>
      <c r="L113" s="135">
        <v>0.13900000000000001</v>
      </c>
      <c r="M113" s="135">
        <v>0.13800000000000001</v>
      </c>
      <c r="N113" s="135">
        <v>0.13600000000000001</v>
      </c>
      <c r="O113" s="136" t="s">
        <v>1114</v>
      </c>
      <c r="P113" s="136" t="s">
        <v>1114</v>
      </c>
      <c r="Q113" s="136" t="s">
        <v>1114</v>
      </c>
      <c r="R113" s="136" t="s">
        <v>1114</v>
      </c>
    </row>
    <row r="114" spans="2:18" ht="16">
      <c r="B114" s="133" t="s">
        <v>2020</v>
      </c>
      <c r="C114" s="134" t="s">
        <v>1072</v>
      </c>
      <c r="D114" s="133" t="s">
        <v>1112</v>
      </c>
      <c r="E114" s="133" t="s">
        <v>1990</v>
      </c>
      <c r="F114" s="133" t="s">
        <v>1698</v>
      </c>
      <c r="G114" s="133" t="s">
        <v>1929</v>
      </c>
      <c r="H114" s="135">
        <v>-0.20800000000000002</v>
      </c>
      <c r="I114" s="135">
        <v>-2.5000000000000001E-2</v>
      </c>
      <c r="J114" s="135">
        <v>0.14300000000000002</v>
      </c>
      <c r="K114" s="135">
        <v>7.400000000000001E-2</v>
      </c>
      <c r="L114" s="135">
        <v>4.8000000000000001E-2</v>
      </c>
      <c r="M114" s="135">
        <v>5.0999999999999997E-2</v>
      </c>
      <c r="N114" s="135">
        <v>5.2000000000000005E-2</v>
      </c>
      <c r="O114" s="135">
        <v>5.2000000000000005E-2</v>
      </c>
      <c r="P114" s="135">
        <v>5.4000000000000006E-2</v>
      </c>
      <c r="Q114" s="135">
        <v>5.5E-2</v>
      </c>
      <c r="R114" s="135">
        <v>5.0999999999999997E-2</v>
      </c>
    </row>
    <row r="115" spans="2:18" ht="16">
      <c r="B115" s="133" t="s">
        <v>2021</v>
      </c>
      <c r="C115" s="134" t="s">
        <v>1072</v>
      </c>
      <c r="D115" s="133" t="s">
        <v>1112</v>
      </c>
      <c r="E115" s="133" t="s">
        <v>1990</v>
      </c>
      <c r="F115" s="133" t="s">
        <v>1698</v>
      </c>
      <c r="G115" s="133" t="s">
        <v>1929</v>
      </c>
      <c r="H115" s="135">
        <v>-8.0000000000000002E-3</v>
      </c>
      <c r="I115" s="135">
        <v>0.15</v>
      </c>
      <c r="J115" s="135">
        <v>7.2000000000000008E-2</v>
      </c>
      <c r="K115" s="135">
        <v>0.01</v>
      </c>
      <c r="L115" s="135">
        <v>3.1E-2</v>
      </c>
      <c r="M115" s="135">
        <v>3.7999999999999999E-2</v>
      </c>
      <c r="N115" s="135">
        <v>4.4999999999999998E-2</v>
      </c>
      <c r="O115" s="135">
        <v>4.7E-2</v>
      </c>
      <c r="P115" s="135">
        <v>4.2000000000000003E-2</v>
      </c>
      <c r="Q115" s="135">
        <v>4.2000000000000003E-2</v>
      </c>
      <c r="R115" s="135">
        <v>3.7000000000000005E-2</v>
      </c>
    </row>
    <row r="116" spans="2:18" ht="16">
      <c r="B116" s="133" t="s">
        <v>2022</v>
      </c>
      <c r="C116" s="134" t="s">
        <v>1072</v>
      </c>
      <c r="D116" s="133" t="s">
        <v>1112</v>
      </c>
      <c r="E116" s="133" t="s">
        <v>1990</v>
      </c>
      <c r="F116" s="133" t="s">
        <v>1698</v>
      </c>
      <c r="G116" s="133" t="s">
        <v>1929</v>
      </c>
      <c r="H116" s="135">
        <v>4.8000000000000001E-2</v>
      </c>
      <c r="I116" s="135">
        <v>9.0999999999999998E-2</v>
      </c>
      <c r="J116" s="135">
        <v>1.8000000000000002E-2</v>
      </c>
      <c r="K116" s="135">
        <v>3.7000000000000005E-2</v>
      </c>
      <c r="L116" s="135">
        <v>9.1999999999999998E-2</v>
      </c>
      <c r="M116" s="135">
        <v>7.0000000000000007E-2</v>
      </c>
      <c r="N116" s="135">
        <v>6.3E-2</v>
      </c>
      <c r="O116" s="135">
        <v>6.0999999999999999E-2</v>
      </c>
      <c r="P116" s="135">
        <v>0.06</v>
      </c>
      <c r="Q116" s="135">
        <v>5.9000000000000004E-2</v>
      </c>
      <c r="R116" s="135">
        <v>5.7999999999999996E-2</v>
      </c>
    </row>
    <row r="117" spans="2:18" ht="16">
      <c r="B117" s="133" t="s">
        <v>773</v>
      </c>
      <c r="C117" s="138" t="s">
        <v>1072</v>
      </c>
      <c r="D117" s="133" t="s">
        <v>1112</v>
      </c>
      <c r="E117" s="133" t="s">
        <v>2023</v>
      </c>
      <c r="F117" s="133" t="s">
        <v>1698</v>
      </c>
      <c r="G117" s="133" t="s">
        <v>1929</v>
      </c>
      <c r="H117" s="135">
        <v>-4.2999999999999997E-2</v>
      </c>
      <c r="I117" s="135">
        <v>0.111</v>
      </c>
      <c r="J117" s="135">
        <v>0.114</v>
      </c>
      <c r="K117" s="135">
        <v>-5.2999999999999999E-2</v>
      </c>
      <c r="L117" s="135">
        <v>2.7999999999999997E-2</v>
      </c>
      <c r="M117" s="135">
        <v>5.0999999999999997E-2</v>
      </c>
      <c r="N117" s="135">
        <v>3.9E-2</v>
      </c>
      <c r="O117" s="135">
        <v>3.4000000000000002E-2</v>
      </c>
      <c r="P117" s="135">
        <v>4.5999999999999999E-2</v>
      </c>
      <c r="Q117" s="135">
        <v>4.5999999999999999E-2</v>
      </c>
      <c r="R117" s="135">
        <v>4.4999999999999998E-2</v>
      </c>
    </row>
    <row r="118" spans="2:18" ht="16">
      <c r="B118" s="133"/>
      <c r="C118" s="134" t="s">
        <v>41</v>
      </c>
      <c r="D118" s="133"/>
      <c r="E118" s="133"/>
      <c r="F118" s="133"/>
      <c r="G118" s="133"/>
      <c r="H118" s="135"/>
      <c r="I118" s="135"/>
      <c r="J118" s="135"/>
      <c r="K118" s="135"/>
      <c r="L118" s="135"/>
      <c r="M118" s="135"/>
      <c r="N118" s="135"/>
      <c r="O118" s="135"/>
      <c r="P118" s="135"/>
      <c r="Q118" s="135"/>
      <c r="R118" s="135"/>
    </row>
    <row r="119" spans="2:18" ht="16">
      <c r="B119" s="133" t="s">
        <v>794</v>
      </c>
      <c r="C119" s="138" t="s">
        <v>1072</v>
      </c>
      <c r="D119" s="133" t="s">
        <v>1112</v>
      </c>
      <c r="E119" s="133" t="s">
        <v>2024</v>
      </c>
      <c r="F119" s="133" t="s">
        <v>1698</v>
      </c>
      <c r="G119" s="133" t="s">
        <v>1929</v>
      </c>
      <c r="H119" s="135">
        <v>-0.01</v>
      </c>
      <c r="I119" s="135">
        <v>7.8E-2</v>
      </c>
      <c r="J119" s="135">
        <v>0.153</v>
      </c>
      <c r="K119" s="135">
        <v>9.5000000000000001E-2</v>
      </c>
      <c r="L119" s="135">
        <v>8.199999999999999E-2</v>
      </c>
      <c r="M119" s="135">
        <v>0.09</v>
      </c>
      <c r="N119" s="135">
        <v>7.6999999999999999E-2</v>
      </c>
      <c r="O119" s="135">
        <v>7.5999999999999998E-2</v>
      </c>
      <c r="P119" s="135">
        <v>7.4999999999999997E-2</v>
      </c>
      <c r="Q119" s="135">
        <v>7.2999999999999995E-2</v>
      </c>
      <c r="R119" s="135">
        <v>7.2000000000000008E-2</v>
      </c>
    </row>
    <row r="120" spans="2:18" ht="16">
      <c r="B120" s="133" t="s">
        <v>2025</v>
      </c>
      <c r="C120" s="138" t="s">
        <v>1072</v>
      </c>
      <c r="D120" s="133" t="s">
        <v>1112</v>
      </c>
      <c r="E120" s="133" t="s">
        <v>968</v>
      </c>
      <c r="F120" s="133" t="s">
        <v>1698</v>
      </c>
      <c r="G120" s="133" t="s">
        <v>1929</v>
      </c>
      <c r="H120" s="135">
        <v>-6.0000000000000001E-3</v>
      </c>
      <c r="I120" s="135">
        <v>7.6999999999999999E-2</v>
      </c>
      <c r="J120" s="135">
        <v>0.10199999999999999</v>
      </c>
      <c r="K120" s="135">
        <v>-3.6000000000000004E-2</v>
      </c>
      <c r="L120" s="135">
        <v>3.7000000000000005E-2</v>
      </c>
      <c r="M120" s="135">
        <v>3.7999999999999999E-2</v>
      </c>
      <c r="N120" s="135">
        <v>3.7000000000000005E-2</v>
      </c>
      <c r="O120" s="136"/>
      <c r="P120" s="136" t="s">
        <v>1114</v>
      </c>
      <c r="Q120" s="136" t="s">
        <v>1114</v>
      </c>
      <c r="R120" s="136" t="s">
        <v>1114</v>
      </c>
    </row>
    <row r="121" spans="2:18" ht="16">
      <c r="B121" s="133" t="s">
        <v>1120</v>
      </c>
      <c r="C121" s="138" t="s">
        <v>1072</v>
      </c>
      <c r="D121" s="133" t="s">
        <v>1112</v>
      </c>
      <c r="E121" s="133" t="s">
        <v>2026</v>
      </c>
      <c r="F121" s="133" t="s">
        <v>1698</v>
      </c>
      <c r="G121" s="133" t="s">
        <v>1929</v>
      </c>
      <c r="H121" s="135">
        <v>23.298000000000002</v>
      </c>
      <c r="I121" s="135">
        <v>12.092000000000001</v>
      </c>
      <c r="J121" s="135">
        <v>2.3580000000000001</v>
      </c>
      <c r="K121" s="135">
        <v>3.4560000000000004</v>
      </c>
      <c r="L121" s="135">
        <v>0.70799999999999996</v>
      </c>
      <c r="M121" s="135">
        <v>0.98199999999999998</v>
      </c>
      <c r="N121" s="135">
        <v>0.82499999999999996</v>
      </c>
      <c r="O121" s="135">
        <v>0.45</v>
      </c>
      <c r="P121" s="135">
        <v>0.33799999999999997</v>
      </c>
      <c r="Q121" s="135">
        <v>0.26</v>
      </c>
      <c r="R121" s="135">
        <v>0.253</v>
      </c>
    </row>
    <row r="122" spans="2:18" ht="16">
      <c r="B122" s="133" t="s">
        <v>2027</v>
      </c>
      <c r="C122" s="138" t="s">
        <v>1072</v>
      </c>
      <c r="D122" s="133" t="s">
        <v>1112</v>
      </c>
      <c r="E122" s="133" t="s">
        <v>968</v>
      </c>
      <c r="F122" s="133" t="s">
        <v>1698</v>
      </c>
      <c r="G122" s="133" t="s">
        <v>1929</v>
      </c>
      <c r="H122" s="135">
        <v>-8.5999999999999993E-2</v>
      </c>
      <c r="I122" s="135">
        <v>6.3E-2</v>
      </c>
      <c r="J122" s="135">
        <v>7.8E-2</v>
      </c>
      <c r="K122" s="135">
        <v>-1.9E-2</v>
      </c>
      <c r="L122" s="135">
        <v>-1.2E-2</v>
      </c>
      <c r="M122" s="135">
        <v>4.2000000000000003E-2</v>
      </c>
      <c r="N122" s="135">
        <v>8.0000000000000002E-3</v>
      </c>
      <c r="O122" s="135">
        <v>2.7000000000000003E-2</v>
      </c>
      <c r="P122" s="135">
        <v>3.7999999999999999E-2</v>
      </c>
      <c r="Q122" s="135">
        <v>0.04</v>
      </c>
      <c r="R122" s="135">
        <v>4.2999999999999997E-2</v>
      </c>
    </row>
    <row r="123" spans="2:18" ht="16">
      <c r="B123" s="133" t="s">
        <v>393</v>
      </c>
      <c r="C123" s="138" t="s">
        <v>1072</v>
      </c>
      <c r="D123" s="133" t="s">
        <v>1112</v>
      </c>
      <c r="E123" s="133" t="s">
        <v>2028</v>
      </c>
      <c r="F123" s="133" t="s">
        <v>1698</v>
      </c>
      <c r="G123" s="133" t="s">
        <v>1929</v>
      </c>
      <c r="H123" s="135">
        <v>-3.1E-2</v>
      </c>
      <c r="I123" s="135">
        <v>7.5999999999999998E-2</v>
      </c>
      <c r="J123" s="135">
        <v>0.12300000000000001</v>
      </c>
      <c r="K123" s="135">
        <v>0.11199999999999999</v>
      </c>
      <c r="L123" s="135">
        <v>7.2000000000000008E-2</v>
      </c>
      <c r="M123" s="135">
        <v>3.1E-2</v>
      </c>
      <c r="N123" s="135">
        <v>4.7E-2</v>
      </c>
      <c r="O123" s="135">
        <v>6.0999999999999999E-2</v>
      </c>
      <c r="P123" s="135">
        <v>5.7000000000000002E-2</v>
      </c>
      <c r="Q123" s="135">
        <v>5.2000000000000005E-2</v>
      </c>
      <c r="R123" s="135">
        <v>5.0999999999999997E-2</v>
      </c>
    </row>
    <row r="124" spans="2:18" ht="16">
      <c r="B124" s="133" t="s">
        <v>399</v>
      </c>
      <c r="C124" s="138" t="s">
        <v>1072</v>
      </c>
      <c r="D124" s="133" t="s">
        <v>1112</v>
      </c>
      <c r="E124" s="133" t="s">
        <v>2029</v>
      </c>
      <c r="F124" s="133" t="s">
        <v>1698</v>
      </c>
      <c r="G124" s="133" t="s">
        <v>1929</v>
      </c>
      <c r="H124" s="135">
        <v>0.191</v>
      </c>
      <c r="I124" s="135">
        <v>0.192</v>
      </c>
      <c r="J124" s="135">
        <v>0.29799999999999999</v>
      </c>
      <c r="K124" s="135">
        <v>0.17899999999999999</v>
      </c>
      <c r="L124" s="135">
        <v>0.107</v>
      </c>
      <c r="M124" s="135">
        <v>0.221</v>
      </c>
      <c r="N124" s="135">
        <v>0.16300000000000001</v>
      </c>
      <c r="O124" s="135">
        <v>0.121</v>
      </c>
      <c r="P124" s="135">
        <v>0.109</v>
      </c>
      <c r="Q124" s="135">
        <v>0.10800000000000001</v>
      </c>
      <c r="R124" s="135">
        <v>0.106</v>
      </c>
    </row>
    <row r="125" spans="2:18" ht="16">
      <c r="B125" s="133" t="s">
        <v>417</v>
      </c>
      <c r="C125" s="138" t="s">
        <v>1072</v>
      </c>
      <c r="D125" s="133" t="s">
        <v>1112</v>
      </c>
      <c r="E125" s="133" t="s">
        <v>2030</v>
      </c>
      <c r="F125" s="133" t="s">
        <v>1698</v>
      </c>
      <c r="G125" s="133" t="s">
        <v>1929</v>
      </c>
      <c r="H125" s="135">
        <v>-0.14300000000000002</v>
      </c>
      <c r="I125" s="135">
        <v>9.5000000000000001E-2</v>
      </c>
      <c r="J125" s="135">
        <v>-5.0999999999999997E-2</v>
      </c>
      <c r="K125" s="135">
        <v>1.1000000000000001E-2</v>
      </c>
      <c r="L125" s="135">
        <v>2.5000000000000001E-2</v>
      </c>
      <c r="M125" s="135">
        <v>1.4999999999999999E-2</v>
      </c>
      <c r="N125" s="135">
        <v>3.7999999999999999E-2</v>
      </c>
      <c r="O125" s="135">
        <v>0.03</v>
      </c>
      <c r="P125" s="135">
        <v>3.1E-2</v>
      </c>
      <c r="Q125" s="135">
        <v>3.3000000000000002E-2</v>
      </c>
      <c r="R125" s="135">
        <v>3.3000000000000002E-2</v>
      </c>
    </row>
    <row r="126" spans="2:18" ht="16">
      <c r="B126" s="133" t="s">
        <v>429</v>
      </c>
      <c r="C126" s="138" t="s">
        <v>1072</v>
      </c>
      <c r="D126" s="133" t="s">
        <v>1112</v>
      </c>
      <c r="E126" s="133" t="s">
        <v>2031</v>
      </c>
      <c r="F126" s="133" t="s">
        <v>1698</v>
      </c>
      <c r="G126" s="133" t="s">
        <v>1929</v>
      </c>
      <c r="H126" s="135">
        <v>3.4000000000000002E-2</v>
      </c>
      <c r="I126" s="135">
        <v>4.9000000000000002E-2</v>
      </c>
      <c r="J126" s="135">
        <v>-2.2000000000000002E-2</v>
      </c>
      <c r="K126" s="135">
        <v>3.6000000000000004E-2</v>
      </c>
      <c r="L126" s="135">
        <v>4.7E-2</v>
      </c>
      <c r="M126" s="135">
        <v>5.7999999999999996E-2</v>
      </c>
      <c r="N126" s="135">
        <v>5.4000000000000006E-2</v>
      </c>
      <c r="O126" s="135">
        <v>5.4000000000000006E-2</v>
      </c>
      <c r="P126" s="135">
        <v>5.2999999999999999E-2</v>
      </c>
      <c r="Q126" s="135">
        <v>5.5E-2</v>
      </c>
      <c r="R126" s="135">
        <v>5.5E-2</v>
      </c>
    </row>
    <row r="127" spans="2:18" ht="16">
      <c r="B127" s="133" t="s">
        <v>439</v>
      </c>
      <c r="C127" s="138" t="s">
        <v>1072</v>
      </c>
      <c r="D127" s="133" t="s">
        <v>1112</v>
      </c>
      <c r="E127" s="133" t="s">
        <v>2032</v>
      </c>
      <c r="F127" s="133" t="s">
        <v>1698</v>
      </c>
      <c r="G127" s="133" t="s">
        <v>1929</v>
      </c>
      <c r="H127" s="135">
        <v>2.8999999999999998E-2</v>
      </c>
      <c r="I127" s="135">
        <v>6.4000000000000001E-2</v>
      </c>
      <c r="J127" s="135">
        <v>0.11199999999999999</v>
      </c>
      <c r="K127" s="135">
        <v>8.900000000000001E-2</v>
      </c>
      <c r="L127" s="135">
        <v>6.9999999999999993E-3</v>
      </c>
      <c r="M127" s="135">
        <v>4.2000000000000003E-2</v>
      </c>
      <c r="N127" s="135">
        <v>0.06</v>
      </c>
      <c r="O127" s="135">
        <v>6.6000000000000003E-2</v>
      </c>
      <c r="P127" s="135">
        <v>0.08</v>
      </c>
      <c r="Q127" s="135">
        <v>8.1000000000000003E-2</v>
      </c>
      <c r="R127" s="135">
        <v>7.5999999999999998E-2</v>
      </c>
    </row>
    <row r="128" spans="2:18" ht="16">
      <c r="B128" s="133" t="s">
        <v>449</v>
      </c>
      <c r="C128" s="138" t="s">
        <v>1072</v>
      </c>
      <c r="D128" s="133" t="s">
        <v>1112</v>
      </c>
      <c r="E128" s="133" t="s">
        <v>2031</v>
      </c>
      <c r="F128" s="133" t="s">
        <v>1698</v>
      </c>
      <c r="G128" s="133" t="s">
        <v>1929</v>
      </c>
      <c r="H128" s="135">
        <v>3.6000000000000004E-2</v>
      </c>
      <c r="I128" s="135">
        <v>0.06</v>
      </c>
      <c r="J128" s="135">
        <v>0.1</v>
      </c>
      <c r="K128" s="135">
        <v>3.6000000000000004E-2</v>
      </c>
      <c r="L128" s="135">
        <v>6.7000000000000004E-2</v>
      </c>
      <c r="M128" s="135">
        <v>5.4000000000000006E-2</v>
      </c>
      <c r="N128" s="135">
        <v>0.05</v>
      </c>
      <c r="O128" s="135">
        <v>4.7E-2</v>
      </c>
      <c r="P128" s="135">
        <v>4.8000000000000001E-2</v>
      </c>
      <c r="Q128" s="135">
        <v>0.05</v>
      </c>
      <c r="R128" s="135">
        <v>5.0999999999999997E-2</v>
      </c>
    </row>
    <row r="129" spans="2:18" ht="16">
      <c r="B129" s="133" t="s">
        <v>451</v>
      </c>
      <c r="C129" s="138" t="s">
        <v>1072</v>
      </c>
      <c r="D129" s="133" t="s">
        <v>1112</v>
      </c>
      <c r="E129" s="133" t="s">
        <v>2033</v>
      </c>
      <c r="F129" s="133" t="s">
        <v>1698</v>
      </c>
      <c r="G129" s="133" t="s">
        <v>1929</v>
      </c>
      <c r="H129" s="135">
        <v>-2E-3</v>
      </c>
      <c r="I129" s="135">
        <v>8.8000000000000009E-2</v>
      </c>
      <c r="J129" s="135">
        <v>0.158</v>
      </c>
      <c r="K129" s="135">
        <v>0.13600000000000001</v>
      </c>
      <c r="L129" s="135">
        <v>0.20699999999999999</v>
      </c>
      <c r="M129" s="135">
        <v>0.39899999999999997</v>
      </c>
      <c r="N129" s="135">
        <v>0.31900000000000001</v>
      </c>
      <c r="O129" s="135">
        <v>0.254</v>
      </c>
      <c r="P129" s="135">
        <v>0.20300000000000001</v>
      </c>
      <c r="Q129" s="135">
        <v>0.16600000000000001</v>
      </c>
      <c r="R129" s="135">
        <v>0.14400000000000002</v>
      </c>
    </row>
    <row r="130" spans="2:18" ht="16">
      <c r="B130" s="133" t="s">
        <v>456</v>
      </c>
      <c r="C130" s="134" t="s">
        <v>1072</v>
      </c>
      <c r="D130" s="133" t="s">
        <v>1112</v>
      </c>
      <c r="E130" s="133" t="s">
        <v>2034</v>
      </c>
      <c r="F130" s="133" t="s">
        <v>1698</v>
      </c>
      <c r="G130" s="133" t="s">
        <v>1929</v>
      </c>
      <c r="H130" s="135">
        <v>4.0000000000000001E-3</v>
      </c>
      <c r="I130" s="135">
        <v>4.4000000000000004E-2</v>
      </c>
      <c r="J130" s="135">
        <v>5.2999999999999999E-2</v>
      </c>
      <c r="K130" s="135">
        <v>6.7000000000000004E-2</v>
      </c>
      <c r="L130" s="135">
        <v>5.7000000000000002E-2</v>
      </c>
      <c r="M130" s="135">
        <v>4.4000000000000004E-2</v>
      </c>
      <c r="N130" s="135">
        <v>4.8000000000000001E-2</v>
      </c>
      <c r="O130" s="135">
        <v>4.4000000000000004E-2</v>
      </c>
      <c r="P130" s="135">
        <v>4.2000000000000003E-2</v>
      </c>
      <c r="Q130" s="135">
        <v>4.2000000000000003E-2</v>
      </c>
      <c r="R130" s="135">
        <v>4.2000000000000003E-2</v>
      </c>
    </row>
    <row r="131" spans="2:18" ht="16">
      <c r="B131" s="133" t="s">
        <v>462</v>
      </c>
      <c r="C131" s="138" t="s">
        <v>1072</v>
      </c>
      <c r="D131" s="133" t="s">
        <v>1112</v>
      </c>
      <c r="E131" s="133" t="s">
        <v>2034</v>
      </c>
      <c r="F131" s="133" t="s">
        <v>1698</v>
      </c>
      <c r="G131" s="133" t="s">
        <v>1929</v>
      </c>
      <c r="H131" s="135">
        <v>-3.9E-2</v>
      </c>
      <c r="I131" s="135">
        <v>4.2999999999999997E-2</v>
      </c>
      <c r="J131" s="135">
        <v>0.12</v>
      </c>
      <c r="K131" s="135">
        <v>3.2000000000000001E-2</v>
      </c>
      <c r="L131" s="135">
        <v>2.7999999999999997E-2</v>
      </c>
      <c r="M131" s="135">
        <v>2.7999999999999997E-2</v>
      </c>
      <c r="N131" s="135">
        <v>0.04</v>
      </c>
      <c r="O131" s="135">
        <v>3.7999999999999999E-2</v>
      </c>
      <c r="P131" s="135">
        <v>4.0999999999999995E-2</v>
      </c>
      <c r="Q131" s="135">
        <v>4.4000000000000004E-2</v>
      </c>
      <c r="R131" s="135">
        <v>4.4999999999999998E-2</v>
      </c>
    </row>
    <row r="132" spans="2:18" ht="16">
      <c r="B132" s="133" t="s">
        <v>464</v>
      </c>
      <c r="C132" s="138" t="s">
        <v>1072</v>
      </c>
      <c r="D132" s="133" t="s">
        <v>1112</v>
      </c>
      <c r="E132" s="133" t="s">
        <v>2034</v>
      </c>
      <c r="F132" s="133" t="s">
        <v>1698</v>
      </c>
      <c r="G132" s="133" t="s">
        <v>1929</v>
      </c>
      <c r="H132" s="135">
        <v>3.0000000000000001E-3</v>
      </c>
      <c r="I132" s="135">
        <v>-4.9000000000000002E-2</v>
      </c>
      <c r="J132" s="135">
        <v>2.2000000000000002E-2</v>
      </c>
      <c r="K132" s="135">
        <v>2.7999999999999997E-2</v>
      </c>
      <c r="L132" s="135">
        <v>0.05</v>
      </c>
      <c r="M132" s="135">
        <v>4.4999999999999998E-2</v>
      </c>
      <c r="N132" s="135">
        <v>4.4999999999999998E-2</v>
      </c>
      <c r="O132" s="135">
        <v>3.5000000000000003E-2</v>
      </c>
      <c r="P132" s="135">
        <v>3.7999999999999999E-2</v>
      </c>
      <c r="Q132" s="135">
        <v>3.6000000000000004E-2</v>
      </c>
      <c r="R132" s="135">
        <v>3.7000000000000005E-2</v>
      </c>
    </row>
    <row r="133" spans="2:18" ht="16">
      <c r="B133" s="133" t="s">
        <v>474</v>
      </c>
      <c r="C133" s="138" t="s">
        <v>1072</v>
      </c>
      <c r="D133" s="133" t="s">
        <v>1112</v>
      </c>
      <c r="E133" s="133" t="s">
        <v>2035</v>
      </c>
      <c r="F133" s="133" t="s">
        <v>1698</v>
      </c>
      <c r="G133" s="133" t="s">
        <v>1929</v>
      </c>
      <c r="H133" s="135">
        <v>4.8000000000000001E-2</v>
      </c>
      <c r="I133" s="135">
        <v>-2.7999999999999997E-2</v>
      </c>
      <c r="J133" s="135">
        <v>0.14400000000000002</v>
      </c>
      <c r="K133" s="135">
        <v>9.0999999999999998E-2</v>
      </c>
      <c r="L133" s="135">
        <v>0.114</v>
      </c>
      <c r="M133" s="135">
        <v>6.6000000000000003E-2</v>
      </c>
      <c r="N133" s="135">
        <v>6.0999999999999999E-2</v>
      </c>
      <c r="O133" s="135">
        <v>4.4000000000000004E-2</v>
      </c>
      <c r="P133" s="135">
        <v>4.4999999999999998E-2</v>
      </c>
      <c r="Q133" s="135">
        <v>4.0999999999999995E-2</v>
      </c>
      <c r="R133" s="135">
        <v>4.5999999999999999E-2</v>
      </c>
    </row>
    <row r="134" spans="2:18" ht="16">
      <c r="B134" s="133" t="s">
        <v>2036</v>
      </c>
      <c r="C134" s="138" t="s">
        <v>1072</v>
      </c>
      <c r="D134" s="133" t="s">
        <v>1112</v>
      </c>
      <c r="E134" s="133" t="s">
        <v>2037</v>
      </c>
      <c r="F134" s="133" t="s">
        <v>1698</v>
      </c>
      <c r="G134" s="133" t="s">
        <v>1929</v>
      </c>
      <c r="H134" s="135">
        <v>0.13900000000000001</v>
      </c>
      <c r="I134" s="135">
        <v>8.4000000000000005E-2</v>
      </c>
      <c r="J134" s="135">
        <v>0.37</v>
      </c>
      <c r="K134" s="135">
        <v>-4.0999999999999995E-2</v>
      </c>
      <c r="L134" s="135">
        <v>0.218</v>
      </c>
      <c r="M134" s="135">
        <v>0.11900000000000001</v>
      </c>
      <c r="N134" s="135">
        <v>0.10099999999999999</v>
      </c>
      <c r="O134" s="135">
        <v>9.1999999999999998E-2</v>
      </c>
      <c r="P134" s="135">
        <v>9.6000000000000002E-2</v>
      </c>
      <c r="Q134" s="135">
        <v>8.6999999999999994E-2</v>
      </c>
      <c r="R134" s="135">
        <v>9.4E-2</v>
      </c>
    </row>
    <row r="135" spans="2:18" ht="16">
      <c r="B135" s="133" t="s">
        <v>2038</v>
      </c>
      <c r="C135" s="138" t="s">
        <v>1072</v>
      </c>
      <c r="D135" s="133" t="s">
        <v>1112</v>
      </c>
      <c r="E135" s="133" t="s">
        <v>2034</v>
      </c>
      <c r="F135" s="133" t="s">
        <v>1698</v>
      </c>
      <c r="G135" s="133" t="s">
        <v>1929</v>
      </c>
      <c r="H135" s="135">
        <v>-8.1000000000000003E-2</v>
      </c>
      <c r="I135" s="135">
        <v>-0.113</v>
      </c>
      <c r="J135" s="135">
        <v>-0.19699999999999998</v>
      </c>
      <c r="K135" s="135">
        <v>0.61599999999999999</v>
      </c>
      <c r="L135" s="135">
        <v>0</v>
      </c>
      <c r="M135" s="135">
        <v>2.1000000000000001E-2</v>
      </c>
      <c r="N135" s="135">
        <v>4.4000000000000004E-2</v>
      </c>
      <c r="O135" s="135">
        <v>6.9000000000000006E-2</v>
      </c>
      <c r="P135" s="135">
        <v>0.03</v>
      </c>
      <c r="Q135" s="135">
        <v>3.2000000000000001E-2</v>
      </c>
      <c r="R135" s="135">
        <v>3.4000000000000002E-2</v>
      </c>
    </row>
    <row r="136" spans="2:18" ht="16">
      <c r="B136" s="133" t="s">
        <v>1121</v>
      </c>
      <c r="C136" s="138" t="s">
        <v>1072</v>
      </c>
      <c r="D136" s="133" t="s">
        <v>1112</v>
      </c>
      <c r="E136" s="133" t="s">
        <v>2031</v>
      </c>
      <c r="F136" s="133" t="s">
        <v>1698</v>
      </c>
      <c r="G136" s="133" t="s">
        <v>1929</v>
      </c>
      <c r="H136" s="135">
        <v>5.0000000000000001E-3</v>
      </c>
      <c r="I136" s="135">
        <v>7.5999999999999998E-2</v>
      </c>
      <c r="J136" s="135">
        <v>6.8000000000000005E-2</v>
      </c>
      <c r="K136" s="135">
        <v>7.6999999999999999E-2</v>
      </c>
      <c r="L136" s="135">
        <v>6.5000000000000002E-2</v>
      </c>
      <c r="M136" s="135">
        <v>6.8000000000000005E-2</v>
      </c>
      <c r="N136" s="135">
        <v>6.4000000000000001E-2</v>
      </c>
      <c r="O136" s="135">
        <v>6.2E-2</v>
      </c>
      <c r="P136" s="135">
        <v>6.4000000000000001E-2</v>
      </c>
      <c r="Q136" s="135">
        <v>6.4000000000000001E-2</v>
      </c>
      <c r="R136" s="135">
        <v>6.4000000000000001E-2</v>
      </c>
    </row>
    <row r="137" spans="2:18" ht="16">
      <c r="B137" s="133" t="s">
        <v>495</v>
      </c>
      <c r="C137" s="138" t="s">
        <v>1072</v>
      </c>
      <c r="D137" s="133" t="s">
        <v>1112</v>
      </c>
      <c r="E137" s="133" t="s">
        <v>2039</v>
      </c>
      <c r="F137" s="133" t="s">
        <v>1698</v>
      </c>
      <c r="G137" s="133" t="s">
        <v>1929</v>
      </c>
      <c r="H137" s="135">
        <v>1.6E-2</v>
      </c>
      <c r="I137" s="135">
        <v>4.8000000000000001E-2</v>
      </c>
      <c r="J137" s="135">
        <v>7.0000000000000007E-2</v>
      </c>
      <c r="K137" s="135">
        <v>6.9000000000000006E-2</v>
      </c>
      <c r="L137" s="135">
        <v>6.2E-2</v>
      </c>
      <c r="M137" s="135">
        <v>5.7000000000000002E-2</v>
      </c>
      <c r="N137" s="135">
        <v>5.7999999999999996E-2</v>
      </c>
      <c r="O137" s="135">
        <v>6.0999999999999999E-2</v>
      </c>
      <c r="P137" s="135">
        <v>6.3E-2</v>
      </c>
      <c r="Q137" s="135">
        <v>6.6000000000000003E-2</v>
      </c>
      <c r="R137" s="135">
        <v>6.4000000000000001E-2</v>
      </c>
    </row>
    <row r="138" spans="2:18" ht="16">
      <c r="B138" s="133" t="s">
        <v>1122</v>
      </c>
      <c r="C138" s="138" t="s">
        <v>1072</v>
      </c>
      <c r="D138" s="133" t="s">
        <v>1112</v>
      </c>
      <c r="E138" s="133" t="s">
        <v>2040</v>
      </c>
      <c r="F138" s="133" t="s">
        <v>1698</v>
      </c>
      <c r="G138" s="133" t="s">
        <v>1929</v>
      </c>
      <c r="H138" s="135">
        <v>7.0000000000000007E-2</v>
      </c>
      <c r="I138" s="135">
        <v>0.106</v>
      </c>
      <c r="J138" s="135">
        <v>0.111</v>
      </c>
      <c r="K138" s="135">
        <v>0.28100000000000003</v>
      </c>
      <c r="L138" s="135">
        <v>0.495</v>
      </c>
      <c r="M138" s="135">
        <v>0.33399999999999996</v>
      </c>
      <c r="N138" s="135">
        <v>0.14099999999999999</v>
      </c>
      <c r="O138" s="135">
        <v>0.15</v>
      </c>
      <c r="P138" s="135">
        <v>0.13</v>
      </c>
      <c r="Q138" s="135">
        <v>0.10800000000000001</v>
      </c>
      <c r="R138" s="135">
        <v>9.8000000000000004E-2</v>
      </c>
    </row>
    <row r="139" spans="2:18" ht="16">
      <c r="B139" s="133" t="s">
        <v>507</v>
      </c>
      <c r="C139" s="134" t="s">
        <v>1072</v>
      </c>
      <c r="D139" s="133" t="s">
        <v>1112</v>
      </c>
      <c r="E139" s="133" t="s">
        <v>2034</v>
      </c>
      <c r="F139" s="133" t="s">
        <v>1698</v>
      </c>
      <c r="G139" s="133" t="s">
        <v>1929</v>
      </c>
      <c r="H139" s="135">
        <v>-9.9000000000000005E-2</v>
      </c>
      <c r="I139" s="135">
        <v>1.3999999999999999E-2</v>
      </c>
      <c r="J139" s="135">
        <v>2.4E-2</v>
      </c>
      <c r="K139" s="135">
        <v>4.5999999999999999E-2</v>
      </c>
      <c r="L139" s="135">
        <v>3.6000000000000004E-2</v>
      </c>
      <c r="M139" s="135">
        <v>5.0000000000000001E-3</v>
      </c>
      <c r="N139" s="135">
        <v>1.9E-2</v>
      </c>
      <c r="O139" s="135">
        <v>2.4E-2</v>
      </c>
      <c r="P139" s="135">
        <v>2.5000000000000001E-2</v>
      </c>
      <c r="Q139" s="135">
        <v>0.03</v>
      </c>
      <c r="R139" s="135">
        <v>4.0999999999999995E-2</v>
      </c>
    </row>
    <row r="140" spans="2:18" ht="16">
      <c r="B140" s="133" t="s">
        <v>509</v>
      </c>
      <c r="C140" s="134" t="s">
        <v>1072</v>
      </c>
      <c r="D140" s="133" t="s">
        <v>1112</v>
      </c>
      <c r="E140" s="133" t="s">
        <v>2041</v>
      </c>
      <c r="F140" s="133" t="s">
        <v>1698</v>
      </c>
      <c r="G140" s="133" t="s">
        <v>1929</v>
      </c>
      <c r="H140" s="135">
        <v>1.7000000000000001E-2</v>
      </c>
      <c r="I140" s="135">
        <v>1.9E-2</v>
      </c>
      <c r="J140" s="135">
        <v>7.2000000000000008E-2</v>
      </c>
      <c r="K140" s="135">
        <v>-6.9000000000000006E-2</v>
      </c>
      <c r="L140" s="135">
        <v>6.7000000000000004E-2</v>
      </c>
      <c r="M140" s="135">
        <v>6.3E-2</v>
      </c>
      <c r="N140" s="135">
        <v>6.6000000000000003E-2</v>
      </c>
      <c r="O140" s="135">
        <v>6.9000000000000006E-2</v>
      </c>
      <c r="P140" s="135">
        <v>6.0999999999999999E-2</v>
      </c>
      <c r="Q140" s="135">
        <v>0.06</v>
      </c>
      <c r="R140" s="135">
        <v>6.2E-2</v>
      </c>
    </row>
    <row r="141" spans="2:18" ht="16">
      <c r="B141" s="133" t="s">
        <v>513</v>
      </c>
      <c r="C141" s="134" t="s">
        <v>1072</v>
      </c>
      <c r="D141" s="133" t="s">
        <v>1112</v>
      </c>
      <c r="E141" s="133" t="s">
        <v>2042</v>
      </c>
      <c r="F141" s="133" t="s">
        <v>1698</v>
      </c>
      <c r="G141" s="133" t="s">
        <v>1929</v>
      </c>
      <c r="H141" s="135">
        <v>3.4000000000000002E-2</v>
      </c>
      <c r="I141" s="135">
        <v>7.4999999999999997E-2</v>
      </c>
      <c r="J141" s="135">
        <v>1.6E-2</v>
      </c>
      <c r="K141" s="135">
        <v>0.25</v>
      </c>
      <c r="L141" s="135">
        <v>7.4999999999999997E-2</v>
      </c>
      <c r="M141" s="135">
        <v>9.6999999999999989E-2</v>
      </c>
      <c r="N141" s="135">
        <v>9.0999999999999998E-2</v>
      </c>
      <c r="O141" s="135">
        <v>0.08</v>
      </c>
      <c r="P141" s="135">
        <v>7.4999999999999997E-2</v>
      </c>
      <c r="Q141" s="135">
        <v>7.2999999999999995E-2</v>
      </c>
      <c r="R141" s="135">
        <v>6.7000000000000004E-2</v>
      </c>
    </row>
    <row r="142" spans="2:18" ht="16">
      <c r="B142" s="133" t="s">
        <v>515</v>
      </c>
      <c r="C142" s="138" t="s">
        <v>1072</v>
      </c>
      <c r="D142" s="133" t="s">
        <v>1112</v>
      </c>
      <c r="E142" s="133" t="s">
        <v>2043</v>
      </c>
      <c r="F142" s="133" t="s">
        <v>1698</v>
      </c>
      <c r="G142" s="133" t="s">
        <v>1929</v>
      </c>
      <c r="H142" s="135">
        <v>0.21299999999999999</v>
      </c>
      <c r="I142" s="135">
        <v>0.30499999999999999</v>
      </c>
      <c r="J142" s="135">
        <v>0.47</v>
      </c>
      <c r="K142" s="135">
        <v>0.40700000000000003</v>
      </c>
      <c r="L142" s="135">
        <v>0.25700000000000001</v>
      </c>
      <c r="M142" s="135">
        <v>0.21299999999999999</v>
      </c>
      <c r="N142" s="135">
        <v>0.187</v>
      </c>
      <c r="O142" s="135">
        <v>0.185</v>
      </c>
      <c r="P142" s="135">
        <v>0.19</v>
      </c>
      <c r="Q142" s="135">
        <v>0.18899999999999997</v>
      </c>
      <c r="R142" s="135">
        <v>0.18600000000000003</v>
      </c>
    </row>
    <row r="143" spans="2:18" ht="16">
      <c r="B143" s="133" t="s">
        <v>527</v>
      </c>
      <c r="C143" s="138" t="s">
        <v>1072</v>
      </c>
      <c r="D143" s="133" t="s">
        <v>1112</v>
      </c>
      <c r="E143" s="133" t="s">
        <v>2034</v>
      </c>
      <c r="F143" s="133" t="s">
        <v>1698</v>
      </c>
      <c r="G143" s="133" t="s">
        <v>1929</v>
      </c>
      <c r="H143" s="135">
        <v>-0.03</v>
      </c>
      <c r="I143" s="135">
        <v>-2.5000000000000001E-2</v>
      </c>
      <c r="J143" s="135">
        <v>1.7000000000000001E-2</v>
      </c>
      <c r="K143" s="135">
        <v>3.5000000000000003E-2</v>
      </c>
      <c r="L143" s="135">
        <v>2.4E-2</v>
      </c>
      <c r="M143" s="135">
        <v>2.8999999999999998E-2</v>
      </c>
      <c r="N143" s="135">
        <v>3.4000000000000002E-2</v>
      </c>
      <c r="O143" s="135">
        <v>3.5000000000000003E-2</v>
      </c>
      <c r="P143" s="135">
        <v>3.5000000000000003E-2</v>
      </c>
      <c r="Q143" s="135">
        <v>3.5000000000000003E-2</v>
      </c>
      <c r="R143" s="135">
        <v>4.0999999999999995E-2</v>
      </c>
    </row>
    <row r="144" spans="2:18" ht="16">
      <c r="B144" s="133" t="s">
        <v>2044</v>
      </c>
      <c r="C144" s="138" t="s">
        <v>1072</v>
      </c>
      <c r="D144" s="133" t="s">
        <v>1112</v>
      </c>
      <c r="E144" s="133" t="s">
        <v>2045</v>
      </c>
      <c r="F144" s="133" t="s">
        <v>1698</v>
      </c>
      <c r="G144" s="133" t="s">
        <v>1929</v>
      </c>
      <c r="H144" s="135">
        <v>1.6E-2</v>
      </c>
      <c r="I144" s="135">
        <v>0.14099999999999999</v>
      </c>
      <c r="J144" s="135">
        <v>0.128</v>
      </c>
      <c r="K144" s="135">
        <v>0.109</v>
      </c>
      <c r="L144" s="135">
        <v>0.152</v>
      </c>
      <c r="M144" s="135">
        <v>0.129</v>
      </c>
      <c r="N144" s="135">
        <v>9.6999999999999989E-2</v>
      </c>
      <c r="O144" s="135">
        <v>0.08</v>
      </c>
      <c r="P144" s="135">
        <v>0.08</v>
      </c>
      <c r="Q144" s="135">
        <v>0.08</v>
      </c>
      <c r="R144" s="135">
        <v>7.2000000000000008E-2</v>
      </c>
    </row>
    <row r="145" spans="2:18" ht="16">
      <c r="B145" s="133" t="s">
        <v>534</v>
      </c>
      <c r="C145" s="138" t="s">
        <v>1072</v>
      </c>
      <c r="D145" s="133" t="s">
        <v>1112</v>
      </c>
      <c r="E145" s="133" t="s">
        <v>2046</v>
      </c>
      <c r="F145" s="133" t="s">
        <v>1698</v>
      </c>
      <c r="G145" s="133" t="s">
        <v>1929</v>
      </c>
      <c r="H145" s="135">
        <v>7.4999999999999997E-2</v>
      </c>
      <c r="I145" s="135">
        <v>0.16500000000000001</v>
      </c>
      <c r="J145" s="135">
        <v>0.316</v>
      </c>
      <c r="K145" s="135">
        <v>0.54899999999999993</v>
      </c>
      <c r="L145" s="135">
        <v>0.28000000000000003</v>
      </c>
      <c r="M145" s="135">
        <v>0.13100000000000001</v>
      </c>
      <c r="N145" s="135">
        <v>0.129</v>
      </c>
      <c r="O145" s="135">
        <v>0.12300000000000001</v>
      </c>
      <c r="P145" s="135">
        <v>0.11800000000000001</v>
      </c>
      <c r="Q145" s="135">
        <v>0.11599999999999999</v>
      </c>
      <c r="R145" s="135">
        <v>0.11599999999999999</v>
      </c>
    </row>
    <row r="146" spans="2:18" ht="16">
      <c r="B146" s="133" t="s">
        <v>548</v>
      </c>
      <c r="C146" s="138" t="s">
        <v>1072</v>
      </c>
      <c r="D146" s="133" t="s">
        <v>1112</v>
      </c>
      <c r="E146" s="133" t="s">
        <v>2047</v>
      </c>
      <c r="F146" s="133" t="s">
        <v>1698</v>
      </c>
      <c r="G146" s="133" t="s">
        <v>1929</v>
      </c>
      <c r="H146" s="135">
        <v>5.9000000000000004E-2</v>
      </c>
      <c r="I146" s="135">
        <v>9.4E-2</v>
      </c>
      <c r="J146" s="135">
        <v>8.8000000000000009E-2</v>
      </c>
      <c r="K146" s="135">
        <v>0.14599999999999999</v>
      </c>
      <c r="L146" s="135">
        <v>0.10199999999999999</v>
      </c>
      <c r="M146" s="135">
        <v>6.7000000000000004E-2</v>
      </c>
      <c r="N146" s="135">
        <v>6.4000000000000001E-2</v>
      </c>
      <c r="O146" s="135">
        <v>6.7000000000000004E-2</v>
      </c>
      <c r="P146" s="135">
        <v>6.8000000000000005E-2</v>
      </c>
      <c r="Q146" s="135">
        <v>6.7000000000000004E-2</v>
      </c>
      <c r="R146" s="135">
        <v>6.8000000000000005E-2</v>
      </c>
    </row>
    <row r="147" spans="2:18" ht="16">
      <c r="B147" s="133" t="s">
        <v>550</v>
      </c>
      <c r="C147" s="138" t="s">
        <v>1072</v>
      </c>
      <c r="D147" s="133" t="s">
        <v>1112</v>
      </c>
      <c r="E147" s="133" t="s">
        <v>2031</v>
      </c>
      <c r="F147" s="133" t="s">
        <v>1698</v>
      </c>
      <c r="G147" s="133" t="s">
        <v>1929</v>
      </c>
      <c r="H147" s="135">
        <v>-2.8999999999999998E-2</v>
      </c>
      <c r="I147" s="135">
        <v>1.9E-2</v>
      </c>
      <c r="J147" s="135">
        <v>0.183</v>
      </c>
      <c r="K147" s="135">
        <v>9.0999999999999998E-2</v>
      </c>
      <c r="L147" s="135">
        <v>7.2000000000000008E-2</v>
      </c>
      <c r="M147" s="135">
        <v>0.06</v>
      </c>
      <c r="N147" s="135">
        <v>5.4000000000000006E-2</v>
      </c>
      <c r="O147" s="135">
        <v>5.5E-2</v>
      </c>
      <c r="P147" s="135">
        <v>0.05</v>
      </c>
      <c r="Q147" s="135">
        <v>5.2000000000000005E-2</v>
      </c>
      <c r="R147" s="135">
        <v>5.0999999999999997E-2</v>
      </c>
    </row>
    <row r="148" spans="2:18" ht="16">
      <c r="B148" s="133" t="s">
        <v>1123</v>
      </c>
      <c r="C148" s="138" t="s">
        <v>1072</v>
      </c>
      <c r="D148" s="133" t="s">
        <v>1112</v>
      </c>
      <c r="E148" s="133" t="s">
        <v>2048</v>
      </c>
      <c r="F148" s="133" t="s">
        <v>1698</v>
      </c>
      <c r="G148" s="133" t="s">
        <v>1929</v>
      </c>
      <c r="H148" s="135">
        <v>0.36200000000000004</v>
      </c>
      <c r="I148" s="135">
        <v>0.52200000000000002</v>
      </c>
      <c r="J148" s="135">
        <v>0.59200000000000008</v>
      </c>
      <c r="K148" s="135">
        <v>0.47799999999999998</v>
      </c>
      <c r="L148" s="135">
        <v>0.373</v>
      </c>
      <c r="M148" s="135">
        <v>0.33100000000000002</v>
      </c>
      <c r="N148" s="135">
        <v>0.33899999999999997</v>
      </c>
      <c r="O148" s="135">
        <v>0.314</v>
      </c>
      <c r="P148" s="135">
        <v>0.26600000000000001</v>
      </c>
      <c r="Q148" s="135">
        <v>0.252</v>
      </c>
      <c r="R148" s="135">
        <v>0.253</v>
      </c>
    </row>
    <row r="149" spans="2:18" ht="16">
      <c r="B149" s="133" t="s">
        <v>569</v>
      </c>
      <c r="C149" s="138" t="s">
        <v>1072</v>
      </c>
      <c r="D149" s="133" t="s">
        <v>1112</v>
      </c>
      <c r="E149" s="133" t="s">
        <v>2049</v>
      </c>
      <c r="F149" s="133" t="s">
        <v>1698</v>
      </c>
      <c r="G149" s="133" t="s">
        <v>1929</v>
      </c>
      <c r="H149" s="135">
        <v>-3.5000000000000003E-2</v>
      </c>
      <c r="I149" s="135">
        <v>9.0000000000000011E-3</v>
      </c>
      <c r="J149" s="135">
        <v>8.0000000000000002E-3</v>
      </c>
      <c r="K149" s="135">
        <v>-2.8999999999999998E-2</v>
      </c>
      <c r="L149" s="135">
        <v>6.4000000000000001E-2</v>
      </c>
      <c r="M149" s="135">
        <v>0.04</v>
      </c>
      <c r="N149" s="135">
        <v>5.5E-2</v>
      </c>
      <c r="O149" s="135">
        <v>5.7999999999999996E-2</v>
      </c>
      <c r="P149" s="135">
        <v>0.05</v>
      </c>
      <c r="Q149" s="135">
        <v>4.4999999999999998E-2</v>
      </c>
      <c r="R149" s="135">
        <v>5.5E-2</v>
      </c>
    </row>
    <row r="150" spans="2:18" ht="16">
      <c r="B150" s="133" t="s">
        <v>575</v>
      </c>
      <c r="C150" s="134" t="s">
        <v>1072</v>
      </c>
      <c r="D150" s="133" t="s">
        <v>1112</v>
      </c>
      <c r="E150" s="133" t="s">
        <v>2050</v>
      </c>
      <c r="F150" s="133" t="s">
        <v>1698</v>
      </c>
      <c r="G150" s="133" t="s">
        <v>1929</v>
      </c>
      <c r="H150" s="135">
        <v>-9.5000000000000001E-2</v>
      </c>
      <c r="I150" s="135">
        <v>0.10199999999999999</v>
      </c>
      <c r="J150" s="135">
        <v>0.10199999999999999</v>
      </c>
      <c r="K150" s="135">
        <v>6.0000000000000001E-3</v>
      </c>
      <c r="L150" s="135">
        <v>0.04</v>
      </c>
      <c r="M150" s="135">
        <v>3.3000000000000002E-2</v>
      </c>
      <c r="N150" s="135">
        <v>3.7999999999999999E-2</v>
      </c>
      <c r="O150" s="135">
        <v>4.4999999999999998E-2</v>
      </c>
      <c r="P150" s="135">
        <v>4.4999999999999998E-2</v>
      </c>
      <c r="Q150" s="135">
        <v>4.4000000000000004E-2</v>
      </c>
      <c r="R150" s="135">
        <v>4.4999999999999998E-2</v>
      </c>
    </row>
    <row r="151" spans="2:18" ht="16">
      <c r="B151" s="133" t="s">
        <v>583</v>
      </c>
      <c r="C151" s="134" t="s">
        <v>1072</v>
      </c>
      <c r="D151" s="133" t="s">
        <v>1112</v>
      </c>
      <c r="E151" s="133" t="s">
        <v>2051</v>
      </c>
      <c r="F151" s="133" t="s">
        <v>1698</v>
      </c>
      <c r="G151" s="133" t="s">
        <v>1929</v>
      </c>
      <c r="H151" s="135">
        <v>1.8000000000000002E-2</v>
      </c>
      <c r="I151" s="135">
        <v>0.02</v>
      </c>
      <c r="J151" s="135">
        <v>0.105</v>
      </c>
      <c r="K151" s="135">
        <v>-6.9999999999999993E-3</v>
      </c>
      <c r="L151" s="135">
        <v>2.7000000000000003E-2</v>
      </c>
      <c r="M151" s="135">
        <v>4.8000000000000001E-2</v>
      </c>
      <c r="N151" s="135">
        <v>0.03</v>
      </c>
      <c r="O151" s="135">
        <v>0.03</v>
      </c>
      <c r="P151" s="135">
        <v>3.3000000000000002E-2</v>
      </c>
      <c r="Q151" s="135">
        <v>3.4000000000000002E-2</v>
      </c>
      <c r="R151" s="135">
        <v>3.5000000000000003E-2</v>
      </c>
    </row>
    <row r="152" spans="2:18" ht="16">
      <c r="B152" s="133" t="s">
        <v>587</v>
      </c>
      <c r="C152" s="134" t="s">
        <v>1072</v>
      </c>
      <c r="D152" s="133" t="s">
        <v>1112</v>
      </c>
      <c r="E152" s="133" t="s">
        <v>2052</v>
      </c>
      <c r="F152" s="133" t="s">
        <v>1698</v>
      </c>
      <c r="G152" s="133" t="s">
        <v>1929</v>
      </c>
      <c r="H152" s="135">
        <v>-4.0000000000000001E-3</v>
      </c>
      <c r="I152" s="135">
        <v>9.3000000000000013E-2</v>
      </c>
      <c r="J152" s="135">
        <v>0.10800000000000001</v>
      </c>
      <c r="K152" s="135">
        <v>0.11599999999999999</v>
      </c>
      <c r="L152" s="135">
        <v>0.08</v>
      </c>
      <c r="M152" s="135">
        <v>7.6999999999999999E-2</v>
      </c>
      <c r="N152" s="135">
        <v>6.2E-2</v>
      </c>
      <c r="O152" s="135">
        <v>8.199999999999999E-2</v>
      </c>
      <c r="P152" s="135">
        <v>8.199999999999999E-2</v>
      </c>
      <c r="Q152" s="135">
        <v>8.1000000000000003E-2</v>
      </c>
      <c r="R152" s="135">
        <v>8.1000000000000003E-2</v>
      </c>
    </row>
    <row r="153" spans="2:18" ht="16">
      <c r="B153" s="133" t="s">
        <v>597</v>
      </c>
      <c r="C153" s="134" t="s">
        <v>1072</v>
      </c>
      <c r="D153" s="133" t="s">
        <v>1112</v>
      </c>
      <c r="E153" s="133" t="s">
        <v>2053</v>
      </c>
      <c r="F153" s="133" t="s">
        <v>1698</v>
      </c>
      <c r="G153" s="133" t="s">
        <v>1929</v>
      </c>
      <c r="H153" s="135">
        <v>-3.0000000000000001E-3</v>
      </c>
      <c r="I153" s="135">
        <v>0.13400000000000001</v>
      </c>
      <c r="J153" s="135">
        <v>-4.4000000000000004E-2</v>
      </c>
      <c r="K153" s="135">
        <v>-0.13</v>
      </c>
      <c r="L153" s="135">
        <v>-2E-3</v>
      </c>
      <c r="M153" s="135">
        <v>5.2999999999999999E-2</v>
      </c>
      <c r="N153" s="135">
        <v>-6.0000000000000001E-3</v>
      </c>
      <c r="O153" s="135">
        <v>2.1000000000000001E-2</v>
      </c>
      <c r="P153" s="135">
        <v>3.1E-2</v>
      </c>
      <c r="Q153" s="135">
        <v>3.2000000000000001E-2</v>
      </c>
      <c r="R153" s="135">
        <v>3.1E-2</v>
      </c>
    </row>
    <row r="154" spans="2:18" ht="16">
      <c r="B154" s="133" t="s">
        <v>605</v>
      </c>
      <c r="C154" s="134" t="s">
        <v>1072</v>
      </c>
      <c r="D154" s="133" t="s">
        <v>1112</v>
      </c>
      <c r="E154" s="133" t="s">
        <v>2054</v>
      </c>
      <c r="F154" s="133" t="s">
        <v>1698</v>
      </c>
      <c r="G154" s="133" t="s">
        <v>1929</v>
      </c>
      <c r="H154" s="135">
        <v>0.45600000000000002</v>
      </c>
      <c r="I154" s="135">
        <v>1.85</v>
      </c>
      <c r="J154" s="135">
        <v>1.7109999999999999</v>
      </c>
      <c r="K154" s="135">
        <v>2.3209999999999997</v>
      </c>
      <c r="L154" s="135">
        <v>0.44299999999999995</v>
      </c>
      <c r="M154" s="135">
        <v>0.191</v>
      </c>
      <c r="N154" s="135">
        <v>0.18600000000000003</v>
      </c>
      <c r="O154" s="135">
        <v>0.19800000000000001</v>
      </c>
      <c r="P154" s="135">
        <v>0.16</v>
      </c>
      <c r="Q154" s="135">
        <v>0.151</v>
      </c>
      <c r="R154" s="135">
        <v>0.14199999999999999</v>
      </c>
    </row>
    <row r="155" spans="2:18" ht="16">
      <c r="B155" s="133" t="s">
        <v>607</v>
      </c>
      <c r="C155" s="134" t="s">
        <v>1072</v>
      </c>
      <c r="D155" s="133" t="s">
        <v>1112</v>
      </c>
      <c r="E155" s="133" t="s">
        <v>2055</v>
      </c>
      <c r="F155" s="133" t="s">
        <v>1698</v>
      </c>
      <c r="G155" s="133" t="s">
        <v>1929</v>
      </c>
      <c r="H155" s="135">
        <v>1.8000000000000002E-2</v>
      </c>
      <c r="I155" s="135">
        <v>-1.7000000000000001E-2</v>
      </c>
      <c r="J155" s="135">
        <v>9.5000000000000001E-2</v>
      </c>
      <c r="K155" s="135">
        <v>7.2000000000000008E-2</v>
      </c>
      <c r="L155" s="135">
        <v>6.5000000000000002E-2</v>
      </c>
      <c r="M155" s="135">
        <v>4.2000000000000003E-2</v>
      </c>
      <c r="N155" s="135">
        <v>0.05</v>
      </c>
      <c r="O155" s="135">
        <v>0.05</v>
      </c>
      <c r="P155" s="135">
        <v>5.5E-2</v>
      </c>
      <c r="Q155" s="135">
        <v>5.2000000000000005E-2</v>
      </c>
      <c r="R155" s="135">
        <v>2.4E-2</v>
      </c>
    </row>
    <row r="156" spans="2:18" ht="16">
      <c r="B156" s="133" t="s">
        <v>609</v>
      </c>
      <c r="C156" s="134" t="s">
        <v>1072</v>
      </c>
      <c r="D156" s="133" t="s">
        <v>1112</v>
      </c>
      <c r="E156" s="133" t="s">
        <v>2056</v>
      </c>
      <c r="F156" s="133" t="s">
        <v>1698</v>
      </c>
      <c r="G156" s="133" t="s">
        <v>1929</v>
      </c>
      <c r="H156" s="135">
        <v>7.5999999999999998E-2</v>
      </c>
      <c r="I156" s="135">
        <v>6.0000000000000001E-3</v>
      </c>
      <c r="J156" s="135">
        <v>0.215</v>
      </c>
      <c r="K156" s="135">
        <v>0.111</v>
      </c>
      <c r="L156" s="135">
        <v>0.11800000000000001</v>
      </c>
      <c r="M156" s="135">
        <v>0.12</v>
      </c>
      <c r="N156" s="135">
        <v>0.11599999999999999</v>
      </c>
      <c r="O156" s="135">
        <v>0.1</v>
      </c>
      <c r="P156" s="135">
        <v>9.6000000000000002E-2</v>
      </c>
      <c r="Q156" s="135">
        <v>0.09</v>
      </c>
      <c r="R156" s="135">
        <v>0.32400000000000001</v>
      </c>
    </row>
    <row r="157" spans="2:18" ht="16">
      <c r="B157" s="133" t="s">
        <v>611</v>
      </c>
      <c r="C157" s="134" t="s">
        <v>1072</v>
      </c>
      <c r="D157" s="133" t="s">
        <v>1112</v>
      </c>
      <c r="E157" s="133" t="s">
        <v>2057</v>
      </c>
      <c r="F157" s="133" t="s">
        <v>1698</v>
      </c>
      <c r="G157" s="133" t="s">
        <v>1929</v>
      </c>
      <c r="H157" s="135">
        <v>-0.35299999999999998</v>
      </c>
      <c r="I157" s="135">
        <v>1.3859999999999999</v>
      </c>
      <c r="J157" s="135">
        <v>0.33700000000000002</v>
      </c>
      <c r="K157" s="135">
        <v>6.0000000000000001E-3</v>
      </c>
      <c r="L157" s="135">
        <v>5.0999999999999997E-2</v>
      </c>
      <c r="M157" s="135">
        <v>0.17600000000000002</v>
      </c>
      <c r="N157" s="135">
        <v>8.3000000000000004E-2</v>
      </c>
      <c r="O157" s="135">
        <v>6.2E-2</v>
      </c>
      <c r="P157" s="135">
        <v>4.9000000000000002E-2</v>
      </c>
      <c r="Q157" s="135">
        <v>4.0999999999999995E-2</v>
      </c>
      <c r="R157" s="135">
        <v>0.05</v>
      </c>
    </row>
    <row r="158" spans="2:18" ht="16">
      <c r="B158" s="133" t="s">
        <v>621</v>
      </c>
      <c r="C158" s="134" t="s">
        <v>1072</v>
      </c>
      <c r="D158" s="133" t="s">
        <v>1112</v>
      </c>
      <c r="E158" s="133" t="s">
        <v>2058</v>
      </c>
      <c r="F158" s="133" t="s">
        <v>1698</v>
      </c>
      <c r="G158" s="133" t="s">
        <v>1929</v>
      </c>
      <c r="H158" s="135">
        <v>2.4E-2</v>
      </c>
      <c r="I158" s="135">
        <v>5.7999999999999996E-2</v>
      </c>
      <c r="J158" s="135">
        <v>4.8000000000000001E-2</v>
      </c>
      <c r="K158" s="135">
        <v>0.10300000000000001</v>
      </c>
      <c r="L158" s="135">
        <v>9.6000000000000002E-2</v>
      </c>
      <c r="M158" s="135">
        <v>0.10300000000000001</v>
      </c>
      <c r="N158" s="135">
        <v>9.1999999999999998E-2</v>
      </c>
      <c r="O158" s="135">
        <v>8.6999999999999994E-2</v>
      </c>
      <c r="P158" s="135">
        <v>8.5999999999999993E-2</v>
      </c>
      <c r="Q158" s="135">
        <v>8.6999999999999994E-2</v>
      </c>
      <c r="R158" s="135">
        <v>8.5999999999999993E-2</v>
      </c>
    </row>
    <row r="159" spans="2:18" ht="16">
      <c r="B159" s="133" t="s">
        <v>623</v>
      </c>
      <c r="C159" s="134" t="s">
        <v>1072</v>
      </c>
      <c r="D159" s="133" t="s">
        <v>1112</v>
      </c>
      <c r="E159" s="133" t="s">
        <v>2059</v>
      </c>
      <c r="F159" s="133" t="s">
        <v>1698</v>
      </c>
      <c r="G159" s="133" t="s">
        <v>1929</v>
      </c>
      <c r="H159" s="135">
        <v>0.218</v>
      </c>
      <c r="I159" s="135">
        <v>8.5999999999999993E-2</v>
      </c>
      <c r="J159" s="135">
        <v>0.10800000000000001</v>
      </c>
      <c r="K159" s="135">
        <v>0.20300000000000001</v>
      </c>
      <c r="L159" s="135">
        <v>0.33700000000000002</v>
      </c>
      <c r="M159" s="135">
        <v>0.26400000000000001</v>
      </c>
      <c r="N159" s="135">
        <v>0.14099999999999999</v>
      </c>
      <c r="O159" s="135">
        <v>0.107</v>
      </c>
      <c r="P159" s="135">
        <v>7.9000000000000001E-2</v>
      </c>
      <c r="Q159" s="135">
        <v>7.8E-2</v>
      </c>
      <c r="R159" s="135">
        <v>8.1000000000000003E-2</v>
      </c>
    </row>
    <row r="160" spans="2:18" ht="16">
      <c r="B160" s="133" t="s">
        <v>628</v>
      </c>
      <c r="C160" s="134" t="s">
        <v>1072</v>
      </c>
      <c r="D160" s="133" t="s">
        <v>1112</v>
      </c>
      <c r="E160" s="133" t="s">
        <v>2031</v>
      </c>
      <c r="F160" s="133" t="s">
        <v>1698</v>
      </c>
      <c r="G160" s="133" t="s">
        <v>1929</v>
      </c>
      <c r="H160" s="135">
        <v>-4.4000000000000004E-2</v>
      </c>
      <c r="I160" s="135">
        <v>3.3000000000000002E-2</v>
      </c>
      <c r="J160" s="135">
        <v>0.08</v>
      </c>
      <c r="K160" s="135">
        <v>0.03</v>
      </c>
      <c r="L160" s="135">
        <v>5.0999999999999997E-2</v>
      </c>
      <c r="M160" s="135">
        <v>5.0999999999999997E-2</v>
      </c>
      <c r="N160" s="135">
        <v>0.04</v>
      </c>
      <c r="O160" s="135">
        <v>4.2999999999999997E-2</v>
      </c>
      <c r="P160" s="135">
        <v>4.0999999999999995E-2</v>
      </c>
      <c r="Q160" s="135">
        <v>4.4000000000000004E-2</v>
      </c>
      <c r="R160" s="135">
        <v>4.5999999999999999E-2</v>
      </c>
    </row>
    <row r="161" spans="2:18" ht="16">
      <c r="B161" s="133" t="s">
        <v>634</v>
      </c>
      <c r="C161" s="134" t="s">
        <v>1072</v>
      </c>
      <c r="D161" s="133" t="s">
        <v>1112</v>
      </c>
      <c r="E161" s="133" t="s">
        <v>2060</v>
      </c>
      <c r="F161" s="133" t="s">
        <v>1698</v>
      </c>
      <c r="G161" s="133" t="s">
        <v>1929</v>
      </c>
      <c r="H161" s="135">
        <v>-5.0000000000000001E-3</v>
      </c>
      <c r="I161" s="135">
        <v>5.2000000000000005E-2</v>
      </c>
      <c r="J161" s="135">
        <v>0.10400000000000001</v>
      </c>
      <c r="K161" s="135">
        <v>4.4000000000000004E-2</v>
      </c>
      <c r="L161" s="135">
        <v>4.2999999999999997E-2</v>
      </c>
      <c r="M161" s="135">
        <v>5.5999999999999994E-2</v>
      </c>
      <c r="N161" s="135">
        <v>5.5999999999999994E-2</v>
      </c>
      <c r="O161" s="135">
        <v>6.6000000000000003E-2</v>
      </c>
      <c r="P161" s="135">
        <v>7.5999999999999998E-2</v>
      </c>
      <c r="Q161" s="135">
        <v>6.4000000000000001E-2</v>
      </c>
      <c r="R161" s="135">
        <v>6.5000000000000002E-2</v>
      </c>
    </row>
    <row r="162" spans="2:18" ht="16">
      <c r="B162" s="133" t="s">
        <v>636</v>
      </c>
      <c r="C162" s="134" t="s">
        <v>1072</v>
      </c>
      <c r="D162" s="133" t="s">
        <v>1112</v>
      </c>
      <c r="E162" s="133" t="s">
        <v>2061</v>
      </c>
      <c r="F162" s="133" t="s">
        <v>1698</v>
      </c>
      <c r="G162" s="133" t="s">
        <v>1929</v>
      </c>
      <c r="H162" s="135">
        <v>-0.13300000000000001</v>
      </c>
      <c r="I162" s="135">
        <v>7.400000000000001E-2</v>
      </c>
      <c r="J162" s="135">
        <v>0.14599999999999999</v>
      </c>
      <c r="K162" s="135">
        <v>9.8000000000000004E-2</v>
      </c>
      <c r="L162" s="135">
        <v>8.3000000000000004E-2</v>
      </c>
      <c r="M162" s="135">
        <v>7.9000000000000001E-2</v>
      </c>
      <c r="N162" s="135">
        <v>7.4999999999999997E-2</v>
      </c>
      <c r="O162" s="135">
        <v>7.2999999999999995E-2</v>
      </c>
      <c r="P162" s="135">
        <v>7.2999999999999995E-2</v>
      </c>
      <c r="Q162" s="135">
        <v>7.2999999999999995E-2</v>
      </c>
      <c r="R162" s="135">
        <v>6.5000000000000002E-2</v>
      </c>
    </row>
    <row r="163" spans="2:18" ht="16">
      <c r="B163" s="133" t="s">
        <v>650</v>
      </c>
      <c r="C163" s="134" t="s">
        <v>1072</v>
      </c>
      <c r="D163" s="133" t="s">
        <v>1112</v>
      </c>
      <c r="E163" s="133" t="s">
        <v>2062</v>
      </c>
      <c r="F163" s="133" t="s">
        <v>1698</v>
      </c>
      <c r="G163" s="133" t="s">
        <v>1929</v>
      </c>
      <c r="H163" s="135">
        <v>-8.4000000000000005E-2</v>
      </c>
      <c r="I163" s="135">
        <v>9.1999999999999998E-2</v>
      </c>
      <c r="J163" s="135">
        <v>0.115</v>
      </c>
      <c r="K163" s="135">
        <v>8.900000000000001E-2</v>
      </c>
      <c r="L163" s="135">
        <v>5.2000000000000005E-2</v>
      </c>
      <c r="M163" s="135">
        <v>4.4000000000000004E-2</v>
      </c>
      <c r="N163" s="135">
        <v>4.2999999999999997E-2</v>
      </c>
      <c r="O163" s="135">
        <v>4.8000000000000001E-2</v>
      </c>
      <c r="P163" s="135">
        <v>4.7E-2</v>
      </c>
      <c r="Q163" s="135">
        <v>4.8000000000000001E-2</v>
      </c>
      <c r="R163" s="135">
        <v>4.8000000000000001E-2</v>
      </c>
    </row>
    <row r="164" spans="2:18" ht="16">
      <c r="B164" s="133" t="s">
        <v>652</v>
      </c>
      <c r="C164" s="134" t="s">
        <v>1072</v>
      </c>
      <c r="D164" s="133" t="s">
        <v>1112</v>
      </c>
      <c r="E164" s="133" t="s">
        <v>2063</v>
      </c>
      <c r="F164" s="133" t="s">
        <v>1698</v>
      </c>
      <c r="G164" s="133" t="s">
        <v>1929</v>
      </c>
      <c r="H164" s="135">
        <v>3.9E-2</v>
      </c>
      <c r="I164" s="135">
        <v>0.14000000000000001</v>
      </c>
      <c r="J164" s="135">
        <v>0.20499999999999999</v>
      </c>
      <c r="K164" s="135">
        <v>8.4000000000000005E-2</v>
      </c>
      <c r="L164" s="135">
        <v>1.2E-2</v>
      </c>
      <c r="M164" s="135">
        <v>0.04</v>
      </c>
      <c r="N164" s="135">
        <v>6.7000000000000004E-2</v>
      </c>
      <c r="O164" s="135">
        <v>7.4999999999999997E-2</v>
      </c>
      <c r="P164" s="135">
        <v>0.08</v>
      </c>
      <c r="Q164" s="135">
        <v>8.1000000000000003E-2</v>
      </c>
      <c r="R164" s="135">
        <v>7.400000000000001E-2</v>
      </c>
    </row>
    <row r="165" spans="2:18" ht="16">
      <c r="B165" s="133" t="s">
        <v>656</v>
      </c>
      <c r="C165" s="134" t="s">
        <v>1072</v>
      </c>
      <c r="D165" s="133" t="s">
        <v>1112</v>
      </c>
      <c r="E165" s="133" t="s">
        <v>2064</v>
      </c>
      <c r="F165" s="133" t="s">
        <v>1698</v>
      </c>
      <c r="G165" s="133" t="s">
        <v>1929</v>
      </c>
      <c r="H165" s="135">
        <v>-6.8000000000000005E-2</v>
      </c>
      <c r="I165" s="135">
        <v>0.13800000000000001</v>
      </c>
      <c r="J165" s="135">
        <v>6.7000000000000004E-2</v>
      </c>
      <c r="K165" s="135">
        <v>0.05</v>
      </c>
      <c r="L165" s="135">
        <v>6.0999999999999999E-2</v>
      </c>
      <c r="M165" s="135">
        <v>5.9000000000000004E-2</v>
      </c>
      <c r="N165" s="135">
        <v>6.9000000000000006E-2</v>
      </c>
      <c r="O165" s="135">
        <v>6.2E-2</v>
      </c>
      <c r="P165" s="135">
        <v>6.3E-2</v>
      </c>
      <c r="Q165" s="135">
        <v>6.6000000000000003E-2</v>
      </c>
      <c r="R165" s="135">
        <v>6.7000000000000004E-2</v>
      </c>
    </row>
    <row r="166" spans="2:18" ht="16">
      <c r="B166" s="133" t="s">
        <v>670</v>
      </c>
      <c r="C166" s="134" t="s">
        <v>1072</v>
      </c>
      <c r="D166" s="133" t="s">
        <v>1112</v>
      </c>
      <c r="E166" s="133" t="s">
        <v>2031</v>
      </c>
      <c r="F166" s="133" t="s">
        <v>1698</v>
      </c>
      <c r="G166" s="133" t="s">
        <v>1929</v>
      </c>
      <c r="H166" s="135">
        <v>5.4000000000000006E-2</v>
      </c>
      <c r="I166" s="135">
        <v>2.3E-2</v>
      </c>
      <c r="J166" s="135">
        <v>-7.4999999999999997E-2</v>
      </c>
      <c r="K166" s="135">
        <v>8.0000000000000002E-3</v>
      </c>
      <c r="L166" s="135">
        <v>9.5000000000000001E-2</v>
      </c>
      <c r="M166" s="135">
        <v>6.0999999999999999E-2</v>
      </c>
      <c r="N166" s="135">
        <v>5.2000000000000005E-2</v>
      </c>
      <c r="O166" s="135">
        <v>4.4999999999999998E-2</v>
      </c>
      <c r="P166" s="135">
        <v>4.0999999999999995E-2</v>
      </c>
      <c r="Q166" s="135">
        <v>4.8000000000000001E-2</v>
      </c>
      <c r="R166" s="135">
        <v>4.9000000000000002E-2</v>
      </c>
    </row>
    <row r="167" spans="2:18" ht="16">
      <c r="B167" s="133" t="s">
        <v>672</v>
      </c>
      <c r="C167" s="134" t="s">
        <v>1072</v>
      </c>
      <c r="D167" s="133" t="s">
        <v>1112</v>
      </c>
      <c r="E167" s="133" t="s">
        <v>2065</v>
      </c>
      <c r="F167" s="133" t="s">
        <v>1698</v>
      </c>
      <c r="G167" s="133" t="s">
        <v>1929</v>
      </c>
      <c r="H167" s="135">
        <v>-0.11800000000000001</v>
      </c>
      <c r="I167" s="135">
        <v>8.6999999999999994E-2</v>
      </c>
      <c r="J167" s="135">
        <v>0.17100000000000001</v>
      </c>
      <c r="K167" s="135">
        <v>6.6000000000000003E-2</v>
      </c>
      <c r="L167" s="135">
        <v>0.16</v>
      </c>
      <c r="M167" s="135">
        <v>0.184</v>
      </c>
      <c r="N167" s="135">
        <v>0.16699999999999998</v>
      </c>
      <c r="O167" s="135">
        <v>0.13200000000000001</v>
      </c>
      <c r="P167" s="135">
        <v>0.126</v>
      </c>
      <c r="Q167" s="135">
        <v>0.125</v>
      </c>
      <c r="R167" s="135">
        <v>0.13100000000000001</v>
      </c>
    </row>
    <row r="168" spans="2:18" ht="16">
      <c r="B168" s="133" t="s">
        <v>680</v>
      </c>
      <c r="C168" s="134" t="s">
        <v>1072</v>
      </c>
      <c r="D168" s="133" t="s">
        <v>1112</v>
      </c>
      <c r="E168" s="133" t="s">
        <v>2066</v>
      </c>
      <c r="F168" s="133" t="s">
        <v>1698</v>
      </c>
      <c r="G168" s="133" t="s">
        <v>1929</v>
      </c>
      <c r="H168" s="135">
        <v>1.3999999999999999E-2</v>
      </c>
      <c r="I168" s="135">
        <v>3.0000000000000001E-3</v>
      </c>
      <c r="J168" s="135">
        <v>3.3000000000000002E-2</v>
      </c>
      <c r="K168" s="135">
        <v>-5.2999999999999999E-2</v>
      </c>
      <c r="L168" s="135">
        <v>1.4999999999999999E-2</v>
      </c>
      <c r="M168" s="135">
        <v>5.0000000000000001E-3</v>
      </c>
      <c r="N168" s="135">
        <v>4.0000000000000001E-3</v>
      </c>
      <c r="O168" s="135">
        <v>2.2000000000000002E-2</v>
      </c>
      <c r="P168" s="135">
        <v>2.4E-2</v>
      </c>
      <c r="Q168" s="135">
        <v>3.1E-2</v>
      </c>
      <c r="R168" s="135">
        <v>3.2000000000000001E-2</v>
      </c>
    </row>
    <row r="169" spans="2:18" ht="16">
      <c r="B169" s="133" t="s">
        <v>701</v>
      </c>
      <c r="C169" s="134" t="s">
        <v>1072</v>
      </c>
      <c r="D169" s="133" t="s">
        <v>1112</v>
      </c>
      <c r="E169" s="133" t="s">
        <v>2067</v>
      </c>
      <c r="F169" s="133" t="s">
        <v>1698</v>
      </c>
      <c r="G169" s="133" t="s">
        <v>1929</v>
      </c>
      <c r="H169" s="135">
        <v>-0.188</v>
      </c>
      <c r="I169" s="135">
        <v>6.8000000000000005E-2</v>
      </c>
      <c r="J169" s="135">
        <v>0.26100000000000001</v>
      </c>
      <c r="K169" s="135">
        <v>-1.1000000000000001E-2</v>
      </c>
      <c r="L169" s="135">
        <v>-1.4999999999999999E-2</v>
      </c>
      <c r="M169" s="135">
        <v>1.4999999999999999E-2</v>
      </c>
      <c r="N169" s="135">
        <v>4.5999999999999999E-2</v>
      </c>
      <c r="O169" s="135">
        <v>6.6000000000000003E-2</v>
      </c>
      <c r="P169" s="135">
        <v>5.0999999999999997E-2</v>
      </c>
      <c r="Q169" s="135">
        <v>4.2999999999999997E-2</v>
      </c>
      <c r="R169" s="135">
        <v>0.04</v>
      </c>
    </row>
    <row r="170" spans="2:18" ht="16">
      <c r="B170" s="133" t="s">
        <v>2068</v>
      </c>
      <c r="C170" s="134" t="s">
        <v>1072</v>
      </c>
      <c r="D170" s="133" t="s">
        <v>1112</v>
      </c>
      <c r="E170" s="133" t="s">
        <v>1978</v>
      </c>
      <c r="F170" s="133" t="s">
        <v>1698</v>
      </c>
      <c r="G170" s="133" t="s">
        <v>1929</v>
      </c>
      <c r="H170" s="135">
        <v>-1.9E-2</v>
      </c>
      <c r="I170" s="135">
        <v>5.2000000000000005E-2</v>
      </c>
      <c r="J170" s="135">
        <v>4.4999999999999998E-2</v>
      </c>
      <c r="K170" s="135">
        <v>-1.1000000000000001E-2</v>
      </c>
      <c r="L170" s="135">
        <v>2.7999999999999997E-2</v>
      </c>
      <c r="M170" s="135">
        <v>2.8999999999999998E-2</v>
      </c>
      <c r="N170" s="135">
        <v>3.3000000000000002E-2</v>
      </c>
      <c r="O170" s="136" t="s">
        <v>1114</v>
      </c>
      <c r="P170" s="136" t="s">
        <v>1114</v>
      </c>
      <c r="Q170" s="136" t="s">
        <v>1114</v>
      </c>
      <c r="R170" s="136" t="s">
        <v>1114</v>
      </c>
    </row>
    <row r="171" spans="2:18" ht="16">
      <c r="B171" s="133" t="s">
        <v>707</v>
      </c>
      <c r="C171" s="134" t="s">
        <v>1072</v>
      </c>
      <c r="D171" s="133" t="s">
        <v>1112</v>
      </c>
      <c r="E171" s="133" t="s">
        <v>2069</v>
      </c>
      <c r="F171" s="133" t="s">
        <v>1698</v>
      </c>
      <c r="G171" s="133" t="s">
        <v>1929</v>
      </c>
      <c r="H171" s="135">
        <v>7.5999999999999998E-2</v>
      </c>
      <c r="I171" s="135">
        <v>4.5999999999999999E-2</v>
      </c>
      <c r="J171" s="135">
        <v>0.25600000000000001</v>
      </c>
      <c r="K171" s="135">
        <v>0.19500000000000001</v>
      </c>
      <c r="L171" s="135">
        <v>0.10800000000000001</v>
      </c>
      <c r="M171" s="135">
        <v>0.11900000000000001</v>
      </c>
      <c r="N171" s="135">
        <v>9.6999999999999989E-2</v>
      </c>
      <c r="O171" s="135">
        <v>0.1</v>
      </c>
      <c r="P171" s="135">
        <v>9.8000000000000004E-2</v>
      </c>
      <c r="Q171" s="135">
        <v>9.9000000000000005E-2</v>
      </c>
      <c r="R171" s="135">
        <v>9.6999999999999989E-2</v>
      </c>
    </row>
    <row r="172" spans="2:18" ht="16">
      <c r="B172" s="133" t="s">
        <v>2070</v>
      </c>
      <c r="C172" s="134" t="s">
        <v>1072</v>
      </c>
      <c r="D172" s="133" t="s">
        <v>1112</v>
      </c>
      <c r="E172" s="133" t="s">
        <v>2071</v>
      </c>
      <c r="F172" s="133" t="s">
        <v>1698</v>
      </c>
      <c r="G172" s="133" t="s">
        <v>1929</v>
      </c>
      <c r="H172" s="135">
        <v>0.13699999999999998</v>
      </c>
      <c r="I172" s="135">
        <v>-0.10800000000000001</v>
      </c>
      <c r="J172" s="135">
        <v>8.5999999999999993E-2</v>
      </c>
      <c r="K172" s="135">
        <v>0.307</v>
      </c>
      <c r="L172" s="135">
        <v>0.161</v>
      </c>
      <c r="M172" s="135">
        <v>0.11199999999999999</v>
      </c>
      <c r="N172" s="135">
        <v>7.4999999999999997E-2</v>
      </c>
      <c r="O172" s="135">
        <v>6.2E-2</v>
      </c>
      <c r="P172" s="135">
        <v>6.5000000000000002E-2</v>
      </c>
      <c r="Q172" s="135">
        <v>6.5000000000000002E-2</v>
      </c>
      <c r="R172" s="135">
        <v>5.2999999999999999E-2</v>
      </c>
    </row>
    <row r="173" spans="2:18" ht="16">
      <c r="B173" s="133" t="s">
        <v>715</v>
      </c>
      <c r="C173" s="134" t="s">
        <v>1072</v>
      </c>
      <c r="D173" s="133" t="s">
        <v>1112</v>
      </c>
      <c r="E173" s="133" t="s">
        <v>2072</v>
      </c>
      <c r="F173" s="133" t="s">
        <v>1698</v>
      </c>
      <c r="G173" s="133" t="s">
        <v>1929</v>
      </c>
      <c r="H173" s="135">
        <v>-0.121</v>
      </c>
      <c r="I173" s="135">
        <v>0.16699999999999998</v>
      </c>
      <c r="J173" s="135">
        <v>0.11</v>
      </c>
      <c r="K173" s="135">
        <v>4.4000000000000004E-2</v>
      </c>
      <c r="L173" s="135">
        <v>4.0000000000000001E-3</v>
      </c>
      <c r="M173" s="135">
        <v>2.7999999999999997E-2</v>
      </c>
      <c r="N173" s="135">
        <v>2.7000000000000003E-2</v>
      </c>
      <c r="O173" s="135">
        <v>3.9E-2</v>
      </c>
      <c r="P173" s="135">
        <v>0.04</v>
      </c>
      <c r="Q173" s="135">
        <v>3.9E-2</v>
      </c>
      <c r="R173" s="135">
        <v>3.9E-2</v>
      </c>
    </row>
    <row r="174" spans="2:18" ht="16">
      <c r="B174" s="133" t="s">
        <v>717</v>
      </c>
      <c r="C174" s="134" t="s">
        <v>1072</v>
      </c>
      <c r="D174" s="133" t="s">
        <v>1112</v>
      </c>
      <c r="E174" s="133" t="s">
        <v>2031</v>
      </c>
      <c r="F174" s="133" t="s">
        <v>1698</v>
      </c>
      <c r="G174" s="133" t="s">
        <v>1929</v>
      </c>
      <c r="H174" s="135">
        <v>9.0000000000000011E-3</v>
      </c>
      <c r="I174" s="135">
        <v>0.02</v>
      </c>
      <c r="J174" s="135">
        <v>8.8000000000000009E-2</v>
      </c>
      <c r="K174" s="135">
        <v>6.0999999999999999E-2</v>
      </c>
      <c r="L174" s="135">
        <v>4.4999999999999998E-2</v>
      </c>
      <c r="M174" s="135">
        <v>7.0000000000000007E-2</v>
      </c>
      <c r="N174" s="135">
        <v>4.0999999999999995E-2</v>
      </c>
      <c r="O174" s="135">
        <v>4.7E-2</v>
      </c>
      <c r="P174" s="135">
        <v>4.9000000000000002E-2</v>
      </c>
      <c r="Q174" s="135">
        <v>4.5999999999999999E-2</v>
      </c>
      <c r="R174" s="135">
        <v>0.05</v>
      </c>
    </row>
    <row r="175" spans="2:18" ht="16">
      <c r="B175" s="133" t="s">
        <v>721</v>
      </c>
      <c r="C175" s="134" t="s">
        <v>1072</v>
      </c>
      <c r="D175" s="133" t="s">
        <v>1112</v>
      </c>
      <c r="E175" s="133" t="s">
        <v>2073</v>
      </c>
      <c r="F175" s="133" t="s">
        <v>1698</v>
      </c>
      <c r="G175" s="133" t="s">
        <v>1929</v>
      </c>
      <c r="H175" s="135">
        <v>1.8000000000000002E-2</v>
      </c>
      <c r="I175" s="135">
        <v>9.8000000000000004E-2</v>
      </c>
      <c r="J175" s="135">
        <v>4.7E-2</v>
      </c>
      <c r="K175" s="135">
        <v>-5.5E-2</v>
      </c>
      <c r="L175" s="135">
        <v>1.3000000000000001E-2</v>
      </c>
      <c r="M175" s="135">
        <v>3.5000000000000003E-2</v>
      </c>
      <c r="N175" s="135">
        <v>4.4999999999999998E-2</v>
      </c>
      <c r="O175" s="135">
        <v>5.2999999999999999E-2</v>
      </c>
      <c r="P175" s="135">
        <v>0.06</v>
      </c>
      <c r="Q175" s="135">
        <v>6.6000000000000003E-2</v>
      </c>
      <c r="R175" s="135">
        <v>6.7000000000000004E-2</v>
      </c>
    </row>
    <row r="176" spans="2:18" ht="16">
      <c r="B176" s="133" t="s">
        <v>723</v>
      </c>
      <c r="C176" s="134" t="s">
        <v>1072</v>
      </c>
      <c r="D176" s="133" t="s">
        <v>1112</v>
      </c>
      <c r="E176" s="133" t="s">
        <v>724</v>
      </c>
      <c r="F176" s="133" t="s">
        <v>1698</v>
      </c>
      <c r="G176" s="133" t="s">
        <v>1929</v>
      </c>
      <c r="H176" s="135">
        <v>8.0000000000000002E-3</v>
      </c>
      <c r="I176" s="135">
        <v>0.126</v>
      </c>
      <c r="J176" s="135">
        <v>0.32200000000000001</v>
      </c>
      <c r="K176" s="135">
        <v>0.30099999999999999</v>
      </c>
      <c r="L176" s="135">
        <v>0.311</v>
      </c>
      <c r="M176" s="135">
        <v>0.159</v>
      </c>
      <c r="N176" s="135">
        <v>0.13400000000000001</v>
      </c>
      <c r="O176" s="135">
        <v>0.12</v>
      </c>
      <c r="P176" s="135">
        <v>0.11900000000000001</v>
      </c>
      <c r="Q176" s="135">
        <v>0.121</v>
      </c>
      <c r="R176" s="135">
        <v>0.125</v>
      </c>
    </row>
    <row r="177" spans="2:18" ht="16">
      <c r="B177" s="133" t="s">
        <v>2074</v>
      </c>
      <c r="C177" s="134" t="s">
        <v>1072</v>
      </c>
      <c r="D177" s="133" t="s">
        <v>1112</v>
      </c>
      <c r="E177" s="133" t="s">
        <v>2075</v>
      </c>
      <c r="F177" s="133" t="s">
        <v>1698</v>
      </c>
      <c r="G177" s="133" t="s">
        <v>1929</v>
      </c>
      <c r="H177" s="135">
        <v>-1.3999999999999999E-2</v>
      </c>
      <c r="I177" s="135">
        <v>2.7000000000000003E-2</v>
      </c>
      <c r="J177" s="135">
        <v>6.6000000000000003E-2</v>
      </c>
      <c r="K177" s="135">
        <v>3.6000000000000004E-2</v>
      </c>
      <c r="L177" s="135">
        <v>6.6000000000000003E-2</v>
      </c>
      <c r="M177" s="135">
        <v>6.0999999999999999E-2</v>
      </c>
      <c r="N177" s="135">
        <v>5.5E-2</v>
      </c>
      <c r="O177" s="135">
        <v>0.05</v>
      </c>
      <c r="P177" s="135">
        <v>5.0999999999999997E-2</v>
      </c>
      <c r="Q177" s="135">
        <v>5.2000000000000005E-2</v>
      </c>
      <c r="R177" s="135">
        <v>4.8000000000000001E-2</v>
      </c>
    </row>
    <row r="178" spans="2:18" ht="16">
      <c r="B178" s="133" t="s">
        <v>736</v>
      </c>
      <c r="C178" s="134" t="s">
        <v>1072</v>
      </c>
      <c r="D178" s="133" t="s">
        <v>1112</v>
      </c>
      <c r="E178" s="133" t="s">
        <v>2076</v>
      </c>
      <c r="F178" s="133" t="s">
        <v>1698</v>
      </c>
      <c r="G178" s="133" t="s">
        <v>1929</v>
      </c>
      <c r="H178" s="135">
        <v>-5.2000000000000005E-2</v>
      </c>
      <c r="I178" s="135">
        <v>8.3000000000000004E-2</v>
      </c>
      <c r="J178" s="135">
        <v>8.3000000000000004E-2</v>
      </c>
      <c r="K178" s="135">
        <v>6.2E-2</v>
      </c>
      <c r="L178" s="135">
        <v>4.4000000000000004E-2</v>
      </c>
      <c r="M178" s="135">
        <v>3.5000000000000003E-2</v>
      </c>
      <c r="N178" s="135">
        <v>4.9000000000000002E-2</v>
      </c>
      <c r="O178" s="135">
        <v>5.0999999999999997E-2</v>
      </c>
      <c r="P178" s="135">
        <v>5.0999999999999997E-2</v>
      </c>
      <c r="Q178" s="135">
        <v>5.0999999999999997E-2</v>
      </c>
      <c r="R178" s="135">
        <v>5.0999999999999997E-2</v>
      </c>
    </row>
    <row r="179" spans="2:18" ht="16">
      <c r="B179" s="133" t="s">
        <v>738</v>
      </c>
      <c r="C179" s="134" t="s">
        <v>1072</v>
      </c>
      <c r="D179" s="133" t="s">
        <v>1112</v>
      </c>
      <c r="E179" s="133" t="s">
        <v>2077</v>
      </c>
      <c r="F179" s="133" t="s">
        <v>1698</v>
      </c>
      <c r="G179" s="133" t="s">
        <v>1929</v>
      </c>
      <c r="H179" s="135">
        <v>0.32100000000000001</v>
      </c>
      <c r="I179" s="135">
        <v>5.5E-2</v>
      </c>
      <c r="J179" s="135">
        <v>1.472</v>
      </c>
      <c r="K179" s="135">
        <v>1.248</v>
      </c>
      <c r="L179" s="135">
        <v>1.3359999999999999</v>
      </c>
      <c r="M179" s="135">
        <v>0.74099999999999999</v>
      </c>
      <c r="N179" s="135">
        <v>0.14199999999999999</v>
      </c>
      <c r="O179" s="135">
        <v>0.14300000000000002</v>
      </c>
      <c r="P179" s="135">
        <v>0.13699999999999998</v>
      </c>
      <c r="Q179" s="135">
        <v>0.125</v>
      </c>
      <c r="R179" s="135">
        <v>0.113</v>
      </c>
    </row>
    <row r="180" spans="2:18" ht="16">
      <c r="B180" s="133" t="s">
        <v>752</v>
      </c>
      <c r="C180" s="134" t="s">
        <v>1072</v>
      </c>
      <c r="D180" s="133" t="s">
        <v>1112</v>
      </c>
      <c r="E180" s="133" t="s">
        <v>2078</v>
      </c>
      <c r="F180" s="133" t="s">
        <v>1698</v>
      </c>
      <c r="G180" s="133" t="s">
        <v>1929</v>
      </c>
      <c r="H180" s="135">
        <v>0.55100000000000005</v>
      </c>
      <c r="I180" s="135">
        <v>2.202</v>
      </c>
      <c r="J180" s="135">
        <v>1.1059999999999999</v>
      </c>
      <c r="K180" s="135">
        <v>1.6580000000000001</v>
      </c>
      <c r="L180" s="135">
        <v>1.6459999999999999</v>
      </c>
      <c r="M180" s="135">
        <v>0.93599999999999994</v>
      </c>
      <c r="N180" s="135">
        <v>0.58399999999999996</v>
      </c>
      <c r="O180" s="135">
        <v>0.38700000000000001</v>
      </c>
      <c r="P180" s="135">
        <v>0.313</v>
      </c>
      <c r="Q180" s="135">
        <v>0.24199999999999999</v>
      </c>
      <c r="R180" s="135">
        <v>0.151</v>
      </c>
    </row>
    <row r="181" spans="2:18" ht="16">
      <c r="B181" s="133" t="s">
        <v>2079</v>
      </c>
      <c r="C181" s="134" t="s">
        <v>1072</v>
      </c>
      <c r="D181" s="133" t="s">
        <v>1112</v>
      </c>
      <c r="E181" s="133" t="s">
        <v>2080</v>
      </c>
      <c r="F181" s="133" t="s">
        <v>1698</v>
      </c>
      <c r="G181" s="133" t="s">
        <v>1929</v>
      </c>
      <c r="H181" s="135">
        <v>0.55500000000000005</v>
      </c>
      <c r="I181" s="135">
        <v>0.88300000000000001</v>
      </c>
      <c r="J181" s="135">
        <v>0.58899999999999997</v>
      </c>
      <c r="K181" s="135">
        <v>5.2000000000000005E-2</v>
      </c>
      <c r="L181" s="135">
        <v>3.5000000000000003E-2</v>
      </c>
      <c r="M181" s="135">
        <v>5.2000000000000005E-2</v>
      </c>
      <c r="N181" s="135">
        <v>3.2000000000000001E-2</v>
      </c>
      <c r="O181" s="136" t="s">
        <v>1114</v>
      </c>
      <c r="P181" s="136" t="s">
        <v>1114</v>
      </c>
      <c r="Q181" s="136" t="s">
        <v>1114</v>
      </c>
      <c r="R181" s="136" t="s">
        <v>1114</v>
      </c>
    </row>
    <row r="182" spans="2:18" ht="16">
      <c r="B182" s="133" t="s">
        <v>764</v>
      </c>
      <c r="C182" s="134" t="s">
        <v>1072</v>
      </c>
      <c r="D182" s="133" t="s">
        <v>1112</v>
      </c>
      <c r="E182" s="133" t="s">
        <v>2081</v>
      </c>
      <c r="F182" s="133" t="s">
        <v>1698</v>
      </c>
      <c r="G182" s="133" t="s">
        <v>1929</v>
      </c>
      <c r="H182" s="135">
        <v>0.01</v>
      </c>
      <c r="I182" s="135">
        <v>5.2999999999999999E-2</v>
      </c>
      <c r="J182" s="135">
        <v>7.400000000000001E-2</v>
      </c>
      <c r="K182" s="135">
        <v>5.9000000000000004E-2</v>
      </c>
      <c r="L182" s="135">
        <v>0.04</v>
      </c>
      <c r="M182" s="135">
        <v>4.2999999999999997E-2</v>
      </c>
      <c r="N182" s="135">
        <v>2.7000000000000003E-2</v>
      </c>
      <c r="O182" s="135">
        <v>6.2E-2</v>
      </c>
      <c r="P182" s="135">
        <v>6.2E-2</v>
      </c>
      <c r="Q182" s="135">
        <v>6.2E-2</v>
      </c>
      <c r="R182" s="135">
        <v>6.2E-2</v>
      </c>
    </row>
    <row r="183" spans="2:18" ht="16">
      <c r="B183" s="133" t="s">
        <v>769</v>
      </c>
      <c r="C183" s="134" t="s">
        <v>1072</v>
      </c>
      <c r="D183" s="133" t="s">
        <v>1112</v>
      </c>
      <c r="E183" s="133" t="s">
        <v>2031</v>
      </c>
      <c r="F183" s="133" t="s">
        <v>1698</v>
      </c>
      <c r="G183" s="133" t="s">
        <v>1929</v>
      </c>
      <c r="H183" s="135">
        <v>1.3999999999999999E-2</v>
      </c>
      <c r="I183" s="135">
        <v>0.106</v>
      </c>
      <c r="J183" s="135">
        <v>0.106</v>
      </c>
      <c r="K183" s="135">
        <v>4.0999999999999995E-2</v>
      </c>
      <c r="L183" s="135">
        <v>6.4000000000000001E-2</v>
      </c>
      <c r="M183" s="135">
        <v>5.4000000000000006E-2</v>
      </c>
      <c r="N183" s="135">
        <v>5.2999999999999999E-2</v>
      </c>
      <c r="O183" s="135">
        <v>5.2999999999999999E-2</v>
      </c>
      <c r="P183" s="135">
        <v>5.4000000000000006E-2</v>
      </c>
      <c r="Q183" s="135">
        <v>5.4000000000000006E-2</v>
      </c>
      <c r="R183" s="135">
        <v>5.2999999999999999E-2</v>
      </c>
    </row>
    <row r="184" spans="2:18" ht="16">
      <c r="B184" s="133" t="s">
        <v>775</v>
      </c>
      <c r="C184" s="134" t="s">
        <v>1072</v>
      </c>
      <c r="D184" s="133" t="s">
        <v>1112</v>
      </c>
      <c r="E184" s="133" t="s">
        <v>2082</v>
      </c>
      <c r="F184" s="133" t="s">
        <v>1698</v>
      </c>
      <c r="G184" s="133" t="s">
        <v>1929</v>
      </c>
      <c r="H184" s="135">
        <v>-4.2999999999999997E-2</v>
      </c>
      <c r="I184" s="135">
        <v>8.8000000000000009E-2</v>
      </c>
      <c r="J184" s="135">
        <v>0.14300000000000002</v>
      </c>
      <c r="K184" s="135">
        <v>0.107</v>
      </c>
      <c r="L184" s="135">
        <v>0.10400000000000001</v>
      </c>
      <c r="M184" s="135">
        <v>8.900000000000001E-2</v>
      </c>
      <c r="N184" s="135">
        <v>6.5000000000000002E-2</v>
      </c>
      <c r="O184" s="135">
        <v>5.9000000000000004E-2</v>
      </c>
      <c r="P184" s="135">
        <v>5.2999999999999999E-2</v>
      </c>
      <c r="Q184" s="135">
        <v>5.4000000000000006E-2</v>
      </c>
      <c r="R184" s="135">
        <v>5.4000000000000006E-2</v>
      </c>
    </row>
    <row r="185" spans="2:18" ht="16">
      <c r="B185" s="133" t="s">
        <v>785</v>
      </c>
      <c r="C185" s="134" t="s">
        <v>1072</v>
      </c>
      <c r="D185" s="133" t="s">
        <v>1112</v>
      </c>
      <c r="E185" s="133" t="s">
        <v>2083</v>
      </c>
      <c r="F185" s="133" t="s">
        <v>1698</v>
      </c>
      <c r="G185" s="133" t="s">
        <v>1929</v>
      </c>
      <c r="H185" s="135">
        <v>6.0000000000000001E-3</v>
      </c>
      <c r="I185" s="135">
        <v>4.7E-2</v>
      </c>
      <c r="J185" s="135">
        <v>3.7999999999999999E-2</v>
      </c>
      <c r="K185" s="135">
        <v>0.114</v>
      </c>
      <c r="L185" s="135">
        <v>-4.0000000000000001E-3</v>
      </c>
      <c r="M185" s="135">
        <v>0.1</v>
      </c>
      <c r="N185" s="135">
        <v>4.7E-2</v>
      </c>
      <c r="O185" s="135">
        <v>0.107</v>
      </c>
      <c r="P185" s="135">
        <v>9.4E-2</v>
      </c>
      <c r="Q185" s="135">
        <v>9.4E-2</v>
      </c>
      <c r="R185" s="135">
        <v>9.4E-2</v>
      </c>
    </row>
    <row r="186" spans="2:18" ht="16">
      <c r="B186" s="133" t="s">
        <v>789</v>
      </c>
      <c r="C186" s="134" t="s">
        <v>1072</v>
      </c>
      <c r="D186" s="133" t="s">
        <v>1112</v>
      </c>
      <c r="E186" s="133" t="s">
        <v>2084</v>
      </c>
      <c r="F186" s="133" t="s">
        <v>1698</v>
      </c>
      <c r="G186" s="133" t="s">
        <v>1929</v>
      </c>
      <c r="H186" s="135">
        <v>1.4999999999999999E-2</v>
      </c>
      <c r="I186" s="135">
        <v>-0.02</v>
      </c>
      <c r="J186" s="135">
        <v>0.20399999999999999</v>
      </c>
      <c r="K186" s="135">
        <v>4.2999999999999997E-2</v>
      </c>
      <c r="L186" s="135">
        <v>0.05</v>
      </c>
      <c r="M186" s="135">
        <v>5.0999999999999997E-2</v>
      </c>
      <c r="N186" s="135">
        <v>7.2999999999999995E-2</v>
      </c>
      <c r="O186" s="135">
        <v>0.05</v>
      </c>
      <c r="P186" s="135">
        <v>5.0999999999999997E-2</v>
      </c>
      <c r="Q186" s="135">
        <v>5.2999999999999999E-2</v>
      </c>
      <c r="R186" s="135">
        <v>5.2999999999999999E-2</v>
      </c>
    </row>
    <row r="187" spans="2:18" ht="16">
      <c r="B187" s="133" t="s">
        <v>2085</v>
      </c>
      <c r="C187" s="134" t="s">
        <v>1072</v>
      </c>
      <c r="D187" s="133" t="s">
        <v>1112</v>
      </c>
      <c r="E187" s="133" t="s">
        <v>2086</v>
      </c>
      <c r="F187" s="133" t="s">
        <v>1698</v>
      </c>
      <c r="G187" s="133" t="s">
        <v>1929</v>
      </c>
      <c r="H187" s="135">
        <v>9.0999999999999998E-2</v>
      </c>
      <c r="I187" s="135">
        <v>0.35</v>
      </c>
      <c r="J187" s="135">
        <v>0.23899999999999999</v>
      </c>
      <c r="K187" s="135">
        <v>3.6000000000000004E-2</v>
      </c>
      <c r="L187" s="135">
        <v>0.313</v>
      </c>
      <c r="M187" s="135">
        <v>0.193</v>
      </c>
      <c r="N187" s="135">
        <v>0.17699999999999999</v>
      </c>
      <c r="O187" s="135">
        <v>0.109</v>
      </c>
      <c r="P187" s="135">
        <v>0.11599999999999999</v>
      </c>
      <c r="Q187" s="135">
        <v>9.9000000000000005E-2</v>
      </c>
      <c r="R187" s="135">
        <v>9.1999999999999998E-2</v>
      </c>
    </row>
    <row r="188" spans="2:18" ht="16">
      <c r="B188" s="133" t="s">
        <v>810</v>
      </c>
      <c r="C188" s="134" t="s">
        <v>1072</v>
      </c>
      <c r="D188" s="133" t="s">
        <v>1112</v>
      </c>
      <c r="E188" s="133" t="s">
        <v>2087</v>
      </c>
      <c r="F188" s="133" t="s">
        <v>1698</v>
      </c>
      <c r="G188" s="133" t="s">
        <v>1929</v>
      </c>
      <c r="H188" s="135">
        <v>-1.8000000000000002E-2</v>
      </c>
      <c r="I188" s="135">
        <v>0.10800000000000001</v>
      </c>
      <c r="J188" s="135">
        <v>0.18</v>
      </c>
      <c r="K188" s="135">
        <v>0.45399999999999996</v>
      </c>
      <c r="L188" s="135">
        <v>0.17899999999999999</v>
      </c>
      <c r="M188" s="135">
        <v>0.17399999999999999</v>
      </c>
      <c r="N188" s="135">
        <v>0.125</v>
      </c>
      <c r="O188" s="135">
        <v>0.107</v>
      </c>
      <c r="P188" s="135">
        <v>9.1999999999999998E-2</v>
      </c>
      <c r="Q188" s="135">
        <v>9.3000000000000013E-2</v>
      </c>
      <c r="R188" s="135">
        <v>9.5000000000000001E-2</v>
      </c>
    </row>
    <row r="189" spans="2:18" ht="16">
      <c r="B189" s="133" t="s">
        <v>812</v>
      </c>
      <c r="C189" s="134" t="s">
        <v>1072</v>
      </c>
      <c r="D189" s="133" t="s">
        <v>1112</v>
      </c>
      <c r="E189" s="133" t="s">
        <v>968</v>
      </c>
      <c r="F189" s="133" t="s">
        <v>1698</v>
      </c>
      <c r="G189" s="133" t="s">
        <v>1929</v>
      </c>
      <c r="H189" s="135">
        <v>-1.7000000000000001E-2</v>
      </c>
      <c r="I189" s="135">
        <v>1.3999999999999999E-2</v>
      </c>
      <c r="J189" s="135">
        <v>0.107</v>
      </c>
      <c r="K189" s="135">
        <v>0.11199999999999999</v>
      </c>
      <c r="L189" s="135">
        <v>6.2E-2</v>
      </c>
      <c r="M189" s="135">
        <v>3.7000000000000005E-2</v>
      </c>
      <c r="N189" s="135">
        <v>4.9000000000000002E-2</v>
      </c>
      <c r="O189" s="135">
        <v>5.2000000000000005E-2</v>
      </c>
      <c r="P189" s="135">
        <v>5.5E-2</v>
      </c>
      <c r="Q189" s="135">
        <v>5.5E-2</v>
      </c>
      <c r="R189" s="135">
        <v>5.0999999999999997E-2</v>
      </c>
    </row>
    <row r="190" spans="2:18" ht="16">
      <c r="B190" s="133" t="s">
        <v>882</v>
      </c>
      <c r="C190" s="134" t="s">
        <v>1072</v>
      </c>
      <c r="D190" s="133" t="s">
        <v>1112</v>
      </c>
      <c r="E190" s="133" t="s">
        <v>968</v>
      </c>
      <c r="F190" s="133" t="s">
        <v>1698</v>
      </c>
      <c r="G190" s="133" t="s">
        <v>1929</v>
      </c>
      <c r="H190" s="135">
        <v>-2.7000000000000003E-2</v>
      </c>
      <c r="I190" s="135">
        <v>0.13800000000000001</v>
      </c>
      <c r="J190" s="135">
        <v>8.5000000000000006E-2</v>
      </c>
      <c r="K190" s="135">
        <v>0.05</v>
      </c>
      <c r="L190" s="135">
        <v>3.7000000000000005E-2</v>
      </c>
      <c r="M190" s="135">
        <v>4.4999999999999998E-2</v>
      </c>
      <c r="N190" s="135">
        <v>4.2000000000000003E-2</v>
      </c>
      <c r="O190" s="135">
        <v>4.0999999999999995E-2</v>
      </c>
      <c r="P190" s="135">
        <v>4.0999999999999995E-2</v>
      </c>
      <c r="Q190" s="135">
        <v>4.0999999999999995E-2</v>
      </c>
      <c r="R190" s="135">
        <v>4.2000000000000003E-2</v>
      </c>
    </row>
    <row r="191" spans="2:18" ht="16">
      <c r="B191" s="133" t="s">
        <v>458</v>
      </c>
      <c r="C191" s="134" t="s">
        <v>1072</v>
      </c>
      <c r="D191" s="133" t="s">
        <v>1112</v>
      </c>
      <c r="E191" s="133" t="s">
        <v>2088</v>
      </c>
      <c r="F191" s="133" t="s">
        <v>1698</v>
      </c>
      <c r="G191" s="133" t="s">
        <v>1929</v>
      </c>
      <c r="H191" s="135">
        <v>-6.0999999999999999E-2</v>
      </c>
      <c r="I191" s="135">
        <v>8.900000000000001E-2</v>
      </c>
      <c r="J191" s="135">
        <v>0.109</v>
      </c>
      <c r="K191" s="135">
        <v>2.1000000000000001E-2</v>
      </c>
      <c r="L191" s="135">
        <v>1.3999999999999999E-2</v>
      </c>
      <c r="M191" s="135">
        <v>3.3000000000000002E-2</v>
      </c>
      <c r="N191" s="135">
        <v>2.7999999999999997E-2</v>
      </c>
      <c r="O191" s="135">
        <v>3.4000000000000002E-2</v>
      </c>
      <c r="P191" s="135">
        <v>3.1E-2</v>
      </c>
      <c r="Q191" s="135">
        <v>3.1E-2</v>
      </c>
      <c r="R191" s="135">
        <v>3.1E-2</v>
      </c>
    </row>
    <row r="192" spans="2:18" ht="16">
      <c r="B192" s="133" t="s">
        <v>167</v>
      </c>
      <c r="C192" s="134" t="s">
        <v>1072</v>
      </c>
      <c r="D192" s="133" t="s">
        <v>1112</v>
      </c>
      <c r="E192" s="133" t="s">
        <v>968</v>
      </c>
      <c r="F192" s="133" t="s">
        <v>1698</v>
      </c>
      <c r="G192" s="133" t="s">
        <v>1929</v>
      </c>
      <c r="H192" s="135">
        <v>-2.3E-2</v>
      </c>
      <c r="I192" s="135">
        <v>0.13699999999999998</v>
      </c>
      <c r="J192" s="135">
        <v>8.6999999999999994E-2</v>
      </c>
      <c r="K192" s="135">
        <v>5.5E-2</v>
      </c>
      <c r="L192" s="135">
        <v>4.0999999999999995E-2</v>
      </c>
      <c r="M192" s="135">
        <v>4.8000000000000001E-2</v>
      </c>
      <c r="N192" s="135">
        <v>4.2999999999999997E-2</v>
      </c>
      <c r="O192" s="135">
        <v>4.0999999999999995E-2</v>
      </c>
      <c r="P192" s="135">
        <v>4.2000000000000003E-2</v>
      </c>
      <c r="Q192" s="135">
        <v>4.2000000000000003E-2</v>
      </c>
      <c r="R192" s="135">
        <v>4.2000000000000003E-2</v>
      </c>
    </row>
    <row r="193" spans="2:18" ht="16">
      <c r="B193" s="133" t="s">
        <v>1777</v>
      </c>
      <c r="C193" s="134" t="s">
        <v>1072</v>
      </c>
      <c r="D193" s="133" t="s">
        <v>1112</v>
      </c>
      <c r="E193" s="133" t="s">
        <v>968</v>
      </c>
      <c r="F193" s="133" t="s">
        <v>1698</v>
      </c>
      <c r="G193" s="133" t="s">
        <v>1929</v>
      </c>
      <c r="H193" s="135">
        <v>-7.2999999999999995E-2</v>
      </c>
      <c r="I193" s="135">
        <v>0.122</v>
      </c>
      <c r="J193" s="135">
        <v>6.0000000000000001E-3</v>
      </c>
      <c r="K193" s="135">
        <v>9.1999999999999998E-2</v>
      </c>
      <c r="L193" s="135">
        <v>4.4000000000000004E-2</v>
      </c>
      <c r="M193" s="135">
        <v>6.8000000000000005E-2</v>
      </c>
      <c r="N193" s="135">
        <v>1.2E-2</v>
      </c>
      <c r="O193" s="135">
        <v>3.2000000000000001E-2</v>
      </c>
      <c r="P193" s="135">
        <v>3.7000000000000005E-2</v>
      </c>
      <c r="Q193" s="135">
        <v>3.7000000000000005E-2</v>
      </c>
      <c r="R193" s="135">
        <v>3.7999999999999999E-2</v>
      </c>
    </row>
    <row r="194" spans="2:18" ht="16">
      <c r="B194" s="133" t="s">
        <v>397</v>
      </c>
      <c r="C194" s="134" t="s">
        <v>1072</v>
      </c>
      <c r="D194" s="133" t="s">
        <v>1112</v>
      </c>
      <c r="E194" s="133" t="s">
        <v>1978</v>
      </c>
      <c r="F194" s="133" t="s">
        <v>1698</v>
      </c>
      <c r="G194" s="133" t="s">
        <v>1929</v>
      </c>
      <c r="H194" s="135">
        <v>-0.13100000000000001</v>
      </c>
      <c r="I194" s="135">
        <v>9.9000000000000005E-2</v>
      </c>
      <c r="J194" s="135">
        <v>0.129</v>
      </c>
      <c r="K194" s="135">
        <v>5.7000000000000002E-2</v>
      </c>
      <c r="L194" s="135">
        <v>4.9000000000000002E-2</v>
      </c>
      <c r="M194" s="135">
        <v>0.04</v>
      </c>
      <c r="N194" s="135">
        <v>2.8999999999999998E-2</v>
      </c>
      <c r="O194" s="136" t="s">
        <v>1114</v>
      </c>
      <c r="P194" s="136" t="s">
        <v>1114</v>
      </c>
      <c r="Q194" s="136" t="s">
        <v>1114</v>
      </c>
      <c r="R194" s="136" t="s">
        <v>1114</v>
      </c>
    </row>
    <row r="195" spans="2:18" ht="16">
      <c r="B195" s="133" t="s">
        <v>411</v>
      </c>
      <c r="C195" s="134" t="s">
        <v>1072</v>
      </c>
      <c r="D195" s="133" t="s">
        <v>1112</v>
      </c>
      <c r="E195" s="133" t="s">
        <v>1978</v>
      </c>
      <c r="F195" s="133" t="s">
        <v>1698</v>
      </c>
      <c r="G195" s="133" t="s">
        <v>1929</v>
      </c>
      <c r="H195" s="135">
        <v>-8.1000000000000003E-2</v>
      </c>
      <c r="I195" s="135">
        <v>3.7000000000000005E-2</v>
      </c>
      <c r="J195" s="135">
        <v>0.153</v>
      </c>
      <c r="K195" s="135">
        <v>6.8000000000000005E-2</v>
      </c>
      <c r="L195" s="135">
        <v>3.2000000000000001E-2</v>
      </c>
      <c r="M195" s="135">
        <v>0.05</v>
      </c>
      <c r="N195" s="135">
        <v>5.7000000000000002E-2</v>
      </c>
      <c r="O195" s="135">
        <v>3.9E-2</v>
      </c>
      <c r="P195" s="135">
        <v>3.7999999999999999E-2</v>
      </c>
      <c r="Q195" s="135">
        <v>3.7000000000000005E-2</v>
      </c>
      <c r="R195" s="135">
        <v>3.7000000000000005E-2</v>
      </c>
    </row>
    <row r="196" spans="2:18" ht="16">
      <c r="B196" s="133" t="s">
        <v>425</v>
      </c>
      <c r="C196" s="134" t="s">
        <v>1072</v>
      </c>
      <c r="D196" s="133" t="s">
        <v>1112</v>
      </c>
      <c r="E196" s="133" t="s">
        <v>1978</v>
      </c>
      <c r="F196" s="133" t="s">
        <v>1698</v>
      </c>
      <c r="G196" s="133" t="s">
        <v>1929</v>
      </c>
      <c r="H196" s="135">
        <v>-0.06</v>
      </c>
      <c r="I196" s="135">
        <v>7.6999999999999999E-2</v>
      </c>
      <c r="J196" s="135">
        <v>0.128</v>
      </c>
      <c r="K196" s="135">
        <v>4.8000000000000001E-2</v>
      </c>
      <c r="L196" s="135">
        <v>2.8999999999999998E-2</v>
      </c>
      <c r="M196" s="135">
        <v>5.9000000000000004E-2</v>
      </c>
      <c r="N196" s="135">
        <v>3.9E-2</v>
      </c>
      <c r="O196" s="135">
        <v>3.5000000000000003E-2</v>
      </c>
      <c r="P196" s="135">
        <v>3.4000000000000002E-2</v>
      </c>
      <c r="Q196" s="135">
        <v>3.4000000000000002E-2</v>
      </c>
      <c r="R196" s="135">
        <v>3.5000000000000003E-2</v>
      </c>
    </row>
    <row r="197" spans="2:18" ht="16">
      <c r="B197" s="133" t="s">
        <v>489</v>
      </c>
      <c r="C197" s="134" t="s">
        <v>1072</v>
      </c>
      <c r="D197" s="133" t="s">
        <v>1112</v>
      </c>
      <c r="E197" s="133" t="s">
        <v>1978</v>
      </c>
      <c r="F197" s="133" t="s">
        <v>1698</v>
      </c>
      <c r="G197" s="133" t="s">
        <v>1929</v>
      </c>
      <c r="H197" s="135">
        <v>-8.6999999999999994E-2</v>
      </c>
      <c r="I197" s="135">
        <v>4.5999999999999999E-2</v>
      </c>
      <c r="J197" s="135">
        <v>0.14499999999999999</v>
      </c>
      <c r="K197" s="135">
        <v>7.400000000000001E-2</v>
      </c>
      <c r="L197" s="135">
        <v>0.04</v>
      </c>
      <c r="M197" s="135">
        <v>4.8000000000000001E-2</v>
      </c>
      <c r="N197" s="135">
        <v>0.05</v>
      </c>
      <c r="O197" s="135">
        <v>0.05</v>
      </c>
      <c r="P197" s="135">
        <v>0.05</v>
      </c>
      <c r="Q197" s="135">
        <v>5.0999999999999997E-2</v>
      </c>
      <c r="R197" s="135">
        <v>4.7E-2</v>
      </c>
    </row>
    <row r="198" spans="2:18" ht="16">
      <c r="B198" s="133" t="s">
        <v>493</v>
      </c>
      <c r="C198" s="134" t="s">
        <v>1072</v>
      </c>
      <c r="D198" s="133" t="s">
        <v>1112</v>
      </c>
      <c r="E198" s="133" t="s">
        <v>2089</v>
      </c>
      <c r="F198" s="133" t="s">
        <v>1698</v>
      </c>
      <c r="G198" s="133" t="s">
        <v>1929</v>
      </c>
      <c r="H198" s="135">
        <v>-1.6E-2</v>
      </c>
      <c r="I198" s="135">
        <v>6.5000000000000002E-2</v>
      </c>
      <c r="J198" s="135">
        <v>6.7000000000000004E-2</v>
      </c>
      <c r="K198" s="135">
        <v>-8.0000000000000002E-3</v>
      </c>
      <c r="L198" s="135">
        <v>2.4E-2</v>
      </c>
      <c r="M198" s="135">
        <v>0.04</v>
      </c>
      <c r="N198" s="135">
        <v>3.4000000000000002E-2</v>
      </c>
      <c r="O198" s="135">
        <v>4.4000000000000004E-2</v>
      </c>
      <c r="P198" s="135">
        <v>4.4000000000000004E-2</v>
      </c>
      <c r="Q198" s="135">
        <v>4.2999999999999997E-2</v>
      </c>
      <c r="R198" s="135">
        <v>4.2999999999999997E-2</v>
      </c>
    </row>
    <row r="199" spans="2:18" ht="16">
      <c r="B199" s="133" t="s">
        <v>521</v>
      </c>
      <c r="C199" s="134" t="s">
        <v>1072</v>
      </c>
      <c r="D199" s="133" t="s">
        <v>1112</v>
      </c>
      <c r="E199" s="133" t="s">
        <v>1978</v>
      </c>
      <c r="F199" s="133" t="s">
        <v>1698</v>
      </c>
      <c r="G199" s="133" t="s">
        <v>1929</v>
      </c>
      <c r="H199" s="135">
        <v>-3.6000000000000004E-2</v>
      </c>
      <c r="I199" s="135">
        <v>5.4000000000000006E-2</v>
      </c>
      <c r="J199" s="135">
        <v>6.5000000000000002E-2</v>
      </c>
      <c r="K199" s="135">
        <v>3.9E-2</v>
      </c>
      <c r="L199" s="135">
        <v>-2E-3</v>
      </c>
      <c r="M199" s="135">
        <v>0.02</v>
      </c>
      <c r="N199" s="135">
        <v>2.7999999999999997E-2</v>
      </c>
      <c r="O199" s="135">
        <v>2.7000000000000003E-2</v>
      </c>
      <c r="P199" s="135">
        <v>0.03</v>
      </c>
      <c r="Q199" s="135">
        <v>0.03</v>
      </c>
      <c r="R199" s="135">
        <v>0.03</v>
      </c>
    </row>
    <row r="200" spans="2:18" ht="16">
      <c r="B200" s="133" t="s">
        <v>523</v>
      </c>
      <c r="C200" s="134" t="s">
        <v>1072</v>
      </c>
      <c r="D200" s="133" t="s">
        <v>1112</v>
      </c>
      <c r="E200" s="133" t="s">
        <v>1978</v>
      </c>
      <c r="F200" s="133" t="s">
        <v>1698</v>
      </c>
      <c r="G200" s="133" t="s">
        <v>1929</v>
      </c>
      <c r="H200" s="135">
        <v>-6.5000000000000002E-2</v>
      </c>
      <c r="I200" s="135">
        <v>6.4000000000000001E-2</v>
      </c>
      <c r="J200" s="135">
        <v>8.5000000000000006E-2</v>
      </c>
      <c r="K200" s="135">
        <v>7.400000000000001E-2</v>
      </c>
      <c r="L200" s="135">
        <v>3.1E-2</v>
      </c>
      <c r="M200" s="135">
        <v>0.01</v>
      </c>
      <c r="N200" s="135">
        <v>2.3E-2</v>
      </c>
      <c r="O200" s="135">
        <v>3.1E-2</v>
      </c>
      <c r="P200" s="135">
        <v>3.1E-2</v>
      </c>
      <c r="Q200" s="135">
        <v>3.1E-2</v>
      </c>
      <c r="R200" s="135">
        <v>3.1E-2</v>
      </c>
    </row>
    <row r="201" spans="2:18" ht="16">
      <c r="B201" s="133" t="s">
        <v>229</v>
      </c>
      <c r="C201" s="134" t="s">
        <v>1072</v>
      </c>
      <c r="D201" s="133" t="s">
        <v>1112</v>
      </c>
      <c r="E201" s="133" t="s">
        <v>1978</v>
      </c>
      <c r="F201" s="133" t="s">
        <v>1698</v>
      </c>
      <c r="G201" s="133" t="s">
        <v>1929</v>
      </c>
      <c r="H201" s="135">
        <v>-5.5999999999999994E-2</v>
      </c>
      <c r="I201" s="135">
        <v>5.0999999999999997E-2</v>
      </c>
      <c r="J201" s="135">
        <v>0.11800000000000001</v>
      </c>
      <c r="K201" s="135">
        <v>5.9000000000000004E-2</v>
      </c>
      <c r="L201" s="135">
        <v>2.5000000000000001E-2</v>
      </c>
      <c r="M201" s="135">
        <v>3.3000000000000002E-2</v>
      </c>
      <c r="N201" s="135">
        <v>2.8999999999999998E-2</v>
      </c>
      <c r="O201" s="135">
        <v>3.6000000000000004E-2</v>
      </c>
      <c r="P201" s="135">
        <v>3.7000000000000005E-2</v>
      </c>
      <c r="Q201" s="135">
        <v>3.7000000000000005E-2</v>
      </c>
      <c r="R201" s="135">
        <v>3.7999999999999999E-2</v>
      </c>
    </row>
    <row r="202" spans="2:18" ht="16">
      <c r="B202" s="133" t="s">
        <v>538</v>
      </c>
      <c r="C202" s="134" t="s">
        <v>1072</v>
      </c>
      <c r="D202" s="133" t="s">
        <v>1112</v>
      </c>
      <c r="E202" s="133" t="s">
        <v>1978</v>
      </c>
      <c r="F202" s="133" t="s">
        <v>1698</v>
      </c>
      <c r="G202" s="133" t="s">
        <v>1929</v>
      </c>
      <c r="H202" s="135">
        <v>-0.14699999999999999</v>
      </c>
      <c r="I202" s="135">
        <v>0.11599999999999999</v>
      </c>
      <c r="J202" s="135">
        <v>0.19899999999999998</v>
      </c>
      <c r="K202" s="135">
        <v>7.9000000000000001E-2</v>
      </c>
      <c r="L202" s="135">
        <v>6.2E-2</v>
      </c>
      <c r="M202" s="135">
        <v>4.7E-2</v>
      </c>
      <c r="N202" s="135">
        <v>2.7000000000000003E-2</v>
      </c>
      <c r="O202" s="135">
        <v>4.2999999999999997E-2</v>
      </c>
      <c r="P202" s="135">
        <v>4.2999999999999997E-2</v>
      </c>
      <c r="Q202" s="135">
        <v>4.2999999999999997E-2</v>
      </c>
      <c r="R202" s="135">
        <v>4.2999999999999997E-2</v>
      </c>
    </row>
    <row r="203" spans="2:18" ht="16">
      <c r="B203" s="133" t="s">
        <v>562</v>
      </c>
      <c r="C203" s="134" t="s">
        <v>1072</v>
      </c>
      <c r="D203" s="133" t="s">
        <v>1112</v>
      </c>
      <c r="E203" s="133" t="s">
        <v>2090</v>
      </c>
      <c r="F203" s="133" t="s">
        <v>1698</v>
      </c>
      <c r="G203" s="133" t="s">
        <v>1929</v>
      </c>
      <c r="H203" s="135">
        <v>-1.3999999999999999E-2</v>
      </c>
      <c r="I203" s="135">
        <v>9.5000000000000001E-2</v>
      </c>
      <c r="J203" s="135">
        <v>0.13699999999999998</v>
      </c>
      <c r="K203" s="135">
        <v>6.7000000000000004E-2</v>
      </c>
      <c r="L203" s="135">
        <v>4.2000000000000003E-2</v>
      </c>
      <c r="M203" s="135">
        <v>5.2999999999999999E-2</v>
      </c>
      <c r="N203" s="135">
        <v>4.9000000000000002E-2</v>
      </c>
      <c r="O203" s="135">
        <v>0.05</v>
      </c>
      <c r="P203" s="135">
        <v>5.0999999999999997E-2</v>
      </c>
      <c r="Q203" s="135">
        <v>5.2999999999999999E-2</v>
      </c>
      <c r="R203" s="135">
        <v>5.0999999999999997E-2</v>
      </c>
    </row>
    <row r="204" spans="2:18" ht="16">
      <c r="B204" s="133" t="s">
        <v>571</v>
      </c>
      <c r="C204" s="134" t="s">
        <v>1072</v>
      </c>
      <c r="D204" s="133" t="s">
        <v>1112</v>
      </c>
      <c r="E204" s="133" t="s">
        <v>1978</v>
      </c>
      <c r="F204" s="133" t="s">
        <v>1698</v>
      </c>
      <c r="G204" s="133" t="s">
        <v>1929</v>
      </c>
      <c r="H204" s="135">
        <v>-0.105</v>
      </c>
      <c r="I204" s="135">
        <v>0.115</v>
      </c>
      <c r="J204" s="135">
        <v>0.16</v>
      </c>
      <c r="K204" s="135">
        <v>8.5999999999999993E-2</v>
      </c>
      <c r="L204" s="135">
        <v>5.7000000000000002E-2</v>
      </c>
      <c r="M204" s="135">
        <v>2.8999999999999998E-2</v>
      </c>
      <c r="N204" s="135">
        <v>3.2000000000000001E-2</v>
      </c>
      <c r="O204" s="135">
        <v>3.1E-2</v>
      </c>
      <c r="P204" s="135">
        <v>3.3000000000000002E-2</v>
      </c>
      <c r="Q204" s="135">
        <v>3.3000000000000002E-2</v>
      </c>
      <c r="R204" s="135">
        <v>3.4000000000000002E-2</v>
      </c>
    </row>
    <row r="205" spans="2:18" ht="16">
      <c r="B205" s="133" t="s">
        <v>577</v>
      </c>
      <c r="C205" s="134" t="s">
        <v>1072</v>
      </c>
      <c r="D205" s="133" t="s">
        <v>1112</v>
      </c>
      <c r="E205" s="133" t="s">
        <v>1978</v>
      </c>
      <c r="F205" s="133" t="s">
        <v>1698</v>
      </c>
      <c r="G205" s="133" t="s">
        <v>1929</v>
      </c>
      <c r="H205" s="135">
        <v>-0.11</v>
      </c>
      <c r="I205" s="135">
        <v>8.199999999999999E-2</v>
      </c>
      <c r="J205" s="135">
        <v>0.13800000000000001</v>
      </c>
      <c r="K205" s="135">
        <v>5.5999999999999994E-2</v>
      </c>
      <c r="L205" s="135">
        <v>1.8000000000000002E-2</v>
      </c>
      <c r="M205" s="135">
        <v>4.2000000000000003E-2</v>
      </c>
      <c r="N205" s="135">
        <v>3.3000000000000002E-2</v>
      </c>
      <c r="O205" s="135">
        <v>2.8999999999999998E-2</v>
      </c>
      <c r="P205" s="135">
        <v>2.8999999999999998E-2</v>
      </c>
      <c r="Q205" s="135">
        <v>3.1E-2</v>
      </c>
      <c r="R205" s="135">
        <v>3.1E-2</v>
      </c>
    </row>
    <row r="206" spans="2:18" ht="16">
      <c r="B206" s="133" t="s">
        <v>613</v>
      </c>
      <c r="C206" s="134" t="s">
        <v>1072</v>
      </c>
      <c r="D206" s="133" t="s">
        <v>1112</v>
      </c>
      <c r="E206" s="133" t="s">
        <v>2091</v>
      </c>
      <c r="F206" s="133" t="s">
        <v>1698</v>
      </c>
      <c r="G206" s="133" t="s">
        <v>1929</v>
      </c>
      <c r="H206" s="135">
        <v>-7.6999999999999999E-2</v>
      </c>
      <c r="I206" s="135">
        <v>0.113</v>
      </c>
      <c r="J206" s="135">
        <v>0.06</v>
      </c>
      <c r="K206" s="135">
        <v>3.9E-2</v>
      </c>
      <c r="L206" s="135">
        <v>4.5999999999999999E-2</v>
      </c>
      <c r="M206" s="135">
        <v>5.5999999999999994E-2</v>
      </c>
      <c r="N206" s="135">
        <v>4.4999999999999998E-2</v>
      </c>
      <c r="O206" s="136" t="s">
        <v>1114</v>
      </c>
      <c r="P206" s="136" t="s">
        <v>1114</v>
      </c>
      <c r="Q206" s="136" t="s">
        <v>1114</v>
      </c>
      <c r="R206" s="136" t="s">
        <v>1114</v>
      </c>
    </row>
    <row r="207" spans="2:18" ht="16">
      <c r="B207" s="133" t="s">
        <v>617</v>
      </c>
      <c r="C207" s="134" t="s">
        <v>1072</v>
      </c>
      <c r="D207" s="133" t="s">
        <v>1112</v>
      </c>
      <c r="E207" s="133" t="s">
        <v>1978</v>
      </c>
      <c r="F207" s="133" t="s">
        <v>1698</v>
      </c>
      <c r="G207" s="133" t="s">
        <v>1929</v>
      </c>
      <c r="H207" s="135">
        <v>-9.0999999999999998E-2</v>
      </c>
      <c r="I207" s="135">
        <v>0.11</v>
      </c>
      <c r="J207" s="135">
        <v>5.7999999999999996E-2</v>
      </c>
      <c r="K207" s="135">
        <v>0.05</v>
      </c>
      <c r="L207" s="135">
        <v>1.3999999999999999E-2</v>
      </c>
      <c r="M207" s="135">
        <v>3.2000000000000001E-2</v>
      </c>
      <c r="N207" s="135">
        <v>3.7000000000000005E-2</v>
      </c>
      <c r="O207" s="135">
        <v>3.7000000000000005E-2</v>
      </c>
      <c r="P207" s="135">
        <v>3.7000000000000005E-2</v>
      </c>
      <c r="Q207" s="135">
        <v>3.9E-2</v>
      </c>
      <c r="R207" s="135">
        <v>3.2000000000000001E-2</v>
      </c>
    </row>
    <row r="208" spans="2:18" ht="16">
      <c r="B208" s="133" t="s">
        <v>630</v>
      </c>
      <c r="C208" s="134" t="s">
        <v>1072</v>
      </c>
      <c r="D208" s="133" t="s">
        <v>1112</v>
      </c>
      <c r="E208" s="133" t="s">
        <v>1978</v>
      </c>
      <c r="F208" s="133" t="s">
        <v>1698</v>
      </c>
      <c r="G208" s="133" t="s">
        <v>1929</v>
      </c>
      <c r="H208" s="135">
        <v>-0.13600000000000001</v>
      </c>
      <c r="I208" s="135">
        <v>0.128</v>
      </c>
      <c r="J208" s="135">
        <v>0.158</v>
      </c>
      <c r="K208" s="135">
        <v>0.13400000000000001</v>
      </c>
      <c r="L208" s="135">
        <v>4.2000000000000003E-2</v>
      </c>
      <c r="M208" s="135">
        <v>4.9000000000000002E-2</v>
      </c>
      <c r="N208" s="135">
        <v>5.4000000000000006E-2</v>
      </c>
      <c r="O208" s="135">
        <v>6.3E-2</v>
      </c>
      <c r="P208" s="135">
        <v>6.3E-2</v>
      </c>
      <c r="Q208" s="135">
        <v>6.4000000000000001E-2</v>
      </c>
      <c r="R208" s="135">
        <v>6.4000000000000001E-2</v>
      </c>
    </row>
    <row r="209" spans="2:18" ht="16">
      <c r="B209" s="133" t="s">
        <v>644</v>
      </c>
      <c r="C209" s="134" t="s">
        <v>1072</v>
      </c>
      <c r="D209" s="133" t="s">
        <v>1112</v>
      </c>
      <c r="E209" s="133" t="s">
        <v>1978</v>
      </c>
      <c r="F209" s="133" t="s">
        <v>1698</v>
      </c>
      <c r="G209" s="133" t="s">
        <v>1929</v>
      </c>
      <c r="H209" s="135">
        <v>-0.107</v>
      </c>
      <c r="I209" s="135">
        <v>0.21299999999999999</v>
      </c>
      <c r="J209" s="135">
        <v>0.152</v>
      </c>
      <c r="K209" s="135">
        <v>0.107</v>
      </c>
      <c r="L209" s="135">
        <v>7.0000000000000007E-2</v>
      </c>
      <c r="M209" s="135">
        <v>6.4000000000000001E-2</v>
      </c>
      <c r="N209" s="135">
        <v>6.4000000000000001E-2</v>
      </c>
      <c r="O209" s="136" t="s">
        <v>1114</v>
      </c>
      <c r="P209" s="136" t="s">
        <v>1114</v>
      </c>
      <c r="Q209" s="136" t="s">
        <v>1114</v>
      </c>
      <c r="R209" s="136" t="s">
        <v>1114</v>
      </c>
    </row>
    <row r="210" spans="2:18" ht="16">
      <c r="B210" s="133" t="s">
        <v>662</v>
      </c>
      <c r="C210" s="134" t="s">
        <v>1072</v>
      </c>
      <c r="D210" s="133" t="s">
        <v>1112</v>
      </c>
      <c r="E210" s="133" t="s">
        <v>1978</v>
      </c>
      <c r="F210" s="133" t="s">
        <v>1698</v>
      </c>
      <c r="G210" s="133" t="s">
        <v>1929</v>
      </c>
      <c r="H210" s="135">
        <v>-4.4000000000000004E-2</v>
      </c>
      <c r="I210" s="135">
        <v>7.8E-2</v>
      </c>
      <c r="J210" s="135">
        <v>0.13</v>
      </c>
      <c r="K210" s="135">
        <v>6.7000000000000004E-2</v>
      </c>
      <c r="L210" s="135">
        <v>2.7999999999999997E-2</v>
      </c>
      <c r="M210" s="135">
        <v>3.2000000000000001E-2</v>
      </c>
      <c r="N210" s="135">
        <v>2.5000000000000001E-2</v>
      </c>
      <c r="O210" s="135">
        <v>3.3000000000000002E-2</v>
      </c>
      <c r="P210" s="135">
        <v>3.3000000000000002E-2</v>
      </c>
      <c r="Q210" s="135">
        <v>3.3000000000000002E-2</v>
      </c>
      <c r="R210" s="135">
        <v>3.3000000000000002E-2</v>
      </c>
    </row>
    <row r="211" spans="2:18" ht="16">
      <c r="B211" s="133" t="s">
        <v>678</v>
      </c>
      <c r="C211" s="134" t="s">
        <v>1072</v>
      </c>
      <c r="D211" s="133" t="s">
        <v>1112</v>
      </c>
      <c r="E211" s="133" t="s">
        <v>2092</v>
      </c>
      <c r="F211" s="133" t="s">
        <v>1698</v>
      </c>
      <c r="G211" s="133" t="s">
        <v>1929</v>
      </c>
      <c r="H211" s="135">
        <v>-0.02</v>
      </c>
      <c r="I211" s="135">
        <v>7.9000000000000001E-2</v>
      </c>
      <c r="J211" s="135">
        <v>9.6999999999999989E-2</v>
      </c>
      <c r="K211" s="135">
        <v>2.8999999999999998E-2</v>
      </c>
      <c r="L211" s="135">
        <v>3.7999999999999999E-2</v>
      </c>
      <c r="M211" s="135">
        <v>2.4E-2</v>
      </c>
      <c r="N211" s="135">
        <v>2.5000000000000001E-2</v>
      </c>
      <c r="O211" s="135">
        <v>3.7000000000000005E-2</v>
      </c>
      <c r="P211" s="135">
        <v>3.7999999999999999E-2</v>
      </c>
      <c r="Q211" s="135">
        <v>3.5000000000000003E-2</v>
      </c>
      <c r="R211" s="135">
        <v>3.6000000000000004E-2</v>
      </c>
    </row>
    <row r="212" spans="2:18" ht="16">
      <c r="B212" s="133" t="s">
        <v>697</v>
      </c>
      <c r="C212" s="134" t="s">
        <v>1072</v>
      </c>
      <c r="D212" s="133" t="s">
        <v>1112</v>
      </c>
      <c r="E212" s="133" t="s">
        <v>1978</v>
      </c>
      <c r="F212" s="133" t="s">
        <v>1698</v>
      </c>
      <c r="G212" s="133" t="s">
        <v>1929</v>
      </c>
      <c r="H212" s="135">
        <v>-0.113</v>
      </c>
      <c r="I212" s="135">
        <v>7.9000000000000001E-2</v>
      </c>
      <c r="J212" s="135">
        <v>0.187</v>
      </c>
      <c r="K212" s="135">
        <v>6.8000000000000005E-2</v>
      </c>
      <c r="L212" s="135">
        <v>0.05</v>
      </c>
      <c r="M212" s="135">
        <v>2.5000000000000001E-2</v>
      </c>
      <c r="N212" s="135">
        <v>3.1E-2</v>
      </c>
      <c r="O212" s="135">
        <v>4.2000000000000003E-2</v>
      </c>
      <c r="P212" s="135">
        <v>4.0999999999999995E-2</v>
      </c>
      <c r="Q212" s="135">
        <v>4.0999999999999995E-2</v>
      </c>
      <c r="R212" s="135">
        <v>4.0999999999999995E-2</v>
      </c>
    </row>
    <row r="213" spans="2:18" ht="16">
      <c r="B213" s="133" t="s">
        <v>740</v>
      </c>
      <c r="C213" s="134" t="s">
        <v>1072</v>
      </c>
      <c r="D213" s="133" t="s">
        <v>1112</v>
      </c>
      <c r="E213" s="133" t="s">
        <v>1978</v>
      </c>
      <c r="F213" s="133" t="s">
        <v>1698</v>
      </c>
      <c r="G213" s="133" t="s">
        <v>1929</v>
      </c>
      <c r="H213" s="135">
        <v>-0.16399999999999998</v>
      </c>
      <c r="I213" s="135">
        <v>0.105</v>
      </c>
      <c r="J213" s="135">
        <v>0.14899999999999999</v>
      </c>
      <c r="K213" s="135">
        <v>6.8000000000000005E-2</v>
      </c>
      <c r="L213" s="135">
        <v>0.06</v>
      </c>
      <c r="M213" s="135">
        <v>5.2000000000000005E-2</v>
      </c>
      <c r="N213" s="135">
        <v>3.7000000000000005E-2</v>
      </c>
      <c r="O213" s="135">
        <v>3.3000000000000002E-2</v>
      </c>
      <c r="P213" s="135">
        <v>3.4000000000000002E-2</v>
      </c>
      <c r="Q213" s="135">
        <v>3.5000000000000003E-2</v>
      </c>
      <c r="R213" s="135">
        <v>3.5000000000000003E-2</v>
      </c>
    </row>
    <row r="214" spans="2:18" ht="16">
      <c r="B214" s="133" t="s">
        <v>756</v>
      </c>
      <c r="C214" s="134" t="s">
        <v>1072</v>
      </c>
      <c r="D214" s="133" t="s">
        <v>1112</v>
      </c>
      <c r="E214" s="133" t="s">
        <v>2093</v>
      </c>
      <c r="F214" s="133" t="s">
        <v>1698</v>
      </c>
      <c r="G214" s="133" t="s">
        <v>1929</v>
      </c>
      <c r="H214" s="135">
        <v>-2.4E-2</v>
      </c>
      <c r="I214" s="135">
        <v>7.4999999999999997E-2</v>
      </c>
      <c r="J214" s="135">
        <v>8.900000000000001E-2</v>
      </c>
      <c r="K214" s="135">
        <v>4.0999999999999995E-2</v>
      </c>
      <c r="L214" s="135">
        <v>3.3000000000000002E-2</v>
      </c>
      <c r="M214" s="135">
        <v>0.04</v>
      </c>
      <c r="N214" s="135">
        <v>0.05</v>
      </c>
      <c r="O214" s="135">
        <v>4.0999999999999995E-2</v>
      </c>
      <c r="P214" s="135">
        <v>4.2000000000000003E-2</v>
      </c>
      <c r="Q214" s="135">
        <v>4.2000000000000003E-2</v>
      </c>
      <c r="R214" s="135">
        <v>4.0999999999999995E-2</v>
      </c>
    </row>
    <row r="215" spans="2:18" ht="16">
      <c r="B215" s="133" t="s">
        <v>758</v>
      </c>
      <c r="C215" s="134" t="s">
        <v>1072</v>
      </c>
      <c r="D215" s="133" t="s">
        <v>1112</v>
      </c>
      <c r="E215" s="133" t="s">
        <v>2091</v>
      </c>
      <c r="F215" s="133" t="s">
        <v>1698</v>
      </c>
      <c r="G215" s="133" t="s">
        <v>1929</v>
      </c>
      <c r="H215" s="135">
        <v>-4.4999999999999998E-2</v>
      </c>
      <c r="I215" s="135">
        <v>0.02</v>
      </c>
      <c r="J215" s="135">
        <v>5.7999999999999996E-2</v>
      </c>
      <c r="K215" s="135">
        <v>2.4E-2</v>
      </c>
      <c r="L215" s="135">
        <v>1.1000000000000001E-2</v>
      </c>
      <c r="M215" s="135">
        <v>6.9999999999999993E-3</v>
      </c>
      <c r="N215" s="135">
        <v>1.2E-2</v>
      </c>
      <c r="O215" s="135">
        <v>1.9E-2</v>
      </c>
      <c r="P215" s="135">
        <v>1.9E-2</v>
      </c>
      <c r="Q215" s="135">
        <v>1.9E-2</v>
      </c>
      <c r="R215" s="135">
        <v>0.02</v>
      </c>
    </row>
    <row r="216" spans="2:18" ht="16">
      <c r="B216" s="133" t="s">
        <v>1124</v>
      </c>
      <c r="C216" s="134" t="s">
        <v>1072</v>
      </c>
      <c r="D216" s="133" t="s">
        <v>1112</v>
      </c>
      <c r="E216" s="133" t="s">
        <v>2094</v>
      </c>
      <c r="F216" s="133" t="s">
        <v>1698</v>
      </c>
      <c r="G216" s="133" t="s">
        <v>1929</v>
      </c>
      <c r="H216" s="135">
        <v>0.125</v>
      </c>
      <c r="I216" s="135">
        <v>0.40700000000000003</v>
      </c>
      <c r="J216" s="135">
        <v>1.139</v>
      </c>
      <c r="K216" s="135">
        <v>0.81200000000000006</v>
      </c>
      <c r="L216" s="135">
        <v>0.63700000000000001</v>
      </c>
      <c r="M216" s="135">
        <v>0.35299999999999998</v>
      </c>
      <c r="N216" s="135">
        <v>0.20499999999999999</v>
      </c>
      <c r="O216" s="135">
        <v>0.17199999999999999</v>
      </c>
      <c r="P216" s="135">
        <v>0.17399999999999999</v>
      </c>
      <c r="Q216" s="135">
        <v>0.17100000000000001</v>
      </c>
      <c r="R216" s="135">
        <v>0.17100000000000001</v>
      </c>
    </row>
    <row r="217" spans="2:18" ht="16">
      <c r="B217" s="133" t="s">
        <v>791</v>
      </c>
      <c r="C217" s="134" t="s">
        <v>1072</v>
      </c>
      <c r="D217" s="133" t="s">
        <v>1112</v>
      </c>
      <c r="E217" s="133" t="s">
        <v>2095</v>
      </c>
      <c r="F217" s="133" t="s">
        <v>1698</v>
      </c>
      <c r="G217" s="133" t="s">
        <v>1929</v>
      </c>
      <c r="H217" s="135">
        <v>-0.11800000000000001</v>
      </c>
      <c r="I217" s="135">
        <v>9.9000000000000005E-2</v>
      </c>
      <c r="J217" s="135">
        <v>0.14099999999999999</v>
      </c>
      <c r="K217" s="135">
        <v>6.0999999999999999E-2</v>
      </c>
      <c r="L217" s="135">
        <v>2.2000000000000002E-2</v>
      </c>
      <c r="M217" s="135">
        <v>4.7E-2</v>
      </c>
      <c r="N217" s="135">
        <v>3.2000000000000001E-2</v>
      </c>
      <c r="O217" s="135">
        <v>0.03</v>
      </c>
      <c r="P217" s="135">
        <v>0.03</v>
      </c>
      <c r="Q217" s="135">
        <v>3.1E-2</v>
      </c>
      <c r="R217" s="135">
        <v>3.1E-2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A2F68-80A7-4418-BB96-0D521C5D01C5}">
  <dimension ref="A1:R105"/>
  <sheetViews>
    <sheetView workbookViewId="0">
      <selection activeCell="B2" sqref="B2:R2"/>
    </sheetView>
  </sheetViews>
  <sheetFormatPr baseColWidth="10" defaultColWidth="8.83203125" defaultRowHeight="15"/>
  <cols>
    <col min="2" max="2" width="25.5" customWidth="1"/>
    <col min="7" max="7" width="10.5" bestFit="1" customWidth="1"/>
    <col min="8" max="9" width="9.1640625" bestFit="1" customWidth="1"/>
    <col min="10" max="18" width="8.83203125" bestFit="1" customWidth="1"/>
  </cols>
  <sheetData>
    <row r="1" spans="1:18" ht="16">
      <c r="A1" s="139"/>
      <c r="B1" s="140" t="s">
        <v>1095</v>
      </c>
      <c r="C1" s="139"/>
      <c r="D1" s="139"/>
      <c r="E1" s="139"/>
      <c r="F1" s="139"/>
      <c r="G1" s="139"/>
      <c r="H1" s="139"/>
      <c r="I1" s="139"/>
      <c r="J1" s="139"/>
      <c r="K1" s="139"/>
      <c r="L1" s="139"/>
      <c r="M1" s="139"/>
      <c r="N1" s="139"/>
      <c r="O1" s="139"/>
      <c r="P1" s="139"/>
      <c r="Q1" s="139"/>
      <c r="R1" s="139"/>
    </row>
    <row r="2" spans="1:18" ht="16">
      <c r="A2" s="139" t="s">
        <v>57</v>
      </c>
      <c r="B2" s="125" t="s">
        <v>1096</v>
      </c>
      <c r="C2" s="125" t="s">
        <v>1097</v>
      </c>
      <c r="D2" s="125" t="s">
        <v>1098</v>
      </c>
      <c r="E2" s="125" t="s">
        <v>1099</v>
      </c>
      <c r="F2" s="125" t="s">
        <v>1100</v>
      </c>
      <c r="G2" s="144">
        <v>2019</v>
      </c>
      <c r="H2" s="126"/>
      <c r="I2" s="144">
        <f>G2+1</f>
        <v>2020</v>
      </c>
      <c r="J2" s="144">
        <f t="shared" ref="J2:R2" si="0">I2+1</f>
        <v>2021</v>
      </c>
      <c r="K2" s="144">
        <f t="shared" si="0"/>
        <v>2022</v>
      </c>
      <c r="L2" s="144">
        <f t="shared" si="0"/>
        <v>2023</v>
      </c>
      <c r="M2" s="145">
        <f t="shared" si="0"/>
        <v>2024</v>
      </c>
      <c r="N2" s="145">
        <f t="shared" si="0"/>
        <v>2025</v>
      </c>
      <c r="O2" s="145">
        <f t="shared" si="0"/>
        <v>2026</v>
      </c>
      <c r="P2" s="145">
        <f t="shared" si="0"/>
        <v>2027</v>
      </c>
      <c r="Q2" s="145">
        <f t="shared" si="0"/>
        <v>2028</v>
      </c>
      <c r="R2" s="145">
        <f t="shared" si="0"/>
        <v>2029</v>
      </c>
    </row>
    <row r="3" spans="1:18" ht="16">
      <c r="A3" s="139"/>
      <c r="B3" s="120" t="s">
        <v>413</v>
      </c>
      <c r="C3" s="141" t="s">
        <v>1071</v>
      </c>
      <c r="D3" s="120" t="s">
        <v>1112</v>
      </c>
      <c r="E3" s="120" t="s">
        <v>2096</v>
      </c>
      <c r="F3" s="142" t="s">
        <v>1114</v>
      </c>
      <c r="G3" s="143">
        <v>2.7300000000000001E-2</v>
      </c>
      <c r="H3" s="143">
        <v>2.8239999999999998E-2</v>
      </c>
      <c r="I3" s="143">
        <v>6.6589999999999996E-2</v>
      </c>
      <c r="J3" s="143">
        <v>0.13804</v>
      </c>
      <c r="K3" s="143">
        <v>8.813E-2</v>
      </c>
      <c r="L3" s="143">
        <v>2.035E-2</v>
      </c>
      <c r="M3" s="143">
        <v>5.5199999999999999E-2</v>
      </c>
      <c r="N3" s="143">
        <v>4.4600000000000001E-2</v>
      </c>
      <c r="O3" s="143">
        <v>4.6989999999999997E-2</v>
      </c>
      <c r="P3" s="143">
        <v>4.4969999999999996E-2</v>
      </c>
      <c r="Q3" s="143">
        <v>4.2020000000000002E-2</v>
      </c>
      <c r="R3" s="143">
        <v>4.1100000000000005E-2</v>
      </c>
    </row>
    <row r="4" spans="1:18" ht="16">
      <c r="A4" s="139"/>
      <c r="B4" s="120" t="s">
        <v>419</v>
      </c>
      <c r="C4" s="141" t="s">
        <v>1071</v>
      </c>
      <c r="D4" s="120" t="s">
        <v>1112</v>
      </c>
      <c r="E4" s="120" t="s">
        <v>2096</v>
      </c>
      <c r="F4" s="142" t="s">
        <v>1114</v>
      </c>
      <c r="G4" s="143">
        <v>5.5919999999999997E-2</v>
      </c>
      <c r="H4" s="143">
        <v>5.6909999999999995E-2</v>
      </c>
      <c r="I4" s="143">
        <v>5.5449999999999999E-2</v>
      </c>
      <c r="J4" s="143">
        <v>7.6969999999999997E-2</v>
      </c>
      <c r="K4" s="143">
        <v>9.4800000000000009E-2</v>
      </c>
      <c r="L4" s="143">
        <v>0.10339000000000001</v>
      </c>
      <c r="M4" s="143">
        <v>9.0899999999999995E-2</v>
      </c>
      <c r="N4" s="143">
        <v>5.9200000000000003E-2</v>
      </c>
      <c r="O4" s="143">
        <v>5.0990000000000001E-2</v>
      </c>
      <c r="P4" s="143">
        <v>5.3010000000000002E-2</v>
      </c>
      <c r="Q4" s="143">
        <v>5.4029999999999995E-2</v>
      </c>
      <c r="R4" s="143">
        <v>5.4600000000000003E-2</v>
      </c>
    </row>
    <row r="5" spans="1:18" ht="16">
      <c r="A5" s="139"/>
      <c r="B5" s="120" t="s">
        <v>260</v>
      </c>
      <c r="C5" s="141" t="s">
        <v>1071</v>
      </c>
      <c r="D5" s="120" t="s">
        <v>1112</v>
      </c>
      <c r="E5" s="120" t="s">
        <v>2096</v>
      </c>
      <c r="F5" s="142" t="s">
        <v>1114</v>
      </c>
      <c r="G5" s="143">
        <v>1.9429999999999999E-2</v>
      </c>
      <c r="H5" s="143">
        <v>2.9399999999999999E-2</v>
      </c>
      <c r="I5" s="143">
        <v>2.921E-2</v>
      </c>
      <c r="J5" s="143">
        <v>5.3440000000000001E-2</v>
      </c>
      <c r="K5" s="143">
        <v>2.1269999999999997E-2</v>
      </c>
      <c r="L5" s="143">
        <v>7.9400000000000009E-3</v>
      </c>
      <c r="M5" s="143">
        <v>1.8700000000000001E-2</v>
      </c>
      <c r="N5" s="143">
        <v>2.87E-2</v>
      </c>
      <c r="O5" s="143">
        <v>3.0009999999999998E-2</v>
      </c>
      <c r="P5" s="143">
        <v>2.9980000000000003E-2</v>
      </c>
      <c r="Q5" s="143">
        <v>2.9980000000000003E-2</v>
      </c>
      <c r="R5" s="143">
        <v>3.0009999999999998E-2</v>
      </c>
    </row>
    <row r="6" spans="1:18" ht="16">
      <c r="A6" s="139"/>
      <c r="B6" s="120" t="s">
        <v>470</v>
      </c>
      <c r="C6" s="141" t="s">
        <v>1071</v>
      </c>
      <c r="D6" s="120" t="s">
        <v>1112</v>
      </c>
      <c r="E6" s="120" t="s">
        <v>2096</v>
      </c>
      <c r="F6" s="142" t="s">
        <v>1114</v>
      </c>
      <c r="G6" s="143">
        <v>2.8990000000000002E-2</v>
      </c>
      <c r="H6" s="143">
        <v>2.419E-2</v>
      </c>
      <c r="I6" s="143">
        <v>9.8099999999999993E-3</v>
      </c>
      <c r="J6" s="143">
        <v>1.9740000000000001E-2</v>
      </c>
      <c r="K6" s="143">
        <v>2.3499999999999997E-3</v>
      </c>
      <c r="L6" s="143">
        <v>2.1800000000000001E-3</v>
      </c>
      <c r="M6" s="143">
        <v>1.5E-3</v>
      </c>
      <c r="N6" s="143">
        <v>8.0000000000000002E-3</v>
      </c>
      <c r="O6" s="143">
        <v>1.299E-2</v>
      </c>
      <c r="P6" s="143">
        <v>1.6E-2</v>
      </c>
      <c r="Q6" s="143">
        <v>1.7989999999999999E-2</v>
      </c>
      <c r="R6" s="143">
        <v>1.891E-2</v>
      </c>
    </row>
    <row r="7" spans="1:18" ht="16">
      <c r="A7" s="139"/>
      <c r="B7" s="120" t="s">
        <v>1115</v>
      </c>
      <c r="C7" s="141" t="s">
        <v>1071</v>
      </c>
      <c r="D7" s="120" t="s">
        <v>1112</v>
      </c>
      <c r="E7" s="120" t="s">
        <v>2096</v>
      </c>
      <c r="F7" s="142" t="s">
        <v>1114</v>
      </c>
      <c r="G7" s="143">
        <v>2.8830000000000001E-2</v>
      </c>
      <c r="H7" s="143">
        <v>2.5100000000000001E-3</v>
      </c>
      <c r="I7" s="143">
        <v>1.5689999999999999E-2</v>
      </c>
      <c r="J7" s="143">
        <v>1.881E-2</v>
      </c>
      <c r="K7" s="143">
        <v>2.0969999999999999E-2</v>
      </c>
      <c r="L7" s="143">
        <v>1.7299999999999999E-2</v>
      </c>
      <c r="M7" s="143">
        <v>1.7000000000000001E-2</v>
      </c>
      <c r="N7" s="143">
        <v>1.8000000000000002E-2</v>
      </c>
      <c r="O7" s="143">
        <v>2.1030000000000004E-2</v>
      </c>
      <c r="P7" s="143">
        <v>2.2029999999999998E-2</v>
      </c>
      <c r="Q7" s="143">
        <v>2.4009999999999997E-2</v>
      </c>
      <c r="R7" s="143">
        <v>2.4460000000000003E-2</v>
      </c>
    </row>
    <row r="8" spans="1:18" ht="16">
      <c r="A8" s="139"/>
      <c r="B8" s="120" t="s">
        <v>564</v>
      </c>
      <c r="C8" s="141" t="s">
        <v>1071</v>
      </c>
      <c r="D8" s="120" t="s">
        <v>1112</v>
      </c>
      <c r="E8" s="120" t="s">
        <v>2096</v>
      </c>
      <c r="F8" s="142" t="s">
        <v>1114</v>
      </c>
      <c r="G8" s="143">
        <v>3.7229999999999999E-2</v>
      </c>
      <c r="H8" s="143">
        <v>6.6229999999999997E-2</v>
      </c>
      <c r="I8" s="143">
        <v>5.1369999999999999E-2</v>
      </c>
      <c r="J8" s="143">
        <v>6.694E-2</v>
      </c>
      <c r="K8" s="143">
        <v>5.654E-2</v>
      </c>
      <c r="L8" s="143">
        <v>4.9439999999999998E-2</v>
      </c>
      <c r="M8" s="143">
        <v>3.7000000000000005E-2</v>
      </c>
      <c r="N8" s="143">
        <v>4.2599999999999999E-2</v>
      </c>
      <c r="O8" s="143">
        <v>4.0960000000000003E-2</v>
      </c>
      <c r="P8" s="143">
        <v>4.1020000000000001E-2</v>
      </c>
      <c r="Q8" s="143">
        <v>4.0010000000000004E-2</v>
      </c>
      <c r="R8" s="143">
        <v>4.002E-2</v>
      </c>
    </row>
    <row r="9" spans="1:18" ht="16">
      <c r="A9" s="139"/>
      <c r="B9" s="120" t="s">
        <v>233</v>
      </c>
      <c r="C9" s="141" t="s">
        <v>1071</v>
      </c>
      <c r="D9" s="120" t="s">
        <v>1112</v>
      </c>
      <c r="E9" s="120" t="s">
        <v>2096</v>
      </c>
      <c r="F9" s="142" t="s">
        <v>1114</v>
      </c>
      <c r="G9" s="143">
        <v>3.031E-2</v>
      </c>
      <c r="H9" s="143">
        <v>1.9199999999999998E-2</v>
      </c>
      <c r="I9" s="143">
        <v>1.5600000000000001E-2</v>
      </c>
      <c r="J9" s="143">
        <v>4.2089999999999995E-2</v>
      </c>
      <c r="K9" s="143">
        <v>3.669E-2</v>
      </c>
      <c r="L9" s="143">
        <v>2.1819999999999999E-2</v>
      </c>
      <c r="M9" s="143">
        <v>1.8000000000000002E-2</v>
      </c>
      <c r="N9" s="143">
        <v>2.6099999999999998E-2</v>
      </c>
      <c r="O9" s="143">
        <v>2.5990000000000003E-2</v>
      </c>
      <c r="P9" s="143">
        <v>2.6000000000000002E-2</v>
      </c>
      <c r="Q9" s="143">
        <v>2.5009999999999998E-2</v>
      </c>
      <c r="R9" s="143">
        <v>2.4980000000000002E-2</v>
      </c>
    </row>
    <row r="10" spans="1:18" ht="16">
      <c r="A10" s="139"/>
      <c r="B10" s="120" t="s">
        <v>581</v>
      </c>
      <c r="C10" s="141" t="s">
        <v>1071</v>
      </c>
      <c r="D10" s="120" t="s">
        <v>1112</v>
      </c>
      <c r="E10" s="120" t="s">
        <v>2096</v>
      </c>
      <c r="F10" s="142" t="s">
        <v>1114</v>
      </c>
      <c r="G10" s="143">
        <v>4.6899999999999997E-3</v>
      </c>
      <c r="H10" s="143">
        <v>-2.5000000000000001E-4</v>
      </c>
      <c r="I10" s="143">
        <v>-2.33E-3</v>
      </c>
      <c r="J10" s="143">
        <v>2.4980000000000002E-2</v>
      </c>
      <c r="K10" s="143">
        <v>3.2680000000000001E-2</v>
      </c>
      <c r="L10" s="143">
        <v>2.7389999999999998E-2</v>
      </c>
      <c r="M10" s="143">
        <v>2.76E-2</v>
      </c>
      <c r="N10" s="143">
        <v>1.9400000000000001E-2</v>
      </c>
      <c r="O10" s="143">
        <v>1.9E-2</v>
      </c>
      <c r="P10" s="143">
        <v>1.9009999999999999E-2</v>
      </c>
      <c r="Q10" s="143">
        <v>0.02</v>
      </c>
      <c r="R10" s="143">
        <v>1.9990000000000001E-2</v>
      </c>
    </row>
    <row r="11" spans="1:18" ht="16">
      <c r="A11" s="139"/>
      <c r="B11" s="120" t="s">
        <v>585</v>
      </c>
      <c r="C11" s="141" t="s">
        <v>1071</v>
      </c>
      <c r="D11" s="120" t="s">
        <v>1112</v>
      </c>
      <c r="E11" s="120" t="s">
        <v>2096</v>
      </c>
      <c r="F11" s="142" t="s">
        <v>1114</v>
      </c>
      <c r="G11" s="143">
        <v>5.2519999999999997E-2</v>
      </c>
      <c r="H11" s="143">
        <v>6.785999999999999E-2</v>
      </c>
      <c r="I11" s="143">
        <v>8.0109999999999987E-2</v>
      </c>
      <c r="J11" s="143">
        <v>0.1497</v>
      </c>
      <c r="K11" s="143">
        <v>0.14560000000000001</v>
      </c>
      <c r="L11" s="143">
        <v>8.6839999999999987E-2</v>
      </c>
      <c r="M11" s="143">
        <v>0.10730000000000001</v>
      </c>
      <c r="N11" s="143">
        <v>9.7200000000000009E-2</v>
      </c>
      <c r="O11" s="143">
        <v>8.0960000000000004E-2</v>
      </c>
      <c r="P11" s="143">
        <v>7.102E-2</v>
      </c>
      <c r="Q11" s="143">
        <v>5.9980000000000006E-2</v>
      </c>
      <c r="R11" s="143">
        <v>5.509E-2</v>
      </c>
    </row>
    <row r="12" spans="1:18" ht="16">
      <c r="A12" s="139"/>
      <c r="B12" s="120" t="s">
        <v>261</v>
      </c>
      <c r="C12" s="141" t="s">
        <v>1071</v>
      </c>
      <c r="D12" s="120" t="s">
        <v>1112</v>
      </c>
      <c r="E12" s="120" t="s">
        <v>2096</v>
      </c>
      <c r="F12" s="142" t="s">
        <v>1114</v>
      </c>
      <c r="G12" s="143">
        <v>3.3230000000000003E-2</v>
      </c>
      <c r="H12" s="143">
        <v>5.1040000000000002E-2</v>
      </c>
      <c r="I12" s="143">
        <v>3.7559999999999996E-2</v>
      </c>
      <c r="J12" s="143">
        <v>0.22955999999999999</v>
      </c>
      <c r="K12" s="143">
        <v>0.31230000000000002</v>
      </c>
      <c r="L12" s="143">
        <v>0.23131000000000002</v>
      </c>
      <c r="M12" s="143">
        <v>9.3699999999999992E-2</v>
      </c>
      <c r="N12" s="143">
        <v>7.400000000000001E-2</v>
      </c>
      <c r="O12" s="143">
        <v>7.2999999999999995E-2</v>
      </c>
      <c r="P12" s="143">
        <v>7.0010000000000003E-2</v>
      </c>
      <c r="Q12" s="143">
        <v>7.0000000000000007E-2</v>
      </c>
      <c r="R12" s="143">
        <v>7.0000000000000007E-2</v>
      </c>
    </row>
    <row r="13" spans="1:18" ht="16">
      <c r="A13" s="139"/>
      <c r="B13" s="120" t="s">
        <v>257</v>
      </c>
      <c r="C13" s="141" t="s">
        <v>1071</v>
      </c>
      <c r="D13" s="120" t="s">
        <v>1112</v>
      </c>
      <c r="E13" s="120" t="s">
        <v>2096</v>
      </c>
      <c r="F13" s="142" t="s">
        <v>1114</v>
      </c>
      <c r="G13" s="143">
        <v>6.6300000000000005E-3</v>
      </c>
      <c r="H13" s="143">
        <v>-1.1390000000000001E-2</v>
      </c>
      <c r="I13" s="143">
        <v>2.477E-2</v>
      </c>
      <c r="J13" s="143">
        <v>3.3790000000000001E-2</v>
      </c>
      <c r="K13" s="143">
        <v>2.4889999999999999E-2</v>
      </c>
      <c r="L13" s="143">
        <v>1.8340000000000002E-2</v>
      </c>
      <c r="M13" s="143">
        <v>1.9E-2</v>
      </c>
      <c r="N13" s="143">
        <v>2.1000000000000001E-2</v>
      </c>
      <c r="O13" s="143">
        <v>1.9990000000000001E-2</v>
      </c>
      <c r="P13" s="143">
        <v>1.9990000000000001E-2</v>
      </c>
      <c r="Q13" s="143">
        <v>2.001E-2</v>
      </c>
      <c r="R13" s="143">
        <v>1.9990000000000001E-2</v>
      </c>
    </row>
    <row r="14" spans="1:18" ht="16">
      <c r="A14" s="139"/>
      <c r="B14" s="120" t="s">
        <v>654</v>
      </c>
      <c r="C14" s="141" t="s">
        <v>1071</v>
      </c>
      <c r="D14" s="120" t="s">
        <v>1112</v>
      </c>
      <c r="E14" s="120" t="s">
        <v>2096</v>
      </c>
      <c r="F14" s="142" t="s">
        <v>1114</v>
      </c>
      <c r="G14" s="143">
        <v>8.8249999999999995E-2</v>
      </c>
      <c r="H14" s="143">
        <v>3.7870000000000001E-2</v>
      </c>
      <c r="I14" s="143">
        <v>6.2359999999999999E-2</v>
      </c>
      <c r="J14" s="143">
        <v>0.24428999999999998</v>
      </c>
      <c r="K14" s="143">
        <v>0.27982000000000001</v>
      </c>
      <c r="L14" s="143">
        <v>0.28705999999999998</v>
      </c>
      <c r="M14" s="143">
        <v>0.3</v>
      </c>
      <c r="N14" s="143">
        <v>0.2</v>
      </c>
      <c r="O14" s="143">
        <v>0.12839</v>
      </c>
      <c r="P14" s="143">
        <v>8.8870000000000005E-2</v>
      </c>
      <c r="Q14" s="143">
        <v>7.7969999999999998E-2</v>
      </c>
      <c r="R14" s="143">
        <v>7.8E-2</v>
      </c>
    </row>
    <row r="15" spans="1:18" ht="16">
      <c r="A15" s="139"/>
      <c r="B15" s="120" t="s">
        <v>682</v>
      </c>
      <c r="C15" s="141" t="s">
        <v>1071</v>
      </c>
      <c r="D15" s="120" t="s">
        <v>1112</v>
      </c>
      <c r="E15" s="120" t="s">
        <v>2096</v>
      </c>
      <c r="F15" s="142" t="s">
        <v>1114</v>
      </c>
      <c r="G15" s="143">
        <v>0.10196</v>
      </c>
      <c r="H15" s="143">
        <v>9.5500000000000002E-2</v>
      </c>
      <c r="I15" s="143">
        <v>9.5169999999999991E-2</v>
      </c>
      <c r="J15" s="143">
        <v>0.19875000000000001</v>
      </c>
      <c r="K15" s="143">
        <v>0.30775999999999998</v>
      </c>
      <c r="L15" s="143">
        <v>0.12647</v>
      </c>
      <c r="M15" s="143">
        <v>5.5E-2</v>
      </c>
      <c r="N15" s="143">
        <v>0.06</v>
      </c>
      <c r="O15" s="143">
        <v>6.0019999999999997E-2</v>
      </c>
      <c r="P15" s="143">
        <v>0.06</v>
      </c>
      <c r="Q15" s="143">
        <v>5.9969999999999996E-2</v>
      </c>
      <c r="R15" s="143">
        <v>6.0019999999999997E-2</v>
      </c>
    </row>
    <row r="16" spans="1:18" ht="16">
      <c r="A16" s="139"/>
      <c r="B16" s="120" t="s">
        <v>244</v>
      </c>
      <c r="C16" s="141" t="s">
        <v>1071</v>
      </c>
      <c r="D16" s="120" t="s">
        <v>1112</v>
      </c>
      <c r="E16" s="120" t="s">
        <v>2096</v>
      </c>
      <c r="F16" s="142" t="s">
        <v>1114</v>
      </c>
      <c r="G16" s="143">
        <v>2.3980000000000001E-2</v>
      </c>
      <c r="H16" s="143">
        <v>2.3179999999999999E-2</v>
      </c>
      <c r="I16" s="143">
        <v>3.9140000000000001E-2</v>
      </c>
      <c r="J16" s="143">
        <v>5.8209999999999998E-2</v>
      </c>
      <c r="K16" s="143">
        <v>5.978E-2</v>
      </c>
      <c r="L16" s="143">
        <v>3.2129999999999999E-2</v>
      </c>
      <c r="M16" s="143">
        <v>2.0199999999999999E-2</v>
      </c>
      <c r="N16" s="143">
        <v>2.7699999999999999E-2</v>
      </c>
      <c r="O16" s="143">
        <v>2.9990000000000003E-2</v>
      </c>
      <c r="P16" s="143">
        <v>3.0009999999999998E-2</v>
      </c>
      <c r="Q16" s="143">
        <v>2.997E-2</v>
      </c>
      <c r="R16" s="143">
        <v>3.0009999999999998E-2</v>
      </c>
    </row>
    <row r="17" spans="1:18" ht="16">
      <c r="A17" s="139"/>
      <c r="B17" s="120" t="s">
        <v>231</v>
      </c>
      <c r="C17" s="141" t="s">
        <v>1071</v>
      </c>
      <c r="D17" s="120" t="s">
        <v>1112</v>
      </c>
      <c r="E17" s="120" t="s">
        <v>2096</v>
      </c>
      <c r="F17" s="142" t="s">
        <v>1114</v>
      </c>
      <c r="G17" s="143">
        <v>5.6799999999999993E-3</v>
      </c>
      <c r="H17" s="143">
        <v>-1.72E-3</v>
      </c>
      <c r="I17" s="143">
        <v>2.316E-2</v>
      </c>
      <c r="J17" s="143">
        <v>6.1310000000000003E-2</v>
      </c>
      <c r="K17" s="143">
        <v>4.8339999999999994E-2</v>
      </c>
      <c r="L17" s="143">
        <v>2.3900000000000001E-2</v>
      </c>
      <c r="M17" s="143">
        <v>9.7000000000000003E-3</v>
      </c>
      <c r="N17" s="143">
        <v>1.46E-2</v>
      </c>
      <c r="O17" s="143">
        <v>1.7979999999999999E-2</v>
      </c>
      <c r="P17" s="143">
        <v>1.9019999999999999E-2</v>
      </c>
      <c r="Q17" s="143">
        <v>1.8970000000000001E-2</v>
      </c>
      <c r="R17" s="143">
        <v>1.907E-2</v>
      </c>
    </row>
    <row r="18" spans="1:18" ht="16">
      <c r="A18" s="139"/>
      <c r="B18" s="120" t="s">
        <v>1116</v>
      </c>
      <c r="C18" s="141" t="s">
        <v>1071</v>
      </c>
      <c r="D18" s="120" t="s">
        <v>1112</v>
      </c>
      <c r="E18" s="120" t="s">
        <v>2096</v>
      </c>
      <c r="F18" s="142" t="s">
        <v>1114</v>
      </c>
      <c r="G18" s="143">
        <v>3.8300000000000001E-3</v>
      </c>
      <c r="H18" s="143">
        <v>5.3700000000000006E-3</v>
      </c>
      <c r="I18" s="143">
        <v>2.4980000000000002E-2</v>
      </c>
      <c r="J18" s="143">
        <v>5.0900000000000001E-2</v>
      </c>
      <c r="K18" s="143">
        <v>3.5970000000000002E-2</v>
      </c>
      <c r="L18" s="143">
        <v>2.3220000000000001E-2</v>
      </c>
      <c r="M18" s="143">
        <v>1.9799999999999998E-2</v>
      </c>
      <c r="N18" s="143">
        <v>1.8100000000000002E-2</v>
      </c>
      <c r="O18" s="143">
        <v>1.899E-2</v>
      </c>
      <c r="P18" s="143">
        <v>1.9E-2</v>
      </c>
      <c r="Q18" s="143">
        <v>1.9980000000000001E-2</v>
      </c>
      <c r="R18" s="143">
        <v>0.02</v>
      </c>
    </row>
    <row r="19" spans="1:18" ht="16">
      <c r="A19" s="139"/>
      <c r="B19" s="120" t="s">
        <v>742</v>
      </c>
      <c r="C19" s="141" t="s">
        <v>1071</v>
      </c>
      <c r="D19" s="120" t="s">
        <v>1112</v>
      </c>
      <c r="E19" s="120" t="s">
        <v>2096</v>
      </c>
      <c r="F19" s="142" t="s">
        <v>1114</v>
      </c>
      <c r="G19" s="143">
        <v>3.5279999999999999E-2</v>
      </c>
      <c r="H19" s="143">
        <v>6.1539999999999997E-2</v>
      </c>
      <c r="I19" s="143">
        <v>7.014999999999999E-2</v>
      </c>
      <c r="J19" s="143">
        <v>0.49639000000000005</v>
      </c>
      <c r="K19" s="143">
        <v>0.16460999999999998</v>
      </c>
      <c r="L19" s="143">
        <v>1.6490000000000001E-2</v>
      </c>
      <c r="M19" s="143">
        <v>4.1999999999999997E-3</v>
      </c>
      <c r="N19" s="143">
        <v>0.04</v>
      </c>
      <c r="O19" s="143">
        <v>0.04</v>
      </c>
      <c r="P19" s="143">
        <v>4.0050000000000002E-2</v>
      </c>
      <c r="Q19" s="143">
        <v>4.0030000000000003E-2</v>
      </c>
      <c r="R19" s="143">
        <v>0.04</v>
      </c>
    </row>
    <row r="20" spans="1:18" ht="16">
      <c r="A20" s="139"/>
      <c r="B20" s="120" t="s">
        <v>1093</v>
      </c>
      <c r="C20" s="141" t="s">
        <v>1071</v>
      </c>
      <c r="D20" s="120" t="s">
        <v>1112</v>
      </c>
      <c r="E20" s="120" t="s">
        <v>2096</v>
      </c>
      <c r="F20" s="142" t="s">
        <v>1114</v>
      </c>
      <c r="G20" s="143">
        <v>5.5900000000000004E-3</v>
      </c>
      <c r="H20" s="143">
        <v>-2.3799999999999997E-3</v>
      </c>
      <c r="I20" s="143">
        <v>1.9710000000000002E-2</v>
      </c>
      <c r="J20" s="143">
        <v>2.947E-2</v>
      </c>
      <c r="K20" s="143">
        <v>2.4920000000000001E-2</v>
      </c>
      <c r="L20" s="143">
        <v>2.1819999999999999E-2</v>
      </c>
      <c r="M20" s="143">
        <v>1.72E-2</v>
      </c>
      <c r="N20" s="143">
        <v>1.44E-2</v>
      </c>
      <c r="O20" s="143">
        <v>1.498E-2</v>
      </c>
      <c r="P20" s="143">
        <v>1.5029999999999998E-2</v>
      </c>
      <c r="Q20" s="143">
        <v>1.502E-2</v>
      </c>
      <c r="R20" s="143">
        <v>1.498E-2</v>
      </c>
    </row>
    <row r="21" spans="1:18" ht="16">
      <c r="A21" s="139"/>
      <c r="B21" s="120" t="s">
        <v>239</v>
      </c>
      <c r="C21" s="141" t="s">
        <v>1071</v>
      </c>
      <c r="D21" s="120" t="s">
        <v>1112</v>
      </c>
      <c r="E21" s="120" t="s">
        <v>2096</v>
      </c>
      <c r="F21" s="142" t="s">
        <v>1114</v>
      </c>
      <c r="G21" s="143">
        <v>7.0599999999999994E-3</v>
      </c>
      <c r="H21" s="143">
        <v>-8.4700000000000001E-3</v>
      </c>
      <c r="I21" s="143">
        <v>1.2310000000000001E-2</v>
      </c>
      <c r="J21" s="143">
        <v>6.0769999999999998E-2</v>
      </c>
      <c r="K21" s="143">
        <v>1.226E-2</v>
      </c>
      <c r="L21" s="143">
        <v>3.9700000000000004E-3</v>
      </c>
      <c r="M21" s="143">
        <v>1.1000000000000001E-2</v>
      </c>
      <c r="N21" s="143">
        <v>1.3999999999999999E-2</v>
      </c>
      <c r="O21" s="143">
        <v>1.498E-2</v>
      </c>
      <c r="P21" s="143">
        <v>1.5980000000000001E-2</v>
      </c>
      <c r="Q21" s="143">
        <v>1.6E-2</v>
      </c>
      <c r="R21" s="143">
        <v>1.5990000000000001E-2</v>
      </c>
    </row>
    <row r="22" spans="1:18" ht="16">
      <c r="A22" s="139"/>
      <c r="B22" s="120" t="s">
        <v>779</v>
      </c>
      <c r="C22" s="141" t="s">
        <v>1071</v>
      </c>
      <c r="D22" s="120" t="s">
        <v>1112</v>
      </c>
      <c r="E22" s="120" t="s">
        <v>2096</v>
      </c>
      <c r="F22" s="142" t="s">
        <v>1114</v>
      </c>
      <c r="G22" s="143">
        <v>5.0919999999999993E-2</v>
      </c>
      <c r="H22" s="143">
        <v>6.0999999999999999E-2</v>
      </c>
      <c r="I22" s="143">
        <v>0.19478999999999999</v>
      </c>
      <c r="J22" s="143">
        <v>0.11211</v>
      </c>
      <c r="K22" s="143">
        <v>-1.5880000000000002E-2</v>
      </c>
      <c r="L22" s="143">
        <v>4.7980000000000002E-2</v>
      </c>
      <c r="M22" s="143">
        <v>7.0379999999999998E-2</v>
      </c>
      <c r="N22" s="143">
        <v>0.08</v>
      </c>
      <c r="O22" s="143">
        <v>0.08</v>
      </c>
      <c r="P22" s="143">
        <v>0.08</v>
      </c>
      <c r="Q22" s="143">
        <v>0.08</v>
      </c>
      <c r="R22" s="143">
        <v>0.08</v>
      </c>
    </row>
    <row r="23" spans="1:18" ht="16">
      <c r="A23" s="139"/>
      <c r="B23" s="120" t="s">
        <v>796</v>
      </c>
      <c r="C23" s="141" t="s">
        <v>1071</v>
      </c>
      <c r="D23" s="120" t="s">
        <v>1112</v>
      </c>
      <c r="E23" s="120" t="s">
        <v>2096</v>
      </c>
      <c r="F23" s="142" t="s">
        <v>1114</v>
      </c>
      <c r="G23" s="143">
        <v>0.14513999999999999</v>
      </c>
      <c r="H23" s="143">
        <v>0.12983</v>
      </c>
      <c r="I23" s="143">
        <v>0.10858000000000001</v>
      </c>
      <c r="J23" s="143">
        <v>0.11429</v>
      </c>
      <c r="K23" s="143">
        <v>0.10871</v>
      </c>
      <c r="L23" s="143">
        <v>0.10624</v>
      </c>
      <c r="M23" s="143">
        <v>0.10464999999999999</v>
      </c>
      <c r="N23" s="143">
        <v>7.17E-2</v>
      </c>
      <c r="O23" s="143">
        <v>5.8470000000000001E-2</v>
      </c>
      <c r="P23" s="143">
        <v>5.0389999999999997E-2</v>
      </c>
      <c r="Q23" s="143">
        <v>5.0439999999999999E-2</v>
      </c>
      <c r="R23" s="143">
        <v>4.981E-2</v>
      </c>
    </row>
    <row r="24" spans="1:18" ht="16">
      <c r="A24" s="139"/>
      <c r="B24" s="120" t="s">
        <v>258</v>
      </c>
      <c r="C24" s="141" t="s">
        <v>1071</v>
      </c>
      <c r="D24" s="120" t="s">
        <v>1112</v>
      </c>
      <c r="E24" s="120" t="s">
        <v>2096</v>
      </c>
      <c r="F24" s="142" t="s">
        <v>1114</v>
      </c>
      <c r="G24" s="143">
        <v>2.7949999999999999E-2</v>
      </c>
      <c r="H24" s="143">
        <v>3.2199999999999999E-2</v>
      </c>
      <c r="I24" s="143">
        <v>1.8349999999999998E-2</v>
      </c>
      <c r="J24" s="143">
        <v>3.2160000000000001E-2</v>
      </c>
      <c r="K24" s="143">
        <v>3.3340000000000002E-2</v>
      </c>
      <c r="L24" s="143">
        <v>3.6249999999999998E-2</v>
      </c>
      <c r="M24" s="143">
        <v>3.3000000000000002E-2</v>
      </c>
      <c r="N24" s="143">
        <v>3.6000000000000004E-2</v>
      </c>
      <c r="O24" s="143">
        <v>3.499E-2</v>
      </c>
      <c r="P24" s="143">
        <v>3.4970000000000001E-2</v>
      </c>
      <c r="Q24" s="143">
        <v>3.3989999999999999E-2</v>
      </c>
      <c r="R24" s="143">
        <v>3.3980000000000003E-2</v>
      </c>
    </row>
    <row r="25" spans="1:18" ht="16">
      <c r="A25" s="139"/>
      <c r="B25" s="120" t="s">
        <v>409</v>
      </c>
      <c r="C25" s="141" t="s">
        <v>1071</v>
      </c>
      <c r="D25" s="120" t="s">
        <v>1112</v>
      </c>
      <c r="E25" s="120" t="s">
        <v>2096</v>
      </c>
      <c r="F25" s="142" t="s">
        <v>1114</v>
      </c>
      <c r="G25" s="143">
        <v>1.6109999999999999E-2</v>
      </c>
      <c r="H25" s="143">
        <v>8.4700000000000001E-3</v>
      </c>
      <c r="I25" s="143">
        <v>2.8639999999999999E-2</v>
      </c>
      <c r="J25" s="143">
        <v>6.5939999999999999E-2</v>
      </c>
      <c r="K25" s="143">
        <v>5.5970000000000006E-2</v>
      </c>
      <c r="L25" s="143">
        <v>3.1620000000000002E-2</v>
      </c>
      <c r="M25" s="143">
        <v>2.5699999999999997E-2</v>
      </c>
      <c r="N25" s="143">
        <v>2.6699999999999998E-2</v>
      </c>
      <c r="O25" s="143">
        <v>2.598E-2</v>
      </c>
      <c r="P25" s="143">
        <v>2.5920000000000002E-2</v>
      </c>
      <c r="Q25" s="143">
        <v>2.5070000000000002E-2</v>
      </c>
      <c r="R25" s="143">
        <v>2.4990000000000002E-2</v>
      </c>
    </row>
    <row r="26" spans="1:18" ht="16">
      <c r="A26" s="139"/>
      <c r="B26" s="120" t="s">
        <v>666</v>
      </c>
      <c r="C26" s="141" t="s">
        <v>1071</v>
      </c>
      <c r="D26" s="120" t="s">
        <v>1112</v>
      </c>
      <c r="E26" s="120" t="s">
        <v>2096</v>
      </c>
      <c r="F26" s="142" t="s">
        <v>1114</v>
      </c>
      <c r="G26" s="143">
        <v>1.6200000000000003E-2</v>
      </c>
      <c r="H26" s="143">
        <v>1.7150000000000002E-2</v>
      </c>
      <c r="I26" s="143">
        <v>3.9410000000000001E-2</v>
      </c>
      <c r="J26" s="143">
        <v>7.1719999999999992E-2</v>
      </c>
      <c r="K26" s="143">
        <v>5.7329999999999999E-2</v>
      </c>
      <c r="L26" s="143">
        <v>2.9229999999999999E-2</v>
      </c>
      <c r="M26" s="143">
        <v>2.5009999999999998E-2</v>
      </c>
      <c r="N26" s="143">
        <v>2.0539999999999999E-2</v>
      </c>
      <c r="O26" s="143">
        <v>2.0049999999999998E-2</v>
      </c>
      <c r="P26" s="143">
        <v>2.001E-2</v>
      </c>
      <c r="Q26" s="143">
        <v>0.02</v>
      </c>
      <c r="R26" s="143">
        <v>0.02</v>
      </c>
    </row>
    <row r="27" spans="1:18" ht="16">
      <c r="A27" s="139"/>
      <c r="B27" s="120" t="s">
        <v>423</v>
      </c>
      <c r="C27" s="141" t="s">
        <v>1071</v>
      </c>
      <c r="D27" s="120" t="s">
        <v>1112</v>
      </c>
      <c r="E27" s="120" t="s">
        <v>2096</v>
      </c>
      <c r="F27" s="142" t="s">
        <v>1114</v>
      </c>
      <c r="G27" s="143">
        <v>5.5999999999999994E-2</v>
      </c>
      <c r="H27" s="143">
        <v>5.5359999999999993E-2</v>
      </c>
      <c r="I27" s="143">
        <v>9.4529999999999989E-2</v>
      </c>
      <c r="J27" s="143">
        <v>0.15212000000000001</v>
      </c>
      <c r="K27" s="143">
        <v>0.05</v>
      </c>
      <c r="L27" s="143">
        <v>5.7820000000000003E-2</v>
      </c>
      <c r="M27" s="143">
        <v>6.4299999999999996E-2</v>
      </c>
      <c r="N27" s="143">
        <v>6.0299999999999999E-2</v>
      </c>
      <c r="O27" s="143">
        <v>5.3019999999999998E-2</v>
      </c>
      <c r="P27" s="143">
        <v>5.1990000000000001E-2</v>
      </c>
      <c r="Q27" s="143">
        <v>5.0010000000000006E-2</v>
      </c>
      <c r="R27" s="143">
        <v>4.9530000000000005E-2</v>
      </c>
    </row>
    <row r="28" spans="1:18" ht="16">
      <c r="A28" s="139"/>
      <c r="B28" s="120" t="s">
        <v>437</v>
      </c>
      <c r="C28" s="141" t="s">
        <v>1071</v>
      </c>
      <c r="D28" s="120" t="s">
        <v>1112</v>
      </c>
      <c r="E28" s="120" t="s">
        <v>2096</v>
      </c>
      <c r="F28" s="142" t="s">
        <v>1114</v>
      </c>
      <c r="G28" s="143">
        <v>5.6299999999999996E-3</v>
      </c>
      <c r="H28" s="143">
        <v>-1.0509999999999999E-2</v>
      </c>
      <c r="I28" s="143">
        <v>1.9820000000000001E-2</v>
      </c>
      <c r="J28" s="143">
        <v>0.14021</v>
      </c>
      <c r="K28" s="143">
        <v>6.1059999999999996E-2</v>
      </c>
      <c r="L28" s="143">
        <v>1.694E-2</v>
      </c>
      <c r="M28" s="143">
        <v>4.8000000000000001E-2</v>
      </c>
      <c r="N28" s="143">
        <v>3.6000000000000004E-2</v>
      </c>
      <c r="O28" s="143">
        <v>1.9990000000000001E-2</v>
      </c>
      <c r="P28" s="143">
        <v>0.02</v>
      </c>
      <c r="Q28" s="143">
        <v>2.0019999999999996E-2</v>
      </c>
      <c r="R28" s="143">
        <v>0.02</v>
      </c>
    </row>
    <row r="29" spans="1:18" ht="16">
      <c r="A29" s="139"/>
      <c r="B29" s="120" t="s">
        <v>447</v>
      </c>
      <c r="C29" s="141" t="s">
        <v>1071</v>
      </c>
      <c r="D29" s="120" t="s">
        <v>1112</v>
      </c>
      <c r="E29" s="120" t="s">
        <v>2096</v>
      </c>
      <c r="F29" s="142" t="s">
        <v>1114</v>
      </c>
      <c r="G29" s="143">
        <v>3.1040000000000002E-2</v>
      </c>
      <c r="H29" s="143">
        <v>1.6719999999999999E-2</v>
      </c>
      <c r="I29" s="143">
        <v>3.2969999999999999E-2</v>
      </c>
      <c r="J29" s="143">
        <v>0.15332999999999999</v>
      </c>
      <c r="K29" s="143">
        <v>9.4589999999999994E-2</v>
      </c>
      <c r="L29" s="143">
        <v>2.4249999999999997E-2</v>
      </c>
      <c r="M29" s="143">
        <v>3.7100000000000001E-2</v>
      </c>
      <c r="N29" s="143">
        <v>2.5399999999999999E-2</v>
      </c>
      <c r="O29" s="143">
        <v>2.3E-2</v>
      </c>
      <c r="P29" s="143">
        <v>2.2019999999999998E-2</v>
      </c>
      <c r="Q29" s="143">
        <v>2.1019999999999997E-2</v>
      </c>
      <c r="R29" s="143">
        <v>2.0539999999999999E-2</v>
      </c>
    </row>
    <row r="30" spans="1:18" ht="16">
      <c r="A30" s="139"/>
      <c r="B30" s="120" t="s">
        <v>483</v>
      </c>
      <c r="C30" s="141" t="s">
        <v>1071</v>
      </c>
      <c r="D30" s="120" t="s">
        <v>1112</v>
      </c>
      <c r="E30" s="120" t="s">
        <v>2096</v>
      </c>
      <c r="F30" s="142" t="s">
        <v>1114</v>
      </c>
      <c r="G30" s="143">
        <v>7.7200000000000003E-3</v>
      </c>
      <c r="H30" s="143">
        <v>1.5499999999999999E-3</v>
      </c>
      <c r="I30" s="143">
        <v>2.5550000000000003E-2</v>
      </c>
      <c r="J30" s="143">
        <v>0.10781</v>
      </c>
      <c r="K30" s="143">
        <v>7.9409999999999994E-2</v>
      </c>
      <c r="L30" s="143">
        <v>2.972E-2</v>
      </c>
      <c r="M30" s="143">
        <v>3.4599999999999999E-2</v>
      </c>
      <c r="N30" s="143">
        <v>2.7200000000000002E-2</v>
      </c>
      <c r="O30" s="143">
        <v>2.1989999999999999E-2</v>
      </c>
      <c r="P30" s="143">
        <v>2.2019999999999998E-2</v>
      </c>
      <c r="Q30" s="143">
        <v>2.2000000000000002E-2</v>
      </c>
      <c r="R30" s="143">
        <v>2.1989999999999999E-2</v>
      </c>
    </row>
    <row r="31" spans="1:18" ht="16">
      <c r="A31" s="139"/>
      <c r="B31" s="120" t="s">
        <v>1117</v>
      </c>
      <c r="C31" s="141" t="s">
        <v>1071</v>
      </c>
      <c r="D31" s="120" t="s">
        <v>1112</v>
      </c>
      <c r="E31" s="120" t="s">
        <v>2096</v>
      </c>
      <c r="F31" s="142" t="s">
        <v>1114</v>
      </c>
      <c r="G31" s="143">
        <v>2.8420000000000001E-2</v>
      </c>
      <c r="H31" s="143">
        <v>3.1560000000000005E-2</v>
      </c>
      <c r="I31" s="143">
        <v>3.8539999999999998E-2</v>
      </c>
      <c r="J31" s="143">
        <v>0.15103</v>
      </c>
      <c r="K31" s="143">
        <v>0.10671</v>
      </c>
      <c r="L31" s="143">
        <v>2.4500000000000001E-2</v>
      </c>
      <c r="M31" s="143">
        <v>2.4700000000000003E-2</v>
      </c>
      <c r="N31" s="143">
        <v>2.23E-2</v>
      </c>
      <c r="O31" s="143">
        <v>1.9990000000000001E-2</v>
      </c>
      <c r="P31" s="143">
        <v>2.0019999999999996E-2</v>
      </c>
      <c r="Q31" s="143">
        <v>2.0030000000000003E-2</v>
      </c>
      <c r="R31" s="143">
        <v>1.9990000000000001E-2</v>
      </c>
    </row>
    <row r="32" spans="1:18" ht="16">
      <c r="A32" s="139"/>
      <c r="B32" s="120" t="s">
        <v>511</v>
      </c>
      <c r="C32" s="141" t="s">
        <v>1071</v>
      </c>
      <c r="D32" s="120" t="s">
        <v>1112</v>
      </c>
      <c r="E32" s="120" t="s">
        <v>2096</v>
      </c>
      <c r="F32" s="142" t="s">
        <v>1114</v>
      </c>
      <c r="G32" s="143">
        <v>2.2879999999999998E-2</v>
      </c>
      <c r="H32" s="143">
        <v>-4.4800000000000005E-3</v>
      </c>
      <c r="I32" s="143">
        <v>4.6500000000000007E-2</v>
      </c>
      <c r="J32" s="143">
        <v>0.19402</v>
      </c>
      <c r="K32" s="143">
        <v>9.153E-2</v>
      </c>
      <c r="L32" s="143">
        <v>3.5220000000000001E-2</v>
      </c>
      <c r="M32" s="143">
        <v>5.2000000000000005E-2</v>
      </c>
      <c r="N32" s="143">
        <v>2.6000000000000002E-2</v>
      </c>
      <c r="O32" s="143">
        <v>2.1010000000000001E-2</v>
      </c>
      <c r="P32" s="143">
        <v>2.7029999999999998E-2</v>
      </c>
      <c r="Q32" s="143">
        <v>2.4990000000000002E-2</v>
      </c>
      <c r="R32" s="143">
        <v>2.4109999999999999E-2</v>
      </c>
    </row>
    <row r="33" spans="1:18" ht="16">
      <c r="A33" s="139"/>
      <c r="B33" s="120" t="s">
        <v>531</v>
      </c>
      <c r="C33" s="141" t="s">
        <v>1071</v>
      </c>
      <c r="D33" s="120" t="s">
        <v>1112</v>
      </c>
      <c r="E33" s="120" t="s">
        <v>2096</v>
      </c>
      <c r="F33" s="142" t="s">
        <v>1114</v>
      </c>
      <c r="G33" s="143">
        <v>4.8529999999999997E-2</v>
      </c>
      <c r="H33" s="143">
        <v>5.2019999999999997E-2</v>
      </c>
      <c r="I33" s="143">
        <v>9.5670000000000005E-2</v>
      </c>
      <c r="J33" s="143">
        <v>0.11898</v>
      </c>
      <c r="K33" s="143">
        <v>2.4879999999999999E-2</v>
      </c>
      <c r="L33" s="143">
        <v>1.11E-2</v>
      </c>
      <c r="M33" s="143">
        <v>3.5099999999999999E-2</v>
      </c>
      <c r="N33" s="143">
        <v>3.3300000000000003E-2</v>
      </c>
      <c r="O33" s="143">
        <v>3.1E-2</v>
      </c>
      <c r="P33" s="143">
        <v>3.1009999999999999E-2</v>
      </c>
      <c r="Q33" s="143">
        <v>0.03</v>
      </c>
      <c r="R33" s="143">
        <v>3.0009999999999998E-2</v>
      </c>
    </row>
    <row r="34" spans="1:18" ht="16">
      <c r="A34" s="139"/>
      <c r="B34" s="120" t="s">
        <v>560</v>
      </c>
      <c r="C34" s="141" t="s">
        <v>1071</v>
      </c>
      <c r="D34" s="120" t="s">
        <v>1112</v>
      </c>
      <c r="E34" s="120" t="s">
        <v>2096</v>
      </c>
      <c r="F34" s="142" t="s">
        <v>1114</v>
      </c>
      <c r="G34" s="143">
        <v>3.3390000000000003E-2</v>
      </c>
      <c r="H34" s="143">
        <v>3.3270000000000001E-2</v>
      </c>
      <c r="I34" s="143">
        <v>5.1109999999999996E-2</v>
      </c>
      <c r="J34" s="143">
        <v>0.14608000000000002</v>
      </c>
      <c r="K34" s="143">
        <v>0.17125000000000001</v>
      </c>
      <c r="L34" s="143">
        <v>3.7040000000000003E-2</v>
      </c>
      <c r="M34" s="143">
        <v>4.6199999999999998E-2</v>
      </c>
      <c r="N34" s="143">
        <v>3.6400000000000002E-2</v>
      </c>
      <c r="O34" s="143">
        <v>3.2029999999999996E-2</v>
      </c>
      <c r="P34" s="143">
        <v>3.0979999999999997E-2</v>
      </c>
      <c r="Q34" s="143">
        <v>3.0979999999999997E-2</v>
      </c>
      <c r="R34" s="143">
        <v>3.0929999999999999E-2</v>
      </c>
    </row>
    <row r="35" spans="1:18" ht="16">
      <c r="A35" s="139"/>
      <c r="B35" s="120" t="s">
        <v>603</v>
      </c>
      <c r="C35" s="141" t="s">
        <v>1071</v>
      </c>
      <c r="D35" s="120" t="s">
        <v>1112</v>
      </c>
      <c r="E35" s="120" t="s">
        <v>2096</v>
      </c>
      <c r="F35" s="142" t="s">
        <v>1114</v>
      </c>
      <c r="G35" s="143">
        <v>2.835E-2</v>
      </c>
      <c r="H35" s="143">
        <v>2.1099999999999999E-3</v>
      </c>
      <c r="I35" s="143">
        <v>3.2799999999999996E-2</v>
      </c>
      <c r="J35" s="143">
        <v>0.17301</v>
      </c>
      <c r="K35" s="143">
        <v>8.9359999999999995E-2</v>
      </c>
      <c r="L35" s="143">
        <v>1.268E-2</v>
      </c>
      <c r="M35" s="143">
        <v>2.7999999999999997E-2</v>
      </c>
      <c r="N35" s="143">
        <v>2.3E-2</v>
      </c>
      <c r="O35" s="143">
        <v>2.2010000000000002E-2</v>
      </c>
      <c r="P35" s="143">
        <v>2.1000000000000001E-2</v>
      </c>
      <c r="Q35" s="143">
        <v>2.0030000000000003E-2</v>
      </c>
      <c r="R35" s="143">
        <v>1.9990000000000001E-2</v>
      </c>
    </row>
    <row r="36" spans="1:18" ht="16">
      <c r="A36" s="139"/>
      <c r="B36" s="120" t="s">
        <v>615</v>
      </c>
      <c r="C36" s="141" t="s">
        <v>1071</v>
      </c>
      <c r="D36" s="120" t="s">
        <v>1112</v>
      </c>
      <c r="E36" s="120" t="s">
        <v>2096</v>
      </c>
      <c r="F36" s="142" t="s">
        <v>1114</v>
      </c>
      <c r="G36" s="143">
        <v>2.3349999999999999E-2</v>
      </c>
      <c r="H36" s="143">
        <v>1.2E-2</v>
      </c>
      <c r="I36" s="143">
        <v>4.684E-2</v>
      </c>
      <c r="J36" s="143">
        <v>0.19704999999999998</v>
      </c>
      <c r="K36" s="143">
        <v>9.1170000000000015E-2</v>
      </c>
      <c r="L36" s="143">
        <v>7.1599999999999997E-3</v>
      </c>
      <c r="M36" s="143">
        <v>3.4000000000000002E-2</v>
      </c>
      <c r="N36" s="143">
        <v>2.7999999999999997E-2</v>
      </c>
      <c r="O36" s="143">
        <v>1.898E-2</v>
      </c>
      <c r="P36" s="143">
        <v>1.8020000000000001E-2</v>
      </c>
      <c r="Q36" s="143">
        <v>1.7989999999999999E-2</v>
      </c>
      <c r="R36" s="143">
        <v>1.8000000000000002E-2</v>
      </c>
    </row>
    <row r="37" spans="1:18" ht="16">
      <c r="A37" s="139"/>
      <c r="B37" s="120" t="s">
        <v>674</v>
      </c>
      <c r="C37" s="141" t="s">
        <v>1071</v>
      </c>
      <c r="D37" s="120" t="s">
        <v>1112</v>
      </c>
      <c r="E37" s="120" t="s">
        <v>2096</v>
      </c>
      <c r="F37" s="142" t="s">
        <v>1114</v>
      </c>
      <c r="G37" s="143">
        <v>7.6600000000000001E-3</v>
      </c>
      <c r="H37" s="143">
        <v>1.2E-2</v>
      </c>
      <c r="I37" s="143">
        <v>3.2309999999999998E-2</v>
      </c>
      <c r="J37" s="143">
        <v>0.14205000000000001</v>
      </c>
      <c r="K37" s="143">
        <v>9.3619999999999995E-2</v>
      </c>
      <c r="L37" s="143">
        <v>3.49E-2</v>
      </c>
      <c r="M37" s="143">
        <v>3.3799999999999997E-2</v>
      </c>
      <c r="N37" s="143">
        <v>2.5499999999999998E-2</v>
      </c>
      <c r="O37" s="143">
        <v>1.9990000000000001E-2</v>
      </c>
      <c r="P37" s="143">
        <v>2.0019999999999996E-2</v>
      </c>
      <c r="Q37" s="143">
        <v>2.001E-2</v>
      </c>
      <c r="R37" s="143">
        <v>2.0030000000000003E-2</v>
      </c>
    </row>
    <row r="38" spans="1:18" ht="16">
      <c r="A38" s="139"/>
      <c r="B38" s="120" t="s">
        <v>695</v>
      </c>
      <c r="C38" s="141" t="s">
        <v>1071</v>
      </c>
      <c r="D38" s="120" t="s">
        <v>1112</v>
      </c>
      <c r="E38" s="120" t="s">
        <v>2096</v>
      </c>
      <c r="F38" s="142" t="s">
        <v>1114</v>
      </c>
      <c r="G38" s="143">
        <v>2.2269999999999998E-2</v>
      </c>
      <c r="H38" s="143">
        <v>3.3739999999999999E-2</v>
      </c>
      <c r="I38" s="143">
        <v>5.0549999999999998E-2</v>
      </c>
      <c r="J38" s="143">
        <v>0.14429</v>
      </c>
      <c r="K38" s="143">
        <v>0.11529</v>
      </c>
      <c r="L38" s="143">
        <v>3.7839999999999999E-2</v>
      </c>
      <c r="M38" s="143">
        <v>3.7499999999999999E-2</v>
      </c>
      <c r="N38" s="143">
        <v>2.92E-2</v>
      </c>
      <c r="O38" s="143">
        <v>2.801E-2</v>
      </c>
      <c r="P38" s="143">
        <v>2.7000000000000003E-2</v>
      </c>
      <c r="Q38" s="143">
        <v>2.6000000000000002E-2</v>
      </c>
      <c r="R38" s="143">
        <v>2.5550000000000003E-2</v>
      </c>
    </row>
    <row r="39" spans="1:18" ht="16">
      <c r="A39" s="139"/>
      <c r="B39" s="120" t="s">
        <v>703</v>
      </c>
      <c r="C39" s="141" t="s">
        <v>1071</v>
      </c>
      <c r="D39" s="120" t="s">
        <v>1112</v>
      </c>
      <c r="E39" s="120" t="s">
        <v>2096</v>
      </c>
      <c r="F39" s="142" t="s">
        <v>1114</v>
      </c>
      <c r="G39" s="143">
        <v>3.8269999999999998E-2</v>
      </c>
      <c r="H39" s="143">
        <v>2.63E-2</v>
      </c>
      <c r="I39" s="143">
        <v>5.0509999999999999E-2</v>
      </c>
      <c r="J39" s="143">
        <v>0.13797000000000001</v>
      </c>
      <c r="K39" s="143">
        <v>0.10397000000000001</v>
      </c>
      <c r="L39" s="143">
        <v>5.5919999999999997E-2</v>
      </c>
      <c r="M39" s="143">
        <v>5.6299999999999996E-2</v>
      </c>
      <c r="N39" s="143">
        <v>4.9599999999999998E-2</v>
      </c>
      <c r="O39" s="143">
        <v>3.1989999999999998E-2</v>
      </c>
      <c r="P39" s="143">
        <v>3.0009999999999998E-2</v>
      </c>
      <c r="Q39" s="143">
        <v>2.8999999999999998E-2</v>
      </c>
      <c r="R39" s="143">
        <v>2.8370000000000003E-2</v>
      </c>
    </row>
    <row r="40" spans="1:18" ht="16">
      <c r="A40" s="139"/>
      <c r="B40" s="120" t="s">
        <v>1118</v>
      </c>
      <c r="C40" s="141" t="s">
        <v>1071</v>
      </c>
      <c r="D40" s="120" t="s">
        <v>1112</v>
      </c>
      <c r="E40" s="120" t="s">
        <v>2096</v>
      </c>
      <c r="F40" s="142" t="s">
        <v>1114</v>
      </c>
      <c r="G40" s="143">
        <v>4.4699999999999997E-2</v>
      </c>
      <c r="H40" s="143">
        <v>3.3820000000000003E-2</v>
      </c>
      <c r="I40" s="143">
        <v>6.694E-2</v>
      </c>
      <c r="J40" s="143">
        <v>0.13753000000000001</v>
      </c>
      <c r="K40" s="143">
        <v>5.8600000000000006E-2</v>
      </c>
      <c r="L40" s="143">
        <v>8.4440000000000015E-2</v>
      </c>
      <c r="M40" s="143">
        <v>0.09</v>
      </c>
      <c r="N40" s="143">
        <v>5.5899999999999998E-2</v>
      </c>
      <c r="O40" s="143">
        <v>4.301E-2</v>
      </c>
      <c r="P40" s="143">
        <v>4.2009999999999999E-2</v>
      </c>
      <c r="Q40" s="143">
        <v>4.0989999999999999E-2</v>
      </c>
      <c r="R40" s="143">
        <v>4.054E-2</v>
      </c>
    </row>
    <row r="41" spans="1:18" ht="16">
      <c r="A41" s="139"/>
      <c r="B41" s="120" t="s">
        <v>719</v>
      </c>
      <c r="C41" s="141" t="s">
        <v>1071</v>
      </c>
      <c r="D41" s="120" t="s">
        <v>1112</v>
      </c>
      <c r="E41" s="120" t="s">
        <v>2096</v>
      </c>
      <c r="F41" s="142" t="s">
        <v>1114</v>
      </c>
      <c r="G41" s="143">
        <v>1.8489999999999999E-2</v>
      </c>
      <c r="H41" s="143">
        <v>1.576E-2</v>
      </c>
      <c r="I41" s="143">
        <v>4.0849999999999997E-2</v>
      </c>
      <c r="J41" s="143">
        <v>0.11982</v>
      </c>
      <c r="K41" s="143">
        <v>0.12372</v>
      </c>
      <c r="L41" s="143">
        <v>4.6710000000000002E-2</v>
      </c>
      <c r="M41" s="143">
        <v>4.0399999999999998E-2</v>
      </c>
      <c r="N41" s="143">
        <v>3.6000000000000004E-2</v>
      </c>
      <c r="O41" s="143">
        <v>3.0990000000000004E-2</v>
      </c>
      <c r="P41" s="143">
        <v>3.1009999999999999E-2</v>
      </c>
      <c r="Q41" s="143">
        <v>2.9980000000000003E-2</v>
      </c>
      <c r="R41" s="143">
        <v>3.0009999999999998E-2</v>
      </c>
    </row>
    <row r="42" spans="1:18" ht="16">
      <c r="A42" s="139"/>
      <c r="B42" s="120" t="s">
        <v>1119</v>
      </c>
      <c r="C42" s="141" t="s">
        <v>1071</v>
      </c>
      <c r="D42" s="120" t="s">
        <v>1112</v>
      </c>
      <c r="E42" s="120" t="s">
        <v>2096</v>
      </c>
      <c r="F42" s="142" t="s">
        <v>1114</v>
      </c>
      <c r="G42" s="143">
        <v>2.665E-2</v>
      </c>
      <c r="H42" s="143">
        <v>1.9370000000000002E-2</v>
      </c>
      <c r="I42" s="143">
        <v>3.15E-2</v>
      </c>
      <c r="J42" s="143">
        <v>0.12773999999999999</v>
      </c>
      <c r="K42" s="143">
        <v>0.10532</v>
      </c>
      <c r="L42" s="143">
        <v>2.758E-2</v>
      </c>
      <c r="M42" s="143">
        <v>0.04</v>
      </c>
      <c r="N42" s="143">
        <v>3.15E-2</v>
      </c>
      <c r="O42" s="143">
        <v>2.1989999999999999E-2</v>
      </c>
      <c r="P42" s="143">
        <v>2.1019999999999997E-2</v>
      </c>
      <c r="Q42" s="143">
        <v>2.0969999999999999E-2</v>
      </c>
      <c r="R42" s="143">
        <v>2.0930000000000001E-2</v>
      </c>
    </row>
    <row r="43" spans="1:18" ht="16">
      <c r="A43" s="139"/>
      <c r="B43" s="120" t="s">
        <v>730</v>
      </c>
      <c r="C43" s="141" t="s">
        <v>1071</v>
      </c>
      <c r="D43" s="120" t="s">
        <v>1112</v>
      </c>
      <c r="E43" s="120" t="s">
        <v>2096</v>
      </c>
      <c r="F43" s="142" t="s">
        <v>1114</v>
      </c>
      <c r="G43" s="143">
        <v>1.6310000000000002E-2</v>
      </c>
      <c r="H43" s="143">
        <v>-5.5000000000000003E-4</v>
      </c>
      <c r="I43" s="143">
        <v>1.917E-2</v>
      </c>
      <c r="J43" s="143">
        <v>8.8340000000000002E-2</v>
      </c>
      <c r="K43" s="143">
        <v>7.4469999999999995E-2</v>
      </c>
      <c r="L43" s="143">
        <v>1.966E-2</v>
      </c>
      <c r="M43" s="143">
        <v>2.1899999999999999E-2</v>
      </c>
      <c r="N43" s="143">
        <v>2.0299999999999999E-2</v>
      </c>
      <c r="O43" s="143">
        <v>2.198E-2</v>
      </c>
      <c r="P43" s="143">
        <v>2.1989999999999999E-2</v>
      </c>
      <c r="Q43" s="143">
        <v>2.1019999999999997E-2</v>
      </c>
      <c r="R43" s="143">
        <v>2.1019999999999997E-2</v>
      </c>
    </row>
    <row r="44" spans="1:18" ht="16">
      <c r="A44" s="139"/>
      <c r="B44" s="120" t="s">
        <v>787</v>
      </c>
      <c r="C44" s="141" t="s">
        <v>1071</v>
      </c>
      <c r="D44" s="120" t="s">
        <v>1112</v>
      </c>
      <c r="E44" s="120" t="s">
        <v>2096</v>
      </c>
      <c r="F44" s="142" t="s">
        <v>1114</v>
      </c>
      <c r="G44" s="143">
        <v>7.8730000000000008E-2</v>
      </c>
      <c r="H44" s="143">
        <v>2.7400000000000001E-2</v>
      </c>
      <c r="I44" s="143">
        <v>9.3590000000000007E-2</v>
      </c>
      <c r="J44" s="143">
        <v>0.20184000000000002</v>
      </c>
      <c r="K44" s="143">
        <v>0.12848999999999999</v>
      </c>
      <c r="L44" s="143">
        <v>6.5040000000000001E-2</v>
      </c>
      <c r="M44" s="143">
        <v>0.122</v>
      </c>
      <c r="N44" s="143">
        <v>7.0000000000000007E-2</v>
      </c>
      <c r="O44" s="143">
        <v>5.2990000000000002E-2</v>
      </c>
      <c r="P44" s="143">
        <v>5.0990000000000001E-2</v>
      </c>
      <c r="Q44" s="143">
        <v>0.05</v>
      </c>
      <c r="R44" s="143">
        <v>4.999E-2</v>
      </c>
    </row>
    <row r="45" spans="1:18" ht="16">
      <c r="A45" s="139"/>
      <c r="B45" s="120" t="s">
        <v>403</v>
      </c>
      <c r="C45" s="141" t="s">
        <v>1071</v>
      </c>
      <c r="D45" s="120" t="s">
        <v>1112</v>
      </c>
      <c r="E45" s="120" t="s">
        <v>2096</v>
      </c>
      <c r="F45" s="142" t="s">
        <v>1114</v>
      </c>
      <c r="G45" s="143">
        <v>0.52637</v>
      </c>
      <c r="H45" s="143">
        <v>0.40362000000000003</v>
      </c>
      <c r="I45" s="143">
        <v>0.47198000000000001</v>
      </c>
      <c r="J45" s="143">
        <v>0.73468</v>
      </c>
      <c r="K45" s="143">
        <v>1.3433999999999999</v>
      </c>
      <c r="L45" s="143">
        <v>2.2322600000000001</v>
      </c>
      <c r="M45" s="143">
        <v>0.42180000000000001</v>
      </c>
      <c r="N45" s="143">
        <v>0.2235</v>
      </c>
      <c r="O45" s="143">
        <v>0.11609999999999999</v>
      </c>
      <c r="P45" s="143">
        <v>0.10201</v>
      </c>
      <c r="Q45" s="143">
        <v>8.904999999999999E-2</v>
      </c>
      <c r="R45" s="143">
        <v>7.5050000000000006E-2</v>
      </c>
    </row>
    <row r="46" spans="1:18" ht="16">
      <c r="A46" s="139"/>
      <c r="B46" s="120" t="s">
        <v>435</v>
      </c>
      <c r="C46" s="141" t="s">
        <v>1071</v>
      </c>
      <c r="D46" s="120" t="s">
        <v>1112</v>
      </c>
      <c r="E46" s="120" t="s">
        <v>2096</v>
      </c>
      <c r="F46" s="142" t="s">
        <v>1114</v>
      </c>
      <c r="G46" s="143">
        <v>1.839E-2</v>
      </c>
      <c r="H46" s="143">
        <v>9.4199999999999996E-3</v>
      </c>
      <c r="I46" s="143">
        <v>7.3600000000000002E-3</v>
      </c>
      <c r="J46" s="143">
        <v>1.7469999999999999E-2</v>
      </c>
      <c r="K46" s="143">
        <v>2.5760000000000002E-2</v>
      </c>
      <c r="L46" s="143">
        <v>5.101E-2</v>
      </c>
      <c r="M46" s="143">
        <v>0.17399999999999999</v>
      </c>
      <c r="N46" s="143">
        <v>0.13200000000000001</v>
      </c>
      <c r="O46" s="143">
        <v>9.2010000000000008E-2</v>
      </c>
      <c r="P46" s="143">
        <v>5.9989999999999995E-2</v>
      </c>
      <c r="Q46" s="143">
        <v>6.0019999999999997E-2</v>
      </c>
      <c r="R46" s="143">
        <v>5.9989999999999995E-2</v>
      </c>
    </row>
    <row r="47" spans="1:18" ht="16">
      <c r="A47" s="139"/>
      <c r="B47" s="120" t="s">
        <v>441</v>
      </c>
      <c r="C47" s="141" t="s">
        <v>1071</v>
      </c>
      <c r="D47" s="120" t="s">
        <v>1112</v>
      </c>
      <c r="E47" s="120" t="s">
        <v>2096</v>
      </c>
      <c r="F47" s="142" t="s">
        <v>1114</v>
      </c>
      <c r="G47" s="143">
        <v>3.7330000000000002E-2</v>
      </c>
      <c r="H47" s="143">
        <v>3.2120000000000003E-2</v>
      </c>
      <c r="I47" s="143">
        <v>8.3019999999999997E-2</v>
      </c>
      <c r="J47" s="143">
        <v>9.2799999999999994E-2</v>
      </c>
      <c r="K47" s="143">
        <v>4.5940000000000002E-2</v>
      </c>
      <c r="L47" s="143">
        <v>4.367E-2</v>
      </c>
      <c r="M47" s="143">
        <v>5.2699999999999997E-2</v>
      </c>
      <c r="N47" s="143">
        <v>4.4199999999999996E-2</v>
      </c>
      <c r="O47" s="143">
        <v>3.6000000000000004E-2</v>
      </c>
      <c r="P47" s="143">
        <v>3.3989999999999999E-2</v>
      </c>
      <c r="Q47" s="143">
        <v>3.1989999999999998E-2</v>
      </c>
      <c r="R47" s="143">
        <v>0.03</v>
      </c>
    </row>
    <row r="48" spans="1:18" ht="16">
      <c r="A48" s="139"/>
      <c r="B48" s="120" t="s">
        <v>468</v>
      </c>
      <c r="C48" s="141" t="s">
        <v>1071</v>
      </c>
      <c r="D48" s="120" t="s">
        <v>1112</v>
      </c>
      <c r="E48" s="120" t="s">
        <v>2096</v>
      </c>
      <c r="F48" s="142" t="s">
        <v>1114</v>
      </c>
      <c r="G48" s="143">
        <v>2.2540000000000001E-2</v>
      </c>
      <c r="H48" s="143">
        <v>3.0449999999999998E-2</v>
      </c>
      <c r="I48" s="143">
        <v>4.5250000000000005E-2</v>
      </c>
      <c r="J48" s="143">
        <v>0.11644</v>
      </c>
      <c r="K48" s="143">
        <v>7.3429999999999995E-2</v>
      </c>
      <c r="L48" s="143">
        <v>3.9260000000000003E-2</v>
      </c>
      <c r="M48" s="143">
        <v>4.2500000000000003E-2</v>
      </c>
      <c r="N48" s="143">
        <v>3.15E-2</v>
      </c>
      <c r="O48" s="143">
        <v>0.03</v>
      </c>
      <c r="P48" s="143">
        <v>3.0009999999999998E-2</v>
      </c>
      <c r="Q48" s="143">
        <v>0.03</v>
      </c>
      <c r="R48" s="143">
        <v>0.03</v>
      </c>
    </row>
    <row r="49" spans="1:18" ht="16">
      <c r="A49" s="139"/>
      <c r="B49" s="120" t="s">
        <v>472</v>
      </c>
      <c r="C49" s="141" t="s">
        <v>1071</v>
      </c>
      <c r="D49" s="120" t="s">
        <v>1112</v>
      </c>
      <c r="E49" s="120" t="s">
        <v>2096</v>
      </c>
      <c r="F49" s="142" t="s">
        <v>1114</v>
      </c>
      <c r="G49" s="143">
        <v>3.5200000000000002E-2</v>
      </c>
      <c r="H49" s="143">
        <v>2.5249999999999998E-2</v>
      </c>
      <c r="I49" s="143">
        <v>3.4950000000000002E-2</v>
      </c>
      <c r="J49" s="143">
        <v>0.10177</v>
      </c>
      <c r="K49" s="143">
        <v>0.11737</v>
      </c>
      <c r="L49" s="143">
        <v>6.6089999999999996E-2</v>
      </c>
      <c r="M49" s="143">
        <v>4.8899999999999999E-2</v>
      </c>
      <c r="N49" s="143">
        <v>3.8599999999999995E-2</v>
      </c>
      <c r="O49" s="143">
        <v>3.2010000000000004E-2</v>
      </c>
      <c r="P49" s="143">
        <v>3.1009999999999999E-2</v>
      </c>
      <c r="Q49" s="143">
        <v>3.1019999999999999E-2</v>
      </c>
      <c r="R49" s="143">
        <v>3.0929999999999999E-2</v>
      </c>
    </row>
    <row r="50" spans="1:18" ht="16">
      <c r="A50" s="139"/>
      <c r="B50" s="120" t="s">
        <v>479</v>
      </c>
      <c r="C50" s="141" t="s">
        <v>1071</v>
      </c>
      <c r="D50" s="120" t="s">
        <v>1112</v>
      </c>
      <c r="E50" s="120" t="s">
        <v>2096</v>
      </c>
      <c r="F50" s="142" t="s">
        <v>1114</v>
      </c>
      <c r="G50" s="143">
        <v>2.0979999999999999E-2</v>
      </c>
      <c r="H50" s="143">
        <v>7.2399999999999999E-3</v>
      </c>
      <c r="I50" s="143">
        <v>1.7250000000000001E-2</v>
      </c>
      <c r="J50" s="143">
        <v>8.2739999999999994E-2</v>
      </c>
      <c r="K50" s="143">
        <v>5.2599999999999999E-3</v>
      </c>
      <c r="L50" s="143">
        <v>-4.13E-3</v>
      </c>
      <c r="M50" s="143">
        <v>1.11E-2</v>
      </c>
      <c r="N50" s="143">
        <v>2.1899999999999999E-2</v>
      </c>
      <c r="O50" s="143">
        <v>2.8029999999999999E-2</v>
      </c>
      <c r="P50" s="143">
        <v>2.8990000000000002E-2</v>
      </c>
      <c r="Q50" s="143">
        <v>2.9009999999999998E-2</v>
      </c>
      <c r="R50" s="143">
        <v>2.9060000000000002E-2</v>
      </c>
    </row>
    <row r="51" spans="1:18" ht="16">
      <c r="A51" s="139"/>
      <c r="B51" s="120" t="s">
        <v>499</v>
      </c>
      <c r="C51" s="141" t="s">
        <v>1071</v>
      </c>
      <c r="D51" s="120" t="s">
        <v>1112</v>
      </c>
      <c r="E51" s="120" t="s">
        <v>2096</v>
      </c>
      <c r="F51" s="142" t="s">
        <v>1114</v>
      </c>
      <c r="G51" s="143">
        <v>1.8110000000000001E-2</v>
      </c>
      <c r="H51" s="143">
        <v>3.7810000000000003E-2</v>
      </c>
      <c r="I51" s="143">
        <v>8.2430000000000003E-2</v>
      </c>
      <c r="J51" s="143">
        <v>8.8109999999999994E-2</v>
      </c>
      <c r="K51" s="143">
        <v>4.7859999999999993E-2</v>
      </c>
      <c r="L51" s="143">
        <v>3.3020000000000001E-2</v>
      </c>
      <c r="M51" s="143">
        <v>3.9599999999999996E-2</v>
      </c>
      <c r="N51" s="143">
        <v>0.04</v>
      </c>
      <c r="O51" s="143">
        <v>4.0010000000000004E-2</v>
      </c>
      <c r="P51" s="143">
        <v>4.002E-2</v>
      </c>
      <c r="Q51" s="143">
        <v>4.0010000000000004E-2</v>
      </c>
      <c r="R51" s="143">
        <v>3.9960000000000002E-2</v>
      </c>
    </row>
    <row r="52" spans="1:18" ht="16">
      <c r="A52" s="139"/>
      <c r="B52" s="120" t="s">
        <v>501</v>
      </c>
      <c r="C52" s="141" t="s">
        <v>1071</v>
      </c>
      <c r="D52" s="120" t="s">
        <v>1112</v>
      </c>
      <c r="E52" s="120" t="s">
        <v>2096</v>
      </c>
      <c r="F52" s="142" t="s">
        <v>1114</v>
      </c>
      <c r="G52" s="143">
        <v>2.65E-3</v>
      </c>
      <c r="H52" s="143">
        <v>-3.3900000000000002E-3</v>
      </c>
      <c r="I52" s="143">
        <v>1.34E-3</v>
      </c>
      <c r="J52" s="143">
        <v>3.4660000000000003E-2</v>
      </c>
      <c r="K52" s="143">
        <v>2.2170000000000002E-2</v>
      </c>
      <c r="L52" s="143">
        <v>1.5480000000000001E-2</v>
      </c>
      <c r="M52" s="143">
        <v>1.04E-2</v>
      </c>
      <c r="N52" s="143">
        <v>1.8600000000000002E-2</v>
      </c>
      <c r="O52" s="143">
        <v>1.5990000000000001E-2</v>
      </c>
      <c r="P52" s="143">
        <v>1.602E-2</v>
      </c>
      <c r="Q52" s="143">
        <v>1.5029999999999998E-2</v>
      </c>
      <c r="R52" s="143">
        <v>1.4990000000000002E-2</v>
      </c>
    </row>
    <row r="53" spans="1:18" ht="16">
      <c r="A53" s="139"/>
      <c r="B53" s="120" t="s">
        <v>505</v>
      </c>
      <c r="C53" s="141" t="s">
        <v>1071</v>
      </c>
      <c r="D53" s="120" t="s">
        <v>1112</v>
      </c>
      <c r="E53" s="120" t="s">
        <v>2096</v>
      </c>
      <c r="F53" s="142" t="s">
        <v>1114</v>
      </c>
      <c r="G53" s="143">
        <v>7.3999999999999999E-4</v>
      </c>
      <c r="H53" s="143">
        <v>-3.7000000000000002E-3</v>
      </c>
      <c r="I53" s="143">
        <v>3.4680000000000002E-2</v>
      </c>
      <c r="J53" s="143">
        <v>7.1959999999999996E-2</v>
      </c>
      <c r="K53" s="143">
        <v>4.0469999999999999E-2</v>
      </c>
      <c r="L53" s="143">
        <v>8.539999999999999E-3</v>
      </c>
      <c r="M53" s="143">
        <v>6.6E-3</v>
      </c>
      <c r="N53" s="143">
        <v>1.3999999999999999E-2</v>
      </c>
      <c r="O53" s="143">
        <v>1.6990000000000002E-2</v>
      </c>
      <c r="P53" s="143">
        <v>1.6979999999999999E-2</v>
      </c>
      <c r="Q53" s="143">
        <v>1.8000000000000002E-2</v>
      </c>
      <c r="R53" s="143">
        <v>1.8000000000000002E-2</v>
      </c>
    </row>
    <row r="54" spans="1:18" ht="16">
      <c r="A54" s="139"/>
      <c r="B54" s="120" t="s">
        <v>546</v>
      </c>
      <c r="C54" s="141" t="s">
        <v>1071</v>
      </c>
      <c r="D54" s="120" t="s">
        <v>1112</v>
      </c>
      <c r="E54" s="120" t="s">
        <v>2096</v>
      </c>
      <c r="F54" s="142" t="s">
        <v>1114</v>
      </c>
      <c r="G54" s="143">
        <v>3.7000000000000005E-2</v>
      </c>
      <c r="H54" s="143">
        <v>3.2140000000000002E-2</v>
      </c>
      <c r="I54" s="143">
        <v>4.2610000000000002E-2</v>
      </c>
      <c r="J54" s="143">
        <v>6.8849999999999995E-2</v>
      </c>
      <c r="K54" s="143">
        <v>6.207E-2</v>
      </c>
      <c r="L54" s="143">
        <v>2.8690000000000004E-2</v>
      </c>
      <c r="M54" s="143">
        <v>2.46E-2</v>
      </c>
      <c r="N54" s="143">
        <v>3.0600000000000002E-2</v>
      </c>
      <c r="O54" s="143">
        <v>3.9E-2</v>
      </c>
      <c r="P54" s="143">
        <v>3.9019999999999999E-2</v>
      </c>
      <c r="Q54" s="143">
        <v>0.04</v>
      </c>
      <c r="R54" s="143">
        <v>0.04</v>
      </c>
    </row>
    <row r="55" spans="1:18" ht="16">
      <c r="A55" s="139"/>
      <c r="B55" s="120" t="s">
        <v>556</v>
      </c>
      <c r="C55" s="141" t="s">
        <v>1071</v>
      </c>
      <c r="D55" s="120" t="s">
        <v>1112</v>
      </c>
      <c r="E55" s="120" t="s">
        <v>2096</v>
      </c>
      <c r="F55" s="142" t="s">
        <v>1114</v>
      </c>
      <c r="G55" s="143">
        <v>4.3659999999999997E-2</v>
      </c>
      <c r="H55" s="143">
        <v>3.4680000000000002E-2</v>
      </c>
      <c r="I55" s="143">
        <v>4.4809999999999996E-2</v>
      </c>
      <c r="J55" s="143">
        <v>9.0899999999999995E-2</v>
      </c>
      <c r="K55" s="143">
        <v>6.6630000000000009E-2</v>
      </c>
      <c r="L55" s="143">
        <v>4.6059999999999997E-2</v>
      </c>
      <c r="M55" s="143">
        <v>4.53E-2</v>
      </c>
      <c r="N55" s="143">
        <v>4.1900000000000007E-2</v>
      </c>
      <c r="O55" s="143">
        <v>4.1009999999999998E-2</v>
      </c>
      <c r="P55" s="143">
        <v>4.1020000000000001E-2</v>
      </c>
      <c r="Q55" s="143">
        <v>0.04</v>
      </c>
      <c r="R55" s="143">
        <v>3.9989999999999998E-2</v>
      </c>
    </row>
    <row r="56" spans="1:18" ht="16">
      <c r="A56" s="139"/>
      <c r="B56" s="120" t="s">
        <v>638</v>
      </c>
      <c r="C56" s="141" t="s">
        <v>1071</v>
      </c>
      <c r="D56" s="120" t="s">
        <v>1112</v>
      </c>
      <c r="E56" s="120" t="s">
        <v>2096</v>
      </c>
      <c r="F56" s="142" t="s">
        <v>1114</v>
      </c>
      <c r="G56" s="143">
        <v>3.6360000000000003E-2</v>
      </c>
      <c r="H56" s="143">
        <v>3.397E-2</v>
      </c>
      <c r="I56" s="143">
        <v>5.6890000000000003E-2</v>
      </c>
      <c r="J56" s="143">
        <v>8.0790000000000001E-2</v>
      </c>
      <c r="K56" s="143">
        <v>5.5359999999999993E-2</v>
      </c>
      <c r="L56" s="143">
        <v>4.7550000000000002E-2</v>
      </c>
      <c r="M56" s="143">
        <v>3.9300000000000002E-2</v>
      </c>
      <c r="N56" s="143">
        <v>3.6900000000000002E-2</v>
      </c>
      <c r="O56" s="143">
        <v>3.2000000000000001E-2</v>
      </c>
      <c r="P56" s="143">
        <v>3.0990000000000004E-2</v>
      </c>
      <c r="Q56" s="143">
        <v>3.1030000000000002E-2</v>
      </c>
      <c r="R56" s="143">
        <v>3.0929999999999999E-2</v>
      </c>
    </row>
    <row r="57" spans="1:18" ht="16">
      <c r="A57" s="139"/>
      <c r="B57" s="120" t="s">
        <v>686</v>
      </c>
      <c r="C57" s="141" t="s">
        <v>1071</v>
      </c>
      <c r="D57" s="120" t="s">
        <v>1112</v>
      </c>
      <c r="E57" s="120" t="s">
        <v>2096</v>
      </c>
      <c r="F57" s="142" t="s">
        <v>1114</v>
      </c>
      <c r="G57" s="143">
        <v>-3.5499999999999998E-3</v>
      </c>
      <c r="H57" s="143">
        <v>-1.55E-2</v>
      </c>
      <c r="I57" s="143">
        <v>1.6310000000000002E-2</v>
      </c>
      <c r="J57" s="143">
        <v>2.86E-2</v>
      </c>
      <c r="K57" s="143">
        <v>1.486E-2</v>
      </c>
      <c r="L57" s="143">
        <v>6.9399999999999991E-3</v>
      </c>
      <c r="M57" s="143">
        <v>8.0000000000000002E-3</v>
      </c>
      <c r="N57" s="143">
        <v>1.2E-2</v>
      </c>
      <c r="O57" s="143">
        <v>1.299E-2</v>
      </c>
      <c r="P57" s="143">
        <v>1.401E-2</v>
      </c>
      <c r="Q57" s="143">
        <v>1.4990000000000002E-2</v>
      </c>
      <c r="R57" s="143">
        <v>1.498E-2</v>
      </c>
    </row>
    <row r="58" spans="1:18" ht="16">
      <c r="A58" s="139"/>
      <c r="B58" s="120" t="s">
        <v>690</v>
      </c>
      <c r="C58" s="141" t="s">
        <v>1071</v>
      </c>
      <c r="D58" s="120" t="s">
        <v>1112</v>
      </c>
      <c r="E58" s="120" t="s">
        <v>2096</v>
      </c>
      <c r="F58" s="142" t="s">
        <v>1114</v>
      </c>
      <c r="G58" s="143">
        <v>2.7570000000000001E-2</v>
      </c>
      <c r="H58" s="143">
        <v>1.7680000000000001E-2</v>
      </c>
      <c r="I58" s="143">
        <v>4.7880000000000006E-2</v>
      </c>
      <c r="J58" s="143">
        <v>9.7659999999999997E-2</v>
      </c>
      <c r="K58" s="143">
        <v>4.632E-2</v>
      </c>
      <c r="L58" s="143">
        <v>3.8350000000000002E-2</v>
      </c>
      <c r="M58" s="143">
        <v>3.8399999999999997E-2</v>
      </c>
      <c r="N58" s="143">
        <v>3.6299999999999999E-2</v>
      </c>
      <c r="O58" s="143">
        <v>3.601E-2</v>
      </c>
      <c r="P58" s="143">
        <v>3.603E-2</v>
      </c>
      <c r="Q58" s="143">
        <v>3.5009999999999999E-2</v>
      </c>
      <c r="R58" s="143">
        <v>3.5000000000000003E-2</v>
      </c>
    </row>
    <row r="59" spans="1:18" ht="16">
      <c r="A59" s="139"/>
      <c r="B59" s="120" t="s">
        <v>692</v>
      </c>
      <c r="C59" s="141" t="s">
        <v>1071</v>
      </c>
      <c r="D59" s="120" t="s">
        <v>1112</v>
      </c>
      <c r="E59" s="120" t="s">
        <v>2096</v>
      </c>
      <c r="F59" s="142" t="s">
        <v>1114</v>
      </c>
      <c r="G59" s="143">
        <v>2.1360000000000001E-2</v>
      </c>
      <c r="H59" s="143">
        <v>1.8280000000000001E-2</v>
      </c>
      <c r="I59" s="143">
        <v>3.9789999999999999E-2</v>
      </c>
      <c r="J59" s="143">
        <v>7.8769999999999993E-2</v>
      </c>
      <c r="K59" s="143">
        <v>6.2630000000000005E-2</v>
      </c>
      <c r="L59" s="143">
        <v>2.351E-2</v>
      </c>
      <c r="M59" s="143">
        <v>1.83E-2</v>
      </c>
      <c r="N59" s="143">
        <v>2.4199999999999999E-2</v>
      </c>
      <c r="O59" s="143">
        <v>2.2019999999999998E-2</v>
      </c>
      <c r="P59" s="143">
        <v>2.0990000000000002E-2</v>
      </c>
      <c r="Q59" s="143">
        <v>2.0990000000000002E-2</v>
      </c>
      <c r="R59" s="143">
        <v>2.0920000000000001E-2</v>
      </c>
    </row>
    <row r="60" spans="1:18" ht="16">
      <c r="A60" s="139"/>
      <c r="B60" s="120" t="s">
        <v>794</v>
      </c>
      <c r="C60" s="141" t="s">
        <v>1071</v>
      </c>
      <c r="D60" s="120" t="s">
        <v>1112</v>
      </c>
      <c r="E60" s="120" t="s">
        <v>2096</v>
      </c>
      <c r="F60" s="142" t="s">
        <v>1114</v>
      </c>
      <c r="G60" s="143">
        <v>7.8850000000000003E-2</v>
      </c>
      <c r="H60" s="143">
        <v>9.7550000000000012E-2</v>
      </c>
      <c r="I60" s="143">
        <v>7.7480000000000007E-2</v>
      </c>
      <c r="J60" s="143">
        <v>9.1039999999999996E-2</v>
      </c>
      <c r="K60" s="143">
        <v>5.8659999999999997E-2</v>
      </c>
      <c r="L60" s="143">
        <v>4.8499999999999995E-2</v>
      </c>
      <c r="M60" s="143">
        <v>5.1500000000000004E-2</v>
      </c>
      <c r="N60" s="143">
        <v>4.9299999999999997E-2</v>
      </c>
      <c r="O60" s="143">
        <v>4.9000000000000002E-2</v>
      </c>
      <c r="P60" s="143">
        <v>4.7980000000000002E-2</v>
      </c>
      <c r="Q60" s="143">
        <v>4.6020000000000005E-2</v>
      </c>
      <c r="R60" s="143">
        <v>4.5530000000000001E-2</v>
      </c>
    </row>
    <row r="61" spans="1:18" ht="16">
      <c r="A61" s="139"/>
      <c r="B61" s="120" t="s">
        <v>1120</v>
      </c>
      <c r="C61" s="141" t="s">
        <v>1071</v>
      </c>
      <c r="D61" s="120" t="s">
        <v>1112</v>
      </c>
      <c r="E61" s="120" t="s">
        <v>2096</v>
      </c>
      <c r="F61" s="142" t="s">
        <v>1114</v>
      </c>
      <c r="G61" s="143">
        <v>199.06024000000002</v>
      </c>
      <c r="H61" s="143">
        <v>23.551469999999998</v>
      </c>
      <c r="I61" s="143">
        <v>15.885129999999998</v>
      </c>
      <c r="J61" s="143">
        <v>1.86731</v>
      </c>
      <c r="K61" s="143">
        <v>3.3722599999999998</v>
      </c>
      <c r="L61" s="143">
        <v>0.52800000000000002</v>
      </c>
      <c r="M61" s="143">
        <v>0.82</v>
      </c>
      <c r="N61" s="143">
        <v>0.65</v>
      </c>
      <c r="O61" s="143">
        <v>0.35147</v>
      </c>
      <c r="P61" s="143">
        <v>0.27089999999999997</v>
      </c>
      <c r="Q61" s="143">
        <v>0.20052</v>
      </c>
      <c r="R61" s="143">
        <v>0.19989999999999999</v>
      </c>
    </row>
    <row r="62" spans="1:18" ht="16">
      <c r="A62" s="139"/>
      <c r="B62" s="120" t="s">
        <v>393</v>
      </c>
      <c r="C62" s="141" t="s">
        <v>1071</v>
      </c>
      <c r="D62" s="120" t="s">
        <v>1112</v>
      </c>
      <c r="E62" s="120" t="s">
        <v>2096</v>
      </c>
      <c r="F62" s="142" t="s">
        <v>1114</v>
      </c>
      <c r="G62" s="143">
        <v>2.3620000000000002E-2</v>
      </c>
      <c r="H62" s="143">
        <v>2.0790000000000003E-2</v>
      </c>
      <c r="I62" s="143">
        <v>6.6029999999999991E-2</v>
      </c>
      <c r="J62" s="143">
        <v>9.6799999999999997E-2</v>
      </c>
      <c r="K62" s="143">
        <v>9.3049999999999994E-2</v>
      </c>
      <c r="L62" s="143">
        <v>4.8000000000000001E-2</v>
      </c>
      <c r="M62" s="143">
        <v>4.3400000000000001E-2</v>
      </c>
      <c r="N62" s="143">
        <v>4.9200000000000001E-2</v>
      </c>
      <c r="O62" s="143">
        <v>4.301E-2</v>
      </c>
      <c r="P62" s="143">
        <v>3.9019999999999999E-2</v>
      </c>
      <c r="Q62" s="143">
        <v>3.6019999999999996E-2</v>
      </c>
      <c r="R62" s="143">
        <v>3.4500000000000003E-2</v>
      </c>
    </row>
    <row r="63" spans="1:18" ht="16">
      <c r="A63" s="139"/>
      <c r="B63" s="120" t="s">
        <v>399</v>
      </c>
      <c r="C63" s="141" t="s">
        <v>1071</v>
      </c>
      <c r="D63" s="120" t="s">
        <v>1112</v>
      </c>
      <c r="E63" s="120" t="s">
        <v>2096</v>
      </c>
      <c r="F63" s="142" t="s">
        <v>1114</v>
      </c>
      <c r="G63" s="143">
        <v>0.17079</v>
      </c>
      <c r="H63" s="143">
        <v>0.22277000000000002</v>
      </c>
      <c r="I63" s="143">
        <v>0.24387</v>
      </c>
      <c r="J63" s="143">
        <v>0.14871000000000001</v>
      </c>
      <c r="K63" s="143">
        <v>9.8960000000000006E-2</v>
      </c>
      <c r="L63" s="143">
        <v>9.8960000000000006E-2</v>
      </c>
      <c r="M63" s="143">
        <v>0.21345</v>
      </c>
      <c r="N63" s="143">
        <v>0.15397</v>
      </c>
      <c r="O63" s="143">
        <v>0.11216</v>
      </c>
      <c r="P63" s="143">
        <v>0.10034000000000001</v>
      </c>
      <c r="Q63" s="143">
        <v>0.10034000000000001</v>
      </c>
      <c r="R63" s="143">
        <v>0.10034000000000001</v>
      </c>
    </row>
    <row r="64" spans="1:18" ht="16">
      <c r="A64" s="139"/>
      <c r="B64" s="120" t="s">
        <v>417</v>
      </c>
      <c r="C64" s="141" t="s">
        <v>1071</v>
      </c>
      <c r="D64" s="120" t="s">
        <v>1112</v>
      </c>
      <c r="E64" s="120" t="s">
        <v>2096</v>
      </c>
      <c r="F64" s="142" t="s">
        <v>1114</v>
      </c>
      <c r="G64" s="143">
        <v>1.01E-2</v>
      </c>
      <c r="H64" s="143">
        <v>-2.3220000000000001E-2</v>
      </c>
      <c r="I64" s="143">
        <v>-6.1500000000000001E-3</v>
      </c>
      <c r="J64" s="143">
        <v>3.635E-2</v>
      </c>
      <c r="K64" s="143">
        <v>7.5000000000000002E-4</v>
      </c>
      <c r="L64" s="143">
        <v>9.1999999999999998E-3</v>
      </c>
      <c r="M64" s="143">
        <v>4.4000000000000003E-3</v>
      </c>
      <c r="N64" s="143">
        <v>1.67E-2</v>
      </c>
      <c r="O64" s="143">
        <v>1.899E-2</v>
      </c>
      <c r="P64" s="143">
        <v>1.898E-2</v>
      </c>
      <c r="Q64" s="143">
        <v>1.9970000000000002E-2</v>
      </c>
      <c r="R64" s="143">
        <v>1.9980000000000001E-2</v>
      </c>
    </row>
    <row r="65" spans="1:18" ht="16">
      <c r="A65" s="139"/>
      <c r="B65" s="120" t="s">
        <v>456</v>
      </c>
      <c r="C65" s="141" t="s">
        <v>1071</v>
      </c>
      <c r="D65" s="120" t="s">
        <v>1112</v>
      </c>
      <c r="E65" s="120" t="s">
        <v>2096</v>
      </c>
      <c r="F65" s="142" t="s">
        <v>1114</v>
      </c>
      <c r="G65" s="143">
        <v>2.4580000000000001E-2</v>
      </c>
      <c r="H65" s="143">
        <v>2.4500000000000001E-2</v>
      </c>
      <c r="I65" s="143">
        <v>2.2620000000000001E-2</v>
      </c>
      <c r="J65" s="143">
        <v>6.2549999999999994E-2</v>
      </c>
      <c r="K65" s="143">
        <v>7.3660000000000003E-2</v>
      </c>
      <c r="L65" s="143">
        <v>4.5319999999999999E-2</v>
      </c>
      <c r="M65" s="143">
        <v>4.2000000000000003E-2</v>
      </c>
      <c r="N65" s="143">
        <v>3.7000000000000005E-2</v>
      </c>
      <c r="O65" s="143">
        <v>2.7980000000000001E-2</v>
      </c>
      <c r="P65" s="143">
        <v>2.6030000000000001E-2</v>
      </c>
      <c r="Q65" s="143">
        <v>2.5000000000000001E-2</v>
      </c>
      <c r="R65" s="143">
        <v>2.503E-2</v>
      </c>
    </row>
    <row r="66" spans="1:18" ht="16">
      <c r="A66" s="139"/>
      <c r="B66" s="120" t="s">
        <v>1121</v>
      </c>
      <c r="C66" s="141" t="s">
        <v>1071</v>
      </c>
      <c r="D66" s="120" t="s">
        <v>1112</v>
      </c>
      <c r="E66" s="120" t="s">
        <v>2096</v>
      </c>
      <c r="F66" s="142" t="s">
        <v>1114</v>
      </c>
      <c r="G66" s="143">
        <v>8.4099999999999991E-3</v>
      </c>
      <c r="H66" s="143">
        <v>2.4230000000000002E-2</v>
      </c>
      <c r="I66" s="143">
        <v>4.1570000000000003E-2</v>
      </c>
      <c r="J66" s="143">
        <v>5.21E-2</v>
      </c>
      <c r="K66" s="143">
        <v>4.3840000000000004E-2</v>
      </c>
      <c r="L66" s="143">
        <v>3.4610000000000002E-2</v>
      </c>
      <c r="M66" s="143">
        <v>2.4E-2</v>
      </c>
      <c r="N66" s="143">
        <v>2.2000000000000002E-2</v>
      </c>
      <c r="O66" s="143">
        <v>1.9980000000000001E-2</v>
      </c>
      <c r="P66" s="143">
        <v>2.001E-2</v>
      </c>
      <c r="Q66" s="143">
        <v>1.9990000000000001E-2</v>
      </c>
      <c r="R66" s="143">
        <v>0.02</v>
      </c>
    </row>
    <row r="67" spans="1:18" ht="16">
      <c r="A67" s="139"/>
      <c r="B67" s="120" t="s">
        <v>1122</v>
      </c>
      <c r="C67" s="141" t="s">
        <v>1071</v>
      </c>
      <c r="D67" s="120" t="s">
        <v>1112</v>
      </c>
      <c r="E67" s="120" t="s">
        <v>2096</v>
      </c>
      <c r="F67" s="142" t="s">
        <v>1114</v>
      </c>
      <c r="G67" s="143">
        <v>9.1460000000000014E-2</v>
      </c>
      <c r="H67" s="143">
        <v>5.0450000000000002E-2</v>
      </c>
      <c r="I67" s="143">
        <v>5.2179999999999997E-2</v>
      </c>
      <c r="J67" s="143">
        <v>0.13896</v>
      </c>
      <c r="K67" s="143">
        <v>0.33889000000000002</v>
      </c>
      <c r="L67" s="143">
        <v>0.28265000000000001</v>
      </c>
      <c r="M67" s="143">
        <v>0.152</v>
      </c>
      <c r="N67" s="143">
        <v>0.13100000000000001</v>
      </c>
      <c r="O67" s="143">
        <v>0.11398999999999999</v>
      </c>
      <c r="P67" s="143">
        <v>8.301E-2</v>
      </c>
      <c r="Q67" s="143">
        <v>7.400000000000001E-2</v>
      </c>
      <c r="R67" s="143">
        <v>6.3019999999999993E-2</v>
      </c>
    </row>
    <row r="68" spans="1:18" ht="16">
      <c r="A68" s="139"/>
      <c r="B68" s="120" t="s">
        <v>515</v>
      </c>
      <c r="C68" s="141" t="s">
        <v>1071</v>
      </c>
      <c r="D68" s="120" t="s">
        <v>1112</v>
      </c>
      <c r="E68" s="120" t="s">
        <v>2096</v>
      </c>
      <c r="F68" s="142" t="s">
        <v>1114</v>
      </c>
      <c r="G68" s="143">
        <v>0.15526999999999999</v>
      </c>
      <c r="H68" s="143">
        <v>0.20605000000000001</v>
      </c>
      <c r="I68" s="143">
        <v>0.26774000000000003</v>
      </c>
      <c r="J68" s="143">
        <v>0.33927999999999997</v>
      </c>
      <c r="K68" s="143">
        <v>0.30254000000000003</v>
      </c>
      <c r="L68" s="143">
        <v>0.20786000000000002</v>
      </c>
      <c r="M68" s="143">
        <v>0.16210000000000002</v>
      </c>
      <c r="N68" s="143">
        <v>0.14550000000000002</v>
      </c>
      <c r="O68" s="143">
        <v>0.11797000000000001</v>
      </c>
      <c r="P68" s="143">
        <v>0.11903000000000001</v>
      </c>
      <c r="Q68" s="143">
        <v>0.12101000000000001</v>
      </c>
      <c r="R68" s="143">
        <v>0.12147000000000001</v>
      </c>
    </row>
    <row r="69" spans="1:18" ht="16">
      <c r="A69" s="139"/>
      <c r="B69" s="120" t="s">
        <v>534</v>
      </c>
      <c r="C69" s="141" t="s">
        <v>1071</v>
      </c>
      <c r="D69" s="120" t="s">
        <v>1112</v>
      </c>
      <c r="E69" s="120" t="s">
        <v>2096</v>
      </c>
      <c r="F69" s="142" t="s">
        <v>1114</v>
      </c>
      <c r="G69" s="143">
        <v>8.6649999999999991E-2</v>
      </c>
      <c r="H69" s="143">
        <v>9.9440000000000014E-2</v>
      </c>
      <c r="I69" s="143">
        <v>9.9499999999999991E-2</v>
      </c>
      <c r="J69" s="143">
        <v>0.31840000000000002</v>
      </c>
      <c r="K69" s="143">
        <v>0.39256999999999997</v>
      </c>
      <c r="L69" s="143">
        <v>0.22871</v>
      </c>
      <c r="M69" s="143">
        <v>0.15939999999999999</v>
      </c>
      <c r="N69" s="143">
        <v>0.1032</v>
      </c>
      <c r="O69" s="143">
        <v>8.7980000000000003E-2</v>
      </c>
      <c r="P69" s="143">
        <v>8.5020000000000012E-2</v>
      </c>
      <c r="Q69" s="143">
        <v>8.3000000000000004E-2</v>
      </c>
      <c r="R69" s="143">
        <v>8.1959999999999991E-2</v>
      </c>
    </row>
    <row r="70" spans="1:18" ht="16">
      <c r="A70" s="139"/>
      <c r="B70" s="120" t="s">
        <v>1123</v>
      </c>
      <c r="C70" s="141" t="s">
        <v>1071</v>
      </c>
      <c r="D70" s="120" t="s">
        <v>1112</v>
      </c>
      <c r="E70" s="120" t="s">
        <v>2096</v>
      </c>
      <c r="F70" s="142" t="s">
        <v>1114</v>
      </c>
      <c r="G70" s="143">
        <v>0.25920000000000004</v>
      </c>
      <c r="H70" s="143">
        <v>0.29679</v>
      </c>
      <c r="I70" s="143">
        <v>0.43401000000000001</v>
      </c>
      <c r="J70" s="143">
        <v>0.45014999999999999</v>
      </c>
      <c r="K70" s="143">
        <v>0.44880999999999999</v>
      </c>
      <c r="L70" s="143">
        <v>0.32715000000000005</v>
      </c>
      <c r="M70" s="143">
        <v>0.39500000000000002</v>
      </c>
      <c r="N70" s="143">
        <v>0.34</v>
      </c>
      <c r="O70" s="143">
        <v>0.28997000000000001</v>
      </c>
      <c r="P70" s="143">
        <v>0.23995999999999998</v>
      </c>
      <c r="Q70" s="143">
        <v>0.22</v>
      </c>
      <c r="R70" s="143">
        <v>0.22</v>
      </c>
    </row>
    <row r="71" spans="1:18" ht="16">
      <c r="A71" s="139"/>
      <c r="B71" s="120" t="s">
        <v>569</v>
      </c>
      <c r="C71" s="141" t="s">
        <v>1071</v>
      </c>
      <c r="D71" s="120" t="s">
        <v>1112</v>
      </c>
      <c r="E71" s="120" t="s">
        <v>2096</v>
      </c>
      <c r="F71" s="142" t="s">
        <v>1114</v>
      </c>
      <c r="G71" s="143">
        <v>-1.99E-3</v>
      </c>
      <c r="H71" s="143">
        <v>5.7399999999999994E-3</v>
      </c>
      <c r="I71" s="143">
        <v>6.0579999999999995E-2</v>
      </c>
      <c r="J71" s="143">
        <v>4.9720000000000007E-2</v>
      </c>
      <c r="K71" s="143">
        <v>4.4160000000000005E-2</v>
      </c>
      <c r="L71" s="143">
        <v>2.571E-2</v>
      </c>
      <c r="M71" s="143">
        <v>2.1899999999999999E-2</v>
      </c>
      <c r="N71" s="143">
        <v>2.6000000000000002E-2</v>
      </c>
      <c r="O71" s="143">
        <v>2.801E-2</v>
      </c>
      <c r="P71" s="143">
        <v>2.9009999999999998E-2</v>
      </c>
      <c r="Q71" s="143">
        <v>2.8990000000000002E-2</v>
      </c>
      <c r="R71" s="143">
        <v>2.904E-2</v>
      </c>
    </row>
    <row r="72" spans="1:18" ht="16">
      <c r="A72" s="139"/>
      <c r="B72" s="120" t="s">
        <v>575</v>
      </c>
      <c r="C72" s="141" t="s">
        <v>1071</v>
      </c>
      <c r="D72" s="120" t="s">
        <v>1112</v>
      </c>
      <c r="E72" s="120" t="s">
        <v>2096</v>
      </c>
      <c r="F72" s="142" t="s">
        <v>1114</v>
      </c>
      <c r="G72" s="143">
        <v>8.1799999999999998E-3</v>
      </c>
      <c r="H72" s="143">
        <v>-5.7499999999999999E-3</v>
      </c>
      <c r="I72" s="143">
        <v>1.4800000000000001E-2</v>
      </c>
      <c r="J72" s="143">
        <v>4.4119999999999999E-2</v>
      </c>
      <c r="K72" s="143">
        <v>4.2249999999999996E-2</v>
      </c>
      <c r="L72" s="143">
        <v>3.0750000000000003E-2</v>
      </c>
      <c r="M72" s="143">
        <v>3.1400000000000004E-2</v>
      </c>
      <c r="N72" s="143">
        <v>2.2000000000000002E-2</v>
      </c>
      <c r="O72" s="143">
        <v>2.1000000000000001E-2</v>
      </c>
      <c r="P72" s="143">
        <v>2.1000000000000001E-2</v>
      </c>
      <c r="Q72" s="143">
        <v>1.9970000000000002E-2</v>
      </c>
      <c r="R72" s="143">
        <v>1.9990000000000001E-2</v>
      </c>
    </row>
    <row r="73" spans="1:18" ht="16">
      <c r="A73" s="139"/>
      <c r="B73" s="120" t="s">
        <v>583</v>
      </c>
      <c r="C73" s="141" t="s">
        <v>1071</v>
      </c>
      <c r="D73" s="120" t="s">
        <v>1112</v>
      </c>
      <c r="E73" s="120" t="s">
        <v>2096</v>
      </c>
      <c r="F73" s="142" t="s">
        <v>1114</v>
      </c>
      <c r="G73" s="143">
        <v>7.62E-3</v>
      </c>
      <c r="H73" s="143">
        <v>3.3300000000000001E-3</v>
      </c>
      <c r="I73" s="143">
        <v>1.345E-2</v>
      </c>
      <c r="J73" s="143">
        <v>4.2300000000000004E-2</v>
      </c>
      <c r="K73" s="143">
        <v>2.085E-2</v>
      </c>
      <c r="L73" s="143">
        <v>1.5569999999999999E-2</v>
      </c>
      <c r="M73" s="143">
        <v>1.9699999999999999E-2</v>
      </c>
      <c r="N73" s="143">
        <v>1.5300000000000001E-2</v>
      </c>
      <c r="O73" s="143">
        <v>2.1010000000000001E-2</v>
      </c>
      <c r="P73" s="143">
        <v>2.2000000000000002E-2</v>
      </c>
      <c r="Q73" s="143">
        <v>2.1989999999999999E-2</v>
      </c>
      <c r="R73" s="143">
        <v>2.2109999999999998E-2</v>
      </c>
    </row>
    <row r="74" spans="1:18" ht="16">
      <c r="A74" s="139"/>
      <c r="B74" s="120" t="s">
        <v>587</v>
      </c>
      <c r="C74" s="141" t="s">
        <v>1071</v>
      </c>
      <c r="D74" s="120" t="s">
        <v>1112</v>
      </c>
      <c r="E74" s="120" t="s">
        <v>2096</v>
      </c>
      <c r="F74" s="142" t="s">
        <v>1114</v>
      </c>
      <c r="G74" s="143">
        <v>5.203E-2</v>
      </c>
      <c r="H74" s="143">
        <v>5.2789999999999997E-2</v>
      </c>
      <c r="I74" s="143">
        <v>6.1100000000000002E-2</v>
      </c>
      <c r="J74" s="143">
        <v>7.6530000000000001E-2</v>
      </c>
      <c r="K74" s="143">
        <v>7.671E-2</v>
      </c>
      <c r="L74" s="143">
        <v>4.5060000000000003E-2</v>
      </c>
      <c r="M74" s="143">
        <v>4.2999999999999997E-2</v>
      </c>
      <c r="N74" s="143">
        <v>5.5199999999999999E-2</v>
      </c>
      <c r="O74" s="143">
        <v>5.101E-2</v>
      </c>
      <c r="P74" s="143">
        <v>5.0990000000000001E-2</v>
      </c>
      <c r="Q74" s="143">
        <v>5.0039999999999994E-2</v>
      </c>
      <c r="R74" s="143">
        <v>5.0029999999999998E-2</v>
      </c>
    </row>
    <row r="75" spans="1:18" ht="16">
      <c r="A75" s="139"/>
      <c r="B75" s="120" t="s">
        <v>597</v>
      </c>
      <c r="C75" s="141" t="s">
        <v>1071</v>
      </c>
      <c r="D75" s="120" t="s">
        <v>1112</v>
      </c>
      <c r="E75" s="120" t="s">
        <v>2096</v>
      </c>
      <c r="F75" s="142" t="s">
        <v>1114</v>
      </c>
      <c r="G75" s="143">
        <v>1.0920000000000001E-2</v>
      </c>
      <c r="H75" s="143">
        <v>2.1019999999999997E-2</v>
      </c>
      <c r="I75" s="143">
        <v>3.4230000000000003E-2</v>
      </c>
      <c r="J75" s="143">
        <v>4.0559999999999999E-2</v>
      </c>
      <c r="K75" s="143">
        <v>3.6420000000000001E-2</v>
      </c>
      <c r="L75" s="143">
        <v>2.8980000000000002E-2</v>
      </c>
      <c r="M75" s="143">
        <v>2.3199999999999998E-2</v>
      </c>
      <c r="N75" s="143">
        <v>2.2799999999999997E-2</v>
      </c>
      <c r="O75" s="143">
        <v>2.0979999999999999E-2</v>
      </c>
      <c r="P75" s="143">
        <v>2.001E-2</v>
      </c>
      <c r="Q75" s="143">
        <v>1.796E-2</v>
      </c>
      <c r="R75" s="143">
        <v>1.753E-2</v>
      </c>
    </row>
    <row r="76" spans="1:18" ht="16">
      <c r="A76" s="139"/>
      <c r="B76" s="120" t="s">
        <v>605</v>
      </c>
      <c r="C76" s="141" t="s">
        <v>1071</v>
      </c>
      <c r="D76" s="120" t="s">
        <v>1112</v>
      </c>
      <c r="E76" s="120" t="s">
        <v>2096</v>
      </c>
      <c r="F76" s="142" t="s">
        <v>1114</v>
      </c>
      <c r="G76" s="143">
        <v>2.895E-2</v>
      </c>
      <c r="H76" s="143">
        <v>0.84865999999999997</v>
      </c>
      <c r="I76" s="143">
        <v>1.54756</v>
      </c>
      <c r="J76" s="143">
        <v>1.7120500000000001</v>
      </c>
      <c r="K76" s="143">
        <v>2.2134200000000002</v>
      </c>
      <c r="L76" s="143">
        <v>0.45243</v>
      </c>
      <c r="M76" s="143">
        <v>0.15460000000000002</v>
      </c>
      <c r="N76" s="143">
        <v>0.13539999999999999</v>
      </c>
      <c r="O76" s="143">
        <v>0.18007000000000001</v>
      </c>
      <c r="P76" s="143">
        <v>0.15194000000000002</v>
      </c>
      <c r="Q76" s="143">
        <v>0.12297000000000001</v>
      </c>
      <c r="R76" s="143">
        <v>0.10989</v>
      </c>
    </row>
    <row r="77" spans="1:18" ht="16">
      <c r="A77" s="139"/>
      <c r="B77" s="120" t="s">
        <v>650</v>
      </c>
      <c r="C77" s="141" t="s">
        <v>1071</v>
      </c>
      <c r="D77" s="120" t="s">
        <v>1112</v>
      </c>
      <c r="E77" s="120" t="s">
        <v>2096</v>
      </c>
      <c r="F77" s="142" t="s">
        <v>1114</v>
      </c>
      <c r="G77" s="143">
        <v>3.1199999999999999E-3</v>
      </c>
      <c r="H77" s="143">
        <v>6.0299999999999998E-3</v>
      </c>
      <c r="I77" s="143">
        <v>1.3990000000000001E-2</v>
      </c>
      <c r="J77" s="143">
        <v>6.6559999999999994E-2</v>
      </c>
      <c r="K77" s="143">
        <v>6.0919999999999995E-2</v>
      </c>
      <c r="L77" s="143">
        <v>9.5700000000000004E-3</v>
      </c>
      <c r="M77" s="143">
        <v>1.38E-2</v>
      </c>
      <c r="N77" s="143">
        <v>1.72E-2</v>
      </c>
      <c r="O77" s="143">
        <v>2.2029999999999998E-2</v>
      </c>
      <c r="P77" s="143">
        <v>2.0990000000000002E-2</v>
      </c>
      <c r="Q77" s="143">
        <v>2.1019999999999997E-2</v>
      </c>
      <c r="R77" s="143">
        <v>2.0950000000000003E-2</v>
      </c>
    </row>
    <row r="78" spans="1:18" ht="16">
      <c r="A78" s="139"/>
      <c r="B78" s="120" t="s">
        <v>672</v>
      </c>
      <c r="C78" s="141" t="s">
        <v>1071</v>
      </c>
      <c r="D78" s="120" t="s">
        <v>1112</v>
      </c>
      <c r="E78" s="120" t="s">
        <v>2096</v>
      </c>
      <c r="F78" s="142" t="s">
        <v>1114</v>
      </c>
      <c r="G78" s="143">
        <v>0.11395</v>
      </c>
      <c r="H78" s="143">
        <v>0.13244</v>
      </c>
      <c r="I78" s="143">
        <v>0.16952999999999999</v>
      </c>
      <c r="J78" s="143">
        <v>0.18845999999999999</v>
      </c>
      <c r="K78" s="143">
        <v>0.24663000000000002</v>
      </c>
      <c r="L78" s="143">
        <v>0.33240000000000003</v>
      </c>
      <c r="M78" s="143">
        <v>0.23300000000000001</v>
      </c>
      <c r="N78" s="143">
        <v>0.16500000000000001</v>
      </c>
      <c r="O78" s="143">
        <v>0.14300000000000002</v>
      </c>
      <c r="P78" s="143">
        <v>0.14000000000000001</v>
      </c>
      <c r="Q78" s="143">
        <v>0.12997999999999998</v>
      </c>
      <c r="R78" s="143">
        <v>0.12998999999999999</v>
      </c>
    </row>
    <row r="79" spans="1:18" ht="16">
      <c r="A79" s="139"/>
      <c r="B79" s="120" t="s">
        <v>680</v>
      </c>
      <c r="C79" s="141" t="s">
        <v>1071</v>
      </c>
      <c r="D79" s="120" t="s">
        <v>1112</v>
      </c>
      <c r="E79" s="120" t="s">
        <v>2096</v>
      </c>
      <c r="F79" s="142" t="s">
        <v>1114</v>
      </c>
      <c r="G79" s="143">
        <v>1.34E-3</v>
      </c>
      <c r="H79" s="143">
        <v>-9.0399999999999994E-3</v>
      </c>
      <c r="I79" s="143">
        <v>1.5469999999999999E-2</v>
      </c>
      <c r="J79" s="143">
        <v>2.8119999999999999E-2</v>
      </c>
      <c r="K79" s="143">
        <v>9.8600000000000007E-3</v>
      </c>
      <c r="L79" s="143">
        <v>6.1199999999999996E-3</v>
      </c>
      <c r="M79" s="143">
        <v>9.7000000000000003E-3</v>
      </c>
      <c r="N79" s="143">
        <v>1.41E-2</v>
      </c>
      <c r="O79" s="143">
        <v>1.7979999999999999E-2</v>
      </c>
      <c r="P79" s="143">
        <v>1.9E-2</v>
      </c>
      <c r="Q79" s="143">
        <v>1.9009999999999999E-2</v>
      </c>
      <c r="R79" s="143">
        <v>1.907E-2</v>
      </c>
    </row>
    <row r="80" spans="1:18" ht="16">
      <c r="A80" s="139"/>
      <c r="B80" s="120" t="s">
        <v>701</v>
      </c>
      <c r="C80" s="141" t="s">
        <v>1071</v>
      </c>
      <c r="D80" s="120" t="s">
        <v>1112</v>
      </c>
      <c r="E80" s="120" t="s">
        <v>2096</v>
      </c>
      <c r="F80" s="142" t="s">
        <v>1114</v>
      </c>
      <c r="G80" s="143">
        <v>-6.62E-3</v>
      </c>
      <c r="H80" s="143">
        <v>-2.5870000000000001E-2</v>
      </c>
      <c r="I80" s="143">
        <v>2.3269999999999999E-2</v>
      </c>
      <c r="J80" s="143">
        <v>4.9960000000000004E-2</v>
      </c>
      <c r="K80" s="143">
        <v>2.826E-2</v>
      </c>
      <c r="L80" s="143">
        <v>1.119E-2</v>
      </c>
      <c r="M80" s="143">
        <v>3.4999999999999996E-3</v>
      </c>
      <c r="N80" s="143">
        <v>1.7600000000000001E-2</v>
      </c>
      <c r="O80" s="143">
        <v>1.702E-2</v>
      </c>
      <c r="P80" s="143">
        <v>1.8009999999999998E-2</v>
      </c>
      <c r="Q80" s="143">
        <v>1.9E-2</v>
      </c>
      <c r="R80" s="143">
        <v>1.9459999999999998E-2</v>
      </c>
    </row>
    <row r="81" spans="1:18" ht="16">
      <c r="A81" s="139"/>
      <c r="B81" s="120" t="s">
        <v>715</v>
      </c>
      <c r="C81" s="141" t="s">
        <v>1071</v>
      </c>
      <c r="D81" s="120" t="s">
        <v>1112</v>
      </c>
      <c r="E81" s="120" t="s">
        <v>2096</v>
      </c>
      <c r="F81" s="142" t="s">
        <v>1114</v>
      </c>
      <c r="G81" s="143">
        <v>-2.0959999999999999E-2</v>
      </c>
      <c r="H81" s="143">
        <v>3.4390000000000004E-2</v>
      </c>
      <c r="I81" s="143">
        <v>3.0699999999999998E-2</v>
      </c>
      <c r="J81" s="143">
        <v>2.4719999999999999E-2</v>
      </c>
      <c r="K81" s="143">
        <v>2.3290000000000002E-2</v>
      </c>
      <c r="L81" s="143">
        <v>1.6879999999999999E-2</v>
      </c>
      <c r="M81" s="143">
        <v>2.2000000000000002E-2</v>
      </c>
      <c r="N81" s="143">
        <v>0.02</v>
      </c>
      <c r="O81" s="143">
        <v>1.9980000000000001E-2</v>
      </c>
      <c r="P81" s="143">
        <v>1.9990000000000001E-2</v>
      </c>
      <c r="Q81" s="143">
        <v>1.9980000000000001E-2</v>
      </c>
      <c r="R81" s="143">
        <v>1.9990000000000001E-2</v>
      </c>
    </row>
    <row r="82" spans="1:18" ht="16">
      <c r="A82" s="139"/>
      <c r="B82" s="120" t="s">
        <v>736</v>
      </c>
      <c r="C82" s="141" t="s">
        <v>1071</v>
      </c>
      <c r="D82" s="120" t="s">
        <v>1112</v>
      </c>
      <c r="E82" s="120" t="s">
        <v>2096</v>
      </c>
      <c r="F82" s="142" t="s">
        <v>1114</v>
      </c>
      <c r="G82" s="143">
        <v>4.1029999999999997E-2</v>
      </c>
      <c r="H82" s="143">
        <v>3.2320000000000002E-2</v>
      </c>
      <c r="I82" s="143">
        <v>4.8789999999999993E-2</v>
      </c>
      <c r="J82" s="143">
        <v>6.8639999999999993E-2</v>
      </c>
      <c r="K82" s="143">
        <v>5.9029999999999999E-2</v>
      </c>
      <c r="L82" s="143">
        <v>4.4260000000000001E-2</v>
      </c>
      <c r="M82" s="143">
        <v>3.44E-2</v>
      </c>
      <c r="N82" s="143">
        <v>4.0999999999999995E-2</v>
      </c>
      <c r="O82" s="143">
        <v>4.5030000000000001E-2</v>
      </c>
      <c r="P82" s="143">
        <v>4.4989999999999995E-2</v>
      </c>
      <c r="Q82" s="143">
        <v>4.4979999999999999E-2</v>
      </c>
      <c r="R82" s="143">
        <v>4.4999999999999998E-2</v>
      </c>
    </row>
    <row r="83" spans="1:18" ht="16">
      <c r="A83" s="139"/>
      <c r="B83" s="120" t="s">
        <v>764</v>
      </c>
      <c r="C83" s="141" t="s">
        <v>1071</v>
      </c>
      <c r="D83" s="120" t="s">
        <v>1112</v>
      </c>
      <c r="E83" s="120" t="s">
        <v>2096</v>
      </c>
      <c r="F83" s="142" t="s">
        <v>1114</v>
      </c>
      <c r="G83" s="143">
        <v>3.449E-2</v>
      </c>
      <c r="H83" s="143">
        <v>3.2899999999999999E-2</v>
      </c>
      <c r="I83" s="143">
        <v>3.6900000000000002E-2</v>
      </c>
      <c r="J83" s="143">
        <v>4.3499999999999997E-2</v>
      </c>
      <c r="K83" s="143">
        <v>3.7989999999999996E-2</v>
      </c>
      <c r="L83" s="143">
        <v>3.057E-2</v>
      </c>
      <c r="M83" s="143">
        <v>3.3099999999999997E-2</v>
      </c>
      <c r="N83" s="143">
        <v>4.1100000000000005E-2</v>
      </c>
      <c r="O83" s="143">
        <v>4.1009999999999998E-2</v>
      </c>
      <c r="P83" s="143">
        <v>4.0970000000000006E-2</v>
      </c>
      <c r="Q83" s="143">
        <v>3.9980000000000002E-2</v>
      </c>
      <c r="R83" s="143">
        <v>3.9969999999999999E-2</v>
      </c>
    </row>
    <row r="84" spans="1:18" ht="16">
      <c r="A84" s="139"/>
      <c r="B84" s="120" t="s">
        <v>775</v>
      </c>
      <c r="C84" s="141" t="s">
        <v>1071</v>
      </c>
      <c r="D84" s="120" t="s">
        <v>1112</v>
      </c>
      <c r="E84" s="120" t="s">
        <v>2096</v>
      </c>
      <c r="F84" s="142" t="s">
        <v>1114</v>
      </c>
      <c r="G84" s="143">
        <v>6.8059999999999996E-2</v>
      </c>
      <c r="H84" s="143">
        <v>5.6239999999999998E-2</v>
      </c>
      <c r="I84" s="143">
        <v>5.7079999999999999E-2</v>
      </c>
      <c r="J84" s="143">
        <v>8.3209999999999992E-2</v>
      </c>
      <c r="K84" s="143">
        <v>9.3219999999999997E-2</v>
      </c>
      <c r="L84" s="143">
        <v>6.9989999999999997E-2</v>
      </c>
      <c r="M84" s="143">
        <v>5.4000000000000006E-2</v>
      </c>
      <c r="N84" s="143">
        <v>4.5999999999999999E-2</v>
      </c>
      <c r="O84" s="143">
        <v>3.6979999999999999E-2</v>
      </c>
      <c r="P84" s="143">
        <v>3.2010000000000004E-2</v>
      </c>
      <c r="Q84" s="143">
        <v>3.2000000000000001E-2</v>
      </c>
      <c r="R84" s="143">
        <v>3.1989999999999998E-2</v>
      </c>
    </row>
    <row r="85" spans="1:18" ht="16">
      <c r="A85" s="139"/>
      <c r="B85" s="120" t="s">
        <v>785</v>
      </c>
      <c r="C85" s="141" t="s">
        <v>1071</v>
      </c>
      <c r="D85" s="120" t="s">
        <v>1112</v>
      </c>
      <c r="E85" s="120" t="s">
        <v>2096</v>
      </c>
      <c r="F85" s="142" t="s">
        <v>1114</v>
      </c>
      <c r="G85" s="143">
        <v>2.137E-2</v>
      </c>
      <c r="H85" s="143">
        <v>2.758E-2</v>
      </c>
      <c r="I85" s="143">
        <v>2.2069999999999999E-2</v>
      </c>
      <c r="J85" s="143">
        <v>7.1919999999999998E-2</v>
      </c>
      <c r="K85" s="143">
        <v>5.3520000000000005E-2</v>
      </c>
      <c r="L85" s="143">
        <v>3.3230000000000003E-2</v>
      </c>
      <c r="M85" s="143">
        <v>4.2000000000000003E-2</v>
      </c>
      <c r="N85" s="143">
        <v>4.8000000000000001E-2</v>
      </c>
      <c r="O85" s="143">
        <v>0.05</v>
      </c>
      <c r="P85" s="143">
        <v>4.999E-2</v>
      </c>
      <c r="Q85" s="143">
        <v>5.0019999999999995E-2</v>
      </c>
      <c r="R85" s="143">
        <v>0.05</v>
      </c>
    </row>
    <row r="86" spans="1:18" ht="16">
      <c r="A86" s="139"/>
      <c r="B86" s="120" t="s">
        <v>789</v>
      </c>
      <c r="C86" s="141" t="s">
        <v>1071</v>
      </c>
      <c r="D86" s="120" t="s">
        <v>1112</v>
      </c>
      <c r="E86" s="120" t="s">
        <v>2096</v>
      </c>
      <c r="F86" s="142" t="s">
        <v>1114</v>
      </c>
      <c r="G86" s="143">
        <v>-1.9310000000000001E-2</v>
      </c>
      <c r="H86" s="143">
        <v>-2.0790000000000003E-2</v>
      </c>
      <c r="I86" s="143">
        <v>1.8E-3</v>
      </c>
      <c r="J86" s="143">
        <v>4.827E-2</v>
      </c>
      <c r="K86" s="143">
        <v>1.6299999999999999E-2</v>
      </c>
      <c r="L86" s="143">
        <v>1.6619999999999999E-2</v>
      </c>
      <c r="M86" s="143">
        <v>1.9E-2</v>
      </c>
      <c r="N86" s="143">
        <v>1.9400000000000001E-2</v>
      </c>
      <c r="O86" s="143">
        <v>1.9970000000000002E-2</v>
      </c>
      <c r="P86" s="143">
        <v>1.9980000000000001E-2</v>
      </c>
      <c r="Q86" s="143">
        <v>1.9990000000000001E-2</v>
      </c>
      <c r="R86" s="143">
        <v>1.9980000000000001E-2</v>
      </c>
    </row>
    <row r="87" spans="1:18" ht="16">
      <c r="A87" s="139"/>
      <c r="B87" s="120" t="s">
        <v>458</v>
      </c>
      <c r="C87" s="141" t="s">
        <v>1071</v>
      </c>
      <c r="D87" s="120" t="s">
        <v>1112</v>
      </c>
      <c r="E87" s="120" t="s">
        <v>2096</v>
      </c>
      <c r="F87" s="142" t="s">
        <v>1114</v>
      </c>
      <c r="G87" s="143">
        <v>1.949E-2</v>
      </c>
      <c r="H87" s="143">
        <v>7.1699999999999993E-3</v>
      </c>
      <c r="I87" s="143">
        <v>3.3950000000000001E-2</v>
      </c>
      <c r="J87" s="143">
        <v>6.8029999999999993E-2</v>
      </c>
      <c r="K87" s="143">
        <v>3.8789999999999998E-2</v>
      </c>
      <c r="L87" s="143">
        <v>2.3820000000000001E-2</v>
      </c>
      <c r="M87" s="143">
        <v>2.0799999999999999E-2</v>
      </c>
      <c r="N87" s="143">
        <v>2.1499999999999998E-2</v>
      </c>
      <c r="O87" s="143">
        <v>1.9990000000000001E-2</v>
      </c>
      <c r="P87" s="143">
        <v>2.0030000000000003E-2</v>
      </c>
      <c r="Q87" s="143">
        <v>1.9990000000000001E-2</v>
      </c>
      <c r="R87" s="143">
        <v>2.001E-2</v>
      </c>
    </row>
    <row r="88" spans="1:18" ht="16">
      <c r="A88" s="139"/>
      <c r="B88" s="120" t="s">
        <v>167</v>
      </c>
      <c r="C88" s="141" t="s">
        <v>1071</v>
      </c>
      <c r="D88" s="120" t="s">
        <v>1112</v>
      </c>
      <c r="E88" s="120" t="s">
        <v>2096</v>
      </c>
      <c r="F88" s="142" t="s">
        <v>1114</v>
      </c>
      <c r="G88" s="143">
        <v>1.8120000000000001E-2</v>
      </c>
      <c r="H88" s="143">
        <v>1.234E-2</v>
      </c>
      <c r="I88" s="143">
        <v>4.6980000000000001E-2</v>
      </c>
      <c r="J88" s="143">
        <v>8.0030000000000004E-2</v>
      </c>
      <c r="K88" s="143">
        <v>4.1159999999999995E-2</v>
      </c>
      <c r="L88" s="143">
        <v>2.9500000000000002E-2</v>
      </c>
      <c r="M88" s="143">
        <v>2.92E-2</v>
      </c>
      <c r="N88" s="143">
        <v>2.7999999999999997E-2</v>
      </c>
      <c r="O88" s="143">
        <v>2.2010000000000002E-2</v>
      </c>
      <c r="P88" s="143">
        <v>2.2000000000000002E-2</v>
      </c>
      <c r="Q88" s="143">
        <v>2.1989999999999999E-2</v>
      </c>
      <c r="R88" s="143">
        <v>2.2019999999999998E-2</v>
      </c>
    </row>
    <row r="89" spans="1:18" ht="16">
      <c r="A89" s="139"/>
      <c r="B89" s="120" t="s">
        <v>411</v>
      </c>
      <c r="C89" s="141" t="s">
        <v>1071</v>
      </c>
      <c r="D89" s="120" t="s">
        <v>1112</v>
      </c>
      <c r="E89" s="120" t="s">
        <v>2096</v>
      </c>
      <c r="F89" s="142" t="s">
        <v>1114</v>
      </c>
      <c r="G89" s="143">
        <v>1.5309999999999999E-2</v>
      </c>
      <c r="H89" s="143">
        <v>1.3819999999999999E-2</v>
      </c>
      <c r="I89" s="143">
        <v>2.767E-2</v>
      </c>
      <c r="J89" s="143">
        <v>8.5470000000000004E-2</v>
      </c>
      <c r="K89" s="143">
        <v>7.8140000000000001E-2</v>
      </c>
      <c r="L89" s="143">
        <v>2.9380000000000003E-2</v>
      </c>
      <c r="M89" s="143">
        <v>2.98E-2</v>
      </c>
      <c r="N89" s="143">
        <v>1.9599999999999999E-2</v>
      </c>
      <c r="O89" s="143">
        <v>2.2010000000000002E-2</v>
      </c>
      <c r="P89" s="143">
        <v>2.1989999999999999E-2</v>
      </c>
      <c r="Q89" s="143">
        <v>2.1010000000000001E-2</v>
      </c>
      <c r="R89" s="143">
        <v>2.0990000000000002E-2</v>
      </c>
    </row>
    <row r="90" spans="1:18" ht="16">
      <c r="A90" s="139"/>
      <c r="B90" s="120" t="s">
        <v>425</v>
      </c>
      <c r="C90" s="141" t="s">
        <v>1071</v>
      </c>
      <c r="D90" s="120" t="s">
        <v>1112</v>
      </c>
      <c r="E90" s="120" t="s">
        <v>2096</v>
      </c>
      <c r="F90" s="142" t="s">
        <v>1114</v>
      </c>
      <c r="G90" s="143">
        <v>1.4370000000000001E-2</v>
      </c>
      <c r="H90" s="143">
        <v>7.4099999999999999E-3</v>
      </c>
      <c r="I90" s="143">
        <v>2.4399999999999998E-2</v>
      </c>
      <c r="J90" s="143">
        <v>9.598000000000001E-2</v>
      </c>
      <c r="K90" s="143">
        <v>4.0490000000000005E-2</v>
      </c>
      <c r="L90" s="143">
        <v>3.143E-2</v>
      </c>
      <c r="M90" s="143">
        <v>2.6600000000000002E-2</v>
      </c>
      <c r="N90" s="143">
        <v>1.5600000000000001E-2</v>
      </c>
      <c r="O90" s="143">
        <v>2.1000000000000001E-2</v>
      </c>
      <c r="P90" s="143">
        <v>2.001E-2</v>
      </c>
      <c r="Q90" s="143">
        <v>1.9990000000000001E-2</v>
      </c>
      <c r="R90" s="143">
        <v>1.9910000000000001E-2</v>
      </c>
    </row>
    <row r="91" spans="1:18" ht="16">
      <c r="A91" s="139"/>
      <c r="B91" s="120" t="s">
        <v>493</v>
      </c>
      <c r="C91" s="141" t="s">
        <v>1071</v>
      </c>
      <c r="D91" s="120" t="s">
        <v>1112</v>
      </c>
      <c r="E91" s="120" t="s">
        <v>2096</v>
      </c>
      <c r="F91" s="142" t="s">
        <v>1114</v>
      </c>
      <c r="G91" s="143">
        <v>7.5799999999999999E-3</v>
      </c>
      <c r="H91" s="143">
        <v>4.2100000000000002E-3</v>
      </c>
      <c r="I91" s="143">
        <v>1.8530000000000001E-2</v>
      </c>
      <c r="J91" s="143">
        <v>7.6969999999999997E-2</v>
      </c>
      <c r="K91" s="143">
        <v>3.3050000000000003E-2</v>
      </c>
      <c r="L91" s="143">
        <v>1.3720000000000001E-2</v>
      </c>
      <c r="M91" s="143">
        <v>1.55E-2</v>
      </c>
      <c r="N91" s="143">
        <v>1.6899999999999998E-2</v>
      </c>
      <c r="O91" s="143">
        <v>2.1019999999999997E-2</v>
      </c>
      <c r="P91" s="143">
        <v>2.1010000000000001E-2</v>
      </c>
      <c r="Q91" s="143">
        <v>1.9990000000000001E-2</v>
      </c>
      <c r="R91" s="143">
        <v>1.9990000000000001E-2</v>
      </c>
    </row>
    <row r="92" spans="1:18" ht="16">
      <c r="A92" s="139"/>
      <c r="B92" s="120" t="s">
        <v>521</v>
      </c>
      <c r="C92" s="141" t="s">
        <v>1071</v>
      </c>
      <c r="D92" s="120" t="s">
        <v>1112</v>
      </c>
      <c r="E92" s="120" t="s">
        <v>2096</v>
      </c>
      <c r="F92" s="142" t="s">
        <v>1114</v>
      </c>
      <c r="G92" s="143">
        <v>1.0240000000000001E-2</v>
      </c>
      <c r="H92" s="143">
        <v>2.9099999999999998E-3</v>
      </c>
      <c r="I92" s="143">
        <v>2.1949999999999997E-2</v>
      </c>
      <c r="J92" s="143">
        <v>7.1239999999999998E-2</v>
      </c>
      <c r="K92" s="143">
        <v>6.251000000000001E-2</v>
      </c>
      <c r="L92" s="143">
        <v>1.566E-2</v>
      </c>
      <c r="M92" s="143">
        <v>1.2E-2</v>
      </c>
      <c r="N92" s="143">
        <v>1.7000000000000001E-2</v>
      </c>
      <c r="O92" s="143">
        <v>1.9E-2</v>
      </c>
      <c r="P92" s="143">
        <v>2.0030000000000003E-2</v>
      </c>
      <c r="Q92" s="143">
        <v>0.02</v>
      </c>
      <c r="R92" s="143">
        <v>1.9990000000000001E-2</v>
      </c>
    </row>
    <row r="93" spans="1:18" ht="16">
      <c r="A93" s="139"/>
      <c r="B93" s="120" t="s">
        <v>523</v>
      </c>
      <c r="C93" s="141" t="s">
        <v>1071</v>
      </c>
      <c r="D93" s="120" t="s">
        <v>1112</v>
      </c>
      <c r="E93" s="120" t="s">
        <v>2096</v>
      </c>
      <c r="F93" s="142" t="s">
        <v>1114</v>
      </c>
      <c r="G93" s="143">
        <v>1.1080000000000001E-2</v>
      </c>
      <c r="H93" s="143">
        <v>4.7599999999999995E-3</v>
      </c>
      <c r="I93" s="143">
        <v>1.6420000000000001E-2</v>
      </c>
      <c r="J93" s="143">
        <v>5.2220000000000003E-2</v>
      </c>
      <c r="K93" s="143">
        <v>4.8780000000000004E-2</v>
      </c>
      <c r="L93" s="143">
        <v>1.9990000000000001E-2</v>
      </c>
      <c r="M93" s="143">
        <v>1.03E-2</v>
      </c>
      <c r="N93" s="143">
        <v>1.5800000000000002E-2</v>
      </c>
      <c r="O93" s="143">
        <v>1.899E-2</v>
      </c>
      <c r="P93" s="143">
        <v>1.9009999999999999E-2</v>
      </c>
      <c r="Q93" s="143">
        <v>1.9E-2</v>
      </c>
      <c r="R93" s="143">
        <v>1.9E-2</v>
      </c>
    </row>
    <row r="94" spans="1:18" ht="16">
      <c r="A94" s="139"/>
      <c r="B94" s="120" t="s">
        <v>229</v>
      </c>
      <c r="C94" s="141" t="s">
        <v>1071</v>
      </c>
      <c r="D94" s="120" t="s">
        <v>1112</v>
      </c>
      <c r="E94" s="120" t="s">
        <v>2096</v>
      </c>
      <c r="F94" s="142" t="s">
        <v>1114</v>
      </c>
      <c r="G94" s="143">
        <v>1.4190000000000001E-2</v>
      </c>
      <c r="H94" s="143">
        <v>5.3600000000000002E-3</v>
      </c>
      <c r="I94" s="143">
        <v>3.0670000000000003E-2</v>
      </c>
      <c r="J94" s="143">
        <v>6.8729999999999999E-2</v>
      </c>
      <c r="K94" s="143">
        <v>5.9459999999999999E-2</v>
      </c>
      <c r="L94" s="143">
        <v>2.2559999999999997E-2</v>
      </c>
      <c r="M94" s="143">
        <v>2.1299999999999999E-2</v>
      </c>
      <c r="N94" s="143">
        <v>1.9799999999999998E-2</v>
      </c>
      <c r="O94" s="143">
        <v>1.9990000000000001E-2</v>
      </c>
      <c r="P94" s="143">
        <v>2.1030000000000004E-2</v>
      </c>
      <c r="Q94" s="143">
        <v>2.1010000000000001E-2</v>
      </c>
      <c r="R94" s="143">
        <v>2.2019999999999998E-2</v>
      </c>
    </row>
    <row r="95" spans="1:18" ht="16">
      <c r="A95" s="139"/>
      <c r="B95" s="120" t="s">
        <v>538</v>
      </c>
      <c r="C95" s="141" t="s">
        <v>1071</v>
      </c>
      <c r="D95" s="120" t="s">
        <v>1112</v>
      </c>
      <c r="E95" s="120" t="s">
        <v>2096</v>
      </c>
      <c r="F95" s="142" t="s">
        <v>1114</v>
      </c>
      <c r="G95" s="143">
        <v>2.5300000000000001E-3</v>
      </c>
      <c r="H95" s="143">
        <v>-1.248E-2</v>
      </c>
      <c r="I95" s="143">
        <v>1.2239999999999999E-2</v>
      </c>
      <c r="J95" s="143">
        <v>9.6449999999999994E-2</v>
      </c>
      <c r="K95" s="143">
        <v>3.465E-2</v>
      </c>
      <c r="L95" s="143">
        <v>2.741E-2</v>
      </c>
      <c r="M95" s="143">
        <v>2.2000000000000002E-2</v>
      </c>
      <c r="N95" s="143">
        <v>2.1000000000000001E-2</v>
      </c>
      <c r="O95" s="143">
        <v>1.9990000000000001E-2</v>
      </c>
      <c r="P95" s="143">
        <v>2.001E-2</v>
      </c>
      <c r="Q95" s="143">
        <v>0.02</v>
      </c>
      <c r="R95" s="143">
        <v>2.001E-2</v>
      </c>
    </row>
    <row r="96" spans="1:18" ht="16">
      <c r="A96" s="139"/>
      <c r="B96" s="120" t="s">
        <v>571</v>
      </c>
      <c r="C96" s="141" t="s">
        <v>1071</v>
      </c>
      <c r="D96" s="120" t="s">
        <v>1112</v>
      </c>
      <c r="E96" s="120" t="s">
        <v>2096</v>
      </c>
      <c r="F96" s="142" t="s">
        <v>1114</v>
      </c>
      <c r="G96" s="143">
        <v>9.3799999999999994E-3</v>
      </c>
      <c r="H96" s="143">
        <v>-3.2600000000000003E-3</v>
      </c>
      <c r="I96" s="143">
        <v>2.3399999999999997E-2</v>
      </c>
      <c r="J96" s="143">
        <v>7.8289999999999998E-2</v>
      </c>
      <c r="K96" s="143">
        <v>6.2990000000000004E-2</v>
      </c>
      <c r="L96" s="143">
        <v>2.1129999999999999E-2</v>
      </c>
      <c r="M96" s="143">
        <v>1.8799999999999997E-2</v>
      </c>
      <c r="N96" s="143">
        <v>1.83E-2</v>
      </c>
      <c r="O96" s="143">
        <v>1.797E-2</v>
      </c>
      <c r="P96" s="143">
        <v>1.899E-2</v>
      </c>
      <c r="Q96" s="143">
        <v>1.898E-2</v>
      </c>
      <c r="R96" s="143">
        <v>1.9039999999999998E-2</v>
      </c>
    </row>
    <row r="97" spans="1:18" ht="16">
      <c r="A97" s="139"/>
      <c r="B97" s="120" t="s">
        <v>577</v>
      </c>
      <c r="C97" s="141" t="s">
        <v>1071</v>
      </c>
      <c r="D97" s="120" t="s">
        <v>1112</v>
      </c>
      <c r="E97" s="120" t="s">
        <v>2096</v>
      </c>
      <c r="F97" s="142" t="s">
        <v>1114</v>
      </c>
      <c r="G97" s="143">
        <v>6.11E-3</v>
      </c>
      <c r="H97" s="143">
        <v>-1.3800000000000002E-3</v>
      </c>
      <c r="I97" s="143">
        <v>1.874E-2</v>
      </c>
      <c r="J97" s="143">
        <v>8.201E-2</v>
      </c>
      <c r="K97" s="143">
        <v>5.6219999999999999E-2</v>
      </c>
      <c r="L97" s="143">
        <v>9.8200000000000006E-3</v>
      </c>
      <c r="M97" s="143">
        <v>1.8000000000000002E-2</v>
      </c>
      <c r="N97" s="143">
        <v>1.7500000000000002E-2</v>
      </c>
      <c r="O97" s="143">
        <v>1.9019999999999999E-2</v>
      </c>
      <c r="P97" s="143">
        <v>1.9030000000000002E-2</v>
      </c>
      <c r="Q97" s="143">
        <v>2.0019999999999996E-2</v>
      </c>
      <c r="R97" s="143">
        <v>2.0039999999999999E-2</v>
      </c>
    </row>
    <row r="98" spans="1:18" ht="16">
      <c r="A98" s="139"/>
      <c r="B98" s="120" t="s">
        <v>662</v>
      </c>
      <c r="C98" s="141" t="s">
        <v>1071</v>
      </c>
      <c r="D98" s="120" t="s">
        <v>1112</v>
      </c>
      <c r="E98" s="120" t="s">
        <v>2096</v>
      </c>
      <c r="F98" s="142" t="s">
        <v>1114</v>
      </c>
      <c r="G98" s="143">
        <v>2.6339999999999999E-2</v>
      </c>
      <c r="H98" s="143">
        <v>1.272E-2</v>
      </c>
      <c r="I98" s="143">
        <v>2.6760000000000003E-2</v>
      </c>
      <c r="J98" s="143">
        <v>0.10000999999999999</v>
      </c>
      <c r="K98" s="143">
        <v>3.8379999999999997E-2</v>
      </c>
      <c r="L98" s="143">
        <v>3.3479999999999996E-2</v>
      </c>
      <c r="M98" s="143">
        <v>3.0699999999999998E-2</v>
      </c>
      <c r="N98" s="143">
        <v>2.3399999999999997E-2</v>
      </c>
      <c r="O98" s="143">
        <v>0.02</v>
      </c>
      <c r="P98" s="143">
        <v>2.0019999999999996E-2</v>
      </c>
      <c r="Q98" s="143">
        <v>2.0019999999999996E-2</v>
      </c>
      <c r="R98" s="143">
        <v>2.0030000000000003E-2</v>
      </c>
    </row>
    <row r="99" spans="1:18" ht="16">
      <c r="A99" s="139"/>
      <c r="B99" s="120" t="s">
        <v>678</v>
      </c>
      <c r="C99" s="141" t="s">
        <v>1071</v>
      </c>
      <c r="D99" s="120" t="s">
        <v>1112</v>
      </c>
      <c r="E99" s="120" t="s">
        <v>2096</v>
      </c>
      <c r="F99" s="142" t="s">
        <v>1114</v>
      </c>
      <c r="G99" s="143">
        <v>2.1680000000000001E-2</v>
      </c>
      <c r="H99" s="143">
        <v>1.2869999999999999E-2</v>
      </c>
      <c r="I99" s="143">
        <v>3.4840000000000003E-2</v>
      </c>
      <c r="J99" s="143">
        <v>5.7640000000000004E-2</v>
      </c>
      <c r="K99" s="143">
        <v>5.518E-2</v>
      </c>
      <c r="L99" s="143">
        <v>3.1449999999999999E-2</v>
      </c>
      <c r="M99" s="143">
        <v>2.7400000000000001E-2</v>
      </c>
      <c r="N99" s="143">
        <v>2.2099999999999998E-2</v>
      </c>
      <c r="O99" s="143">
        <v>1.9980000000000001E-2</v>
      </c>
      <c r="P99" s="143">
        <v>1.9990000000000001E-2</v>
      </c>
      <c r="Q99" s="143">
        <v>0.02</v>
      </c>
      <c r="R99" s="143">
        <v>2.0030000000000003E-2</v>
      </c>
    </row>
    <row r="100" spans="1:18" ht="16">
      <c r="A100" s="139"/>
      <c r="B100" s="120" t="s">
        <v>697</v>
      </c>
      <c r="C100" s="141" t="s">
        <v>1071</v>
      </c>
      <c r="D100" s="120" t="s">
        <v>1112</v>
      </c>
      <c r="E100" s="120" t="s">
        <v>2096</v>
      </c>
      <c r="F100" s="142" t="s">
        <v>1114</v>
      </c>
      <c r="G100" s="143">
        <v>3.3800000000000002E-3</v>
      </c>
      <c r="H100" s="143">
        <v>-1.2E-4</v>
      </c>
      <c r="I100" s="143">
        <v>1.2659999999999999E-2</v>
      </c>
      <c r="J100" s="143">
        <v>7.8329999999999997E-2</v>
      </c>
      <c r="K100" s="143">
        <v>4.3110000000000002E-2</v>
      </c>
      <c r="L100" s="143">
        <v>2.4160000000000001E-2</v>
      </c>
      <c r="M100" s="143">
        <v>2.1600000000000001E-2</v>
      </c>
      <c r="N100" s="143">
        <v>1.95E-2</v>
      </c>
      <c r="O100" s="143">
        <v>0.02</v>
      </c>
      <c r="P100" s="143">
        <v>0.02</v>
      </c>
      <c r="Q100" s="143">
        <v>1.899E-2</v>
      </c>
      <c r="R100" s="143">
        <v>1.9009999999999999E-2</v>
      </c>
    </row>
    <row r="101" spans="1:18" ht="16">
      <c r="A101" s="139"/>
      <c r="B101" s="120" t="s">
        <v>740</v>
      </c>
      <c r="C101" s="141" t="s">
        <v>1071</v>
      </c>
      <c r="D101" s="120" t="s">
        <v>1112</v>
      </c>
      <c r="E101" s="120" t="s">
        <v>2096</v>
      </c>
      <c r="F101" s="142" t="s">
        <v>1114</v>
      </c>
      <c r="G101" s="143">
        <v>6.9999999999999993E-3</v>
      </c>
      <c r="H101" s="143">
        <v>-3.2300000000000002E-3</v>
      </c>
      <c r="I101" s="143">
        <v>3.0929999999999999E-2</v>
      </c>
      <c r="J101" s="143">
        <v>8.3909999999999998E-2</v>
      </c>
      <c r="K101" s="143">
        <v>3.5319999999999997E-2</v>
      </c>
      <c r="L101" s="143">
        <v>2.7740000000000001E-2</v>
      </c>
      <c r="M101" s="143">
        <v>2.3E-2</v>
      </c>
      <c r="N101" s="143">
        <v>2.1000000000000001E-2</v>
      </c>
      <c r="O101" s="143">
        <v>0.02</v>
      </c>
      <c r="P101" s="143">
        <v>1.9970000000000002E-2</v>
      </c>
      <c r="Q101" s="143">
        <v>0.02</v>
      </c>
      <c r="R101" s="143">
        <v>1.9990000000000001E-2</v>
      </c>
    </row>
    <row r="102" spans="1:18" ht="16">
      <c r="A102" s="139"/>
      <c r="B102" s="120" t="s">
        <v>756</v>
      </c>
      <c r="C102" s="141" t="s">
        <v>1071</v>
      </c>
      <c r="D102" s="120" t="s">
        <v>1112</v>
      </c>
      <c r="E102" s="120" t="s">
        <v>2096</v>
      </c>
      <c r="F102" s="142" t="s">
        <v>1114</v>
      </c>
      <c r="G102" s="143">
        <v>1.7840000000000002E-2</v>
      </c>
      <c r="H102" s="143">
        <v>4.9699999999999996E-3</v>
      </c>
      <c r="I102" s="143">
        <v>2.1629999999999996E-2</v>
      </c>
      <c r="J102" s="143">
        <v>8.3690000000000001E-2</v>
      </c>
      <c r="K102" s="143">
        <v>8.5489999999999997E-2</v>
      </c>
      <c r="L102" s="143">
        <v>2.836E-2</v>
      </c>
      <c r="M102" s="143">
        <v>1.4999999999999999E-2</v>
      </c>
      <c r="N102" s="143">
        <v>1.9E-2</v>
      </c>
      <c r="O102" s="143">
        <v>2.0019999999999996E-2</v>
      </c>
      <c r="P102" s="143">
        <v>0.02</v>
      </c>
      <c r="Q102" s="143">
        <v>2.001E-2</v>
      </c>
      <c r="R102" s="143">
        <v>2.0039999999999999E-2</v>
      </c>
    </row>
    <row r="103" spans="1:18" ht="16">
      <c r="A103" s="139"/>
      <c r="B103" s="120" t="s">
        <v>758</v>
      </c>
      <c r="C103" s="141" t="s">
        <v>1071</v>
      </c>
      <c r="D103" s="120" t="s">
        <v>1112</v>
      </c>
      <c r="E103" s="120" t="s">
        <v>2096</v>
      </c>
      <c r="F103" s="142" t="s">
        <v>1114</v>
      </c>
      <c r="G103" s="143">
        <v>3.63E-3</v>
      </c>
      <c r="H103" s="143">
        <v>-7.26E-3</v>
      </c>
      <c r="I103" s="143">
        <v>5.8199999999999997E-3</v>
      </c>
      <c r="J103" s="143">
        <v>2.835E-2</v>
      </c>
      <c r="K103" s="143">
        <v>2.1349999999999997E-2</v>
      </c>
      <c r="L103" s="143">
        <v>1.0620000000000001E-2</v>
      </c>
      <c r="M103" s="143">
        <v>2.3E-3</v>
      </c>
      <c r="N103" s="143">
        <v>5.5000000000000005E-3</v>
      </c>
      <c r="O103" s="143">
        <v>8.0099999999999998E-3</v>
      </c>
      <c r="P103" s="143">
        <v>7.9900000000000006E-3</v>
      </c>
      <c r="Q103" s="143">
        <v>6.9999999999999993E-3</v>
      </c>
      <c r="R103" s="143">
        <v>6.9999999999999993E-3</v>
      </c>
    </row>
    <row r="104" spans="1:18" ht="16">
      <c r="A104" s="139"/>
      <c r="B104" s="120" t="s">
        <v>1124</v>
      </c>
      <c r="C104" s="141" t="s">
        <v>1071</v>
      </c>
      <c r="D104" s="120" t="s">
        <v>1112</v>
      </c>
      <c r="E104" s="120" t="s">
        <v>2096</v>
      </c>
      <c r="F104" s="142" t="s">
        <v>1114</v>
      </c>
      <c r="G104" s="143">
        <v>0.15176999999999999</v>
      </c>
      <c r="H104" s="143">
        <v>0.12279</v>
      </c>
      <c r="I104" s="143">
        <v>0.19596</v>
      </c>
      <c r="J104" s="143">
        <v>0.72309000000000001</v>
      </c>
      <c r="K104" s="143">
        <v>0.53859000000000001</v>
      </c>
      <c r="L104" s="143">
        <v>0.58506000000000002</v>
      </c>
      <c r="M104" s="143">
        <v>0.317</v>
      </c>
      <c r="N104" s="143">
        <v>0.20600000000000002</v>
      </c>
      <c r="O104" s="143">
        <v>0.14496000000000001</v>
      </c>
      <c r="P104" s="143">
        <v>0.14798999999999998</v>
      </c>
      <c r="Q104" s="143">
        <v>0.14499999999999999</v>
      </c>
      <c r="R104" s="143">
        <v>0.14502000000000001</v>
      </c>
    </row>
    <row r="105" spans="1:18" ht="16">
      <c r="A105" s="139" t="s">
        <v>57</v>
      </c>
      <c r="B105" s="120" t="s">
        <v>791</v>
      </c>
      <c r="C105" s="141" t="s">
        <v>1071</v>
      </c>
      <c r="D105" s="120" t="s">
        <v>1112</v>
      </c>
      <c r="E105" s="120" t="s">
        <v>2096</v>
      </c>
      <c r="F105" s="142" t="s">
        <v>1114</v>
      </c>
      <c r="G105" s="143">
        <v>1.7780000000000001E-2</v>
      </c>
      <c r="H105" s="143">
        <v>8.8100000000000001E-3</v>
      </c>
      <c r="I105" s="143">
        <v>2.5819999999999999E-2</v>
      </c>
      <c r="J105" s="143">
        <v>9.0540000000000009E-2</v>
      </c>
      <c r="K105" s="143">
        <v>7.3020000000000002E-2</v>
      </c>
      <c r="L105" s="143">
        <v>2.5409999999999999E-2</v>
      </c>
      <c r="M105" s="143">
        <v>3.15E-2</v>
      </c>
      <c r="N105" s="143">
        <v>2.2400000000000003E-2</v>
      </c>
      <c r="O105" s="143">
        <v>1.9980000000000001E-2</v>
      </c>
      <c r="P105" s="143">
        <v>1.9980000000000001E-2</v>
      </c>
      <c r="Q105" s="143">
        <v>0.02</v>
      </c>
      <c r="R105" s="143">
        <v>0.02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640DD550E3CF4195961BCB801A3272" ma:contentTypeVersion="10" ma:contentTypeDescription="Create a new document." ma:contentTypeScope="" ma:versionID="e6155b0bd7f804a12ac7b9c6cd35a096">
  <xsd:schema xmlns:xsd="http://www.w3.org/2001/XMLSchema" xmlns:xs="http://www.w3.org/2001/XMLSchema" xmlns:p="http://schemas.microsoft.com/office/2006/metadata/properties" xmlns:ns2="34f1e189-ae37-4b8a-9427-4e9c61e689de" xmlns:ns3="c1a77d48-392d-473d-b3da-30565bdbd33f" targetNamespace="http://schemas.microsoft.com/office/2006/metadata/properties" ma:root="true" ma:fieldsID="a79432bf0f90545bac7b26b7218640a9" ns2:_="" ns3:_="">
    <xsd:import namespace="34f1e189-ae37-4b8a-9427-4e9c61e689de"/>
    <xsd:import namespace="c1a77d48-392d-473d-b3da-30565bdbd33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f1e189-ae37-4b8a-9427-4e9c61e689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cca7581-5256-458a-b218-643d9525617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1a77d48-392d-473d-b3da-30565bdbd33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fe889a8-18b2-40bf-8a47-77579267a646}" ma:internalName="TaxCatchAll" ma:showField="CatchAllData" ma:web="c1a77d48-392d-473d-b3da-30565bdbd3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4f1e189-ae37-4b8a-9427-4e9c61e689de">
      <Terms xmlns="http://schemas.microsoft.com/office/infopath/2007/PartnerControls"/>
    </lcf76f155ced4ddcb4097134ff3c332f>
    <TaxCatchAll xmlns="c1a77d48-392d-473d-b3da-30565bdbd33f"/>
  </documentManagement>
</p:properties>
</file>

<file path=customXml/itemProps1.xml><?xml version="1.0" encoding="utf-8"?>
<ds:datastoreItem xmlns:ds="http://schemas.openxmlformats.org/officeDocument/2006/customXml" ds:itemID="{D46D99C7-DA6F-4BB6-B9E0-7F5661D5A63F}">
  <ds:schemaRefs>
    <ds:schemaRef ds:uri="http://schemas.microsoft.com/sharepoint/v3/contenttype/forms"/>
  </ds:schemaRefs>
</ds:datastoreItem>
</file>

<file path=customXml/itemProps2.xml><?xml version="1.0" encoding="utf-8"?>
<ds:datastoreItem xmlns:ds="http://schemas.openxmlformats.org/officeDocument/2006/customXml" ds:itemID="{CD3CD3EB-9B30-4C4A-A5F5-08CD8FE08E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f1e189-ae37-4b8a-9427-4e9c61e689de"/>
    <ds:schemaRef ds:uri="c1a77d48-392d-473d-b3da-30565bdbd3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D1F2D1-76BA-47B6-A0AE-713BD7534DDC}">
  <ds:schemaRefs>
    <ds:schemaRef ds:uri="http://purl.org/dc/dcmitype/"/>
    <ds:schemaRef ds:uri="http://purl.org/dc/elements/1.1/"/>
    <ds:schemaRef ds:uri="34f1e189-ae37-4b8a-9427-4e9c61e689de"/>
    <ds:schemaRef ds:uri="http://schemas.microsoft.com/office/2006/metadata/properties"/>
    <ds:schemaRef ds:uri="http://purl.org/dc/terms/"/>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c1a77d48-392d-473d-b3da-30565bdbd33f"/>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29</vt:i4>
      </vt:variant>
    </vt:vector>
  </HeadingPairs>
  <TitlesOfParts>
    <vt:vector size="29" baseType="lpstr">
      <vt:lpstr>Cover</vt:lpstr>
      <vt:lpstr>Valuations&gt;&gt;</vt:lpstr>
      <vt:lpstr>3FS</vt:lpstr>
      <vt:lpstr>WACC</vt:lpstr>
      <vt:lpstr>Trading Comps</vt:lpstr>
      <vt:lpstr>DCF</vt:lpstr>
      <vt:lpstr>Reverse DCF</vt:lpstr>
      <vt:lpstr>Terminal Growth Rate</vt:lpstr>
      <vt:lpstr>Drivers&gt;&gt;</vt:lpstr>
      <vt:lpstr>Debt &amp; Equity</vt:lpstr>
      <vt:lpstr>Goodwill &amp; Intangibles</vt:lpstr>
      <vt:lpstr>Projections</vt:lpstr>
      <vt:lpstr>PPE</vt:lpstr>
      <vt:lpstr>Revenue Build</vt:lpstr>
      <vt:lpstr>References &gt;&gt;</vt:lpstr>
      <vt:lpstr>Middle Class</vt:lpstr>
      <vt:lpstr>Penetration Rates</vt:lpstr>
      <vt:lpstr>Consensus Estimates</vt:lpstr>
      <vt:lpstr>T3 Modelling</vt:lpstr>
      <vt:lpstr>Tourism</vt:lpstr>
      <vt:lpstr>Car Ownership</vt:lpstr>
      <vt:lpstr>GDP Growth Rates</vt:lpstr>
      <vt:lpstr>Financial Data</vt:lpstr>
      <vt:lpstr>Damodaran</vt:lpstr>
      <vt:lpstr>Raw Trading Comps</vt:lpstr>
      <vt:lpstr>Mobile Payments</vt:lpstr>
      <vt:lpstr>Tourism Spending</vt:lpstr>
      <vt:lpstr>Consumer Expenditure</vt:lpstr>
      <vt:lpstr>Inflation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Dillon Heng</dc:creator>
  <cp:keywords/>
  <dc:description/>
  <cp:lastModifiedBy>Song In Gyu</cp:lastModifiedBy>
  <cp:revision/>
  <dcterms:created xsi:type="dcterms:W3CDTF">2025-11-29T05:46:47Z</dcterms:created>
  <dcterms:modified xsi:type="dcterms:W3CDTF">2026-01-12T03:37:45Z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0x01010026640DD550E3CF4195961BCB801A3272</vt:lpwstr>
  </property>
  <property fmtid="{D5CDD505-2E9C-101B-9397-08002B2CF9AE}" pid="3" name="MediaServiceImageTags">
    <vt:lpwstr/>
  </property>
</Properties>
</file>